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OneDrive\Escritorio\Planillas semanales\"/>
    </mc:Choice>
  </mc:AlternateContent>
  <bookViews>
    <workbookView xWindow="20370" yWindow="-2205" windowWidth="29040" windowHeight="15840" tabRatio="599" firstSheet="3" activeTab="4"/>
  </bookViews>
  <sheets>
    <sheet name="Del 01-03-25 al 07-03-25" sheetId="15" r:id="rId1"/>
    <sheet name="Del 08-03-25 al 14-03-25" sheetId="19" r:id="rId2"/>
    <sheet name="Del 15-03-25 al 21-03-25" sheetId="20" r:id="rId3"/>
    <sheet name="Del 22-03-25 al 28-03-25" sheetId="21" r:id="rId4"/>
    <sheet name="Del 29-03-25 al 05-04-25" sheetId="23" r:id="rId5"/>
    <sheet name="Hoja1" sheetId="18" r:id="rId6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N226" i="23" l="1"/>
  <c r="AQ225" i="23"/>
  <c r="AN225" i="23"/>
  <c r="AQ224" i="23"/>
  <c r="AN224" i="23"/>
  <c r="AQ223" i="23"/>
  <c r="AN223" i="23"/>
  <c r="AN227" i="23" s="1"/>
  <c r="AH209" i="23"/>
  <c r="AH208" i="23"/>
  <c r="AU201" i="23"/>
  <c r="AU206" i="23" s="1"/>
  <c r="AU208" i="23" s="1"/>
  <c r="AU209" i="23" s="1"/>
  <c r="AR197" i="23"/>
  <c r="AR195" i="23"/>
  <c r="AT195" i="23" s="1"/>
  <c r="AP195" i="23"/>
  <c r="AR193" i="23"/>
  <c r="AP192" i="23"/>
  <c r="AR192" i="23" s="1"/>
  <c r="AT192" i="23" s="1"/>
  <c r="T191" i="23"/>
  <c r="O191" i="23"/>
  <c r="AC190" i="23"/>
  <c r="AC191" i="23" s="1"/>
  <c r="Y190" i="23"/>
  <c r="Y191" i="23" s="1"/>
  <c r="U190" i="23"/>
  <c r="U191" i="23" s="1"/>
  <c r="Q190" i="23"/>
  <c r="Q191" i="23" s="1"/>
  <c r="AD189" i="23"/>
  <c r="AD190" i="23" s="1"/>
  <c r="AD191" i="23" s="1"/>
  <c r="AC189" i="23"/>
  <c r="AB189" i="23"/>
  <c r="AB190" i="23" s="1"/>
  <c r="AB191" i="23" s="1"/>
  <c r="AA189" i="23"/>
  <c r="AA190" i="23" s="1"/>
  <c r="AA191" i="23" s="1"/>
  <c r="Z189" i="23"/>
  <c r="Z190" i="23" s="1"/>
  <c r="Z191" i="23" s="1"/>
  <c r="Y189" i="23"/>
  <c r="X189" i="23"/>
  <c r="X190" i="23" s="1"/>
  <c r="X191" i="23" s="1"/>
  <c r="W189" i="23"/>
  <c r="W190" i="23" s="1"/>
  <c r="W191" i="23" s="1"/>
  <c r="V189" i="23"/>
  <c r="V190" i="23" s="1"/>
  <c r="V191" i="23" s="1"/>
  <c r="U189" i="23"/>
  <c r="T189" i="23"/>
  <c r="T190" i="23" s="1"/>
  <c r="S189" i="23"/>
  <c r="S190" i="23" s="1"/>
  <c r="S191" i="23" s="1"/>
  <c r="R189" i="23"/>
  <c r="R190" i="23" s="1"/>
  <c r="R191" i="23" s="1"/>
  <c r="Q189" i="23"/>
  <c r="P189" i="23"/>
  <c r="P190" i="23" s="1"/>
  <c r="P191" i="23" s="1"/>
  <c r="O189" i="23"/>
  <c r="N189" i="23"/>
  <c r="N190" i="23" s="1"/>
  <c r="N191" i="23" s="1"/>
  <c r="M189" i="23"/>
  <c r="M190" i="23" s="1"/>
  <c r="M191" i="23" s="1"/>
  <c r="L189" i="23"/>
  <c r="L190" i="23" s="1"/>
  <c r="L191" i="23" s="1"/>
  <c r="K189" i="23"/>
  <c r="K190" i="23" s="1"/>
  <c r="K191" i="23" s="1"/>
  <c r="J189" i="23"/>
  <c r="J190" i="23" s="1"/>
  <c r="J191" i="23" s="1"/>
  <c r="AJ191" i="23" s="1"/>
  <c r="I189" i="23"/>
  <c r="I190" i="23" s="1"/>
  <c r="I191" i="23" s="1"/>
  <c r="H189" i="23"/>
  <c r="H190" i="23" s="1"/>
  <c r="H191" i="23" s="1"/>
  <c r="AH191" i="23" s="1"/>
  <c r="G189" i="23"/>
  <c r="G190" i="23" s="1"/>
  <c r="G191" i="23" s="1"/>
  <c r="AG191" i="23" s="1"/>
  <c r="AC186" i="23"/>
  <c r="AB186" i="23"/>
  <c r="AA186" i="23"/>
  <c r="Y186" i="23"/>
  <c r="X186" i="23"/>
  <c r="W186" i="23"/>
  <c r="U186" i="23"/>
  <c r="T186" i="23"/>
  <c r="S186" i="23"/>
  <c r="Q186" i="23"/>
  <c r="P186" i="23"/>
  <c r="O186" i="23"/>
  <c r="M186" i="23"/>
  <c r="L186" i="23"/>
  <c r="K186" i="23"/>
  <c r="I186" i="23"/>
  <c r="H186" i="23"/>
  <c r="G186" i="23"/>
  <c r="AK185" i="23"/>
  <c r="AI185" i="23"/>
  <c r="AO185" i="23" s="1"/>
  <c r="AH185" i="23"/>
  <c r="AN185" i="23" s="1"/>
  <c r="AG185" i="23"/>
  <c r="AM185" i="23" s="1"/>
  <c r="AI184" i="23"/>
  <c r="AK184" i="23" s="1"/>
  <c r="AH184" i="23"/>
  <c r="AN184" i="23" s="1"/>
  <c r="AG184" i="23"/>
  <c r="AM184" i="23" s="1"/>
  <c r="F184" i="23"/>
  <c r="E184" i="23"/>
  <c r="D184" i="23"/>
  <c r="AN183" i="23"/>
  <c r="AJ183" i="23"/>
  <c r="AP183" i="23" s="1"/>
  <c r="AI183" i="23"/>
  <c r="AO183" i="23" s="1"/>
  <c r="AH183" i="23"/>
  <c r="AG183" i="23"/>
  <c r="AM183" i="23" s="1"/>
  <c r="F183" i="23"/>
  <c r="E183" i="23"/>
  <c r="D183" i="23"/>
  <c r="AN182" i="23"/>
  <c r="AJ182" i="23"/>
  <c r="AP182" i="23" s="1"/>
  <c r="AI182" i="23"/>
  <c r="AO182" i="23" s="1"/>
  <c r="AH182" i="23"/>
  <c r="AG182" i="23"/>
  <c r="AM182" i="23" s="1"/>
  <c r="F182" i="23"/>
  <c r="E182" i="23"/>
  <c r="D182" i="23"/>
  <c r="AM181" i="23"/>
  <c r="AI181" i="23"/>
  <c r="AO181" i="23" s="1"/>
  <c r="AH181" i="23"/>
  <c r="AN181" i="23" s="1"/>
  <c r="AG181" i="23"/>
  <c r="F181" i="23"/>
  <c r="E181" i="23"/>
  <c r="D181" i="23"/>
  <c r="AJ180" i="23"/>
  <c r="AI180" i="23"/>
  <c r="AO180" i="23" s="1"/>
  <c r="AH180" i="23"/>
  <c r="AN180" i="23" s="1"/>
  <c r="AG180" i="23"/>
  <c r="AM180" i="23" s="1"/>
  <c r="F180" i="23"/>
  <c r="E180" i="23"/>
  <c r="D180" i="23"/>
  <c r="AJ179" i="23"/>
  <c r="AP179" i="23" s="1"/>
  <c r="AI179" i="23"/>
  <c r="AO179" i="23" s="1"/>
  <c r="AH179" i="23"/>
  <c r="AN179" i="23" s="1"/>
  <c r="AG179" i="23"/>
  <c r="AM179" i="23" s="1"/>
  <c r="F179" i="23"/>
  <c r="E179" i="23"/>
  <c r="D179" i="23"/>
  <c r="AJ178" i="23"/>
  <c r="AI178" i="23"/>
  <c r="AO178" i="23" s="1"/>
  <c r="AH178" i="23"/>
  <c r="AN178" i="23" s="1"/>
  <c r="AG178" i="23"/>
  <c r="AM178" i="23" s="1"/>
  <c r="F178" i="23"/>
  <c r="E178" i="23"/>
  <c r="D178" i="23"/>
  <c r="AJ177" i="23"/>
  <c r="AI177" i="23"/>
  <c r="AO177" i="23" s="1"/>
  <c r="AH177" i="23"/>
  <c r="AN177" i="23" s="1"/>
  <c r="AG177" i="23"/>
  <c r="AM177" i="23" s="1"/>
  <c r="F177" i="23"/>
  <c r="E177" i="23"/>
  <c r="D177" i="23"/>
  <c r="AJ176" i="23"/>
  <c r="AI176" i="23"/>
  <c r="AO176" i="23" s="1"/>
  <c r="AH176" i="23"/>
  <c r="AN176" i="23" s="1"/>
  <c r="AG176" i="23"/>
  <c r="AM176" i="23" s="1"/>
  <c r="F176" i="23"/>
  <c r="E176" i="23"/>
  <c r="D176" i="23"/>
  <c r="AJ175" i="23"/>
  <c r="AI175" i="23"/>
  <c r="AO175" i="23" s="1"/>
  <c r="AH175" i="23"/>
  <c r="AN175" i="23" s="1"/>
  <c r="AG175" i="23"/>
  <c r="AM175" i="23" s="1"/>
  <c r="F175" i="23"/>
  <c r="E175" i="23"/>
  <c r="D175" i="23"/>
  <c r="AJ174" i="23"/>
  <c r="AP174" i="23" s="1"/>
  <c r="AI174" i="23"/>
  <c r="AO174" i="23" s="1"/>
  <c r="AH174" i="23"/>
  <c r="AN174" i="23" s="1"/>
  <c r="AG174" i="23"/>
  <c r="AM174" i="23" s="1"/>
  <c r="F174" i="23"/>
  <c r="E174" i="23"/>
  <c r="D174" i="23"/>
  <c r="AJ173" i="23"/>
  <c r="AP173" i="23" s="1"/>
  <c r="AI173" i="23"/>
  <c r="AO173" i="23" s="1"/>
  <c r="AH173" i="23"/>
  <c r="AN173" i="23" s="1"/>
  <c r="AG173" i="23"/>
  <c r="AM173" i="23" s="1"/>
  <c r="F173" i="23"/>
  <c r="E173" i="23"/>
  <c r="D173" i="23"/>
  <c r="AJ172" i="23"/>
  <c r="AP172" i="23" s="1"/>
  <c r="AI172" i="23"/>
  <c r="AO172" i="23" s="1"/>
  <c r="AH172" i="23"/>
  <c r="AN172" i="23" s="1"/>
  <c r="AG172" i="23"/>
  <c r="F172" i="23"/>
  <c r="E172" i="23"/>
  <c r="D172" i="23"/>
  <c r="AJ171" i="23"/>
  <c r="AP171" i="23" s="1"/>
  <c r="AI171" i="23"/>
  <c r="AO171" i="23" s="1"/>
  <c r="AH171" i="23"/>
  <c r="AN171" i="23" s="1"/>
  <c r="AG171" i="23"/>
  <c r="F171" i="23"/>
  <c r="E171" i="23"/>
  <c r="D171" i="23"/>
  <c r="AJ170" i="23"/>
  <c r="AP170" i="23" s="1"/>
  <c r="AI170" i="23"/>
  <c r="AO170" i="23" s="1"/>
  <c r="AH170" i="23"/>
  <c r="AN170" i="23" s="1"/>
  <c r="AG170" i="23"/>
  <c r="AM170" i="23" s="1"/>
  <c r="F170" i="23"/>
  <c r="E170" i="23"/>
  <c r="D170" i="23"/>
  <c r="AJ168" i="23"/>
  <c r="AP168" i="23" s="1"/>
  <c r="AI168" i="23"/>
  <c r="AO168" i="23" s="1"/>
  <c r="AH168" i="23"/>
  <c r="AN168" i="23" s="1"/>
  <c r="AG168" i="23"/>
  <c r="AM168" i="23" s="1"/>
  <c r="F168" i="23"/>
  <c r="E168" i="23"/>
  <c r="D168" i="23"/>
  <c r="AP167" i="23"/>
  <c r="AJ167" i="23"/>
  <c r="AI167" i="23"/>
  <c r="AO167" i="23" s="1"/>
  <c r="AH167" i="23"/>
  <c r="AN167" i="23" s="1"/>
  <c r="AG167" i="23"/>
  <c r="AM167" i="23" s="1"/>
  <c r="F167" i="23"/>
  <c r="E167" i="23"/>
  <c r="D167" i="23"/>
  <c r="AJ166" i="23"/>
  <c r="AP166" i="23" s="1"/>
  <c r="AI166" i="23"/>
  <c r="AO166" i="23" s="1"/>
  <c r="AH166" i="23"/>
  <c r="AN166" i="23" s="1"/>
  <c r="AG166" i="23"/>
  <c r="F166" i="23"/>
  <c r="E166" i="23"/>
  <c r="D166" i="23"/>
  <c r="AJ165" i="23"/>
  <c r="AP165" i="23" s="1"/>
  <c r="AI165" i="23"/>
  <c r="AO165" i="23" s="1"/>
  <c r="AH165" i="23"/>
  <c r="AN165" i="23" s="1"/>
  <c r="AG165" i="23"/>
  <c r="AM165" i="23" s="1"/>
  <c r="F165" i="23"/>
  <c r="E165" i="23"/>
  <c r="D165" i="23"/>
  <c r="AJ164" i="23"/>
  <c r="AP164" i="23" s="1"/>
  <c r="AI164" i="23"/>
  <c r="AO164" i="23" s="1"/>
  <c r="AH164" i="23"/>
  <c r="AN164" i="23" s="1"/>
  <c r="AG164" i="23"/>
  <c r="AK164" i="23" s="1"/>
  <c r="AQ164" i="23" s="1"/>
  <c r="F164" i="23"/>
  <c r="E164" i="23"/>
  <c r="D164" i="23"/>
  <c r="AP163" i="23"/>
  <c r="AJ163" i="23"/>
  <c r="AI163" i="23"/>
  <c r="AO163" i="23" s="1"/>
  <c r="AH163" i="23"/>
  <c r="AN163" i="23" s="1"/>
  <c r="AG163" i="23"/>
  <c r="AM163" i="23" s="1"/>
  <c r="F163" i="23"/>
  <c r="E163" i="23"/>
  <c r="D163" i="23"/>
  <c r="AJ162" i="23"/>
  <c r="AP162" i="23" s="1"/>
  <c r="AI162" i="23"/>
  <c r="AO162" i="23" s="1"/>
  <c r="AH162" i="23"/>
  <c r="AN162" i="23" s="1"/>
  <c r="AG162" i="23"/>
  <c r="F162" i="23"/>
  <c r="E162" i="23"/>
  <c r="D162" i="23"/>
  <c r="AJ161" i="23"/>
  <c r="AP161" i="23" s="1"/>
  <c r="AI161" i="23"/>
  <c r="AO161" i="23" s="1"/>
  <c r="AH161" i="23"/>
  <c r="AN161" i="23" s="1"/>
  <c r="AG161" i="23"/>
  <c r="AM161" i="23" s="1"/>
  <c r="F161" i="23"/>
  <c r="E161" i="23"/>
  <c r="D161" i="23"/>
  <c r="AJ160" i="23"/>
  <c r="AP160" i="23" s="1"/>
  <c r="AI160" i="23"/>
  <c r="AO160" i="23" s="1"/>
  <c r="AH160" i="23"/>
  <c r="AN160" i="23" s="1"/>
  <c r="AG160" i="23"/>
  <c r="AM160" i="23" s="1"/>
  <c r="F160" i="23"/>
  <c r="E160" i="23"/>
  <c r="D160" i="23"/>
  <c r="AP159" i="23"/>
  <c r="AJ159" i="23"/>
  <c r="AI159" i="23"/>
  <c r="AO159" i="23" s="1"/>
  <c r="AH159" i="23"/>
  <c r="AN159" i="23" s="1"/>
  <c r="AG159" i="23"/>
  <c r="AM159" i="23" s="1"/>
  <c r="F159" i="23"/>
  <c r="E159" i="23"/>
  <c r="D159" i="23"/>
  <c r="AJ158" i="23"/>
  <c r="AP158" i="23" s="1"/>
  <c r="AI158" i="23"/>
  <c r="AO158" i="23" s="1"/>
  <c r="AH158" i="23"/>
  <c r="AN158" i="23" s="1"/>
  <c r="AG158" i="23"/>
  <c r="F158" i="23"/>
  <c r="E158" i="23"/>
  <c r="D158" i="23"/>
  <c r="AJ157" i="23"/>
  <c r="AP157" i="23" s="1"/>
  <c r="AI157" i="23"/>
  <c r="AO157" i="23" s="1"/>
  <c r="AH157" i="23"/>
  <c r="AN157" i="23" s="1"/>
  <c r="AG157" i="23"/>
  <c r="AM157" i="23" s="1"/>
  <c r="F157" i="23"/>
  <c r="E157" i="23"/>
  <c r="D157" i="23"/>
  <c r="AJ156" i="23"/>
  <c r="AP156" i="23" s="1"/>
  <c r="AI156" i="23"/>
  <c r="AO156" i="23" s="1"/>
  <c r="AH156" i="23"/>
  <c r="AN156" i="23" s="1"/>
  <c r="AG156" i="23"/>
  <c r="AM156" i="23" s="1"/>
  <c r="F156" i="23"/>
  <c r="E156" i="23"/>
  <c r="D156" i="23"/>
  <c r="AP155" i="23"/>
  <c r="AJ155" i="23"/>
  <c r="AI155" i="23"/>
  <c r="AO155" i="23" s="1"/>
  <c r="AH155" i="23"/>
  <c r="AN155" i="23" s="1"/>
  <c r="AG155" i="23"/>
  <c r="AM155" i="23" s="1"/>
  <c r="F155" i="23"/>
  <c r="E155" i="23"/>
  <c r="D155" i="23"/>
  <c r="AJ154" i="23"/>
  <c r="AP154" i="23" s="1"/>
  <c r="AI154" i="23"/>
  <c r="AO154" i="23" s="1"/>
  <c r="AH154" i="23"/>
  <c r="AN154" i="23" s="1"/>
  <c r="AG154" i="23"/>
  <c r="F154" i="23"/>
  <c r="E154" i="23"/>
  <c r="D154" i="23"/>
  <c r="AJ153" i="23"/>
  <c r="AP153" i="23" s="1"/>
  <c r="AI153" i="23"/>
  <c r="AO153" i="23" s="1"/>
  <c r="AH153" i="23"/>
  <c r="AN153" i="23" s="1"/>
  <c r="AG153" i="23"/>
  <c r="AM153" i="23" s="1"/>
  <c r="F153" i="23"/>
  <c r="E153" i="23"/>
  <c r="D153" i="23"/>
  <c r="AJ152" i="23"/>
  <c r="AP152" i="23" s="1"/>
  <c r="AI152" i="23"/>
  <c r="AO152" i="23" s="1"/>
  <c r="AH152" i="23"/>
  <c r="AN152" i="23" s="1"/>
  <c r="AG152" i="23"/>
  <c r="AM152" i="23" s="1"/>
  <c r="F152" i="23"/>
  <c r="E152" i="23"/>
  <c r="D152" i="23"/>
  <c r="AP151" i="23"/>
  <c r="AJ151" i="23"/>
  <c r="AI151" i="23"/>
  <c r="AO151" i="23" s="1"/>
  <c r="AH151" i="23"/>
  <c r="AN151" i="23" s="1"/>
  <c r="AG151" i="23"/>
  <c r="AM151" i="23" s="1"/>
  <c r="F151" i="23"/>
  <c r="E151" i="23"/>
  <c r="D151" i="23"/>
  <c r="AJ150" i="23"/>
  <c r="AP150" i="23" s="1"/>
  <c r="AI150" i="23"/>
  <c r="AO150" i="23" s="1"/>
  <c r="AH150" i="23"/>
  <c r="AN150" i="23" s="1"/>
  <c r="AG150" i="23"/>
  <c r="AM150" i="23" s="1"/>
  <c r="F150" i="23"/>
  <c r="E150" i="23"/>
  <c r="D150" i="23"/>
  <c r="AN149" i="23"/>
  <c r="AJ149" i="23"/>
  <c r="AP149" i="23" s="1"/>
  <c r="AI149" i="23"/>
  <c r="AO149" i="23" s="1"/>
  <c r="AH149" i="23"/>
  <c r="AG149" i="23"/>
  <c r="AM149" i="23" s="1"/>
  <c r="F149" i="23"/>
  <c r="E149" i="23"/>
  <c r="D149" i="23"/>
  <c r="AN148" i="23"/>
  <c r="AJ148" i="23"/>
  <c r="AI148" i="23"/>
  <c r="AO148" i="23" s="1"/>
  <c r="AH148" i="23"/>
  <c r="AG148" i="23"/>
  <c r="AM148" i="23" s="1"/>
  <c r="F148" i="23"/>
  <c r="E148" i="23"/>
  <c r="D148" i="23"/>
  <c r="AJ147" i="23"/>
  <c r="AP147" i="23" s="1"/>
  <c r="AI147" i="23"/>
  <c r="AO147" i="23" s="1"/>
  <c r="AH147" i="23"/>
  <c r="AN147" i="23" s="1"/>
  <c r="AG147" i="23"/>
  <c r="F147" i="23"/>
  <c r="E147" i="23"/>
  <c r="D147" i="23"/>
  <c r="AJ146" i="23"/>
  <c r="AP146" i="23" s="1"/>
  <c r="AI146" i="23"/>
  <c r="AO146" i="23" s="1"/>
  <c r="AH146" i="23"/>
  <c r="AN146" i="23" s="1"/>
  <c r="AG146" i="23"/>
  <c r="F146" i="23"/>
  <c r="E146" i="23"/>
  <c r="D146" i="23"/>
  <c r="AJ145" i="23"/>
  <c r="AP145" i="23" s="1"/>
  <c r="AI145" i="23"/>
  <c r="AO145" i="23" s="1"/>
  <c r="AH145" i="23"/>
  <c r="AN145" i="23" s="1"/>
  <c r="AG145" i="23"/>
  <c r="F145" i="23"/>
  <c r="E145" i="23"/>
  <c r="D145" i="23"/>
  <c r="AJ144" i="23"/>
  <c r="AP144" i="23" s="1"/>
  <c r="AI144" i="23"/>
  <c r="AO144" i="23" s="1"/>
  <c r="AH144" i="23"/>
  <c r="AN144" i="23" s="1"/>
  <c r="AG144" i="23"/>
  <c r="F144" i="23"/>
  <c r="E144" i="23"/>
  <c r="D144" i="23"/>
  <c r="AJ143" i="23"/>
  <c r="AP143" i="23" s="1"/>
  <c r="AI143" i="23"/>
  <c r="AO143" i="23" s="1"/>
  <c r="AH143" i="23"/>
  <c r="AN143" i="23" s="1"/>
  <c r="AG143" i="23"/>
  <c r="AM143" i="23" s="1"/>
  <c r="F143" i="23"/>
  <c r="E143" i="23"/>
  <c r="D143" i="23"/>
  <c r="AO142" i="23"/>
  <c r="AJ142" i="23"/>
  <c r="AP142" i="23" s="1"/>
  <c r="AI142" i="23"/>
  <c r="AH142" i="23"/>
  <c r="AN142" i="23" s="1"/>
  <c r="AG142" i="23"/>
  <c r="AM142" i="23" s="1"/>
  <c r="F142" i="23"/>
  <c r="E142" i="23"/>
  <c r="D142" i="23"/>
  <c r="AJ141" i="23"/>
  <c r="AP141" i="23" s="1"/>
  <c r="AI141" i="23"/>
  <c r="AO141" i="23" s="1"/>
  <c r="AH141" i="23"/>
  <c r="AN141" i="23" s="1"/>
  <c r="AG141" i="23"/>
  <c r="AM141" i="23" s="1"/>
  <c r="F141" i="23"/>
  <c r="E141" i="23"/>
  <c r="D141" i="23"/>
  <c r="AO140" i="23"/>
  <c r="AJ140" i="23"/>
  <c r="AP140" i="23" s="1"/>
  <c r="AI140" i="23"/>
  <c r="AH140" i="23"/>
  <c r="AN140" i="23" s="1"/>
  <c r="AG140" i="23"/>
  <c r="F140" i="23"/>
  <c r="E140" i="23"/>
  <c r="D140" i="23"/>
  <c r="AJ139" i="23"/>
  <c r="AP139" i="23" s="1"/>
  <c r="AI139" i="23"/>
  <c r="AO139" i="23" s="1"/>
  <c r="AH139" i="23"/>
  <c r="AN139" i="23" s="1"/>
  <c r="AG139" i="23"/>
  <c r="AM139" i="23" s="1"/>
  <c r="F139" i="23"/>
  <c r="E139" i="23"/>
  <c r="D139" i="23"/>
  <c r="AJ138" i="23"/>
  <c r="AP138" i="23" s="1"/>
  <c r="AI138" i="23"/>
  <c r="AO138" i="23" s="1"/>
  <c r="AH138" i="23"/>
  <c r="AN138" i="23" s="1"/>
  <c r="AG138" i="23"/>
  <c r="AM138" i="23" s="1"/>
  <c r="F138" i="23"/>
  <c r="E138" i="23"/>
  <c r="D138" i="23"/>
  <c r="AJ137" i="23"/>
  <c r="AP137" i="23" s="1"/>
  <c r="AI137" i="23"/>
  <c r="AO137" i="23" s="1"/>
  <c r="AH137" i="23"/>
  <c r="AN137" i="23" s="1"/>
  <c r="AG137" i="23"/>
  <c r="AM137" i="23" s="1"/>
  <c r="F137" i="23"/>
  <c r="E137" i="23"/>
  <c r="D137" i="23"/>
  <c r="AJ136" i="23"/>
  <c r="AP136" i="23" s="1"/>
  <c r="AI136" i="23"/>
  <c r="AO136" i="23" s="1"/>
  <c r="AH136" i="23"/>
  <c r="AN136" i="23" s="1"/>
  <c r="AG136" i="23"/>
  <c r="F136" i="23"/>
  <c r="E136" i="23"/>
  <c r="D136" i="23"/>
  <c r="AJ135" i="23"/>
  <c r="AP135" i="23" s="1"/>
  <c r="AI135" i="23"/>
  <c r="AO135" i="23" s="1"/>
  <c r="AH135" i="23"/>
  <c r="AN135" i="23" s="1"/>
  <c r="AG135" i="23"/>
  <c r="AM135" i="23" s="1"/>
  <c r="F135" i="23"/>
  <c r="E135" i="23"/>
  <c r="D135" i="23"/>
  <c r="AO134" i="23"/>
  <c r="AJ134" i="23"/>
  <c r="AP134" i="23" s="1"/>
  <c r="AI134" i="23"/>
  <c r="AH134" i="23"/>
  <c r="AN134" i="23" s="1"/>
  <c r="AG134" i="23"/>
  <c r="AM134" i="23" s="1"/>
  <c r="F134" i="23"/>
  <c r="E134" i="23"/>
  <c r="D134" i="23"/>
  <c r="AJ133" i="23"/>
  <c r="AP133" i="23" s="1"/>
  <c r="AI133" i="23"/>
  <c r="AO133" i="23" s="1"/>
  <c r="AH133" i="23"/>
  <c r="AN133" i="23" s="1"/>
  <c r="AG133" i="23"/>
  <c r="AK133" i="23" s="1"/>
  <c r="F133" i="23"/>
  <c r="E133" i="23"/>
  <c r="D133" i="23"/>
  <c r="AO132" i="23"/>
  <c r="AJ132" i="23"/>
  <c r="AP132" i="23" s="1"/>
  <c r="AI132" i="23"/>
  <c r="AH132" i="23"/>
  <c r="AN132" i="23" s="1"/>
  <c r="AG132" i="23"/>
  <c r="F132" i="23"/>
  <c r="E132" i="23"/>
  <c r="D132" i="23"/>
  <c r="AJ131" i="23"/>
  <c r="AP131" i="23" s="1"/>
  <c r="AI131" i="23"/>
  <c r="AO131" i="23" s="1"/>
  <c r="AH131" i="23"/>
  <c r="AN131" i="23" s="1"/>
  <c r="AG131" i="23"/>
  <c r="F131" i="23"/>
  <c r="E131" i="23"/>
  <c r="D131" i="23"/>
  <c r="AJ130" i="23"/>
  <c r="AP130" i="23" s="1"/>
  <c r="AI130" i="23"/>
  <c r="AO130" i="23" s="1"/>
  <c r="AH130" i="23"/>
  <c r="AN130" i="23" s="1"/>
  <c r="AG130" i="23"/>
  <c r="AM130" i="23" s="1"/>
  <c r="F130" i="23"/>
  <c r="E130" i="23"/>
  <c r="D130" i="23"/>
  <c r="AJ129" i="23"/>
  <c r="AP129" i="23" s="1"/>
  <c r="AI129" i="23"/>
  <c r="AO129" i="23" s="1"/>
  <c r="AH129" i="23"/>
  <c r="AN129" i="23" s="1"/>
  <c r="AG129" i="23"/>
  <c r="F129" i="23"/>
  <c r="E129" i="23"/>
  <c r="D129" i="23"/>
  <c r="AJ128" i="23"/>
  <c r="AP128" i="23" s="1"/>
  <c r="AI128" i="23"/>
  <c r="AO128" i="23" s="1"/>
  <c r="AH128" i="23"/>
  <c r="AN128" i="23" s="1"/>
  <c r="AG128" i="23"/>
  <c r="F128" i="23"/>
  <c r="E128" i="23"/>
  <c r="D128" i="23"/>
  <c r="AO127" i="23"/>
  <c r="AJ127" i="23"/>
  <c r="AP127" i="23" s="1"/>
  <c r="AI127" i="23"/>
  <c r="AH127" i="23"/>
  <c r="AN127" i="23" s="1"/>
  <c r="AG127" i="23"/>
  <c r="F127" i="23"/>
  <c r="E127" i="23"/>
  <c r="D127" i="23"/>
  <c r="AJ126" i="23"/>
  <c r="AP126" i="23" s="1"/>
  <c r="AI126" i="23"/>
  <c r="AO126" i="23" s="1"/>
  <c r="AH126" i="23"/>
  <c r="AN126" i="23" s="1"/>
  <c r="AG126" i="23"/>
  <c r="AM126" i="23" s="1"/>
  <c r="F126" i="23"/>
  <c r="E126" i="23"/>
  <c r="D126" i="23"/>
  <c r="AO125" i="23"/>
  <c r="AJ125" i="23"/>
  <c r="AP125" i="23" s="1"/>
  <c r="AI125" i="23"/>
  <c r="AH125" i="23"/>
  <c r="AN125" i="23" s="1"/>
  <c r="AG125" i="23"/>
  <c r="F125" i="23"/>
  <c r="E125" i="23"/>
  <c r="D125" i="23"/>
  <c r="AJ124" i="23"/>
  <c r="AP124" i="23" s="1"/>
  <c r="AI124" i="23"/>
  <c r="AO124" i="23" s="1"/>
  <c r="AH124" i="23"/>
  <c r="AN124" i="23" s="1"/>
  <c r="AG124" i="23"/>
  <c r="F124" i="23"/>
  <c r="E124" i="23"/>
  <c r="D124" i="23"/>
  <c r="AJ123" i="23"/>
  <c r="AP123" i="23" s="1"/>
  <c r="AI123" i="23"/>
  <c r="AO123" i="23" s="1"/>
  <c r="AH123" i="23"/>
  <c r="AN123" i="23" s="1"/>
  <c r="AG123" i="23"/>
  <c r="AM123" i="23" s="1"/>
  <c r="F123" i="23"/>
  <c r="E123" i="23"/>
  <c r="D123" i="23"/>
  <c r="AN122" i="23"/>
  <c r="AJ122" i="23"/>
  <c r="AP122" i="23" s="1"/>
  <c r="AI122" i="23"/>
  <c r="AO122" i="23" s="1"/>
  <c r="AH122" i="23"/>
  <c r="AG122" i="23"/>
  <c r="AM122" i="23" s="1"/>
  <c r="F122" i="23"/>
  <c r="E122" i="23"/>
  <c r="D122" i="23"/>
  <c r="AJ121" i="23"/>
  <c r="AP121" i="23" s="1"/>
  <c r="AI121" i="23"/>
  <c r="AO121" i="23" s="1"/>
  <c r="AH121" i="23"/>
  <c r="AN121" i="23" s="1"/>
  <c r="AG121" i="23"/>
  <c r="AM121" i="23" s="1"/>
  <c r="F121" i="23"/>
  <c r="E121" i="23"/>
  <c r="D121" i="23"/>
  <c r="AN120" i="23"/>
  <c r="AJ120" i="23"/>
  <c r="AP120" i="23" s="1"/>
  <c r="AI120" i="23"/>
  <c r="AO120" i="23" s="1"/>
  <c r="AH120" i="23"/>
  <c r="AG120" i="23"/>
  <c r="AM120" i="23" s="1"/>
  <c r="F120" i="23"/>
  <c r="E120" i="23"/>
  <c r="D120" i="23"/>
  <c r="AJ119" i="23"/>
  <c r="AP119" i="23" s="1"/>
  <c r="AI119" i="23"/>
  <c r="AO119" i="23" s="1"/>
  <c r="AH119" i="23"/>
  <c r="AN119" i="23" s="1"/>
  <c r="AG119" i="23"/>
  <c r="F119" i="23"/>
  <c r="E119" i="23"/>
  <c r="D119" i="23"/>
  <c r="AJ118" i="23"/>
  <c r="AP118" i="23" s="1"/>
  <c r="AI118" i="23"/>
  <c r="AO118" i="23" s="1"/>
  <c r="AH118" i="23"/>
  <c r="AN118" i="23" s="1"/>
  <c r="AG118" i="23"/>
  <c r="AM118" i="23" s="1"/>
  <c r="F118" i="23"/>
  <c r="E118" i="23"/>
  <c r="D118" i="23"/>
  <c r="AP117" i="23"/>
  <c r="AJ117" i="23"/>
  <c r="AI117" i="23"/>
  <c r="AO117" i="23" s="1"/>
  <c r="AH117" i="23"/>
  <c r="AN117" i="23" s="1"/>
  <c r="AG117" i="23"/>
  <c r="AM117" i="23" s="1"/>
  <c r="F117" i="23"/>
  <c r="E117" i="23"/>
  <c r="D117" i="23"/>
  <c r="AJ116" i="23"/>
  <c r="AP116" i="23" s="1"/>
  <c r="AI116" i="23"/>
  <c r="AO116" i="23" s="1"/>
  <c r="AH116" i="23"/>
  <c r="AN116" i="23" s="1"/>
  <c r="AG116" i="23"/>
  <c r="F116" i="23"/>
  <c r="E116" i="23"/>
  <c r="D116" i="23"/>
  <c r="AJ115" i="23"/>
  <c r="AP115" i="23" s="1"/>
  <c r="AI115" i="23"/>
  <c r="AO115" i="23" s="1"/>
  <c r="AH115" i="23"/>
  <c r="AN115" i="23" s="1"/>
  <c r="AG115" i="23"/>
  <c r="AM115" i="23" s="1"/>
  <c r="F115" i="23"/>
  <c r="E115" i="23"/>
  <c r="D115" i="23"/>
  <c r="AJ114" i="23"/>
  <c r="AP114" i="23" s="1"/>
  <c r="AI114" i="23"/>
  <c r="AO114" i="23" s="1"/>
  <c r="AH114" i="23"/>
  <c r="AN114" i="23" s="1"/>
  <c r="AG114" i="23"/>
  <c r="AM114" i="23" s="1"/>
  <c r="F114" i="23"/>
  <c r="E114" i="23"/>
  <c r="D114" i="23"/>
  <c r="AP113" i="23"/>
  <c r="AJ113" i="23"/>
  <c r="AI113" i="23"/>
  <c r="AO113" i="23" s="1"/>
  <c r="AH113" i="23"/>
  <c r="AN113" i="23" s="1"/>
  <c r="AG113" i="23"/>
  <c r="AM113" i="23" s="1"/>
  <c r="F113" i="23"/>
  <c r="E113" i="23"/>
  <c r="D113" i="23"/>
  <c r="AJ112" i="23"/>
  <c r="AP112" i="23" s="1"/>
  <c r="AI112" i="23"/>
  <c r="AO112" i="23" s="1"/>
  <c r="AH112" i="23"/>
  <c r="AN112" i="23" s="1"/>
  <c r="AG112" i="23"/>
  <c r="AM112" i="23" s="1"/>
  <c r="F112" i="23"/>
  <c r="E112" i="23"/>
  <c r="D112" i="23"/>
  <c r="AO111" i="23"/>
  <c r="AJ111" i="23"/>
  <c r="AP111" i="23" s="1"/>
  <c r="AI111" i="23"/>
  <c r="AH111" i="23"/>
  <c r="AN111" i="23" s="1"/>
  <c r="AG111" i="23"/>
  <c r="AM111" i="23" s="1"/>
  <c r="F111" i="23"/>
  <c r="E111" i="23"/>
  <c r="D111" i="23"/>
  <c r="AJ110" i="23"/>
  <c r="AP110" i="23" s="1"/>
  <c r="AI110" i="23"/>
  <c r="AO110" i="23" s="1"/>
  <c r="AH110" i="23"/>
  <c r="AN110" i="23" s="1"/>
  <c r="AG110" i="23"/>
  <c r="AK110" i="23" s="1"/>
  <c r="F110" i="23"/>
  <c r="E110" i="23"/>
  <c r="D110" i="23"/>
  <c r="AJ109" i="23"/>
  <c r="AP109" i="23" s="1"/>
  <c r="AI109" i="23"/>
  <c r="AO109" i="23" s="1"/>
  <c r="AH109" i="23"/>
  <c r="AN109" i="23" s="1"/>
  <c r="AG109" i="23"/>
  <c r="AM109" i="23" s="1"/>
  <c r="F109" i="23"/>
  <c r="E109" i="23"/>
  <c r="D109" i="23"/>
  <c r="AJ108" i="23"/>
  <c r="AP108" i="23" s="1"/>
  <c r="AI108" i="23"/>
  <c r="AO108" i="23" s="1"/>
  <c r="AH108" i="23"/>
  <c r="AN108" i="23" s="1"/>
  <c r="AG108" i="23"/>
  <c r="F108" i="23"/>
  <c r="E108" i="23"/>
  <c r="D108" i="23"/>
  <c r="AJ107" i="23"/>
  <c r="AP107" i="23" s="1"/>
  <c r="AI107" i="23"/>
  <c r="AO107" i="23" s="1"/>
  <c r="AH107" i="23"/>
  <c r="AN107" i="23" s="1"/>
  <c r="AG107" i="23"/>
  <c r="F107" i="23"/>
  <c r="E107" i="23"/>
  <c r="D107" i="23"/>
  <c r="AJ106" i="23"/>
  <c r="AP106" i="23" s="1"/>
  <c r="AI106" i="23"/>
  <c r="AO106" i="23" s="1"/>
  <c r="AH106" i="23"/>
  <c r="AN106" i="23" s="1"/>
  <c r="AG106" i="23"/>
  <c r="F106" i="23"/>
  <c r="E106" i="23"/>
  <c r="D106" i="23"/>
  <c r="AO105" i="23"/>
  <c r="AJ105" i="23"/>
  <c r="AP105" i="23" s="1"/>
  <c r="AI105" i="23"/>
  <c r="AH105" i="23"/>
  <c r="AN105" i="23" s="1"/>
  <c r="AG105" i="23"/>
  <c r="F105" i="23"/>
  <c r="E105" i="23"/>
  <c r="D105" i="23"/>
  <c r="AJ104" i="23"/>
  <c r="AP104" i="23" s="1"/>
  <c r="AI104" i="23"/>
  <c r="AO104" i="23" s="1"/>
  <c r="AH104" i="23"/>
  <c r="AN104" i="23" s="1"/>
  <c r="AG104" i="23"/>
  <c r="AK104" i="23" s="1"/>
  <c r="F104" i="23"/>
  <c r="E104" i="23"/>
  <c r="D104" i="23"/>
  <c r="AJ103" i="23"/>
  <c r="AP103" i="23" s="1"/>
  <c r="AI103" i="23"/>
  <c r="AO103" i="23" s="1"/>
  <c r="AH103" i="23"/>
  <c r="AN103" i="23" s="1"/>
  <c r="AG103" i="23"/>
  <c r="F103" i="23"/>
  <c r="E103" i="23"/>
  <c r="D103" i="23"/>
  <c r="AJ102" i="23"/>
  <c r="AP102" i="23" s="1"/>
  <c r="AI102" i="23"/>
  <c r="AO102" i="23" s="1"/>
  <c r="AH102" i="23"/>
  <c r="AN102" i="23" s="1"/>
  <c r="AG102" i="23"/>
  <c r="F102" i="23"/>
  <c r="E102" i="23"/>
  <c r="D102" i="23"/>
  <c r="AJ101" i="23"/>
  <c r="AP101" i="23" s="1"/>
  <c r="AI101" i="23"/>
  <c r="AO101" i="23" s="1"/>
  <c r="AH101" i="23"/>
  <c r="AN101" i="23" s="1"/>
  <c r="AG101" i="23"/>
  <c r="F101" i="23"/>
  <c r="E101" i="23"/>
  <c r="D101" i="23"/>
  <c r="AJ100" i="23"/>
  <c r="AP100" i="23" s="1"/>
  <c r="AI100" i="23"/>
  <c r="AO100" i="23" s="1"/>
  <c r="AH100" i="23"/>
  <c r="AN100" i="23" s="1"/>
  <c r="AG100" i="23"/>
  <c r="F100" i="23"/>
  <c r="E100" i="23"/>
  <c r="D100" i="23"/>
  <c r="AJ99" i="23"/>
  <c r="AP99" i="23" s="1"/>
  <c r="AI99" i="23"/>
  <c r="AO99" i="23" s="1"/>
  <c r="AH99" i="23"/>
  <c r="AN99" i="23" s="1"/>
  <c r="AG99" i="23"/>
  <c r="F99" i="23"/>
  <c r="E99" i="23"/>
  <c r="D99" i="23"/>
  <c r="AO98" i="23"/>
  <c r="AJ98" i="23"/>
  <c r="AP98" i="23" s="1"/>
  <c r="AI98" i="23"/>
  <c r="AH98" i="23"/>
  <c r="AN98" i="23" s="1"/>
  <c r="AG98" i="23"/>
  <c r="F98" i="23"/>
  <c r="E98" i="23"/>
  <c r="D98" i="23"/>
  <c r="AJ97" i="23"/>
  <c r="AP97" i="23" s="1"/>
  <c r="AI97" i="23"/>
  <c r="AO97" i="23" s="1"/>
  <c r="AH97" i="23"/>
  <c r="AN97" i="23" s="1"/>
  <c r="AG97" i="23"/>
  <c r="AM97" i="23" s="1"/>
  <c r="F97" i="23"/>
  <c r="E97" i="23"/>
  <c r="D97" i="23"/>
  <c r="AJ96" i="23"/>
  <c r="AP96" i="23" s="1"/>
  <c r="AI96" i="23"/>
  <c r="AO96" i="23" s="1"/>
  <c r="AH96" i="23"/>
  <c r="AN96" i="23" s="1"/>
  <c r="AG96" i="23"/>
  <c r="AM96" i="23" s="1"/>
  <c r="F96" i="23"/>
  <c r="E96" i="23"/>
  <c r="D96" i="23"/>
  <c r="AJ95" i="23"/>
  <c r="AP95" i="23" s="1"/>
  <c r="AI95" i="23"/>
  <c r="AO95" i="23" s="1"/>
  <c r="AH95" i="23"/>
  <c r="AN95" i="23" s="1"/>
  <c r="AG95" i="23"/>
  <c r="F95" i="23"/>
  <c r="E95" i="23"/>
  <c r="D95" i="23"/>
  <c r="AP94" i="23"/>
  <c r="AJ94" i="23"/>
  <c r="AI94" i="23"/>
  <c r="AO94" i="23" s="1"/>
  <c r="AH94" i="23"/>
  <c r="AN94" i="23" s="1"/>
  <c r="AG94" i="23"/>
  <c r="AM94" i="23" s="1"/>
  <c r="F94" i="23"/>
  <c r="E94" i="23"/>
  <c r="D94" i="23"/>
  <c r="AJ93" i="23"/>
  <c r="AP93" i="23" s="1"/>
  <c r="AI93" i="23"/>
  <c r="AO93" i="23" s="1"/>
  <c r="AH93" i="23"/>
  <c r="AN93" i="23" s="1"/>
  <c r="AG93" i="23"/>
  <c r="F93" i="23"/>
  <c r="E93" i="23"/>
  <c r="D93" i="23"/>
  <c r="AJ92" i="23"/>
  <c r="AP92" i="23" s="1"/>
  <c r="AI92" i="23"/>
  <c r="AO92" i="23" s="1"/>
  <c r="AH92" i="23"/>
  <c r="AN92" i="23" s="1"/>
  <c r="AG92" i="23"/>
  <c r="AM92" i="23" s="1"/>
  <c r="F92" i="23"/>
  <c r="E92" i="23"/>
  <c r="D92" i="23"/>
  <c r="AJ91" i="23"/>
  <c r="AP91" i="23" s="1"/>
  <c r="AI91" i="23"/>
  <c r="AO91" i="23" s="1"/>
  <c r="AH91" i="23"/>
  <c r="AN91" i="23" s="1"/>
  <c r="AG91" i="23"/>
  <c r="F91" i="23"/>
  <c r="E91" i="23"/>
  <c r="D91" i="23"/>
  <c r="AP90" i="23"/>
  <c r="AJ90" i="23"/>
  <c r="AI90" i="23"/>
  <c r="AO90" i="23" s="1"/>
  <c r="AH90" i="23"/>
  <c r="AN90" i="23" s="1"/>
  <c r="AG90" i="23"/>
  <c r="AM90" i="23" s="1"/>
  <c r="F90" i="23"/>
  <c r="E90" i="23"/>
  <c r="D90" i="23"/>
  <c r="AJ89" i="23"/>
  <c r="AP89" i="23" s="1"/>
  <c r="AI89" i="23"/>
  <c r="AO89" i="23" s="1"/>
  <c r="AH89" i="23"/>
  <c r="AN89" i="23" s="1"/>
  <c r="AG89" i="23"/>
  <c r="F89" i="23"/>
  <c r="E89" i="23"/>
  <c r="D89" i="23"/>
  <c r="AJ88" i="23"/>
  <c r="AP88" i="23" s="1"/>
  <c r="AI88" i="23"/>
  <c r="AO88" i="23" s="1"/>
  <c r="AH88" i="23"/>
  <c r="AN88" i="23" s="1"/>
  <c r="AG88" i="23"/>
  <c r="AM88" i="23" s="1"/>
  <c r="F88" i="23"/>
  <c r="E88" i="23"/>
  <c r="D88" i="23"/>
  <c r="AJ87" i="23"/>
  <c r="AP87" i="23" s="1"/>
  <c r="AI87" i="23"/>
  <c r="AO87" i="23" s="1"/>
  <c r="AH87" i="23"/>
  <c r="AN87" i="23" s="1"/>
  <c r="AG87" i="23"/>
  <c r="AK87" i="23" s="1"/>
  <c r="AQ87" i="23" s="1"/>
  <c r="F87" i="23"/>
  <c r="E87" i="23"/>
  <c r="D87" i="23"/>
  <c r="AP86" i="23"/>
  <c r="AJ86" i="23"/>
  <c r="AI86" i="23"/>
  <c r="AO86" i="23" s="1"/>
  <c r="AH86" i="23"/>
  <c r="AN86" i="23" s="1"/>
  <c r="AG86" i="23"/>
  <c r="AM86" i="23" s="1"/>
  <c r="F86" i="23"/>
  <c r="E86" i="23"/>
  <c r="D86" i="23"/>
  <c r="AJ85" i="23"/>
  <c r="AP85" i="23" s="1"/>
  <c r="AI85" i="23"/>
  <c r="AO85" i="23" s="1"/>
  <c r="AH85" i="23"/>
  <c r="AN85" i="23" s="1"/>
  <c r="AG85" i="23"/>
  <c r="F85" i="23"/>
  <c r="E85" i="23"/>
  <c r="D85" i="23"/>
  <c r="AJ84" i="23"/>
  <c r="AP84" i="23" s="1"/>
  <c r="AI84" i="23"/>
  <c r="AO84" i="23" s="1"/>
  <c r="AH84" i="23"/>
  <c r="AN84" i="23" s="1"/>
  <c r="AG84" i="23"/>
  <c r="AM84" i="23" s="1"/>
  <c r="F84" i="23"/>
  <c r="E84" i="23"/>
  <c r="D84" i="23"/>
  <c r="AJ83" i="23"/>
  <c r="AP83" i="23" s="1"/>
  <c r="AI83" i="23"/>
  <c r="AO83" i="23" s="1"/>
  <c r="AH83" i="23"/>
  <c r="AN83" i="23" s="1"/>
  <c r="AG83" i="23"/>
  <c r="AM83" i="23" s="1"/>
  <c r="F83" i="23"/>
  <c r="E83" i="23"/>
  <c r="D83" i="23"/>
  <c r="AO82" i="23"/>
  <c r="AJ82" i="23"/>
  <c r="AP82" i="23" s="1"/>
  <c r="AI82" i="23"/>
  <c r="AH82" i="23"/>
  <c r="AN82" i="23" s="1"/>
  <c r="AG82" i="23"/>
  <c r="AM82" i="23" s="1"/>
  <c r="F82" i="23"/>
  <c r="E82" i="23"/>
  <c r="D82" i="23"/>
  <c r="AJ81" i="23"/>
  <c r="AP81" i="23" s="1"/>
  <c r="AI81" i="23"/>
  <c r="AO81" i="23" s="1"/>
  <c r="AH81" i="23"/>
  <c r="AN81" i="23" s="1"/>
  <c r="AG81" i="23"/>
  <c r="AM81" i="23" s="1"/>
  <c r="F81" i="23"/>
  <c r="E81" i="23"/>
  <c r="D81" i="23"/>
  <c r="AJ80" i="23"/>
  <c r="AP80" i="23" s="1"/>
  <c r="AI80" i="23"/>
  <c r="AO80" i="23" s="1"/>
  <c r="AH80" i="23"/>
  <c r="AN80" i="23" s="1"/>
  <c r="AG80" i="23"/>
  <c r="AM80" i="23" s="1"/>
  <c r="F80" i="23"/>
  <c r="E80" i="23"/>
  <c r="D80" i="23"/>
  <c r="AJ79" i="23"/>
  <c r="AP79" i="23" s="1"/>
  <c r="AI79" i="23"/>
  <c r="AO79" i="23" s="1"/>
  <c r="AH79" i="23"/>
  <c r="AN79" i="23" s="1"/>
  <c r="AG79" i="23"/>
  <c r="F79" i="23"/>
  <c r="E79" i="23"/>
  <c r="D79" i="23"/>
  <c r="AP78" i="23"/>
  <c r="AJ78" i="23"/>
  <c r="AI78" i="23"/>
  <c r="AO78" i="23" s="1"/>
  <c r="AH78" i="23"/>
  <c r="AN78" i="23" s="1"/>
  <c r="AG78" i="23"/>
  <c r="AM78" i="23" s="1"/>
  <c r="F78" i="23"/>
  <c r="E78" i="23"/>
  <c r="D78" i="23"/>
  <c r="AJ77" i="23"/>
  <c r="AP77" i="23" s="1"/>
  <c r="AI77" i="23"/>
  <c r="AO77" i="23" s="1"/>
  <c r="AH77" i="23"/>
  <c r="AN77" i="23" s="1"/>
  <c r="AG77" i="23"/>
  <c r="AM77" i="23" s="1"/>
  <c r="F77" i="23"/>
  <c r="E77" i="23"/>
  <c r="D77" i="23"/>
  <c r="AJ76" i="23"/>
  <c r="AP76" i="23" s="1"/>
  <c r="AI76" i="23"/>
  <c r="AO76" i="23" s="1"/>
  <c r="AH76" i="23"/>
  <c r="AN76" i="23" s="1"/>
  <c r="AG76" i="23"/>
  <c r="AM76" i="23" s="1"/>
  <c r="F76" i="23"/>
  <c r="E76" i="23"/>
  <c r="D76" i="23"/>
  <c r="AJ75" i="23"/>
  <c r="AP75" i="23" s="1"/>
  <c r="AI75" i="23"/>
  <c r="AO75" i="23" s="1"/>
  <c r="AH75" i="23"/>
  <c r="AN75" i="23" s="1"/>
  <c r="AG75" i="23"/>
  <c r="AM75" i="23" s="1"/>
  <c r="F75" i="23"/>
  <c r="E75" i="23"/>
  <c r="D75" i="23"/>
  <c r="AJ74" i="23"/>
  <c r="AP74" i="23" s="1"/>
  <c r="AI74" i="23"/>
  <c r="AO74" i="23" s="1"/>
  <c r="AH74" i="23"/>
  <c r="AN74" i="23" s="1"/>
  <c r="AG74" i="23"/>
  <c r="F74" i="23"/>
  <c r="E74" i="23"/>
  <c r="D74" i="23"/>
  <c r="AJ73" i="23"/>
  <c r="AP73" i="23" s="1"/>
  <c r="AI73" i="23"/>
  <c r="AO73" i="23" s="1"/>
  <c r="AH73" i="23"/>
  <c r="AN73" i="23" s="1"/>
  <c r="AG73" i="23"/>
  <c r="AM73" i="23" s="1"/>
  <c r="F73" i="23"/>
  <c r="E73" i="23"/>
  <c r="D73" i="23"/>
  <c r="AJ72" i="23"/>
  <c r="AP72" i="23" s="1"/>
  <c r="AI72" i="23"/>
  <c r="AO72" i="23" s="1"/>
  <c r="AH72" i="23"/>
  <c r="AN72" i="23" s="1"/>
  <c r="AG72" i="23"/>
  <c r="AM72" i="23" s="1"/>
  <c r="F72" i="23"/>
  <c r="E72" i="23"/>
  <c r="D72" i="23"/>
  <c r="AJ71" i="23"/>
  <c r="AP71" i="23" s="1"/>
  <c r="AI71" i="23"/>
  <c r="AO71" i="23" s="1"/>
  <c r="AH71" i="23"/>
  <c r="AN71" i="23" s="1"/>
  <c r="AG71" i="23"/>
  <c r="AM71" i="23" s="1"/>
  <c r="F71" i="23"/>
  <c r="E71" i="23"/>
  <c r="D71" i="23"/>
  <c r="AP70" i="23"/>
  <c r="AJ70" i="23"/>
  <c r="AI70" i="23"/>
  <c r="AO70" i="23" s="1"/>
  <c r="AH70" i="23"/>
  <c r="AN70" i="23" s="1"/>
  <c r="AG70" i="23"/>
  <c r="AM70" i="23" s="1"/>
  <c r="F70" i="23"/>
  <c r="E70" i="23"/>
  <c r="D70" i="23"/>
  <c r="AJ69" i="23"/>
  <c r="AP69" i="23" s="1"/>
  <c r="AI69" i="23"/>
  <c r="AO69" i="23" s="1"/>
  <c r="AH69" i="23"/>
  <c r="AN69" i="23" s="1"/>
  <c r="AG69" i="23"/>
  <c r="AJ68" i="23"/>
  <c r="AP68" i="23" s="1"/>
  <c r="AI68" i="23"/>
  <c r="AO68" i="23" s="1"/>
  <c r="AH68" i="23"/>
  <c r="AN68" i="23" s="1"/>
  <c r="AG68" i="23"/>
  <c r="AK68" i="23" s="1"/>
  <c r="AQ68" i="23" s="1"/>
  <c r="F68" i="23"/>
  <c r="E68" i="23"/>
  <c r="D68" i="23"/>
  <c r="AP67" i="23"/>
  <c r="AJ67" i="23"/>
  <c r="AI67" i="23"/>
  <c r="AO67" i="23" s="1"/>
  <c r="AH67" i="23"/>
  <c r="AN67" i="23" s="1"/>
  <c r="AG67" i="23"/>
  <c r="AM67" i="23" s="1"/>
  <c r="F67" i="23"/>
  <c r="E67" i="23"/>
  <c r="D67" i="23"/>
  <c r="AJ66" i="23"/>
  <c r="AP66" i="23" s="1"/>
  <c r="AI66" i="23"/>
  <c r="AO66" i="23" s="1"/>
  <c r="AH66" i="23"/>
  <c r="AN66" i="23" s="1"/>
  <c r="AG66" i="23"/>
  <c r="F66" i="23"/>
  <c r="E66" i="23"/>
  <c r="D66" i="23"/>
  <c r="AJ65" i="23"/>
  <c r="AP65" i="23" s="1"/>
  <c r="AI65" i="23"/>
  <c r="AO65" i="23" s="1"/>
  <c r="AH65" i="23"/>
  <c r="AN65" i="23" s="1"/>
  <c r="AG65" i="23"/>
  <c r="AM65" i="23" s="1"/>
  <c r="F65" i="23"/>
  <c r="E65" i="23"/>
  <c r="D65" i="23"/>
  <c r="AJ64" i="23"/>
  <c r="AP64" i="23" s="1"/>
  <c r="AI64" i="23"/>
  <c r="AO64" i="23" s="1"/>
  <c r="AH64" i="23"/>
  <c r="AN64" i="23" s="1"/>
  <c r="AG64" i="23"/>
  <c r="F64" i="23"/>
  <c r="E64" i="23"/>
  <c r="D64" i="23"/>
  <c r="AJ63" i="23"/>
  <c r="AP63" i="23" s="1"/>
  <c r="AI63" i="23"/>
  <c r="AO63" i="23" s="1"/>
  <c r="AH63" i="23"/>
  <c r="AN63" i="23" s="1"/>
  <c r="AG63" i="23"/>
  <c r="AM63" i="23" s="1"/>
  <c r="F63" i="23"/>
  <c r="E63" i="23"/>
  <c r="D63" i="23"/>
  <c r="AO62" i="23"/>
  <c r="AJ62" i="23"/>
  <c r="AP62" i="23" s="1"/>
  <c r="AI62" i="23"/>
  <c r="AH62" i="23"/>
  <c r="AN62" i="23" s="1"/>
  <c r="AG62" i="23"/>
  <c r="F62" i="23"/>
  <c r="E62" i="23"/>
  <c r="D62" i="23"/>
  <c r="AJ61" i="23"/>
  <c r="AP61" i="23" s="1"/>
  <c r="AI61" i="23"/>
  <c r="AO61" i="23" s="1"/>
  <c r="AH61" i="23"/>
  <c r="AN61" i="23" s="1"/>
  <c r="AG61" i="23"/>
  <c r="AM61" i="23" s="1"/>
  <c r="F61" i="23"/>
  <c r="E61" i="23"/>
  <c r="D61" i="23"/>
  <c r="AP60" i="23"/>
  <c r="AJ60" i="23"/>
  <c r="AI60" i="23"/>
  <c r="AO60" i="23" s="1"/>
  <c r="AH60" i="23"/>
  <c r="AN60" i="23" s="1"/>
  <c r="AG60" i="23"/>
  <c r="AM60" i="23" s="1"/>
  <c r="F60" i="23"/>
  <c r="E60" i="23"/>
  <c r="D60" i="23"/>
  <c r="AJ59" i="23"/>
  <c r="AP59" i="23" s="1"/>
  <c r="AI59" i="23"/>
  <c r="AO59" i="23" s="1"/>
  <c r="AH59" i="23"/>
  <c r="AN59" i="23" s="1"/>
  <c r="AG59" i="23"/>
  <c r="F59" i="23"/>
  <c r="E59" i="23"/>
  <c r="D59" i="23"/>
  <c r="AJ58" i="23"/>
  <c r="AP58" i="23" s="1"/>
  <c r="AI58" i="23"/>
  <c r="AO58" i="23" s="1"/>
  <c r="AH58" i="23"/>
  <c r="AN58" i="23" s="1"/>
  <c r="AG58" i="23"/>
  <c r="AM58" i="23" s="1"/>
  <c r="F58" i="23"/>
  <c r="E58" i="23"/>
  <c r="D58" i="23"/>
  <c r="AJ57" i="23"/>
  <c r="AP57" i="23" s="1"/>
  <c r="AI57" i="23"/>
  <c r="AO57" i="23" s="1"/>
  <c r="AH57" i="23"/>
  <c r="AN57" i="23" s="1"/>
  <c r="AG57" i="23"/>
  <c r="F57" i="23"/>
  <c r="E57" i="23"/>
  <c r="D57" i="23"/>
  <c r="AP56" i="23"/>
  <c r="AJ56" i="23"/>
  <c r="AI56" i="23"/>
  <c r="AO56" i="23" s="1"/>
  <c r="AH56" i="23"/>
  <c r="AN56" i="23" s="1"/>
  <c r="AG56" i="23"/>
  <c r="AM56" i="23" s="1"/>
  <c r="F56" i="23"/>
  <c r="E56" i="23"/>
  <c r="D56" i="23"/>
  <c r="AJ55" i="23"/>
  <c r="AP55" i="23" s="1"/>
  <c r="AI55" i="23"/>
  <c r="AO55" i="23" s="1"/>
  <c r="AH55" i="23"/>
  <c r="AN55" i="23" s="1"/>
  <c r="AG55" i="23"/>
  <c r="AM55" i="23" s="1"/>
  <c r="F55" i="23"/>
  <c r="E55" i="23"/>
  <c r="D55" i="23"/>
  <c r="AO54" i="23"/>
  <c r="AJ54" i="23"/>
  <c r="AP54" i="23" s="1"/>
  <c r="AI54" i="23"/>
  <c r="AH54" i="23"/>
  <c r="AN54" i="23" s="1"/>
  <c r="AG54" i="23"/>
  <c r="AM54" i="23" s="1"/>
  <c r="F54" i="23"/>
  <c r="E54" i="23"/>
  <c r="D54" i="23"/>
  <c r="AJ53" i="23"/>
  <c r="AP53" i="23" s="1"/>
  <c r="AI53" i="23"/>
  <c r="AO53" i="23" s="1"/>
  <c r="AH53" i="23"/>
  <c r="AN53" i="23" s="1"/>
  <c r="AG53" i="23"/>
  <c r="F53" i="23"/>
  <c r="E53" i="23"/>
  <c r="D53" i="23"/>
  <c r="AO52" i="23"/>
  <c r="AJ52" i="23"/>
  <c r="AP52" i="23" s="1"/>
  <c r="AI52" i="23"/>
  <c r="AH52" i="23"/>
  <c r="AN52" i="23" s="1"/>
  <c r="AG52" i="23"/>
  <c r="AM52" i="23" s="1"/>
  <c r="F52" i="23"/>
  <c r="E52" i="23"/>
  <c r="D52" i="23"/>
  <c r="AJ51" i="23"/>
  <c r="AP51" i="23" s="1"/>
  <c r="AI51" i="23"/>
  <c r="AO51" i="23" s="1"/>
  <c r="AH51" i="23"/>
  <c r="AN51" i="23" s="1"/>
  <c r="AG51" i="23"/>
  <c r="F51" i="23"/>
  <c r="E51" i="23"/>
  <c r="D51" i="23"/>
  <c r="AJ50" i="23"/>
  <c r="AP50" i="23" s="1"/>
  <c r="AI50" i="23"/>
  <c r="AO50" i="23" s="1"/>
  <c r="AH50" i="23"/>
  <c r="AN50" i="23" s="1"/>
  <c r="AG50" i="23"/>
  <c r="AM50" i="23" s="1"/>
  <c r="F50" i="23"/>
  <c r="E50" i="23"/>
  <c r="D50" i="23"/>
  <c r="AJ49" i="23"/>
  <c r="AP49" i="23" s="1"/>
  <c r="AI49" i="23"/>
  <c r="AO49" i="23" s="1"/>
  <c r="AH49" i="23"/>
  <c r="AN49" i="23" s="1"/>
  <c r="AG49" i="23"/>
  <c r="F49" i="23"/>
  <c r="E49" i="23"/>
  <c r="D49" i="23"/>
  <c r="AP48" i="23"/>
  <c r="AJ48" i="23"/>
  <c r="AI48" i="23"/>
  <c r="AO48" i="23" s="1"/>
  <c r="AH48" i="23"/>
  <c r="AN48" i="23" s="1"/>
  <c r="AG48" i="23"/>
  <c r="AM48" i="23" s="1"/>
  <c r="F48" i="23"/>
  <c r="E48" i="23"/>
  <c r="D48" i="23"/>
  <c r="AJ47" i="23"/>
  <c r="AP47" i="23" s="1"/>
  <c r="AI47" i="23"/>
  <c r="AO47" i="23" s="1"/>
  <c r="AH47" i="23"/>
  <c r="AN47" i="23" s="1"/>
  <c r="AG47" i="23"/>
  <c r="F47" i="23"/>
  <c r="E47" i="23"/>
  <c r="D47" i="23"/>
  <c r="AJ46" i="23"/>
  <c r="AP46" i="23" s="1"/>
  <c r="AI46" i="23"/>
  <c r="AO46" i="23" s="1"/>
  <c r="AH46" i="23"/>
  <c r="AN46" i="23" s="1"/>
  <c r="AG46" i="23"/>
  <c r="AM46" i="23" s="1"/>
  <c r="F46" i="23"/>
  <c r="E46" i="23"/>
  <c r="D46" i="23"/>
  <c r="AO45" i="23"/>
  <c r="AJ45" i="23"/>
  <c r="AP45" i="23" s="1"/>
  <c r="AI45" i="23"/>
  <c r="AH45" i="23"/>
  <c r="AN45" i="23" s="1"/>
  <c r="AG45" i="23"/>
  <c r="F45" i="23"/>
  <c r="E45" i="23"/>
  <c r="D45" i="23"/>
  <c r="AO44" i="23"/>
  <c r="AJ44" i="23"/>
  <c r="AP44" i="23" s="1"/>
  <c r="AI44" i="23"/>
  <c r="AH44" i="23"/>
  <c r="AN44" i="23" s="1"/>
  <c r="AG44" i="23"/>
  <c r="F44" i="23"/>
  <c r="E44" i="23"/>
  <c r="D44" i="23"/>
  <c r="AJ43" i="23"/>
  <c r="AP43" i="23" s="1"/>
  <c r="AI43" i="23"/>
  <c r="AO43" i="23" s="1"/>
  <c r="AH43" i="23"/>
  <c r="AN43" i="23" s="1"/>
  <c r="AG43" i="23"/>
  <c r="AM43" i="23" s="1"/>
  <c r="F43" i="23"/>
  <c r="E43" i="23"/>
  <c r="D43" i="23"/>
  <c r="AP42" i="23"/>
  <c r="AJ42" i="23"/>
  <c r="AI42" i="23"/>
  <c r="AO42" i="23" s="1"/>
  <c r="AH42" i="23"/>
  <c r="AN42" i="23" s="1"/>
  <c r="AG42" i="23"/>
  <c r="AM42" i="23" s="1"/>
  <c r="F42" i="23"/>
  <c r="E42" i="23"/>
  <c r="D42" i="23"/>
  <c r="AJ41" i="23"/>
  <c r="AP41" i="23" s="1"/>
  <c r="AI41" i="23"/>
  <c r="AO41" i="23" s="1"/>
  <c r="AH41" i="23"/>
  <c r="AN41" i="23" s="1"/>
  <c r="AG41" i="23"/>
  <c r="AM41" i="23" s="1"/>
  <c r="F41" i="23"/>
  <c r="E41" i="23"/>
  <c r="D41" i="23"/>
  <c r="AJ40" i="23"/>
  <c r="AP40" i="23" s="1"/>
  <c r="AI40" i="23"/>
  <c r="AO40" i="23" s="1"/>
  <c r="AH40" i="23"/>
  <c r="AN40" i="23" s="1"/>
  <c r="AG40" i="23"/>
  <c r="AM40" i="23" s="1"/>
  <c r="F40" i="23"/>
  <c r="E40" i="23"/>
  <c r="D40" i="23"/>
  <c r="AJ39" i="23"/>
  <c r="AP39" i="23" s="1"/>
  <c r="AI39" i="23"/>
  <c r="AO39" i="23" s="1"/>
  <c r="AH39" i="23"/>
  <c r="AN39" i="23" s="1"/>
  <c r="AG39" i="23"/>
  <c r="AM39" i="23" s="1"/>
  <c r="F39" i="23"/>
  <c r="E39" i="23"/>
  <c r="D39" i="23"/>
  <c r="AP38" i="23"/>
  <c r="AJ38" i="23"/>
  <c r="AI38" i="23"/>
  <c r="AO38" i="23" s="1"/>
  <c r="AH38" i="23"/>
  <c r="AN38" i="23" s="1"/>
  <c r="AG38" i="23"/>
  <c r="AM38" i="23" s="1"/>
  <c r="F38" i="23"/>
  <c r="E38" i="23"/>
  <c r="D38" i="23"/>
  <c r="AJ37" i="23"/>
  <c r="AP37" i="23" s="1"/>
  <c r="AI37" i="23"/>
  <c r="AO37" i="23" s="1"/>
  <c r="AH37" i="23"/>
  <c r="AN37" i="23" s="1"/>
  <c r="AG37" i="23"/>
  <c r="AM37" i="23" s="1"/>
  <c r="F37" i="23"/>
  <c r="E37" i="23"/>
  <c r="D37" i="23"/>
  <c r="AJ36" i="23"/>
  <c r="AP36" i="23" s="1"/>
  <c r="AI36" i="23"/>
  <c r="AO36" i="23" s="1"/>
  <c r="AH36" i="23"/>
  <c r="AN36" i="23" s="1"/>
  <c r="AG36" i="23"/>
  <c r="AM36" i="23" s="1"/>
  <c r="F36" i="23"/>
  <c r="E36" i="23"/>
  <c r="D36" i="23"/>
  <c r="AJ35" i="23"/>
  <c r="AP35" i="23" s="1"/>
  <c r="AI35" i="23"/>
  <c r="AO35" i="23" s="1"/>
  <c r="AH35" i="23"/>
  <c r="AN35" i="23" s="1"/>
  <c r="AG35" i="23"/>
  <c r="AM35" i="23" s="1"/>
  <c r="F35" i="23"/>
  <c r="E35" i="23"/>
  <c r="D35" i="23"/>
  <c r="AJ34" i="23"/>
  <c r="AP34" i="23" s="1"/>
  <c r="AI34" i="23"/>
  <c r="AO34" i="23" s="1"/>
  <c r="AH34" i="23"/>
  <c r="AN34" i="23" s="1"/>
  <c r="AG34" i="23"/>
  <c r="AM34" i="23" s="1"/>
  <c r="F34" i="23"/>
  <c r="E34" i="23"/>
  <c r="D34" i="23"/>
  <c r="AJ33" i="23"/>
  <c r="AP33" i="23" s="1"/>
  <c r="AI33" i="23"/>
  <c r="AO33" i="23" s="1"/>
  <c r="AH33" i="23"/>
  <c r="AN33" i="23" s="1"/>
  <c r="AG33" i="23"/>
  <c r="AM33" i="23" s="1"/>
  <c r="F33" i="23"/>
  <c r="E33" i="23"/>
  <c r="D33" i="23"/>
  <c r="AJ32" i="23"/>
  <c r="AP32" i="23" s="1"/>
  <c r="AI32" i="23"/>
  <c r="AO32" i="23" s="1"/>
  <c r="AH32" i="23"/>
  <c r="AN32" i="23" s="1"/>
  <c r="AG32" i="23"/>
  <c r="AM32" i="23" s="1"/>
  <c r="F32" i="23"/>
  <c r="E32" i="23"/>
  <c r="D32" i="23"/>
  <c r="AO31" i="23"/>
  <c r="AJ31" i="23"/>
  <c r="AP31" i="23" s="1"/>
  <c r="AI31" i="23"/>
  <c r="AH31" i="23"/>
  <c r="AN31" i="23" s="1"/>
  <c r="AG31" i="23"/>
  <c r="AM31" i="23" s="1"/>
  <c r="F31" i="23"/>
  <c r="E31" i="23"/>
  <c r="D31" i="23"/>
  <c r="AJ30" i="23"/>
  <c r="AP30" i="23" s="1"/>
  <c r="AI30" i="23"/>
  <c r="AO30" i="23" s="1"/>
  <c r="AH30" i="23"/>
  <c r="AN30" i="23" s="1"/>
  <c r="AG30" i="23"/>
  <c r="AM30" i="23" s="1"/>
  <c r="F30" i="23"/>
  <c r="E30" i="23"/>
  <c r="D30" i="23"/>
  <c r="AJ29" i="23"/>
  <c r="AP29" i="23" s="1"/>
  <c r="AI29" i="23"/>
  <c r="AO29" i="23" s="1"/>
  <c r="AH29" i="23"/>
  <c r="AN29" i="23" s="1"/>
  <c r="AG29" i="23"/>
  <c r="AM29" i="23" s="1"/>
  <c r="F29" i="23"/>
  <c r="E29" i="23"/>
  <c r="D29" i="23"/>
  <c r="AN28" i="23"/>
  <c r="AJ28" i="23"/>
  <c r="AP28" i="23" s="1"/>
  <c r="AI28" i="23"/>
  <c r="AO28" i="23" s="1"/>
  <c r="AH28" i="23"/>
  <c r="AG28" i="23"/>
  <c r="AM28" i="23" s="1"/>
  <c r="F28" i="23"/>
  <c r="E28" i="23"/>
  <c r="D28" i="23"/>
  <c r="AN27" i="23"/>
  <c r="AJ27" i="23"/>
  <c r="AP27" i="23" s="1"/>
  <c r="AI27" i="23"/>
  <c r="AO27" i="23" s="1"/>
  <c r="AH27" i="23"/>
  <c r="AG27" i="23"/>
  <c r="AM27" i="23" s="1"/>
  <c r="F27" i="23"/>
  <c r="E27" i="23"/>
  <c r="D27" i="23"/>
  <c r="AJ26" i="23"/>
  <c r="AP26" i="23" s="1"/>
  <c r="AI26" i="23"/>
  <c r="AO26" i="23" s="1"/>
  <c r="AH26" i="23"/>
  <c r="AN26" i="23" s="1"/>
  <c r="AG26" i="23"/>
  <c r="AM26" i="23" s="1"/>
  <c r="F26" i="23"/>
  <c r="E26" i="23"/>
  <c r="D26" i="23"/>
  <c r="AJ25" i="23"/>
  <c r="AP25" i="23" s="1"/>
  <c r="AI25" i="23"/>
  <c r="AO25" i="23" s="1"/>
  <c r="AH25" i="23"/>
  <c r="AN25" i="23" s="1"/>
  <c r="AG25" i="23"/>
  <c r="AM25" i="23" s="1"/>
  <c r="AJ24" i="23"/>
  <c r="AP24" i="23" s="1"/>
  <c r="AI24" i="23"/>
  <c r="AO24" i="23" s="1"/>
  <c r="AH24" i="23"/>
  <c r="AN24" i="23" s="1"/>
  <c r="AG24" i="23"/>
  <c r="AM24" i="23" s="1"/>
  <c r="F24" i="23"/>
  <c r="E24" i="23"/>
  <c r="D24" i="23"/>
  <c r="AJ23" i="23"/>
  <c r="AP23" i="23" s="1"/>
  <c r="AI23" i="23"/>
  <c r="AO23" i="23" s="1"/>
  <c r="AH23" i="23"/>
  <c r="AN23" i="23" s="1"/>
  <c r="AG23" i="23"/>
  <c r="AM23" i="23" s="1"/>
  <c r="F23" i="23"/>
  <c r="E23" i="23"/>
  <c r="D23" i="23"/>
  <c r="AJ22" i="23"/>
  <c r="AP22" i="23" s="1"/>
  <c r="AI22" i="23"/>
  <c r="AO22" i="23" s="1"/>
  <c r="AH22" i="23"/>
  <c r="AN22" i="23" s="1"/>
  <c r="AG22" i="23"/>
  <c r="AM22" i="23" s="1"/>
  <c r="F22" i="23"/>
  <c r="E22" i="23"/>
  <c r="D22" i="23"/>
  <c r="AJ21" i="23"/>
  <c r="AP21" i="23" s="1"/>
  <c r="AI21" i="23"/>
  <c r="AO21" i="23" s="1"/>
  <c r="AH21" i="23"/>
  <c r="AN21" i="23" s="1"/>
  <c r="AG21" i="23"/>
  <c r="F21" i="23"/>
  <c r="E21" i="23"/>
  <c r="D21" i="23"/>
  <c r="AJ20" i="23"/>
  <c r="AP20" i="23" s="1"/>
  <c r="AI20" i="23"/>
  <c r="AO20" i="23" s="1"/>
  <c r="AH20" i="23"/>
  <c r="AN20" i="23" s="1"/>
  <c r="AG20" i="23"/>
  <c r="AM20" i="23" s="1"/>
  <c r="F20" i="23"/>
  <c r="E20" i="23"/>
  <c r="D20" i="23"/>
  <c r="AJ19" i="23"/>
  <c r="AP19" i="23" s="1"/>
  <c r="AI19" i="23"/>
  <c r="AO19" i="23" s="1"/>
  <c r="AH19" i="23"/>
  <c r="AN19" i="23" s="1"/>
  <c r="AG19" i="23"/>
  <c r="AM19" i="23" s="1"/>
  <c r="F19" i="23"/>
  <c r="E19" i="23"/>
  <c r="D19" i="23"/>
  <c r="AJ18" i="23"/>
  <c r="AP18" i="23" s="1"/>
  <c r="AI18" i="23"/>
  <c r="AO18" i="23" s="1"/>
  <c r="AH18" i="23"/>
  <c r="AN18" i="23" s="1"/>
  <c r="AG18" i="23"/>
  <c r="AM18" i="23" s="1"/>
  <c r="F18" i="23"/>
  <c r="E18" i="23"/>
  <c r="D18" i="23"/>
  <c r="AJ17" i="23"/>
  <c r="AP17" i="23" s="1"/>
  <c r="AI17" i="23"/>
  <c r="AH17" i="23"/>
  <c r="AN17" i="23" s="1"/>
  <c r="AG17" i="23"/>
  <c r="AM17" i="23" s="1"/>
  <c r="F17" i="23"/>
  <c r="E17" i="23"/>
  <c r="D17" i="23"/>
  <c r="AJ16" i="23"/>
  <c r="AP16" i="23" s="1"/>
  <c r="AI16" i="23"/>
  <c r="AO16" i="23" s="1"/>
  <c r="AH16" i="23"/>
  <c r="AN16" i="23" s="1"/>
  <c r="AG16" i="23"/>
  <c r="AM16" i="23" s="1"/>
  <c r="F16" i="23"/>
  <c r="E16" i="23"/>
  <c r="D16" i="23"/>
  <c r="AJ15" i="23"/>
  <c r="AP15" i="23" s="1"/>
  <c r="AI15" i="23"/>
  <c r="AO15" i="23" s="1"/>
  <c r="AH15" i="23"/>
  <c r="AN15" i="23" s="1"/>
  <c r="AG15" i="23"/>
  <c r="AM15" i="23" s="1"/>
  <c r="F15" i="23"/>
  <c r="E15" i="23"/>
  <c r="D15" i="23"/>
  <c r="AJ14" i="23"/>
  <c r="AP14" i="23" s="1"/>
  <c r="AI14" i="23"/>
  <c r="AO14" i="23" s="1"/>
  <c r="AH14" i="23"/>
  <c r="AN14" i="23" s="1"/>
  <c r="AG14" i="23"/>
  <c r="AM14" i="23" s="1"/>
  <c r="F14" i="23"/>
  <c r="E14" i="23"/>
  <c r="D14" i="23"/>
  <c r="AJ13" i="23"/>
  <c r="AP13" i="23" s="1"/>
  <c r="AI13" i="23"/>
  <c r="AO13" i="23" s="1"/>
  <c r="AH13" i="23"/>
  <c r="AN13" i="23" s="1"/>
  <c r="AG13" i="23"/>
  <c r="AM13" i="23" s="1"/>
  <c r="F13" i="23"/>
  <c r="E13" i="23"/>
  <c r="D13" i="23"/>
  <c r="AJ12" i="23"/>
  <c r="AP12" i="23" s="1"/>
  <c r="AI12" i="23"/>
  <c r="AO12" i="23" s="1"/>
  <c r="AH12" i="23"/>
  <c r="AN12" i="23" s="1"/>
  <c r="AG12" i="23"/>
  <c r="AM12" i="23" s="1"/>
  <c r="F12" i="23"/>
  <c r="E12" i="23"/>
  <c r="D12" i="23"/>
  <c r="AJ11" i="23"/>
  <c r="AP11" i="23" s="1"/>
  <c r="AI11" i="23"/>
  <c r="AO11" i="23" s="1"/>
  <c r="AH11" i="23"/>
  <c r="AN11" i="23" s="1"/>
  <c r="AG11" i="23"/>
  <c r="AM11" i="23" s="1"/>
  <c r="F11" i="23"/>
  <c r="E11" i="23"/>
  <c r="D11" i="23"/>
  <c r="AJ10" i="23"/>
  <c r="AP10" i="23" s="1"/>
  <c r="AI10" i="23"/>
  <c r="AO10" i="23" s="1"/>
  <c r="AH10" i="23"/>
  <c r="AN10" i="23" s="1"/>
  <c r="AG10" i="23"/>
  <c r="AM10" i="23" s="1"/>
  <c r="F10" i="23"/>
  <c r="E10" i="23"/>
  <c r="D10" i="23"/>
  <c r="AJ9" i="23"/>
  <c r="AP9" i="23" s="1"/>
  <c r="AI9" i="23"/>
  <c r="AO9" i="23" s="1"/>
  <c r="AH9" i="23"/>
  <c r="AN9" i="23" s="1"/>
  <c r="AG9" i="23"/>
  <c r="AM9" i="23" s="1"/>
  <c r="F9" i="23"/>
  <c r="E9" i="23"/>
  <c r="D9" i="23"/>
  <c r="AJ8" i="23"/>
  <c r="AP8" i="23" s="1"/>
  <c r="AI8" i="23"/>
  <c r="AO8" i="23" s="1"/>
  <c r="AH8" i="23"/>
  <c r="AN8" i="23" s="1"/>
  <c r="AG8" i="23"/>
  <c r="AM8" i="23" s="1"/>
  <c r="F8" i="23"/>
  <c r="E8" i="23"/>
  <c r="D8" i="23"/>
  <c r="AS7" i="23"/>
  <c r="AO7" i="23"/>
  <c r="AJ7" i="23"/>
  <c r="AP7" i="23" s="1"/>
  <c r="AI7" i="23"/>
  <c r="AH7" i="23"/>
  <c r="AN7" i="23" s="1"/>
  <c r="AG7" i="23"/>
  <c r="AM7" i="23" s="1"/>
  <c r="F7" i="23"/>
  <c r="E7" i="23"/>
  <c r="D7" i="23"/>
  <c r="AO6" i="23"/>
  <c r="AJ6" i="23"/>
  <c r="AP6" i="23" s="1"/>
  <c r="AI6" i="23"/>
  <c r="AH6" i="23"/>
  <c r="AN6" i="23" s="1"/>
  <c r="AG6" i="23"/>
  <c r="AM6" i="23" s="1"/>
  <c r="F6" i="23"/>
  <c r="E6" i="23"/>
  <c r="D6" i="23"/>
  <c r="AO5" i="23"/>
  <c r="AJ5" i="23"/>
  <c r="AP5" i="23" s="1"/>
  <c r="AI5" i="23"/>
  <c r="AH5" i="23"/>
  <c r="AN5" i="23" s="1"/>
  <c r="AG5" i="23"/>
  <c r="AM5" i="23" s="1"/>
  <c r="F5" i="23"/>
  <c r="E5" i="23"/>
  <c r="D5" i="23"/>
  <c r="AP4" i="23"/>
  <c r="AJ4" i="23"/>
  <c r="AI4" i="23"/>
  <c r="AO4" i="23" s="1"/>
  <c r="AH4" i="23"/>
  <c r="AN4" i="23" s="1"/>
  <c r="AG4" i="23"/>
  <c r="F4" i="23"/>
  <c r="E4" i="23"/>
  <c r="D4" i="23"/>
  <c r="AJ3" i="23"/>
  <c r="AP3" i="23" s="1"/>
  <c r="AI3" i="23"/>
  <c r="AH3" i="23"/>
  <c r="AG3" i="23"/>
  <c r="AM3" i="23" s="1"/>
  <c r="F3" i="23"/>
  <c r="E3" i="23"/>
  <c r="D3" i="23"/>
  <c r="AT1" i="23"/>
  <c r="AS1" i="23"/>
  <c r="AR1" i="23"/>
  <c r="AQ1" i="23"/>
  <c r="AK79" i="23" l="1"/>
  <c r="AQ79" i="23" s="1"/>
  <c r="AK129" i="23"/>
  <c r="AK21" i="23"/>
  <c r="AQ21" i="23" s="1"/>
  <c r="AK49" i="23"/>
  <c r="AU49" i="23" s="1"/>
  <c r="AK57" i="23"/>
  <c r="AU57" i="23" s="1"/>
  <c r="AK91" i="23"/>
  <c r="AQ91" i="23" s="1"/>
  <c r="AK95" i="23"/>
  <c r="AQ95" i="23" s="1"/>
  <c r="AK53" i="23"/>
  <c r="AT53" i="23" s="1"/>
  <c r="AK99" i="23"/>
  <c r="AU99" i="23" s="1"/>
  <c r="AK146" i="23"/>
  <c r="AQ146" i="23" s="1"/>
  <c r="AM21" i="23"/>
  <c r="AM104" i="23"/>
  <c r="AM133" i="23"/>
  <c r="AM146" i="23"/>
  <c r="AM49" i="23"/>
  <c r="AM87" i="23"/>
  <c r="AM57" i="23"/>
  <c r="AM68" i="23"/>
  <c r="AM91" i="23"/>
  <c r="AM99" i="23"/>
  <c r="AM129" i="23"/>
  <c r="AM164" i="23"/>
  <c r="AM95" i="23"/>
  <c r="AK4" i="23"/>
  <c r="AM4" i="23"/>
  <c r="AM53" i="23"/>
  <c r="AM79" i="23"/>
  <c r="AM110" i="23"/>
  <c r="AK44" i="23"/>
  <c r="AQ44" i="23" s="1"/>
  <c r="AM44" i="23"/>
  <c r="AK47" i="23"/>
  <c r="AQ47" i="23" s="1"/>
  <c r="AM47" i="23"/>
  <c r="AK62" i="23"/>
  <c r="AQ62" i="23" s="1"/>
  <c r="AM62" i="23"/>
  <c r="AK102" i="23"/>
  <c r="AQ102" i="23" s="1"/>
  <c r="AM102" i="23"/>
  <c r="AK105" i="23"/>
  <c r="AU105" i="23" s="1"/>
  <c r="AM105" i="23"/>
  <c r="AK119" i="23"/>
  <c r="AQ119" i="23" s="1"/>
  <c r="AM119" i="23"/>
  <c r="AK127" i="23"/>
  <c r="AU127" i="23" s="1"/>
  <c r="AM127" i="23"/>
  <c r="AK147" i="23"/>
  <c r="AQ147" i="23" s="1"/>
  <c r="AM147" i="23"/>
  <c r="AK51" i="23"/>
  <c r="AU51" i="23" s="1"/>
  <c r="AM51" i="23"/>
  <c r="AK59" i="23"/>
  <c r="AQ59" i="23" s="1"/>
  <c r="AM59" i="23"/>
  <c r="AK66" i="23"/>
  <c r="AQ66" i="23" s="1"/>
  <c r="AM66" i="23"/>
  <c r="AK69" i="23"/>
  <c r="AQ69" i="23" s="1"/>
  <c r="AM69" i="23"/>
  <c r="AK85" i="23"/>
  <c r="AQ85" i="23" s="1"/>
  <c r="AM85" i="23"/>
  <c r="AK89" i="23"/>
  <c r="AQ89" i="23" s="1"/>
  <c r="AM89" i="23"/>
  <c r="AK93" i="23"/>
  <c r="AQ93" i="23" s="1"/>
  <c r="AM93" i="23"/>
  <c r="AK100" i="23"/>
  <c r="AT100" i="23" s="1"/>
  <c r="AM100" i="23"/>
  <c r="AK103" i="23"/>
  <c r="AM103" i="23"/>
  <c r="AK106" i="23"/>
  <c r="AU106" i="23" s="1"/>
  <c r="AM106" i="23"/>
  <c r="AK116" i="23"/>
  <c r="AQ116" i="23" s="1"/>
  <c r="AM116" i="23"/>
  <c r="AK124" i="23"/>
  <c r="AU124" i="23" s="1"/>
  <c r="AM124" i="23"/>
  <c r="AK128" i="23"/>
  <c r="AM128" i="23"/>
  <c r="AK131" i="23"/>
  <c r="AU131" i="23" s="1"/>
  <c r="AM131" i="23"/>
  <c r="AK154" i="23"/>
  <c r="AQ154" i="23" s="1"/>
  <c r="AM154" i="23"/>
  <c r="AK158" i="23"/>
  <c r="AQ158" i="23" s="1"/>
  <c r="AM158" i="23"/>
  <c r="AK162" i="23"/>
  <c r="AQ162" i="23" s="1"/>
  <c r="AM162" i="23"/>
  <c r="AK166" i="23"/>
  <c r="AQ166" i="23" s="1"/>
  <c r="AM166" i="23"/>
  <c r="AK171" i="23"/>
  <c r="AM171" i="23"/>
  <c r="AK45" i="23"/>
  <c r="AT45" i="23" s="1"/>
  <c r="AM45" i="23"/>
  <c r="AK64" i="23"/>
  <c r="AQ64" i="23" s="1"/>
  <c r="AM64" i="23"/>
  <c r="AK74" i="23"/>
  <c r="AQ74" i="23" s="1"/>
  <c r="AM74" i="23"/>
  <c r="AK98" i="23"/>
  <c r="AU98" i="23" s="1"/>
  <c r="AM98" i="23"/>
  <c r="AK101" i="23"/>
  <c r="AU101" i="23" s="1"/>
  <c r="AM101" i="23"/>
  <c r="AK108" i="23"/>
  <c r="AQ108" i="23" s="1"/>
  <c r="AM108" i="23"/>
  <c r="AK125" i="23"/>
  <c r="AQ125" i="23" s="1"/>
  <c r="AM125" i="23"/>
  <c r="AK132" i="23"/>
  <c r="AU132" i="23" s="1"/>
  <c r="AM132" i="23"/>
  <c r="AK136" i="23"/>
  <c r="AQ136" i="23" s="1"/>
  <c r="AM136" i="23"/>
  <c r="AK140" i="23"/>
  <c r="AQ140" i="23" s="1"/>
  <c r="AM140" i="23"/>
  <c r="AK144" i="23"/>
  <c r="AQ144" i="23" s="1"/>
  <c r="AM144" i="23"/>
  <c r="AK172" i="23"/>
  <c r="AM172" i="23"/>
  <c r="AK181" i="23"/>
  <c r="AQ4" i="23"/>
  <c r="AK84" i="23"/>
  <c r="AQ84" i="23" s="1"/>
  <c r="AQ196" i="23"/>
  <c r="AH201" i="23"/>
  <c r="AQ194" i="23"/>
  <c r="AG186" i="23"/>
  <c r="AK3" i="23"/>
  <c r="AK22" i="23"/>
  <c r="AK24" i="23"/>
  <c r="AK29" i="23"/>
  <c r="AQ29" i="23" s="1"/>
  <c r="AH186" i="23"/>
  <c r="AN3" i="23"/>
  <c r="AN186" i="23" s="1"/>
  <c r="AU45" i="23"/>
  <c r="AK65" i="23"/>
  <c r="AQ65" i="23" s="1"/>
  <c r="AQ124" i="23"/>
  <c r="AU104" i="23"/>
  <c r="AQ104" i="23"/>
  <c r="AK17" i="23"/>
  <c r="AO17" i="23"/>
  <c r="AK19" i="23"/>
  <c r="AK23" i="23"/>
  <c r="AK25" i="23"/>
  <c r="AQ25" i="23" s="1"/>
  <c r="AK30" i="23"/>
  <c r="AK32" i="23"/>
  <c r="AK34" i="23"/>
  <c r="AK36" i="23"/>
  <c r="AK56" i="23"/>
  <c r="AQ56" i="23" s="1"/>
  <c r="AU108" i="23"/>
  <c r="AK6" i="23"/>
  <c r="AK7" i="23"/>
  <c r="AK26" i="23"/>
  <c r="AQ26" i="23" s="1"/>
  <c r="AU53" i="23"/>
  <c r="AK55" i="23"/>
  <c r="AK73" i="23"/>
  <c r="AQ73" i="23" s="1"/>
  <c r="AK78" i="23"/>
  <c r="AQ78" i="23" s="1"/>
  <c r="AK83" i="23"/>
  <c r="AQ100" i="23"/>
  <c r="AU102" i="23"/>
  <c r="AK149" i="23"/>
  <c r="AQ149" i="23" s="1"/>
  <c r="AK5" i="23"/>
  <c r="AK9" i="23"/>
  <c r="AK10" i="23"/>
  <c r="AK11" i="23"/>
  <c r="AK12" i="23"/>
  <c r="AK18" i="23"/>
  <c r="AK20" i="23"/>
  <c r="AQ20" i="23" s="1"/>
  <c r="AK27" i="23"/>
  <c r="AQ27" i="23" s="1"/>
  <c r="AK31" i="23"/>
  <c r="AK33" i="23"/>
  <c r="AK35" i="23"/>
  <c r="AK37" i="23"/>
  <c r="AK38" i="23"/>
  <c r="AK39" i="23"/>
  <c r="AK40" i="23"/>
  <c r="AK41" i="23"/>
  <c r="AK42" i="23"/>
  <c r="AK43" i="23"/>
  <c r="AQ49" i="23"/>
  <c r="AK61" i="23"/>
  <c r="AQ61" i="23" s="1"/>
  <c r="AK88" i="23"/>
  <c r="AQ88" i="23" s="1"/>
  <c r="AU110" i="23"/>
  <c r="AQ110" i="23"/>
  <c r="AU129" i="23"/>
  <c r="AQ129" i="23"/>
  <c r="AI186" i="23"/>
  <c r="AK8" i="23"/>
  <c r="AK13" i="23"/>
  <c r="AK14" i="23"/>
  <c r="AK15" i="23"/>
  <c r="AK16" i="23"/>
  <c r="AJ186" i="23"/>
  <c r="AP186" i="23" s="1"/>
  <c r="AO3" i="23"/>
  <c r="AK28" i="23"/>
  <c r="AK46" i="23"/>
  <c r="AK50" i="23"/>
  <c r="AK52" i="23"/>
  <c r="AK54" i="23"/>
  <c r="AQ54" i="23" s="1"/>
  <c r="AK58" i="23"/>
  <c r="AK60" i="23"/>
  <c r="AK72" i="23"/>
  <c r="AQ72" i="23" s="1"/>
  <c r="AK77" i="23"/>
  <c r="AQ77" i="23" s="1"/>
  <c r="AK82" i="23"/>
  <c r="AQ82" i="23" s="1"/>
  <c r="AK94" i="23"/>
  <c r="AQ94" i="23" s="1"/>
  <c r="AK97" i="23"/>
  <c r="AT99" i="23"/>
  <c r="AZ99" i="23" s="1"/>
  <c r="AQ99" i="23"/>
  <c r="AT101" i="23"/>
  <c r="AZ101" i="23" s="1"/>
  <c r="AQ101" i="23"/>
  <c r="AQ105" i="23"/>
  <c r="AQ106" i="23"/>
  <c r="AK112" i="23"/>
  <c r="AQ112" i="23" s="1"/>
  <c r="AK114" i="23"/>
  <c r="AQ114" i="23" s="1"/>
  <c r="AK122" i="23"/>
  <c r="AK130" i="23"/>
  <c r="AK135" i="23"/>
  <c r="AQ135" i="23" s="1"/>
  <c r="AK138" i="23"/>
  <c r="AQ138" i="23" s="1"/>
  <c r="AK143" i="23"/>
  <c r="AQ143" i="23" s="1"/>
  <c r="AK48" i="23"/>
  <c r="AK63" i="23"/>
  <c r="AQ63" i="23" s="1"/>
  <c r="AK67" i="23"/>
  <c r="AQ67" i="23" s="1"/>
  <c r="AK70" i="23"/>
  <c r="AK71" i="23"/>
  <c r="AQ71" i="23" s="1"/>
  <c r="AK75" i="23"/>
  <c r="AK76" i="23"/>
  <c r="AQ76" i="23" s="1"/>
  <c r="AK80" i="23"/>
  <c r="AK81" i="23"/>
  <c r="AQ81" i="23" s="1"/>
  <c r="AK86" i="23"/>
  <c r="AQ86" i="23" s="1"/>
  <c r="AK90" i="23"/>
  <c r="AK92" i="23"/>
  <c r="AQ92" i="23" s="1"/>
  <c r="AK96" i="23"/>
  <c r="AQ96" i="23" s="1"/>
  <c r="AU125" i="23"/>
  <c r="AU133" i="23"/>
  <c r="AQ133" i="23"/>
  <c r="AK107" i="23"/>
  <c r="AM107" i="23"/>
  <c r="AK109" i="23"/>
  <c r="AK111" i="23"/>
  <c r="AK113" i="23"/>
  <c r="AQ113" i="23" s="1"/>
  <c r="AK115" i="23"/>
  <c r="AQ115" i="23" s="1"/>
  <c r="AK118" i="23"/>
  <c r="AK121" i="23"/>
  <c r="AQ121" i="23" s="1"/>
  <c r="AK126" i="23"/>
  <c r="AK134" i="23"/>
  <c r="AQ134" i="23" s="1"/>
  <c r="AK139" i="23"/>
  <c r="AQ139" i="23" s="1"/>
  <c r="AK142" i="23"/>
  <c r="AQ142" i="23" s="1"/>
  <c r="AK148" i="23"/>
  <c r="AQ148" i="23" s="1"/>
  <c r="AK151" i="23"/>
  <c r="AQ151" i="23" s="1"/>
  <c r="AK153" i="23"/>
  <c r="AQ153" i="23" s="1"/>
  <c r="AK156" i="23"/>
  <c r="AQ156" i="23" s="1"/>
  <c r="AK161" i="23"/>
  <c r="AQ161" i="23" s="1"/>
  <c r="AK170" i="23"/>
  <c r="AQ170" i="23" s="1"/>
  <c r="AK176" i="23"/>
  <c r="AK177" i="23"/>
  <c r="AG201" i="23"/>
  <c r="AQ191" i="23"/>
  <c r="AK117" i="23"/>
  <c r="AQ117" i="23" s="1"/>
  <c r="AK120" i="23"/>
  <c r="AQ120" i="23" s="1"/>
  <c r="AK123" i="23"/>
  <c r="AQ123" i="23" s="1"/>
  <c r="AK137" i="23"/>
  <c r="AQ137" i="23" s="1"/>
  <c r="AK141" i="23"/>
  <c r="AQ141" i="23" s="1"/>
  <c r="AK145" i="23"/>
  <c r="AQ145" i="23" s="1"/>
  <c r="AM145" i="23"/>
  <c r="AK150" i="23"/>
  <c r="AQ150" i="23" s="1"/>
  <c r="AK152" i="23"/>
  <c r="AQ152" i="23" s="1"/>
  <c r="AK157" i="23"/>
  <c r="AQ157" i="23" s="1"/>
  <c r="AK160" i="23"/>
  <c r="AQ160" i="23" s="1"/>
  <c r="AK165" i="23"/>
  <c r="AQ165" i="23" s="1"/>
  <c r="AK168" i="23"/>
  <c r="AQ168" i="23" s="1"/>
  <c r="AO184" i="23"/>
  <c r="AI191" i="23"/>
  <c r="AQ190" i="23"/>
  <c r="AK173" i="23"/>
  <c r="AK174" i="23"/>
  <c r="AK175" i="23"/>
  <c r="AK179" i="23"/>
  <c r="AK180" i="23"/>
  <c r="AK155" i="23"/>
  <c r="AQ155" i="23" s="1"/>
  <c r="AK159" i="23"/>
  <c r="AQ159" i="23" s="1"/>
  <c r="AK163" i="23"/>
  <c r="AQ163" i="23" s="1"/>
  <c r="AK167" i="23"/>
  <c r="AQ167" i="23" s="1"/>
  <c r="AK178" i="23"/>
  <c r="AK182" i="23"/>
  <c r="AK183" i="23"/>
  <c r="AQ53" i="23" l="1"/>
  <c r="AQ131" i="23"/>
  <c r="AU100" i="23"/>
  <c r="AT47" i="23"/>
  <c r="AU47" i="23"/>
  <c r="AQ45" i="23"/>
  <c r="AQ57" i="23"/>
  <c r="AQ127" i="23"/>
  <c r="AQ51" i="23"/>
  <c r="AQ132" i="23"/>
  <c r="AT51" i="23"/>
  <c r="AZ51" i="23" s="1"/>
  <c r="AQ98" i="23"/>
  <c r="AU128" i="23"/>
  <c r="AQ128" i="23"/>
  <c r="AU103" i="23"/>
  <c r="AQ103" i="23"/>
  <c r="AT44" i="23"/>
  <c r="AU44" i="23"/>
  <c r="AM186" i="23"/>
  <c r="AO190" i="23" s="1"/>
  <c r="AP190" i="23" s="1"/>
  <c r="AR190" i="23" s="1"/>
  <c r="AT190" i="23" s="1"/>
  <c r="AU109" i="23"/>
  <c r="AQ109" i="23"/>
  <c r="AQ80" i="23"/>
  <c r="AU80" i="23"/>
  <c r="AT80" i="23"/>
  <c r="AZ80" i="23" s="1"/>
  <c r="AQ35" i="23"/>
  <c r="AU35" i="23"/>
  <c r="AT35" i="23"/>
  <c r="AQ10" i="23"/>
  <c r="AU10" i="23"/>
  <c r="AT10" i="23"/>
  <c r="AQ90" i="23"/>
  <c r="AU90" i="23"/>
  <c r="AT90" i="23"/>
  <c r="AU50" i="23"/>
  <c r="AT50" i="23"/>
  <c r="AQ50" i="23"/>
  <c r="AO186" i="23"/>
  <c r="AQ14" i="23"/>
  <c r="AU14" i="23"/>
  <c r="AT14" i="23"/>
  <c r="AQ43" i="23"/>
  <c r="AU43" i="23"/>
  <c r="AT43" i="23"/>
  <c r="AQ39" i="23"/>
  <c r="AU39" i="23"/>
  <c r="AT39" i="23"/>
  <c r="AQ33" i="23"/>
  <c r="AU33" i="23"/>
  <c r="AT33" i="23"/>
  <c r="AQ18" i="23"/>
  <c r="AU18" i="23"/>
  <c r="AQ9" i="23"/>
  <c r="AU9" i="23"/>
  <c r="AT9" i="23"/>
  <c r="AZ100" i="23"/>
  <c r="AU55" i="23"/>
  <c r="AT55" i="23"/>
  <c r="AQ55" i="23"/>
  <c r="AT6" i="23"/>
  <c r="AQ6" i="23"/>
  <c r="AU6" i="23"/>
  <c r="AQ36" i="23"/>
  <c r="AU36" i="23"/>
  <c r="AT36" i="23"/>
  <c r="AQ17" i="23"/>
  <c r="AU17" i="23"/>
  <c r="AT17" i="23"/>
  <c r="AU126" i="23"/>
  <c r="AQ126" i="23"/>
  <c r="AU107" i="23"/>
  <c r="AQ107" i="23"/>
  <c r="AQ75" i="23"/>
  <c r="AU75" i="23"/>
  <c r="AT75" i="23"/>
  <c r="AU122" i="23"/>
  <c r="AQ122" i="23"/>
  <c r="AU97" i="23"/>
  <c r="AT97" i="23"/>
  <c r="AQ97" i="23"/>
  <c r="AU46" i="23"/>
  <c r="AQ46" i="23"/>
  <c r="AT46" i="23"/>
  <c r="AQ13" i="23"/>
  <c r="AU13" i="23"/>
  <c r="AT13" i="23"/>
  <c r="AQ42" i="23"/>
  <c r="AU42" i="23"/>
  <c r="AT42" i="23"/>
  <c r="AQ38" i="23"/>
  <c r="AU38" i="23"/>
  <c r="AT38" i="23"/>
  <c r="AQ31" i="23"/>
  <c r="AU31" i="23"/>
  <c r="AT31" i="23"/>
  <c r="AQ12" i="23"/>
  <c r="AU12" i="23"/>
  <c r="AT12" i="23"/>
  <c r="AT5" i="23"/>
  <c r="AQ5" i="23"/>
  <c r="AU5" i="23"/>
  <c r="AU83" i="23"/>
  <c r="AT83" i="23"/>
  <c r="AQ83" i="23"/>
  <c r="AZ53" i="23"/>
  <c r="AQ34" i="23"/>
  <c r="AU34" i="23"/>
  <c r="AT34" i="23"/>
  <c r="AU23" i="23"/>
  <c r="AT23" i="23"/>
  <c r="AQ23" i="23"/>
  <c r="AU24" i="23"/>
  <c r="AT24" i="23"/>
  <c r="AQ24" i="23"/>
  <c r="AU118" i="23"/>
  <c r="AQ118" i="23"/>
  <c r="AQ70" i="23"/>
  <c r="AU70" i="23"/>
  <c r="AT70" i="23"/>
  <c r="AU58" i="23"/>
  <c r="AT58" i="23"/>
  <c r="AQ58" i="23"/>
  <c r="AQ28" i="23"/>
  <c r="AT28" i="23"/>
  <c r="AU28" i="23"/>
  <c r="AQ15" i="23"/>
  <c r="AU15" i="23"/>
  <c r="AT15" i="23"/>
  <c r="AQ40" i="23"/>
  <c r="AU40" i="23"/>
  <c r="AT40" i="23"/>
  <c r="AQ7" i="23"/>
  <c r="AU7" i="23"/>
  <c r="AT7" i="23"/>
  <c r="AQ30" i="23"/>
  <c r="AU30" i="23"/>
  <c r="AT30" i="23"/>
  <c r="AU3" i="23"/>
  <c r="AT3" i="23"/>
  <c r="AQ3" i="23"/>
  <c r="AQ198" i="23"/>
  <c r="AI201" i="23"/>
  <c r="AQ199" i="23"/>
  <c r="AG193" i="23"/>
  <c r="AU111" i="23"/>
  <c r="AQ111" i="23"/>
  <c r="AQ48" i="23"/>
  <c r="AU48" i="23"/>
  <c r="AT48" i="23"/>
  <c r="AU130" i="23"/>
  <c r="AQ130" i="23"/>
  <c r="AU60" i="23"/>
  <c r="AT60" i="23"/>
  <c r="AQ60" i="23"/>
  <c r="AU52" i="23"/>
  <c r="AT52" i="23"/>
  <c r="AQ52" i="23"/>
  <c r="AQ16" i="23"/>
  <c r="AU16" i="23"/>
  <c r="AT16" i="23"/>
  <c r="AQ8" i="23"/>
  <c r="AU8" i="23"/>
  <c r="AT8" i="23"/>
  <c r="AQ41" i="23"/>
  <c r="AU41" i="23"/>
  <c r="AT41" i="23"/>
  <c r="AQ37" i="23"/>
  <c r="AU37" i="23"/>
  <c r="AT37" i="23"/>
  <c r="AQ11" i="23"/>
  <c r="AU11" i="23"/>
  <c r="AT11" i="23"/>
  <c r="AQ32" i="23"/>
  <c r="AU32" i="23"/>
  <c r="AT32" i="23"/>
  <c r="AU19" i="23"/>
  <c r="AQ19" i="23"/>
  <c r="AO196" i="23"/>
  <c r="AP196" i="23" s="1"/>
  <c r="AR196" i="23" s="1"/>
  <c r="AT196" i="23" s="1"/>
  <c r="AO194" i="23"/>
  <c r="AP194" i="23" s="1"/>
  <c r="AR194" i="23" s="1"/>
  <c r="AT194" i="23" s="1"/>
  <c r="AU22" i="23"/>
  <c r="AT22" i="23"/>
  <c r="AQ22" i="23"/>
  <c r="AK186" i="23"/>
  <c r="AZ5" i="23" l="1"/>
  <c r="AZ41" i="23"/>
  <c r="AZ7" i="23"/>
  <c r="AZ23" i="23"/>
  <c r="AZ12" i="23"/>
  <c r="AZ13" i="23"/>
  <c r="AZ55" i="23"/>
  <c r="AZ33" i="23"/>
  <c r="AO191" i="23"/>
  <c r="AP191" i="23" s="1"/>
  <c r="AR191" i="23" s="1"/>
  <c r="AT191" i="23" s="1"/>
  <c r="AZ11" i="23"/>
  <c r="AZ16" i="23"/>
  <c r="AZ52" i="23"/>
  <c r="AZ15" i="23"/>
  <c r="AZ34" i="23"/>
  <c r="AZ38" i="23"/>
  <c r="AZ17" i="23"/>
  <c r="AZ50" i="23"/>
  <c r="AZ35" i="23"/>
  <c r="AZ44" i="23"/>
  <c r="AU186" i="23"/>
  <c r="AZ22" i="23"/>
  <c r="AZ37" i="23"/>
  <c r="AZ60" i="23"/>
  <c r="AZ30" i="23"/>
  <c r="AZ58" i="23"/>
  <c r="AZ42" i="23"/>
  <c r="AZ36" i="23"/>
  <c r="AZ14" i="23"/>
  <c r="AO200" i="23"/>
  <c r="AP200" i="23" s="1"/>
  <c r="AR200" i="23" s="1"/>
  <c r="AT200" i="23" s="1"/>
  <c r="AO199" i="23"/>
  <c r="AP199" i="23" s="1"/>
  <c r="AR199" i="23" s="1"/>
  <c r="AT199" i="23" s="1"/>
  <c r="AO198" i="23"/>
  <c r="AP198" i="23" s="1"/>
  <c r="AR198" i="23" s="1"/>
  <c r="AT198" i="23" s="1"/>
  <c r="AI199" i="23"/>
  <c r="AJ193" i="23"/>
  <c r="AQ186" i="23"/>
  <c r="AZ6" i="23"/>
  <c r="AZ32" i="23"/>
  <c r="AZ8" i="23"/>
  <c r="AZ3" i="23"/>
  <c r="AZ40" i="23"/>
  <c r="AZ70" i="23"/>
  <c r="AZ83" i="23"/>
  <c r="AZ31" i="23"/>
  <c r="AZ97" i="23"/>
  <c r="AZ75" i="23"/>
  <c r="AZ9" i="23"/>
  <c r="AZ39" i="23"/>
  <c r="AZ10" i="23"/>
  <c r="AZ186" i="23" l="1"/>
  <c r="AX188" i="23" s="1"/>
  <c r="AO191" i="21" l="1"/>
  <c r="AC186" i="21" l="1"/>
  <c r="AB186" i="21"/>
  <c r="AA186" i="21"/>
  <c r="W186" i="21" l="1"/>
  <c r="X186" i="21"/>
  <c r="Y186" i="21"/>
  <c r="AG69" i="21"/>
  <c r="AM69" i="21" s="1"/>
  <c r="AH69" i="21"/>
  <c r="AN69" i="21" s="1"/>
  <c r="AI69" i="21"/>
  <c r="AJ69" i="21"/>
  <c r="AP69" i="21" s="1"/>
  <c r="AK69" i="21" l="1"/>
  <c r="AQ69" i="21" s="1"/>
  <c r="AO69" i="21"/>
  <c r="S186" i="21"/>
  <c r="U186" i="21"/>
  <c r="T186" i="21"/>
  <c r="Q186" i="21" l="1"/>
  <c r="P186" i="21"/>
  <c r="O186" i="21"/>
  <c r="K186" i="21" l="1"/>
  <c r="L186" i="21"/>
  <c r="M186" i="21"/>
  <c r="I186" i="21"/>
  <c r="H186" i="21"/>
  <c r="G186" i="21"/>
  <c r="AN226" i="21"/>
  <c r="AQ225" i="21"/>
  <c r="AN225" i="21"/>
  <c r="AQ224" i="21"/>
  <c r="AN224" i="21"/>
  <c r="AQ223" i="21"/>
  <c r="AN223" i="21"/>
  <c r="AN227" i="21" s="1"/>
  <c r="AH209" i="21"/>
  <c r="AH208" i="21"/>
  <c r="AU201" i="21"/>
  <c r="AU206" i="21" s="1"/>
  <c r="AU208" i="21" s="1"/>
  <c r="AU209" i="21" s="1"/>
  <c r="AR197" i="21"/>
  <c r="AR195" i="21"/>
  <c r="AT195" i="21" s="1"/>
  <c r="AP195" i="21"/>
  <c r="AR193" i="21"/>
  <c r="AP192" i="21"/>
  <c r="AR192" i="21" s="1"/>
  <c r="AT192" i="21" s="1"/>
  <c r="T191" i="21"/>
  <c r="O191" i="21"/>
  <c r="AC190" i="21"/>
  <c r="AC191" i="21" s="1"/>
  <c r="Y190" i="21"/>
  <c r="Y191" i="21" s="1"/>
  <c r="U190" i="21"/>
  <c r="U191" i="21" s="1"/>
  <c r="Q190" i="21"/>
  <c r="Q191" i="21" s="1"/>
  <c r="AD189" i="21"/>
  <c r="AD190" i="21" s="1"/>
  <c r="AD191" i="21" s="1"/>
  <c r="AC189" i="21"/>
  <c r="AB189" i="21"/>
  <c r="AB190" i="21" s="1"/>
  <c r="AB191" i="21" s="1"/>
  <c r="AA189" i="21"/>
  <c r="AA190" i="21" s="1"/>
  <c r="AA191" i="21" s="1"/>
  <c r="Z189" i="21"/>
  <c r="Z190" i="21" s="1"/>
  <c r="Z191" i="21" s="1"/>
  <c r="Y189" i="21"/>
  <c r="X189" i="21"/>
  <c r="X190" i="21" s="1"/>
  <c r="X191" i="21" s="1"/>
  <c r="W189" i="21"/>
  <c r="W190" i="21" s="1"/>
  <c r="W191" i="21" s="1"/>
  <c r="V189" i="21"/>
  <c r="V190" i="21" s="1"/>
  <c r="V191" i="21" s="1"/>
  <c r="U189" i="21"/>
  <c r="T189" i="21"/>
  <c r="T190" i="21" s="1"/>
  <c r="S189" i="21"/>
  <c r="S190" i="21" s="1"/>
  <c r="S191" i="21" s="1"/>
  <c r="R189" i="21"/>
  <c r="R190" i="21" s="1"/>
  <c r="R191" i="21" s="1"/>
  <c r="Q189" i="21"/>
  <c r="P189" i="21"/>
  <c r="P190" i="21" s="1"/>
  <c r="P191" i="21" s="1"/>
  <c r="O189" i="21"/>
  <c r="N189" i="21"/>
  <c r="N190" i="21" s="1"/>
  <c r="N191" i="21" s="1"/>
  <c r="M189" i="21"/>
  <c r="M190" i="21" s="1"/>
  <c r="M191" i="21" s="1"/>
  <c r="L189" i="21"/>
  <c r="L190" i="21" s="1"/>
  <c r="L191" i="21" s="1"/>
  <c r="K189" i="21"/>
  <c r="K190" i="21" s="1"/>
  <c r="K191" i="21" s="1"/>
  <c r="J189" i="21"/>
  <c r="J190" i="21" s="1"/>
  <c r="J191" i="21" s="1"/>
  <c r="AJ191" i="21" s="1"/>
  <c r="I189" i="21"/>
  <c r="I190" i="21" s="1"/>
  <c r="I191" i="21" s="1"/>
  <c r="H189" i="21"/>
  <c r="H190" i="21" s="1"/>
  <c r="H191" i="21" s="1"/>
  <c r="AH191" i="21" s="1"/>
  <c r="G189" i="21"/>
  <c r="G190" i="21" s="1"/>
  <c r="G191" i="21" s="1"/>
  <c r="AG191" i="21" s="1"/>
  <c r="AI185" i="21"/>
  <c r="AO185" i="21" s="1"/>
  <c r="AH185" i="21"/>
  <c r="AN185" i="21" s="1"/>
  <c r="AG185" i="21"/>
  <c r="AM185" i="21" s="1"/>
  <c r="AI184" i="21"/>
  <c r="AO184" i="21" s="1"/>
  <c r="AH184" i="21"/>
  <c r="AN184" i="21" s="1"/>
  <c r="AG184" i="21"/>
  <c r="F184" i="21"/>
  <c r="E184" i="21"/>
  <c r="D184" i="21"/>
  <c r="AP183" i="21"/>
  <c r="AJ183" i="21"/>
  <c r="AI183" i="21"/>
  <c r="AO183" i="21" s="1"/>
  <c r="AH183" i="21"/>
  <c r="AN183" i="21" s="1"/>
  <c r="AG183" i="21"/>
  <c r="AM183" i="21" s="1"/>
  <c r="F183" i="21"/>
  <c r="E183" i="21"/>
  <c r="D183" i="21"/>
  <c r="AP182" i="21"/>
  <c r="AJ182" i="21"/>
  <c r="AI182" i="21"/>
  <c r="AO182" i="21" s="1"/>
  <c r="AH182" i="21"/>
  <c r="AN182" i="21" s="1"/>
  <c r="AG182" i="21"/>
  <c r="AM182" i="21" s="1"/>
  <c r="F182" i="21"/>
  <c r="E182" i="21"/>
  <c r="D182" i="21"/>
  <c r="AI181" i="21"/>
  <c r="AO181" i="21" s="1"/>
  <c r="AH181" i="21"/>
  <c r="AN181" i="21" s="1"/>
  <c r="AG181" i="21"/>
  <c r="AM181" i="21" s="1"/>
  <c r="F181" i="21"/>
  <c r="E181" i="21"/>
  <c r="D181" i="21"/>
  <c r="AJ180" i="21"/>
  <c r="AI180" i="21"/>
  <c r="AO180" i="21" s="1"/>
  <c r="AH180" i="21"/>
  <c r="AN180" i="21" s="1"/>
  <c r="AG180" i="21"/>
  <c r="F180" i="21"/>
  <c r="E180" i="21"/>
  <c r="D180" i="21"/>
  <c r="AJ179" i="21"/>
  <c r="AP179" i="21" s="1"/>
  <c r="AI179" i="21"/>
  <c r="AO179" i="21" s="1"/>
  <c r="AH179" i="21"/>
  <c r="AN179" i="21" s="1"/>
  <c r="AG179" i="21"/>
  <c r="AM179" i="21" s="1"/>
  <c r="F179" i="21"/>
  <c r="E179" i="21"/>
  <c r="D179" i="21"/>
  <c r="AJ178" i="21"/>
  <c r="AI178" i="21"/>
  <c r="AO178" i="21" s="1"/>
  <c r="AH178" i="21"/>
  <c r="AN178" i="21" s="1"/>
  <c r="AG178" i="21"/>
  <c r="AM178" i="21" s="1"/>
  <c r="F178" i="21"/>
  <c r="E178" i="21"/>
  <c r="D178" i="21"/>
  <c r="AJ177" i="21"/>
  <c r="AI177" i="21"/>
  <c r="AO177" i="21" s="1"/>
  <c r="AH177" i="21"/>
  <c r="AN177" i="21" s="1"/>
  <c r="AG177" i="21"/>
  <c r="F177" i="21"/>
  <c r="E177" i="21"/>
  <c r="D177" i="21"/>
  <c r="AJ176" i="21"/>
  <c r="AI176" i="21"/>
  <c r="AO176" i="21" s="1"/>
  <c r="AH176" i="21"/>
  <c r="AN176" i="21" s="1"/>
  <c r="AG176" i="21"/>
  <c r="AM176" i="21" s="1"/>
  <c r="F176" i="21"/>
  <c r="E176" i="21"/>
  <c r="D176" i="21"/>
  <c r="AJ175" i="21"/>
  <c r="AI175" i="21"/>
  <c r="AO175" i="21" s="1"/>
  <c r="AH175" i="21"/>
  <c r="AN175" i="21" s="1"/>
  <c r="AG175" i="21"/>
  <c r="F175" i="21"/>
  <c r="E175" i="21"/>
  <c r="D175" i="21"/>
  <c r="AJ174" i="21"/>
  <c r="AP174" i="21" s="1"/>
  <c r="AI174" i="21"/>
  <c r="AO174" i="21" s="1"/>
  <c r="AH174" i="21"/>
  <c r="AN174" i="21" s="1"/>
  <c r="AG174" i="21"/>
  <c r="AM174" i="21" s="1"/>
  <c r="F174" i="21"/>
  <c r="E174" i="21"/>
  <c r="D174" i="21"/>
  <c r="AJ173" i="21"/>
  <c r="AP173" i="21" s="1"/>
  <c r="AI173" i="21"/>
  <c r="AO173" i="21" s="1"/>
  <c r="AH173" i="21"/>
  <c r="AN173" i="21" s="1"/>
  <c r="AG173" i="21"/>
  <c r="F173" i="21"/>
  <c r="E173" i="21"/>
  <c r="D173" i="21"/>
  <c r="AJ172" i="21"/>
  <c r="AP172" i="21" s="1"/>
  <c r="AI172" i="21"/>
  <c r="AO172" i="21" s="1"/>
  <c r="AH172" i="21"/>
  <c r="AN172" i="21" s="1"/>
  <c r="AG172" i="21"/>
  <c r="AM172" i="21" s="1"/>
  <c r="F172" i="21"/>
  <c r="E172" i="21"/>
  <c r="D172" i="21"/>
  <c r="AJ171" i="21"/>
  <c r="AP171" i="21" s="1"/>
  <c r="AI171" i="21"/>
  <c r="AO171" i="21" s="1"/>
  <c r="AH171" i="21"/>
  <c r="AN171" i="21" s="1"/>
  <c r="AG171" i="21"/>
  <c r="F171" i="21"/>
  <c r="E171" i="21"/>
  <c r="D171" i="21"/>
  <c r="AP170" i="21"/>
  <c r="AJ170" i="21"/>
  <c r="AI170" i="21"/>
  <c r="AO170" i="21" s="1"/>
  <c r="AH170" i="21"/>
  <c r="AN170" i="21" s="1"/>
  <c r="AG170" i="21"/>
  <c r="AM170" i="21" s="1"/>
  <c r="F170" i="21"/>
  <c r="E170" i="21"/>
  <c r="D170" i="21"/>
  <c r="AJ168" i="21"/>
  <c r="AP168" i="21" s="1"/>
  <c r="AI168" i="21"/>
  <c r="AO168" i="21" s="1"/>
  <c r="AH168" i="21"/>
  <c r="AN168" i="21" s="1"/>
  <c r="AG168" i="21"/>
  <c r="F168" i="21"/>
  <c r="E168" i="21"/>
  <c r="D168" i="21"/>
  <c r="AP167" i="21"/>
  <c r="AJ167" i="21"/>
  <c r="AI167" i="21"/>
  <c r="AO167" i="21" s="1"/>
  <c r="AH167" i="21"/>
  <c r="AN167" i="21" s="1"/>
  <c r="AG167" i="21"/>
  <c r="AM167" i="21" s="1"/>
  <c r="F167" i="21"/>
  <c r="E167" i="21"/>
  <c r="D167" i="21"/>
  <c r="AJ166" i="21"/>
  <c r="AP166" i="21" s="1"/>
  <c r="AI166" i="21"/>
  <c r="AO166" i="21" s="1"/>
  <c r="AH166" i="21"/>
  <c r="AN166" i="21" s="1"/>
  <c r="AG166" i="21"/>
  <c r="F166" i="21"/>
  <c r="E166" i="21"/>
  <c r="D166" i="21"/>
  <c r="AP165" i="21"/>
  <c r="AJ165" i="21"/>
  <c r="AI165" i="21"/>
  <c r="AO165" i="21" s="1"/>
  <c r="AH165" i="21"/>
  <c r="AN165" i="21" s="1"/>
  <c r="AG165" i="21"/>
  <c r="AM165" i="21" s="1"/>
  <c r="F165" i="21"/>
  <c r="E165" i="21"/>
  <c r="D165" i="21"/>
  <c r="AJ164" i="21"/>
  <c r="AP164" i="21" s="1"/>
  <c r="AI164" i="21"/>
  <c r="AO164" i="21" s="1"/>
  <c r="AH164" i="21"/>
  <c r="AN164" i="21" s="1"/>
  <c r="AG164" i="21"/>
  <c r="F164" i="21"/>
  <c r="E164" i="21"/>
  <c r="D164" i="21"/>
  <c r="AP163" i="21"/>
  <c r="AJ163" i="21"/>
  <c r="AI163" i="21"/>
  <c r="AO163" i="21" s="1"/>
  <c r="AH163" i="21"/>
  <c r="AN163" i="21" s="1"/>
  <c r="AG163" i="21"/>
  <c r="AM163" i="21" s="1"/>
  <c r="F163" i="21"/>
  <c r="E163" i="21"/>
  <c r="D163" i="21"/>
  <c r="AJ162" i="21"/>
  <c r="AP162" i="21" s="1"/>
  <c r="AI162" i="21"/>
  <c r="AO162" i="21" s="1"/>
  <c r="AH162" i="21"/>
  <c r="AN162" i="21" s="1"/>
  <c r="AG162" i="21"/>
  <c r="F162" i="21"/>
  <c r="E162" i="21"/>
  <c r="D162" i="21"/>
  <c r="AP161" i="21"/>
  <c r="AJ161" i="21"/>
  <c r="AI161" i="21"/>
  <c r="AO161" i="21" s="1"/>
  <c r="AH161" i="21"/>
  <c r="AN161" i="21" s="1"/>
  <c r="AG161" i="21"/>
  <c r="AM161" i="21" s="1"/>
  <c r="F161" i="21"/>
  <c r="E161" i="21"/>
  <c r="D161" i="21"/>
  <c r="AJ160" i="21"/>
  <c r="AP160" i="21" s="1"/>
  <c r="AI160" i="21"/>
  <c r="AO160" i="21" s="1"/>
  <c r="AH160" i="21"/>
  <c r="AN160" i="21" s="1"/>
  <c r="AG160" i="21"/>
  <c r="F160" i="21"/>
  <c r="E160" i="21"/>
  <c r="D160" i="21"/>
  <c r="AP159" i="21"/>
  <c r="AJ159" i="21"/>
  <c r="AI159" i="21"/>
  <c r="AO159" i="21" s="1"/>
  <c r="AH159" i="21"/>
  <c r="AN159" i="21" s="1"/>
  <c r="AG159" i="21"/>
  <c r="AM159" i="21" s="1"/>
  <c r="F159" i="21"/>
  <c r="E159" i="21"/>
  <c r="D159" i="21"/>
  <c r="AJ158" i="21"/>
  <c r="AP158" i="21" s="1"/>
  <c r="AI158" i="21"/>
  <c r="AO158" i="21" s="1"/>
  <c r="AH158" i="21"/>
  <c r="AN158" i="21" s="1"/>
  <c r="AG158" i="21"/>
  <c r="F158" i="21"/>
  <c r="E158" i="21"/>
  <c r="D158" i="21"/>
  <c r="AP157" i="21"/>
  <c r="AJ157" i="21"/>
  <c r="AI157" i="21"/>
  <c r="AO157" i="21" s="1"/>
  <c r="AH157" i="21"/>
  <c r="AN157" i="21" s="1"/>
  <c r="AG157" i="21"/>
  <c r="AM157" i="21" s="1"/>
  <c r="F157" i="21"/>
  <c r="E157" i="21"/>
  <c r="D157" i="21"/>
  <c r="AJ156" i="21"/>
  <c r="AP156" i="21" s="1"/>
  <c r="AI156" i="21"/>
  <c r="AO156" i="21" s="1"/>
  <c r="AH156" i="21"/>
  <c r="AN156" i="21" s="1"/>
  <c r="AG156" i="21"/>
  <c r="F156" i="21"/>
  <c r="E156" i="21"/>
  <c r="D156" i="21"/>
  <c r="AP155" i="21"/>
  <c r="AJ155" i="21"/>
  <c r="AI155" i="21"/>
  <c r="AO155" i="21" s="1"/>
  <c r="AH155" i="21"/>
  <c r="AN155" i="21" s="1"/>
  <c r="AG155" i="21"/>
  <c r="AM155" i="21" s="1"/>
  <c r="F155" i="21"/>
  <c r="E155" i="21"/>
  <c r="D155" i="21"/>
  <c r="AJ154" i="21"/>
  <c r="AP154" i="21" s="1"/>
  <c r="AI154" i="21"/>
  <c r="AO154" i="21" s="1"/>
  <c r="AH154" i="21"/>
  <c r="AN154" i="21" s="1"/>
  <c r="AG154" i="21"/>
  <c r="F154" i="21"/>
  <c r="E154" i="21"/>
  <c r="D154" i="21"/>
  <c r="AP153" i="21"/>
  <c r="AJ153" i="21"/>
  <c r="AI153" i="21"/>
  <c r="AO153" i="21" s="1"/>
  <c r="AH153" i="21"/>
  <c r="AN153" i="21" s="1"/>
  <c r="AG153" i="21"/>
  <c r="AM153" i="21" s="1"/>
  <c r="F153" i="21"/>
  <c r="E153" i="21"/>
  <c r="D153" i="21"/>
  <c r="AJ152" i="21"/>
  <c r="AP152" i="21" s="1"/>
  <c r="AI152" i="21"/>
  <c r="AO152" i="21" s="1"/>
  <c r="AH152" i="21"/>
  <c r="AN152" i="21" s="1"/>
  <c r="AG152" i="21"/>
  <c r="F152" i="21"/>
  <c r="E152" i="21"/>
  <c r="D152" i="21"/>
  <c r="AP151" i="21"/>
  <c r="AJ151" i="21"/>
  <c r="AI151" i="21"/>
  <c r="AO151" i="21" s="1"/>
  <c r="AH151" i="21"/>
  <c r="AN151" i="21" s="1"/>
  <c r="AG151" i="21"/>
  <c r="AM151" i="21" s="1"/>
  <c r="F151" i="21"/>
  <c r="E151" i="21"/>
  <c r="D151" i="21"/>
  <c r="AJ150" i="21"/>
  <c r="AP150" i="21" s="1"/>
  <c r="AI150" i="21"/>
  <c r="AO150" i="21" s="1"/>
  <c r="AH150" i="21"/>
  <c r="AN150" i="21" s="1"/>
  <c r="AG150" i="21"/>
  <c r="F150" i="21"/>
  <c r="E150" i="21"/>
  <c r="D150" i="21"/>
  <c r="AP149" i="21"/>
  <c r="AJ149" i="21"/>
  <c r="AI149" i="21"/>
  <c r="AO149" i="21" s="1"/>
  <c r="AH149" i="21"/>
  <c r="AN149" i="21" s="1"/>
  <c r="AG149" i="21"/>
  <c r="AM149" i="21" s="1"/>
  <c r="F149" i="21"/>
  <c r="E149" i="21"/>
  <c r="D149" i="21"/>
  <c r="AJ148" i="21"/>
  <c r="AI148" i="21"/>
  <c r="AO148" i="21" s="1"/>
  <c r="AH148" i="21"/>
  <c r="AN148" i="21" s="1"/>
  <c r="AG148" i="21"/>
  <c r="AM148" i="21" s="1"/>
  <c r="F148" i="21"/>
  <c r="E148" i="21"/>
  <c r="D148" i="21"/>
  <c r="AJ147" i="21"/>
  <c r="AP147" i="21" s="1"/>
  <c r="AI147" i="21"/>
  <c r="AO147" i="21" s="1"/>
  <c r="AH147" i="21"/>
  <c r="AN147" i="21" s="1"/>
  <c r="AG147" i="21"/>
  <c r="AM147" i="21" s="1"/>
  <c r="F147" i="21"/>
  <c r="E147" i="21"/>
  <c r="D147" i="21"/>
  <c r="AP146" i="21"/>
  <c r="AJ146" i="21"/>
  <c r="AI146" i="21"/>
  <c r="AO146" i="21" s="1"/>
  <c r="AH146" i="21"/>
  <c r="AN146" i="21" s="1"/>
  <c r="AG146" i="21"/>
  <c r="AM146" i="21" s="1"/>
  <c r="F146" i="21"/>
  <c r="E146" i="21"/>
  <c r="D146" i="21"/>
  <c r="AJ145" i="21"/>
  <c r="AP145" i="21" s="1"/>
  <c r="AI145" i="21"/>
  <c r="AO145" i="21" s="1"/>
  <c r="AH145" i="21"/>
  <c r="AN145" i="21" s="1"/>
  <c r="AG145" i="21"/>
  <c r="F145" i="21"/>
  <c r="E145" i="21"/>
  <c r="D145" i="21"/>
  <c r="AJ144" i="21"/>
  <c r="AP144" i="21" s="1"/>
  <c r="AI144" i="21"/>
  <c r="AO144" i="21" s="1"/>
  <c r="AH144" i="21"/>
  <c r="AN144" i="21" s="1"/>
  <c r="AG144" i="21"/>
  <c r="AM144" i="21" s="1"/>
  <c r="F144" i="21"/>
  <c r="E144" i="21"/>
  <c r="D144" i="21"/>
  <c r="AJ143" i="21"/>
  <c r="AP143" i="21" s="1"/>
  <c r="AI143" i="21"/>
  <c r="AO143" i="21" s="1"/>
  <c r="AH143" i="21"/>
  <c r="AN143" i="21" s="1"/>
  <c r="AG143" i="21"/>
  <c r="AM143" i="21" s="1"/>
  <c r="F143" i="21"/>
  <c r="E143" i="21"/>
  <c r="D143" i="21"/>
  <c r="AP142" i="21"/>
  <c r="AJ142" i="21"/>
  <c r="AI142" i="21"/>
  <c r="AO142" i="21" s="1"/>
  <c r="AH142" i="21"/>
  <c r="AN142" i="21" s="1"/>
  <c r="AG142" i="21"/>
  <c r="AM142" i="21" s="1"/>
  <c r="F142" i="21"/>
  <c r="E142" i="21"/>
  <c r="D142" i="21"/>
  <c r="AJ141" i="21"/>
  <c r="AP141" i="21" s="1"/>
  <c r="AI141" i="21"/>
  <c r="AO141" i="21" s="1"/>
  <c r="AH141" i="21"/>
  <c r="AN141" i="21" s="1"/>
  <c r="AG141" i="21"/>
  <c r="F141" i="21"/>
  <c r="E141" i="21"/>
  <c r="D141" i="21"/>
  <c r="AJ140" i="21"/>
  <c r="AP140" i="21" s="1"/>
  <c r="AI140" i="21"/>
  <c r="AO140" i="21" s="1"/>
  <c r="AH140" i="21"/>
  <c r="AN140" i="21" s="1"/>
  <c r="AG140" i="21"/>
  <c r="AM140" i="21" s="1"/>
  <c r="F140" i="21"/>
  <c r="E140" i="21"/>
  <c r="D140" i="21"/>
  <c r="AO139" i="21"/>
  <c r="AJ139" i="21"/>
  <c r="AP139" i="21" s="1"/>
  <c r="AI139" i="21"/>
  <c r="AH139" i="21"/>
  <c r="AN139" i="21" s="1"/>
  <c r="AG139" i="21"/>
  <c r="AM139" i="21" s="1"/>
  <c r="F139" i="21"/>
  <c r="E139" i="21"/>
  <c r="D139" i="21"/>
  <c r="AP138" i="21"/>
  <c r="AJ138" i="21"/>
  <c r="AI138" i="21"/>
  <c r="AO138" i="21" s="1"/>
  <c r="AH138" i="21"/>
  <c r="AN138" i="21" s="1"/>
  <c r="AG138" i="21"/>
  <c r="AM138" i="21" s="1"/>
  <c r="F138" i="21"/>
  <c r="E138" i="21"/>
  <c r="D138" i="21"/>
  <c r="AJ137" i="21"/>
  <c r="AP137" i="21" s="1"/>
  <c r="AI137" i="21"/>
  <c r="AO137" i="21" s="1"/>
  <c r="AH137" i="21"/>
  <c r="AN137" i="21" s="1"/>
  <c r="AG137" i="21"/>
  <c r="F137" i="21"/>
  <c r="E137" i="21"/>
  <c r="D137" i="21"/>
  <c r="AJ136" i="21"/>
  <c r="AP136" i="21" s="1"/>
  <c r="AI136" i="21"/>
  <c r="AO136" i="21" s="1"/>
  <c r="AH136" i="21"/>
  <c r="AN136" i="21" s="1"/>
  <c r="AG136" i="21"/>
  <c r="AM136" i="21" s="1"/>
  <c r="F136" i="21"/>
  <c r="E136" i="21"/>
  <c r="D136" i="21"/>
  <c r="AJ135" i="21"/>
  <c r="AP135" i="21" s="1"/>
  <c r="AI135" i="21"/>
  <c r="AO135" i="21" s="1"/>
  <c r="AH135" i="21"/>
  <c r="AN135" i="21" s="1"/>
  <c r="AG135" i="21"/>
  <c r="AM135" i="21" s="1"/>
  <c r="F135" i="21"/>
  <c r="E135" i="21"/>
  <c r="D135" i="21"/>
  <c r="AP134" i="21"/>
  <c r="AJ134" i="21"/>
  <c r="AI134" i="21"/>
  <c r="AO134" i="21" s="1"/>
  <c r="AH134" i="21"/>
  <c r="AN134" i="21" s="1"/>
  <c r="AG134" i="21"/>
  <c r="AM134" i="21" s="1"/>
  <c r="F134" i="21"/>
  <c r="E134" i="21"/>
  <c r="D134" i="21"/>
  <c r="AJ133" i="21"/>
  <c r="AP133" i="21" s="1"/>
  <c r="AI133" i="21"/>
  <c r="AO133" i="21" s="1"/>
  <c r="AH133" i="21"/>
  <c r="AN133" i="21" s="1"/>
  <c r="AG133" i="21"/>
  <c r="AM133" i="21" s="1"/>
  <c r="F133" i="21"/>
  <c r="E133" i="21"/>
  <c r="D133" i="21"/>
  <c r="AP132" i="21"/>
  <c r="AJ132" i="21"/>
  <c r="AI132" i="21"/>
  <c r="AO132" i="21" s="1"/>
  <c r="AH132" i="21"/>
  <c r="AN132" i="21" s="1"/>
  <c r="AG132" i="21"/>
  <c r="AM132" i="21" s="1"/>
  <c r="F132" i="21"/>
  <c r="E132" i="21"/>
  <c r="D132" i="21"/>
  <c r="AJ131" i="21"/>
  <c r="AP131" i="21" s="1"/>
  <c r="AI131" i="21"/>
  <c r="AO131" i="21" s="1"/>
  <c r="AH131" i="21"/>
  <c r="AN131" i="21" s="1"/>
  <c r="AG131" i="21"/>
  <c r="AM131" i="21" s="1"/>
  <c r="F131" i="21"/>
  <c r="E131" i="21"/>
  <c r="D131" i="21"/>
  <c r="AP130" i="21"/>
  <c r="AJ130" i="21"/>
  <c r="AI130" i="21"/>
  <c r="AO130" i="21" s="1"/>
  <c r="AH130" i="21"/>
  <c r="AN130" i="21" s="1"/>
  <c r="AG130" i="21"/>
  <c r="AM130" i="21" s="1"/>
  <c r="F130" i="21"/>
  <c r="E130" i="21"/>
  <c r="D130" i="21"/>
  <c r="AJ129" i="21"/>
  <c r="AP129" i="21" s="1"/>
  <c r="AI129" i="21"/>
  <c r="AO129" i="21" s="1"/>
  <c r="AH129" i="21"/>
  <c r="AN129" i="21" s="1"/>
  <c r="AG129" i="21"/>
  <c r="AM129" i="21" s="1"/>
  <c r="F129" i="21"/>
  <c r="E129" i="21"/>
  <c r="D129" i="21"/>
  <c r="AP128" i="21"/>
  <c r="AJ128" i="21"/>
  <c r="AI128" i="21"/>
  <c r="AO128" i="21" s="1"/>
  <c r="AH128" i="21"/>
  <c r="AN128" i="21" s="1"/>
  <c r="AG128" i="21"/>
  <c r="AM128" i="21" s="1"/>
  <c r="F128" i="21"/>
  <c r="E128" i="21"/>
  <c r="D128" i="21"/>
  <c r="AJ127" i="21"/>
  <c r="AP127" i="21" s="1"/>
  <c r="AI127" i="21"/>
  <c r="AO127" i="21" s="1"/>
  <c r="AH127" i="21"/>
  <c r="AN127" i="21" s="1"/>
  <c r="AG127" i="21"/>
  <c r="AM127" i="21" s="1"/>
  <c r="F127" i="21"/>
  <c r="E127" i="21"/>
  <c r="D127" i="21"/>
  <c r="AP126" i="21"/>
  <c r="AJ126" i="21"/>
  <c r="AI126" i="21"/>
  <c r="AO126" i="21" s="1"/>
  <c r="AH126" i="21"/>
  <c r="AN126" i="21" s="1"/>
  <c r="AG126" i="21"/>
  <c r="AM126" i="21" s="1"/>
  <c r="F126" i="21"/>
  <c r="E126" i="21"/>
  <c r="D126" i="21"/>
  <c r="AJ125" i="21"/>
  <c r="AP125" i="21" s="1"/>
  <c r="AI125" i="21"/>
  <c r="AO125" i="21" s="1"/>
  <c r="AH125" i="21"/>
  <c r="AN125" i="21" s="1"/>
  <c r="AG125" i="21"/>
  <c r="AM125" i="21" s="1"/>
  <c r="F125" i="21"/>
  <c r="E125" i="21"/>
  <c r="D125" i="21"/>
  <c r="AP124" i="21"/>
  <c r="AJ124" i="21"/>
  <c r="AI124" i="21"/>
  <c r="AO124" i="21" s="1"/>
  <c r="AH124" i="21"/>
  <c r="AN124" i="21" s="1"/>
  <c r="AG124" i="21"/>
  <c r="AM124" i="21" s="1"/>
  <c r="F124" i="21"/>
  <c r="E124" i="21"/>
  <c r="D124" i="21"/>
  <c r="AJ123" i="21"/>
  <c r="AP123" i="21" s="1"/>
  <c r="AI123" i="21"/>
  <c r="AO123" i="21" s="1"/>
  <c r="AH123" i="21"/>
  <c r="AN123" i="21" s="1"/>
  <c r="AG123" i="21"/>
  <c r="AM123" i="21" s="1"/>
  <c r="F123" i="21"/>
  <c r="E123" i="21"/>
  <c r="D123" i="21"/>
  <c r="AJ122" i="21"/>
  <c r="AP122" i="21" s="1"/>
  <c r="AI122" i="21"/>
  <c r="AO122" i="21" s="1"/>
  <c r="AH122" i="21"/>
  <c r="AN122" i="21" s="1"/>
  <c r="AG122" i="21"/>
  <c r="F122" i="21"/>
  <c r="E122" i="21"/>
  <c r="D122" i="21"/>
  <c r="AP121" i="21"/>
  <c r="AJ121" i="21"/>
  <c r="AI121" i="21"/>
  <c r="AO121" i="21" s="1"/>
  <c r="AH121" i="21"/>
  <c r="AN121" i="21" s="1"/>
  <c r="AG121" i="21"/>
  <c r="AM121" i="21" s="1"/>
  <c r="F121" i="21"/>
  <c r="E121" i="21"/>
  <c r="D121" i="21"/>
  <c r="AJ120" i="21"/>
  <c r="AP120" i="21" s="1"/>
  <c r="AI120" i="21"/>
  <c r="AO120" i="21" s="1"/>
  <c r="AH120" i="21"/>
  <c r="AN120" i="21" s="1"/>
  <c r="AG120" i="21"/>
  <c r="F120" i="21"/>
  <c r="E120" i="21"/>
  <c r="D120" i="21"/>
  <c r="AP119" i="21"/>
  <c r="AJ119" i="21"/>
  <c r="AI119" i="21"/>
  <c r="AO119" i="21" s="1"/>
  <c r="AH119" i="21"/>
  <c r="AN119" i="21" s="1"/>
  <c r="AG119" i="21"/>
  <c r="AM119" i="21" s="1"/>
  <c r="F119" i="21"/>
  <c r="E119" i="21"/>
  <c r="D119" i="21"/>
  <c r="AP118" i="21"/>
  <c r="AJ118" i="21"/>
  <c r="AI118" i="21"/>
  <c r="AO118" i="21" s="1"/>
  <c r="AH118" i="21"/>
  <c r="AN118" i="21" s="1"/>
  <c r="AG118" i="21"/>
  <c r="AM118" i="21" s="1"/>
  <c r="F118" i="21"/>
  <c r="E118" i="21"/>
  <c r="D118" i="21"/>
  <c r="AJ117" i="21"/>
  <c r="AP117" i="21" s="1"/>
  <c r="AI117" i="21"/>
  <c r="AO117" i="21" s="1"/>
  <c r="AH117" i="21"/>
  <c r="AN117" i="21" s="1"/>
  <c r="AG117" i="21"/>
  <c r="AM117" i="21" s="1"/>
  <c r="F117" i="21"/>
  <c r="E117" i="21"/>
  <c r="D117" i="21"/>
  <c r="AP116" i="21"/>
  <c r="AJ116" i="21"/>
  <c r="AI116" i="21"/>
  <c r="AO116" i="21" s="1"/>
  <c r="AH116" i="21"/>
  <c r="AN116" i="21" s="1"/>
  <c r="AG116" i="21"/>
  <c r="AM116" i="21" s="1"/>
  <c r="F116" i="21"/>
  <c r="E116" i="21"/>
  <c r="D116" i="21"/>
  <c r="AO115" i="21"/>
  <c r="AJ115" i="21"/>
  <c r="AP115" i="21" s="1"/>
  <c r="AI115" i="21"/>
  <c r="AH115" i="21"/>
  <c r="AN115" i="21" s="1"/>
  <c r="AG115" i="21"/>
  <c r="F115" i="21"/>
  <c r="E115" i="21"/>
  <c r="D115" i="21"/>
  <c r="AP114" i="21"/>
  <c r="AJ114" i="21"/>
  <c r="AI114" i="21"/>
  <c r="AO114" i="21" s="1"/>
  <c r="AH114" i="21"/>
  <c r="AN114" i="21" s="1"/>
  <c r="AG114" i="21"/>
  <c r="AM114" i="21" s="1"/>
  <c r="F114" i="21"/>
  <c r="E114" i="21"/>
  <c r="D114" i="21"/>
  <c r="AO113" i="21"/>
  <c r="AJ113" i="21"/>
  <c r="AP113" i="21" s="1"/>
  <c r="AI113" i="21"/>
  <c r="AH113" i="21"/>
  <c r="AN113" i="21" s="1"/>
  <c r="AG113" i="21"/>
  <c r="AM113" i="21" s="1"/>
  <c r="F113" i="21"/>
  <c r="E113" i="21"/>
  <c r="D113" i="21"/>
  <c r="AP112" i="21"/>
  <c r="AJ112" i="21"/>
  <c r="AI112" i="21"/>
  <c r="AO112" i="21" s="1"/>
  <c r="AH112" i="21"/>
  <c r="AN112" i="21" s="1"/>
  <c r="AG112" i="21"/>
  <c r="AM112" i="21" s="1"/>
  <c r="F112" i="21"/>
  <c r="E112" i="21"/>
  <c r="D112" i="21"/>
  <c r="AP111" i="21"/>
  <c r="AJ111" i="21"/>
  <c r="AI111" i="21"/>
  <c r="AO111" i="21" s="1"/>
  <c r="AH111" i="21"/>
  <c r="AN111" i="21" s="1"/>
  <c r="AG111" i="21"/>
  <c r="AM111" i="21" s="1"/>
  <c r="F111" i="21"/>
  <c r="E111" i="21"/>
  <c r="D111" i="21"/>
  <c r="AP110" i="21"/>
  <c r="AJ110" i="21"/>
  <c r="AI110" i="21"/>
  <c r="AO110" i="21" s="1"/>
  <c r="AH110" i="21"/>
  <c r="AN110" i="21" s="1"/>
  <c r="AG110" i="21"/>
  <c r="AM110" i="21" s="1"/>
  <c r="F110" i="21"/>
  <c r="E110" i="21"/>
  <c r="D110" i="21"/>
  <c r="AP109" i="21"/>
  <c r="AJ109" i="21"/>
  <c r="AI109" i="21"/>
  <c r="AO109" i="21" s="1"/>
  <c r="AH109" i="21"/>
  <c r="AN109" i="21" s="1"/>
  <c r="AG109" i="21"/>
  <c r="AM109" i="21" s="1"/>
  <c r="F109" i="21"/>
  <c r="E109" i="21"/>
  <c r="D109" i="21"/>
  <c r="AP108" i="21"/>
  <c r="AJ108" i="21"/>
  <c r="AI108" i="21"/>
  <c r="AO108" i="21" s="1"/>
  <c r="AH108" i="21"/>
  <c r="AN108" i="21" s="1"/>
  <c r="AG108" i="21"/>
  <c r="AM108" i="21" s="1"/>
  <c r="F108" i="21"/>
  <c r="E108" i="21"/>
  <c r="D108" i="21"/>
  <c r="AP107" i="21"/>
  <c r="AJ107" i="21"/>
  <c r="AI107" i="21"/>
  <c r="AO107" i="21" s="1"/>
  <c r="AH107" i="21"/>
  <c r="AN107" i="21" s="1"/>
  <c r="AG107" i="21"/>
  <c r="AM107" i="21" s="1"/>
  <c r="F107" i="21"/>
  <c r="E107" i="21"/>
  <c r="D107" i="21"/>
  <c r="AP106" i="21"/>
  <c r="AJ106" i="21"/>
  <c r="AI106" i="21"/>
  <c r="AO106" i="21" s="1"/>
  <c r="AH106" i="21"/>
  <c r="AN106" i="21" s="1"/>
  <c r="AG106" i="21"/>
  <c r="AM106" i="21" s="1"/>
  <c r="F106" i="21"/>
  <c r="E106" i="21"/>
  <c r="D106" i="21"/>
  <c r="AP105" i="21"/>
  <c r="AJ105" i="21"/>
  <c r="AI105" i="21"/>
  <c r="AO105" i="21" s="1"/>
  <c r="AH105" i="21"/>
  <c r="AN105" i="21" s="1"/>
  <c r="AG105" i="21"/>
  <c r="AM105" i="21" s="1"/>
  <c r="F105" i="21"/>
  <c r="E105" i="21"/>
  <c r="D105" i="21"/>
  <c r="AP104" i="21"/>
  <c r="AJ104" i="21"/>
  <c r="AI104" i="21"/>
  <c r="AO104" i="21" s="1"/>
  <c r="AH104" i="21"/>
  <c r="AN104" i="21" s="1"/>
  <c r="AG104" i="21"/>
  <c r="AM104" i="21" s="1"/>
  <c r="F104" i="21"/>
  <c r="E104" i="21"/>
  <c r="D104" i="21"/>
  <c r="AP103" i="21"/>
  <c r="AJ103" i="21"/>
  <c r="AI103" i="21"/>
  <c r="AO103" i="21" s="1"/>
  <c r="AH103" i="21"/>
  <c r="AN103" i="21" s="1"/>
  <c r="AG103" i="21"/>
  <c r="AM103" i="21" s="1"/>
  <c r="F103" i="21"/>
  <c r="E103" i="21"/>
  <c r="D103" i="21"/>
  <c r="AP102" i="21"/>
  <c r="AJ102" i="21"/>
  <c r="AI102" i="21"/>
  <c r="AO102" i="21" s="1"/>
  <c r="AH102" i="21"/>
  <c r="AN102" i="21" s="1"/>
  <c r="AG102" i="21"/>
  <c r="AM102" i="21" s="1"/>
  <c r="F102" i="21"/>
  <c r="E102" i="21"/>
  <c r="D102" i="21"/>
  <c r="AP101" i="21"/>
  <c r="AJ101" i="21"/>
  <c r="AI101" i="21"/>
  <c r="AO101" i="21" s="1"/>
  <c r="AH101" i="21"/>
  <c r="AN101" i="21" s="1"/>
  <c r="AG101" i="21"/>
  <c r="AM101" i="21" s="1"/>
  <c r="F101" i="21"/>
  <c r="E101" i="21"/>
  <c r="D101" i="21"/>
  <c r="AP100" i="21"/>
  <c r="AJ100" i="21"/>
  <c r="AI100" i="21"/>
  <c r="AO100" i="21" s="1"/>
  <c r="AH100" i="21"/>
  <c r="AN100" i="21" s="1"/>
  <c r="AG100" i="21"/>
  <c r="AM100" i="21" s="1"/>
  <c r="F100" i="21"/>
  <c r="E100" i="21"/>
  <c r="D100" i="21"/>
  <c r="AP99" i="21"/>
  <c r="AJ99" i="21"/>
  <c r="AI99" i="21"/>
  <c r="AO99" i="21" s="1"/>
  <c r="AH99" i="21"/>
  <c r="AN99" i="21" s="1"/>
  <c r="AG99" i="21"/>
  <c r="AM99" i="21" s="1"/>
  <c r="F99" i="21"/>
  <c r="E99" i="21"/>
  <c r="D99" i="21"/>
  <c r="AP98" i="21"/>
  <c r="AJ98" i="21"/>
  <c r="AI98" i="21"/>
  <c r="AO98" i="21" s="1"/>
  <c r="AH98" i="21"/>
  <c r="AN98" i="21" s="1"/>
  <c r="AG98" i="21"/>
  <c r="AM98" i="21" s="1"/>
  <c r="F98" i="21"/>
  <c r="E98" i="21"/>
  <c r="D98" i="21"/>
  <c r="AP97" i="21"/>
  <c r="AJ97" i="21"/>
  <c r="AI97" i="21"/>
  <c r="AO97" i="21" s="1"/>
  <c r="AH97" i="21"/>
  <c r="AN97" i="21" s="1"/>
  <c r="AG97" i="21"/>
  <c r="AM97" i="21" s="1"/>
  <c r="F97" i="21"/>
  <c r="E97" i="21"/>
  <c r="D97" i="21"/>
  <c r="AJ96" i="21"/>
  <c r="AP96" i="21" s="1"/>
  <c r="AI96" i="21"/>
  <c r="AO96" i="21" s="1"/>
  <c r="AH96" i="21"/>
  <c r="AN96" i="21" s="1"/>
  <c r="AG96" i="21"/>
  <c r="F96" i="21"/>
  <c r="E96" i="21"/>
  <c r="D96" i="21"/>
  <c r="AJ95" i="21"/>
  <c r="AP95" i="21" s="1"/>
  <c r="AI95" i="21"/>
  <c r="AO95" i="21" s="1"/>
  <c r="AH95" i="21"/>
  <c r="AN95" i="21" s="1"/>
  <c r="AG95" i="21"/>
  <c r="AM95" i="21" s="1"/>
  <c r="F95" i="21"/>
  <c r="E95" i="21"/>
  <c r="D95" i="21"/>
  <c r="AJ94" i="21"/>
  <c r="AP94" i="21" s="1"/>
  <c r="AI94" i="21"/>
  <c r="AO94" i="21" s="1"/>
  <c r="AH94" i="21"/>
  <c r="AN94" i="21" s="1"/>
  <c r="AG94" i="21"/>
  <c r="AM94" i="21" s="1"/>
  <c r="F94" i="21"/>
  <c r="E94" i="21"/>
  <c r="D94" i="21"/>
  <c r="AJ93" i="21"/>
  <c r="AP93" i="21" s="1"/>
  <c r="AI93" i="21"/>
  <c r="AO93" i="21" s="1"/>
  <c r="AH93" i="21"/>
  <c r="AN93" i="21" s="1"/>
  <c r="AG93" i="21"/>
  <c r="AM93" i="21" s="1"/>
  <c r="F93" i="21"/>
  <c r="E93" i="21"/>
  <c r="D93" i="21"/>
  <c r="AJ92" i="21"/>
  <c r="AP92" i="21" s="1"/>
  <c r="AI92" i="21"/>
  <c r="AO92" i="21" s="1"/>
  <c r="AH92" i="21"/>
  <c r="AN92" i="21" s="1"/>
  <c r="AG92" i="21"/>
  <c r="F92" i="21"/>
  <c r="E92" i="21"/>
  <c r="D92" i="21"/>
  <c r="AP91" i="21"/>
  <c r="AJ91" i="21"/>
  <c r="AI91" i="21"/>
  <c r="AO91" i="21" s="1"/>
  <c r="AH91" i="21"/>
  <c r="AN91" i="21" s="1"/>
  <c r="AG91" i="21"/>
  <c r="AM91" i="21" s="1"/>
  <c r="F91" i="21"/>
  <c r="E91" i="21"/>
  <c r="D91" i="21"/>
  <c r="AJ90" i="21"/>
  <c r="AP90" i="21" s="1"/>
  <c r="AI90" i="21"/>
  <c r="AO90" i="21" s="1"/>
  <c r="AH90" i="21"/>
  <c r="AN90" i="21" s="1"/>
  <c r="AG90" i="21"/>
  <c r="F90" i="21"/>
  <c r="E90" i="21"/>
  <c r="D90" i="21"/>
  <c r="AP89" i="21"/>
  <c r="AJ89" i="21"/>
  <c r="AI89" i="21"/>
  <c r="AO89" i="21" s="1"/>
  <c r="AH89" i="21"/>
  <c r="AN89" i="21" s="1"/>
  <c r="AG89" i="21"/>
  <c r="AM89" i="21" s="1"/>
  <c r="F89" i="21"/>
  <c r="E89" i="21"/>
  <c r="D89" i="21"/>
  <c r="AJ88" i="21"/>
  <c r="AP88" i="21" s="1"/>
  <c r="AI88" i="21"/>
  <c r="AO88" i="21" s="1"/>
  <c r="AH88" i="21"/>
  <c r="AN88" i="21" s="1"/>
  <c r="AG88" i="21"/>
  <c r="F88" i="21"/>
  <c r="E88" i="21"/>
  <c r="D88" i="21"/>
  <c r="AJ87" i="21"/>
  <c r="AP87" i="21" s="1"/>
  <c r="AI87" i="21"/>
  <c r="AO87" i="21" s="1"/>
  <c r="AH87" i="21"/>
  <c r="AN87" i="21" s="1"/>
  <c r="AG87" i="21"/>
  <c r="AM87" i="21" s="1"/>
  <c r="F87" i="21"/>
  <c r="E87" i="21"/>
  <c r="D87" i="21"/>
  <c r="AJ86" i="21"/>
  <c r="AP86" i="21" s="1"/>
  <c r="AI86" i="21"/>
  <c r="AO86" i="21" s="1"/>
  <c r="AH86" i="21"/>
  <c r="AN86" i="21" s="1"/>
  <c r="AG86" i="21"/>
  <c r="F86" i="21"/>
  <c r="E86" i="21"/>
  <c r="D86" i="21"/>
  <c r="AJ85" i="21"/>
  <c r="AP85" i="21" s="1"/>
  <c r="AI85" i="21"/>
  <c r="AO85" i="21" s="1"/>
  <c r="AH85" i="21"/>
  <c r="AN85" i="21" s="1"/>
  <c r="AG85" i="21"/>
  <c r="AM85" i="21" s="1"/>
  <c r="F85" i="21"/>
  <c r="E85" i="21"/>
  <c r="D85" i="21"/>
  <c r="AJ84" i="21"/>
  <c r="AP84" i="21" s="1"/>
  <c r="AI84" i="21"/>
  <c r="AO84" i="21" s="1"/>
  <c r="AH84" i="21"/>
  <c r="AN84" i="21" s="1"/>
  <c r="AG84" i="21"/>
  <c r="AM84" i="21" s="1"/>
  <c r="F84" i="21"/>
  <c r="E84" i="21"/>
  <c r="D84" i="21"/>
  <c r="AJ83" i="21"/>
  <c r="AP83" i="21" s="1"/>
  <c r="AI83" i="21"/>
  <c r="AO83" i="21" s="1"/>
  <c r="AH83" i="21"/>
  <c r="AN83" i="21" s="1"/>
  <c r="AG83" i="21"/>
  <c r="F83" i="21"/>
  <c r="E83" i="21"/>
  <c r="D83" i="21"/>
  <c r="AP82" i="21"/>
  <c r="AJ82" i="21"/>
  <c r="AI82" i="21"/>
  <c r="AO82" i="21" s="1"/>
  <c r="AH82" i="21"/>
  <c r="AN82" i="21" s="1"/>
  <c r="AG82" i="21"/>
  <c r="AM82" i="21" s="1"/>
  <c r="F82" i="21"/>
  <c r="E82" i="21"/>
  <c r="D82" i="21"/>
  <c r="AJ81" i="21"/>
  <c r="AP81" i="21" s="1"/>
  <c r="AI81" i="21"/>
  <c r="AO81" i="21" s="1"/>
  <c r="AH81" i="21"/>
  <c r="AN81" i="21" s="1"/>
  <c r="AG81" i="21"/>
  <c r="F81" i="21"/>
  <c r="E81" i="21"/>
  <c r="D81" i="21"/>
  <c r="AJ80" i="21"/>
  <c r="AP80" i="21" s="1"/>
  <c r="AI80" i="21"/>
  <c r="AO80" i="21" s="1"/>
  <c r="AH80" i="21"/>
  <c r="AN80" i="21" s="1"/>
  <c r="AG80" i="21"/>
  <c r="F80" i="21"/>
  <c r="E80" i="21"/>
  <c r="D80" i="21"/>
  <c r="AJ79" i="21"/>
  <c r="AP79" i="21" s="1"/>
  <c r="AI79" i="21"/>
  <c r="AO79" i="21" s="1"/>
  <c r="AH79" i="21"/>
  <c r="AN79" i="21" s="1"/>
  <c r="AG79" i="21"/>
  <c r="AM79" i="21" s="1"/>
  <c r="F79" i="21"/>
  <c r="E79" i="21"/>
  <c r="D79" i="21"/>
  <c r="AJ78" i="21"/>
  <c r="AP78" i="21" s="1"/>
  <c r="AI78" i="21"/>
  <c r="AO78" i="21" s="1"/>
  <c r="AH78" i="21"/>
  <c r="AN78" i="21" s="1"/>
  <c r="AG78" i="21"/>
  <c r="F78" i="21"/>
  <c r="E78" i="21"/>
  <c r="D78" i="21"/>
  <c r="AJ77" i="21"/>
  <c r="AP77" i="21" s="1"/>
  <c r="AI77" i="21"/>
  <c r="AO77" i="21" s="1"/>
  <c r="AH77" i="21"/>
  <c r="AN77" i="21" s="1"/>
  <c r="AG77" i="21"/>
  <c r="AM77" i="21" s="1"/>
  <c r="F77" i="21"/>
  <c r="E77" i="21"/>
  <c r="D77" i="21"/>
  <c r="AJ76" i="21"/>
  <c r="AP76" i="21" s="1"/>
  <c r="AI76" i="21"/>
  <c r="AO76" i="21" s="1"/>
  <c r="AH76" i="21"/>
  <c r="AN76" i="21" s="1"/>
  <c r="AG76" i="21"/>
  <c r="F76" i="21"/>
  <c r="E76" i="21"/>
  <c r="D76" i="21"/>
  <c r="AJ75" i="21"/>
  <c r="AP75" i="21" s="1"/>
  <c r="AI75" i="21"/>
  <c r="AO75" i="21" s="1"/>
  <c r="AH75" i="21"/>
  <c r="AN75" i="21" s="1"/>
  <c r="AG75" i="21"/>
  <c r="F75" i="21"/>
  <c r="E75" i="21"/>
  <c r="D75" i="21"/>
  <c r="AJ74" i="21"/>
  <c r="AP74" i="21" s="1"/>
  <c r="AI74" i="21"/>
  <c r="AO74" i="21" s="1"/>
  <c r="AH74" i="21"/>
  <c r="AN74" i="21" s="1"/>
  <c r="AG74" i="21"/>
  <c r="AM74" i="21" s="1"/>
  <c r="F74" i="21"/>
  <c r="E74" i="21"/>
  <c r="D74" i="21"/>
  <c r="AJ73" i="21"/>
  <c r="AP73" i="21" s="1"/>
  <c r="AI73" i="21"/>
  <c r="AO73" i="21" s="1"/>
  <c r="AH73" i="21"/>
  <c r="AN73" i="21" s="1"/>
  <c r="AG73" i="21"/>
  <c r="F73" i="21"/>
  <c r="E73" i="21"/>
  <c r="D73" i="21"/>
  <c r="AJ72" i="21"/>
  <c r="AP72" i="21" s="1"/>
  <c r="AI72" i="21"/>
  <c r="AO72" i="21" s="1"/>
  <c r="AH72" i="21"/>
  <c r="AN72" i="21" s="1"/>
  <c r="AG72" i="21"/>
  <c r="AM72" i="21" s="1"/>
  <c r="F72" i="21"/>
  <c r="E72" i="21"/>
  <c r="D72" i="21"/>
  <c r="AJ71" i="21"/>
  <c r="AP71" i="21" s="1"/>
  <c r="AI71" i="21"/>
  <c r="AO71" i="21" s="1"/>
  <c r="AH71" i="21"/>
  <c r="AN71" i="21" s="1"/>
  <c r="AG71" i="21"/>
  <c r="F71" i="21"/>
  <c r="E71" i="21"/>
  <c r="D71" i="21"/>
  <c r="AJ70" i="21"/>
  <c r="AP70" i="21" s="1"/>
  <c r="AI70" i="21"/>
  <c r="AO70" i="21" s="1"/>
  <c r="AH70" i="21"/>
  <c r="AN70" i="21" s="1"/>
  <c r="AG70" i="21"/>
  <c r="F70" i="21"/>
  <c r="E70" i="21"/>
  <c r="D70" i="21"/>
  <c r="AP68" i="21"/>
  <c r="AJ68" i="21"/>
  <c r="AI68" i="21"/>
  <c r="AO68" i="21" s="1"/>
  <c r="AH68" i="21"/>
  <c r="AN68" i="21" s="1"/>
  <c r="AG68" i="21"/>
  <c r="AM68" i="21" s="1"/>
  <c r="F68" i="21"/>
  <c r="E68" i="21"/>
  <c r="D68" i="21"/>
  <c r="AJ67" i="21"/>
  <c r="AP67" i="21" s="1"/>
  <c r="AI67" i="21"/>
  <c r="AO67" i="21" s="1"/>
  <c r="AH67" i="21"/>
  <c r="AN67" i="21" s="1"/>
  <c r="AG67" i="21"/>
  <c r="F67" i="21"/>
  <c r="E67" i="21"/>
  <c r="D67" i="21"/>
  <c r="AJ66" i="21"/>
  <c r="AP66" i="21" s="1"/>
  <c r="AI66" i="21"/>
  <c r="AO66" i="21" s="1"/>
  <c r="AH66" i="21"/>
  <c r="AN66" i="21" s="1"/>
  <c r="AG66" i="21"/>
  <c r="AM66" i="21" s="1"/>
  <c r="F66" i="21"/>
  <c r="E66" i="21"/>
  <c r="D66" i="21"/>
  <c r="AJ65" i="21"/>
  <c r="AP65" i="21" s="1"/>
  <c r="AI65" i="21"/>
  <c r="AO65" i="21" s="1"/>
  <c r="AH65" i="21"/>
  <c r="AN65" i="21" s="1"/>
  <c r="AG65" i="21"/>
  <c r="F65" i="21"/>
  <c r="E65" i="21"/>
  <c r="D65" i="21"/>
  <c r="AJ64" i="21"/>
  <c r="AP64" i="21" s="1"/>
  <c r="AI64" i="21"/>
  <c r="AO64" i="21" s="1"/>
  <c r="AH64" i="21"/>
  <c r="AN64" i="21" s="1"/>
  <c r="AG64" i="21"/>
  <c r="AM64" i="21" s="1"/>
  <c r="F64" i="21"/>
  <c r="E64" i="21"/>
  <c r="D64" i="21"/>
  <c r="AJ63" i="21"/>
  <c r="AP63" i="21" s="1"/>
  <c r="AI63" i="21"/>
  <c r="AO63" i="21" s="1"/>
  <c r="AH63" i="21"/>
  <c r="AN63" i="21" s="1"/>
  <c r="AG63" i="21"/>
  <c r="AM63" i="21" s="1"/>
  <c r="F63" i="21"/>
  <c r="E63" i="21"/>
  <c r="D63" i="21"/>
  <c r="AP62" i="21"/>
  <c r="AJ62" i="21"/>
  <c r="AI62" i="21"/>
  <c r="AO62" i="21" s="1"/>
  <c r="AH62" i="21"/>
  <c r="AN62" i="21" s="1"/>
  <c r="AG62" i="21"/>
  <c r="AM62" i="21" s="1"/>
  <c r="F62" i="21"/>
  <c r="E62" i="21"/>
  <c r="D62" i="21"/>
  <c r="AJ61" i="21"/>
  <c r="AP61" i="21" s="1"/>
  <c r="AI61" i="21"/>
  <c r="AO61" i="21" s="1"/>
  <c r="AH61" i="21"/>
  <c r="AN61" i="21" s="1"/>
  <c r="AG61" i="21"/>
  <c r="F61" i="21"/>
  <c r="E61" i="21"/>
  <c r="D61" i="21"/>
  <c r="AJ60" i="21"/>
  <c r="AP60" i="21" s="1"/>
  <c r="AI60" i="21"/>
  <c r="AO60" i="21" s="1"/>
  <c r="AH60" i="21"/>
  <c r="AN60" i="21" s="1"/>
  <c r="AG60" i="21"/>
  <c r="F60" i="21"/>
  <c r="E60" i="21"/>
  <c r="D60" i="21"/>
  <c r="AJ59" i="21"/>
  <c r="AP59" i="21" s="1"/>
  <c r="AI59" i="21"/>
  <c r="AO59" i="21" s="1"/>
  <c r="AH59" i="21"/>
  <c r="AN59" i="21" s="1"/>
  <c r="AG59" i="21"/>
  <c r="AM59" i="21" s="1"/>
  <c r="F59" i="21"/>
  <c r="E59" i="21"/>
  <c r="D59" i="21"/>
  <c r="AJ58" i="21"/>
  <c r="AP58" i="21" s="1"/>
  <c r="AI58" i="21"/>
  <c r="AO58" i="21" s="1"/>
  <c r="AH58" i="21"/>
  <c r="AN58" i="21" s="1"/>
  <c r="AG58" i="21"/>
  <c r="AM58" i="21" s="1"/>
  <c r="F58" i="21"/>
  <c r="E58" i="21"/>
  <c r="D58" i="21"/>
  <c r="AJ57" i="21"/>
  <c r="AP57" i="21" s="1"/>
  <c r="AI57" i="21"/>
  <c r="AO57" i="21" s="1"/>
  <c r="AH57" i="21"/>
  <c r="AN57" i="21" s="1"/>
  <c r="AG57" i="21"/>
  <c r="AM57" i="21" s="1"/>
  <c r="F57" i="21"/>
  <c r="E57" i="21"/>
  <c r="D57" i="21"/>
  <c r="AJ56" i="21"/>
  <c r="AP56" i="21" s="1"/>
  <c r="AI56" i="21"/>
  <c r="AO56" i="21" s="1"/>
  <c r="AH56" i="21"/>
  <c r="AN56" i="21" s="1"/>
  <c r="AG56" i="21"/>
  <c r="F56" i="21"/>
  <c r="E56" i="21"/>
  <c r="D56" i="21"/>
  <c r="AJ55" i="21"/>
  <c r="AP55" i="21" s="1"/>
  <c r="AI55" i="21"/>
  <c r="AO55" i="21" s="1"/>
  <c r="AH55" i="21"/>
  <c r="AN55" i="21" s="1"/>
  <c r="AG55" i="21"/>
  <c r="F55" i="21"/>
  <c r="E55" i="21"/>
  <c r="D55" i="21"/>
  <c r="AP54" i="21"/>
  <c r="AJ54" i="21"/>
  <c r="AI54" i="21"/>
  <c r="AO54" i="21" s="1"/>
  <c r="AH54" i="21"/>
  <c r="AN54" i="21" s="1"/>
  <c r="AG54" i="21"/>
  <c r="AM54" i="21" s="1"/>
  <c r="F54" i="21"/>
  <c r="E54" i="21"/>
  <c r="D54" i="21"/>
  <c r="AP53" i="21"/>
  <c r="AJ53" i="21"/>
  <c r="AI53" i="21"/>
  <c r="AO53" i="21" s="1"/>
  <c r="AH53" i="21"/>
  <c r="AN53" i="21" s="1"/>
  <c r="AG53" i="21"/>
  <c r="AM53" i="21" s="1"/>
  <c r="F53" i="21"/>
  <c r="E53" i="21"/>
  <c r="D53" i="21"/>
  <c r="AP52" i="21"/>
  <c r="AJ52" i="21"/>
  <c r="AI52" i="21"/>
  <c r="AO52" i="21" s="1"/>
  <c r="AH52" i="21"/>
  <c r="AN52" i="21" s="1"/>
  <c r="AG52" i="21"/>
  <c r="AM52" i="21" s="1"/>
  <c r="F52" i="21"/>
  <c r="E52" i="21"/>
  <c r="D52" i="21"/>
  <c r="AP51" i="21"/>
  <c r="AJ51" i="21"/>
  <c r="AI51" i="21"/>
  <c r="AO51" i="21" s="1"/>
  <c r="AH51" i="21"/>
  <c r="AN51" i="21" s="1"/>
  <c r="AG51" i="21"/>
  <c r="AM51" i="21" s="1"/>
  <c r="F51" i="21"/>
  <c r="E51" i="21"/>
  <c r="D51" i="21"/>
  <c r="AP50" i="21"/>
  <c r="AJ50" i="21"/>
  <c r="AI50" i="21"/>
  <c r="AO50" i="21" s="1"/>
  <c r="AH50" i="21"/>
  <c r="AN50" i="21" s="1"/>
  <c r="AG50" i="21"/>
  <c r="AM50" i="21" s="1"/>
  <c r="F50" i="21"/>
  <c r="E50" i="21"/>
  <c r="D50" i="21"/>
  <c r="AP49" i="21"/>
  <c r="AJ49" i="21"/>
  <c r="AI49" i="21"/>
  <c r="AO49" i="21" s="1"/>
  <c r="AH49" i="21"/>
  <c r="AN49" i="21" s="1"/>
  <c r="AG49" i="21"/>
  <c r="AM49" i="21" s="1"/>
  <c r="F49" i="21"/>
  <c r="E49" i="21"/>
  <c r="D49" i="21"/>
  <c r="AJ48" i="21"/>
  <c r="AP48" i="21" s="1"/>
  <c r="AI48" i="21"/>
  <c r="AO48" i="21" s="1"/>
  <c r="AH48" i="21"/>
  <c r="AN48" i="21" s="1"/>
  <c r="AG48" i="21"/>
  <c r="AM48" i="21" s="1"/>
  <c r="F48" i="21"/>
  <c r="E48" i="21"/>
  <c r="D48" i="21"/>
  <c r="AP47" i="21"/>
  <c r="AJ47" i="21"/>
  <c r="AI47" i="21"/>
  <c r="AO47" i="21" s="1"/>
  <c r="AH47" i="21"/>
  <c r="AN47" i="21" s="1"/>
  <c r="AG47" i="21"/>
  <c r="AM47" i="21" s="1"/>
  <c r="F47" i="21"/>
  <c r="E47" i="21"/>
  <c r="D47" i="21"/>
  <c r="AJ46" i="21"/>
  <c r="AP46" i="21" s="1"/>
  <c r="AI46" i="21"/>
  <c r="AO46" i="21" s="1"/>
  <c r="AH46" i="21"/>
  <c r="AN46" i="21" s="1"/>
  <c r="AG46" i="21"/>
  <c r="F46" i="21"/>
  <c r="E46" i="21"/>
  <c r="D46" i="21"/>
  <c r="AJ45" i="21"/>
  <c r="AP45" i="21" s="1"/>
  <c r="AI45" i="21"/>
  <c r="AO45" i="21" s="1"/>
  <c r="AH45" i="21"/>
  <c r="AN45" i="21" s="1"/>
  <c r="AG45" i="21"/>
  <c r="AM45" i="21" s="1"/>
  <c r="F45" i="21"/>
  <c r="E45" i="21"/>
  <c r="D45" i="21"/>
  <c r="AP44" i="21"/>
  <c r="AJ44" i="21"/>
  <c r="AI44" i="21"/>
  <c r="AO44" i="21" s="1"/>
  <c r="AH44" i="21"/>
  <c r="AN44" i="21" s="1"/>
  <c r="AG44" i="21"/>
  <c r="AM44" i="21" s="1"/>
  <c r="F44" i="21"/>
  <c r="E44" i="21"/>
  <c r="D44" i="21"/>
  <c r="AJ43" i="21"/>
  <c r="AP43" i="21" s="1"/>
  <c r="AI43" i="21"/>
  <c r="AO43" i="21" s="1"/>
  <c r="AH43" i="21"/>
  <c r="AN43" i="21" s="1"/>
  <c r="AG43" i="21"/>
  <c r="F43" i="21"/>
  <c r="E43" i="21"/>
  <c r="D43" i="21"/>
  <c r="AJ42" i="21"/>
  <c r="AP42" i="21" s="1"/>
  <c r="AI42" i="21"/>
  <c r="AO42" i="21" s="1"/>
  <c r="AH42" i="21"/>
  <c r="AN42" i="21" s="1"/>
  <c r="AG42" i="21"/>
  <c r="AM42" i="21" s="1"/>
  <c r="F42" i="21"/>
  <c r="E42" i="21"/>
  <c r="D42" i="21"/>
  <c r="AJ41" i="21"/>
  <c r="AP41" i="21" s="1"/>
  <c r="AI41" i="21"/>
  <c r="AO41" i="21" s="1"/>
  <c r="AH41" i="21"/>
  <c r="AN41" i="21" s="1"/>
  <c r="AG41" i="21"/>
  <c r="F41" i="21"/>
  <c r="E41" i="21"/>
  <c r="D41" i="21"/>
  <c r="AJ40" i="21"/>
  <c r="AP40" i="21" s="1"/>
  <c r="AI40" i="21"/>
  <c r="AO40" i="21" s="1"/>
  <c r="AH40" i="21"/>
  <c r="AN40" i="21" s="1"/>
  <c r="AG40" i="21"/>
  <c r="AM40" i="21" s="1"/>
  <c r="F40" i="21"/>
  <c r="E40" i="21"/>
  <c r="D40" i="21"/>
  <c r="AJ39" i="21"/>
  <c r="AP39" i="21" s="1"/>
  <c r="AI39" i="21"/>
  <c r="AO39" i="21" s="1"/>
  <c r="AH39" i="21"/>
  <c r="AN39" i="21" s="1"/>
  <c r="AG39" i="21"/>
  <c r="F39" i="21"/>
  <c r="E39" i="21"/>
  <c r="D39" i="21"/>
  <c r="AJ38" i="21"/>
  <c r="AP38" i="21" s="1"/>
  <c r="AI38" i="21"/>
  <c r="AO38" i="21" s="1"/>
  <c r="AH38" i="21"/>
  <c r="AN38" i="21" s="1"/>
  <c r="AG38" i="21"/>
  <c r="AM38" i="21" s="1"/>
  <c r="F38" i="21"/>
  <c r="E38" i="21"/>
  <c r="D38" i="21"/>
  <c r="AJ37" i="21"/>
  <c r="AP37" i="21" s="1"/>
  <c r="AI37" i="21"/>
  <c r="AO37" i="21" s="1"/>
  <c r="AH37" i="21"/>
  <c r="AN37" i="21" s="1"/>
  <c r="AG37" i="21"/>
  <c r="F37" i="21"/>
  <c r="E37" i="21"/>
  <c r="D37" i="21"/>
  <c r="AJ36" i="21"/>
  <c r="AP36" i="21" s="1"/>
  <c r="AI36" i="21"/>
  <c r="AO36" i="21" s="1"/>
  <c r="AH36" i="21"/>
  <c r="AN36" i="21" s="1"/>
  <c r="AG36" i="21"/>
  <c r="AM36" i="21" s="1"/>
  <c r="F36" i="21"/>
  <c r="E36" i="21"/>
  <c r="D36" i="21"/>
  <c r="AJ35" i="21"/>
  <c r="AP35" i="21" s="1"/>
  <c r="AI35" i="21"/>
  <c r="AO35" i="21" s="1"/>
  <c r="AH35" i="21"/>
  <c r="AN35" i="21" s="1"/>
  <c r="AG35" i="21"/>
  <c r="F35" i="21"/>
  <c r="E35" i="21"/>
  <c r="D35" i="21"/>
  <c r="AJ34" i="21"/>
  <c r="AP34" i="21" s="1"/>
  <c r="AI34" i="21"/>
  <c r="AO34" i="21" s="1"/>
  <c r="AH34" i="21"/>
  <c r="AN34" i="21" s="1"/>
  <c r="AG34" i="21"/>
  <c r="AM34" i="21" s="1"/>
  <c r="F34" i="21"/>
  <c r="E34" i="21"/>
  <c r="D34" i="21"/>
  <c r="AJ33" i="21"/>
  <c r="AP33" i="21" s="1"/>
  <c r="AI33" i="21"/>
  <c r="AO33" i="21" s="1"/>
  <c r="AH33" i="21"/>
  <c r="AN33" i="21" s="1"/>
  <c r="AG33" i="21"/>
  <c r="F33" i="21"/>
  <c r="E33" i="21"/>
  <c r="D33" i="21"/>
  <c r="AJ32" i="21"/>
  <c r="AP32" i="21" s="1"/>
  <c r="AI32" i="21"/>
  <c r="AO32" i="21" s="1"/>
  <c r="AH32" i="21"/>
  <c r="AN32" i="21" s="1"/>
  <c r="AG32" i="21"/>
  <c r="AM32" i="21" s="1"/>
  <c r="F32" i="21"/>
  <c r="E32" i="21"/>
  <c r="D32" i="21"/>
  <c r="AJ31" i="21"/>
  <c r="AP31" i="21" s="1"/>
  <c r="AI31" i="21"/>
  <c r="AO31" i="21" s="1"/>
  <c r="AH31" i="21"/>
  <c r="AN31" i="21" s="1"/>
  <c r="AG31" i="21"/>
  <c r="AM31" i="21" s="1"/>
  <c r="F31" i="21"/>
  <c r="E31" i="21"/>
  <c r="D31" i="21"/>
  <c r="AJ30" i="21"/>
  <c r="AP30" i="21" s="1"/>
  <c r="AI30" i="21"/>
  <c r="AO30" i="21" s="1"/>
  <c r="AH30" i="21"/>
  <c r="AN30" i="21" s="1"/>
  <c r="AG30" i="21"/>
  <c r="F30" i="21"/>
  <c r="E30" i="21"/>
  <c r="D30" i="21"/>
  <c r="AJ29" i="21"/>
  <c r="AP29" i="21" s="1"/>
  <c r="AI29" i="21"/>
  <c r="AO29" i="21" s="1"/>
  <c r="AH29" i="21"/>
  <c r="AN29" i="21" s="1"/>
  <c r="AG29" i="21"/>
  <c r="AM29" i="21" s="1"/>
  <c r="F29" i="21"/>
  <c r="E29" i="21"/>
  <c r="D29" i="21"/>
  <c r="AJ28" i="21"/>
  <c r="AP28" i="21" s="1"/>
  <c r="AI28" i="21"/>
  <c r="AO28" i="21" s="1"/>
  <c r="AH28" i="21"/>
  <c r="AN28" i="21" s="1"/>
  <c r="AG28" i="21"/>
  <c r="AM28" i="21" s="1"/>
  <c r="F28" i="21"/>
  <c r="E28" i="21"/>
  <c r="D28" i="21"/>
  <c r="AJ27" i="21"/>
  <c r="AP27" i="21" s="1"/>
  <c r="AI27" i="21"/>
  <c r="AO27" i="21" s="1"/>
  <c r="AH27" i="21"/>
  <c r="AN27" i="21" s="1"/>
  <c r="AG27" i="21"/>
  <c r="AM27" i="21" s="1"/>
  <c r="F27" i="21"/>
  <c r="E27" i="21"/>
  <c r="D27" i="21"/>
  <c r="AJ26" i="21"/>
  <c r="AP26" i="21" s="1"/>
  <c r="AI26" i="21"/>
  <c r="AO26" i="21" s="1"/>
  <c r="AH26" i="21"/>
  <c r="AN26" i="21" s="1"/>
  <c r="AG26" i="21"/>
  <c r="AM26" i="21" s="1"/>
  <c r="F26" i="21"/>
  <c r="E26" i="21"/>
  <c r="D26" i="21"/>
  <c r="AP25" i="21"/>
  <c r="AJ25" i="21"/>
  <c r="AI25" i="21"/>
  <c r="AO25" i="21" s="1"/>
  <c r="AH25" i="21"/>
  <c r="AN25" i="21" s="1"/>
  <c r="AG25" i="21"/>
  <c r="AM25" i="21" s="1"/>
  <c r="AJ24" i="21"/>
  <c r="AP24" i="21" s="1"/>
  <c r="AI24" i="21"/>
  <c r="AO24" i="21" s="1"/>
  <c r="AH24" i="21"/>
  <c r="AN24" i="21" s="1"/>
  <c r="AG24" i="21"/>
  <c r="AM24" i="21" s="1"/>
  <c r="F24" i="21"/>
  <c r="E24" i="21"/>
  <c r="D24" i="21"/>
  <c r="AJ23" i="21"/>
  <c r="AP23" i="21" s="1"/>
  <c r="AI23" i="21"/>
  <c r="AO23" i="21" s="1"/>
  <c r="AH23" i="21"/>
  <c r="AN23" i="21" s="1"/>
  <c r="AG23" i="21"/>
  <c r="AM23" i="21" s="1"/>
  <c r="F23" i="21"/>
  <c r="E23" i="21"/>
  <c r="D23" i="21"/>
  <c r="AJ22" i="21"/>
  <c r="AP22" i="21" s="1"/>
  <c r="AI22" i="21"/>
  <c r="AO22" i="21" s="1"/>
  <c r="AH22" i="21"/>
  <c r="AN22" i="21" s="1"/>
  <c r="AG22" i="21"/>
  <c r="AM22" i="21" s="1"/>
  <c r="F22" i="21"/>
  <c r="E22" i="21"/>
  <c r="D22" i="21"/>
  <c r="AJ21" i="21"/>
  <c r="AP21" i="21" s="1"/>
  <c r="AI21" i="21"/>
  <c r="AO21" i="21" s="1"/>
  <c r="AH21" i="21"/>
  <c r="AN21" i="21" s="1"/>
  <c r="AG21" i="21"/>
  <c r="AM21" i="21" s="1"/>
  <c r="F21" i="21"/>
  <c r="E21" i="21"/>
  <c r="D21" i="21"/>
  <c r="AP20" i="21"/>
  <c r="AJ20" i="21"/>
  <c r="AI20" i="21"/>
  <c r="AO20" i="21" s="1"/>
  <c r="AH20" i="21"/>
  <c r="AN20" i="21" s="1"/>
  <c r="AG20" i="21"/>
  <c r="AM20" i="21" s="1"/>
  <c r="F20" i="21"/>
  <c r="E20" i="21"/>
  <c r="D20" i="21"/>
  <c r="AP19" i="21"/>
  <c r="AJ19" i="21"/>
  <c r="AI19" i="21"/>
  <c r="AO19" i="21" s="1"/>
  <c r="AH19" i="21"/>
  <c r="AN19" i="21" s="1"/>
  <c r="AG19" i="21"/>
  <c r="AM19" i="21" s="1"/>
  <c r="F19" i="21"/>
  <c r="E19" i="21"/>
  <c r="D19" i="21"/>
  <c r="AP18" i="21"/>
  <c r="AJ18" i="21"/>
  <c r="AI18" i="21"/>
  <c r="AO18" i="21" s="1"/>
  <c r="AH18" i="21"/>
  <c r="AN18" i="21" s="1"/>
  <c r="AG18" i="21"/>
  <c r="AM18" i="21" s="1"/>
  <c r="F18" i="21"/>
  <c r="E18" i="21"/>
  <c r="D18" i="21"/>
  <c r="AP17" i="21"/>
  <c r="AJ17" i="21"/>
  <c r="AI17" i="21"/>
  <c r="AO17" i="21" s="1"/>
  <c r="AH17" i="21"/>
  <c r="AN17" i="21" s="1"/>
  <c r="AG17" i="21"/>
  <c r="AM17" i="21" s="1"/>
  <c r="F17" i="21"/>
  <c r="E17" i="21"/>
  <c r="D17" i="21"/>
  <c r="AP16" i="21"/>
  <c r="AJ16" i="21"/>
  <c r="AI16" i="21"/>
  <c r="AO16" i="21" s="1"/>
  <c r="AH16" i="21"/>
  <c r="AN16" i="21" s="1"/>
  <c r="AG16" i="21"/>
  <c r="AM16" i="21" s="1"/>
  <c r="F16" i="21"/>
  <c r="E16" i="21"/>
  <c r="D16" i="21"/>
  <c r="AP15" i="21"/>
  <c r="AJ15" i="21"/>
  <c r="AI15" i="21"/>
  <c r="AO15" i="21" s="1"/>
  <c r="AH15" i="21"/>
  <c r="AN15" i="21" s="1"/>
  <c r="AG15" i="21"/>
  <c r="AM15" i="21" s="1"/>
  <c r="F15" i="21"/>
  <c r="E15" i="21"/>
  <c r="D15" i="21"/>
  <c r="AJ14" i="21"/>
  <c r="AP14" i="21" s="1"/>
  <c r="AI14" i="21"/>
  <c r="AO14" i="21" s="1"/>
  <c r="AH14" i="21"/>
  <c r="AN14" i="21" s="1"/>
  <c r="AG14" i="21"/>
  <c r="AM14" i="21" s="1"/>
  <c r="F14" i="21"/>
  <c r="E14" i="21"/>
  <c r="D14" i="21"/>
  <c r="AJ13" i="21"/>
  <c r="AP13" i="21" s="1"/>
  <c r="AI13" i="21"/>
  <c r="AO13" i="21" s="1"/>
  <c r="AH13" i="21"/>
  <c r="AN13" i="21" s="1"/>
  <c r="AG13" i="21"/>
  <c r="AM13" i="21" s="1"/>
  <c r="F13" i="21"/>
  <c r="E13" i="21"/>
  <c r="D13" i="21"/>
  <c r="AJ12" i="21"/>
  <c r="AP12" i="21" s="1"/>
  <c r="AI12" i="21"/>
  <c r="AO12" i="21" s="1"/>
  <c r="AH12" i="21"/>
  <c r="AN12" i="21" s="1"/>
  <c r="AG12" i="21"/>
  <c r="AM12" i="21" s="1"/>
  <c r="F12" i="21"/>
  <c r="E12" i="21"/>
  <c r="D12" i="21"/>
  <c r="AJ11" i="21"/>
  <c r="AP11" i="21" s="1"/>
  <c r="AI11" i="21"/>
  <c r="AO11" i="21" s="1"/>
  <c r="AH11" i="21"/>
  <c r="AN11" i="21" s="1"/>
  <c r="AG11" i="21"/>
  <c r="AM11" i="21" s="1"/>
  <c r="F11" i="21"/>
  <c r="E11" i="21"/>
  <c r="D11" i="21"/>
  <c r="AJ10" i="21"/>
  <c r="AP10" i="21" s="1"/>
  <c r="AI10" i="21"/>
  <c r="AO10" i="21" s="1"/>
  <c r="AH10" i="21"/>
  <c r="AN10" i="21" s="1"/>
  <c r="AG10" i="21"/>
  <c r="AM10" i="21" s="1"/>
  <c r="F10" i="21"/>
  <c r="E10" i="21"/>
  <c r="D10" i="21"/>
  <c r="AJ9" i="21"/>
  <c r="AP9" i="21" s="1"/>
  <c r="AI9" i="21"/>
  <c r="AO9" i="21" s="1"/>
  <c r="AH9" i="21"/>
  <c r="AN9" i="21" s="1"/>
  <c r="AG9" i="21"/>
  <c r="AM9" i="21" s="1"/>
  <c r="F9" i="21"/>
  <c r="E9" i="21"/>
  <c r="D9" i="21"/>
  <c r="AJ8" i="21"/>
  <c r="AP8" i="21" s="1"/>
  <c r="AI8" i="21"/>
  <c r="AO8" i="21" s="1"/>
  <c r="AH8" i="21"/>
  <c r="AN8" i="21" s="1"/>
  <c r="AG8" i="21"/>
  <c r="AM8" i="21" s="1"/>
  <c r="F8" i="21"/>
  <c r="E8" i="21"/>
  <c r="D8" i="21"/>
  <c r="AS7" i="21"/>
  <c r="AJ7" i="21"/>
  <c r="AP7" i="21" s="1"/>
  <c r="AI7" i="21"/>
  <c r="AO7" i="21" s="1"/>
  <c r="AH7" i="21"/>
  <c r="AN7" i="21" s="1"/>
  <c r="AG7" i="21"/>
  <c r="AM7" i="21" s="1"/>
  <c r="F7" i="21"/>
  <c r="E7" i="21"/>
  <c r="D7" i="21"/>
  <c r="AJ6" i="21"/>
  <c r="AP6" i="21" s="1"/>
  <c r="AI6" i="21"/>
  <c r="AO6" i="21" s="1"/>
  <c r="AH6" i="21"/>
  <c r="AN6" i="21" s="1"/>
  <c r="AG6" i="21"/>
  <c r="AM6" i="21" s="1"/>
  <c r="F6" i="21"/>
  <c r="E6" i="21"/>
  <c r="D6" i="21"/>
  <c r="AJ5" i="21"/>
  <c r="AP5" i="21" s="1"/>
  <c r="AI5" i="21"/>
  <c r="AO5" i="21" s="1"/>
  <c r="AH5" i="21"/>
  <c r="AN5" i="21" s="1"/>
  <c r="AG5" i="21"/>
  <c r="AM5" i="21" s="1"/>
  <c r="F5" i="21"/>
  <c r="E5" i="21"/>
  <c r="D5" i="21"/>
  <c r="AP4" i="21"/>
  <c r="AJ4" i="21"/>
  <c r="AI4" i="21"/>
  <c r="AO4" i="21" s="1"/>
  <c r="AH4" i="21"/>
  <c r="AN4" i="21" s="1"/>
  <c r="AG4" i="21"/>
  <c r="AM4" i="21" s="1"/>
  <c r="F4" i="21"/>
  <c r="E4" i="21"/>
  <c r="D4" i="21"/>
  <c r="AP3" i="21"/>
  <c r="AJ3" i="21"/>
  <c r="AI3" i="21"/>
  <c r="AO3" i="21" s="1"/>
  <c r="AH3" i="21"/>
  <c r="AG3" i="21"/>
  <c r="AM3" i="21" s="1"/>
  <c r="F3" i="21"/>
  <c r="E3" i="21"/>
  <c r="D3" i="21"/>
  <c r="AT1" i="21"/>
  <c r="AS1" i="21"/>
  <c r="AR1" i="21"/>
  <c r="AQ1" i="21"/>
  <c r="AK83" i="21" l="1"/>
  <c r="AU83" i="21" s="1"/>
  <c r="AK78" i="21"/>
  <c r="AQ78" i="21" s="1"/>
  <c r="AK96" i="21"/>
  <c r="AQ96" i="21" s="1"/>
  <c r="AK115" i="21"/>
  <c r="AQ115" i="21" s="1"/>
  <c r="AK46" i="21"/>
  <c r="AU46" i="21" s="1"/>
  <c r="AK156" i="21"/>
  <c r="AQ156" i="21" s="1"/>
  <c r="AK160" i="21"/>
  <c r="AQ160" i="21" s="1"/>
  <c r="AK184" i="21"/>
  <c r="AK67" i="21"/>
  <c r="AQ67" i="21" s="1"/>
  <c r="AK88" i="21"/>
  <c r="AQ88" i="21" s="1"/>
  <c r="AK122" i="21"/>
  <c r="AU122" i="21" s="1"/>
  <c r="AK137" i="21"/>
  <c r="AQ137" i="21" s="1"/>
  <c r="AK164" i="21"/>
  <c r="AQ164" i="21" s="1"/>
  <c r="AK180" i="21"/>
  <c r="AK30" i="21"/>
  <c r="AQ30" i="21" s="1"/>
  <c r="AK33" i="21"/>
  <c r="AU33" i="21" s="1"/>
  <c r="AK35" i="21"/>
  <c r="AU35" i="21" s="1"/>
  <c r="AK37" i="21"/>
  <c r="AT37" i="21" s="1"/>
  <c r="AK39" i="21"/>
  <c r="AU39" i="21" s="1"/>
  <c r="AK41" i="21"/>
  <c r="AU41" i="21" s="1"/>
  <c r="AK43" i="21"/>
  <c r="AU43" i="21" s="1"/>
  <c r="AK55" i="21"/>
  <c r="AQ55" i="21" s="1"/>
  <c r="AK56" i="21"/>
  <c r="AQ56" i="21" s="1"/>
  <c r="AK73" i="21"/>
  <c r="AQ73" i="21" s="1"/>
  <c r="AK92" i="21"/>
  <c r="AQ92" i="21" s="1"/>
  <c r="AK150" i="21"/>
  <c r="AQ150" i="21" s="1"/>
  <c r="AK152" i="21"/>
  <c r="AQ152" i="21" s="1"/>
  <c r="AK168" i="21"/>
  <c r="AQ168" i="21" s="1"/>
  <c r="AK65" i="21"/>
  <c r="AQ65" i="21" s="1"/>
  <c r="AK75" i="21"/>
  <c r="AT75" i="21" s="1"/>
  <c r="AK76" i="21"/>
  <c r="AQ76" i="21" s="1"/>
  <c r="AK86" i="21"/>
  <c r="AQ86" i="21" s="1"/>
  <c r="AK120" i="21"/>
  <c r="AQ120" i="21" s="1"/>
  <c r="AK141" i="21"/>
  <c r="AQ141" i="21" s="1"/>
  <c r="AK154" i="21"/>
  <c r="AQ154" i="21" s="1"/>
  <c r="AK162" i="21"/>
  <c r="AQ162" i="21" s="1"/>
  <c r="AK171" i="21"/>
  <c r="AK173" i="21"/>
  <c r="AK175" i="21"/>
  <c r="AK177" i="21"/>
  <c r="AK60" i="21"/>
  <c r="AU60" i="21" s="1"/>
  <c r="AK61" i="21"/>
  <c r="AQ61" i="21" s="1"/>
  <c r="AK70" i="21"/>
  <c r="AU70" i="21" s="1"/>
  <c r="AK71" i="21"/>
  <c r="AQ71" i="21" s="1"/>
  <c r="AK80" i="21"/>
  <c r="AQ80" i="21" s="1"/>
  <c r="AK81" i="21"/>
  <c r="AQ81" i="21" s="1"/>
  <c r="AK90" i="21"/>
  <c r="AT90" i="21" s="1"/>
  <c r="AK158" i="21"/>
  <c r="AQ158" i="21" s="1"/>
  <c r="AK166" i="21"/>
  <c r="AQ166" i="21" s="1"/>
  <c r="AM88" i="21"/>
  <c r="AM92" i="21"/>
  <c r="AM96" i="21"/>
  <c r="AM30" i="21"/>
  <c r="AM46" i="21"/>
  <c r="AM73" i="21"/>
  <c r="AM81" i="21"/>
  <c r="AM122" i="21"/>
  <c r="AM152" i="21"/>
  <c r="AM156" i="21"/>
  <c r="AM171" i="21"/>
  <c r="AM175" i="21"/>
  <c r="AM180" i="21"/>
  <c r="AM35" i="21"/>
  <c r="AM39" i="21"/>
  <c r="AM43" i="21"/>
  <c r="AM61" i="21"/>
  <c r="AM65" i="21"/>
  <c r="AM70" i="21"/>
  <c r="AM78" i="21"/>
  <c r="AM86" i="21"/>
  <c r="AM90" i="21"/>
  <c r="AM115" i="21"/>
  <c r="AM150" i="21"/>
  <c r="AM160" i="21"/>
  <c r="AM164" i="21"/>
  <c r="AM177" i="21"/>
  <c r="AM33" i="21"/>
  <c r="AM37" i="21"/>
  <c r="AM41" i="21"/>
  <c r="AM56" i="21"/>
  <c r="AM60" i="21"/>
  <c r="AM67" i="21"/>
  <c r="AM76" i="21"/>
  <c r="AM80" i="21"/>
  <c r="AM162" i="21"/>
  <c r="AM166" i="21"/>
  <c r="AM55" i="21"/>
  <c r="AM71" i="21"/>
  <c r="AM75" i="21"/>
  <c r="AM83" i="21"/>
  <c r="AM120" i="21"/>
  <c r="AM137" i="21"/>
  <c r="AM141" i="21"/>
  <c r="AM154" i="21"/>
  <c r="AM158" i="21"/>
  <c r="AM168" i="21"/>
  <c r="AM173" i="21"/>
  <c r="AH186" i="21"/>
  <c r="AN3" i="21"/>
  <c r="AN186" i="21" s="1"/>
  <c r="AO186" i="21"/>
  <c r="AK4" i="21"/>
  <c r="AK7" i="21"/>
  <c r="AT30" i="21"/>
  <c r="AK5" i="21"/>
  <c r="AK6" i="21"/>
  <c r="AK47" i="21"/>
  <c r="AK52" i="21"/>
  <c r="AK59" i="21"/>
  <c r="AQ59" i="21" s="1"/>
  <c r="AK85" i="21"/>
  <c r="AQ85" i="21" s="1"/>
  <c r="AK8" i="21"/>
  <c r="AK9" i="21"/>
  <c r="AK10" i="21"/>
  <c r="AK14" i="21"/>
  <c r="AK20" i="21"/>
  <c r="AQ20" i="21" s="1"/>
  <c r="AK22" i="21"/>
  <c r="AK23" i="21"/>
  <c r="AK24" i="21"/>
  <c r="AK25" i="21"/>
  <c r="AQ25" i="21" s="1"/>
  <c r="AK27" i="21"/>
  <c r="AQ27" i="21" s="1"/>
  <c r="AK51" i="21"/>
  <c r="AK58" i="21"/>
  <c r="AK64" i="21"/>
  <c r="AQ64" i="21" s="1"/>
  <c r="AK11" i="21"/>
  <c r="AK12" i="21"/>
  <c r="AK13" i="21"/>
  <c r="AJ186" i="21"/>
  <c r="AP186" i="21" s="1"/>
  <c r="AK19" i="21"/>
  <c r="AK29" i="21"/>
  <c r="AQ29" i="21" s="1"/>
  <c r="AK32" i="21"/>
  <c r="AK34" i="21"/>
  <c r="AK36" i="21"/>
  <c r="AK38" i="21"/>
  <c r="AK40" i="21"/>
  <c r="AK42" i="21"/>
  <c r="AK48" i="21"/>
  <c r="AK50" i="21"/>
  <c r="AK54" i="21"/>
  <c r="AQ54" i="21" s="1"/>
  <c r="AK63" i="21"/>
  <c r="AQ63" i="21" s="1"/>
  <c r="AK68" i="21"/>
  <c r="AQ68" i="21" s="1"/>
  <c r="AK74" i="21"/>
  <c r="AQ74" i="21" s="1"/>
  <c r="AK79" i="21"/>
  <c r="AQ79" i="21" s="1"/>
  <c r="AK84" i="21"/>
  <c r="AQ84" i="21" s="1"/>
  <c r="AK89" i="21"/>
  <c r="AQ89" i="21" s="1"/>
  <c r="AK91" i="21"/>
  <c r="AQ91" i="21" s="1"/>
  <c r="AK94" i="21"/>
  <c r="AQ94" i="21" s="1"/>
  <c r="AK95" i="21"/>
  <c r="AQ95" i="21" s="1"/>
  <c r="AQ196" i="21"/>
  <c r="AH201" i="21"/>
  <c r="AQ194" i="21"/>
  <c r="AI186" i="21"/>
  <c r="AG186" i="21"/>
  <c r="AK3" i="21"/>
  <c r="AK15" i="21"/>
  <c r="AK16" i="21"/>
  <c r="AK17" i="21"/>
  <c r="AK18" i="21"/>
  <c r="AK21" i="21"/>
  <c r="AQ21" i="21" s="1"/>
  <c r="AK26" i="21"/>
  <c r="AQ26" i="21" s="1"/>
  <c r="AK28" i="21"/>
  <c r="AK31" i="21"/>
  <c r="AK53" i="21"/>
  <c r="AK99" i="21"/>
  <c r="AK113" i="21"/>
  <c r="AQ113" i="21" s="1"/>
  <c r="AK118" i="21"/>
  <c r="AK123" i="21"/>
  <c r="AQ123" i="21" s="1"/>
  <c r="AK126" i="21"/>
  <c r="AK130" i="21"/>
  <c r="AK134" i="21"/>
  <c r="AQ134" i="21" s="1"/>
  <c r="AK142" i="21"/>
  <c r="AQ142" i="21" s="1"/>
  <c r="AK159" i="21"/>
  <c r="AQ159" i="21" s="1"/>
  <c r="AK44" i="21"/>
  <c r="AK45" i="21"/>
  <c r="AK49" i="21"/>
  <c r="AK57" i="21"/>
  <c r="AK62" i="21"/>
  <c r="AQ62" i="21" s="1"/>
  <c r="AK66" i="21"/>
  <c r="AQ66" i="21" s="1"/>
  <c r="AK72" i="21"/>
  <c r="AQ72" i="21" s="1"/>
  <c r="AK77" i="21"/>
  <c r="AQ77" i="21" s="1"/>
  <c r="AK82" i="21"/>
  <c r="AQ82" i="21" s="1"/>
  <c r="AK87" i="21"/>
  <c r="AQ87" i="21" s="1"/>
  <c r="AK93" i="21"/>
  <c r="AQ93" i="21" s="1"/>
  <c r="AK97" i="21"/>
  <c r="AK98" i="21"/>
  <c r="AK103" i="21"/>
  <c r="AK105" i="21"/>
  <c r="AK107" i="21"/>
  <c r="AK109" i="21"/>
  <c r="AK111" i="21"/>
  <c r="AK121" i="21"/>
  <c r="AQ121" i="21" s="1"/>
  <c r="AK182" i="21"/>
  <c r="AK114" i="21"/>
  <c r="AQ114" i="21" s="1"/>
  <c r="AK117" i="21"/>
  <c r="AQ117" i="21" s="1"/>
  <c r="AK124" i="21"/>
  <c r="AK128" i="21"/>
  <c r="AK132" i="21"/>
  <c r="AK138" i="21"/>
  <c r="AQ138" i="21" s="1"/>
  <c r="AK151" i="21"/>
  <c r="AQ151" i="21" s="1"/>
  <c r="AK167" i="21"/>
  <c r="AQ167" i="21" s="1"/>
  <c r="AK135" i="21"/>
  <c r="AQ135" i="21" s="1"/>
  <c r="AK139" i="21"/>
  <c r="AQ139" i="21" s="1"/>
  <c r="AK143" i="21"/>
  <c r="AQ143" i="21" s="1"/>
  <c r="AK146" i="21"/>
  <c r="AQ146" i="21" s="1"/>
  <c r="AK172" i="21"/>
  <c r="AK183" i="21"/>
  <c r="AM184" i="21"/>
  <c r="AG201" i="21"/>
  <c r="AQ191" i="21"/>
  <c r="AK100" i="21"/>
  <c r="AK101" i="21"/>
  <c r="AK102" i="21"/>
  <c r="AK104" i="21"/>
  <c r="AK106" i="21"/>
  <c r="AK108" i="21"/>
  <c r="AK110" i="21"/>
  <c r="AK112" i="21"/>
  <c r="AQ112" i="21" s="1"/>
  <c r="AK116" i="21"/>
  <c r="AQ116" i="21" s="1"/>
  <c r="AK119" i="21"/>
  <c r="AQ119" i="21" s="1"/>
  <c r="AK125" i="21"/>
  <c r="AK127" i="21"/>
  <c r="AK129" i="21"/>
  <c r="AK131" i="21"/>
  <c r="AK133" i="21"/>
  <c r="AK136" i="21"/>
  <c r="AQ136" i="21" s="1"/>
  <c r="AK140" i="21"/>
  <c r="AQ140" i="21" s="1"/>
  <c r="AK144" i="21"/>
  <c r="AQ144" i="21" s="1"/>
  <c r="AK155" i="21"/>
  <c r="AQ155" i="21" s="1"/>
  <c r="AK163" i="21"/>
  <c r="AQ163" i="21" s="1"/>
  <c r="AK178" i="21"/>
  <c r="AK145" i="21"/>
  <c r="AQ145" i="21" s="1"/>
  <c r="AM145" i="21"/>
  <c r="AK147" i="21"/>
  <c r="AQ147" i="21" s="1"/>
  <c r="AK174" i="21"/>
  <c r="AK179" i="21"/>
  <c r="AI191" i="21"/>
  <c r="AQ190" i="21"/>
  <c r="AK181" i="21"/>
  <c r="AK148" i="21"/>
  <c r="AQ148" i="21" s="1"/>
  <c r="AK149" i="21"/>
  <c r="AQ149" i="21" s="1"/>
  <c r="AK153" i="21"/>
  <c r="AQ153" i="21" s="1"/>
  <c r="AK157" i="21"/>
  <c r="AQ157" i="21" s="1"/>
  <c r="AK161" i="21"/>
  <c r="AQ161" i="21" s="1"/>
  <c r="AK165" i="21"/>
  <c r="AQ165" i="21" s="1"/>
  <c r="AK170" i="21"/>
  <c r="AQ170" i="21" s="1"/>
  <c r="AK176" i="21"/>
  <c r="AK185" i="21"/>
  <c r="AA185" i="20"/>
  <c r="AC185" i="20"/>
  <c r="AB185" i="20"/>
  <c r="AQ83" i="21" l="1"/>
  <c r="AT83" i="21"/>
  <c r="AQ122" i="21"/>
  <c r="AT39" i="21"/>
  <c r="AZ39" i="21" s="1"/>
  <c r="AU55" i="21"/>
  <c r="AQ39" i="21"/>
  <c r="AU30" i="21"/>
  <c r="AZ30" i="21" s="1"/>
  <c r="AU37" i="21"/>
  <c r="AZ37" i="21" s="1"/>
  <c r="AM186" i="21"/>
  <c r="AP191" i="21" s="1"/>
  <c r="AR191" i="21" s="1"/>
  <c r="AT191" i="21" s="1"/>
  <c r="AT80" i="21"/>
  <c r="AQ33" i="21"/>
  <c r="AQ35" i="21"/>
  <c r="AT46" i="21"/>
  <c r="AU80" i="21"/>
  <c r="AT35" i="21"/>
  <c r="AZ35" i="21" s="1"/>
  <c r="AQ46" i="21"/>
  <c r="AQ43" i="21"/>
  <c r="AT33" i="21"/>
  <c r="AZ33" i="21" s="1"/>
  <c r="AQ70" i="21"/>
  <c r="AU90" i="21"/>
  <c r="AT41" i="21"/>
  <c r="AZ41" i="21" s="1"/>
  <c r="AQ41" i="21"/>
  <c r="AT70" i="21"/>
  <c r="AZ70" i="21" s="1"/>
  <c r="AU75" i="21"/>
  <c r="AZ75" i="21" s="1"/>
  <c r="AQ60" i="21"/>
  <c r="AZ83" i="21"/>
  <c r="AQ75" i="21"/>
  <c r="AT55" i="21"/>
  <c r="AQ37" i="21"/>
  <c r="AT43" i="21"/>
  <c r="AT60" i="21"/>
  <c r="AZ60" i="21" s="1"/>
  <c r="AQ90" i="21"/>
  <c r="AO190" i="21"/>
  <c r="AP190" i="21" s="1"/>
  <c r="AR190" i="21" s="1"/>
  <c r="AT190" i="21" s="1"/>
  <c r="AU124" i="21"/>
  <c r="AQ124" i="21"/>
  <c r="AQ49" i="21"/>
  <c r="AU49" i="21"/>
  <c r="AQ127" i="21"/>
  <c r="AU127" i="21"/>
  <c r="AQ104" i="21"/>
  <c r="AU104" i="21"/>
  <c r="AU111" i="21"/>
  <c r="AQ111" i="21"/>
  <c r="AU103" i="21"/>
  <c r="AQ103" i="21"/>
  <c r="AQ45" i="21"/>
  <c r="AU45" i="21"/>
  <c r="AT45" i="21"/>
  <c r="AU118" i="21"/>
  <c r="AQ118" i="21"/>
  <c r="AT31" i="21"/>
  <c r="AU31" i="21"/>
  <c r="AQ31" i="21"/>
  <c r="AQ18" i="21"/>
  <c r="AU18" i="21"/>
  <c r="AT3" i="21"/>
  <c r="AU3" i="21"/>
  <c r="AQ3" i="21"/>
  <c r="AU36" i="21"/>
  <c r="AT36" i="21"/>
  <c r="AQ36" i="21"/>
  <c r="AQ19" i="21"/>
  <c r="AU19" i="21"/>
  <c r="AT11" i="21"/>
  <c r="AQ11" i="21"/>
  <c r="AU11" i="21"/>
  <c r="AU58" i="21"/>
  <c r="AT58" i="21"/>
  <c r="AQ58" i="21"/>
  <c r="AU24" i="21"/>
  <c r="AQ24" i="21"/>
  <c r="AT24" i="21"/>
  <c r="AQ14" i="21"/>
  <c r="AU14" i="21"/>
  <c r="AT14" i="21"/>
  <c r="AU52" i="21"/>
  <c r="AT52" i="21"/>
  <c r="AQ52" i="21"/>
  <c r="AT7" i="21"/>
  <c r="AQ7" i="21"/>
  <c r="AU7" i="21"/>
  <c r="AO196" i="21"/>
  <c r="AP196" i="21" s="1"/>
  <c r="AR196" i="21" s="1"/>
  <c r="AT196" i="21" s="1"/>
  <c r="AO194" i="21"/>
  <c r="AP194" i="21" s="1"/>
  <c r="AR194" i="21" s="1"/>
  <c r="AT194" i="21" s="1"/>
  <c r="AQ129" i="21"/>
  <c r="AU129" i="21"/>
  <c r="AQ100" i="21"/>
  <c r="AU100" i="21"/>
  <c r="AT100" i="21"/>
  <c r="AU105" i="21"/>
  <c r="AQ105" i="21"/>
  <c r="AQ15" i="21"/>
  <c r="AU15" i="21"/>
  <c r="AT15" i="21"/>
  <c r="AU38" i="21"/>
  <c r="AT38" i="21"/>
  <c r="AQ38" i="21"/>
  <c r="AT12" i="21"/>
  <c r="AQ12" i="21"/>
  <c r="AU12" i="21"/>
  <c r="AT8" i="21"/>
  <c r="AQ8" i="21"/>
  <c r="AU8" i="21"/>
  <c r="AQ198" i="21"/>
  <c r="AI201" i="21"/>
  <c r="AQ199" i="21"/>
  <c r="AQ133" i="21"/>
  <c r="AU133" i="21"/>
  <c r="AQ125" i="21"/>
  <c r="AU125" i="21"/>
  <c r="AQ110" i="21"/>
  <c r="AU110" i="21"/>
  <c r="AQ102" i="21"/>
  <c r="AU102" i="21"/>
  <c r="AG193" i="21"/>
  <c r="AU132" i="21"/>
  <c r="AQ132" i="21"/>
  <c r="AU109" i="21"/>
  <c r="AQ109" i="21"/>
  <c r="AQ98" i="21"/>
  <c r="AU98" i="21"/>
  <c r="AQ44" i="21"/>
  <c r="AU44" i="21"/>
  <c r="AT44" i="21"/>
  <c r="AU130" i="21"/>
  <c r="AQ130" i="21"/>
  <c r="AT28" i="21"/>
  <c r="AU28" i="21"/>
  <c r="AQ28" i="21"/>
  <c r="AQ17" i="21"/>
  <c r="AU17" i="21"/>
  <c r="AT17" i="21"/>
  <c r="AU50" i="21"/>
  <c r="AT50" i="21"/>
  <c r="AQ50" i="21"/>
  <c r="AU42" i="21"/>
  <c r="AT42" i="21"/>
  <c r="AQ42" i="21"/>
  <c r="AU34" i="21"/>
  <c r="AT34" i="21"/>
  <c r="AQ34" i="21"/>
  <c r="AU51" i="21"/>
  <c r="AT51" i="21"/>
  <c r="AQ51" i="21"/>
  <c r="AU23" i="21"/>
  <c r="AQ23" i="21"/>
  <c r="AT23" i="21"/>
  <c r="AT10" i="21"/>
  <c r="AQ10" i="21"/>
  <c r="AU10" i="21"/>
  <c r="AU47" i="21"/>
  <c r="AT47" i="21"/>
  <c r="AQ47" i="21"/>
  <c r="AU6" i="21"/>
  <c r="AT6" i="21"/>
  <c r="AQ6" i="21"/>
  <c r="AK186" i="21"/>
  <c r="AQ4" i="21"/>
  <c r="AQ106" i="21"/>
  <c r="AU106" i="21"/>
  <c r="AU53" i="21"/>
  <c r="AT53" i="21"/>
  <c r="AQ53" i="21"/>
  <c r="AQ131" i="21"/>
  <c r="AU131" i="21"/>
  <c r="AQ108" i="21"/>
  <c r="AU108" i="21"/>
  <c r="AQ101" i="21"/>
  <c r="AU101" i="21"/>
  <c r="AT101" i="21"/>
  <c r="AU128" i="21"/>
  <c r="AQ128" i="21"/>
  <c r="AU107" i="21"/>
  <c r="AQ107" i="21"/>
  <c r="AU97" i="21"/>
  <c r="AQ97" i="21"/>
  <c r="AT97" i="21"/>
  <c r="AQ57" i="21"/>
  <c r="AU57" i="21"/>
  <c r="AU126" i="21"/>
  <c r="AQ126" i="21"/>
  <c r="AQ99" i="21"/>
  <c r="AU99" i="21"/>
  <c r="AT99" i="21"/>
  <c r="AQ16" i="21"/>
  <c r="AU16" i="21"/>
  <c r="AT16" i="21"/>
  <c r="AU48" i="21"/>
  <c r="AT48" i="21"/>
  <c r="AQ48" i="21"/>
  <c r="AU40" i="21"/>
  <c r="AT40" i="21"/>
  <c r="AQ40" i="21"/>
  <c r="AU32" i="21"/>
  <c r="AT32" i="21"/>
  <c r="AQ32" i="21"/>
  <c r="AT13" i="21"/>
  <c r="AQ13" i="21"/>
  <c r="AU13" i="21"/>
  <c r="AU22" i="21"/>
  <c r="AQ22" i="21"/>
  <c r="AT22" i="21"/>
  <c r="AT9" i="21"/>
  <c r="AQ9" i="21"/>
  <c r="AU9" i="21"/>
  <c r="AU5" i="21"/>
  <c r="AT5" i="21"/>
  <c r="AQ5" i="21"/>
  <c r="AO200" i="21"/>
  <c r="AP200" i="21" s="1"/>
  <c r="AR200" i="21" s="1"/>
  <c r="AT200" i="21" s="1"/>
  <c r="AO199" i="21"/>
  <c r="AP199" i="21" s="1"/>
  <c r="AR199" i="21" s="1"/>
  <c r="AT199" i="21" s="1"/>
  <c r="AO198" i="21"/>
  <c r="AP198" i="21" s="1"/>
  <c r="AR198" i="21" s="1"/>
  <c r="AT198" i="21" s="1"/>
  <c r="W185" i="20"/>
  <c r="X185" i="20"/>
  <c r="Y185" i="20"/>
  <c r="AZ80" i="21" l="1"/>
  <c r="AZ55" i="21"/>
  <c r="AZ5" i="21"/>
  <c r="AZ40" i="21"/>
  <c r="AZ99" i="21"/>
  <c r="AZ42" i="21"/>
  <c r="AZ100" i="21"/>
  <c r="AZ10" i="21"/>
  <c r="AZ7" i="21"/>
  <c r="AZ9" i="21"/>
  <c r="AZ22" i="21"/>
  <c r="AZ101" i="21"/>
  <c r="AZ6" i="21"/>
  <c r="AZ23" i="21"/>
  <c r="AZ51" i="21"/>
  <c r="AZ14" i="21"/>
  <c r="AZ31" i="21"/>
  <c r="AZ13" i="21"/>
  <c r="AZ97" i="21"/>
  <c r="AZ53" i="21"/>
  <c r="AZ50" i="21"/>
  <c r="AZ12" i="21"/>
  <c r="AZ15" i="21"/>
  <c r="AZ52" i="21"/>
  <c r="AQ186" i="21"/>
  <c r="AI199" i="21"/>
  <c r="AJ193" i="21"/>
  <c r="AZ8" i="21"/>
  <c r="AU186" i="21"/>
  <c r="AZ32" i="21"/>
  <c r="AZ16" i="21"/>
  <c r="AZ34" i="21"/>
  <c r="AZ17" i="21"/>
  <c r="AZ44" i="21"/>
  <c r="AZ38" i="21"/>
  <c r="AZ58" i="21"/>
  <c r="AZ11" i="21"/>
  <c r="AZ36" i="21"/>
  <c r="AZ3" i="21"/>
  <c r="U185" i="20"/>
  <c r="T185" i="20"/>
  <c r="S185" i="20"/>
  <c r="AZ186" i="21" l="1"/>
  <c r="AX188" i="21" s="1"/>
  <c r="O185" i="20"/>
  <c r="Q185" i="20"/>
  <c r="P185" i="20"/>
  <c r="M185" i="20" l="1"/>
  <c r="L185" i="20"/>
  <c r="K185" i="20"/>
  <c r="I185" i="20"/>
  <c r="H185" i="20"/>
  <c r="G185" i="20"/>
  <c r="AN225" i="20" l="1"/>
  <c r="AQ224" i="20"/>
  <c r="AN224" i="20"/>
  <c r="AQ223" i="20"/>
  <c r="AN223" i="20"/>
  <c r="AQ222" i="20"/>
  <c r="AN222" i="20"/>
  <c r="AN226" i="20" s="1"/>
  <c r="AH208" i="20"/>
  <c r="AH207" i="20"/>
  <c r="AU200" i="20"/>
  <c r="AU205" i="20" s="1"/>
  <c r="AU207" i="20" s="1"/>
  <c r="AU208" i="20" s="1"/>
  <c r="AR196" i="20"/>
  <c r="AR194" i="20"/>
  <c r="AT194" i="20" s="1"/>
  <c r="AP194" i="20"/>
  <c r="AR192" i="20"/>
  <c r="AP191" i="20"/>
  <c r="AR191" i="20" s="1"/>
  <c r="AT191" i="20" s="1"/>
  <c r="O190" i="20"/>
  <c r="Y189" i="20"/>
  <c r="Y190" i="20" s="1"/>
  <c r="I189" i="20"/>
  <c r="I190" i="20" s="1"/>
  <c r="AD188" i="20"/>
  <c r="AD189" i="20" s="1"/>
  <c r="AD190" i="20" s="1"/>
  <c r="AC188" i="20"/>
  <c r="AC189" i="20" s="1"/>
  <c r="AC190" i="20" s="1"/>
  <c r="AB188" i="20"/>
  <c r="AB189" i="20" s="1"/>
  <c r="AB190" i="20" s="1"/>
  <c r="AA188" i="20"/>
  <c r="AA189" i="20" s="1"/>
  <c r="AA190" i="20" s="1"/>
  <c r="Z188" i="20"/>
  <c r="Z189" i="20" s="1"/>
  <c r="Z190" i="20" s="1"/>
  <c r="Y188" i="20"/>
  <c r="X188" i="20"/>
  <c r="X189" i="20" s="1"/>
  <c r="X190" i="20" s="1"/>
  <c r="W188" i="20"/>
  <c r="W189" i="20" s="1"/>
  <c r="W190" i="20" s="1"/>
  <c r="V188" i="20"/>
  <c r="V189" i="20" s="1"/>
  <c r="V190" i="20" s="1"/>
  <c r="U188" i="20"/>
  <c r="U189" i="20" s="1"/>
  <c r="U190" i="20" s="1"/>
  <c r="T188" i="20"/>
  <c r="T189" i="20" s="1"/>
  <c r="T190" i="20" s="1"/>
  <c r="S188" i="20"/>
  <c r="S189" i="20" s="1"/>
  <c r="S190" i="20" s="1"/>
  <c r="R188" i="20"/>
  <c r="R189" i="20" s="1"/>
  <c r="R190" i="20" s="1"/>
  <c r="Q188" i="20"/>
  <c r="Q189" i="20" s="1"/>
  <c r="Q190" i="20" s="1"/>
  <c r="P188" i="20"/>
  <c r="P189" i="20" s="1"/>
  <c r="P190" i="20" s="1"/>
  <c r="O188" i="20"/>
  <c r="N188" i="20"/>
  <c r="N189" i="20" s="1"/>
  <c r="N190" i="20" s="1"/>
  <c r="M188" i="20"/>
  <c r="M189" i="20" s="1"/>
  <c r="M190" i="20" s="1"/>
  <c r="L188" i="20"/>
  <c r="L189" i="20" s="1"/>
  <c r="L190" i="20" s="1"/>
  <c r="K188" i="20"/>
  <c r="K189" i="20" s="1"/>
  <c r="K190" i="20" s="1"/>
  <c r="J188" i="20"/>
  <c r="J189" i="20" s="1"/>
  <c r="J190" i="20" s="1"/>
  <c r="I188" i="20"/>
  <c r="H188" i="20"/>
  <c r="H189" i="20" s="1"/>
  <c r="H190" i="20" s="1"/>
  <c r="AH190" i="20" s="1"/>
  <c r="G188" i="20"/>
  <c r="G189" i="20" s="1"/>
  <c r="G190" i="20" s="1"/>
  <c r="AI184" i="20"/>
  <c r="AO184" i="20" s="1"/>
  <c r="AH184" i="20"/>
  <c r="AN184" i="20" s="1"/>
  <c r="AG184" i="20"/>
  <c r="AM184" i="20" s="1"/>
  <c r="AI183" i="20"/>
  <c r="AO183" i="20" s="1"/>
  <c r="AH183" i="20"/>
  <c r="AN183" i="20" s="1"/>
  <c r="AG183" i="20"/>
  <c r="F183" i="20"/>
  <c r="E183" i="20"/>
  <c r="D183" i="20"/>
  <c r="AJ182" i="20"/>
  <c r="AP182" i="20" s="1"/>
  <c r="AI182" i="20"/>
  <c r="AO182" i="20" s="1"/>
  <c r="AH182" i="20"/>
  <c r="AN182" i="20" s="1"/>
  <c r="AG182" i="20"/>
  <c r="AM182" i="20" s="1"/>
  <c r="F182" i="20"/>
  <c r="E182" i="20"/>
  <c r="D182" i="20"/>
  <c r="AJ181" i="20"/>
  <c r="AP181" i="20" s="1"/>
  <c r="AI181" i="20"/>
  <c r="AO181" i="20" s="1"/>
  <c r="AH181" i="20"/>
  <c r="AN181" i="20" s="1"/>
  <c r="AG181" i="20"/>
  <c r="F181" i="20"/>
  <c r="E181" i="20"/>
  <c r="D181" i="20"/>
  <c r="AI180" i="20"/>
  <c r="AO180" i="20" s="1"/>
  <c r="AH180" i="20"/>
  <c r="AN180" i="20" s="1"/>
  <c r="AG180" i="20"/>
  <c r="AM180" i="20" s="1"/>
  <c r="F180" i="20"/>
  <c r="E180" i="20"/>
  <c r="D180" i="20"/>
  <c r="AJ179" i="20"/>
  <c r="AI179" i="20"/>
  <c r="AO179" i="20" s="1"/>
  <c r="AH179" i="20"/>
  <c r="AN179" i="20" s="1"/>
  <c r="AG179" i="20"/>
  <c r="AM179" i="20" s="1"/>
  <c r="F179" i="20"/>
  <c r="E179" i="20"/>
  <c r="D179" i="20"/>
  <c r="AJ178" i="20"/>
  <c r="AP178" i="20" s="1"/>
  <c r="AI178" i="20"/>
  <c r="AO178" i="20" s="1"/>
  <c r="AH178" i="20"/>
  <c r="AN178" i="20" s="1"/>
  <c r="AG178" i="20"/>
  <c r="AM178" i="20" s="1"/>
  <c r="F178" i="20"/>
  <c r="E178" i="20"/>
  <c r="D178" i="20"/>
  <c r="AJ177" i="20"/>
  <c r="AI177" i="20"/>
  <c r="AO177" i="20" s="1"/>
  <c r="AH177" i="20"/>
  <c r="AN177" i="20" s="1"/>
  <c r="AG177" i="20"/>
  <c r="AM177" i="20" s="1"/>
  <c r="F177" i="20"/>
  <c r="E177" i="20"/>
  <c r="D177" i="20"/>
  <c r="AJ176" i="20"/>
  <c r="AI176" i="20"/>
  <c r="AO176" i="20" s="1"/>
  <c r="AH176" i="20"/>
  <c r="AN176" i="20" s="1"/>
  <c r="AG176" i="20"/>
  <c r="AM176" i="20" s="1"/>
  <c r="F176" i="20"/>
  <c r="E176" i="20"/>
  <c r="D176" i="20"/>
  <c r="AJ175" i="20"/>
  <c r="AI175" i="20"/>
  <c r="AO175" i="20" s="1"/>
  <c r="AH175" i="20"/>
  <c r="AN175" i="20" s="1"/>
  <c r="AG175" i="20"/>
  <c r="AM175" i="20" s="1"/>
  <c r="F175" i="20"/>
  <c r="E175" i="20"/>
  <c r="D175" i="20"/>
  <c r="AJ174" i="20"/>
  <c r="AI174" i="20"/>
  <c r="AO174" i="20" s="1"/>
  <c r="AH174" i="20"/>
  <c r="AN174" i="20" s="1"/>
  <c r="AG174" i="20"/>
  <c r="AM174" i="20" s="1"/>
  <c r="F174" i="20"/>
  <c r="E174" i="20"/>
  <c r="D174" i="20"/>
  <c r="AJ173" i="20"/>
  <c r="AP173" i="20" s="1"/>
  <c r="AI173" i="20"/>
  <c r="AO173" i="20" s="1"/>
  <c r="AH173" i="20"/>
  <c r="AN173" i="20" s="1"/>
  <c r="AG173" i="20"/>
  <c r="F173" i="20"/>
  <c r="E173" i="20"/>
  <c r="D173" i="20"/>
  <c r="AJ172" i="20"/>
  <c r="AP172" i="20" s="1"/>
  <c r="AI172" i="20"/>
  <c r="AO172" i="20" s="1"/>
  <c r="AH172" i="20"/>
  <c r="AN172" i="20" s="1"/>
  <c r="AG172" i="20"/>
  <c r="AM172" i="20" s="1"/>
  <c r="F172" i="20"/>
  <c r="E172" i="20"/>
  <c r="D172" i="20"/>
  <c r="AJ171" i="20"/>
  <c r="AP171" i="20" s="1"/>
  <c r="AI171" i="20"/>
  <c r="AO171" i="20" s="1"/>
  <c r="AH171" i="20"/>
  <c r="AN171" i="20" s="1"/>
  <c r="AG171" i="20"/>
  <c r="AM171" i="20" s="1"/>
  <c r="F171" i="20"/>
  <c r="E171" i="20"/>
  <c r="D171" i="20"/>
  <c r="AJ170" i="20"/>
  <c r="AP170" i="20" s="1"/>
  <c r="AI170" i="20"/>
  <c r="AO170" i="20" s="1"/>
  <c r="AH170" i="20"/>
  <c r="AN170" i="20" s="1"/>
  <c r="AG170" i="20"/>
  <c r="AM170" i="20" s="1"/>
  <c r="F170" i="20"/>
  <c r="E170" i="20"/>
  <c r="D170" i="20"/>
  <c r="AJ169" i="20"/>
  <c r="AP169" i="20" s="1"/>
  <c r="AI169" i="20"/>
  <c r="AO169" i="20" s="1"/>
  <c r="AH169" i="20"/>
  <c r="AN169" i="20" s="1"/>
  <c r="AG169" i="20"/>
  <c r="AM169" i="20" s="1"/>
  <c r="F169" i="20"/>
  <c r="E169" i="20"/>
  <c r="D169" i="20"/>
  <c r="AJ167" i="20"/>
  <c r="AP167" i="20" s="1"/>
  <c r="AI167" i="20"/>
  <c r="AO167" i="20" s="1"/>
  <c r="AH167" i="20"/>
  <c r="AN167" i="20" s="1"/>
  <c r="AG167" i="20"/>
  <c r="AM167" i="20" s="1"/>
  <c r="F167" i="20"/>
  <c r="E167" i="20"/>
  <c r="D167" i="20"/>
  <c r="AJ166" i="20"/>
  <c r="AP166" i="20" s="1"/>
  <c r="AI166" i="20"/>
  <c r="AO166" i="20" s="1"/>
  <c r="AH166" i="20"/>
  <c r="AN166" i="20" s="1"/>
  <c r="AG166" i="20"/>
  <c r="AM166" i="20" s="1"/>
  <c r="F166" i="20"/>
  <c r="E166" i="20"/>
  <c r="D166" i="20"/>
  <c r="AJ165" i="20"/>
  <c r="AP165" i="20" s="1"/>
  <c r="AI165" i="20"/>
  <c r="AO165" i="20" s="1"/>
  <c r="AH165" i="20"/>
  <c r="AN165" i="20" s="1"/>
  <c r="AG165" i="20"/>
  <c r="AM165" i="20" s="1"/>
  <c r="F165" i="20"/>
  <c r="E165" i="20"/>
  <c r="D165" i="20"/>
  <c r="AJ164" i="20"/>
  <c r="AP164" i="20" s="1"/>
  <c r="AI164" i="20"/>
  <c r="AO164" i="20" s="1"/>
  <c r="AH164" i="20"/>
  <c r="AN164" i="20" s="1"/>
  <c r="AG164" i="20"/>
  <c r="AM164" i="20" s="1"/>
  <c r="F164" i="20"/>
  <c r="E164" i="20"/>
  <c r="D164" i="20"/>
  <c r="AJ163" i="20"/>
  <c r="AP163" i="20" s="1"/>
  <c r="AI163" i="20"/>
  <c r="AO163" i="20" s="1"/>
  <c r="AH163" i="20"/>
  <c r="AN163" i="20" s="1"/>
  <c r="AG163" i="20"/>
  <c r="AM163" i="20" s="1"/>
  <c r="F163" i="20"/>
  <c r="E163" i="20"/>
  <c r="D163" i="20"/>
  <c r="AJ162" i="20"/>
  <c r="AP162" i="20" s="1"/>
  <c r="AI162" i="20"/>
  <c r="AO162" i="20" s="1"/>
  <c r="AH162" i="20"/>
  <c r="AN162" i="20" s="1"/>
  <c r="AG162" i="20"/>
  <c r="F162" i="20"/>
  <c r="E162" i="20"/>
  <c r="D162" i="20"/>
  <c r="AJ161" i="20"/>
  <c r="AP161" i="20" s="1"/>
  <c r="AI161" i="20"/>
  <c r="AO161" i="20" s="1"/>
  <c r="AH161" i="20"/>
  <c r="AN161" i="20" s="1"/>
  <c r="AG161" i="20"/>
  <c r="AM161" i="20" s="1"/>
  <c r="F161" i="20"/>
  <c r="E161" i="20"/>
  <c r="D161" i="20"/>
  <c r="AJ160" i="20"/>
  <c r="AP160" i="20" s="1"/>
  <c r="AI160" i="20"/>
  <c r="AO160" i="20" s="1"/>
  <c r="AH160" i="20"/>
  <c r="AN160" i="20" s="1"/>
  <c r="AG160" i="20"/>
  <c r="AM160" i="20" s="1"/>
  <c r="F160" i="20"/>
  <c r="E160" i="20"/>
  <c r="D160" i="20"/>
  <c r="AJ159" i="20"/>
  <c r="AP159" i="20" s="1"/>
  <c r="AI159" i="20"/>
  <c r="AO159" i="20" s="1"/>
  <c r="AH159" i="20"/>
  <c r="AN159" i="20" s="1"/>
  <c r="AG159" i="20"/>
  <c r="AM159" i="20" s="1"/>
  <c r="F159" i="20"/>
  <c r="E159" i="20"/>
  <c r="D159" i="20"/>
  <c r="AJ158" i="20"/>
  <c r="AP158" i="20" s="1"/>
  <c r="AI158" i="20"/>
  <c r="AO158" i="20" s="1"/>
  <c r="AH158" i="20"/>
  <c r="AN158" i="20" s="1"/>
  <c r="AG158" i="20"/>
  <c r="AM158" i="20" s="1"/>
  <c r="F158" i="20"/>
  <c r="E158" i="20"/>
  <c r="D158" i="20"/>
  <c r="AJ157" i="20"/>
  <c r="AP157" i="20" s="1"/>
  <c r="AI157" i="20"/>
  <c r="AO157" i="20" s="1"/>
  <c r="AH157" i="20"/>
  <c r="AN157" i="20" s="1"/>
  <c r="AG157" i="20"/>
  <c r="AM157" i="20" s="1"/>
  <c r="F157" i="20"/>
  <c r="E157" i="20"/>
  <c r="D157" i="20"/>
  <c r="AJ156" i="20"/>
  <c r="AP156" i="20" s="1"/>
  <c r="AI156" i="20"/>
  <c r="AO156" i="20" s="1"/>
  <c r="AH156" i="20"/>
  <c r="AN156" i="20" s="1"/>
  <c r="AG156" i="20"/>
  <c r="F156" i="20"/>
  <c r="E156" i="20"/>
  <c r="D156" i="20"/>
  <c r="AJ155" i="20"/>
  <c r="AP155" i="20" s="1"/>
  <c r="AI155" i="20"/>
  <c r="AO155" i="20" s="1"/>
  <c r="AH155" i="20"/>
  <c r="AN155" i="20" s="1"/>
  <c r="AG155" i="20"/>
  <c r="AM155" i="20" s="1"/>
  <c r="F155" i="20"/>
  <c r="E155" i="20"/>
  <c r="D155" i="20"/>
  <c r="AJ154" i="20"/>
  <c r="AP154" i="20" s="1"/>
  <c r="AI154" i="20"/>
  <c r="AO154" i="20" s="1"/>
  <c r="AH154" i="20"/>
  <c r="AN154" i="20" s="1"/>
  <c r="AG154" i="20"/>
  <c r="AM154" i="20" s="1"/>
  <c r="F154" i="20"/>
  <c r="E154" i="20"/>
  <c r="D154" i="20"/>
  <c r="AJ153" i="20"/>
  <c r="AP153" i="20" s="1"/>
  <c r="AI153" i="20"/>
  <c r="AO153" i="20" s="1"/>
  <c r="AH153" i="20"/>
  <c r="AN153" i="20" s="1"/>
  <c r="AG153" i="20"/>
  <c r="AM153" i="20" s="1"/>
  <c r="F153" i="20"/>
  <c r="E153" i="20"/>
  <c r="D153" i="20"/>
  <c r="AJ152" i="20"/>
  <c r="AP152" i="20" s="1"/>
  <c r="AI152" i="20"/>
  <c r="AO152" i="20" s="1"/>
  <c r="AH152" i="20"/>
  <c r="AN152" i="20" s="1"/>
  <c r="AG152" i="20"/>
  <c r="F152" i="20"/>
  <c r="E152" i="20"/>
  <c r="D152" i="20"/>
  <c r="AJ151" i="20"/>
  <c r="AP151" i="20" s="1"/>
  <c r="AI151" i="20"/>
  <c r="AO151" i="20" s="1"/>
  <c r="AH151" i="20"/>
  <c r="AN151" i="20" s="1"/>
  <c r="AG151" i="20"/>
  <c r="AM151" i="20" s="1"/>
  <c r="F151" i="20"/>
  <c r="E151" i="20"/>
  <c r="D151" i="20"/>
  <c r="AP150" i="20"/>
  <c r="AJ150" i="20"/>
  <c r="AI150" i="20"/>
  <c r="AO150" i="20" s="1"/>
  <c r="AH150" i="20"/>
  <c r="AN150" i="20" s="1"/>
  <c r="AG150" i="20"/>
  <c r="AM150" i="20" s="1"/>
  <c r="F150" i="20"/>
  <c r="E150" i="20"/>
  <c r="D150" i="20"/>
  <c r="AP149" i="20"/>
  <c r="AJ149" i="20"/>
  <c r="AI149" i="20"/>
  <c r="AO149" i="20" s="1"/>
  <c r="AH149" i="20"/>
  <c r="AN149" i="20" s="1"/>
  <c r="AG149" i="20"/>
  <c r="AM149" i="20" s="1"/>
  <c r="F149" i="20"/>
  <c r="E149" i="20"/>
  <c r="D149" i="20"/>
  <c r="AJ148" i="20"/>
  <c r="AP148" i="20" s="1"/>
  <c r="AI148" i="20"/>
  <c r="AO148" i="20" s="1"/>
  <c r="AH148" i="20"/>
  <c r="AN148" i="20" s="1"/>
  <c r="AG148" i="20"/>
  <c r="F148" i="20"/>
  <c r="E148" i="20"/>
  <c r="D148" i="20"/>
  <c r="AJ147" i="20"/>
  <c r="AI147" i="20"/>
  <c r="AO147" i="20" s="1"/>
  <c r="AH147" i="20"/>
  <c r="AN147" i="20" s="1"/>
  <c r="AG147" i="20"/>
  <c r="AM147" i="20" s="1"/>
  <c r="F147" i="20"/>
  <c r="E147" i="20"/>
  <c r="D147" i="20"/>
  <c r="AJ146" i="20"/>
  <c r="AP146" i="20" s="1"/>
  <c r="AI146" i="20"/>
  <c r="AO146" i="20" s="1"/>
  <c r="AH146" i="20"/>
  <c r="AN146" i="20" s="1"/>
  <c r="AG146" i="20"/>
  <c r="AM146" i="20" s="1"/>
  <c r="F146" i="20"/>
  <c r="E146" i="20"/>
  <c r="D146" i="20"/>
  <c r="AJ145" i="20"/>
  <c r="AP145" i="20" s="1"/>
  <c r="AI145" i="20"/>
  <c r="AO145" i="20" s="1"/>
  <c r="AH145" i="20"/>
  <c r="AN145" i="20" s="1"/>
  <c r="AG145" i="20"/>
  <c r="F145" i="20"/>
  <c r="E145" i="20"/>
  <c r="D145" i="20"/>
  <c r="AJ144" i="20"/>
  <c r="AP144" i="20" s="1"/>
  <c r="AI144" i="20"/>
  <c r="AO144" i="20" s="1"/>
  <c r="AH144" i="20"/>
  <c r="AN144" i="20" s="1"/>
  <c r="AG144" i="20"/>
  <c r="F144" i="20"/>
  <c r="E144" i="20"/>
  <c r="D144" i="20"/>
  <c r="AJ143" i="20"/>
  <c r="AP143" i="20" s="1"/>
  <c r="AI143" i="20"/>
  <c r="AO143" i="20" s="1"/>
  <c r="AH143" i="20"/>
  <c r="AN143" i="20" s="1"/>
  <c r="AG143" i="20"/>
  <c r="AM143" i="20" s="1"/>
  <c r="F143" i="20"/>
  <c r="E143" i="20"/>
  <c r="D143" i="20"/>
  <c r="AJ142" i="20"/>
  <c r="AP142" i="20" s="1"/>
  <c r="AI142" i="20"/>
  <c r="AO142" i="20" s="1"/>
  <c r="AH142" i="20"/>
  <c r="AN142" i="20" s="1"/>
  <c r="AG142" i="20"/>
  <c r="AM142" i="20" s="1"/>
  <c r="F142" i="20"/>
  <c r="E142" i="20"/>
  <c r="D142" i="20"/>
  <c r="AJ141" i="20"/>
  <c r="AP141" i="20" s="1"/>
  <c r="AI141" i="20"/>
  <c r="AO141" i="20" s="1"/>
  <c r="AH141" i="20"/>
  <c r="AN141" i="20" s="1"/>
  <c r="AG141" i="20"/>
  <c r="AM141" i="20" s="1"/>
  <c r="F141" i="20"/>
  <c r="E141" i="20"/>
  <c r="D141" i="20"/>
  <c r="AJ140" i="20"/>
  <c r="AP140" i="20" s="1"/>
  <c r="AI140" i="20"/>
  <c r="AO140" i="20" s="1"/>
  <c r="AH140" i="20"/>
  <c r="AN140" i="20" s="1"/>
  <c r="AG140" i="20"/>
  <c r="AM140" i="20" s="1"/>
  <c r="F140" i="20"/>
  <c r="E140" i="20"/>
  <c r="D140" i="20"/>
  <c r="AJ139" i="20"/>
  <c r="AP139" i="20" s="1"/>
  <c r="AI139" i="20"/>
  <c r="AO139" i="20" s="1"/>
  <c r="AH139" i="20"/>
  <c r="AN139" i="20" s="1"/>
  <c r="AG139" i="20"/>
  <c r="F139" i="20"/>
  <c r="E139" i="20"/>
  <c r="D139" i="20"/>
  <c r="AJ138" i="20"/>
  <c r="AP138" i="20" s="1"/>
  <c r="AI138" i="20"/>
  <c r="AO138" i="20" s="1"/>
  <c r="AH138" i="20"/>
  <c r="AN138" i="20" s="1"/>
  <c r="AG138" i="20"/>
  <c r="AM138" i="20" s="1"/>
  <c r="F138" i="20"/>
  <c r="E138" i="20"/>
  <c r="D138" i="20"/>
  <c r="AJ137" i="20"/>
  <c r="AP137" i="20" s="1"/>
  <c r="AI137" i="20"/>
  <c r="AO137" i="20" s="1"/>
  <c r="AH137" i="20"/>
  <c r="AN137" i="20" s="1"/>
  <c r="AG137" i="20"/>
  <c r="AM137" i="20" s="1"/>
  <c r="F137" i="20"/>
  <c r="E137" i="20"/>
  <c r="D137" i="20"/>
  <c r="AJ136" i="20"/>
  <c r="AP136" i="20" s="1"/>
  <c r="AI136" i="20"/>
  <c r="AO136" i="20" s="1"/>
  <c r="AH136" i="20"/>
  <c r="AN136" i="20" s="1"/>
  <c r="AG136" i="20"/>
  <c r="AM136" i="20" s="1"/>
  <c r="F136" i="20"/>
  <c r="E136" i="20"/>
  <c r="D136" i="20"/>
  <c r="AJ135" i="20"/>
  <c r="AP135" i="20" s="1"/>
  <c r="AI135" i="20"/>
  <c r="AO135" i="20" s="1"/>
  <c r="AH135" i="20"/>
  <c r="AN135" i="20" s="1"/>
  <c r="AG135" i="20"/>
  <c r="AM135" i="20" s="1"/>
  <c r="F135" i="20"/>
  <c r="E135" i="20"/>
  <c r="D135" i="20"/>
  <c r="AJ134" i="20"/>
  <c r="AP134" i="20" s="1"/>
  <c r="AI134" i="20"/>
  <c r="AO134" i="20" s="1"/>
  <c r="AH134" i="20"/>
  <c r="AN134" i="20" s="1"/>
  <c r="AG134" i="20"/>
  <c r="AM134" i="20" s="1"/>
  <c r="F134" i="20"/>
  <c r="E134" i="20"/>
  <c r="D134" i="20"/>
  <c r="AJ133" i="20"/>
  <c r="AP133" i="20" s="1"/>
  <c r="AI133" i="20"/>
  <c r="AO133" i="20" s="1"/>
  <c r="AH133" i="20"/>
  <c r="AN133" i="20" s="1"/>
  <c r="AG133" i="20"/>
  <c r="AM133" i="20" s="1"/>
  <c r="F133" i="20"/>
  <c r="E133" i="20"/>
  <c r="D133" i="20"/>
  <c r="AJ132" i="20"/>
  <c r="AP132" i="20" s="1"/>
  <c r="AI132" i="20"/>
  <c r="AO132" i="20" s="1"/>
  <c r="AH132" i="20"/>
  <c r="AN132" i="20" s="1"/>
  <c r="AG132" i="20"/>
  <c r="AM132" i="20" s="1"/>
  <c r="F132" i="20"/>
  <c r="E132" i="20"/>
  <c r="D132" i="20"/>
  <c r="AP131" i="20"/>
  <c r="AJ131" i="20"/>
  <c r="AI131" i="20"/>
  <c r="AO131" i="20" s="1"/>
  <c r="AH131" i="20"/>
  <c r="AN131" i="20" s="1"/>
  <c r="AG131" i="20"/>
  <c r="F131" i="20"/>
  <c r="E131" i="20"/>
  <c r="D131" i="20"/>
  <c r="AJ130" i="20"/>
  <c r="AP130" i="20" s="1"/>
  <c r="AI130" i="20"/>
  <c r="AO130" i="20" s="1"/>
  <c r="AH130" i="20"/>
  <c r="AN130" i="20" s="1"/>
  <c r="AG130" i="20"/>
  <c r="AM130" i="20" s="1"/>
  <c r="F130" i="20"/>
  <c r="E130" i="20"/>
  <c r="D130" i="20"/>
  <c r="AJ129" i="20"/>
  <c r="AP129" i="20" s="1"/>
  <c r="AI129" i="20"/>
  <c r="AO129" i="20" s="1"/>
  <c r="AH129" i="20"/>
  <c r="AN129" i="20" s="1"/>
  <c r="AG129" i="20"/>
  <c r="F129" i="20"/>
  <c r="E129" i="20"/>
  <c r="D129" i="20"/>
  <c r="AJ128" i="20"/>
  <c r="AP128" i="20" s="1"/>
  <c r="AI128" i="20"/>
  <c r="AO128" i="20" s="1"/>
  <c r="AH128" i="20"/>
  <c r="AN128" i="20" s="1"/>
  <c r="AG128" i="20"/>
  <c r="AM128" i="20" s="1"/>
  <c r="F128" i="20"/>
  <c r="E128" i="20"/>
  <c r="D128" i="20"/>
  <c r="AJ127" i="20"/>
  <c r="AP127" i="20" s="1"/>
  <c r="AI127" i="20"/>
  <c r="AO127" i="20" s="1"/>
  <c r="AH127" i="20"/>
  <c r="AN127" i="20" s="1"/>
  <c r="AG127" i="20"/>
  <c r="AM127" i="20" s="1"/>
  <c r="F127" i="20"/>
  <c r="E127" i="20"/>
  <c r="D127" i="20"/>
  <c r="AJ126" i="20"/>
  <c r="AP126" i="20" s="1"/>
  <c r="AI126" i="20"/>
  <c r="AO126" i="20" s="1"/>
  <c r="AH126" i="20"/>
  <c r="AN126" i="20" s="1"/>
  <c r="AG126" i="20"/>
  <c r="AM126" i="20" s="1"/>
  <c r="F126" i="20"/>
  <c r="E126" i="20"/>
  <c r="D126" i="20"/>
  <c r="AJ125" i="20"/>
  <c r="AP125" i="20" s="1"/>
  <c r="AI125" i="20"/>
  <c r="AO125" i="20" s="1"/>
  <c r="AH125" i="20"/>
  <c r="AN125" i="20" s="1"/>
  <c r="AG125" i="20"/>
  <c r="AM125" i="20" s="1"/>
  <c r="F125" i="20"/>
  <c r="E125" i="20"/>
  <c r="D125" i="20"/>
  <c r="AJ124" i="20"/>
  <c r="AP124" i="20" s="1"/>
  <c r="AI124" i="20"/>
  <c r="AO124" i="20" s="1"/>
  <c r="AH124" i="20"/>
  <c r="AN124" i="20" s="1"/>
  <c r="AG124" i="20"/>
  <c r="AM124" i="20" s="1"/>
  <c r="F124" i="20"/>
  <c r="E124" i="20"/>
  <c r="D124" i="20"/>
  <c r="AP123" i="20"/>
  <c r="AJ123" i="20"/>
  <c r="AI123" i="20"/>
  <c r="AO123" i="20" s="1"/>
  <c r="AH123" i="20"/>
  <c r="AN123" i="20" s="1"/>
  <c r="AG123" i="20"/>
  <c r="F123" i="20"/>
  <c r="E123" i="20"/>
  <c r="D123" i="20"/>
  <c r="AJ122" i="20"/>
  <c r="AP122" i="20" s="1"/>
  <c r="AI122" i="20"/>
  <c r="AO122" i="20" s="1"/>
  <c r="AH122" i="20"/>
  <c r="AN122" i="20" s="1"/>
  <c r="AG122" i="20"/>
  <c r="AM122" i="20" s="1"/>
  <c r="F122" i="20"/>
  <c r="E122" i="20"/>
  <c r="D122" i="20"/>
  <c r="AJ121" i="20"/>
  <c r="AP121" i="20" s="1"/>
  <c r="AI121" i="20"/>
  <c r="AO121" i="20" s="1"/>
  <c r="AH121" i="20"/>
  <c r="AN121" i="20" s="1"/>
  <c r="AG121" i="20"/>
  <c r="AM121" i="20" s="1"/>
  <c r="F121" i="20"/>
  <c r="E121" i="20"/>
  <c r="D121" i="20"/>
  <c r="AJ120" i="20"/>
  <c r="AP120" i="20" s="1"/>
  <c r="AI120" i="20"/>
  <c r="AO120" i="20" s="1"/>
  <c r="AH120" i="20"/>
  <c r="AN120" i="20" s="1"/>
  <c r="AG120" i="20"/>
  <c r="AM120" i="20" s="1"/>
  <c r="F120" i="20"/>
  <c r="E120" i="20"/>
  <c r="D120" i="20"/>
  <c r="AJ119" i="20"/>
  <c r="AP119" i="20" s="1"/>
  <c r="AI119" i="20"/>
  <c r="AO119" i="20" s="1"/>
  <c r="AH119" i="20"/>
  <c r="AN119" i="20" s="1"/>
  <c r="AG119" i="20"/>
  <c r="AM119" i="20" s="1"/>
  <c r="F119" i="20"/>
  <c r="E119" i="20"/>
  <c r="D119" i="20"/>
  <c r="AJ118" i="20"/>
  <c r="AP118" i="20" s="1"/>
  <c r="AI118" i="20"/>
  <c r="AO118" i="20" s="1"/>
  <c r="AH118" i="20"/>
  <c r="AN118" i="20" s="1"/>
  <c r="AG118" i="20"/>
  <c r="AM118" i="20" s="1"/>
  <c r="F118" i="20"/>
  <c r="E118" i="20"/>
  <c r="D118" i="20"/>
  <c r="AJ117" i="20"/>
  <c r="AP117" i="20" s="1"/>
  <c r="AI117" i="20"/>
  <c r="AO117" i="20" s="1"/>
  <c r="AH117" i="20"/>
  <c r="AN117" i="20" s="1"/>
  <c r="AG117" i="20"/>
  <c r="F117" i="20"/>
  <c r="E117" i="20"/>
  <c r="D117" i="20"/>
  <c r="AJ116" i="20"/>
  <c r="AP116" i="20" s="1"/>
  <c r="AI116" i="20"/>
  <c r="AO116" i="20" s="1"/>
  <c r="AH116" i="20"/>
  <c r="AN116" i="20" s="1"/>
  <c r="AG116" i="20"/>
  <c r="F116" i="20"/>
  <c r="E116" i="20"/>
  <c r="D116" i="20"/>
  <c r="AJ115" i="20"/>
  <c r="AP115" i="20" s="1"/>
  <c r="AI115" i="20"/>
  <c r="AO115" i="20" s="1"/>
  <c r="AH115" i="20"/>
  <c r="AN115" i="20" s="1"/>
  <c r="AG115" i="20"/>
  <c r="AM115" i="20" s="1"/>
  <c r="F115" i="20"/>
  <c r="E115" i="20"/>
  <c r="D115" i="20"/>
  <c r="AJ114" i="20"/>
  <c r="AP114" i="20" s="1"/>
  <c r="AI114" i="20"/>
  <c r="AO114" i="20" s="1"/>
  <c r="AH114" i="20"/>
  <c r="AN114" i="20" s="1"/>
  <c r="AG114" i="20"/>
  <c r="AM114" i="20" s="1"/>
  <c r="F114" i="20"/>
  <c r="E114" i="20"/>
  <c r="D114" i="20"/>
  <c r="AJ113" i="20"/>
  <c r="AP113" i="20" s="1"/>
  <c r="AI113" i="20"/>
  <c r="AO113" i="20" s="1"/>
  <c r="AH113" i="20"/>
  <c r="AN113" i="20" s="1"/>
  <c r="AG113" i="20"/>
  <c r="F113" i="20"/>
  <c r="E113" i="20"/>
  <c r="D113" i="20"/>
  <c r="AJ112" i="20"/>
  <c r="AP112" i="20" s="1"/>
  <c r="AI112" i="20"/>
  <c r="AO112" i="20" s="1"/>
  <c r="AH112" i="20"/>
  <c r="AN112" i="20" s="1"/>
  <c r="AG112" i="20"/>
  <c r="F112" i="20"/>
  <c r="E112" i="20"/>
  <c r="D112" i="20"/>
  <c r="AJ111" i="20"/>
  <c r="AP111" i="20" s="1"/>
  <c r="AI111" i="20"/>
  <c r="AO111" i="20" s="1"/>
  <c r="AH111" i="20"/>
  <c r="AN111" i="20" s="1"/>
  <c r="AG111" i="20"/>
  <c r="AM111" i="20" s="1"/>
  <c r="F111" i="20"/>
  <c r="E111" i="20"/>
  <c r="D111" i="20"/>
  <c r="AP110" i="20"/>
  <c r="AJ110" i="20"/>
  <c r="AI110" i="20"/>
  <c r="AO110" i="20" s="1"/>
  <c r="AH110" i="20"/>
  <c r="AN110" i="20" s="1"/>
  <c r="AG110" i="20"/>
  <c r="AM110" i="20" s="1"/>
  <c r="F110" i="20"/>
  <c r="E110" i="20"/>
  <c r="D110" i="20"/>
  <c r="AJ109" i="20"/>
  <c r="AP109" i="20" s="1"/>
  <c r="AI109" i="20"/>
  <c r="AO109" i="20" s="1"/>
  <c r="AH109" i="20"/>
  <c r="AN109" i="20" s="1"/>
  <c r="AG109" i="20"/>
  <c r="AM109" i="20" s="1"/>
  <c r="F109" i="20"/>
  <c r="E109" i="20"/>
  <c r="D109" i="20"/>
  <c r="AJ108" i="20"/>
  <c r="AP108" i="20" s="1"/>
  <c r="AI108" i="20"/>
  <c r="AO108" i="20" s="1"/>
  <c r="AH108" i="20"/>
  <c r="AN108" i="20" s="1"/>
  <c r="AG108" i="20"/>
  <c r="F108" i="20"/>
  <c r="E108" i="20"/>
  <c r="D108" i="20"/>
  <c r="AJ107" i="20"/>
  <c r="AP107" i="20" s="1"/>
  <c r="AI107" i="20"/>
  <c r="AO107" i="20" s="1"/>
  <c r="AH107" i="20"/>
  <c r="AN107" i="20" s="1"/>
  <c r="AG107" i="20"/>
  <c r="AM107" i="20" s="1"/>
  <c r="F107" i="20"/>
  <c r="E107" i="20"/>
  <c r="D107" i="20"/>
  <c r="AJ106" i="20"/>
  <c r="AP106" i="20" s="1"/>
  <c r="AI106" i="20"/>
  <c r="AO106" i="20" s="1"/>
  <c r="AH106" i="20"/>
  <c r="AN106" i="20" s="1"/>
  <c r="AG106" i="20"/>
  <c r="AM106" i="20" s="1"/>
  <c r="F106" i="20"/>
  <c r="E106" i="20"/>
  <c r="D106" i="20"/>
  <c r="AJ105" i="20"/>
  <c r="AP105" i="20" s="1"/>
  <c r="AI105" i="20"/>
  <c r="AO105" i="20" s="1"/>
  <c r="AH105" i="20"/>
  <c r="AN105" i="20" s="1"/>
  <c r="AG105" i="20"/>
  <c r="AM105" i="20" s="1"/>
  <c r="F105" i="20"/>
  <c r="E105" i="20"/>
  <c r="D105" i="20"/>
  <c r="AJ104" i="20"/>
  <c r="AP104" i="20" s="1"/>
  <c r="AI104" i="20"/>
  <c r="AO104" i="20" s="1"/>
  <c r="AH104" i="20"/>
  <c r="AN104" i="20" s="1"/>
  <c r="AG104" i="20"/>
  <c r="AM104" i="20" s="1"/>
  <c r="F104" i="20"/>
  <c r="E104" i="20"/>
  <c r="D104" i="20"/>
  <c r="AJ103" i="20"/>
  <c r="AP103" i="20" s="1"/>
  <c r="AI103" i="20"/>
  <c r="AO103" i="20" s="1"/>
  <c r="AH103" i="20"/>
  <c r="AN103" i="20" s="1"/>
  <c r="AG103" i="20"/>
  <c r="AM103" i="20" s="1"/>
  <c r="F103" i="20"/>
  <c r="E103" i="20"/>
  <c r="D103" i="20"/>
  <c r="AP102" i="20"/>
  <c r="AJ102" i="20"/>
  <c r="AI102" i="20"/>
  <c r="AO102" i="20" s="1"/>
  <c r="AH102" i="20"/>
  <c r="AN102" i="20" s="1"/>
  <c r="AG102" i="20"/>
  <c r="F102" i="20"/>
  <c r="E102" i="20"/>
  <c r="D102" i="20"/>
  <c r="AJ101" i="20"/>
  <c r="AP101" i="20" s="1"/>
  <c r="AI101" i="20"/>
  <c r="AO101" i="20" s="1"/>
  <c r="AH101" i="20"/>
  <c r="AN101" i="20" s="1"/>
  <c r="AG101" i="20"/>
  <c r="AM101" i="20" s="1"/>
  <c r="F101" i="20"/>
  <c r="E101" i="20"/>
  <c r="D101" i="20"/>
  <c r="AJ100" i="20"/>
  <c r="AP100" i="20" s="1"/>
  <c r="AI100" i="20"/>
  <c r="AO100" i="20" s="1"/>
  <c r="AH100" i="20"/>
  <c r="AN100" i="20" s="1"/>
  <c r="AG100" i="20"/>
  <c r="AM100" i="20" s="1"/>
  <c r="F100" i="20"/>
  <c r="E100" i="20"/>
  <c r="D100" i="20"/>
  <c r="AJ99" i="20"/>
  <c r="AP99" i="20" s="1"/>
  <c r="AI99" i="20"/>
  <c r="AO99" i="20" s="1"/>
  <c r="AH99" i="20"/>
  <c r="AN99" i="20" s="1"/>
  <c r="AG99" i="20"/>
  <c r="AM99" i="20" s="1"/>
  <c r="F99" i="20"/>
  <c r="E99" i="20"/>
  <c r="D99" i="20"/>
  <c r="AJ98" i="20"/>
  <c r="AP98" i="20" s="1"/>
  <c r="AI98" i="20"/>
  <c r="AO98" i="20" s="1"/>
  <c r="AH98" i="20"/>
  <c r="AN98" i="20" s="1"/>
  <c r="AG98" i="20"/>
  <c r="AM98" i="20" s="1"/>
  <c r="F98" i="20"/>
  <c r="E98" i="20"/>
  <c r="D98" i="20"/>
  <c r="AP97" i="20"/>
  <c r="AJ97" i="20"/>
  <c r="AI97" i="20"/>
  <c r="AO97" i="20" s="1"/>
  <c r="AH97" i="20"/>
  <c r="AN97" i="20" s="1"/>
  <c r="AG97" i="20"/>
  <c r="AM97" i="20" s="1"/>
  <c r="F97" i="20"/>
  <c r="E97" i="20"/>
  <c r="D97" i="20"/>
  <c r="AP96" i="20"/>
  <c r="AJ96" i="20"/>
  <c r="AI96" i="20"/>
  <c r="AO96" i="20" s="1"/>
  <c r="AH96" i="20"/>
  <c r="AN96" i="20" s="1"/>
  <c r="AG96" i="20"/>
  <c r="AM96" i="20" s="1"/>
  <c r="F96" i="20"/>
  <c r="E96" i="20"/>
  <c r="D96" i="20"/>
  <c r="AJ95" i="20"/>
  <c r="AP95" i="20" s="1"/>
  <c r="AI95" i="20"/>
  <c r="AO95" i="20" s="1"/>
  <c r="AH95" i="20"/>
  <c r="AN95" i="20" s="1"/>
  <c r="AG95" i="20"/>
  <c r="AM95" i="20" s="1"/>
  <c r="F95" i="20"/>
  <c r="E95" i="20"/>
  <c r="D95" i="20"/>
  <c r="AJ94" i="20"/>
  <c r="AP94" i="20" s="1"/>
  <c r="AI94" i="20"/>
  <c r="AO94" i="20" s="1"/>
  <c r="AH94" i="20"/>
  <c r="AN94" i="20" s="1"/>
  <c r="AG94" i="20"/>
  <c r="AM94" i="20" s="1"/>
  <c r="F94" i="20"/>
  <c r="E94" i="20"/>
  <c r="D94" i="20"/>
  <c r="AJ93" i="20"/>
  <c r="AP93" i="20" s="1"/>
  <c r="AI93" i="20"/>
  <c r="AO93" i="20" s="1"/>
  <c r="AH93" i="20"/>
  <c r="AN93" i="20" s="1"/>
  <c r="AG93" i="20"/>
  <c r="AM93" i="20" s="1"/>
  <c r="F93" i="20"/>
  <c r="E93" i="20"/>
  <c r="D93" i="20"/>
  <c r="AJ92" i="20"/>
  <c r="AP92" i="20" s="1"/>
  <c r="AI92" i="20"/>
  <c r="AO92" i="20" s="1"/>
  <c r="AH92" i="20"/>
  <c r="AN92" i="20" s="1"/>
  <c r="AG92" i="20"/>
  <c r="AM92" i="20" s="1"/>
  <c r="F92" i="20"/>
  <c r="E92" i="20"/>
  <c r="D92" i="20"/>
  <c r="AJ91" i="20"/>
  <c r="AP91" i="20" s="1"/>
  <c r="AI91" i="20"/>
  <c r="AO91" i="20" s="1"/>
  <c r="AH91" i="20"/>
  <c r="AN91" i="20" s="1"/>
  <c r="AG91" i="20"/>
  <c r="AM91" i="20" s="1"/>
  <c r="F91" i="20"/>
  <c r="E91" i="20"/>
  <c r="D91" i="20"/>
  <c r="AJ90" i="20"/>
  <c r="AP90" i="20" s="1"/>
  <c r="AI90" i="20"/>
  <c r="AO90" i="20" s="1"/>
  <c r="AH90" i="20"/>
  <c r="AN90" i="20" s="1"/>
  <c r="AG90" i="20"/>
  <c r="AM90" i="20" s="1"/>
  <c r="F90" i="20"/>
  <c r="E90" i="20"/>
  <c r="D90" i="20"/>
  <c r="AJ89" i="20"/>
  <c r="AP89" i="20" s="1"/>
  <c r="AI89" i="20"/>
  <c r="AO89" i="20" s="1"/>
  <c r="AH89" i="20"/>
  <c r="AN89" i="20" s="1"/>
  <c r="AG89" i="20"/>
  <c r="AM89" i="20" s="1"/>
  <c r="F89" i="20"/>
  <c r="E89" i="20"/>
  <c r="D89" i="20"/>
  <c r="AJ88" i="20"/>
  <c r="AP88" i="20" s="1"/>
  <c r="AI88" i="20"/>
  <c r="AO88" i="20" s="1"/>
  <c r="AH88" i="20"/>
  <c r="AN88" i="20" s="1"/>
  <c r="AG88" i="20"/>
  <c r="AM88" i="20" s="1"/>
  <c r="F88" i="20"/>
  <c r="E88" i="20"/>
  <c r="D88" i="20"/>
  <c r="AJ87" i="20"/>
  <c r="AP87" i="20" s="1"/>
  <c r="AI87" i="20"/>
  <c r="AO87" i="20" s="1"/>
  <c r="AH87" i="20"/>
  <c r="AN87" i="20" s="1"/>
  <c r="AG87" i="20"/>
  <c r="AM87" i="20" s="1"/>
  <c r="F87" i="20"/>
  <c r="E87" i="20"/>
  <c r="D87" i="20"/>
  <c r="AP86" i="20"/>
  <c r="AJ86" i="20"/>
  <c r="AI86" i="20"/>
  <c r="AO86" i="20" s="1"/>
  <c r="AH86" i="20"/>
  <c r="AN86" i="20" s="1"/>
  <c r="AG86" i="20"/>
  <c r="F86" i="20"/>
  <c r="E86" i="20"/>
  <c r="D86" i="20"/>
  <c r="AJ85" i="20"/>
  <c r="AP85" i="20" s="1"/>
  <c r="AI85" i="20"/>
  <c r="AO85" i="20" s="1"/>
  <c r="AH85" i="20"/>
  <c r="AN85" i="20" s="1"/>
  <c r="AG85" i="20"/>
  <c r="AM85" i="20" s="1"/>
  <c r="F85" i="20"/>
  <c r="E85" i="20"/>
  <c r="D85" i="20"/>
  <c r="AJ84" i="20"/>
  <c r="AP84" i="20" s="1"/>
  <c r="AI84" i="20"/>
  <c r="AO84" i="20" s="1"/>
  <c r="AH84" i="20"/>
  <c r="AN84" i="20" s="1"/>
  <c r="AG84" i="20"/>
  <c r="AM84" i="20" s="1"/>
  <c r="F84" i="20"/>
  <c r="E84" i="20"/>
  <c r="D84" i="20"/>
  <c r="AJ83" i="20"/>
  <c r="AP83" i="20" s="1"/>
  <c r="AI83" i="20"/>
  <c r="AO83" i="20" s="1"/>
  <c r="AH83" i="20"/>
  <c r="AN83" i="20" s="1"/>
  <c r="AG83" i="20"/>
  <c r="AM83" i="20" s="1"/>
  <c r="F83" i="20"/>
  <c r="E83" i="20"/>
  <c r="D83" i="20"/>
  <c r="AJ82" i="20"/>
  <c r="AP82" i="20" s="1"/>
  <c r="AI82" i="20"/>
  <c r="AO82" i="20" s="1"/>
  <c r="AH82" i="20"/>
  <c r="AN82" i="20" s="1"/>
  <c r="AG82" i="20"/>
  <c r="AM82" i="20" s="1"/>
  <c r="F82" i="20"/>
  <c r="E82" i="20"/>
  <c r="D82" i="20"/>
  <c r="AP81" i="20"/>
  <c r="AJ81" i="20"/>
  <c r="AI81" i="20"/>
  <c r="AO81" i="20" s="1"/>
  <c r="AH81" i="20"/>
  <c r="AN81" i="20" s="1"/>
  <c r="AG81" i="20"/>
  <c r="AM81" i="20" s="1"/>
  <c r="F81" i="20"/>
  <c r="E81" i="20"/>
  <c r="D81" i="20"/>
  <c r="AJ80" i="20"/>
  <c r="AP80" i="20" s="1"/>
  <c r="AI80" i="20"/>
  <c r="AO80" i="20" s="1"/>
  <c r="AH80" i="20"/>
  <c r="AN80" i="20" s="1"/>
  <c r="AG80" i="20"/>
  <c r="AM80" i="20" s="1"/>
  <c r="F80" i="20"/>
  <c r="E80" i="20"/>
  <c r="D80" i="20"/>
  <c r="AJ79" i="20"/>
  <c r="AP79" i="20" s="1"/>
  <c r="AI79" i="20"/>
  <c r="AO79" i="20" s="1"/>
  <c r="AH79" i="20"/>
  <c r="AN79" i="20" s="1"/>
  <c r="AG79" i="20"/>
  <c r="F79" i="20"/>
  <c r="E79" i="20"/>
  <c r="D79" i="20"/>
  <c r="AJ78" i="20"/>
  <c r="AP78" i="20" s="1"/>
  <c r="AI78" i="20"/>
  <c r="AO78" i="20" s="1"/>
  <c r="AH78" i="20"/>
  <c r="AN78" i="20" s="1"/>
  <c r="AG78" i="20"/>
  <c r="AM78" i="20" s="1"/>
  <c r="F78" i="20"/>
  <c r="E78" i="20"/>
  <c r="D78" i="20"/>
  <c r="AJ77" i="20"/>
  <c r="AP77" i="20" s="1"/>
  <c r="AI77" i="20"/>
  <c r="AO77" i="20" s="1"/>
  <c r="AH77" i="20"/>
  <c r="AN77" i="20" s="1"/>
  <c r="AG77" i="20"/>
  <c r="AM77" i="20" s="1"/>
  <c r="F77" i="20"/>
  <c r="E77" i="20"/>
  <c r="D77" i="20"/>
  <c r="AP76" i="20"/>
  <c r="AJ76" i="20"/>
  <c r="AI76" i="20"/>
  <c r="AO76" i="20" s="1"/>
  <c r="AH76" i="20"/>
  <c r="AN76" i="20" s="1"/>
  <c r="AG76" i="20"/>
  <c r="F76" i="20"/>
  <c r="E76" i="20"/>
  <c r="D76" i="20"/>
  <c r="AJ75" i="20"/>
  <c r="AP75" i="20" s="1"/>
  <c r="AI75" i="20"/>
  <c r="AO75" i="20" s="1"/>
  <c r="AH75" i="20"/>
  <c r="AN75" i="20" s="1"/>
  <c r="AG75" i="20"/>
  <c r="F75" i="20"/>
  <c r="E75" i="20"/>
  <c r="D75" i="20"/>
  <c r="AJ74" i="20"/>
  <c r="AP74" i="20" s="1"/>
  <c r="AI74" i="20"/>
  <c r="AO74" i="20" s="1"/>
  <c r="AH74" i="20"/>
  <c r="AN74" i="20" s="1"/>
  <c r="AG74" i="20"/>
  <c r="F74" i="20"/>
  <c r="E74" i="20"/>
  <c r="D74" i="20"/>
  <c r="AJ73" i="20"/>
  <c r="AP73" i="20" s="1"/>
  <c r="AI73" i="20"/>
  <c r="AO73" i="20" s="1"/>
  <c r="AH73" i="20"/>
  <c r="AN73" i="20" s="1"/>
  <c r="AG73" i="20"/>
  <c r="AM73" i="20" s="1"/>
  <c r="F73" i="20"/>
  <c r="E73" i="20"/>
  <c r="D73" i="20"/>
  <c r="AJ72" i="20"/>
  <c r="AP72" i="20" s="1"/>
  <c r="AI72" i="20"/>
  <c r="AO72" i="20" s="1"/>
  <c r="AH72" i="20"/>
  <c r="AN72" i="20" s="1"/>
  <c r="AG72" i="20"/>
  <c r="AM72" i="20" s="1"/>
  <c r="F72" i="20"/>
  <c r="E72" i="20"/>
  <c r="D72" i="20"/>
  <c r="AJ71" i="20"/>
  <c r="AP71" i="20" s="1"/>
  <c r="AI71" i="20"/>
  <c r="AO71" i="20" s="1"/>
  <c r="AH71" i="20"/>
  <c r="AN71" i="20" s="1"/>
  <c r="AG71" i="20"/>
  <c r="AM71" i="20" s="1"/>
  <c r="F71" i="20"/>
  <c r="E71" i="20"/>
  <c r="D71" i="20"/>
  <c r="AJ70" i="20"/>
  <c r="AP70" i="20" s="1"/>
  <c r="AI70" i="20"/>
  <c r="AO70" i="20" s="1"/>
  <c r="AH70" i="20"/>
  <c r="AN70" i="20" s="1"/>
  <c r="AG70" i="20"/>
  <c r="F70" i="20"/>
  <c r="E70" i="20"/>
  <c r="D70" i="20"/>
  <c r="AJ69" i="20"/>
  <c r="AP69" i="20" s="1"/>
  <c r="AI69" i="20"/>
  <c r="AO69" i="20" s="1"/>
  <c r="AH69" i="20"/>
  <c r="AN69" i="20" s="1"/>
  <c r="AG69" i="20"/>
  <c r="AM69" i="20" s="1"/>
  <c r="F69" i="20"/>
  <c r="E69" i="20"/>
  <c r="D69" i="20"/>
  <c r="AJ68" i="20"/>
  <c r="AP68" i="20" s="1"/>
  <c r="AI68" i="20"/>
  <c r="AO68" i="20" s="1"/>
  <c r="AH68" i="20"/>
  <c r="AN68" i="20" s="1"/>
  <c r="AG68" i="20"/>
  <c r="AM68" i="20" s="1"/>
  <c r="F68" i="20"/>
  <c r="E68" i="20"/>
  <c r="D68" i="20"/>
  <c r="AJ67" i="20"/>
  <c r="AP67" i="20" s="1"/>
  <c r="AI67" i="20"/>
  <c r="AO67" i="20" s="1"/>
  <c r="AH67" i="20"/>
  <c r="AN67" i="20" s="1"/>
  <c r="AG67" i="20"/>
  <c r="AM67" i="20" s="1"/>
  <c r="F67" i="20"/>
  <c r="E67" i="20"/>
  <c r="D67" i="20"/>
  <c r="AJ66" i="20"/>
  <c r="AP66" i="20" s="1"/>
  <c r="AI66" i="20"/>
  <c r="AO66" i="20" s="1"/>
  <c r="AH66" i="20"/>
  <c r="AN66" i="20" s="1"/>
  <c r="AG66" i="20"/>
  <c r="AM66" i="20" s="1"/>
  <c r="F66" i="20"/>
  <c r="E66" i="20"/>
  <c r="D66" i="20"/>
  <c r="AJ65" i="20"/>
  <c r="AP65" i="20" s="1"/>
  <c r="AI65" i="20"/>
  <c r="AO65" i="20" s="1"/>
  <c r="AH65" i="20"/>
  <c r="AN65" i="20" s="1"/>
  <c r="AG65" i="20"/>
  <c r="AM65" i="20" s="1"/>
  <c r="F65" i="20"/>
  <c r="E65" i="20"/>
  <c r="D65" i="20"/>
  <c r="AJ64" i="20"/>
  <c r="AP64" i="20" s="1"/>
  <c r="AI64" i="20"/>
  <c r="AO64" i="20" s="1"/>
  <c r="AH64" i="20"/>
  <c r="AN64" i="20" s="1"/>
  <c r="AG64" i="20"/>
  <c r="AM64" i="20" s="1"/>
  <c r="F64" i="20"/>
  <c r="E64" i="20"/>
  <c r="D64" i="20"/>
  <c r="AP63" i="20"/>
  <c r="AJ63" i="20"/>
  <c r="AI63" i="20"/>
  <c r="AO63" i="20" s="1"/>
  <c r="AH63" i="20"/>
  <c r="AN63" i="20" s="1"/>
  <c r="AG63" i="20"/>
  <c r="AM63" i="20" s="1"/>
  <c r="F63" i="20"/>
  <c r="E63" i="20"/>
  <c r="D63" i="20"/>
  <c r="AP62" i="20"/>
  <c r="AJ62" i="20"/>
  <c r="AI62" i="20"/>
  <c r="AO62" i="20" s="1"/>
  <c r="AH62" i="20"/>
  <c r="AN62" i="20" s="1"/>
  <c r="AG62" i="20"/>
  <c r="AM62" i="20" s="1"/>
  <c r="F62" i="20"/>
  <c r="E62" i="20"/>
  <c r="D62" i="20"/>
  <c r="AJ61" i="20"/>
  <c r="AP61" i="20" s="1"/>
  <c r="AI61" i="20"/>
  <c r="AO61" i="20" s="1"/>
  <c r="AH61" i="20"/>
  <c r="AN61" i="20" s="1"/>
  <c r="AG61" i="20"/>
  <c r="AM61" i="20" s="1"/>
  <c r="F61" i="20"/>
  <c r="E61" i="20"/>
  <c r="D61" i="20"/>
  <c r="AJ60" i="20"/>
  <c r="AP60" i="20" s="1"/>
  <c r="AI60" i="20"/>
  <c r="AO60" i="20" s="1"/>
  <c r="AH60" i="20"/>
  <c r="AN60" i="20" s="1"/>
  <c r="AG60" i="20"/>
  <c r="AM60" i="20" s="1"/>
  <c r="F60" i="20"/>
  <c r="E60" i="20"/>
  <c r="D60" i="20"/>
  <c r="AJ59" i="20"/>
  <c r="AP59" i="20" s="1"/>
  <c r="AI59" i="20"/>
  <c r="AO59" i="20" s="1"/>
  <c r="AH59" i="20"/>
  <c r="AN59" i="20" s="1"/>
  <c r="AG59" i="20"/>
  <c r="AM59" i="20" s="1"/>
  <c r="F59" i="20"/>
  <c r="E59" i="20"/>
  <c r="D59" i="20"/>
  <c r="AJ58" i="20"/>
  <c r="AP58" i="20" s="1"/>
  <c r="AI58" i="20"/>
  <c r="AO58" i="20" s="1"/>
  <c r="AH58" i="20"/>
  <c r="AN58" i="20" s="1"/>
  <c r="AG58" i="20"/>
  <c r="AM58" i="20" s="1"/>
  <c r="F58" i="20"/>
  <c r="E58" i="20"/>
  <c r="D58" i="20"/>
  <c r="AP57" i="20"/>
  <c r="AJ57" i="20"/>
  <c r="AI57" i="20"/>
  <c r="AO57" i="20" s="1"/>
  <c r="AH57" i="20"/>
  <c r="AN57" i="20" s="1"/>
  <c r="AG57" i="20"/>
  <c r="AM57" i="20" s="1"/>
  <c r="F57" i="20"/>
  <c r="E57" i="20"/>
  <c r="D57" i="20"/>
  <c r="AJ56" i="20"/>
  <c r="AP56" i="20" s="1"/>
  <c r="AI56" i="20"/>
  <c r="AO56" i="20" s="1"/>
  <c r="AH56" i="20"/>
  <c r="AN56" i="20" s="1"/>
  <c r="AG56" i="20"/>
  <c r="AM56" i="20" s="1"/>
  <c r="F56" i="20"/>
  <c r="E56" i="20"/>
  <c r="D56" i="20"/>
  <c r="AJ55" i="20"/>
  <c r="AP55" i="20" s="1"/>
  <c r="AI55" i="20"/>
  <c r="AO55" i="20" s="1"/>
  <c r="AH55" i="20"/>
  <c r="AN55" i="20" s="1"/>
  <c r="AG55" i="20"/>
  <c r="AM55" i="20" s="1"/>
  <c r="F55" i="20"/>
  <c r="E55" i="20"/>
  <c r="D55" i="20"/>
  <c r="AJ54" i="20"/>
  <c r="AP54" i="20" s="1"/>
  <c r="AI54" i="20"/>
  <c r="AO54" i="20" s="1"/>
  <c r="AH54" i="20"/>
  <c r="AN54" i="20" s="1"/>
  <c r="AG54" i="20"/>
  <c r="AM54" i="20" s="1"/>
  <c r="F54" i="20"/>
  <c r="E54" i="20"/>
  <c r="D54" i="20"/>
  <c r="AJ53" i="20"/>
  <c r="AP53" i="20" s="1"/>
  <c r="AI53" i="20"/>
  <c r="AO53" i="20" s="1"/>
  <c r="AH53" i="20"/>
  <c r="AN53" i="20" s="1"/>
  <c r="AG53" i="20"/>
  <c r="AM53" i="20" s="1"/>
  <c r="F53" i="20"/>
  <c r="E53" i="20"/>
  <c r="D53" i="20"/>
  <c r="AJ52" i="20"/>
  <c r="AP52" i="20" s="1"/>
  <c r="AI52" i="20"/>
  <c r="AO52" i="20" s="1"/>
  <c r="AH52" i="20"/>
  <c r="AN52" i="20" s="1"/>
  <c r="AG52" i="20"/>
  <c r="AM52" i="20" s="1"/>
  <c r="F52" i="20"/>
  <c r="E52" i="20"/>
  <c r="D52" i="20"/>
  <c r="AJ51" i="20"/>
  <c r="AP51" i="20" s="1"/>
  <c r="AI51" i="20"/>
  <c r="AO51" i="20" s="1"/>
  <c r="AH51" i="20"/>
  <c r="AN51" i="20" s="1"/>
  <c r="AG51" i="20"/>
  <c r="AM51" i="20" s="1"/>
  <c r="F51" i="20"/>
  <c r="E51" i="20"/>
  <c r="D51" i="20"/>
  <c r="AJ50" i="20"/>
  <c r="AP50" i="20" s="1"/>
  <c r="AI50" i="20"/>
  <c r="AO50" i="20" s="1"/>
  <c r="AH50" i="20"/>
  <c r="AN50" i="20" s="1"/>
  <c r="AG50" i="20"/>
  <c r="AM50" i="20" s="1"/>
  <c r="F50" i="20"/>
  <c r="E50" i="20"/>
  <c r="D50" i="20"/>
  <c r="AJ49" i="20"/>
  <c r="AP49" i="20" s="1"/>
  <c r="AI49" i="20"/>
  <c r="AO49" i="20" s="1"/>
  <c r="AH49" i="20"/>
  <c r="AN49" i="20" s="1"/>
  <c r="AG49" i="20"/>
  <c r="F49" i="20"/>
  <c r="E49" i="20"/>
  <c r="D49" i="20"/>
  <c r="AJ48" i="20"/>
  <c r="AP48" i="20" s="1"/>
  <c r="AI48" i="20"/>
  <c r="AO48" i="20" s="1"/>
  <c r="AH48" i="20"/>
  <c r="AN48" i="20" s="1"/>
  <c r="AG48" i="20"/>
  <c r="AM48" i="20" s="1"/>
  <c r="F48" i="20"/>
  <c r="E48" i="20"/>
  <c r="D48" i="20"/>
  <c r="AJ47" i="20"/>
  <c r="AP47" i="20" s="1"/>
  <c r="AI47" i="20"/>
  <c r="AO47" i="20" s="1"/>
  <c r="AH47" i="20"/>
  <c r="AN47" i="20" s="1"/>
  <c r="AG47" i="20"/>
  <c r="AM47" i="20" s="1"/>
  <c r="F47" i="20"/>
  <c r="E47" i="20"/>
  <c r="D47" i="20"/>
  <c r="AJ46" i="20"/>
  <c r="AP46" i="20" s="1"/>
  <c r="AI46" i="20"/>
  <c r="AO46" i="20" s="1"/>
  <c r="AH46" i="20"/>
  <c r="AN46" i="20" s="1"/>
  <c r="AG46" i="20"/>
  <c r="AM46" i="20" s="1"/>
  <c r="F46" i="20"/>
  <c r="E46" i="20"/>
  <c r="D46" i="20"/>
  <c r="AJ45" i="20"/>
  <c r="AP45" i="20" s="1"/>
  <c r="AI45" i="20"/>
  <c r="AO45" i="20" s="1"/>
  <c r="AH45" i="20"/>
  <c r="AN45" i="20" s="1"/>
  <c r="AG45" i="20"/>
  <c r="F45" i="20"/>
  <c r="E45" i="20"/>
  <c r="D45" i="20"/>
  <c r="AJ44" i="20"/>
  <c r="AP44" i="20" s="1"/>
  <c r="AI44" i="20"/>
  <c r="AO44" i="20" s="1"/>
  <c r="AH44" i="20"/>
  <c r="AN44" i="20" s="1"/>
  <c r="AG44" i="20"/>
  <c r="F44" i="20"/>
  <c r="E44" i="20"/>
  <c r="D44" i="20"/>
  <c r="AJ43" i="20"/>
  <c r="AP43" i="20" s="1"/>
  <c r="AI43" i="20"/>
  <c r="AO43" i="20" s="1"/>
  <c r="AH43" i="20"/>
  <c r="AN43" i="20" s="1"/>
  <c r="AG43" i="20"/>
  <c r="AM43" i="20" s="1"/>
  <c r="F43" i="20"/>
  <c r="E43" i="20"/>
  <c r="D43" i="20"/>
  <c r="AJ42" i="20"/>
  <c r="AP42" i="20" s="1"/>
  <c r="AI42" i="20"/>
  <c r="AO42" i="20" s="1"/>
  <c r="AH42" i="20"/>
  <c r="AN42" i="20" s="1"/>
  <c r="AG42" i="20"/>
  <c r="AM42" i="20" s="1"/>
  <c r="F42" i="20"/>
  <c r="E42" i="20"/>
  <c r="D42" i="20"/>
  <c r="AJ41" i="20"/>
  <c r="AP41" i="20" s="1"/>
  <c r="AI41" i="20"/>
  <c r="AO41" i="20" s="1"/>
  <c r="AH41" i="20"/>
  <c r="AN41" i="20" s="1"/>
  <c r="AG41" i="20"/>
  <c r="AM41" i="20" s="1"/>
  <c r="F41" i="20"/>
  <c r="E41" i="20"/>
  <c r="D41" i="20"/>
  <c r="AJ40" i="20"/>
  <c r="AP40" i="20" s="1"/>
  <c r="AI40" i="20"/>
  <c r="AO40" i="20" s="1"/>
  <c r="AH40" i="20"/>
  <c r="AN40" i="20" s="1"/>
  <c r="AG40" i="20"/>
  <c r="AM40" i="20" s="1"/>
  <c r="F40" i="20"/>
  <c r="E40" i="20"/>
  <c r="D40" i="20"/>
  <c r="AJ39" i="20"/>
  <c r="AP39" i="20" s="1"/>
  <c r="AI39" i="20"/>
  <c r="AO39" i="20" s="1"/>
  <c r="AH39" i="20"/>
  <c r="AN39" i="20" s="1"/>
  <c r="AG39" i="20"/>
  <c r="AM39" i="20" s="1"/>
  <c r="F39" i="20"/>
  <c r="E39" i="20"/>
  <c r="D39" i="20"/>
  <c r="AJ38" i="20"/>
  <c r="AP38" i="20" s="1"/>
  <c r="AI38" i="20"/>
  <c r="AO38" i="20" s="1"/>
  <c r="AH38" i="20"/>
  <c r="AN38" i="20" s="1"/>
  <c r="AG38" i="20"/>
  <c r="AM38" i="20" s="1"/>
  <c r="F38" i="20"/>
  <c r="E38" i="20"/>
  <c r="D38" i="20"/>
  <c r="AJ37" i="20"/>
  <c r="AP37" i="20" s="1"/>
  <c r="AI37" i="20"/>
  <c r="AO37" i="20" s="1"/>
  <c r="AH37" i="20"/>
  <c r="AN37" i="20" s="1"/>
  <c r="AG37" i="20"/>
  <c r="AM37" i="20" s="1"/>
  <c r="F37" i="20"/>
  <c r="E37" i="20"/>
  <c r="D37" i="20"/>
  <c r="AJ36" i="20"/>
  <c r="AP36" i="20" s="1"/>
  <c r="AI36" i="20"/>
  <c r="AO36" i="20" s="1"/>
  <c r="AH36" i="20"/>
  <c r="AN36" i="20" s="1"/>
  <c r="AG36" i="20"/>
  <c r="F36" i="20"/>
  <c r="E36" i="20"/>
  <c r="D36" i="20"/>
  <c r="AJ35" i="20"/>
  <c r="AP35" i="20" s="1"/>
  <c r="AI35" i="20"/>
  <c r="AO35" i="20" s="1"/>
  <c r="AH35" i="20"/>
  <c r="AN35" i="20" s="1"/>
  <c r="AG35" i="20"/>
  <c r="F35" i="20"/>
  <c r="E35" i="20"/>
  <c r="D35" i="20"/>
  <c r="AJ34" i="20"/>
  <c r="AP34" i="20" s="1"/>
  <c r="AI34" i="20"/>
  <c r="AO34" i="20" s="1"/>
  <c r="AH34" i="20"/>
  <c r="AN34" i="20" s="1"/>
  <c r="AG34" i="20"/>
  <c r="F34" i="20"/>
  <c r="E34" i="20"/>
  <c r="D34" i="20"/>
  <c r="AJ33" i="20"/>
  <c r="AP33" i="20" s="1"/>
  <c r="AI33" i="20"/>
  <c r="AO33" i="20" s="1"/>
  <c r="AH33" i="20"/>
  <c r="AN33" i="20" s="1"/>
  <c r="AG33" i="20"/>
  <c r="F33" i="20"/>
  <c r="E33" i="20"/>
  <c r="D33" i="20"/>
  <c r="AJ32" i="20"/>
  <c r="AP32" i="20" s="1"/>
  <c r="AI32" i="20"/>
  <c r="AO32" i="20" s="1"/>
  <c r="AH32" i="20"/>
  <c r="AN32" i="20" s="1"/>
  <c r="AG32" i="20"/>
  <c r="F32" i="20"/>
  <c r="E32" i="20"/>
  <c r="D32" i="20"/>
  <c r="AJ31" i="20"/>
  <c r="AP31" i="20" s="1"/>
  <c r="AI31" i="20"/>
  <c r="AO31" i="20" s="1"/>
  <c r="AH31" i="20"/>
  <c r="AN31" i="20" s="1"/>
  <c r="AG31" i="20"/>
  <c r="F31" i="20"/>
  <c r="E31" i="20"/>
  <c r="D31" i="20"/>
  <c r="AJ30" i="20"/>
  <c r="AP30" i="20" s="1"/>
  <c r="AI30" i="20"/>
  <c r="AO30" i="20" s="1"/>
  <c r="AH30" i="20"/>
  <c r="AN30" i="20" s="1"/>
  <c r="AG30" i="20"/>
  <c r="F30" i="20"/>
  <c r="E30" i="20"/>
  <c r="D30" i="20"/>
  <c r="AJ29" i="20"/>
  <c r="AP29" i="20" s="1"/>
  <c r="AI29" i="20"/>
  <c r="AO29" i="20" s="1"/>
  <c r="AH29" i="20"/>
  <c r="AN29" i="20" s="1"/>
  <c r="AG29" i="20"/>
  <c r="AM29" i="20" s="1"/>
  <c r="F29" i="20"/>
  <c r="E29" i="20"/>
  <c r="D29" i="20"/>
  <c r="AJ28" i="20"/>
  <c r="AP28" i="20" s="1"/>
  <c r="AI28" i="20"/>
  <c r="AO28" i="20" s="1"/>
  <c r="AH28" i="20"/>
  <c r="AN28" i="20" s="1"/>
  <c r="AG28" i="20"/>
  <c r="F28" i="20"/>
  <c r="E28" i="20"/>
  <c r="D28" i="20"/>
  <c r="AJ27" i="20"/>
  <c r="AP27" i="20" s="1"/>
  <c r="AI27" i="20"/>
  <c r="AO27" i="20" s="1"/>
  <c r="AH27" i="20"/>
  <c r="AN27" i="20" s="1"/>
  <c r="AG27" i="20"/>
  <c r="AM27" i="20" s="1"/>
  <c r="F27" i="20"/>
  <c r="E27" i="20"/>
  <c r="D27" i="20"/>
  <c r="AJ26" i="20"/>
  <c r="AP26" i="20" s="1"/>
  <c r="AI26" i="20"/>
  <c r="AO26" i="20" s="1"/>
  <c r="AH26" i="20"/>
  <c r="AN26" i="20" s="1"/>
  <c r="AG26" i="20"/>
  <c r="F26" i="20"/>
  <c r="E26" i="20"/>
  <c r="D26" i="20"/>
  <c r="AJ25" i="20"/>
  <c r="AP25" i="20" s="1"/>
  <c r="AI25" i="20"/>
  <c r="AO25" i="20" s="1"/>
  <c r="AH25" i="20"/>
  <c r="AN25" i="20" s="1"/>
  <c r="AG25" i="20"/>
  <c r="AM25" i="20" s="1"/>
  <c r="AJ24" i="20"/>
  <c r="AP24" i="20" s="1"/>
  <c r="AI24" i="20"/>
  <c r="AO24" i="20" s="1"/>
  <c r="AH24" i="20"/>
  <c r="AN24" i="20" s="1"/>
  <c r="AG24" i="20"/>
  <c r="AM24" i="20" s="1"/>
  <c r="F24" i="20"/>
  <c r="E24" i="20"/>
  <c r="D24" i="20"/>
  <c r="AJ23" i="20"/>
  <c r="AP23" i="20" s="1"/>
  <c r="AI23" i="20"/>
  <c r="AO23" i="20" s="1"/>
  <c r="AH23" i="20"/>
  <c r="AN23" i="20" s="1"/>
  <c r="AG23" i="20"/>
  <c r="AM23" i="20" s="1"/>
  <c r="F23" i="20"/>
  <c r="E23" i="20"/>
  <c r="D23" i="20"/>
  <c r="AJ22" i="20"/>
  <c r="AP22" i="20" s="1"/>
  <c r="AI22" i="20"/>
  <c r="AO22" i="20" s="1"/>
  <c r="AH22" i="20"/>
  <c r="AN22" i="20" s="1"/>
  <c r="AG22" i="20"/>
  <c r="AM22" i="20" s="1"/>
  <c r="F22" i="20"/>
  <c r="E22" i="20"/>
  <c r="D22" i="20"/>
  <c r="AJ21" i="20"/>
  <c r="AP21" i="20" s="1"/>
  <c r="AI21" i="20"/>
  <c r="AO21" i="20" s="1"/>
  <c r="AH21" i="20"/>
  <c r="AN21" i="20" s="1"/>
  <c r="AG21" i="20"/>
  <c r="AM21" i="20" s="1"/>
  <c r="F21" i="20"/>
  <c r="E21" i="20"/>
  <c r="D21" i="20"/>
  <c r="AJ20" i="20"/>
  <c r="AP20" i="20" s="1"/>
  <c r="AI20" i="20"/>
  <c r="AO20" i="20" s="1"/>
  <c r="AH20" i="20"/>
  <c r="AN20" i="20" s="1"/>
  <c r="AG20" i="20"/>
  <c r="AM20" i="20" s="1"/>
  <c r="F20" i="20"/>
  <c r="E20" i="20"/>
  <c r="D20" i="20"/>
  <c r="AJ19" i="20"/>
  <c r="AP19" i="20" s="1"/>
  <c r="AI19" i="20"/>
  <c r="AO19" i="20" s="1"/>
  <c r="AH19" i="20"/>
  <c r="AN19" i="20" s="1"/>
  <c r="AG19" i="20"/>
  <c r="AM19" i="20" s="1"/>
  <c r="F19" i="20"/>
  <c r="E19" i="20"/>
  <c r="D19" i="20"/>
  <c r="AJ18" i="20"/>
  <c r="AP18" i="20" s="1"/>
  <c r="AI18" i="20"/>
  <c r="AO18" i="20" s="1"/>
  <c r="AH18" i="20"/>
  <c r="AN18" i="20" s="1"/>
  <c r="AG18" i="20"/>
  <c r="AM18" i="20" s="1"/>
  <c r="F18" i="20"/>
  <c r="E18" i="20"/>
  <c r="D18" i="20"/>
  <c r="AJ17" i="20"/>
  <c r="AP17" i="20" s="1"/>
  <c r="AI17" i="20"/>
  <c r="AO17" i="20" s="1"/>
  <c r="AH17" i="20"/>
  <c r="AN17" i="20" s="1"/>
  <c r="AG17" i="20"/>
  <c r="AM17" i="20" s="1"/>
  <c r="F17" i="20"/>
  <c r="E17" i="20"/>
  <c r="D17" i="20"/>
  <c r="AJ16" i="20"/>
  <c r="AP16" i="20" s="1"/>
  <c r="AI16" i="20"/>
  <c r="AO16" i="20" s="1"/>
  <c r="AH16" i="20"/>
  <c r="AN16" i="20" s="1"/>
  <c r="AG16" i="20"/>
  <c r="AM16" i="20" s="1"/>
  <c r="F16" i="20"/>
  <c r="E16" i="20"/>
  <c r="D16" i="20"/>
  <c r="AJ15" i="20"/>
  <c r="AP15" i="20" s="1"/>
  <c r="AI15" i="20"/>
  <c r="AO15" i="20" s="1"/>
  <c r="AH15" i="20"/>
  <c r="AN15" i="20" s="1"/>
  <c r="AG15" i="20"/>
  <c r="AM15" i="20" s="1"/>
  <c r="F15" i="20"/>
  <c r="E15" i="20"/>
  <c r="D15" i="20"/>
  <c r="AJ14" i="20"/>
  <c r="AP14" i="20" s="1"/>
  <c r="AI14" i="20"/>
  <c r="AO14" i="20" s="1"/>
  <c r="AH14" i="20"/>
  <c r="AN14" i="20" s="1"/>
  <c r="AG14" i="20"/>
  <c r="AM14" i="20" s="1"/>
  <c r="F14" i="20"/>
  <c r="E14" i="20"/>
  <c r="D14" i="20"/>
  <c r="AJ13" i="20"/>
  <c r="AP13" i="20" s="1"/>
  <c r="AI13" i="20"/>
  <c r="AO13" i="20" s="1"/>
  <c r="AH13" i="20"/>
  <c r="AN13" i="20" s="1"/>
  <c r="AG13" i="20"/>
  <c r="AM13" i="20" s="1"/>
  <c r="F13" i="20"/>
  <c r="E13" i="20"/>
  <c r="D13" i="20"/>
  <c r="AJ12" i="20"/>
  <c r="AP12" i="20" s="1"/>
  <c r="AI12" i="20"/>
  <c r="AO12" i="20" s="1"/>
  <c r="AH12" i="20"/>
  <c r="AN12" i="20" s="1"/>
  <c r="AG12" i="20"/>
  <c r="AM12" i="20" s="1"/>
  <c r="F12" i="20"/>
  <c r="E12" i="20"/>
  <c r="D12" i="20"/>
  <c r="AJ11" i="20"/>
  <c r="AP11" i="20" s="1"/>
  <c r="AI11" i="20"/>
  <c r="AO11" i="20" s="1"/>
  <c r="AH11" i="20"/>
  <c r="AN11" i="20" s="1"/>
  <c r="AG11" i="20"/>
  <c r="AM11" i="20" s="1"/>
  <c r="F11" i="20"/>
  <c r="E11" i="20"/>
  <c r="D11" i="20"/>
  <c r="AJ10" i="20"/>
  <c r="AP10" i="20" s="1"/>
  <c r="AI10" i="20"/>
  <c r="AO10" i="20" s="1"/>
  <c r="AH10" i="20"/>
  <c r="AN10" i="20" s="1"/>
  <c r="AG10" i="20"/>
  <c r="AM10" i="20" s="1"/>
  <c r="F10" i="20"/>
  <c r="E10" i="20"/>
  <c r="D10" i="20"/>
  <c r="AJ9" i="20"/>
  <c r="AP9" i="20" s="1"/>
  <c r="AI9" i="20"/>
  <c r="AO9" i="20" s="1"/>
  <c r="AH9" i="20"/>
  <c r="AN9" i="20" s="1"/>
  <c r="AG9" i="20"/>
  <c r="AM9" i="20" s="1"/>
  <c r="F9" i="20"/>
  <c r="E9" i="20"/>
  <c r="D9" i="20"/>
  <c r="AJ8" i="20"/>
  <c r="AP8" i="20" s="1"/>
  <c r="AI8" i="20"/>
  <c r="AO8" i="20" s="1"/>
  <c r="AH8" i="20"/>
  <c r="AN8" i="20" s="1"/>
  <c r="AG8" i="20"/>
  <c r="AM8" i="20" s="1"/>
  <c r="F8" i="20"/>
  <c r="E8" i="20"/>
  <c r="D8" i="20"/>
  <c r="AS7" i="20"/>
  <c r="AJ7" i="20"/>
  <c r="AP7" i="20" s="1"/>
  <c r="AI7" i="20"/>
  <c r="AO7" i="20" s="1"/>
  <c r="AH7" i="20"/>
  <c r="AN7" i="20" s="1"/>
  <c r="AG7" i="20"/>
  <c r="F7" i="20"/>
  <c r="E7" i="20"/>
  <c r="D7" i="20"/>
  <c r="AJ6" i="20"/>
  <c r="AP6" i="20" s="1"/>
  <c r="AI6" i="20"/>
  <c r="AO6" i="20" s="1"/>
  <c r="AH6" i="20"/>
  <c r="AN6" i="20" s="1"/>
  <c r="AG6" i="20"/>
  <c r="AM6" i="20" s="1"/>
  <c r="F6" i="20"/>
  <c r="E6" i="20"/>
  <c r="D6" i="20"/>
  <c r="AJ5" i="20"/>
  <c r="AP5" i="20" s="1"/>
  <c r="AI5" i="20"/>
  <c r="AO5" i="20" s="1"/>
  <c r="AH5" i="20"/>
  <c r="AN5" i="20" s="1"/>
  <c r="AG5" i="20"/>
  <c r="AM5" i="20" s="1"/>
  <c r="F5" i="20"/>
  <c r="E5" i="20"/>
  <c r="D5" i="20"/>
  <c r="AP4" i="20"/>
  <c r="AJ4" i="20"/>
  <c r="AI4" i="20"/>
  <c r="AO4" i="20" s="1"/>
  <c r="AH4" i="20"/>
  <c r="AN4" i="20" s="1"/>
  <c r="AG4" i="20"/>
  <c r="AM4" i="20" s="1"/>
  <c r="F4" i="20"/>
  <c r="E4" i="20"/>
  <c r="D4" i="20"/>
  <c r="AP3" i="20"/>
  <c r="AJ3" i="20"/>
  <c r="AI3" i="20"/>
  <c r="AH3" i="20"/>
  <c r="AG3" i="20"/>
  <c r="F3" i="20"/>
  <c r="E3" i="20"/>
  <c r="D3" i="20"/>
  <c r="AT1" i="20"/>
  <c r="AS1" i="20"/>
  <c r="AR1" i="20"/>
  <c r="AQ1" i="20"/>
  <c r="AC185" i="19"/>
  <c r="AB185" i="19"/>
  <c r="AA185" i="19"/>
  <c r="AG190" i="20" l="1"/>
  <c r="AI190" i="20"/>
  <c r="AK112" i="20"/>
  <c r="AQ112" i="20" s="1"/>
  <c r="AK139" i="20"/>
  <c r="AQ139" i="20" s="1"/>
  <c r="AK162" i="20"/>
  <c r="AQ162" i="20" s="1"/>
  <c r="AK75" i="20"/>
  <c r="AQ75" i="20" s="1"/>
  <c r="AK123" i="20"/>
  <c r="AU123" i="20" s="1"/>
  <c r="AK156" i="20"/>
  <c r="AQ156" i="20" s="1"/>
  <c r="AK26" i="20"/>
  <c r="AQ26" i="20" s="1"/>
  <c r="AK28" i="20"/>
  <c r="AQ28" i="20" s="1"/>
  <c r="AK70" i="20"/>
  <c r="AQ70" i="20" s="1"/>
  <c r="AK74" i="20"/>
  <c r="AU74" i="20" s="1"/>
  <c r="AK86" i="20"/>
  <c r="AQ86" i="20" s="1"/>
  <c r="AK129" i="20"/>
  <c r="AQ129" i="20" s="1"/>
  <c r="AK131" i="20"/>
  <c r="AU131" i="20" s="1"/>
  <c r="AK7" i="20"/>
  <c r="AT7" i="20" s="1"/>
  <c r="AK30" i="20"/>
  <c r="AQ30" i="20" s="1"/>
  <c r="AK31" i="20"/>
  <c r="AU31" i="20" s="1"/>
  <c r="AK32" i="20"/>
  <c r="AQ32" i="20" s="1"/>
  <c r="AK79" i="20"/>
  <c r="AU79" i="20" s="1"/>
  <c r="AK102" i="20"/>
  <c r="AU102" i="20" s="1"/>
  <c r="AK148" i="20"/>
  <c r="AQ148" i="20" s="1"/>
  <c r="AK181" i="20"/>
  <c r="AK49" i="20"/>
  <c r="AU49" i="20" s="1"/>
  <c r="AK76" i="20"/>
  <c r="AQ76" i="20" s="1"/>
  <c r="AK116" i="20"/>
  <c r="AQ116" i="20" s="1"/>
  <c r="AK180" i="20"/>
  <c r="AK33" i="20"/>
  <c r="AQ33" i="20" s="1"/>
  <c r="AK34" i="20"/>
  <c r="AQ34" i="20" s="1"/>
  <c r="AK35" i="20"/>
  <c r="AQ35" i="20" s="1"/>
  <c r="AK36" i="20"/>
  <c r="AQ36" i="20" s="1"/>
  <c r="AK44" i="20"/>
  <c r="AQ44" i="20" s="1"/>
  <c r="AK45" i="20"/>
  <c r="AU45" i="20" s="1"/>
  <c r="AK108" i="20"/>
  <c r="AU108" i="20" s="1"/>
  <c r="AK113" i="20"/>
  <c r="AQ113" i="20" s="1"/>
  <c r="AK117" i="20"/>
  <c r="AU117" i="20" s="1"/>
  <c r="AK144" i="20"/>
  <c r="AQ144" i="20" s="1"/>
  <c r="AK145" i="20"/>
  <c r="AQ145" i="20" s="1"/>
  <c r="AK152" i="20"/>
  <c r="AQ152" i="20" s="1"/>
  <c r="AK173" i="20"/>
  <c r="AM33" i="20"/>
  <c r="AM36" i="20"/>
  <c r="AM74" i="20"/>
  <c r="AM116" i="20"/>
  <c r="AM117" i="20"/>
  <c r="AM129" i="20"/>
  <c r="AM34" i="20"/>
  <c r="AM44" i="20"/>
  <c r="AM75" i="20"/>
  <c r="AM76" i="20"/>
  <c r="AM144" i="20"/>
  <c r="AM181" i="20"/>
  <c r="AM32" i="20"/>
  <c r="AM45" i="20"/>
  <c r="AM112" i="20"/>
  <c r="AM113" i="20"/>
  <c r="AM145" i="20"/>
  <c r="AM148" i="20"/>
  <c r="AM152" i="20"/>
  <c r="AM156" i="20"/>
  <c r="AM173" i="20"/>
  <c r="AM108" i="20"/>
  <c r="AM31" i="20"/>
  <c r="AM70" i="20"/>
  <c r="AM102" i="20"/>
  <c r="AM131" i="20"/>
  <c r="AM162" i="20"/>
  <c r="AM28" i="20"/>
  <c r="AM30" i="20"/>
  <c r="AM35" i="20"/>
  <c r="AM49" i="20"/>
  <c r="AM79" i="20"/>
  <c r="AM139" i="20"/>
  <c r="AK23" i="20"/>
  <c r="AK21" i="20"/>
  <c r="AQ21" i="20" s="1"/>
  <c r="AK48" i="20"/>
  <c r="AK57" i="20"/>
  <c r="AK62" i="20"/>
  <c r="AQ62" i="20" s="1"/>
  <c r="AQ79" i="20"/>
  <c r="AK83" i="20"/>
  <c r="AQ83" i="20" s="1"/>
  <c r="AK4" i="20"/>
  <c r="AK25" i="20"/>
  <c r="AQ25" i="20" s="1"/>
  <c r="AK37" i="20"/>
  <c r="AK66" i="20"/>
  <c r="AQ66" i="20" s="1"/>
  <c r="AG185" i="20"/>
  <c r="AM3" i="20"/>
  <c r="AK3" i="20"/>
  <c r="AK22" i="20"/>
  <c r="AK24" i="20"/>
  <c r="AK38" i="20"/>
  <c r="AK40" i="20"/>
  <c r="AK42" i="20"/>
  <c r="AK19" i="20"/>
  <c r="AK39" i="20"/>
  <c r="AK41" i="20"/>
  <c r="AK43" i="20"/>
  <c r="AH200" i="20"/>
  <c r="AQ193" i="20"/>
  <c r="AQ195" i="20"/>
  <c r="AK71" i="20"/>
  <c r="AQ71" i="20" s="1"/>
  <c r="AK82" i="20"/>
  <c r="AQ197" i="20"/>
  <c r="AQ198" i="20"/>
  <c r="AI200" i="20"/>
  <c r="AK104" i="20"/>
  <c r="AK5" i="20"/>
  <c r="AK6" i="20"/>
  <c r="AK77" i="20"/>
  <c r="AQ77" i="20" s="1"/>
  <c r="AK92" i="20"/>
  <c r="AQ92" i="20" s="1"/>
  <c r="AK96" i="20"/>
  <c r="AK97" i="20"/>
  <c r="AK106" i="20"/>
  <c r="AK121" i="20"/>
  <c r="AM123" i="20"/>
  <c r="AK134" i="20"/>
  <c r="AQ134" i="20" s="1"/>
  <c r="AK183" i="20"/>
  <c r="AM183" i="20"/>
  <c r="AH185" i="20"/>
  <c r="AK81" i="20"/>
  <c r="AQ81" i="20" s="1"/>
  <c r="AI185" i="20"/>
  <c r="AN3" i="20"/>
  <c r="AN185" i="20" s="1"/>
  <c r="AM7" i="20"/>
  <c r="AK8" i="20"/>
  <c r="AK9" i="20"/>
  <c r="AK10" i="20"/>
  <c r="AK11" i="20"/>
  <c r="AK12" i="20"/>
  <c r="AK13" i="20"/>
  <c r="AK14" i="20"/>
  <c r="AK15" i="20"/>
  <c r="AK16" i="20"/>
  <c r="AK17" i="20"/>
  <c r="AK18" i="20"/>
  <c r="AK20" i="20"/>
  <c r="AQ20" i="20" s="1"/>
  <c r="AM26" i="20"/>
  <c r="AK27" i="20"/>
  <c r="AQ27" i="20" s="1"/>
  <c r="AK29" i="20"/>
  <c r="AQ29" i="20" s="1"/>
  <c r="AK46" i="20"/>
  <c r="AK56" i="20"/>
  <c r="AQ56" i="20" s="1"/>
  <c r="AK61" i="20"/>
  <c r="AQ61" i="20" s="1"/>
  <c r="AK65" i="20"/>
  <c r="AQ65" i="20" s="1"/>
  <c r="AK69" i="20"/>
  <c r="AK72" i="20"/>
  <c r="AQ72" i="20" s="1"/>
  <c r="AM86" i="20"/>
  <c r="AK110" i="20"/>
  <c r="AK151" i="20"/>
  <c r="AQ151" i="20" s="1"/>
  <c r="AG200" i="20"/>
  <c r="AG192" i="20"/>
  <c r="AQ190" i="20"/>
  <c r="AQ189" i="20"/>
  <c r="AK87" i="20"/>
  <c r="AQ87" i="20" s="1"/>
  <c r="AK93" i="20"/>
  <c r="AQ93" i="20" s="1"/>
  <c r="AK125" i="20"/>
  <c r="AJ185" i="20"/>
  <c r="AP185" i="20" s="1"/>
  <c r="AO3" i="20"/>
  <c r="AO185" i="20" s="1"/>
  <c r="AK55" i="20"/>
  <c r="AK60" i="20"/>
  <c r="AK63" i="20"/>
  <c r="AQ63" i="20" s="1"/>
  <c r="AK67" i="20"/>
  <c r="AQ67" i="20" s="1"/>
  <c r="AK80" i="20"/>
  <c r="AQ80" i="20" s="1"/>
  <c r="AK85" i="20"/>
  <c r="AQ85" i="20" s="1"/>
  <c r="AK89" i="20"/>
  <c r="AK91" i="20"/>
  <c r="AQ91" i="20" s="1"/>
  <c r="AK95" i="20"/>
  <c r="AQ95" i="20" s="1"/>
  <c r="AK120" i="20"/>
  <c r="AQ120" i="20" s="1"/>
  <c r="AK133" i="20"/>
  <c r="AQ133" i="20" s="1"/>
  <c r="AK158" i="20"/>
  <c r="AQ158" i="20" s="1"/>
  <c r="AK166" i="20"/>
  <c r="AQ166" i="20" s="1"/>
  <c r="AK172" i="20"/>
  <c r="AK47" i="20"/>
  <c r="AK50" i="20"/>
  <c r="AK51" i="20"/>
  <c r="AK52" i="20"/>
  <c r="AK53" i="20"/>
  <c r="AK54" i="20"/>
  <c r="AQ54" i="20" s="1"/>
  <c r="AK58" i="20"/>
  <c r="AK59" i="20"/>
  <c r="AQ59" i="20" s="1"/>
  <c r="AK64" i="20"/>
  <c r="AQ64" i="20" s="1"/>
  <c r="AK68" i="20"/>
  <c r="AQ68" i="20" s="1"/>
  <c r="AK73" i="20"/>
  <c r="AQ73" i="20" s="1"/>
  <c r="AK78" i="20"/>
  <c r="AQ78" i="20" s="1"/>
  <c r="AK84" i="20"/>
  <c r="AQ84" i="20" s="1"/>
  <c r="AK88" i="20"/>
  <c r="AQ88" i="20" s="1"/>
  <c r="AK90" i="20"/>
  <c r="AQ90" i="20" s="1"/>
  <c r="AK94" i="20"/>
  <c r="AQ94" i="20" s="1"/>
  <c r="AK98" i="20"/>
  <c r="AK99" i="20"/>
  <c r="AK100" i="20"/>
  <c r="AK101" i="20"/>
  <c r="AK103" i="20"/>
  <c r="AK105" i="20"/>
  <c r="AK107" i="20"/>
  <c r="AK109" i="20"/>
  <c r="AK114" i="20"/>
  <c r="AQ114" i="20" s="1"/>
  <c r="AK122" i="20"/>
  <c r="AQ122" i="20" s="1"/>
  <c r="AK127" i="20"/>
  <c r="AK137" i="20"/>
  <c r="AQ137" i="20" s="1"/>
  <c r="AK138" i="20"/>
  <c r="AQ138" i="20" s="1"/>
  <c r="AK141" i="20"/>
  <c r="AQ141" i="20" s="1"/>
  <c r="AK142" i="20"/>
  <c r="AQ142" i="20" s="1"/>
  <c r="AK150" i="20"/>
  <c r="AQ150" i="20" s="1"/>
  <c r="AK155" i="20"/>
  <c r="AQ155" i="20" s="1"/>
  <c r="AK176" i="20"/>
  <c r="AK119" i="20"/>
  <c r="AQ119" i="20" s="1"/>
  <c r="AK136" i="20"/>
  <c r="AQ136" i="20" s="1"/>
  <c r="AK140" i="20"/>
  <c r="AQ140" i="20" s="1"/>
  <c r="AK143" i="20"/>
  <c r="AQ143" i="20" s="1"/>
  <c r="AK154" i="20"/>
  <c r="AQ154" i="20" s="1"/>
  <c r="AK177" i="20"/>
  <c r="AK111" i="20"/>
  <c r="AQ111" i="20" s="1"/>
  <c r="AK115" i="20"/>
  <c r="AQ115" i="20" s="1"/>
  <c r="AK118" i="20"/>
  <c r="AQ118" i="20" s="1"/>
  <c r="AK124" i="20"/>
  <c r="AK126" i="20"/>
  <c r="AK128" i="20"/>
  <c r="AK130" i="20"/>
  <c r="AK132" i="20"/>
  <c r="AK135" i="20"/>
  <c r="AQ135" i="20" s="1"/>
  <c r="AK147" i="20"/>
  <c r="AQ147" i="20" s="1"/>
  <c r="AK149" i="20"/>
  <c r="AQ149" i="20" s="1"/>
  <c r="AK153" i="20"/>
  <c r="AQ153" i="20" s="1"/>
  <c r="AK157" i="20"/>
  <c r="AQ157" i="20" s="1"/>
  <c r="AK161" i="20"/>
  <c r="AQ161" i="20" s="1"/>
  <c r="AK165" i="20"/>
  <c r="AQ165" i="20" s="1"/>
  <c r="AK170" i="20"/>
  <c r="AK174" i="20"/>
  <c r="AK178" i="20"/>
  <c r="AK182" i="20"/>
  <c r="AK146" i="20"/>
  <c r="AQ146" i="20" s="1"/>
  <c r="AK159" i="20"/>
  <c r="AQ159" i="20" s="1"/>
  <c r="AK163" i="20"/>
  <c r="AQ163" i="20" s="1"/>
  <c r="AK167" i="20"/>
  <c r="AQ167" i="20" s="1"/>
  <c r="AK171" i="20"/>
  <c r="AK179" i="20"/>
  <c r="AJ190" i="20"/>
  <c r="AK160" i="20"/>
  <c r="AQ160" i="20" s="1"/>
  <c r="AK164" i="20"/>
  <c r="AQ164" i="20" s="1"/>
  <c r="AK169" i="20"/>
  <c r="AQ169" i="20" s="1"/>
  <c r="AK175" i="20"/>
  <c r="AK184" i="20"/>
  <c r="Y185" i="19"/>
  <c r="X185" i="19"/>
  <c r="W185" i="19"/>
  <c r="AT74" i="20" l="1"/>
  <c r="AZ74" i="20" s="1"/>
  <c r="AQ123" i="20"/>
  <c r="AQ131" i="20"/>
  <c r="AU30" i="20"/>
  <c r="AU32" i="20"/>
  <c r="AQ7" i="20"/>
  <c r="AQ45" i="20"/>
  <c r="AU34" i="20"/>
  <c r="AT28" i="20"/>
  <c r="AU129" i="20"/>
  <c r="AQ31" i="20"/>
  <c r="AU28" i="20"/>
  <c r="AT35" i="20"/>
  <c r="AQ74" i="20"/>
  <c r="AU7" i="20"/>
  <c r="AZ7" i="20" s="1"/>
  <c r="AQ102" i="20"/>
  <c r="AT79" i="20"/>
  <c r="AZ79" i="20" s="1"/>
  <c r="AT30" i="20"/>
  <c r="AQ108" i="20"/>
  <c r="AT31" i="20"/>
  <c r="AZ31" i="20" s="1"/>
  <c r="AT32" i="20"/>
  <c r="AQ49" i="20"/>
  <c r="AT36" i="20"/>
  <c r="AU33" i="20"/>
  <c r="AQ117" i="20"/>
  <c r="AU36" i="20"/>
  <c r="AT44" i="20"/>
  <c r="AT33" i="20"/>
  <c r="AZ33" i="20" s="1"/>
  <c r="AU44" i="20"/>
  <c r="AU35" i="20"/>
  <c r="AT45" i="20"/>
  <c r="AT34" i="20"/>
  <c r="AZ34" i="20" s="1"/>
  <c r="AZ32" i="20"/>
  <c r="AQ99" i="20"/>
  <c r="AU99" i="20"/>
  <c r="AT99" i="20"/>
  <c r="AU46" i="20"/>
  <c r="AT46" i="20"/>
  <c r="AQ46" i="20"/>
  <c r="AQ15" i="20"/>
  <c r="AU15" i="20"/>
  <c r="AT15" i="20"/>
  <c r="AT39" i="20"/>
  <c r="AQ39" i="20"/>
  <c r="AU39" i="20"/>
  <c r="AT40" i="20"/>
  <c r="AQ40" i="20"/>
  <c r="AU40" i="20"/>
  <c r="AU57" i="20"/>
  <c r="AQ57" i="20"/>
  <c r="AQ103" i="20"/>
  <c r="AU103" i="20"/>
  <c r="AQ98" i="20"/>
  <c r="AU98" i="20"/>
  <c r="AT98" i="20"/>
  <c r="AQ53" i="20"/>
  <c r="AU53" i="20"/>
  <c r="AT53" i="20"/>
  <c r="AQ47" i="20"/>
  <c r="AT47" i="20"/>
  <c r="AU47" i="20"/>
  <c r="AU89" i="20"/>
  <c r="AT89" i="20"/>
  <c r="AQ89" i="20"/>
  <c r="AO199" i="20"/>
  <c r="AP199" i="20" s="1"/>
  <c r="AR199" i="20" s="1"/>
  <c r="AT199" i="20" s="1"/>
  <c r="AO198" i="20"/>
  <c r="AP198" i="20" s="1"/>
  <c r="AR198" i="20" s="1"/>
  <c r="AT198" i="20" s="1"/>
  <c r="AO197" i="20"/>
  <c r="AP197" i="20" s="1"/>
  <c r="AR197" i="20" s="1"/>
  <c r="AT197" i="20" s="1"/>
  <c r="AU110" i="20"/>
  <c r="AQ110" i="20"/>
  <c r="AQ18" i="20"/>
  <c r="AU18" i="20"/>
  <c r="AQ14" i="20"/>
  <c r="AU14" i="20"/>
  <c r="AT14" i="20"/>
  <c r="AQ10" i="20"/>
  <c r="AU10" i="20"/>
  <c r="AT10" i="20"/>
  <c r="AO195" i="20"/>
  <c r="AP195" i="20" s="1"/>
  <c r="AR195" i="20" s="1"/>
  <c r="AT195" i="20" s="1"/>
  <c r="AO193" i="20"/>
  <c r="AP193" i="20" s="1"/>
  <c r="AR193" i="20" s="1"/>
  <c r="AT193" i="20" s="1"/>
  <c r="AU97" i="20"/>
  <c r="AQ97" i="20"/>
  <c r="AT6" i="20"/>
  <c r="AQ6" i="20"/>
  <c r="AU6" i="20"/>
  <c r="AT38" i="20"/>
  <c r="AQ38" i="20"/>
  <c r="AU38" i="20"/>
  <c r="AM185" i="20"/>
  <c r="AO190" i="20" s="1"/>
  <c r="AT48" i="20"/>
  <c r="AQ48" i="20"/>
  <c r="AU48" i="20"/>
  <c r="AQ105" i="20"/>
  <c r="AU105" i="20"/>
  <c r="AQ50" i="20"/>
  <c r="AU50" i="20"/>
  <c r="AT50" i="20"/>
  <c r="AU55" i="20"/>
  <c r="AQ55" i="20"/>
  <c r="AT55" i="20"/>
  <c r="AU69" i="20"/>
  <c r="AT69" i="20"/>
  <c r="AQ69" i="20"/>
  <c r="AQ11" i="20"/>
  <c r="AU11" i="20"/>
  <c r="AT11" i="20"/>
  <c r="AQ132" i="20"/>
  <c r="AU132" i="20"/>
  <c r="AQ124" i="20"/>
  <c r="AU124" i="20"/>
  <c r="AQ109" i="20"/>
  <c r="AU109" i="20"/>
  <c r="AQ101" i="20"/>
  <c r="AU101" i="20"/>
  <c r="AQ52" i="20"/>
  <c r="AU52" i="20"/>
  <c r="AT52" i="20"/>
  <c r="AI198" i="20"/>
  <c r="AJ192" i="20"/>
  <c r="AQ17" i="20"/>
  <c r="AU17" i="20"/>
  <c r="AT17" i="20"/>
  <c r="AQ13" i="20"/>
  <c r="AU13" i="20"/>
  <c r="AT13" i="20"/>
  <c r="AQ9" i="20"/>
  <c r="AU9" i="20"/>
  <c r="AT9" i="20"/>
  <c r="AU96" i="20"/>
  <c r="AT96" i="20"/>
  <c r="AQ96" i="20"/>
  <c r="AT5" i="20"/>
  <c r="AQ5" i="20"/>
  <c r="AU5" i="20"/>
  <c r="AT43" i="20"/>
  <c r="AQ43" i="20"/>
  <c r="AU43" i="20"/>
  <c r="AU24" i="20"/>
  <c r="AT24" i="20"/>
  <c r="AQ24" i="20"/>
  <c r="AT37" i="20"/>
  <c r="AQ37" i="20"/>
  <c r="AU37" i="20"/>
  <c r="AK185" i="20"/>
  <c r="AQ4" i="20"/>
  <c r="AQ128" i="20"/>
  <c r="AU128" i="20"/>
  <c r="AU106" i="20"/>
  <c r="AQ106" i="20"/>
  <c r="AU3" i="20"/>
  <c r="AT3" i="20"/>
  <c r="AQ3" i="20"/>
  <c r="AQ126" i="20"/>
  <c r="AU126" i="20"/>
  <c r="AQ130" i="20"/>
  <c r="AU130" i="20"/>
  <c r="AU127" i="20"/>
  <c r="AQ127" i="20"/>
  <c r="AQ107" i="20"/>
  <c r="AU107" i="20"/>
  <c r="AQ100" i="20"/>
  <c r="AU100" i="20"/>
  <c r="AT100" i="20"/>
  <c r="AQ58" i="20"/>
  <c r="AT58" i="20"/>
  <c r="AU58" i="20"/>
  <c r="AQ51" i="20"/>
  <c r="AT51" i="20"/>
  <c r="AU51" i="20"/>
  <c r="AU60" i="20"/>
  <c r="AQ60" i="20"/>
  <c r="AT60" i="20"/>
  <c r="AU125" i="20"/>
  <c r="AQ125" i="20"/>
  <c r="AQ16" i="20"/>
  <c r="AU16" i="20"/>
  <c r="AT16" i="20"/>
  <c r="AQ12" i="20"/>
  <c r="AU12" i="20"/>
  <c r="AT12" i="20"/>
  <c r="AQ8" i="20"/>
  <c r="AU8" i="20"/>
  <c r="AT8" i="20"/>
  <c r="AU121" i="20"/>
  <c r="AQ121" i="20"/>
  <c r="AU104" i="20"/>
  <c r="AQ104" i="20"/>
  <c r="AT82" i="20"/>
  <c r="AQ82" i="20"/>
  <c r="AU82" i="20"/>
  <c r="AT41" i="20"/>
  <c r="AQ41" i="20"/>
  <c r="AU41" i="20"/>
  <c r="AU19" i="20"/>
  <c r="AQ19" i="20"/>
  <c r="AT42" i="20"/>
  <c r="AQ42" i="20"/>
  <c r="AU42" i="20"/>
  <c r="AU22" i="20"/>
  <c r="AT22" i="20"/>
  <c r="AQ22" i="20"/>
  <c r="AU23" i="20"/>
  <c r="AT23" i="20"/>
  <c r="AQ23" i="20"/>
  <c r="S185" i="19"/>
  <c r="AZ30" i="20" l="1"/>
  <c r="AZ35" i="20"/>
  <c r="AZ42" i="20"/>
  <c r="AZ82" i="20"/>
  <c r="AZ12" i="20"/>
  <c r="AZ60" i="20"/>
  <c r="AZ44" i="20"/>
  <c r="AZ36" i="20"/>
  <c r="AZ13" i="20"/>
  <c r="AZ52" i="20"/>
  <c r="AZ50" i="20"/>
  <c r="AZ99" i="20"/>
  <c r="AZ8" i="20"/>
  <c r="AZ100" i="20"/>
  <c r="AZ3" i="20"/>
  <c r="AZ9" i="20"/>
  <c r="AZ98" i="20"/>
  <c r="AZ22" i="20"/>
  <c r="AZ16" i="20"/>
  <c r="AZ58" i="20"/>
  <c r="AZ37" i="20"/>
  <c r="AZ96" i="20"/>
  <c r="AZ17" i="20"/>
  <c r="AZ11" i="20"/>
  <c r="AZ69" i="20"/>
  <c r="AZ38" i="20"/>
  <c r="AZ10" i="20"/>
  <c r="AZ6" i="20"/>
  <c r="AP190" i="20"/>
  <c r="AR190" i="20" s="1"/>
  <c r="AT190" i="20" s="1"/>
  <c r="AO189" i="20"/>
  <c r="AP189" i="20" s="1"/>
  <c r="AR189" i="20" s="1"/>
  <c r="AT189" i="20" s="1"/>
  <c r="AZ41" i="20"/>
  <c r="AZ5" i="20"/>
  <c r="AZ55" i="20"/>
  <c r="AZ39" i="20"/>
  <c r="AZ51" i="20"/>
  <c r="AQ185" i="20"/>
  <c r="AZ23" i="20"/>
  <c r="AU185" i="20"/>
  <c r="AZ14" i="20"/>
  <c r="AZ53" i="20"/>
  <c r="AZ40" i="20"/>
  <c r="AZ15" i="20"/>
  <c r="U185" i="19"/>
  <c r="T185" i="19"/>
  <c r="AZ185" i="20" l="1"/>
  <c r="AX187" i="20" s="1"/>
  <c r="O185" i="19"/>
  <c r="P185" i="19"/>
  <c r="Q185" i="19"/>
  <c r="L185" i="19" l="1"/>
  <c r="M185" i="19"/>
  <c r="I185" i="19" l="1"/>
  <c r="H185" i="19"/>
  <c r="G185" i="19"/>
  <c r="AN225" i="19"/>
  <c r="AQ224" i="19"/>
  <c r="AN224" i="19"/>
  <c r="AQ223" i="19"/>
  <c r="AN223" i="19"/>
  <c r="AQ222" i="19"/>
  <c r="AN222" i="19"/>
  <c r="AN226" i="19" s="1"/>
  <c r="AH208" i="19"/>
  <c r="AH207" i="19"/>
  <c r="AU200" i="19"/>
  <c r="AU205" i="19" s="1"/>
  <c r="AU207" i="19" s="1"/>
  <c r="AU208" i="19" s="1"/>
  <c r="AR196" i="19"/>
  <c r="AR194" i="19"/>
  <c r="AT194" i="19" s="1"/>
  <c r="AP194" i="19"/>
  <c r="AR192" i="19"/>
  <c r="AP191" i="19"/>
  <c r="AR191" i="19" s="1"/>
  <c r="AT191" i="19" s="1"/>
  <c r="O190" i="19"/>
  <c r="AD188" i="19"/>
  <c r="AD189" i="19" s="1"/>
  <c r="AD190" i="19" s="1"/>
  <c r="AC188" i="19"/>
  <c r="AC189" i="19" s="1"/>
  <c r="AC190" i="19" s="1"/>
  <c r="AB188" i="19"/>
  <c r="AB189" i="19" s="1"/>
  <c r="AB190" i="19" s="1"/>
  <c r="AA188" i="19"/>
  <c r="AA189" i="19" s="1"/>
  <c r="AA190" i="19" s="1"/>
  <c r="Z188" i="19"/>
  <c r="Z189" i="19" s="1"/>
  <c r="Z190" i="19" s="1"/>
  <c r="Y188" i="19"/>
  <c r="Y189" i="19" s="1"/>
  <c r="Y190" i="19" s="1"/>
  <c r="X188" i="19"/>
  <c r="X189" i="19" s="1"/>
  <c r="X190" i="19" s="1"/>
  <c r="W188" i="19"/>
  <c r="W189" i="19" s="1"/>
  <c r="W190" i="19" s="1"/>
  <c r="V188" i="19"/>
  <c r="V189" i="19" s="1"/>
  <c r="V190" i="19" s="1"/>
  <c r="U188" i="19"/>
  <c r="U189" i="19" s="1"/>
  <c r="U190" i="19" s="1"/>
  <c r="T188" i="19"/>
  <c r="T189" i="19" s="1"/>
  <c r="T190" i="19" s="1"/>
  <c r="S188" i="19"/>
  <c r="S189" i="19" s="1"/>
  <c r="S190" i="19" s="1"/>
  <c r="R188" i="19"/>
  <c r="R189" i="19" s="1"/>
  <c r="R190" i="19" s="1"/>
  <c r="Q188" i="19"/>
  <c r="Q189" i="19" s="1"/>
  <c r="Q190" i="19" s="1"/>
  <c r="P188" i="19"/>
  <c r="P189" i="19" s="1"/>
  <c r="P190" i="19" s="1"/>
  <c r="O188" i="19"/>
  <c r="N188" i="19"/>
  <c r="N189" i="19" s="1"/>
  <c r="N190" i="19" s="1"/>
  <c r="M188" i="19"/>
  <c r="M189" i="19" s="1"/>
  <c r="M190" i="19" s="1"/>
  <c r="L188" i="19"/>
  <c r="L189" i="19" s="1"/>
  <c r="L190" i="19" s="1"/>
  <c r="K188" i="19"/>
  <c r="K189" i="19" s="1"/>
  <c r="K190" i="19" s="1"/>
  <c r="AJ190" i="19"/>
  <c r="I188" i="19"/>
  <c r="I189" i="19" s="1"/>
  <c r="I190" i="19" s="1"/>
  <c r="H188" i="19"/>
  <c r="H189" i="19" s="1"/>
  <c r="H190" i="19" s="1"/>
  <c r="G188" i="19"/>
  <c r="G189" i="19" s="1"/>
  <c r="G190" i="19" s="1"/>
  <c r="AI184" i="19"/>
  <c r="AO184" i="19" s="1"/>
  <c r="AH184" i="19"/>
  <c r="AN184" i="19" s="1"/>
  <c r="AG184" i="19"/>
  <c r="AM184" i="19" s="1"/>
  <c r="AI183" i="19"/>
  <c r="AO183" i="19" s="1"/>
  <c r="AH183" i="19"/>
  <c r="AN183" i="19" s="1"/>
  <c r="AG183" i="19"/>
  <c r="F183" i="19"/>
  <c r="E183" i="19"/>
  <c r="D183" i="19"/>
  <c r="AJ182" i="19"/>
  <c r="AP182" i="19" s="1"/>
  <c r="AI182" i="19"/>
  <c r="AO182" i="19" s="1"/>
  <c r="AH182" i="19"/>
  <c r="AN182" i="19" s="1"/>
  <c r="AG182" i="19"/>
  <c r="AM182" i="19" s="1"/>
  <c r="F182" i="19"/>
  <c r="E182" i="19"/>
  <c r="D182" i="19"/>
  <c r="AJ181" i="19"/>
  <c r="AP181" i="19" s="1"/>
  <c r="AI181" i="19"/>
  <c r="AO181" i="19" s="1"/>
  <c r="AH181" i="19"/>
  <c r="AN181" i="19" s="1"/>
  <c r="AG181" i="19"/>
  <c r="AM181" i="19" s="1"/>
  <c r="F181" i="19"/>
  <c r="E181" i="19"/>
  <c r="D181" i="19"/>
  <c r="AI180" i="19"/>
  <c r="AO180" i="19" s="1"/>
  <c r="AH180" i="19"/>
  <c r="AN180" i="19" s="1"/>
  <c r="AG180" i="19"/>
  <c r="AM180" i="19" s="1"/>
  <c r="F180" i="19"/>
  <c r="E180" i="19"/>
  <c r="D180" i="19"/>
  <c r="AJ179" i="19"/>
  <c r="AI179" i="19"/>
  <c r="AO179" i="19" s="1"/>
  <c r="AH179" i="19"/>
  <c r="AN179" i="19" s="1"/>
  <c r="AG179" i="19"/>
  <c r="AM179" i="19" s="1"/>
  <c r="F179" i="19"/>
  <c r="E179" i="19"/>
  <c r="D179" i="19"/>
  <c r="AJ178" i="19"/>
  <c r="AP178" i="19" s="1"/>
  <c r="AI178" i="19"/>
  <c r="AO178" i="19" s="1"/>
  <c r="AH178" i="19"/>
  <c r="AN178" i="19" s="1"/>
  <c r="AG178" i="19"/>
  <c r="F178" i="19"/>
  <c r="E178" i="19"/>
  <c r="D178" i="19"/>
  <c r="AJ177" i="19"/>
  <c r="AI177" i="19"/>
  <c r="AO177" i="19" s="1"/>
  <c r="AH177" i="19"/>
  <c r="AN177" i="19" s="1"/>
  <c r="AG177" i="19"/>
  <c r="AM177" i="19" s="1"/>
  <c r="F177" i="19"/>
  <c r="E177" i="19"/>
  <c r="D177" i="19"/>
  <c r="AJ176" i="19"/>
  <c r="AI176" i="19"/>
  <c r="AO176" i="19" s="1"/>
  <c r="AH176" i="19"/>
  <c r="AN176" i="19" s="1"/>
  <c r="AG176" i="19"/>
  <c r="F176" i="19"/>
  <c r="E176" i="19"/>
  <c r="D176" i="19"/>
  <c r="AJ175" i="19"/>
  <c r="AI175" i="19"/>
  <c r="AO175" i="19" s="1"/>
  <c r="AH175" i="19"/>
  <c r="AN175" i="19" s="1"/>
  <c r="AG175" i="19"/>
  <c r="AM175" i="19" s="1"/>
  <c r="F175" i="19"/>
  <c r="E175" i="19"/>
  <c r="D175" i="19"/>
  <c r="AJ174" i="19"/>
  <c r="AI174" i="19"/>
  <c r="AO174" i="19" s="1"/>
  <c r="AH174" i="19"/>
  <c r="AN174" i="19" s="1"/>
  <c r="AG174" i="19"/>
  <c r="AM174" i="19" s="1"/>
  <c r="F174" i="19"/>
  <c r="E174" i="19"/>
  <c r="D174" i="19"/>
  <c r="AJ173" i="19"/>
  <c r="AP173" i="19" s="1"/>
  <c r="AI173" i="19"/>
  <c r="AO173" i="19" s="1"/>
  <c r="AH173" i="19"/>
  <c r="AN173" i="19" s="1"/>
  <c r="AG173" i="19"/>
  <c r="F173" i="19"/>
  <c r="E173" i="19"/>
  <c r="D173" i="19"/>
  <c r="AJ172" i="19"/>
  <c r="AP172" i="19" s="1"/>
  <c r="AI172" i="19"/>
  <c r="AO172" i="19" s="1"/>
  <c r="AH172" i="19"/>
  <c r="AN172" i="19" s="1"/>
  <c r="AG172" i="19"/>
  <c r="AM172" i="19" s="1"/>
  <c r="F172" i="19"/>
  <c r="E172" i="19"/>
  <c r="D172" i="19"/>
  <c r="AJ171" i="19"/>
  <c r="AP171" i="19" s="1"/>
  <c r="AI171" i="19"/>
  <c r="AO171" i="19" s="1"/>
  <c r="AH171" i="19"/>
  <c r="AN171" i="19" s="1"/>
  <c r="AG171" i="19"/>
  <c r="F171" i="19"/>
  <c r="E171" i="19"/>
  <c r="D171" i="19"/>
  <c r="AJ170" i="19"/>
  <c r="AP170" i="19" s="1"/>
  <c r="AI170" i="19"/>
  <c r="AO170" i="19" s="1"/>
  <c r="AH170" i="19"/>
  <c r="AN170" i="19" s="1"/>
  <c r="AG170" i="19"/>
  <c r="AM170" i="19" s="1"/>
  <c r="F170" i="19"/>
  <c r="E170" i="19"/>
  <c r="D170" i="19"/>
  <c r="AJ169" i="19"/>
  <c r="AP169" i="19" s="1"/>
  <c r="AI169" i="19"/>
  <c r="AO169" i="19" s="1"/>
  <c r="AH169" i="19"/>
  <c r="AN169" i="19" s="1"/>
  <c r="AG169" i="19"/>
  <c r="AM169" i="19" s="1"/>
  <c r="F169" i="19"/>
  <c r="E169" i="19"/>
  <c r="D169" i="19"/>
  <c r="AJ167" i="19"/>
  <c r="AP167" i="19" s="1"/>
  <c r="AI167" i="19"/>
  <c r="AO167" i="19" s="1"/>
  <c r="AH167" i="19"/>
  <c r="AN167" i="19" s="1"/>
  <c r="AG167" i="19"/>
  <c r="F167" i="19"/>
  <c r="E167" i="19"/>
  <c r="D167" i="19"/>
  <c r="AJ166" i="19"/>
  <c r="AP166" i="19" s="1"/>
  <c r="AI166" i="19"/>
  <c r="AO166" i="19" s="1"/>
  <c r="AH166" i="19"/>
  <c r="AN166" i="19" s="1"/>
  <c r="AG166" i="19"/>
  <c r="AM166" i="19" s="1"/>
  <c r="F166" i="19"/>
  <c r="E166" i="19"/>
  <c r="D166" i="19"/>
  <c r="AJ165" i="19"/>
  <c r="AP165" i="19" s="1"/>
  <c r="AI165" i="19"/>
  <c r="AO165" i="19" s="1"/>
  <c r="AH165" i="19"/>
  <c r="AN165" i="19" s="1"/>
  <c r="AG165" i="19"/>
  <c r="AM165" i="19" s="1"/>
  <c r="F165" i="19"/>
  <c r="E165" i="19"/>
  <c r="D165" i="19"/>
  <c r="AJ164" i="19"/>
  <c r="AP164" i="19" s="1"/>
  <c r="AI164" i="19"/>
  <c r="AO164" i="19" s="1"/>
  <c r="AH164" i="19"/>
  <c r="AN164" i="19" s="1"/>
  <c r="AG164" i="19"/>
  <c r="AM164" i="19" s="1"/>
  <c r="F164" i="19"/>
  <c r="E164" i="19"/>
  <c r="D164" i="19"/>
  <c r="AJ163" i="19"/>
  <c r="AP163" i="19" s="1"/>
  <c r="AI163" i="19"/>
  <c r="AO163" i="19" s="1"/>
  <c r="AH163" i="19"/>
  <c r="AN163" i="19" s="1"/>
  <c r="AG163" i="19"/>
  <c r="F163" i="19"/>
  <c r="E163" i="19"/>
  <c r="D163" i="19"/>
  <c r="AJ162" i="19"/>
  <c r="AP162" i="19" s="1"/>
  <c r="AI162" i="19"/>
  <c r="AO162" i="19" s="1"/>
  <c r="AH162" i="19"/>
  <c r="AN162" i="19" s="1"/>
  <c r="AG162" i="19"/>
  <c r="AM162" i="19" s="1"/>
  <c r="F162" i="19"/>
  <c r="E162" i="19"/>
  <c r="D162" i="19"/>
  <c r="AJ161" i="19"/>
  <c r="AP161" i="19" s="1"/>
  <c r="AI161" i="19"/>
  <c r="AO161" i="19" s="1"/>
  <c r="AH161" i="19"/>
  <c r="AN161" i="19" s="1"/>
  <c r="AG161" i="19"/>
  <c r="AM161" i="19" s="1"/>
  <c r="F161" i="19"/>
  <c r="E161" i="19"/>
  <c r="D161" i="19"/>
  <c r="AJ160" i="19"/>
  <c r="AP160" i="19" s="1"/>
  <c r="AI160" i="19"/>
  <c r="AO160" i="19" s="1"/>
  <c r="AH160" i="19"/>
  <c r="AN160" i="19" s="1"/>
  <c r="AG160" i="19"/>
  <c r="AM160" i="19" s="1"/>
  <c r="F160" i="19"/>
  <c r="E160" i="19"/>
  <c r="D160" i="19"/>
  <c r="AJ159" i="19"/>
  <c r="AP159" i="19" s="1"/>
  <c r="AI159" i="19"/>
  <c r="AO159" i="19" s="1"/>
  <c r="AH159" i="19"/>
  <c r="AN159" i="19" s="1"/>
  <c r="AG159" i="19"/>
  <c r="F159" i="19"/>
  <c r="E159" i="19"/>
  <c r="D159" i="19"/>
  <c r="AJ158" i="19"/>
  <c r="AP158" i="19" s="1"/>
  <c r="AI158" i="19"/>
  <c r="AO158" i="19" s="1"/>
  <c r="AH158" i="19"/>
  <c r="AN158" i="19" s="1"/>
  <c r="AG158" i="19"/>
  <c r="AM158" i="19" s="1"/>
  <c r="F158" i="19"/>
  <c r="E158" i="19"/>
  <c r="D158" i="19"/>
  <c r="AJ157" i="19"/>
  <c r="AP157" i="19" s="1"/>
  <c r="AI157" i="19"/>
  <c r="AO157" i="19" s="1"/>
  <c r="AH157" i="19"/>
  <c r="AN157" i="19" s="1"/>
  <c r="AG157" i="19"/>
  <c r="AM157" i="19" s="1"/>
  <c r="F157" i="19"/>
  <c r="E157" i="19"/>
  <c r="D157" i="19"/>
  <c r="AJ156" i="19"/>
  <c r="AP156" i="19" s="1"/>
  <c r="AI156" i="19"/>
  <c r="AO156" i="19" s="1"/>
  <c r="AH156" i="19"/>
  <c r="AN156" i="19" s="1"/>
  <c r="AG156" i="19"/>
  <c r="AM156" i="19" s="1"/>
  <c r="F156" i="19"/>
  <c r="E156" i="19"/>
  <c r="D156" i="19"/>
  <c r="AJ155" i="19"/>
  <c r="AP155" i="19" s="1"/>
  <c r="AI155" i="19"/>
  <c r="AO155" i="19" s="1"/>
  <c r="AH155" i="19"/>
  <c r="AN155" i="19" s="1"/>
  <c r="AG155" i="19"/>
  <c r="F155" i="19"/>
  <c r="E155" i="19"/>
  <c r="D155" i="19"/>
  <c r="AJ154" i="19"/>
  <c r="AP154" i="19" s="1"/>
  <c r="AI154" i="19"/>
  <c r="AO154" i="19" s="1"/>
  <c r="AH154" i="19"/>
  <c r="AN154" i="19" s="1"/>
  <c r="AG154" i="19"/>
  <c r="AM154" i="19" s="1"/>
  <c r="F154" i="19"/>
  <c r="E154" i="19"/>
  <c r="D154" i="19"/>
  <c r="AJ153" i="19"/>
  <c r="AP153" i="19" s="1"/>
  <c r="AI153" i="19"/>
  <c r="AO153" i="19" s="1"/>
  <c r="AH153" i="19"/>
  <c r="AN153" i="19" s="1"/>
  <c r="AG153" i="19"/>
  <c r="AM153" i="19" s="1"/>
  <c r="F153" i="19"/>
  <c r="E153" i="19"/>
  <c r="D153" i="19"/>
  <c r="AJ152" i="19"/>
  <c r="AP152" i="19" s="1"/>
  <c r="AI152" i="19"/>
  <c r="AO152" i="19" s="1"/>
  <c r="AH152" i="19"/>
  <c r="AN152" i="19" s="1"/>
  <c r="AG152" i="19"/>
  <c r="AM152" i="19" s="1"/>
  <c r="F152" i="19"/>
  <c r="E152" i="19"/>
  <c r="D152" i="19"/>
  <c r="AJ151" i="19"/>
  <c r="AP151" i="19" s="1"/>
  <c r="AI151" i="19"/>
  <c r="AO151" i="19" s="1"/>
  <c r="AH151" i="19"/>
  <c r="AN151" i="19" s="1"/>
  <c r="AG151" i="19"/>
  <c r="F151" i="19"/>
  <c r="E151" i="19"/>
  <c r="D151" i="19"/>
  <c r="AJ150" i="19"/>
  <c r="AP150" i="19" s="1"/>
  <c r="AI150" i="19"/>
  <c r="AO150" i="19" s="1"/>
  <c r="AH150" i="19"/>
  <c r="AN150" i="19" s="1"/>
  <c r="AG150" i="19"/>
  <c r="AM150" i="19" s="1"/>
  <c r="F150" i="19"/>
  <c r="E150" i="19"/>
  <c r="D150" i="19"/>
  <c r="AJ149" i="19"/>
  <c r="AP149" i="19" s="1"/>
  <c r="AI149" i="19"/>
  <c r="AO149" i="19" s="1"/>
  <c r="AH149" i="19"/>
  <c r="AN149" i="19" s="1"/>
  <c r="AG149" i="19"/>
  <c r="AM149" i="19" s="1"/>
  <c r="F149" i="19"/>
  <c r="E149" i="19"/>
  <c r="D149" i="19"/>
  <c r="AJ148" i="19"/>
  <c r="AP148" i="19" s="1"/>
  <c r="AI148" i="19"/>
  <c r="AO148" i="19" s="1"/>
  <c r="AH148" i="19"/>
  <c r="AN148" i="19" s="1"/>
  <c r="AG148" i="19"/>
  <c r="AM148" i="19" s="1"/>
  <c r="F148" i="19"/>
  <c r="E148" i="19"/>
  <c r="D148" i="19"/>
  <c r="AJ147" i="19"/>
  <c r="AI147" i="19"/>
  <c r="AO147" i="19" s="1"/>
  <c r="AH147" i="19"/>
  <c r="AN147" i="19" s="1"/>
  <c r="AG147" i="19"/>
  <c r="AM147" i="19" s="1"/>
  <c r="F147" i="19"/>
  <c r="E147" i="19"/>
  <c r="D147" i="19"/>
  <c r="AJ146" i="19"/>
  <c r="AP146" i="19" s="1"/>
  <c r="AI146" i="19"/>
  <c r="AO146" i="19" s="1"/>
  <c r="AH146" i="19"/>
  <c r="AN146" i="19" s="1"/>
  <c r="AG146" i="19"/>
  <c r="F146" i="19"/>
  <c r="E146" i="19"/>
  <c r="D146" i="19"/>
  <c r="AJ145" i="19"/>
  <c r="AP145" i="19" s="1"/>
  <c r="AI145" i="19"/>
  <c r="AO145" i="19" s="1"/>
  <c r="AH145" i="19"/>
  <c r="AN145" i="19" s="1"/>
  <c r="AG145" i="19"/>
  <c r="AM145" i="19" s="1"/>
  <c r="F145" i="19"/>
  <c r="E145" i="19"/>
  <c r="D145" i="19"/>
  <c r="AJ144" i="19"/>
  <c r="AP144" i="19" s="1"/>
  <c r="AI144" i="19"/>
  <c r="AO144" i="19" s="1"/>
  <c r="AH144" i="19"/>
  <c r="AN144" i="19" s="1"/>
  <c r="AG144" i="19"/>
  <c r="F144" i="19"/>
  <c r="E144" i="19"/>
  <c r="D144" i="19"/>
  <c r="AJ143" i="19"/>
  <c r="AP143" i="19" s="1"/>
  <c r="AI143" i="19"/>
  <c r="AO143" i="19" s="1"/>
  <c r="AH143" i="19"/>
  <c r="AN143" i="19" s="1"/>
  <c r="AG143" i="19"/>
  <c r="AM143" i="19" s="1"/>
  <c r="F143" i="19"/>
  <c r="E143" i="19"/>
  <c r="D143" i="19"/>
  <c r="AJ142" i="19"/>
  <c r="AP142" i="19" s="1"/>
  <c r="AI142" i="19"/>
  <c r="AO142" i="19" s="1"/>
  <c r="AH142" i="19"/>
  <c r="AN142" i="19" s="1"/>
  <c r="AG142" i="19"/>
  <c r="F142" i="19"/>
  <c r="E142" i="19"/>
  <c r="D142" i="19"/>
  <c r="AJ141" i="19"/>
  <c r="AP141" i="19" s="1"/>
  <c r="AI141" i="19"/>
  <c r="AO141" i="19" s="1"/>
  <c r="AH141" i="19"/>
  <c r="AN141" i="19" s="1"/>
  <c r="AG141" i="19"/>
  <c r="AM141" i="19" s="1"/>
  <c r="F141" i="19"/>
  <c r="E141" i="19"/>
  <c r="D141" i="19"/>
  <c r="AJ140" i="19"/>
  <c r="AP140" i="19" s="1"/>
  <c r="AI140" i="19"/>
  <c r="AO140" i="19" s="1"/>
  <c r="AH140" i="19"/>
  <c r="AN140" i="19" s="1"/>
  <c r="AG140" i="19"/>
  <c r="AM140" i="19" s="1"/>
  <c r="F140" i="19"/>
  <c r="E140" i="19"/>
  <c r="D140" i="19"/>
  <c r="AJ139" i="19"/>
  <c r="AP139" i="19" s="1"/>
  <c r="AI139" i="19"/>
  <c r="AO139" i="19" s="1"/>
  <c r="AH139" i="19"/>
  <c r="AN139" i="19" s="1"/>
  <c r="AG139" i="19"/>
  <c r="AM139" i="19" s="1"/>
  <c r="F139" i="19"/>
  <c r="E139" i="19"/>
  <c r="D139" i="19"/>
  <c r="AJ138" i="19"/>
  <c r="AP138" i="19" s="1"/>
  <c r="AI138" i="19"/>
  <c r="AO138" i="19" s="1"/>
  <c r="AH138" i="19"/>
  <c r="AN138" i="19" s="1"/>
  <c r="AG138" i="19"/>
  <c r="F138" i="19"/>
  <c r="E138" i="19"/>
  <c r="D138" i="19"/>
  <c r="AJ137" i="19"/>
  <c r="AP137" i="19" s="1"/>
  <c r="AI137" i="19"/>
  <c r="AO137" i="19" s="1"/>
  <c r="AH137" i="19"/>
  <c r="AN137" i="19" s="1"/>
  <c r="AG137" i="19"/>
  <c r="AM137" i="19" s="1"/>
  <c r="F137" i="19"/>
  <c r="E137" i="19"/>
  <c r="D137" i="19"/>
  <c r="AJ136" i="19"/>
  <c r="AP136" i="19" s="1"/>
  <c r="AI136" i="19"/>
  <c r="AO136" i="19" s="1"/>
  <c r="AH136" i="19"/>
  <c r="AN136" i="19" s="1"/>
  <c r="AG136" i="19"/>
  <c r="F136" i="19"/>
  <c r="E136" i="19"/>
  <c r="D136" i="19"/>
  <c r="AJ135" i="19"/>
  <c r="AP135" i="19" s="1"/>
  <c r="AI135" i="19"/>
  <c r="AO135" i="19" s="1"/>
  <c r="AH135" i="19"/>
  <c r="AN135" i="19" s="1"/>
  <c r="AG135" i="19"/>
  <c r="AM135" i="19" s="1"/>
  <c r="F135" i="19"/>
  <c r="E135" i="19"/>
  <c r="D135" i="19"/>
  <c r="AJ134" i="19"/>
  <c r="AP134" i="19" s="1"/>
  <c r="AI134" i="19"/>
  <c r="AO134" i="19" s="1"/>
  <c r="AH134" i="19"/>
  <c r="AN134" i="19" s="1"/>
  <c r="AG134" i="19"/>
  <c r="F134" i="19"/>
  <c r="E134" i="19"/>
  <c r="D134" i="19"/>
  <c r="AJ133" i="19"/>
  <c r="AP133" i="19" s="1"/>
  <c r="AI133" i="19"/>
  <c r="AO133" i="19" s="1"/>
  <c r="AH133" i="19"/>
  <c r="AN133" i="19" s="1"/>
  <c r="AG133" i="19"/>
  <c r="AM133" i="19" s="1"/>
  <c r="F133" i="19"/>
  <c r="E133" i="19"/>
  <c r="D133" i="19"/>
  <c r="AJ132" i="19"/>
  <c r="AP132" i="19" s="1"/>
  <c r="AI132" i="19"/>
  <c r="AO132" i="19" s="1"/>
  <c r="AH132" i="19"/>
  <c r="AN132" i="19" s="1"/>
  <c r="AG132" i="19"/>
  <c r="AM132" i="19" s="1"/>
  <c r="F132" i="19"/>
  <c r="E132" i="19"/>
  <c r="D132" i="19"/>
  <c r="AJ131" i="19"/>
  <c r="AP131" i="19" s="1"/>
  <c r="AI131" i="19"/>
  <c r="AO131" i="19" s="1"/>
  <c r="AH131" i="19"/>
  <c r="AN131" i="19" s="1"/>
  <c r="AG131" i="19"/>
  <c r="AM131" i="19" s="1"/>
  <c r="F131" i="19"/>
  <c r="E131" i="19"/>
  <c r="D131" i="19"/>
  <c r="AJ130" i="19"/>
  <c r="AP130" i="19" s="1"/>
  <c r="AI130" i="19"/>
  <c r="AO130" i="19" s="1"/>
  <c r="AH130" i="19"/>
  <c r="AN130" i="19" s="1"/>
  <c r="AG130" i="19"/>
  <c r="AM130" i="19" s="1"/>
  <c r="F130" i="19"/>
  <c r="E130" i="19"/>
  <c r="D130" i="19"/>
  <c r="AJ129" i="19"/>
  <c r="AP129" i="19" s="1"/>
  <c r="AI129" i="19"/>
  <c r="AO129" i="19" s="1"/>
  <c r="AH129" i="19"/>
  <c r="AN129" i="19" s="1"/>
  <c r="AG129" i="19"/>
  <c r="AM129" i="19" s="1"/>
  <c r="F129" i="19"/>
  <c r="E129" i="19"/>
  <c r="D129" i="19"/>
  <c r="AJ128" i="19"/>
  <c r="AP128" i="19" s="1"/>
  <c r="AI128" i="19"/>
  <c r="AO128" i="19" s="1"/>
  <c r="AH128" i="19"/>
  <c r="AN128" i="19" s="1"/>
  <c r="AG128" i="19"/>
  <c r="AM128" i="19" s="1"/>
  <c r="F128" i="19"/>
  <c r="E128" i="19"/>
  <c r="D128" i="19"/>
  <c r="AJ127" i="19"/>
  <c r="AP127" i="19" s="1"/>
  <c r="AI127" i="19"/>
  <c r="AO127" i="19" s="1"/>
  <c r="AH127" i="19"/>
  <c r="AN127" i="19" s="1"/>
  <c r="AG127" i="19"/>
  <c r="AM127" i="19" s="1"/>
  <c r="F127" i="19"/>
  <c r="E127" i="19"/>
  <c r="D127" i="19"/>
  <c r="AP126" i="19"/>
  <c r="AJ126" i="19"/>
  <c r="AI126" i="19"/>
  <c r="AO126" i="19" s="1"/>
  <c r="AH126" i="19"/>
  <c r="AN126" i="19" s="1"/>
  <c r="AG126" i="19"/>
  <c r="AM126" i="19" s="1"/>
  <c r="F126" i="19"/>
  <c r="E126" i="19"/>
  <c r="D126" i="19"/>
  <c r="AP125" i="19"/>
  <c r="AJ125" i="19"/>
  <c r="AI125" i="19"/>
  <c r="AO125" i="19" s="1"/>
  <c r="AH125" i="19"/>
  <c r="AN125" i="19" s="1"/>
  <c r="AG125" i="19"/>
  <c r="AM125" i="19" s="1"/>
  <c r="F125" i="19"/>
  <c r="E125" i="19"/>
  <c r="D125" i="19"/>
  <c r="AP124" i="19"/>
  <c r="AJ124" i="19"/>
  <c r="AI124" i="19"/>
  <c r="AO124" i="19" s="1"/>
  <c r="AH124" i="19"/>
  <c r="AN124" i="19" s="1"/>
  <c r="AG124" i="19"/>
  <c r="AM124" i="19" s="1"/>
  <c r="F124" i="19"/>
  <c r="E124" i="19"/>
  <c r="D124" i="19"/>
  <c r="AP123" i="19"/>
  <c r="AJ123" i="19"/>
  <c r="AI123" i="19"/>
  <c r="AO123" i="19" s="1"/>
  <c r="AH123" i="19"/>
  <c r="AN123" i="19" s="1"/>
  <c r="AG123" i="19"/>
  <c r="AM123" i="19" s="1"/>
  <c r="F123" i="19"/>
  <c r="E123" i="19"/>
  <c r="D123" i="19"/>
  <c r="AJ122" i="19"/>
  <c r="AP122" i="19" s="1"/>
  <c r="AI122" i="19"/>
  <c r="AO122" i="19" s="1"/>
  <c r="AH122" i="19"/>
  <c r="AN122" i="19" s="1"/>
  <c r="AG122" i="19"/>
  <c r="AM122" i="19" s="1"/>
  <c r="F122" i="19"/>
  <c r="E122" i="19"/>
  <c r="D122" i="19"/>
  <c r="AJ121" i="19"/>
  <c r="AP121" i="19" s="1"/>
  <c r="AI121" i="19"/>
  <c r="AO121" i="19" s="1"/>
  <c r="AH121" i="19"/>
  <c r="AN121" i="19" s="1"/>
  <c r="AG121" i="19"/>
  <c r="F121" i="19"/>
  <c r="E121" i="19"/>
  <c r="D121" i="19"/>
  <c r="AJ120" i="19"/>
  <c r="AP120" i="19" s="1"/>
  <c r="AI120" i="19"/>
  <c r="AO120" i="19" s="1"/>
  <c r="AH120" i="19"/>
  <c r="AN120" i="19" s="1"/>
  <c r="AG120" i="19"/>
  <c r="AM120" i="19" s="1"/>
  <c r="F120" i="19"/>
  <c r="E120" i="19"/>
  <c r="D120" i="19"/>
  <c r="AJ119" i="19"/>
  <c r="AP119" i="19" s="1"/>
  <c r="AI119" i="19"/>
  <c r="AO119" i="19" s="1"/>
  <c r="AH119" i="19"/>
  <c r="AN119" i="19" s="1"/>
  <c r="AG119" i="19"/>
  <c r="F119" i="19"/>
  <c r="E119" i="19"/>
  <c r="D119" i="19"/>
  <c r="AJ118" i="19"/>
  <c r="AP118" i="19" s="1"/>
  <c r="AI118" i="19"/>
  <c r="AO118" i="19" s="1"/>
  <c r="AH118" i="19"/>
  <c r="AN118" i="19" s="1"/>
  <c r="AG118" i="19"/>
  <c r="AM118" i="19" s="1"/>
  <c r="F118" i="19"/>
  <c r="E118" i="19"/>
  <c r="D118" i="19"/>
  <c r="AJ117" i="19"/>
  <c r="AP117" i="19" s="1"/>
  <c r="AI117" i="19"/>
  <c r="AO117" i="19" s="1"/>
  <c r="AH117" i="19"/>
  <c r="AN117" i="19" s="1"/>
  <c r="AG117" i="19"/>
  <c r="AM117" i="19" s="1"/>
  <c r="F117" i="19"/>
  <c r="E117" i="19"/>
  <c r="D117" i="19"/>
  <c r="AJ116" i="19"/>
  <c r="AP116" i="19" s="1"/>
  <c r="AI116" i="19"/>
  <c r="AO116" i="19" s="1"/>
  <c r="AH116" i="19"/>
  <c r="AN116" i="19" s="1"/>
  <c r="AG116" i="19"/>
  <c r="F116" i="19"/>
  <c r="E116" i="19"/>
  <c r="D116" i="19"/>
  <c r="AP115" i="19"/>
  <c r="AJ115" i="19"/>
  <c r="AI115" i="19"/>
  <c r="AO115" i="19" s="1"/>
  <c r="AH115" i="19"/>
  <c r="AN115" i="19" s="1"/>
  <c r="AG115" i="19"/>
  <c r="AM115" i="19" s="1"/>
  <c r="F115" i="19"/>
  <c r="E115" i="19"/>
  <c r="D115" i="19"/>
  <c r="AJ114" i="19"/>
  <c r="AP114" i="19" s="1"/>
  <c r="AI114" i="19"/>
  <c r="AO114" i="19" s="1"/>
  <c r="AH114" i="19"/>
  <c r="AN114" i="19" s="1"/>
  <c r="AG114" i="19"/>
  <c r="F114" i="19"/>
  <c r="E114" i="19"/>
  <c r="D114" i="19"/>
  <c r="AJ113" i="19"/>
  <c r="AP113" i="19" s="1"/>
  <c r="AI113" i="19"/>
  <c r="AO113" i="19" s="1"/>
  <c r="AH113" i="19"/>
  <c r="AN113" i="19" s="1"/>
  <c r="AG113" i="19"/>
  <c r="AM113" i="19" s="1"/>
  <c r="F113" i="19"/>
  <c r="E113" i="19"/>
  <c r="D113" i="19"/>
  <c r="AJ112" i="19"/>
  <c r="AP112" i="19" s="1"/>
  <c r="AI112" i="19"/>
  <c r="AO112" i="19" s="1"/>
  <c r="AH112" i="19"/>
  <c r="AN112" i="19" s="1"/>
  <c r="AG112" i="19"/>
  <c r="AM112" i="19" s="1"/>
  <c r="F112" i="19"/>
  <c r="E112" i="19"/>
  <c r="D112" i="19"/>
  <c r="AJ111" i="19"/>
  <c r="AP111" i="19" s="1"/>
  <c r="AI111" i="19"/>
  <c r="AO111" i="19" s="1"/>
  <c r="AH111" i="19"/>
  <c r="AN111" i="19" s="1"/>
  <c r="AG111" i="19"/>
  <c r="AM111" i="19" s="1"/>
  <c r="F111" i="19"/>
  <c r="E111" i="19"/>
  <c r="D111" i="19"/>
  <c r="AJ110" i="19"/>
  <c r="AP110" i="19" s="1"/>
  <c r="AI110" i="19"/>
  <c r="AO110" i="19" s="1"/>
  <c r="AH110" i="19"/>
  <c r="AN110" i="19" s="1"/>
  <c r="AG110" i="19"/>
  <c r="AM110" i="19" s="1"/>
  <c r="F110" i="19"/>
  <c r="E110" i="19"/>
  <c r="D110" i="19"/>
  <c r="AJ109" i="19"/>
  <c r="AP109" i="19" s="1"/>
  <c r="AI109" i="19"/>
  <c r="AO109" i="19" s="1"/>
  <c r="AH109" i="19"/>
  <c r="AN109" i="19" s="1"/>
  <c r="AG109" i="19"/>
  <c r="AM109" i="19" s="1"/>
  <c r="F109" i="19"/>
  <c r="E109" i="19"/>
  <c r="D109" i="19"/>
  <c r="AJ108" i="19"/>
  <c r="AP108" i="19" s="1"/>
  <c r="AI108" i="19"/>
  <c r="AO108" i="19" s="1"/>
  <c r="AH108" i="19"/>
  <c r="AN108" i="19" s="1"/>
  <c r="AG108" i="19"/>
  <c r="AM108" i="19" s="1"/>
  <c r="F108" i="19"/>
  <c r="E108" i="19"/>
  <c r="D108" i="19"/>
  <c r="AJ107" i="19"/>
  <c r="AP107" i="19" s="1"/>
  <c r="AI107" i="19"/>
  <c r="AO107" i="19" s="1"/>
  <c r="AH107" i="19"/>
  <c r="AN107" i="19" s="1"/>
  <c r="AG107" i="19"/>
  <c r="AM107" i="19" s="1"/>
  <c r="F107" i="19"/>
  <c r="E107" i="19"/>
  <c r="D107" i="19"/>
  <c r="AJ106" i="19"/>
  <c r="AP106" i="19" s="1"/>
  <c r="AI106" i="19"/>
  <c r="AO106" i="19" s="1"/>
  <c r="AH106" i="19"/>
  <c r="AN106" i="19" s="1"/>
  <c r="AG106" i="19"/>
  <c r="AM106" i="19" s="1"/>
  <c r="F106" i="19"/>
  <c r="E106" i="19"/>
  <c r="D106" i="19"/>
  <c r="AJ105" i="19"/>
  <c r="AP105" i="19" s="1"/>
  <c r="AI105" i="19"/>
  <c r="AO105" i="19" s="1"/>
  <c r="AH105" i="19"/>
  <c r="AN105" i="19" s="1"/>
  <c r="AG105" i="19"/>
  <c r="AM105" i="19" s="1"/>
  <c r="F105" i="19"/>
  <c r="E105" i="19"/>
  <c r="D105" i="19"/>
  <c r="AJ104" i="19"/>
  <c r="AP104" i="19" s="1"/>
  <c r="AI104" i="19"/>
  <c r="AO104" i="19" s="1"/>
  <c r="AH104" i="19"/>
  <c r="AN104" i="19" s="1"/>
  <c r="AG104" i="19"/>
  <c r="AM104" i="19" s="1"/>
  <c r="F104" i="19"/>
  <c r="E104" i="19"/>
  <c r="D104" i="19"/>
  <c r="AJ103" i="19"/>
  <c r="AP103" i="19" s="1"/>
  <c r="AI103" i="19"/>
  <c r="AO103" i="19" s="1"/>
  <c r="AH103" i="19"/>
  <c r="AN103" i="19" s="1"/>
  <c r="AG103" i="19"/>
  <c r="AM103" i="19" s="1"/>
  <c r="F103" i="19"/>
  <c r="E103" i="19"/>
  <c r="D103" i="19"/>
  <c r="AJ102" i="19"/>
  <c r="AP102" i="19" s="1"/>
  <c r="AI102" i="19"/>
  <c r="AO102" i="19" s="1"/>
  <c r="AH102" i="19"/>
  <c r="AN102" i="19" s="1"/>
  <c r="AG102" i="19"/>
  <c r="AM102" i="19" s="1"/>
  <c r="F102" i="19"/>
  <c r="E102" i="19"/>
  <c r="D102" i="19"/>
  <c r="AJ101" i="19"/>
  <c r="AP101" i="19" s="1"/>
  <c r="AI101" i="19"/>
  <c r="AO101" i="19" s="1"/>
  <c r="AH101" i="19"/>
  <c r="AN101" i="19" s="1"/>
  <c r="AG101" i="19"/>
  <c r="AM101" i="19" s="1"/>
  <c r="F101" i="19"/>
  <c r="E101" i="19"/>
  <c r="D101" i="19"/>
  <c r="AJ100" i="19"/>
  <c r="AP100" i="19" s="1"/>
  <c r="AI100" i="19"/>
  <c r="AO100" i="19" s="1"/>
  <c r="AH100" i="19"/>
  <c r="AN100" i="19" s="1"/>
  <c r="AG100" i="19"/>
  <c r="AM100" i="19" s="1"/>
  <c r="F100" i="19"/>
  <c r="E100" i="19"/>
  <c r="D100" i="19"/>
  <c r="AJ99" i="19"/>
  <c r="AP99" i="19" s="1"/>
  <c r="AI99" i="19"/>
  <c r="AO99" i="19" s="1"/>
  <c r="AH99" i="19"/>
  <c r="AN99" i="19" s="1"/>
  <c r="AG99" i="19"/>
  <c r="AM99" i="19" s="1"/>
  <c r="F99" i="19"/>
  <c r="E99" i="19"/>
  <c r="D99" i="19"/>
  <c r="AJ98" i="19"/>
  <c r="AP98" i="19" s="1"/>
  <c r="AI98" i="19"/>
  <c r="AO98" i="19" s="1"/>
  <c r="AH98" i="19"/>
  <c r="AN98" i="19" s="1"/>
  <c r="AG98" i="19"/>
  <c r="F98" i="19"/>
  <c r="E98" i="19"/>
  <c r="D98" i="19"/>
  <c r="AJ97" i="19"/>
  <c r="AP97" i="19" s="1"/>
  <c r="AI97" i="19"/>
  <c r="AO97" i="19" s="1"/>
  <c r="AH97" i="19"/>
  <c r="AN97" i="19" s="1"/>
  <c r="AG97" i="19"/>
  <c r="AM97" i="19" s="1"/>
  <c r="F97" i="19"/>
  <c r="E97" i="19"/>
  <c r="D97" i="19"/>
  <c r="AJ96" i="19"/>
  <c r="AP96" i="19" s="1"/>
  <c r="AI96" i="19"/>
  <c r="AO96" i="19" s="1"/>
  <c r="AH96" i="19"/>
  <c r="AN96" i="19" s="1"/>
  <c r="AG96" i="19"/>
  <c r="AM96" i="19" s="1"/>
  <c r="F96" i="19"/>
  <c r="E96" i="19"/>
  <c r="D96" i="19"/>
  <c r="AJ95" i="19"/>
  <c r="AP95" i="19" s="1"/>
  <c r="AI95" i="19"/>
  <c r="AO95" i="19" s="1"/>
  <c r="AH95" i="19"/>
  <c r="AN95" i="19" s="1"/>
  <c r="AG95" i="19"/>
  <c r="AM95" i="19" s="1"/>
  <c r="F95" i="19"/>
  <c r="E95" i="19"/>
  <c r="D95" i="19"/>
  <c r="AJ94" i="19"/>
  <c r="AP94" i="19" s="1"/>
  <c r="AI94" i="19"/>
  <c r="AO94" i="19" s="1"/>
  <c r="AH94" i="19"/>
  <c r="AN94" i="19" s="1"/>
  <c r="AG94" i="19"/>
  <c r="AM94" i="19" s="1"/>
  <c r="F94" i="19"/>
  <c r="E94" i="19"/>
  <c r="D94" i="19"/>
  <c r="AJ93" i="19"/>
  <c r="AP93" i="19" s="1"/>
  <c r="AI93" i="19"/>
  <c r="AO93" i="19" s="1"/>
  <c r="AH93" i="19"/>
  <c r="AN93" i="19" s="1"/>
  <c r="AG93" i="19"/>
  <c r="AM93" i="19" s="1"/>
  <c r="F93" i="19"/>
  <c r="E93" i="19"/>
  <c r="D93" i="19"/>
  <c r="AJ92" i="19"/>
  <c r="AP92" i="19" s="1"/>
  <c r="AI92" i="19"/>
  <c r="AO92" i="19" s="1"/>
  <c r="AH92" i="19"/>
  <c r="AN92" i="19" s="1"/>
  <c r="AG92" i="19"/>
  <c r="AM92" i="19" s="1"/>
  <c r="F92" i="19"/>
  <c r="E92" i="19"/>
  <c r="D92" i="19"/>
  <c r="AJ91" i="19"/>
  <c r="AP91" i="19" s="1"/>
  <c r="AI91" i="19"/>
  <c r="AO91" i="19" s="1"/>
  <c r="AH91" i="19"/>
  <c r="AN91" i="19" s="1"/>
  <c r="AG91" i="19"/>
  <c r="AM91" i="19" s="1"/>
  <c r="F91" i="19"/>
  <c r="E91" i="19"/>
  <c r="D91" i="19"/>
  <c r="AJ90" i="19"/>
  <c r="AP90" i="19" s="1"/>
  <c r="AI90" i="19"/>
  <c r="AO90" i="19" s="1"/>
  <c r="AH90" i="19"/>
  <c r="AN90" i="19" s="1"/>
  <c r="AG90" i="19"/>
  <c r="F90" i="19"/>
  <c r="E90" i="19"/>
  <c r="D90" i="19"/>
  <c r="AJ89" i="19"/>
  <c r="AP89" i="19" s="1"/>
  <c r="AI89" i="19"/>
  <c r="AO89" i="19" s="1"/>
  <c r="AH89" i="19"/>
  <c r="AN89" i="19" s="1"/>
  <c r="AG89" i="19"/>
  <c r="AM89" i="19" s="1"/>
  <c r="F89" i="19"/>
  <c r="E89" i="19"/>
  <c r="D89" i="19"/>
  <c r="AJ88" i="19"/>
  <c r="AP88" i="19" s="1"/>
  <c r="AI88" i="19"/>
  <c r="AO88" i="19" s="1"/>
  <c r="AH88" i="19"/>
  <c r="AN88" i="19" s="1"/>
  <c r="AG88" i="19"/>
  <c r="AM88" i="19" s="1"/>
  <c r="F88" i="19"/>
  <c r="E88" i="19"/>
  <c r="D88" i="19"/>
  <c r="AJ87" i="19"/>
  <c r="AP87" i="19" s="1"/>
  <c r="AI87" i="19"/>
  <c r="AO87" i="19" s="1"/>
  <c r="AH87" i="19"/>
  <c r="AN87" i="19" s="1"/>
  <c r="AG87" i="19"/>
  <c r="AM87" i="19" s="1"/>
  <c r="F87" i="19"/>
  <c r="E87" i="19"/>
  <c r="D87" i="19"/>
  <c r="AJ86" i="19"/>
  <c r="AP86" i="19" s="1"/>
  <c r="AI86" i="19"/>
  <c r="AO86" i="19" s="1"/>
  <c r="AH86" i="19"/>
  <c r="AN86" i="19" s="1"/>
  <c r="AG86" i="19"/>
  <c r="AM86" i="19" s="1"/>
  <c r="F86" i="19"/>
  <c r="E86" i="19"/>
  <c r="D86" i="19"/>
  <c r="AP85" i="19"/>
  <c r="AJ85" i="19"/>
  <c r="AI85" i="19"/>
  <c r="AO85" i="19" s="1"/>
  <c r="AH85" i="19"/>
  <c r="AN85" i="19" s="1"/>
  <c r="AG85" i="19"/>
  <c r="AM85" i="19" s="1"/>
  <c r="F85" i="19"/>
  <c r="E85" i="19"/>
  <c r="D85" i="19"/>
  <c r="AJ84" i="19"/>
  <c r="AP84" i="19" s="1"/>
  <c r="AI84" i="19"/>
  <c r="AO84" i="19" s="1"/>
  <c r="AH84" i="19"/>
  <c r="AN84" i="19" s="1"/>
  <c r="AG84" i="19"/>
  <c r="F84" i="19"/>
  <c r="E84" i="19"/>
  <c r="D84" i="19"/>
  <c r="AJ83" i="19"/>
  <c r="AP83" i="19" s="1"/>
  <c r="AI83" i="19"/>
  <c r="AO83" i="19" s="1"/>
  <c r="AH83" i="19"/>
  <c r="AN83" i="19" s="1"/>
  <c r="AG83" i="19"/>
  <c r="AM83" i="19" s="1"/>
  <c r="F83" i="19"/>
  <c r="E83" i="19"/>
  <c r="D83" i="19"/>
  <c r="AJ82" i="19"/>
  <c r="AP82" i="19" s="1"/>
  <c r="AI82" i="19"/>
  <c r="AO82" i="19" s="1"/>
  <c r="AH82" i="19"/>
  <c r="AN82" i="19" s="1"/>
  <c r="AG82" i="19"/>
  <c r="AM82" i="19" s="1"/>
  <c r="F82" i="19"/>
  <c r="E82" i="19"/>
  <c r="D82" i="19"/>
  <c r="AJ81" i="19"/>
  <c r="AP81" i="19" s="1"/>
  <c r="AI81" i="19"/>
  <c r="AO81" i="19" s="1"/>
  <c r="AH81" i="19"/>
  <c r="AN81" i="19" s="1"/>
  <c r="AG81" i="19"/>
  <c r="AM81" i="19" s="1"/>
  <c r="F81" i="19"/>
  <c r="E81" i="19"/>
  <c r="D81" i="19"/>
  <c r="AP80" i="19"/>
  <c r="AJ80" i="19"/>
  <c r="AI80" i="19"/>
  <c r="AO80" i="19" s="1"/>
  <c r="AH80" i="19"/>
  <c r="AN80" i="19" s="1"/>
  <c r="AG80" i="19"/>
  <c r="AM80" i="19" s="1"/>
  <c r="F80" i="19"/>
  <c r="E80" i="19"/>
  <c r="D80" i="19"/>
  <c r="AP79" i="19"/>
  <c r="AJ79" i="19"/>
  <c r="AI79" i="19"/>
  <c r="AO79" i="19" s="1"/>
  <c r="AH79" i="19"/>
  <c r="AN79" i="19" s="1"/>
  <c r="AG79" i="19"/>
  <c r="AM79" i="19" s="1"/>
  <c r="F79" i="19"/>
  <c r="E79" i="19"/>
  <c r="D79" i="19"/>
  <c r="AJ78" i="19"/>
  <c r="AP78" i="19" s="1"/>
  <c r="AI78" i="19"/>
  <c r="AO78" i="19" s="1"/>
  <c r="AH78" i="19"/>
  <c r="AN78" i="19" s="1"/>
  <c r="AG78" i="19"/>
  <c r="AM78" i="19" s="1"/>
  <c r="F78" i="19"/>
  <c r="E78" i="19"/>
  <c r="D78" i="19"/>
  <c r="AJ77" i="19"/>
  <c r="AP77" i="19" s="1"/>
  <c r="AI77" i="19"/>
  <c r="AO77" i="19" s="1"/>
  <c r="AH77" i="19"/>
  <c r="AN77" i="19" s="1"/>
  <c r="AG77" i="19"/>
  <c r="AM77" i="19" s="1"/>
  <c r="F77" i="19"/>
  <c r="E77" i="19"/>
  <c r="D77" i="19"/>
  <c r="AJ76" i="19"/>
  <c r="AP76" i="19" s="1"/>
  <c r="AI76" i="19"/>
  <c r="AO76" i="19" s="1"/>
  <c r="AH76" i="19"/>
  <c r="AN76" i="19" s="1"/>
  <c r="AG76" i="19"/>
  <c r="AM76" i="19" s="1"/>
  <c r="F76" i="19"/>
  <c r="E76" i="19"/>
  <c r="D76" i="19"/>
  <c r="AJ75" i="19"/>
  <c r="AP75" i="19" s="1"/>
  <c r="AI75" i="19"/>
  <c r="AO75" i="19" s="1"/>
  <c r="AH75" i="19"/>
  <c r="AN75" i="19" s="1"/>
  <c r="AG75" i="19"/>
  <c r="AM75" i="19" s="1"/>
  <c r="F75" i="19"/>
  <c r="E75" i="19"/>
  <c r="D75" i="19"/>
  <c r="AJ74" i="19"/>
  <c r="AP74" i="19" s="1"/>
  <c r="AI74" i="19"/>
  <c r="AO74" i="19" s="1"/>
  <c r="AH74" i="19"/>
  <c r="AN74" i="19" s="1"/>
  <c r="AG74" i="19"/>
  <c r="AM74" i="19" s="1"/>
  <c r="F74" i="19"/>
  <c r="E74" i="19"/>
  <c r="D74" i="19"/>
  <c r="AJ73" i="19"/>
  <c r="AP73" i="19" s="1"/>
  <c r="AI73" i="19"/>
  <c r="AO73" i="19" s="1"/>
  <c r="AH73" i="19"/>
  <c r="AN73" i="19" s="1"/>
  <c r="AG73" i="19"/>
  <c r="AM73" i="19" s="1"/>
  <c r="F73" i="19"/>
  <c r="E73" i="19"/>
  <c r="D73" i="19"/>
  <c r="AJ72" i="19"/>
  <c r="AP72" i="19" s="1"/>
  <c r="AI72" i="19"/>
  <c r="AO72" i="19" s="1"/>
  <c r="AH72" i="19"/>
  <c r="AN72" i="19" s="1"/>
  <c r="AG72" i="19"/>
  <c r="AM72" i="19" s="1"/>
  <c r="F72" i="19"/>
  <c r="E72" i="19"/>
  <c r="D72" i="19"/>
  <c r="AJ71" i="19"/>
  <c r="AP71" i="19" s="1"/>
  <c r="AI71" i="19"/>
  <c r="AO71" i="19" s="1"/>
  <c r="AH71" i="19"/>
  <c r="AN71" i="19" s="1"/>
  <c r="AG71" i="19"/>
  <c r="AM71" i="19" s="1"/>
  <c r="F71" i="19"/>
  <c r="E71" i="19"/>
  <c r="D71" i="19"/>
  <c r="AJ70" i="19"/>
  <c r="AP70" i="19" s="1"/>
  <c r="AI70" i="19"/>
  <c r="AO70" i="19" s="1"/>
  <c r="AH70" i="19"/>
  <c r="AN70" i="19" s="1"/>
  <c r="AG70" i="19"/>
  <c r="AM70" i="19" s="1"/>
  <c r="F70" i="19"/>
  <c r="E70" i="19"/>
  <c r="D70" i="19"/>
  <c r="AJ69" i="19"/>
  <c r="AP69" i="19" s="1"/>
  <c r="AI69" i="19"/>
  <c r="AO69" i="19" s="1"/>
  <c r="AH69" i="19"/>
  <c r="AN69" i="19" s="1"/>
  <c r="AG69" i="19"/>
  <c r="AM69" i="19" s="1"/>
  <c r="F69" i="19"/>
  <c r="E69" i="19"/>
  <c r="D69" i="19"/>
  <c r="AJ68" i="19"/>
  <c r="AP68" i="19" s="1"/>
  <c r="AI68" i="19"/>
  <c r="AO68" i="19" s="1"/>
  <c r="AH68" i="19"/>
  <c r="AN68" i="19" s="1"/>
  <c r="AG68" i="19"/>
  <c r="AM68" i="19" s="1"/>
  <c r="F68" i="19"/>
  <c r="E68" i="19"/>
  <c r="D68" i="19"/>
  <c r="AJ67" i="19"/>
  <c r="AP67" i="19" s="1"/>
  <c r="AI67" i="19"/>
  <c r="AO67" i="19" s="1"/>
  <c r="AH67" i="19"/>
  <c r="AN67" i="19" s="1"/>
  <c r="AG67" i="19"/>
  <c r="AM67" i="19" s="1"/>
  <c r="F67" i="19"/>
  <c r="E67" i="19"/>
  <c r="D67" i="19"/>
  <c r="AJ66" i="19"/>
  <c r="AP66" i="19" s="1"/>
  <c r="AI66" i="19"/>
  <c r="AO66" i="19" s="1"/>
  <c r="AH66" i="19"/>
  <c r="AN66" i="19" s="1"/>
  <c r="AG66" i="19"/>
  <c r="AM66" i="19" s="1"/>
  <c r="F66" i="19"/>
  <c r="E66" i="19"/>
  <c r="D66" i="19"/>
  <c r="AP65" i="19"/>
  <c r="AJ65" i="19"/>
  <c r="AI65" i="19"/>
  <c r="AO65" i="19" s="1"/>
  <c r="AH65" i="19"/>
  <c r="AN65" i="19" s="1"/>
  <c r="AG65" i="19"/>
  <c r="AM65" i="19" s="1"/>
  <c r="F65" i="19"/>
  <c r="E65" i="19"/>
  <c r="D65" i="19"/>
  <c r="AJ64" i="19"/>
  <c r="AP64" i="19" s="1"/>
  <c r="AI64" i="19"/>
  <c r="AO64" i="19" s="1"/>
  <c r="AH64" i="19"/>
  <c r="AN64" i="19" s="1"/>
  <c r="AG64" i="19"/>
  <c r="F64" i="19"/>
  <c r="E64" i="19"/>
  <c r="D64" i="19"/>
  <c r="AJ63" i="19"/>
  <c r="AP63" i="19" s="1"/>
  <c r="AI63" i="19"/>
  <c r="AO63" i="19" s="1"/>
  <c r="AH63" i="19"/>
  <c r="AN63" i="19" s="1"/>
  <c r="AG63" i="19"/>
  <c r="AM63" i="19" s="1"/>
  <c r="F63" i="19"/>
  <c r="E63" i="19"/>
  <c r="D63" i="19"/>
  <c r="AJ62" i="19"/>
  <c r="AP62" i="19" s="1"/>
  <c r="AI62" i="19"/>
  <c r="AO62" i="19" s="1"/>
  <c r="AH62" i="19"/>
  <c r="AN62" i="19" s="1"/>
  <c r="AG62" i="19"/>
  <c r="AM62" i="19" s="1"/>
  <c r="F62" i="19"/>
  <c r="E62" i="19"/>
  <c r="D62" i="19"/>
  <c r="AJ61" i="19"/>
  <c r="AP61" i="19" s="1"/>
  <c r="AI61" i="19"/>
  <c r="AO61" i="19" s="1"/>
  <c r="AH61" i="19"/>
  <c r="AN61" i="19" s="1"/>
  <c r="AG61" i="19"/>
  <c r="AM61" i="19" s="1"/>
  <c r="F61" i="19"/>
  <c r="E61" i="19"/>
  <c r="D61" i="19"/>
  <c r="AJ60" i="19"/>
  <c r="AP60" i="19" s="1"/>
  <c r="AI60" i="19"/>
  <c r="AO60" i="19" s="1"/>
  <c r="AH60" i="19"/>
  <c r="AN60" i="19" s="1"/>
  <c r="AG60" i="19"/>
  <c r="AM60" i="19" s="1"/>
  <c r="F60" i="19"/>
  <c r="E60" i="19"/>
  <c r="D60" i="19"/>
  <c r="AJ59" i="19"/>
  <c r="AP59" i="19" s="1"/>
  <c r="AI59" i="19"/>
  <c r="AO59" i="19" s="1"/>
  <c r="AH59" i="19"/>
  <c r="AN59" i="19" s="1"/>
  <c r="AG59" i="19"/>
  <c r="F59" i="19"/>
  <c r="E59" i="19"/>
  <c r="D59" i="19"/>
  <c r="AJ58" i="19"/>
  <c r="AP58" i="19" s="1"/>
  <c r="AI58" i="19"/>
  <c r="AO58" i="19" s="1"/>
  <c r="AH58" i="19"/>
  <c r="AN58" i="19" s="1"/>
  <c r="AG58" i="19"/>
  <c r="F58" i="19"/>
  <c r="E58" i="19"/>
  <c r="D58" i="19"/>
  <c r="AJ57" i="19"/>
  <c r="AP57" i="19" s="1"/>
  <c r="AI57" i="19"/>
  <c r="AO57" i="19" s="1"/>
  <c r="AH57" i="19"/>
  <c r="AN57" i="19" s="1"/>
  <c r="AG57" i="19"/>
  <c r="AM57" i="19" s="1"/>
  <c r="F57" i="19"/>
  <c r="E57" i="19"/>
  <c r="D57" i="19"/>
  <c r="AJ56" i="19"/>
  <c r="AP56" i="19" s="1"/>
  <c r="AI56" i="19"/>
  <c r="AO56" i="19" s="1"/>
  <c r="AH56" i="19"/>
  <c r="AN56" i="19" s="1"/>
  <c r="AG56" i="19"/>
  <c r="F56" i="19"/>
  <c r="E56" i="19"/>
  <c r="D56" i="19"/>
  <c r="AJ55" i="19"/>
  <c r="AP55" i="19" s="1"/>
  <c r="AI55" i="19"/>
  <c r="AO55" i="19" s="1"/>
  <c r="AH55" i="19"/>
  <c r="AN55" i="19" s="1"/>
  <c r="AG55" i="19"/>
  <c r="F55" i="19"/>
  <c r="E55" i="19"/>
  <c r="D55" i="19"/>
  <c r="AJ54" i="19"/>
  <c r="AP54" i="19" s="1"/>
  <c r="AI54" i="19"/>
  <c r="AO54" i="19" s="1"/>
  <c r="AH54" i="19"/>
  <c r="AN54" i="19" s="1"/>
  <c r="AG54" i="19"/>
  <c r="F54" i="19"/>
  <c r="E54" i="19"/>
  <c r="D54" i="19"/>
  <c r="AJ53" i="19"/>
  <c r="AP53" i="19" s="1"/>
  <c r="AI53" i="19"/>
  <c r="AO53" i="19" s="1"/>
  <c r="AH53" i="19"/>
  <c r="AN53" i="19" s="1"/>
  <c r="AG53" i="19"/>
  <c r="AM53" i="19" s="1"/>
  <c r="F53" i="19"/>
  <c r="E53" i="19"/>
  <c r="D53" i="19"/>
  <c r="AJ52" i="19"/>
  <c r="AP52" i="19" s="1"/>
  <c r="AI52" i="19"/>
  <c r="AO52" i="19" s="1"/>
  <c r="AH52" i="19"/>
  <c r="AN52" i="19" s="1"/>
  <c r="AG52" i="19"/>
  <c r="AM52" i="19" s="1"/>
  <c r="F52" i="19"/>
  <c r="E52" i="19"/>
  <c r="D52" i="19"/>
  <c r="AJ51" i="19"/>
  <c r="AP51" i="19" s="1"/>
  <c r="AI51" i="19"/>
  <c r="AO51" i="19" s="1"/>
  <c r="AH51" i="19"/>
  <c r="AN51" i="19" s="1"/>
  <c r="AG51" i="19"/>
  <c r="F51" i="19"/>
  <c r="E51" i="19"/>
  <c r="D51" i="19"/>
  <c r="AJ50" i="19"/>
  <c r="AP50" i="19" s="1"/>
  <c r="AI50" i="19"/>
  <c r="AO50" i="19" s="1"/>
  <c r="AH50" i="19"/>
  <c r="AN50" i="19" s="1"/>
  <c r="AG50" i="19"/>
  <c r="F50" i="19"/>
  <c r="E50" i="19"/>
  <c r="D50" i="19"/>
  <c r="AJ49" i="19"/>
  <c r="AP49" i="19" s="1"/>
  <c r="AI49" i="19"/>
  <c r="AO49" i="19" s="1"/>
  <c r="AH49" i="19"/>
  <c r="AN49" i="19" s="1"/>
  <c r="AG49" i="19"/>
  <c r="F49" i="19"/>
  <c r="E49" i="19"/>
  <c r="D49" i="19"/>
  <c r="AJ48" i="19"/>
  <c r="AP48" i="19" s="1"/>
  <c r="AI48" i="19"/>
  <c r="AO48" i="19" s="1"/>
  <c r="AH48" i="19"/>
  <c r="AN48" i="19" s="1"/>
  <c r="AG48" i="19"/>
  <c r="AM48" i="19" s="1"/>
  <c r="F48" i="19"/>
  <c r="E48" i="19"/>
  <c r="D48" i="19"/>
  <c r="AJ47" i="19"/>
  <c r="AP47" i="19" s="1"/>
  <c r="AI47" i="19"/>
  <c r="AO47" i="19" s="1"/>
  <c r="AH47" i="19"/>
  <c r="AN47" i="19" s="1"/>
  <c r="AG47" i="19"/>
  <c r="AM47" i="19" s="1"/>
  <c r="F47" i="19"/>
  <c r="E47" i="19"/>
  <c r="D47" i="19"/>
  <c r="AJ46" i="19"/>
  <c r="AP46" i="19" s="1"/>
  <c r="AI46" i="19"/>
  <c r="AO46" i="19" s="1"/>
  <c r="AH46" i="19"/>
  <c r="AN46" i="19" s="1"/>
  <c r="AG46" i="19"/>
  <c r="AM46" i="19" s="1"/>
  <c r="F46" i="19"/>
  <c r="E46" i="19"/>
  <c r="D46" i="19"/>
  <c r="AJ45" i="19"/>
  <c r="AP45" i="19" s="1"/>
  <c r="AI45" i="19"/>
  <c r="AO45" i="19" s="1"/>
  <c r="AH45" i="19"/>
  <c r="AN45" i="19" s="1"/>
  <c r="AG45" i="19"/>
  <c r="F45" i="19"/>
  <c r="E45" i="19"/>
  <c r="D45" i="19"/>
  <c r="AJ44" i="19"/>
  <c r="AP44" i="19" s="1"/>
  <c r="AI44" i="19"/>
  <c r="AO44" i="19" s="1"/>
  <c r="AH44" i="19"/>
  <c r="AN44" i="19" s="1"/>
  <c r="AG44" i="19"/>
  <c r="F44" i="19"/>
  <c r="E44" i="19"/>
  <c r="D44" i="19"/>
  <c r="AJ43" i="19"/>
  <c r="AP43" i="19" s="1"/>
  <c r="AI43" i="19"/>
  <c r="AO43" i="19" s="1"/>
  <c r="AH43" i="19"/>
  <c r="AN43" i="19" s="1"/>
  <c r="AG43" i="19"/>
  <c r="AM43" i="19" s="1"/>
  <c r="F43" i="19"/>
  <c r="E43" i="19"/>
  <c r="D43" i="19"/>
  <c r="AJ42" i="19"/>
  <c r="AP42" i="19" s="1"/>
  <c r="AI42" i="19"/>
  <c r="AO42" i="19" s="1"/>
  <c r="AH42" i="19"/>
  <c r="AN42" i="19" s="1"/>
  <c r="AG42" i="19"/>
  <c r="AM42" i="19" s="1"/>
  <c r="F42" i="19"/>
  <c r="E42" i="19"/>
  <c r="D42" i="19"/>
  <c r="AJ41" i="19"/>
  <c r="AP41" i="19" s="1"/>
  <c r="AI41" i="19"/>
  <c r="AO41" i="19" s="1"/>
  <c r="AH41" i="19"/>
  <c r="AN41" i="19" s="1"/>
  <c r="AG41" i="19"/>
  <c r="F41" i="19"/>
  <c r="E41" i="19"/>
  <c r="D41" i="19"/>
  <c r="AJ40" i="19"/>
  <c r="AP40" i="19" s="1"/>
  <c r="AI40" i="19"/>
  <c r="AO40" i="19" s="1"/>
  <c r="AH40" i="19"/>
  <c r="AN40" i="19" s="1"/>
  <c r="AG40" i="19"/>
  <c r="F40" i="19"/>
  <c r="E40" i="19"/>
  <c r="D40" i="19"/>
  <c r="AJ39" i="19"/>
  <c r="AP39" i="19" s="1"/>
  <c r="AI39" i="19"/>
  <c r="AO39" i="19" s="1"/>
  <c r="AH39" i="19"/>
  <c r="AN39" i="19" s="1"/>
  <c r="AG39" i="19"/>
  <c r="F39" i="19"/>
  <c r="E39" i="19"/>
  <c r="D39" i="19"/>
  <c r="AJ38" i="19"/>
  <c r="AP38" i="19" s="1"/>
  <c r="AI38" i="19"/>
  <c r="AO38" i="19" s="1"/>
  <c r="AH38" i="19"/>
  <c r="AN38" i="19" s="1"/>
  <c r="AG38" i="19"/>
  <c r="AM38" i="19" s="1"/>
  <c r="F38" i="19"/>
  <c r="E38" i="19"/>
  <c r="D38" i="19"/>
  <c r="AJ37" i="19"/>
  <c r="AP37" i="19" s="1"/>
  <c r="AI37" i="19"/>
  <c r="AO37" i="19" s="1"/>
  <c r="AH37" i="19"/>
  <c r="AN37" i="19" s="1"/>
  <c r="AG37" i="19"/>
  <c r="F37" i="19"/>
  <c r="E37" i="19"/>
  <c r="D37" i="19"/>
  <c r="AJ36" i="19"/>
  <c r="AP36" i="19" s="1"/>
  <c r="AI36" i="19"/>
  <c r="AO36" i="19" s="1"/>
  <c r="AH36" i="19"/>
  <c r="AN36" i="19" s="1"/>
  <c r="AG36" i="19"/>
  <c r="AM36" i="19" s="1"/>
  <c r="F36" i="19"/>
  <c r="E36" i="19"/>
  <c r="D36" i="19"/>
  <c r="AJ35" i="19"/>
  <c r="AP35" i="19" s="1"/>
  <c r="AI35" i="19"/>
  <c r="AO35" i="19" s="1"/>
  <c r="AH35" i="19"/>
  <c r="AN35" i="19" s="1"/>
  <c r="AG35" i="19"/>
  <c r="F35" i="19"/>
  <c r="E35" i="19"/>
  <c r="D35" i="19"/>
  <c r="AJ34" i="19"/>
  <c r="AP34" i="19" s="1"/>
  <c r="AI34" i="19"/>
  <c r="AO34" i="19" s="1"/>
  <c r="AH34" i="19"/>
  <c r="AN34" i="19" s="1"/>
  <c r="AG34" i="19"/>
  <c r="F34" i="19"/>
  <c r="E34" i="19"/>
  <c r="D34" i="19"/>
  <c r="AJ33" i="19"/>
  <c r="AP33" i="19" s="1"/>
  <c r="AI33" i="19"/>
  <c r="AO33" i="19" s="1"/>
  <c r="AH33" i="19"/>
  <c r="AN33" i="19" s="1"/>
  <c r="AG33" i="19"/>
  <c r="F33" i="19"/>
  <c r="E33" i="19"/>
  <c r="D33" i="19"/>
  <c r="AJ32" i="19"/>
  <c r="AP32" i="19" s="1"/>
  <c r="AI32" i="19"/>
  <c r="AO32" i="19" s="1"/>
  <c r="AH32" i="19"/>
  <c r="AN32" i="19" s="1"/>
  <c r="AG32" i="19"/>
  <c r="AM32" i="19" s="1"/>
  <c r="F32" i="19"/>
  <c r="E32" i="19"/>
  <c r="D32" i="19"/>
  <c r="AJ31" i="19"/>
  <c r="AP31" i="19" s="1"/>
  <c r="AI31" i="19"/>
  <c r="AO31" i="19" s="1"/>
  <c r="AH31" i="19"/>
  <c r="AN31" i="19" s="1"/>
  <c r="AG31" i="19"/>
  <c r="AM31" i="19" s="1"/>
  <c r="F31" i="19"/>
  <c r="E31" i="19"/>
  <c r="D31" i="19"/>
  <c r="AJ30" i="19"/>
  <c r="AP30" i="19" s="1"/>
  <c r="AI30" i="19"/>
  <c r="AO30" i="19" s="1"/>
  <c r="AH30" i="19"/>
  <c r="AN30" i="19" s="1"/>
  <c r="AG30" i="19"/>
  <c r="F30" i="19"/>
  <c r="E30" i="19"/>
  <c r="D30" i="19"/>
  <c r="AJ29" i="19"/>
  <c r="AP29" i="19" s="1"/>
  <c r="AI29" i="19"/>
  <c r="AO29" i="19" s="1"/>
  <c r="AH29" i="19"/>
  <c r="AN29" i="19" s="1"/>
  <c r="AG29" i="19"/>
  <c r="F29" i="19"/>
  <c r="E29" i="19"/>
  <c r="D29" i="19"/>
  <c r="AP28" i="19"/>
  <c r="AJ28" i="19"/>
  <c r="AI28" i="19"/>
  <c r="AO28" i="19" s="1"/>
  <c r="AH28" i="19"/>
  <c r="AN28" i="19" s="1"/>
  <c r="AG28" i="19"/>
  <c r="F28" i="19"/>
  <c r="E28" i="19"/>
  <c r="D28" i="19"/>
  <c r="AJ27" i="19"/>
  <c r="AP27" i="19" s="1"/>
  <c r="AI27" i="19"/>
  <c r="AO27" i="19" s="1"/>
  <c r="AH27" i="19"/>
  <c r="AN27" i="19" s="1"/>
  <c r="AG27" i="19"/>
  <c r="F27" i="19"/>
  <c r="E27" i="19"/>
  <c r="D27" i="19"/>
  <c r="AJ26" i="19"/>
  <c r="AP26" i="19" s="1"/>
  <c r="AI26" i="19"/>
  <c r="AO26" i="19" s="1"/>
  <c r="AH26" i="19"/>
  <c r="AN26" i="19" s="1"/>
  <c r="AG26" i="19"/>
  <c r="AM26" i="19" s="1"/>
  <c r="F26" i="19"/>
  <c r="E26" i="19"/>
  <c r="D26" i="19"/>
  <c r="AJ25" i="19"/>
  <c r="AP25" i="19" s="1"/>
  <c r="AI25" i="19"/>
  <c r="AO25" i="19" s="1"/>
  <c r="AH25" i="19"/>
  <c r="AN25" i="19" s="1"/>
  <c r="AG25" i="19"/>
  <c r="AM25" i="19" s="1"/>
  <c r="AJ24" i="19"/>
  <c r="AP24" i="19" s="1"/>
  <c r="AI24" i="19"/>
  <c r="AO24" i="19" s="1"/>
  <c r="AH24" i="19"/>
  <c r="AN24" i="19" s="1"/>
  <c r="AG24" i="19"/>
  <c r="AM24" i="19" s="1"/>
  <c r="F24" i="19"/>
  <c r="E24" i="19"/>
  <c r="D24" i="19"/>
  <c r="AJ23" i="19"/>
  <c r="AP23" i="19" s="1"/>
  <c r="AI23" i="19"/>
  <c r="AO23" i="19" s="1"/>
  <c r="AH23" i="19"/>
  <c r="AN23" i="19" s="1"/>
  <c r="AG23" i="19"/>
  <c r="AM23" i="19" s="1"/>
  <c r="F23" i="19"/>
  <c r="E23" i="19"/>
  <c r="D23" i="19"/>
  <c r="AJ22" i="19"/>
  <c r="AP22" i="19" s="1"/>
  <c r="AI22" i="19"/>
  <c r="AO22" i="19" s="1"/>
  <c r="AH22" i="19"/>
  <c r="AN22" i="19" s="1"/>
  <c r="AG22" i="19"/>
  <c r="AM22" i="19" s="1"/>
  <c r="F22" i="19"/>
  <c r="E22" i="19"/>
  <c r="D22" i="19"/>
  <c r="AP21" i="19"/>
  <c r="AJ21" i="19"/>
  <c r="AI21" i="19"/>
  <c r="AO21" i="19" s="1"/>
  <c r="AH21" i="19"/>
  <c r="AN21" i="19" s="1"/>
  <c r="AG21" i="19"/>
  <c r="F21" i="19"/>
  <c r="E21" i="19"/>
  <c r="D21" i="19"/>
  <c r="AJ20" i="19"/>
  <c r="AP20" i="19" s="1"/>
  <c r="AI20" i="19"/>
  <c r="AO20" i="19" s="1"/>
  <c r="AH20" i="19"/>
  <c r="AN20" i="19" s="1"/>
  <c r="AG20" i="19"/>
  <c r="F20" i="19"/>
  <c r="E20" i="19"/>
  <c r="D20" i="19"/>
  <c r="AJ19" i="19"/>
  <c r="AP19" i="19" s="1"/>
  <c r="AI19" i="19"/>
  <c r="AO19" i="19" s="1"/>
  <c r="AH19" i="19"/>
  <c r="AN19" i="19" s="1"/>
  <c r="AG19" i="19"/>
  <c r="AM19" i="19" s="1"/>
  <c r="F19" i="19"/>
  <c r="E19" i="19"/>
  <c r="D19" i="19"/>
  <c r="AJ18" i="19"/>
  <c r="AP18" i="19" s="1"/>
  <c r="AI18" i="19"/>
  <c r="AO18" i="19" s="1"/>
  <c r="AH18" i="19"/>
  <c r="AN18" i="19" s="1"/>
  <c r="AG18" i="19"/>
  <c r="F18" i="19"/>
  <c r="E18" i="19"/>
  <c r="D18" i="19"/>
  <c r="AJ17" i="19"/>
  <c r="AP17" i="19" s="1"/>
  <c r="AI17" i="19"/>
  <c r="AO17" i="19" s="1"/>
  <c r="AH17" i="19"/>
  <c r="AN17" i="19" s="1"/>
  <c r="AG17" i="19"/>
  <c r="F17" i="19"/>
  <c r="E17" i="19"/>
  <c r="D17" i="19"/>
  <c r="AJ16" i="19"/>
  <c r="AP16" i="19" s="1"/>
  <c r="AI16" i="19"/>
  <c r="AO16" i="19" s="1"/>
  <c r="AH16" i="19"/>
  <c r="AN16" i="19" s="1"/>
  <c r="AG16" i="19"/>
  <c r="F16" i="19"/>
  <c r="E16" i="19"/>
  <c r="D16" i="19"/>
  <c r="AJ15" i="19"/>
  <c r="AP15" i="19" s="1"/>
  <c r="AI15" i="19"/>
  <c r="AO15" i="19" s="1"/>
  <c r="AH15" i="19"/>
  <c r="AN15" i="19" s="1"/>
  <c r="AG15" i="19"/>
  <c r="F15" i="19"/>
  <c r="E15" i="19"/>
  <c r="D15" i="19"/>
  <c r="AJ14" i="19"/>
  <c r="AP14" i="19" s="1"/>
  <c r="AI14" i="19"/>
  <c r="AO14" i="19" s="1"/>
  <c r="AH14" i="19"/>
  <c r="AN14" i="19" s="1"/>
  <c r="AG14" i="19"/>
  <c r="F14" i="19"/>
  <c r="E14" i="19"/>
  <c r="D14" i="19"/>
  <c r="AJ13" i="19"/>
  <c r="AP13" i="19" s="1"/>
  <c r="AI13" i="19"/>
  <c r="AO13" i="19" s="1"/>
  <c r="AH13" i="19"/>
  <c r="AN13" i="19" s="1"/>
  <c r="AG13" i="19"/>
  <c r="F13" i="19"/>
  <c r="E13" i="19"/>
  <c r="D13" i="19"/>
  <c r="AJ12" i="19"/>
  <c r="AP12" i="19" s="1"/>
  <c r="AI12" i="19"/>
  <c r="AO12" i="19" s="1"/>
  <c r="AH12" i="19"/>
  <c r="AN12" i="19" s="1"/>
  <c r="AG12" i="19"/>
  <c r="F12" i="19"/>
  <c r="E12" i="19"/>
  <c r="D12" i="19"/>
  <c r="AJ11" i="19"/>
  <c r="AP11" i="19" s="1"/>
  <c r="AI11" i="19"/>
  <c r="AO11" i="19" s="1"/>
  <c r="AH11" i="19"/>
  <c r="AN11" i="19" s="1"/>
  <c r="AG11" i="19"/>
  <c r="F11" i="19"/>
  <c r="E11" i="19"/>
  <c r="D11" i="19"/>
  <c r="AJ10" i="19"/>
  <c r="AP10" i="19" s="1"/>
  <c r="AI10" i="19"/>
  <c r="AO10" i="19" s="1"/>
  <c r="AH10" i="19"/>
  <c r="AN10" i="19" s="1"/>
  <c r="AG10" i="19"/>
  <c r="F10" i="19"/>
  <c r="E10" i="19"/>
  <c r="D10" i="19"/>
  <c r="AJ9" i="19"/>
  <c r="AP9" i="19" s="1"/>
  <c r="AI9" i="19"/>
  <c r="AO9" i="19" s="1"/>
  <c r="AH9" i="19"/>
  <c r="AN9" i="19" s="1"/>
  <c r="AG9" i="19"/>
  <c r="F9" i="19"/>
  <c r="E9" i="19"/>
  <c r="D9" i="19"/>
  <c r="AJ8" i="19"/>
  <c r="AP8" i="19" s="1"/>
  <c r="AI8" i="19"/>
  <c r="AO8" i="19" s="1"/>
  <c r="AH8" i="19"/>
  <c r="AN8" i="19" s="1"/>
  <c r="AG8" i="19"/>
  <c r="F8" i="19"/>
  <c r="E8" i="19"/>
  <c r="D8" i="19"/>
  <c r="AS7" i="19"/>
  <c r="AJ7" i="19"/>
  <c r="AP7" i="19" s="1"/>
  <c r="AI7" i="19"/>
  <c r="AO7" i="19" s="1"/>
  <c r="AH7" i="19"/>
  <c r="AN7" i="19" s="1"/>
  <c r="AG7" i="19"/>
  <c r="AM7" i="19" s="1"/>
  <c r="F7" i="19"/>
  <c r="E7" i="19"/>
  <c r="D7" i="19"/>
  <c r="AJ6" i="19"/>
  <c r="AP6" i="19" s="1"/>
  <c r="AI6" i="19"/>
  <c r="AO6" i="19" s="1"/>
  <c r="AH6" i="19"/>
  <c r="AN6" i="19" s="1"/>
  <c r="AG6" i="19"/>
  <c r="AM6" i="19" s="1"/>
  <c r="F6" i="19"/>
  <c r="E6" i="19"/>
  <c r="D6" i="19"/>
  <c r="AJ5" i="19"/>
  <c r="AP5" i="19" s="1"/>
  <c r="AI5" i="19"/>
  <c r="AO5" i="19" s="1"/>
  <c r="AH5" i="19"/>
  <c r="AN5" i="19" s="1"/>
  <c r="AG5" i="19"/>
  <c r="AM5" i="19" s="1"/>
  <c r="F5" i="19"/>
  <c r="E5" i="19"/>
  <c r="D5" i="19"/>
  <c r="AJ4" i="19"/>
  <c r="AP4" i="19" s="1"/>
  <c r="AI4" i="19"/>
  <c r="AO4" i="19" s="1"/>
  <c r="AH4" i="19"/>
  <c r="AN4" i="19" s="1"/>
  <c r="AG4" i="19"/>
  <c r="AM4" i="19" s="1"/>
  <c r="F4" i="19"/>
  <c r="E4" i="19"/>
  <c r="D4" i="19"/>
  <c r="AJ3" i="19"/>
  <c r="AJ185" i="19" s="1"/>
  <c r="AP185" i="19" s="1"/>
  <c r="AI3" i="19"/>
  <c r="AO3" i="19" s="1"/>
  <c r="AH3" i="19"/>
  <c r="AG3" i="19"/>
  <c r="F3" i="19"/>
  <c r="E3" i="19"/>
  <c r="D3" i="19"/>
  <c r="AT1" i="19"/>
  <c r="AS1" i="19"/>
  <c r="AR1" i="19"/>
  <c r="AQ1" i="19"/>
  <c r="AK176" i="19" l="1"/>
  <c r="AK178" i="19"/>
  <c r="AH190" i="19"/>
  <c r="AG190" i="19"/>
  <c r="AK136" i="19"/>
  <c r="AQ136" i="19" s="1"/>
  <c r="AK59" i="19"/>
  <c r="AQ59" i="19" s="1"/>
  <c r="AK146" i="19"/>
  <c r="AQ146" i="19" s="1"/>
  <c r="AK171" i="19"/>
  <c r="AK173" i="19"/>
  <c r="AK9" i="19"/>
  <c r="AQ9" i="19" s="1"/>
  <c r="AK121" i="19"/>
  <c r="AU121" i="19" s="1"/>
  <c r="AK163" i="19"/>
  <c r="AQ163" i="19" s="1"/>
  <c r="AK49" i="19"/>
  <c r="AU49" i="19" s="1"/>
  <c r="AK84" i="19"/>
  <c r="AQ84" i="19" s="1"/>
  <c r="AK98" i="19"/>
  <c r="AT98" i="19" s="1"/>
  <c r="AK114" i="19"/>
  <c r="AQ114" i="19" s="1"/>
  <c r="AK138" i="19"/>
  <c r="AQ138" i="19" s="1"/>
  <c r="AK10" i="19"/>
  <c r="AQ10" i="19" s="1"/>
  <c r="AK14" i="19"/>
  <c r="AQ14" i="19" s="1"/>
  <c r="AK18" i="19"/>
  <c r="AQ18" i="19" s="1"/>
  <c r="AK37" i="19"/>
  <c r="AT37" i="19" s="1"/>
  <c r="AK45" i="19"/>
  <c r="AU45" i="19" s="1"/>
  <c r="AK64" i="19"/>
  <c r="AQ64" i="19" s="1"/>
  <c r="AK116" i="19"/>
  <c r="AQ116" i="19" s="1"/>
  <c r="AK155" i="19"/>
  <c r="AQ155" i="19" s="1"/>
  <c r="AK28" i="19"/>
  <c r="AU28" i="19" s="1"/>
  <c r="AK29" i="19"/>
  <c r="AQ29" i="19" s="1"/>
  <c r="AK13" i="19"/>
  <c r="AT13" i="19" s="1"/>
  <c r="AK17" i="19"/>
  <c r="AT17" i="19" s="1"/>
  <c r="AK30" i="19"/>
  <c r="AT30" i="19" s="1"/>
  <c r="AK33" i="19"/>
  <c r="AQ33" i="19" s="1"/>
  <c r="AK34" i="19"/>
  <c r="AT34" i="19" s="1"/>
  <c r="AK35" i="19"/>
  <c r="AU35" i="19" s="1"/>
  <c r="AK8" i="19"/>
  <c r="AU8" i="19" s="1"/>
  <c r="AK12" i="19"/>
  <c r="AU12" i="19" s="1"/>
  <c r="AK16" i="19"/>
  <c r="AU16" i="19" s="1"/>
  <c r="AK21" i="19"/>
  <c r="AQ21" i="19" s="1"/>
  <c r="AK39" i="19"/>
  <c r="AU39" i="19" s="1"/>
  <c r="AK40" i="19"/>
  <c r="AT40" i="19" s="1"/>
  <c r="AK41" i="19"/>
  <c r="AU41" i="19" s="1"/>
  <c r="AK44" i="19"/>
  <c r="AQ44" i="19" s="1"/>
  <c r="AK51" i="19"/>
  <c r="AU51" i="19" s="1"/>
  <c r="AK55" i="19"/>
  <c r="AT55" i="19" s="1"/>
  <c r="AK56" i="19"/>
  <c r="AQ56" i="19" s="1"/>
  <c r="AK11" i="19"/>
  <c r="AU11" i="19" s="1"/>
  <c r="AK15" i="19"/>
  <c r="AU15" i="19" s="1"/>
  <c r="AK20" i="19"/>
  <c r="AQ20" i="19" s="1"/>
  <c r="AK27" i="19"/>
  <c r="AQ27" i="19" s="1"/>
  <c r="AK50" i="19"/>
  <c r="AU50" i="19" s="1"/>
  <c r="AK54" i="19"/>
  <c r="AQ54" i="19" s="1"/>
  <c r="AK58" i="19"/>
  <c r="AU58" i="19" s="1"/>
  <c r="AK90" i="19"/>
  <c r="AQ90" i="19" s="1"/>
  <c r="AK119" i="19"/>
  <c r="AQ119" i="19" s="1"/>
  <c r="AK134" i="19"/>
  <c r="AQ134" i="19" s="1"/>
  <c r="AK142" i="19"/>
  <c r="AQ142" i="19" s="1"/>
  <c r="AK151" i="19"/>
  <c r="AQ151" i="19" s="1"/>
  <c r="AK159" i="19"/>
  <c r="AQ159" i="19" s="1"/>
  <c r="AK167" i="19"/>
  <c r="AQ167" i="19" s="1"/>
  <c r="AK183" i="19"/>
  <c r="AM58" i="19"/>
  <c r="AM29" i="19"/>
  <c r="AM138" i="19"/>
  <c r="AM142" i="19"/>
  <c r="AM173" i="19"/>
  <c r="AM44" i="19"/>
  <c r="AM45" i="19"/>
  <c r="AM54" i="19"/>
  <c r="AM55" i="19"/>
  <c r="AM136" i="19"/>
  <c r="AM171" i="19"/>
  <c r="AM176" i="19"/>
  <c r="AM27" i="19"/>
  <c r="AM119" i="19"/>
  <c r="AM134" i="19"/>
  <c r="AM49" i="19"/>
  <c r="AM50" i="19"/>
  <c r="AM59" i="19"/>
  <c r="AM64" i="19"/>
  <c r="AM84" i="19"/>
  <c r="AM90" i="19"/>
  <c r="AM98" i="19"/>
  <c r="AM116" i="19"/>
  <c r="AM51" i="19"/>
  <c r="AM8" i="19"/>
  <c r="AM9" i="19"/>
  <c r="AM10" i="19"/>
  <c r="AM11" i="19"/>
  <c r="AM12" i="19"/>
  <c r="AM13" i="19"/>
  <c r="AM14" i="19"/>
  <c r="AM15" i="19"/>
  <c r="AM16" i="19"/>
  <c r="AM17" i="19"/>
  <c r="AM18" i="19"/>
  <c r="AM20" i="19"/>
  <c r="AM56" i="19"/>
  <c r="AM114" i="19"/>
  <c r="AM121" i="19"/>
  <c r="AM146" i="19"/>
  <c r="AM151" i="19"/>
  <c r="AM155" i="19"/>
  <c r="AM159" i="19"/>
  <c r="AM163" i="19"/>
  <c r="AM167" i="19"/>
  <c r="AM178" i="19"/>
  <c r="AO185" i="19"/>
  <c r="AK31" i="19"/>
  <c r="AK32" i="19"/>
  <c r="AK36" i="19"/>
  <c r="AK38" i="19"/>
  <c r="AK42" i="19"/>
  <c r="AK43" i="19"/>
  <c r="AK48" i="19"/>
  <c r="AK61" i="19"/>
  <c r="AQ61" i="19" s="1"/>
  <c r="AK79" i="19"/>
  <c r="AQ195" i="19"/>
  <c r="AH200" i="19"/>
  <c r="AQ193" i="19"/>
  <c r="AG185" i="19"/>
  <c r="AP3" i="19"/>
  <c r="AK4" i="19"/>
  <c r="AK19" i="19"/>
  <c r="AM21" i="19"/>
  <c r="AK22" i="19"/>
  <c r="AK23" i="19"/>
  <c r="AK24" i="19"/>
  <c r="AK25" i="19"/>
  <c r="AQ25" i="19" s="1"/>
  <c r="AM28" i="19"/>
  <c r="AM30" i="19"/>
  <c r="AM33" i="19"/>
  <c r="AM34" i="19"/>
  <c r="AM35" i="19"/>
  <c r="AM37" i="19"/>
  <c r="AM39" i="19"/>
  <c r="AM40" i="19"/>
  <c r="AM41" i="19"/>
  <c r="AK47" i="19"/>
  <c r="AK85" i="19"/>
  <c r="AQ85" i="19" s="1"/>
  <c r="AK91" i="19"/>
  <c r="AQ91" i="19" s="1"/>
  <c r="AK106" i="19"/>
  <c r="AK108" i="19"/>
  <c r="AK110" i="19"/>
  <c r="AK120" i="19"/>
  <c r="AQ120" i="19" s="1"/>
  <c r="AK69" i="19"/>
  <c r="AK3" i="19"/>
  <c r="AH185" i="19"/>
  <c r="AM3" i="19"/>
  <c r="AK5" i="19"/>
  <c r="AK6" i="19"/>
  <c r="AK7" i="19"/>
  <c r="AK26" i="19"/>
  <c r="AQ26" i="19" s="1"/>
  <c r="AK46" i="19"/>
  <c r="AK53" i="19"/>
  <c r="AK57" i="19"/>
  <c r="AK60" i="19"/>
  <c r="AK65" i="19"/>
  <c r="AQ65" i="19" s="1"/>
  <c r="AK70" i="19"/>
  <c r="AQ70" i="19" s="1"/>
  <c r="AK75" i="19"/>
  <c r="AQ75" i="19" s="1"/>
  <c r="AK80" i="19"/>
  <c r="AQ80" i="19" s="1"/>
  <c r="AK88" i="19"/>
  <c r="AQ88" i="19" s="1"/>
  <c r="AK94" i="19"/>
  <c r="AQ94" i="19" s="1"/>
  <c r="AK99" i="19"/>
  <c r="AK74" i="19"/>
  <c r="AI185" i="19"/>
  <c r="AN3" i="19"/>
  <c r="AN185" i="19" s="1"/>
  <c r="AK52" i="19"/>
  <c r="AK68" i="19"/>
  <c r="AQ68" i="19" s="1"/>
  <c r="AK73" i="19"/>
  <c r="AQ73" i="19" s="1"/>
  <c r="AK78" i="19"/>
  <c r="AQ78" i="19" s="1"/>
  <c r="AK89" i="19"/>
  <c r="AK95" i="19"/>
  <c r="AQ95" i="19" s="1"/>
  <c r="AK102" i="19"/>
  <c r="AK62" i="19"/>
  <c r="AQ62" i="19" s="1"/>
  <c r="AK66" i="19"/>
  <c r="AQ66" i="19" s="1"/>
  <c r="AK71" i="19"/>
  <c r="AQ71" i="19" s="1"/>
  <c r="AK76" i="19"/>
  <c r="AQ76" i="19" s="1"/>
  <c r="AK81" i="19"/>
  <c r="AQ81" i="19" s="1"/>
  <c r="AK86" i="19"/>
  <c r="AQ86" i="19" s="1"/>
  <c r="AK92" i="19"/>
  <c r="AQ92" i="19" s="1"/>
  <c r="AK96" i="19"/>
  <c r="AK97" i="19"/>
  <c r="AK100" i="19"/>
  <c r="AK101" i="19"/>
  <c r="AK105" i="19"/>
  <c r="AK113" i="19"/>
  <c r="AQ113" i="19" s="1"/>
  <c r="AK123" i="19"/>
  <c r="AK125" i="19"/>
  <c r="AK127" i="19"/>
  <c r="AK129" i="19"/>
  <c r="AK131" i="19"/>
  <c r="AK133" i="19"/>
  <c r="AQ133" i="19" s="1"/>
  <c r="AK141" i="19"/>
  <c r="AQ141" i="19" s="1"/>
  <c r="AK63" i="19"/>
  <c r="AQ63" i="19" s="1"/>
  <c r="AK67" i="19"/>
  <c r="AQ67" i="19" s="1"/>
  <c r="AK72" i="19"/>
  <c r="AQ72" i="19" s="1"/>
  <c r="AK77" i="19"/>
  <c r="AQ77" i="19" s="1"/>
  <c r="AK82" i="19"/>
  <c r="AK83" i="19"/>
  <c r="AQ83" i="19" s="1"/>
  <c r="AK87" i="19"/>
  <c r="AQ87" i="19" s="1"/>
  <c r="AK93" i="19"/>
  <c r="AQ93" i="19" s="1"/>
  <c r="AK104" i="19"/>
  <c r="AK103" i="19"/>
  <c r="AK112" i="19"/>
  <c r="AQ112" i="19" s="1"/>
  <c r="AK117" i="19"/>
  <c r="AK122" i="19"/>
  <c r="AQ122" i="19" s="1"/>
  <c r="AK137" i="19"/>
  <c r="AQ137" i="19" s="1"/>
  <c r="AK140" i="19"/>
  <c r="AQ140" i="19" s="1"/>
  <c r="AK145" i="19"/>
  <c r="AQ145" i="19" s="1"/>
  <c r="AK149" i="19"/>
  <c r="AQ149" i="19" s="1"/>
  <c r="AK154" i="19"/>
  <c r="AQ154" i="19" s="1"/>
  <c r="AK157" i="19"/>
  <c r="AQ157" i="19" s="1"/>
  <c r="AK162" i="19"/>
  <c r="AQ162" i="19" s="1"/>
  <c r="AK165" i="19"/>
  <c r="AQ165" i="19" s="1"/>
  <c r="AK172" i="19"/>
  <c r="AK177" i="19"/>
  <c r="AK182" i="19"/>
  <c r="AM183" i="19"/>
  <c r="AG200" i="19"/>
  <c r="AQ190" i="19"/>
  <c r="AK107" i="19"/>
  <c r="AK109" i="19"/>
  <c r="AK111" i="19"/>
  <c r="AQ111" i="19" s="1"/>
  <c r="AK115" i="19"/>
  <c r="AQ115" i="19" s="1"/>
  <c r="AK118" i="19"/>
  <c r="AQ118" i="19" s="1"/>
  <c r="AK124" i="19"/>
  <c r="AK126" i="19"/>
  <c r="AK128" i="19"/>
  <c r="AK130" i="19"/>
  <c r="AK132" i="19"/>
  <c r="AK135" i="19"/>
  <c r="AQ135" i="19" s="1"/>
  <c r="AK139" i="19"/>
  <c r="AQ139" i="19" s="1"/>
  <c r="AK143" i="19"/>
  <c r="AQ143" i="19" s="1"/>
  <c r="AK144" i="19"/>
  <c r="AQ144" i="19" s="1"/>
  <c r="AM144" i="19"/>
  <c r="AK150" i="19"/>
  <c r="AQ150" i="19" s="1"/>
  <c r="AK153" i="19"/>
  <c r="AQ153" i="19" s="1"/>
  <c r="AK158" i="19"/>
  <c r="AQ158" i="19" s="1"/>
  <c r="AK161" i="19"/>
  <c r="AQ161" i="19" s="1"/>
  <c r="AK166" i="19"/>
  <c r="AQ166" i="19" s="1"/>
  <c r="AK170" i="19"/>
  <c r="AK174" i="19"/>
  <c r="AK179" i="19"/>
  <c r="AK181" i="19"/>
  <c r="AI190" i="19"/>
  <c r="AG192" i="19" s="1"/>
  <c r="AQ189" i="19"/>
  <c r="AK180" i="19"/>
  <c r="AK147" i="19"/>
  <c r="AQ147" i="19" s="1"/>
  <c r="AK148" i="19"/>
  <c r="AQ148" i="19" s="1"/>
  <c r="AK152" i="19"/>
  <c r="AQ152" i="19" s="1"/>
  <c r="AK156" i="19"/>
  <c r="AQ156" i="19" s="1"/>
  <c r="AK160" i="19"/>
  <c r="AQ160" i="19" s="1"/>
  <c r="AK164" i="19"/>
  <c r="AQ164" i="19" s="1"/>
  <c r="AK169" i="19"/>
  <c r="AQ169" i="19" s="1"/>
  <c r="AK175" i="19"/>
  <c r="AK184" i="19"/>
  <c r="AC185" i="15"/>
  <c r="AB185" i="15"/>
  <c r="AA185" i="15"/>
  <c r="AU13" i="19" l="1"/>
  <c r="AQ121" i="19"/>
  <c r="AU55" i="19"/>
  <c r="AZ55" i="19" s="1"/>
  <c r="AU14" i="19"/>
  <c r="AQ49" i="19"/>
  <c r="AU44" i="19"/>
  <c r="AU18" i="19"/>
  <c r="AU34" i="19"/>
  <c r="AZ34" i="19" s="1"/>
  <c r="AQ41" i="19"/>
  <c r="AU17" i="19"/>
  <c r="AZ17" i="19" s="1"/>
  <c r="AT35" i="19"/>
  <c r="AZ35" i="19" s="1"/>
  <c r="AU10" i="19"/>
  <c r="AQ11" i="19"/>
  <c r="AU37" i="19"/>
  <c r="AQ35" i="19"/>
  <c r="AT9" i="19"/>
  <c r="AQ28" i="19"/>
  <c r="AQ45" i="19"/>
  <c r="AT51" i="19"/>
  <c r="AZ51" i="19" s="1"/>
  <c r="AQ17" i="19"/>
  <c r="AT15" i="19"/>
  <c r="AZ15" i="19" s="1"/>
  <c r="AT11" i="19"/>
  <c r="AZ11" i="19" s="1"/>
  <c r="AQ8" i="19"/>
  <c r="AQ37" i="19"/>
  <c r="AT28" i="19"/>
  <c r="AT44" i="19"/>
  <c r="AQ39" i="19"/>
  <c r="AQ51" i="19"/>
  <c r="AQ15" i="19"/>
  <c r="AQ50" i="19"/>
  <c r="AT8" i="19"/>
  <c r="AZ8" i="19" s="1"/>
  <c r="AT39" i="19"/>
  <c r="AZ39" i="19" s="1"/>
  <c r="AU30" i="19"/>
  <c r="AZ30" i="19" s="1"/>
  <c r="AT50" i="19"/>
  <c r="AZ50" i="19" s="1"/>
  <c r="AU98" i="19"/>
  <c r="AZ98" i="19" s="1"/>
  <c r="AQ12" i="19"/>
  <c r="AT10" i="19"/>
  <c r="AU9" i="19"/>
  <c r="AT45" i="19"/>
  <c r="AQ30" i="19"/>
  <c r="AT14" i="19"/>
  <c r="AT16" i="19"/>
  <c r="AZ16" i="19" s="1"/>
  <c r="AT41" i="19"/>
  <c r="AZ41" i="19" s="1"/>
  <c r="AQ16" i="19"/>
  <c r="AQ13" i="19"/>
  <c r="AQ34" i="19"/>
  <c r="AT33" i="19"/>
  <c r="AQ98" i="19"/>
  <c r="AQ58" i="19"/>
  <c r="AU40" i="19"/>
  <c r="AZ40" i="19" s="1"/>
  <c r="AT58" i="19"/>
  <c r="AZ58" i="19" s="1"/>
  <c r="AT12" i="19"/>
  <c r="AZ12" i="19" s="1"/>
  <c r="AU33" i="19"/>
  <c r="AQ55" i="19"/>
  <c r="AQ40" i="19"/>
  <c r="AI198" i="19"/>
  <c r="AJ192" i="19"/>
  <c r="AQ7" i="19"/>
  <c r="AU7" i="19"/>
  <c r="AT7" i="19"/>
  <c r="AT47" i="19"/>
  <c r="AU47" i="19"/>
  <c r="AQ47" i="19"/>
  <c r="AQ126" i="19"/>
  <c r="AU126" i="19"/>
  <c r="AQ104" i="19"/>
  <c r="AU104" i="19"/>
  <c r="AQ82" i="19"/>
  <c r="AU82" i="19"/>
  <c r="AT82" i="19"/>
  <c r="AU129" i="19"/>
  <c r="AQ129" i="19"/>
  <c r="AU97" i="19"/>
  <c r="AQ97" i="19"/>
  <c r="AU74" i="19"/>
  <c r="AT74" i="19"/>
  <c r="AQ74" i="19"/>
  <c r="AQ6" i="19"/>
  <c r="AT6" i="19"/>
  <c r="AU6" i="19"/>
  <c r="AT3" i="19"/>
  <c r="AQ3" i="19"/>
  <c r="AU3" i="19"/>
  <c r="AU108" i="19"/>
  <c r="AQ108" i="19"/>
  <c r="AT22" i="19"/>
  <c r="AQ22" i="19"/>
  <c r="AU22" i="19"/>
  <c r="AU38" i="19"/>
  <c r="AT38" i="19"/>
  <c r="AQ38" i="19"/>
  <c r="AO199" i="19"/>
  <c r="AP199" i="19" s="1"/>
  <c r="AR199" i="19" s="1"/>
  <c r="AT199" i="19" s="1"/>
  <c r="AO198" i="19"/>
  <c r="AP198" i="19" s="1"/>
  <c r="AO197" i="19"/>
  <c r="AP197" i="19" s="1"/>
  <c r="AZ13" i="19"/>
  <c r="AZ37" i="19"/>
  <c r="AQ128" i="19"/>
  <c r="AU128" i="19"/>
  <c r="AU117" i="19"/>
  <c r="AQ117" i="19"/>
  <c r="AU131" i="19"/>
  <c r="AQ131" i="19"/>
  <c r="AU123" i="19"/>
  <c r="AQ123" i="19"/>
  <c r="AU89" i="19"/>
  <c r="AT89" i="19"/>
  <c r="AQ89" i="19"/>
  <c r="AU52" i="19"/>
  <c r="AT52" i="19"/>
  <c r="AQ52" i="19"/>
  <c r="AU53" i="19"/>
  <c r="AT53" i="19"/>
  <c r="AQ53" i="19"/>
  <c r="AU110" i="19"/>
  <c r="AQ110" i="19"/>
  <c r="AT23" i="19"/>
  <c r="AQ23" i="19"/>
  <c r="AU23" i="19"/>
  <c r="AU31" i="19"/>
  <c r="AT31" i="19"/>
  <c r="AQ31" i="19"/>
  <c r="AQ124" i="19"/>
  <c r="AU124" i="19"/>
  <c r="AQ103" i="19"/>
  <c r="AU103" i="19"/>
  <c r="AU127" i="19"/>
  <c r="AQ127" i="19"/>
  <c r="AQ105" i="19"/>
  <c r="AU105" i="19"/>
  <c r="AT96" i="19"/>
  <c r="AQ96" i="19"/>
  <c r="AU96" i="19"/>
  <c r="AQ102" i="19"/>
  <c r="AU102" i="19"/>
  <c r="AQ99" i="19"/>
  <c r="AU99" i="19"/>
  <c r="AT99" i="19"/>
  <c r="AU60" i="19"/>
  <c r="AT60" i="19"/>
  <c r="AQ60" i="19"/>
  <c r="AQ46" i="19"/>
  <c r="AT46" i="19"/>
  <c r="AU46" i="19"/>
  <c r="AQ5" i="19"/>
  <c r="AT5" i="19"/>
  <c r="AU5" i="19"/>
  <c r="AU69" i="19"/>
  <c r="AT69" i="19"/>
  <c r="AQ69" i="19"/>
  <c r="AU106" i="19"/>
  <c r="AQ106" i="19"/>
  <c r="AU79" i="19"/>
  <c r="AT79" i="19"/>
  <c r="AQ79" i="19"/>
  <c r="AU48" i="19"/>
  <c r="AT48" i="19"/>
  <c r="AQ48" i="19"/>
  <c r="AU36" i="19"/>
  <c r="AT36" i="19"/>
  <c r="AQ36" i="19"/>
  <c r="AQ100" i="19"/>
  <c r="AU100" i="19"/>
  <c r="AT100" i="19"/>
  <c r="AK185" i="19"/>
  <c r="AQ4" i="19"/>
  <c r="AU42" i="19"/>
  <c r="AT42" i="19"/>
  <c r="AQ42" i="19"/>
  <c r="AQ132" i="19"/>
  <c r="AU132" i="19"/>
  <c r="AQ109" i="19"/>
  <c r="AU109" i="19"/>
  <c r="AQ197" i="19"/>
  <c r="AI200" i="19"/>
  <c r="AQ198" i="19"/>
  <c r="AQ130" i="19"/>
  <c r="AU130" i="19"/>
  <c r="AQ107" i="19"/>
  <c r="AU107" i="19"/>
  <c r="AU125" i="19"/>
  <c r="AQ125" i="19"/>
  <c r="AQ101" i="19"/>
  <c r="AU101" i="19"/>
  <c r="AO195" i="19"/>
  <c r="AP195" i="19" s="1"/>
  <c r="AR195" i="19" s="1"/>
  <c r="AT195" i="19" s="1"/>
  <c r="AO193" i="19"/>
  <c r="AP193" i="19" s="1"/>
  <c r="AR193" i="19" s="1"/>
  <c r="AT193" i="19" s="1"/>
  <c r="AU57" i="19"/>
  <c r="AQ57" i="19"/>
  <c r="AM185" i="19"/>
  <c r="AO190" i="19" s="1"/>
  <c r="AT24" i="19"/>
  <c r="AU24" i="19"/>
  <c r="AQ24" i="19"/>
  <c r="AU19" i="19"/>
  <c r="AQ19" i="19"/>
  <c r="AU43" i="19"/>
  <c r="AT43" i="19"/>
  <c r="AQ43" i="19"/>
  <c r="AU32" i="19"/>
  <c r="AT32" i="19"/>
  <c r="AQ32" i="19"/>
  <c r="AZ44" i="19"/>
  <c r="W185" i="15"/>
  <c r="AZ14" i="19" l="1"/>
  <c r="AZ9" i="19"/>
  <c r="AZ10" i="19"/>
  <c r="AZ33" i="19"/>
  <c r="AZ79" i="19"/>
  <c r="AZ99" i="19"/>
  <c r="AZ52" i="19"/>
  <c r="AZ5" i="19"/>
  <c r="AZ6" i="19"/>
  <c r="AZ23" i="19"/>
  <c r="AZ22" i="19"/>
  <c r="AZ32" i="19"/>
  <c r="AZ42" i="19"/>
  <c r="AZ100" i="19"/>
  <c r="AZ36" i="19"/>
  <c r="AZ60" i="19"/>
  <c r="AP190" i="19"/>
  <c r="AR190" i="19" s="1"/>
  <c r="AT190" i="19" s="1"/>
  <c r="AO189" i="19"/>
  <c r="AP189" i="19" s="1"/>
  <c r="AR189" i="19" s="1"/>
  <c r="AT189" i="19" s="1"/>
  <c r="AZ69" i="19"/>
  <c r="AZ31" i="19"/>
  <c r="AZ53" i="19"/>
  <c r="AR197" i="19"/>
  <c r="AT197" i="19" s="1"/>
  <c r="AZ38" i="19"/>
  <c r="AQ185" i="19"/>
  <c r="AZ82" i="19"/>
  <c r="AU185" i="19"/>
  <c r="AR198" i="19"/>
  <c r="AT198" i="19" s="1"/>
  <c r="AZ3" i="19"/>
  <c r="AZ96" i="19"/>
  <c r="AZ74" i="19"/>
  <c r="AZ7" i="19"/>
  <c r="Y185" i="15"/>
  <c r="X185" i="15"/>
  <c r="AZ185" i="19" l="1"/>
  <c r="AX187" i="19" s="1"/>
  <c r="T185" i="15"/>
  <c r="S185" i="15"/>
  <c r="U185" i="15"/>
  <c r="Q185" i="15" l="1"/>
  <c r="P185" i="15"/>
  <c r="O185" i="15"/>
  <c r="K185" i="15" l="1"/>
  <c r="M185" i="15"/>
  <c r="L185" i="15"/>
  <c r="K188" i="15"/>
  <c r="K189" i="15" s="1"/>
  <c r="K190" i="15" s="1"/>
  <c r="G185" i="15"/>
  <c r="H185" i="15"/>
  <c r="I185" i="15"/>
  <c r="AN225" i="18" l="1"/>
  <c r="AQ224" i="18"/>
  <c r="AN224" i="18"/>
  <c r="AQ223" i="18"/>
  <c r="AN223" i="18"/>
  <c r="AQ222" i="18"/>
  <c r="AN222" i="18"/>
  <c r="AN226" i="18" s="1"/>
  <c r="AH208" i="18"/>
  <c r="AH207" i="18"/>
  <c r="AU200" i="18"/>
  <c r="AU205" i="18" s="1"/>
  <c r="AU207" i="18" s="1"/>
  <c r="AU208" i="18" s="1"/>
  <c r="AR196" i="18"/>
  <c r="AP194" i="18"/>
  <c r="AR194" i="18" s="1"/>
  <c r="AT194" i="18" s="1"/>
  <c r="AR192" i="18"/>
  <c r="AP191" i="18"/>
  <c r="AR191" i="18" s="1"/>
  <c r="AT191" i="18" s="1"/>
  <c r="O190" i="18"/>
  <c r="AD188" i="18"/>
  <c r="AD189" i="18" s="1"/>
  <c r="AD190" i="18" s="1"/>
  <c r="AC188" i="18"/>
  <c r="AC189" i="18" s="1"/>
  <c r="AC190" i="18" s="1"/>
  <c r="AB188" i="18"/>
  <c r="AB189" i="18" s="1"/>
  <c r="AB190" i="18" s="1"/>
  <c r="AA188" i="18"/>
  <c r="AA189" i="18" s="1"/>
  <c r="AA190" i="18" s="1"/>
  <c r="Z188" i="18"/>
  <c r="Z189" i="18" s="1"/>
  <c r="Z190" i="18" s="1"/>
  <c r="Y188" i="18"/>
  <c r="Y189" i="18" s="1"/>
  <c r="Y190" i="18" s="1"/>
  <c r="X188" i="18"/>
  <c r="X189" i="18" s="1"/>
  <c r="X190" i="18" s="1"/>
  <c r="W188" i="18"/>
  <c r="W189" i="18" s="1"/>
  <c r="W190" i="18" s="1"/>
  <c r="V188" i="18"/>
  <c r="V189" i="18" s="1"/>
  <c r="V190" i="18" s="1"/>
  <c r="U188" i="18"/>
  <c r="U189" i="18" s="1"/>
  <c r="U190" i="18" s="1"/>
  <c r="T188" i="18"/>
  <c r="T189" i="18" s="1"/>
  <c r="T190" i="18" s="1"/>
  <c r="S188" i="18"/>
  <c r="S189" i="18" s="1"/>
  <c r="S190" i="18" s="1"/>
  <c r="R188" i="18"/>
  <c r="R189" i="18" s="1"/>
  <c r="R190" i="18" s="1"/>
  <c r="Q188" i="18"/>
  <c r="Q189" i="18" s="1"/>
  <c r="Q190" i="18" s="1"/>
  <c r="P188" i="18"/>
  <c r="P189" i="18" s="1"/>
  <c r="P190" i="18" s="1"/>
  <c r="O188" i="18"/>
  <c r="N188" i="18"/>
  <c r="N189" i="18" s="1"/>
  <c r="N190" i="18" s="1"/>
  <c r="M188" i="18"/>
  <c r="M189" i="18" s="1"/>
  <c r="M190" i="18" s="1"/>
  <c r="L188" i="18"/>
  <c r="L189" i="18" s="1"/>
  <c r="L190" i="18" s="1"/>
  <c r="K188" i="18"/>
  <c r="K189" i="18" s="1"/>
  <c r="K190" i="18" s="1"/>
  <c r="J188" i="18"/>
  <c r="J189" i="18" s="1"/>
  <c r="J190" i="18" s="1"/>
  <c r="AJ190" i="18" s="1"/>
  <c r="I188" i="18"/>
  <c r="I189" i="18" s="1"/>
  <c r="I190" i="18" s="1"/>
  <c r="H188" i="18"/>
  <c r="H189" i="18" s="1"/>
  <c r="H190" i="18" s="1"/>
  <c r="G188" i="18"/>
  <c r="G189" i="18" s="1"/>
  <c r="G190" i="18" s="1"/>
  <c r="AG190" i="18" s="1"/>
  <c r="AQ189" i="18" s="1"/>
  <c r="AI184" i="18"/>
  <c r="AO184" i="18" s="1"/>
  <c r="AH184" i="18"/>
  <c r="AN184" i="18" s="1"/>
  <c r="AG184" i="18"/>
  <c r="AM184" i="18" s="1"/>
  <c r="AI183" i="18"/>
  <c r="AO183" i="18" s="1"/>
  <c r="AH183" i="18"/>
  <c r="AN183" i="18" s="1"/>
  <c r="AG183" i="18"/>
  <c r="AK183" i="18" s="1"/>
  <c r="F183" i="18"/>
  <c r="E183" i="18"/>
  <c r="D183" i="18"/>
  <c r="AP182" i="18"/>
  <c r="AJ182" i="18"/>
  <c r="AI182" i="18"/>
  <c r="AO182" i="18" s="1"/>
  <c r="AH182" i="18"/>
  <c r="AN182" i="18" s="1"/>
  <c r="AG182" i="18"/>
  <c r="AM182" i="18" s="1"/>
  <c r="F182" i="18"/>
  <c r="E182" i="18"/>
  <c r="D182" i="18"/>
  <c r="AJ181" i="18"/>
  <c r="AP181" i="18" s="1"/>
  <c r="AI181" i="18"/>
  <c r="AO181" i="18" s="1"/>
  <c r="AH181" i="18"/>
  <c r="AN181" i="18" s="1"/>
  <c r="AG181" i="18"/>
  <c r="AM181" i="18" s="1"/>
  <c r="F181" i="18"/>
  <c r="E181" i="18"/>
  <c r="D181" i="18"/>
  <c r="AI180" i="18"/>
  <c r="AO180" i="18" s="1"/>
  <c r="AH180" i="18"/>
  <c r="AN180" i="18" s="1"/>
  <c r="AG180" i="18"/>
  <c r="AM180" i="18" s="1"/>
  <c r="F180" i="18"/>
  <c r="E180" i="18"/>
  <c r="D180" i="18"/>
  <c r="AJ179" i="18"/>
  <c r="AI179" i="18"/>
  <c r="AO179" i="18" s="1"/>
  <c r="AH179" i="18"/>
  <c r="AN179" i="18" s="1"/>
  <c r="AG179" i="18"/>
  <c r="AM179" i="18" s="1"/>
  <c r="F179" i="18"/>
  <c r="E179" i="18"/>
  <c r="D179" i="18"/>
  <c r="AJ178" i="18"/>
  <c r="AP178" i="18" s="1"/>
  <c r="AI178" i="18"/>
  <c r="AO178" i="18" s="1"/>
  <c r="AH178" i="18"/>
  <c r="AN178" i="18" s="1"/>
  <c r="AG178" i="18"/>
  <c r="F178" i="18"/>
  <c r="E178" i="18"/>
  <c r="D178" i="18"/>
  <c r="AJ177" i="18"/>
  <c r="AI177" i="18"/>
  <c r="AO177" i="18" s="1"/>
  <c r="AH177" i="18"/>
  <c r="AN177" i="18" s="1"/>
  <c r="AG177" i="18"/>
  <c r="AM177" i="18" s="1"/>
  <c r="F177" i="18"/>
  <c r="E177" i="18"/>
  <c r="D177" i="18"/>
  <c r="AJ176" i="18"/>
  <c r="AI176" i="18"/>
  <c r="AO176" i="18" s="1"/>
  <c r="AH176" i="18"/>
  <c r="AN176" i="18" s="1"/>
  <c r="AG176" i="18"/>
  <c r="AM176" i="18" s="1"/>
  <c r="F176" i="18"/>
  <c r="E176" i="18"/>
  <c r="D176" i="18"/>
  <c r="AJ175" i="18"/>
  <c r="AI175" i="18"/>
  <c r="AO175" i="18" s="1"/>
  <c r="AH175" i="18"/>
  <c r="AN175" i="18" s="1"/>
  <c r="AG175" i="18"/>
  <c r="AK175" i="18" s="1"/>
  <c r="F175" i="18"/>
  <c r="E175" i="18"/>
  <c r="D175" i="18"/>
  <c r="AJ174" i="18"/>
  <c r="AI174" i="18"/>
  <c r="AO174" i="18" s="1"/>
  <c r="AH174" i="18"/>
  <c r="AN174" i="18" s="1"/>
  <c r="AG174" i="18"/>
  <c r="AM174" i="18" s="1"/>
  <c r="F174" i="18"/>
  <c r="E174" i="18"/>
  <c r="D174" i="18"/>
  <c r="AJ173" i="18"/>
  <c r="AP173" i="18" s="1"/>
  <c r="AI173" i="18"/>
  <c r="AO173" i="18" s="1"/>
  <c r="AH173" i="18"/>
  <c r="AN173" i="18" s="1"/>
  <c r="AG173" i="18"/>
  <c r="F173" i="18"/>
  <c r="E173" i="18"/>
  <c r="D173" i="18"/>
  <c r="AJ172" i="18"/>
  <c r="AP172" i="18" s="1"/>
  <c r="AI172" i="18"/>
  <c r="AO172" i="18" s="1"/>
  <c r="AH172" i="18"/>
  <c r="AN172" i="18" s="1"/>
  <c r="AG172" i="18"/>
  <c r="AM172" i="18" s="1"/>
  <c r="F172" i="18"/>
  <c r="E172" i="18"/>
  <c r="D172" i="18"/>
  <c r="AJ171" i="18"/>
  <c r="AP171" i="18" s="1"/>
  <c r="AI171" i="18"/>
  <c r="AO171" i="18" s="1"/>
  <c r="AH171" i="18"/>
  <c r="AN171" i="18" s="1"/>
  <c r="AG171" i="18"/>
  <c r="AK171" i="18" s="1"/>
  <c r="F171" i="18"/>
  <c r="E171" i="18"/>
  <c r="D171" i="18"/>
  <c r="AJ170" i="18"/>
  <c r="AP170" i="18" s="1"/>
  <c r="AI170" i="18"/>
  <c r="AO170" i="18" s="1"/>
  <c r="AH170" i="18"/>
  <c r="AN170" i="18" s="1"/>
  <c r="AG170" i="18"/>
  <c r="AM170" i="18" s="1"/>
  <c r="F170" i="18"/>
  <c r="E170" i="18"/>
  <c r="D170" i="18"/>
  <c r="AJ169" i="18"/>
  <c r="AP169" i="18" s="1"/>
  <c r="AI169" i="18"/>
  <c r="AO169" i="18" s="1"/>
  <c r="AH169" i="18"/>
  <c r="AN169" i="18" s="1"/>
  <c r="AG169" i="18"/>
  <c r="AM169" i="18" s="1"/>
  <c r="F169" i="18"/>
  <c r="E169" i="18"/>
  <c r="D169" i="18"/>
  <c r="AJ167" i="18"/>
  <c r="AP167" i="18" s="1"/>
  <c r="AI167" i="18"/>
  <c r="AO167" i="18" s="1"/>
  <c r="AH167" i="18"/>
  <c r="AN167" i="18" s="1"/>
  <c r="AG167" i="18"/>
  <c r="AM167" i="18" s="1"/>
  <c r="F167" i="18"/>
  <c r="E167" i="18"/>
  <c r="D167" i="18"/>
  <c r="AJ166" i="18"/>
  <c r="AP166" i="18" s="1"/>
  <c r="AI166" i="18"/>
  <c r="AO166" i="18" s="1"/>
  <c r="AH166" i="18"/>
  <c r="AN166" i="18" s="1"/>
  <c r="AG166" i="18"/>
  <c r="AM166" i="18" s="1"/>
  <c r="F166" i="18"/>
  <c r="E166" i="18"/>
  <c r="D166" i="18"/>
  <c r="AJ165" i="18"/>
  <c r="AP165" i="18" s="1"/>
  <c r="AI165" i="18"/>
  <c r="AO165" i="18" s="1"/>
  <c r="AH165" i="18"/>
  <c r="AN165" i="18" s="1"/>
  <c r="AG165" i="18"/>
  <c r="AM165" i="18" s="1"/>
  <c r="F165" i="18"/>
  <c r="E165" i="18"/>
  <c r="D165" i="18"/>
  <c r="AJ164" i="18"/>
  <c r="AP164" i="18" s="1"/>
  <c r="AI164" i="18"/>
  <c r="AO164" i="18" s="1"/>
  <c r="AH164" i="18"/>
  <c r="AN164" i="18" s="1"/>
  <c r="AG164" i="18"/>
  <c r="F164" i="18"/>
  <c r="E164" i="18"/>
  <c r="D164" i="18"/>
  <c r="AJ163" i="18"/>
  <c r="AP163" i="18" s="1"/>
  <c r="AI163" i="18"/>
  <c r="AO163" i="18" s="1"/>
  <c r="AH163" i="18"/>
  <c r="AN163" i="18" s="1"/>
  <c r="AG163" i="18"/>
  <c r="AM163" i="18" s="1"/>
  <c r="F163" i="18"/>
  <c r="E163" i="18"/>
  <c r="D163" i="18"/>
  <c r="AJ162" i="18"/>
  <c r="AP162" i="18" s="1"/>
  <c r="AI162" i="18"/>
  <c r="AO162" i="18" s="1"/>
  <c r="AH162" i="18"/>
  <c r="AN162" i="18" s="1"/>
  <c r="AG162" i="18"/>
  <c r="AM162" i="18" s="1"/>
  <c r="F162" i="18"/>
  <c r="E162" i="18"/>
  <c r="D162" i="18"/>
  <c r="AJ161" i="18"/>
  <c r="AP161" i="18" s="1"/>
  <c r="AI161" i="18"/>
  <c r="AO161" i="18" s="1"/>
  <c r="AH161" i="18"/>
  <c r="AN161" i="18" s="1"/>
  <c r="AG161" i="18"/>
  <c r="AM161" i="18" s="1"/>
  <c r="F161" i="18"/>
  <c r="E161" i="18"/>
  <c r="D161" i="18"/>
  <c r="AJ160" i="18"/>
  <c r="AP160" i="18" s="1"/>
  <c r="AI160" i="18"/>
  <c r="AO160" i="18" s="1"/>
  <c r="AH160" i="18"/>
  <c r="AN160" i="18" s="1"/>
  <c r="AG160" i="18"/>
  <c r="AM160" i="18" s="1"/>
  <c r="F160" i="18"/>
  <c r="E160" i="18"/>
  <c r="D160" i="18"/>
  <c r="AJ159" i="18"/>
  <c r="AP159" i="18" s="1"/>
  <c r="AI159" i="18"/>
  <c r="AO159" i="18" s="1"/>
  <c r="AH159" i="18"/>
  <c r="AN159" i="18" s="1"/>
  <c r="AG159" i="18"/>
  <c r="AM159" i="18" s="1"/>
  <c r="F159" i="18"/>
  <c r="E159" i="18"/>
  <c r="D159" i="18"/>
  <c r="AJ158" i="18"/>
  <c r="AP158" i="18" s="1"/>
  <c r="AI158" i="18"/>
  <c r="AO158" i="18" s="1"/>
  <c r="AH158" i="18"/>
  <c r="AN158" i="18" s="1"/>
  <c r="AG158" i="18"/>
  <c r="AM158" i="18" s="1"/>
  <c r="F158" i="18"/>
  <c r="E158" i="18"/>
  <c r="D158" i="18"/>
  <c r="AJ157" i="18"/>
  <c r="AP157" i="18" s="1"/>
  <c r="AI157" i="18"/>
  <c r="AO157" i="18" s="1"/>
  <c r="AH157" i="18"/>
  <c r="AN157" i="18" s="1"/>
  <c r="AG157" i="18"/>
  <c r="AM157" i="18" s="1"/>
  <c r="F157" i="18"/>
  <c r="E157" i="18"/>
  <c r="D157" i="18"/>
  <c r="AJ156" i="18"/>
  <c r="AP156" i="18" s="1"/>
  <c r="AI156" i="18"/>
  <c r="AO156" i="18" s="1"/>
  <c r="AH156" i="18"/>
  <c r="AN156" i="18" s="1"/>
  <c r="AG156" i="18"/>
  <c r="F156" i="18"/>
  <c r="E156" i="18"/>
  <c r="D156" i="18"/>
  <c r="AJ155" i="18"/>
  <c r="AP155" i="18" s="1"/>
  <c r="AI155" i="18"/>
  <c r="AO155" i="18" s="1"/>
  <c r="AH155" i="18"/>
  <c r="AN155" i="18" s="1"/>
  <c r="AG155" i="18"/>
  <c r="AM155" i="18" s="1"/>
  <c r="F155" i="18"/>
  <c r="E155" i="18"/>
  <c r="D155" i="18"/>
  <c r="AJ154" i="18"/>
  <c r="AP154" i="18" s="1"/>
  <c r="AI154" i="18"/>
  <c r="AO154" i="18" s="1"/>
  <c r="AH154" i="18"/>
  <c r="AN154" i="18" s="1"/>
  <c r="AG154" i="18"/>
  <c r="AM154" i="18" s="1"/>
  <c r="F154" i="18"/>
  <c r="E154" i="18"/>
  <c r="D154" i="18"/>
  <c r="AJ153" i="18"/>
  <c r="AP153" i="18" s="1"/>
  <c r="AI153" i="18"/>
  <c r="AO153" i="18" s="1"/>
  <c r="AH153" i="18"/>
  <c r="AN153" i="18" s="1"/>
  <c r="AG153" i="18"/>
  <c r="AM153" i="18" s="1"/>
  <c r="F153" i="18"/>
  <c r="E153" i="18"/>
  <c r="D153" i="18"/>
  <c r="AJ152" i="18"/>
  <c r="AP152" i="18" s="1"/>
  <c r="AI152" i="18"/>
  <c r="AO152" i="18" s="1"/>
  <c r="AH152" i="18"/>
  <c r="AN152" i="18" s="1"/>
  <c r="AG152" i="18"/>
  <c r="AM152" i="18" s="1"/>
  <c r="F152" i="18"/>
  <c r="E152" i="18"/>
  <c r="D152" i="18"/>
  <c r="AJ151" i="18"/>
  <c r="AP151" i="18" s="1"/>
  <c r="AI151" i="18"/>
  <c r="AO151" i="18" s="1"/>
  <c r="AH151" i="18"/>
  <c r="AN151" i="18" s="1"/>
  <c r="AG151" i="18"/>
  <c r="AM151" i="18" s="1"/>
  <c r="F151" i="18"/>
  <c r="E151" i="18"/>
  <c r="D151" i="18"/>
  <c r="AJ150" i="18"/>
  <c r="AP150" i="18" s="1"/>
  <c r="AI150" i="18"/>
  <c r="AO150" i="18" s="1"/>
  <c r="AH150" i="18"/>
  <c r="AN150" i="18" s="1"/>
  <c r="AG150" i="18"/>
  <c r="AM150" i="18" s="1"/>
  <c r="F150" i="18"/>
  <c r="E150" i="18"/>
  <c r="D150" i="18"/>
  <c r="AJ149" i="18"/>
  <c r="AP149" i="18" s="1"/>
  <c r="AI149" i="18"/>
  <c r="AO149" i="18" s="1"/>
  <c r="AH149" i="18"/>
  <c r="AN149" i="18" s="1"/>
  <c r="AG149" i="18"/>
  <c r="AM149" i="18" s="1"/>
  <c r="F149" i="18"/>
  <c r="E149" i="18"/>
  <c r="D149" i="18"/>
  <c r="AJ148" i="18"/>
  <c r="AP148" i="18" s="1"/>
  <c r="AI148" i="18"/>
  <c r="AO148" i="18" s="1"/>
  <c r="AH148" i="18"/>
  <c r="AN148" i="18" s="1"/>
  <c r="AG148" i="18"/>
  <c r="AM148" i="18" s="1"/>
  <c r="F148" i="18"/>
  <c r="E148" i="18"/>
  <c r="D148" i="18"/>
  <c r="AJ147" i="18"/>
  <c r="AI147" i="18"/>
  <c r="AO147" i="18" s="1"/>
  <c r="AH147" i="18"/>
  <c r="AN147" i="18" s="1"/>
  <c r="AG147" i="18"/>
  <c r="AM147" i="18" s="1"/>
  <c r="F147" i="18"/>
  <c r="E147" i="18"/>
  <c r="D147" i="18"/>
  <c r="AJ146" i="18"/>
  <c r="AP146" i="18" s="1"/>
  <c r="AI146" i="18"/>
  <c r="AO146" i="18" s="1"/>
  <c r="AH146" i="18"/>
  <c r="AN146" i="18" s="1"/>
  <c r="AG146" i="18"/>
  <c r="AM146" i="18" s="1"/>
  <c r="F146" i="18"/>
  <c r="E146" i="18"/>
  <c r="D146" i="18"/>
  <c r="AJ145" i="18"/>
  <c r="AP145" i="18" s="1"/>
  <c r="AI145" i="18"/>
  <c r="AO145" i="18" s="1"/>
  <c r="AH145" i="18"/>
  <c r="AN145" i="18" s="1"/>
  <c r="AG145" i="18"/>
  <c r="AM145" i="18" s="1"/>
  <c r="F145" i="18"/>
  <c r="E145" i="18"/>
  <c r="D145" i="18"/>
  <c r="AJ144" i="18"/>
  <c r="AP144" i="18" s="1"/>
  <c r="AI144" i="18"/>
  <c r="AO144" i="18" s="1"/>
  <c r="AH144" i="18"/>
  <c r="AN144" i="18" s="1"/>
  <c r="AG144" i="18"/>
  <c r="AM144" i="18" s="1"/>
  <c r="F144" i="18"/>
  <c r="E144" i="18"/>
  <c r="D144" i="18"/>
  <c r="AJ143" i="18"/>
  <c r="AP143" i="18" s="1"/>
  <c r="AI143" i="18"/>
  <c r="AO143" i="18" s="1"/>
  <c r="AH143" i="18"/>
  <c r="AN143" i="18" s="1"/>
  <c r="AG143" i="18"/>
  <c r="AM143" i="18" s="1"/>
  <c r="F143" i="18"/>
  <c r="E143" i="18"/>
  <c r="D143" i="18"/>
  <c r="AJ142" i="18"/>
  <c r="AP142" i="18" s="1"/>
  <c r="AI142" i="18"/>
  <c r="AO142" i="18" s="1"/>
  <c r="AH142" i="18"/>
  <c r="AN142" i="18" s="1"/>
  <c r="AG142" i="18"/>
  <c r="AM142" i="18" s="1"/>
  <c r="F142" i="18"/>
  <c r="E142" i="18"/>
  <c r="D142" i="18"/>
  <c r="AJ141" i="18"/>
  <c r="AP141" i="18" s="1"/>
  <c r="AI141" i="18"/>
  <c r="AO141" i="18" s="1"/>
  <c r="AH141" i="18"/>
  <c r="AN141" i="18" s="1"/>
  <c r="AG141" i="18"/>
  <c r="AM141" i="18" s="1"/>
  <c r="F141" i="18"/>
  <c r="E141" i="18"/>
  <c r="D141" i="18"/>
  <c r="AJ140" i="18"/>
  <c r="AP140" i="18" s="1"/>
  <c r="AI140" i="18"/>
  <c r="AO140" i="18" s="1"/>
  <c r="AH140" i="18"/>
  <c r="AN140" i="18" s="1"/>
  <c r="AG140" i="18"/>
  <c r="AM140" i="18" s="1"/>
  <c r="F140" i="18"/>
  <c r="E140" i="18"/>
  <c r="D140" i="18"/>
  <c r="AJ139" i="18"/>
  <c r="AP139" i="18" s="1"/>
  <c r="AI139" i="18"/>
  <c r="AO139" i="18" s="1"/>
  <c r="AH139" i="18"/>
  <c r="AN139" i="18" s="1"/>
  <c r="AG139" i="18"/>
  <c r="AM139" i="18" s="1"/>
  <c r="F139" i="18"/>
  <c r="E139" i="18"/>
  <c r="D139" i="18"/>
  <c r="AJ138" i="18"/>
  <c r="AP138" i="18" s="1"/>
  <c r="AI138" i="18"/>
  <c r="AO138" i="18" s="1"/>
  <c r="AH138" i="18"/>
  <c r="AN138" i="18" s="1"/>
  <c r="AG138" i="18"/>
  <c r="F138" i="18"/>
  <c r="E138" i="18"/>
  <c r="D138" i="18"/>
  <c r="AJ137" i="18"/>
  <c r="AP137" i="18" s="1"/>
  <c r="AI137" i="18"/>
  <c r="AO137" i="18" s="1"/>
  <c r="AH137" i="18"/>
  <c r="AN137" i="18" s="1"/>
  <c r="AG137" i="18"/>
  <c r="AM137" i="18" s="1"/>
  <c r="F137" i="18"/>
  <c r="E137" i="18"/>
  <c r="D137" i="18"/>
  <c r="AJ136" i="18"/>
  <c r="AP136" i="18" s="1"/>
  <c r="AI136" i="18"/>
  <c r="AO136" i="18" s="1"/>
  <c r="AH136" i="18"/>
  <c r="AN136" i="18" s="1"/>
  <c r="AG136" i="18"/>
  <c r="AK136" i="18" s="1"/>
  <c r="AQ136" i="18" s="1"/>
  <c r="F136" i="18"/>
  <c r="E136" i="18"/>
  <c r="D136" i="18"/>
  <c r="AP135" i="18"/>
  <c r="AJ135" i="18"/>
  <c r="AI135" i="18"/>
  <c r="AO135" i="18" s="1"/>
  <c r="AH135" i="18"/>
  <c r="AN135" i="18" s="1"/>
  <c r="AG135" i="18"/>
  <c r="AM135" i="18" s="1"/>
  <c r="F135" i="18"/>
  <c r="E135" i="18"/>
  <c r="D135" i="18"/>
  <c r="AJ134" i="18"/>
  <c r="AP134" i="18" s="1"/>
  <c r="AI134" i="18"/>
  <c r="AO134" i="18" s="1"/>
  <c r="AH134" i="18"/>
  <c r="AN134" i="18" s="1"/>
  <c r="AG134" i="18"/>
  <c r="F134" i="18"/>
  <c r="E134" i="18"/>
  <c r="D134" i="18"/>
  <c r="AJ133" i="18"/>
  <c r="AP133" i="18" s="1"/>
  <c r="AI133" i="18"/>
  <c r="AO133" i="18" s="1"/>
  <c r="AH133" i="18"/>
  <c r="AN133" i="18" s="1"/>
  <c r="AG133" i="18"/>
  <c r="AM133" i="18" s="1"/>
  <c r="F133" i="18"/>
  <c r="E133" i="18"/>
  <c r="D133" i="18"/>
  <c r="AJ132" i="18"/>
  <c r="AP132" i="18" s="1"/>
  <c r="AI132" i="18"/>
  <c r="AO132" i="18" s="1"/>
  <c r="AH132" i="18"/>
  <c r="AN132" i="18" s="1"/>
  <c r="AG132" i="18"/>
  <c r="AM132" i="18" s="1"/>
  <c r="F132" i="18"/>
  <c r="E132" i="18"/>
  <c r="D132" i="18"/>
  <c r="AP131" i="18"/>
  <c r="AJ131" i="18"/>
  <c r="AI131" i="18"/>
  <c r="AO131" i="18" s="1"/>
  <c r="AH131" i="18"/>
  <c r="AN131" i="18" s="1"/>
  <c r="AG131" i="18"/>
  <c r="AM131" i="18" s="1"/>
  <c r="F131" i="18"/>
  <c r="E131" i="18"/>
  <c r="D131" i="18"/>
  <c r="AJ130" i="18"/>
  <c r="AP130" i="18" s="1"/>
  <c r="AI130" i="18"/>
  <c r="AO130" i="18" s="1"/>
  <c r="AH130" i="18"/>
  <c r="AN130" i="18" s="1"/>
  <c r="AG130" i="18"/>
  <c r="AM130" i="18" s="1"/>
  <c r="F130" i="18"/>
  <c r="E130" i="18"/>
  <c r="D130" i="18"/>
  <c r="AJ129" i="18"/>
  <c r="AP129" i="18" s="1"/>
  <c r="AI129" i="18"/>
  <c r="AO129" i="18" s="1"/>
  <c r="AH129" i="18"/>
  <c r="AN129" i="18" s="1"/>
  <c r="AG129" i="18"/>
  <c r="AM129" i="18" s="1"/>
  <c r="F129" i="18"/>
  <c r="E129" i="18"/>
  <c r="D129" i="18"/>
  <c r="AJ128" i="18"/>
  <c r="AP128" i="18" s="1"/>
  <c r="AI128" i="18"/>
  <c r="AO128" i="18" s="1"/>
  <c r="AH128" i="18"/>
  <c r="AN128" i="18" s="1"/>
  <c r="AG128" i="18"/>
  <c r="AM128" i="18" s="1"/>
  <c r="F128" i="18"/>
  <c r="E128" i="18"/>
  <c r="D128" i="18"/>
  <c r="AJ127" i="18"/>
  <c r="AP127" i="18" s="1"/>
  <c r="AI127" i="18"/>
  <c r="AO127" i="18" s="1"/>
  <c r="AH127" i="18"/>
  <c r="AN127" i="18" s="1"/>
  <c r="AG127" i="18"/>
  <c r="AM127" i="18" s="1"/>
  <c r="F127" i="18"/>
  <c r="E127" i="18"/>
  <c r="D127" i="18"/>
  <c r="AJ126" i="18"/>
  <c r="AP126" i="18" s="1"/>
  <c r="AI126" i="18"/>
  <c r="AO126" i="18" s="1"/>
  <c r="AH126" i="18"/>
  <c r="AN126" i="18" s="1"/>
  <c r="AG126" i="18"/>
  <c r="AM126" i="18" s="1"/>
  <c r="F126" i="18"/>
  <c r="E126" i="18"/>
  <c r="D126" i="18"/>
  <c r="AJ125" i="18"/>
  <c r="AP125" i="18" s="1"/>
  <c r="AI125" i="18"/>
  <c r="AO125" i="18" s="1"/>
  <c r="AH125" i="18"/>
  <c r="AN125" i="18" s="1"/>
  <c r="AG125" i="18"/>
  <c r="AM125" i="18" s="1"/>
  <c r="F125" i="18"/>
  <c r="E125" i="18"/>
  <c r="D125" i="18"/>
  <c r="AP124" i="18"/>
  <c r="AJ124" i="18"/>
  <c r="AI124" i="18"/>
  <c r="AO124" i="18" s="1"/>
  <c r="AH124" i="18"/>
  <c r="AN124" i="18" s="1"/>
  <c r="AG124" i="18"/>
  <c r="AM124" i="18" s="1"/>
  <c r="F124" i="18"/>
  <c r="E124" i="18"/>
  <c r="D124" i="18"/>
  <c r="AP123" i="18"/>
  <c r="AJ123" i="18"/>
  <c r="AI123" i="18"/>
  <c r="AO123" i="18" s="1"/>
  <c r="AH123" i="18"/>
  <c r="AN123" i="18" s="1"/>
  <c r="AG123" i="18"/>
  <c r="AM123" i="18" s="1"/>
  <c r="F123" i="18"/>
  <c r="E123" i="18"/>
  <c r="D123" i="18"/>
  <c r="AJ122" i="18"/>
  <c r="AP122" i="18" s="1"/>
  <c r="AI122" i="18"/>
  <c r="AO122" i="18" s="1"/>
  <c r="AH122" i="18"/>
  <c r="AN122" i="18" s="1"/>
  <c r="AG122" i="18"/>
  <c r="AM122" i="18" s="1"/>
  <c r="F122" i="18"/>
  <c r="E122" i="18"/>
  <c r="D122" i="18"/>
  <c r="AJ121" i="18"/>
  <c r="AP121" i="18" s="1"/>
  <c r="AI121" i="18"/>
  <c r="AO121" i="18" s="1"/>
  <c r="AH121" i="18"/>
  <c r="AN121" i="18" s="1"/>
  <c r="AG121" i="18"/>
  <c r="AK121" i="18" s="1"/>
  <c r="F121" i="18"/>
  <c r="E121" i="18"/>
  <c r="D121" i="18"/>
  <c r="AJ120" i="18"/>
  <c r="AP120" i="18" s="1"/>
  <c r="AI120" i="18"/>
  <c r="AO120" i="18" s="1"/>
  <c r="AH120" i="18"/>
  <c r="AN120" i="18" s="1"/>
  <c r="AG120" i="18"/>
  <c r="AM120" i="18" s="1"/>
  <c r="F120" i="18"/>
  <c r="E120" i="18"/>
  <c r="D120" i="18"/>
  <c r="AJ119" i="18"/>
  <c r="AP119" i="18" s="1"/>
  <c r="AI119" i="18"/>
  <c r="AO119" i="18" s="1"/>
  <c r="AH119" i="18"/>
  <c r="AN119" i="18" s="1"/>
  <c r="AG119" i="18"/>
  <c r="F119" i="18"/>
  <c r="E119" i="18"/>
  <c r="D119" i="18"/>
  <c r="AN118" i="18"/>
  <c r="AJ118" i="18"/>
  <c r="AP118" i="18" s="1"/>
  <c r="AI118" i="18"/>
  <c r="AO118" i="18" s="1"/>
  <c r="AH118" i="18"/>
  <c r="AG118" i="18"/>
  <c r="AM118" i="18" s="1"/>
  <c r="F118" i="18"/>
  <c r="E118" i="18"/>
  <c r="D118" i="18"/>
  <c r="AJ117" i="18"/>
  <c r="AP117" i="18" s="1"/>
  <c r="AI117" i="18"/>
  <c r="AO117" i="18" s="1"/>
  <c r="AH117" i="18"/>
  <c r="AN117" i="18" s="1"/>
  <c r="AG117" i="18"/>
  <c r="AM117" i="18" s="1"/>
  <c r="F117" i="18"/>
  <c r="E117" i="18"/>
  <c r="D117" i="18"/>
  <c r="AO116" i="18"/>
  <c r="AJ116" i="18"/>
  <c r="AP116" i="18" s="1"/>
  <c r="AI116" i="18"/>
  <c r="AH116" i="18"/>
  <c r="AN116" i="18" s="1"/>
  <c r="AG116" i="18"/>
  <c r="F116" i="18"/>
  <c r="E116" i="18"/>
  <c r="D116" i="18"/>
  <c r="AJ115" i="18"/>
  <c r="AP115" i="18" s="1"/>
  <c r="AI115" i="18"/>
  <c r="AO115" i="18" s="1"/>
  <c r="AH115" i="18"/>
  <c r="AN115" i="18" s="1"/>
  <c r="AG115" i="18"/>
  <c r="AM115" i="18" s="1"/>
  <c r="F115" i="18"/>
  <c r="E115" i="18"/>
  <c r="D115" i="18"/>
  <c r="AJ114" i="18"/>
  <c r="AP114" i="18" s="1"/>
  <c r="AI114" i="18"/>
  <c r="AO114" i="18" s="1"/>
  <c r="AH114" i="18"/>
  <c r="AN114" i="18" s="1"/>
  <c r="AG114" i="18"/>
  <c r="AK114" i="18" s="1"/>
  <c r="AQ114" i="18" s="1"/>
  <c r="F114" i="18"/>
  <c r="E114" i="18"/>
  <c r="D114" i="18"/>
  <c r="AJ113" i="18"/>
  <c r="AP113" i="18" s="1"/>
  <c r="AI113" i="18"/>
  <c r="AO113" i="18" s="1"/>
  <c r="AH113" i="18"/>
  <c r="AN113" i="18" s="1"/>
  <c r="AG113" i="18"/>
  <c r="AM113" i="18" s="1"/>
  <c r="F113" i="18"/>
  <c r="E113" i="18"/>
  <c r="D113" i="18"/>
  <c r="AO112" i="18"/>
  <c r="AJ112" i="18"/>
  <c r="AP112" i="18" s="1"/>
  <c r="AI112" i="18"/>
  <c r="AH112" i="18"/>
  <c r="AN112" i="18" s="1"/>
  <c r="AG112" i="18"/>
  <c r="AM112" i="18" s="1"/>
  <c r="F112" i="18"/>
  <c r="E112" i="18"/>
  <c r="D112" i="18"/>
  <c r="AJ111" i="18"/>
  <c r="AP111" i="18" s="1"/>
  <c r="AI111" i="18"/>
  <c r="AO111" i="18" s="1"/>
  <c r="AH111" i="18"/>
  <c r="AN111" i="18" s="1"/>
  <c r="AG111" i="18"/>
  <c r="AM111" i="18" s="1"/>
  <c r="F111" i="18"/>
  <c r="E111" i="18"/>
  <c r="D111" i="18"/>
  <c r="AN110" i="18"/>
  <c r="AJ110" i="18"/>
  <c r="AP110" i="18" s="1"/>
  <c r="AI110" i="18"/>
  <c r="AO110" i="18" s="1"/>
  <c r="AH110" i="18"/>
  <c r="AG110" i="18"/>
  <c r="AM110" i="18" s="1"/>
  <c r="F110" i="18"/>
  <c r="E110" i="18"/>
  <c r="D110" i="18"/>
  <c r="AP109" i="18"/>
  <c r="AJ109" i="18"/>
  <c r="AI109" i="18"/>
  <c r="AO109" i="18" s="1"/>
  <c r="AH109" i="18"/>
  <c r="AN109" i="18" s="1"/>
  <c r="AG109" i="18"/>
  <c r="AM109" i="18" s="1"/>
  <c r="F109" i="18"/>
  <c r="E109" i="18"/>
  <c r="D109" i="18"/>
  <c r="AP108" i="18"/>
  <c r="AJ108" i="18"/>
  <c r="AI108" i="18"/>
  <c r="AO108" i="18" s="1"/>
  <c r="AH108" i="18"/>
  <c r="AN108" i="18" s="1"/>
  <c r="AG108" i="18"/>
  <c r="AM108" i="18" s="1"/>
  <c r="F108" i="18"/>
  <c r="E108" i="18"/>
  <c r="D108" i="18"/>
  <c r="AJ107" i="18"/>
  <c r="AP107" i="18" s="1"/>
  <c r="AI107" i="18"/>
  <c r="AO107" i="18" s="1"/>
  <c r="AH107" i="18"/>
  <c r="AN107" i="18" s="1"/>
  <c r="AG107" i="18"/>
  <c r="AM107" i="18" s="1"/>
  <c r="F107" i="18"/>
  <c r="E107" i="18"/>
  <c r="D107" i="18"/>
  <c r="AJ106" i="18"/>
  <c r="AP106" i="18" s="1"/>
  <c r="AI106" i="18"/>
  <c r="AO106" i="18" s="1"/>
  <c r="AH106" i="18"/>
  <c r="AN106" i="18" s="1"/>
  <c r="AG106" i="18"/>
  <c r="AM106" i="18" s="1"/>
  <c r="F106" i="18"/>
  <c r="E106" i="18"/>
  <c r="D106" i="18"/>
  <c r="AP105" i="18"/>
  <c r="AJ105" i="18"/>
  <c r="AI105" i="18"/>
  <c r="AO105" i="18" s="1"/>
  <c r="AH105" i="18"/>
  <c r="AN105" i="18" s="1"/>
  <c r="AG105" i="18"/>
  <c r="AM105" i="18" s="1"/>
  <c r="F105" i="18"/>
  <c r="E105" i="18"/>
  <c r="D105" i="18"/>
  <c r="AJ104" i="18"/>
  <c r="AP104" i="18" s="1"/>
  <c r="AI104" i="18"/>
  <c r="AO104" i="18" s="1"/>
  <c r="AH104" i="18"/>
  <c r="AN104" i="18" s="1"/>
  <c r="AG104" i="18"/>
  <c r="AM104" i="18" s="1"/>
  <c r="F104" i="18"/>
  <c r="E104" i="18"/>
  <c r="D104" i="18"/>
  <c r="AJ103" i="18"/>
  <c r="AP103" i="18" s="1"/>
  <c r="AI103" i="18"/>
  <c r="AO103" i="18" s="1"/>
  <c r="AH103" i="18"/>
  <c r="AN103" i="18" s="1"/>
  <c r="AG103" i="18"/>
  <c r="AM103" i="18" s="1"/>
  <c r="F103" i="18"/>
  <c r="E103" i="18"/>
  <c r="D103" i="18"/>
  <c r="AJ102" i="18"/>
  <c r="AP102" i="18" s="1"/>
  <c r="AI102" i="18"/>
  <c r="AO102" i="18" s="1"/>
  <c r="AH102" i="18"/>
  <c r="AN102" i="18" s="1"/>
  <c r="AG102" i="18"/>
  <c r="AM102" i="18" s="1"/>
  <c r="F102" i="18"/>
  <c r="E102" i="18"/>
  <c r="D102" i="18"/>
  <c r="AJ101" i="18"/>
  <c r="AP101" i="18" s="1"/>
  <c r="AI101" i="18"/>
  <c r="AO101" i="18" s="1"/>
  <c r="AH101" i="18"/>
  <c r="AN101" i="18" s="1"/>
  <c r="AG101" i="18"/>
  <c r="F101" i="18"/>
  <c r="E101" i="18"/>
  <c r="D101" i="18"/>
  <c r="AJ100" i="18"/>
  <c r="AP100" i="18" s="1"/>
  <c r="AI100" i="18"/>
  <c r="AO100" i="18" s="1"/>
  <c r="AH100" i="18"/>
  <c r="AN100" i="18" s="1"/>
  <c r="AG100" i="18"/>
  <c r="AM100" i="18" s="1"/>
  <c r="F100" i="18"/>
  <c r="E100" i="18"/>
  <c r="D100" i="18"/>
  <c r="AJ99" i="18"/>
  <c r="AP99" i="18" s="1"/>
  <c r="AI99" i="18"/>
  <c r="AO99" i="18" s="1"/>
  <c r="AH99" i="18"/>
  <c r="AN99" i="18" s="1"/>
  <c r="AG99" i="18"/>
  <c r="AM99" i="18" s="1"/>
  <c r="F99" i="18"/>
  <c r="E99" i="18"/>
  <c r="D99" i="18"/>
  <c r="AJ98" i="18"/>
  <c r="AP98" i="18" s="1"/>
  <c r="AI98" i="18"/>
  <c r="AO98" i="18" s="1"/>
  <c r="AH98" i="18"/>
  <c r="AN98" i="18" s="1"/>
  <c r="AG98" i="18"/>
  <c r="AM98" i="18" s="1"/>
  <c r="F98" i="18"/>
  <c r="E98" i="18"/>
  <c r="D98" i="18"/>
  <c r="AP97" i="18"/>
  <c r="AJ97" i="18"/>
  <c r="AI97" i="18"/>
  <c r="AO97" i="18" s="1"/>
  <c r="AH97" i="18"/>
  <c r="AN97" i="18" s="1"/>
  <c r="AG97" i="18"/>
  <c r="AM97" i="18" s="1"/>
  <c r="F97" i="18"/>
  <c r="E97" i="18"/>
  <c r="D97" i="18"/>
  <c r="AJ96" i="18"/>
  <c r="AP96" i="18" s="1"/>
  <c r="AI96" i="18"/>
  <c r="AO96" i="18" s="1"/>
  <c r="AH96" i="18"/>
  <c r="AN96" i="18" s="1"/>
  <c r="AG96" i="18"/>
  <c r="F96" i="18"/>
  <c r="E96" i="18"/>
  <c r="D96" i="18"/>
  <c r="AJ95" i="18"/>
  <c r="AP95" i="18" s="1"/>
  <c r="AI95" i="18"/>
  <c r="AO95" i="18" s="1"/>
  <c r="AH95" i="18"/>
  <c r="AN95" i="18" s="1"/>
  <c r="AG95" i="18"/>
  <c r="AM95" i="18" s="1"/>
  <c r="F95" i="18"/>
  <c r="E95" i="18"/>
  <c r="D95" i="18"/>
  <c r="AJ94" i="18"/>
  <c r="AP94" i="18" s="1"/>
  <c r="AI94" i="18"/>
  <c r="AO94" i="18" s="1"/>
  <c r="AH94" i="18"/>
  <c r="AN94" i="18" s="1"/>
  <c r="AG94" i="18"/>
  <c r="AM94" i="18" s="1"/>
  <c r="F94" i="18"/>
  <c r="E94" i="18"/>
  <c r="D94" i="18"/>
  <c r="AP93" i="18"/>
  <c r="AJ93" i="18"/>
  <c r="AI93" i="18"/>
  <c r="AO93" i="18" s="1"/>
  <c r="AH93" i="18"/>
  <c r="AN93" i="18" s="1"/>
  <c r="AG93" i="18"/>
  <c r="F93" i="18"/>
  <c r="E93" i="18"/>
  <c r="D93" i="18"/>
  <c r="AJ92" i="18"/>
  <c r="AP92" i="18" s="1"/>
  <c r="AI92" i="18"/>
  <c r="AO92" i="18" s="1"/>
  <c r="AH92" i="18"/>
  <c r="AN92" i="18" s="1"/>
  <c r="AG92" i="18"/>
  <c r="AM92" i="18" s="1"/>
  <c r="F92" i="18"/>
  <c r="E92" i="18"/>
  <c r="D92" i="18"/>
  <c r="AJ91" i="18"/>
  <c r="AP91" i="18" s="1"/>
  <c r="AI91" i="18"/>
  <c r="AO91" i="18" s="1"/>
  <c r="AH91" i="18"/>
  <c r="AN91" i="18" s="1"/>
  <c r="AG91" i="18"/>
  <c r="AM91" i="18" s="1"/>
  <c r="F91" i="18"/>
  <c r="E91" i="18"/>
  <c r="D91" i="18"/>
  <c r="AJ90" i="18"/>
  <c r="AP90" i="18" s="1"/>
  <c r="AI90" i="18"/>
  <c r="AO90" i="18" s="1"/>
  <c r="AH90" i="18"/>
  <c r="AN90" i="18" s="1"/>
  <c r="AG90" i="18"/>
  <c r="AM90" i="18" s="1"/>
  <c r="F90" i="18"/>
  <c r="E90" i="18"/>
  <c r="D90" i="18"/>
  <c r="AJ89" i="18"/>
  <c r="AP89" i="18" s="1"/>
  <c r="AI89" i="18"/>
  <c r="AO89" i="18" s="1"/>
  <c r="AH89" i="18"/>
  <c r="AN89" i="18" s="1"/>
  <c r="AG89" i="18"/>
  <c r="AM89" i="18" s="1"/>
  <c r="F89" i="18"/>
  <c r="E89" i="18"/>
  <c r="D89" i="18"/>
  <c r="AJ88" i="18"/>
  <c r="AP88" i="18" s="1"/>
  <c r="AI88" i="18"/>
  <c r="AO88" i="18" s="1"/>
  <c r="AH88" i="18"/>
  <c r="AN88" i="18" s="1"/>
  <c r="AG88" i="18"/>
  <c r="AM88" i="18" s="1"/>
  <c r="F88" i="18"/>
  <c r="E88" i="18"/>
  <c r="D88" i="18"/>
  <c r="AJ87" i="18"/>
  <c r="AP87" i="18" s="1"/>
  <c r="AI87" i="18"/>
  <c r="AO87" i="18" s="1"/>
  <c r="AH87" i="18"/>
  <c r="AN87" i="18" s="1"/>
  <c r="AG87" i="18"/>
  <c r="F87" i="18"/>
  <c r="E87" i="18"/>
  <c r="D87" i="18"/>
  <c r="AJ86" i="18"/>
  <c r="AP86" i="18" s="1"/>
  <c r="AI86" i="18"/>
  <c r="AO86" i="18" s="1"/>
  <c r="AH86" i="18"/>
  <c r="AN86" i="18" s="1"/>
  <c r="AG86" i="18"/>
  <c r="AK86" i="18" s="1"/>
  <c r="AQ86" i="18" s="1"/>
  <c r="F86" i="18"/>
  <c r="E86" i="18"/>
  <c r="D86" i="18"/>
  <c r="AO85" i="18"/>
  <c r="AJ85" i="18"/>
  <c r="AP85" i="18" s="1"/>
  <c r="AI85" i="18"/>
  <c r="AH85" i="18"/>
  <c r="AN85" i="18" s="1"/>
  <c r="AG85" i="18"/>
  <c r="AM85" i="18" s="1"/>
  <c r="F85" i="18"/>
  <c r="E85" i="18"/>
  <c r="D85" i="18"/>
  <c r="AJ84" i="18"/>
  <c r="AP84" i="18" s="1"/>
  <c r="AI84" i="18"/>
  <c r="AO84" i="18" s="1"/>
  <c r="AH84" i="18"/>
  <c r="AN84" i="18" s="1"/>
  <c r="AG84" i="18"/>
  <c r="AM84" i="18" s="1"/>
  <c r="F84" i="18"/>
  <c r="E84" i="18"/>
  <c r="D84" i="18"/>
  <c r="AJ83" i="18"/>
  <c r="AP83" i="18" s="1"/>
  <c r="AI83" i="18"/>
  <c r="AO83" i="18" s="1"/>
  <c r="AH83" i="18"/>
  <c r="AN83" i="18" s="1"/>
  <c r="AG83" i="18"/>
  <c r="F83" i="18"/>
  <c r="E83" i="18"/>
  <c r="D83" i="18"/>
  <c r="AJ82" i="18"/>
  <c r="AP82" i="18" s="1"/>
  <c r="AI82" i="18"/>
  <c r="AO82" i="18" s="1"/>
  <c r="AH82" i="18"/>
  <c r="AN82" i="18" s="1"/>
  <c r="AG82" i="18"/>
  <c r="F82" i="18"/>
  <c r="E82" i="18"/>
  <c r="D82" i="18"/>
  <c r="AJ81" i="18"/>
  <c r="AP81" i="18" s="1"/>
  <c r="AI81" i="18"/>
  <c r="AO81" i="18" s="1"/>
  <c r="AH81" i="18"/>
  <c r="AN81" i="18" s="1"/>
  <c r="AG81" i="18"/>
  <c r="F81" i="18"/>
  <c r="E81" i="18"/>
  <c r="D81" i="18"/>
  <c r="AJ80" i="18"/>
  <c r="AP80" i="18" s="1"/>
  <c r="AI80" i="18"/>
  <c r="AO80" i="18" s="1"/>
  <c r="AH80" i="18"/>
  <c r="AN80" i="18" s="1"/>
  <c r="AG80" i="18"/>
  <c r="AM80" i="18" s="1"/>
  <c r="F80" i="18"/>
  <c r="E80" i="18"/>
  <c r="D80" i="18"/>
  <c r="AJ79" i="18"/>
  <c r="AP79" i="18" s="1"/>
  <c r="AI79" i="18"/>
  <c r="AO79" i="18" s="1"/>
  <c r="AH79" i="18"/>
  <c r="AN79" i="18" s="1"/>
  <c r="AG79" i="18"/>
  <c r="AM79" i="18" s="1"/>
  <c r="F79" i="18"/>
  <c r="E79" i="18"/>
  <c r="D79" i="18"/>
  <c r="AJ78" i="18"/>
  <c r="AP78" i="18" s="1"/>
  <c r="AI78" i="18"/>
  <c r="AO78" i="18" s="1"/>
  <c r="AH78" i="18"/>
  <c r="AN78" i="18" s="1"/>
  <c r="AG78" i="18"/>
  <c r="AM78" i="18" s="1"/>
  <c r="F78" i="18"/>
  <c r="E78" i="18"/>
  <c r="D78" i="18"/>
  <c r="AJ77" i="18"/>
  <c r="AP77" i="18" s="1"/>
  <c r="AI77" i="18"/>
  <c r="AO77" i="18" s="1"/>
  <c r="AH77" i="18"/>
  <c r="AN77" i="18" s="1"/>
  <c r="AG77" i="18"/>
  <c r="F77" i="18"/>
  <c r="E77" i="18"/>
  <c r="D77" i="18"/>
  <c r="AJ76" i="18"/>
  <c r="AP76" i="18" s="1"/>
  <c r="AI76" i="18"/>
  <c r="AO76" i="18" s="1"/>
  <c r="AH76" i="18"/>
  <c r="AN76" i="18" s="1"/>
  <c r="AG76" i="18"/>
  <c r="F76" i="18"/>
  <c r="E76" i="18"/>
  <c r="D76" i="18"/>
  <c r="AJ75" i="18"/>
  <c r="AP75" i="18" s="1"/>
  <c r="AI75" i="18"/>
  <c r="AO75" i="18" s="1"/>
  <c r="AH75" i="18"/>
  <c r="AN75" i="18" s="1"/>
  <c r="AG75" i="18"/>
  <c r="AM75" i="18" s="1"/>
  <c r="F75" i="18"/>
  <c r="E75" i="18"/>
  <c r="D75" i="18"/>
  <c r="AJ74" i="18"/>
  <c r="AP74" i="18" s="1"/>
  <c r="AI74" i="18"/>
  <c r="AO74" i="18" s="1"/>
  <c r="AH74" i="18"/>
  <c r="AN74" i="18" s="1"/>
  <c r="AG74" i="18"/>
  <c r="AM74" i="18" s="1"/>
  <c r="F74" i="18"/>
  <c r="E74" i="18"/>
  <c r="D74" i="18"/>
  <c r="AO73" i="18"/>
  <c r="AJ73" i="18"/>
  <c r="AP73" i="18" s="1"/>
  <c r="AI73" i="18"/>
  <c r="AH73" i="18"/>
  <c r="AN73" i="18" s="1"/>
  <c r="AG73" i="18"/>
  <c r="AM73" i="18" s="1"/>
  <c r="F73" i="18"/>
  <c r="E73" i="18"/>
  <c r="D73" i="18"/>
  <c r="AP72" i="18"/>
  <c r="AJ72" i="18"/>
  <c r="AI72" i="18"/>
  <c r="AO72" i="18" s="1"/>
  <c r="AH72" i="18"/>
  <c r="AN72" i="18" s="1"/>
  <c r="AG72" i="18"/>
  <c r="F72" i="18"/>
  <c r="E72" i="18"/>
  <c r="D72" i="18"/>
  <c r="AJ71" i="18"/>
  <c r="AP71" i="18" s="1"/>
  <c r="AI71" i="18"/>
  <c r="AO71" i="18" s="1"/>
  <c r="AH71" i="18"/>
  <c r="AN71" i="18" s="1"/>
  <c r="AG71" i="18"/>
  <c r="F71" i="18"/>
  <c r="E71" i="18"/>
  <c r="D71" i="18"/>
  <c r="AN70" i="18"/>
  <c r="AJ70" i="18"/>
  <c r="AP70" i="18" s="1"/>
  <c r="AI70" i="18"/>
  <c r="AO70" i="18" s="1"/>
  <c r="AH70" i="18"/>
  <c r="AG70" i="18"/>
  <c r="AM70" i="18" s="1"/>
  <c r="F70" i="18"/>
  <c r="E70" i="18"/>
  <c r="D70" i="18"/>
  <c r="AO69" i="18"/>
  <c r="AJ69" i="18"/>
  <c r="AP69" i="18" s="1"/>
  <c r="AI69" i="18"/>
  <c r="AH69" i="18"/>
  <c r="AN69" i="18" s="1"/>
  <c r="AG69" i="18"/>
  <c r="AM69" i="18" s="1"/>
  <c r="F69" i="18"/>
  <c r="E69" i="18"/>
  <c r="D69" i="18"/>
  <c r="AP68" i="18"/>
  <c r="AJ68" i="18"/>
  <c r="AI68" i="18"/>
  <c r="AO68" i="18" s="1"/>
  <c r="AH68" i="18"/>
  <c r="AN68" i="18" s="1"/>
  <c r="AG68" i="18"/>
  <c r="AM68" i="18" s="1"/>
  <c r="F68" i="18"/>
  <c r="E68" i="18"/>
  <c r="D68" i="18"/>
  <c r="AJ67" i="18"/>
  <c r="AP67" i="18" s="1"/>
  <c r="AI67" i="18"/>
  <c r="AO67" i="18" s="1"/>
  <c r="AH67" i="18"/>
  <c r="AN67" i="18" s="1"/>
  <c r="AG67" i="18"/>
  <c r="AK67" i="18" s="1"/>
  <c r="AQ67" i="18" s="1"/>
  <c r="F67" i="18"/>
  <c r="E67" i="18"/>
  <c r="D67" i="18"/>
  <c r="AJ66" i="18"/>
  <c r="AP66" i="18" s="1"/>
  <c r="AI66" i="18"/>
  <c r="AO66" i="18" s="1"/>
  <c r="AH66" i="18"/>
  <c r="AN66" i="18" s="1"/>
  <c r="AG66" i="18"/>
  <c r="AM66" i="18" s="1"/>
  <c r="F66" i="18"/>
  <c r="E66" i="18"/>
  <c r="D66" i="18"/>
  <c r="AJ65" i="18"/>
  <c r="AP65" i="18" s="1"/>
  <c r="AI65" i="18"/>
  <c r="AO65" i="18" s="1"/>
  <c r="AH65" i="18"/>
  <c r="AN65" i="18" s="1"/>
  <c r="AG65" i="18"/>
  <c r="AM65" i="18" s="1"/>
  <c r="F65" i="18"/>
  <c r="E65" i="18"/>
  <c r="D65" i="18"/>
  <c r="AJ64" i="18"/>
  <c r="AP64" i="18" s="1"/>
  <c r="AI64" i="18"/>
  <c r="AO64" i="18" s="1"/>
  <c r="AH64" i="18"/>
  <c r="AN64" i="18" s="1"/>
  <c r="AG64" i="18"/>
  <c r="AM64" i="18" s="1"/>
  <c r="F64" i="18"/>
  <c r="E64" i="18"/>
  <c r="D64" i="18"/>
  <c r="AJ63" i="18"/>
  <c r="AP63" i="18" s="1"/>
  <c r="AI63" i="18"/>
  <c r="AO63" i="18" s="1"/>
  <c r="AH63" i="18"/>
  <c r="AN63" i="18" s="1"/>
  <c r="AG63" i="18"/>
  <c r="F63" i="18"/>
  <c r="E63" i="18"/>
  <c r="D63" i="18"/>
  <c r="AJ62" i="18"/>
  <c r="AP62" i="18" s="1"/>
  <c r="AI62" i="18"/>
  <c r="AO62" i="18" s="1"/>
  <c r="AH62" i="18"/>
  <c r="AN62" i="18" s="1"/>
  <c r="AG62" i="18"/>
  <c r="AK62" i="18" s="1"/>
  <c r="AQ62" i="18" s="1"/>
  <c r="F62" i="18"/>
  <c r="E62" i="18"/>
  <c r="D62" i="18"/>
  <c r="AO61" i="18"/>
  <c r="AJ61" i="18"/>
  <c r="AP61" i="18" s="1"/>
  <c r="AI61" i="18"/>
  <c r="AH61" i="18"/>
  <c r="AN61" i="18" s="1"/>
  <c r="AG61" i="18"/>
  <c r="AM61" i="18" s="1"/>
  <c r="F61" i="18"/>
  <c r="E61" i="18"/>
  <c r="D61" i="18"/>
  <c r="AJ60" i="18"/>
  <c r="AP60" i="18" s="1"/>
  <c r="AI60" i="18"/>
  <c r="AO60" i="18" s="1"/>
  <c r="AH60" i="18"/>
  <c r="AN60" i="18" s="1"/>
  <c r="AG60" i="18"/>
  <c r="AM60" i="18" s="1"/>
  <c r="F60" i="18"/>
  <c r="E60" i="18"/>
  <c r="D60" i="18"/>
  <c r="AJ59" i="18"/>
  <c r="AP59" i="18" s="1"/>
  <c r="AI59" i="18"/>
  <c r="AO59" i="18" s="1"/>
  <c r="AH59" i="18"/>
  <c r="AN59" i="18" s="1"/>
  <c r="AG59" i="18"/>
  <c r="AM59" i="18" s="1"/>
  <c r="F59" i="18"/>
  <c r="E59" i="18"/>
  <c r="D59" i="18"/>
  <c r="AO58" i="18"/>
  <c r="AJ58" i="18"/>
  <c r="AP58" i="18" s="1"/>
  <c r="AI58" i="18"/>
  <c r="AH58" i="18"/>
  <c r="AN58" i="18" s="1"/>
  <c r="AG58" i="18"/>
  <c r="AM58" i="18" s="1"/>
  <c r="F58" i="18"/>
  <c r="E58" i="18"/>
  <c r="D58" i="18"/>
  <c r="AJ57" i="18"/>
  <c r="AP57" i="18" s="1"/>
  <c r="AI57" i="18"/>
  <c r="AO57" i="18" s="1"/>
  <c r="AH57" i="18"/>
  <c r="AN57" i="18" s="1"/>
  <c r="AG57" i="18"/>
  <c r="AM57" i="18" s="1"/>
  <c r="F57" i="18"/>
  <c r="E57" i="18"/>
  <c r="D57" i="18"/>
  <c r="AJ56" i="18"/>
  <c r="AP56" i="18" s="1"/>
  <c r="AI56" i="18"/>
  <c r="AO56" i="18" s="1"/>
  <c r="AH56" i="18"/>
  <c r="AN56" i="18" s="1"/>
  <c r="AG56" i="18"/>
  <c r="AM56" i="18" s="1"/>
  <c r="F56" i="18"/>
  <c r="E56" i="18"/>
  <c r="D56" i="18"/>
  <c r="AJ55" i="18"/>
  <c r="AP55" i="18" s="1"/>
  <c r="AI55" i="18"/>
  <c r="AO55" i="18" s="1"/>
  <c r="AH55" i="18"/>
  <c r="AN55" i="18" s="1"/>
  <c r="AG55" i="18"/>
  <c r="AM55" i="18" s="1"/>
  <c r="F55" i="18"/>
  <c r="E55" i="18"/>
  <c r="D55" i="18"/>
  <c r="AO54" i="18"/>
  <c r="AJ54" i="18"/>
  <c r="AP54" i="18" s="1"/>
  <c r="AI54" i="18"/>
  <c r="AH54" i="18"/>
  <c r="AN54" i="18" s="1"/>
  <c r="AG54" i="18"/>
  <c r="AM54" i="18" s="1"/>
  <c r="F54" i="18"/>
  <c r="E54" i="18"/>
  <c r="D54" i="18"/>
  <c r="AP53" i="18"/>
  <c r="AJ53" i="18"/>
  <c r="AI53" i="18"/>
  <c r="AO53" i="18" s="1"/>
  <c r="AH53" i="18"/>
  <c r="AN53" i="18" s="1"/>
  <c r="AG53" i="18"/>
  <c r="AM53" i="18" s="1"/>
  <c r="F53" i="18"/>
  <c r="E53" i="18"/>
  <c r="D53" i="18"/>
  <c r="AJ52" i="18"/>
  <c r="AP52" i="18" s="1"/>
  <c r="AI52" i="18"/>
  <c r="AO52" i="18" s="1"/>
  <c r="AH52" i="18"/>
  <c r="AN52" i="18" s="1"/>
  <c r="AG52" i="18"/>
  <c r="AM52" i="18" s="1"/>
  <c r="F52" i="18"/>
  <c r="E52" i="18"/>
  <c r="D52" i="18"/>
  <c r="AJ51" i="18"/>
  <c r="AP51" i="18" s="1"/>
  <c r="AI51" i="18"/>
  <c r="AO51" i="18" s="1"/>
  <c r="AH51" i="18"/>
  <c r="AN51" i="18" s="1"/>
  <c r="AG51" i="18"/>
  <c r="AM51" i="18" s="1"/>
  <c r="F51" i="18"/>
  <c r="E51" i="18"/>
  <c r="D51" i="18"/>
  <c r="AO50" i="18"/>
  <c r="AJ50" i="18"/>
  <c r="AP50" i="18" s="1"/>
  <c r="AI50" i="18"/>
  <c r="AH50" i="18"/>
  <c r="AN50" i="18" s="1"/>
  <c r="AG50" i="18"/>
  <c r="AM50" i="18" s="1"/>
  <c r="F50" i="18"/>
  <c r="E50" i="18"/>
  <c r="D50" i="18"/>
  <c r="AN49" i="18"/>
  <c r="AJ49" i="18"/>
  <c r="AP49" i="18" s="1"/>
  <c r="AI49" i="18"/>
  <c r="AO49" i="18" s="1"/>
  <c r="AH49" i="18"/>
  <c r="AG49" i="18"/>
  <c r="AM49" i="18" s="1"/>
  <c r="F49" i="18"/>
  <c r="E49" i="18"/>
  <c r="D49" i="18"/>
  <c r="AJ48" i="18"/>
  <c r="AP48" i="18" s="1"/>
  <c r="AI48" i="18"/>
  <c r="AO48" i="18" s="1"/>
  <c r="AH48" i="18"/>
  <c r="AN48" i="18" s="1"/>
  <c r="AG48" i="18"/>
  <c r="F48" i="18"/>
  <c r="E48" i="18"/>
  <c r="D48" i="18"/>
  <c r="AJ47" i="18"/>
  <c r="AP47" i="18" s="1"/>
  <c r="AI47" i="18"/>
  <c r="AO47" i="18" s="1"/>
  <c r="AH47" i="18"/>
  <c r="AN47" i="18" s="1"/>
  <c r="AG47" i="18"/>
  <c r="AM47" i="18" s="1"/>
  <c r="F47" i="18"/>
  <c r="E47" i="18"/>
  <c r="D47" i="18"/>
  <c r="AN46" i="18"/>
  <c r="AJ46" i="18"/>
  <c r="AP46" i="18" s="1"/>
  <c r="AI46" i="18"/>
  <c r="AO46" i="18" s="1"/>
  <c r="AH46" i="18"/>
  <c r="AG46" i="18"/>
  <c r="AM46" i="18" s="1"/>
  <c r="F46" i="18"/>
  <c r="E46" i="18"/>
  <c r="D46" i="18"/>
  <c r="AN45" i="18"/>
  <c r="AJ45" i="18"/>
  <c r="AP45" i="18" s="1"/>
  <c r="AI45" i="18"/>
  <c r="AO45" i="18" s="1"/>
  <c r="AH45" i="18"/>
  <c r="AG45" i="18"/>
  <c r="AM45" i="18" s="1"/>
  <c r="F45" i="18"/>
  <c r="E45" i="18"/>
  <c r="D45" i="18"/>
  <c r="AJ44" i="18"/>
  <c r="AP44" i="18" s="1"/>
  <c r="AI44" i="18"/>
  <c r="AO44" i="18" s="1"/>
  <c r="AH44" i="18"/>
  <c r="AN44" i="18" s="1"/>
  <c r="AG44" i="18"/>
  <c r="F44" i="18"/>
  <c r="E44" i="18"/>
  <c r="D44" i="18"/>
  <c r="AJ43" i="18"/>
  <c r="AP43" i="18" s="1"/>
  <c r="AI43" i="18"/>
  <c r="AO43" i="18" s="1"/>
  <c r="AH43" i="18"/>
  <c r="AN43" i="18" s="1"/>
  <c r="AG43" i="18"/>
  <c r="F43" i="18"/>
  <c r="E43" i="18"/>
  <c r="D43" i="18"/>
  <c r="AJ42" i="18"/>
  <c r="AP42" i="18" s="1"/>
  <c r="AI42" i="18"/>
  <c r="AO42" i="18" s="1"/>
  <c r="AH42" i="18"/>
  <c r="AN42" i="18" s="1"/>
  <c r="AG42" i="18"/>
  <c r="F42" i="18"/>
  <c r="E42" i="18"/>
  <c r="D42" i="18"/>
  <c r="AJ41" i="18"/>
  <c r="AP41" i="18" s="1"/>
  <c r="AI41" i="18"/>
  <c r="AO41" i="18" s="1"/>
  <c r="AH41" i="18"/>
  <c r="AN41" i="18" s="1"/>
  <c r="AG41" i="18"/>
  <c r="AK41" i="18" s="1"/>
  <c r="AQ41" i="18" s="1"/>
  <c r="F41" i="18"/>
  <c r="E41" i="18"/>
  <c r="D41" i="18"/>
  <c r="AP40" i="18"/>
  <c r="AJ40" i="18"/>
  <c r="AI40" i="18"/>
  <c r="AO40" i="18" s="1"/>
  <c r="AH40" i="18"/>
  <c r="AN40" i="18" s="1"/>
  <c r="AG40" i="18"/>
  <c r="F40" i="18"/>
  <c r="E40" i="18"/>
  <c r="D40" i="18"/>
  <c r="AJ39" i="18"/>
  <c r="AP39" i="18" s="1"/>
  <c r="AI39" i="18"/>
  <c r="AO39" i="18" s="1"/>
  <c r="AH39" i="18"/>
  <c r="AN39" i="18" s="1"/>
  <c r="AG39" i="18"/>
  <c r="F39" i="18"/>
  <c r="E39" i="18"/>
  <c r="D39" i="18"/>
  <c r="AJ38" i="18"/>
  <c r="AP38" i="18" s="1"/>
  <c r="AI38" i="18"/>
  <c r="AO38" i="18" s="1"/>
  <c r="AH38" i="18"/>
  <c r="AN38" i="18" s="1"/>
  <c r="AG38" i="18"/>
  <c r="AK38" i="18" s="1"/>
  <c r="F38" i="18"/>
  <c r="E38" i="18"/>
  <c r="D38" i="18"/>
  <c r="AP37" i="18"/>
  <c r="AJ37" i="18"/>
  <c r="AI37" i="18"/>
  <c r="AO37" i="18" s="1"/>
  <c r="AH37" i="18"/>
  <c r="AN37" i="18" s="1"/>
  <c r="AG37" i="18"/>
  <c r="F37" i="18"/>
  <c r="E37" i="18"/>
  <c r="D37" i="18"/>
  <c r="AJ36" i="18"/>
  <c r="AP36" i="18" s="1"/>
  <c r="AI36" i="18"/>
  <c r="AO36" i="18" s="1"/>
  <c r="AH36" i="18"/>
  <c r="AN36" i="18" s="1"/>
  <c r="AG36" i="18"/>
  <c r="F36" i="18"/>
  <c r="E36" i="18"/>
  <c r="D36" i="18"/>
  <c r="AJ35" i="18"/>
  <c r="AP35" i="18" s="1"/>
  <c r="AI35" i="18"/>
  <c r="AO35" i="18" s="1"/>
  <c r="AH35" i="18"/>
  <c r="AN35" i="18" s="1"/>
  <c r="AG35" i="18"/>
  <c r="F35" i="18"/>
  <c r="E35" i="18"/>
  <c r="D35" i="18"/>
  <c r="AJ34" i="18"/>
  <c r="AP34" i="18" s="1"/>
  <c r="AI34" i="18"/>
  <c r="AO34" i="18" s="1"/>
  <c r="AH34" i="18"/>
  <c r="AN34" i="18" s="1"/>
  <c r="AG34" i="18"/>
  <c r="F34" i="18"/>
  <c r="E34" i="18"/>
  <c r="D34" i="18"/>
  <c r="AP33" i="18"/>
  <c r="AJ33" i="18"/>
  <c r="AI33" i="18"/>
  <c r="AO33" i="18" s="1"/>
  <c r="AH33" i="18"/>
  <c r="AN33" i="18" s="1"/>
  <c r="AG33" i="18"/>
  <c r="F33" i="18"/>
  <c r="E33" i="18"/>
  <c r="D33" i="18"/>
  <c r="AJ32" i="18"/>
  <c r="AP32" i="18" s="1"/>
  <c r="AI32" i="18"/>
  <c r="AO32" i="18" s="1"/>
  <c r="AH32" i="18"/>
  <c r="AN32" i="18" s="1"/>
  <c r="AG32" i="18"/>
  <c r="F32" i="18"/>
  <c r="E32" i="18"/>
  <c r="D32" i="18"/>
  <c r="AJ31" i="18"/>
  <c r="AP31" i="18" s="1"/>
  <c r="AI31" i="18"/>
  <c r="AO31" i="18" s="1"/>
  <c r="AH31" i="18"/>
  <c r="AN31" i="18" s="1"/>
  <c r="AG31" i="18"/>
  <c r="AK31" i="18" s="1"/>
  <c r="AQ31" i="18" s="1"/>
  <c r="F31" i="18"/>
  <c r="E31" i="18"/>
  <c r="D31" i="18"/>
  <c r="AP30" i="18"/>
  <c r="AJ30" i="18"/>
  <c r="AI30" i="18"/>
  <c r="AO30" i="18" s="1"/>
  <c r="AH30" i="18"/>
  <c r="AN30" i="18" s="1"/>
  <c r="AG30" i="18"/>
  <c r="F30" i="18"/>
  <c r="E30" i="18"/>
  <c r="D30" i="18"/>
  <c r="AJ29" i="18"/>
  <c r="AP29" i="18" s="1"/>
  <c r="AI29" i="18"/>
  <c r="AO29" i="18" s="1"/>
  <c r="AH29" i="18"/>
  <c r="AN29" i="18" s="1"/>
  <c r="AG29" i="18"/>
  <c r="F29" i="18"/>
  <c r="E29" i="18"/>
  <c r="D29" i="18"/>
  <c r="AJ28" i="18"/>
  <c r="AP28" i="18" s="1"/>
  <c r="AI28" i="18"/>
  <c r="AO28" i="18" s="1"/>
  <c r="AH28" i="18"/>
  <c r="AN28" i="18" s="1"/>
  <c r="AG28" i="18"/>
  <c r="AM28" i="18" s="1"/>
  <c r="F28" i="18"/>
  <c r="E28" i="18"/>
  <c r="D28" i="18"/>
  <c r="AJ27" i="18"/>
  <c r="AP27" i="18" s="1"/>
  <c r="AI27" i="18"/>
  <c r="AO27" i="18" s="1"/>
  <c r="AH27" i="18"/>
  <c r="AN27" i="18" s="1"/>
  <c r="AG27" i="18"/>
  <c r="F27" i="18"/>
  <c r="E27" i="18"/>
  <c r="D27" i="18"/>
  <c r="AJ26" i="18"/>
  <c r="AP26" i="18" s="1"/>
  <c r="AI26" i="18"/>
  <c r="AO26" i="18" s="1"/>
  <c r="AH26" i="18"/>
  <c r="AN26" i="18" s="1"/>
  <c r="AG26" i="18"/>
  <c r="AM26" i="18" s="1"/>
  <c r="F26" i="18"/>
  <c r="E26" i="18"/>
  <c r="D26" i="18"/>
  <c r="AJ25" i="18"/>
  <c r="AP25" i="18" s="1"/>
  <c r="AI25" i="18"/>
  <c r="AO25" i="18" s="1"/>
  <c r="AH25" i="18"/>
  <c r="AN25" i="18" s="1"/>
  <c r="AG25" i="18"/>
  <c r="AM25" i="18" s="1"/>
  <c r="AJ24" i="18"/>
  <c r="AP24" i="18" s="1"/>
  <c r="AI24" i="18"/>
  <c r="AO24" i="18" s="1"/>
  <c r="AH24" i="18"/>
  <c r="AN24" i="18" s="1"/>
  <c r="AG24" i="18"/>
  <c r="AM24" i="18" s="1"/>
  <c r="F24" i="18"/>
  <c r="E24" i="18"/>
  <c r="D24" i="18"/>
  <c r="AJ23" i="18"/>
  <c r="AP23" i="18" s="1"/>
  <c r="AI23" i="18"/>
  <c r="AO23" i="18" s="1"/>
  <c r="AH23" i="18"/>
  <c r="AN23" i="18" s="1"/>
  <c r="AG23" i="18"/>
  <c r="AM23" i="18" s="1"/>
  <c r="F23" i="18"/>
  <c r="E23" i="18"/>
  <c r="D23" i="18"/>
  <c r="AJ22" i="18"/>
  <c r="AP22" i="18" s="1"/>
  <c r="AI22" i="18"/>
  <c r="AO22" i="18" s="1"/>
  <c r="AH22" i="18"/>
  <c r="AN22" i="18" s="1"/>
  <c r="AG22" i="18"/>
  <c r="AM22" i="18" s="1"/>
  <c r="F22" i="18"/>
  <c r="E22" i="18"/>
  <c r="D22" i="18"/>
  <c r="AJ21" i="18"/>
  <c r="AP21" i="18" s="1"/>
  <c r="AI21" i="18"/>
  <c r="AO21" i="18" s="1"/>
  <c r="AH21" i="18"/>
  <c r="AN21" i="18" s="1"/>
  <c r="AG21" i="18"/>
  <c r="F21" i="18"/>
  <c r="E21" i="18"/>
  <c r="D21" i="18"/>
  <c r="AJ20" i="18"/>
  <c r="AP20" i="18" s="1"/>
  <c r="AI20" i="18"/>
  <c r="AO20" i="18" s="1"/>
  <c r="AH20" i="18"/>
  <c r="AN20" i="18" s="1"/>
  <c r="AG20" i="18"/>
  <c r="F20" i="18"/>
  <c r="E20" i="18"/>
  <c r="D20" i="18"/>
  <c r="AJ19" i="18"/>
  <c r="AP19" i="18" s="1"/>
  <c r="AI19" i="18"/>
  <c r="AO19" i="18" s="1"/>
  <c r="AH19" i="18"/>
  <c r="AN19" i="18" s="1"/>
  <c r="AG19" i="18"/>
  <c r="AM19" i="18" s="1"/>
  <c r="F19" i="18"/>
  <c r="E19" i="18"/>
  <c r="D19" i="18"/>
  <c r="AJ18" i="18"/>
  <c r="AP18" i="18" s="1"/>
  <c r="AI18" i="18"/>
  <c r="AO18" i="18" s="1"/>
  <c r="AH18" i="18"/>
  <c r="AN18" i="18" s="1"/>
  <c r="AG18" i="18"/>
  <c r="AM18" i="18" s="1"/>
  <c r="F18" i="18"/>
  <c r="E18" i="18"/>
  <c r="D18" i="18"/>
  <c r="AJ17" i="18"/>
  <c r="AP17" i="18" s="1"/>
  <c r="AI17" i="18"/>
  <c r="AO17" i="18" s="1"/>
  <c r="AH17" i="18"/>
  <c r="AN17" i="18" s="1"/>
  <c r="AG17" i="18"/>
  <c r="AK17" i="18" s="1"/>
  <c r="AU17" i="18" s="1"/>
  <c r="F17" i="18"/>
  <c r="E17" i="18"/>
  <c r="D17" i="18"/>
  <c r="AJ16" i="18"/>
  <c r="AP16" i="18" s="1"/>
  <c r="AI16" i="18"/>
  <c r="AO16" i="18" s="1"/>
  <c r="AH16" i="18"/>
  <c r="AN16" i="18" s="1"/>
  <c r="AG16" i="18"/>
  <c r="AM16" i="18" s="1"/>
  <c r="F16" i="18"/>
  <c r="E16" i="18"/>
  <c r="D16" i="18"/>
  <c r="AJ15" i="18"/>
  <c r="AP15" i="18" s="1"/>
  <c r="AI15" i="18"/>
  <c r="AO15" i="18" s="1"/>
  <c r="AH15" i="18"/>
  <c r="AN15" i="18" s="1"/>
  <c r="AG15" i="18"/>
  <c r="F15" i="18"/>
  <c r="E15" i="18"/>
  <c r="D15" i="18"/>
  <c r="AJ14" i="18"/>
  <c r="AP14" i="18" s="1"/>
  <c r="AI14" i="18"/>
  <c r="AO14" i="18" s="1"/>
  <c r="AH14" i="18"/>
  <c r="AN14" i="18" s="1"/>
  <c r="AG14" i="18"/>
  <c r="F14" i="18"/>
  <c r="E14" i="18"/>
  <c r="D14" i="18"/>
  <c r="AJ13" i="18"/>
  <c r="AP13" i="18" s="1"/>
  <c r="AI13" i="18"/>
  <c r="AO13" i="18" s="1"/>
  <c r="AH13" i="18"/>
  <c r="AN13" i="18" s="1"/>
  <c r="AG13" i="18"/>
  <c r="F13" i="18"/>
  <c r="E13" i="18"/>
  <c r="D13" i="18"/>
  <c r="AJ12" i="18"/>
  <c r="AP12" i="18" s="1"/>
  <c r="AI12" i="18"/>
  <c r="AO12" i="18" s="1"/>
  <c r="AH12" i="18"/>
  <c r="AN12" i="18" s="1"/>
  <c r="AG12" i="18"/>
  <c r="F12" i="18"/>
  <c r="E12" i="18"/>
  <c r="D12" i="18"/>
  <c r="AJ11" i="18"/>
  <c r="AP11" i="18" s="1"/>
  <c r="AI11" i="18"/>
  <c r="AO11" i="18" s="1"/>
  <c r="AH11" i="18"/>
  <c r="AN11" i="18" s="1"/>
  <c r="AG11" i="18"/>
  <c r="F11" i="18"/>
  <c r="E11" i="18"/>
  <c r="D11" i="18"/>
  <c r="AJ10" i="18"/>
  <c r="AP10" i="18" s="1"/>
  <c r="AI10" i="18"/>
  <c r="AO10" i="18" s="1"/>
  <c r="AH10" i="18"/>
  <c r="AN10" i="18" s="1"/>
  <c r="AG10" i="18"/>
  <c r="F10" i="18"/>
  <c r="E10" i="18"/>
  <c r="D10" i="18"/>
  <c r="AJ9" i="18"/>
  <c r="AP9" i="18" s="1"/>
  <c r="AI9" i="18"/>
  <c r="AO9" i="18" s="1"/>
  <c r="AH9" i="18"/>
  <c r="AN9" i="18" s="1"/>
  <c r="AG9" i="18"/>
  <c r="F9" i="18"/>
  <c r="E9" i="18"/>
  <c r="D9" i="18"/>
  <c r="AJ8" i="18"/>
  <c r="AP8" i="18" s="1"/>
  <c r="AI8" i="18"/>
  <c r="AO8" i="18" s="1"/>
  <c r="AH8" i="18"/>
  <c r="AN8" i="18" s="1"/>
  <c r="AG8" i="18"/>
  <c r="AK8" i="18" s="1"/>
  <c r="F8" i="18"/>
  <c r="E8" i="18"/>
  <c r="D8" i="18"/>
  <c r="AS7" i="18"/>
  <c r="AJ7" i="18"/>
  <c r="AP7" i="18" s="1"/>
  <c r="AI7" i="18"/>
  <c r="AO7" i="18" s="1"/>
  <c r="AH7" i="18"/>
  <c r="AN7" i="18" s="1"/>
  <c r="AG7" i="18"/>
  <c r="F7" i="18"/>
  <c r="E7" i="18"/>
  <c r="D7" i="18"/>
  <c r="AJ6" i="18"/>
  <c r="AP6" i="18" s="1"/>
  <c r="AI6" i="18"/>
  <c r="AO6" i="18" s="1"/>
  <c r="AH6" i="18"/>
  <c r="AN6" i="18" s="1"/>
  <c r="AG6" i="18"/>
  <c r="F6" i="18"/>
  <c r="E6" i="18"/>
  <c r="D6" i="18"/>
  <c r="AJ5" i="18"/>
  <c r="AP5" i="18" s="1"/>
  <c r="AI5" i="18"/>
  <c r="AO5" i="18" s="1"/>
  <c r="AH5" i="18"/>
  <c r="AN5" i="18" s="1"/>
  <c r="AG5" i="18"/>
  <c r="F5" i="18"/>
  <c r="E5" i="18"/>
  <c r="D5" i="18"/>
  <c r="AJ4" i="18"/>
  <c r="AP4" i="18" s="1"/>
  <c r="AI4" i="18"/>
  <c r="AO4" i="18" s="1"/>
  <c r="AH4" i="18"/>
  <c r="AN4" i="18" s="1"/>
  <c r="AG4" i="18"/>
  <c r="F4" i="18"/>
  <c r="E4" i="18"/>
  <c r="D4" i="18"/>
  <c r="AJ3" i="18"/>
  <c r="AI3" i="18"/>
  <c r="AO3" i="18" s="1"/>
  <c r="AH3" i="18"/>
  <c r="AG3" i="18"/>
  <c r="AM3" i="18" s="1"/>
  <c r="F3" i="18"/>
  <c r="E3" i="18"/>
  <c r="D3" i="18"/>
  <c r="AT1" i="18"/>
  <c r="AS1" i="18"/>
  <c r="AR1" i="18"/>
  <c r="AQ1" i="18"/>
  <c r="AK12" i="18" l="1"/>
  <c r="AK27" i="18"/>
  <c r="AQ27" i="18" s="1"/>
  <c r="AK63" i="18"/>
  <c r="AQ63" i="18" s="1"/>
  <c r="AK76" i="18"/>
  <c r="AQ76" i="18" s="1"/>
  <c r="AK87" i="18"/>
  <c r="AQ87" i="18" s="1"/>
  <c r="AK93" i="18"/>
  <c r="AQ93" i="18" s="1"/>
  <c r="AK5" i="18"/>
  <c r="AK43" i="18"/>
  <c r="AQ43" i="18" s="1"/>
  <c r="AK77" i="18"/>
  <c r="AQ77" i="18" s="1"/>
  <c r="AK83" i="18"/>
  <c r="AQ83" i="18" s="1"/>
  <c r="AK101" i="18"/>
  <c r="AM12" i="18"/>
  <c r="AM101" i="18"/>
  <c r="AK6" i="18"/>
  <c r="AK9" i="18"/>
  <c r="AT9" i="18" s="1"/>
  <c r="AM9" i="18"/>
  <c r="AK13" i="18"/>
  <c r="AM13" i="18"/>
  <c r="AK20" i="18"/>
  <c r="AQ20" i="18" s="1"/>
  <c r="AM20" i="18"/>
  <c r="AK21" i="18"/>
  <c r="AQ21" i="18" s="1"/>
  <c r="AK34" i="18"/>
  <c r="AQ34" i="18" s="1"/>
  <c r="AM34" i="18"/>
  <c r="AM62" i="18"/>
  <c r="AK10" i="18"/>
  <c r="AM10" i="18"/>
  <c r="AK14" i="18"/>
  <c r="AT14" i="18" s="1"/>
  <c r="AM14" i="18"/>
  <c r="AK29" i="18"/>
  <c r="AQ29" i="18" s="1"/>
  <c r="AM29" i="18"/>
  <c r="AK32" i="18"/>
  <c r="AQ32" i="18" s="1"/>
  <c r="AM32" i="18"/>
  <c r="AK35" i="18"/>
  <c r="AQ35" i="18" s="1"/>
  <c r="AM35" i="18"/>
  <c r="AM76" i="18"/>
  <c r="AM175" i="18"/>
  <c r="AM8" i="18"/>
  <c r="AM17" i="18"/>
  <c r="AM27" i="18"/>
  <c r="AM31" i="18"/>
  <c r="AM41" i="18"/>
  <c r="AM43" i="18"/>
  <c r="AM86" i="18"/>
  <c r="AM93" i="18"/>
  <c r="AK7" i="18"/>
  <c r="AH185" i="18"/>
  <c r="AK4" i="18"/>
  <c r="AM4" i="18"/>
  <c r="AK11" i="18"/>
  <c r="AM11" i="18"/>
  <c r="AK15" i="18"/>
  <c r="AQ15" i="18" s="1"/>
  <c r="AM15" i="18"/>
  <c r="AK30" i="18"/>
  <c r="AQ30" i="18" s="1"/>
  <c r="AM30" i="18"/>
  <c r="AK33" i="18"/>
  <c r="AQ33" i="18" s="1"/>
  <c r="AM33" i="18"/>
  <c r="AM38" i="18"/>
  <c r="AK40" i="18"/>
  <c r="AM40" i="18"/>
  <c r="AM136" i="18"/>
  <c r="AM63" i="18"/>
  <c r="AM67" i="18"/>
  <c r="AM77" i="18"/>
  <c r="AM83" i="18"/>
  <c r="AM87" i="18"/>
  <c r="AM114" i="18"/>
  <c r="AM121" i="18"/>
  <c r="AM171" i="18"/>
  <c r="AK36" i="18"/>
  <c r="AM36" i="18"/>
  <c r="AK39" i="18"/>
  <c r="AQ39" i="18" s="1"/>
  <c r="AM39" i="18"/>
  <c r="AK44" i="18"/>
  <c r="AM44" i="18"/>
  <c r="AK48" i="18"/>
  <c r="AQ48" i="18" s="1"/>
  <c r="AM48" i="18"/>
  <c r="AK71" i="18"/>
  <c r="AQ71" i="18" s="1"/>
  <c r="AM71" i="18"/>
  <c r="AK81" i="18"/>
  <c r="AQ81" i="18" s="1"/>
  <c r="AM81" i="18"/>
  <c r="AK119" i="18"/>
  <c r="AQ119" i="18" s="1"/>
  <c r="AM119" i="18"/>
  <c r="AK134" i="18"/>
  <c r="AQ134" i="18" s="1"/>
  <c r="AM134" i="18"/>
  <c r="AK138" i="18"/>
  <c r="AQ138" i="18" s="1"/>
  <c r="AM138" i="18"/>
  <c r="AK178" i="18"/>
  <c r="AM178" i="18"/>
  <c r="AK37" i="18"/>
  <c r="AQ37" i="18" s="1"/>
  <c r="AM37" i="18"/>
  <c r="AK42" i="18"/>
  <c r="AU42" i="18" s="1"/>
  <c r="AM42" i="18"/>
  <c r="AK72" i="18"/>
  <c r="AQ72" i="18" s="1"/>
  <c r="AM72" i="18"/>
  <c r="AK82" i="18"/>
  <c r="AQ82" i="18" s="1"/>
  <c r="AM82" i="18"/>
  <c r="AK96" i="18"/>
  <c r="AM96" i="18"/>
  <c r="AK116" i="18"/>
  <c r="AQ116" i="18" s="1"/>
  <c r="AM116" i="18"/>
  <c r="AK156" i="18"/>
  <c r="AQ156" i="18" s="1"/>
  <c r="AM156" i="18"/>
  <c r="AK164" i="18"/>
  <c r="AQ164" i="18" s="1"/>
  <c r="AM164" i="18"/>
  <c r="AK173" i="18"/>
  <c r="AM173" i="18"/>
  <c r="AH190" i="18"/>
  <c r="AQ195" i="18" s="1"/>
  <c r="AQ4" i="18"/>
  <c r="AT11" i="18"/>
  <c r="AQ11" i="18"/>
  <c r="AU11" i="18"/>
  <c r="AT15" i="18"/>
  <c r="AT7" i="18"/>
  <c r="AU7" i="18"/>
  <c r="AQ7" i="18"/>
  <c r="AT10" i="18"/>
  <c r="AU10" i="18"/>
  <c r="AQ10" i="18"/>
  <c r="AU5" i="18"/>
  <c r="AT5" i="18"/>
  <c r="AQ5" i="18"/>
  <c r="AT8" i="18"/>
  <c r="AU8" i="18"/>
  <c r="AQ8" i="18"/>
  <c r="AT12" i="18"/>
  <c r="AQ12" i="18"/>
  <c r="AU12" i="18"/>
  <c r="AU6" i="18"/>
  <c r="AT6" i="18"/>
  <c r="AZ6" i="18" s="1"/>
  <c r="AQ6" i="18"/>
  <c r="AT13" i="18"/>
  <c r="AQ13" i="18"/>
  <c r="AU13" i="18"/>
  <c r="AT32" i="18"/>
  <c r="AQ44" i="18"/>
  <c r="AU44" i="18"/>
  <c r="AK50" i="18"/>
  <c r="AK54" i="18"/>
  <c r="AQ54" i="18" s="1"/>
  <c r="AK68" i="18"/>
  <c r="AQ68" i="18" s="1"/>
  <c r="AK73" i="18"/>
  <c r="AQ73" i="18" s="1"/>
  <c r="AK78" i="18"/>
  <c r="AQ78" i="18" s="1"/>
  <c r="AK141" i="18"/>
  <c r="AQ141" i="18" s="1"/>
  <c r="AI185" i="18"/>
  <c r="AN3" i="18"/>
  <c r="AN185" i="18" s="1"/>
  <c r="AM5" i="18"/>
  <c r="AM6" i="18"/>
  <c r="AM7" i="18"/>
  <c r="AK16" i="18"/>
  <c r="AK25" i="18"/>
  <c r="AQ25" i="18" s="1"/>
  <c r="AK28" i="18"/>
  <c r="AK53" i="18"/>
  <c r="AK57" i="18"/>
  <c r="AK66" i="18"/>
  <c r="AQ66" i="18" s="1"/>
  <c r="AQ96" i="18"/>
  <c r="AT96" i="18"/>
  <c r="AK99" i="18"/>
  <c r="AK105" i="18"/>
  <c r="AK113" i="18"/>
  <c r="AQ113" i="18" s="1"/>
  <c r="AU36" i="18"/>
  <c r="AT36" i="18"/>
  <c r="AU38" i="18"/>
  <c r="AT38" i="18"/>
  <c r="AU40" i="18"/>
  <c r="AT40" i="18"/>
  <c r="AK88" i="18"/>
  <c r="AQ88" i="18" s="1"/>
  <c r="AK90" i="18"/>
  <c r="AQ90" i="18" s="1"/>
  <c r="AO185" i="18"/>
  <c r="AQ17" i="18"/>
  <c r="AK19" i="18"/>
  <c r="AM21" i="18"/>
  <c r="AK24" i="18"/>
  <c r="AU31" i="18"/>
  <c r="AT31" i="18"/>
  <c r="AT33" i="18"/>
  <c r="AU35" i="18"/>
  <c r="AT35" i="18"/>
  <c r="AQ36" i="18"/>
  <c r="AU37" i="18"/>
  <c r="AT37" i="18"/>
  <c r="AQ38" i="18"/>
  <c r="AT39" i="18"/>
  <c r="AQ40" i="18"/>
  <c r="AU41" i="18"/>
  <c r="AT41" i="18"/>
  <c r="AQ42" i="18"/>
  <c r="AU43" i="18"/>
  <c r="AT43" i="18"/>
  <c r="AT44" i="18"/>
  <c r="AK45" i="18"/>
  <c r="AK47" i="18"/>
  <c r="AK49" i="18"/>
  <c r="AK52" i="18"/>
  <c r="AK59" i="18"/>
  <c r="AQ59" i="18" s="1"/>
  <c r="AK64" i="18"/>
  <c r="AQ64" i="18" s="1"/>
  <c r="AK84" i="18"/>
  <c r="AQ84" i="18" s="1"/>
  <c r="AK94" i="18"/>
  <c r="AQ94" i="18" s="1"/>
  <c r="AK123" i="18"/>
  <c r="AK125" i="18"/>
  <c r="AK127" i="18"/>
  <c r="AK129" i="18"/>
  <c r="AK131" i="18"/>
  <c r="AK133" i="18"/>
  <c r="AQ133" i="18" s="1"/>
  <c r="AK22" i="18"/>
  <c r="AU30" i="18"/>
  <c r="AT30" i="18"/>
  <c r="AU34" i="18"/>
  <c r="AT34" i="18"/>
  <c r="AQ101" i="18"/>
  <c r="AU101" i="18"/>
  <c r="AJ185" i="18"/>
  <c r="AP185" i="18" s="1"/>
  <c r="AG185" i="18"/>
  <c r="AK3" i="18"/>
  <c r="AP3" i="18"/>
  <c r="AT17" i="18"/>
  <c r="AZ17" i="18" s="1"/>
  <c r="AK18" i="18"/>
  <c r="AK23" i="18"/>
  <c r="AK51" i="18"/>
  <c r="AK58" i="18"/>
  <c r="AK92" i="18"/>
  <c r="AQ92" i="18" s="1"/>
  <c r="AU96" i="18"/>
  <c r="AK109" i="18"/>
  <c r="AK26" i="18"/>
  <c r="AQ26" i="18" s="1"/>
  <c r="AK46" i="18"/>
  <c r="AK55" i="18"/>
  <c r="AK56" i="18"/>
  <c r="AQ56" i="18" s="1"/>
  <c r="AK60" i="18"/>
  <c r="AK61" i="18"/>
  <c r="AQ61" i="18" s="1"/>
  <c r="AK65" i="18"/>
  <c r="AQ65" i="18" s="1"/>
  <c r="AK69" i="18"/>
  <c r="AK70" i="18"/>
  <c r="AQ70" i="18" s="1"/>
  <c r="AK74" i="18"/>
  <c r="AK75" i="18"/>
  <c r="AQ75" i="18" s="1"/>
  <c r="AK79" i="18"/>
  <c r="AK80" i="18"/>
  <c r="AQ80" i="18" s="1"/>
  <c r="AK85" i="18"/>
  <c r="AQ85" i="18" s="1"/>
  <c r="AK89" i="18"/>
  <c r="AK91" i="18"/>
  <c r="AQ91" i="18" s="1"/>
  <c r="AK95" i="18"/>
  <c r="AQ95" i="18" s="1"/>
  <c r="AK97" i="18"/>
  <c r="AK98" i="18"/>
  <c r="AK100" i="18"/>
  <c r="AK104" i="18"/>
  <c r="AK108" i="18"/>
  <c r="AU121" i="18"/>
  <c r="AQ121" i="18"/>
  <c r="AK182" i="18"/>
  <c r="AK103" i="18"/>
  <c r="AK107" i="18"/>
  <c r="AK112" i="18"/>
  <c r="AQ112" i="18" s="1"/>
  <c r="AK117" i="18"/>
  <c r="AK122" i="18"/>
  <c r="AQ122" i="18" s="1"/>
  <c r="AK137" i="18"/>
  <c r="AQ137" i="18" s="1"/>
  <c r="AK140" i="18"/>
  <c r="AQ140" i="18" s="1"/>
  <c r="AK102" i="18"/>
  <c r="AK106" i="18"/>
  <c r="AK110" i="18"/>
  <c r="AK120" i="18"/>
  <c r="AQ120" i="18" s="1"/>
  <c r="AK150" i="18"/>
  <c r="AQ150" i="18" s="1"/>
  <c r="AK144" i="18"/>
  <c r="AQ144" i="18" s="1"/>
  <c r="AK153" i="18"/>
  <c r="AQ153" i="18" s="1"/>
  <c r="AK157" i="18"/>
  <c r="AQ157" i="18" s="1"/>
  <c r="AK162" i="18"/>
  <c r="AQ162" i="18" s="1"/>
  <c r="AK165" i="18"/>
  <c r="AQ165" i="18" s="1"/>
  <c r="AK172" i="18"/>
  <c r="AK177" i="18"/>
  <c r="AM183" i="18"/>
  <c r="AG200" i="18"/>
  <c r="AQ190" i="18"/>
  <c r="AK111" i="18"/>
  <c r="AQ111" i="18" s="1"/>
  <c r="AK115" i="18"/>
  <c r="AQ115" i="18" s="1"/>
  <c r="AK118" i="18"/>
  <c r="AQ118" i="18" s="1"/>
  <c r="AK124" i="18"/>
  <c r="AK126" i="18"/>
  <c r="AK128" i="18"/>
  <c r="AK130" i="18"/>
  <c r="AK132" i="18"/>
  <c r="AK135" i="18"/>
  <c r="AQ135" i="18" s="1"/>
  <c r="AK139" i="18"/>
  <c r="AQ139" i="18" s="1"/>
  <c r="AK145" i="18"/>
  <c r="AQ145" i="18" s="1"/>
  <c r="AK154" i="18"/>
  <c r="AQ154" i="18" s="1"/>
  <c r="AK160" i="18"/>
  <c r="AQ160" i="18" s="1"/>
  <c r="AK169" i="18"/>
  <c r="AQ169" i="18" s="1"/>
  <c r="AK181" i="18"/>
  <c r="AK149" i="18"/>
  <c r="AQ149" i="18" s="1"/>
  <c r="AK158" i="18"/>
  <c r="AQ158" i="18" s="1"/>
  <c r="AK161" i="18"/>
  <c r="AQ161" i="18" s="1"/>
  <c r="AK166" i="18"/>
  <c r="AQ166" i="18" s="1"/>
  <c r="AK170" i="18"/>
  <c r="AK174" i="18"/>
  <c r="AK179" i="18"/>
  <c r="AI190" i="18"/>
  <c r="AK142" i="18"/>
  <c r="AQ142" i="18" s="1"/>
  <c r="AK146" i="18"/>
  <c r="AQ146" i="18" s="1"/>
  <c r="AK151" i="18"/>
  <c r="AQ151" i="18" s="1"/>
  <c r="AK155" i="18"/>
  <c r="AQ155" i="18" s="1"/>
  <c r="AK159" i="18"/>
  <c r="AQ159" i="18" s="1"/>
  <c r="AK163" i="18"/>
  <c r="AQ163" i="18" s="1"/>
  <c r="AK167" i="18"/>
  <c r="AQ167" i="18" s="1"/>
  <c r="AK176" i="18"/>
  <c r="AK180" i="18"/>
  <c r="AK143" i="18"/>
  <c r="AQ143" i="18" s="1"/>
  <c r="AK147" i="18"/>
  <c r="AQ147" i="18" s="1"/>
  <c r="AK148" i="18"/>
  <c r="AQ148" i="18" s="1"/>
  <c r="AK152" i="18"/>
  <c r="AQ152" i="18" s="1"/>
  <c r="AK184" i="18"/>
  <c r="AN225" i="15"/>
  <c r="AQ224" i="15"/>
  <c r="AN224" i="15"/>
  <c r="AQ223" i="15"/>
  <c r="AN223" i="15"/>
  <c r="AQ222" i="15"/>
  <c r="AN222" i="15"/>
  <c r="AH208" i="15"/>
  <c r="AH207" i="15"/>
  <c r="AU200" i="15"/>
  <c r="AU205" i="15" s="1"/>
  <c r="AU207" i="15" s="1"/>
  <c r="AU208" i="15" s="1"/>
  <c r="AR196" i="15"/>
  <c r="AP194" i="15"/>
  <c r="AR194" i="15" s="1"/>
  <c r="AT194" i="15" s="1"/>
  <c r="AR192" i="15"/>
  <c r="AP191" i="15"/>
  <c r="AR191" i="15" s="1"/>
  <c r="AT191" i="15" s="1"/>
  <c r="O190" i="15"/>
  <c r="AD188" i="15"/>
  <c r="AD189" i="15" s="1"/>
  <c r="AD190" i="15" s="1"/>
  <c r="AC188" i="15"/>
  <c r="AC189" i="15" s="1"/>
  <c r="AC190" i="15" s="1"/>
  <c r="AB188" i="15"/>
  <c r="AB189" i="15" s="1"/>
  <c r="AB190" i="15" s="1"/>
  <c r="AA188" i="15"/>
  <c r="AA189" i="15" s="1"/>
  <c r="AA190" i="15" s="1"/>
  <c r="Z188" i="15"/>
  <c r="Z189" i="15" s="1"/>
  <c r="Z190" i="15" s="1"/>
  <c r="Y188" i="15"/>
  <c r="Y189" i="15" s="1"/>
  <c r="Y190" i="15" s="1"/>
  <c r="X188" i="15"/>
  <c r="X189" i="15" s="1"/>
  <c r="X190" i="15" s="1"/>
  <c r="W188" i="15"/>
  <c r="W189" i="15" s="1"/>
  <c r="W190" i="15" s="1"/>
  <c r="V188" i="15"/>
  <c r="V189" i="15" s="1"/>
  <c r="V190" i="15" s="1"/>
  <c r="U188" i="15"/>
  <c r="U189" i="15" s="1"/>
  <c r="U190" i="15" s="1"/>
  <c r="T188" i="15"/>
  <c r="T189" i="15" s="1"/>
  <c r="T190" i="15" s="1"/>
  <c r="S188" i="15"/>
  <c r="S189" i="15" s="1"/>
  <c r="S190" i="15" s="1"/>
  <c r="R188" i="15"/>
  <c r="R189" i="15" s="1"/>
  <c r="R190" i="15" s="1"/>
  <c r="Q188" i="15"/>
  <c r="Q189" i="15" s="1"/>
  <c r="Q190" i="15" s="1"/>
  <c r="P188" i="15"/>
  <c r="P189" i="15" s="1"/>
  <c r="P190" i="15" s="1"/>
  <c r="O188" i="15"/>
  <c r="N188" i="15"/>
  <c r="N189" i="15" s="1"/>
  <c r="N190" i="15" s="1"/>
  <c r="M188" i="15"/>
  <c r="L188" i="15"/>
  <c r="J188" i="15"/>
  <c r="J189" i="15" s="1"/>
  <c r="J190" i="15" s="1"/>
  <c r="AJ190" i="15" s="1"/>
  <c r="I188" i="15"/>
  <c r="I189" i="15" s="1"/>
  <c r="I190" i="15" s="1"/>
  <c r="H188" i="15"/>
  <c r="H189" i="15" s="1"/>
  <c r="H190" i="15" s="1"/>
  <c r="G188" i="15"/>
  <c r="G189" i="15" s="1"/>
  <c r="G190" i="15" s="1"/>
  <c r="AI184" i="15"/>
  <c r="AH184" i="15"/>
  <c r="AN184" i="15" s="1"/>
  <c r="AG184" i="15"/>
  <c r="AM184" i="15" s="1"/>
  <c r="AI183" i="15"/>
  <c r="AH183" i="15"/>
  <c r="AN183" i="15" s="1"/>
  <c r="AG183" i="15"/>
  <c r="AM183" i="15" s="1"/>
  <c r="F183" i="15"/>
  <c r="E183" i="15"/>
  <c r="D183" i="15"/>
  <c r="AJ182" i="15"/>
  <c r="AP182" i="15" s="1"/>
  <c r="AI182" i="15"/>
  <c r="AO182" i="15" s="1"/>
  <c r="AH182" i="15"/>
  <c r="AN182" i="15" s="1"/>
  <c r="AG182" i="15"/>
  <c r="AM182" i="15" s="1"/>
  <c r="F182" i="15"/>
  <c r="E182" i="15"/>
  <c r="D182" i="15"/>
  <c r="AJ181" i="15"/>
  <c r="AP181" i="15" s="1"/>
  <c r="AI181" i="15"/>
  <c r="AO181" i="15" s="1"/>
  <c r="AH181" i="15"/>
  <c r="AN181" i="15" s="1"/>
  <c r="AG181" i="15"/>
  <c r="AM181" i="15" s="1"/>
  <c r="F181" i="15"/>
  <c r="E181" i="15"/>
  <c r="D181" i="15"/>
  <c r="AI180" i="15"/>
  <c r="AO180" i="15" s="1"/>
  <c r="AH180" i="15"/>
  <c r="AN180" i="15" s="1"/>
  <c r="AG180" i="15"/>
  <c r="F180" i="15"/>
  <c r="E180" i="15"/>
  <c r="D180" i="15"/>
  <c r="AJ179" i="15"/>
  <c r="AI179" i="15"/>
  <c r="AO179" i="15" s="1"/>
  <c r="AH179" i="15"/>
  <c r="AN179" i="15" s="1"/>
  <c r="AG179" i="15"/>
  <c r="AM179" i="15" s="1"/>
  <c r="F179" i="15"/>
  <c r="E179" i="15"/>
  <c r="D179" i="15"/>
  <c r="AJ178" i="15"/>
  <c r="AP178" i="15" s="1"/>
  <c r="AI178" i="15"/>
  <c r="AO178" i="15" s="1"/>
  <c r="AH178" i="15"/>
  <c r="AN178" i="15" s="1"/>
  <c r="AG178" i="15"/>
  <c r="AM178" i="15" s="1"/>
  <c r="F178" i="15"/>
  <c r="E178" i="15"/>
  <c r="D178" i="15"/>
  <c r="AJ177" i="15"/>
  <c r="AI177" i="15"/>
  <c r="AO177" i="15" s="1"/>
  <c r="AH177" i="15"/>
  <c r="AN177" i="15" s="1"/>
  <c r="AG177" i="15"/>
  <c r="AM177" i="15" s="1"/>
  <c r="F177" i="15"/>
  <c r="E177" i="15"/>
  <c r="D177" i="15"/>
  <c r="AJ176" i="15"/>
  <c r="AI176" i="15"/>
  <c r="AO176" i="15" s="1"/>
  <c r="AH176" i="15"/>
  <c r="AN176" i="15" s="1"/>
  <c r="AG176" i="15"/>
  <c r="F176" i="15"/>
  <c r="E176" i="15"/>
  <c r="D176" i="15"/>
  <c r="AJ175" i="15"/>
  <c r="AI175" i="15"/>
  <c r="AO175" i="15" s="1"/>
  <c r="AH175" i="15"/>
  <c r="AN175" i="15" s="1"/>
  <c r="AG175" i="15"/>
  <c r="AM175" i="15" s="1"/>
  <c r="F175" i="15"/>
  <c r="E175" i="15"/>
  <c r="D175" i="15"/>
  <c r="AJ174" i="15"/>
  <c r="AI174" i="15"/>
  <c r="AO174" i="15" s="1"/>
  <c r="AH174" i="15"/>
  <c r="AN174" i="15" s="1"/>
  <c r="AG174" i="15"/>
  <c r="AM174" i="15" s="1"/>
  <c r="F174" i="15"/>
  <c r="E174" i="15"/>
  <c r="D174" i="15"/>
  <c r="AJ173" i="15"/>
  <c r="AP173" i="15" s="1"/>
  <c r="AI173" i="15"/>
  <c r="AO173" i="15" s="1"/>
  <c r="AH173" i="15"/>
  <c r="AN173" i="15" s="1"/>
  <c r="AG173" i="15"/>
  <c r="AM173" i="15" s="1"/>
  <c r="F173" i="15"/>
  <c r="E173" i="15"/>
  <c r="D173" i="15"/>
  <c r="AJ172" i="15"/>
  <c r="AP172" i="15" s="1"/>
  <c r="AI172" i="15"/>
  <c r="AO172" i="15" s="1"/>
  <c r="AH172" i="15"/>
  <c r="AN172" i="15" s="1"/>
  <c r="AG172" i="15"/>
  <c r="AM172" i="15" s="1"/>
  <c r="F172" i="15"/>
  <c r="E172" i="15"/>
  <c r="D172" i="15"/>
  <c r="AJ171" i="15"/>
  <c r="AP171" i="15" s="1"/>
  <c r="AI171" i="15"/>
  <c r="AO171" i="15" s="1"/>
  <c r="AH171" i="15"/>
  <c r="AN171" i="15" s="1"/>
  <c r="AG171" i="15"/>
  <c r="AM171" i="15" s="1"/>
  <c r="F171" i="15"/>
  <c r="E171" i="15"/>
  <c r="D171" i="15"/>
  <c r="AJ170" i="15"/>
  <c r="AP170" i="15" s="1"/>
  <c r="AI170" i="15"/>
  <c r="AO170" i="15" s="1"/>
  <c r="AH170" i="15"/>
  <c r="AN170" i="15" s="1"/>
  <c r="AG170" i="15"/>
  <c r="AM170" i="15" s="1"/>
  <c r="F170" i="15"/>
  <c r="E170" i="15"/>
  <c r="D170" i="15"/>
  <c r="AJ169" i="15"/>
  <c r="AP169" i="15" s="1"/>
  <c r="AI169" i="15"/>
  <c r="AO169" i="15" s="1"/>
  <c r="AH169" i="15"/>
  <c r="AN169" i="15" s="1"/>
  <c r="AG169" i="15"/>
  <c r="AM169" i="15" s="1"/>
  <c r="F169" i="15"/>
  <c r="E169" i="15"/>
  <c r="D169" i="15"/>
  <c r="AJ167" i="15"/>
  <c r="AP167" i="15" s="1"/>
  <c r="AI167" i="15"/>
  <c r="AO167" i="15" s="1"/>
  <c r="AH167" i="15"/>
  <c r="AN167" i="15" s="1"/>
  <c r="AG167" i="15"/>
  <c r="AM167" i="15" s="1"/>
  <c r="F167" i="15"/>
  <c r="E167" i="15"/>
  <c r="D167" i="15"/>
  <c r="AJ166" i="15"/>
  <c r="AP166" i="15" s="1"/>
  <c r="AI166" i="15"/>
  <c r="AO166" i="15" s="1"/>
  <c r="AH166" i="15"/>
  <c r="AN166" i="15" s="1"/>
  <c r="AG166" i="15"/>
  <c r="F166" i="15"/>
  <c r="E166" i="15"/>
  <c r="D166" i="15"/>
  <c r="AJ165" i="15"/>
  <c r="AP165" i="15" s="1"/>
  <c r="AI165" i="15"/>
  <c r="AO165" i="15" s="1"/>
  <c r="AH165" i="15"/>
  <c r="AN165" i="15" s="1"/>
  <c r="AG165" i="15"/>
  <c r="AM165" i="15" s="1"/>
  <c r="F165" i="15"/>
  <c r="E165" i="15"/>
  <c r="D165" i="15"/>
  <c r="AJ164" i="15"/>
  <c r="AP164" i="15" s="1"/>
  <c r="AI164" i="15"/>
  <c r="AO164" i="15" s="1"/>
  <c r="AH164" i="15"/>
  <c r="AN164" i="15" s="1"/>
  <c r="AG164" i="15"/>
  <c r="AM164" i="15" s="1"/>
  <c r="F164" i="15"/>
  <c r="E164" i="15"/>
  <c r="D164" i="15"/>
  <c r="AJ163" i="15"/>
  <c r="AP163" i="15" s="1"/>
  <c r="AI163" i="15"/>
  <c r="AO163" i="15" s="1"/>
  <c r="AH163" i="15"/>
  <c r="AN163" i="15" s="1"/>
  <c r="AG163" i="15"/>
  <c r="AM163" i="15" s="1"/>
  <c r="F163" i="15"/>
  <c r="E163" i="15"/>
  <c r="D163" i="15"/>
  <c r="AJ162" i="15"/>
  <c r="AP162" i="15" s="1"/>
  <c r="AI162" i="15"/>
  <c r="AO162" i="15" s="1"/>
  <c r="AH162" i="15"/>
  <c r="AN162" i="15" s="1"/>
  <c r="AG162" i="15"/>
  <c r="AM162" i="15" s="1"/>
  <c r="F162" i="15"/>
  <c r="E162" i="15"/>
  <c r="D162" i="15"/>
  <c r="AJ161" i="15"/>
  <c r="AP161" i="15" s="1"/>
  <c r="AI161" i="15"/>
  <c r="AO161" i="15" s="1"/>
  <c r="AH161" i="15"/>
  <c r="AN161" i="15" s="1"/>
  <c r="AG161" i="15"/>
  <c r="AM161" i="15" s="1"/>
  <c r="F161" i="15"/>
  <c r="E161" i="15"/>
  <c r="D161" i="15"/>
  <c r="AJ160" i="15"/>
  <c r="AP160" i="15" s="1"/>
  <c r="AI160" i="15"/>
  <c r="AO160" i="15" s="1"/>
  <c r="AH160" i="15"/>
  <c r="AN160" i="15" s="1"/>
  <c r="AG160" i="15"/>
  <c r="AM160" i="15" s="1"/>
  <c r="F160" i="15"/>
  <c r="E160" i="15"/>
  <c r="D160" i="15"/>
  <c r="AJ159" i="15"/>
  <c r="AP159" i="15" s="1"/>
  <c r="AI159" i="15"/>
  <c r="AO159" i="15" s="1"/>
  <c r="AH159" i="15"/>
  <c r="AN159" i="15" s="1"/>
  <c r="AG159" i="15"/>
  <c r="AM159" i="15" s="1"/>
  <c r="F159" i="15"/>
  <c r="E159" i="15"/>
  <c r="D159" i="15"/>
  <c r="AJ158" i="15"/>
  <c r="AP158" i="15" s="1"/>
  <c r="AI158" i="15"/>
  <c r="AO158" i="15" s="1"/>
  <c r="AH158" i="15"/>
  <c r="AN158" i="15" s="1"/>
  <c r="AG158" i="15"/>
  <c r="F158" i="15"/>
  <c r="E158" i="15"/>
  <c r="D158" i="15"/>
  <c r="AJ157" i="15"/>
  <c r="AP157" i="15" s="1"/>
  <c r="AI157" i="15"/>
  <c r="AO157" i="15" s="1"/>
  <c r="AH157" i="15"/>
  <c r="AN157" i="15" s="1"/>
  <c r="AG157" i="15"/>
  <c r="AM157" i="15" s="1"/>
  <c r="F157" i="15"/>
  <c r="E157" i="15"/>
  <c r="D157" i="15"/>
  <c r="AJ156" i="15"/>
  <c r="AP156" i="15" s="1"/>
  <c r="AI156" i="15"/>
  <c r="AO156" i="15" s="1"/>
  <c r="AH156" i="15"/>
  <c r="AN156" i="15" s="1"/>
  <c r="AG156" i="15"/>
  <c r="AM156" i="15" s="1"/>
  <c r="F156" i="15"/>
  <c r="E156" i="15"/>
  <c r="D156" i="15"/>
  <c r="AJ155" i="15"/>
  <c r="AP155" i="15" s="1"/>
  <c r="AI155" i="15"/>
  <c r="AO155" i="15" s="1"/>
  <c r="AH155" i="15"/>
  <c r="AN155" i="15" s="1"/>
  <c r="AG155" i="15"/>
  <c r="AM155" i="15" s="1"/>
  <c r="F155" i="15"/>
  <c r="E155" i="15"/>
  <c r="D155" i="15"/>
  <c r="AJ154" i="15"/>
  <c r="AP154" i="15" s="1"/>
  <c r="AI154" i="15"/>
  <c r="AO154" i="15" s="1"/>
  <c r="AH154" i="15"/>
  <c r="AN154" i="15" s="1"/>
  <c r="AG154" i="15"/>
  <c r="AM154" i="15" s="1"/>
  <c r="F154" i="15"/>
  <c r="E154" i="15"/>
  <c r="D154" i="15"/>
  <c r="AJ153" i="15"/>
  <c r="AP153" i="15" s="1"/>
  <c r="AI153" i="15"/>
  <c r="AO153" i="15" s="1"/>
  <c r="AH153" i="15"/>
  <c r="AN153" i="15" s="1"/>
  <c r="AG153" i="15"/>
  <c r="AM153" i="15" s="1"/>
  <c r="F153" i="15"/>
  <c r="E153" i="15"/>
  <c r="D153" i="15"/>
  <c r="AJ152" i="15"/>
  <c r="AP152" i="15" s="1"/>
  <c r="AI152" i="15"/>
  <c r="AO152" i="15" s="1"/>
  <c r="AH152" i="15"/>
  <c r="AN152" i="15" s="1"/>
  <c r="AG152" i="15"/>
  <c r="AM152" i="15" s="1"/>
  <c r="F152" i="15"/>
  <c r="E152" i="15"/>
  <c r="D152" i="15"/>
  <c r="AJ151" i="15"/>
  <c r="AP151" i="15" s="1"/>
  <c r="AI151" i="15"/>
  <c r="AO151" i="15" s="1"/>
  <c r="AH151" i="15"/>
  <c r="AN151" i="15" s="1"/>
  <c r="AG151" i="15"/>
  <c r="AM151" i="15" s="1"/>
  <c r="F151" i="15"/>
  <c r="E151" i="15"/>
  <c r="D151" i="15"/>
  <c r="AJ150" i="15"/>
  <c r="AP150" i="15" s="1"/>
  <c r="AI150" i="15"/>
  <c r="AO150" i="15" s="1"/>
  <c r="AH150" i="15"/>
  <c r="AN150" i="15" s="1"/>
  <c r="AG150" i="15"/>
  <c r="F150" i="15"/>
  <c r="E150" i="15"/>
  <c r="D150" i="15"/>
  <c r="AJ149" i="15"/>
  <c r="AP149" i="15" s="1"/>
  <c r="AI149" i="15"/>
  <c r="AO149" i="15" s="1"/>
  <c r="AH149" i="15"/>
  <c r="AN149" i="15" s="1"/>
  <c r="AG149" i="15"/>
  <c r="AM149" i="15" s="1"/>
  <c r="F149" i="15"/>
  <c r="E149" i="15"/>
  <c r="D149" i="15"/>
  <c r="AJ148" i="15"/>
  <c r="AP148" i="15" s="1"/>
  <c r="AI148" i="15"/>
  <c r="AO148" i="15" s="1"/>
  <c r="AH148" i="15"/>
  <c r="AN148" i="15" s="1"/>
  <c r="AG148" i="15"/>
  <c r="AM148" i="15" s="1"/>
  <c r="F148" i="15"/>
  <c r="E148" i="15"/>
  <c r="D148" i="15"/>
  <c r="AJ147" i="15"/>
  <c r="AI147" i="15"/>
  <c r="AO147" i="15" s="1"/>
  <c r="AH147" i="15"/>
  <c r="AN147" i="15" s="1"/>
  <c r="AG147" i="15"/>
  <c r="AM147" i="15" s="1"/>
  <c r="F147" i="15"/>
  <c r="E147" i="15"/>
  <c r="D147" i="15"/>
  <c r="AJ146" i="15"/>
  <c r="AP146" i="15" s="1"/>
  <c r="AI146" i="15"/>
  <c r="AO146" i="15" s="1"/>
  <c r="AH146" i="15"/>
  <c r="AN146" i="15" s="1"/>
  <c r="AG146" i="15"/>
  <c r="AM146" i="15" s="1"/>
  <c r="F146" i="15"/>
  <c r="E146" i="15"/>
  <c r="D146" i="15"/>
  <c r="AJ145" i="15"/>
  <c r="AP145" i="15" s="1"/>
  <c r="AI145" i="15"/>
  <c r="AO145" i="15" s="1"/>
  <c r="AH145" i="15"/>
  <c r="AN145" i="15" s="1"/>
  <c r="AG145" i="15"/>
  <c r="AM145" i="15" s="1"/>
  <c r="F145" i="15"/>
  <c r="E145" i="15"/>
  <c r="D145" i="15"/>
  <c r="AJ144" i="15"/>
  <c r="AP144" i="15" s="1"/>
  <c r="AI144" i="15"/>
  <c r="AO144" i="15" s="1"/>
  <c r="AH144" i="15"/>
  <c r="AN144" i="15" s="1"/>
  <c r="AG144" i="15"/>
  <c r="F144" i="15"/>
  <c r="E144" i="15"/>
  <c r="D144" i="15"/>
  <c r="AJ143" i="15"/>
  <c r="AP143" i="15" s="1"/>
  <c r="AI143" i="15"/>
  <c r="AO143" i="15" s="1"/>
  <c r="AH143" i="15"/>
  <c r="AN143" i="15" s="1"/>
  <c r="AG143" i="15"/>
  <c r="AM143" i="15" s="1"/>
  <c r="F143" i="15"/>
  <c r="E143" i="15"/>
  <c r="D143" i="15"/>
  <c r="AJ142" i="15"/>
  <c r="AP142" i="15" s="1"/>
  <c r="AI142" i="15"/>
  <c r="AO142" i="15" s="1"/>
  <c r="AH142" i="15"/>
  <c r="AN142" i="15" s="1"/>
  <c r="AG142" i="15"/>
  <c r="F142" i="15"/>
  <c r="E142" i="15"/>
  <c r="D142" i="15"/>
  <c r="AJ141" i="15"/>
  <c r="AP141" i="15" s="1"/>
  <c r="AI141" i="15"/>
  <c r="AO141" i="15" s="1"/>
  <c r="AH141" i="15"/>
  <c r="AN141" i="15" s="1"/>
  <c r="AG141" i="15"/>
  <c r="AM141" i="15" s="1"/>
  <c r="F141" i="15"/>
  <c r="E141" i="15"/>
  <c r="D141" i="15"/>
  <c r="AJ140" i="15"/>
  <c r="AP140" i="15" s="1"/>
  <c r="AI140" i="15"/>
  <c r="AO140" i="15" s="1"/>
  <c r="AH140" i="15"/>
  <c r="AN140" i="15" s="1"/>
  <c r="AG140" i="15"/>
  <c r="F140" i="15"/>
  <c r="E140" i="15"/>
  <c r="D140" i="15"/>
  <c r="AJ139" i="15"/>
  <c r="AP139" i="15" s="1"/>
  <c r="AI139" i="15"/>
  <c r="AO139" i="15" s="1"/>
  <c r="AH139" i="15"/>
  <c r="AN139" i="15" s="1"/>
  <c r="AG139" i="15"/>
  <c r="AM139" i="15" s="1"/>
  <c r="F139" i="15"/>
  <c r="E139" i="15"/>
  <c r="D139" i="15"/>
  <c r="AJ138" i="15"/>
  <c r="AP138" i="15" s="1"/>
  <c r="AI138" i="15"/>
  <c r="AO138" i="15" s="1"/>
  <c r="AH138" i="15"/>
  <c r="AN138" i="15" s="1"/>
  <c r="AG138" i="15"/>
  <c r="AM138" i="15" s="1"/>
  <c r="F138" i="15"/>
  <c r="E138" i="15"/>
  <c r="D138" i="15"/>
  <c r="AJ137" i="15"/>
  <c r="AP137" i="15" s="1"/>
  <c r="AI137" i="15"/>
  <c r="AO137" i="15" s="1"/>
  <c r="AH137" i="15"/>
  <c r="AN137" i="15" s="1"/>
  <c r="AG137" i="15"/>
  <c r="F137" i="15"/>
  <c r="E137" i="15"/>
  <c r="D137" i="15"/>
  <c r="AJ136" i="15"/>
  <c r="AP136" i="15" s="1"/>
  <c r="AI136" i="15"/>
  <c r="AO136" i="15" s="1"/>
  <c r="AH136" i="15"/>
  <c r="AN136" i="15" s="1"/>
  <c r="AG136" i="15"/>
  <c r="F136" i="15"/>
  <c r="E136" i="15"/>
  <c r="D136" i="15"/>
  <c r="AJ135" i="15"/>
  <c r="AP135" i="15" s="1"/>
  <c r="AI135" i="15"/>
  <c r="AO135" i="15" s="1"/>
  <c r="AH135" i="15"/>
  <c r="AN135" i="15" s="1"/>
  <c r="AG135" i="15"/>
  <c r="AM135" i="15" s="1"/>
  <c r="F135" i="15"/>
  <c r="E135" i="15"/>
  <c r="D135" i="15"/>
  <c r="AJ134" i="15"/>
  <c r="AP134" i="15" s="1"/>
  <c r="AI134" i="15"/>
  <c r="AO134" i="15" s="1"/>
  <c r="AH134" i="15"/>
  <c r="AN134" i="15" s="1"/>
  <c r="AG134" i="15"/>
  <c r="F134" i="15"/>
  <c r="E134" i="15"/>
  <c r="D134" i="15"/>
  <c r="AJ133" i="15"/>
  <c r="AP133" i="15" s="1"/>
  <c r="AI133" i="15"/>
  <c r="AO133" i="15" s="1"/>
  <c r="AH133" i="15"/>
  <c r="AN133" i="15" s="1"/>
  <c r="AG133" i="15"/>
  <c r="AM133" i="15" s="1"/>
  <c r="F133" i="15"/>
  <c r="E133" i="15"/>
  <c r="D133" i="15"/>
  <c r="AJ132" i="15"/>
  <c r="AP132" i="15" s="1"/>
  <c r="AI132" i="15"/>
  <c r="AO132" i="15" s="1"/>
  <c r="AH132" i="15"/>
  <c r="AN132" i="15" s="1"/>
  <c r="AG132" i="15"/>
  <c r="AM132" i="15" s="1"/>
  <c r="F132" i="15"/>
  <c r="E132" i="15"/>
  <c r="D132" i="15"/>
  <c r="AJ131" i="15"/>
  <c r="AP131" i="15" s="1"/>
  <c r="AI131" i="15"/>
  <c r="AO131" i="15" s="1"/>
  <c r="AH131" i="15"/>
  <c r="AN131" i="15" s="1"/>
  <c r="AG131" i="15"/>
  <c r="F131" i="15"/>
  <c r="E131" i="15"/>
  <c r="D131" i="15"/>
  <c r="AJ130" i="15"/>
  <c r="AP130" i="15" s="1"/>
  <c r="AI130" i="15"/>
  <c r="AO130" i="15" s="1"/>
  <c r="AH130" i="15"/>
  <c r="AN130" i="15" s="1"/>
  <c r="AG130" i="15"/>
  <c r="AM130" i="15" s="1"/>
  <c r="F130" i="15"/>
  <c r="E130" i="15"/>
  <c r="D130" i="15"/>
  <c r="AJ129" i="15"/>
  <c r="AP129" i="15" s="1"/>
  <c r="AI129" i="15"/>
  <c r="AO129" i="15" s="1"/>
  <c r="AH129" i="15"/>
  <c r="AN129" i="15" s="1"/>
  <c r="AG129" i="15"/>
  <c r="AM129" i="15" s="1"/>
  <c r="F129" i="15"/>
  <c r="E129" i="15"/>
  <c r="D129" i="15"/>
  <c r="AJ128" i="15"/>
  <c r="AP128" i="15" s="1"/>
  <c r="AI128" i="15"/>
  <c r="AO128" i="15" s="1"/>
  <c r="AH128" i="15"/>
  <c r="AN128" i="15" s="1"/>
  <c r="AG128" i="15"/>
  <c r="AM128" i="15" s="1"/>
  <c r="F128" i="15"/>
  <c r="E128" i="15"/>
  <c r="D128" i="15"/>
  <c r="AJ127" i="15"/>
  <c r="AP127" i="15" s="1"/>
  <c r="AI127" i="15"/>
  <c r="AO127" i="15" s="1"/>
  <c r="AH127" i="15"/>
  <c r="AN127" i="15" s="1"/>
  <c r="AG127" i="15"/>
  <c r="F127" i="15"/>
  <c r="E127" i="15"/>
  <c r="D127" i="15"/>
  <c r="AJ126" i="15"/>
  <c r="AP126" i="15" s="1"/>
  <c r="AI126" i="15"/>
  <c r="AO126" i="15" s="1"/>
  <c r="AH126" i="15"/>
  <c r="AN126" i="15" s="1"/>
  <c r="AG126" i="15"/>
  <c r="AM126" i="15" s="1"/>
  <c r="F126" i="15"/>
  <c r="E126" i="15"/>
  <c r="D126" i="15"/>
  <c r="AJ125" i="15"/>
  <c r="AP125" i="15" s="1"/>
  <c r="AI125" i="15"/>
  <c r="AO125" i="15" s="1"/>
  <c r="AH125" i="15"/>
  <c r="AN125" i="15" s="1"/>
  <c r="AG125" i="15"/>
  <c r="AM125" i="15" s="1"/>
  <c r="F125" i="15"/>
  <c r="E125" i="15"/>
  <c r="D125" i="15"/>
  <c r="AJ124" i="15"/>
  <c r="AP124" i="15" s="1"/>
  <c r="AI124" i="15"/>
  <c r="AO124" i="15" s="1"/>
  <c r="AH124" i="15"/>
  <c r="AN124" i="15" s="1"/>
  <c r="AG124" i="15"/>
  <c r="AM124" i="15" s="1"/>
  <c r="F124" i="15"/>
  <c r="E124" i="15"/>
  <c r="D124" i="15"/>
  <c r="AJ123" i="15"/>
  <c r="AP123" i="15" s="1"/>
  <c r="AI123" i="15"/>
  <c r="AO123" i="15" s="1"/>
  <c r="AH123" i="15"/>
  <c r="AN123" i="15" s="1"/>
  <c r="AG123" i="15"/>
  <c r="F123" i="15"/>
  <c r="E123" i="15"/>
  <c r="D123" i="15"/>
  <c r="AJ122" i="15"/>
  <c r="AP122" i="15" s="1"/>
  <c r="AI122" i="15"/>
  <c r="AO122" i="15" s="1"/>
  <c r="AH122" i="15"/>
  <c r="AN122" i="15" s="1"/>
  <c r="AG122" i="15"/>
  <c r="F122" i="15"/>
  <c r="E122" i="15"/>
  <c r="D122" i="15"/>
  <c r="AJ121" i="15"/>
  <c r="AP121" i="15" s="1"/>
  <c r="AI121" i="15"/>
  <c r="AO121" i="15" s="1"/>
  <c r="AH121" i="15"/>
  <c r="AN121" i="15" s="1"/>
  <c r="AG121" i="15"/>
  <c r="AM121" i="15" s="1"/>
  <c r="F121" i="15"/>
  <c r="E121" i="15"/>
  <c r="D121" i="15"/>
  <c r="AJ120" i="15"/>
  <c r="AP120" i="15" s="1"/>
  <c r="AI120" i="15"/>
  <c r="AO120" i="15" s="1"/>
  <c r="AH120" i="15"/>
  <c r="AN120" i="15" s="1"/>
  <c r="AG120" i="15"/>
  <c r="AM120" i="15" s="1"/>
  <c r="F120" i="15"/>
  <c r="E120" i="15"/>
  <c r="D120" i="15"/>
  <c r="AJ119" i="15"/>
  <c r="AP119" i="15" s="1"/>
  <c r="AI119" i="15"/>
  <c r="AO119" i="15" s="1"/>
  <c r="AH119" i="15"/>
  <c r="AN119" i="15" s="1"/>
  <c r="AG119" i="15"/>
  <c r="F119" i="15"/>
  <c r="E119" i="15"/>
  <c r="D119" i="15"/>
  <c r="AJ118" i="15"/>
  <c r="AP118" i="15" s="1"/>
  <c r="AI118" i="15"/>
  <c r="AO118" i="15" s="1"/>
  <c r="AH118" i="15"/>
  <c r="AN118" i="15" s="1"/>
  <c r="AG118" i="15"/>
  <c r="AM118" i="15" s="1"/>
  <c r="F118" i="15"/>
  <c r="E118" i="15"/>
  <c r="D118" i="15"/>
  <c r="AJ117" i="15"/>
  <c r="AP117" i="15" s="1"/>
  <c r="AI117" i="15"/>
  <c r="AO117" i="15" s="1"/>
  <c r="AH117" i="15"/>
  <c r="AN117" i="15" s="1"/>
  <c r="AG117" i="15"/>
  <c r="AM117" i="15" s="1"/>
  <c r="F117" i="15"/>
  <c r="E117" i="15"/>
  <c r="D117" i="15"/>
  <c r="AJ116" i="15"/>
  <c r="AP116" i="15" s="1"/>
  <c r="AI116" i="15"/>
  <c r="AO116" i="15" s="1"/>
  <c r="AH116" i="15"/>
  <c r="AN116" i="15" s="1"/>
  <c r="AG116" i="15"/>
  <c r="F116" i="15"/>
  <c r="E116" i="15"/>
  <c r="D116" i="15"/>
  <c r="AJ115" i="15"/>
  <c r="AP115" i="15" s="1"/>
  <c r="AI115" i="15"/>
  <c r="AO115" i="15" s="1"/>
  <c r="AH115" i="15"/>
  <c r="AN115" i="15" s="1"/>
  <c r="AG115" i="15"/>
  <c r="AM115" i="15" s="1"/>
  <c r="F115" i="15"/>
  <c r="E115" i="15"/>
  <c r="D115" i="15"/>
  <c r="AJ114" i="15"/>
  <c r="AP114" i="15" s="1"/>
  <c r="AI114" i="15"/>
  <c r="AO114" i="15" s="1"/>
  <c r="AH114" i="15"/>
  <c r="AN114" i="15" s="1"/>
  <c r="AG114" i="15"/>
  <c r="AM114" i="15" s="1"/>
  <c r="F114" i="15"/>
  <c r="E114" i="15"/>
  <c r="D114" i="15"/>
  <c r="AJ113" i="15"/>
  <c r="AP113" i="15" s="1"/>
  <c r="AI113" i="15"/>
  <c r="AO113" i="15" s="1"/>
  <c r="AH113" i="15"/>
  <c r="AN113" i="15" s="1"/>
  <c r="AG113" i="15"/>
  <c r="F113" i="15"/>
  <c r="E113" i="15"/>
  <c r="D113" i="15"/>
  <c r="AJ112" i="15"/>
  <c r="AP112" i="15" s="1"/>
  <c r="AI112" i="15"/>
  <c r="AO112" i="15" s="1"/>
  <c r="AH112" i="15"/>
  <c r="AN112" i="15" s="1"/>
  <c r="AG112" i="15"/>
  <c r="F112" i="15"/>
  <c r="E112" i="15"/>
  <c r="D112" i="15"/>
  <c r="AJ111" i="15"/>
  <c r="AP111" i="15" s="1"/>
  <c r="AI111" i="15"/>
  <c r="AO111" i="15" s="1"/>
  <c r="AH111" i="15"/>
  <c r="AN111" i="15" s="1"/>
  <c r="AG111" i="15"/>
  <c r="AM111" i="15" s="1"/>
  <c r="F111" i="15"/>
  <c r="E111" i="15"/>
  <c r="D111" i="15"/>
  <c r="AJ110" i="15"/>
  <c r="AP110" i="15" s="1"/>
  <c r="AI110" i="15"/>
  <c r="AO110" i="15" s="1"/>
  <c r="AH110" i="15"/>
  <c r="AN110" i="15" s="1"/>
  <c r="AG110" i="15"/>
  <c r="F110" i="15"/>
  <c r="E110" i="15"/>
  <c r="D110" i="15"/>
  <c r="AJ109" i="15"/>
  <c r="AP109" i="15" s="1"/>
  <c r="AI109" i="15"/>
  <c r="AO109" i="15" s="1"/>
  <c r="AH109" i="15"/>
  <c r="AN109" i="15" s="1"/>
  <c r="AG109" i="15"/>
  <c r="AM109" i="15" s="1"/>
  <c r="F109" i="15"/>
  <c r="E109" i="15"/>
  <c r="D109" i="15"/>
  <c r="AJ108" i="15"/>
  <c r="AP108" i="15" s="1"/>
  <c r="AI108" i="15"/>
  <c r="AO108" i="15" s="1"/>
  <c r="AH108" i="15"/>
  <c r="AN108" i="15" s="1"/>
  <c r="AG108" i="15"/>
  <c r="AM108" i="15" s="1"/>
  <c r="F108" i="15"/>
  <c r="E108" i="15"/>
  <c r="D108" i="15"/>
  <c r="AJ107" i="15"/>
  <c r="AP107" i="15" s="1"/>
  <c r="AI107" i="15"/>
  <c r="AO107" i="15" s="1"/>
  <c r="AH107" i="15"/>
  <c r="AN107" i="15" s="1"/>
  <c r="AG107" i="15"/>
  <c r="AM107" i="15" s="1"/>
  <c r="F107" i="15"/>
  <c r="E107" i="15"/>
  <c r="D107" i="15"/>
  <c r="AJ106" i="15"/>
  <c r="AP106" i="15" s="1"/>
  <c r="AI106" i="15"/>
  <c r="AO106" i="15" s="1"/>
  <c r="AH106" i="15"/>
  <c r="AN106" i="15" s="1"/>
  <c r="AG106" i="15"/>
  <c r="F106" i="15"/>
  <c r="E106" i="15"/>
  <c r="D106" i="15"/>
  <c r="AJ105" i="15"/>
  <c r="AP105" i="15" s="1"/>
  <c r="AI105" i="15"/>
  <c r="AO105" i="15" s="1"/>
  <c r="AH105" i="15"/>
  <c r="AN105" i="15" s="1"/>
  <c r="AG105" i="15"/>
  <c r="AM105" i="15" s="1"/>
  <c r="F105" i="15"/>
  <c r="E105" i="15"/>
  <c r="D105" i="15"/>
  <c r="AJ104" i="15"/>
  <c r="AP104" i="15" s="1"/>
  <c r="AI104" i="15"/>
  <c r="AO104" i="15" s="1"/>
  <c r="AH104" i="15"/>
  <c r="AN104" i="15" s="1"/>
  <c r="AG104" i="15"/>
  <c r="AM104" i="15" s="1"/>
  <c r="F104" i="15"/>
  <c r="E104" i="15"/>
  <c r="D104" i="15"/>
  <c r="AJ103" i="15"/>
  <c r="AP103" i="15" s="1"/>
  <c r="AI103" i="15"/>
  <c r="AO103" i="15" s="1"/>
  <c r="AH103" i="15"/>
  <c r="AN103" i="15" s="1"/>
  <c r="AG103" i="15"/>
  <c r="AM103" i="15" s="1"/>
  <c r="F103" i="15"/>
  <c r="E103" i="15"/>
  <c r="D103" i="15"/>
  <c r="AJ102" i="15"/>
  <c r="AP102" i="15" s="1"/>
  <c r="AI102" i="15"/>
  <c r="AO102" i="15" s="1"/>
  <c r="AH102" i="15"/>
  <c r="AN102" i="15" s="1"/>
  <c r="AG102" i="15"/>
  <c r="F102" i="15"/>
  <c r="E102" i="15"/>
  <c r="D102" i="15"/>
  <c r="AJ101" i="15"/>
  <c r="AP101" i="15" s="1"/>
  <c r="AI101" i="15"/>
  <c r="AO101" i="15" s="1"/>
  <c r="AH101" i="15"/>
  <c r="AN101" i="15" s="1"/>
  <c r="AG101" i="15"/>
  <c r="AM101" i="15" s="1"/>
  <c r="F101" i="15"/>
  <c r="E101" i="15"/>
  <c r="D101" i="15"/>
  <c r="AJ100" i="15"/>
  <c r="AP100" i="15" s="1"/>
  <c r="AI100" i="15"/>
  <c r="AO100" i="15" s="1"/>
  <c r="AH100" i="15"/>
  <c r="AN100" i="15" s="1"/>
  <c r="AG100" i="15"/>
  <c r="AM100" i="15" s="1"/>
  <c r="F100" i="15"/>
  <c r="E100" i="15"/>
  <c r="D100" i="15"/>
  <c r="AJ99" i="15"/>
  <c r="AP99" i="15" s="1"/>
  <c r="AI99" i="15"/>
  <c r="AO99" i="15" s="1"/>
  <c r="AH99" i="15"/>
  <c r="AN99" i="15" s="1"/>
  <c r="AG99" i="15"/>
  <c r="AM99" i="15" s="1"/>
  <c r="F99" i="15"/>
  <c r="E99" i="15"/>
  <c r="D99" i="15"/>
  <c r="AJ98" i="15"/>
  <c r="AP98" i="15" s="1"/>
  <c r="AI98" i="15"/>
  <c r="AO98" i="15" s="1"/>
  <c r="AH98" i="15"/>
  <c r="AN98" i="15" s="1"/>
  <c r="AG98" i="15"/>
  <c r="AM98" i="15" s="1"/>
  <c r="F98" i="15"/>
  <c r="E98" i="15"/>
  <c r="D98" i="15"/>
  <c r="AJ97" i="15"/>
  <c r="AP97" i="15" s="1"/>
  <c r="AI97" i="15"/>
  <c r="AO97" i="15" s="1"/>
  <c r="AH97" i="15"/>
  <c r="AN97" i="15" s="1"/>
  <c r="AG97" i="15"/>
  <c r="AM97" i="15" s="1"/>
  <c r="F97" i="15"/>
  <c r="E97" i="15"/>
  <c r="D97" i="15"/>
  <c r="AJ96" i="15"/>
  <c r="AP96" i="15" s="1"/>
  <c r="AI96" i="15"/>
  <c r="AO96" i="15" s="1"/>
  <c r="AH96" i="15"/>
  <c r="AN96" i="15" s="1"/>
  <c r="AG96" i="15"/>
  <c r="AM96" i="15" s="1"/>
  <c r="F96" i="15"/>
  <c r="E96" i="15"/>
  <c r="D96" i="15"/>
  <c r="AJ95" i="15"/>
  <c r="AP95" i="15" s="1"/>
  <c r="AI95" i="15"/>
  <c r="AO95" i="15" s="1"/>
  <c r="AH95" i="15"/>
  <c r="AN95" i="15" s="1"/>
  <c r="AG95" i="15"/>
  <c r="F95" i="15"/>
  <c r="E95" i="15"/>
  <c r="D95" i="15"/>
  <c r="AJ94" i="15"/>
  <c r="AP94" i="15" s="1"/>
  <c r="AI94" i="15"/>
  <c r="AO94" i="15" s="1"/>
  <c r="AH94" i="15"/>
  <c r="AN94" i="15" s="1"/>
  <c r="AG94" i="15"/>
  <c r="AM94" i="15" s="1"/>
  <c r="F94" i="15"/>
  <c r="E94" i="15"/>
  <c r="D94" i="15"/>
  <c r="AJ93" i="15"/>
  <c r="AP93" i="15" s="1"/>
  <c r="AI93" i="15"/>
  <c r="AO93" i="15" s="1"/>
  <c r="AH93" i="15"/>
  <c r="AN93" i="15" s="1"/>
  <c r="AG93" i="15"/>
  <c r="AM93" i="15" s="1"/>
  <c r="F93" i="15"/>
  <c r="E93" i="15"/>
  <c r="D93" i="15"/>
  <c r="AJ92" i="15"/>
  <c r="AP92" i="15" s="1"/>
  <c r="AI92" i="15"/>
  <c r="AO92" i="15" s="1"/>
  <c r="AH92" i="15"/>
  <c r="AN92" i="15" s="1"/>
  <c r="AG92" i="15"/>
  <c r="F92" i="15"/>
  <c r="E92" i="15"/>
  <c r="D92" i="15"/>
  <c r="AJ91" i="15"/>
  <c r="AP91" i="15" s="1"/>
  <c r="AI91" i="15"/>
  <c r="AO91" i="15" s="1"/>
  <c r="AH91" i="15"/>
  <c r="AN91" i="15" s="1"/>
  <c r="AG91" i="15"/>
  <c r="F91" i="15"/>
  <c r="E91" i="15"/>
  <c r="D91" i="15"/>
  <c r="AJ90" i="15"/>
  <c r="AP90" i="15" s="1"/>
  <c r="AI90" i="15"/>
  <c r="AO90" i="15" s="1"/>
  <c r="AH90" i="15"/>
  <c r="AN90" i="15" s="1"/>
  <c r="AG90" i="15"/>
  <c r="AM90" i="15" s="1"/>
  <c r="F90" i="15"/>
  <c r="E90" i="15"/>
  <c r="D90" i="15"/>
  <c r="AJ89" i="15"/>
  <c r="AP89" i="15" s="1"/>
  <c r="AI89" i="15"/>
  <c r="AO89" i="15" s="1"/>
  <c r="AH89" i="15"/>
  <c r="AN89" i="15" s="1"/>
  <c r="AG89" i="15"/>
  <c r="F89" i="15"/>
  <c r="E89" i="15"/>
  <c r="D89" i="15"/>
  <c r="AJ88" i="15"/>
  <c r="AP88" i="15" s="1"/>
  <c r="AI88" i="15"/>
  <c r="AO88" i="15" s="1"/>
  <c r="AH88" i="15"/>
  <c r="AN88" i="15" s="1"/>
  <c r="AG88" i="15"/>
  <c r="AM88" i="15" s="1"/>
  <c r="F88" i="15"/>
  <c r="E88" i="15"/>
  <c r="D88" i="15"/>
  <c r="AJ87" i="15"/>
  <c r="AP87" i="15" s="1"/>
  <c r="AI87" i="15"/>
  <c r="AO87" i="15" s="1"/>
  <c r="AH87" i="15"/>
  <c r="AN87" i="15" s="1"/>
  <c r="AG87" i="15"/>
  <c r="AM87" i="15" s="1"/>
  <c r="F87" i="15"/>
  <c r="E87" i="15"/>
  <c r="D87" i="15"/>
  <c r="AJ86" i="15"/>
  <c r="AP86" i="15" s="1"/>
  <c r="AI86" i="15"/>
  <c r="AO86" i="15" s="1"/>
  <c r="AH86" i="15"/>
  <c r="AN86" i="15" s="1"/>
  <c r="AG86" i="15"/>
  <c r="F86" i="15"/>
  <c r="E86" i="15"/>
  <c r="D86" i="15"/>
  <c r="AJ85" i="15"/>
  <c r="AP85" i="15" s="1"/>
  <c r="AI85" i="15"/>
  <c r="AO85" i="15" s="1"/>
  <c r="AH85" i="15"/>
  <c r="AN85" i="15" s="1"/>
  <c r="AG85" i="15"/>
  <c r="F85" i="15"/>
  <c r="E85" i="15"/>
  <c r="D85" i="15"/>
  <c r="AJ84" i="15"/>
  <c r="AP84" i="15" s="1"/>
  <c r="AI84" i="15"/>
  <c r="AO84" i="15" s="1"/>
  <c r="AH84" i="15"/>
  <c r="AN84" i="15" s="1"/>
  <c r="AG84" i="15"/>
  <c r="AM84" i="15" s="1"/>
  <c r="F84" i="15"/>
  <c r="E84" i="15"/>
  <c r="D84" i="15"/>
  <c r="AJ83" i="15"/>
  <c r="AP83" i="15" s="1"/>
  <c r="AI83" i="15"/>
  <c r="AO83" i="15" s="1"/>
  <c r="AH83" i="15"/>
  <c r="AN83" i="15" s="1"/>
  <c r="AG83" i="15"/>
  <c r="F83" i="15"/>
  <c r="E83" i="15"/>
  <c r="D83" i="15"/>
  <c r="AJ82" i="15"/>
  <c r="AP82" i="15" s="1"/>
  <c r="AI82" i="15"/>
  <c r="AO82" i="15" s="1"/>
  <c r="AH82" i="15"/>
  <c r="AN82" i="15" s="1"/>
  <c r="AG82" i="15"/>
  <c r="F82" i="15"/>
  <c r="E82" i="15"/>
  <c r="D82" i="15"/>
  <c r="AJ81" i="15"/>
  <c r="AP81" i="15" s="1"/>
  <c r="AI81" i="15"/>
  <c r="AO81" i="15" s="1"/>
  <c r="AH81" i="15"/>
  <c r="AN81" i="15" s="1"/>
  <c r="AG81" i="15"/>
  <c r="F81" i="15"/>
  <c r="E81" i="15"/>
  <c r="D81" i="15"/>
  <c r="AJ80" i="15"/>
  <c r="AP80" i="15" s="1"/>
  <c r="AI80" i="15"/>
  <c r="AO80" i="15" s="1"/>
  <c r="AH80" i="15"/>
  <c r="AN80" i="15" s="1"/>
  <c r="AG80" i="15"/>
  <c r="F80" i="15"/>
  <c r="E80" i="15"/>
  <c r="D80" i="15"/>
  <c r="AJ79" i="15"/>
  <c r="AP79" i="15" s="1"/>
  <c r="AI79" i="15"/>
  <c r="AO79" i="15" s="1"/>
  <c r="AH79" i="15"/>
  <c r="AN79" i="15" s="1"/>
  <c r="AG79" i="15"/>
  <c r="F79" i="15"/>
  <c r="E79" i="15"/>
  <c r="D79" i="15"/>
  <c r="AJ78" i="15"/>
  <c r="AP78" i="15" s="1"/>
  <c r="AI78" i="15"/>
  <c r="AO78" i="15" s="1"/>
  <c r="AH78" i="15"/>
  <c r="AN78" i="15" s="1"/>
  <c r="AG78" i="15"/>
  <c r="AM78" i="15" s="1"/>
  <c r="F78" i="15"/>
  <c r="E78" i="15"/>
  <c r="D78" i="15"/>
  <c r="AJ77" i="15"/>
  <c r="AP77" i="15" s="1"/>
  <c r="AI77" i="15"/>
  <c r="AO77" i="15" s="1"/>
  <c r="AH77" i="15"/>
  <c r="AN77" i="15" s="1"/>
  <c r="AG77" i="15"/>
  <c r="F77" i="15"/>
  <c r="E77" i="15"/>
  <c r="D77" i="15"/>
  <c r="AJ76" i="15"/>
  <c r="AP76" i="15" s="1"/>
  <c r="AI76" i="15"/>
  <c r="AO76" i="15" s="1"/>
  <c r="AH76" i="15"/>
  <c r="AN76" i="15" s="1"/>
  <c r="AG76" i="15"/>
  <c r="AM76" i="15" s="1"/>
  <c r="F76" i="15"/>
  <c r="E76" i="15"/>
  <c r="D76" i="15"/>
  <c r="AJ75" i="15"/>
  <c r="AP75" i="15" s="1"/>
  <c r="AI75" i="15"/>
  <c r="AO75" i="15" s="1"/>
  <c r="AH75" i="15"/>
  <c r="AN75" i="15" s="1"/>
  <c r="AG75" i="15"/>
  <c r="F75" i="15"/>
  <c r="E75" i="15"/>
  <c r="D75" i="15"/>
  <c r="AJ74" i="15"/>
  <c r="AP74" i="15" s="1"/>
  <c r="AI74" i="15"/>
  <c r="AO74" i="15" s="1"/>
  <c r="AH74" i="15"/>
  <c r="AN74" i="15" s="1"/>
  <c r="AG74" i="15"/>
  <c r="F74" i="15"/>
  <c r="E74" i="15"/>
  <c r="D74" i="15"/>
  <c r="AJ73" i="15"/>
  <c r="AP73" i="15" s="1"/>
  <c r="AI73" i="15"/>
  <c r="AO73" i="15" s="1"/>
  <c r="AH73" i="15"/>
  <c r="AN73" i="15" s="1"/>
  <c r="AG73" i="15"/>
  <c r="AM73" i="15" s="1"/>
  <c r="F73" i="15"/>
  <c r="E73" i="15"/>
  <c r="D73" i="15"/>
  <c r="AJ72" i="15"/>
  <c r="AP72" i="15" s="1"/>
  <c r="AI72" i="15"/>
  <c r="AO72" i="15" s="1"/>
  <c r="AH72" i="15"/>
  <c r="AN72" i="15" s="1"/>
  <c r="AG72" i="15"/>
  <c r="AM72" i="15" s="1"/>
  <c r="F72" i="15"/>
  <c r="E72" i="15"/>
  <c r="D72" i="15"/>
  <c r="AJ71" i="15"/>
  <c r="AP71" i="15" s="1"/>
  <c r="AI71" i="15"/>
  <c r="AO71" i="15" s="1"/>
  <c r="AH71" i="15"/>
  <c r="AN71" i="15" s="1"/>
  <c r="AG71" i="15"/>
  <c r="AM71" i="15" s="1"/>
  <c r="F71" i="15"/>
  <c r="E71" i="15"/>
  <c r="D71" i="15"/>
  <c r="AJ70" i="15"/>
  <c r="AP70" i="15" s="1"/>
  <c r="AI70" i="15"/>
  <c r="AO70" i="15" s="1"/>
  <c r="AH70" i="15"/>
  <c r="AN70" i="15" s="1"/>
  <c r="AG70" i="15"/>
  <c r="F70" i="15"/>
  <c r="E70" i="15"/>
  <c r="D70" i="15"/>
  <c r="AJ69" i="15"/>
  <c r="AP69" i="15" s="1"/>
  <c r="AI69" i="15"/>
  <c r="AO69" i="15" s="1"/>
  <c r="AH69" i="15"/>
  <c r="AN69" i="15" s="1"/>
  <c r="AG69" i="15"/>
  <c r="F69" i="15"/>
  <c r="E69" i="15"/>
  <c r="D69" i="15"/>
  <c r="AJ68" i="15"/>
  <c r="AP68" i="15" s="1"/>
  <c r="AI68" i="15"/>
  <c r="AO68" i="15" s="1"/>
  <c r="AH68" i="15"/>
  <c r="AN68" i="15" s="1"/>
  <c r="AG68" i="15"/>
  <c r="AM68" i="15" s="1"/>
  <c r="F68" i="15"/>
  <c r="E68" i="15"/>
  <c r="D68" i="15"/>
  <c r="AJ67" i="15"/>
  <c r="AP67" i="15" s="1"/>
  <c r="AI67" i="15"/>
  <c r="AO67" i="15" s="1"/>
  <c r="AH67" i="15"/>
  <c r="AN67" i="15" s="1"/>
  <c r="AG67" i="15"/>
  <c r="AM67" i="15" s="1"/>
  <c r="F67" i="15"/>
  <c r="E67" i="15"/>
  <c r="D67" i="15"/>
  <c r="AJ66" i="15"/>
  <c r="AP66" i="15" s="1"/>
  <c r="AI66" i="15"/>
  <c r="AO66" i="15" s="1"/>
  <c r="AH66" i="15"/>
  <c r="AN66" i="15" s="1"/>
  <c r="AG66" i="15"/>
  <c r="F66" i="15"/>
  <c r="E66" i="15"/>
  <c r="D66" i="15"/>
  <c r="AJ65" i="15"/>
  <c r="AP65" i="15" s="1"/>
  <c r="AI65" i="15"/>
  <c r="AO65" i="15" s="1"/>
  <c r="AH65" i="15"/>
  <c r="AN65" i="15" s="1"/>
  <c r="AG65" i="15"/>
  <c r="F65" i="15"/>
  <c r="E65" i="15"/>
  <c r="D65" i="15"/>
  <c r="AJ64" i="15"/>
  <c r="AP64" i="15" s="1"/>
  <c r="AI64" i="15"/>
  <c r="AO64" i="15" s="1"/>
  <c r="AH64" i="15"/>
  <c r="AN64" i="15" s="1"/>
  <c r="AG64" i="15"/>
  <c r="AM64" i="15" s="1"/>
  <c r="F64" i="15"/>
  <c r="E64" i="15"/>
  <c r="D64" i="15"/>
  <c r="AJ63" i="15"/>
  <c r="AP63" i="15" s="1"/>
  <c r="AI63" i="15"/>
  <c r="AO63" i="15" s="1"/>
  <c r="AH63" i="15"/>
  <c r="AN63" i="15" s="1"/>
  <c r="AG63" i="15"/>
  <c r="F63" i="15"/>
  <c r="E63" i="15"/>
  <c r="D63" i="15"/>
  <c r="AJ62" i="15"/>
  <c r="AP62" i="15" s="1"/>
  <c r="AI62" i="15"/>
  <c r="AO62" i="15" s="1"/>
  <c r="AH62" i="15"/>
  <c r="AN62" i="15" s="1"/>
  <c r="AG62" i="15"/>
  <c r="AM62" i="15" s="1"/>
  <c r="F62" i="15"/>
  <c r="E62" i="15"/>
  <c r="D62" i="15"/>
  <c r="AJ61" i="15"/>
  <c r="AP61" i="15" s="1"/>
  <c r="AI61" i="15"/>
  <c r="AO61" i="15" s="1"/>
  <c r="AH61" i="15"/>
  <c r="AN61" i="15" s="1"/>
  <c r="AG61" i="15"/>
  <c r="F61" i="15"/>
  <c r="E61" i="15"/>
  <c r="D61" i="15"/>
  <c r="AJ60" i="15"/>
  <c r="AP60" i="15" s="1"/>
  <c r="AI60" i="15"/>
  <c r="AO60" i="15" s="1"/>
  <c r="AH60" i="15"/>
  <c r="AN60" i="15" s="1"/>
  <c r="AG60" i="15"/>
  <c r="F60" i="15"/>
  <c r="E60" i="15"/>
  <c r="D60" i="15"/>
  <c r="AJ59" i="15"/>
  <c r="AP59" i="15" s="1"/>
  <c r="AI59" i="15"/>
  <c r="AO59" i="15" s="1"/>
  <c r="AH59" i="15"/>
  <c r="AN59" i="15" s="1"/>
  <c r="AG59" i="15"/>
  <c r="AM59" i="15" s="1"/>
  <c r="F59" i="15"/>
  <c r="E59" i="15"/>
  <c r="D59" i="15"/>
  <c r="AJ58" i="15"/>
  <c r="AP58" i="15" s="1"/>
  <c r="AI58" i="15"/>
  <c r="AO58" i="15" s="1"/>
  <c r="AH58" i="15"/>
  <c r="AN58" i="15" s="1"/>
  <c r="AG58" i="15"/>
  <c r="AM58" i="15" s="1"/>
  <c r="F58" i="15"/>
  <c r="E58" i="15"/>
  <c r="D58" i="15"/>
  <c r="AJ57" i="15"/>
  <c r="AP57" i="15" s="1"/>
  <c r="AI57" i="15"/>
  <c r="AO57" i="15" s="1"/>
  <c r="AH57" i="15"/>
  <c r="AN57" i="15" s="1"/>
  <c r="AG57" i="15"/>
  <c r="F57" i="15"/>
  <c r="E57" i="15"/>
  <c r="D57" i="15"/>
  <c r="AJ56" i="15"/>
  <c r="AP56" i="15" s="1"/>
  <c r="AI56" i="15"/>
  <c r="AO56" i="15" s="1"/>
  <c r="AH56" i="15"/>
  <c r="AN56" i="15" s="1"/>
  <c r="AG56" i="15"/>
  <c r="AM56" i="15" s="1"/>
  <c r="F56" i="15"/>
  <c r="E56" i="15"/>
  <c r="D56" i="15"/>
  <c r="AJ55" i="15"/>
  <c r="AP55" i="15" s="1"/>
  <c r="AI55" i="15"/>
  <c r="AO55" i="15" s="1"/>
  <c r="AH55" i="15"/>
  <c r="AN55" i="15" s="1"/>
  <c r="AG55" i="15"/>
  <c r="AM55" i="15" s="1"/>
  <c r="F55" i="15"/>
  <c r="E55" i="15"/>
  <c r="D55" i="15"/>
  <c r="AJ54" i="15"/>
  <c r="AP54" i="15" s="1"/>
  <c r="AI54" i="15"/>
  <c r="AO54" i="15" s="1"/>
  <c r="AH54" i="15"/>
  <c r="AN54" i="15" s="1"/>
  <c r="AG54" i="15"/>
  <c r="AM54" i="15" s="1"/>
  <c r="F54" i="15"/>
  <c r="E54" i="15"/>
  <c r="D54" i="15"/>
  <c r="AJ53" i="15"/>
  <c r="AP53" i="15" s="1"/>
  <c r="AI53" i="15"/>
  <c r="AO53" i="15" s="1"/>
  <c r="AH53" i="15"/>
  <c r="AN53" i="15" s="1"/>
  <c r="AG53" i="15"/>
  <c r="AM53" i="15" s="1"/>
  <c r="F53" i="15"/>
  <c r="E53" i="15"/>
  <c r="D53" i="15"/>
  <c r="AJ52" i="15"/>
  <c r="AP52" i="15" s="1"/>
  <c r="AI52" i="15"/>
  <c r="AO52" i="15" s="1"/>
  <c r="AH52" i="15"/>
  <c r="AN52" i="15" s="1"/>
  <c r="AG52" i="15"/>
  <c r="AM52" i="15" s="1"/>
  <c r="F52" i="15"/>
  <c r="E52" i="15"/>
  <c r="D52" i="15"/>
  <c r="AJ51" i="15"/>
  <c r="AP51" i="15" s="1"/>
  <c r="AI51" i="15"/>
  <c r="AO51" i="15" s="1"/>
  <c r="AH51" i="15"/>
  <c r="AN51" i="15" s="1"/>
  <c r="AG51" i="15"/>
  <c r="AM51" i="15" s="1"/>
  <c r="F51" i="15"/>
  <c r="E51" i="15"/>
  <c r="D51" i="15"/>
  <c r="AJ50" i="15"/>
  <c r="AP50" i="15" s="1"/>
  <c r="AI50" i="15"/>
  <c r="AO50" i="15" s="1"/>
  <c r="AH50" i="15"/>
  <c r="AN50" i="15" s="1"/>
  <c r="AG50" i="15"/>
  <c r="F50" i="15"/>
  <c r="E50" i="15"/>
  <c r="D50" i="15"/>
  <c r="AJ49" i="15"/>
  <c r="AP49" i="15" s="1"/>
  <c r="AI49" i="15"/>
  <c r="AO49" i="15" s="1"/>
  <c r="AH49" i="15"/>
  <c r="AN49" i="15" s="1"/>
  <c r="AG49" i="15"/>
  <c r="AM49" i="15" s="1"/>
  <c r="F49" i="15"/>
  <c r="E49" i="15"/>
  <c r="D49" i="15"/>
  <c r="AJ48" i="15"/>
  <c r="AP48" i="15" s="1"/>
  <c r="AI48" i="15"/>
  <c r="AO48" i="15" s="1"/>
  <c r="AH48" i="15"/>
  <c r="AN48" i="15" s="1"/>
  <c r="AG48" i="15"/>
  <c r="AM48" i="15" s="1"/>
  <c r="F48" i="15"/>
  <c r="E48" i="15"/>
  <c r="D48" i="15"/>
  <c r="AJ47" i="15"/>
  <c r="AP47" i="15" s="1"/>
  <c r="AI47" i="15"/>
  <c r="AO47" i="15" s="1"/>
  <c r="AH47" i="15"/>
  <c r="AN47" i="15" s="1"/>
  <c r="AG47" i="15"/>
  <c r="AM47" i="15" s="1"/>
  <c r="F47" i="15"/>
  <c r="E47" i="15"/>
  <c r="D47" i="15"/>
  <c r="AJ46" i="15"/>
  <c r="AP46" i="15" s="1"/>
  <c r="AI46" i="15"/>
  <c r="AO46" i="15" s="1"/>
  <c r="AH46" i="15"/>
  <c r="AN46" i="15" s="1"/>
  <c r="AG46" i="15"/>
  <c r="F46" i="15"/>
  <c r="E46" i="15"/>
  <c r="D46" i="15"/>
  <c r="AJ45" i="15"/>
  <c r="AP45" i="15" s="1"/>
  <c r="AI45" i="15"/>
  <c r="AO45" i="15" s="1"/>
  <c r="AH45" i="15"/>
  <c r="AN45" i="15" s="1"/>
  <c r="AG45" i="15"/>
  <c r="AM45" i="15" s="1"/>
  <c r="F45" i="15"/>
  <c r="E45" i="15"/>
  <c r="D45" i="15"/>
  <c r="AJ44" i="15"/>
  <c r="AP44" i="15" s="1"/>
  <c r="AI44" i="15"/>
  <c r="AO44" i="15" s="1"/>
  <c r="AH44" i="15"/>
  <c r="AN44" i="15" s="1"/>
  <c r="AG44" i="15"/>
  <c r="AM44" i="15" s="1"/>
  <c r="F44" i="15"/>
  <c r="E44" i="15"/>
  <c r="D44" i="15"/>
  <c r="AJ43" i="15"/>
  <c r="AP43" i="15" s="1"/>
  <c r="AI43" i="15"/>
  <c r="AO43" i="15" s="1"/>
  <c r="AH43" i="15"/>
  <c r="AN43" i="15" s="1"/>
  <c r="AG43" i="15"/>
  <c r="AM43" i="15" s="1"/>
  <c r="F43" i="15"/>
  <c r="E43" i="15"/>
  <c r="D43" i="15"/>
  <c r="AJ42" i="15"/>
  <c r="AP42" i="15" s="1"/>
  <c r="AI42" i="15"/>
  <c r="AO42" i="15" s="1"/>
  <c r="AH42" i="15"/>
  <c r="AN42" i="15" s="1"/>
  <c r="AG42" i="15"/>
  <c r="AM42" i="15" s="1"/>
  <c r="F42" i="15"/>
  <c r="E42" i="15"/>
  <c r="D42" i="15"/>
  <c r="AJ41" i="15"/>
  <c r="AP41" i="15" s="1"/>
  <c r="AI41" i="15"/>
  <c r="AO41" i="15" s="1"/>
  <c r="AH41" i="15"/>
  <c r="AN41" i="15" s="1"/>
  <c r="AG41" i="15"/>
  <c r="AM41" i="15" s="1"/>
  <c r="F41" i="15"/>
  <c r="E41" i="15"/>
  <c r="D41" i="15"/>
  <c r="AJ40" i="15"/>
  <c r="AP40" i="15" s="1"/>
  <c r="AI40" i="15"/>
  <c r="AO40" i="15" s="1"/>
  <c r="AH40" i="15"/>
  <c r="AN40" i="15" s="1"/>
  <c r="AG40" i="15"/>
  <c r="AM40" i="15" s="1"/>
  <c r="F40" i="15"/>
  <c r="E40" i="15"/>
  <c r="D40" i="15"/>
  <c r="AJ39" i="15"/>
  <c r="AP39" i="15" s="1"/>
  <c r="AI39" i="15"/>
  <c r="AO39" i="15" s="1"/>
  <c r="AH39" i="15"/>
  <c r="AN39" i="15" s="1"/>
  <c r="AG39" i="15"/>
  <c r="AM39" i="15" s="1"/>
  <c r="F39" i="15"/>
  <c r="E39" i="15"/>
  <c r="D39" i="15"/>
  <c r="AJ38" i="15"/>
  <c r="AP38" i="15" s="1"/>
  <c r="AI38" i="15"/>
  <c r="AO38" i="15" s="1"/>
  <c r="AH38" i="15"/>
  <c r="AN38" i="15" s="1"/>
  <c r="AG38" i="15"/>
  <c r="AM38" i="15" s="1"/>
  <c r="F38" i="15"/>
  <c r="E38" i="15"/>
  <c r="D38" i="15"/>
  <c r="AJ37" i="15"/>
  <c r="AP37" i="15" s="1"/>
  <c r="AI37" i="15"/>
  <c r="AO37" i="15" s="1"/>
  <c r="AH37" i="15"/>
  <c r="AN37" i="15" s="1"/>
  <c r="AG37" i="15"/>
  <c r="AM37" i="15" s="1"/>
  <c r="F37" i="15"/>
  <c r="E37" i="15"/>
  <c r="D37" i="15"/>
  <c r="AJ36" i="15"/>
  <c r="AP36" i="15" s="1"/>
  <c r="AI36" i="15"/>
  <c r="AO36" i="15" s="1"/>
  <c r="AH36" i="15"/>
  <c r="AN36" i="15" s="1"/>
  <c r="AG36" i="15"/>
  <c r="AM36" i="15" s="1"/>
  <c r="F36" i="15"/>
  <c r="E36" i="15"/>
  <c r="D36" i="15"/>
  <c r="AJ35" i="15"/>
  <c r="AP35" i="15" s="1"/>
  <c r="AI35" i="15"/>
  <c r="AO35" i="15" s="1"/>
  <c r="AH35" i="15"/>
  <c r="AN35" i="15" s="1"/>
  <c r="AG35" i="15"/>
  <c r="AM35" i="15" s="1"/>
  <c r="F35" i="15"/>
  <c r="E35" i="15"/>
  <c r="D35" i="15"/>
  <c r="AJ34" i="15"/>
  <c r="AP34" i="15" s="1"/>
  <c r="AI34" i="15"/>
  <c r="AO34" i="15" s="1"/>
  <c r="AH34" i="15"/>
  <c r="AN34" i="15" s="1"/>
  <c r="AG34" i="15"/>
  <c r="AM34" i="15" s="1"/>
  <c r="F34" i="15"/>
  <c r="E34" i="15"/>
  <c r="D34" i="15"/>
  <c r="AJ33" i="15"/>
  <c r="AP33" i="15" s="1"/>
  <c r="AI33" i="15"/>
  <c r="AO33" i="15" s="1"/>
  <c r="AH33" i="15"/>
  <c r="AN33" i="15" s="1"/>
  <c r="AG33" i="15"/>
  <c r="AM33" i="15" s="1"/>
  <c r="F33" i="15"/>
  <c r="E33" i="15"/>
  <c r="D33" i="15"/>
  <c r="AJ32" i="15"/>
  <c r="AP32" i="15" s="1"/>
  <c r="AI32" i="15"/>
  <c r="AO32" i="15" s="1"/>
  <c r="AH32" i="15"/>
  <c r="AN32" i="15" s="1"/>
  <c r="AG32" i="15"/>
  <c r="AM32" i="15" s="1"/>
  <c r="F32" i="15"/>
  <c r="E32" i="15"/>
  <c r="D32" i="15"/>
  <c r="AJ31" i="15"/>
  <c r="AP31" i="15" s="1"/>
  <c r="AI31" i="15"/>
  <c r="AO31" i="15" s="1"/>
  <c r="AH31" i="15"/>
  <c r="AN31" i="15" s="1"/>
  <c r="AG31" i="15"/>
  <c r="AM31" i="15" s="1"/>
  <c r="F31" i="15"/>
  <c r="E31" i="15"/>
  <c r="D31" i="15"/>
  <c r="AJ30" i="15"/>
  <c r="AP30" i="15" s="1"/>
  <c r="AI30" i="15"/>
  <c r="AO30" i="15" s="1"/>
  <c r="AH30" i="15"/>
  <c r="AN30" i="15" s="1"/>
  <c r="AG30" i="15"/>
  <c r="AM30" i="15" s="1"/>
  <c r="F30" i="15"/>
  <c r="E30" i="15"/>
  <c r="D30" i="15"/>
  <c r="AJ29" i="15"/>
  <c r="AP29" i="15" s="1"/>
  <c r="AI29" i="15"/>
  <c r="AO29" i="15" s="1"/>
  <c r="AH29" i="15"/>
  <c r="AN29" i="15" s="1"/>
  <c r="AG29" i="15"/>
  <c r="AM29" i="15" s="1"/>
  <c r="F29" i="15"/>
  <c r="E29" i="15"/>
  <c r="D29" i="15"/>
  <c r="AJ28" i="15"/>
  <c r="AP28" i="15" s="1"/>
  <c r="AI28" i="15"/>
  <c r="AO28" i="15" s="1"/>
  <c r="AH28" i="15"/>
  <c r="AN28" i="15" s="1"/>
  <c r="AG28" i="15"/>
  <c r="AM28" i="15" s="1"/>
  <c r="F28" i="15"/>
  <c r="E28" i="15"/>
  <c r="D28" i="15"/>
  <c r="AJ27" i="15"/>
  <c r="AP27" i="15" s="1"/>
  <c r="AI27" i="15"/>
  <c r="AO27" i="15" s="1"/>
  <c r="AH27" i="15"/>
  <c r="AN27" i="15" s="1"/>
  <c r="AG27" i="15"/>
  <c r="AM27" i="15" s="1"/>
  <c r="F27" i="15"/>
  <c r="E27" i="15"/>
  <c r="D27" i="15"/>
  <c r="AJ26" i="15"/>
  <c r="AP26" i="15" s="1"/>
  <c r="AI26" i="15"/>
  <c r="AO26" i="15" s="1"/>
  <c r="AH26" i="15"/>
  <c r="AN26" i="15" s="1"/>
  <c r="AG26" i="15"/>
  <c r="F26" i="15"/>
  <c r="E26" i="15"/>
  <c r="D26" i="15"/>
  <c r="AJ25" i="15"/>
  <c r="AP25" i="15" s="1"/>
  <c r="AI25" i="15"/>
  <c r="AO25" i="15" s="1"/>
  <c r="AH25" i="15"/>
  <c r="AN25" i="15" s="1"/>
  <c r="AG25" i="15"/>
  <c r="AM25" i="15" s="1"/>
  <c r="AJ24" i="15"/>
  <c r="AP24" i="15" s="1"/>
  <c r="AI24" i="15"/>
  <c r="AO24" i="15" s="1"/>
  <c r="AH24" i="15"/>
  <c r="AN24" i="15" s="1"/>
  <c r="AG24" i="15"/>
  <c r="AM24" i="15" s="1"/>
  <c r="F24" i="15"/>
  <c r="E24" i="15"/>
  <c r="D24" i="15"/>
  <c r="AJ23" i="15"/>
  <c r="AP23" i="15" s="1"/>
  <c r="AI23" i="15"/>
  <c r="AO23" i="15" s="1"/>
  <c r="AH23" i="15"/>
  <c r="AN23" i="15" s="1"/>
  <c r="AG23" i="15"/>
  <c r="AM23" i="15" s="1"/>
  <c r="F23" i="15"/>
  <c r="E23" i="15"/>
  <c r="D23" i="15"/>
  <c r="AJ22" i="15"/>
  <c r="AP22" i="15" s="1"/>
  <c r="AI22" i="15"/>
  <c r="AO22" i="15" s="1"/>
  <c r="AH22" i="15"/>
  <c r="AN22" i="15" s="1"/>
  <c r="AG22" i="15"/>
  <c r="F22" i="15"/>
  <c r="E22" i="15"/>
  <c r="D22" i="15"/>
  <c r="AJ21" i="15"/>
  <c r="AP21" i="15" s="1"/>
  <c r="AI21" i="15"/>
  <c r="AO21" i="15" s="1"/>
  <c r="AH21" i="15"/>
  <c r="AN21" i="15" s="1"/>
  <c r="AG21" i="15"/>
  <c r="F21" i="15"/>
  <c r="E21" i="15"/>
  <c r="D21" i="15"/>
  <c r="AJ20" i="15"/>
  <c r="AP20" i="15" s="1"/>
  <c r="AI20" i="15"/>
  <c r="AO20" i="15" s="1"/>
  <c r="AH20" i="15"/>
  <c r="AN20" i="15" s="1"/>
  <c r="AG20" i="15"/>
  <c r="F20" i="15"/>
  <c r="E20" i="15"/>
  <c r="D20" i="15"/>
  <c r="AJ19" i="15"/>
  <c r="AP19" i="15" s="1"/>
  <c r="AI19" i="15"/>
  <c r="AO19" i="15" s="1"/>
  <c r="AH19" i="15"/>
  <c r="AN19" i="15" s="1"/>
  <c r="AG19" i="15"/>
  <c r="F19" i="15"/>
  <c r="E19" i="15"/>
  <c r="D19" i="15"/>
  <c r="AJ18" i="15"/>
  <c r="AP18" i="15" s="1"/>
  <c r="AI18" i="15"/>
  <c r="AO18" i="15" s="1"/>
  <c r="AH18" i="15"/>
  <c r="AN18" i="15" s="1"/>
  <c r="AG18" i="15"/>
  <c r="F18" i="15"/>
  <c r="E18" i="15"/>
  <c r="D18" i="15"/>
  <c r="AJ17" i="15"/>
  <c r="AP17" i="15" s="1"/>
  <c r="AI17" i="15"/>
  <c r="AO17" i="15" s="1"/>
  <c r="AH17" i="15"/>
  <c r="AN17" i="15" s="1"/>
  <c r="AG17" i="15"/>
  <c r="F17" i="15"/>
  <c r="E17" i="15"/>
  <c r="D17" i="15"/>
  <c r="AJ16" i="15"/>
  <c r="AP16" i="15" s="1"/>
  <c r="AI16" i="15"/>
  <c r="AO16" i="15" s="1"/>
  <c r="AH16" i="15"/>
  <c r="AN16" i="15" s="1"/>
  <c r="AG16" i="15"/>
  <c r="F16" i="15"/>
  <c r="E16" i="15"/>
  <c r="D16" i="15"/>
  <c r="AJ15" i="15"/>
  <c r="AP15" i="15" s="1"/>
  <c r="AI15" i="15"/>
  <c r="AO15" i="15" s="1"/>
  <c r="AH15" i="15"/>
  <c r="AN15" i="15" s="1"/>
  <c r="AG15" i="15"/>
  <c r="F15" i="15"/>
  <c r="E15" i="15"/>
  <c r="D15" i="15"/>
  <c r="AJ14" i="15"/>
  <c r="AP14" i="15" s="1"/>
  <c r="AI14" i="15"/>
  <c r="AO14" i="15" s="1"/>
  <c r="AH14" i="15"/>
  <c r="AN14" i="15" s="1"/>
  <c r="AG14" i="15"/>
  <c r="F14" i="15"/>
  <c r="E14" i="15"/>
  <c r="D14" i="15"/>
  <c r="AJ13" i="15"/>
  <c r="AP13" i="15" s="1"/>
  <c r="AI13" i="15"/>
  <c r="AO13" i="15" s="1"/>
  <c r="AH13" i="15"/>
  <c r="AN13" i="15" s="1"/>
  <c r="AG13" i="15"/>
  <c r="F13" i="15"/>
  <c r="E13" i="15"/>
  <c r="D13" i="15"/>
  <c r="AJ12" i="15"/>
  <c r="AP12" i="15" s="1"/>
  <c r="AI12" i="15"/>
  <c r="AO12" i="15" s="1"/>
  <c r="AH12" i="15"/>
  <c r="AN12" i="15" s="1"/>
  <c r="AG12" i="15"/>
  <c r="F12" i="15"/>
  <c r="E12" i="15"/>
  <c r="D12" i="15"/>
  <c r="AJ11" i="15"/>
  <c r="AP11" i="15" s="1"/>
  <c r="AI11" i="15"/>
  <c r="AO11" i="15" s="1"/>
  <c r="AH11" i="15"/>
  <c r="AN11" i="15" s="1"/>
  <c r="AG11" i="15"/>
  <c r="F11" i="15"/>
  <c r="E11" i="15"/>
  <c r="D11" i="15"/>
  <c r="AJ10" i="15"/>
  <c r="AP10" i="15" s="1"/>
  <c r="AI10" i="15"/>
  <c r="AO10" i="15" s="1"/>
  <c r="AH10" i="15"/>
  <c r="AN10" i="15" s="1"/>
  <c r="AG10" i="15"/>
  <c r="F10" i="15"/>
  <c r="E10" i="15"/>
  <c r="D10" i="15"/>
  <c r="AJ9" i="15"/>
  <c r="AP9" i="15" s="1"/>
  <c r="AI9" i="15"/>
  <c r="AO9" i="15" s="1"/>
  <c r="AH9" i="15"/>
  <c r="AN9" i="15" s="1"/>
  <c r="AG9" i="15"/>
  <c r="F9" i="15"/>
  <c r="E9" i="15"/>
  <c r="D9" i="15"/>
  <c r="AJ8" i="15"/>
  <c r="AP8" i="15" s="1"/>
  <c r="AI8" i="15"/>
  <c r="AO8" i="15" s="1"/>
  <c r="AH8" i="15"/>
  <c r="AN8" i="15" s="1"/>
  <c r="AG8" i="15"/>
  <c r="F8" i="15"/>
  <c r="E8" i="15"/>
  <c r="D8" i="15"/>
  <c r="AS7" i="15"/>
  <c r="AJ7" i="15"/>
  <c r="AP7" i="15" s="1"/>
  <c r="AI7" i="15"/>
  <c r="AO7" i="15" s="1"/>
  <c r="AH7" i="15"/>
  <c r="AN7" i="15" s="1"/>
  <c r="AG7" i="15"/>
  <c r="AM7" i="15" s="1"/>
  <c r="F7" i="15"/>
  <c r="E7" i="15"/>
  <c r="D7" i="15"/>
  <c r="AJ6" i="15"/>
  <c r="AP6" i="15" s="1"/>
  <c r="AI6" i="15"/>
  <c r="AO6" i="15" s="1"/>
  <c r="AH6" i="15"/>
  <c r="AN6" i="15" s="1"/>
  <c r="AG6" i="15"/>
  <c r="AM6" i="15" s="1"/>
  <c r="F6" i="15"/>
  <c r="E6" i="15"/>
  <c r="D6" i="15"/>
  <c r="AJ5" i="15"/>
  <c r="AP5" i="15" s="1"/>
  <c r="AI5" i="15"/>
  <c r="AO5" i="15" s="1"/>
  <c r="AH5" i="15"/>
  <c r="AN5" i="15" s="1"/>
  <c r="AG5" i="15"/>
  <c r="AM5" i="15" s="1"/>
  <c r="F5" i="15"/>
  <c r="E5" i="15"/>
  <c r="D5" i="15"/>
  <c r="AJ4" i="15"/>
  <c r="AP4" i="15" s="1"/>
  <c r="AI4" i="15"/>
  <c r="AO4" i="15" s="1"/>
  <c r="AH4" i="15"/>
  <c r="AN4" i="15" s="1"/>
  <c r="AG4" i="15"/>
  <c r="F4" i="15"/>
  <c r="E4" i="15"/>
  <c r="D4" i="15"/>
  <c r="AJ3" i="15"/>
  <c r="AI3" i="15"/>
  <c r="AO3" i="15" s="1"/>
  <c r="AH3" i="15"/>
  <c r="AG3" i="15"/>
  <c r="AM3" i="15" s="1"/>
  <c r="F3" i="15"/>
  <c r="E3" i="15"/>
  <c r="D3" i="15"/>
  <c r="AT1" i="15"/>
  <c r="AS1" i="15"/>
  <c r="AR1" i="15"/>
  <c r="AQ1" i="15"/>
  <c r="AZ35" i="18" l="1"/>
  <c r="AZ5" i="18"/>
  <c r="AZ38" i="18"/>
  <c r="AZ30" i="18"/>
  <c r="AZ12" i="18"/>
  <c r="AQ193" i="18"/>
  <c r="AT82" i="18"/>
  <c r="AZ44" i="18"/>
  <c r="AU39" i="18"/>
  <c r="AZ39" i="18" s="1"/>
  <c r="AU33" i="18"/>
  <c r="AZ96" i="18"/>
  <c r="AU32" i="18"/>
  <c r="AU9" i="18"/>
  <c r="AZ7" i="18"/>
  <c r="AQ14" i="18"/>
  <c r="M189" i="15"/>
  <c r="M190" i="15" s="1"/>
  <c r="AI190" i="15" s="1"/>
  <c r="AN226" i="15"/>
  <c r="AH200" i="18"/>
  <c r="AK185" i="18"/>
  <c r="AT48" i="18"/>
  <c r="AU82" i="18"/>
  <c r="AM185" i="18"/>
  <c r="AO190" i="18" s="1"/>
  <c r="AP190" i="18" s="1"/>
  <c r="AR190" i="18" s="1"/>
  <c r="AT190" i="18" s="1"/>
  <c r="AT42" i="18"/>
  <c r="AZ42" i="18" s="1"/>
  <c r="AQ9" i="18"/>
  <c r="AU15" i="18"/>
  <c r="AU14" i="18"/>
  <c r="L189" i="15"/>
  <c r="L190" i="15" s="1"/>
  <c r="AH190" i="15" s="1"/>
  <c r="AH200" i="15" s="1"/>
  <c r="AU48" i="18"/>
  <c r="AZ37" i="18"/>
  <c r="AZ31" i="18"/>
  <c r="AK110" i="15"/>
  <c r="AQ110" i="15" s="1"/>
  <c r="AK20" i="15"/>
  <c r="AQ20" i="15" s="1"/>
  <c r="AO189" i="18"/>
  <c r="AP189" i="18" s="1"/>
  <c r="AR189" i="18" s="1"/>
  <c r="AT189" i="18" s="1"/>
  <c r="AU131" i="18"/>
  <c r="AQ131" i="18"/>
  <c r="AQ128" i="18"/>
  <c r="AU128" i="18"/>
  <c r="AQ106" i="18"/>
  <c r="AU106" i="18"/>
  <c r="AQ103" i="18"/>
  <c r="AU103" i="18"/>
  <c r="AQ108" i="18"/>
  <c r="AU108" i="18"/>
  <c r="AQ97" i="18"/>
  <c r="AU97" i="18"/>
  <c r="AT74" i="18"/>
  <c r="AZ74" i="18" s="1"/>
  <c r="AQ74" i="18"/>
  <c r="AU74" i="18"/>
  <c r="AT46" i="18"/>
  <c r="AQ46" i="18"/>
  <c r="AU46" i="18"/>
  <c r="AU58" i="18"/>
  <c r="AT58" i="18"/>
  <c r="AZ58" i="18" s="1"/>
  <c r="AQ58" i="18"/>
  <c r="AU129" i="18"/>
  <c r="AQ129" i="18"/>
  <c r="AU47" i="18"/>
  <c r="AT47" i="18"/>
  <c r="AQ47" i="18"/>
  <c r="AU19" i="18"/>
  <c r="AQ19" i="18"/>
  <c r="AU28" i="18"/>
  <c r="AT28" i="18"/>
  <c r="AQ28" i="18"/>
  <c r="AZ10" i="18"/>
  <c r="AQ197" i="18"/>
  <c r="AI200" i="18"/>
  <c r="AQ198" i="18"/>
  <c r="AU110" i="18"/>
  <c r="AQ110" i="18"/>
  <c r="AQ107" i="18"/>
  <c r="AU107" i="18"/>
  <c r="AU98" i="18"/>
  <c r="AT98" i="18"/>
  <c r="AQ98" i="18"/>
  <c r="AT55" i="18"/>
  <c r="AQ55" i="18"/>
  <c r="AU55" i="18"/>
  <c r="AU18" i="18"/>
  <c r="AQ18" i="18"/>
  <c r="AU123" i="18"/>
  <c r="AQ123" i="18"/>
  <c r="AQ49" i="18"/>
  <c r="AU49" i="18"/>
  <c r="AU53" i="18"/>
  <c r="AT53" i="18"/>
  <c r="AZ53" i="18" s="1"/>
  <c r="AQ53" i="18"/>
  <c r="AQ126" i="18"/>
  <c r="AU126" i="18"/>
  <c r="AQ102" i="18"/>
  <c r="AU102" i="18"/>
  <c r="AU117" i="18"/>
  <c r="AQ117" i="18"/>
  <c r="AQ104" i="18"/>
  <c r="AU104" i="18"/>
  <c r="AT60" i="18"/>
  <c r="AQ60" i="18"/>
  <c r="AU60" i="18"/>
  <c r="AQ109" i="18"/>
  <c r="AU109" i="18"/>
  <c r="AU51" i="18"/>
  <c r="AT51" i="18"/>
  <c r="AZ51" i="18" s="1"/>
  <c r="AQ51" i="18"/>
  <c r="AZ34" i="18"/>
  <c r="AU22" i="18"/>
  <c r="AT22" i="18"/>
  <c r="AZ22" i="18" s="1"/>
  <c r="AQ22" i="18"/>
  <c r="AU127" i="18"/>
  <c r="AQ127" i="18"/>
  <c r="AQ45" i="18"/>
  <c r="AU45" i="18"/>
  <c r="AT45" i="18"/>
  <c r="AZ33" i="18"/>
  <c r="AZ40" i="18"/>
  <c r="AZ36" i="18"/>
  <c r="AQ105" i="18"/>
  <c r="AU105" i="18"/>
  <c r="AU50" i="18"/>
  <c r="AT50" i="18"/>
  <c r="AQ50" i="18"/>
  <c r="AZ9" i="18"/>
  <c r="AZ11" i="18"/>
  <c r="AQ130" i="18"/>
  <c r="AU130" i="18"/>
  <c r="AG192" i="18"/>
  <c r="AT89" i="18"/>
  <c r="AQ89" i="18"/>
  <c r="AU89" i="18"/>
  <c r="AQ132" i="18"/>
  <c r="AU132" i="18"/>
  <c r="AQ124" i="18"/>
  <c r="AU124" i="18"/>
  <c r="AU100" i="18"/>
  <c r="AT100" i="18"/>
  <c r="AQ100" i="18"/>
  <c r="AT79" i="18"/>
  <c r="AQ79" i="18"/>
  <c r="AU79" i="18"/>
  <c r="AT69" i="18"/>
  <c r="AQ69" i="18"/>
  <c r="AU69" i="18"/>
  <c r="AU23" i="18"/>
  <c r="AT23" i="18"/>
  <c r="AQ23" i="18"/>
  <c r="AQ3" i="18"/>
  <c r="AU3" i="18"/>
  <c r="AT3" i="18"/>
  <c r="AU125" i="18"/>
  <c r="AQ125" i="18"/>
  <c r="AZ82" i="18"/>
  <c r="AU52" i="18"/>
  <c r="AT52" i="18"/>
  <c r="AQ52" i="18"/>
  <c r="AZ41" i="18"/>
  <c r="AU24" i="18"/>
  <c r="AT24" i="18"/>
  <c r="AQ24" i="18"/>
  <c r="AO199" i="18"/>
  <c r="AP199" i="18" s="1"/>
  <c r="AR199" i="18" s="1"/>
  <c r="AT199" i="18" s="1"/>
  <c r="AO198" i="18"/>
  <c r="AP198" i="18" s="1"/>
  <c r="AR198" i="18" s="1"/>
  <c r="AT198" i="18" s="1"/>
  <c r="AO197" i="18"/>
  <c r="AP197" i="18" s="1"/>
  <c r="AU99" i="18"/>
  <c r="AQ99" i="18"/>
  <c r="AT99" i="18"/>
  <c r="AQ57" i="18"/>
  <c r="AU57" i="18"/>
  <c r="AU16" i="18"/>
  <c r="AQ16" i="18"/>
  <c r="AT16" i="18"/>
  <c r="AO195" i="18"/>
  <c r="AP195" i="18" s="1"/>
  <c r="AR195" i="18" s="1"/>
  <c r="AT195" i="18" s="1"/>
  <c r="AO193" i="18"/>
  <c r="AP193" i="18" s="1"/>
  <c r="AR193" i="18" s="1"/>
  <c r="AT193" i="18" s="1"/>
  <c r="AZ32" i="18"/>
  <c r="AZ13" i="18"/>
  <c r="AZ8" i="18"/>
  <c r="AZ15" i="18"/>
  <c r="AZ14" i="18"/>
  <c r="AK12" i="15"/>
  <c r="AT12" i="15" s="1"/>
  <c r="AK26" i="15"/>
  <c r="AQ26" i="15" s="1"/>
  <c r="AK106" i="15"/>
  <c r="AQ106" i="15" s="1"/>
  <c r="AG190" i="15"/>
  <c r="AQ190" i="15" s="1"/>
  <c r="AK46" i="15"/>
  <c r="AQ46" i="15" s="1"/>
  <c r="AK86" i="15"/>
  <c r="AQ86" i="15" s="1"/>
  <c r="AK122" i="15"/>
  <c r="AQ122" i="15" s="1"/>
  <c r="AK176" i="15"/>
  <c r="AK60" i="15"/>
  <c r="AU60" i="15" s="1"/>
  <c r="AK82" i="15"/>
  <c r="AQ82" i="15" s="1"/>
  <c r="AK112" i="15"/>
  <c r="AQ112" i="15" s="1"/>
  <c r="AK8" i="15"/>
  <c r="AU8" i="15" s="1"/>
  <c r="AK16" i="15"/>
  <c r="AT16" i="15" s="1"/>
  <c r="AK134" i="15"/>
  <c r="AQ134" i="15" s="1"/>
  <c r="AK136" i="15"/>
  <c r="AQ136" i="15" s="1"/>
  <c r="AK140" i="15"/>
  <c r="AQ140" i="15" s="1"/>
  <c r="AK142" i="15"/>
  <c r="AQ142" i="15" s="1"/>
  <c r="AK57" i="15"/>
  <c r="AQ57" i="15" s="1"/>
  <c r="AK79" i="15"/>
  <c r="AU79" i="15" s="1"/>
  <c r="AK92" i="15"/>
  <c r="AQ92" i="15" s="1"/>
  <c r="AK102" i="15"/>
  <c r="AQ102" i="15" s="1"/>
  <c r="AK116" i="15"/>
  <c r="AQ116" i="15" s="1"/>
  <c r="AM20" i="15"/>
  <c r="AJ185" i="15"/>
  <c r="AP185" i="15" s="1"/>
  <c r="AK9" i="15"/>
  <c r="AU9" i="15" s="1"/>
  <c r="AM9" i="15"/>
  <c r="AK13" i="15"/>
  <c r="AQ13" i="15" s="1"/>
  <c r="AM13" i="15"/>
  <c r="AK17" i="15"/>
  <c r="AQ17" i="15" s="1"/>
  <c r="AM17" i="15"/>
  <c r="AK21" i="15"/>
  <c r="AQ21" i="15" s="1"/>
  <c r="AM46" i="15"/>
  <c r="AM60" i="15"/>
  <c r="AK63" i="15"/>
  <c r="AQ63" i="15" s="1"/>
  <c r="AM63" i="15"/>
  <c r="AK77" i="15"/>
  <c r="AQ77" i="15" s="1"/>
  <c r="AM77" i="15"/>
  <c r="AK85" i="15"/>
  <c r="AQ85" i="15" s="1"/>
  <c r="AM85" i="15"/>
  <c r="AM102" i="15"/>
  <c r="AM110" i="15"/>
  <c r="AO184" i="15"/>
  <c r="AK184" i="15"/>
  <c r="AM16" i="15"/>
  <c r="AM57" i="15"/>
  <c r="AM79" i="15"/>
  <c r="AM82" i="15"/>
  <c r="AM116" i="15"/>
  <c r="AK10" i="15"/>
  <c r="AU10" i="15" s="1"/>
  <c r="AM10" i="15"/>
  <c r="AK14" i="15"/>
  <c r="AU14" i="15" s="1"/>
  <c r="AM14" i="15"/>
  <c r="AK18" i="15"/>
  <c r="AU18" i="15" s="1"/>
  <c r="AM18" i="15"/>
  <c r="AM26" i="15"/>
  <c r="AK75" i="15"/>
  <c r="AQ75" i="15" s="1"/>
  <c r="AM75" i="15"/>
  <c r="AK80" i="15"/>
  <c r="AQ80" i="15" s="1"/>
  <c r="AM80" i="15"/>
  <c r="AK83" i="15"/>
  <c r="AQ83" i="15" s="1"/>
  <c r="AM83" i="15"/>
  <c r="AK91" i="15"/>
  <c r="AQ91" i="15" s="1"/>
  <c r="AM91" i="15"/>
  <c r="AM112" i="15"/>
  <c r="AK183" i="15"/>
  <c r="AO183" i="15"/>
  <c r="AO185" i="15" s="1"/>
  <c r="AM8" i="15"/>
  <c r="AM12" i="15"/>
  <c r="AM92" i="15"/>
  <c r="AK4" i="15"/>
  <c r="AQ4" i="15" s="1"/>
  <c r="AM4" i="15"/>
  <c r="AK11" i="15"/>
  <c r="AQ11" i="15" s="1"/>
  <c r="AM11" i="15"/>
  <c r="AK15" i="15"/>
  <c r="AQ15" i="15" s="1"/>
  <c r="AM15" i="15"/>
  <c r="AK19" i="15"/>
  <c r="AU19" i="15" s="1"/>
  <c r="AM19" i="15"/>
  <c r="AK50" i="15"/>
  <c r="AU50" i="15" s="1"/>
  <c r="AM50" i="15"/>
  <c r="AK61" i="15"/>
  <c r="AQ61" i="15" s="1"/>
  <c r="AM61" i="15"/>
  <c r="AK65" i="15"/>
  <c r="AQ65" i="15" s="1"/>
  <c r="AM65" i="15"/>
  <c r="AK69" i="15"/>
  <c r="AT69" i="15" s="1"/>
  <c r="AM69" i="15"/>
  <c r="AM86" i="15"/>
  <c r="AK89" i="15"/>
  <c r="AT89" i="15" s="1"/>
  <c r="AM89" i="15"/>
  <c r="AM106" i="15"/>
  <c r="AM122" i="15"/>
  <c r="AM176" i="15"/>
  <c r="AM134" i="15"/>
  <c r="AM136" i="15"/>
  <c r="AM140" i="15"/>
  <c r="AM142" i="15"/>
  <c r="AK22" i="15"/>
  <c r="AU22" i="15" s="1"/>
  <c r="AM22" i="15"/>
  <c r="AK66" i="15"/>
  <c r="AQ66" i="15" s="1"/>
  <c r="AM66" i="15"/>
  <c r="AK70" i="15"/>
  <c r="AQ70" i="15" s="1"/>
  <c r="AM70" i="15"/>
  <c r="AK74" i="15"/>
  <c r="AU74" i="15" s="1"/>
  <c r="AM74" i="15"/>
  <c r="AK81" i="15"/>
  <c r="AQ81" i="15" s="1"/>
  <c r="AM81" i="15"/>
  <c r="AK95" i="15"/>
  <c r="AQ95" i="15" s="1"/>
  <c r="AM95" i="15"/>
  <c r="AK113" i="15"/>
  <c r="AQ113" i="15" s="1"/>
  <c r="AM113" i="15"/>
  <c r="AK119" i="15"/>
  <c r="AQ119" i="15" s="1"/>
  <c r="AM119" i="15"/>
  <c r="AK123" i="15"/>
  <c r="AU123" i="15" s="1"/>
  <c r="AM123" i="15"/>
  <c r="AK127" i="15"/>
  <c r="AU127" i="15" s="1"/>
  <c r="AM127" i="15"/>
  <c r="AK131" i="15"/>
  <c r="AU131" i="15" s="1"/>
  <c r="AM131" i="15"/>
  <c r="AK137" i="15"/>
  <c r="AQ137" i="15" s="1"/>
  <c r="AM137" i="15"/>
  <c r="AK150" i="15"/>
  <c r="AQ150" i="15" s="1"/>
  <c r="AM150" i="15"/>
  <c r="AK158" i="15"/>
  <c r="AQ158" i="15" s="1"/>
  <c r="AM158" i="15"/>
  <c r="AK166" i="15"/>
  <c r="AQ166" i="15" s="1"/>
  <c r="AM166" i="15"/>
  <c r="AG185" i="15"/>
  <c r="AK3" i="15"/>
  <c r="AP3" i="15"/>
  <c r="AM21" i="15"/>
  <c r="AK24" i="15"/>
  <c r="AK25" i="15"/>
  <c r="AQ25" i="15" s="1"/>
  <c r="AK105" i="15"/>
  <c r="AK115" i="15"/>
  <c r="AQ115" i="15" s="1"/>
  <c r="AK118" i="15"/>
  <c r="AQ118" i="15" s="1"/>
  <c r="AH185" i="15"/>
  <c r="AK5" i="15"/>
  <c r="AK6" i="15"/>
  <c r="AK7" i="15"/>
  <c r="AK23" i="15"/>
  <c r="AK27" i="15"/>
  <c r="AQ27" i="15" s="1"/>
  <c r="AK45" i="15"/>
  <c r="AK47" i="15"/>
  <c r="AK49" i="15"/>
  <c r="AK175" i="15"/>
  <c r="AK180" i="15"/>
  <c r="AM180" i="15"/>
  <c r="AI185" i="15"/>
  <c r="AN3" i="15"/>
  <c r="AN185" i="15" s="1"/>
  <c r="AK29" i="15"/>
  <c r="AQ29" i="15" s="1"/>
  <c r="AK44" i="15"/>
  <c r="AK52" i="15"/>
  <c r="AK98" i="15"/>
  <c r="AK99" i="15"/>
  <c r="AK100" i="15"/>
  <c r="AK101" i="15"/>
  <c r="AK109" i="15"/>
  <c r="AK28" i="15"/>
  <c r="AK30" i="15"/>
  <c r="AK31" i="15"/>
  <c r="AK32" i="15"/>
  <c r="AK33" i="15"/>
  <c r="AK34" i="15"/>
  <c r="AK35" i="15"/>
  <c r="AK36" i="15"/>
  <c r="AK37" i="15"/>
  <c r="AK38" i="15"/>
  <c r="AK39" i="15"/>
  <c r="AK40" i="15"/>
  <c r="AK41" i="15"/>
  <c r="AK42" i="15"/>
  <c r="AK43" i="15"/>
  <c r="AK48" i="15"/>
  <c r="AK53" i="15"/>
  <c r="AK55" i="15"/>
  <c r="AK56" i="15"/>
  <c r="AQ56" i="15" s="1"/>
  <c r="AK68" i="15"/>
  <c r="AQ68" i="15" s="1"/>
  <c r="AK71" i="15"/>
  <c r="AQ71" i="15" s="1"/>
  <c r="AK88" i="15"/>
  <c r="AQ88" i="15" s="1"/>
  <c r="AK94" i="15"/>
  <c r="AQ94" i="15" s="1"/>
  <c r="AK97" i="15"/>
  <c r="AK104" i="15"/>
  <c r="AK108" i="15"/>
  <c r="AK114" i="15"/>
  <c r="AQ114" i="15" s="1"/>
  <c r="AK117" i="15"/>
  <c r="AK120" i="15"/>
  <c r="AQ120" i="15" s="1"/>
  <c r="AK126" i="15"/>
  <c r="AK130" i="15"/>
  <c r="AK139" i="15"/>
  <c r="AQ139" i="15" s="1"/>
  <c r="AK51" i="15"/>
  <c r="AK54" i="15"/>
  <c r="AQ54" i="15" s="1"/>
  <c r="AK58" i="15"/>
  <c r="AK59" i="15"/>
  <c r="AQ59" i="15" s="1"/>
  <c r="AK62" i="15"/>
  <c r="AQ62" i="15" s="1"/>
  <c r="AK67" i="15"/>
  <c r="AQ67" i="15" s="1"/>
  <c r="AK73" i="15"/>
  <c r="AQ73" i="15" s="1"/>
  <c r="AK76" i="15"/>
  <c r="AQ76" i="15" s="1"/>
  <c r="AK87" i="15"/>
  <c r="AQ87" i="15" s="1"/>
  <c r="AK93" i="15"/>
  <c r="AQ93" i="15" s="1"/>
  <c r="AK96" i="15"/>
  <c r="AK103" i="15"/>
  <c r="AK107" i="15"/>
  <c r="AK111" i="15"/>
  <c r="AQ111" i="15" s="1"/>
  <c r="AK125" i="15"/>
  <c r="AK129" i="15"/>
  <c r="AK133" i="15"/>
  <c r="AQ133" i="15" s="1"/>
  <c r="AK138" i="15"/>
  <c r="AQ138" i="15" s="1"/>
  <c r="AK141" i="15"/>
  <c r="AQ141" i="15" s="1"/>
  <c r="AK64" i="15"/>
  <c r="AQ64" i="15" s="1"/>
  <c r="AK72" i="15"/>
  <c r="AQ72" i="15" s="1"/>
  <c r="AK78" i="15"/>
  <c r="AQ78" i="15" s="1"/>
  <c r="AK84" i="15"/>
  <c r="AQ84" i="15" s="1"/>
  <c r="AK90" i="15"/>
  <c r="AQ90" i="15" s="1"/>
  <c r="AK121" i="15"/>
  <c r="AK124" i="15"/>
  <c r="AK128" i="15"/>
  <c r="AK132" i="15"/>
  <c r="AK135" i="15"/>
  <c r="AQ135" i="15" s="1"/>
  <c r="AK143" i="15"/>
  <c r="AQ143" i="15" s="1"/>
  <c r="AK146" i="15"/>
  <c r="AQ146" i="15" s="1"/>
  <c r="AM144" i="15"/>
  <c r="AK144" i="15"/>
  <c r="AQ144" i="15" s="1"/>
  <c r="AK148" i="15"/>
  <c r="AQ148" i="15" s="1"/>
  <c r="AK151" i="15"/>
  <c r="AQ151" i="15" s="1"/>
  <c r="AK156" i="15"/>
  <c r="AQ156" i="15" s="1"/>
  <c r="AK159" i="15"/>
  <c r="AQ159" i="15" s="1"/>
  <c r="AK164" i="15"/>
  <c r="AQ164" i="15" s="1"/>
  <c r="AK167" i="15"/>
  <c r="AQ167" i="15" s="1"/>
  <c r="AK145" i="15"/>
  <c r="AQ145" i="15" s="1"/>
  <c r="AK154" i="15"/>
  <c r="AQ154" i="15" s="1"/>
  <c r="AK162" i="15"/>
  <c r="AQ162" i="15" s="1"/>
  <c r="AK147" i="15"/>
  <c r="AQ147" i="15" s="1"/>
  <c r="AK152" i="15"/>
  <c r="AQ152" i="15" s="1"/>
  <c r="AK155" i="15"/>
  <c r="AQ155" i="15" s="1"/>
  <c r="AK160" i="15"/>
  <c r="AQ160" i="15" s="1"/>
  <c r="AK163" i="15"/>
  <c r="AQ163" i="15" s="1"/>
  <c r="AK169" i="15"/>
  <c r="AQ169" i="15" s="1"/>
  <c r="AK149" i="15"/>
  <c r="AQ149" i="15" s="1"/>
  <c r="AK153" i="15"/>
  <c r="AQ153" i="15" s="1"/>
  <c r="AK157" i="15"/>
  <c r="AQ157" i="15" s="1"/>
  <c r="AK161" i="15"/>
  <c r="AQ161" i="15" s="1"/>
  <c r="AK165" i="15"/>
  <c r="AQ165" i="15" s="1"/>
  <c r="AK170" i="15"/>
  <c r="AK171" i="15"/>
  <c r="AK172" i="15"/>
  <c r="AK173" i="15"/>
  <c r="AK174" i="15"/>
  <c r="AK178" i="15"/>
  <c r="AK179" i="15"/>
  <c r="AK177" i="15"/>
  <c r="AK181" i="15"/>
  <c r="AK182" i="15"/>
  <c r="AZ52" i="18" l="1"/>
  <c r="AR197" i="18"/>
  <c r="AT197" i="18" s="1"/>
  <c r="AZ100" i="18"/>
  <c r="AU13" i="15"/>
  <c r="AQ18" i="15"/>
  <c r="AU110" i="15"/>
  <c r="AU57" i="15"/>
  <c r="AQ60" i="15"/>
  <c r="AT60" i="15"/>
  <c r="AZ60" i="15" s="1"/>
  <c r="AQ50" i="15"/>
  <c r="AQ195" i="15"/>
  <c r="AQ193" i="15"/>
  <c r="AU89" i="15"/>
  <c r="AQ14" i="15"/>
  <c r="AT13" i="15"/>
  <c r="AT46" i="15"/>
  <c r="AU12" i="15"/>
  <c r="AZ12" i="15" s="1"/>
  <c r="AT14" i="15"/>
  <c r="AZ14" i="15" s="1"/>
  <c r="AQ79" i="15"/>
  <c r="AU46" i="15"/>
  <c r="AQ89" i="15"/>
  <c r="AQ12" i="15"/>
  <c r="AQ19" i="15"/>
  <c r="AT79" i="15"/>
  <c r="AZ79" i="15" s="1"/>
  <c r="AU185" i="18"/>
  <c r="AQ185" i="18"/>
  <c r="AI198" i="18"/>
  <c r="AJ192" i="18"/>
  <c r="AZ98" i="18"/>
  <c r="AZ16" i="18"/>
  <c r="AZ79" i="18"/>
  <c r="AZ99" i="18"/>
  <c r="AZ3" i="18"/>
  <c r="AZ23" i="18"/>
  <c r="AZ69" i="18"/>
  <c r="AZ50" i="18"/>
  <c r="AZ60" i="18"/>
  <c r="AZ55" i="18"/>
  <c r="AQ127" i="15"/>
  <c r="AU15" i="15"/>
  <c r="AG200" i="15"/>
  <c r="AQ9" i="15"/>
  <c r="AG192" i="15"/>
  <c r="AJ192" i="15" s="1"/>
  <c r="AU106" i="15"/>
  <c r="AQ189" i="15"/>
  <c r="AQ123" i="15"/>
  <c r="AQ16" i="15"/>
  <c r="AQ8" i="15"/>
  <c r="AT11" i="15"/>
  <c r="AU17" i="15"/>
  <c r="AT10" i="15"/>
  <c r="AZ10" i="15" s="1"/>
  <c r="AT82" i="15"/>
  <c r="AU69" i="15"/>
  <c r="AZ69" i="15" s="1"/>
  <c r="AT8" i="15"/>
  <c r="AZ8" i="15" s="1"/>
  <c r="AU11" i="15"/>
  <c r="AU82" i="15"/>
  <c r="AQ69" i="15"/>
  <c r="AQ131" i="15"/>
  <c r="AU102" i="15"/>
  <c r="AT9" i="15"/>
  <c r="AZ9" i="15" s="1"/>
  <c r="AU16" i="15"/>
  <c r="AZ16" i="15" s="1"/>
  <c r="AQ10" i="15"/>
  <c r="AT17" i="15"/>
  <c r="AT22" i="15"/>
  <c r="AZ22" i="15" s="1"/>
  <c r="AQ74" i="15"/>
  <c r="AM185" i="15"/>
  <c r="AT74" i="15"/>
  <c r="AZ74" i="15" s="1"/>
  <c r="AT50" i="15"/>
  <c r="AZ50" i="15" s="1"/>
  <c r="AQ22" i="15"/>
  <c r="AT15" i="15"/>
  <c r="AU130" i="15"/>
  <c r="AQ130" i="15"/>
  <c r="AT37" i="15"/>
  <c r="AQ37" i="15"/>
  <c r="AU37" i="15"/>
  <c r="AU132" i="15"/>
  <c r="AQ132" i="15"/>
  <c r="AQ129" i="15"/>
  <c r="AU129" i="15"/>
  <c r="AU107" i="15"/>
  <c r="AQ107" i="15"/>
  <c r="AQ96" i="15"/>
  <c r="AU96" i="15"/>
  <c r="AT96" i="15"/>
  <c r="AU126" i="15"/>
  <c r="AQ126" i="15"/>
  <c r="AQ108" i="15"/>
  <c r="AU108" i="15"/>
  <c r="AT48" i="15"/>
  <c r="AQ48" i="15"/>
  <c r="AU48" i="15"/>
  <c r="AT40" i="15"/>
  <c r="AQ40" i="15"/>
  <c r="AU40" i="15"/>
  <c r="AT36" i="15"/>
  <c r="AQ36" i="15"/>
  <c r="AU36" i="15"/>
  <c r="AT32" i="15"/>
  <c r="AQ32" i="15"/>
  <c r="AU32" i="15"/>
  <c r="AU109" i="15"/>
  <c r="AQ109" i="15"/>
  <c r="AU98" i="15"/>
  <c r="AT98" i="15"/>
  <c r="AQ98" i="15"/>
  <c r="AO195" i="15"/>
  <c r="AP195" i="15" s="1"/>
  <c r="AR195" i="15" s="1"/>
  <c r="AT195" i="15" s="1"/>
  <c r="AO193" i="15"/>
  <c r="AP193" i="15" s="1"/>
  <c r="AU45" i="15"/>
  <c r="AT45" i="15"/>
  <c r="AQ45" i="15"/>
  <c r="AQ6" i="15"/>
  <c r="AT6" i="15"/>
  <c r="AU6" i="15"/>
  <c r="AU105" i="15"/>
  <c r="AQ105" i="15"/>
  <c r="AT3" i="15"/>
  <c r="AU3" i="15"/>
  <c r="AQ3" i="15"/>
  <c r="AU121" i="15"/>
  <c r="AQ121" i="15"/>
  <c r="AO199" i="15"/>
  <c r="AP199" i="15" s="1"/>
  <c r="AR199" i="15" s="1"/>
  <c r="AT199" i="15" s="1"/>
  <c r="AO198" i="15"/>
  <c r="AP198" i="15" s="1"/>
  <c r="AO197" i="15"/>
  <c r="AP197" i="15" s="1"/>
  <c r="AQ7" i="15"/>
  <c r="AU7" i="15"/>
  <c r="AT7" i="15"/>
  <c r="AQ197" i="15"/>
  <c r="AI200" i="15"/>
  <c r="AQ198" i="15"/>
  <c r="AU128" i="15"/>
  <c r="AQ128" i="15"/>
  <c r="AQ125" i="15"/>
  <c r="AU125" i="15"/>
  <c r="AQ51" i="15"/>
  <c r="AU51" i="15"/>
  <c r="AT51" i="15"/>
  <c r="AQ104" i="15"/>
  <c r="AU104" i="15"/>
  <c r="AT43" i="15"/>
  <c r="AQ43" i="15"/>
  <c r="AU43" i="15"/>
  <c r="AT39" i="15"/>
  <c r="AQ39" i="15"/>
  <c r="AU39" i="15"/>
  <c r="AT35" i="15"/>
  <c r="AQ35" i="15"/>
  <c r="AU35" i="15"/>
  <c r="AQ31" i="15"/>
  <c r="AU31" i="15"/>
  <c r="AT31" i="15"/>
  <c r="AU101" i="15"/>
  <c r="AQ101" i="15"/>
  <c r="AT52" i="15"/>
  <c r="AQ52" i="15"/>
  <c r="AU52" i="15"/>
  <c r="AQ5" i="15"/>
  <c r="AU5" i="15"/>
  <c r="AT5" i="15"/>
  <c r="AU24" i="15"/>
  <c r="AQ24" i="15"/>
  <c r="AT24" i="15"/>
  <c r="AT53" i="15"/>
  <c r="AQ53" i="15"/>
  <c r="AU53" i="15"/>
  <c r="AT41" i="15"/>
  <c r="AQ41" i="15"/>
  <c r="AU41" i="15"/>
  <c r="AT33" i="15"/>
  <c r="AQ33" i="15"/>
  <c r="AU33" i="15"/>
  <c r="AQ28" i="15"/>
  <c r="AU28" i="15"/>
  <c r="AT28" i="15"/>
  <c r="AU99" i="15"/>
  <c r="AT99" i="15"/>
  <c r="AQ99" i="15"/>
  <c r="AQ47" i="15"/>
  <c r="AU47" i="15"/>
  <c r="AT47" i="15"/>
  <c r="AU124" i="15"/>
  <c r="AQ124" i="15"/>
  <c r="AU103" i="15"/>
  <c r="AQ103" i="15"/>
  <c r="AU58" i="15"/>
  <c r="AT58" i="15"/>
  <c r="AQ58" i="15"/>
  <c r="AQ117" i="15"/>
  <c r="AU117" i="15"/>
  <c r="AQ97" i="15"/>
  <c r="AU97" i="15"/>
  <c r="AQ55" i="15"/>
  <c r="AU55" i="15"/>
  <c r="AT55" i="15"/>
  <c r="AT42" i="15"/>
  <c r="AQ42" i="15"/>
  <c r="AU42" i="15"/>
  <c r="AT38" i="15"/>
  <c r="AQ38" i="15"/>
  <c r="AU38" i="15"/>
  <c r="AT34" i="15"/>
  <c r="AQ34" i="15"/>
  <c r="AU34" i="15"/>
  <c r="AQ30" i="15"/>
  <c r="AT30" i="15"/>
  <c r="AU30" i="15"/>
  <c r="AU100" i="15"/>
  <c r="AT100" i="15"/>
  <c r="AQ100" i="15"/>
  <c r="AU44" i="15"/>
  <c r="AT44" i="15"/>
  <c r="AQ44" i="15"/>
  <c r="AU49" i="15"/>
  <c r="AQ49" i="15"/>
  <c r="AU23" i="15"/>
  <c r="AQ23" i="15"/>
  <c r="AT23" i="15"/>
  <c r="AK185" i="15"/>
  <c r="AR193" i="15" l="1"/>
  <c r="AT193" i="15" s="1"/>
  <c r="AZ13" i="15"/>
  <c r="AO189" i="15"/>
  <c r="AP189" i="15" s="1"/>
  <c r="AO190" i="15"/>
  <c r="AZ11" i="15"/>
  <c r="AI198" i="15"/>
  <c r="AR189" i="15"/>
  <c r="AT189" i="15" s="1"/>
  <c r="AZ15" i="15"/>
  <c r="AZ185" i="18"/>
  <c r="AX187" i="18" s="1"/>
  <c r="AZ17" i="15"/>
  <c r="AZ82" i="15"/>
  <c r="AZ3" i="15"/>
  <c r="AZ6" i="15"/>
  <c r="AR198" i="15"/>
  <c r="AT198" i="15" s="1"/>
  <c r="AP190" i="15"/>
  <c r="AR190" i="15" s="1"/>
  <c r="AT190" i="15" s="1"/>
  <c r="AZ98" i="15"/>
  <c r="AZ96" i="15"/>
  <c r="AZ38" i="15"/>
  <c r="AZ41" i="15"/>
  <c r="AZ36" i="15"/>
  <c r="AZ23" i="15"/>
  <c r="AZ30" i="15"/>
  <c r="AZ34" i="15"/>
  <c r="AZ33" i="15"/>
  <c r="AZ5" i="15"/>
  <c r="AZ31" i="15"/>
  <c r="AZ39" i="15"/>
  <c r="AZ7" i="15"/>
  <c r="AZ32" i="15"/>
  <c r="AQ185" i="15"/>
  <c r="AZ100" i="15"/>
  <c r="AZ99" i="15"/>
  <c r="AZ52" i="15"/>
  <c r="AZ35" i="15"/>
  <c r="AU185" i="15"/>
  <c r="AZ37" i="15"/>
  <c r="AZ44" i="15"/>
  <c r="AZ42" i="15"/>
  <c r="AZ53" i="15"/>
  <c r="AZ51" i="15"/>
  <c r="AZ40" i="15"/>
  <c r="AZ55" i="15"/>
  <c r="AZ58" i="15"/>
  <c r="AR197" i="15"/>
  <c r="AT197" i="15" s="1"/>
  <c r="AZ185" i="15" l="1"/>
  <c r="AX187" i="15" s="1"/>
</calcChain>
</file>

<file path=xl/sharedStrings.xml><?xml version="1.0" encoding="utf-8"?>
<sst xmlns="http://schemas.openxmlformats.org/spreadsheetml/2006/main" count="1761" uniqueCount="199">
  <si>
    <t>q</t>
  </si>
  <si>
    <t>Medida</t>
  </si>
  <si>
    <t>Sabores</t>
  </si>
  <si>
    <t>Meta Mensual</t>
  </si>
  <si>
    <t>Cornelio</t>
  </si>
  <si>
    <t>Edwin</t>
  </si>
  <si>
    <t>Antonio</t>
  </si>
  <si>
    <t>Cesar</t>
  </si>
  <si>
    <t>VENTAS CORNELIO</t>
  </si>
  <si>
    <t>VENTAS ANTONIO</t>
  </si>
  <si>
    <t>VENTAS CESAR</t>
  </si>
  <si>
    <t>TOTAL VENTAS</t>
  </si>
  <si>
    <t>%  POR CAJA</t>
  </si>
  <si>
    <t>CORNELIO</t>
  </si>
  <si>
    <t>EDWIN</t>
  </si>
  <si>
    <t>ANTONIO</t>
  </si>
  <si>
    <t>COSTO UNITARIO</t>
  </si>
  <si>
    <t>UTILIDAD BRUTA</t>
  </si>
  <si>
    <t>UTILIDAD BRUTA TOTAL</t>
  </si>
  <si>
    <t>% pagado</t>
  </si>
  <si>
    <t>FLETE GUATE</t>
  </si>
  <si>
    <t>FLETE DISTRIBUIDOR</t>
  </si>
  <si>
    <t>M GASTOS OPERATIVOS</t>
  </si>
  <si>
    <t>COSTO FINANCIERO</t>
  </si>
  <si>
    <t>UTILIDAD LIQUIDA</t>
  </si>
  <si>
    <t>Cola</t>
  </si>
  <si>
    <t>Citrus</t>
  </si>
  <si>
    <t>Sandia</t>
  </si>
  <si>
    <t>Naranja</t>
  </si>
  <si>
    <t>Limon</t>
  </si>
  <si>
    <t>Piña</t>
  </si>
  <si>
    <t>Uva</t>
  </si>
  <si>
    <t>Naranjada</t>
  </si>
  <si>
    <t>cifrut</t>
  </si>
  <si>
    <t>Cifrus Naranja</t>
  </si>
  <si>
    <t>cola  8  un</t>
  </si>
  <si>
    <t>naranja  8  un</t>
  </si>
  <si>
    <t>limon  8  un</t>
  </si>
  <si>
    <t>Cifrut 8 uni</t>
  </si>
  <si>
    <t>Sandia 8 uni</t>
  </si>
  <si>
    <t>Tropical</t>
  </si>
  <si>
    <t>COLA 15 UNI</t>
  </si>
  <si>
    <t>COLA 12 UNI</t>
  </si>
  <si>
    <t>CITRUS 15 UNI</t>
  </si>
  <si>
    <t>Sandia 15 uni</t>
  </si>
  <si>
    <t>Limon 12 uni</t>
  </si>
  <si>
    <t>Uva 12 uni</t>
  </si>
  <si>
    <t>Roja</t>
  </si>
  <si>
    <t>Mandarina</t>
  </si>
  <si>
    <t>mora</t>
  </si>
  <si>
    <t>Mineral</t>
  </si>
  <si>
    <t>Mineral Lata</t>
  </si>
  <si>
    <t>Volt</t>
  </si>
  <si>
    <t>VOLT LATA</t>
  </si>
  <si>
    <t>VOLT PINK</t>
  </si>
  <si>
    <t>VOLT CAFÉ</t>
  </si>
  <si>
    <t>VOLT BLUE BERRY</t>
  </si>
  <si>
    <t>VOLT AGAVE</t>
  </si>
  <si>
    <t>Volt Go</t>
  </si>
  <si>
    <t>Cielo</t>
  </si>
  <si>
    <t>CIELO 20 UNI</t>
  </si>
  <si>
    <t>CIELO 30 UNI</t>
  </si>
  <si>
    <t>cielo</t>
  </si>
  <si>
    <t>pulp melocoton</t>
  </si>
  <si>
    <t>Pulp Manzana</t>
  </si>
  <si>
    <t>Pulp Arandano</t>
  </si>
  <si>
    <t>Pulp Uva</t>
  </si>
  <si>
    <t>Pulp Naranja</t>
  </si>
  <si>
    <t>PULP FORTE HIERRO</t>
  </si>
  <si>
    <t>PULPIN PIÑA</t>
  </si>
  <si>
    <t>PULPIN MANGO</t>
  </si>
  <si>
    <t>PULPIN PERA</t>
  </si>
  <si>
    <t>Cifrut Citrus</t>
  </si>
  <si>
    <t>Cifrut Sandia</t>
  </si>
  <si>
    <t>Cifrut Tropical</t>
  </si>
  <si>
    <t>deporade Blue Berry</t>
  </si>
  <si>
    <t>deporade uva</t>
  </si>
  <si>
    <t>deporade Fruty</t>
  </si>
  <si>
    <t>Deporade Mandarina</t>
  </si>
  <si>
    <t>deporade Manzana</t>
  </si>
  <si>
    <t>deporade Maracuya</t>
  </si>
  <si>
    <t>deporade Naranja</t>
  </si>
  <si>
    <t>deporade Uva</t>
  </si>
  <si>
    <t>Aloe</t>
  </si>
  <si>
    <t>limonda</t>
  </si>
  <si>
    <t>Limonada</t>
  </si>
  <si>
    <t>naranjada</t>
  </si>
  <si>
    <t>citrus</t>
  </si>
  <si>
    <t>cola</t>
  </si>
  <si>
    <t>Toronja</t>
  </si>
  <si>
    <t>Deporade Maracuya</t>
  </si>
  <si>
    <t>Cifrut caja</t>
  </si>
  <si>
    <t>Sandia caja</t>
  </si>
  <si>
    <t>Deporade Fruty</t>
  </si>
  <si>
    <t>Manzana</t>
  </si>
  <si>
    <t>aloe</t>
  </si>
  <si>
    <t>Ginger Ale</t>
  </si>
  <si>
    <t>TEA DURAZNO</t>
  </si>
  <si>
    <t>TEA LIMON</t>
  </si>
  <si>
    <t>PULP MELOCOTON</t>
  </si>
  <si>
    <t>PULP MANZANA</t>
  </si>
  <si>
    <t>PULP ARANDANO</t>
  </si>
  <si>
    <t>PULP UVA</t>
  </si>
  <si>
    <t>PULP PIÑA</t>
  </si>
  <si>
    <t>PULP PERA</t>
  </si>
  <si>
    <t>PULP MANGO</t>
  </si>
  <si>
    <t>PULP NARANJA</t>
  </si>
  <si>
    <t>VOLT FANTASY</t>
  </si>
  <si>
    <t>Volt Fruit Ponch</t>
  </si>
  <si>
    <t>AMAYU</t>
  </si>
  <si>
    <t>CHAMPANG</t>
  </si>
  <si>
    <t>COLA</t>
  </si>
  <si>
    <t>NARANJA</t>
  </si>
  <si>
    <t>LIMON</t>
  </si>
  <si>
    <t>UVA</t>
  </si>
  <si>
    <t>Gelatina</t>
  </si>
  <si>
    <t>TEE DURAZNO</t>
  </si>
  <si>
    <t>TEE LIMON</t>
  </si>
  <si>
    <t>Sopa de Pollo</t>
  </si>
  <si>
    <t>Sopa de Carne</t>
  </si>
  <si>
    <t>Avena</t>
  </si>
  <si>
    <t>Arroz</t>
  </si>
  <si>
    <t>Sporde Blue Berry 12 uni</t>
  </si>
  <si>
    <t>sporade uva 12 uni</t>
  </si>
  <si>
    <t>Sporade fruty 12 uni</t>
  </si>
  <si>
    <t>Sporade mandarina 12 uni</t>
  </si>
  <si>
    <t xml:space="preserve">Sporade manzana 12 </t>
  </si>
  <si>
    <t>Sporade Maracuya 12 uni</t>
  </si>
  <si>
    <t>Sporade naranja 12 uni</t>
  </si>
  <si>
    <t>Sporade Berry 12 uni</t>
  </si>
  <si>
    <t>Sporde Mandarina 12 uni</t>
  </si>
  <si>
    <t>Manzana 12 uni</t>
  </si>
  <si>
    <t>Cereal Aritos</t>
  </si>
  <si>
    <t>Total</t>
  </si>
  <si>
    <t>bonis</t>
  </si>
  <si>
    <t>Boni</t>
  </si>
  <si>
    <t xml:space="preserve"> </t>
  </si>
  <si>
    <t>Descuento</t>
  </si>
  <si>
    <t>BASE</t>
  </si>
  <si>
    <t>%</t>
  </si>
  <si>
    <t>TOTAL</t>
  </si>
  <si>
    <t>LIQUIDO</t>
  </si>
  <si>
    <t>faltante</t>
  </si>
  <si>
    <t>Descuentos y/o bonificaciones</t>
  </si>
  <si>
    <t>Vendedor</t>
  </si>
  <si>
    <t>Digifact</t>
  </si>
  <si>
    <t>Chofer</t>
  </si>
  <si>
    <t>Nit</t>
  </si>
  <si>
    <t>Auxiliar</t>
  </si>
  <si>
    <t>usuario</t>
  </si>
  <si>
    <t>CONTRASEÑA</t>
  </si>
  <si>
    <t>Josegz4%</t>
  </si>
  <si>
    <t>+</t>
  </si>
  <si>
    <t>fecha pendiente de facturar</t>
  </si>
  <si>
    <t>SAT</t>
  </si>
  <si>
    <t>CLAVE</t>
  </si>
  <si>
    <t>Desa2014</t>
  </si>
  <si>
    <t xml:space="preserve">Omar </t>
  </si>
  <si>
    <t>Agencia Virtual</t>
  </si>
  <si>
    <t>Obed</t>
  </si>
  <si>
    <t>MENU</t>
  </si>
  <si>
    <t>Factura Electronica en linea</t>
  </si>
  <si>
    <t>Bajan</t>
  </si>
  <si>
    <t>Consulta DTE</t>
  </si>
  <si>
    <t>Ayudante</t>
  </si>
  <si>
    <t>Reportes</t>
  </si>
  <si>
    <t>Gonzalez</t>
  </si>
  <si>
    <t>Descarga</t>
  </si>
  <si>
    <t>SALDO</t>
  </si>
  <si>
    <t>Chino</t>
  </si>
  <si>
    <t>Sporadde</t>
  </si>
  <si>
    <t>% descuento</t>
  </si>
  <si>
    <t>USUARIO SISTEMA</t>
  </si>
  <si>
    <t>Mariano.Gonzalez.gt</t>
  </si>
  <si>
    <t>Precio</t>
  </si>
  <si>
    <t>CONTRASEÑA:Bigcola12349.</t>
  </si>
  <si>
    <t>MODULO-ADMINISTRATIVO-COMERCIAL</t>
  </si>
  <si>
    <t>Mgonzalez</t>
  </si>
  <si>
    <t>valor</t>
  </si>
  <si>
    <t>dias</t>
  </si>
  <si>
    <t>total</t>
  </si>
  <si>
    <t>Chester</t>
  </si>
  <si>
    <t>Jorge</t>
  </si>
  <si>
    <t>Elios</t>
  </si>
  <si>
    <t>pintor</t>
  </si>
  <si>
    <t>Albañiles</t>
  </si>
  <si>
    <t>julio</t>
  </si>
  <si>
    <t>Harina 800 gr 9mc</t>
  </si>
  <si>
    <t>Harina 800 gr 3mc</t>
  </si>
  <si>
    <t>Heber</t>
  </si>
  <si>
    <t>Wilson</t>
  </si>
  <si>
    <t>Cielo 12 UNI</t>
  </si>
  <si>
    <t>CIELO 8 UNI</t>
  </si>
  <si>
    <t>/03/2024</t>
  </si>
  <si>
    <t>/03/2025</t>
  </si>
  <si>
    <t>Gerber</t>
  </si>
  <si>
    <t xml:space="preserve">   </t>
  </si>
  <si>
    <t xml:space="preserve">    </t>
  </si>
  <si>
    <t xml:space="preserve">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</si>
</sst>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-* #,##0.00_-;\-* #,##0.00_-;_-* &quot;-&quot;??_-;_-@_-"/>
    <numFmt numFmtId="165" formatCode="_-* #,##0.0_-;\-* #,##0.0_-;_-* &quot;-&quot;??_-;_-@_-"/>
    <numFmt numFmtId="166" formatCode="0.0"/>
    <numFmt numFmtId="167" formatCode="_-* #,##0_-;\-* #,##0_-;_-* &quot;-&quot;??_-;_-@_-"/>
    <numFmt numFmtId="168" formatCode="_-* #,##0.0_-;\-* #,##0.0_-;_-* &quot;-&quot;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6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69">
    <xf numFmtId="0" fontId="0" fillId="0" borderId="0" xfId="0"/>
    <xf numFmtId="0" fontId="6" fillId="0" borderId="9" xfId="0" applyFont="1" applyBorder="1" applyAlignment="1">
      <alignment horizontal="justify" vertical="center"/>
    </xf>
    <xf numFmtId="0" fontId="6" fillId="0" borderId="10" xfId="0" applyFont="1" applyBorder="1" applyAlignment="1">
      <alignment horizontal="justify" vertical="center"/>
    </xf>
    <xf numFmtId="0" fontId="6" fillId="0" borderId="11" xfId="0" applyFont="1" applyBorder="1" applyAlignment="1">
      <alignment horizontal="justify" vertical="center"/>
    </xf>
    <xf numFmtId="0" fontId="6" fillId="2" borderId="9" xfId="0" applyFont="1" applyFill="1" applyBorder="1" applyAlignment="1">
      <alignment horizontal="justify" vertical="center"/>
    </xf>
    <xf numFmtId="0" fontId="6" fillId="2" borderId="10" xfId="0" applyFont="1" applyFill="1" applyBorder="1" applyAlignment="1">
      <alignment horizontal="justify" vertical="center"/>
    </xf>
    <xf numFmtId="0" fontId="6" fillId="2" borderId="12" xfId="0" applyFont="1" applyFill="1" applyBorder="1" applyAlignment="1">
      <alignment horizontal="justify" vertical="center"/>
    </xf>
    <xf numFmtId="0" fontId="6" fillId="2" borderId="13" xfId="0" applyFont="1" applyFill="1" applyBorder="1" applyAlignment="1">
      <alignment horizontal="justify" vertical="center"/>
    </xf>
    <xf numFmtId="0" fontId="6" fillId="2" borderId="14" xfId="0" applyFont="1" applyFill="1" applyBorder="1" applyAlignment="1">
      <alignment horizontal="justify" vertical="center"/>
    </xf>
    <xf numFmtId="0" fontId="6" fillId="2" borderId="15" xfId="0" applyFont="1" applyFill="1" applyBorder="1" applyAlignment="1">
      <alignment horizontal="justify" vertical="center"/>
    </xf>
    <xf numFmtId="0" fontId="6" fillId="0" borderId="16" xfId="0" applyFont="1" applyBorder="1" applyAlignment="1">
      <alignment horizontal="justify" vertical="center"/>
    </xf>
    <xf numFmtId="0" fontId="6" fillId="0" borderId="15" xfId="0" applyFont="1" applyBorder="1" applyAlignment="1">
      <alignment horizontal="justify" vertical="center"/>
    </xf>
    <xf numFmtId="0" fontId="0" fillId="0" borderId="13" xfId="0" applyBorder="1" applyAlignment="1">
      <alignment horizontal="justify" vertical="center"/>
    </xf>
    <xf numFmtId="0" fontId="0" fillId="0" borderId="15" xfId="0" applyBorder="1" applyAlignment="1">
      <alignment horizontal="justify" vertical="center"/>
    </xf>
    <xf numFmtId="0" fontId="0" fillId="3" borderId="17" xfId="0" applyFill="1" applyBorder="1" applyAlignment="1">
      <alignment horizontal="justify" vertical="center"/>
    </xf>
    <xf numFmtId="0" fontId="0" fillId="0" borderId="14" xfId="0" applyBorder="1" applyAlignment="1">
      <alignment horizontal="justify" vertical="center"/>
    </xf>
    <xf numFmtId="0" fontId="0" fillId="0" borderId="18" xfId="0" applyBorder="1" applyAlignment="1">
      <alignment horizontal="justify" vertical="center"/>
    </xf>
    <xf numFmtId="0" fontId="0" fillId="4" borderId="2" xfId="0" applyFill="1" applyBorder="1" applyAlignment="1">
      <alignment horizontal="justify" vertical="center"/>
    </xf>
    <xf numFmtId="0" fontId="0" fillId="0" borderId="9" xfId="0" applyBorder="1" applyAlignment="1">
      <alignment horizontal="justify" vertical="center"/>
    </xf>
    <xf numFmtId="0" fontId="0" fillId="0" borderId="10" xfId="0" applyBorder="1" applyAlignment="1">
      <alignment horizontal="justify" vertical="center"/>
    </xf>
    <xf numFmtId="0" fontId="0" fillId="0" borderId="12" xfId="0" applyBorder="1" applyAlignment="1">
      <alignment horizontal="justify" vertical="center"/>
    </xf>
    <xf numFmtId="0" fontId="0" fillId="0" borderId="19" xfId="0" applyBorder="1" applyAlignment="1">
      <alignment horizontal="justify" vertical="center"/>
    </xf>
    <xf numFmtId="0" fontId="0" fillId="0" borderId="0" xfId="0" applyAlignment="1">
      <alignment horizontal="justify" vertical="center"/>
    </xf>
    <xf numFmtId="0" fontId="2" fillId="5" borderId="17" xfId="0" applyFont="1" applyFill="1" applyBorder="1" applyAlignment="1">
      <alignment horizontal="justify" vertical="center"/>
    </xf>
    <xf numFmtId="0" fontId="0" fillId="4" borderId="14" xfId="0" applyFill="1" applyBorder="1" applyAlignment="1">
      <alignment horizontal="justify" vertical="center"/>
    </xf>
    <xf numFmtId="0" fontId="0" fillId="0" borderId="20" xfId="0" applyBorder="1" applyAlignment="1">
      <alignment horizontal="justify" vertical="center"/>
    </xf>
    <xf numFmtId="0" fontId="6" fillId="0" borderId="21" xfId="0" applyFont="1" applyBorder="1"/>
    <xf numFmtId="0" fontId="6" fillId="0" borderId="22" xfId="0" applyFont="1" applyBorder="1"/>
    <xf numFmtId="0" fontId="6" fillId="0" borderId="23" xfId="0" applyFont="1" applyBorder="1" applyAlignment="1">
      <alignment horizontal="center"/>
    </xf>
    <xf numFmtId="165" fontId="6" fillId="0" borderId="23" xfId="2" applyNumberFormat="1" applyFont="1" applyBorder="1"/>
    <xf numFmtId="165" fontId="7" fillId="0" borderId="21" xfId="2" applyNumberFormat="1" applyFont="1" applyFill="1" applyBorder="1"/>
    <xf numFmtId="165" fontId="7" fillId="0" borderId="22" xfId="2" applyNumberFormat="1" applyFont="1" applyFill="1" applyBorder="1"/>
    <xf numFmtId="165" fontId="7" fillId="0" borderId="23" xfId="2" applyNumberFormat="1" applyFont="1" applyFill="1" applyBorder="1"/>
    <xf numFmtId="165" fontId="7" fillId="0" borderId="24" xfId="2" applyNumberFormat="1" applyFont="1" applyFill="1" applyBorder="1"/>
    <xf numFmtId="165" fontId="7" fillId="0" borderId="25" xfId="2" applyNumberFormat="1" applyFont="1" applyFill="1" applyBorder="1"/>
    <xf numFmtId="165" fontId="7" fillId="0" borderId="26" xfId="2" applyNumberFormat="1" applyFont="1" applyFill="1" applyBorder="1"/>
    <xf numFmtId="165" fontId="8" fillId="0" borderId="25" xfId="2" applyNumberFormat="1" applyFont="1" applyFill="1" applyBorder="1"/>
    <xf numFmtId="165" fontId="7" fillId="0" borderId="27" xfId="2" applyNumberFormat="1" applyFont="1" applyFill="1" applyBorder="1"/>
    <xf numFmtId="165" fontId="7" fillId="0" borderId="28" xfId="2" applyNumberFormat="1" applyFont="1" applyFill="1" applyBorder="1"/>
    <xf numFmtId="166" fontId="0" fillId="0" borderId="29" xfId="0" applyNumberFormat="1" applyFill="1" applyBorder="1"/>
    <xf numFmtId="0" fontId="0" fillId="0" borderId="26" xfId="0" applyBorder="1"/>
    <xf numFmtId="0" fontId="0" fillId="0" borderId="28" xfId="0" applyBorder="1"/>
    <xf numFmtId="0" fontId="0" fillId="0" borderId="29" xfId="0" applyBorder="1"/>
    <xf numFmtId="164" fontId="0" fillId="3" borderId="30" xfId="0" applyNumberFormat="1" applyFill="1" applyBorder="1"/>
    <xf numFmtId="164" fontId="0" fillId="3" borderId="31" xfId="0" applyNumberFormat="1" applyFill="1" applyBorder="1"/>
    <xf numFmtId="164" fontId="0" fillId="3" borderId="32" xfId="0" applyNumberFormat="1" applyFill="1" applyBorder="1"/>
    <xf numFmtId="164" fontId="0" fillId="3" borderId="33" xfId="0" applyNumberFormat="1" applyFill="1" applyBorder="1"/>
    <xf numFmtId="0" fontId="0" fillId="4" borderId="0" xfId="0" applyFill="1"/>
    <xf numFmtId="164" fontId="2" fillId="0" borderId="25" xfId="0" applyNumberFormat="1" applyFont="1" applyBorder="1"/>
    <xf numFmtId="164" fontId="2" fillId="0" borderId="34" xfId="0" applyNumberFormat="1" applyFont="1" applyBorder="1"/>
    <xf numFmtId="164" fontId="0" fillId="0" borderId="0" xfId="0" applyNumberFormat="1"/>
    <xf numFmtId="2" fontId="0" fillId="0" borderId="21" xfId="0" applyNumberFormat="1" applyBorder="1"/>
    <xf numFmtId="164" fontId="0" fillId="0" borderId="23" xfId="0" applyNumberFormat="1" applyBorder="1"/>
    <xf numFmtId="164" fontId="2" fillId="0" borderId="35" xfId="0" applyNumberFormat="1" applyFont="1" applyBorder="1"/>
    <xf numFmtId="164" fontId="2" fillId="4" borderId="33" xfId="0" applyNumberFormat="1" applyFont="1" applyFill="1" applyBorder="1"/>
    <xf numFmtId="164" fontId="0" fillId="0" borderId="28" xfId="0" applyNumberFormat="1" applyBorder="1"/>
    <xf numFmtId="164" fontId="0" fillId="0" borderId="22" xfId="0" applyNumberFormat="1" applyBorder="1"/>
    <xf numFmtId="164" fontId="0" fillId="0" borderId="33" xfId="0" applyNumberFormat="1" applyBorder="1"/>
    <xf numFmtId="0" fontId="6" fillId="0" borderId="24" xfId="0" applyFont="1" applyBorder="1"/>
    <xf numFmtId="0" fontId="6" fillId="0" borderId="25" xfId="0" applyFont="1" applyBorder="1"/>
    <xf numFmtId="0" fontId="6" fillId="0" borderId="34" xfId="0" applyFont="1" applyBorder="1" applyAlignment="1">
      <alignment horizontal="center"/>
    </xf>
    <xf numFmtId="165" fontId="7" fillId="0" borderId="34" xfId="2" applyNumberFormat="1" applyFont="1" applyFill="1" applyBorder="1"/>
    <xf numFmtId="165" fontId="7" fillId="0" borderId="36" xfId="2" applyNumberFormat="1" applyFont="1" applyFill="1" applyBorder="1"/>
    <xf numFmtId="166" fontId="0" fillId="0" borderId="36" xfId="0" applyNumberFormat="1" applyFill="1" applyBorder="1"/>
    <xf numFmtId="0" fontId="0" fillId="0" borderId="36" xfId="0" applyBorder="1"/>
    <xf numFmtId="0" fontId="0" fillId="0" borderId="27" xfId="0" applyBorder="1"/>
    <xf numFmtId="0" fontId="0" fillId="6" borderId="0" xfId="0" applyFill="1"/>
    <xf numFmtId="2" fontId="0" fillId="0" borderId="24" xfId="0" applyNumberFormat="1" applyBorder="1"/>
    <xf numFmtId="164" fontId="0" fillId="0" borderId="34" xfId="0" applyNumberFormat="1" applyBorder="1"/>
    <xf numFmtId="164" fontId="2" fillId="0" borderId="37" xfId="0" applyNumberFormat="1" applyFont="1" applyBorder="1"/>
    <xf numFmtId="164" fontId="2" fillId="4" borderId="38" xfId="0" applyNumberFormat="1" applyFont="1" applyFill="1" applyBorder="1"/>
    <xf numFmtId="164" fontId="0" fillId="0" borderId="27" xfId="0" applyNumberFormat="1" applyBorder="1"/>
    <xf numFmtId="164" fontId="0" fillId="0" borderId="25" xfId="0" applyNumberFormat="1" applyBorder="1"/>
    <xf numFmtId="164" fontId="0" fillId="0" borderId="38" xfId="0" applyNumberFormat="1" applyBorder="1"/>
    <xf numFmtId="0" fontId="6" fillId="0" borderId="39" xfId="0" applyFont="1" applyBorder="1"/>
    <xf numFmtId="0" fontId="6" fillId="0" borderId="31" xfId="0" applyFont="1" applyBorder="1"/>
    <xf numFmtId="0" fontId="6" fillId="0" borderId="32" xfId="0" applyFont="1" applyBorder="1" applyAlignment="1">
      <alignment horizontal="center"/>
    </xf>
    <xf numFmtId="165" fontId="7" fillId="0" borderId="32" xfId="2" applyNumberFormat="1" applyFont="1" applyFill="1" applyBorder="1"/>
    <xf numFmtId="0" fontId="0" fillId="0" borderId="36" xfId="0" applyFill="1" applyBorder="1"/>
    <xf numFmtId="0" fontId="0" fillId="0" borderId="30" xfId="0" applyBorder="1"/>
    <xf numFmtId="164" fontId="0" fillId="3" borderId="40" xfId="0" applyNumberFormat="1" applyFill="1" applyBorder="1"/>
    <xf numFmtId="2" fontId="0" fillId="0" borderId="39" xfId="0" applyNumberFormat="1" applyBorder="1"/>
    <xf numFmtId="164" fontId="0" fillId="0" borderId="32" xfId="0" applyNumberFormat="1" applyBorder="1"/>
    <xf numFmtId="164" fontId="2" fillId="0" borderId="41" xfId="0" applyNumberFormat="1" applyFont="1" applyBorder="1"/>
    <xf numFmtId="164" fontId="2" fillId="4" borderId="40" xfId="0" applyNumberFormat="1" applyFont="1" applyFill="1" applyBorder="1"/>
    <xf numFmtId="164" fontId="0" fillId="0" borderId="30" xfId="0" applyNumberFormat="1" applyBorder="1"/>
    <xf numFmtId="164" fontId="0" fillId="0" borderId="31" xfId="0" applyNumberFormat="1" applyBorder="1"/>
    <xf numFmtId="164" fontId="0" fillId="0" borderId="40" xfId="0" applyNumberFormat="1" applyBorder="1"/>
    <xf numFmtId="0" fontId="6" fillId="7" borderId="32" xfId="0" applyFont="1" applyFill="1" applyBorder="1" applyAlignment="1">
      <alignment horizontal="center"/>
    </xf>
    <xf numFmtId="167" fontId="0" fillId="0" borderId="36" xfId="0" applyNumberFormat="1" applyBorder="1"/>
    <xf numFmtId="0" fontId="6" fillId="0" borderId="39" xfId="0" applyFont="1" applyFill="1" applyBorder="1"/>
    <xf numFmtId="0" fontId="6" fillId="0" borderId="31" xfId="0" applyFont="1" applyFill="1" applyBorder="1"/>
    <xf numFmtId="0" fontId="6" fillId="0" borderId="32" xfId="0" applyFont="1" applyFill="1" applyBorder="1" applyAlignment="1">
      <alignment horizontal="center"/>
    </xf>
    <xf numFmtId="0" fontId="0" fillId="0" borderId="30" xfId="0" applyFill="1" applyBorder="1"/>
    <xf numFmtId="164" fontId="0" fillId="0" borderId="32" xfId="0" applyNumberFormat="1" applyFill="1" applyBorder="1"/>
    <xf numFmtId="164" fontId="0" fillId="0" borderId="40" xfId="0" applyNumberFormat="1" applyFill="1" applyBorder="1"/>
    <xf numFmtId="0" fontId="0" fillId="0" borderId="0" xfId="0" applyFill="1"/>
    <xf numFmtId="164" fontId="2" fillId="0" borderId="34" xfId="0" applyNumberFormat="1" applyFont="1" applyFill="1" applyBorder="1"/>
    <xf numFmtId="2" fontId="0" fillId="0" borderId="39" xfId="0" applyNumberFormat="1" applyFill="1" applyBorder="1"/>
    <xf numFmtId="164" fontId="2" fillId="0" borderId="41" xfId="0" applyNumberFormat="1" applyFont="1" applyFill="1" applyBorder="1"/>
    <xf numFmtId="164" fontId="2" fillId="0" borderId="40" xfId="0" applyNumberFormat="1" applyFont="1" applyFill="1" applyBorder="1"/>
    <xf numFmtId="164" fontId="0" fillId="0" borderId="30" xfId="0" applyNumberFormat="1" applyFill="1" applyBorder="1"/>
    <xf numFmtId="164" fontId="0" fillId="0" borderId="31" xfId="0" applyNumberFormat="1" applyFill="1" applyBorder="1"/>
    <xf numFmtId="0" fontId="6" fillId="0" borderId="30" xfId="0" applyFont="1" applyFill="1" applyBorder="1"/>
    <xf numFmtId="0" fontId="0" fillId="0" borderId="42" xfId="0" applyFill="1" applyBorder="1"/>
    <xf numFmtId="0" fontId="0" fillId="0" borderId="43" xfId="0" applyFill="1" applyBorder="1"/>
    <xf numFmtId="2" fontId="0" fillId="0" borderId="44" xfId="0" applyNumberFormat="1" applyFill="1" applyBorder="1"/>
    <xf numFmtId="164" fontId="0" fillId="0" borderId="45" xfId="0" applyNumberFormat="1" applyFill="1" applyBorder="1"/>
    <xf numFmtId="164" fontId="2" fillId="0" borderId="46" xfId="0" applyNumberFormat="1" applyFont="1" applyFill="1" applyBorder="1"/>
    <xf numFmtId="164" fontId="0" fillId="0" borderId="42" xfId="0" applyNumberFormat="1" applyFill="1" applyBorder="1"/>
    <xf numFmtId="164" fontId="0" fillId="0" borderId="47" xfId="0" applyNumberFormat="1" applyFill="1" applyBorder="1"/>
    <xf numFmtId="164" fontId="0" fillId="0" borderId="48" xfId="0" applyNumberFormat="1" applyFill="1" applyBorder="1"/>
    <xf numFmtId="0" fontId="0" fillId="0" borderId="31" xfId="0" applyFill="1" applyBorder="1"/>
    <xf numFmtId="165" fontId="7" fillId="0" borderId="32" xfId="0" applyNumberFormat="1" applyFont="1" applyFill="1" applyBorder="1"/>
    <xf numFmtId="165" fontId="7" fillId="0" borderId="36" xfId="0" applyNumberFormat="1" applyFont="1" applyFill="1" applyBorder="1"/>
    <xf numFmtId="164" fontId="2" fillId="0" borderId="8" xfId="0" applyNumberFormat="1" applyFont="1" applyFill="1" applyBorder="1"/>
    <xf numFmtId="164" fontId="0" fillId="0" borderId="49" xfId="0" applyNumberFormat="1" applyFill="1" applyBorder="1"/>
    <xf numFmtId="2" fontId="0" fillId="6" borderId="39" xfId="0" applyNumberFormat="1" applyFill="1" applyBorder="1"/>
    <xf numFmtId="0" fontId="6" fillId="3" borderId="31" xfId="0" applyFont="1" applyFill="1" applyBorder="1"/>
    <xf numFmtId="164" fontId="2" fillId="0" borderId="3" xfId="0" applyNumberFormat="1" applyFont="1" applyBorder="1"/>
    <xf numFmtId="164" fontId="0" fillId="0" borderId="50" xfId="0" applyNumberFormat="1" applyBorder="1"/>
    <xf numFmtId="0" fontId="6" fillId="7" borderId="31" xfId="0" applyFont="1" applyFill="1" applyBorder="1" applyAlignment="1">
      <alignment horizontal="center"/>
    </xf>
    <xf numFmtId="0" fontId="0" fillId="0" borderId="42" xfId="0" applyBorder="1"/>
    <xf numFmtId="0" fontId="0" fillId="0" borderId="43" xfId="0" applyBorder="1"/>
    <xf numFmtId="2" fontId="0" fillId="0" borderId="44" xfId="0" applyNumberFormat="1" applyBorder="1"/>
    <xf numFmtId="164" fontId="0" fillId="0" borderId="45" xfId="0" applyNumberFormat="1" applyBorder="1"/>
    <xf numFmtId="164" fontId="2" fillId="0" borderId="8" xfId="0" applyNumberFormat="1" applyFont="1" applyBorder="1"/>
    <xf numFmtId="164" fontId="0" fillId="0" borderId="42" xfId="0" applyNumberFormat="1" applyBorder="1"/>
    <xf numFmtId="164" fontId="0" fillId="0" borderId="47" xfId="0" applyNumberFormat="1" applyBorder="1"/>
    <xf numFmtId="164" fontId="0" fillId="0" borderId="49" xfId="0" applyNumberFormat="1" applyBorder="1"/>
    <xf numFmtId="165" fontId="7" fillId="0" borderId="45" xfId="2" applyNumberFormat="1" applyFont="1" applyFill="1" applyBorder="1"/>
    <xf numFmtId="0" fontId="6" fillId="0" borderId="47" xfId="0" applyFont="1" applyBorder="1"/>
    <xf numFmtId="0" fontId="7" fillId="0" borderId="31" xfId="0" applyFont="1" applyBorder="1"/>
    <xf numFmtId="0" fontId="0" fillId="0" borderId="31" xfId="0" applyBorder="1"/>
    <xf numFmtId="0" fontId="6" fillId="0" borderId="47" xfId="0" applyFont="1" applyFill="1" applyBorder="1"/>
    <xf numFmtId="0" fontId="0" fillId="0" borderId="47" xfId="0" applyBorder="1"/>
    <xf numFmtId="165" fontId="7" fillId="0" borderId="45" xfId="0" applyNumberFormat="1" applyFont="1" applyFill="1" applyBorder="1"/>
    <xf numFmtId="164" fontId="0" fillId="3" borderId="51" xfId="0" applyNumberFormat="1" applyFill="1" applyBorder="1"/>
    <xf numFmtId="165" fontId="7" fillId="0" borderId="43" xfId="0" applyNumberFormat="1" applyFont="1" applyFill="1" applyBorder="1"/>
    <xf numFmtId="0" fontId="0" fillId="0" borderId="47" xfId="0" applyFill="1" applyBorder="1"/>
    <xf numFmtId="164" fontId="0" fillId="0" borderId="51" xfId="0" applyNumberFormat="1" applyFill="1" applyBorder="1"/>
    <xf numFmtId="0" fontId="6" fillId="0" borderId="52" xfId="0" applyFont="1" applyBorder="1"/>
    <xf numFmtId="0" fontId="6" fillId="0" borderId="53" xfId="0" applyFont="1" applyBorder="1"/>
    <xf numFmtId="165" fontId="6" fillId="0" borderId="54" xfId="2" applyNumberFormat="1" applyFont="1" applyBorder="1"/>
    <xf numFmtId="165" fontId="7" fillId="0" borderId="55" xfId="2" applyNumberFormat="1" applyFont="1" applyFill="1" applyBorder="1"/>
    <xf numFmtId="165" fontId="7" fillId="0" borderId="53" xfId="2" applyNumberFormat="1" applyFont="1" applyFill="1" applyBorder="1"/>
    <xf numFmtId="165" fontId="7" fillId="0" borderId="54" xfId="2" applyNumberFormat="1" applyFont="1" applyFill="1" applyBorder="1"/>
    <xf numFmtId="0" fontId="6" fillId="0" borderId="56" xfId="0" applyFont="1" applyFill="1" applyBorder="1"/>
    <xf numFmtId="0" fontId="0" fillId="0" borderId="56" xfId="0" applyBorder="1"/>
    <xf numFmtId="0" fontId="7" fillId="0" borderId="57" xfId="0" applyFont="1" applyBorder="1"/>
    <xf numFmtId="165" fontId="7" fillId="0" borderId="58" xfId="0" applyNumberFormat="1" applyFont="1" applyFill="1" applyBorder="1"/>
    <xf numFmtId="165" fontId="7" fillId="0" borderId="56" xfId="0" applyNumberFormat="1" applyFont="1" applyFill="1" applyBorder="1"/>
    <xf numFmtId="165" fontId="7" fillId="0" borderId="57" xfId="0" applyNumberFormat="1" applyFont="1" applyFill="1" applyBorder="1"/>
    <xf numFmtId="165" fontId="7" fillId="0" borderId="59" xfId="0" applyNumberFormat="1" applyFont="1" applyFill="1" applyBorder="1"/>
    <xf numFmtId="0" fontId="0" fillId="0" borderId="59" xfId="0" applyBorder="1"/>
    <xf numFmtId="0" fontId="0" fillId="0" borderId="60" xfId="0" applyBorder="1"/>
    <xf numFmtId="164" fontId="0" fillId="3" borderId="5" xfId="0" applyNumberFormat="1" applyFill="1" applyBorder="1"/>
    <xf numFmtId="164" fontId="0" fillId="0" borderId="58" xfId="0" applyNumberFormat="1" applyBorder="1"/>
    <xf numFmtId="164" fontId="0" fillId="0" borderId="57" xfId="0" applyNumberFormat="1" applyBorder="1"/>
    <xf numFmtId="164" fontId="2" fillId="0" borderId="1" xfId="0" applyNumberFormat="1" applyFont="1" applyBorder="1"/>
    <xf numFmtId="164" fontId="0" fillId="0" borderId="60" xfId="0" applyNumberFormat="1" applyBorder="1"/>
    <xf numFmtId="164" fontId="0" fillId="0" borderId="56" xfId="0" applyNumberFormat="1" applyBorder="1"/>
    <xf numFmtId="164" fontId="0" fillId="0" borderId="16" xfId="0" applyNumberFormat="1" applyBorder="1"/>
    <xf numFmtId="0" fontId="2" fillId="0" borderId="37" xfId="0" applyFont="1" applyBorder="1"/>
    <xf numFmtId="0" fontId="2" fillId="0" borderId="24" xfId="0" applyFont="1" applyFill="1" applyBorder="1"/>
    <xf numFmtId="0" fontId="2" fillId="0" borderId="25" xfId="0" applyFont="1" applyFill="1" applyBorder="1"/>
    <xf numFmtId="0" fontId="2" fillId="0" borderId="34" xfId="0" applyFont="1" applyFill="1" applyBorder="1"/>
    <xf numFmtId="0" fontId="2" fillId="0" borderId="26" xfId="0" applyFont="1" applyFill="1" applyBorder="1"/>
    <xf numFmtId="0" fontId="2" fillId="0" borderId="27" xfId="0" applyFont="1" applyFill="1" applyBorder="1"/>
    <xf numFmtId="0" fontId="0" fillId="0" borderId="0" xfId="0" applyBorder="1"/>
    <xf numFmtId="164" fontId="0" fillId="3" borderId="0" xfId="0" applyNumberFormat="1" applyFill="1" applyBorder="1"/>
    <xf numFmtId="0" fontId="0" fillId="3" borderId="0" xfId="0" applyFill="1"/>
    <xf numFmtId="164" fontId="2" fillId="0" borderId="0" xfId="0" applyNumberFormat="1" applyFont="1" applyBorder="1"/>
    <xf numFmtId="164" fontId="0" fillId="0" borderId="0" xfId="0" applyNumberFormat="1" applyBorder="1"/>
    <xf numFmtId="164" fontId="2" fillId="4" borderId="0" xfId="0" applyNumberFormat="1" applyFont="1" applyFill="1" applyBorder="1"/>
    <xf numFmtId="0" fontId="2" fillId="0" borderId="41" xfId="0" applyFont="1" applyBorder="1"/>
    <xf numFmtId="0" fontId="2" fillId="0" borderId="58" xfId="0" applyFont="1" applyFill="1" applyBorder="1"/>
    <xf numFmtId="0" fontId="2" fillId="0" borderId="56" xfId="0" applyFont="1" applyFill="1" applyBorder="1"/>
    <xf numFmtId="0" fontId="2" fillId="0" borderId="57" xfId="0" applyFont="1" applyFill="1" applyBorder="1"/>
    <xf numFmtId="0" fontId="2" fillId="0" borderId="59" xfId="0" applyFont="1" applyFill="1" applyBorder="1"/>
    <xf numFmtId="0" fontId="2" fillId="0" borderId="60" xfId="0" applyFont="1" applyFill="1" applyBorder="1"/>
    <xf numFmtId="0" fontId="2" fillId="0" borderId="0" xfId="0" applyFont="1" applyFill="1" applyBorder="1"/>
    <xf numFmtId="0" fontId="0" fillId="0" borderId="25" xfId="0" applyBorder="1"/>
    <xf numFmtId="164" fontId="9" fillId="6" borderId="0" xfId="0" applyNumberFormat="1" applyFont="1" applyFill="1"/>
    <xf numFmtId="0" fontId="0" fillId="0" borderId="41" xfId="0" applyBorder="1"/>
    <xf numFmtId="0" fontId="0" fillId="0" borderId="24" xfId="0" applyBorder="1"/>
    <xf numFmtId="0" fontId="0" fillId="0" borderId="24" xfId="0" applyFill="1" applyBorder="1"/>
    <xf numFmtId="0" fontId="2" fillId="8" borderId="31" xfId="0" applyFont="1" applyFill="1" applyBorder="1"/>
    <xf numFmtId="0" fontId="2" fillId="8" borderId="6" xfId="0" applyFont="1" applyFill="1" applyBorder="1"/>
    <xf numFmtId="0" fontId="2" fillId="8" borderId="30" xfId="0" applyFont="1" applyFill="1" applyBorder="1"/>
    <xf numFmtId="0" fontId="0" fillId="8" borderId="31" xfId="0" applyFill="1" applyBorder="1"/>
    <xf numFmtId="0" fontId="0" fillId="0" borderId="61" xfId="0" applyBorder="1"/>
    <xf numFmtId="0" fontId="0" fillId="0" borderId="45" xfId="0" applyBorder="1"/>
    <xf numFmtId="0" fontId="0" fillId="0" borderId="61" xfId="0" applyFill="1" applyBorder="1"/>
    <xf numFmtId="0" fontId="0" fillId="0" borderId="58" xfId="0" applyBorder="1"/>
    <xf numFmtId="0" fontId="0" fillId="0" borderId="56" xfId="0" applyFill="1" applyBorder="1"/>
    <xf numFmtId="164" fontId="0" fillId="3" borderId="34" xfId="0" applyNumberFormat="1" applyFill="1" applyBorder="1"/>
    <xf numFmtId="0" fontId="2" fillId="0" borderId="31" xfId="0" applyFont="1" applyBorder="1"/>
    <xf numFmtId="12" fontId="2" fillId="0" borderId="31" xfId="0" applyNumberFormat="1" applyFont="1" applyBorder="1"/>
    <xf numFmtId="164" fontId="2" fillId="5" borderId="34" xfId="0" applyNumberFormat="1" applyFont="1" applyFill="1" applyBorder="1"/>
    <xf numFmtId="164" fontId="2" fillId="7" borderId="30" xfId="0" applyNumberFormat="1" applyFont="1" applyFill="1" applyBorder="1"/>
    <xf numFmtId="0" fontId="0" fillId="6" borderId="31" xfId="0" applyFill="1" applyBorder="1"/>
    <xf numFmtId="0" fontId="0" fillId="0" borderId="1" xfId="0" applyBorder="1"/>
    <xf numFmtId="0" fontId="0" fillId="0" borderId="9" xfId="0" applyBorder="1"/>
    <xf numFmtId="0" fontId="0" fillId="0" borderId="9" xfId="0" applyFill="1" applyBorder="1"/>
    <xf numFmtId="164" fontId="2" fillId="3" borderId="9" xfId="0" applyNumberFormat="1" applyFont="1" applyFill="1" applyBorder="1"/>
    <xf numFmtId="0" fontId="2" fillId="0" borderId="31" xfId="0" applyFont="1" applyBorder="1" applyAlignment="1">
      <alignment horizontal="center"/>
    </xf>
    <xf numFmtId="0" fontId="9" fillId="6" borderId="31" xfId="0" applyFont="1" applyFill="1" applyBorder="1"/>
    <xf numFmtId="0" fontId="0" fillId="0" borderId="31" xfId="0" applyBorder="1" applyAlignment="1">
      <alignment horizontal="center"/>
    </xf>
    <xf numFmtId="0" fontId="0" fillId="3" borderId="31" xfId="0" applyFill="1" applyBorder="1"/>
    <xf numFmtId="0" fontId="0" fillId="0" borderId="0" xfId="0" applyFill="1" applyBorder="1"/>
    <xf numFmtId="12" fontId="2" fillId="0" borderId="0" xfId="0" applyNumberFormat="1" applyFont="1" applyFill="1" applyBorder="1"/>
    <xf numFmtId="164" fontId="0" fillId="0" borderId="0" xfId="0" applyNumberFormat="1" applyFill="1" applyBorder="1"/>
    <xf numFmtId="164" fontId="2" fillId="0" borderId="0" xfId="0" applyNumberFormat="1" applyFont="1" applyFill="1" applyBorder="1"/>
    <xf numFmtId="164" fontId="2" fillId="5" borderId="32" xfId="0" applyNumberFormat="1" applyFont="1" applyFill="1" applyBorder="1"/>
    <xf numFmtId="164" fontId="0" fillId="3" borderId="31" xfId="1" applyFont="1" applyFill="1" applyBorder="1"/>
    <xf numFmtId="0" fontId="0" fillId="0" borderId="0" xfId="0" applyFill="1" applyBorder="1" applyAlignment="1">
      <alignment horizontal="center"/>
    </xf>
    <xf numFmtId="164" fontId="2" fillId="5" borderId="31" xfId="0" applyNumberFormat="1" applyFont="1" applyFill="1" applyBorder="1"/>
    <xf numFmtId="164" fontId="0" fillId="0" borderId="0" xfId="0" applyNumberFormat="1" applyFill="1"/>
    <xf numFmtId="0" fontId="0" fillId="0" borderId="25" xfId="0" applyFill="1" applyBorder="1"/>
    <xf numFmtId="12" fontId="0" fillId="3" borderId="31" xfId="0" applyNumberFormat="1" applyFill="1" applyBorder="1"/>
    <xf numFmtId="164" fontId="0" fillId="6" borderId="0" xfId="0" applyNumberFormat="1" applyFill="1"/>
    <xf numFmtId="0" fontId="2" fillId="2" borderId="19" xfId="0" applyFont="1" applyFill="1" applyBorder="1" applyAlignment="1">
      <alignment horizontal="center"/>
    </xf>
    <xf numFmtId="164" fontId="2" fillId="7" borderId="42" xfId="0" applyNumberFormat="1" applyFont="1" applyFill="1" applyBorder="1"/>
    <xf numFmtId="164" fontId="2" fillId="7" borderId="1" xfId="0" applyNumberFormat="1" applyFont="1" applyFill="1" applyBorder="1" applyAlignment="1">
      <alignment horizontal="center"/>
    </xf>
    <xf numFmtId="164" fontId="2" fillId="7" borderId="19" xfId="0" applyNumberFormat="1" applyFont="1" applyFill="1" applyBorder="1" applyAlignment="1">
      <alignment horizontal="center"/>
    </xf>
    <xf numFmtId="164" fontId="2" fillId="7" borderId="6" xfId="0" applyNumberFormat="1" applyFont="1" applyFill="1" applyBorder="1" applyAlignment="1">
      <alignment horizontal="center"/>
    </xf>
    <xf numFmtId="0" fontId="0" fillId="0" borderId="53" xfId="0" applyBorder="1"/>
    <xf numFmtId="0" fontId="9" fillId="0" borderId="0" xfId="0" applyFont="1" applyFill="1" applyBorder="1"/>
    <xf numFmtId="2" fontId="0" fillId="0" borderId="0" xfId="0" applyNumberFormat="1" applyFill="1" applyBorder="1" applyAlignment="1">
      <alignment horizontal="left" indent="2"/>
    </xf>
    <xf numFmtId="0" fontId="0" fillId="7" borderId="0" xfId="0" applyFill="1"/>
    <xf numFmtId="14" fontId="0" fillId="7" borderId="0" xfId="0" applyNumberFormat="1" applyFill="1"/>
    <xf numFmtId="14" fontId="0" fillId="0" borderId="0" xfId="0" applyNumberFormat="1"/>
    <xf numFmtId="164" fontId="0" fillId="9" borderId="0" xfId="0" applyNumberFormat="1" applyFill="1"/>
    <xf numFmtId="0" fontId="11" fillId="0" borderId="31" xfId="0" applyFont="1" applyBorder="1"/>
    <xf numFmtId="164" fontId="0" fillId="2" borderId="0" xfId="0" applyNumberFormat="1" applyFill="1"/>
    <xf numFmtId="12" fontId="0" fillId="0" borderId="0" xfId="0" applyNumberFormat="1"/>
    <xf numFmtId="1" fontId="0" fillId="0" borderId="0" xfId="0" applyNumberFormat="1" applyFill="1" applyBorder="1" applyAlignment="1">
      <alignment horizontal="left" indent="2"/>
    </xf>
    <xf numFmtId="4" fontId="0" fillId="0" borderId="0" xfId="0" applyNumberFormat="1"/>
    <xf numFmtId="2" fontId="0" fillId="0" borderId="0" xfId="0" applyNumberFormat="1" applyFill="1" applyBorder="1"/>
    <xf numFmtId="14" fontId="0" fillId="6" borderId="0" xfId="0" applyNumberFormat="1" applyFill="1"/>
    <xf numFmtId="164" fontId="0" fillId="6" borderId="0" xfId="1" applyFont="1" applyFill="1"/>
    <xf numFmtId="0" fontId="2" fillId="0" borderId="0" xfId="0" applyFont="1"/>
    <xf numFmtId="168" fontId="0" fillId="0" borderId="56" xfId="0" applyNumberFormat="1" applyFill="1" applyBorder="1"/>
    <xf numFmtId="167" fontId="2" fillId="0" borderId="31" xfId="1" applyNumberFormat="1" applyFont="1" applyBorder="1"/>
    <xf numFmtId="0" fontId="0" fillId="0" borderId="0" xfId="0"/>
    <xf numFmtId="0" fontId="0" fillId="0" borderId="0" xfId="0" applyFill="1"/>
    <xf numFmtId="0" fontId="0" fillId="0" borderId="9" xfId="0" applyBorder="1"/>
    <xf numFmtId="0" fontId="0" fillId="0" borderId="24" xfId="0" applyFill="1" applyBorder="1"/>
    <xf numFmtId="0" fontId="0" fillId="0" borderId="61" xfId="0" applyFill="1" applyBorder="1"/>
    <xf numFmtId="0" fontId="2" fillId="0" borderId="0" xfId="0" applyFont="1" applyFill="1" applyBorder="1" applyAlignment="1">
      <alignment horizontal="left"/>
    </xf>
    <xf numFmtId="14" fontId="5" fillId="0" borderId="8" xfId="0" applyNumberFormat="1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164" fontId="10" fillId="4" borderId="1" xfId="0" applyNumberFormat="1" applyFont="1" applyFill="1" applyBorder="1" applyAlignment="1">
      <alignment horizontal="center"/>
    </xf>
    <xf numFmtId="0" fontId="10" fillId="4" borderId="2" xfId="0" applyFont="1" applyFill="1" applyBorder="1" applyAlignment="1">
      <alignment horizontal="center"/>
    </xf>
    <xf numFmtId="0" fontId="10" fillId="4" borderId="6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4" fontId="4" fillId="0" borderId="3" xfId="2" applyNumberFormat="1" applyFont="1" applyFill="1" applyBorder="1" applyAlignment="1">
      <alignment horizontal="center"/>
    </xf>
    <xf numFmtId="14" fontId="4" fillId="0" borderId="4" xfId="2" applyNumberFormat="1" applyFont="1" applyFill="1" applyBorder="1" applyAlignment="1">
      <alignment horizontal="center"/>
    </xf>
    <xf numFmtId="14" fontId="4" fillId="0" borderId="5" xfId="2" applyNumberFormat="1" applyFont="1" applyFill="1" applyBorder="1" applyAlignment="1">
      <alignment horizontal="center"/>
    </xf>
    <xf numFmtId="14" fontId="4" fillId="0" borderId="1" xfId="2" applyNumberFormat="1" applyFont="1" applyFill="1" applyBorder="1" applyAlignment="1">
      <alignment horizontal="center"/>
    </xf>
    <xf numFmtId="14" fontId="4" fillId="0" borderId="2" xfId="2" applyNumberFormat="1" applyFont="1" applyFill="1" applyBorder="1" applyAlignment="1">
      <alignment horizontal="center"/>
    </xf>
    <xf numFmtId="14" fontId="4" fillId="0" borderId="6" xfId="2" applyNumberFormat="1" applyFont="1" applyFill="1" applyBorder="1" applyAlignment="1">
      <alignment horizontal="center"/>
    </xf>
    <xf numFmtId="14" fontId="4" fillId="0" borderId="7" xfId="2" applyNumberFormat="1" applyFont="1" applyFill="1" applyBorder="1" applyAlignment="1">
      <alignment horizontal="center"/>
    </xf>
    <xf numFmtId="14" fontId="4" fillId="0" borderId="1" xfId="0" applyNumberFormat="1" applyFont="1" applyFill="1" applyBorder="1" applyAlignment="1">
      <alignment horizontal="center"/>
    </xf>
    <xf numFmtId="14" fontId="4" fillId="0" borderId="2" xfId="0" applyNumberFormat="1" applyFont="1" applyFill="1" applyBorder="1" applyAlignment="1">
      <alignment horizontal="center"/>
    </xf>
    <xf numFmtId="14" fontId="4" fillId="0" borderId="6" xfId="0" applyNumberFormat="1" applyFont="1" applyFill="1" applyBorder="1" applyAlignment="1">
      <alignment horizontal="center"/>
    </xf>
  </cellXfs>
  <cellStyles count="4">
    <cellStyle name="Millares" xfId="1" builtinId="3"/>
    <cellStyle name="Millares 2" xfId="2"/>
    <cellStyle name="Millares 3" xf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829008"/>
  <sheetViews>
    <sheetView zoomScale="87" zoomScaleNormal="87"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G3" sqref="G3"/>
    </sheetView>
  </sheetViews>
  <sheetFormatPr baseColWidth="10" defaultRowHeight="15" x14ac:dyDescent="0.25"/>
  <cols>
    <col min="1" max="1" width="8.42578125" customWidth="1"/>
    <col min="2" max="2" width="27.85546875" customWidth="1"/>
    <col min="4" max="4" width="9.28515625" hidden="1" customWidth="1"/>
    <col min="5" max="5" width="9.42578125" hidden="1" customWidth="1"/>
    <col min="6" max="6" width="9.85546875" hidden="1" customWidth="1"/>
    <col min="7" max="7" width="11.5703125" customWidth="1"/>
    <col min="9" max="9" width="11.42578125" style="96"/>
    <col min="10" max="10" width="4.140625" customWidth="1"/>
    <col min="13" max="13" width="11.42578125" style="96"/>
    <col min="14" max="14" width="4.7109375" customWidth="1"/>
    <col min="17" max="17" width="11.42578125" style="96"/>
    <col min="18" max="18" width="4" customWidth="1"/>
    <col min="21" max="21" width="11.42578125" style="96"/>
    <col min="22" max="22" width="3.7109375" customWidth="1"/>
    <col min="23" max="24" width="10.5703125" customWidth="1"/>
    <col min="25" max="25" width="10.5703125" style="96" customWidth="1"/>
    <col min="26" max="26" width="4.7109375" customWidth="1"/>
    <col min="27" max="28" width="10.5703125" customWidth="1"/>
    <col min="29" max="29" width="10.5703125" style="96" customWidth="1"/>
    <col min="30" max="30" width="10.5703125" customWidth="1"/>
    <col min="32" max="32" width="7.85546875" customWidth="1"/>
    <col min="36" max="36" width="11.7109375" customWidth="1"/>
    <col min="37" max="37" width="9.28515625" customWidth="1"/>
    <col min="38" max="38" width="12.140625" bestFit="1" customWidth="1"/>
    <col min="39" max="39" width="9.7109375" customWidth="1"/>
    <col min="41" max="41" width="10.42578125" customWidth="1"/>
    <col min="43" max="43" width="9.140625" customWidth="1"/>
    <col min="45" max="45" width="10" customWidth="1"/>
    <col min="47" max="47" width="11" customWidth="1"/>
  </cols>
  <sheetData>
    <row r="1" spans="1:52" ht="21.75" thickBot="1" x14ac:dyDescent="0.4">
      <c r="A1">
        <v>0</v>
      </c>
      <c r="D1" s="257" t="s">
        <v>0</v>
      </c>
      <c r="E1" s="258"/>
      <c r="F1" s="258"/>
      <c r="G1" s="259">
        <v>45352</v>
      </c>
      <c r="H1" s="260"/>
      <c r="I1" s="260"/>
      <c r="J1" s="261"/>
      <c r="K1" s="262">
        <v>45354</v>
      </c>
      <c r="L1" s="263"/>
      <c r="M1" s="263"/>
      <c r="N1" s="264"/>
      <c r="O1" s="262">
        <v>45720</v>
      </c>
      <c r="P1" s="263"/>
      <c r="Q1" s="263"/>
      <c r="R1" s="264"/>
      <c r="S1" s="265">
        <v>45721</v>
      </c>
      <c r="T1" s="265"/>
      <c r="U1" s="265"/>
      <c r="V1" s="265"/>
      <c r="W1" s="266">
        <v>45694</v>
      </c>
      <c r="X1" s="267"/>
      <c r="Y1" s="267"/>
      <c r="Z1" s="268"/>
      <c r="AA1" s="251">
        <v>45723</v>
      </c>
      <c r="AB1" s="252"/>
      <c r="AC1" s="252"/>
      <c r="AQ1">
        <f>11598.72/240</f>
        <v>48.327999999999996</v>
      </c>
      <c r="AR1">
        <f>598.4/105</f>
        <v>5.6990476190476187</v>
      </c>
      <c r="AS1">
        <f>4631.45/126</f>
        <v>36.757539682539679</v>
      </c>
      <c r="AT1">
        <f>43.5-36.76</f>
        <v>6.740000000000002</v>
      </c>
    </row>
    <row r="2" spans="1:52" ht="45.75" thickBot="1" x14ac:dyDescent="0.3">
      <c r="A2" s="1" t="s">
        <v>1</v>
      </c>
      <c r="B2" s="2" t="s">
        <v>2</v>
      </c>
      <c r="C2" s="3" t="s">
        <v>3</v>
      </c>
      <c r="D2" s="4" t="s">
        <v>4</v>
      </c>
      <c r="E2" s="5" t="s">
        <v>5</v>
      </c>
      <c r="F2" s="6" t="s">
        <v>6</v>
      </c>
      <c r="G2" s="7" t="s">
        <v>4</v>
      </c>
      <c r="H2" s="8" t="s">
        <v>6</v>
      </c>
      <c r="I2" s="9" t="s">
        <v>7</v>
      </c>
      <c r="J2" s="3"/>
      <c r="K2" s="8" t="s">
        <v>4</v>
      </c>
      <c r="L2" s="8" t="s">
        <v>6</v>
      </c>
      <c r="M2" s="9" t="s">
        <v>7</v>
      </c>
      <c r="N2" s="10"/>
      <c r="O2" s="8" t="s">
        <v>4</v>
      </c>
      <c r="P2" s="8" t="s">
        <v>6</v>
      </c>
      <c r="Q2" s="9" t="s">
        <v>7</v>
      </c>
      <c r="R2" s="10"/>
      <c r="S2" s="8" t="s">
        <v>4</v>
      </c>
      <c r="T2" s="8" t="s">
        <v>6</v>
      </c>
      <c r="U2" s="9" t="s">
        <v>7</v>
      </c>
      <c r="V2" s="10"/>
      <c r="W2" s="8" t="s">
        <v>4</v>
      </c>
      <c r="X2" s="8" t="s">
        <v>6</v>
      </c>
      <c r="Y2" s="9" t="s">
        <v>7</v>
      </c>
      <c r="Z2" s="11"/>
      <c r="AA2" s="8" t="s">
        <v>4</v>
      </c>
      <c r="AB2" s="8" t="s">
        <v>6</v>
      </c>
      <c r="AC2" s="9" t="s">
        <v>7</v>
      </c>
      <c r="AD2" s="10"/>
      <c r="AE2" s="12"/>
      <c r="AF2" s="13"/>
      <c r="AG2" s="14" t="s">
        <v>8</v>
      </c>
      <c r="AH2" s="15" t="s">
        <v>9</v>
      </c>
      <c r="AI2" s="13" t="s">
        <v>10</v>
      </c>
      <c r="AJ2" s="16"/>
      <c r="AK2" s="16" t="s">
        <v>11</v>
      </c>
      <c r="AL2" s="17" t="s">
        <v>12</v>
      </c>
      <c r="AM2" s="18" t="s">
        <v>13</v>
      </c>
      <c r="AN2" s="19" t="s">
        <v>14</v>
      </c>
      <c r="AO2" s="20" t="s">
        <v>15</v>
      </c>
      <c r="AP2" s="21"/>
      <c r="AQ2" s="22"/>
      <c r="AR2" s="23" t="s">
        <v>16</v>
      </c>
      <c r="AS2" s="15" t="s">
        <v>17</v>
      </c>
      <c r="AT2" s="15" t="s">
        <v>18</v>
      </c>
      <c r="AU2" s="24" t="s">
        <v>19</v>
      </c>
      <c r="AV2" s="15" t="s">
        <v>20</v>
      </c>
      <c r="AW2" s="15" t="s">
        <v>21</v>
      </c>
      <c r="AX2" s="15" t="s">
        <v>22</v>
      </c>
      <c r="AY2" s="15" t="s">
        <v>23</v>
      </c>
      <c r="AZ2" s="25" t="s">
        <v>24</v>
      </c>
    </row>
    <row r="3" spans="1:52" ht="16.5" thickBot="1" x14ac:dyDescent="0.3">
      <c r="A3" s="26">
        <v>3300</v>
      </c>
      <c r="B3" s="27" t="s">
        <v>25</v>
      </c>
      <c r="C3" s="28"/>
      <c r="D3" s="26">
        <f>C3/3</f>
        <v>0</v>
      </c>
      <c r="E3" s="27">
        <f>C3/3</f>
        <v>0</v>
      </c>
      <c r="F3" s="29">
        <f>C3/3</f>
        <v>0</v>
      </c>
      <c r="G3" s="30">
        <v>0</v>
      </c>
      <c r="H3" s="30">
        <v>0</v>
      </c>
      <c r="I3" s="32">
        <v>0</v>
      </c>
      <c r="J3" s="32"/>
      <c r="K3" s="33">
        <v>0</v>
      </c>
      <c r="L3" s="34">
        <v>0</v>
      </c>
      <c r="M3" s="34">
        <v>0</v>
      </c>
      <c r="N3" s="35"/>
      <c r="O3" s="36">
        <v>0</v>
      </c>
      <c r="P3" s="34">
        <v>0</v>
      </c>
      <c r="Q3" s="34">
        <v>0</v>
      </c>
      <c r="R3" s="35"/>
      <c r="S3" s="37">
        <v>0</v>
      </c>
      <c r="T3" s="34">
        <v>0</v>
      </c>
      <c r="U3" s="34">
        <v>0</v>
      </c>
      <c r="V3" s="35"/>
      <c r="W3" s="38">
        <v>0</v>
      </c>
      <c r="X3" s="31">
        <v>0</v>
      </c>
      <c r="Y3" s="31">
        <v>0</v>
      </c>
      <c r="Z3" s="39"/>
      <c r="AA3" s="37">
        <v>0</v>
      </c>
      <c r="AB3" s="34">
        <v>0</v>
      </c>
      <c r="AC3" s="34">
        <v>0</v>
      </c>
      <c r="AD3" s="40"/>
      <c r="AE3" s="41"/>
      <c r="AF3" s="42"/>
      <c r="AG3" s="43">
        <f t="shared" ref="AG3:AJ35" si="0">G3+K3+O3+S3+W3+AA3</f>
        <v>0</v>
      </c>
      <c r="AH3" s="44">
        <f>H3+L3+P3+T3+X3+AB3</f>
        <v>0</v>
      </c>
      <c r="AI3" s="44">
        <f>I3+M3+Q3+U3+Y3+AC3</f>
        <v>0</v>
      </c>
      <c r="AJ3" s="45">
        <f>J3+N3+R3+V3+Z3+AD3</f>
        <v>0</v>
      </c>
      <c r="AK3" s="46">
        <f t="shared" ref="AK3:AK67" si="1">AG3+AH3+AI3</f>
        <v>0</v>
      </c>
      <c r="AL3" s="47">
        <v>2</v>
      </c>
      <c r="AM3" s="48">
        <f>AG3*AL3</f>
        <v>0</v>
      </c>
      <c r="AN3" s="48">
        <f t="shared" ref="AN3:AN73" si="2">AH3*AL3</f>
        <v>0</v>
      </c>
      <c r="AO3" s="49">
        <f>AI3*AL3</f>
        <v>0</v>
      </c>
      <c r="AP3" s="49">
        <f t="shared" ref="AP3:AP67" si="3">AJ3*AL3</f>
        <v>0</v>
      </c>
      <c r="AQ3" s="50">
        <f>AK3*60</f>
        <v>0</v>
      </c>
      <c r="AR3" s="51">
        <v>51.6</v>
      </c>
      <c r="AS3" s="52">
        <v>8.3999999999999986</v>
      </c>
      <c r="AT3" s="53">
        <f>AK3*AS3</f>
        <v>0</v>
      </c>
      <c r="AU3" s="54">
        <f>AK3*AL3</f>
        <v>0</v>
      </c>
      <c r="AV3" s="55"/>
      <c r="AW3" s="56"/>
      <c r="AX3" s="56"/>
      <c r="AY3" s="52"/>
      <c r="AZ3" s="57">
        <f>AT3-AU3-AW3-AX3-AY3</f>
        <v>0</v>
      </c>
    </row>
    <row r="4" spans="1:52" ht="16.5" thickBot="1" x14ac:dyDescent="0.3">
      <c r="A4" s="58">
        <v>3.5</v>
      </c>
      <c r="B4" s="59" t="s">
        <v>26</v>
      </c>
      <c r="C4" s="60"/>
      <c r="D4" s="26">
        <f t="shared" ref="D4:D68" si="4">C4/3</f>
        <v>0</v>
      </c>
      <c r="E4" s="27">
        <f t="shared" ref="E4:E68" si="5">C4/3</f>
        <v>0</v>
      </c>
      <c r="F4" s="29">
        <f t="shared" ref="F4:F68" si="6">C4/3</f>
        <v>0</v>
      </c>
      <c r="G4" s="30">
        <v>0</v>
      </c>
      <c r="H4" s="31">
        <v>0</v>
      </c>
      <c r="I4" s="32">
        <v>0</v>
      </c>
      <c r="J4" s="61"/>
      <c r="K4" s="33">
        <v>0</v>
      </c>
      <c r="L4" s="34">
        <v>0</v>
      </c>
      <c r="M4" s="34">
        <v>0</v>
      </c>
      <c r="N4" s="62"/>
      <c r="O4" s="34">
        <v>0</v>
      </c>
      <c r="P4" s="34">
        <v>0</v>
      </c>
      <c r="Q4" s="34">
        <v>0</v>
      </c>
      <c r="R4" s="62"/>
      <c r="S4" s="37">
        <v>0</v>
      </c>
      <c r="T4" s="34">
        <v>0</v>
      </c>
      <c r="U4" s="34">
        <v>0</v>
      </c>
      <c r="V4" s="62"/>
      <c r="W4" s="38">
        <v>0</v>
      </c>
      <c r="X4" s="31">
        <v>0</v>
      </c>
      <c r="Y4" s="31">
        <v>0</v>
      </c>
      <c r="Z4" s="63"/>
      <c r="AA4" s="37">
        <v>0</v>
      </c>
      <c r="AB4" s="34">
        <v>0</v>
      </c>
      <c r="AC4" s="34">
        <v>0</v>
      </c>
      <c r="AD4" s="64"/>
      <c r="AE4" s="65"/>
      <c r="AF4" s="40"/>
      <c r="AG4" s="43">
        <f t="shared" si="0"/>
        <v>0</v>
      </c>
      <c r="AH4" s="44">
        <f t="shared" si="0"/>
        <v>0</v>
      </c>
      <c r="AI4" s="44">
        <f t="shared" si="0"/>
        <v>0</v>
      </c>
      <c r="AJ4" s="45">
        <f>J4+N4+R4+V4+Z4+AD4</f>
        <v>0</v>
      </c>
      <c r="AK4" s="46">
        <f t="shared" si="1"/>
        <v>0</v>
      </c>
      <c r="AL4" s="66">
        <v>1.75</v>
      </c>
      <c r="AM4" s="48">
        <f t="shared" ref="AM4:AM73" si="7">AG4*AL4</f>
        <v>0</v>
      </c>
      <c r="AN4" s="48">
        <f t="shared" si="2"/>
        <v>0</v>
      </c>
      <c r="AO4" s="49">
        <f t="shared" ref="AO4:AO68" si="8">AI4*AL4</f>
        <v>0</v>
      </c>
      <c r="AP4" s="49">
        <f t="shared" si="3"/>
        <v>0</v>
      </c>
      <c r="AQ4" s="50">
        <f t="shared" ref="AQ4:AQ67" si="9">AK4*60</f>
        <v>0</v>
      </c>
      <c r="AR4" s="67"/>
      <c r="AS4" s="68"/>
      <c r="AT4" s="69"/>
      <c r="AU4" s="70"/>
      <c r="AV4" s="71"/>
      <c r="AW4" s="72"/>
      <c r="AX4" s="72"/>
      <c r="AY4" s="68"/>
      <c r="AZ4" s="73"/>
    </row>
    <row r="5" spans="1:52" ht="16.5" thickBot="1" x14ac:dyDescent="0.3">
      <c r="A5" s="74">
        <v>3030</v>
      </c>
      <c r="B5" s="75" t="s">
        <v>26</v>
      </c>
      <c r="C5" s="76">
        <v>322</v>
      </c>
      <c r="D5" s="26">
        <f>C5/3</f>
        <v>107.33333333333333</v>
      </c>
      <c r="E5" s="27">
        <f t="shared" si="5"/>
        <v>107.33333333333333</v>
      </c>
      <c r="F5" s="29">
        <f t="shared" si="6"/>
        <v>107.33333333333333</v>
      </c>
      <c r="G5" s="30">
        <v>2</v>
      </c>
      <c r="H5" s="31">
        <v>2</v>
      </c>
      <c r="I5" s="32">
        <v>0</v>
      </c>
      <c r="J5" s="77"/>
      <c r="K5" s="33">
        <v>1</v>
      </c>
      <c r="L5" s="34">
        <v>8</v>
      </c>
      <c r="M5" s="34">
        <v>12</v>
      </c>
      <c r="N5" s="62"/>
      <c r="O5" s="34">
        <v>3</v>
      </c>
      <c r="P5" s="34">
        <v>2</v>
      </c>
      <c r="Q5" s="34">
        <v>0</v>
      </c>
      <c r="R5" s="62"/>
      <c r="S5" s="37">
        <v>0</v>
      </c>
      <c r="T5" s="34">
        <v>0</v>
      </c>
      <c r="U5" s="34">
        <v>0</v>
      </c>
      <c r="V5" s="62"/>
      <c r="W5" s="38">
        <v>8</v>
      </c>
      <c r="X5" s="31">
        <v>20</v>
      </c>
      <c r="Y5" s="31">
        <v>3</v>
      </c>
      <c r="Z5" s="78"/>
      <c r="AA5" s="37">
        <v>5</v>
      </c>
      <c r="AB5" s="34">
        <v>6</v>
      </c>
      <c r="AC5" s="34">
        <v>3</v>
      </c>
      <c r="AD5" s="64"/>
      <c r="AE5" s="79"/>
      <c r="AF5" s="64"/>
      <c r="AG5" s="43">
        <f t="shared" si="0"/>
        <v>19</v>
      </c>
      <c r="AH5" s="44">
        <f t="shared" si="0"/>
        <v>38</v>
      </c>
      <c r="AI5" s="44">
        <f t="shared" si="0"/>
        <v>18</v>
      </c>
      <c r="AJ5" s="45">
        <f t="shared" si="0"/>
        <v>0</v>
      </c>
      <c r="AK5" s="80">
        <f t="shared" si="1"/>
        <v>75</v>
      </c>
      <c r="AL5" s="66">
        <v>1.75</v>
      </c>
      <c r="AM5" s="48">
        <f t="shared" si="7"/>
        <v>33.25</v>
      </c>
      <c r="AN5" s="48">
        <f t="shared" si="2"/>
        <v>66.5</v>
      </c>
      <c r="AO5" s="49">
        <f t="shared" si="8"/>
        <v>31.5</v>
      </c>
      <c r="AP5" s="49">
        <f t="shared" si="3"/>
        <v>0</v>
      </c>
      <c r="AQ5" s="50">
        <f t="shared" si="9"/>
        <v>4500</v>
      </c>
      <c r="AR5" s="81">
        <v>42.35</v>
      </c>
      <c r="AS5" s="82">
        <v>7.6499999999999986</v>
      </c>
      <c r="AT5" s="83">
        <f t="shared" ref="AT5:AT17" si="10">AK5*AS5</f>
        <v>573.74999999999989</v>
      </c>
      <c r="AU5" s="84">
        <f t="shared" ref="AU5:AU19" si="11">AK5*AL5</f>
        <v>131.25</v>
      </c>
      <c r="AV5" s="85">
        <v>0</v>
      </c>
      <c r="AW5" s="86"/>
      <c r="AX5" s="86"/>
      <c r="AY5" s="82"/>
      <c r="AZ5" s="87">
        <f t="shared" ref="AZ5:AZ17" si="12">AT5-AU5-AW5-AX5-AY5</f>
        <v>442.49999999999989</v>
      </c>
    </row>
    <row r="6" spans="1:52" ht="16.5" thickBot="1" x14ac:dyDescent="0.3">
      <c r="A6" s="74">
        <v>3030</v>
      </c>
      <c r="B6" s="75" t="s">
        <v>27</v>
      </c>
      <c r="C6" s="76">
        <v>64</v>
      </c>
      <c r="D6" s="26">
        <f>C6/3</f>
        <v>21.333333333333332</v>
      </c>
      <c r="E6" s="27">
        <f t="shared" si="5"/>
        <v>21.333333333333332</v>
      </c>
      <c r="F6" s="29">
        <f t="shared" si="6"/>
        <v>21.333333333333332</v>
      </c>
      <c r="G6" s="30">
        <v>3</v>
      </c>
      <c r="H6" s="31">
        <v>1</v>
      </c>
      <c r="I6" s="32">
        <v>0</v>
      </c>
      <c r="J6" s="77"/>
      <c r="K6" s="33">
        <v>1</v>
      </c>
      <c r="L6" s="34">
        <v>8</v>
      </c>
      <c r="M6" s="34">
        <v>8</v>
      </c>
      <c r="N6" s="62"/>
      <c r="O6" s="34">
        <v>1</v>
      </c>
      <c r="P6" s="34">
        <v>2</v>
      </c>
      <c r="Q6" s="34">
        <v>3</v>
      </c>
      <c r="R6" s="62"/>
      <c r="S6" s="37">
        <v>5</v>
      </c>
      <c r="T6" s="34">
        <v>8</v>
      </c>
      <c r="U6" s="34">
        <v>10</v>
      </c>
      <c r="V6" s="62"/>
      <c r="W6" s="38">
        <v>1</v>
      </c>
      <c r="X6" s="31">
        <v>5</v>
      </c>
      <c r="Y6" s="31">
        <v>2</v>
      </c>
      <c r="Z6" s="78"/>
      <c r="AA6" s="37">
        <v>0</v>
      </c>
      <c r="AB6" s="34">
        <v>0</v>
      </c>
      <c r="AC6" s="34">
        <v>4</v>
      </c>
      <c r="AD6" s="64"/>
      <c r="AE6" s="79"/>
      <c r="AF6" s="64"/>
      <c r="AG6" s="43">
        <f t="shared" si="0"/>
        <v>11</v>
      </c>
      <c r="AH6" s="44">
        <f t="shared" si="0"/>
        <v>24</v>
      </c>
      <c r="AI6" s="44">
        <f t="shared" si="0"/>
        <v>27</v>
      </c>
      <c r="AJ6" s="45">
        <f t="shared" si="0"/>
        <v>0</v>
      </c>
      <c r="AK6" s="80">
        <f t="shared" si="1"/>
        <v>62</v>
      </c>
      <c r="AL6" s="66">
        <v>1.75</v>
      </c>
      <c r="AM6" s="48">
        <f t="shared" si="7"/>
        <v>19.25</v>
      </c>
      <c r="AN6" s="48">
        <f t="shared" si="2"/>
        <v>42</v>
      </c>
      <c r="AO6" s="49">
        <f t="shared" si="8"/>
        <v>47.25</v>
      </c>
      <c r="AP6" s="49">
        <f t="shared" si="3"/>
        <v>0</v>
      </c>
      <c r="AQ6" s="50">
        <f t="shared" si="9"/>
        <v>3720</v>
      </c>
      <c r="AR6" s="81">
        <v>42.5</v>
      </c>
      <c r="AS6" s="82">
        <v>7.5</v>
      </c>
      <c r="AT6" s="83">
        <f t="shared" si="10"/>
        <v>465</v>
      </c>
      <c r="AU6" s="84">
        <f t="shared" si="11"/>
        <v>108.5</v>
      </c>
      <c r="AV6" s="85">
        <v>0</v>
      </c>
      <c r="AW6" s="86"/>
      <c r="AX6" s="86"/>
      <c r="AY6" s="82"/>
      <c r="AZ6" s="87">
        <f t="shared" si="12"/>
        <v>356.5</v>
      </c>
    </row>
    <row r="7" spans="1:52" ht="16.5" thickBot="1" x14ac:dyDescent="0.3">
      <c r="A7" s="74">
        <v>3030</v>
      </c>
      <c r="B7" s="75" t="s">
        <v>25</v>
      </c>
      <c r="C7" s="76">
        <v>2776</v>
      </c>
      <c r="D7" s="26">
        <f t="shared" si="4"/>
        <v>925.33333333333337</v>
      </c>
      <c r="E7" s="27">
        <f t="shared" si="5"/>
        <v>925.33333333333337</v>
      </c>
      <c r="F7" s="29">
        <f t="shared" si="6"/>
        <v>925.33333333333337</v>
      </c>
      <c r="G7" s="30">
        <v>2</v>
      </c>
      <c r="H7" s="31">
        <v>13</v>
      </c>
      <c r="I7" s="32">
        <v>12</v>
      </c>
      <c r="J7" s="77"/>
      <c r="K7" s="33">
        <v>19</v>
      </c>
      <c r="L7" s="34">
        <v>80</v>
      </c>
      <c r="M7" s="34">
        <v>38</v>
      </c>
      <c r="N7" s="62"/>
      <c r="O7" s="34">
        <v>2</v>
      </c>
      <c r="P7" s="34">
        <v>12</v>
      </c>
      <c r="Q7" s="34">
        <v>23</v>
      </c>
      <c r="R7" s="62"/>
      <c r="S7" s="37">
        <v>28</v>
      </c>
      <c r="T7" s="34">
        <v>38</v>
      </c>
      <c r="U7" s="34">
        <v>4</v>
      </c>
      <c r="V7" s="62"/>
      <c r="W7" s="38">
        <v>44</v>
      </c>
      <c r="X7" s="31">
        <v>14</v>
      </c>
      <c r="Y7" s="31">
        <v>48</v>
      </c>
      <c r="Z7" s="78"/>
      <c r="AA7" s="37">
        <v>31</v>
      </c>
      <c r="AB7" s="34">
        <v>34</v>
      </c>
      <c r="AC7" s="34">
        <v>81</v>
      </c>
      <c r="AD7" s="64"/>
      <c r="AE7" s="79"/>
      <c r="AF7" s="64"/>
      <c r="AG7" s="43">
        <f t="shared" si="0"/>
        <v>126</v>
      </c>
      <c r="AH7" s="44">
        <f t="shared" si="0"/>
        <v>191</v>
      </c>
      <c r="AI7" s="44">
        <f t="shared" si="0"/>
        <v>206</v>
      </c>
      <c r="AJ7" s="45">
        <f t="shared" si="0"/>
        <v>0</v>
      </c>
      <c r="AK7" s="80">
        <f t="shared" si="1"/>
        <v>523</v>
      </c>
      <c r="AL7" s="47">
        <v>1.5</v>
      </c>
      <c r="AM7" s="48">
        <f t="shared" si="7"/>
        <v>189</v>
      </c>
      <c r="AN7" s="48">
        <f t="shared" si="2"/>
        <v>286.5</v>
      </c>
      <c r="AO7" s="49">
        <f t="shared" si="8"/>
        <v>309</v>
      </c>
      <c r="AP7" s="49">
        <f t="shared" si="3"/>
        <v>0</v>
      </c>
      <c r="AQ7" s="50">
        <f t="shared" si="9"/>
        <v>31380</v>
      </c>
      <c r="AR7" s="81">
        <v>48.33</v>
      </c>
      <c r="AS7" s="82">
        <f>56-AR7</f>
        <v>7.6700000000000017</v>
      </c>
      <c r="AT7" s="83">
        <f t="shared" si="10"/>
        <v>4011.4100000000008</v>
      </c>
      <c r="AU7" s="84">
        <f t="shared" si="11"/>
        <v>784.5</v>
      </c>
      <c r="AV7" s="85">
        <v>0</v>
      </c>
      <c r="AW7" s="86"/>
      <c r="AX7" s="86"/>
      <c r="AY7" s="82"/>
      <c r="AZ7" s="87">
        <f t="shared" si="12"/>
        <v>3226.9100000000008</v>
      </c>
    </row>
    <row r="8" spans="1:52" ht="16.5" thickBot="1" x14ac:dyDescent="0.3">
      <c r="A8" s="74">
        <v>3030</v>
      </c>
      <c r="B8" s="75" t="s">
        <v>28</v>
      </c>
      <c r="C8" s="76">
        <v>136</v>
      </c>
      <c r="D8" s="26">
        <f t="shared" si="4"/>
        <v>45.333333333333336</v>
      </c>
      <c r="E8" s="27">
        <f t="shared" si="5"/>
        <v>45.333333333333336</v>
      </c>
      <c r="F8" s="29">
        <f t="shared" si="6"/>
        <v>45.333333333333336</v>
      </c>
      <c r="G8" s="30">
        <v>0</v>
      </c>
      <c r="H8" s="31">
        <v>0</v>
      </c>
      <c r="I8" s="32">
        <v>0</v>
      </c>
      <c r="J8" s="77"/>
      <c r="K8" s="33">
        <v>0</v>
      </c>
      <c r="L8" s="34">
        <v>3</v>
      </c>
      <c r="M8" s="34">
        <v>2</v>
      </c>
      <c r="N8" s="62"/>
      <c r="O8" s="34">
        <v>0</v>
      </c>
      <c r="P8" s="34">
        <v>0</v>
      </c>
      <c r="Q8" s="34">
        <v>4</v>
      </c>
      <c r="R8" s="62"/>
      <c r="S8" s="37">
        <v>0</v>
      </c>
      <c r="T8" s="34">
        <v>1</v>
      </c>
      <c r="U8" s="34">
        <v>0</v>
      </c>
      <c r="V8" s="62"/>
      <c r="W8" s="38">
        <v>1</v>
      </c>
      <c r="X8" s="31">
        <v>0</v>
      </c>
      <c r="Y8" s="31">
        <v>5</v>
      </c>
      <c r="Z8" s="78"/>
      <c r="AA8" s="37">
        <v>0</v>
      </c>
      <c r="AB8" s="34">
        <v>0</v>
      </c>
      <c r="AC8" s="34">
        <v>2</v>
      </c>
      <c r="AD8" s="64"/>
      <c r="AE8" s="79"/>
      <c r="AF8" s="64"/>
      <c r="AG8" s="43">
        <f t="shared" si="0"/>
        <v>1</v>
      </c>
      <c r="AH8" s="44">
        <f t="shared" si="0"/>
        <v>4</v>
      </c>
      <c r="AI8" s="44">
        <f t="shared" si="0"/>
        <v>13</v>
      </c>
      <c r="AJ8" s="45">
        <f t="shared" si="0"/>
        <v>0</v>
      </c>
      <c r="AK8" s="80">
        <f t="shared" si="1"/>
        <v>18</v>
      </c>
      <c r="AL8" s="47">
        <v>1.5</v>
      </c>
      <c r="AM8" s="48">
        <f t="shared" si="7"/>
        <v>1.5</v>
      </c>
      <c r="AN8" s="48">
        <f t="shared" si="2"/>
        <v>6</v>
      </c>
      <c r="AO8" s="49">
        <f t="shared" si="8"/>
        <v>19.5</v>
      </c>
      <c r="AP8" s="49">
        <f t="shared" si="3"/>
        <v>0</v>
      </c>
      <c r="AQ8" s="50">
        <f t="shared" si="9"/>
        <v>1080</v>
      </c>
      <c r="AR8" s="81">
        <v>43.2</v>
      </c>
      <c r="AS8" s="82">
        <v>6.7999999999999972</v>
      </c>
      <c r="AT8" s="83">
        <f t="shared" si="10"/>
        <v>122.39999999999995</v>
      </c>
      <c r="AU8" s="84">
        <f t="shared" si="11"/>
        <v>27</v>
      </c>
      <c r="AV8" s="85">
        <v>0</v>
      </c>
      <c r="AW8" s="86"/>
      <c r="AX8" s="86"/>
      <c r="AY8" s="82"/>
      <c r="AZ8" s="87">
        <f t="shared" si="12"/>
        <v>95.399999999999949</v>
      </c>
    </row>
    <row r="9" spans="1:52" ht="16.5" thickBot="1" x14ac:dyDescent="0.3">
      <c r="A9" s="74">
        <v>3030</v>
      </c>
      <c r="B9" s="75" t="s">
        <v>29</v>
      </c>
      <c r="C9" s="76">
        <v>67</v>
      </c>
      <c r="D9" s="26">
        <f t="shared" si="4"/>
        <v>22.333333333333332</v>
      </c>
      <c r="E9" s="27">
        <f t="shared" si="5"/>
        <v>22.333333333333332</v>
      </c>
      <c r="F9" s="29">
        <f t="shared" si="6"/>
        <v>22.333333333333332</v>
      </c>
      <c r="G9" s="30">
        <v>0</v>
      </c>
      <c r="H9" s="31">
        <v>0</v>
      </c>
      <c r="I9" s="32">
        <v>0</v>
      </c>
      <c r="J9" s="77"/>
      <c r="K9" s="33">
        <v>0</v>
      </c>
      <c r="L9" s="34">
        <v>0</v>
      </c>
      <c r="M9" s="34">
        <v>0</v>
      </c>
      <c r="N9" s="62"/>
      <c r="O9" s="34">
        <v>0</v>
      </c>
      <c r="P9" s="34">
        <v>0</v>
      </c>
      <c r="Q9" s="34">
        <v>0</v>
      </c>
      <c r="R9" s="62"/>
      <c r="S9" s="37">
        <v>0</v>
      </c>
      <c r="T9" s="34">
        <v>0</v>
      </c>
      <c r="U9" s="34">
        <v>0</v>
      </c>
      <c r="V9" s="62"/>
      <c r="W9" s="38">
        <v>0</v>
      </c>
      <c r="X9" s="31">
        <v>0</v>
      </c>
      <c r="Y9" s="31">
        <v>0</v>
      </c>
      <c r="Z9" s="78"/>
      <c r="AA9" s="37">
        <v>0</v>
      </c>
      <c r="AB9" s="34">
        <v>0</v>
      </c>
      <c r="AC9" s="34">
        <v>0</v>
      </c>
      <c r="AD9" s="64"/>
      <c r="AE9" s="79"/>
      <c r="AF9" s="64"/>
      <c r="AG9" s="43">
        <f t="shared" si="0"/>
        <v>0</v>
      </c>
      <c r="AH9" s="44">
        <f t="shared" si="0"/>
        <v>0</v>
      </c>
      <c r="AI9" s="44">
        <f t="shared" si="0"/>
        <v>0</v>
      </c>
      <c r="AJ9" s="45">
        <f t="shared" si="0"/>
        <v>0</v>
      </c>
      <c r="AK9" s="80">
        <f t="shared" si="1"/>
        <v>0</v>
      </c>
      <c r="AL9" s="47">
        <v>1.5</v>
      </c>
      <c r="AM9" s="48">
        <f t="shared" si="7"/>
        <v>0</v>
      </c>
      <c r="AN9" s="48">
        <f t="shared" si="2"/>
        <v>0</v>
      </c>
      <c r="AO9" s="49">
        <f t="shared" si="8"/>
        <v>0</v>
      </c>
      <c r="AP9" s="49">
        <f t="shared" si="3"/>
        <v>0</v>
      </c>
      <c r="AQ9" s="50">
        <f t="shared" si="9"/>
        <v>0</v>
      </c>
      <c r="AR9" s="81">
        <v>43.2</v>
      </c>
      <c r="AS9" s="82">
        <v>6.7999999999999972</v>
      </c>
      <c r="AT9" s="83">
        <f t="shared" si="10"/>
        <v>0</v>
      </c>
      <c r="AU9" s="84">
        <f t="shared" si="11"/>
        <v>0</v>
      </c>
      <c r="AV9" s="85">
        <v>0</v>
      </c>
      <c r="AW9" s="86"/>
      <c r="AX9" s="86"/>
      <c r="AY9" s="82"/>
      <c r="AZ9" s="87">
        <f t="shared" si="12"/>
        <v>0</v>
      </c>
    </row>
    <row r="10" spans="1:52" ht="16.5" thickBot="1" x14ac:dyDescent="0.3">
      <c r="A10" s="74">
        <v>3030</v>
      </c>
      <c r="B10" s="75" t="s">
        <v>30</v>
      </c>
      <c r="C10" s="76"/>
      <c r="D10" s="26">
        <f t="shared" si="4"/>
        <v>0</v>
      </c>
      <c r="E10" s="27">
        <f t="shared" si="5"/>
        <v>0</v>
      </c>
      <c r="F10" s="29">
        <f t="shared" si="6"/>
        <v>0</v>
      </c>
      <c r="G10" s="30">
        <v>0</v>
      </c>
      <c r="H10" s="31">
        <v>0</v>
      </c>
      <c r="I10" s="32">
        <v>0</v>
      </c>
      <c r="J10" s="77"/>
      <c r="K10" s="33">
        <v>0</v>
      </c>
      <c r="L10" s="34">
        <v>0</v>
      </c>
      <c r="M10" s="34">
        <v>0</v>
      </c>
      <c r="N10" s="62"/>
      <c r="O10" s="34">
        <v>0</v>
      </c>
      <c r="P10" s="34">
        <v>0</v>
      </c>
      <c r="Q10" s="34">
        <v>0</v>
      </c>
      <c r="R10" s="62"/>
      <c r="S10" s="37">
        <v>0</v>
      </c>
      <c r="T10" s="34">
        <v>0</v>
      </c>
      <c r="U10" s="34">
        <v>0</v>
      </c>
      <c r="V10" s="62"/>
      <c r="W10" s="38">
        <v>0</v>
      </c>
      <c r="X10" s="31">
        <v>0</v>
      </c>
      <c r="Y10" s="31">
        <v>0</v>
      </c>
      <c r="Z10" s="78"/>
      <c r="AA10" s="37">
        <v>0</v>
      </c>
      <c r="AB10" s="34">
        <v>0</v>
      </c>
      <c r="AC10" s="34">
        <v>0</v>
      </c>
      <c r="AD10" s="64"/>
      <c r="AE10" s="79"/>
      <c r="AF10" s="64"/>
      <c r="AG10" s="43">
        <f t="shared" si="0"/>
        <v>0</v>
      </c>
      <c r="AH10" s="44">
        <f t="shared" si="0"/>
        <v>0</v>
      </c>
      <c r="AI10" s="44">
        <f t="shared" si="0"/>
        <v>0</v>
      </c>
      <c r="AJ10" s="45">
        <f t="shared" si="0"/>
        <v>0</v>
      </c>
      <c r="AK10" s="80">
        <f t="shared" si="1"/>
        <v>0</v>
      </c>
      <c r="AL10" s="47">
        <v>1.5</v>
      </c>
      <c r="AM10" s="48">
        <f t="shared" si="7"/>
        <v>0</v>
      </c>
      <c r="AN10" s="48">
        <f t="shared" si="2"/>
        <v>0</v>
      </c>
      <c r="AO10" s="49">
        <f t="shared" si="8"/>
        <v>0</v>
      </c>
      <c r="AP10" s="49">
        <f t="shared" si="3"/>
        <v>0</v>
      </c>
      <c r="AQ10" s="50">
        <f t="shared" si="9"/>
        <v>0</v>
      </c>
      <c r="AR10" s="81">
        <v>43.2</v>
      </c>
      <c r="AS10" s="82">
        <v>6.7999999999999972</v>
      </c>
      <c r="AT10" s="83">
        <f t="shared" si="10"/>
        <v>0</v>
      </c>
      <c r="AU10" s="84">
        <f t="shared" si="11"/>
        <v>0</v>
      </c>
      <c r="AV10" s="85">
        <v>0</v>
      </c>
      <c r="AW10" s="86"/>
      <c r="AX10" s="86"/>
      <c r="AY10" s="82"/>
      <c r="AZ10" s="87">
        <f t="shared" si="12"/>
        <v>0</v>
      </c>
    </row>
    <row r="11" spans="1:52" ht="16.5" thickBot="1" x14ac:dyDescent="0.3">
      <c r="A11" s="74">
        <v>3030</v>
      </c>
      <c r="B11" s="75" t="s">
        <v>31</v>
      </c>
      <c r="C11" s="76">
        <v>67</v>
      </c>
      <c r="D11" s="26">
        <f t="shared" si="4"/>
        <v>22.333333333333332</v>
      </c>
      <c r="E11" s="27">
        <f t="shared" si="5"/>
        <v>22.333333333333332</v>
      </c>
      <c r="F11" s="29">
        <f t="shared" si="6"/>
        <v>22.333333333333332</v>
      </c>
      <c r="G11" s="30">
        <v>1</v>
      </c>
      <c r="H11" s="31">
        <v>0</v>
      </c>
      <c r="I11" s="32">
        <v>0</v>
      </c>
      <c r="J11" s="77"/>
      <c r="K11" s="33">
        <v>0</v>
      </c>
      <c r="L11" s="34">
        <v>1</v>
      </c>
      <c r="M11" s="34">
        <v>0</v>
      </c>
      <c r="N11" s="62"/>
      <c r="O11" s="34">
        <v>0</v>
      </c>
      <c r="P11" s="34">
        <v>0</v>
      </c>
      <c r="Q11" s="34">
        <v>0</v>
      </c>
      <c r="R11" s="62"/>
      <c r="S11" s="37">
        <v>0</v>
      </c>
      <c r="T11" s="34">
        <v>0</v>
      </c>
      <c r="U11" s="34">
        <v>0</v>
      </c>
      <c r="V11" s="62"/>
      <c r="W11" s="38">
        <v>0</v>
      </c>
      <c r="X11" s="31">
        <v>0</v>
      </c>
      <c r="Y11" s="31">
        <v>0</v>
      </c>
      <c r="Z11" s="78"/>
      <c r="AA11" s="37">
        <v>0</v>
      </c>
      <c r="AB11" s="34">
        <v>0</v>
      </c>
      <c r="AC11" s="34">
        <v>0</v>
      </c>
      <c r="AD11" s="64"/>
      <c r="AE11" s="79"/>
      <c r="AF11" s="64"/>
      <c r="AG11" s="43">
        <f t="shared" si="0"/>
        <v>1</v>
      </c>
      <c r="AH11" s="44">
        <f t="shared" si="0"/>
        <v>1</v>
      </c>
      <c r="AI11" s="44">
        <f t="shared" si="0"/>
        <v>0</v>
      </c>
      <c r="AJ11" s="45">
        <f t="shared" si="0"/>
        <v>0</v>
      </c>
      <c r="AK11" s="80">
        <f t="shared" si="1"/>
        <v>2</v>
      </c>
      <c r="AL11" s="47">
        <v>1.5</v>
      </c>
      <c r="AM11" s="48">
        <f t="shared" si="7"/>
        <v>1.5</v>
      </c>
      <c r="AN11" s="48">
        <f t="shared" si="2"/>
        <v>1.5</v>
      </c>
      <c r="AO11" s="49">
        <f t="shared" si="8"/>
        <v>0</v>
      </c>
      <c r="AP11" s="49">
        <f t="shared" si="3"/>
        <v>0</v>
      </c>
      <c r="AQ11" s="50">
        <f t="shared" si="9"/>
        <v>120</v>
      </c>
      <c r="AR11" s="81">
        <v>43.2</v>
      </c>
      <c r="AS11" s="82">
        <v>6.7999999999999972</v>
      </c>
      <c r="AT11" s="83">
        <f t="shared" si="10"/>
        <v>13.599999999999994</v>
      </c>
      <c r="AU11" s="84">
        <f t="shared" si="11"/>
        <v>3</v>
      </c>
      <c r="AV11" s="85">
        <v>0</v>
      </c>
      <c r="AW11" s="86"/>
      <c r="AX11" s="86"/>
      <c r="AY11" s="82"/>
      <c r="AZ11" s="87">
        <f t="shared" si="12"/>
        <v>10.599999999999994</v>
      </c>
    </row>
    <row r="12" spans="1:52" ht="16.5" thickBot="1" x14ac:dyDescent="0.3">
      <c r="A12" s="74">
        <v>3030</v>
      </c>
      <c r="B12" s="75" t="s">
        <v>32</v>
      </c>
      <c r="C12" s="88">
        <v>0</v>
      </c>
      <c r="D12" s="26">
        <f t="shared" si="4"/>
        <v>0</v>
      </c>
      <c r="E12" s="27">
        <f t="shared" si="5"/>
        <v>0</v>
      </c>
      <c r="F12" s="29">
        <f t="shared" si="6"/>
        <v>0</v>
      </c>
      <c r="G12" s="30">
        <v>0</v>
      </c>
      <c r="H12" s="31">
        <v>0</v>
      </c>
      <c r="I12" s="32">
        <v>0</v>
      </c>
      <c r="J12" s="77"/>
      <c r="K12" s="33">
        <v>0</v>
      </c>
      <c r="L12" s="34">
        <v>0</v>
      </c>
      <c r="M12" s="34">
        <v>0</v>
      </c>
      <c r="N12" s="62"/>
      <c r="O12" s="34">
        <v>0</v>
      </c>
      <c r="P12" s="34">
        <v>0</v>
      </c>
      <c r="Q12" s="34">
        <v>0</v>
      </c>
      <c r="R12" s="62"/>
      <c r="S12" s="37">
        <v>0</v>
      </c>
      <c r="T12" s="34">
        <v>0</v>
      </c>
      <c r="U12" s="34">
        <v>0</v>
      </c>
      <c r="V12" s="62"/>
      <c r="W12" s="38">
        <v>0</v>
      </c>
      <c r="X12" s="31">
        <v>0</v>
      </c>
      <c r="Y12" s="31">
        <v>0</v>
      </c>
      <c r="Z12" s="78"/>
      <c r="AA12" s="37">
        <v>0</v>
      </c>
      <c r="AB12" s="34">
        <v>0</v>
      </c>
      <c r="AC12" s="34">
        <v>0</v>
      </c>
      <c r="AD12" s="64"/>
      <c r="AE12" s="79"/>
      <c r="AF12" s="64"/>
      <c r="AG12" s="43">
        <f t="shared" si="0"/>
        <v>0</v>
      </c>
      <c r="AH12" s="44">
        <f t="shared" si="0"/>
        <v>0</v>
      </c>
      <c r="AI12" s="44">
        <f t="shared" si="0"/>
        <v>0</v>
      </c>
      <c r="AJ12" s="45">
        <f t="shared" si="0"/>
        <v>0</v>
      </c>
      <c r="AK12" s="80">
        <f t="shared" si="1"/>
        <v>0</v>
      </c>
      <c r="AL12" s="47">
        <v>2</v>
      </c>
      <c r="AM12" s="48">
        <f t="shared" si="7"/>
        <v>0</v>
      </c>
      <c r="AN12" s="48">
        <f t="shared" si="2"/>
        <v>0</v>
      </c>
      <c r="AO12" s="49">
        <f t="shared" si="8"/>
        <v>0</v>
      </c>
      <c r="AP12" s="49">
        <f t="shared" si="3"/>
        <v>0</v>
      </c>
      <c r="AQ12" s="50">
        <f t="shared" si="9"/>
        <v>0</v>
      </c>
      <c r="AR12" s="81">
        <v>42.35</v>
      </c>
      <c r="AS12" s="82">
        <v>7.6499999999999986</v>
      </c>
      <c r="AT12" s="83">
        <f t="shared" si="10"/>
        <v>0</v>
      </c>
      <c r="AU12" s="84">
        <f t="shared" si="11"/>
        <v>0</v>
      </c>
      <c r="AV12" s="85">
        <v>0</v>
      </c>
      <c r="AW12" s="86"/>
      <c r="AX12" s="86"/>
      <c r="AY12" s="82"/>
      <c r="AZ12" s="87">
        <f t="shared" si="12"/>
        <v>0</v>
      </c>
    </row>
    <row r="13" spans="1:52" ht="16.5" thickBot="1" x14ac:dyDescent="0.3">
      <c r="A13" s="74">
        <v>2250</v>
      </c>
      <c r="B13" s="75" t="s">
        <v>25</v>
      </c>
      <c r="C13" s="76"/>
      <c r="D13" s="26">
        <f t="shared" si="4"/>
        <v>0</v>
      </c>
      <c r="E13" s="27">
        <f t="shared" si="5"/>
        <v>0</v>
      </c>
      <c r="F13" s="29">
        <f t="shared" si="6"/>
        <v>0</v>
      </c>
      <c r="G13" s="30">
        <v>0</v>
      </c>
      <c r="H13" s="31">
        <v>0</v>
      </c>
      <c r="I13" s="32">
        <v>0</v>
      </c>
      <c r="J13" s="77"/>
      <c r="K13" s="33">
        <v>0</v>
      </c>
      <c r="L13" s="34">
        <v>0</v>
      </c>
      <c r="M13" s="34">
        <v>0</v>
      </c>
      <c r="N13" s="62"/>
      <c r="O13" s="34">
        <v>0</v>
      </c>
      <c r="P13" s="34">
        <v>0</v>
      </c>
      <c r="Q13" s="34">
        <v>0</v>
      </c>
      <c r="R13" s="62"/>
      <c r="S13" s="37">
        <v>0</v>
      </c>
      <c r="T13" s="34">
        <v>0</v>
      </c>
      <c r="U13" s="34">
        <v>0</v>
      </c>
      <c r="V13" s="62"/>
      <c r="W13" s="38">
        <v>0</v>
      </c>
      <c r="X13" s="31">
        <v>0</v>
      </c>
      <c r="Y13" s="31">
        <v>0</v>
      </c>
      <c r="Z13" s="78"/>
      <c r="AA13" s="37">
        <v>0</v>
      </c>
      <c r="AB13" s="34">
        <v>0</v>
      </c>
      <c r="AC13" s="34">
        <v>0</v>
      </c>
      <c r="AD13" s="64"/>
      <c r="AE13" s="79"/>
      <c r="AF13" s="64"/>
      <c r="AG13" s="43">
        <f t="shared" si="0"/>
        <v>0</v>
      </c>
      <c r="AH13" s="44">
        <f t="shared" si="0"/>
        <v>0</v>
      </c>
      <c r="AI13" s="44">
        <f t="shared" si="0"/>
        <v>0</v>
      </c>
      <c r="AJ13" s="45">
        <f>J13+N13+R13+V13+Z13+AD13</f>
        <v>0</v>
      </c>
      <c r="AK13" s="80">
        <f t="shared" si="1"/>
        <v>0</v>
      </c>
      <c r="AL13" s="47">
        <v>1.5</v>
      </c>
      <c r="AM13" s="48">
        <f t="shared" si="7"/>
        <v>0</v>
      </c>
      <c r="AN13" s="48">
        <f t="shared" si="2"/>
        <v>0</v>
      </c>
      <c r="AO13" s="49">
        <f t="shared" si="8"/>
        <v>0</v>
      </c>
      <c r="AP13" s="49">
        <f t="shared" si="3"/>
        <v>0</v>
      </c>
      <c r="AQ13" s="50">
        <f t="shared" si="9"/>
        <v>0</v>
      </c>
      <c r="AR13" s="81">
        <v>34.68</v>
      </c>
      <c r="AS13" s="82">
        <v>5.32</v>
      </c>
      <c r="AT13" s="83">
        <f t="shared" si="10"/>
        <v>0</v>
      </c>
      <c r="AU13" s="84">
        <f t="shared" si="11"/>
        <v>0</v>
      </c>
      <c r="AV13" s="85">
        <v>0</v>
      </c>
      <c r="AW13" s="86"/>
      <c r="AX13" s="86"/>
      <c r="AY13" s="82"/>
      <c r="AZ13" s="87">
        <f t="shared" si="12"/>
        <v>0</v>
      </c>
    </row>
    <row r="14" spans="1:52" ht="16.5" thickBot="1" x14ac:dyDescent="0.3">
      <c r="A14" s="74">
        <v>2250</v>
      </c>
      <c r="B14" s="75" t="s">
        <v>33</v>
      </c>
      <c r="C14" s="76"/>
      <c r="D14" s="26">
        <f t="shared" si="4"/>
        <v>0</v>
      </c>
      <c r="E14" s="27">
        <f t="shared" si="5"/>
        <v>0</v>
      </c>
      <c r="F14" s="29">
        <f t="shared" si="6"/>
        <v>0</v>
      </c>
      <c r="G14" s="30">
        <v>0</v>
      </c>
      <c r="H14" s="31">
        <v>0</v>
      </c>
      <c r="I14" s="32">
        <v>0</v>
      </c>
      <c r="J14" s="77"/>
      <c r="K14" s="33">
        <v>0</v>
      </c>
      <c r="L14" s="34">
        <v>0</v>
      </c>
      <c r="M14" s="34">
        <v>0</v>
      </c>
      <c r="N14" s="62"/>
      <c r="O14" s="34">
        <v>0</v>
      </c>
      <c r="P14" s="34">
        <v>0</v>
      </c>
      <c r="Q14" s="34">
        <v>0</v>
      </c>
      <c r="R14" s="62"/>
      <c r="S14" s="37">
        <v>0</v>
      </c>
      <c r="T14" s="34">
        <v>0</v>
      </c>
      <c r="U14" s="34">
        <v>0</v>
      </c>
      <c r="V14" s="62"/>
      <c r="W14" s="38">
        <v>0</v>
      </c>
      <c r="X14" s="31">
        <v>0</v>
      </c>
      <c r="Y14" s="31">
        <v>0</v>
      </c>
      <c r="Z14" s="78"/>
      <c r="AA14" s="37">
        <v>0</v>
      </c>
      <c r="AB14" s="34">
        <v>0</v>
      </c>
      <c r="AC14" s="34">
        <v>0</v>
      </c>
      <c r="AD14" s="64"/>
      <c r="AE14" s="79"/>
      <c r="AF14" s="64"/>
      <c r="AG14" s="43">
        <f t="shared" si="0"/>
        <v>0</v>
      </c>
      <c r="AH14" s="44">
        <f t="shared" si="0"/>
        <v>0</v>
      </c>
      <c r="AI14" s="44">
        <f t="shared" si="0"/>
        <v>0</v>
      </c>
      <c r="AJ14" s="45">
        <f t="shared" si="0"/>
        <v>0</v>
      </c>
      <c r="AK14" s="80">
        <f t="shared" si="1"/>
        <v>0</v>
      </c>
      <c r="AL14" s="47">
        <v>1.5</v>
      </c>
      <c r="AM14" s="48">
        <f t="shared" si="7"/>
        <v>0</v>
      </c>
      <c r="AN14" s="48">
        <f t="shared" si="2"/>
        <v>0</v>
      </c>
      <c r="AO14" s="49">
        <f t="shared" si="8"/>
        <v>0</v>
      </c>
      <c r="AP14" s="49">
        <f t="shared" si="3"/>
        <v>0</v>
      </c>
      <c r="AQ14" s="50">
        <f t="shared" si="9"/>
        <v>0</v>
      </c>
      <c r="AR14" s="81">
        <v>34.68</v>
      </c>
      <c r="AS14" s="82">
        <v>5.32</v>
      </c>
      <c r="AT14" s="83">
        <f t="shared" si="10"/>
        <v>0</v>
      </c>
      <c r="AU14" s="84">
        <f t="shared" si="11"/>
        <v>0</v>
      </c>
      <c r="AV14" s="85">
        <v>0</v>
      </c>
      <c r="AW14" s="86"/>
      <c r="AX14" s="86"/>
      <c r="AY14" s="82"/>
      <c r="AZ14" s="87">
        <f t="shared" si="12"/>
        <v>0</v>
      </c>
    </row>
    <row r="15" spans="1:52" ht="16.5" thickBot="1" x14ac:dyDescent="0.3">
      <c r="A15" s="74">
        <v>1800</v>
      </c>
      <c r="B15" s="75" t="s">
        <v>34</v>
      </c>
      <c r="C15" s="76"/>
      <c r="D15" s="26">
        <f t="shared" si="4"/>
        <v>0</v>
      </c>
      <c r="E15" s="27">
        <f t="shared" si="5"/>
        <v>0</v>
      </c>
      <c r="F15" s="29">
        <f t="shared" si="6"/>
        <v>0</v>
      </c>
      <c r="G15" s="30">
        <v>0</v>
      </c>
      <c r="H15" s="31">
        <v>0</v>
      </c>
      <c r="I15" s="32">
        <v>0</v>
      </c>
      <c r="J15" s="77"/>
      <c r="K15" s="33">
        <v>0</v>
      </c>
      <c r="L15" s="34">
        <v>0</v>
      </c>
      <c r="M15" s="34">
        <v>0</v>
      </c>
      <c r="N15" s="62"/>
      <c r="O15" s="34">
        <v>0</v>
      </c>
      <c r="P15" s="34">
        <v>0</v>
      </c>
      <c r="Q15" s="34">
        <v>0</v>
      </c>
      <c r="R15" s="62"/>
      <c r="S15" s="37">
        <v>0</v>
      </c>
      <c r="T15" s="34">
        <v>0</v>
      </c>
      <c r="U15" s="34">
        <v>0</v>
      </c>
      <c r="V15" s="62"/>
      <c r="W15" s="38">
        <v>0</v>
      </c>
      <c r="X15" s="31">
        <v>0</v>
      </c>
      <c r="Y15" s="31">
        <v>0</v>
      </c>
      <c r="Z15" s="78"/>
      <c r="AA15" s="37">
        <v>0</v>
      </c>
      <c r="AB15" s="34">
        <v>0</v>
      </c>
      <c r="AC15" s="34">
        <v>0</v>
      </c>
      <c r="AD15" s="64"/>
      <c r="AE15" s="79"/>
      <c r="AF15" s="64"/>
      <c r="AG15" s="43">
        <f t="shared" si="0"/>
        <v>0</v>
      </c>
      <c r="AH15" s="44">
        <f t="shared" si="0"/>
        <v>0</v>
      </c>
      <c r="AI15" s="44">
        <f t="shared" si="0"/>
        <v>0</v>
      </c>
      <c r="AJ15" s="45">
        <f t="shared" si="0"/>
        <v>0</v>
      </c>
      <c r="AK15" s="80">
        <f t="shared" si="1"/>
        <v>0</v>
      </c>
      <c r="AL15" s="47">
        <v>1.5</v>
      </c>
      <c r="AM15" s="48">
        <f t="shared" si="7"/>
        <v>0</v>
      </c>
      <c r="AN15" s="48">
        <f t="shared" si="2"/>
        <v>0</v>
      </c>
      <c r="AO15" s="49">
        <f t="shared" si="8"/>
        <v>0</v>
      </c>
      <c r="AP15" s="49">
        <f t="shared" si="3"/>
        <v>0</v>
      </c>
      <c r="AQ15" s="50">
        <f t="shared" si="9"/>
        <v>0</v>
      </c>
      <c r="AR15" s="81">
        <v>29.54</v>
      </c>
      <c r="AS15" s="82">
        <v>5.4600000000000009</v>
      </c>
      <c r="AT15" s="83">
        <f t="shared" si="10"/>
        <v>0</v>
      </c>
      <c r="AU15" s="84">
        <f t="shared" si="11"/>
        <v>0</v>
      </c>
      <c r="AV15" s="85">
        <v>0</v>
      </c>
      <c r="AW15" s="86"/>
      <c r="AX15" s="86"/>
      <c r="AY15" s="82"/>
      <c r="AZ15" s="87">
        <f t="shared" si="12"/>
        <v>0</v>
      </c>
    </row>
    <row r="16" spans="1:52" ht="16.5" thickBot="1" x14ac:dyDescent="0.3">
      <c r="A16" s="74">
        <v>1800</v>
      </c>
      <c r="B16" s="75" t="s">
        <v>25</v>
      </c>
      <c r="C16" s="88"/>
      <c r="D16" s="26">
        <f t="shared" si="4"/>
        <v>0</v>
      </c>
      <c r="E16" s="27">
        <f t="shared" si="5"/>
        <v>0</v>
      </c>
      <c r="F16" s="29">
        <f t="shared" si="6"/>
        <v>0</v>
      </c>
      <c r="G16" s="30">
        <v>0</v>
      </c>
      <c r="H16" s="31">
        <v>0</v>
      </c>
      <c r="I16" s="32">
        <v>0</v>
      </c>
      <c r="J16" s="77"/>
      <c r="K16" s="33">
        <v>0</v>
      </c>
      <c r="L16" s="34">
        <v>0</v>
      </c>
      <c r="M16" s="34">
        <v>0</v>
      </c>
      <c r="N16" s="62"/>
      <c r="O16" s="34">
        <v>0</v>
      </c>
      <c r="P16" s="34">
        <v>0</v>
      </c>
      <c r="Q16" s="34">
        <v>0</v>
      </c>
      <c r="R16" s="62"/>
      <c r="S16" s="37">
        <v>0</v>
      </c>
      <c r="T16" s="34">
        <v>0</v>
      </c>
      <c r="U16" s="34">
        <v>0</v>
      </c>
      <c r="V16" s="62"/>
      <c r="W16" s="38">
        <v>0</v>
      </c>
      <c r="X16" s="31">
        <v>0</v>
      </c>
      <c r="Y16" s="31">
        <v>0</v>
      </c>
      <c r="Z16" s="78"/>
      <c r="AA16" s="37">
        <v>0</v>
      </c>
      <c r="AB16" s="34">
        <v>0</v>
      </c>
      <c r="AC16" s="34">
        <v>0</v>
      </c>
      <c r="AD16" s="64"/>
      <c r="AE16" s="79"/>
      <c r="AF16" s="64"/>
      <c r="AG16" s="43">
        <f t="shared" si="0"/>
        <v>0</v>
      </c>
      <c r="AH16" s="44">
        <f t="shared" si="0"/>
        <v>0</v>
      </c>
      <c r="AI16" s="44">
        <f t="shared" si="0"/>
        <v>0</v>
      </c>
      <c r="AJ16" s="45">
        <f t="shared" si="0"/>
        <v>0</v>
      </c>
      <c r="AK16" s="80">
        <f t="shared" si="1"/>
        <v>0</v>
      </c>
      <c r="AL16" s="47">
        <v>1.5</v>
      </c>
      <c r="AM16" s="48">
        <f t="shared" si="7"/>
        <v>0</v>
      </c>
      <c r="AN16" s="48">
        <f t="shared" si="2"/>
        <v>0</v>
      </c>
      <c r="AO16" s="49">
        <f t="shared" si="8"/>
        <v>0</v>
      </c>
      <c r="AP16" s="49">
        <f t="shared" si="3"/>
        <v>0</v>
      </c>
      <c r="AQ16" s="50">
        <f t="shared" si="9"/>
        <v>0</v>
      </c>
      <c r="AR16" s="81">
        <v>28.05</v>
      </c>
      <c r="AS16" s="82">
        <v>6.9499999999999993</v>
      </c>
      <c r="AT16" s="83">
        <f t="shared" si="10"/>
        <v>0</v>
      </c>
      <c r="AU16" s="84">
        <f t="shared" si="11"/>
        <v>0</v>
      </c>
      <c r="AV16" s="85">
        <v>0</v>
      </c>
      <c r="AW16" s="86"/>
      <c r="AX16" s="86"/>
      <c r="AY16" s="82"/>
      <c r="AZ16" s="87">
        <f t="shared" si="12"/>
        <v>0</v>
      </c>
    </row>
    <row r="17" spans="1:52" ht="16.5" thickBot="1" x14ac:dyDescent="0.3">
      <c r="A17" s="74">
        <v>1.3</v>
      </c>
      <c r="B17" s="75" t="s">
        <v>35</v>
      </c>
      <c r="C17" s="76">
        <v>1302</v>
      </c>
      <c r="D17" s="26">
        <f t="shared" si="4"/>
        <v>434</v>
      </c>
      <c r="E17" s="27">
        <f t="shared" si="5"/>
        <v>434</v>
      </c>
      <c r="F17" s="29">
        <f t="shared" si="6"/>
        <v>434</v>
      </c>
      <c r="G17" s="30">
        <v>3</v>
      </c>
      <c r="H17" s="31">
        <v>0</v>
      </c>
      <c r="I17" s="32">
        <v>11</v>
      </c>
      <c r="J17" s="77"/>
      <c r="K17" s="33">
        <v>1</v>
      </c>
      <c r="L17" s="34">
        <v>45</v>
      </c>
      <c r="M17" s="34">
        <v>28</v>
      </c>
      <c r="N17" s="62"/>
      <c r="O17" s="34">
        <v>0</v>
      </c>
      <c r="P17" s="34">
        <v>3</v>
      </c>
      <c r="Q17" s="34">
        <v>21</v>
      </c>
      <c r="R17" s="62"/>
      <c r="S17" s="37">
        <v>25</v>
      </c>
      <c r="T17" s="34">
        <v>0</v>
      </c>
      <c r="U17" s="34">
        <v>11</v>
      </c>
      <c r="V17" s="62"/>
      <c r="W17" s="38">
        <v>18</v>
      </c>
      <c r="X17" s="31">
        <v>2</v>
      </c>
      <c r="Y17" s="31">
        <v>41</v>
      </c>
      <c r="Z17" s="78"/>
      <c r="AA17" s="37">
        <v>1</v>
      </c>
      <c r="AB17" s="34">
        <v>1</v>
      </c>
      <c r="AC17" s="34">
        <v>43</v>
      </c>
      <c r="AD17" s="64"/>
      <c r="AE17" s="79"/>
      <c r="AF17" s="89"/>
      <c r="AG17" s="43">
        <f t="shared" si="0"/>
        <v>48</v>
      </c>
      <c r="AH17" s="44">
        <f t="shared" si="0"/>
        <v>51</v>
      </c>
      <c r="AI17" s="44">
        <f t="shared" si="0"/>
        <v>155</v>
      </c>
      <c r="AJ17" s="45">
        <f t="shared" si="0"/>
        <v>0</v>
      </c>
      <c r="AK17" s="80">
        <f t="shared" si="1"/>
        <v>254</v>
      </c>
      <c r="AL17" s="66">
        <v>1</v>
      </c>
      <c r="AM17" s="48">
        <f t="shared" si="7"/>
        <v>48</v>
      </c>
      <c r="AN17" s="48">
        <f t="shared" si="2"/>
        <v>51</v>
      </c>
      <c r="AO17" s="49">
        <f t="shared" si="8"/>
        <v>155</v>
      </c>
      <c r="AP17" s="49">
        <f t="shared" si="3"/>
        <v>0</v>
      </c>
      <c r="AQ17" s="50">
        <f t="shared" si="9"/>
        <v>15240</v>
      </c>
      <c r="AR17" s="81"/>
      <c r="AS17" s="82">
        <v>5.7</v>
      </c>
      <c r="AT17" s="83">
        <f t="shared" si="10"/>
        <v>1447.8</v>
      </c>
      <c r="AU17" s="84">
        <f t="shared" si="11"/>
        <v>254</v>
      </c>
      <c r="AV17" s="85"/>
      <c r="AW17" s="86"/>
      <c r="AX17" s="86"/>
      <c r="AY17" s="82"/>
      <c r="AZ17" s="87">
        <f t="shared" si="12"/>
        <v>1193.8</v>
      </c>
    </row>
    <row r="18" spans="1:52" ht="16.5" thickBot="1" x14ac:dyDescent="0.3">
      <c r="A18" s="74">
        <v>1.3</v>
      </c>
      <c r="B18" s="75" t="s">
        <v>36</v>
      </c>
      <c r="C18" s="76"/>
      <c r="D18" s="26">
        <f t="shared" si="4"/>
        <v>0</v>
      </c>
      <c r="E18" s="27">
        <f t="shared" si="5"/>
        <v>0</v>
      </c>
      <c r="F18" s="29">
        <f t="shared" si="6"/>
        <v>0</v>
      </c>
      <c r="G18" s="30">
        <v>0</v>
      </c>
      <c r="H18" s="31">
        <v>0</v>
      </c>
      <c r="I18" s="32">
        <v>0</v>
      </c>
      <c r="J18" s="77"/>
      <c r="K18" s="33">
        <v>0</v>
      </c>
      <c r="L18" s="34">
        <v>0</v>
      </c>
      <c r="M18" s="34">
        <v>0</v>
      </c>
      <c r="N18" s="62"/>
      <c r="O18" s="34">
        <v>0</v>
      </c>
      <c r="P18" s="34">
        <v>0</v>
      </c>
      <c r="Q18" s="34">
        <v>0</v>
      </c>
      <c r="R18" s="62"/>
      <c r="S18" s="37">
        <v>0</v>
      </c>
      <c r="T18" s="34">
        <v>0</v>
      </c>
      <c r="U18" s="34">
        <v>0</v>
      </c>
      <c r="V18" s="62"/>
      <c r="W18" s="38">
        <v>0</v>
      </c>
      <c r="X18" s="31">
        <v>0</v>
      </c>
      <c r="Y18" s="31">
        <v>0</v>
      </c>
      <c r="Z18" s="78"/>
      <c r="AA18" s="37">
        <v>0</v>
      </c>
      <c r="AB18" s="34">
        <v>0</v>
      </c>
      <c r="AC18" s="34">
        <v>0</v>
      </c>
      <c r="AD18" s="64"/>
      <c r="AE18" s="79"/>
      <c r="AF18" s="64"/>
      <c r="AG18" s="43">
        <f t="shared" si="0"/>
        <v>0</v>
      </c>
      <c r="AH18" s="44">
        <f t="shared" si="0"/>
        <v>0</v>
      </c>
      <c r="AI18" s="44">
        <f t="shared" si="0"/>
        <v>0</v>
      </c>
      <c r="AJ18" s="45">
        <f t="shared" si="0"/>
        <v>0</v>
      </c>
      <c r="AK18" s="80">
        <f t="shared" si="1"/>
        <v>0</v>
      </c>
      <c r="AL18" s="47">
        <v>1</v>
      </c>
      <c r="AM18" s="48">
        <f t="shared" si="7"/>
        <v>0</v>
      </c>
      <c r="AN18" s="48">
        <f t="shared" si="2"/>
        <v>0</v>
      </c>
      <c r="AO18" s="49">
        <f t="shared" si="8"/>
        <v>0</v>
      </c>
      <c r="AP18" s="49">
        <f t="shared" si="3"/>
        <v>0</v>
      </c>
      <c r="AQ18" s="50">
        <f t="shared" si="9"/>
        <v>0</v>
      </c>
      <c r="AR18" s="81"/>
      <c r="AS18" s="82"/>
      <c r="AT18" s="83"/>
      <c r="AU18" s="84">
        <f t="shared" si="11"/>
        <v>0</v>
      </c>
      <c r="AV18" s="85"/>
      <c r="AW18" s="86"/>
      <c r="AX18" s="86"/>
      <c r="AY18" s="82"/>
      <c r="AZ18" s="87"/>
    </row>
    <row r="19" spans="1:52" ht="16.5" thickBot="1" x14ac:dyDescent="0.3">
      <c r="A19" s="74">
        <v>1.3</v>
      </c>
      <c r="B19" s="75" t="s">
        <v>37</v>
      </c>
      <c r="C19" s="76"/>
      <c r="D19" s="26">
        <f t="shared" si="4"/>
        <v>0</v>
      </c>
      <c r="E19" s="27">
        <f t="shared" si="5"/>
        <v>0</v>
      </c>
      <c r="F19" s="29">
        <f t="shared" si="6"/>
        <v>0</v>
      </c>
      <c r="G19" s="30">
        <v>0</v>
      </c>
      <c r="H19" s="31">
        <v>0</v>
      </c>
      <c r="I19" s="32">
        <v>0</v>
      </c>
      <c r="J19" s="77"/>
      <c r="K19" s="33">
        <v>0</v>
      </c>
      <c r="L19" s="34">
        <v>0</v>
      </c>
      <c r="M19" s="34">
        <v>0</v>
      </c>
      <c r="N19" s="62"/>
      <c r="O19" s="34">
        <v>0</v>
      </c>
      <c r="P19" s="34">
        <v>0</v>
      </c>
      <c r="Q19" s="34">
        <v>0</v>
      </c>
      <c r="R19" s="62"/>
      <c r="S19" s="37">
        <v>0</v>
      </c>
      <c r="T19" s="34">
        <v>0</v>
      </c>
      <c r="U19" s="34">
        <v>0</v>
      </c>
      <c r="V19" s="62"/>
      <c r="W19" s="38">
        <v>0</v>
      </c>
      <c r="X19" s="31">
        <v>0</v>
      </c>
      <c r="Y19" s="31">
        <v>0</v>
      </c>
      <c r="Z19" s="78"/>
      <c r="AA19" s="37">
        <v>0</v>
      </c>
      <c r="AB19" s="34">
        <v>0</v>
      </c>
      <c r="AC19" s="34">
        <v>0</v>
      </c>
      <c r="AD19" s="64"/>
      <c r="AE19" s="79"/>
      <c r="AF19" s="64"/>
      <c r="AG19" s="43">
        <f t="shared" si="0"/>
        <v>0</v>
      </c>
      <c r="AH19" s="44">
        <f t="shared" si="0"/>
        <v>0</v>
      </c>
      <c r="AI19" s="44">
        <f t="shared" si="0"/>
        <v>0</v>
      </c>
      <c r="AJ19" s="45">
        <f t="shared" si="0"/>
        <v>0</v>
      </c>
      <c r="AK19" s="80">
        <f t="shared" si="1"/>
        <v>0</v>
      </c>
      <c r="AL19" s="47">
        <v>1</v>
      </c>
      <c r="AM19" s="48">
        <f t="shared" si="7"/>
        <v>0</v>
      </c>
      <c r="AN19" s="48">
        <f t="shared" si="2"/>
        <v>0</v>
      </c>
      <c r="AO19" s="49">
        <f t="shared" si="8"/>
        <v>0</v>
      </c>
      <c r="AP19" s="49">
        <f t="shared" si="3"/>
        <v>0</v>
      </c>
      <c r="AQ19" s="50">
        <f t="shared" si="9"/>
        <v>0</v>
      </c>
      <c r="AR19" s="81"/>
      <c r="AS19" s="82"/>
      <c r="AT19" s="83"/>
      <c r="AU19" s="84">
        <f t="shared" si="11"/>
        <v>0</v>
      </c>
      <c r="AV19" s="85"/>
      <c r="AW19" s="86"/>
      <c r="AX19" s="86"/>
      <c r="AY19" s="82"/>
      <c r="AZ19" s="87"/>
    </row>
    <row r="20" spans="1:52" ht="16.5" thickBot="1" x14ac:dyDescent="0.3">
      <c r="A20" s="74">
        <v>1.3</v>
      </c>
      <c r="B20" s="75" t="s">
        <v>38</v>
      </c>
      <c r="C20" s="76">
        <v>90</v>
      </c>
      <c r="D20" s="26">
        <f t="shared" si="4"/>
        <v>30</v>
      </c>
      <c r="E20" s="27">
        <f t="shared" si="5"/>
        <v>30</v>
      </c>
      <c r="F20" s="29">
        <f t="shared" si="6"/>
        <v>30</v>
      </c>
      <c r="G20" s="30">
        <v>6</v>
      </c>
      <c r="H20" s="31">
        <v>4</v>
      </c>
      <c r="I20" s="32">
        <v>3</v>
      </c>
      <c r="J20" s="77"/>
      <c r="K20" s="33">
        <v>4</v>
      </c>
      <c r="L20" s="34">
        <v>3</v>
      </c>
      <c r="M20" s="34">
        <v>6</v>
      </c>
      <c r="N20" s="62"/>
      <c r="O20" s="34">
        <v>4</v>
      </c>
      <c r="P20" s="34">
        <v>5</v>
      </c>
      <c r="Q20" s="34">
        <v>5</v>
      </c>
      <c r="R20" s="62"/>
      <c r="S20" s="37">
        <v>8</v>
      </c>
      <c r="T20" s="34">
        <v>9</v>
      </c>
      <c r="U20" s="34">
        <v>9</v>
      </c>
      <c r="V20" s="62"/>
      <c r="W20" s="38">
        <v>17</v>
      </c>
      <c r="X20" s="31">
        <v>6</v>
      </c>
      <c r="Y20" s="31">
        <v>6</v>
      </c>
      <c r="Z20" s="78"/>
      <c r="AA20" s="37">
        <v>6</v>
      </c>
      <c r="AB20" s="34">
        <v>4</v>
      </c>
      <c r="AC20" s="34">
        <v>1</v>
      </c>
      <c r="AD20" s="64"/>
      <c r="AE20" s="79"/>
      <c r="AF20" s="64"/>
      <c r="AG20" s="43">
        <f t="shared" si="0"/>
        <v>45</v>
      </c>
      <c r="AH20" s="44">
        <f t="shared" si="0"/>
        <v>31</v>
      </c>
      <c r="AI20" s="44">
        <f t="shared" si="0"/>
        <v>30</v>
      </c>
      <c r="AJ20" s="45">
        <f t="shared" si="0"/>
        <v>0</v>
      </c>
      <c r="AK20" s="80">
        <f t="shared" si="1"/>
        <v>106</v>
      </c>
      <c r="AL20" s="66">
        <v>1.1499999999999999</v>
      </c>
      <c r="AM20" s="48">
        <f t="shared" si="7"/>
        <v>51.749999999999993</v>
      </c>
      <c r="AN20" s="48">
        <f t="shared" si="2"/>
        <v>35.65</v>
      </c>
      <c r="AO20" s="49">
        <f t="shared" si="8"/>
        <v>34.5</v>
      </c>
      <c r="AP20" s="49">
        <f t="shared" si="3"/>
        <v>0</v>
      </c>
      <c r="AQ20" s="50">
        <f t="shared" si="9"/>
        <v>6360</v>
      </c>
      <c r="AR20" s="81"/>
      <c r="AS20" s="82"/>
      <c r="AT20" s="83"/>
      <c r="AU20" s="84"/>
      <c r="AV20" s="85"/>
      <c r="AW20" s="86"/>
      <c r="AX20" s="86"/>
      <c r="AY20" s="82"/>
      <c r="AZ20" s="87"/>
    </row>
    <row r="21" spans="1:52" ht="16.5" thickBot="1" x14ac:dyDescent="0.3">
      <c r="A21" s="74">
        <v>1.3</v>
      </c>
      <c r="B21" s="75" t="s">
        <v>39</v>
      </c>
      <c r="C21" s="76">
        <v>90</v>
      </c>
      <c r="D21" s="26">
        <f t="shared" si="4"/>
        <v>30</v>
      </c>
      <c r="E21" s="27">
        <f t="shared" si="5"/>
        <v>30</v>
      </c>
      <c r="F21" s="29">
        <f t="shared" si="6"/>
        <v>30</v>
      </c>
      <c r="G21" s="30">
        <v>5</v>
      </c>
      <c r="H21" s="31">
        <v>0</v>
      </c>
      <c r="I21" s="32">
        <v>1</v>
      </c>
      <c r="J21" s="77"/>
      <c r="K21" s="33">
        <v>0</v>
      </c>
      <c r="L21" s="34">
        <v>5</v>
      </c>
      <c r="M21" s="34">
        <v>5</v>
      </c>
      <c r="N21" s="62"/>
      <c r="O21" s="34">
        <v>2</v>
      </c>
      <c r="P21" s="34">
        <v>3</v>
      </c>
      <c r="Q21" s="34">
        <v>4</v>
      </c>
      <c r="R21" s="62"/>
      <c r="S21" s="37">
        <v>1</v>
      </c>
      <c r="T21" s="34">
        <v>0</v>
      </c>
      <c r="U21" s="34">
        <v>1</v>
      </c>
      <c r="V21" s="62"/>
      <c r="W21" s="38">
        <v>0</v>
      </c>
      <c r="X21" s="31">
        <v>0</v>
      </c>
      <c r="Y21" s="31">
        <v>0</v>
      </c>
      <c r="Z21" s="78"/>
      <c r="AA21" s="37">
        <v>0</v>
      </c>
      <c r="AB21" s="34">
        <v>0</v>
      </c>
      <c r="AC21" s="34">
        <v>0</v>
      </c>
      <c r="AD21" s="64"/>
      <c r="AE21" s="79"/>
      <c r="AF21" s="64"/>
      <c r="AG21" s="43">
        <f t="shared" si="0"/>
        <v>8</v>
      </c>
      <c r="AH21" s="44">
        <f t="shared" si="0"/>
        <v>8</v>
      </c>
      <c r="AI21" s="44">
        <f t="shared" si="0"/>
        <v>11</v>
      </c>
      <c r="AJ21" s="45">
        <f t="shared" si="0"/>
        <v>0</v>
      </c>
      <c r="AK21" s="80">
        <f t="shared" si="1"/>
        <v>27</v>
      </c>
      <c r="AL21" s="66">
        <v>1.1499999999999999</v>
      </c>
      <c r="AM21" s="48">
        <f t="shared" si="7"/>
        <v>9.1999999999999993</v>
      </c>
      <c r="AN21" s="48">
        <f t="shared" si="2"/>
        <v>9.1999999999999993</v>
      </c>
      <c r="AO21" s="49">
        <f t="shared" si="8"/>
        <v>12.649999999999999</v>
      </c>
      <c r="AP21" s="49">
        <f t="shared" si="3"/>
        <v>0</v>
      </c>
      <c r="AQ21" s="50">
        <f t="shared" si="9"/>
        <v>1620</v>
      </c>
      <c r="AR21" s="81"/>
      <c r="AS21" s="82"/>
      <c r="AT21" s="83"/>
      <c r="AU21" s="84"/>
      <c r="AV21" s="85"/>
      <c r="AW21" s="86"/>
      <c r="AX21" s="86"/>
      <c r="AY21" s="82"/>
      <c r="AZ21" s="87"/>
    </row>
    <row r="22" spans="1:52" ht="16.5" thickBot="1" x14ac:dyDescent="0.3">
      <c r="A22" s="74">
        <v>1300</v>
      </c>
      <c r="B22" s="75" t="s">
        <v>40</v>
      </c>
      <c r="C22" s="76"/>
      <c r="D22" s="26">
        <f t="shared" si="4"/>
        <v>0</v>
      </c>
      <c r="E22" s="27">
        <f t="shared" si="5"/>
        <v>0</v>
      </c>
      <c r="F22" s="29">
        <f t="shared" si="6"/>
        <v>0</v>
      </c>
      <c r="G22" s="30">
        <v>0</v>
      </c>
      <c r="H22" s="31">
        <v>0</v>
      </c>
      <c r="I22" s="32">
        <v>0</v>
      </c>
      <c r="J22" s="77"/>
      <c r="K22" s="33">
        <v>0</v>
      </c>
      <c r="L22" s="34">
        <v>0</v>
      </c>
      <c r="M22" s="34">
        <v>0</v>
      </c>
      <c r="N22" s="62"/>
      <c r="O22" s="34">
        <v>0</v>
      </c>
      <c r="P22" s="34">
        <v>0</v>
      </c>
      <c r="Q22" s="34">
        <v>0</v>
      </c>
      <c r="R22" s="62"/>
      <c r="S22" s="37">
        <v>0</v>
      </c>
      <c r="T22" s="34">
        <v>0</v>
      </c>
      <c r="U22" s="34">
        <v>0</v>
      </c>
      <c r="V22" s="62"/>
      <c r="W22" s="38">
        <v>0</v>
      </c>
      <c r="X22" s="31">
        <v>0</v>
      </c>
      <c r="Y22" s="31">
        <v>0</v>
      </c>
      <c r="Z22" s="78"/>
      <c r="AA22" s="37">
        <v>0</v>
      </c>
      <c r="AB22" s="34">
        <v>0</v>
      </c>
      <c r="AC22" s="34">
        <v>0</v>
      </c>
      <c r="AD22" s="64"/>
      <c r="AE22" s="79"/>
      <c r="AF22" s="64"/>
      <c r="AG22" s="43">
        <f t="shared" si="0"/>
        <v>0</v>
      </c>
      <c r="AH22" s="44">
        <f t="shared" si="0"/>
        <v>0</v>
      </c>
      <c r="AI22" s="44">
        <f t="shared" si="0"/>
        <v>0</v>
      </c>
      <c r="AJ22" s="45">
        <f t="shared" si="0"/>
        <v>0</v>
      </c>
      <c r="AK22" s="80">
        <f t="shared" si="1"/>
        <v>0</v>
      </c>
      <c r="AL22" s="47">
        <v>1.5</v>
      </c>
      <c r="AM22" s="48">
        <f t="shared" si="7"/>
        <v>0</v>
      </c>
      <c r="AN22" s="48">
        <f t="shared" si="2"/>
        <v>0</v>
      </c>
      <c r="AO22" s="49">
        <f t="shared" si="8"/>
        <v>0</v>
      </c>
      <c r="AP22" s="49">
        <f t="shared" si="3"/>
        <v>0</v>
      </c>
      <c r="AQ22" s="50">
        <f t="shared" si="9"/>
        <v>0</v>
      </c>
      <c r="AR22" s="81">
        <v>43.1</v>
      </c>
      <c r="AS22" s="82">
        <v>6.8999999999999986</v>
      </c>
      <c r="AT22" s="83">
        <f>AK22*AS22</f>
        <v>0</v>
      </c>
      <c r="AU22" s="84">
        <f>AK22*AL22</f>
        <v>0</v>
      </c>
      <c r="AV22" s="85">
        <v>0</v>
      </c>
      <c r="AW22" s="86"/>
      <c r="AX22" s="86"/>
      <c r="AY22" s="82"/>
      <c r="AZ22" s="87">
        <f>AT22-AU22-AW22-AX22-AY22</f>
        <v>0</v>
      </c>
    </row>
    <row r="23" spans="1:52" ht="16.5" thickBot="1" x14ac:dyDescent="0.3">
      <c r="A23" s="74">
        <v>911</v>
      </c>
      <c r="B23" s="75" t="s">
        <v>25</v>
      </c>
      <c r="C23" s="76"/>
      <c r="D23" s="26">
        <f t="shared" si="4"/>
        <v>0</v>
      </c>
      <c r="E23" s="27">
        <f t="shared" si="5"/>
        <v>0</v>
      </c>
      <c r="F23" s="29">
        <f t="shared" si="6"/>
        <v>0</v>
      </c>
      <c r="G23" s="30">
        <v>0</v>
      </c>
      <c r="H23" s="31">
        <v>0</v>
      </c>
      <c r="I23" s="32">
        <v>0</v>
      </c>
      <c r="J23" s="77"/>
      <c r="K23" s="33">
        <v>0</v>
      </c>
      <c r="L23" s="34">
        <v>0</v>
      </c>
      <c r="M23" s="34">
        <v>0</v>
      </c>
      <c r="N23" s="62"/>
      <c r="O23" s="34">
        <v>0</v>
      </c>
      <c r="P23" s="34">
        <v>0</v>
      </c>
      <c r="Q23" s="34">
        <v>0</v>
      </c>
      <c r="R23" s="62"/>
      <c r="S23" s="37">
        <v>0</v>
      </c>
      <c r="T23" s="34">
        <v>0</v>
      </c>
      <c r="U23" s="34">
        <v>0</v>
      </c>
      <c r="V23" s="62"/>
      <c r="W23" s="38">
        <v>0</v>
      </c>
      <c r="X23" s="31">
        <v>0</v>
      </c>
      <c r="Y23" s="31">
        <v>0</v>
      </c>
      <c r="Z23" s="78"/>
      <c r="AA23" s="37">
        <v>0</v>
      </c>
      <c r="AB23" s="34">
        <v>0</v>
      </c>
      <c r="AC23" s="34">
        <v>0</v>
      </c>
      <c r="AD23" s="64"/>
      <c r="AE23" s="79"/>
      <c r="AF23" s="64"/>
      <c r="AG23" s="43">
        <f t="shared" si="0"/>
        <v>0</v>
      </c>
      <c r="AH23" s="44">
        <f t="shared" si="0"/>
        <v>0</v>
      </c>
      <c r="AI23" s="44">
        <f t="shared" si="0"/>
        <v>0</v>
      </c>
      <c r="AJ23" s="45">
        <f t="shared" si="0"/>
        <v>0</v>
      </c>
      <c r="AK23" s="80">
        <f t="shared" si="1"/>
        <v>0</v>
      </c>
      <c r="AL23" s="66">
        <v>0.65</v>
      </c>
      <c r="AM23" s="48">
        <f t="shared" si="7"/>
        <v>0</v>
      </c>
      <c r="AN23" s="48">
        <f t="shared" si="2"/>
        <v>0</v>
      </c>
      <c r="AO23" s="49">
        <f t="shared" si="8"/>
        <v>0</v>
      </c>
      <c r="AP23" s="49">
        <f t="shared" si="3"/>
        <v>0</v>
      </c>
      <c r="AQ23" s="50">
        <f t="shared" si="9"/>
        <v>0</v>
      </c>
      <c r="AR23" s="81">
        <v>17.29</v>
      </c>
      <c r="AS23" s="82">
        <v>2.7100000000000009</v>
      </c>
      <c r="AT23" s="83">
        <f>AK23*AS23</f>
        <v>0</v>
      </c>
      <c r="AU23" s="84">
        <f>AK23*AL23</f>
        <v>0</v>
      </c>
      <c r="AV23" s="85"/>
      <c r="AW23" s="86"/>
      <c r="AX23" s="86"/>
      <c r="AY23" s="82"/>
      <c r="AZ23" s="87">
        <f>AT23-AU23-AW23-AX23-AY23</f>
        <v>0</v>
      </c>
    </row>
    <row r="24" spans="1:52" ht="16.5" thickBot="1" x14ac:dyDescent="0.3">
      <c r="A24" s="74">
        <v>625</v>
      </c>
      <c r="B24" s="75" t="s">
        <v>41</v>
      </c>
      <c r="C24" s="76">
        <v>570</v>
      </c>
      <c r="D24" s="26">
        <f t="shared" si="4"/>
        <v>190</v>
      </c>
      <c r="E24" s="27">
        <f t="shared" si="5"/>
        <v>190</v>
      </c>
      <c r="F24" s="29">
        <f t="shared" si="6"/>
        <v>190</v>
      </c>
      <c r="G24" s="30">
        <v>0</v>
      </c>
      <c r="H24" s="31">
        <v>0</v>
      </c>
      <c r="I24" s="32">
        <v>0</v>
      </c>
      <c r="J24" s="77"/>
      <c r="K24" s="33">
        <v>0</v>
      </c>
      <c r="L24" s="34">
        <v>0</v>
      </c>
      <c r="M24" s="34">
        <v>0</v>
      </c>
      <c r="N24" s="62"/>
      <c r="O24" s="34">
        <v>0</v>
      </c>
      <c r="P24" s="34">
        <v>0</v>
      </c>
      <c r="Q24" s="34">
        <v>0</v>
      </c>
      <c r="R24" s="62"/>
      <c r="S24" s="37">
        <v>0</v>
      </c>
      <c r="T24" s="34">
        <v>0</v>
      </c>
      <c r="U24" s="34">
        <v>0</v>
      </c>
      <c r="V24" s="62"/>
      <c r="W24" s="38">
        <v>17</v>
      </c>
      <c r="X24" s="31">
        <v>0</v>
      </c>
      <c r="Y24" s="31">
        <v>9</v>
      </c>
      <c r="Z24" s="78"/>
      <c r="AA24" s="37">
        <v>0</v>
      </c>
      <c r="AB24" s="34">
        <v>0</v>
      </c>
      <c r="AC24" s="34">
        <v>31</v>
      </c>
      <c r="AD24" s="64"/>
      <c r="AE24" s="79"/>
      <c r="AF24" s="64"/>
      <c r="AG24" s="43">
        <f t="shared" si="0"/>
        <v>17</v>
      </c>
      <c r="AH24" s="44">
        <f t="shared" si="0"/>
        <v>0</v>
      </c>
      <c r="AI24" s="44">
        <f t="shared" si="0"/>
        <v>40</v>
      </c>
      <c r="AJ24" s="45">
        <f t="shared" si="0"/>
        <v>0</v>
      </c>
      <c r="AK24" s="80">
        <f t="shared" si="1"/>
        <v>57</v>
      </c>
      <c r="AL24" s="66">
        <v>1</v>
      </c>
      <c r="AM24" s="48">
        <f t="shared" si="7"/>
        <v>17</v>
      </c>
      <c r="AN24" s="48">
        <f t="shared" si="2"/>
        <v>0</v>
      </c>
      <c r="AO24" s="49">
        <f t="shared" si="8"/>
        <v>40</v>
      </c>
      <c r="AP24" s="49">
        <f t="shared" si="3"/>
        <v>0</v>
      </c>
      <c r="AQ24" s="50">
        <f t="shared" si="9"/>
        <v>3420</v>
      </c>
      <c r="AR24" s="81"/>
      <c r="AS24" s="82">
        <v>6.74</v>
      </c>
      <c r="AT24" s="83">
        <f>AK24*AS24</f>
        <v>384.18</v>
      </c>
      <c r="AU24" s="84">
        <f>AK24*AL24</f>
        <v>57</v>
      </c>
      <c r="AV24" s="85">
        <v>0</v>
      </c>
      <c r="AW24" s="86"/>
      <c r="AX24" s="86"/>
      <c r="AY24" s="82"/>
      <c r="AZ24" s="87"/>
    </row>
    <row r="25" spans="1:52" ht="16.5" thickBot="1" x14ac:dyDescent="0.3">
      <c r="A25" s="74">
        <v>625</v>
      </c>
      <c r="B25" s="75" t="s">
        <v>42</v>
      </c>
      <c r="C25" s="76"/>
      <c r="D25" s="26"/>
      <c r="E25" s="27"/>
      <c r="F25" s="29"/>
      <c r="G25" s="30">
        <v>0</v>
      </c>
      <c r="H25" s="31">
        <v>3</v>
      </c>
      <c r="I25" s="32">
        <v>5</v>
      </c>
      <c r="J25" s="77"/>
      <c r="K25" s="33">
        <v>7</v>
      </c>
      <c r="L25" s="34">
        <v>15</v>
      </c>
      <c r="M25" s="34">
        <v>9</v>
      </c>
      <c r="N25" s="62"/>
      <c r="O25" s="34">
        <v>7</v>
      </c>
      <c r="P25" s="34">
        <v>2</v>
      </c>
      <c r="Q25" s="34">
        <v>13</v>
      </c>
      <c r="R25" s="62"/>
      <c r="S25" s="37">
        <v>2</v>
      </c>
      <c r="T25" s="34">
        <v>2</v>
      </c>
      <c r="U25" s="34">
        <v>2</v>
      </c>
      <c r="V25" s="62"/>
      <c r="W25" s="38">
        <v>0</v>
      </c>
      <c r="X25" s="31">
        <v>1</v>
      </c>
      <c r="Y25" s="31">
        <v>0</v>
      </c>
      <c r="Z25" s="78"/>
      <c r="AA25" s="37">
        <v>0</v>
      </c>
      <c r="AB25" s="34">
        <v>0</v>
      </c>
      <c r="AC25" s="34">
        <v>0</v>
      </c>
      <c r="AD25" s="64"/>
      <c r="AE25" s="79"/>
      <c r="AF25" s="64"/>
      <c r="AG25" s="43">
        <f t="shared" si="0"/>
        <v>16</v>
      </c>
      <c r="AH25" s="44">
        <f t="shared" si="0"/>
        <v>23</v>
      </c>
      <c r="AI25" s="44">
        <f t="shared" si="0"/>
        <v>29</v>
      </c>
      <c r="AJ25" s="45">
        <f t="shared" si="0"/>
        <v>0</v>
      </c>
      <c r="AK25" s="80">
        <f t="shared" si="1"/>
        <v>68</v>
      </c>
      <c r="AL25" s="66">
        <v>0.75</v>
      </c>
      <c r="AM25" s="48">
        <f t="shared" si="7"/>
        <v>12</v>
      </c>
      <c r="AN25" s="48">
        <f t="shared" si="2"/>
        <v>17.25</v>
      </c>
      <c r="AO25" s="49">
        <f t="shared" si="8"/>
        <v>21.75</v>
      </c>
      <c r="AP25" s="49">
        <f t="shared" si="3"/>
        <v>0</v>
      </c>
      <c r="AQ25" s="50">
        <f t="shared" si="9"/>
        <v>4080</v>
      </c>
      <c r="AR25" s="81"/>
      <c r="AS25" s="82"/>
      <c r="AT25" s="83"/>
      <c r="AU25" s="84"/>
      <c r="AV25" s="85"/>
      <c r="AW25" s="86"/>
      <c r="AX25" s="86"/>
      <c r="AY25" s="82"/>
      <c r="AZ25" s="87"/>
    </row>
    <row r="26" spans="1:52" ht="16.5" thickBot="1" x14ac:dyDescent="0.3">
      <c r="A26" s="74">
        <v>625</v>
      </c>
      <c r="B26" s="75" t="s">
        <v>36</v>
      </c>
      <c r="C26" s="76"/>
      <c r="D26" s="26">
        <f t="shared" si="4"/>
        <v>0</v>
      </c>
      <c r="E26" s="27">
        <f t="shared" si="5"/>
        <v>0</v>
      </c>
      <c r="F26" s="29">
        <f t="shared" si="6"/>
        <v>0</v>
      </c>
      <c r="G26" s="30">
        <v>0</v>
      </c>
      <c r="H26" s="31">
        <v>0</v>
      </c>
      <c r="I26" s="32">
        <v>0</v>
      </c>
      <c r="J26" s="77"/>
      <c r="K26" s="33">
        <v>0</v>
      </c>
      <c r="L26" s="34">
        <v>0</v>
      </c>
      <c r="M26" s="34">
        <v>0</v>
      </c>
      <c r="N26" s="62"/>
      <c r="O26" s="34">
        <v>0</v>
      </c>
      <c r="P26" s="34">
        <v>0</v>
      </c>
      <c r="Q26" s="34">
        <v>0</v>
      </c>
      <c r="R26" s="62"/>
      <c r="S26" s="37">
        <v>0</v>
      </c>
      <c r="T26" s="34">
        <v>0</v>
      </c>
      <c r="U26" s="34">
        <v>0</v>
      </c>
      <c r="V26" s="62"/>
      <c r="W26" s="38">
        <v>0</v>
      </c>
      <c r="X26" s="31">
        <v>0</v>
      </c>
      <c r="Y26" s="31">
        <v>0</v>
      </c>
      <c r="Z26" s="78"/>
      <c r="AA26" s="37">
        <v>0</v>
      </c>
      <c r="AB26" s="34">
        <v>0</v>
      </c>
      <c r="AC26" s="34">
        <v>0</v>
      </c>
      <c r="AD26" s="64"/>
      <c r="AE26" s="79"/>
      <c r="AF26" s="64"/>
      <c r="AG26" s="43">
        <f t="shared" si="0"/>
        <v>0</v>
      </c>
      <c r="AH26" s="44">
        <f t="shared" si="0"/>
        <v>0</v>
      </c>
      <c r="AI26" s="44">
        <f t="shared" si="0"/>
        <v>0</v>
      </c>
      <c r="AJ26" s="45">
        <f t="shared" si="0"/>
        <v>0</v>
      </c>
      <c r="AK26" s="80">
        <f t="shared" si="1"/>
        <v>0</v>
      </c>
      <c r="AL26" s="47">
        <v>1</v>
      </c>
      <c r="AM26" s="48">
        <f t="shared" si="7"/>
        <v>0</v>
      </c>
      <c r="AN26" s="48">
        <f t="shared" si="2"/>
        <v>0</v>
      </c>
      <c r="AO26" s="49">
        <f t="shared" si="8"/>
        <v>0</v>
      </c>
      <c r="AP26" s="49">
        <f t="shared" si="3"/>
        <v>0</v>
      </c>
      <c r="AQ26" s="50">
        <f t="shared" si="9"/>
        <v>0</v>
      </c>
      <c r="AR26" s="81"/>
      <c r="AS26" s="82"/>
      <c r="AT26" s="83"/>
      <c r="AU26" s="84"/>
      <c r="AV26" s="85"/>
      <c r="AW26" s="86"/>
      <c r="AX26" s="86"/>
      <c r="AY26" s="82"/>
      <c r="AZ26" s="87"/>
    </row>
    <row r="27" spans="1:52" ht="16.5" thickBot="1" x14ac:dyDescent="0.3">
      <c r="A27" s="74">
        <v>625</v>
      </c>
      <c r="B27" s="75" t="s">
        <v>37</v>
      </c>
      <c r="C27" s="76"/>
      <c r="D27" s="26">
        <f t="shared" si="4"/>
        <v>0</v>
      </c>
      <c r="E27" s="27">
        <f t="shared" si="5"/>
        <v>0</v>
      </c>
      <c r="F27" s="29">
        <f t="shared" si="6"/>
        <v>0</v>
      </c>
      <c r="G27" s="30">
        <v>0</v>
      </c>
      <c r="H27" s="31">
        <v>0</v>
      </c>
      <c r="I27" s="32">
        <v>0</v>
      </c>
      <c r="J27" s="77"/>
      <c r="K27" s="33">
        <v>0</v>
      </c>
      <c r="L27" s="34">
        <v>0</v>
      </c>
      <c r="M27" s="34">
        <v>0</v>
      </c>
      <c r="N27" s="62"/>
      <c r="O27" s="34">
        <v>0</v>
      </c>
      <c r="P27" s="34">
        <v>0</v>
      </c>
      <c r="Q27" s="34">
        <v>0</v>
      </c>
      <c r="R27" s="62"/>
      <c r="S27" s="37">
        <v>0</v>
      </c>
      <c r="T27" s="34">
        <v>0</v>
      </c>
      <c r="U27" s="34">
        <v>0</v>
      </c>
      <c r="V27" s="62"/>
      <c r="W27" s="38">
        <v>0</v>
      </c>
      <c r="X27" s="31">
        <v>0</v>
      </c>
      <c r="Y27" s="31">
        <v>0</v>
      </c>
      <c r="Z27" s="78"/>
      <c r="AA27" s="37">
        <v>0</v>
      </c>
      <c r="AB27" s="34">
        <v>0</v>
      </c>
      <c r="AC27" s="34">
        <v>0</v>
      </c>
      <c r="AD27" s="64"/>
      <c r="AE27" s="79"/>
      <c r="AF27" s="64"/>
      <c r="AG27" s="43">
        <f t="shared" si="0"/>
        <v>0</v>
      </c>
      <c r="AH27" s="44">
        <f t="shared" si="0"/>
        <v>0</v>
      </c>
      <c r="AI27" s="44">
        <f t="shared" si="0"/>
        <v>0</v>
      </c>
      <c r="AJ27" s="45">
        <f t="shared" si="0"/>
        <v>0</v>
      </c>
      <c r="AK27" s="80">
        <f t="shared" si="1"/>
        <v>0</v>
      </c>
      <c r="AL27" s="47">
        <v>1</v>
      </c>
      <c r="AM27" s="48">
        <f t="shared" si="7"/>
        <v>0</v>
      </c>
      <c r="AN27" s="48">
        <f t="shared" si="2"/>
        <v>0</v>
      </c>
      <c r="AO27" s="49">
        <f t="shared" si="8"/>
        <v>0</v>
      </c>
      <c r="AP27" s="49">
        <f t="shared" si="3"/>
        <v>0</v>
      </c>
      <c r="AQ27" s="50">
        <f t="shared" si="9"/>
        <v>0</v>
      </c>
      <c r="AR27" s="81"/>
      <c r="AS27" s="82"/>
      <c r="AT27" s="83"/>
      <c r="AU27" s="84"/>
      <c r="AV27" s="85"/>
      <c r="AW27" s="86"/>
      <c r="AX27" s="86"/>
      <c r="AY27" s="82"/>
      <c r="AZ27" s="87"/>
    </row>
    <row r="28" spans="1:52" ht="16.5" thickBot="1" x14ac:dyDescent="0.3">
      <c r="A28" s="74">
        <v>625</v>
      </c>
      <c r="B28" s="75" t="s">
        <v>43</v>
      </c>
      <c r="C28" s="76">
        <v>117</v>
      </c>
      <c r="D28" s="26">
        <f t="shared" si="4"/>
        <v>39</v>
      </c>
      <c r="E28" s="27">
        <f t="shared" si="5"/>
        <v>39</v>
      </c>
      <c r="F28" s="29">
        <f t="shared" si="6"/>
        <v>39</v>
      </c>
      <c r="G28" s="30">
        <v>5</v>
      </c>
      <c r="H28" s="31">
        <v>3</v>
      </c>
      <c r="I28" s="32">
        <v>4</v>
      </c>
      <c r="J28" s="77"/>
      <c r="K28" s="33">
        <v>14</v>
      </c>
      <c r="L28" s="34">
        <v>7</v>
      </c>
      <c r="M28" s="34">
        <v>10</v>
      </c>
      <c r="N28" s="62"/>
      <c r="O28" s="34">
        <v>10</v>
      </c>
      <c r="P28" s="34">
        <v>3</v>
      </c>
      <c r="Q28" s="34">
        <v>5</v>
      </c>
      <c r="R28" s="62"/>
      <c r="S28" s="37">
        <v>0</v>
      </c>
      <c r="T28" s="34">
        <v>5</v>
      </c>
      <c r="U28" s="34">
        <v>0</v>
      </c>
      <c r="V28" s="62"/>
      <c r="W28" s="38">
        <v>0</v>
      </c>
      <c r="X28" s="31">
        <v>5</v>
      </c>
      <c r="Y28" s="31">
        <v>0</v>
      </c>
      <c r="Z28" s="78"/>
      <c r="AA28" s="37">
        <v>0</v>
      </c>
      <c r="AB28" s="34">
        <v>0</v>
      </c>
      <c r="AC28" s="34">
        <v>0</v>
      </c>
      <c r="AD28" s="64"/>
      <c r="AE28" s="79"/>
      <c r="AF28" s="64"/>
      <c r="AG28" s="43">
        <f t="shared" si="0"/>
        <v>29</v>
      </c>
      <c r="AH28" s="44">
        <f t="shared" si="0"/>
        <v>23</v>
      </c>
      <c r="AI28" s="44">
        <f t="shared" si="0"/>
        <v>19</v>
      </c>
      <c r="AJ28" s="45">
        <f t="shared" si="0"/>
        <v>0</v>
      </c>
      <c r="AK28" s="80">
        <f t="shared" si="1"/>
        <v>71</v>
      </c>
      <c r="AL28" s="66">
        <v>1</v>
      </c>
      <c r="AM28" s="48">
        <f t="shared" si="7"/>
        <v>29</v>
      </c>
      <c r="AN28" s="48">
        <f t="shared" si="2"/>
        <v>23</v>
      </c>
      <c r="AO28" s="49">
        <f t="shared" si="8"/>
        <v>19</v>
      </c>
      <c r="AP28" s="49">
        <f t="shared" si="3"/>
        <v>0</v>
      </c>
      <c r="AQ28" s="50">
        <f t="shared" si="9"/>
        <v>4260</v>
      </c>
      <c r="AR28" s="81"/>
      <c r="AS28" s="82"/>
      <c r="AT28" s="83">
        <f>AK28*AS28</f>
        <v>0</v>
      </c>
      <c r="AU28" s="84">
        <f>AK28*AL28</f>
        <v>71</v>
      </c>
      <c r="AV28" s="85">
        <v>0</v>
      </c>
      <c r="AW28" s="86"/>
      <c r="AX28" s="86"/>
      <c r="AY28" s="82"/>
      <c r="AZ28" s="87"/>
    </row>
    <row r="29" spans="1:52" ht="16.5" thickBot="1" x14ac:dyDescent="0.3">
      <c r="A29" s="74">
        <v>625</v>
      </c>
      <c r="B29" s="75" t="s">
        <v>44</v>
      </c>
      <c r="C29" s="76"/>
      <c r="D29" s="26">
        <f t="shared" si="4"/>
        <v>0</v>
      </c>
      <c r="E29" s="27">
        <f t="shared" si="5"/>
        <v>0</v>
      </c>
      <c r="F29" s="29">
        <f t="shared" si="6"/>
        <v>0</v>
      </c>
      <c r="G29" s="30">
        <v>0</v>
      </c>
      <c r="H29" s="31">
        <v>0</v>
      </c>
      <c r="I29" s="32">
        <v>0</v>
      </c>
      <c r="J29" s="77"/>
      <c r="K29" s="33">
        <v>0</v>
      </c>
      <c r="L29" s="34">
        <v>0</v>
      </c>
      <c r="M29" s="34">
        <v>0</v>
      </c>
      <c r="N29" s="62"/>
      <c r="O29" s="34">
        <v>0</v>
      </c>
      <c r="P29" s="34">
        <v>0</v>
      </c>
      <c r="Q29" s="34">
        <v>0</v>
      </c>
      <c r="R29" s="62"/>
      <c r="S29" s="37">
        <v>0</v>
      </c>
      <c r="T29" s="34">
        <v>0</v>
      </c>
      <c r="U29" s="34">
        <v>0</v>
      </c>
      <c r="V29" s="62"/>
      <c r="W29" s="38">
        <v>0</v>
      </c>
      <c r="X29" s="31">
        <v>0</v>
      </c>
      <c r="Y29" s="31">
        <v>0</v>
      </c>
      <c r="Z29" s="78"/>
      <c r="AA29" s="37">
        <v>0</v>
      </c>
      <c r="AB29" s="34">
        <v>0</v>
      </c>
      <c r="AC29" s="34">
        <v>0</v>
      </c>
      <c r="AD29" s="64"/>
      <c r="AE29" s="79"/>
      <c r="AF29" s="64"/>
      <c r="AG29" s="43">
        <f t="shared" si="0"/>
        <v>0</v>
      </c>
      <c r="AH29" s="44">
        <f t="shared" si="0"/>
        <v>0</v>
      </c>
      <c r="AI29" s="44">
        <f t="shared" si="0"/>
        <v>0</v>
      </c>
      <c r="AJ29" s="45">
        <f t="shared" si="0"/>
        <v>0</v>
      </c>
      <c r="AK29" s="80">
        <f t="shared" si="1"/>
        <v>0</v>
      </c>
      <c r="AL29" s="47">
        <v>1</v>
      </c>
      <c r="AM29" s="48">
        <f t="shared" si="7"/>
        <v>0</v>
      </c>
      <c r="AN29" s="48">
        <f t="shared" si="2"/>
        <v>0</v>
      </c>
      <c r="AO29" s="49">
        <f t="shared" si="8"/>
        <v>0</v>
      </c>
      <c r="AP29" s="49">
        <f t="shared" si="3"/>
        <v>0</v>
      </c>
      <c r="AQ29" s="50">
        <f t="shared" si="9"/>
        <v>0</v>
      </c>
      <c r="AR29" s="81"/>
      <c r="AS29" s="82"/>
      <c r="AT29" s="83"/>
      <c r="AU29" s="84"/>
      <c r="AV29" s="85"/>
      <c r="AW29" s="86"/>
      <c r="AX29" s="86"/>
      <c r="AY29" s="82"/>
      <c r="AZ29" s="87"/>
    </row>
    <row r="30" spans="1:52" ht="16.5" thickBot="1" x14ac:dyDescent="0.3">
      <c r="A30" s="74">
        <v>625</v>
      </c>
      <c r="B30" s="75" t="s">
        <v>40</v>
      </c>
      <c r="C30" s="76"/>
      <c r="D30" s="26">
        <f t="shared" si="4"/>
        <v>0</v>
      </c>
      <c r="E30" s="27">
        <f t="shared" si="5"/>
        <v>0</v>
      </c>
      <c r="F30" s="29">
        <f t="shared" si="6"/>
        <v>0</v>
      </c>
      <c r="G30" s="30">
        <v>0</v>
      </c>
      <c r="H30" s="31">
        <v>0</v>
      </c>
      <c r="I30" s="32">
        <v>0</v>
      </c>
      <c r="J30" s="77"/>
      <c r="K30" s="33">
        <v>0</v>
      </c>
      <c r="L30" s="34">
        <v>0</v>
      </c>
      <c r="M30" s="34">
        <v>0</v>
      </c>
      <c r="N30" s="62"/>
      <c r="O30" s="34">
        <v>0</v>
      </c>
      <c r="P30" s="34">
        <v>0</v>
      </c>
      <c r="Q30" s="34">
        <v>0</v>
      </c>
      <c r="R30" s="62"/>
      <c r="S30" s="37">
        <v>0</v>
      </c>
      <c r="T30" s="34">
        <v>0</v>
      </c>
      <c r="U30" s="34">
        <v>0</v>
      </c>
      <c r="V30" s="62"/>
      <c r="W30" s="38">
        <v>0</v>
      </c>
      <c r="X30" s="31">
        <v>0</v>
      </c>
      <c r="Y30" s="31">
        <v>0</v>
      </c>
      <c r="Z30" s="78"/>
      <c r="AA30" s="37">
        <v>0</v>
      </c>
      <c r="AB30" s="34">
        <v>0</v>
      </c>
      <c r="AC30" s="34">
        <v>0</v>
      </c>
      <c r="AD30" s="64"/>
      <c r="AE30" s="79"/>
      <c r="AF30" s="64"/>
      <c r="AG30" s="43">
        <f t="shared" si="0"/>
        <v>0</v>
      </c>
      <c r="AH30" s="44">
        <f t="shared" si="0"/>
        <v>0</v>
      </c>
      <c r="AI30" s="44">
        <f t="shared" si="0"/>
        <v>0</v>
      </c>
      <c r="AJ30" s="45">
        <f t="shared" si="0"/>
        <v>0</v>
      </c>
      <c r="AK30" s="80">
        <f t="shared" si="1"/>
        <v>0</v>
      </c>
      <c r="AL30" s="47">
        <v>1</v>
      </c>
      <c r="AM30" s="48">
        <f t="shared" si="7"/>
        <v>0</v>
      </c>
      <c r="AN30" s="48">
        <f t="shared" si="2"/>
        <v>0</v>
      </c>
      <c r="AO30" s="49">
        <f t="shared" si="8"/>
        <v>0</v>
      </c>
      <c r="AP30" s="49">
        <f t="shared" si="3"/>
        <v>0</v>
      </c>
      <c r="AQ30" s="50">
        <f t="shared" si="9"/>
        <v>0</v>
      </c>
      <c r="AR30" s="81">
        <v>50.64</v>
      </c>
      <c r="AS30" s="82">
        <v>9.36</v>
      </c>
      <c r="AT30" s="83">
        <f t="shared" ref="AT30:AT48" si="13">AK30*AS30</f>
        <v>0</v>
      </c>
      <c r="AU30" s="84">
        <f t="shared" ref="AU30:AU53" si="14">AK30*AL30</f>
        <v>0</v>
      </c>
      <c r="AV30" s="85">
        <v>0</v>
      </c>
      <c r="AW30" s="86"/>
      <c r="AX30" s="86"/>
      <c r="AY30" s="82"/>
      <c r="AZ30" s="87">
        <f t="shared" ref="AZ30:AZ42" si="15">AT30-AU30-AW30-AX30-AY30</f>
        <v>0</v>
      </c>
    </row>
    <row r="31" spans="1:52" ht="16.5" thickBot="1" x14ac:dyDescent="0.3">
      <c r="A31" s="58">
        <v>400</v>
      </c>
      <c r="B31" s="59" t="s">
        <v>25</v>
      </c>
      <c r="C31" s="76"/>
      <c r="D31" s="26">
        <f t="shared" si="4"/>
        <v>0</v>
      </c>
      <c r="E31" s="27">
        <f t="shared" si="5"/>
        <v>0</v>
      </c>
      <c r="F31" s="29">
        <f t="shared" si="6"/>
        <v>0</v>
      </c>
      <c r="G31" s="30">
        <v>0</v>
      </c>
      <c r="H31" s="31">
        <v>0</v>
      </c>
      <c r="I31" s="32">
        <v>0</v>
      </c>
      <c r="J31" s="77"/>
      <c r="K31" s="33">
        <v>0</v>
      </c>
      <c r="L31" s="34">
        <v>0</v>
      </c>
      <c r="M31" s="34">
        <v>0</v>
      </c>
      <c r="N31" s="62"/>
      <c r="O31" s="34">
        <v>0</v>
      </c>
      <c r="P31" s="34">
        <v>0</v>
      </c>
      <c r="Q31" s="34">
        <v>0</v>
      </c>
      <c r="R31" s="62"/>
      <c r="S31" s="37">
        <v>0</v>
      </c>
      <c r="T31" s="34">
        <v>0</v>
      </c>
      <c r="U31" s="34">
        <v>0</v>
      </c>
      <c r="V31" s="62"/>
      <c r="W31" s="38">
        <v>0</v>
      </c>
      <c r="X31" s="31">
        <v>0</v>
      </c>
      <c r="Y31" s="31">
        <v>0</v>
      </c>
      <c r="Z31" s="78"/>
      <c r="AA31" s="37">
        <v>0</v>
      </c>
      <c r="AB31" s="34">
        <v>0</v>
      </c>
      <c r="AC31" s="34">
        <v>0</v>
      </c>
      <c r="AD31" s="64"/>
      <c r="AE31" s="79"/>
      <c r="AF31" s="64"/>
      <c r="AG31" s="43">
        <f t="shared" si="0"/>
        <v>0</v>
      </c>
      <c r="AH31" s="44">
        <f t="shared" si="0"/>
        <v>0</v>
      </c>
      <c r="AI31" s="44">
        <f t="shared" si="0"/>
        <v>0</v>
      </c>
      <c r="AJ31" s="45">
        <f t="shared" si="0"/>
        <v>0</v>
      </c>
      <c r="AK31" s="80">
        <f t="shared" si="1"/>
        <v>0</v>
      </c>
      <c r="AL31" s="66">
        <v>1.3</v>
      </c>
      <c r="AM31" s="48">
        <f t="shared" si="7"/>
        <v>0</v>
      </c>
      <c r="AN31" s="48">
        <f t="shared" si="2"/>
        <v>0</v>
      </c>
      <c r="AO31" s="49">
        <f t="shared" si="8"/>
        <v>0</v>
      </c>
      <c r="AP31" s="49">
        <f t="shared" si="3"/>
        <v>0</v>
      </c>
      <c r="AQ31" s="50">
        <f t="shared" si="9"/>
        <v>0</v>
      </c>
      <c r="AR31" s="81">
        <v>34.479999999999997</v>
      </c>
      <c r="AS31" s="82">
        <v>5.5200000000000031</v>
      </c>
      <c r="AT31" s="83">
        <f t="shared" si="13"/>
        <v>0</v>
      </c>
      <c r="AU31" s="84">
        <f t="shared" si="14"/>
        <v>0</v>
      </c>
      <c r="AV31" s="85">
        <v>0</v>
      </c>
      <c r="AW31" s="86"/>
      <c r="AX31" s="86"/>
      <c r="AY31" s="82"/>
      <c r="AZ31" s="87">
        <f t="shared" si="15"/>
        <v>0</v>
      </c>
    </row>
    <row r="32" spans="1:52" ht="16.5" thickBot="1" x14ac:dyDescent="0.3">
      <c r="A32" s="74">
        <v>400</v>
      </c>
      <c r="B32" s="75" t="s">
        <v>28</v>
      </c>
      <c r="C32" s="76"/>
      <c r="D32" s="26">
        <f t="shared" si="4"/>
        <v>0</v>
      </c>
      <c r="E32" s="27">
        <f t="shared" si="5"/>
        <v>0</v>
      </c>
      <c r="F32" s="29">
        <f t="shared" si="6"/>
        <v>0</v>
      </c>
      <c r="G32" s="30">
        <v>0</v>
      </c>
      <c r="H32" s="31">
        <v>0</v>
      </c>
      <c r="I32" s="32">
        <v>0</v>
      </c>
      <c r="J32" s="77"/>
      <c r="K32" s="33">
        <v>0</v>
      </c>
      <c r="L32" s="34">
        <v>0</v>
      </c>
      <c r="M32" s="34">
        <v>0</v>
      </c>
      <c r="N32" s="62"/>
      <c r="O32" s="34">
        <v>0</v>
      </c>
      <c r="P32" s="34">
        <v>0</v>
      </c>
      <c r="Q32" s="34">
        <v>0</v>
      </c>
      <c r="R32" s="62"/>
      <c r="S32" s="37">
        <v>0</v>
      </c>
      <c r="T32" s="34">
        <v>0</v>
      </c>
      <c r="U32" s="34">
        <v>0</v>
      </c>
      <c r="V32" s="62"/>
      <c r="W32" s="38">
        <v>0</v>
      </c>
      <c r="X32" s="31">
        <v>0</v>
      </c>
      <c r="Y32" s="31">
        <v>0</v>
      </c>
      <c r="Z32" s="78"/>
      <c r="AA32" s="37">
        <v>0</v>
      </c>
      <c r="AB32" s="34">
        <v>0</v>
      </c>
      <c r="AC32" s="34">
        <v>0</v>
      </c>
      <c r="AD32" s="64"/>
      <c r="AE32" s="79"/>
      <c r="AF32" s="64"/>
      <c r="AG32" s="43">
        <f t="shared" si="0"/>
        <v>0</v>
      </c>
      <c r="AH32" s="44">
        <f t="shared" si="0"/>
        <v>0</v>
      </c>
      <c r="AI32" s="44">
        <f t="shared" si="0"/>
        <v>0</v>
      </c>
      <c r="AJ32" s="45">
        <f t="shared" si="0"/>
        <v>0</v>
      </c>
      <c r="AK32" s="80">
        <f t="shared" si="1"/>
        <v>0</v>
      </c>
      <c r="AL32" s="66">
        <v>0.65</v>
      </c>
      <c r="AM32" s="48">
        <f t="shared" si="7"/>
        <v>0</v>
      </c>
      <c r="AN32" s="48">
        <f t="shared" si="2"/>
        <v>0</v>
      </c>
      <c r="AO32" s="49">
        <f t="shared" si="8"/>
        <v>0</v>
      </c>
      <c r="AP32" s="49">
        <f t="shared" si="3"/>
        <v>0</v>
      </c>
      <c r="AQ32" s="50">
        <f t="shared" si="9"/>
        <v>0</v>
      </c>
      <c r="AR32" s="81">
        <v>34.479999999999997</v>
      </c>
      <c r="AS32" s="82">
        <v>5.5200000000000031</v>
      </c>
      <c r="AT32" s="83">
        <f t="shared" si="13"/>
        <v>0</v>
      </c>
      <c r="AU32" s="84">
        <f t="shared" si="14"/>
        <v>0</v>
      </c>
      <c r="AV32" s="85">
        <v>0</v>
      </c>
      <c r="AW32" s="86"/>
      <c r="AX32" s="86"/>
      <c r="AY32" s="82"/>
      <c r="AZ32" s="87">
        <f t="shared" si="15"/>
        <v>0</v>
      </c>
    </row>
    <row r="33" spans="1:52" ht="16.5" thickBot="1" x14ac:dyDescent="0.3">
      <c r="A33" s="74">
        <v>400</v>
      </c>
      <c r="B33" s="75" t="s">
        <v>30</v>
      </c>
      <c r="C33" s="76"/>
      <c r="D33" s="26">
        <f t="shared" si="4"/>
        <v>0</v>
      </c>
      <c r="E33" s="27">
        <f t="shared" si="5"/>
        <v>0</v>
      </c>
      <c r="F33" s="29">
        <f t="shared" si="6"/>
        <v>0</v>
      </c>
      <c r="G33" s="30">
        <v>0</v>
      </c>
      <c r="H33" s="31">
        <v>0</v>
      </c>
      <c r="I33" s="32">
        <v>0</v>
      </c>
      <c r="J33" s="77"/>
      <c r="K33" s="33">
        <v>0</v>
      </c>
      <c r="L33" s="34">
        <v>0</v>
      </c>
      <c r="M33" s="34">
        <v>0</v>
      </c>
      <c r="N33" s="62"/>
      <c r="O33" s="34">
        <v>0</v>
      </c>
      <c r="P33" s="34">
        <v>0</v>
      </c>
      <c r="Q33" s="34">
        <v>0</v>
      </c>
      <c r="R33" s="62"/>
      <c r="S33" s="37">
        <v>0</v>
      </c>
      <c r="T33" s="34">
        <v>0</v>
      </c>
      <c r="U33" s="34">
        <v>0</v>
      </c>
      <c r="V33" s="62"/>
      <c r="W33" s="38">
        <v>0</v>
      </c>
      <c r="X33" s="31">
        <v>0</v>
      </c>
      <c r="Y33" s="31">
        <v>0</v>
      </c>
      <c r="Z33" s="78"/>
      <c r="AA33" s="37">
        <v>0</v>
      </c>
      <c r="AB33" s="34">
        <v>0</v>
      </c>
      <c r="AC33" s="34">
        <v>0</v>
      </c>
      <c r="AD33" s="64"/>
      <c r="AE33" s="79"/>
      <c r="AF33" s="64"/>
      <c r="AG33" s="43">
        <f t="shared" si="0"/>
        <v>0</v>
      </c>
      <c r="AH33" s="44">
        <f t="shared" si="0"/>
        <v>0</v>
      </c>
      <c r="AI33" s="44">
        <f t="shared" si="0"/>
        <v>0</v>
      </c>
      <c r="AJ33" s="45">
        <f t="shared" si="0"/>
        <v>0</v>
      </c>
      <c r="AK33" s="80">
        <f t="shared" si="1"/>
        <v>0</v>
      </c>
      <c r="AL33" s="66">
        <v>0.65</v>
      </c>
      <c r="AM33" s="48">
        <f t="shared" si="7"/>
        <v>0</v>
      </c>
      <c r="AN33" s="48">
        <f t="shared" si="2"/>
        <v>0</v>
      </c>
      <c r="AO33" s="49">
        <f t="shared" si="8"/>
        <v>0</v>
      </c>
      <c r="AP33" s="49">
        <f t="shared" si="3"/>
        <v>0</v>
      </c>
      <c r="AQ33" s="50">
        <f t="shared" si="9"/>
        <v>0</v>
      </c>
      <c r="AR33" s="81">
        <v>34.479999999999997</v>
      </c>
      <c r="AS33" s="82">
        <v>5.5200000000000031</v>
      </c>
      <c r="AT33" s="83">
        <f t="shared" si="13"/>
        <v>0</v>
      </c>
      <c r="AU33" s="84">
        <f t="shared" si="14"/>
        <v>0</v>
      </c>
      <c r="AV33" s="85">
        <v>0</v>
      </c>
      <c r="AW33" s="86"/>
      <c r="AX33" s="86"/>
      <c r="AY33" s="82"/>
      <c r="AZ33" s="87">
        <f t="shared" si="15"/>
        <v>0</v>
      </c>
    </row>
    <row r="34" spans="1:52" ht="16.5" thickBot="1" x14ac:dyDescent="0.3">
      <c r="A34" s="74">
        <v>360</v>
      </c>
      <c r="B34" s="75" t="s">
        <v>45</v>
      </c>
      <c r="C34" s="76"/>
      <c r="D34" s="26">
        <f t="shared" si="4"/>
        <v>0</v>
      </c>
      <c r="E34" s="27">
        <f t="shared" si="5"/>
        <v>0</v>
      </c>
      <c r="F34" s="29">
        <f t="shared" si="6"/>
        <v>0</v>
      </c>
      <c r="G34" s="30">
        <v>0</v>
      </c>
      <c r="H34" s="31">
        <v>0</v>
      </c>
      <c r="I34" s="32">
        <v>0</v>
      </c>
      <c r="J34" s="77"/>
      <c r="K34" s="33">
        <v>0</v>
      </c>
      <c r="L34" s="34">
        <v>0</v>
      </c>
      <c r="M34" s="34">
        <v>0</v>
      </c>
      <c r="N34" s="62"/>
      <c r="O34" s="34">
        <v>0</v>
      </c>
      <c r="P34" s="34">
        <v>0</v>
      </c>
      <c r="Q34" s="34">
        <v>0</v>
      </c>
      <c r="R34" s="62"/>
      <c r="S34" s="37">
        <v>0</v>
      </c>
      <c r="T34" s="34">
        <v>0</v>
      </c>
      <c r="U34" s="34">
        <v>0</v>
      </c>
      <c r="V34" s="62"/>
      <c r="W34" s="38">
        <v>0</v>
      </c>
      <c r="X34" s="31">
        <v>0</v>
      </c>
      <c r="Y34" s="31">
        <v>0</v>
      </c>
      <c r="Z34" s="78"/>
      <c r="AA34" s="37">
        <v>0</v>
      </c>
      <c r="AB34" s="34">
        <v>0</v>
      </c>
      <c r="AC34" s="34">
        <v>0</v>
      </c>
      <c r="AD34" s="64"/>
      <c r="AE34" s="79"/>
      <c r="AF34" s="64"/>
      <c r="AG34" s="43">
        <f t="shared" si="0"/>
        <v>0</v>
      </c>
      <c r="AH34" s="44">
        <f t="shared" si="0"/>
        <v>0</v>
      </c>
      <c r="AI34" s="44">
        <f t="shared" si="0"/>
        <v>0</v>
      </c>
      <c r="AJ34" s="45">
        <f t="shared" si="0"/>
        <v>0</v>
      </c>
      <c r="AK34" s="80">
        <f t="shared" si="1"/>
        <v>0</v>
      </c>
      <c r="AL34" s="66">
        <v>0.65</v>
      </c>
      <c r="AM34" s="48">
        <f t="shared" si="7"/>
        <v>0</v>
      </c>
      <c r="AN34" s="48">
        <f t="shared" si="2"/>
        <v>0</v>
      </c>
      <c r="AO34" s="49">
        <f t="shared" si="8"/>
        <v>0</v>
      </c>
      <c r="AP34" s="49">
        <f t="shared" si="3"/>
        <v>0</v>
      </c>
      <c r="AQ34" s="50">
        <f t="shared" si="9"/>
        <v>0</v>
      </c>
      <c r="AR34" s="81">
        <v>34.479999999999997</v>
      </c>
      <c r="AS34" s="82">
        <v>5.5200000000000031</v>
      </c>
      <c r="AT34" s="83">
        <f t="shared" si="13"/>
        <v>0</v>
      </c>
      <c r="AU34" s="84">
        <f t="shared" si="14"/>
        <v>0</v>
      </c>
      <c r="AV34" s="85">
        <v>0</v>
      </c>
      <c r="AW34" s="86"/>
      <c r="AX34" s="86"/>
      <c r="AY34" s="82"/>
      <c r="AZ34" s="87">
        <f t="shared" si="15"/>
        <v>0</v>
      </c>
    </row>
    <row r="35" spans="1:52" ht="16.5" thickBot="1" x14ac:dyDescent="0.3">
      <c r="A35" s="74">
        <v>360</v>
      </c>
      <c r="B35" s="75" t="s">
        <v>46</v>
      </c>
      <c r="C35" s="76"/>
      <c r="D35" s="26">
        <f t="shared" si="4"/>
        <v>0</v>
      </c>
      <c r="E35" s="27">
        <f t="shared" si="5"/>
        <v>0</v>
      </c>
      <c r="F35" s="29">
        <f t="shared" si="6"/>
        <v>0</v>
      </c>
      <c r="G35" s="30">
        <v>5</v>
      </c>
      <c r="H35" s="31">
        <v>0</v>
      </c>
      <c r="I35" s="32">
        <v>3</v>
      </c>
      <c r="J35" s="77"/>
      <c r="K35" s="33">
        <v>4</v>
      </c>
      <c r="L35" s="34">
        <v>0</v>
      </c>
      <c r="M35" s="34">
        <v>5</v>
      </c>
      <c r="N35" s="62"/>
      <c r="O35" s="34">
        <v>5</v>
      </c>
      <c r="P35" s="34">
        <v>0</v>
      </c>
      <c r="Q35" s="34">
        <v>5</v>
      </c>
      <c r="R35" s="62"/>
      <c r="S35" s="37">
        <v>6</v>
      </c>
      <c r="T35" s="34">
        <v>0</v>
      </c>
      <c r="U35" s="34">
        <v>5</v>
      </c>
      <c r="V35" s="62"/>
      <c r="W35" s="38">
        <v>3</v>
      </c>
      <c r="X35" s="31">
        <v>0</v>
      </c>
      <c r="Y35" s="31">
        <v>10</v>
      </c>
      <c r="Z35" s="78"/>
      <c r="AA35" s="37">
        <v>1</v>
      </c>
      <c r="AB35" s="34">
        <v>1</v>
      </c>
      <c r="AC35" s="34">
        <v>2</v>
      </c>
      <c r="AD35" s="64"/>
      <c r="AE35" s="79"/>
      <c r="AF35" s="64"/>
      <c r="AG35" s="43">
        <f t="shared" si="0"/>
        <v>24</v>
      </c>
      <c r="AH35" s="44">
        <f t="shared" si="0"/>
        <v>1</v>
      </c>
      <c r="AI35" s="44">
        <f t="shared" si="0"/>
        <v>30</v>
      </c>
      <c r="AJ35" s="45">
        <f t="shared" si="0"/>
        <v>0</v>
      </c>
      <c r="AK35" s="80">
        <f t="shared" si="1"/>
        <v>55</v>
      </c>
      <c r="AL35" s="47">
        <v>0.65</v>
      </c>
      <c r="AM35" s="48">
        <f t="shared" si="7"/>
        <v>15.600000000000001</v>
      </c>
      <c r="AN35" s="48">
        <f t="shared" si="2"/>
        <v>0.65</v>
      </c>
      <c r="AO35" s="49">
        <f t="shared" si="8"/>
        <v>19.5</v>
      </c>
      <c r="AP35" s="49">
        <f t="shared" si="3"/>
        <v>0</v>
      </c>
      <c r="AQ35" s="50">
        <f t="shared" si="9"/>
        <v>3300</v>
      </c>
      <c r="AR35" s="81">
        <v>34.479999999999997</v>
      </c>
      <c r="AS35" s="82">
        <v>5.5200000000000031</v>
      </c>
      <c r="AT35" s="83">
        <f t="shared" si="13"/>
        <v>303.60000000000019</v>
      </c>
      <c r="AU35" s="84">
        <f t="shared" si="14"/>
        <v>35.75</v>
      </c>
      <c r="AV35" s="85">
        <v>0</v>
      </c>
      <c r="AW35" s="86"/>
      <c r="AX35" s="86"/>
      <c r="AY35" s="82"/>
      <c r="AZ35" s="87">
        <f t="shared" si="15"/>
        <v>267.85000000000019</v>
      </c>
    </row>
    <row r="36" spans="1:52" ht="16.5" thickBot="1" x14ac:dyDescent="0.3">
      <c r="A36" s="74">
        <v>400</v>
      </c>
      <c r="B36" s="75" t="s">
        <v>47</v>
      </c>
      <c r="C36" s="76"/>
      <c r="D36" s="26">
        <f t="shared" si="4"/>
        <v>0</v>
      </c>
      <c r="E36" s="27">
        <f t="shared" si="5"/>
        <v>0</v>
      </c>
      <c r="F36" s="29">
        <f t="shared" si="6"/>
        <v>0</v>
      </c>
      <c r="G36" s="30">
        <v>0</v>
      </c>
      <c r="H36" s="31">
        <v>0</v>
      </c>
      <c r="I36" s="32">
        <v>0</v>
      </c>
      <c r="J36" s="77"/>
      <c r="K36" s="33">
        <v>0</v>
      </c>
      <c r="L36" s="34">
        <v>0</v>
      </c>
      <c r="M36" s="34">
        <v>0</v>
      </c>
      <c r="N36" s="62"/>
      <c r="O36" s="34">
        <v>0</v>
      </c>
      <c r="P36" s="34">
        <v>0</v>
      </c>
      <c r="Q36" s="34">
        <v>0</v>
      </c>
      <c r="R36" s="62"/>
      <c r="S36" s="37">
        <v>0</v>
      </c>
      <c r="T36" s="34">
        <v>0</v>
      </c>
      <c r="U36" s="34">
        <v>0</v>
      </c>
      <c r="V36" s="62"/>
      <c r="W36" s="38">
        <v>0</v>
      </c>
      <c r="X36" s="31">
        <v>0</v>
      </c>
      <c r="Y36" s="31">
        <v>0</v>
      </c>
      <c r="Z36" s="78"/>
      <c r="AA36" s="37">
        <v>0</v>
      </c>
      <c r="AB36" s="34">
        <v>0</v>
      </c>
      <c r="AC36" s="34">
        <v>0</v>
      </c>
      <c r="AD36" s="64"/>
      <c r="AE36" s="79"/>
      <c r="AF36" s="64"/>
      <c r="AG36" s="43">
        <f t="shared" ref="AG36:AJ99" si="16">G36+K36+O36+S36+W36+AA36</f>
        <v>0</v>
      </c>
      <c r="AH36" s="44">
        <f t="shared" si="16"/>
        <v>0</v>
      </c>
      <c r="AI36" s="44">
        <f t="shared" si="16"/>
        <v>0</v>
      </c>
      <c r="AJ36" s="45">
        <f t="shared" si="16"/>
        <v>0</v>
      </c>
      <c r="AK36" s="80">
        <f t="shared" si="1"/>
        <v>0</v>
      </c>
      <c r="AL36" s="47">
        <v>0.75</v>
      </c>
      <c r="AM36" s="48">
        <f t="shared" si="7"/>
        <v>0</v>
      </c>
      <c r="AN36" s="48">
        <f t="shared" si="2"/>
        <v>0</v>
      </c>
      <c r="AO36" s="49">
        <f t="shared" si="8"/>
        <v>0</v>
      </c>
      <c r="AP36" s="49">
        <f t="shared" si="3"/>
        <v>0</v>
      </c>
      <c r="AQ36" s="50">
        <f t="shared" si="9"/>
        <v>0</v>
      </c>
      <c r="AR36" s="81">
        <v>34.479999999999997</v>
      </c>
      <c r="AS36" s="82">
        <v>5.5200000000000031</v>
      </c>
      <c r="AT36" s="83">
        <f t="shared" si="13"/>
        <v>0</v>
      </c>
      <c r="AU36" s="84">
        <f t="shared" si="14"/>
        <v>0</v>
      </c>
      <c r="AV36" s="85">
        <v>0</v>
      </c>
      <c r="AW36" s="86"/>
      <c r="AX36" s="86"/>
      <c r="AY36" s="82"/>
      <c r="AZ36" s="87">
        <f t="shared" si="15"/>
        <v>0</v>
      </c>
    </row>
    <row r="37" spans="1:52" ht="16.5" thickBot="1" x14ac:dyDescent="0.3">
      <c r="A37" s="74">
        <v>400</v>
      </c>
      <c r="B37" s="75" t="s">
        <v>34</v>
      </c>
      <c r="C37" s="76">
        <v>516</v>
      </c>
      <c r="D37" s="26">
        <f t="shared" si="4"/>
        <v>172</v>
      </c>
      <c r="E37" s="27">
        <f t="shared" si="5"/>
        <v>172</v>
      </c>
      <c r="F37" s="29">
        <f t="shared" si="6"/>
        <v>172</v>
      </c>
      <c r="G37" s="30">
        <v>0</v>
      </c>
      <c r="H37" s="31">
        <v>0</v>
      </c>
      <c r="I37" s="32">
        <v>0</v>
      </c>
      <c r="J37" s="77"/>
      <c r="K37" s="33">
        <v>0</v>
      </c>
      <c r="L37" s="34">
        <v>0</v>
      </c>
      <c r="M37" s="34">
        <v>0</v>
      </c>
      <c r="N37" s="62"/>
      <c r="O37" s="34">
        <v>0</v>
      </c>
      <c r="P37" s="34">
        <v>0</v>
      </c>
      <c r="Q37" s="34">
        <v>0</v>
      </c>
      <c r="R37" s="62"/>
      <c r="S37" s="37">
        <v>0</v>
      </c>
      <c r="T37" s="34">
        <v>0</v>
      </c>
      <c r="U37" s="34">
        <v>0</v>
      </c>
      <c r="V37" s="62"/>
      <c r="W37" s="38">
        <v>0</v>
      </c>
      <c r="X37" s="31">
        <v>0</v>
      </c>
      <c r="Y37" s="31">
        <v>0</v>
      </c>
      <c r="Z37" s="78"/>
      <c r="AA37" s="37">
        <v>0</v>
      </c>
      <c r="AB37" s="34">
        <v>0</v>
      </c>
      <c r="AC37" s="34">
        <v>0</v>
      </c>
      <c r="AD37" s="64"/>
      <c r="AE37" s="79"/>
      <c r="AF37" s="64"/>
      <c r="AG37" s="43">
        <f t="shared" si="16"/>
        <v>0</v>
      </c>
      <c r="AH37" s="44">
        <f t="shared" si="16"/>
        <v>0</v>
      </c>
      <c r="AI37" s="44">
        <f t="shared" si="16"/>
        <v>0</v>
      </c>
      <c r="AJ37" s="45">
        <f t="shared" si="16"/>
        <v>0</v>
      </c>
      <c r="AK37" s="80">
        <f t="shared" si="1"/>
        <v>0</v>
      </c>
      <c r="AL37" s="66">
        <v>0.65</v>
      </c>
      <c r="AM37" s="48">
        <f t="shared" si="7"/>
        <v>0</v>
      </c>
      <c r="AN37" s="48">
        <f t="shared" si="2"/>
        <v>0</v>
      </c>
      <c r="AO37" s="49">
        <f t="shared" si="8"/>
        <v>0</v>
      </c>
      <c r="AP37" s="49">
        <f t="shared" si="3"/>
        <v>0</v>
      </c>
      <c r="AQ37" s="50">
        <f t="shared" si="9"/>
        <v>0</v>
      </c>
      <c r="AR37" s="81">
        <v>34.44</v>
      </c>
      <c r="AS37" s="82">
        <v>5.5600000000000023</v>
      </c>
      <c r="AT37" s="83">
        <f t="shared" si="13"/>
        <v>0</v>
      </c>
      <c r="AU37" s="84">
        <f t="shared" si="14"/>
        <v>0</v>
      </c>
      <c r="AV37" s="85">
        <v>0</v>
      </c>
      <c r="AW37" s="86"/>
      <c r="AX37" s="86"/>
      <c r="AY37" s="82"/>
      <c r="AZ37" s="87">
        <f t="shared" si="15"/>
        <v>0</v>
      </c>
    </row>
    <row r="38" spans="1:52" ht="16.5" thickBot="1" x14ac:dyDescent="0.3">
      <c r="A38" s="74">
        <v>400</v>
      </c>
      <c r="B38" s="75" t="s">
        <v>27</v>
      </c>
      <c r="C38" s="76">
        <v>770</v>
      </c>
      <c r="D38" s="26">
        <f t="shared" si="4"/>
        <v>256.66666666666669</v>
      </c>
      <c r="E38" s="27">
        <f t="shared" si="5"/>
        <v>256.66666666666669</v>
      </c>
      <c r="F38" s="29">
        <f t="shared" si="6"/>
        <v>256.66666666666669</v>
      </c>
      <c r="G38" s="30">
        <v>0</v>
      </c>
      <c r="H38" s="31">
        <v>0</v>
      </c>
      <c r="I38" s="32">
        <v>0</v>
      </c>
      <c r="J38" s="77"/>
      <c r="K38" s="33">
        <v>0</v>
      </c>
      <c r="L38" s="34">
        <v>0</v>
      </c>
      <c r="M38" s="34">
        <v>0</v>
      </c>
      <c r="N38" s="62"/>
      <c r="O38" s="34">
        <v>0</v>
      </c>
      <c r="P38" s="34">
        <v>0</v>
      </c>
      <c r="Q38" s="34">
        <v>0</v>
      </c>
      <c r="R38" s="62"/>
      <c r="S38" s="37">
        <v>0</v>
      </c>
      <c r="T38" s="34">
        <v>0</v>
      </c>
      <c r="U38" s="34">
        <v>0</v>
      </c>
      <c r="V38" s="62"/>
      <c r="W38" s="38">
        <v>0</v>
      </c>
      <c r="X38" s="31">
        <v>0</v>
      </c>
      <c r="Y38" s="31">
        <v>0</v>
      </c>
      <c r="Z38" s="78"/>
      <c r="AA38" s="37">
        <v>0</v>
      </c>
      <c r="AB38" s="34">
        <v>0</v>
      </c>
      <c r="AC38" s="34">
        <v>0</v>
      </c>
      <c r="AD38" s="64"/>
      <c r="AE38" s="79"/>
      <c r="AF38" s="64"/>
      <c r="AG38" s="43">
        <f t="shared" si="16"/>
        <v>0</v>
      </c>
      <c r="AH38" s="44">
        <f t="shared" si="16"/>
        <v>0</v>
      </c>
      <c r="AI38" s="44">
        <f t="shared" si="16"/>
        <v>0</v>
      </c>
      <c r="AJ38" s="45">
        <f t="shared" si="16"/>
        <v>0</v>
      </c>
      <c r="AK38" s="80">
        <f t="shared" si="1"/>
        <v>0</v>
      </c>
      <c r="AL38" s="66">
        <v>0.65</v>
      </c>
      <c r="AM38" s="48">
        <f t="shared" si="7"/>
        <v>0</v>
      </c>
      <c r="AN38" s="48">
        <f t="shared" si="2"/>
        <v>0</v>
      </c>
      <c r="AO38" s="49">
        <f t="shared" si="8"/>
        <v>0</v>
      </c>
      <c r="AP38" s="49">
        <f t="shared" si="3"/>
        <v>0</v>
      </c>
      <c r="AQ38" s="50">
        <f t="shared" si="9"/>
        <v>0</v>
      </c>
      <c r="AR38" s="81">
        <v>34.479999999999997</v>
      </c>
      <c r="AS38" s="82">
        <v>5.5200000000000031</v>
      </c>
      <c r="AT38" s="83">
        <f t="shared" si="13"/>
        <v>0</v>
      </c>
      <c r="AU38" s="84">
        <f t="shared" si="14"/>
        <v>0</v>
      </c>
      <c r="AV38" s="85">
        <v>0</v>
      </c>
      <c r="AW38" s="86"/>
      <c r="AX38" s="86"/>
      <c r="AY38" s="82"/>
      <c r="AZ38" s="87">
        <f t="shared" si="15"/>
        <v>0</v>
      </c>
    </row>
    <row r="39" spans="1:52" ht="16.5" thickBot="1" x14ac:dyDescent="0.3">
      <c r="A39" s="74">
        <v>400</v>
      </c>
      <c r="B39" s="75" t="s">
        <v>40</v>
      </c>
      <c r="C39" s="76"/>
      <c r="D39" s="26">
        <f t="shared" si="4"/>
        <v>0</v>
      </c>
      <c r="E39" s="27">
        <f t="shared" si="5"/>
        <v>0</v>
      </c>
      <c r="F39" s="29">
        <f t="shared" si="6"/>
        <v>0</v>
      </c>
      <c r="G39" s="30">
        <v>0</v>
      </c>
      <c r="H39" s="31">
        <v>0</v>
      </c>
      <c r="I39" s="32">
        <v>0</v>
      </c>
      <c r="J39" s="77"/>
      <c r="K39" s="33">
        <v>0</v>
      </c>
      <c r="L39" s="34">
        <v>0</v>
      </c>
      <c r="M39" s="34">
        <v>0</v>
      </c>
      <c r="N39" s="62"/>
      <c r="O39" s="34">
        <v>0</v>
      </c>
      <c r="P39" s="34">
        <v>0</v>
      </c>
      <c r="Q39" s="34">
        <v>0</v>
      </c>
      <c r="R39" s="62"/>
      <c r="S39" s="37">
        <v>0</v>
      </c>
      <c r="T39" s="34">
        <v>0</v>
      </c>
      <c r="U39" s="34">
        <v>0</v>
      </c>
      <c r="V39" s="62"/>
      <c r="W39" s="38">
        <v>0</v>
      </c>
      <c r="X39" s="31">
        <v>0</v>
      </c>
      <c r="Y39" s="31">
        <v>0</v>
      </c>
      <c r="Z39" s="78"/>
      <c r="AA39" s="37">
        <v>0</v>
      </c>
      <c r="AB39" s="34">
        <v>0</v>
      </c>
      <c r="AC39" s="34">
        <v>0</v>
      </c>
      <c r="AD39" s="64"/>
      <c r="AE39" s="79"/>
      <c r="AF39" s="64"/>
      <c r="AG39" s="43">
        <f t="shared" si="16"/>
        <v>0</v>
      </c>
      <c r="AH39" s="44">
        <f t="shared" si="16"/>
        <v>0</v>
      </c>
      <c r="AI39" s="44">
        <f t="shared" si="16"/>
        <v>0</v>
      </c>
      <c r="AJ39" s="45">
        <f t="shared" si="16"/>
        <v>0</v>
      </c>
      <c r="AK39" s="80">
        <f t="shared" si="1"/>
        <v>0</v>
      </c>
      <c r="AL39" s="47">
        <v>0.75</v>
      </c>
      <c r="AM39" s="48">
        <f t="shared" si="7"/>
        <v>0</v>
      </c>
      <c r="AN39" s="48">
        <f t="shared" si="2"/>
        <v>0</v>
      </c>
      <c r="AO39" s="49">
        <f t="shared" si="8"/>
        <v>0</v>
      </c>
      <c r="AP39" s="49">
        <f t="shared" si="3"/>
        <v>0</v>
      </c>
      <c r="AQ39" s="50">
        <f t="shared" si="9"/>
        <v>0</v>
      </c>
      <c r="AR39" s="81">
        <v>34.520000000000003</v>
      </c>
      <c r="AS39" s="82">
        <v>5.4799999999999969</v>
      </c>
      <c r="AT39" s="83">
        <f t="shared" si="13"/>
        <v>0</v>
      </c>
      <c r="AU39" s="84">
        <f t="shared" si="14"/>
        <v>0</v>
      </c>
      <c r="AV39" s="85">
        <v>0</v>
      </c>
      <c r="AW39" s="86"/>
      <c r="AX39" s="86"/>
      <c r="AY39" s="82"/>
      <c r="AZ39" s="87">
        <f t="shared" si="15"/>
        <v>0</v>
      </c>
    </row>
    <row r="40" spans="1:52" ht="16.5" thickBot="1" x14ac:dyDescent="0.3">
      <c r="A40" s="74">
        <v>400</v>
      </c>
      <c r="B40" s="75" t="s">
        <v>48</v>
      </c>
      <c r="C40" s="76"/>
      <c r="D40" s="26">
        <f t="shared" si="4"/>
        <v>0</v>
      </c>
      <c r="E40" s="27">
        <f t="shared" si="5"/>
        <v>0</v>
      </c>
      <c r="F40" s="29">
        <f t="shared" si="6"/>
        <v>0</v>
      </c>
      <c r="G40" s="30">
        <v>0</v>
      </c>
      <c r="H40" s="31">
        <v>0</v>
      </c>
      <c r="I40" s="32">
        <v>0</v>
      </c>
      <c r="J40" s="77"/>
      <c r="K40" s="33">
        <v>0</v>
      </c>
      <c r="L40" s="34">
        <v>0</v>
      </c>
      <c r="M40" s="34">
        <v>0</v>
      </c>
      <c r="N40" s="62"/>
      <c r="O40" s="34">
        <v>0</v>
      </c>
      <c r="P40" s="34">
        <v>0</v>
      </c>
      <c r="Q40" s="34">
        <v>0</v>
      </c>
      <c r="R40" s="62"/>
      <c r="S40" s="37">
        <v>0</v>
      </c>
      <c r="T40" s="34">
        <v>0</v>
      </c>
      <c r="U40" s="34">
        <v>0</v>
      </c>
      <c r="V40" s="62"/>
      <c r="W40" s="38">
        <v>0</v>
      </c>
      <c r="X40" s="31">
        <v>0</v>
      </c>
      <c r="Y40" s="31">
        <v>0</v>
      </c>
      <c r="Z40" s="78"/>
      <c r="AA40" s="37">
        <v>0</v>
      </c>
      <c r="AB40" s="34">
        <v>0</v>
      </c>
      <c r="AC40" s="34">
        <v>0</v>
      </c>
      <c r="AD40" s="64"/>
      <c r="AE40" s="79"/>
      <c r="AF40" s="64"/>
      <c r="AG40" s="43">
        <f t="shared" si="16"/>
        <v>0</v>
      </c>
      <c r="AH40" s="44">
        <f t="shared" si="16"/>
        <v>0</v>
      </c>
      <c r="AI40" s="44">
        <f t="shared" si="16"/>
        <v>0</v>
      </c>
      <c r="AJ40" s="45">
        <f t="shared" si="16"/>
        <v>0</v>
      </c>
      <c r="AK40" s="80">
        <f t="shared" si="1"/>
        <v>0</v>
      </c>
      <c r="AL40" s="47">
        <v>0.75</v>
      </c>
      <c r="AM40" s="48">
        <f t="shared" si="7"/>
        <v>0</v>
      </c>
      <c r="AN40" s="48">
        <f t="shared" si="2"/>
        <v>0</v>
      </c>
      <c r="AO40" s="49">
        <f t="shared" si="8"/>
        <v>0</v>
      </c>
      <c r="AP40" s="49">
        <f t="shared" si="3"/>
        <v>0</v>
      </c>
      <c r="AQ40" s="50">
        <f t="shared" si="9"/>
        <v>0</v>
      </c>
      <c r="AR40" s="81">
        <v>34.520000000000003</v>
      </c>
      <c r="AS40" s="82">
        <v>5.4799999999999969</v>
      </c>
      <c r="AT40" s="83">
        <f t="shared" si="13"/>
        <v>0</v>
      </c>
      <c r="AU40" s="84">
        <f t="shared" si="14"/>
        <v>0</v>
      </c>
      <c r="AV40" s="85">
        <v>0</v>
      </c>
      <c r="AW40" s="86"/>
      <c r="AX40" s="86"/>
      <c r="AY40" s="82"/>
      <c r="AZ40" s="87">
        <f t="shared" si="15"/>
        <v>0</v>
      </c>
    </row>
    <row r="41" spans="1:52" ht="16.5" thickBot="1" x14ac:dyDescent="0.3">
      <c r="A41" s="74">
        <v>400</v>
      </c>
      <c r="B41" s="75" t="s">
        <v>49</v>
      </c>
      <c r="C41" s="76"/>
      <c r="D41" s="26">
        <f t="shared" si="4"/>
        <v>0</v>
      </c>
      <c r="E41" s="27">
        <f t="shared" si="5"/>
        <v>0</v>
      </c>
      <c r="F41" s="29">
        <f t="shared" si="6"/>
        <v>0</v>
      </c>
      <c r="G41" s="30">
        <v>0</v>
      </c>
      <c r="H41" s="31">
        <v>0</v>
      </c>
      <c r="I41" s="32">
        <v>0</v>
      </c>
      <c r="J41" s="77"/>
      <c r="K41" s="33">
        <v>0</v>
      </c>
      <c r="L41" s="34">
        <v>0</v>
      </c>
      <c r="M41" s="34">
        <v>0</v>
      </c>
      <c r="N41" s="62"/>
      <c r="O41" s="34">
        <v>0</v>
      </c>
      <c r="P41" s="34">
        <v>0</v>
      </c>
      <c r="Q41" s="34">
        <v>0</v>
      </c>
      <c r="R41" s="62"/>
      <c r="S41" s="37">
        <v>0</v>
      </c>
      <c r="T41" s="34">
        <v>0</v>
      </c>
      <c r="U41" s="34">
        <v>0</v>
      </c>
      <c r="V41" s="62"/>
      <c r="W41" s="38">
        <v>0</v>
      </c>
      <c r="X41" s="31">
        <v>0</v>
      </c>
      <c r="Y41" s="31">
        <v>0</v>
      </c>
      <c r="Z41" s="78"/>
      <c r="AA41" s="37">
        <v>0</v>
      </c>
      <c r="AB41" s="34">
        <v>0</v>
      </c>
      <c r="AC41" s="34">
        <v>0</v>
      </c>
      <c r="AD41" s="64"/>
      <c r="AE41" s="79"/>
      <c r="AF41" s="64"/>
      <c r="AG41" s="43">
        <f t="shared" si="16"/>
        <v>0</v>
      </c>
      <c r="AH41" s="44">
        <f t="shared" si="16"/>
        <v>0</v>
      </c>
      <c r="AI41" s="44">
        <f t="shared" si="16"/>
        <v>0</v>
      </c>
      <c r="AJ41" s="45">
        <f t="shared" si="16"/>
        <v>0</v>
      </c>
      <c r="AK41" s="80">
        <f t="shared" si="1"/>
        <v>0</v>
      </c>
      <c r="AL41" s="47">
        <v>0.75</v>
      </c>
      <c r="AM41" s="48">
        <f t="shared" si="7"/>
        <v>0</v>
      </c>
      <c r="AN41" s="48">
        <f t="shared" si="2"/>
        <v>0</v>
      </c>
      <c r="AO41" s="49">
        <f t="shared" si="8"/>
        <v>0</v>
      </c>
      <c r="AP41" s="49">
        <f t="shared" si="3"/>
        <v>0</v>
      </c>
      <c r="AQ41" s="50">
        <f t="shared" si="9"/>
        <v>0</v>
      </c>
      <c r="AR41" s="81">
        <v>34.479999999999997</v>
      </c>
      <c r="AS41" s="82">
        <v>5.5200000000000031</v>
      </c>
      <c r="AT41" s="83">
        <f t="shared" si="13"/>
        <v>0</v>
      </c>
      <c r="AU41" s="84">
        <f t="shared" si="14"/>
        <v>0</v>
      </c>
      <c r="AV41" s="85">
        <v>0</v>
      </c>
      <c r="AW41" s="86"/>
      <c r="AX41" s="86"/>
      <c r="AY41" s="82"/>
      <c r="AZ41" s="87">
        <f t="shared" si="15"/>
        <v>0</v>
      </c>
    </row>
    <row r="42" spans="1:52" ht="16.5" thickBot="1" x14ac:dyDescent="0.3">
      <c r="A42" s="74">
        <v>375</v>
      </c>
      <c r="B42" s="75" t="s">
        <v>50</v>
      </c>
      <c r="C42" s="76"/>
      <c r="D42" s="26">
        <f t="shared" si="4"/>
        <v>0</v>
      </c>
      <c r="E42" s="27">
        <f t="shared" si="5"/>
        <v>0</v>
      </c>
      <c r="F42" s="29">
        <f t="shared" si="6"/>
        <v>0</v>
      </c>
      <c r="G42" s="30">
        <v>0</v>
      </c>
      <c r="H42" s="31">
        <v>0</v>
      </c>
      <c r="I42" s="32">
        <v>0</v>
      </c>
      <c r="J42" s="77"/>
      <c r="K42" s="33">
        <v>0</v>
      </c>
      <c r="L42" s="34">
        <v>0</v>
      </c>
      <c r="M42" s="34">
        <v>0</v>
      </c>
      <c r="N42" s="62"/>
      <c r="O42" s="34">
        <v>0</v>
      </c>
      <c r="P42" s="34">
        <v>0</v>
      </c>
      <c r="Q42" s="34">
        <v>0</v>
      </c>
      <c r="R42" s="62"/>
      <c r="S42" s="37">
        <v>0</v>
      </c>
      <c r="T42" s="34">
        <v>0</v>
      </c>
      <c r="U42" s="34">
        <v>0</v>
      </c>
      <c r="V42" s="62"/>
      <c r="W42" s="38">
        <v>0</v>
      </c>
      <c r="X42" s="31">
        <v>0</v>
      </c>
      <c r="Y42" s="31">
        <v>0</v>
      </c>
      <c r="Z42" s="78"/>
      <c r="AA42" s="37">
        <v>0</v>
      </c>
      <c r="AB42" s="34">
        <v>0</v>
      </c>
      <c r="AC42" s="34">
        <v>0</v>
      </c>
      <c r="AD42" s="64"/>
      <c r="AE42" s="79"/>
      <c r="AF42" s="64"/>
      <c r="AG42" s="43">
        <f t="shared" si="16"/>
        <v>0</v>
      </c>
      <c r="AH42" s="44">
        <f t="shared" si="16"/>
        <v>0</v>
      </c>
      <c r="AI42" s="44">
        <f t="shared" si="16"/>
        <v>0</v>
      </c>
      <c r="AJ42" s="45">
        <f t="shared" si="16"/>
        <v>0</v>
      </c>
      <c r="AK42" s="80">
        <f t="shared" si="1"/>
        <v>0</v>
      </c>
      <c r="AL42" s="47">
        <v>0.75</v>
      </c>
      <c r="AM42" s="48">
        <f t="shared" si="7"/>
        <v>0</v>
      </c>
      <c r="AN42" s="48">
        <f t="shared" si="2"/>
        <v>0</v>
      </c>
      <c r="AO42" s="49">
        <f t="shared" si="8"/>
        <v>0</v>
      </c>
      <c r="AP42" s="49">
        <f t="shared" si="3"/>
        <v>0</v>
      </c>
      <c r="AQ42" s="50">
        <f t="shared" si="9"/>
        <v>0</v>
      </c>
      <c r="AR42" s="81">
        <v>34.520000000000003</v>
      </c>
      <c r="AS42" s="82">
        <v>5.4799999999999969</v>
      </c>
      <c r="AT42" s="83">
        <f t="shared" si="13"/>
        <v>0</v>
      </c>
      <c r="AU42" s="84">
        <f t="shared" si="14"/>
        <v>0</v>
      </c>
      <c r="AV42" s="85">
        <v>0</v>
      </c>
      <c r="AW42" s="86"/>
      <c r="AX42" s="86"/>
      <c r="AY42" s="82"/>
      <c r="AZ42" s="87">
        <f t="shared" si="15"/>
        <v>0</v>
      </c>
    </row>
    <row r="43" spans="1:52" ht="16.5" thickBot="1" x14ac:dyDescent="0.3">
      <c r="A43" s="74">
        <v>355</v>
      </c>
      <c r="B43" s="75" t="s">
        <v>51</v>
      </c>
      <c r="C43" s="76">
        <v>20</v>
      </c>
      <c r="D43" s="26">
        <f t="shared" si="4"/>
        <v>6.666666666666667</v>
      </c>
      <c r="E43" s="27">
        <f t="shared" si="5"/>
        <v>6.666666666666667</v>
      </c>
      <c r="F43" s="29">
        <f t="shared" si="6"/>
        <v>6.666666666666667</v>
      </c>
      <c r="G43" s="30">
        <v>0</v>
      </c>
      <c r="H43" s="31">
        <v>0</v>
      </c>
      <c r="I43" s="32">
        <v>0</v>
      </c>
      <c r="J43" s="77"/>
      <c r="K43" s="33">
        <v>0</v>
      </c>
      <c r="L43" s="34">
        <v>0</v>
      </c>
      <c r="M43" s="34">
        <v>0</v>
      </c>
      <c r="N43" s="62"/>
      <c r="O43" s="34">
        <v>0</v>
      </c>
      <c r="P43" s="34">
        <v>0</v>
      </c>
      <c r="Q43" s="34">
        <v>0</v>
      </c>
      <c r="R43" s="62"/>
      <c r="S43" s="37">
        <v>0</v>
      </c>
      <c r="T43" s="34">
        <v>0</v>
      </c>
      <c r="U43" s="34">
        <v>0</v>
      </c>
      <c r="V43" s="62"/>
      <c r="W43" s="38">
        <v>0</v>
      </c>
      <c r="X43" s="31">
        <v>0</v>
      </c>
      <c r="Y43" s="31">
        <v>0</v>
      </c>
      <c r="Z43" s="78"/>
      <c r="AA43" s="37">
        <v>0</v>
      </c>
      <c r="AB43" s="34">
        <v>0</v>
      </c>
      <c r="AC43" s="34">
        <v>0</v>
      </c>
      <c r="AD43" s="64"/>
      <c r="AE43" s="79"/>
      <c r="AF43" s="64"/>
      <c r="AG43" s="43">
        <f t="shared" si="16"/>
        <v>0</v>
      </c>
      <c r="AH43" s="44">
        <f t="shared" si="16"/>
        <v>0</v>
      </c>
      <c r="AI43" s="44">
        <f t="shared" si="16"/>
        <v>0</v>
      </c>
      <c r="AJ43" s="45">
        <f t="shared" si="16"/>
        <v>0</v>
      </c>
      <c r="AK43" s="80">
        <f t="shared" si="1"/>
        <v>0</v>
      </c>
      <c r="AL43" s="47">
        <v>0.5</v>
      </c>
      <c r="AM43" s="48">
        <f t="shared" si="7"/>
        <v>0</v>
      </c>
      <c r="AN43" s="48">
        <f t="shared" si="2"/>
        <v>0</v>
      </c>
      <c r="AO43" s="49">
        <f t="shared" si="8"/>
        <v>0</v>
      </c>
      <c r="AP43" s="49">
        <f t="shared" si="3"/>
        <v>0</v>
      </c>
      <c r="AQ43" s="50">
        <f t="shared" si="9"/>
        <v>0</v>
      </c>
      <c r="AR43" s="81"/>
      <c r="AS43" s="82"/>
      <c r="AT43" s="83">
        <f t="shared" si="13"/>
        <v>0</v>
      </c>
      <c r="AU43" s="84">
        <f t="shared" si="14"/>
        <v>0</v>
      </c>
      <c r="AV43" s="85"/>
      <c r="AW43" s="86"/>
      <c r="AX43" s="86"/>
      <c r="AY43" s="82"/>
      <c r="AZ43" s="87"/>
    </row>
    <row r="44" spans="1:52" ht="16.5" thickBot="1" x14ac:dyDescent="0.3">
      <c r="A44" s="74">
        <v>300</v>
      </c>
      <c r="B44" s="75" t="s">
        <v>52</v>
      </c>
      <c r="C44" s="76">
        <v>147</v>
      </c>
      <c r="D44" s="26">
        <f t="shared" si="4"/>
        <v>49</v>
      </c>
      <c r="E44" s="27">
        <f t="shared" si="5"/>
        <v>49</v>
      </c>
      <c r="F44" s="29">
        <f t="shared" si="6"/>
        <v>49</v>
      </c>
      <c r="G44" s="30">
        <v>5</v>
      </c>
      <c r="H44" s="31">
        <v>5</v>
      </c>
      <c r="I44" s="32">
        <v>0</v>
      </c>
      <c r="J44" s="77"/>
      <c r="K44" s="33">
        <v>2</v>
      </c>
      <c r="L44" s="34">
        <v>0</v>
      </c>
      <c r="M44" s="34">
        <v>5</v>
      </c>
      <c r="N44" s="62"/>
      <c r="O44" s="34">
        <v>1</v>
      </c>
      <c r="P44" s="34">
        <v>4</v>
      </c>
      <c r="Q44" s="34">
        <v>0</v>
      </c>
      <c r="R44" s="62"/>
      <c r="S44" s="37">
        <v>2</v>
      </c>
      <c r="T44" s="34">
        <v>1</v>
      </c>
      <c r="U44" s="34">
        <v>1</v>
      </c>
      <c r="V44" s="62"/>
      <c r="W44" s="38">
        <v>0</v>
      </c>
      <c r="X44" s="31">
        <v>0</v>
      </c>
      <c r="Y44" s="31">
        <v>2</v>
      </c>
      <c r="Z44" s="78"/>
      <c r="AA44" s="37">
        <v>0</v>
      </c>
      <c r="AB44" s="34">
        <v>0</v>
      </c>
      <c r="AC44" s="34">
        <v>0</v>
      </c>
      <c r="AD44" s="64"/>
      <c r="AE44" s="79"/>
      <c r="AF44" s="64"/>
      <c r="AG44" s="43">
        <f t="shared" si="16"/>
        <v>10</v>
      </c>
      <c r="AH44" s="44">
        <f t="shared" si="16"/>
        <v>10</v>
      </c>
      <c r="AI44" s="44">
        <f t="shared" si="16"/>
        <v>8</v>
      </c>
      <c r="AJ44" s="45">
        <f t="shared" si="16"/>
        <v>0</v>
      </c>
      <c r="AK44" s="80">
        <f t="shared" si="1"/>
        <v>28</v>
      </c>
      <c r="AL44" s="47">
        <v>1</v>
      </c>
      <c r="AM44" s="48">
        <f t="shared" si="7"/>
        <v>10</v>
      </c>
      <c r="AN44" s="48">
        <f t="shared" si="2"/>
        <v>10</v>
      </c>
      <c r="AO44" s="49">
        <f t="shared" si="8"/>
        <v>8</v>
      </c>
      <c r="AP44" s="49">
        <f t="shared" si="3"/>
        <v>0</v>
      </c>
      <c r="AQ44" s="50">
        <f t="shared" si="9"/>
        <v>1680</v>
      </c>
      <c r="AR44" s="81">
        <v>51.9</v>
      </c>
      <c r="AS44" s="82">
        <v>8.1000000000000014</v>
      </c>
      <c r="AT44" s="83">
        <f t="shared" si="13"/>
        <v>226.80000000000004</v>
      </c>
      <c r="AU44" s="84">
        <f t="shared" si="14"/>
        <v>28</v>
      </c>
      <c r="AV44" s="85">
        <v>0</v>
      </c>
      <c r="AW44" s="86"/>
      <c r="AX44" s="86"/>
      <c r="AY44" s="82"/>
      <c r="AZ44" s="87">
        <f>AT44-AU44-AW44-AX44-AY44</f>
        <v>198.80000000000004</v>
      </c>
    </row>
    <row r="45" spans="1:52" ht="16.5" thickBot="1" x14ac:dyDescent="0.3">
      <c r="A45" s="74">
        <v>355</v>
      </c>
      <c r="B45" s="75" t="s">
        <v>53</v>
      </c>
      <c r="C45" s="76"/>
      <c r="D45" s="26">
        <f t="shared" si="4"/>
        <v>0</v>
      </c>
      <c r="E45" s="27">
        <f t="shared" si="5"/>
        <v>0</v>
      </c>
      <c r="F45" s="29">
        <f t="shared" si="6"/>
        <v>0</v>
      </c>
      <c r="G45" s="30">
        <v>0</v>
      </c>
      <c r="H45" s="31">
        <v>0</v>
      </c>
      <c r="I45" s="32">
        <v>0</v>
      </c>
      <c r="J45" s="77"/>
      <c r="K45" s="33">
        <v>0</v>
      </c>
      <c r="L45" s="34">
        <v>0</v>
      </c>
      <c r="M45" s="34">
        <v>0</v>
      </c>
      <c r="N45" s="62"/>
      <c r="O45" s="34">
        <v>0</v>
      </c>
      <c r="P45" s="34">
        <v>0</v>
      </c>
      <c r="Q45" s="34">
        <v>0</v>
      </c>
      <c r="R45" s="62"/>
      <c r="S45" s="37">
        <v>0</v>
      </c>
      <c r="T45" s="34">
        <v>0</v>
      </c>
      <c r="U45" s="34">
        <v>0</v>
      </c>
      <c r="V45" s="62"/>
      <c r="W45" s="38">
        <v>0</v>
      </c>
      <c r="X45" s="31">
        <v>0</v>
      </c>
      <c r="Y45" s="31">
        <v>0</v>
      </c>
      <c r="Z45" s="78"/>
      <c r="AA45" s="37">
        <v>0</v>
      </c>
      <c r="AB45" s="34">
        <v>0</v>
      </c>
      <c r="AC45" s="34">
        <v>0</v>
      </c>
      <c r="AD45" s="64"/>
      <c r="AE45" s="79"/>
      <c r="AF45" s="64"/>
      <c r="AG45" s="43">
        <f t="shared" si="16"/>
        <v>0</v>
      </c>
      <c r="AH45" s="44">
        <f t="shared" si="16"/>
        <v>0</v>
      </c>
      <c r="AI45" s="44">
        <f t="shared" si="16"/>
        <v>0</v>
      </c>
      <c r="AJ45" s="45">
        <f t="shared" si="16"/>
        <v>0</v>
      </c>
      <c r="AK45" s="80">
        <f t="shared" si="1"/>
        <v>0</v>
      </c>
      <c r="AL45" s="47">
        <v>0.5</v>
      </c>
      <c r="AM45" s="48">
        <f t="shared" si="7"/>
        <v>0</v>
      </c>
      <c r="AN45" s="48">
        <f t="shared" si="2"/>
        <v>0</v>
      </c>
      <c r="AO45" s="49">
        <f t="shared" si="8"/>
        <v>0</v>
      </c>
      <c r="AP45" s="49">
        <f t="shared" si="3"/>
        <v>0</v>
      </c>
      <c r="AQ45" s="50">
        <f t="shared" si="9"/>
        <v>0</v>
      </c>
      <c r="AR45" s="81">
        <v>15.36</v>
      </c>
      <c r="AS45" s="82">
        <v>2.14</v>
      </c>
      <c r="AT45" s="83">
        <f t="shared" si="13"/>
        <v>0</v>
      </c>
      <c r="AU45" s="84">
        <f t="shared" si="14"/>
        <v>0</v>
      </c>
      <c r="AV45" s="85"/>
      <c r="AW45" s="86"/>
      <c r="AX45" s="86"/>
      <c r="AY45" s="82"/>
      <c r="AZ45" s="87"/>
    </row>
    <row r="46" spans="1:52" ht="16.5" thickBot="1" x14ac:dyDescent="0.3">
      <c r="A46" s="74">
        <v>355</v>
      </c>
      <c r="B46" s="75" t="s">
        <v>54</v>
      </c>
      <c r="C46" s="76"/>
      <c r="D46" s="26">
        <f t="shared" si="4"/>
        <v>0</v>
      </c>
      <c r="E46" s="27">
        <f t="shared" si="5"/>
        <v>0</v>
      </c>
      <c r="F46" s="29">
        <f t="shared" si="6"/>
        <v>0</v>
      </c>
      <c r="G46" s="30">
        <v>0</v>
      </c>
      <c r="H46" s="31">
        <v>0</v>
      </c>
      <c r="I46" s="32">
        <v>0</v>
      </c>
      <c r="J46" s="77"/>
      <c r="K46" s="33">
        <v>0</v>
      </c>
      <c r="L46" s="34">
        <v>0</v>
      </c>
      <c r="M46" s="34">
        <v>0</v>
      </c>
      <c r="N46" s="62"/>
      <c r="O46" s="34">
        <v>0</v>
      </c>
      <c r="P46" s="34">
        <v>0</v>
      </c>
      <c r="Q46" s="34">
        <v>0</v>
      </c>
      <c r="R46" s="62"/>
      <c r="S46" s="37">
        <v>0</v>
      </c>
      <c r="T46" s="34">
        <v>0</v>
      </c>
      <c r="U46" s="34">
        <v>0</v>
      </c>
      <c r="V46" s="62"/>
      <c r="W46" s="38">
        <v>0</v>
      </c>
      <c r="X46" s="31">
        <v>0</v>
      </c>
      <c r="Y46" s="31">
        <v>0</v>
      </c>
      <c r="Z46" s="78"/>
      <c r="AA46" s="37">
        <v>0</v>
      </c>
      <c r="AB46" s="34">
        <v>0</v>
      </c>
      <c r="AC46" s="34">
        <v>0</v>
      </c>
      <c r="AD46" s="64"/>
      <c r="AE46" s="79"/>
      <c r="AF46" s="64"/>
      <c r="AG46" s="43">
        <f t="shared" si="16"/>
        <v>0</v>
      </c>
      <c r="AH46" s="44">
        <f t="shared" si="16"/>
        <v>0</v>
      </c>
      <c r="AI46" s="44">
        <f t="shared" si="16"/>
        <v>0</v>
      </c>
      <c r="AJ46" s="45">
        <f t="shared" si="16"/>
        <v>0</v>
      </c>
      <c r="AK46" s="80">
        <f t="shared" si="1"/>
        <v>0</v>
      </c>
      <c r="AL46" s="47">
        <v>0.5</v>
      </c>
      <c r="AM46" s="48">
        <f t="shared" si="7"/>
        <v>0</v>
      </c>
      <c r="AN46" s="48">
        <f t="shared" si="2"/>
        <v>0</v>
      </c>
      <c r="AO46" s="49">
        <f t="shared" si="8"/>
        <v>0</v>
      </c>
      <c r="AP46" s="49">
        <f t="shared" si="3"/>
        <v>0</v>
      </c>
      <c r="AQ46" s="50">
        <f t="shared" si="9"/>
        <v>0</v>
      </c>
      <c r="AR46" s="81"/>
      <c r="AS46" s="82"/>
      <c r="AT46" s="83">
        <f t="shared" si="13"/>
        <v>0</v>
      </c>
      <c r="AU46" s="84">
        <f t="shared" si="14"/>
        <v>0</v>
      </c>
      <c r="AV46" s="85"/>
      <c r="AW46" s="86"/>
      <c r="AX46" s="86"/>
      <c r="AY46" s="82"/>
      <c r="AZ46" s="87"/>
    </row>
    <row r="47" spans="1:52" ht="16.5" thickBot="1" x14ac:dyDescent="0.3">
      <c r="A47" s="74">
        <v>355</v>
      </c>
      <c r="B47" s="75" t="s">
        <v>55</v>
      </c>
      <c r="C47" s="76"/>
      <c r="D47" s="26">
        <f t="shared" si="4"/>
        <v>0</v>
      </c>
      <c r="E47" s="27">
        <f t="shared" si="5"/>
        <v>0</v>
      </c>
      <c r="F47" s="29">
        <f t="shared" si="6"/>
        <v>0</v>
      </c>
      <c r="G47" s="30">
        <v>0</v>
      </c>
      <c r="H47" s="31">
        <v>0</v>
      </c>
      <c r="I47" s="32">
        <v>0</v>
      </c>
      <c r="J47" s="77"/>
      <c r="K47" s="33">
        <v>0</v>
      </c>
      <c r="L47" s="34">
        <v>0</v>
      </c>
      <c r="M47" s="34">
        <v>0</v>
      </c>
      <c r="N47" s="62"/>
      <c r="O47" s="34">
        <v>0</v>
      </c>
      <c r="P47" s="34">
        <v>0</v>
      </c>
      <c r="Q47" s="34">
        <v>0</v>
      </c>
      <c r="R47" s="62"/>
      <c r="S47" s="37">
        <v>0</v>
      </c>
      <c r="T47" s="34">
        <v>0</v>
      </c>
      <c r="U47" s="34">
        <v>0</v>
      </c>
      <c r="V47" s="62"/>
      <c r="W47" s="38">
        <v>0</v>
      </c>
      <c r="X47" s="31">
        <v>0</v>
      </c>
      <c r="Y47" s="31">
        <v>0</v>
      </c>
      <c r="Z47" s="78"/>
      <c r="AA47" s="37">
        <v>0</v>
      </c>
      <c r="AB47" s="34">
        <v>0</v>
      </c>
      <c r="AC47" s="34">
        <v>0</v>
      </c>
      <c r="AD47" s="64"/>
      <c r="AE47" s="79"/>
      <c r="AF47" s="64"/>
      <c r="AG47" s="43">
        <f t="shared" si="16"/>
        <v>0</v>
      </c>
      <c r="AH47" s="44">
        <f t="shared" si="16"/>
        <v>0</v>
      </c>
      <c r="AI47" s="44">
        <f t="shared" si="16"/>
        <v>0</v>
      </c>
      <c r="AJ47" s="45">
        <f t="shared" si="16"/>
        <v>0</v>
      </c>
      <c r="AK47" s="80">
        <f t="shared" si="1"/>
        <v>0</v>
      </c>
      <c r="AL47" s="47">
        <v>0.5</v>
      </c>
      <c r="AM47" s="48">
        <f t="shared" si="7"/>
        <v>0</v>
      </c>
      <c r="AN47" s="48">
        <f t="shared" si="2"/>
        <v>0</v>
      </c>
      <c r="AO47" s="49">
        <f t="shared" si="8"/>
        <v>0</v>
      </c>
      <c r="AP47" s="49">
        <f t="shared" si="3"/>
        <v>0</v>
      </c>
      <c r="AQ47" s="50">
        <f t="shared" si="9"/>
        <v>0</v>
      </c>
      <c r="AR47" s="81"/>
      <c r="AS47" s="82"/>
      <c r="AT47" s="83">
        <f t="shared" si="13"/>
        <v>0</v>
      </c>
      <c r="AU47" s="84">
        <f t="shared" si="14"/>
        <v>0</v>
      </c>
      <c r="AV47" s="85"/>
      <c r="AW47" s="86"/>
      <c r="AX47" s="86"/>
      <c r="AY47" s="82"/>
      <c r="AZ47" s="87"/>
    </row>
    <row r="48" spans="1:52" ht="16.5" thickBot="1" x14ac:dyDescent="0.3">
      <c r="A48" s="74">
        <v>355</v>
      </c>
      <c r="B48" s="75" t="s">
        <v>56</v>
      </c>
      <c r="C48" s="76"/>
      <c r="D48" s="26">
        <f t="shared" si="4"/>
        <v>0</v>
      </c>
      <c r="E48" s="27">
        <f t="shared" si="5"/>
        <v>0</v>
      </c>
      <c r="F48" s="29">
        <f t="shared" si="6"/>
        <v>0</v>
      </c>
      <c r="G48" s="30">
        <v>0</v>
      </c>
      <c r="H48" s="31">
        <v>0</v>
      </c>
      <c r="I48" s="32">
        <v>0</v>
      </c>
      <c r="J48" s="77"/>
      <c r="K48" s="33">
        <v>0</v>
      </c>
      <c r="L48" s="34">
        <v>0</v>
      </c>
      <c r="M48" s="34">
        <v>0</v>
      </c>
      <c r="N48" s="62"/>
      <c r="O48" s="34">
        <v>0</v>
      </c>
      <c r="P48" s="34">
        <v>0</v>
      </c>
      <c r="Q48" s="34">
        <v>0</v>
      </c>
      <c r="R48" s="62"/>
      <c r="S48" s="37">
        <v>0</v>
      </c>
      <c r="T48" s="34">
        <v>0</v>
      </c>
      <c r="U48" s="34">
        <v>0</v>
      </c>
      <c r="V48" s="62"/>
      <c r="W48" s="38">
        <v>0</v>
      </c>
      <c r="X48" s="31">
        <v>0</v>
      </c>
      <c r="Y48" s="31">
        <v>0</v>
      </c>
      <c r="Z48" s="78"/>
      <c r="AA48" s="37">
        <v>0</v>
      </c>
      <c r="AB48" s="34">
        <v>0</v>
      </c>
      <c r="AC48" s="34">
        <v>0</v>
      </c>
      <c r="AD48" s="64"/>
      <c r="AE48" s="79"/>
      <c r="AF48" s="64"/>
      <c r="AG48" s="43">
        <f t="shared" si="16"/>
        <v>0</v>
      </c>
      <c r="AH48" s="44">
        <f t="shared" si="16"/>
        <v>0</v>
      </c>
      <c r="AI48" s="44">
        <f t="shared" si="16"/>
        <v>0</v>
      </c>
      <c r="AJ48" s="45">
        <f t="shared" si="16"/>
        <v>0</v>
      </c>
      <c r="AK48" s="80">
        <f t="shared" si="1"/>
        <v>0</v>
      </c>
      <c r="AL48" s="47">
        <v>0.5</v>
      </c>
      <c r="AM48" s="48">
        <f t="shared" si="7"/>
        <v>0</v>
      </c>
      <c r="AN48" s="48">
        <f t="shared" si="2"/>
        <v>0</v>
      </c>
      <c r="AO48" s="49">
        <f t="shared" si="8"/>
        <v>0</v>
      </c>
      <c r="AP48" s="49">
        <f t="shared" si="3"/>
        <v>0</v>
      </c>
      <c r="AQ48" s="50">
        <f t="shared" si="9"/>
        <v>0</v>
      </c>
      <c r="AR48" s="81"/>
      <c r="AS48" s="82"/>
      <c r="AT48" s="83">
        <f t="shared" si="13"/>
        <v>0</v>
      </c>
      <c r="AU48" s="84">
        <f t="shared" si="14"/>
        <v>0</v>
      </c>
      <c r="AV48" s="85"/>
      <c r="AW48" s="86"/>
      <c r="AX48" s="86"/>
      <c r="AY48" s="82"/>
      <c r="AZ48" s="87"/>
    </row>
    <row r="49" spans="1:52" ht="16.5" thickBot="1" x14ac:dyDescent="0.3">
      <c r="A49" s="74">
        <v>355</v>
      </c>
      <c r="B49" s="75" t="s">
        <v>57</v>
      </c>
      <c r="C49" s="76"/>
      <c r="D49" s="26">
        <f t="shared" si="4"/>
        <v>0</v>
      </c>
      <c r="E49" s="27">
        <f t="shared" si="5"/>
        <v>0</v>
      </c>
      <c r="F49" s="29">
        <f t="shared" si="6"/>
        <v>0</v>
      </c>
      <c r="G49" s="30">
        <v>0</v>
      </c>
      <c r="H49" s="31">
        <v>0</v>
      </c>
      <c r="I49" s="32">
        <v>0</v>
      </c>
      <c r="J49" s="77"/>
      <c r="K49" s="33">
        <v>0</v>
      </c>
      <c r="L49" s="34">
        <v>0</v>
      </c>
      <c r="M49" s="34">
        <v>0</v>
      </c>
      <c r="N49" s="62"/>
      <c r="O49" s="34">
        <v>0</v>
      </c>
      <c r="P49" s="34">
        <v>0</v>
      </c>
      <c r="Q49" s="34">
        <v>0</v>
      </c>
      <c r="R49" s="62"/>
      <c r="S49" s="37">
        <v>0</v>
      </c>
      <c r="T49" s="34">
        <v>0</v>
      </c>
      <c r="U49" s="34">
        <v>0</v>
      </c>
      <c r="V49" s="62"/>
      <c r="W49" s="38">
        <v>0</v>
      </c>
      <c r="X49" s="31">
        <v>0</v>
      </c>
      <c r="Y49" s="31">
        <v>0</v>
      </c>
      <c r="Z49" s="78"/>
      <c r="AA49" s="37">
        <v>0</v>
      </c>
      <c r="AB49" s="34">
        <v>0</v>
      </c>
      <c r="AC49" s="34">
        <v>0</v>
      </c>
      <c r="AD49" s="64"/>
      <c r="AE49" s="79"/>
      <c r="AF49" s="64"/>
      <c r="AG49" s="43">
        <f t="shared" si="16"/>
        <v>0</v>
      </c>
      <c r="AH49" s="44">
        <f t="shared" si="16"/>
        <v>0</v>
      </c>
      <c r="AI49" s="44">
        <f t="shared" si="16"/>
        <v>0</v>
      </c>
      <c r="AJ49" s="45">
        <f t="shared" si="16"/>
        <v>0</v>
      </c>
      <c r="AK49" s="80">
        <f t="shared" si="1"/>
        <v>0</v>
      </c>
      <c r="AL49" s="47">
        <v>0.5</v>
      </c>
      <c r="AM49" s="48">
        <f t="shared" si="7"/>
        <v>0</v>
      </c>
      <c r="AN49" s="48">
        <f t="shared" si="2"/>
        <v>0</v>
      </c>
      <c r="AO49" s="49">
        <f t="shared" si="8"/>
        <v>0</v>
      </c>
      <c r="AP49" s="49">
        <f t="shared" si="3"/>
        <v>0</v>
      </c>
      <c r="AQ49" s="50">
        <f t="shared" si="9"/>
        <v>0</v>
      </c>
      <c r="AR49" s="81"/>
      <c r="AS49" s="82"/>
      <c r="AT49" s="83"/>
      <c r="AU49" s="84">
        <f t="shared" si="14"/>
        <v>0</v>
      </c>
      <c r="AV49" s="85"/>
      <c r="AW49" s="86"/>
      <c r="AX49" s="86"/>
      <c r="AY49" s="82"/>
      <c r="AZ49" s="87"/>
    </row>
    <row r="50" spans="1:52" ht="16.5" thickBot="1" x14ac:dyDescent="0.3">
      <c r="A50" s="74">
        <v>625</v>
      </c>
      <c r="B50" s="75" t="s">
        <v>52</v>
      </c>
      <c r="C50" s="76"/>
      <c r="D50" s="26">
        <f t="shared" si="4"/>
        <v>0</v>
      </c>
      <c r="E50" s="27">
        <f t="shared" si="5"/>
        <v>0</v>
      </c>
      <c r="F50" s="29">
        <f t="shared" si="6"/>
        <v>0</v>
      </c>
      <c r="G50" s="30">
        <v>0</v>
      </c>
      <c r="H50" s="31">
        <v>0</v>
      </c>
      <c r="I50" s="32">
        <v>0</v>
      </c>
      <c r="J50" s="77"/>
      <c r="K50" s="33">
        <v>0</v>
      </c>
      <c r="L50" s="34">
        <v>0</v>
      </c>
      <c r="M50" s="34">
        <v>0</v>
      </c>
      <c r="N50" s="62"/>
      <c r="O50" s="34">
        <v>0</v>
      </c>
      <c r="P50" s="34">
        <v>0</v>
      </c>
      <c r="Q50" s="34">
        <v>0</v>
      </c>
      <c r="R50" s="62"/>
      <c r="S50" s="37">
        <v>0</v>
      </c>
      <c r="T50" s="34">
        <v>0</v>
      </c>
      <c r="U50" s="34">
        <v>0</v>
      </c>
      <c r="V50" s="62"/>
      <c r="W50" s="38">
        <v>0</v>
      </c>
      <c r="X50" s="31">
        <v>0</v>
      </c>
      <c r="Y50" s="31">
        <v>0</v>
      </c>
      <c r="Z50" s="78"/>
      <c r="AA50" s="37">
        <v>0</v>
      </c>
      <c r="AB50" s="34">
        <v>0</v>
      </c>
      <c r="AC50" s="34">
        <v>0</v>
      </c>
      <c r="AD50" s="64"/>
      <c r="AE50" s="79"/>
      <c r="AF50" s="64"/>
      <c r="AG50" s="43">
        <f t="shared" si="16"/>
        <v>0</v>
      </c>
      <c r="AH50" s="44">
        <f t="shared" si="16"/>
        <v>0</v>
      </c>
      <c r="AI50" s="44">
        <f t="shared" si="16"/>
        <v>0</v>
      </c>
      <c r="AJ50" s="45">
        <f t="shared" si="16"/>
        <v>0</v>
      </c>
      <c r="AK50" s="80">
        <f t="shared" si="1"/>
        <v>0</v>
      </c>
      <c r="AL50" s="47">
        <v>2</v>
      </c>
      <c r="AM50" s="48">
        <f t="shared" si="7"/>
        <v>0</v>
      </c>
      <c r="AN50" s="48">
        <f t="shared" si="2"/>
        <v>0</v>
      </c>
      <c r="AO50" s="49">
        <f t="shared" si="8"/>
        <v>0</v>
      </c>
      <c r="AP50" s="49">
        <f t="shared" si="3"/>
        <v>0</v>
      </c>
      <c r="AQ50" s="50">
        <f t="shared" si="9"/>
        <v>0</v>
      </c>
      <c r="AR50" s="81">
        <v>80.959999999999994</v>
      </c>
      <c r="AS50" s="82">
        <v>19.040000000000006</v>
      </c>
      <c r="AT50" s="83">
        <f>AK50*AS50</f>
        <v>0</v>
      </c>
      <c r="AU50" s="84">
        <f t="shared" si="14"/>
        <v>0</v>
      </c>
      <c r="AV50" s="85">
        <v>0</v>
      </c>
      <c r="AW50" s="86"/>
      <c r="AX50" s="86"/>
      <c r="AY50" s="82"/>
      <c r="AZ50" s="87">
        <f>AT50-AU50-AW50-AX50-AY50</f>
        <v>0</v>
      </c>
    </row>
    <row r="51" spans="1:52" ht="16.5" thickBot="1" x14ac:dyDescent="0.3">
      <c r="A51" s="74">
        <v>625</v>
      </c>
      <c r="B51" s="75" t="s">
        <v>58</v>
      </c>
      <c r="C51" s="76"/>
      <c r="D51" s="26">
        <f t="shared" si="4"/>
        <v>0</v>
      </c>
      <c r="E51" s="27">
        <f t="shared" si="5"/>
        <v>0</v>
      </c>
      <c r="F51" s="29">
        <f t="shared" si="6"/>
        <v>0</v>
      </c>
      <c r="G51" s="30">
        <v>0</v>
      </c>
      <c r="H51" s="31">
        <v>0</v>
      </c>
      <c r="I51" s="32">
        <v>0</v>
      </c>
      <c r="J51" s="77"/>
      <c r="K51" s="33">
        <v>0</v>
      </c>
      <c r="L51" s="34">
        <v>0</v>
      </c>
      <c r="M51" s="34">
        <v>0</v>
      </c>
      <c r="N51" s="62"/>
      <c r="O51" s="34">
        <v>0</v>
      </c>
      <c r="P51" s="34">
        <v>0</v>
      </c>
      <c r="Q51" s="34">
        <v>0</v>
      </c>
      <c r="R51" s="62"/>
      <c r="S51" s="37">
        <v>0</v>
      </c>
      <c r="T51" s="34">
        <v>0</v>
      </c>
      <c r="U51" s="34">
        <v>0</v>
      </c>
      <c r="V51" s="62"/>
      <c r="W51" s="38">
        <v>0</v>
      </c>
      <c r="X51" s="31">
        <v>0</v>
      </c>
      <c r="Y51" s="31">
        <v>0</v>
      </c>
      <c r="Z51" s="78"/>
      <c r="AA51" s="37">
        <v>0</v>
      </c>
      <c r="AB51" s="34">
        <v>0</v>
      </c>
      <c r="AC51" s="34">
        <v>0</v>
      </c>
      <c r="AD51" s="64"/>
      <c r="AE51" s="79"/>
      <c r="AF51" s="64"/>
      <c r="AG51" s="43">
        <f t="shared" si="16"/>
        <v>0</v>
      </c>
      <c r="AH51" s="44">
        <f t="shared" si="16"/>
        <v>0</v>
      </c>
      <c r="AI51" s="44">
        <f t="shared" si="16"/>
        <v>0</v>
      </c>
      <c r="AJ51" s="45">
        <f t="shared" si="16"/>
        <v>0</v>
      </c>
      <c r="AK51" s="80">
        <f t="shared" si="1"/>
        <v>0</v>
      </c>
      <c r="AL51" s="47">
        <v>1.5</v>
      </c>
      <c r="AM51" s="48">
        <f t="shared" si="7"/>
        <v>0</v>
      </c>
      <c r="AN51" s="48">
        <f t="shared" si="2"/>
        <v>0</v>
      </c>
      <c r="AO51" s="49">
        <f t="shared" si="8"/>
        <v>0</v>
      </c>
      <c r="AP51" s="49">
        <f t="shared" si="3"/>
        <v>0</v>
      </c>
      <c r="AQ51" s="50">
        <f t="shared" si="9"/>
        <v>0</v>
      </c>
      <c r="AR51" s="81">
        <v>69.84</v>
      </c>
      <c r="AS51" s="82">
        <v>10.159999999999997</v>
      </c>
      <c r="AT51" s="83">
        <f>AK51*AS51</f>
        <v>0</v>
      </c>
      <c r="AU51" s="84">
        <f t="shared" si="14"/>
        <v>0</v>
      </c>
      <c r="AV51" s="85">
        <v>0</v>
      </c>
      <c r="AW51" s="86"/>
      <c r="AX51" s="86"/>
      <c r="AY51" s="82"/>
      <c r="AZ51" s="87">
        <f>AT51-AU51-AW51-AX51-AY51</f>
        <v>0</v>
      </c>
    </row>
    <row r="52" spans="1:52" ht="16.5" thickBot="1" x14ac:dyDescent="0.3">
      <c r="A52" s="74">
        <v>360</v>
      </c>
      <c r="B52" s="75" t="s">
        <v>58</v>
      </c>
      <c r="C52" s="76">
        <v>910</v>
      </c>
      <c r="D52" s="26">
        <f t="shared" si="4"/>
        <v>303.33333333333331</v>
      </c>
      <c r="E52" s="27">
        <f t="shared" si="5"/>
        <v>303.33333333333331</v>
      </c>
      <c r="F52" s="29">
        <f t="shared" si="6"/>
        <v>303.33333333333331</v>
      </c>
      <c r="G52" s="30">
        <v>1</v>
      </c>
      <c r="H52" s="31">
        <v>9</v>
      </c>
      <c r="I52" s="32">
        <v>4</v>
      </c>
      <c r="J52" s="77"/>
      <c r="K52" s="33">
        <v>1</v>
      </c>
      <c r="L52" s="34">
        <v>0</v>
      </c>
      <c r="M52" s="34">
        <v>0</v>
      </c>
      <c r="N52" s="62"/>
      <c r="O52" s="34">
        <v>20</v>
      </c>
      <c r="P52" s="34">
        <v>5</v>
      </c>
      <c r="Q52" s="34">
        <v>41</v>
      </c>
      <c r="R52" s="62"/>
      <c r="S52" s="37">
        <v>1</v>
      </c>
      <c r="T52" s="34">
        <v>0</v>
      </c>
      <c r="U52" s="34">
        <v>7</v>
      </c>
      <c r="V52" s="62"/>
      <c r="W52" s="38">
        <v>10</v>
      </c>
      <c r="X52" s="31">
        <v>5</v>
      </c>
      <c r="Y52" s="31">
        <v>9</v>
      </c>
      <c r="Z52" s="78"/>
      <c r="AA52" s="37">
        <v>0</v>
      </c>
      <c r="AB52" s="34">
        <v>1</v>
      </c>
      <c r="AC52" s="34">
        <v>29</v>
      </c>
      <c r="AD52" s="64"/>
      <c r="AE52" s="79"/>
      <c r="AF52" s="64"/>
      <c r="AG52" s="43">
        <f t="shared" si="16"/>
        <v>33</v>
      </c>
      <c r="AH52" s="44">
        <f t="shared" si="16"/>
        <v>20</v>
      </c>
      <c r="AI52" s="44">
        <f t="shared" si="16"/>
        <v>90</v>
      </c>
      <c r="AJ52" s="45">
        <f t="shared" si="16"/>
        <v>0</v>
      </c>
      <c r="AK52" s="80">
        <f t="shared" si="1"/>
        <v>143</v>
      </c>
      <c r="AL52" s="47">
        <v>0.75</v>
      </c>
      <c r="AM52" s="48">
        <f t="shared" si="7"/>
        <v>24.75</v>
      </c>
      <c r="AN52" s="48">
        <f t="shared" si="2"/>
        <v>15</v>
      </c>
      <c r="AO52" s="49">
        <f t="shared" si="8"/>
        <v>67.5</v>
      </c>
      <c r="AP52" s="49">
        <f t="shared" si="3"/>
        <v>0</v>
      </c>
      <c r="AQ52" s="50">
        <f t="shared" si="9"/>
        <v>8580</v>
      </c>
      <c r="AR52" s="81">
        <v>35.08</v>
      </c>
      <c r="AS52" s="82">
        <v>4.9200000000000017</v>
      </c>
      <c r="AT52" s="83">
        <f>AK52*AS52</f>
        <v>703.56000000000029</v>
      </c>
      <c r="AU52" s="84">
        <f t="shared" si="14"/>
        <v>107.25</v>
      </c>
      <c r="AV52" s="85">
        <v>0</v>
      </c>
      <c r="AW52" s="86"/>
      <c r="AX52" s="86"/>
      <c r="AY52" s="82"/>
      <c r="AZ52" s="87">
        <f>AT52-AU52-AW52-AX52-AY52</f>
        <v>596.31000000000029</v>
      </c>
    </row>
    <row r="53" spans="1:52" ht="16.5" thickBot="1" x14ac:dyDescent="0.3">
      <c r="A53" s="74">
        <v>625</v>
      </c>
      <c r="B53" s="75" t="s">
        <v>59</v>
      </c>
      <c r="C53" s="76"/>
      <c r="D53" s="26">
        <f t="shared" si="4"/>
        <v>0</v>
      </c>
      <c r="E53" s="27">
        <f t="shared" si="5"/>
        <v>0</v>
      </c>
      <c r="F53" s="29">
        <f t="shared" si="6"/>
        <v>0</v>
      </c>
      <c r="G53" s="30">
        <v>0</v>
      </c>
      <c r="H53" s="31">
        <v>0</v>
      </c>
      <c r="I53" s="32">
        <v>0</v>
      </c>
      <c r="J53" s="77"/>
      <c r="K53" s="33">
        <v>0</v>
      </c>
      <c r="L53" s="34">
        <v>0</v>
      </c>
      <c r="M53" s="34">
        <v>0</v>
      </c>
      <c r="N53" s="62"/>
      <c r="O53" s="34">
        <v>0</v>
      </c>
      <c r="P53" s="34">
        <v>0</v>
      </c>
      <c r="Q53" s="34">
        <v>0</v>
      </c>
      <c r="R53" s="62"/>
      <c r="S53" s="37">
        <v>0</v>
      </c>
      <c r="T53" s="34">
        <v>0</v>
      </c>
      <c r="U53" s="34">
        <v>0</v>
      </c>
      <c r="V53" s="62"/>
      <c r="W53" s="38">
        <v>0</v>
      </c>
      <c r="X53" s="31">
        <v>0</v>
      </c>
      <c r="Y53" s="31">
        <v>0</v>
      </c>
      <c r="Z53" s="78"/>
      <c r="AA53" s="37">
        <v>0</v>
      </c>
      <c r="AB53" s="34">
        <v>0</v>
      </c>
      <c r="AC53" s="34">
        <v>0</v>
      </c>
      <c r="AD53" s="64"/>
      <c r="AE53" s="79"/>
      <c r="AF53" s="64"/>
      <c r="AG53" s="43">
        <f t="shared" si="16"/>
        <v>0</v>
      </c>
      <c r="AH53" s="44">
        <f t="shared" si="16"/>
        <v>0</v>
      </c>
      <c r="AI53" s="44">
        <f t="shared" si="16"/>
        <v>0</v>
      </c>
      <c r="AJ53" s="45">
        <f t="shared" si="16"/>
        <v>0</v>
      </c>
      <c r="AK53" s="80">
        <f t="shared" si="1"/>
        <v>0</v>
      </c>
      <c r="AL53" s="47">
        <v>0.6</v>
      </c>
      <c r="AM53" s="48">
        <f t="shared" si="7"/>
        <v>0</v>
      </c>
      <c r="AN53" s="48">
        <f t="shared" si="2"/>
        <v>0</v>
      </c>
      <c r="AO53" s="49">
        <f t="shared" si="8"/>
        <v>0</v>
      </c>
      <c r="AP53" s="49">
        <f t="shared" si="3"/>
        <v>0</v>
      </c>
      <c r="AQ53" s="50">
        <f t="shared" si="9"/>
        <v>0</v>
      </c>
      <c r="AR53" s="81">
        <v>18.100000000000001</v>
      </c>
      <c r="AS53" s="82">
        <v>2.8999999999999986</v>
      </c>
      <c r="AT53" s="83">
        <f>AK53*AS53</f>
        <v>0</v>
      </c>
      <c r="AU53" s="84">
        <f t="shared" si="14"/>
        <v>0</v>
      </c>
      <c r="AV53" s="85">
        <v>0</v>
      </c>
      <c r="AW53" s="86"/>
      <c r="AX53" s="86"/>
      <c r="AY53" s="82"/>
      <c r="AZ53" s="87">
        <f>AT53-AU53-AW53-AX53-AY53</f>
        <v>0</v>
      </c>
    </row>
    <row r="54" spans="1:52" s="96" customFormat="1" ht="16.5" thickBot="1" x14ac:dyDescent="0.3">
      <c r="A54" s="90">
        <v>625</v>
      </c>
      <c r="B54" s="91" t="s">
        <v>60</v>
      </c>
      <c r="C54" s="92">
        <v>1383</v>
      </c>
      <c r="D54" s="26">
        <f t="shared" si="4"/>
        <v>461</v>
      </c>
      <c r="E54" s="27">
        <f t="shared" si="5"/>
        <v>461</v>
      </c>
      <c r="F54" s="29">
        <f t="shared" si="6"/>
        <v>461</v>
      </c>
      <c r="G54" s="30">
        <v>3</v>
      </c>
      <c r="H54" s="31">
        <v>19</v>
      </c>
      <c r="I54" s="32">
        <v>8</v>
      </c>
      <c r="J54" s="77"/>
      <c r="K54" s="33">
        <v>45</v>
      </c>
      <c r="L54" s="34">
        <v>6</v>
      </c>
      <c r="M54" s="34">
        <v>10</v>
      </c>
      <c r="N54" s="62"/>
      <c r="O54" s="34">
        <v>11</v>
      </c>
      <c r="P54" s="34">
        <v>21</v>
      </c>
      <c r="Q54" s="34">
        <v>6</v>
      </c>
      <c r="R54" s="62"/>
      <c r="S54" s="37">
        <v>14</v>
      </c>
      <c r="T54" s="34">
        <v>30</v>
      </c>
      <c r="U54" s="34">
        <v>20</v>
      </c>
      <c r="V54" s="62"/>
      <c r="W54" s="38">
        <v>5</v>
      </c>
      <c r="X54" s="31">
        <v>2</v>
      </c>
      <c r="Y54" s="31">
        <v>0</v>
      </c>
      <c r="Z54" s="78"/>
      <c r="AA54" s="37">
        <v>6</v>
      </c>
      <c r="AB54" s="34">
        <v>18</v>
      </c>
      <c r="AC54" s="34">
        <v>3</v>
      </c>
      <c r="AD54" s="78"/>
      <c r="AE54" s="93"/>
      <c r="AF54" s="78"/>
      <c r="AG54" s="43">
        <f t="shared" si="16"/>
        <v>84</v>
      </c>
      <c r="AH54" s="44">
        <f t="shared" si="16"/>
        <v>96</v>
      </c>
      <c r="AI54" s="44">
        <f t="shared" si="16"/>
        <v>47</v>
      </c>
      <c r="AJ54" s="94">
        <f t="shared" si="16"/>
        <v>0</v>
      </c>
      <c r="AK54" s="95">
        <f t="shared" si="1"/>
        <v>227</v>
      </c>
      <c r="AL54" s="96">
        <v>1</v>
      </c>
      <c r="AM54" s="48">
        <f t="shared" si="7"/>
        <v>84</v>
      </c>
      <c r="AN54" s="48">
        <f t="shared" si="2"/>
        <v>96</v>
      </c>
      <c r="AO54" s="49">
        <f t="shared" si="8"/>
        <v>47</v>
      </c>
      <c r="AP54" s="97">
        <f t="shared" si="3"/>
        <v>0</v>
      </c>
      <c r="AQ54" s="50">
        <f t="shared" si="9"/>
        <v>13620</v>
      </c>
      <c r="AR54" s="98"/>
      <c r="AS54" s="94"/>
      <c r="AT54" s="99"/>
      <c r="AU54" s="100"/>
      <c r="AV54" s="101"/>
      <c r="AW54" s="102"/>
      <c r="AX54" s="102"/>
      <c r="AY54" s="94"/>
      <c r="AZ54" s="95"/>
    </row>
    <row r="55" spans="1:52" s="96" customFormat="1" ht="16.5" thickBot="1" x14ac:dyDescent="0.3">
      <c r="A55" s="90">
        <v>375</v>
      </c>
      <c r="B55" s="91" t="s">
        <v>59</v>
      </c>
      <c r="C55" s="92">
        <v>1018</v>
      </c>
      <c r="D55" s="26">
        <f t="shared" si="4"/>
        <v>339.33333333333331</v>
      </c>
      <c r="E55" s="27">
        <f t="shared" si="5"/>
        <v>339.33333333333331</v>
      </c>
      <c r="F55" s="29">
        <f t="shared" si="6"/>
        <v>339.33333333333331</v>
      </c>
      <c r="G55" s="30">
        <v>3</v>
      </c>
      <c r="H55" s="31">
        <v>10</v>
      </c>
      <c r="I55" s="32">
        <v>11</v>
      </c>
      <c r="J55" s="77"/>
      <c r="K55" s="33">
        <v>7</v>
      </c>
      <c r="L55" s="34">
        <v>2</v>
      </c>
      <c r="M55" s="34">
        <v>5</v>
      </c>
      <c r="N55" s="62"/>
      <c r="O55" s="34">
        <v>12</v>
      </c>
      <c r="P55" s="34">
        <v>12</v>
      </c>
      <c r="Q55" s="34">
        <v>5</v>
      </c>
      <c r="R55" s="62"/>
      <c r="S55" s="37">
        <v>3</v>
      </c>
      <c r="T55" s="34">
        <v>31</v>
      </c>
      <c r="U55" s="34">
        <v>5</v>
      </c>
      <c r="V55" s="62"/>
      <c r="W55" s="38">
        <v>3</v>
      </c>
      <c r="X55" s="31">
        <v>0</v>
      </c>
      <c r="Y55" s="31">
        <v>4</v>
      </c>
      <c r="Z55" s="78"/>
      <c r="AA55" s="37">
        <v>7</v>
      </c>
      <c r="AB55" s="34">
        <v>16</v>
      </c>
      <c r="AC55" s="34">
        <v>9</v>
      </c>
      <c r="AD55" s="78"/>
      <c r="AE55" s="93"/>
      <c r="AF55" s="78"/>
      <c r="AG55" s="43">
        <f t="shared" si="16"/>
        <v>35</v>
      </c>
      <c r="AH55" s="44">
        <f t="shared" si="16"/>
        <v>71</v>
      </c>
      <c r="AI55" s="44">
        <f t="shared" si="16"/>
        <v>39</v>
      </c>
      <c r="AJ55" s="94">
        <f t="shared" si="16"/>
        <v>0</v>
      </c>
      <c r="AK55" s="95">
        <f t="shared" si="1"/>
        <v>145</v>
      </c>
      <c r="AL55" s="96">
        <v>0.75</v>
      </c>
      <c r="AM55" s="48">
        <f t="shared" si="7"/>
        <v>26.25</v>
      </c>
      <c r="AN55" s="48">
        <f t="shared" si="2"/>
        <v>53.25</v>
      </c>
      <c r="AO55" s="49">
        <f t="shared" si="8"/>
        <v>29.25</v>
      </c>
      <c r="AP55" s="97">
        <f t="shared" si="3"/>
        <v>0</v>
      </c>
      <c r="AQ55" s="50">
        <f t="shared" si="9"/>
        <v>8700</v>
      </c>
      <c r="AR55" s="98">
        <v>17.260000000000002</v>
      </c>
      <c r="AS55" s="94">
        <v>2.7399999999999984</v>
      </c>
      <c r="AT55" s="99">
        <f>AK55*AS55</f>
        <v>397.29999999999978</v>
      </c>
      <c r="AU55" s="100">
        <f>AK55*AL55</f>
        <v>108.75</v>
      </c>
      <c r="AV55" s="101">
        <v>0</v>
      </c>
      <c r="AW55" s="102"/>
      <c r="AX55" s="102"/>
      <c r="AY55" s="94"/>
      <c r="AZ55" s="95">
        <f>AT55-AU55-AW55-AX55-AY55</f>
        <v>288.54999999999978</v>
      </c>
    </row>
    <row r="56" spans="1:52" s="96" customFormat="1" ht="16.5" thickBot="1" x14ac:dyDescent="0.3">
      <c r="A56" s="103">
        <v>375</v>
      </c>
      <c r="B56" s="91" t="s">
        <v>61</v>
      </c>
      <c r="C56" s="92"/>
      <c r="D56" s="26">
        <f t="shared" si="4"/>
        <v>0</v>
      </c>
      <c r="E56" s="27">
        <f t="shared" si="5"/>
        <v>0</v>
      </c>
      <c r="F56" s="29">
        <f t="shared" si="6"/>
        <v>0</v>
      </c>
      <c r="G56" s="30">
        <v>0</v>
      </c>
      <c r="H56" s="31">
        <v>0</v>
      </c>
      <c r="I56" s="32">
        <v>0</v>
      </c>
      <c r="J56" s="77"/>
      <c r="K56" s="33">
        <v>0</v>
      </c>
      <c r="L56" s="34">
        <v>0</v>
      </c>
      <c r="M56" s="34">
        <v>0</v>
      </c>
      <c r="N56" s="62"/>
      <c r="O56" s="34">
        <v>0</v>
      </c>
      <c r="P56" s="34">
        <v>0</v>
      </c>
      <c r="Q56" s="34">
        <v>0</v>
      </c>
      <c r="R56" s="62"/>
      <c r="S56" s="37">
        <v>0</v>
      </c>
      <c r="T56" s="34">
        <v>0</v>
      </c>
      <c r="U56" s="34">
        <v>0</v>
      </c>
      <c r="V56" s="62"/>
      <c r="W56" s="38">
        <v>0</v>
      </c>
      <c r="X56" s="31">
        <v>0</v>
      </c>
      <c r="Y56" s="31">
        <v>0</v>
      </c>
      <c r="Z56" s="78"/>
      <c r="AA56" s="37">
        <v>0</v>
      </c>
      <c r="AB56" s="34">
        <v>0</v>
      </c>
      <c r="AC56" s="34">
        <v>0</v>
      </c>
      <c r="AD56" s="78"/>
      <c r="AE56" s="104"/>
      <c r="AF56" s="105"/>
      <c r="AG56" s="43">
        <f t="shared" si="16"/>
        <v>0</v>
      </c>
      <c r="AH56" s="44">
        <f t="shared" si="16"/>
        <v>0</v>
      </c>
      <c r="AI56" s="44">
        <f t="shared" si="16"/>
        <v>0</v>
      </c>
      <c r="AJ56" s="94">
        <f t="shared" si="16"/>
        <v>0</v>
      </c>
      <c r="AK56" s="95">
        <f t="shared" si="1"/>
        <v>0</v>
      </c>
      <c r="AL56" s="96">
        <v>0.75</v>
      </c>
      <c r="AM56" s="48">
        <f t="shared" si="7"/>
        <v>0</v>
      </c>
      <c r="AN56" s="48">
        <f t="shared" si="2"/>
        <v>0</v>
      </c>
      <c r="AO56" s="49">
        <f t="shared" si="8"/>
        <v>0</v>
      </c>
      <c r="AP56" s="97">
        <f t="shared" si="3"/>
        <v>0</v>
      </c>
      <c r="AQ56" s="50">
        <f t="shared" si="9"/>
        <v>0</v>
      </c>
      <c r="AR56" s="106"/>
      <c r="AS56" s="107"/>
      <c r="AT56" s="108"/>
      <c r="AU56" s="100"/>
      <c r="AV56" s="109"/>
      <c r="AW56" s="110"/>
      <c r="AX56" s="110"/>
      <c r="AY56" s="107"/>
      <c r="AZ56" s="111"/>
    </row>
    <row r="57" spans="1:52" s="96" customFormat="1" ht="16.5" thickBot="1" x14ac:dyDescent="0.3">
      <c r="A57" s="91">
        <v>1.3</v>
      </c>
      <c r="B57" s="91" t="s">
        <v>192</v>
      </c>
      <c r="C57" s="112">
        <v>1425</v>
      </c>
      <c r="D57" s="26">
        <f t="shared" si="4"/>
        <v>475</v>
      </c>
      <c r="E57" s="27">
        <f t="shared" si="5"/>
        <v>475</v>
      </c>
      <c r="F57" s="29">
        <f t="shared" si="6"/>
        <v>475</v>
      </c>
      <c r="G57" s="30">
        <v>0</v>
      </c>
      <c r="H57" s="31">
        <v>0</v>
      </c>
      <c r="I57" s="32">
        <v>0</v>
      </c>
      <c r="J57" s="113"/>
      <c r="K57" s="33">
        <v>0</v>
      </c>
      <c r="L57" s="34">
        <v>0</v>
      </c>
      <c r="M57" s="34">
        <v>0</v>
      </c>
      <c r="N57" s="114"/>
      <c r="O57" s="34">
        <v>0</v>
      </c>
      <c r="P57" s="34">
        <v>0</v>
      </c>
      <c r="Q57" s="34">
        <v>0</v>
      </c>
      <c r="R57" s="114"/>
      <c r="S57" s="37">
        <v>0</v>
      </c>
      <c r="T57" s="34">
        <v>0</v>
      </c>
      <c r="U57" s="34">
        <v>0</v>
      </c>
      <c r="V57" s="114"/>
      <c r="W57" s="38">
        <v>0</v>
      </c>
      <c r="X57" s="31">
        <v>0</v>
      </c>
      <c r="Y57" s="31">
        <v>0</v>
      </c>
      <c r="Z57" s="78"/>
      <c r="AA57" s="37">
        <v>0</v>
      </c>
      <c r="AB57" s="34">
        <v>0</v>
      </c>
      <c r="AC57" s="34">
        <v>0</v>
      </c>
      <c r="AD57" s="78"/>
      <c r="AE57" s="104"/>
      <c r="AF57" s="105"/>
      <c r="AG57" s="43">
        <f t="shared" si="16"/>
        <v>0</v>
      </c>
      <c r="AH57" s="44">
        <f t="shared" si="16"/>
        <v>0</v>
      </c>
      <c r="AI57" s="44">
        <f t="shared" si="16"/>
        <v>0</v>
      </c>
      <c r="AJ57" s="94">
        <f t="shared" si="16"/>
        <v>0</v>
      </c>
      <c r="AK57" s="95">
        <f t="shared" si="1"/>
        <v>0</v>
      </c>
      <c r="AL57" s="96">
        <v>0.75</v>
      </c>
      <c r="AM57" s="48">
        <f t="shared" si="7"/>
        <v>0</v>
      </c>
      <c r="AN57" s="48">
        <f t="shared" si="2"/>
        <v>0</v>
      </c>
      <c r="AO57" s="49">
        <f t="shared" si="8"/>
        <v>0</v>
      </c>
      <c r="AP57" s="97">
        <f t="shared" si="3"/>
        <v>0</v>
      </c>
      <c r="AQ57" s="50">
        <f t="shared" si="9"/>
        <v>0</v>
      </c>
      <c r="AR57" s="106"/>
      <c r="AS57" s="107"/>
      <c r="AT57" s="115"/>
      <c r="AU57" s="100">
        <f>AK57*AL57</f>
        <v>0</v>
      </c>
      <c r="AV57" s="109"/>
      <c r="AW57" s="110"/>
      <c r="AX57" s="110"/>
      <c r="AY57" s="107"/>
      <c r="AZ57" s="116"/>
    </row>
    <row r="58" spans="1:52" s="96" customFormat="1" ht="16.5" thickBot="1" x14ac:dyDescent="0.3">
      <c r="A58" s="90">
        <v>1000</v>
      </c>
      <c r="B58" s="91" t="s">
        <v>191</v>
      </c>
      <c r="C58" s="92"/>
      <c r="D58" s="26">
        <f t="shared" si="4"/>
        <v>0</v>
      </c>
      <c r="E58" s="27">
        <f t="shared" si="5"/>
        <v>0</v>
      </c>
      <c r="F58" s="29">
        <f t="shared" si="6"/>
        <v>0</v>
      </c>
      <c r="G58" s="30">
        <v>2</v>
      </c>
      <c r="H58" s="31">
        <v>40</v>
      </c>
      <c r="I58" s="32">
        <v>2</v>
      </c>
      <c r="J58" s="77"/>
      <c r="K58" s="33">
        <v>12</v>
      </c>
      <c r="L58" s="34">
        <v>10</v>
      </c>
      <c r="M58" s="34">
        <v>10</v>
      </c>
      <c r="N58" s="62"/>
      <c r="O58" s="34">
        <v>4</v>
      </c>
      <c r="P58" s="34">
        <v>15</v>
      </c>
      <c r="Q58" s="34">
        <v>2</v>
      </c>
      <c r="R58" s="62"/>
      <c r="S58" s="37">
        <v>13</v>
      </c>
      <c r="T58" s="34">
        <v>28</v>
      </c>
      <c r="U58" s="34">
        <v>20</v>
      </c>
      <c r="V58" s="62"/>
      <c r="W58" s="38">
        <v>5</v>
      </c>
      <c r="X58" s="31">
        <v>4</v>
      </c>
      <c r="Y58" s="31">
        <v>0</v>
      </c>
      <c r="Z58" s="78"/>
      <c r="AA58" s="37">
        <v>17</v>
      </c>
      <c r="AB58" s="34">
        <v>10</v>
      </c>
      <c r="AC58" s="34">
        <v>5</v>
      </c>
      <c r="AD58" s="78"/>
      <c r="AE58" s="93"/>
      <c r="AF58" s="78"/>
      <c r="AG58" s="43">
        <f t="shared" si="16"/>
        <v>53</v>
      </c>
      <c r="AH58" s="44">
        <f t="shared" si="16"/>
        <v>107</v>
      </c>
      <c r="AI58" s="44">
        <f t="shared" si="16"/>
        <v>39</v>
      </c>
      <c r="AJ58" s="94">
        <f t="shared" si="16"/>
        <v>0</v>
      </c>
      <c r="AK58" s="95">
        <f t="shared" si="1"/>
        <v>199</v>
      </c>
      <c r="AL58" s="96">
        <v>1</v>
      </c>
      <c r="AM58" s="48">
        <f t="shared" si="7"/>
        <v>53</v>
      </c>
      <c r="AN58" s="48">
        <f t="shared" si="2"/>
        <v>107</v>
      </c>
      <c r="AO58" s="49">
        <f t="shared" si="8"/>
        <v>39</v>
      </c>
      <c r="AP58" s="97">
        <f t="shared" si="3"/>
        <v>0</v>
      </c>
      <c r="AQ58" s="50">
        <f t="shared" si="9"/>
        <v>11940</v>
      </c>
      <c r="AR58" s="98">
        <v>20.59</v>
      </c>
      <c r="AS58" s="94">
        <v>3.41</v>
      </c>
      <c r="AT58" s="99">
        <f>AK58*AS58</f>
        <v>678.59</v>
      </c>
      <c r="AU58" s="100">
        <f>AK58*AL58</f>
        <v>199</v>
      </c>
      <c r="AV58" s="101">
        <v>0</v>
      </c>
      <c r="AW58" s="102"/>
      <c r="AX58" s="102"/>
      <c r="AY58" s="94"/>
      <c r="AZ58" s="95">
        <f>AT58-AU58-AW58-AX58-AY58</f>
        <v>479.59000000000003</v>
      </c>
    </row>
    <row r="59" spans="1:52" s="96" customFormat="1" ht="16.5" thickBot="1" x14ac:dyDescent="0.3">
      <c r="A59" s="90">
        <v>3300</v>
      </c>
      <c r="B59" s="91" t="s">
        <v>62</v>
      </c>
      <c r="C59" s="92"/>
      <c r="D59" s="26">
        <f t="shared" si="4"/>
        <v>0</v>
      </c>
      <c r="E59" s="27">
        <f t="shared" si="5"/>
        <v>0</v>
      </c>
      <c r="F59" s="29">
        <f t="shared" si="6"/>
        <v>0</v>
      </c>
      <c r="G59" s="30">
        <v>0</v>
      </c>
      <c r="H59" s="31">
        <v>0</v>
      </c>
      <c r="I59" s="32">
        <v>0</v>
      </c>
      <c r="J59" s="77"/>
      <c r="K59" s="33">
        <v>0</v>
      </c>
      <c r="L59" s="34">
        <v>0</v>
      </c>
      <c r="M59" s="34">
        <v>0</v>
      </c>
      <c r="N59" s="62"/>
      <c r="O59" s="34">
        <v>0</v>
      </c>
      <c r="P59" s="34">
        <v>0</v>
      </c>
      <c r="Q59" s="34">
        <v>0</v>
      </c>
      <c r="R59" s="62"/>
      <c r="S59" s="37">
        <v>0</v>
      </c>
      <c r="T59" s="34">
        <v>0</v>
      </c>
      <c r="U59" s="34">
        <v>0</v>
      </c>
      <c r="V59" s="62"/>
      <c r="W59" s="38">
        <v>0</v>
      </c>
      <c r="X59" s="31">
        <v>0</v>
      </c>
      <c r="Y59" s="31">
        <v>0</v>
      </c>
      <c r="Z59" s="78"/>
      <c r="AA59" s="37">
        <v>0</v>
      </c>
      <c r="AB59" s="34">
        <v>0</v>
      </c>
      <c r="AC59" s="34">
        <v>0</v>
      </c>
      <c r="AD59" s="78"/>
      <c r="AE59" s="93"/>
      <c r="AF59" s="78"/>
      <c r="AG59" s="43">
        <f t="shared" si="16"/>
        <v>0</v>
      </c>
      <c r="AH59" s="44">
        <f t="shared" si="16"/>
        <v>0</v>
      </c>
      <c r="AI59" s="44">
        <f t="shared" si="16"/>
        <v>0</v>
      </c>
      <c r="AJ59" s="94">
        <f t="shared" si="16"/>
        <v>0</v>
      </c>
      <c r="AK59" s="95">
        <f t="shared" si="1"/>
        <v>0</v>
      </c>
      <c r="AL59" s="96">
        <v>1</v>
      </c>
      <c r="AM59" s="48">
        <f t="shared" si="7"/>
        <v>0</v>
      </c>
      <c r="AN59" s="48">
        <f t="shared" si="2"/>
        <v>0</v>
      </c>
      <c r="AO59" s="49">
        <f t="shared" si="8"/>
        <v>0</v>
      </c>
      <c r="AP59" s="97">
        <f t="shared" si="3"/>
        <v>0</v>
      </c>
      <c r="AQ59" s="50">
        <f t="shared" si="9"/>
        <v>0</v>
      </c>
      <c r="AR59" s="98"/>
      <c r="AS59" s="94"/>
      <c r="AT59" s="99"/>
      <c r="AU59" s="100"/>
      <c r="AV59" s="101"/>
      <c r="AW59" s="102"/>
      <c r="AX59" s="102"/>
      <c r="AY59" s="94"/>
      <c r="AZ59" s="95"/>
    </row>
    <row r="60" spans="1:52" s="96" customFormat="1" ht="16.5" thickBot="1" x14ac:dyDescent="0.3">
      <c r="A60" s="90">
        <v>145</v>
      </c>
      <c r="B60" s="91" t="s">
        <v>63</v>
      </c>
      <c r="C60" s="92">
        <v>146</v>
      </c>
      <c r="D60" s="26">
        <f t="shared" si="4"/>
        <v>48.666666666666664</v>
      </c>
      <c r="E60" s="27">
        <f t="shared" si="5"/>
        <v>48.666666666666664</v>
      </c>
      <c r="F60" s="29">
        <f t="shared" si="6"/>
        <v>48.666666666666664</v>
      </c>
      <c r="G60" s="30">
        <v>0</v>
      </c>
      <c r="H60" s="31">
        <v>0</v>
      </c>
      <c r="I60" s="32">
        <v>0</v>
      </c>
      <c r="J60" s="77"/>
      <c r="K60" s="33">
        <v>0</v>
      </c>
      <c r="L60" s="34">
        <v>0</v>
      </c>
      <c r="M60" s="34">
        <v>0</v>
      </c>
      <c r="N60" s="62"/>
      <c r="O60" s="34">
        <v>0</v>
      </c>
      <c r="P60" s="34">
        <v>0</v>
      </c>
      <c r="Q60" s="34">
        <v>0</v>
      </c>
      <c r="R60" s="62"/>
      <c r="S60" s="37">
        <v>0</v>
      </c>
      <c r="T60" s="34">
        <v>0</v>
      </c>
      <c r="U60" s="34">
        <v>0</v>
      </c>
      <c r="V60" s="62"/>
      <c r="W60" s="38">
        <v>0</v>
      </c>
      <c r="X60" s="31">
        <v>0</v>
      </c>
      <c r="Y60" s="31">
        <v>0</v>
      </c>
      <c r="Z60" s="78"/>
      <c r="AA60" s="37">
        <v>0</v>
      </c>
      <c r="AB60" s="34">
        <v>0</v>
      </c>
      <c r="AC60" s="34">
        <v>0</v>
      </c>
      <c r="AD60" s="78"/>
      <c r="AE60" s="93"/>
      <c r="AF60" s="78"/>
      <c r="AG60" s="43">
        <f t="shared" si="16"/>
        <v>0</v>
      </c>
      <c r="AH60" s="44">
        <f t="shared" si="16"/>
        <v>0</v>
      </c>
      <c r="AI60" s="44">
        <f t="shared" si="16"/>
        <v>0</v>
      </c>
      <c r="AJ60" s="94">
        <f t="shared" si="16"/>
        <v>0</v>
      </c>
      <c r="AK60" s="95">
        <f t="shared" si="1"/>
        <v>0</v>
      </c>
      <c r="AL60" s="96">
        <v>0.75</v>
      </c>
      <c r="AM60" s="48">
        <f t="shared" si="7"/>
        <v>0</v>
      </c>
      <c r="AN60" s="48">
        <f t="shared" si="2"/>
        <v>0</v>
      </c>
      <c r="AO60" s="49">
        <f t="shared" si="8"/>
        <v>0</v>
      </c>
      <c r="AP60" s="97">
        <f t="shared" si="3"/>
        <v>0</v>
      </c>
      <c r="AQ60" s="50">
        <f t="shared" si="9"/>
        <v>0</v>
      </c>
      <c r="AR60" s="98">
        <v>26.4</v>
      </c>
      <c r="AS60" s="94">
        <v>3.6000000000000014</v>
      </c>
      <c r="AT60" s="99">
        <f>AK60*AS60</f>
        <v>0</v>
      </c>
      <c r="AU60" s="100">
        <f>AK60*AL60</f>
        <v>0</v>
      </c>
      <c r="AV60" s="101">
        <v>0</v>
      </c>
      <c r="AW60" s="102"/>
      <c r="AX60" s="102"/>
      <c r="AY60" s="94"/>
      <c r="AZ60" s="95">
        <f>AT60-AU60-AW60-AX60-AY60</f>
        <v>0</v>
      </c>
    </row>
    <row r="61" spans="1:52" s="96" customFormat="1" ht="16.5" thickBot="1" x14ac:dyDescent="0.3">
      <c r="A61" s="90"/>
      <c r="B61" s="91" t="s">
        <v>64</v>
      </c>
      <c r="C61" s="92">
        <v>146</v>
      </c>
      <c r="D61" s="26">
        <f t="shared" si="4"/>
        <v>48.666666666666664</v>
      </c>
      <c r="E61" s="27">
        <f t="shared" si="5"/>
        <v>48.666666666666664</v>
      </c>
      <c r="F61" s="29">
        <f t="shared" si="6"/>
        <v>48.666666666666664</v>
      </c>
      <c r="G61" s="30">
        <v>14</v>
      </c>
      <c r="H61" s="31">
        <v>4</v>
      </c>
      <c r="I61" s="32">
        <v>35</v>
      </c>
      <c r="J61" s="77"/>
      <c r="K61" s="33">
        <v>3</v>
      </c>
      <c r="L61" s="34">
        <v>22</v>
      </c>
      <c r="M61" s="34">
        <v>16</v>
      </c>
      <c r="N61" s="62"/>
      <c r="O61" s="34">
        <v>17</v>
      </c>
      <c r="P61" s="34">
        <v>4</v>
      </c>
      <c r="Q61" s="34">
        <v>14</v>
      </c>
      <c r="R61" s="62"/>
      <c r="S61" s="37">
        <v>6</v>
      </c>
      <c r="T61" s="34">
        <v>4</v>
      </c>
      <c r="U61" s="34">
        <v>22</v>
      </c>
      <c r="V61" s="62"/>
      <c r="W61" s="38">
        <v>7</v>
      </c>
      <c r="X61" s="31">
        <v>7</v>
      </c>
      <c r="Y61" s="31">
        <v>16</v>
      </c>
      <c r="Z61" s="78"/>
      <c r="AA61" s="37">
        <v>26</v>
      </c>
      <c r="AB61" s="34">
        <v>3</v>
      </c>
      <c r="AC61" s="34">
        <v>25</v>
      </c>
      <c r="AD61" s="78"/>
      <c r="AE61" s="93"/>
      <c r="AF61" s="78"/>
      <c r="AG61" s="43">
        <f t="shared" si="16"/>
        <v>73</v>
      </c>
      <c r="AH61" s="44">
        <f t="shared" si="16"/>
        <v>44</v>
      </c>
      <c r="AI61" s="44">
        <f t="shared" si="16"/>
        <v>128</v>
      </c>
      <c r="AJ61" s="94">
        <f t="shared" si="16"/>
        <v>0</v>
      </c>
      <c r="AK61" s="95">
        <f t="shared" si="1"/>
        <v>245</v>
      </c>
      <c r="AL61" s="96">
        <v>0.75</v>
      </c>
      <c r="AM61" s="48">
        <f t="shared" si="7"/>
        <v>54.75</v>
      </c>
      <c r="AN61" s="48">
        <f t="shared" si="2"/>
        <v>33</v>
      </c>
      <c r="AO61" s="49">
        <f t="shared" si="8"/>
        <v>96</v>
      </c>
      <c r="AP61" s="97">
        <f t="shared" si="3"/>
        <v>0</v>
      </c>
      <c r="AQ61" s="50">
        <f t="shared" si="9"/>
        <v>14700</v>
      </c>
      <c r="AR61" s="98"/>
      <c r="AS61" s="94"/>
      <c r="AT61" s="99"/>
      <c r="AU61" s="100"/>
      <c r="AV61" s="101"/>
      <c r="AW61" s="102"/>
      <c r="AX61" s="102"/>
      <c r="AY61" s="94"/>
      <c r="AZ61" s="95"/>
    </row>
    <row r="62" spans="1:52" s="96" customFormat="1" ht="16.5" thickBot="1" x14ac:dyDescent="0.3">
      <c r="A62" s="90"/>
      <c r="B62" s="91" t="s">
        <v>65</v>
      </c>
      <c r="C62" s="92"/>
      <c r="D62" s="26">
        <f t="shared" si="4"/>
        <v>0</v>
      </c>
      <c r="E62" s="27">
        <f t="shared" si="5"/>
        <v>0</v>
      </c>
      <c r="F62" s="29">
        <f t="shared" si="6"/>
        <v>0</v>
      </c>
      <c r="G62" s="30">
        <v>0</v>
      </c>
      <c r="H62" s="31">
        <v>0</v>
      </c>
      <c r="I62" s="32">
        <v>0</v>
      </c>
      <c r="J62" s="77"/>
      <c r="K62" s="33">
        <v>0</v>
      </c>
      <c r="L62" s="34">
        <v>0</v>
      </c>
      <c r="M62" s="34">
        <v>0</v>
      </c>
      <c r="N62" s="62"/>
      <c r="O62" s="34">
        <v>0</v>
      </c>
      <c r="P62" s="34">
        <v>0</v>
      </c>
      <c r="Q62" s="34">
        <v>0</v>
      </c>
      <c r="R62" s="62"/>
      <c r="S62" s="37">
        <v>0</v>
      </c>
      <c r="T62" s="34">
        <v>0</v>
      </c>
      <c r="U62" s="34">
        <v>0</v>
      </c>
      <c r="V62" s="62"/>
      <c r="W62" s="38">
        <v>0</v>
      </c>
      <c r="X62" s="31">
        <v>0</v>
      </c>
      <c r="Y62" s="31">
        <v>0</v>
      </c>
      <c r="Z62" s="78"/>
      <c r="AA62" s="37">
        <v>0</v>
      </c>
      <c r="AB62" s="34">
        <v>0</v>
      </c>
      <c r="AC62" s="34">
        <v>0</v>
      </c>
      <c r="AD62" s="78"/>
      <c r="AE62" s="93"/>
      <c r="AF62" s="78"/>
      <c r="AG62" s="43">
        <f t="shared" si="16"/>
        <v>0</v>
      </c>
      <c r="AH62" s="44">
        <f t="shared" si="16"/>
        <v>0</v>
      </c>
      <c r="AI62" s="44">
        <f t="shared" si="16"/>
        <v>0</v>
      </c>
      <c r="AJ62" s="94">
        <f t="shared" si="16"/>
        <v>0</v>
      </c>
      <c r="AK62" s="95">
        <f t="shared" si="1"/>
        <v>0</v>
      </c>
      <c r="AL62" s="96">
        <v>0.75</v>
      </c>
      <c r="AM62" s="48">
        <f t="shared" si="7"/>
        <v>0</v>
      </c>
      <c r="AN62" s="48">
        <f t="shared" si="2"/>
        <v>0</v>
      </c>
      <c r="AO62" s="49">
        <f t="shared" si="8"/>
        <v>0</v>
      </c>
      <c r="AP62" s="97">
        <f t="shared" si="3"/>
        <v>0</v>
      </c>
      <c r="AQ62" s="50">
        <f t="shared" si="9"/>
        <v>0</v>
      </c>
      <c r="AR62" s="98"/>
      <c r="AS62" s="94"/>
      <c r="AT62" s="99"/>
      <c r="AU62" s="100"/>
      <c r="AV62" s="101"/>
      <c r="AW62" s="102"/>
      <c r="AX62" s="102"/>
      <c r="AY62" s="94"/>
      <c r="AZ62" s="95"/>
    </row>
    <row r="63" spans="1:52" s="96" customFormat="1" ht="16.5" thickBot="1" x14ac:dyDescent="0.3">
      <c r="A63" s="90"/>
      <c r="B63" s="91" t="s">
        <v>66</v>
      </c>
      <c r="C63" s="92"/>
      <c r="D63" s="26">
        <f t="shared" si="4"/>
        <v>0</v>
      </c>
      <c r="E63" s="27">
        <f t="shared" si="5"/>
        <v>0</v>
      </c>
      <c r="F63" s="29">
        <f t="shared" si="6"/>
        <v>0</v>
      </c>
      <c r="G63" s="30">
        <v>0</v>
      </c>
      <c r="H63" s="31">
        <v>0</v>
      </c>
      <c r="I63" s="32">
        <v>0</v>
      </c>
      <c r="J63" s="77"/>
      <c r="K63" s="33">
        <v>0</v>
      </c>
      <c r="L63" s="34">
        <v>0</v>
      </c>
      <c r="M63" s="34">
        <v>0</v>
      </c>
      <c r="N63" s="62"/>
      <c r="O63" s="34">
        <v>0</v>
      </c>
      <c r="P63" s="34">
        <v>0</v>
      </c>
      <c r="Q63" s="34">
        <v>0</v>
      </c>
      <c r="R63" s="62"/>
      <c r="S63" s="37">
        <v>0</v>
      </c>
      <c r="T63" s="34">
        <v>0</v>
      </c>
      <c r="U63" s="34">
        <v>0</v>
      </c>
      <c r="V63" s="62"/>
      <c r="W63" s="38">
        <v>0</v>
      </c>
      <c r="X63" s="31">
        <v>0</v>
      </c>
      <c r="Y63" s="31">
        <v>0</v>
      </c>
      <c r="Z63" s="78"/>
      <c r="AA63" s="37">
        <v>0</v>
      </c>
      <c r="AB63" s="34">
        <v>0</v>
      </c>
      <c r="AC63" s="34">
        <v>0</v>
      </c>
      <c r="AD63" s="78"/>
      <c r="AE63" s="93"/>
      <c r="AF63" s="78"/>
      <c r="AG63" s="43">
        <f t="shared" si="16"/>
        <v>0</v>
      </c>
      <c r="AH63" s="44">
        <f t="shared" si="16"/>
        <v>0</v>
      </c>
      <c r="AI63" s="44">
        <f t="shared" si="16"/>
        <v>0</v>
      </c>
      <c r="AJ63" s="94">
        <f t="shared" si="16"/>
        <v>0</v>
      </c>
      <c r="AK63" s="95">
        <f t="shared" si="1"/>
        <v>0</v>
      </c>
      <c r="AL63" s="96">
        <v>0.75</v>
      </c>
      <c r="AM63" s="48">
        <f t="shared" si="7"/>
        <v>0</v>
      </c>
      <c r="AN63" s="48">
        <f t="shared" si="2"/>
        <v>0</v>
      </c>
      <c r="AO63" s="49">
        <f t="shared" si="8"/>
        <v>0</v>
      </c>
      <c r="AP63" s="97">
        <f t="shared" si="3"/>
        <v>0</v>
      </c>
      <c r="AQ63" s="50">
        <f t="shared" si="9"/>
        <v>0</v>
      </c>
      <c r="AR63" s="98"/>
      <c r="AS63" s="94"/>
      <c r="AT63" s="99"/>
      <c r="AU63" s="100"/>
      <c r="AV63" s="101"/>
      <c r="AW63" s="102"/>
      <c r="AX63" s="102"/>
      <c r="AY63" s="94"/>
      <c r="AZ63" s="95"/>
    </row>
    <row r="64" spans="1:52" s="96" customFormat="1" ht="16.5" thickBot="1" x14ac:dyDescent="0.3">
      <c r="A64" s="90">
        <v>145</v>
      </c>
      <c r="B64" s="91" t="s">
        <v>67</v>
      </c>
      <c r="C64" s="92"/>
      <c r="D64" s="26">
        <f t="shared" si="4"/>
        <v>0</v>
      </c>
      <c r="E64" s="27">
        <f t="shared" si="5"/>
        <v>0</v>
      </c>
      <c r="F64" s="29">
        <f t="shared" si="6"/>
        <v>0</v>
      </c>
      <c r="G64" s="30">
        <v>0</v>
      </c>
      <c r="H64" s="31">
        <v>0</v>
      </c>
      <c r="I64" s="32">
        <v>0</v>
      </c>
      <c r="J64" s="77"/>
      <c r="K64" s="33">
        <v>0</v>
      </c>
      <c r="L64" s="34">
        <v>0</v>
      </c>
      <c r="M64" s="34">
        <v>0</v>
      </c>
      <c r="N64" s="62"/>
      <c r="O64" s="34">
        <v>0</v>
      </c>
      <c r="P64" s="34">
        <v>0</v>
      </c>
      <c r="Q64" s="34">
        <v>0</v>
      </c>
      <c r="R64" s="62"/>
      <c r="S64" s="37">
        <v>0</v>
      </c>
      <c r="T64" s="34">
        <v>0</v>
      </c>
      <c r="U64" s="34">
        <v>0</v>
      </c>
      <c r="V64" s="62"/>
      <c r="W64" s="38">
        <v>0</v>
      </c>
      <c r="X64" s="31">
        <v>0</v>
      </c>
      <c r="Y64" s="31">
        <v>0</v>
      </c>
      <c r="Z64" s="78"/>
      <c r="AA64" s="37">
        <v>0</v>
      </c>
      <c r="AB64" s="34">
        <v>0</v>
      </c>
      <c r="AC64" s="34">
        <v>0</v>
      </c>
      <c r="AD64" s="78"/>
      <c r="AE64" s="93"/>
      <c r="AF64" s="78"/>
      <c r="AG64" s="43">
        <f t="shared" si="16"/>
        <v>0</v>
      </c>
      <c r="AH64" s="44">
        <f t="shared" si="16"/>
        <v>0</v>
      </c>
      <c r="AI64" s="44">
        <f t="shared" si="16"/>
        <v>0</v>
      </c>
      <c r="AJ64" s="94">
        <f t="shared" si="16"/>
        <v>0</v>
      </c>
      <c r="AK64" s="95">
        <f t="shared" si="1"/>
        <v>0</v>
      </c>
      <c r="AL64" s="96">
        <v>0.75</v>
      </c>
      <c r="AM64" s="48">
        <f t="shared" si="7"/>
        <v>0</v>
      </c>
      <c r="AN64" s="48">
        <f t="shared" si="2"/>
        <v>0</v>
      </c>
      <c r="AO64" s="49">
        <f t="shared" si="8"/>
        <v>0</v>
      </c>
      <c r="AP64" s="97">
        <f t="shared" si="3"/>
        <v>0</v>
      </c>
      <c r="AQ64" s="50">
        <f t="shared" si="9"/>
        <v>0</v>
      </c>
      <c r="AR64" s="98"/>
      <c r="AS64" s="94"/>
      <c r="AT64" s="99"/>
      <c r="AU64" s="100"/>
      <c r="AV64" s="101"/>
      <c r="AW64" s="102"/>
      <c r="AX64" s="102"/>
      <c r="AY64" s="94"/>
      <c r="AZ64" s="95"/>
    </row>
    <row r="65" spans="1:52" s="96" customFormat="1" ht="16.5" thickBot="1" x14ac:dyDescent="0.3">
      <c r="A65" s="90">
        <v>145</v>
      </c>
      <c r="B65" s="91" t="s">
        <v>68</v>
      </c>
      <c r="C65" s="92"/>
      <c r="D65" s="26">
        <f t="shared" si="4"/>
        <v>0</v>
      </c>
      <c r="E65" s="27">
        <f t="shared" si="5"/>
        <v>0</v>
      </c>
      <c r="F65" s="29">
        <f t="shared" si="6"/>
        <v>0</v>
      </c>
      <c r="G65" s="30">
        <v>0</v>
      </c>
      <c r="H65" s="31">
        <v>0</v>
      </c>
      <c r="I65" s="32">
        <v>0</v>
      </c>
      <c r="J65" s="77"/>
      <c r="K65" s="33">
        <v>0</v>
      </c>
      <c r="L65" s="34">
        <v>0</v>
      </c>
      <c r="M65" s="34">
        <v>0</v>
      </c>
      <c r="N65" s="62"/>
      <c r="O65" s="34">
        <v>0</v>
      </c>
      <c r="P65" s="34">
        <v>0</v>
      </c>
      <c r="Q65" s="34">
        <v>0</v>
      </c>
      <c r="R65" s="62"/>
      <c r="S65" s="37">
        <v>0</v>
      </c>
      <c r="T65" s="34">
        <v>0</v>
      </c>
      <c r="U65" s="34">
        <v>0</v>
      </c>
      <c r="V65" s="62"/>
      <c r="W65" s="38">
        <v>0</v>
      </c>
      <c r="X65" s="31">
        <v>0</v>
      </c>
      <c r="Y65" s="31">
        <v>0</v>
      </c>
      <c r="Z65" s="78"/>
      <c r="AA65" s="37">
        <v>0</v>
      </c>
      <c r="AB65" s="34">
        <v>0</v>
      </c>
      <c r="AC65" s="34">
        <v>0</v>
      </c>
      <c r="AD65" s="78"/>
      <c r="AE65" s="93"/>
      <c r="AF65" s="78"/>
      <c r="AG65" s="43">
        <f t="shared" si="16"/>
        <v>0</v>
      </c>
      <c r="AH65" s="44">
        <f t="shared" si="16"/>
        <v>0</v>
      </c>
      <c r="AI65" s="44">
        <f t="shared" si="16"/>
        <v>0</v>
      </c>
      <c r="AJ65" s="94">
        <f t="shared" si="16"/>
        <v>0</v>
      </c>
      <c r="AK65" s="95">
        <f t="shared" si="1"/>
        <v>0</v>
      </c>
      <c r="AL65" s="96">
        <v>0.75</v>
      </c>
      <c r="AM65" s="48">
        <f t="shared" si="7"/>
        <v>0</v>
      </c>
      <c r="AN65" s="48">
        <f t="shared" si="2"/>
        <v>0</v>
      </c>
      <c r="AO65" s="49">
        <f t="shared" si="8"/>
        <v>0</v>
      </c>
      <c r="AP65" s="97">
        <f t="shared" si="3"/>
        <v>0</v>
      </c>
      <c r="AQ65" s="50">
        <f t="shared" si="9"/>
        <v>0</v>
      </c>
      <c r="AR65" s="98"/>
      <c r="AS65" s="94"/>
      <c r="AT65" s="99"/>
      <c r="AU65" s="100"/>
      <c r="AV65" s="101"/>
      <c r="AW65" s="102"/>
      <c r="AX65" s="102"/>
      <c r="AY65" s="94"/>
      <c r="AZ65" s="95"/>
    </row>
    <row r="66" spans="1:52" s="96" customFormat="1" ht="16.5" thickBot="1" x14ac:dyDescent="0.3">
      <c r="A66" s="90">
        <v>145</v>
      </c>
      <c r="B66" s="91" t="s">
        <v>69</v>
      </c>
      <c r="C66" s="92"/>
      <c r="D66" s="26">
        <f t="shared" si="4"/>
        <v>0</v>
      </c>
      <c r="E66" s="27">
        <f t="shared" si="5"/>
        <v>0</v>
      </c>
      <c r="F66" s="29">
        <f t="shared" si="6"/>
        <v>0</v>
      </c>
      <c r="G66" s="30">
        <v>0</v>
      </c>
      <c r="H66" s="31">
        <v>0</v>
      </c>
      <c r="I66" s="32">
        <v>0</v>
      </c>
      <c r="J66" s="77"/>
      <c r="K66" s="33">
        <v>0</v>
      </c>
      <c r="L66" s="34">
        <v>0</v>
      </c>
      <c r="M66" s="34">
        <v>0</v>
      </c>
      <c r="N66" s="62"/>
      <c r="O66" s="34">
        <v>0</v>
      </c>
      <c r="P66" s="34">
        <v>0</v>
      </c>
      <c r="Q66" s="34">
        <v>0</v>
      </c>
      <c r="R66" s="62"/>
      <c r="S66" s="37">
        <v>0</v>
      </c>
      <c r="T66" s="34">
        <v>0</v>
      </c>
      <c r="U66" s="34">
        <v>0</v>
      </c>
      <c r="V66" s="62"/>
      <c r="W66" s="38">
        <v>0</v>
      </c>
      <c r="X66" s="31">
        <v>0</v>
      </c>
      <c r="Y66" s="31">
        <v>0</v>
      </c>
      <c r="Z66" s="78"/>
      <c r="AA66" s="37">
        <v>0</v>
      </c>
      <c r="AB66" s="34">
        <v>0</v>
      </c>
      <c r="AC66" s="34">
        <v>0</v>
      </c>
      <c r="AD66" s="78"/>
      <c r="AE66" s="93"/>
      <c r="AF66" s="78"/>
      <c r="AG66" s="43">
        <f t="shared" si="16"/>
        <v>0</v>
      </c>
      <c r="AH66" s="44">
        <f t="shared" si="16"/>
        <v>0</v>
      </c>
      <c r="AI66" s="44">
        <f t="shared" si="16"/>
        <v>0</v>
      </c>
      <c r="AJ66" s="94">
        <f t="shared" si="16"/>
        <v>0</v>
      </c>
      <c r="AK66" s="95">
        <f t="shared" si="1"/>
        <v>0</v>
      </c>
      <c r="AL66" s="96">
        <v>0.75</v>
      </c>
      <c r="AM66" s="48">
        <f t="shared" si="7"/>
        <v>0</v>
      </c>
      <c r="AN66" s="48">
        <f t="shared" si="2"/>
        <v>0</v>
      </c>
      <c r="AO66" s="49">
        <f t="shared" si="8"/>
        <v>0</v>
      </c>
      <c r="AP66" s="97">
        <f t="shared" si="3"/>
        <v>0</v>
      </c>
      <c r="AQ66" s="50">
        <f t="shared" si="9"/>
        <v>0</v>
      </c>
      <c r="AR66" s="98"/>
      <c r="AS66" s="94"/>
      <c r="AT66" s="99"/>
      <c r="AU66" s="100"/>
      <c r="AV66" s="101"/>
      <c r="AW66" s="102"/>
      <c r="AX66" s="102"/>
      <c r="AY66" s="94"/>
      <c r="AZ66" s="95"/>
    </row>
    <row r="67" spans="1:52" s="96" customFormat="1" ht="16.5" thickBot="1" x14ac:dyDescent="0.3">
      <c r="A67" s="90"/>
      <c r="B67" s="91" t="s">
        <v>70</v>
      </c>
      <c r="C67" s="92"/>
      <c r="D67" s="26">
        <f t="shared" si="4"/>
        <v>0</v>
      </c>
      <c r="E67" s="27">
        <f t="shared" si="5"/>
        <v>0</v>
      </c>
      <c r="F67" s="29">
        <f t="shared" si="6"/>
        <v>0</v>
      </c>
      <c r="G67" s="30">
        <v>0</v>
      </c>
      <c r="H67" s="31">
        <v>0</v>
      </c>
      <c r="I67" s="32">
        <v>0</v>
      </c>
      <c r="J67" s="77"/>
      <c r="K67" s="33">
        <v>0</v>
      </c>
      <c r="L67" s="34">
        <v>0</v>
      </c>
      <c r="M67" s="34">
        <v>0</v>
      </c>
      <c r="N67" s="62"/>
      <c r="O67" s="34">
        <v>0</v>
      </c>
      <c r="P67" s="34">
        <v>0</v>
      </c>
      <c r="Q67" s="34">
        <v>0</v>
      </c>
      <c r="R67" s="62"/>
      <c r="S67" s="37">
        <v>0</v>
      </c>
      <c r="T67" s="34">
        <v>0</v>
      </c>
      <c r="U67" s="34">
        <v>0</v>
      </c>
      <c r="V67" s="62"/>
      <c r="W67" s="38">
        <v>0</v>
      </c>
      <c r="X67" s="31">
        <v>0</v>
      </c>
      <c r="Y67" s="31">
        <v>0</v>
      </c>
      <c r="Z67" s="78"/>
      <c r="AA67" s="37">
        <v>0</v>
      </c>
      <c r="AB67" s="34">
        <v>0</v>
      </c>
      <c r="AC67" s="34">
        <v>0</v>
      </c>
      <c r="AD67" s="78"/>
      <c r="AE67" s="93"/>
      <c r="AF67" s="78"/>
      <c r="AG67" s="43">
        <f t="shared" si="16"/>
        <v>0</v>
      </c>
      <c r="AH67" s="44">
        <f t="shared" si="16"/>
        <v>0</v>
      </c>
      <c r="AI67" s="44">
        <f t="shared" si="16"/>
        <v>0</v>
      </c>
      <c r="AJ67" s="94">
        <f t="shared" si="16"/>
        <v>0</v>
      </c>
      <c r="AK67" s="95">
        <f t="shared" si="1"/>
        <v>0</v>
      </c>
      <c r="AL67" s="96">
        <v>0.75</v>
      </c>
      <c r="AM67" s="48">
        <f t="shared" si="7"/>
        <v>0</v>
      </c>
      <c r="AN67" s="48">
        <f t="shared" si="2"/>
        <v>0</v>
      </c>
      <c r="AO67" s="49">
        <f t="shared" si="8"/>
        <v>0</v>
      </c>
      <c r="AP67" s="97">
        <f t="shared" si="3"/>
        <v>0</v>
      </c>
      <c r="AQ67" s="50">
        <f t="shared" si="9"/>
        <v>0</v>
      </c>
      <c r="AR67" s="98"/>
      <c r="AS67" s="94"/>
      <c r="AT67" s="99"/>
      <c r="AU67" s="100"/>
      <c r="AV67" s="101"/>
      <c r="AW67" s="102"/>
      <c r="AX67" s="102"/>
      <c r="AY67" s="94"/>
      <c r="AZ67" s="95"/>
    </row>
    <row r="68" spans="1:52" s="96" customFormat="1" ht="16.5" thickBot="1" x14ac:dyDescent="0.3">
      <c r="A68" s="90"/>
      <c r="B68" s="91" t="s">
        <v>71</v>
      </c>
      <c r="C68" s="92"/>
      <c r="D68" s="26">
        <f t="shared" si="4"/>
        <v>0</v>
      </c>
      <c r="E68" s="27">
        <f t="shared" si="5"/>
        <v>0</v>
      </c>
      <c r="F68" s="29">
        <f t="shared" si="6"/>
        <v>0</v>
      </c>
      <c r="G68" s="30">
        <v>0</v>
      </c>
      <c r="H68" s="31">
        <v>0</v>
      </c>
      <c r="I68" s="32">
        <v>0</v>
      </c>
      <c r="J68" s="77"/>
      <c r="K68" s="33">
        <v>0</v>
      </c>
      <c r="L68" s="34">
        <v>0</v>
      </c>
      <c r="M68" s="34">
        <v>0</v>
      </c>
      <c r="N68" s="62"/>
      <c r="O68" s="34">
        <v>0</v>
      </c>
      <c r="P68" s="34">
        <v>0</v>
      </c>
      <c r="Q68" s="34">
        <v>0</v>
      </c>
      <c r="R68" s="62"/>
      <c r="S68" s="37">
        <v>0</v>
      </c>
      <c r="T68" s="34">
        <v>0</v>
      </c>
      <c r="U68" s="34">
        <v>0</v>
      </c>
      <c r="V68" s="62"/>
      <c r="W68" s="38">
        <v>0</v>
      </c>
      <c r="X68" s="31">
        <v>0</v>
      </c>
      <c r="Y68" s="31">
        <v>0</v>
      </c>
      <c r="Z68" s="78"/>
      <c r="AA68" s="37">
        <v>0</v>
      </c>
      <c r="AB68" s="34">
        <v>0</v>
      </c>
      <c r="AC68" s="34">
        <v>0</v>
      </c>
      <c r="AD68" s="78"/>
      <c r="AE68" s="93"/>
      <c r="AF68" s="78"/>
      <c r="AG68" s="43">
        <f t="shared" si="16"/>
        <v>0</v>
      </c>
      <c r="AH68" s="44">
        <f t="shared" si="16"/>
        <v>0</v>
      </c>
      <c r="AI68" s="44">
        <f t="shared" si="16"/>
        <v>0</v>
      </c>
      <c r="AJ68" s="94">
        <f t="shared" si="16"/>
        <v>0</v>
      </c>
      <c r="AK68" s="95">
        <f t="shared" ref="AK68:AK131" si="17">AG68+AH68+AI68</f>
        <v>0</v>
      </c>
      <c r="AL68" s="96">
        <v>0.75</v>
      </c>
      <c r="AM68" s="48">
        <f t="shared" si="7"/>
        <v>0</v>
      </c>
      <c r="AN68" s="48">
        <f t="shared" si="2"/>
        <v>0</v>
      </c>
      <c r="AO68" s="49">
        <f t="shared" si="8"/>
        <v>0</v>
      </c>
      <c r="AP68" s="97">
        <f t="shared" ref="AP68:AP131" si="18">AJ68*AL68</f>
        <v>0</v>
      </c>
      <c r="AQ68" s="50">
        <f t="shared" ref="AQ68:AQ131" si="19">AK68*60</f>
        <v>0</v>
      </c>
      <c r="AR68" s="98"/>
      <c r="AS68" s="94"/>
      <c r="AT68" s="99"/>
      <c r="AU68" s="100"/>
      <c r="AV68" s="101"/>
      <c r="AW68" s="102"/>
      <c r="AX68" s="102"/>
      <c r="AY68" s="94"/>
      <c r="AZ68" s="95"/>
    </row>
    <row r="69" spans="1:52" s="96" customFormat="1" ht="16.5" thickBot="1" x14ac:dyDescent="0.3">
      <c r="A69" s="90">
        <v>250</v>
      </c>
      <c r="B69" s="91" t="s">
        <v>63</v>
      </c>
      <c r="C69" s="92">
        <v>52</v>
      </c>
      <c r="D69" s="26">
        <f t="shared" ref="D69:D132" si="20">C69/3</f>
        <v>17.333333333333332</v>
      </c>
      <c r="E69" s="27">
        <f t="shared" ref="E69:E132" si="21">C69/3</f>
        <v>17.333333333333332</v>
      </c>
      <c r="F69" s="29">
        <f t="shared" ref="F69:F132" si="22">C69/3</f>
        <v>17.333333333333332</v>
      </c>
      <c r="G69" s="30">
        <v>0</v>
      </c>
      <c r="H69" s="31">
        <v>0</v>
      </c>
      <c r="I69" s="32">
        <v>0</v>
      </c>
      <c r="J69" s="77"/>
      <c r="K69" s="33">
        <v>0</v>
      </c>
      <c r="L69" s="34">
        <v>0</v>
      </c>
      <c r="M69" s="34">
        <v>0</v>
      </c>
      <c r="N69" s="62"/>
      <c r="O69" s="34">
        <v>0</v>
      </c>
      <c r="P69" s="34">
        <v>0</v>
      </c>
      <c r="Q69" s="34">
        <v>0</v>
      </c>
      <c r="R69" s="62"/>
      <c r="S69" s="37">
        <v>0</v>
      </c>
      <c r="T69" s="34">
        <v>0</v>
      </c>
      <c r="U69" s="34">
        <v>0</v>
      </c>
      <c r="V69" s="62"/>
      <c r="W69" s="38">
        <v>0</v>
      </c>
      <c r="X69" s="31">
        <v>0</v>
      </c>
      <c r="Y69" s="31">
        <v>0</v>
      </c>
      <c r="Z69" s="78"/>
      <c r="AA69" s="37">
        <v>0</v>
      </c>
      <c r="AB69" s="34">
        <v>0</v>
      </c>
      <c r="AC69" s="34">
        <v>0</v>
      </c>
      <c r="AD69" s="78"/>
      <c r="AE69" s="93"/>
      <c r="AF69" s="78"/>
      <c r="AG69" s="43">
        <f t="shared" si="16"/>
        <v>0</v>
      </c>
      <c r="AH69" s="44">
        <f t="shared" si="16"/>
        <v>0</v>
      </c>
      <c r="AI69" s="44">
        <f t="shared" si="16"/>
        <v>0</v>
      </c>
      <c r="AJ69" s="94">
        <f t="shared" si="16"/>
        <v>0</v>
      </c>
      <c r="AK69" s="95">
        <f t="shared" si="17"/>
        <v>0</v>
      </c>
      <c r="AL69" s="96">
        <v>1</v>
      </c>
      <c r="AM69" s="48">
        <f t="shared" si="7"/>
        <v>0</v>
      </c>
      <c r="AN69" s="48">
        <f t="shared" si="2"/>
        <v>0</v>
      </c>
      <c r="AO69" s="49">
        <f t="shared" ref="AO69:AO132" si="23">AI69*AL69</f>
        <v>0</v>
      </c>
      <c r="AP69" s="97">
        <f t="shared" si="18"/>
        <v>0</v>
      </c>
      <c r="AQ69" s="50">
        <f t="shared" si="19"/>
        <v>0</v>
      </c>
      <c r="AR69" s="98">
        <v>34.799999999999997</v>
      </c>
      <c r="AS69" s="94">
        <v>5.2000000000000028</v>
      </c>
      <c r="AT69" s="99">
        <f>AK69*AS69</f>
        <v>0</v>
      </c>
      <c r="AU69" s="100">
        <f>AK69*AL69</f>
        <v>0</v>
      </c>
      <c r="AV69" s="101">
        <v>0</v>
      </c>
      <c r="AW69" s="102"/>
      <c r="AX69" s="102"/>
      <c r="AY69" s="94"/>
      <c r="AZ69" s="95">
        <f>AT69-AU69-AW69-AX69-AY69</f>
        <v>0</v>
      </c>
    </row>
    <row r="70" spans="1:52" ht="16.5" thickBot="1" x14ac:dyDescent="0.3">
      <c r="A70" s="74"/>
      <c r="B70" s="75" t="s">
        <v>64</v>
      </c>
      <c r="C70" s="76"/>
      <c r="D70" s="26">
        <f t="shared" si="20"/>
        <v>0</v>
      </c>
      <c r="E70" s="27">
        <f t="shared" si="21"/>
        <v>0</v>
      </c>
      <c r="F70" s="29">
        <f t="shared" si="22"/>
        <v>0</v>
      </c>
      <c r="G70" s="30">
        <v>10</v>
      </c>
      <c r="H70" s="31">
        <v>8</v>
      </c>
      <c r="I70" s="32">
        <v>6</v>
      </c>
      <c r="J70" s="77"/>
      <c r="K70" s="33">
        <v>19</v>
      </c>
      <c r="L70" s="34">
        <v>30</v>
      </c>
      <c r="M70" s="34">
        <v>14</v>
      </c>
      <c r="N70" s="62"/>
      <c r="O70" s="34">
        <v>20</v>
      </c>
      <c r="P70" s="34">
        <v>5</v>
      </c>
      <c r="Q70" s="34">
        <v>46</v>
      </c>
      <c r="R70" s="62"/>
      <c r="S70" s="37">
        <v>14</v>
      </c>
      <c r="T70" s="34">
        <v>11</v>
      </c>
      <c r="U70" s="34">
        <v>20</v>
      </c>
      <c r="V70" s="62"/>
      <c r="W70" s="38">
        <v>30</v>
      </c>
      <c r="X70" s="31">
        <v>31</v>
      </c>
      <c r="Y70" s="31">
        <v>20</v>
      </c>
      <c r="Z70" s="78"/>
      <c r="AA70" s="37">
        <v>29</v>
      </c>
      <c r="AB70" s="34">
        <v>40</v>
      </c>
      <c r="AC70" s="34">
        <v>21</v>
      </c>
      <c r="AD70" s="64"/>
      <c r="AE70" s="79"/>
      <c r="AF70" s="64"/>
      <c r="AG70" s="43">
        <f t="shared" si="16"/>
        <v>122</v>
      </c>
      <c r="AH70" s="44">
        <f t="shared" si="16"/>
        <v>125</v>
      </c>
      <c r="AI70" s="44">
        <f t="shared" si="16"/>
        <v>127</v>
      </c>
      <c r="AJ70" s="45">
        <f t="shared" si="16"/>
        <v>0</v>
      </c>
      <c r="AK70" s="80">
        <f t="shared" si="17"/>
        <v>374</v>
      </c>
      <c r="AL70" s="47">
        <v>1</v>
      </c>
      <c r="AM70" s="48">
        <f t="shared" si="7"/>
        <v>122</v>
      </c>
      <c r="AN70" s="48">
        <f t="shared" si="2"/>
        <v>125</v>
      </c>
      <c r="AO70" s="49">
        <f t="shared" si="23"/>
        <v>127</v>
      </c>
      <c r="AP70" s="49">
        <f t="shared" si="18"/>
        <v>0</v>
      </c>
      <c r="AQ70" s="50">
        <f t="shared" si="19"/>
        <v>22440</v>
      </c>
      <c r="AR70" s="81"/>
      <c r="AS70" s="82"/>
      <c r="AT70" s="83"/>
      <c r="AU70" s="84"/>
      <c r="AV70" s="85"/>
      <c r="AW70" s="86"/>
      <c r="AX70" s="86"/>
      <c r="AY70" s="82"/>
      <c r="AZ70" s="87"/>
    </row>
    <row r="71" spans="1:52" ht="16.5" thickBot="1" x14ac:dyDescent="0.3">
      <c r="A71" s="74"/>
      <c r="B71" s="75" t="s">
        <v>65</v>
      </c>
      <c r="C71" s="76"/>
      <c r="D71" s="26">
        <f t="shared" si="20"/>
        <v>0</v>
      </c>
      <c r="E71" s="27">
        <f t="shared" si="21"/>
        <v>0</v>
      </c>
      <c r="F71" s="29">
        <f t="shared" si="22"/>
        <v>0</v>
      </c>
      <c r="G71" s="30">
        <v>0</v>
      </c>
      <c r="H71" s="31">
        <v>0</v>
      </c>
      <c r="I71" s="32">
        <v>0</v>
      </c>
      <c r="J71" s="77"/>
      <c r="K71" s="33">
        <v>0</v>
      </c>
      <c r="L71" s="34">
        <v>0</v>
      </c>
      <c r="M71" s="34">
        <v>0</v>
      </c>
      <c r="N71" s="62"/>
      <c r="O71" s="34">
        <v>0</v>
      </c>
      <c r="P71" s="34">
        <v>0</v>
      </c>
      <c r="Q71" s="34">
        <v>0</v>
      </c>
      <c r="R71" s="62"/>
      <c r="S71" s="37">
        <v>0</v>
      </c>
      <c r="T71" s="34">
        <v>0</v>
      </c>
      <c r="U71" s="34">
        <v>0</v>
      </c>
      <c r="V71" s="62"/>
      <c r="W71" s="38">
        <v>0</v>
      </c>
      <c r="X71" s="31">
        <v>0</v>
      </c>
      <c r="Y71" s="31">
        <v>0</v>
      </c>
      <c r="Z71" s="78"/>
      <c r="AA71" s="37">
        <v>0</v>
      </c>
      <c r="AB71" s="34">
        <v>0</v>
      </c>
      <c r="AC71" s="34">
        <v>0</v>
      </c>
      <c r="AD71" s="64"/>
      <c r="AE71" s="79"/>
      <c r="AF71" s="64"/>
      <c r="AG71" s="43">
        <f t="shared" si="16"/>
        <v>0</v>
      </c>
      <c r="AH71" s="44">
        <f t="shared" si="16"/>
        <v>0</v>
      </c>
      <c r="AI71" s="44">
        <f t="shared" si="16"/>
        <v>0</v>
      </c>
      <c r="AJ71" s="45">
        <f t="shared" si="16"/>
        <v>0</v>
      </c>
      <c r="AK71" s="80">
        <f t="shared" si="17"/>
        <v>0</v>
      </c>
      <c r="AL71" s="47">
        <v>1</v>
      </c>
      <c r="AM71" s="48">
        <f t="shared" si="7"/>
        <v>0</v>
      </c>
      <c r="AN71" s="48">
        <f t="shared" si="2"/>
        <v>0</v>
      </c>
      <c r="AO71" s="49">
        <f t="shared" si="23"/>
        <v>0</v>
      </c>
      <c r="AP71" s="49">
        <f t="shared" si="18"/>
        <v>0</v>
      </c>
      <c r="AQ71" s="50">
        <f t="shared" si="19"/>
        <v>0</v>
      </c>
      <c r="AR71" s="81"/>
      <c r="AS71" s="82"/>
      <c r="AT71" s="83"/>
      <c r="AU71" s="84"/>
      <c r="AV71" s="85"/>
      <c r="AW71" s="86"/>
      <c r="AX71" s="86"/>
      <c r="AY71" s="82"/>
      <c r="AZ71" s="87"/>
    </row>
    <row r="72" spans="1:52" ht="16.5" thickBot="1" x14ac:dyDescent="0.3">
      <c r="A72" s="74"/>
      <c r="B72" s="75" t="s">
        <v>66</v>
      </c>
      <c r="C72" s="76"/>
      <c r="D72" s="26">
        <f t="shared" si="20"/>
        <v>0</v>
      </c>
      <c r="E72" s="27">
        <f t="shared" si="21"/>
        <v>0</v>
      </c>
      <c r="F72" s="29">
        <f t="shared" si="22"/>
        <v>0</v>
      </c>
      <c r="G72" s="30">
        <v>0</v>
      </c>
      <c r="H72" s="31">
        <v>0</v>
      </c>
      <c r="I72" s="32">
        <v>0</v>
      </c>
      <c r="J72" s="77"/>
      <c r="K72" s="33">
        <v>0</v>
      </c>
      <c r="L72" s="34">
        <v>0</v>
      </c>
      <c r="M72" s="34">
        <v>0</v>
      </c>
      <c r="N72" s="62"/>
      <c r="O72" s="34">
        <v>0</v>
      </c>
      <c r="P72" s="34">
        <v>0</v>
      </c>
      <c r="Q72" s="34">
        <v>0</v>
      </c>
      <c r="R72" s="62"/>
      <c r="S72" s="37">
        <v>0</v>
      </c>
      <c r="T72" s="34">
        <v>0</v>
      </c>
      <c r="U72" s="34">
        <v>0</v>
      </c>
      <c r="V72" s="62"/>
      <c r="W72" s="38">
        <v>0</v>
      </c>
      <c r="X72" s="31">
        <v>0</v>
      </c>
      <c r="Y72" s="31">
        <v>0</v>
      </c>
      <c r="Z72" s="78"/>
      <c r="AA72" s="37">
        <v>0</v>
      </c>
      <c r="AB72" s="34">
        <v>0</v>
      </c>
      <c r="AC72" s="34">
        <v>0</v>
      </c>
      <c r="AD72" s="64"/>
      <c r="AE72" s="79"/>
      <c r="AF72" s="64"/>
      <c r="AG72" s="43">
        <f t="shared" si="16"/>
        <v>0</v>
      </c>
      <c r="AH72" s="44">
        <f t="shared" si="16"/>
        <v>0</v>
      </c>
      <c r="AI72" s="44">
        <f t="shared" si="16"/>
        <v>0</v>
      </c>
      <c r="AJ72" s="45">
        <f t="shared" si="16"/>
        <v>0</v>
      </c>
      <c r="AK72" s="80">
        <f t="shared" si="17"/>
        <v>0</v>
      </c>
      <c r="AL72" s="47">
        <v>1</v>
      </c>
      <c r="AM72" s="48">
        <f t="shared" si="7"/>
        <v>0</v>
      </c>
      <c r="AN72" s="48">
        <f t="shared" si="2"/>
        <v>0</v>
      </c>
      <c r="AO72" s="49">
        <f t="shared" si="23"/>
        <v>0</v>
      </c>
      <c r="AP72" s="49">
        <f t="shared" si="18"/>
        <v>0</v>
      </c>
      <c r="AQ72" s="50">
        <f t="shared" si="19"/>
        <v>0</v>
      </c>
      <c r="AR72" s="81"/>
      <c r="AS72" s="82"/>
      <c r="AT72" s="83"/>
      <c r="AU72" s="84"/>
      <c r="AV72" s="85"/>
      <c r="AW72" s="86"/>
      <c r="AX72" s="86"/>
      <c r="AY72" s="82"/>
      <c r="AZ72" s="87"/>
    </row>
    <row r="73" spans="1:52" ht="16.5" thickBot="1" x14ac:dyDescent="0.3">
      <c r="A73" s="74">
        <v>250</v>
      </c>
      <c r="B73" s="75" t="s">
        <v>67</v>
      </c>
      <c r="C73" s="76"/>
      <c r="D73" s="26">
        <f t="shared" si="20"/>
        <v>0</v>
      </c>
      <c r="E73" s="27">
        <f t="shared" si="21"/>
        <v>0</v>
      </c>
      <c r="F73" s="29">
        <f t="shared" si="22"/>
        <v>0</v>
      </c>
      <c r="G73" s="30">
        <v>0</v>
      </c>
      <c r="H73" s="31">
        <v>0</v>
      </c>
      <c r="I73" s="32">
        <v>0</v>
      </c>
      <c r="J73" s="77"/>
      <c r="K73" s="33">
        <v>0</v>
      </c>
      <c r="L73" s="34">
        <v>0</v>
      </c>
      <c r="M73" s="34">
        <v>0</v>
      </c>
      <c r="N73" s="62"/>
      <c r="O73" s="34">
        <v>0</v>
      </c>
      <c r="P73" s="34">
        <v>0</v>
      </c>
      <c r="Q73" s="34">
        <v>0</v>
      </c>
      <c r="R73" s="62"/>
      <c r="S73" s="37">
        <v>0</v>
      </c>
      <c r="T73" s="34">
        <v>0</v>
      </c>
      <c r="U73" s="34">
        <v>0</v>
      </c>
      <c r="V73" s="62"/>
      <c r="W73" s="38">
        <v>0</v>
      </c>
      <c r="X73" s="31">
        <v>0</v>
      </c>
      <c r="Y73" s="31">
        <v>0</v>
      </c>
      <c r="Z73" s="78"/>
      <c r="AA73" s="37">
        <v>0</v>
      </c>
      <c r="AB73" s="34">
        <v>0</v>
      </c>
      <c r="AC73" s="34">
        <v>0</v>
      </c>
      <c r="AD73" s="64"/>
      <c r="AE73" s="79"/>
      <c r="AF73" s="64"/>
      <c r="AG73" s="43">
        <f t="shared" si="16"/>
        <v>0</v>
      </c>
      <c r="AH73" s="44">
        <f t="shared" si="16"/>
        <v>0</v>
      </c>
      <c r="AI73" s="44">
        <f t="shared" si="16"/>
        <v>0</v>
      </c>
      <c r="AJ73" s="45">
        <f t="shared" si="16"/>
        <v>0</v>
      </c>
      <c r="AK73" s="80">
        <f t="shared" si="17"/>
        <v>0</v>
      </c>
      <c r="AL73" s="47">
        <v>1</v>
      </c>
      <c r="AM73" s="48">
        <f t="shared" si="7"/>
        <v>0</v>
      </c>
      <c r="AN73" s="48">
        <f t="shared" si="2"/>
        <v>0</v>
      </c>
      <c r="AO73" s="49">
        <f t="shared" si="23"/>
        <v>0</v>
      </c>
      <c r="AP73" s="49">
        <f t="shared" si="18"/>
        <v>0</v>
      </c>
      <c r="AQ73" s="50">
        <f t="shared" si="19"/>
        <v>0</v>
      </c>
      <c r="AR73" s="81"/>
      <c r="AS73" s="82"/>
      <c r="AT73" s="83"/>
      <c r="AU73" s="84"/>
      <c r="AV73" s="85"/>
      <c r="AW73" s="86"/>
      <c r="AX73" s="86"/>
      <c r="AY73" s="82"/>
      <c r="AZ73" s="87"/>
    </row>
    <row r="74" spans="1:52" ht="16.5" thickBot="1" x14ac:dyDescent="0.3">
      <c r="A74" s="74">
        <v>1000</v>
      </c>
      <c r="B74" s="75" t="s">
        <v>63</v>
      </c>
      <c r="C74" s="76">
        <v>24</v>
      </c>
      <c r="D74" s="26">
        <f t="shared" si="20"/>
        <v>8</v>
      </c>
      <c r="E74" s="27">
        <f t="shared" si="21"/>
        <v>8</v>
      </c>
      <c r="F74" s="29">
        <f t="shared" si="22"/>
        <v>8</v>
      </c>
      <c r="G74" s="30">
        <v>0</v>
      </c>
      <c r="H74" s="31">
        <v>0</v>
      </c>
      <c r="I74" s="32">
        <v>0</v>
      </c>
      <c r="J74" s="77"/>
      <c r="K74" s="33">
        <v>0</v>
      </c>
      <c r="L74" s="34">
        <v>0</v>
      </c>
      <c r="M74" s="34">
        <v>0</v>
      </c>
      <c r="N74" s="62"/>
      <c r="O74" s="34">
        <v>0</v>
      </c>
      <c r="P74" s="34">
        <v>0</v>
      </c>
      <c r="Q74" s="34">
        <v>0</v>
      </c>
      <c r="R74" s="62"/>
      <c r="S74" s="37">
        <v>0</v>
      </c>
      <c r="T74" s="34">
        <v>0</v>
      </c>
      <c r="U74" s="34">
        <v>0</v>
      </c>
      <c r="V74" s="62"/>
      <c r="W74" s="38">
        <v>0</v>
      </c>
      <c r="X74" s="31">
        <v>0</v>
      </c>
      <c r="Y74" s="31">
        <v>0</v>
      </c>
      <c r="Z74" s="78"/>
      <c r="AA74" s="37">
        <v>0</v>
      </c>
      <c r="AB74" s="34">
        <v>0</v>
      </c>
      <c r="AC74" s="34">
        <v>0</v>
      </c>
      <c r="AD74" s="64"/>
      <c r="AE74" s="79"/>
      <c r="AF74" s="64"/>
      <c r="AG74" s="43">
        <f t="shared" si="16"/>
        <v>0</v>
      </c>
      <c r="AH74" s="44">
        <f t="shared" si="16"/>
        <v>0</v>
      </c>
      <c r="AI74" s="44">
        <f t="shared" si="16"/>
        <v>0</v>
      </c>
      <c r="AJ74" s="45">
        <f t="shared" si="16"/>
        <v>0</v>
      </c>
      <c r="AK74" s="80">
        <f t="shared" si="17"/>
        <v>0</v>
      </c>
      <c r="AL74" s="47">
        <v>0.75</v>
      </c>
      <c r="AM74" s="48">
        <f t="shared" ref="AM74:AM137" si="24">AG74*AL74</f>
        <v>0</v>
      </c>
      <c r="AN74" s="48">
        <f t="shared" ref="AN74:AN137" si="25">AH74*AL74</f>
        <v>0</v>
      </c>
      <c r="AO74" s="49">
        <f t="shared" si="23"/>
        <v>0</v>
      </c>
      <c r="AP74" s="49">
        <f t="shared" si="18"/>
        <v>0</v>
      </c>
      <c r="AQ74" s="50">
        <f t="shared" si="19"/>
        <v>0</v>
      </c>
      <c r="AR74" s="117">
        <v>67.84</v>
      </c>
      <c r="AS74" s="82">
        <v>2.1599999999999966</v>
      </c>
      <c r="AT74" s="83">
        <f>AK74*AS74</f>
        <v>0</v>
      </c>
      <c r="AU74" s="84">
        <f>AK74*AL74</f>
        <v>0</v>
      </c>
      <c r="AV74" s="85">
        <v>0</v>
      </c>
      <c r="AW74" s="86"/>
      <c r="AX74" s="86"/>
      <c r="AY74" s="82"/>
      <c r="AZ74" s="87">
        <f>AT74-AU74-AW74-AX74-AY74</f>
        <v>0</v>
      </c>
    </row>
    <row r="75" spans="1:52" ht="16.5" thickBot="1" x14ac:dyDescent="0.3">
      <c r="A75" s="74">
        <v>1000</v>
      </c>
      <c r="B75" s="75" t="s">
        <v>64</v>
      </c>
      <c r="C75" s="76"/>
      <c r="D75" s="26">
        <f t="shared" si="20"/>
        <v>0</v>
      </c>
      <c r="E75" s="27">
        <f t="shared" si="21"/>
        <v>0</v>
      </c>
      <c r="F75" s="29">
        <f t="shared" si="22"/>
        <v>0</v>
      </c>
      <c r="G75" s="30">
        <v>0</v>
      </c>
      <c r="H75" s="31">
        <v>0</v>
      </c>
      <c r="I75" s="32">
        <v>0</v>
      </c>
      <c r="J75" s="77"/>
      <c r="K75" s="33">
        <v>0</v>
      </c>
      <c r="L75" s="34">
        <v>0</v>
      </c>
      <c r="M75" s="34">
        <v>0</v>
      </c>
      <c r="N75" s="62"/>
      <c r="O75" s="34">
        <v>0</v>
      </c>
      <c r="P75" s="34">
        <v>0</v>
      </c>
      <c r="Q75" s="34">
        <v>0</v>
      </c>
      <c r="R75" s="62"/>
      <c r="S75" s="37">
        <v>0</v>
      </c>
      <c r="T75" s="34">
        <v>0</v>
      </c>
      <c r="U75" s="34">
        <v>0</v>
      </c>
      <c r="V75" s="62"/>
      <c r="W75" s="38">
        <v>0</v>
      </c>
      <c r="X75" s="31">
        <v>0</v>
      </c>
      <c r="Y75" s="31">
        <v>0</v>
      </c>
      <c r="Z75" s="78"/>
      <c r="AA75" s="37">
        <v>0</v>
      </c>
      <c r="AB75" s="34">
        <v>0</v>
      </c>
      <c r="AC75" s="34">
        <v>0</v>
      </c>
      <c r="AD75" s="64"/>
      <c r="AE75" s="79"/>
      <c r="AF75" s="64"/>
      <c r="AG75" s="43">
        <f t="shared" si="16"/>
        <v>0</v>
      </c>
      <c r="AH75" s="44">
        <f t="shared" si="16"/>
        <v>0</v>
      </c>
      <c r="AI75" s="44">
        <f t="shared" si="16"/>
        <v>0</v>
      </c>
      <c r="AJ75" s="45">
        <f t="shared" si="16"/>
        <v>0</v>
      </c>
      <c r="AK75" s="80">
        <f t="shared" si="17"/>
        <v>0</v>
      </c>
      <c r="AL75" s="47">
        <v>0.75</v>
      </c>
      <c r="AM75" s="48">
        <f t="shared" si="24"/>
        <v>0</v>
      </c>
      <c r="AN75" s="48">
        <f t="shared" si="25"/>
        <v>0</v>
      </c>
      <c r="AO75" s="49">
        <f t="shared" si="23"/>
        <v>0</v>
      </c>
      <c r="AP75" s="49">
        <f t="shared" si="18"/>
        <v>0</v>
      </c>
      <c r="AQ75" s="50">
        <f t="shared" si="19"/>
        <v>0</v>
      </c>
      <c r="AR75" s="117"/>
      <c r="AS75" s="82"/>
      <c r="AT75" s="83"/>
      <c r="AU75" s="84"/>
      <c r="AV75" s="85"/>
      <c r="AW75" s="86"/>
      <c r="AX75" s="86"/>
      <c r="AY75" s="82"/>
      <c r="AZ75" s="87"/>
    </row>
    <row r="76" spans="1:52" ht="16.5" thickBot="1" x14ac:dyDescent="0.3">
      <c r="A76" s="74">
        <v>1000</v>
      </c>
      <c r="B76" s="75" t="s">
        <v>65</v>
      </c>
      <c r="C76" s="76"/>
      <c r="D76" s="26">
        <f t="shared" si="20"/>
        <v>0</v>
      </c>
      <c r="E76" s="27">
        <f t="shared" si="21"/>
        <v>0</v>
      </c>
      <c r="F76" s="29">
        <f t="shared" si="22"/>
        <v>0</v>
      </c>
      <c r="G76" s="30">
        <v>0</v>
      </c>
      <c r="H76" s="31">
        <v>0</v>
      </c>
      <c r="I76" s="32">
        <v>0</v>
      </c>
      <c r="J76" s="77"/>
      <c r="K76" s="33">
        <v>0</v>
      </c>
      <c r="L76" s="34">
        <v>0</v>
      </c>
      <c r="M76" s="34">
        <v>0</v>
      </c>
      <c r="N76" s="62"/>
      <c r="O76" s="34">
        <v>0</v>
      </c>
      <c r="P76" s="34">
        <v>0</v>
      </c>
      <c r="Q76" s="34">
        <v>0</v>
      </c>
      <c r="R76" s="62"/>
      <c r="S76" s="37">
        <v>0</v>
      </c>
      <c r="T76" s="34">
        <v>0</v>
      </c>
      <c r="U76" s="34">
        <v>0</v>
      </c>
      <c r="V76" s="62"/>
      <c r="W76" s="38">
        <v>0</v>
      </c>
      <c r="X76" s="31">
        <v>0</v>
      </c>
      <c r="Y76" s="31">
        <v>0</v>
      </c>
      <c r="Z76" s="78"/>
      <c r="AA76" s="37">
        <v>0</v>
      </c>
      <c r="AB76" s="34">
        <v>0</v>
      </c>
      <c r="AC76" s="34">
        <v>0</v>
      </c>
      <c r="AD76" s="64"/>
      <c r="AE76" s="79"/>
      <c r="AF76" s="64"/>
      <c r="AG76" s="43">
        <f t="shared" si="16"/>
        <v>0</v>
      </c>
      <c r="AH76" s="44">
        <f t="shared" si="16"/>
        <v>0</v>
      </c>
      <c r="AI76" s="44">
        <f t="shared" si="16"/>
        <v>0</v>
      </c>
      <c r="AJ76" s="45">
        <f t="shared" si="16"/>
        <v>0</v>
      </c>
      <c r="AK76" s="80">
        <f t="shared" si="17"/>
        <v>0</v>
      </c>
      <c r="AL76" s="47">
        <v>0.75</v>
      </c>
      <c r="AM76" s="48">
        <f t="shared" si="24"/>
        <v>0</v>
      </c>
      <c r="AN76" s="48">
        <f t="shared" si="25"/>
        <v>0</v>
      </c>
      <c r="AO76" s="49">
        <f t="shared" si="23"/>
        <v>0</v>
      </c>
      <c r="AP76" s="49">
        <f t="shared" si="18"/>
        <v>0</v>
      </c>
      <c r="AQ76" s="50">
        <f t="shared" si="19"/>
        <v>0</v>
      </c>
      <c r="AR76" s="117"/>
      <c r="AS76" s="82"/>
      <c r="AT76" s="83"/>
      <c r="AU76" s="84"/>
      <c r="AV76" s="85"/>
      <c r="AW76" s="86"/>
      <c r="AX76" s="86"/>
      <c r="AY76" s="82"/>
      <c r="AZ76" s="87"/>
    </row>
    <row r="77" spans="1:52" ht="16.5" thickBot="1" x14ac:dyDescent="0.3">
      <c r="A77" s="74">
        <v>1000</v>
      </c>
      <c r="B77" s="75" t="s">
        <v>66</v>
      </c>
      <c r="C77" s="76"/>
      <c r="D77" s="26">
        <f t="shared" si="20"/>
        <v>0</v>
      </c>
      <c r="E77" s="27">
        <f t="shared" si="21"/>
        <v>0</v>
      </c>
      <c r="F77" s="29">
        <f t="shared" si="22"/>
        <v>0</v>
      </c>
      <c r="G77" s="30">
        <v>0</v>
      </c>
      <c r="H77" s="31">
        <v>0</v>
      </c>
      <c r="I77" s="32">
        <v>0</v>
      </c>
      <c r="J77" s="77"/>
      <c r="K77" s="33">
        <v>0</v>
      </c>
      <c r="L77" s="34">
        <v>0</v>
      </c>
      <c r="M77" s="34">
        <v>0</v>
      </c>
      <c r="N77" s="62"/>
      <c r="O77" s="34">
        <v>0</v>
      </c>
      <c r="P77" s="34">
        <v>0</v>
      </c>
      <c r="Q77" s="34">
        <v>0</v>
      </c>
      <c r="R77" s="62"/>
      <c r="S77" s="37">
        <v>0</v>
      </c>
      <c r="T77" s="34">
        <v>0</v>
      </c>
      <c r="U77" s="34">
        <v>0</v>
      </c>
      <c r="V77" s="62"/>
      <c r="W77" s="38">
        <v>0</v>
      </c>
      <c r="X77" s="31">
        <v>0</v>
      </c>
      <c r="Y77" s="31">
        <v>0</v>
      </c>
      <c r="Z77" s="78"/>
      <c r="AA77" s="37">
        <v>0</v>
      </c>
      <c r="AB77" s="34">
        <v>0</v>
      </c>
      <c r="AC77" s="34">
        <v>0</v>
      </c>
      <c r="AD77" s="64"/>
      <c r="AE77" s="79"/>
      <c r="AF77" s="64"/>
      <c r="AG77" s="43">
        <f t="shared" si="16"/>
        <v>0</v>
      </c>
      <c r="AH77" s="44">
        <f t="shared" si="16"/>
        <v>0</v>
      </c>
      <c r="AI77" s="44">
        <f t="shared" si="16"/>
        <v>0</v>
      </c>
      <c r="AJ77" s="45">
        <f t="shared" si="16"/>
        <v>0</v>
      </c>
      <c r="AK77" s="80">
        <f t="shared" si="17"/>
        <v>0</v>
      </c>
      <c r="AL77" s="47">
        <v>0.75</v>
      </c>
      <c r="AM77" s="48">
        <f t="shared" si="24"/>
        <v>0</v>
      </c>
      <c r="AN77" s="48">
        <f t="shared" si="25"/>
        <v>0</v>
      </c>
      <c r="AO77" s="49">
        <f t="shared" si="23"/>
        <v>0</v>
      </c>
      <c r="AP77" s="49">
        <f t="shared" si="18"/>
        <v>0</v>
      </c>
      <c r="AQ77" s="50">
        <f t="shared" si="19"/>
        <v>0</v>
      </c>
      <c r="AR77" s="117"/>
      <c r="AS77" s="82"/>
      <c r="AT77" s="83"/>
      <c r="AU77" s="84"/>
      <c r="AV77" s="85"/>
      <c r="AW77" s="86"/>
      <c r="AX77" s="86"/>
      <c r="AY77" s="82"/>
      <c r="AZ77" s="87"/>
    </row>
    <row r="78" spans="1:52" ht="16.5" thickBot="1" x14ac:dyDescent="0.3">
      <c r="A78" s="74">
        <v>1000</v>
      </c>
      <c r="B78" s="75" t="s">
        <v>67</v>
      </c>
      <c r="C78" s="76"/>
      <c r="D78" s="26">
        <f t="shared" si="20"/>
        <v>0</v>
      </c>
      <c r="E78" s="27">
        <f t="shared" si="21"/>
        <v>0</v>
      </c>
      <c r="F78" s="29">
        <f t="shared" si="22"/>
        <v>0</v>
      </c>
      <c r="G78" s="30">
        <v>0</v>
      </c>
      <c r="H78" s="31">
        <v>0</v>
      </c>
      <c r="I78" s="32">
        <v>0</v>
      </c>
      <c r="J78" s="77"/>
      <c r="K78" s="33">
        <v>0</v>
      </c>
      <c r="L78" s="34">
        <v>0</v>
      </c>
      <c r="M78" s="34">
        <v>0</v>
      </c>
      <c r="N78" s="62"/>
      <c r="O78" s="34">
        <v>0</v>
      </c>
      <c r="P78" s="34">
        <v>0</v>
      </c>
      <c r="Q78" s="34">
        <v>0</v>
      </c>
      <c r="R78" s="62"/>
      <c r="S78" s="37">
        <v>0</v>
      </c>
      <c r="T78" s="34">
        <v>0</v>
      </c>
      <c r="U78" s="34">
        <v>0</v>
      </c>
      <c r="V78" s="62"/>
      <c r="W78" s="38">
        <v>0</v>
      </c>
      <c r="X78" s="31">
        <v>0</v>
      </c>
      <c r="Y78" s="31">
        <v>0</v>
      </c>
      <c r="Z78" s="78"/>
      <c r="AA78" s="37">
        <v>0</v>
      </c>
      <c r="AB78" s="34">
        <v>0</v>
      </c>
      <c r="AC78" s="34">
        <v>0</v>
      </c>
      <c r="AD78" s="64"/>
      <c r="AE78" s="79"/>
      <c r="AF78" s="64"/>
      <c r="AG78" s="43">
        <f t="shared" si="16"/>
        <v>0</v>
      </c>
      <c r="AH78" s="44">
        <f t="shared" si="16"/>
        <v>0</v>
      </c>
      <c r="AI78" s="44">
        <f t="shared" si="16"/>
        <v>0</v>
      </c>
      <c r="AJ78" s="45">
        <f t="shared" si="16"/>
        <v>0</v>
      </c>
      <c r="AK78" s="80">
        <f t="shared" si="17"/>
        <v>0</v>
      </c>
      <c r="AL78" s="47">
        <v>0.75</v>
      </c>
      <c r="AM78" s="48">
        <f t="shared" si="24"/>
        <v>0</v>
      </c>
      <c r="AN78" s="48">
        <f t="shared" si="25"/>
        <v>0</v>
      </c>
      <c r="AO78" s="49">
        <f t="shared" si="23"/>
        <v>0</v>
      </c>
      <c r="AP78" s="49">
        <f t="shared" si="18"/>
        <v>0</v>
      </c>
      <c r="AQ78" s="50">
        <f t="shared" si="19"/>
        <v>0</v>
      </c>
      <c r="AR78" s="117"/>
      <c r="AS78" s="82"/>
      <c r="AT78" s="83"/>
      <c r="AU78" s="84"/>
      <c r="AV78" s="85"/>
      <c r="AW78" s="86"/>
      <c r="AX78" s="86"/>
      <c r="AY78" s="82"/>
      <c r="AZ78" s="87"/>
    </row>
    <row r="79" spans="1:52" ht="16.5" thickBot="1" x14ac:dyDescent="0.3">
      <c r="A79" s="74">
        <v>145</v>
      </c>
      <c r="B79" s="75" t="s">
        <v>72</v>
      </c>
      <c r="C79" s="76">
        <v>684</v>
      </c>
      <c r="D79" s="26">
        <f t="shared" si="20"/>
        <v>228</v>
      </c>
      <c r="E79" s="27">
        <f t="shared" si="21"/>
        <v>228</v>
      </c>
      <c r="F79" s="29">
        <f t="shared" si="22"/>
        <v>228</v>
      </c>
      <c r="G79" s="30">
        <v>0</v>
      </c>
      <c r="H79" s="31">
        <v>0</v>
      </c>
      <c r="I79" s="32">
        <v>0</v>
      </c>
      <c r="J79" s="77"/>
      <c r="K79" s="33">
        <v>0</v>
      </c>
      <c r="L79" s="34">
        <v>0</v>
      </c>
      <c r="M79" s="34">
        <v>0</v>
      </c>
      <c r="N79" s="62"/>
      <c r="O79" s="34">
        <v>0</v>
      </c>
      <c r="P79" s="34">
        <v>0</v>
      </c>
      <c r="Q79" s="34">
        <v>0</v>
      </c>
      <c r="R79" s="62"/>
      <c r="S79" s="37">
        <v>0</v>
      </c>
      <c r="T79" s="34">
        <v>0</v>
      </c>
      <c r="U79" s="34">
        <v>0</v>
      </c>
      <c r="V79" s="62"/>
      <c r="W79" s="38">
        <v>0</v>
      </c>
      <c r="X79" s="31">
        <v>0</v>
      </c>
      <c r="Y79" s="31">
        <v>0</v>
      </c>
      <c r="Z79" s="78"/>
      <c r="AA79" s="37">
        <v>0</v>
      </c>
      <c r="AB79" s="34">
        <v>0</v>
      </c>
      <c r="AC79" s="34">
        <v>0</v>
      </c>
      <c r="AD79" s="64"/>
      <c r="AE79" s="79"/>
      <c r="AF79" s="64"/>
      <c r="AG79" s="43">
        <f t="shared" si="16"/>
        <v>0</v>
      </c>
      <c r="AH79" s="44">
        <f t="shared" si="16"/>
        <v>0</v>
      </c>
      <c r="AI79" s="44">
        <f t="shared" si="16"/>
        <v>0</v>
      </c>
      <c r="AJ79" s="45">
        <f t="shared" si="16"/>
        <v>0</v>
      </c>
      <c r="AK79" s="80">
        <f t="shared" si="17"/>
        <v>0</v>
      </c>
      <c r="AL79" s="47">
        <v>0.75</v>
      </c>
      <c r="AM79" s="48">
        <f t="shared" si="24"/>
        <v>0</v>
      </c>
      <c r="AN79" s="48">
        <f t="shared" si="25"/>
        <v>0</v>
      </c>
      <c r="AO79" s="49">
        <f t="shared" si="23"/>
        <v>0</v>
      </c>
      <c r="AP79" s="49">
        <f t="shared" si="18"/>
        <v>0</v>
      </c>
      <c r="AQ79" s="50">
        <f t="shared" si="19"/>
        <v>0</v>
      </c>
      <c r="AR79" s="81">
        <v>17.920000000000002</v>
      </c>
      <c r="AS79" s="82">
        <v>2.5799999999999983</v>
      </c>
      <c r="AT79" s="83">
        <f>AK79*AS79</f>
        <v>0</v>
      </c>
      <c r="AU79" s="84">
        <f>AK79*AL79</f>
        <v>0</v>
      </c>
      <c r="AV79" s="85">
        <v>0</v>
      </c>
      <c r="AW79" s="86"/>
      <c r="AX79" s="86"/>
      <c r="AY79" s="82"/>
      <c r="AZ79" s="87">
        <f>AT79-AU79-AW79-AX79-AY79</f>
        <v>0</v>
      </c>
    </row>
    <row r="80" spans="1:52" ht="16.5" thickBot="1" x14ac:dyDescent="0.3">
      <c r="A80" s="74"/>
      <c r="B80" s="75" t="s">
        <v>73</v>
      </c>
      <c r="C80" s="76"/>
      <c r="D80" s="26">
        <f t="shared" si="20"/>
        <v>0</v>
      </c>
      <c r="E80" s="27">
        <f t="shared" si="21"/>
        <v>0</v>
      </c>
      <c r="F80" s="29">
        <f t="shared" si="22"/>
        <v>0</v>
      </c>
      <c r="G80" s="30">
        <v>0</v>
      </c>
      <c r="H80" s="31">
        <v>0</v>
      </c>
      <c r="I80" s="32">
        <v>0</v>
      </c>
      <c r="J80" s="77"/>
      <c r="K80" s="33">
        <v>0</v>
      </c>
      <c r="L80" s="34">
        <v>0</v>
      </c>
      <c r="M80" s="34">
        <v>0</v>
      </c>
      <c r="N80" s="62"/>
      <c r="O80" s="34">
        <v>0</v>
      </c>
      <c r="P80" s="34">
        <v>0</v>
      </c>
      <c r="Q80" s="34">
        <v>0</v>
      </c>
      <c r="R80" s="62"/>
      <c r="S80" s="37">
        <v>0</v>
      </c>
      <c r="T80" s="34">
        <v>0</v>
      </c>
      <c r="U80" s="34">
        <v>0</v>
      </c>
      <c r="V80" s="62"/>
      <c r="W80" s="38">
        <v>0</v>
      </c>
      <c r="X80" s="31">
        <v>0</v>
      </c>
      <c r="Y80" s="31">
        <v>0</v>
      </c>
      <c r="Z80" s="78"/>
      <c r="AA80" s="37">
        <v>0</v>
      </c>
      <c r="AB80" s="34">
        <v>0</v>
      </c>
      <c r="AC80" s="34">
        <v>0</v>
      </c>
      <c r="AD80" s="64"/>
      <c r="AE80" s="79"/>
      <c r="AF80" s="64"/>
      <c r="AG80" s="43">
        <f t="shared" si="16"/>
        <v>0</v>
      </c>
      <c r="AH80" s="44">
        <f t="shared" si="16"/>
        <v>0</v>
      </c>
      <c r="AI80" s="44">
        <f t="shared" si="16"/>
        <v>0</v>
      </c>
      <c r="AJ80" s="45">
        <f t="shared" si="16"/>
        <v>0</v>
      </c>
      <c r="AK80" s="80">
        <f t="shared" si="17"/>
        <v>0</v>
      </c>
      <c r="AL80" s="47">
        <v>0.75</v>
      </c>
      <c r="AM80" s="48">
        <f t="shared" si="24"/>
        <v>0</v>
      </c>
      <c r="AN80" s="48">
        <f t="shared" si="25"/>
        <v>0</v>
      </c>
      <c r="AO80" s="49">
        <f t="shared" si="23"/>
        <v>0</v>
      </c>
      <c r="AP80" s="49">
        <f t="shared" si="18"/>
        <v>0</v>
      </c>
      <c r="AQ80" s="50">
        <f t="shared" si="19"/>
        <v>0</v>
      </c>
      <c r="AR80" s="81"/>
      <c r="AS80" s="82"/>
      <c r="AT80" s="83"/>
      <c r="AU80" s="84"/>
      <c r="AV80" s="85"/>
      <c r="AW80" s="86"/>
      <c r="AX80" s="86"/>
      <c r="AY80" s="82"/>
      <c r="AZ80" s="87"/>
    </row>
    <row r="81" spans="1:52" ht="16.5" thickBot="1" x14ac:dyDescent="0.3">
      <c r="A81" s="74"/>
      <c r="B81" s="75" t="s">
        <v>74</v>
      </c>
      <c r="C81" s="76"/>
      <c r="D81" s="26">
        <f t="shared" si="20"/>
        <v>0</v>
      </c>
      <c r="E81" s="27">
        <f t="shared" si="21"/>
        <v>0</v>
      </c>
      <c r="F81" s="29">
        <f t="shared" si="22"/>
        <v>0</v>
      </c>
      <c r="G81" s="30">
        <v>0</v>
      </c>
      <c r="H81" s="31">
        <v>0</v>
      </c>
      <c r="I81" s="32">
        <v>0</v>
      </c>
      <c r="J81" s="77"/>
      <c r="K81" s="33">
        <v>0</v>
      </c>
      <c r="L81" s="34">
        <v>0</v>
      </c>
      <c r="M81" s="34">
        <v>0</v>
      </c>
      <c r="N81" s="62"/>
      <c r="O81" s="34">
        <v>0</v>
      </c>
      <c r="P81" s="34">
        <v>0</v>
      </c>
      <c r="Q81" s="34">
        <v>0</v>
      </c>
      <c r="R81" s="62"/>
      <c r="S81" s="37">
        <v>0</v>
      </c>
      <c r="T81" s="34">
        <v>0</v>
      </c>
      <c r="U81" s="34">
        <v>0</v>
      </c>
      <c r="V81" s="62"/>
      <c r="W81" s="38">
        <v>0</v>
      </c>
      <c r="X81" s="31">
        <v>0</v>
      </c>
      <c r="Y81" s="31">
        <v>0</v>
      </c>
      <c r="Z81" s="78"/>
      <c r="AA81" s="37">
        <v>0</v>
      </c>
      <c r="AB81" s="34">
        <v>0</v>
      </c>
      <c r="AC81" s="34">
        <v>0</v>
      </c>
      <c r="AD81" s="64"/>
      <c r="AE81" s="79"/>
      <c r="AF81" s="64"/>
      <c r="AG81" s="43">
        <f t="shared" si="16"/>
        <v>0</v>
      </c>
      <c r="AH81" s="44">
        <f t="shared" si="16"/>
        <v>0</v>
      </c>
      <c r="AI81" s="44">
        <f t="shared" si="16"/>
        <v>0</v>
      </c>
      <c r="AJ81" s="45">
        <f t="shared" si="16"/>
        <v>0</v>
      </c>
      <c r="AK81" s="80">
        <f t="shared" si="17"/>
        <v>0</v>
      </c>
      <c r="AL81" s="47">
        <v>0.75</v>
      </c>
      <c r="AM81" s="48">
        <f t="shared" si="24"/>
        <v>0</v>
      </c>
      <c r="AN81" s="48">
        <f t="shared" si="25"/>
        <v>0</v>
      </c>
      <c r="AO81" s="49">
        <f t="shared" si="23"/>
        <v>0</v>
      </c>
      <c r="AP81" s="49">
        <f t="shared" si="18"/>
        <v>0</v>
      </c>
      <c r="AQ81" s="50">
        <f t="shared" si="19"/>
        <v>0</v>
      </c>
      <c r="AR81" s="81"/>
      <c r="AS81" s="82"/>
      <c r="AT81" s="83"/>
      <c r="AU81" s="84"/>
      <c r="AV81" s="85"/>
      <c r="AW81" s="86"/>
      <c r="AX81" s="86"/>
      <c r="AY81" s="82"/>
      <c r="AZ81" s="87"/>
    </row>
    <row r="82" spans="1:52" ht="16.5" thickBot="1" x14ac:dyDescent="0.3">
      <c r="A82" s="74">
        <v>360</v>
      </c>
      <c r="B82" s="118" t="s">
        <v>75</v>
      </c>
      <c r="C82" s="76"/>
      <c r="D82" s="26">
        <f t="shared" si="20"/>
        <v>0</v>
      </c>
      <c r="E82" s="27">
        <f t="shared" si="21"/>
        <v>0</v>
      </c>
      <c r="F82" s="29">
        <f t="shared" si="22"/>
        <v>0</v>
      </c>
      <c r="G82" s="30">
        <v>0</v>
      </c>
      <c r="H82" s="31">
        <v>0</v>
      </c>
      <c r="I82" s="32">
        <v>0</v>
      </c>
      <c r="J82" s="77"/>
      <c r="K82" s="33">
        <v>0</v>
      </c>
      <c r="L82" s="34">
        <v>0</v>
      </c>
      <c r="M82" s="34">
        <v>0</v>
      </c>
      <c r="N82" s="62"/>
      <c r="O82" s="34">
        <v>0</v>
      </c>
      <c r="P82" s="34">
        <v>0</v>
      </c>
      <c r="Q82" s="34">
        <v>0</v>
      </c>
      <c r="R82" s="62"/>
      <c r="S82" s="37">
        <v>0</v>
      </c>
      <c r="T82" s="34">
        <v>0</v>
      </c>
      <c r="U82" s="34">
        <v>0</v>
      </c>
      <c r="V82" s="62"/>
      <c r="W82" s="38">
        <v>0</v>
      </c>
      <c r="X82" s="31">
        <v>0</v>
      </c>
      <c r="Y82" s="31">
        <v>0</v>
      </c>
      <c r="Z82" s="78"/>
      <c r="AA82" s="37">
        <v>0</v>
      </c>
      <c r="AB82" s="34">
        <v>0</v>
      </c>
      <c r="AC82" s="34">
        <v>0</v>
      </c>
      <c r="AD82" s="64"/>
      <c r="AE82" s="79"/>
      <c r="AF82" s="64"/>
      <c r="AG82" s="43">
        <f t="shared" si="16"/>
        <v>0</v>
      </c>
      <c r="AH82" s="44">
        <f t="shared" si="16"/>
        <v>0</v>
      </c>
      <c r="AI82" s="44">
        <f t="shared" si="16"/>
        <v>0</v>
      </c>
      <c r="AJ82" s="45">
        <f t="shared" si="16"/>
        <v>0</v>
      </c>
      <c r="AK82" s="80">
        <f t="shared" si="17"/>
        <v>0</v>
      </c>
      <c r="AL82" s="47">
        <v>0.44</v>
      </c>
      <c r="AM82" s="48">
        <f t="shared" si="24"/>
        <v>0</v>
      </c>
      <c r="AN82" s="48">
        <f t="shared" si="25"/>
        <v>0</v>
      </c>
      <c r="AO82" s="49">
        <f t="shared" si="23"/>
        <v>0</v>
      </c>
      <c r="AP82" s="49">
        <f t="shared" si="18"/>
        <v>0</v>
      </c>
      <c r="AQ82" s="50">
        <f t="shared" si="19"/>
        <v>0</v>
      </c>
      <c r="AR82" s="81">
        <v>11.75</v>
      </c>
      <c r="AS82" s="82">
        <v>1.25</v>
      </c>
      <c r="AT82" s="83">
        <f>AK82*AS82</f>
        <v>0</v>
      </c>
      <c r="AU82" s="84">
        <f>AK82*AL82</f>
        <v>0</v>
      </c>
      <c r="AV82" s="85">
        <v>0</v>
      </c>
      <c r="AW82" s="86"/>
      <c r="AX82" s="86"/>
      <c r="AY82" s="82"/>
      <c r="AZ82" s="87">
        <f>AT82-AU82-AW82-AX82-AY82</f>
        <v>0</v>
      </c>
    </row>
    <row r="83" spans="1:52" ht="16.5" thickBot="1" x14ac:dyDescent="0.3">
      <c r="A83" s="74"/>
      <c r="B83" s="118" t="s">
        <v>76</v>
      </c>
      <c r="C83" s="76"/>
      <c r="D83" s="26">
        <f t="shared" si="20"/>
        <v>0</v>
      </c>
      <c r="E83" s="27">
        <f t="shared" si="21"/>
        <v>0</v>
      </c>
      <c r="F83" s="29">
        <f t="shared" si="22"/>
        <v>0</v>
      </c>
      <c r="G83" s="30">
        <v>0</v>
      </c>
      <c r="H83" s="31">
        <v>0</v>
      </c>
      <c r="I83" s="32">
        <v>0</v>
      </c>
      <c r="J83" s="77"/>
      <c r="K83" s="33">
        <v>0</v>
      </c>
      <c r="L83" s="34">
        <v>0</v>
      </c>
      <c r="M83" s="34">
        <v>0</v>
      </c>
      <c r="N83" s="62"/>
      <c r="O83" s="34">
        <v>0</v>
      </c>
      <c r="P83" s="34">
        <v>0</v>
      </c>
      <c r="Q83" s="34">
        <v>0</v>
      </c>
      <c r="R83" s="62"/>
      <c r="S83" s="37">
        <v>0</v>
      </c>
      <c r="T83" s="34">
        <v>0</v>
      </c>
      <c r="U83" s="34">
        <v>0</v>
      </c>
      <c r="V83" s="62"/>
      <c r="W83" s="38">
        <v>0</v>
      </c>
      <c r="X83" s="31">
        <v>0</v>
      </c>
      <c r="Y83" s="31">
        <v>0</v>
      </c>
      <c r="Z83" s="78"/>
      <c r="AA83" s="37">
        <v>0</v>
      </c>
      <c r="AB83" s="34">
        <v>0</v>
      </c>
      <c r="AC83" s="34">
        <v>0</v>
      </c>
      <c r="AD83" s="64"/>
      <c r="AE83" s="79"/>
      <c r="AF83" s="64"/>
      <c r="AG83" s="43">
        <f t="shared" si="16"/>
        <v>0</v>
      </c>
      <c r="AH83" s="44">
        <f t="shared" si="16"/>
        <v>0</v>
      </c>
      <c r="AI83" s="44">
        <f t="shared" si="16"/>
        <v>0</v>
      </c>
      <c r="AJ83" s="45">
        <f t="shared" si="16"/>
        <v>0</v>
      </c>
      <c r="AK83" s="80">
        <f t="shared" si="17"/>
        <v>0</v>
      </c>
      <c r="AL83" s="47">
        <v>0.44</v>
      </c>
      <c r="AM83" s="48">
        <f t="shared" si="24"/>
        <v>0</v>
      </c>
      <c r="AN83" s="48">
        <f t="shared" si="25"/>
        <v>0</v>
      </c>
      <c r="AO83" s="49">
        <f t="shared" si="23"/>
        <v>0</v>
      </c>
      <c r="AP83" s="49">
        <f t="shared" si="18"/>
        <v>0</v>
      </c>
      <c r="AQ83" s="50">
        <f t="shared" si="19"/>
        <v>0</v>
      </c>
      <c r="AR83" s="81"/>
      <c r="AS83" s="82"/>
      <c r="AT83" s="83"/>
      <c r="AU83" s="84"/>
      <c r="AV83" s="85"/>
      <c r="AW83" s="86"/>
      <c r="AX83" s="86"/>
      <c r="AY83" s="82"/>
      <c r="AZ83" s="87"/>
    </row>
    <row r="84" spans="1:52" ht="16.5" thickBot="1" x14ac:dyDescent="0.3">
      <c r="A84" s="74"/>
      <c r="B84" s="118" t="s">
        <v>77</v>
      </c>
      <c r="C84" s="76"/>
      <c r="D84" s="26">
        <f t="shared" si="20"/>
        <v>0</v>
      </c>
      <c r="E84" s="27">
        <f t="shared" si="21"/>
        <v>0</v>
      </c>
      <c r="F84" s="29">
        <f t="shared" si="22"/>
        <v>0</v>
      </c>
      <c r="G84" s="30">
        <v>0</v>
      </c>
      <c r="H84" s="31">
        <v>0</v>
      </c>
      <c r="I84" s="32">
        <v>0</v>
      </c>
      <c r="J84" s="77"/>
      <c r="K84" s="33">
        <v>0</v>
      </c>
      <c r="L84" s="34">
        <v>0</v>
      </c>
      <c r="M84" s="34">
        <v>0</v>
      </c>
      <c r="N84" s="62"/>
      <c r="O84" s="34">
        <v>0</v>
      </c>
      <c r="P84" s="34">
        <v>0</v>
      </c>
      <c r="Q84" s="34">
        <v>0</v>
      </c>
      <c r="R84" s="62"/>
      <c r="S84" s="37">
        <v>0</v>
      </c>
      <c r="T84" s="34">
        <v>0</v>
      </c>
      <c r="U84" s="34">
        <v>0</v>
      </c>
      <c r="V84" s="62"/>
      <c r="W84" s="38">
        <v>0</v>
      </c>
      <c r="X84" s="31">
        <v>0</v>
      </c>
      <c r="Y84" s="31">
        <v>0</v>
      </c>
      <c r="Z84" s="78"/>
      <c r="AA84" s="37">
        <v>0</v>
      </c>
      <c r="AB84" s="34">
        <v>0</v>
      </c>
      <c r="AC84" s="34">
        <v>0</v>
      </c>
      <c r="AD84" s="64"/>
      <c r="AE84" s="79"/>
      <c r="AF84" s="64"/>
      <c r="AG84" s="43">
        <f t="shared" si="16"/>
        <v>0</v>
      </c>
      <c r="AH84" s="44">
        <f t="shared" si="16"/>
        <v>0</v>
      </c>
      <c r="AI84" s="44">
        <f t="shared" si="16"/>
        <v>0</v>
      </c>
      <c r="AJ84" s="45">
        <f t="shared" si="16"/>
        <v>0</v>
      </c>
      <c r="AK84" s="80">
        <f t="shared" si="17"/>
        <v>0</v>
      </c>
      <c r="AL84" s="47">
        <v>0.44</v>
      </c>
      <c r="AM84" s="48">
        <f t="shared" si="24"/>
        <v>0</v>
      </c>
      <c r="AN84" s="48">
        <f t="shared" si="25"/>
        <v>0</v>
      </c>
      <c r="AO84" s="49">
        <f t="shared" si="23"/>
        <v>0</v>
      </c>
      <c r="AP84" s="49">
        <f t="shared" si="18"/>
        <v>0</v>
      </c>
      <c r="AQ84" s="50">
        <f t="shared" si="19"/>
        <v>0</v>
      </c>
      <c r="AR84" s="81"/>
      <c r="AS84" s="82"/>
      <c r="AT84" s="83"/>
      <c r="AU84" s="84"/>
      <c r="AV84" s="85"/>
      <c r="AW84" s="86"/>
      <c r="AX84" s="86"/>
      <c r="AY84" s="82"/>
      <c r="AZ84" s="87"/>
    </row>
    <row r="85" spans="1:52" ht="16.5" thickBot="1" x14ac:dyDescent="0.3">
      <c r="A85" s="74"/>
      <c r="B85" s="75" t="s">
        <v>78</v>
      </c>
      <c r="C85" s="76"/>
      <c r="D85" s="26">
        <f t="shared" si="20"/>
        <v>0</v>
      </c>
      <c r="E85" s="27">
        <f t="shared" si="21"/>
        <v>0</v>
      </c>
      <c r="F85" s="29">
        <f t="shared" si="22"/>
        <v>0</v>
      </c>
      <c r="G85" s="30">
        <v>0</v>
      </c>
      <c r="H85" s="31">
        <v>0</v>
      </c>
      <c r="I85" s="32">
        <v>0</v>
      </c>
      <c r="J85" s="77"/>
      <c r="K85" s="33">
        <v>0</v>
      </c>
      <c r="L85" s="34">
        <v>0</v>
      </c>
      <c r="M85" s="34">
        <v>0</v>
      </c>
      <c r="N85" s="62"/>
      <c r="O85" s="34">
        <v>0</v>
      </c>
      <c r="P85" s="34">
        <v>0</v>
      </c>
      <c r="Q85" s="34">
        <v>0</v>
      </c>
      <c r="R85" s="62"/>
      <c r="S85" s="37">
        <v>0</v>
      </c>
      <c r="T85" s="34">
        <v>0</v>
      </c>
      <c r="U85" s="34">
        <v>0</v>
      </c>
      <c r="V85" s="62"/>
      <c r="W85" s="38">
        <v>0</v>
      </c>
      <c r="X85" s="31">
        <v>0</v>
      </c>
      <c r="Y85" s="31">
        <v>0</v>
      </c>
      <c r="Z85" s="78"/>
      <c r="AA85" s="37">
        <v>0</v>
      </c>
      <c r="AB85" s="34">
        <v>0</v>
      </c>
      <c r="AC85" s="34">
        <v>0</v>
      </c>
      <c r="AD85" s="64"/>
      <c r="AE85" s="79"/>
      <c r="AF85" s="64"/>
      <c r="AG85" s="43">
        <f t="shared" si="16"/>
        <v>0</v>
      </c>
      <c r="AH85" s="44">
        <f t="shared" si="16"/>
        <v>0</v>
      </c>
      <c r="AI85" s="44">
        <f t="shared" si="16"/>
        <v>0</v>
      </c>
      <c r="AJ85" s="45">
        <f t="shared" si="16"/>
        <v>0</v>
      </c>
      <c r="AK85" s="80">
        <f t="shared" si="17"/>
        <v>0</v>
      </c>
      <c r="AL85" s="47">
        <v>0.44</v>
      </c>
      <c r="AM85" s="48">
        <f t="shared" si="24"/>
        <v>0</v>
      </c>
      <c r="AN85" s="48">
        <f t="shared" si="25"/>
        <v>0</v>
      </c>
      <c r="AO85" s="49">
        <f t="shared" si="23"/>
        <v>0</v>
      </c>
      <c r="AP85" s="49">
        <f t="shared" si="18"/>
        <v>0</v>
      </c>
      <c r="AQ85" s="50">
        <f t="shared" si="19"/>
        <v>0</v>
      </c>
      <c r="AR85" s="81"/>
      <c r="AS85" s="82"/>
      <c r="AT85" s="83"/>
      <c r="AU85" s="84"/>
      <c r="AV85" s="85"/>
      <c r="AW85" s="86"/>
      <c r="AX85" s="86"/>
      <c r="AY85" s="82"/>
      <c r="AZ85" s="87"/>
    </row>
    <row r="86" spans="1:52" ht="16.5" thickBot="1" x14ac:dyDescent="0.3">
      <c r="A86" s="74"/>
      <c r="B86" s="75" t="s">
        <v>79</v>
      </c>
      <c r="C86" s="76"/>
      <c r="D86" s="26">
        <f t="shared" si="20"/>
        <v>0</v>
      </c>
      <c r="E86" s="27">
        <f t="shared" si="21"/>
        <v>0</v>
      </c>
      <c r="F86" s="29">
        <f t="shared" si="22"/>
        <v>0</v>
      </c>
      <c r="G86" s="30">
        <v>0</v>
      </c>
      <c r="H86" s="31">
        <v>0</v>
      </c>
      <c r="I86" s="32">
        <v>0</v>
      </c>
      <c r="J86" s="77"/>
      <c r="K86" s="33">
        <v>0</v>
      </c>
      <c r="L86" s="34">
        <v>0</v>
      </c>
      <c r="M86" s="34">
        <v>0</v>
      </c>
      <c r="N86" s="62"/>
      <c r="O86" s="34">
        <v>0</v>
      </c>
      <c r="P86" s="34">
        <v>0</v>
      </c>
      <c r="Q86" s="34">
        <v>0</v>
      </c>
      <c r="R86" s="62"/>
      <c r="S86" s="37">
        <v>0</v>
      </c>
      <c r="T86" s="34">
        <v>0</v>
      </c>
      <c r="U86" s="34">
        <v>0</v>
      </c>
      <c r="V86" s="62"/>
      <c r="W86" s="38">
        <v>0</v>
      </c>
      <c r="X86" s="31">
        <v>0</v>
      </c>
      <c r="Y86" s="31">
        <v>0</v>
      </c>
      <c r="Z86" s="78"/>
      <c r="AA86" s="37">
        <v>0</v>
      </c>
      <c r="AB86" s="34">
        <v>0</v>
      </c>
      <c r="AC86" s="34">
        <v>0</v>
      </c>
      <c r="AD86" s="64"/>
      <c r="AE86" s="79"/>
      <c r="AF86" s="64"/>
      <c r="AG86" s="43">
        <f t="shared" si="16"/>
        <v>0</v>
      </c>
      <c r="AH86" s="44">
        <f t="shared" si="16"/>
        <v>0</v>
      </c>
      <c r="AI86" s="44">
        <f t="shared" si="16"/>
        <v>0</v>
      </c>
      <c r="AJ86" s="45">
        <f t="shared" si="16"/>
        <v>0</v>
      </c>
      <c r="AK86" s="80">
        <f t="shared" si="17"/>
        <v>0</v>
      </c>
      <c r="AL86" s="47">
        <v>0.44</v>
      </c>
      <c r="AM86" s="48">
        <f t="shared" si="24"/>
        <v>0</v>
      </c>
      <c r="AN86" s="48">
        <f t="shared" si="25"/>
        <v>0</v>
      </c>
      <c r="AO86" s="49">
        <f t="shared" si="23"/>
        <v>0</v>
      </c>
      <c r="AP86" s="49">
        <f t="shared" si="18"/>
        <v>0</v>
      </c>
      <c r="AQ86" s="50">
        <f t="shared" si="19"/>
        <v>0</v>
      </c>
      <c r="AR86" s="81"/>
      <c r="AS86" s="82"/>
      <c r="AT86" s="83"/>
      <c r="AU86" s="84"/>
      <c r="AV86" s="85"/>
      <c r="AW86" s="86"/>
      <c r="AX86" s="86"/>
      <c r="AY86" s="82"/>
      <c r="AZ86" s="87"/>
    </row>
    <row r="87" spans="1:52" ht="16.5" thickBot="1" x14ac:dyDescent="0.3">
      <c r="A87" s="74"/>
      <c r="B87" s="75" t="s">
        <v>80</v>
      </c>
      <c r="C87" s="76"/>
      <c r="D87" s="26">
        <f t="shared" si="20"/>
        <v>0</v>
      </c>
      <c r="E87" s="27">
        <f t="shared" si="21"/>
        <v>0</v>
      </c>
      <c r="F87" s="29">
        <f t="shared" si="22"/>
        <v>0</v>
      </c>
      <c r="G87" s="30">
        <v>0</v>
      </c>
      <c r="H87" s="31">
        <v>0</v>
      </c>
      <c r="I87" s="32">
        <v>0</v>
      </c>
      <c r="J87" s="77"/>
      <c r="K87" s="33">
        <v>0</v>
      </c>
      <c r="L87" s="34">
        <v>0</v>
      </c>
      <c r="M87" s="34">
        <v>0</v>
      </c>
      <c r="N87" s="62"/>
      <c r="O87" s="34">
        <v>0</v>
      </c>
      <c r="P87" s="34">
        <v>0</v>
      </c>
      <c r="Q87" s="34">
        <v>0</v>
      </c>
      <c r="R87" s="62"/>
      <c r="S87" s="37">
        <v>0</v>
      </c>
      <c r="T87" s="34">
        <v>0</v>
      </c>
      <c r="U87" s="34">
        <v>0</v>
      </c>
      <c r="V87" s="62"/>
      <c r="W87" s="38">
        <v>0</v>
      </c>
      <c r="X87" s="31">
        <v>0</v>
      </c>
      <c r="Y87" s="31">
        <v>0</v>
      </c>
      <c r="Z87" s="78"/>
      <c r="AA87" s="37">
        <v>0</v>
      </c>
      <c r="AB87" s="34">
        <v>0</v>
      </c>
      <c r="AC87" s="34">
        <v>0</v>
      </c>
      <c r="AD87" s="64"/>
      <c r="AE87" s="79"/>
      <c r="AF87" s="64"/>
      <c r="AG87" s="43">
        <f t="shared" si="16"/>
        <v>0</v>
      </c>
      <c r="AH87" s="44">
        <f t="shared" si="16"/>
        <v>0</v>
      </c>
      <c r="AI87" s="44">
        <f t="shared" si="16"/>
        <v>0</v>
      </c>
      <c r="AJ87" s="45">
        <f t="shared" si="16"/>
        <v>0</v>
      </c>
      <c r="AK87" s="80">
        <f t="shared" si="17"/>
        <v>0</v>
      </c>
      <c r="AL87" s="47">
        <v>0.44</v>
      </c>
      <c r="AM87" s="48">
        <f t="shared" si="24"/>
        <v>0</v>
      </c>
      <c r="AN87" s="48">
        <f t="shared" si="25"/>
        <v>0</v>
      </c>
      <c r="AO87" s="49">
        <f t="shared" si="23"/>
        <v>0</v>
      </c>
      <c r="AP87" s="49">
        <f t="shared" si="18"/>
        <v>0</v>
      </c>
      <c r="AQ87" s="50">
        <f t="shared" si="19"/>
        <v>0</v>
      </c>
      <c r="AR87" s="81"/>
      <c r="AS87" s="82"/>
      <c r="AT87" s="83"/>
      <c r="AU87" s="84"/>
      <c r="AV87" s="85"/>
      <c r="AW87" s="86"/>
      <c r="AX87" s="86"/>
      <c r="AY87" s="82"/>
      <c r="AZ87" s="87"/>
    </row>
    <row r="88" spans="1:52" ht="16.5" thickBot="1" x14ac:dyDescent="0.3">
      <c r="A88" s="74"/>
      <c r="B88" s="75" t="s">
        <v>81</v>
      </c>
      <c r="C88" s="76"/>
      <c r="D88" s="26">
        <f t="shared" si="20"/>
        <v>0</v>
      </c>
      <c r="E88" s="27">
        <f t="shared" si="21"/>
        <v>0</v>
      </c>
      <c r="F88" s="29">
        <f t="shared" si="22"/>
        <v>0</v>
      </c>
      <c r="G88" s="30">
        <v>0</v>
      </c>
      <c r="H88" s="31">
        <v>0</v>
      </c>
      <c r="I88" s="32">
        <v>0</v>
      </c>
      <c r="J88" s="77"/>
      <c r="K88" s="33">
        <v>0</v>
      </c>
      <c r="L88" s="34">
        <v>0</v>
      </c>
      <c r="M88" s="34">
        <v>0</v>
      </c>
      <c r="N88" s="62"/>
      <c r="O88" s="34">
        <v>0</v>
      </c>
      <c r="P88" s="34">
        <v>0</v>
      </c>
      <c r="Q88" s="34">
        <v>0</v>
      </c>
      <c r="R88" s="62"/>
      <c r="S88" s="37">
        <v>0</v>
      </c>
      <c r="T88" s="34">
        <v>0</v>
      </c>
      <c r="U88" s="34">
        <v>0</v>
      </c>
      <c r="V88" s="62"/>
      <c r="W88" s="38">
        <v>0</v>
      </c>
      <c r="X88" s="31">
        <v>0</v>
      </c>
      <c r="Y88" s="31">
        <v>0</v>
      </c>
      <c r="Z88" s="78"/>
      <c r="AA88" s="37">
        <v>0</v>
      </c>
      <c r="AB88" s="34">
        <v>0</v>
      </c>
      <c r="AC88" s="34">
        <v>0</v>
      </c>
      <c r="AD88" s="64"/>
      <c r="AE88" s="79"/>
      <c r="AF88" s="64"/>
      <c r="AG88" s="43">
        <f t="shared" si="16"/>
        <v>0</v>
      </c>
      <c r="AH88" s="44">
        <f t="shared" si="16"/>
        <v>0</v>
      </c>
      <c r="AI88" s="44">
        <f t="shared" si="16"/>
        <v>0</v>
      </c>
      <c r="AJ88" s="45">
        <f>J88+N88+R88+V88+Z88+AD88</f>
        <v>0</v>
      </c>
      <c r="AK88" s="80">
        <f t="shared" si="17"/>
        <v>0</v>
      </c>
      <c r="AL88" s="47">
        <v>0.44</v>
      </c>
      <c r="AM88" s="48">
        <f t="shared" si="24"/>
        <v>0</v>
      </c>
      <c r="AN88" s="48">
        <f t="shared" si="25"/>
        <v>0</v>
      </c>
      <c r="AO88" s="49">
        <f t="shared" si="23"/>
        <v>0</v>
      </c>
      <c r="AP88" s="49">
        <f t="shared" si="18"/>
        <v>0</v>
      </c>
      <c r="AQ88" s="50">
        <f t="shared" si="19"/>
        <v>0</v>
      </c>
      <c r="AR88" s="81"/>
      <c r="AS88" s="82"/>
      <c r="AT88" s="83"/>
      <c r="AU88" s="84"/>
      <c r="AV88" s="85"/>
      <c r="AW88" s="86"/>
      <c r="AX88" s="86"/>
      <c r="AY88" s="82"/>
      <c r="AZ88" s="87"/>
    </row>
    <row r="89" spans="1:52" ht="16.5" thickBot="1" x14ac:dyDescent="0.3">
      <c r="A89" s="74">
        <v>625</v>
      </c>
      <c r="B89" s="75" t="s">
        <v>75</v>
      </c>
      <c r="C89" s="76"/>
      <c r="D89" s="26">
        <f t="shared" si="20"/>
        <v>0</v>
      </c>
      <c r="E89" s="27">
        <f t="shared" si="21"/>
        <v>0</v>
      </c>
      <c r="F89" s="29">
        <f t="shared" si="22"/>
        <v>0</v>
      </c>
      <c r="G89" s="30">
        <v>5</v>
      </c>
      <c r="H89" s="31">
        <v>28</v>
      </c>
      <c r="I89" s="32">
        <v>20</v>
      </c>
      <c r="J89" s="77"/>
      <c r="K89" s="33">
        <v>11</v>
      </c>
      <c r="L89" s="34">
        <v>6</v>
      </c>
      <c r="M89" s="34">
        <v>16</v>
      </c>
      <c r="N89" s="62"/>
      <c r="O89" s="34">
        <v>6</v>
      </c>
      <c r="P89" s="34">
        <v>3</v>
      </c>
      <c r="Q89" s="34">
        <v>9</v>
      </c>
      <c r="R89" s="62"/>
      <c r="S89" s="37">
        <v>27</v>
      </c>
      <c r="T89" s="34">
        <v>33</v>
      </c>
      <c r="U89" s="34">
        <v>24</v>
      </c>
      <c r="V89" s="62"/>
      <c r="W89" s="38">
        <v>9</v>
      </c>
      <c r="X89" s="31">
        <v>24</v>
      </c>
      <c r="Y89" s="31">
        <v>12</v>
      </c>
      <c r="Z89" s="78"/>
      <c r="AA89" s="37">
        <v>25</v>
      </c>
      <c r="AB89" s="34">
        <v>40</v>
      </c>
      <c r="AC89" s="34">
        <v>12</v>
      </c>
      <c r="AD89" s="64"/>
      <c r="AE89" s="79"/>
      <c r="AF89" s="64"/>
      <c r="AG89" s="43">
        <f t="shared" si="16"/>
        <v>83</v>
      </c>
      <c r="AH89" s="44">
        <f t="shared" si="16"/>
        <v>134</v>
      </c>
      <c r="AI89" s="44">
        <f t="shared" si="16"/>
        <v>93</v>
      </c>
      <c r="AJ89" s="45">
        <f>J89+N89+R89+V89+Z89+AD89</f>
        <v>0</v>
      </c>
      <c r="AK89" s="80">
        <f t="shared" si="17"/>
        <v>310</v>
      </c>
      <c r="AL89" s="47">
        <v>0.75</v>
      </c>
      <c r="AM89" s="48">
        <f t="shared" si="24"/>
        <v>62.25</v>
      </c>
      <c r="AN89" s="48">
        <f t="shared" si="25"/>
        <v>100.5</v>
      </c>
      <c r="AO89" s="49">
        <f t="shared" si="23"/>
        <v>69.75</v>
      </c>
      <c r="AP89" s="49">
        <f t="shared" si="18"/>
        <v>0</v>
      </c>
      <c r="AQ89" s="50">
        <f t="shared" si="19"/>
        <v>18600</v>
      </c>
      <c r="AR89" s="81"/>
      <c r="AS89" s="82"/>
      <c r="AT89" s="83">
        <f>AK89*AS89</f>
        <v>0</v>
      </c>
      <c r="AU89" s="84">
        <f>AK89*AL89</f>
        <v>232.5</v>
      </c>
      <c r="AV89" s="85">
        <v>0</v>
      </c>
      <c r="AW89" s="86"/>
      <c r="AX89" s="86"/>
      <c r="AY89" s="82"/>
      <c r="AZ89" s="87"/>
    </row>
    <row r="90" spans="1:52" ht="16.5" thickBot="1" x14ac:dyDescent="0.3">
      <c r="A90" s="74"/>
      <c r="B90" s="75" t="s">
        <v>77</v>
      </c>
      <c r="C90" s="76"/>
      <c r="D90" s="26">
        <f t="shared" si="20"/>
        <v>0</v>
      </c>
      <c r="E90" s="27">
        <f t="shared" si="21"/>
        <v>0</v>
      </c>
      <c r="F90" s="29">
        <f t="shared" si="22"/>
        <v>0</v>
      </c>
      <c r="G90" s="30">
        <v>10</v>
      </c>
      <c r="H90" s="31">
        <v>44</v>
      </c>
      <c r="I90" s="32">
        <v>26</v>
      </c>
      <c r="J90" s="77"/>
      <c r="K90" s="33">
        <v>12</v>
      </c>
      <c r="L90" s="34">
        <v>11</v>
      </c>
      <c r="M90" s="34">
        <v>25</v>
      </c>
      <c r="N90" s="62"/>
      <c r="O90" s="34">
        <v>14</v>
      </c>
      <c r="P90" s="34">
        <v>12</v>
      </c>
      <c r="Q90" s="34">
        <v>11</v>
      </c>
      <c r="R90" s="62"/>
      <c r="S90" s="37">
        <v>30</v>
      </c>
      <c r="T90" s="34">
        <v>51</v>
      </c>
      <c r="U90" s="34">
        <v>37</v>
      </c>
      <c r="V90" s="62"/>
      <c r="W90" s="38">
        <v>11</v>
      </c>
      <c r="X90" s="31">
        <v>10</v>
      </c>
      <c r="Y90" s="31">
        <v>0</v>
      </c>
      <c r="Z90" s="78"/>
      <c r="AA90" s="37">
        <v>25</v>
      </c>
      <c r="AB90" s="34">
        <v>50</v>
      </c>
      <c r="AC90" s="34">
        <v>20</v>
      </c>
      <c r="AD90" s="64"/>
      <c r="AE90" s="79"/>
      <c r="AF90" s="64"/>
      <c r="AG90" s="43">
        <f t="shared" si="16"/>
        <v>102</v>
      </c>
      <c r="AH90" s="44">
        <f t="shared" si="16"/>
        <v>178</v>
      </c>
      <c r="AI90" s="44">
        <f t="shared" si="16"/>
        <v>119</v>
      </c>
      <c r="AJ90" s="45">
        <f>J90+N90+R90+V90+Z90+AD90</f>
        <v>0</v>
      </c>
      <c r="AK90" s="80">
        <f t="shared" si="17"/>
        <v>399</v>
      </c>
      <c r="AL90" s="47">
        <v>0.75</v>
      </c>
      <c r="AM90" s="48">
        <f t="shared" si="24"/>
        <v>76.5</v>
      </c>
      <c r="AN90" s="48">
        <f t="shared" si="25"/>
        <v>133.5</v>
      </c>
      <c r="AO90" s="49">
        <f t="shared" si="23"/>
        <v>89.25</v>
      </c>
      <c r="AP90" s="49">
        <f t="shared" si="18"/>
        <v>0</v>
      </c>
      <c r="AQ90" s="50">
        <f t="shared" si="19"/>
        <v>23940</v>
      </c>
      <c r="AR90" s="81"/>
      <c r="AS90" s="82"/>
      <c r="AT90" s="83"/>
      <c r="AU90" s="84"/>
      <c r="AV90" s="85"/>
      <c r="AW90" s="86"/>
      <c r="AX90" s="86"/>
      <c r="AY90" s="82"/>
      <c r="AZ90" s="87"/>
    </row>
    <row r="91" spans="1:52" ht="16.5" thickBot="1" x14ac:dyDescent="0.3">
      <c r="A91" s="74"/>
      <c r="B91" s="75" t="s">
        <v>82</v>
      </c>
      <c r="C91" s="76"/>
      <c r="D91" s="26">
        <f t="shared" si="20"/>
        <v>0</v>
      </c>
      <c r="E91" s="27">
        <f t="shared" si="21"/>
        <v>0</v>
      </c>
      <c r="F91" s="29">
        <f t="shared" si="22"/>
        <v>0</v>
      </c>
      <c r="G91" s="30">
        <v>5</v>
      </c>
      <c r="H91" s="31">
        <v>34</v>
      </c>
      <c r="I91" s="32">
        <v>26</v>
      </c>
      <c r="J91" s="77"/>
      <c r="K91" s="33">
        <v>8</v>
      </c>
      <c r="L91" s="34">
        <v>9</v>
      </c>
      <c r="M91" s="34">
        <v>25</v>
      </c>
      <c r="N91" s="62"/>
      <c r="O91" s="34">
        <v>9</v>
      </c>
      <c r="P91" s="34">
        <v>24</v>
      </c>
      <c r="Q91" s="34">
        <v>0</v>
      </c>
      <c r="R91" s="62"/>
      <c r="S91" s="37">
        <v>15</v>
      </c>
      <c r="T91" s="34">
        <v>5</v>
      </c>
      <c r="U91" s="34">
        <v>0</v>
      </c>
      <c r="V91" s="62"/>
      <c r="W91" s="38">
        <v>0</v>
      </c>
      <c r="X91" s="31">
        <v>0</v>
      </c>
      <c r="Y91" s="31">
        <v>0</v>
      </c>
      <c r="Z91" s="78"/>
      <c r="AA91" s="37">
        <v>0</v>
      </c>
      <c r="AB91" s="34">
        <v>0</v>
      </c>
      <c r="AC91" s="34">
        <v>0</v>
      </c>
      <c r="AD91" s="64"/>
      <c r="AE91" s="79"/>
      <c r="AF91" s="64"/>
      <c r="AG91" s="43">
        <f t="shared" si="16"/>
        <v>37</v>
      </c>
      <c r="AH91" s="44">
        <f t="shared" si="16"/>
        <v>72</v>
      </c>
      <c r="AI91" s="44">
        <f t="shared" si="16"/>
        <v>51</v>
      </c>
      <c r="AJ91" s="45">
        <f t="shared" si="16"/>
        <v>0</v>
      </c>
      <c r="AK91" s="80">
        <f t="shared" si="17"/>
        <v>160</v>
      </c>
      <c r="AL91" s="47">
        <v>0.75</v>
      </c>
      <c r="AM91" s="48">
        <f t="shared" si="24"/>
        <v>27.75</v>
      </c>
      <c r="AN91" s="48">
        <f t="shared" si="25"/>
        <v>54</v>
      </c>
      <c r="AO91" s="49">
        <f t="shared" si="23"/>
        <v>38.25</v>
      </c>
      <c r="AP91" s="49">
        <f t="shared" si="18"/>
        <v>0</v>
      </c>
      <c r="AQ91" s="50">
        <f t="shared" si="19"/>
        <v>9600</v>
      </c>
      <c r="AR91" s="81"/>
      <c r="AS91" s="82"/>
      <c r="AT91" s="83"/>
      <c r="AU91" s="84"/>
      <c r="AV91" s="85"/>
      <c r="AW91" s="86"/>
      <c r="AX91" s="86"/>
      <c r="AY91" s="82"/>
      <c r="AZ91" s="87"/>
    </row>
    <row r="92" spans="1:52" ht="16.5" thickBot="1" x14ac:dyDescent="0.3">
      <c r="A92" s="74"/>
      <c r="B92" s="75" t="s">
        <v>81</v>
      </c>
      <c r="C92" s="76"/>
      <c r="D92" s="26">
        <f t="shared" si="20"/>
        <v>0</v>
      </c>
      <c r="E92" s="27">
        <f t="shared" si="21"/>
        <v>0</v>
      </c>
      <c r="F92" s="29">
        <f t="shared" si="22"/>
        <v>0</v>
      </c>
      <c r="G92" s="30">
        <v>0</v>
      </c>
      <c r="H92" s="31">
        <v>0</v>
      </c>
      <c r="I92" s="32">
        <v>0</v>
      </c>
      <c r="J92" s="77"/>
      <c r="K92" s="33">
        <v>0</v>
      </c>
      <c r="L92" s="34">
        <v>0</v>
      </c>
      <c r="M92" s="34">
        <v>0</v>
      </c>
      <c r="N92" s="62"/>
      <c r="O92" s="34">
        <v>4</v>
      </c>
      <c r="P92" s="34">
        <v>5</v>
      </c>
      <c r="Q92" s="34">
        <v>0</v>
      </c>
      <c r="R92" s="62"/>
      <c r="S92" s="37">
        <v>12</v>
      </c>
      <c r="T92" s="34">
        <v>19</v>
      </c>
      <c r="U92" s="34">
        <v>9</v>
      </c>
      <c r="V92" s="62"/>
      <c r="W92" s="38">
        <v>2</v>
      </c>
      <c r="X92" s="31">
        <v>11</v>
      </c>
      <c r="Y92" s="31">
        <v>3</v>
      </c>
      <c r="Z92" s="78"/>
      <c r="AA92" s="37">
        <v>11</v>
      </c>
      <c r="AB92" s="34">
        <v>26</v>
      </c>
      <c r="AC92" s="34">
        <v>5</v>
      </c>
      <c r="AD92" s="64"/>
      <c r="AE92" s="79"/>
      <c r="AF92" s="64"/>
      <c r="AG92" s="43">
        <f t="shared" si="16"/>
        <v>29</v>
      </c>
      <c r="AH92" s="44">
        <f t="shared" si="16"/>
        <v>61</v>
      </c>
      <c r="AI92" s="44">
        <f t="shared" si="16"/>
        <v>17</v>
      </c>
      <c r="AJ92" s="45">
        <f t="shared" si="16"/>
        <v>0</v>
      </c>
      <c r="AK92" s="80">
        <f t="shared" si="17"/>
        <v>107</v>
      </c>
      <c r="AL92" s="47">
        <v>0.75</v>
      </c>
      <c r="AM92" s="48">
        <f t="shared" si="24"/>
        <v>21.75</v>
      </c>
      <c r="AN92" s="48">
        <f t="shared" si="25"/>
        <v>45.75</v>
      </c>
      <c r="AO92" s="49">
        <f t="shared" si="23"/>
        <v>12.75</v>
      </c>
      <c r="AP92" s="49">
        <f t="shared" si="18"/>
        <v>0</v>
      </c>
      <c r="AQ92" s="50">
        <f t="shared" si="19"/>
        <v>6420</v>
      </c>
      <c r="AR92" s="81"/>
      <c r="AS92" s="82"/>
      <c r="AT92" s="83"/>
      <c r="AU92" s="84"/>
      <c r="AV92" s="85"/>
      <c r="AW92" s="86"/>
      <c r="AX92" s="86"/>
      <c r="AY92" s="82"/>
      <c r="AZ92" s="87"/>
    </row>
    <row r="93" spans="1:52" ht="16.5" thickBot="1" x14ac:dyDescent="0.3">
      <c r="A93" s="74"/>
      <c r="B93" s="75" t="s">
        <v>79</v>
      </c>
      <c r="C93" s="76"/>
      <c r="D93" s="26">
        <f t="shared" si="20"/>
        <v>0</v>
      </c>
      <c r="E93" s="27">
        <f t="shared" si="21"/>
        <v>0</v>
      </c>
      <c r="F93" s="29">
        <f t="shared" si="22"/>
        <v>0</v>
      </c>
      <c r="G93" s="30">
        <v>0</v>
      </c>
      <c r="H93" s="31">
        <v>0</v>
      </c>
      <c r="I93" s="32">
        <v>0</v>
      </c>
      <c r="J93" s="77"/>
      <c r="K93" s="33">
        <v>0</v>
      </c>
      <c r="L93" s="34">
        <v>0</v>
      </c>
      <c r="M93" s="34">
        <v>0</v>
      </c>
      <c r="N93" s="62"/>
      <c r="O93" s="34">
        <v>0</v>
      </c>
      <c r="P93" s="34">
        <v>12</v>
      </c>
      <c r="Q93" s="34">
        <v>0</v>
      </c>
      <c r="R93" s="62"/>
      <c r="S93" s="37">
        <v>10</v>
      </c>
      <c r="T93" s="34">
        <v>23</v>
      </c>
      <c r="U93" s="34">
        <v>11</v>
      </c>
      <c r="V93" s="62"/>
      <c r="W93" s="38">
        <v>4</v>
      </c>
      <c r="X93" s="31">
        <v>9</v>
      </c>
      <c r="Y93" s="31">
        <v>1</v>
      </c>
      <c r="Z93" s="78"/>
      <c r="AA93" s="37">
        <v>10</v>
      </c>
      <c r="AB93" s="34">
        <v>4</v>
      </c>
      <c r="AC93" s="34">
        <v>7</v>
      </c>
      <c r="AD93" s="64"/>
      <c r="AE93" s="79"/>
      <c r="AF93" s="64"/>
      <c r="AG93" s="43">
        <f t="shared" si="16"/>
        <v>24</v>
      </c>
      <c r="AH93" s="44">
        <f t="shared" si="16"/>
        <v>48</v>
      </c>
      <c r="AI93" s="44">
        <f t="shared" si="16"/>
        <v>19</v>
      </c>
      <c r="AJ93" s="45">
        <f t="shared" si="16"/>
        <v>0</v>
      </c>
      <c r="AK93" s="80">
        <f t="shared" si="17"/>
        <v>91</v>
      </c>
      <c r="AL93" s="47">
        <v>0.75</v>
      </c>
      <c r="AM93" s="48">
        <f t="shared" si="24"/>
        <v>18</v>
      </c>
      <c r="AN93" s="48">
        <f t="shared" si="25"/>
        <v>36</v>
      </c>
      <c r="AO93" s="49">
        <f t="shared" si="23"/>
        <v>14.25</v>
      </c>
      <c r="AP93" s="49">
        <f t="shared" si="18"/>
        <v>0</v>
      </c>
      <c r="AQ93" s="50">
        <f t="shared" si="19"/>
        <v>5460</v>
      </c>
      <c r="AR93" s="81"/>
      <c r="AS93" s="82"/>
      <c r="AT93" s="83"/>
      <c r="AU93" s="84"/>
      <c r="AV93" s="85"/>
      <c r="AW93" s="86"/>
      <c r="AX93" s="86"/>
      <c r="AY93" s="82"/>
      <c r="AZ93" s="87"/>
    </row>
    <row r="94" spans="1:52" ht="16.5" thickBot="1" x14ac:dyDescent="0.3">
      <c r="A94" s="74"/>
      <c r="B94" s="75" t="s">
        <v>80</v>
      </c>
      <c r="C94" s="76"/>
      <c r="D94" s="26">
        <f t="shared" si="20"/>
        <v>0</v>
      </c>
      <c r="E94" s="27">
        <f t="shared" si="21"/>
        <v>0</v>
      </c>
      <c r="F94" s="29">
        <f t="shared" si="22"/>
        <v>0</v>
      </c>
      <c r="G94" s="30">
        <v>0</v>
      </c>
      <c r="H94" s="31">
        <v>0</v>
      </c>
      <c r="I94" s="32">
        <v>0</v>
      </c>
      <c r="J94" s="77"/>
      <c r="K94" s="33">
        <v>0</v>
      </c>
      <c r="L94" s="34">
        <v>0</v>
      </c>
      <c r="M94" s="34">
        <v>0</v>
      </c>
      <c r="N94" s="62"/>
      <c r="O94" s="34">
        <v>0</v>
      </c>
      <c r="P94" s="34">
        <v>0</v>
      </c>
      <c r="Q94" s="34">
        <v>0</v>
      </c>
      <c r="R94" s="62"/>
      <c r="S94" s="37">
        <v>0</v>
      </c>
      <c r="T94" s="34">
        <v>0</v>
      </c>
      <c r="U94" s="34">
        <v>0</v>
      </c>
      <c r="V94" s="62"/>
      <c r="W94" s="38">
        <v>0</v>
      </c>
      <c r="X94" s="31">
        <v>0</v>
      </c>
      <c r="Y94" s="31">
        <v>0</v>
      </c>
      <c r="Z94" s="78"/>
      <c r="AA94" s="37">
        <v>0</v>
      </c>
      <c r="AB94" s="34">
        <v>0</v>
      </c>
      <c r="AC94" s="34">
        <v>0</v>
      </c>
      <c r="AD94" s="64"/>
      <c r="AE94" s="79"/>
      <c r="AF94" s="64"/>
      <c r="AG94" s="43">
        <f t="shared" si="16"/>
        <v>0</v>
      </c>
      <c r="AH94" s="44">
        <f t="shared" si="16"/>
        <v>0</v>
      </c>
      <c r="AI94" s="44">
        <f t="shared" si="16"/>
        <v>0</v>
      </c>
      <c r="AJ94" s="45">
        <f t="shared" si="16"/>
        <v>0</v>
      </c>
      <c r="AK94" s="80">
        <f t="shared" si="17"/>
        <v>0</v>
      </c>
      <c r="AL94" s="47">
        <v>0.75</v>
      </c>
      <c r="AM94" s="48">
        <f t="shared" si="24"/>
        <v>0</v>
      </c>
      <c r="AN94" s="48">
        <f t="shared" si="25"/>
        <v>0</v>
      </c>
      <c r="AO94" s="49">
        <f t="shared" si="23"/>
        <v>0</v>
      </c>
      <c r="AP94" s="49">
        <f t="shared" si="18"/>
        <v>0</v>
      </c>
      <c r="AQ94" s="50">
        <f t="shared" si="19"/>
        <v>0</v>
      </c>
      <c r="AR94" s="81"/>
      <c r="AS94" s="82"/>
      <c r="AT94" s="83"/>
      <c r="AU94" s="84"/>
      <c r="AV94" s="85"/>
      <c r="AW94" s="86"/>
      <c r="AX94" s="86"/>
      <c r="AY94" s="82"/>
      <c r="AZ94" s="87"/>
    </row>
    <row r="95" spans="1:52" ht="16.5" thickBot="1" x14ac:dyDescent="0.3">
      <c r="A95" s="74"/>
      <c r="B95" s="75" t="s">
        <v>78</v>
      </c>
      <c r="C95" s="76"/>
      <c r="D95" s="26">
        <f t="shared" si="20"/>
        <v>0</v>
      </c>
      <c r="E95" s="27">
        <f t="shared" si="21"/>
        <v>0</v>
      </c>
      <c r="F95" s="29">
        <f t="shared" si="22"/>
        <v>0</v>
      </c>
      <c r="G95" s="30">
        <v>0</v>
      </c>
      <c r="H95" s="31">
        <v>0</v>
      </c>
      <c r="I95" s="32">
        <v>8</v>
      </c>
      <c r="J95" s="77"/>
      <c r="K95" s="33">
        <v>0</v>
      </c>
      <c r="L95" s="34">
        <v>0</v>
      </c>
      <c r="M95" s="34">
        <v>0</v>
      </c>
      <c r="N95" s="62"/>
      <c r="O95" s="34">
        <v>0</v>
      </c>
      <c r="P95" s="34">
        <v>0</v>
      </c>
      <c r="Q95" s="34">
        <v>0</v>
      </c>
      <c r="R95" s="62"/>
      <c r="S95" s="37">
        <v>0</v>
      </c>
      <c r="T95" s="34">
        <v>0</v>
      </c>
      <c r="U95" s="34">
        <v>0</v>
      </c>
      <c r="V95" s="62"/>
      <c r="W95" s="38">
        <v>0</v>
      </c>
      <c r="X95" s="31">
        <v>0</v>
      </c>
      <c r="Y95" s="31">
        <v>0</v>
      </c>
      <c r="Z95" s="78"/>
      <c r="AA95" s="37">
        <v>0</v>
      </c>
      <c r="AB95" s="34">
        <v>0</v>
      </c>
      <c r="AC95" s="34">
        <v>0</v>
      </c>
      <c r="AD95" s="64"/>
      <c r="AE95" s="79"/>
      <c r="AF95" s="64"/>
      <c r="AG95" s="43">
        <f t="shared" si="16"/>
        <v>0</v>
      </c>
      <c r="AH95" s="44">
        <f t="shared" si="16"/>
        <v>0</v>
      </c>
      <c r="AI95" s="44">
        <f t="shared" si="16"/>
        <v>8</v>
      </c>
      <c r="AJ95" s="45">
        <f t="shared" si="16"/>
        <v>0</v>
      </c>
      <c r="AK95" s="80">
        <f t="shared" si="17"/>
        <v>8</v>
      </c>
      <c r="AL95" s="47">
        <v>0.75</v>
      </c>
      <c r="AM95" s="48">
        <f t="shared" si="24"/>
        <v>0</v>
      </c>
      <c r="AN95" s="48">
        <f t="shared" si="25"/>
        <v>0</v>
      </c>
      <c r="AO95" s="49">
        <f t="shared" si="23"/>
        <v>6</v>
      </c>
      <c r="AP95" s="49">
        <f t="shared" si="18"/>
        <v>0</v>
      </c>
      <c r="AQ95" s="50">
        <f t="shared" si="19"/>
        <v>480</v>
      </c>
      <c r="AR95" s="81"/>
      <c r="AS95" s="82"/>
      <c r="AT95" s="83"/>
      <c r="AU95" s="84"/>
      <c r="AV95" s="85"/>
      <c r="AW95" s="86"/>
      <c r="AX95" s="86"/>
      <c r="AY95" s="82"/>
      <c r="AZ95" s="87"/>
    </row>
    <row r="96" spans="1:52" ht="16.5" thickBot="1" x14ac:dyDescent="0.3">
      <c r="A96" s="74">
        <v>500</v>
      </c>
      <c r="B96" s="75" t="s">
        <v>83</v>
      </c>
      <c r="C96" s="76">
        <v>100</v>
      </c>
      <c r="D96" s="26">
        <f t="shared" si="20"/>
        <v>33.333333333333336</v>
      </c>
      <c r="E96" s="27">
        <f t="shared" si="21"/>
        <v>33.333333333333336</v>
      </c>
      <c r="F96" s="29">
        <f t="shared" si="22"/>
        <v>33.333333333333336</v>
      </c>
      <c r="G96" s="30">
        <v>0</v>
      </c>
      <c r="H96" s="31">
        <v>0</v>
      </c>
      <c r="I96" s="32">
        <v>0</v>
      </c>
      <c r="J96" s="77"/>
      <c r="K96" s="33">
        <v>0</v>
      </c>
      <c r="L96" s="34">
        <v>0</v>
      </c>
      <c r="M96" s="34">
        <v>0</v>
      </c>
      <c r="N96" s="62"/>
      <c r="O96" s="34">
        <v>0</v>
      </c>
      <c r="P96" s="34">
        <v>0</v>
      </c>
      <c r="Q96" s="34">
        <v>0</v>
      </c>
      <c r="R96" s="62"/>
      <c r="S96" s="37">
        <v>0</v>
      </c>
      <c r="T96" s="34">
        <v>0</v>
      </c>
      <c r="U96" s="34">
        <v>0</v>
      </c>
      <c r="V96" s="62"/>
      <c r="W96" s="38">
        <v>0</v>
      </c>
      <c r="X96" s="31">
        <v>0</v>
      </c>
      <c r="Y96" s="31">
        <v>0</v>
      </c>
      <c r="Z96" s="78"/>
      <c r="AA96" s="37">
        <v>0</v>
      </c>
      <c r="AB96" s="34">
        <v>0</v>
      </c>
      <c r="AC96" s="34">
        <v>0</v>
      </c>
      <c r="AD96" s="64"/>
      <c r="AE96" s="79"/>
      <c r="AF96" s="64"/>
      <c r="AG96" s="43">
        <f t="shared" si="16"/>
        <v>0</v>
      </c>
      <c r="AH96" s="44">
        <f t="shared" si="16"/>
        <v>0</v>
      </c>
      <c r="AI96" s="44">
        <f t="shared" si="16"/>
        <v>0</v>
      </c>
      <c r="AJ96" s="45">
        <f t="shared" si="16"/>
        <v>0</v>
      </c>
      <c r="AK96" s="80">
        <f t="shared" si="17"/>
        <v>0</v>
      </c>
      <c r="AL96" s="47">
        <v>1</v>
      </c>
      <c r="AM96" s="48">
        <f t="shared" si="24"/>
        <v>0</v>
      </c>
      <c r="AN96" s="48">
        <f t="shared" si="25"/>
        <v>0</v>
      </c>
      <c r="AO96" s="49">
        <f t="shared" si="23"/>
        <v>0</v>
      </c>
      <c r="AP96" s="49">
        <f t="shared" si="18"/>
        <v>0</v>
      </c>
      <c r="AQ96" s="50">
        <f t="shared" si="19"/>
        <v>0</v>
      </c>
      <c r="AR96" s="81">
        <v>26.12</v>
      </c>
      <c r="AS96" s="82">
        <v>3.879999999999999</v>
      </c>
      <c r="AT96" s="83">
        <f>AK96*AS96</f>
        <v>0</v>
      </c>
      <c r="AU96" s="84">
        <f t="shared" ref="AU96:AU110" si="26">AK96*AL96</f>
        <v>0</v>
      </c>
      <c r="AV96" s="85">
        <v>0</v>
      </c>
      <c r="AW96" s="86"/>
      <c r="AX96" s="86"/>
      <c r="AY96" s="82"/>
      <c r="AZ96" s="87">
        <f>AT96-AU96-AW96-AX96-AY96</f>
        <v>0</v>
      </c>
    </row>
    <row r="97" spans="1:52" ht="16.5" thickBot="1" x14ac:dyDescent="0.3">
      <c r="A97" s="74">
        <v>360</v>
      </c>
      <c r="B97" s="75" t="s">
        <v>83</v>
      </c>
      <c r="C97" s="76">
        <v>80</v>
      </c>
      <c r="D97" s="26">
        <f t="shared" si="20"/>
        <v>26.666666666666668</v>
      </c>
      <c r="E97" s="27">
        <f t="shared" si="21"/>
        <v>26.666666666666668</v>
      </c>
      <c r="F97" s="29">
        <f t="shared" si="22"/>
        <v>26.666666666666668</v>
      </c>
      <c r="G97" s="30">
        <v>6</v>
      </c>
      <c r="H97" s="31">
        <v>1</v>
      </c>
      <c r="I97" s="32">
        <v>0</v>
      </c>
      <c r="J97" s="77"/>
      <c r="K97" s="33">
        <v>0</v>
      </c>
      <c r="L97" s="34">
        <v>1</v>
      </c>
      <c r="M97" s="34">
        <v>0</v>
      </c>
      <c r="N97" s="62"/>
      <c r="O97" s="34">
        <v>0</v>
      </c>
      <c r="P97" s="34">
        <v>0</v>
      </c>
      <c r="Q97" s="34">
        <v>0</v>
      </c>
      <c r="R97" s="62"/>
      <c r="S97" s="37">
        <v>0</v>
      </c>
      <c r="T97" s="34">
        <v>0</v>
      </c>
      <c r="U97" s="34">
        <v>0</v>
      </c>
      <c r="V97" s="62"/>
      <c r="W97" s="38">
        <v>0</v>
      </c>
      <c r="X97" s="31">
        <v>0</v>
      </c>
      <c r="Y97" s="31">
        <v>0</v>
      </c>
      <c r="Z97" s="78"/>
      <c r="AA97" s="37">
        <v>0</v>
      </c>
      <c r="AB97" s="34">
        <v>0</v>
      </c>
      <c r="AC97" s="34">
        <v>0</v>
      </c>
      <c r="AD97" s="64"/>
      <c r="AE97" s="79"/>
      <c r="AF97" s="64"/>
      <c r="AG97" s="43">
        <f t="shared" si="16"/>
        <v>6</v>
      </c>
      <c r="AH97" s="44">
        <f t="shared" si="16"/>
        <v>2</v>
      </c>
      <c r="AI97" s="44">
        <f t="shared" si="16"/>
        <v>0</v>
      </c>
      <c r="AJ97" s="45">
        <f t="shared" si="16"/>
        <v>0</v>
      </c>
      <c r="AK97" s="80">
        <f t="shared" si="17"/>
        <v>8</v>
      </c>
      <c r="AL97" s="47">
        <v>0.5</v>
      </c>
      <c r="AM97" s="48">
        <f t="shared" si="24"/>
        <v>3</v>
      </c>
      <c r="AN97" s="48">
        <f t="shared" si="25"/>
        <v>1</v>
      </c>
      <c r="AO97" s="49">
        <f t="shared" si="23"/>
        <v>0</v>
      </c>
      <c r="AP97" s="49">
        <f t="shared" si="18"/>
        <v>0</v>
      </c>
      <c r="AQ97" s="50">
        <f t="shared" si="19"/>
        <v>480</v>
      </c>
      <c r="AR97" s="81"/>
      <c r="AS97" s="82"/>
      <c r="AT97" s="83"/>
      <c r="AU97" s="84">
        <f t="shared" si="26"/>
        <v>4</v>
      </c>
      <c r="AV97" s="85">
        <v>0</v>
      </c>
      <c r="AW97" s="86"/>
      <c r="AX97" s="86"/>
      <c r="AY97" s="82"/>
      <c r="AZ97" s="87"/>
    </row>
    <row r="98" spans="1:52" ht="16.5" thickBot="1" x14ac:dyDescent="0.3">
      <c r="A98" s="74">
        <v>625</v>
      </c>
      <c r="B98" s="75" t="s">
        <v>84</v>
      </c>
      <c r="C98" s="88"/>
      <c r="D98" s="26">
        <f t="shared" si="20"/>
        <v>0</v>
      </c>
      <c r="E98" s="27">
        <f t="shared" si="21"/>
        <v>0</v>
      </c>
      <c r="F98" s="29">
        <f t="shared" si="22"/>
        <v>0</v>
      </c>
      <c r="G98" s="30">
        <v>0</v>
      </c>
      <c r="H98" s="31">
        <v>0</v>
      </c>
      <c r="I98" s="32">
        <v>0</v>
      </c>
      <c r="J98" s="77"/>
      <c r="K98" s="33">
        <v>0</v>
      </c>
      <c r="L98" s="34">
        <v>0</v>
      </c>
      <c r="M98" s="34">
        <v>0</v>
      </c>
      <c r="N98" s="62"/>
      <c r="O98" s="34">
        <v>0</v>
      </c>
      <c r="P98" s="34">
        <v>0</v>
      </c>
      <c r="Q98" s="34">
        <v>0</v>
      </c>
      <c r="R98" s="62"/>
      <c r="S98" s="37">
        <v>0</v>
      </c>
      <c r="T98" s="34">
        <v>0</v>
      </c>
      <c r="U98" s="34">
        <v>0</v>
      </c>
      <c r="V98" s="62"/>
      <c r="W98" s="38">
        <v>0</v>
      </c>
      <c r="X98" s="31">
        <v>0</v>
      </c>
      <c r="Y98" s="31">
        <v>0</v>
      </c>
      <c r="Z98" s="78"/>
      <c r="AA98" s="37">
        <v>0</v>
      </c>
      <c r="AB98" s="34">
        <v>0</v>
      </c>
      <c r="AC98" s="34">
        <v>0</v>
      </c>
      <c r="AD98" s="64"/>
      <c r="AE98" s="79"/>
      <c r="AF98" s="64"/>
      <c r="AG98" s="43">
        <f t="shared" si="16"/>
        <v>0</v>
      </c>
      <c r="AH98" s="44">
        <f t="shared" si="16"/>
        <v>0</v>
      </c>
      <c r="AI98" s="44">
        <f t="shared" si="16"/>
        <v>0</v>
      </c>
      <c r="AJ98" s="45">
        <f t="shared" si="16"/>
        <v>0</v>
      </c>
      <c r="AK98" s="80">
        <f t="shared" si="17"/>
        <v>0</v>
      </c>
      <c r="AL98" s="47">
        <v>1</v>
      </c>
      <c r="AM98" s="48">
        <f t="shared" si="24"/>
        <v>0</v>
      </c>
      <c r="AN98" s="48">
        <f t="shared" si="25"/>
        <v>0</v>
      </c>
      <c r="AO98" s="49">
        <f t="shared" si="23"/>
        <v>0</v>
      </c>
      <c r="AP98" s="49">
        <f t="shared" si="18"/>
        <v>0</v>
      </c>
      <c r="AQ98" s="50">
        <f t="shared" si="19"/>
        <v>0</v>
      </c>
      <c r="AR98" s="81">
        <v>50.64</v>
      </c>
      <c r="AS98" s="82">
        <v>9.36</v>
      </c>
      <c r="AT98" s="83">
        <f>AK98*AS98</f>
        <v>0</v>
      </c>
      <c r="AU98" s="84">
        <f t="shared" si="26"/>
        <v>0</v>
      </c>
      <c r="AV98" s="85">
        <v>0</v>
      </c>
      <c r="AW98" s="86"/>
      <c r="AX98" s="86"/>
      <c r="AY98" s="82"/>
      <c r="AZ98" s="87">
        <f>AT98-AU98-AW98-AX98-AY98</f>
        <v>0</v>
      </c>
    </row>
    <row r="99" spans="1:52" ht="16.5" thickBot="1" x14ac:dyDescent="0.3">
      <c r="A99" s="74">
        <v>3030</v>
      </c>
      <c r="B99" s="75" t="s">
        <v>85</v>
      </c>
      <c r="C99" s="76"/>
      <c r="D99" s="26">
        <f t="shared" si="20"/>
        <v>0</v>
      </c>
      <c r="E99" s="27">
        <f t="shared" si="21"/>
        <v>0</v>
      </c>
      <c r="F99" s="29">
        <f t="shared" si="22"/>
        <v>0</v>
      </c>
      <c r="G99" s="30">
        <v>0</v>
      </c>
      <c r="H99" s="31">
        <v>0</v>
      </c>
      <c r="I99" s="32">
        <v>0</v>
      </c>
      <c r="J99" s="77"/>
      <c r="K99" s="33">
        <v>0</v>
      </c>
      <c r="L99" s="34">
        <v>0</v>
      </c>
      <c r="M99" s="34">
        <v>0</v>
      </c>
      <c r="N99" s="62"/>
      <c r="O99" s="34">
        <v>0</v>
      </c>
      <c r="P99" s="34">
        <v>0</v>
      </c>
      <c r="Q99" s="34">
        <v>0</v>
      </c>
      <c r="R99" s="62"/>
      <c r="S99" s="37">
        <v>0</v>
      </c>
      <c r="T99" s="34">
        <v>0</v>
      </c>
      <c r="U99" s="34">
        <v>0</v>
      </c>
      <c r="V99" s="62"/>
      <c r="W99" s="38">
        <v>0</v>
      </c>
      <c r="X99" s="31">
        <v>0</v>
      </c>
      <c r="Y99" s="31">
        <v>0</v>
      </c>
      <c r="Z99" s="78"/>
      <c r="AA99" s="37">
        <v>0</v>
      </c>
      <c r="AB99" s="34">
        <v>0</v>
      </c>
      <c r="AC99" s="34">
        <v>0</v>
      </c>
      <c r="AD99" s="64"/>
      <c r="AE99" s="79"/>
      <c r="AF99" s="64"/>
      <c r="AG99" s="43">
        <f t="shared" si="16"/>
        <v>0</v>
      </c>
      <c r="AH99" s="44">
        <f t="shared" si="16"/>
        <v>0</v>
      </c>
      <c r="AI99" s="44">
        <f t="shared" si="16"/>
        <v>0</v>
      </c>
      <c r="AJ99" s="45">
        <f t="shared" si="16"/>
        <v>0</v>
      </c>
      <c r="AK99" s="80">
        <f t="shared" si="17"/>
        <v>0</v>
      </c>
      <c r="AL99" s="47">
        <v>2</v>
      </c>
      <c r="AM99" s="48">
        <f t="shared" si="24"/>
        <v>0</v>
      </c>
      <c r="AN99" s="48">
        <f t="shared" si="25"/>
        <v>0</v>
      </c>
      <c r="AO99" s="49">
        <f t="shared" si="23"/>
        <v>0</v>
      </c>
      <c r="AP99" s="49">
        <f t="shared" si="18"/>
        <v>0</v>
      </c>
      <c r="AQ99" s="50">
        <f t="shared" si="19"/>
        <v>0</v>
      </c>
      <c r="AR99" s="81">
        <v>42.35</v>
      </c>
      <c r="AS99" s="82">
        <v>7.6499999999999986</v>
      </c>
      <c r="AT99" s="83">
        <f>AK99*AS99</f>
        <v>0</v>
      </c>
      <c r="AU99" s="84">
        <f t="shared" si="26"/>
        <v>0</v>
      </c>
      <c r="AV99" s="85">
        <v>0</v>
      </c>
      <c r="AW99" s="86"/>
      <c r="AX99" s="86"/>
      <c r="AY99" s="82"/>
      <c r="AZ99" s="87">
        <f>AT99-AU99-AW99-AX99-AY99</f>
        <v>0</v>
      </c>
    </row>
    <row r="100" spans="1:52" ht="16.5" thickBot="1" x14ac:dyDescent="0.3">
      <c r="A100" s="74">
        <v>625</v>
      </c>
      <c r="B100" s="75" t="s">
        <v>86</v>
      </c>
      <c r="C100" s="88"/>
      <c r="D100" s="26">
        <f t="shared" si="20"/>
        <v>0</v>
      </c>
      <c r="E100" s="27">
        <f t="shared" si="21"/>
        <v>0</v>
      </c>
      <c r="F100" s="29">
        <f t="shared" si="22"/>
        <v>0</v>
      </c>
      <c r="G100" s="30">
        <v>0</v>
      </c>
      <c r="H100" s="31">
        <v>0</v>
      </c>
      <c r="I100" s="32">
        <v>0</v>
      </c>
      <c r="J100" s="77"/>
      <c r="K100" s="33">
        <v>0</v>
      </c>
      <c r="L100" s="34">
        <v>0</v>
      </c>
      <c r="M100" s="34">
        <v>0</v>
      </c>
      <c r="N100" s="62"/>
      <c r="O100" s="34">
        <v>0</v>
      </c>
      <c r="P100" s="34">
        <v>0</v>
      </c>
      <c r="Q100" s="34">
        <v>0</v>
      </c>
      <c r="R100" s="62"/>
      <c r="S100" s="37">
        <v>0</v>
      </c>
      <c r="T100" s="34">
        <v>0</v>
      </c>
      <c r="U100" s="34">
        <v>0</v>
      </c>
      <c r="V100" s="62"/>
      <c r="W100" s="38">
        <v>0</v>
      </c>
      <c r="X100" s="31">
        <v>0</v>
      </c>
      <c r="Y100" s="31">
        <v>0</v>
      </c>
      <c r="Z100" s="78"/>
      <c r="AA100" s="37">
        <v>0</v>
      </c>
      <c r="AB100" s="34">
        <v>0</v>
      </c>
      <c r="AC100" s="34">
        <v>0</v>
      </c>
      <c r="AD100" s="64"/>
      <c r="AE100" s="79"/>
      <c r="AF100" s="64"/>
      <c r="AG100" s="43">
        <f t="shared" ref="AG100:AJ163" si="27">G100+K100+O100+S100+W100+AA100</f>
        <v>0</v>
      </c>
      <c r="AH100" s="44">
        <f t="shared" si="27"/>
        <v>0</v>
      </c>
      <c r="AI100" s="44">
        <f t="shared" si="27"/>
        <v>0</v>
      </c>
      <c r="AJ100" s="45">
        <f t="shared" si="27"/>
        <v>0</v>
      </c>
      <c r="AK100" s="80">
        <f t="shared" si="17"/>
        <v>0</v>
      </c>
      <c r="AL100" s="47">
        <v>1</v>
      </c>
      <c r="AM100" s="48">
        <f t="shared" si="24"/>
        <v>0</v>
      </c>
      <c r="AN100" s="48">
        <f t="shared" si="25"/>
        <v>0</v>
      </c>
      <c r="AO100" s="49">
        <f t="shared" si="23"/>
        <v>0</v>
      </c>
      <c r="AP100" s="49">
        <f t="shared" si="18"/>
        <v>0</v>
      </c>
      <c r="AQ100" s="50">
        <f t="shared" si="19"/>
        <v>0</v>
      </c>
      <c r="AR100" s="81">
        <v>50.64</v>
      </c>
      <c r="AS100" s="82">
        <v>9.36</v>
      </c>
      <c r="AT100" s="119">
        <f>AK100*AS100</f>
        <v>0</v>
      </c>
      <c r="AU100" s="84">
        <f t="shared" si="26"/>
        <v>0</v>
      </c>
      <c r="AV100" s="85">
        <v>0</v>
      </c>
      <c r="AW100" s="86"/>
      <c r="AX100" s="86"/>
      <c r="AY100" s="82"/>
      <c r="AZ100" s="120">
        <f>AT100-AU100-AW100-AX100-AY100</f>
        <v>0</v>
      </c>
    </row>
    <row r="101" spans="1:52" ht="16.5" thickBot="1" x14ac:dyDescent="0.3">
      <c r="A101" s="75">
        <v>911</v>
      </c>
      <c r="B101" s="75" t="s">
        <v>87</v>
      </c>
      <c r="C101" s="121"/>
      <c r="D101" s="26">
        <f t="shared" si="20"/>
        <v>0</v>
      </c>
      <c r="E101" s="27">
        <f t="shared" si="21"/>
        <v>0</v>
      </c>
      <c r="F101" s="29">
        <f t="shared" si="22"/>
        <v>0</v>
      </c>
      <c r="G101" s="30">
        <v>0</v>
      </c>
      <c r="H101" s="31">
        <v>0</v>
      </c>
      <c r="I101" s="32">
        <v>0</v>
      </c>
      <c r="J101" s="77"/>
      <c r="K101" s="33">
        <v>0</v>
      </c>
      <c r="L101" s="34">
        <v>0</v>
      </c>
      <c r="M101" s="34">
        <v>0</v>
      </c>
      <c r="N101" s="62"/>
      <c r="O101" s="34">
        <v>0</v>
      </c>
      <c r="P101" s="34">
        <v>0</v>
      </c>
      <c r="Q101" s="34">
        <v>0</v>
      </c>
      <c r="R101" s="62"/>
      <c r="S101" s="37">
        <v>0</v>
      </c>
      <c r="T101" s="34">
        <v>0</v>
      </c>
      <c r="U101" s="34">
        <v>0</v>
      </c>
      <c r="V101" s="62"/>
      <c r="W101" s="38">
        <v>0</v>
      </c>
      <c r="X101" s="31">
        <v>0</v>
      </c>
      <c r="Y101" s="31">
        <v>0</v>
      </c>
      <c r="Z101" s="78"/>
      <c r="AA101" s="37">
        <v>0</v>
      </c>
      <c r="AB101" s="34">
        <v>0</v>
      </c>
      <c r="AC101" s="34">
        <v>0</v>
      </c>
      <c r="AD101" s="64"/>
      <c r="AE101" s="122"/>
      <c r="AF101" s="123"/>
      <c r="AG101" s="43">
        <f t="shared" si="27"/>
        <v>0</v>
      </c>
      <c r="AH101" s="44">
        <f t="shared" si="27"/>
        <v>0</v>
      </c>
      <c r="AI101" s="44">
        <f t="shared" si="27"/>
        <v>0</v>
      </c>
      <c r="AJ101" s="45">
        <f t="shared" si="27"/>
        <v>0</v>
      </c>
      <c r="AK101" s="80">
        <f t="shared" si="17"/>
        <v>0</v>
      </c>
      <c r="AL101" s="47">
        <v>0.5</v>
      </c>
      <c r="AM101" s="48">
        <f t="shared" si="24"/>
        <v>0</v>
      </c>
      <c r="AN101" s="48">
        <f t="shared" si="25"/>
        <v>0</v>
      </c>
      <c r="AO101" s="49">
        <f t="shared" si="23"/>
        <v>0</v>
      </c>
      <c r="AP101" s="49">
        <f t="shared" si="18"/>
        <v>0</v>
      </c>
      <c r="AQ101" s="50">
        <f t="shared" si="19"/>
        <v>0</v>
      </c>
      <c r="AR101" s="124"/>
      <c r="AS101" s="125"/>
      <c r="AT101" s="126"/>
      <c r="AU101" s="84">
        <f t="shared" si="26"/>
        <v>0</v>
      </c>
      <c r="AV101" s="127"/>
      <c r="AW101" s="128"/>
      <c r="AX101" s="128"/>
      <c r="AY101" s="125"/>
      <c r="AZ101" s="129"/>
    </row>
    <row r="102" spans="1:52" ht="16.5" thickBot="1" x14ac:dyDescent="0.3">
      <c r="A102" s="75">
        <v>355</v>
      </c>
      <c r="B102" s="75" t="s">
        <v>88</v>
      </c>
      <c r="C102" s="121">
        <v>24</v>
      </c>
      <c r="D102" s="26">
        <f t="shared" si="20"/>
        <v>8</v>
      </c>
      <c r="E102" s="27">
        <f t="shared" si="21"/>
        <v>8</v>
      </c>
      <c r="F102" s="29">
        <f t="shared" si="22"/>
        <v>8</v>
      </c>
      <c r="G102" s="30">
        <v>0</v>
      </c>
      <c r="H102" s="31">
        <v>0</v>
      </c>
      <c r="I102" s="32">
        <v>0</v>
      </c>
      <c r="J102" s="77"/>
      <c r="K102" s="33">
        <v>0</v>
      </c>
      <c r="L102" s="34">
        <v>0</v>
      </c>
      <c r="M102" s="34">
        <v>0</v>
      </c>
      <c r="N102" s="62"/>
      <c r="O102" s="34">
        <v>0</v>
      </c>
      <c r="P102" s="34">
        <v>0</v>
      </c>
      <c r="Q102" s="34">
        <v>0</v>
      </c>
      <c r="R102" s="62"/>
      <c r="S102" s="37">
        <v>0</v>
      </c>
      <c r="T102" s="34">
        <v>0</v>
      </c>
      <c r="U102" s="34">
        <v>0</v>
      </c>
      <c r="V102" s="62"/>
      <c r="W102" s="38">
        <v>0</v>
      </c>
      <c r="X102" s="31">
        <v>0</v>
      </c>
      <c r="Y102" s="31">
        <v>0</v>
      </c>
      <c r="Z102" s="78"/>
      <c r="AA102" s="37">
        <v>0</v>
      </c>
      <c r="AB102" s="34">
        <v>0</v>
      </c>
      <c r="AC102" s="34">
        <v>0</v>
      </c>
      <c r="AD102" s="64"/>
      <c r="AE102" s="122"/>
      <c r="AF102" s="123"/>
      <c r="AG102" s="43">
        <f t="shared" si="27"/>
        <v>0</v>
      </c>
      <c r="AH102" s="44">
        <f t="shared" si="27"/>
        <v>0</v>
      </c>
      <c r="AI102" s="44">
        <f t="shared" si="27"/>
        <v>0</v>
      </c>
      <c r="AJ102" s="45">
        <f t="shared" si="27"/>
        <v>0</v>
      </c>
      <c r="AK102" s="80">
        <f t="shared" si="17"/>
        <v>0</v>
      </c>
      <c r="AL102" s="47">
        <v>0.45</v>
      </c>
      <c r="AM102" s="48">
        <f t="shared" si="24"/>
        <v>0</v>
      </c>
      <c r="AN102" s="48">
        <f t="shared" si="25"/>
        <v>0</v>
      </c>
      <c r="AO102" s="49">
        <f t="shared" si="23"/>
        <v>0</v>
      </c>
      <c r="AP102" s="49">
        <f t="shared" si="18"/>
        <v>0</v>
      </c>
      <c r="AQ102" s="50">
        <f t="shared" si="19"/>
        <v>0</v>
      </c>
      <c r="AR102" s="124"/>
      <c r="AS102" s="125"/>
      <c r="AT102" s="126"/>
      <c r="AU102" s="84">
        <f t="shared" si="26"/>
        <v>0</v>
      </c>
      <c r="AV102" s="127"/>
      <c r="AW102" s="128"/>
      <c r="AX102" s="128"/>
      <c r="AY102" s="125"/>
      <c r="AZ102" s="129"/>
    </row>
    <row r="103" spans="1:52" ht="16.5" thickBot="1" x14ac:dyDescent="0.3">
      <c r="A103" s="75">
        <v>355</v>
      </c>
      <c r="B103" s="75" t="s">
        <v>28</v>
      </c>
      <c r="C103" s="121">
        <v>34</v>
      </c>
      <c r="D103" s="26">
        <f t="shared" si="20"/>
        <v>11.333333333333334</v>
      </c>
      <c r="E103" s="27">
        <f t="shared" si="21"/>
        <v>11.333333333333334</v>
      </c>
      <c r="F103" s="29">
        <f t="shared" si="22"/>
        <v>11.333333333333334</v>
      </c>
      <c r="G103" s="30">
        <v>0</v>
      </c>
      <c r="H103" s="31">
        <v>0</v>
      </c>
      <c r="I103" s="32">
        <v>0</v>
      </c>
      <c r="J103" s="77"/>
      <c r="K103" s="33">
        <v>0</v>
      </c>
      <c r="L103" s="34">
        <v>0</v>
      </c>
      <c r="M103" s="34">
        <v>0</v>
      </c>
      <c r="N103" s="62"/>
      <c r="O103" s="34">
        <v>0</v>
      </c>
      <c r="P103" s="34">
        <v>0</v>
      </c>
      <c r="Q103" s="34">
        <v>0</v>
      </c>
      <c r="R103" s="62"/>
      <c r="S103" s="37">
        <v>0</v>
      </c>
      <c r="T103" s="34">
        <v>0</v>
      </c>
      <c r="U103" s="34">
        <v>0</v>
      </c>
      <c r="V103" s="62"/>
      <c r="W103" s="38">
        <v>0</v>
      </c>
      <c r="X103" s="31">
        <v>0</v>
      </c>
      <c r="Y103" s="31">
        <v>0</v>
      </c>
      <c r="Z103" s="78"/>
      <c r="AA103" s="37">
        <v>0</v>
      </c>
      <c r="AB103" s="34">
        <v>0</v>
      </c>
      <c r="AC103" s="34">
        <v>0</v>
      </c>
      <c r="AD103" s="64"/>
      <c r="AE103" s="122"/>
      <c r="AF103" s="123"/>
      <c r="AG103" s="43">
        <f t="shared" si="27"/>
        <v>0</v>
      </c>
      <c r="AH103" s="44">
        <f t="shared" si="27"/>
        <v>0</v>
      </c>
      <c r="AI103" s="44">
        <f t="shared" si="27"/>
        <v>0</v>
      </c>
      <c r="AJ103" s="45">
        <f t="shared" si="27"/>
        <v>0</v>
      </c>
      <c r="AK103" s="80">
        <f t="shared" si="17"/>
        <v>0</v>
      </c>
      <c r="AL103" s="47">
        <v>0.45</v>
      </c>
      <c r="AM103" s="48">
        <f t="shared" si="24"/>
        <v>0</v>
      </c>
      <c r="AN103" s="48">
        <f t="shared" si="25"/>
        <v>0</v>
      </c>
      <c r="AO103" s="49">
        <f t="shared" si="23"/>
        <v>0</v>
      </c>
      <c r="AP103" s="49">
        <f t="shared" si="18"/>
        <v>0</v>
      </c>
      <c r="AQ103" s="50">
        <f t="shared" si="19"/>
        <v>0</v>
      </c>
      <c r="AR103" s="124"/>
      <c r="AS103" s="125"/>
      <c r="AT103" s="126"/>
      <c r="AU103" s="84">
        <f t="shared" si="26"/>
        <v>0</v>
      </c>
      <c r="AV103" s="127"/>
      <c r="AW103" s="128"/>
      <c r="AX103" s="128"/>
      <c r="AY103" s="125"/>
      <c r="AZ103" s="129"/>
    </row>
    <row r="104" spans="1:52" ht="16.5" thickBot="1" x14ac:dyDescent="0.3">
      <c r="A104" s="75">
        <v>355</v>
      </c>
      <c r="B104" s="75" t="s">
        <v>30</v>
      </c>
      <c r="C104" s="121"/>
      <c r="D104" s="26">
        <f t="shared" si="20"/>
        <v>0</v>
      </c>
      <c r="E104" s="27">
        <f t="shared" si="21"/>
        <v>0</v>
      </c>
      <c r="F104" s="29">
        <f t="shared" si="22"/>
        <v>0</v>
      </c>
      <c r="G104" s="30">
        <v>0</v>
      </c>
      <c r="H104" s="31">
        <v>0</v>
      </c>
      <c r="I104" s="32">
        <v>0</v>
      </c>
      <c r="J104" s="77"/>
      <c r="K104" s="33">
        <v>0</v>
      </c>
      <c r="L104" s="34">
        <v>0</v>
      </c>
      <c r="M104" s="34">
        <v>0</v>
      </c>
      <c r="N104" s="62"/>
      <c r="O104" s="34">
        <v>0</v>
      </c>
      <c r="P104" s="34">
        <v>0</v>
      </c>
      <c r="Q104" s="34">
        <v>0</v>
      </c>
      <c r="R104" s="62"/>
      <c r="S104" s="37">
        <v>0</v>
      </c>
      <c r="T104" s="34">
        <v>0</v>
      </c>
      <c r="U104" s="34">
        <v>0</v>
      </c>
      <c r="V104" s="62"/>
      <c r="W104" s="38">
        <v>0</v>
      </c>
      <c r="X104" s="31">
        <v>0</v>
      </c>
      <c r="Y104" s="31">
        <v>0</v>
      </c>
      <c r="Z104" s="78"/>
      <c r="AA104" s="37">
        <v>0</v>
      </c>
      <c r="AB104" s="34">
        <v>0</v>
      </c>
      <c r="AC104" s="34">
        <v>0</v>
      </c>
      <c r="AD104" s="64"/>
      <c r="AE104" s="122"/>
      <c r="AF104" s="123"/>
      <c r="AG104" s="43">
        <f t="shared" si="27"/>
        <v>0</v>
      </c>
      <c r="AH104" s="44">
        <f t="shared" si="27"/>
        <v>0</v>
      </c>
      <c r="AI104" s="44">
        <f t="shared" si="27"/>
        <v>0</v>
      </c>
      <c r="AJ104" s="45">
        <f t="shared" si="27"/>
        <v>0</v>
      </c>
      <c r="AK104" s="80">
        <f t="shared" si="17"/>
        <v>0</v>
      </c>
      <c r="AL104" s="47">
        <v>0.45</v>
      </c>
      <c r="AM104" s="48">
        <f t="shared" si="24"/>
        <v>0</v>
      </c>
      <c r="AN104" s="48">
        <f t="shared" si="25"/>
        <v>0</v>
      </c>
      <c r="AO104" s="49">
        <f t="shared" si="23"/>
        <v>0</v>
      </c>
      <c r="AP104" s="49">
        <f t="shared" si="18"/>
        <v>0</v>
      </c>
      <c r="AQ104" s="50">
        <f t="shared" si="19"/>
        <v>0</v>
      </c>
      <c r="AR104" s="124"/>
      <c r="AS104" s="125"/>
      <c r="AT104" s="126"/>
      <c r="AU104" s="84">
        <f t="shared" si="26"/>
        <v>0</v>
      </c>
      <c r="AV104" s="127"/>
      <c r="AW104" s="128"/>
      <c r="AX104" s="128"/>
      <c r="AY104" s="125"/>
      <c r="AZ104" s="129"/>
    </row>
    <row r="105" spans="1:52" ht="16.5" thickBot="1" x14ac:dyDescent="0.3">
      <c r="A105" s="75">
        <v>355</v>
      </c>
      <c r="B105" s="75" t="s">
        <v>29</v>
      </c>
      <c r="C105" s="121">
        <v>34</v>
      </c>
      <c r="D105" s="26">
        <f t="shared" si="20"/>
        <v>11.333333333333334</v>
      </c>
      <c r="E105" s="27">
        <f t="shared" si="21"/>
        <v>11.333333333333334</v>
      </c>
      <c r="F105" s="29">
        <f t="shared" si="22"/>
        <v>11.333333333333334</v>
      </c>
      <c r="G105" s="30">
        <v>0</v>
      </c>
      <c r="H105" s="31">
        <v>0</v>
      </c>
      <c r="I105" s="32">
        <v>0</v>
      </c>
      <c r="J105" s="77"/>
      <c r="K105" s="33">
        <v>0</v>
      </c>
      <c r="L105" s="34">
        <v>0</v>
      </c>
      <c r="M105" s="34">
        <v>0</v>
      </c>
      <c r="N105" s="62"/>
      <c r="O105" s="34">
        <v>0</v>
      </c>
      <c r="P105" s="34">
        <v>0</v>
      </c>
      <c r="Q105" s="34">
        <v>0</v>
      </c>
      <c r="R105" s="62"/>
      <c r="S105" s="37">
        <v>0</v>
      </c>
      <c r="T105" s="34">
        <v>0</v>
      </c>
      <c r="U105" s="34">
        <v>0</v>
      </c>
      <c r="V105" s="62"/>
      <c r="W105" s="38">
        <v>0</v>
      </c>
      <c r="X105" s="31">
        <v>0</v>
      </c>
      <c r="Y105" s="31">
        <v>0</v>
      </c>
      <c r="Z105" s="78"/>
      <c r="AA105" s="37">
        <v>0</v>
      </c>
      <c r="AB105" s="34">
        <v>0</v>
      </c>
      <c r="AC105" s="34">
        <v>0</v>
      </c>
      <c r="AD105" s="64"/>
      <c r="AE105" s="122"/>
      <c r="AF105" s="123"/>
      <c r="AG105" s="43">
        <f t="shared" si="27"/>
        <v>0</v>
      </c>
      <c r="AH105" s="44">
        <f t="shared" si="27"/>
        <v>0</v>
      </c>
      <c r="AI105" s="44">
        <f t="shared" si="27"/>
        <v>0</v>
      </c>
      <c r="AJ105" s="45">
        <f t="shared" si="27"/>
        <v>0</v>
      </c>
      <c r="AK105" s="80">
        <f t="shared" si="17"/>
        <v>0</v>
      </c>
      <c r="AL105" s="47">
        <v>0.45</v>
      </c>
      <c r="AM105" s="48">
        <f t="shared" si="24"/>
        <v>0</v>
      </c>
      <c r="AN105" s="48">
        <f t="shared" si="25"/>
        <v>0</v>
      </c>
      <c r="AO105" s="49">
        <f t="shared" si="23"/>
        <v>0</v>
      </c>
      <c r="AP105" s="49">
        <f t="shared" si="18"/>
        <v>0</v>
      </c>
      <c r="AQ105" s="50">
        <f t="shared" si="19"/>
        <v>0</v>
      </c>
      <c r="AR105" s="124"/>
      <c r="AS105" s="125"/>
      <c r="AT105" s="126"/>
      <c r="AU105" s="84">
        <f t="shared" si="26"/>
        <v>0</v>
      </c>
      <c r="AV105" s="127"/>
      <c r="AW105" s="128"/>
      <c r="AX105" s="128"/>
      <c r="AY105" s="125"/>
      <c r="AZ105" s="129"/>
    </row>
    <row r="106" spans="1:52" ht="16.5" thickBot="1" x14ac:dyDescent="0.3">
      <c r="A106" s="75">
        <v>355</v>
      </c>
      <c r="B106" s="75" t="s">
        <v>31</v>
      </c>
      <c r="C106" s="121">
        <v>14</v>
      </c>
      <c r="D106" s="26">
        <f t="shared" si="20"/>
        <v>4.666666666666667</v>
      </c>
      <c r="E106" s="27">
        <f t="shared" si="21"/>
        <v>4.666666666666667</v>
      </c>
      <c r="F106" s="29">
        <f t="shared" si="22"/>
        <v>4.666666666666667</v>
      </c>
      <c r="G106" s="30">
        <v>0</v>
      </c>
      <c r="H106" s="31">
        <v>0</v>
      </c>
      <c r="I106" s="32">
        <v>0</v>
      </c>
      <c r="J106" s="77"/>
      <c r="K106" s="33">
        <v>0</v>
      </c>
      <c r="L106" s="34">
        <v>0</v>
      </c>
      <c r="M106" s="34">
        <v>0</v>
      </c>
      <c r="N106" s="62"/>
      <c r="O106" s="34">
        <v>0</v>
      </c>
      <c r="P106" s="34">
        <v>0</v>
      </c>
      <c r="Q106" s="34">
        <v>0</v>
      </c>
      <c r="R106" s="62"/>
      <c r="S106" s="37">
        <v>0</v>
      </c>
      <c r="T106" s="34">
        <v>0</v>
      </c>
      <c r="U106" s="34">
        <v>0</v>
      </c>
      <c r="V106" s="62"/>
      <c r="W106" s="38">
        <v>0</v>
      </c>
      <c r="X106" s="31">
        <v>0</v>
      </c>
      <c r="Y106" s="31">
        <v>0</v>
      </c>
      <c r="Z106" s="78"/>
      <c r="AA106" s="37">
        <v>0</v>
      </c>
      <c r="AB106" s="34">
        <v>0</v>
      </c>
      <c r="AC106" s="34">
        <v>0</v>
      </c>
      <c r="AD106" s="64"/>
      <c r="AE106" s="122"/>
      <c r="AF106" s="123"/>
      <c r="AG106" s="43">
        <f t="shared" si="27"/>
        <v>0</v>
      </c>
      <c r="AH106" s="44">
        <f t="shared" si="27"/>
        <v>0</v>
      </c>
      <c r="AI106" s="44">
        <f t="shared" si="27"/>
        <v>0</v>
      </c>
      <c r="AJ106" s="45">
        <f t="shared" si="27"/>
        <v>0</v>
      </c>
      <c r="AK106" s="80">
        <f t="shared" si="17"/>
        <v>0</v>
      </c>
      <c r="AL106" s="47">
        <v>0.45</v>
      </c>
      <c r="AM106" s="48">
        <f t="shared" si="24"/>
        <v>0</v>
      </c>
      <c r="AN106" s="48">
        <f t="shared" si="25"/>
        <v>0</v>
      </c>
      <c r="AO106" s="49">
        <f t="shared" si="23"/>
        <v>0</v>
      </c>
      <c r="AP106" s="49">
        <f t="shared" si="18"/>
        <v>0</v>
      </c>
      <c r="AQ106" s="50">
        <f t="shared" si="19"/>
        <v>0</v>
      </c>
      <c r="AR106" s="124"/>
      <c r="AS106" s="125"/>
      <c r="AT106" s="126"/>
      <c r="AU106" s="84">
        <f t="shared" si="26"/>
        <v>0</v>
      </c>
      <c r="AV106" s="127"/>
      <c r="AW106" s="128"/>
      <c r="AX106" s="128"/>
      <c r="AY106" s="125"/>
      <c r="AZ106" s="129"/>
    </row>
    <row r="107" spans="1:52" ht="16.5" thickBot="1" x14ac:dyDescent="0.3">
      <c r="A107" s="75">
        <v>355</v>
      </c>
      <c r="B107" s="75" t="s">
        <v>47</v>
      </c>
      <c r="C107" s="121"/>
      <c r="D107" s="26">
        <f t="shared" si="20"/>
        <v>0</v>
      </c>
      <c r="E107" s="27">
        <f t="shared" si="21"/>
        <v>0</v>
      </c>
      <c r="F107" s="29">
        <f t="shared" si="22"/>
        <v>0</v>
      </c>
      <c r="G107" s="30">
        <v>0</v>
      </c>
      <c r="H107" s="31">
        <v>0</v>
      </c>
      <c r="I107" s="32">
        <v>0</v>
      </c>
      <c r="J107" s="77"/>
      <c r="K107" s="33">
        <v>0</v>
      </c>
      <c r="L107" s="34">
        <v>0</v>
      </c>
      <c r="M107" s="34">
        <v>0</v>
      </c>
      <c r="N107" s="62"/>
      <c r="O107" s="34">
        <v>0</v>
      </c>
      <c r="P107" s="34">
        <v>0</v>
      </c>
      <c r="Q107" s="34">
        <v>0</v>
      </c>
      <c r="R107" s="62"/>
      <c r="S107" s="37">
        <v>0</v>
      </c>
      <c r="T107" s="34">
        <v>0</v>
      </c>
      <c r="U107" s="34">
        <v>0</v>
      </c>
      <c r="V107" s="62"/>
      <c r="W107" s="38">
        <v>0</v>
      </c>
      <c r="X107" s="31">
        <v>0</v>
      </c>
      <c r="Y107" s="31">
        <v>0</v>
      </c>
      <c r="Z107" s="78"/>
      <c r="AA107" s="37">
        <v>0</v>
      </c>
      <c r="AB107" s="34">
        <v>0</v>
      </c>
      <c r="AC107" s="34">
        <v>0</v>
      </c>
      <c r="AD107" s="64"/>
      <c r="AE107" s="122"/>
      <c r="AF107" s="123"/>
      <c r="AG107" s="43">
        <f t="shared" si="27"/>
        <v>0</v>
      </c>
      <c r="AH107" s="44">
        <f t="shared" si="27"/>
        <v>0</v>
      </c>
      <c r="AI107" s="44">
        <f t="shared" si="27"/>
        <v>0</v>
      </c>
      <c r="AJ107" s="45">
        <f t="shared" si="27"/>
        <v>0</v>
      </c>
      <c r="AK107" s="80">
        <f t="shared" si="17"/>
        <v>0</v>
      </c>
      <c r="AL107" s="47">
        <v>0.45</v>
      </c>
      <c r="AM107" s="48">
        <f t="shared" si="24"/>
        <v>0</v>
      </c>
      <c r="AN107" s="48">
        <f t="shared" si="25"/>
        <v>0</v>
      </c>
      <c r="AO107" s="49">
        <f t="shared" si="23"/>
        <v>0</v>
      </c>
      <c r="AP107" s="49">
        <f t="shared" si="18"/>
        <v>0</v>
      </c>
      <c r="AQ107" s="50">
        <f t="shared" si="19"/>
        <v>0</v>
      </c>
      <c r="AR107" s="124"/>
      <c r="AS107" s="125"/>
      <c r="AT107" s="126"/>
      <c r="AU107" s="84">
        <f t="shared" si="26"/>
        <v>0</v>
      </c>
      <c r="AV107" s="127"/>
      <c r="AW107" s="128"/>
      <c r="AX107" s="128"/>
      <c r="AY107" s="125"/>
      <c r="AZ107" s="129"/>
    </row>
    <row r="108" spans="1:52" ht="16.5" thickBot="1" x14ac:dyDescent="0.3">
      <c r="A108" s="75">
        <v>355</v>
      </c>
      <c r="B108" s="75" t="s">
        <v>85</v>
      </c>
      <c r="C108" s="121"/>
      <c r="D108" s="26">
        <f t="shared" si="20"/>
        <v>0</v>
      </c>
      <c r="E108" s="27">
        <f t="shared" si="21"/>
        <v>0</v>
      </c>
      <c r="F108" s="29">
        <f t="shared" si="22"/>
        <v>0</v>
      </c>
      <c r="G108" s="30">
        <v>0</v>
      </c>
      <c r="H108" s="31">
        <v>0</v>
      </c>
      <c r="I108" s="32">
        <v>0</v>
      </c>
      <c r="J108" s="77"/>
      <c r="K108" s="33">
        <v>0</v>
      </c>
      <c r="L108" s="34">
        <v>0</v>
      </c>
      <c r="M108" s="34">
        <v>0</v>
      </c>
      <c r="N108" s="62"/>
      <c r="O108" s="34">
        <v>0</v>
      </c>
      <c r="P108" s="34">
        <v>0</v>
      </c>
      <c r="Q108" s="34">
        <v>0</v>
      </c>
      <c r="R108" s="62"/>
      <c r="S108" s="37">
        <v>0</v>
      </c>
      <c r="T108" s="34">
        <v>0</v>
      </c>
      <c r="U108" s="34">
        <v>0</v>
      </c>
      <c r="V108" s="62"/>
      <c r="W108" s="38">
        <v>0</v>
      </c>
      <c r="X108" s="31">
        <v>0</v>
      </c>
      <c r="Y108" s="31">
        <v>0</v>
      </c>
      <c r="Z108" s="78"/>
      <c r="AA108" s="37">
        <v>0</v>
      </c>
      <c r="AB108" s="34">
        <v>0</v>
      </c>
      <c r="AC108" s="34">
        <v>0</v>
      </c>
      <c r="AD108" s="64"/>
      <c r="AE108" s="122"/>
      <c r="AF108" s="123"/>
      <c r="AG108" s="43">
        <f t="shared" si="27"/>
        <v>0</v>
      </c>
      <c r="AH108" s="44">
        <f t="shared" si="27"/>
        <v>0</v>
      </c>
      <c r="AI108" s="44">
        <f t="shared" si="27"/>
        <v>0</v>
      </c>
      <c r="AJ108" s="45">
        <f t="shared" si="27"/>
        <v>0</v>
      </c>
      <c r="AK108" s="80">
        <f t="shared" si="17"/>
        <v>0</v>
      </c>
      <c r="AL108" s="47">
        <v>0.45</v>
      </c>
      <c r="AM108" s="48">
        <f t="shared" si="24"/>
        <v>0</v>
      </c>
      <c r="AN108" s="48">
        <f t="shared" si="25"/>
        <v>0</v>
      </c>
      <c r="AO108" s="49">
        <f t="shared" si="23"/>
        <v>0</v>
      </c>
      <c r="AP108" s="49">
        <f t="shared" si="18"/>
        <v>0</v>
      </c>
      <c r="AQ108" s="50">
        <f t="shared" si="19"/>
        <v>0</v>
      </c>
      <c r="AR108" s="124"/>
      <c r="AS108" s="125"/>
      <c r="AT108" s="126"/>
      <c r="AU108" s="84">
        <f t="shared" si="26"/>
        <v>0</v>
      </c>
      <c r="AV108" s="127"/>
      <c r="AW108" s="128"/>
      <c r="AX108" s="128"/>
      <c r="AY108" s="125"/>
      <c r="AZ108" s="129"/>
    </row>
    <row r="109" spans="1:52" ht="16.5" thickBot="1" x14ac:dyDescent="0.3">
      <c r="A109" s="75">
        <v>355</v>
      </c>
      <c r="B109" s="75" t="s">
        <v>89</v>
      </c>
      <c r="C109" s="121"/>
      <c r="D109" s="26">
        <f t="shared" si="20"/>
        <v>0</v>
      </c>
      <c r="E109" s="27">
        <f t="shared" si="21"/>
        <v>0</v>
      </c>
      <c r="F109" s="29">
        <f t="shared" si="22"/>
        <v>0</v>
      </c>
      <c r="G109" s="30">
        <v>0</v>
      </c>
      <c r="H109" s="31">
        <v>0</v>
      </c>
      <c r="I109" s="32">
        <v>0</v>
      </c>
      <c r="J109" s="130"/>
      <c r="K109" s="33">
        <v>0</v>
      </c>
      <c r="L109" s="34">
        <v>0</v>
      </c>
      <c r="M109" s="34">
        <v>0</v>
      </c>
      <c r="N109" s="62"/>
      <c r="O109" s="34">
        <v>0</v>
      </c>
      <c r="P109" s="34">
        <v>0</v>
      </c>
      <c r="Q109" s="34">
        <v>0</v>
      </c>
      <c r="R109" s="62"/>
      <c r="S109" s="37">
        <v>0</v>
      </c>
      <c r="T109" s="34">
        <v>0</v>
      </c>
      <c r="U109" s="34">
        <v>0</v>
      </c>
      <c r="V109" s="62"/>
      <c r="W109" s="38">
        <v>0</v>
      </c>
      <c r="X109" s="31">
        <v>0</v>
      </c>
      <c r="Y109" s="31">
        <v>0</v>
      </c>
      <c r="Z109" s="78"/>
      <c r="AA109" s="37">
        <v>0</v>
      </c>
      <c r="AB109" s="34">
        <v>0</v>
      </c>
      <c r="AC109" s="34">
        <v>0</v>
      </c>
      <c r="AD109" s="64"/>
      <c r="AE109" s="122"/>
      <c r="AF109" s="123"/>
      <c r="AG109" s="43">
        <f t="shared" si="27"/>
        <v>0</v>
      </c>
      <c r="AH109" s="44">
        <f t="shared" si="27"/>
        <v>0</v>
      </c>
      <c r="AI109" s="44">
        <f t="shared" si="27"/>
        <v>0</v>
      </c>
      <c r="AJ109" s="45">
        <f t="shared" si="27"/>
        <v>0</v>
      </c>
      <c r="AK109" s="80">
        <f t="shared" si="17"/>
        <v>0</v>
      </c>
      <c r="AL109" s="47">
        <v>0.45</v>
      </c>
      <c r="AM109" s="48">
        <f t="shared" si="24"/>
        <v>0</v>
      </c>
      <c r="AN109" s="48">
        <f t="shared" si="25"/>
        <v>0</v>
      </c>
      <c r="AO109" s="49">
        <f t="shared" si="23"/>
        <v>0</v>
      </c>
      <c r="AP109" s="49">
        <f t="shared" si="18"/>
        <v>0</v>
      </c>
      <c r="AQ109" s="50">
        <f t="shared" si="19"/>
        <v>0</v>
      </c>
      <c r="AR109" s="124"/>
      <c r="AS109" s="125"/>
      <c r="AT109" s="126"/>
      <c r="AU109" s="84">
        <f t="shared" si="26"/>
        <v>0</v>
      </c>
      <c r="AV109" s="127"/>
      <c r="AW109" s="128"/>
      <c r="AX109" s="128"/>
      <c r="AY109" s="125"/>
      <c r="AZ109" s="129"/>
    </row>
    <row r="110" spans="1:52" ht="16.5" thickBot="1" x14ac:dyDescent="0.3">
      <c r="A110" s="75">
        <v>145</v>
      </c>
      <c r="B110" s="131" t="s">
        <v>79</v>
      </c>
      <c r="C110" s="132"/>
      <c r="D110" s="26">
        <f t="shared" si="20"/>
        <v>0</v>
      </c>
      <c r="E110" s="27">
        <f t="shared" si="21"/>
        <v>0</v>
      </c>
      <c r="F110" s="29">
        <f t="shared" si="22"/>
        <v>0</v>
      </c>
      <c r="G110" s="30">
        <v>0</v>
      </c>
      <c r="H110" s="31">
        <v>0</v>
      </c>
      <c r="I110" s="32">
        <v>0</v>
      </c>
      <c r="J110" s="130"/>
      <c r="K110" s="33">
        <v>0</v>
      </c>
      <c r="L110" s="34">
        <v>0</v>
      </c>
      <c r="M110" s="34">
        <v>0</v>
      </c>
      <c r="N110" s="62"/>
      <c r="O110" s="34">
        <v>0</v>
      </c>
      <c r="P110" s="34">
        <v>0</v>
      </c>
      <c r="Q110" s="34">
        <v>0</v>
      </c>
      <c r="R110" s="62"/>
      <c r="S110" s="37">
        <v>0</v>
      </c>
      <c r="T110" s="34">
        <v>0</v>
      </c>
      <c r="U110" s="34">
        <v>0</v>
      </c>
      <c r="V110" s="62"/>
      <c r="W110" s="38">
        <v>0</v>
      </c>
      <c r="X110" s="31">
        <v>0</v>
      </c>
      <c r="Y110" s="31">
        <v>0</v>
      </c>
      <c r="Z110" s="78"/>
      <c r="AA110" s="37">
        <v>0</v>
      </c>
      <c r="AB110" s="34">
        <v>0</v>
      </c>
      <c r="AC110" s="34">
        <v>0</v>
      </c>
      <c r="AD110" s="64"/>
      <c r="AE110" s="122"/>
      <c r="AF110" s="123"/>
      <c r="AG110" s="43">
        <f t="shared" si="27"/>
        <v>0</v>
      </c>
      <c r="AH110" s="44">
        <f t="shared" si="27"/>
        <v>0</v>
      </c>
      <c r="AI110" s="44">
        <f t="shared" si="27"/>
        <v>0</v>
      </c>
      <c r="AJ110" s="45">
        <f t="shared" si="27"/>
        <v>0</v>
      </c>
      <c r="AK110" s="80">
        <f t="shared" si="17"/>
        <v>0</v>
      </c>
      <c r="AL110" s="47">
        <v>0.25</v>
      </c>
      <c r="AM110" s="48">
        <f t="shared" si="24"/>
        <v>0</v>
      </c>
      <c r="AN110" s="48">
        <f t="shared" si="25"/>
        <v>0</v>
      </c>
      <c r="AO110" s="49">
        <f t="shared" si="23"/>
        <v>0</v>
      </c>
      <c r="AP110" s="49">
        <f t="shared" si="18"/>
        <v>0</v>
      </c>
      <c r="AQ110" s="50">
        <f t="shared" si="19"/>
        <v>0</v>
      </c>
      <c r="AR110" s="124"/>
      <c r="AS110" s="125"/>
      <c r="AT110" s="126"/>
      <c r="AU110" s="84">
        <f t="shared" si="26"/>
        <v>0</v>
      </c>
      <c r="AV110" s="127"/>
      <c r="AW110" s="128"/>
      <c r="AX110" s="128"/>
      <c r="AY110" s="125"/>
      <c r="AZ110" s="129"/>
    </row>
    <row r="111" spans="1:52" ht="16.5" thickBot="1" x14ac:dyDescent="0.3">
      <c r="A111" s="75"/>
      <c r="B111" s="131" t="s">
        <v>77</v>
      </c>
      <c r="C111" s="132"/>
      <c r="D111" s="26">
        <f t="shared" si="20"/>
        <v>0</v>
      </c>
      <c r="E111" s="27">
        <f t="shared" si="21"/>
        <v>0</v>
      </c>
      <c r="F111" s="29">
        <f t="shared" si="22"/>
        <v>0</v>
      </c>
      <c r="G111" s="30">
        <v>0</v>
      </c>
      <c r="H111" s="31">
        <v>0</v>
      </c>
      <c r="I111" s="32">
        <v>0</v>
      </c>
      <c r="J111" s="130"/>
      <c r="K111" s="33">
        <v>0</v>
      </c>
      <c r="L111" s="34">
        <v>0</v>
      </c>
      <c r="M111" s="34">
        <v>0</v>
      </c>
      <c r="N111" s="62"/>
      <c r="O111" s="34">
        <v>0</v>
      </c>
      <c r="P111" s="34">
        <v>0</v>
      </c>
      <c r="Q111" s="34">
        <v>0</v>
      </c>
      <c r="R111" s="62"/>
      <c r="S111" s="37">
        <v>0</v>
      </c>
      <c r="T111" s="34">
        <v>0</v>
      </c>
      <c r="U111" s="34">
        <v>0</v>
      </c>
      <c r="V111" s="62"/>
      <c r="W111" s="38">
        <v>0</v>
      </c>
      <c r="X111" s="31">
        <v>0</v>
      </c>
      <c r="Y111" s="31">
        <v>0</v>
      </c>
      <c r="Z111" s="78"/>
      <c r="AA111" s="37">
        <v>0</v>
      </c>
      <c r="AB111" s="34">
        <v>0</v>
      </c>
      <c r="AC111" s="34">
        <v>0</v>
      </c>
      <c r="AD111" s="64"/>
      <c r="AE111" s="122"/>
      <c r="AF111" s="123"/>
      <c r="AG111" s="43">
        <f t="shared" si="27"/>
        <v>0</v>
      </c>
      <c r="AH111" s="44">
        <f t="shared" si="27"/>
        <v>0</v>
      </c>
      <c r="AI111" s="44">
        <f t="shared" si="27"/>
        <v>0</v>
      </c>
      <c r="AJ111" s="45">
        <f t="shared" si="27"/>
        <v>0</v>
      </c>
      <c r="AK111" s="80">
        <f t="shared" si="17"/>
        <v>0</v>
      </c>
      <c r="AL111" s="47">
        <v>0.25</v>
      </c>
      <c r="AM111" s="48">
        <f t="shared" si="24"/>
        <v>0</v>
      </c>
      <c r="AN111" s="48">
        <f t="shared" si="25"/>
        <v>0</v>
      </c>
      <c r="AO111" s="49">
        <f t="shared" si="23"/>
        <v>0</v>
      </c>
      <c r="AP111" s="49">
        <f t="shared" si="18"/>
        <v>0</v>
      </c>
      <c r="AQ111" s="50">
        <f t="shared" si="19"/>
        <v>0</v>
      </c>
      <c r="AR111" s="124"/>
      <c r="AS111" s="125"/>
      <c r="AT111" s="126"/>
      <c r="AU111" s="84"/>
      <c r="AV111" s="127"/>
      <c r="AW111" s="128"/>
      <c r="AX111" s="128"/>
      <c r="AY111" s="125"/>
      <c r="AZ111" s="129"/>
    </row>
    <row r="112" spans="1:52" ht="16.5" thickBot="1" x14ac:dyDescent="0.3">
      <c r="A112" s="75"/>
      <c r="B112" s="131" t="s">
        <v>81</v>
      </c>
      <c r="C112" s="132"/>
      <c r="D112" s="26">
        <f t="shared" si="20"/>
        <v>0</v>
      </c>
      <c r="E112" s="27">
        <f t="shared" si="21"/>
        <v>0</v>
      </c>
      <c r="F112" s="29">
        <f t="shared" si="22"/>
        <v>0</v>
      </c>
      <c r="G112" s="30">
        <v>0</v>
      </c>
      <c r="H112" s="31">
        <v>0</v>
      </c>
      <c r="I112" s="32">
        <v>0</v>
      </c>
      <c r="J112" s="130"/>
      <c r="K112" s="33">
        <v>0</v>
      </c>
      <c r="L112" s="34">
        <v>0</v>
      </c>
      <c r="M112" s="34">
        <v>0</v>
      </c>
      <c r="N112" s="62"/>
      <c r="O112" s="34">
        <v>0</v>
      </c>
      <c r="P112" s="34">
        <v>0</v>
      </c>
      <c r="Q112" s="34">
        <v>0</v>
      </c>
      <c r="R112" s="62"/>
      <c r="S112" s="37">
        <v>0</v>
      </c>
      <c r="T112" s="34">
        <v>0</v>
      </c>
      <c r="U112" s="34">
        <v>0</v>
      </c>
      <c r="V112" s="62"/>
      <c r="W112" s="38">
        <v>0</v>
      </c>
      <c r="X112" s="31">
        <v>0</v>
      </c>
      <c r="Y112" s="31">
        <v>0</v>
      </c>
      <c r="Z112" s="78"/>
      <c r="AA112" s="37">
        <v>0</v>
      </c>
      <c r="AB112" s="34">
        <v>0</v>
      </c>
      <c r="AC112" s="34">
        <v>0</v>
      </c>
      <c r="AD112" s="64"/>
      <c r="AE112" s="122"/>
      <c r="AF112" s="123"/>
      <c r="AG112" s="43">
        <f t="shared" si="27"/>
        <v>0</v>
      </c>
      <c r="AH112" s="44">
        <f t="shared" si="27"/>
        <v>0</v>
      </c>
      <c r="AI112" s="44">
        <f t="shared" si="27"/>
        <v>0</v>
      </c>
      <c r="AJ112" s="45">
        <f t="shared" si="27"/>
        <v>0</v>
      </c>
      <c r="AK112" s="80">
        <f t="shared" si="17"/>
        <v>0</v>
      </c>
      <c r="AL112" s="47">
        <v>0.25</v>
      </c>
      <c r="AM112" s="48">
        <f t="shared" si="24"/>
        <v>0</v>
      </c>
      <c r="AN112" s="48">
        <f t="shared" si="25"/>
        <v>0</v>
      </c>
      <c r="AO112" s="49">
        <f t="shared" si="23"/>
        <v>0</v>
      </c>
      <c r="AP112" s="49">
        <f t="shared" si="18"/>
        <v>0</v>
      </c>
      <c r="AQ112" s="50">
        <f t="shared" si="19"/>
        <v>0</v>
      </c>
      <c r="AR112" s="124"/>
      <c r="AS112" s="125"/>
      <c r="AT112" s="126"/>
      <c r="AU112" s="84"/>
      <c r="AV112" s="127"/>
      <c r="AW112" s="128"/>
      <c r="AX112" s="128"/>
      <c r="AY112" s="125"/>
      <c r="AZ112" s="129"/>
    </row>
    <row r="113" spans="1:52" ht="16.5" thickBot="1" x14ac:dyDescent="0.3">
      <c r="A113" s="75"/>
      <c r="B113" s="131" t="s">
        <v>75</v>
      </c>
      <c r="C113" s="132"/>
      <c r="D113" s="26">
        <f t="shared" si="20"/>
        <v>0</v>
      </c>
      <c r="E113" s="27">
        <f t="shared" si="21"/>
        <v>0</v>
      </c>
      <c r="F113" s="29">
        <f t="shared" si="22"/>
        <v>0</v>
      </c>
      <c r="G113" s="30">
        <v>0</v>
      </c>
      <c r="H113" s="31">
        <v>0</v>
      </c>
      <c r="I113" s="32">
        <v>0</v>
      </c>
      <c r="J113" s="130"/>
      <c r="K113" s="33">
        <v>0</v>
      </c>
      <c r="L113" s="34">
        <v>0</v>
      </c>
      <c r="M113" s="34">
        <v>0</v>
      </c>
      <c r="N113" s="62"/>
      <c r="O113" s="34">
        <v>0</v>
      </c>
      <c r="P113" s="34">
        <v>0</v>
      </c>
      <c r="Q113" s="34">
        <v>0</v>
      </c>
      <c r="R113" s="62"/>
      <c r="S113" s="37">
        <v>0</v>
      </c>
      <c r="T113" s="34">
        <v>0</v>
      </c>
      <c r="U113" s="34">
        <v>0</v>
      </c>
      <c r="V113" s="62"/>
      <c r="W113" s="38">
        <v>0</v>
      </c>
      <c r="X113" s="31">
        <v>0</v>
      </c>
      <c r="Y113" s="31">
        <v>0</v>
      </c>
      <c r="Z113" s="78"/>
      <c r="AA113" s="37">
        <v>0</v>
      </c>
      <c r="AB113" s="34">
        <v>0</v>
      </c>
      <c r="AC113" s="34">
        <v>0</v>
      </c>
      <c r="AD113" s="64"/>
      <c r="AE113" s="122"/>
      <c r="AF113" s="123"/>
      <c r="AG113" s="43">
        <f t="shared" si="27"/>
        <v>0</v>
      </c>
      <c r="AH113" s="44">
        <f t="shared" si="27"/>
        <v>0</v>
      </c>
      <c r="AI113" s="44">
        <f t="shared" si="27"/>
        <v>0</v>
      </c>
      <c r="AJ113" s="45">
        <f t="shared" si="27"/>
        <v>0</v>
      </c>
      <c r="AK113" s="80">
        <f t="shared" si="17"/>
        <v>0</v>
      </c>
      <c r="AL113" s="47">
        <v>0.25</v>
      </c>
      <c r="AM113" s="48">
        <f t="shared" si="24"/>
        <v>0</v>
      </c>
      <c r="AN113" s="48">
        <f t="shared" si="25"/>
        <v>0</v>
      </c>
      <c r="AO113" s="49">
        <f t="shared" si="23"/>
        <v>0</v>
      </c>
      <c r="AP113" s="49">
        <f t="shared" si="18"/>
        <v>0</v>
      </c>
      <c r="AQ113" s="50">
        <f t="shared" si="19"/>
        <v>0</v>
      </c>
      <c r="AR113" s="124"/>
      <c r="AS113" s="125"/>
      <c r="AT113" s="126"/>
      <c r="AU113" s="84"/>
      <c r="AV113" s="127"/>
      <c r="AW113" s="128"/>
      <c r="AX113" s="128"/>
      <c r="AY113" s="125"/>
      <c r="AZ113" s="129"/>
    </row>
    <row r="114" spans="1:52" ht="16.5" thickBot="1" x14ac:dyDescent="0.3">
      <c r="A114" s="75"/>
      <c r="B114" s="131" t="s">
        <v>82</v>
      </c>
      <c r="C114" s="132"/>
      <c r="D114" s="26">
        <f t="shared" si="20"/>
        <v>0</v>
      </c>
      <c r="E114" s="27">
        <f t="shared" si="21"/>
        <v>0</v>
      </c>
      <c r="F114" s="29">
        <f t="shared" si="22"/>
        <v>0</v>
      </c>
      <c r="G114" s="30">
        <v>0</v>
      </c>
      <c r="H114" s="31">
        <v>0</v>
      </c>
      <c r="I114" s="32">
        <v>0</v>
      </c>
      <c r="J114" s="130"/>
      <c r="K114" s="33">
        <v>0</v>
      </c>
      <c r="L114" s="34">
        <v>0</v>
      </c>
      <c r="M114" s="34">
        <v>0</v>
      </c>
      <c r="N114" s="62"/>
      <c r="O114" s="34">
        <v>0</v>
      </c>
      <c r="P114" s="34">
        <v>0</v>
      </c>
      <c r="Q114" s="34">
        <v>0</v>
      </c>
      <c r="R114" s="62"/>
      <c r="S114" s="37">
        <v>0</v>
      </c>
      <c r="T114" s="34">
        <v>0</v>
      </c>
      <c r="U114" s="34">
        <v>0</v>
      </c>
      <c r="V114" s="62"/>
      <c r="W114" s="38">
        <v>0</v>
      </c>
      <c r="X114" s="31">
        <v>0</v>
      </c>
      <c r="Y114" s="31">
        <v>0</v>
      </c>
      <c r="Z114" s="78"/>
      <c r="AA114" s="37">
        <v>0</v>
      </c>
      <c r="AB114" s="34">
        <v>0</v>
      </c>
      <c r="AC114" s="34">
        <v>0</v>
      </c>
      <c r="AD114" s="64"/>
      <c r="AE114" s="122"/>
      <c r="AF114" s="123"/>
      <c r="AG114" s="43">
        <f t="shared" si="27"/>
        <v>0</v>
      </c>
      <c r="AH114" s="44">
        <f t="shared" si="27"/>
        <v>0</v>
      </c>
      <c r="AI114" s="44">
        <f t="shared" si="27"/>
        <v>0</v>
      </c>
      <c r="AJ114" s="45">
        <f t="shared" si="27"/>
        <v>0</v>
      </c>
      <c r="AK114" s="80">
        <f t="shared" si="17"/>
        <v>0</v>
      </c>
      <c r="AL114" s="47">
        <v>0.25</v>
      </c>
      <c r="AM114" s="48">
        <f t="shared" si="24"/>
        <v>0</v>
      </c>
      <c r="AN114" s="48">
        <f t="shared" si="25"/>
        <v>0</v>
      </c>
      <c r="AO114" s="49">
        <f t="shared" si="23"/>
        <v>0</v>
      </c>
      <c r="AP114" s="49">
        <f t="shared" si="18"/>
        <v>0</v>
      </c>
      <c r="AQ114" s="50">
        <f t="shared" si="19"/>
        <v>0</v>
      </c>
      <c r="AR114" s="124"/>
      <c r="AS114" s="125"/>
      <c r="AT114" s="126"/>
      <c r="AU114" s="84"/>
      <c r="AV114" s="127"/>
      <c r="AW114" s="128"/>
      <c r="AX114" s="128"/>
      <c r="AY114" s="125"/>
      <c r="AZ114" s="129"/>
    </row>
    <row r="115" spans="1:52" ht="16.5" thickBot="1" x14ac:dyDescent="0.3">
      <c r="A115" s="75"/>
      <c r="B115" s="131" t="s">
        <v>78</v>
      </c>
      <c r="C115" s="132"/>
      <c r="D115" s="26">
        <f t="shared" si="20"/>
        <v>0</v>
      </c>
      <c r="E115" s="27">
        <f t="shared" si="21"/>
        <v>0</v>
      </c>
      <c r="F115" s="29">
        <f t="shared" si="22"/>
        <v>0</v>
      </c>
      <c r="G115" s="30">
        <v>0</v>
      </c>
      <c r="H115" s="31">
        <v>0</v>
      </c>
      <c r="I115" s="32">
        <v>0</v>
      </c>
      <c r="J115" s="130"/>
      <c r="K115" s="33">
        <v>0</v>
      </c>
      <c r="L115" s="34">
        <v>0</v>
      </c>
      <c r="M115" s="34">
        <v>0</v>
      </c>
      <c r="N115" s="62"/>
      <c r="O115" s="34">
        <v>0</v>
      </c>
      <c r="P115" s="34">
        <v>0</v>
      </c>
      <c r="Q115" s="34">
        <v>0</v>
      </c>
      <c r="R115" s="62"/>
      <c r="S115" s="37">
        <v>0</v>
      </c>
      <c r="T115" s="34">
        <v>0</v>
      </c>
      <c r="U115" s="34">
        <v>0</v>
      </c>
      <c r="V115" s="62"/>
      <c r="W115" s="38">
        <v>0</v>
      </c>
      <c r="X115" s="31">
        <v>0</v>
      </c>
      <c r="Y115" s="31">
        <v>0</v>
      </c>
      <c r="Z115" s="78"/>
      <c r="AA115" s="37">
        <v>0</v>
      </c>
      <c r="AB115" s="34">
        <v>0</v>
      </c>
      <c r="AC115" s="34">
        <v>0</v>
      </c>
      <c r="AD115" s="64"/>
      <c r="AE115" s="122"/>
      <c r="AF115" s="123"/>
      <c r="AG115" s="43">
        <f t="shared" si="27"/>
        <v>0</v>
      </c>
      <c r="AH115" s="44">
        <f t="shared" si="27"/>
        <v>0</v>
      </c>
      <c r="AI115" s="44">
        <f t="shared" si="27"/>
        <v>0</v>
      </c>
      <c r="AJ115" s="45">
        <f t="shared" si="27"/>
        <v>0</v>
      </c>
      <c r="AK115" s="80">
        <f t="shared" si="17"/>
        <v>0</v>
      </c>
      <c r="AL115" s="47">
        <v>0.25</v>
      </c>
      <c r="AM115" s="48">
        <f t="shared" si="24"/>
        <v>0</v>
      </c>
      <c r="AN115" s="48">
        <f t="shared" si="25"/>
        <v>0</v>
      </c>
      <c r="AO115" s="49">
        <f t="shared" si="23"/>
        <v>0</v>
      </c>
      <c r="AP115" s="49">
        <f t="shared" si="18"/>
        <v>0</v>
      </c>
      <c r="AQ115" s="50">
        <f t="shared" si="19"/>
        <v>0</v>
      </c>
      <c r="AR115" s="124"/>
      <c r="AS115" s="125"/>
      <c r="AT115" s="126"/>
      <c r="AU115" s="84"/>
      <c r="AV115" s="127"/>
      <c r="AW115" s="128"/>
      <c r="AX115" s="128"/>
      <c r="AY115" s="125"/>
      <c r="AZ115" s="129"/>
    </row>
    <row r="116" spans="1:52" ht="16.5" thickBot="1" x14ac:dyDescent="0.3">
      <c r="A116" s="75"/>
      <c r="B116" s="131" t="s">
        <v>90</v>
      </c>
      <c r="C116" s="132"/>
      <c r="D116" s="26">
        <f t="shared" si="20"/>
        <v>0</v>
      </c>
      <c r="E116" s="27">
        <f t="shared" si="21"/>
        <v>0</v>
      </c>
      <c r="F116" s="29">
        <f t="shared" si="22"/>
        <v>0</v>
      </c>
      <c r="G116" s="30">
        <v>0</v>
      </c>
      <c r="H116" s="31">
        <v>0</v>
      </c>
      <c r="I116" s="32">
        <v>0</v>
      </c>
      <c r="J116" s="130"/>
      <c r="K116" s="33">
        <v>0</v>
      </c>
      <c r="L116" s="34">
        <v>0</v>
      </c>
      <c r="M116" s="34">
        <v>0</v>
      </c>
      <c r="N116" s="62"/>
      <c r="O116" s="34">
        <v>0</v>
      </c>
      <c r="P116" s="34">
        <v>0</v>
      </c>
      <c r="Q116" s="34">
        <v>0</v>
      </c>
      <c r="R116" s="62"/>
      <c r="S116" s="37">
        <v>0</v>
      </c>
      <c r="T116" s="34">
        <v>0</v>
      </c>
      <c r="U116" s="34">
        <v>0</v>
      </c>
      <c r="V116" s="62"/>
      <c r="W116" s="38">
        <v>0</v>
      </c>
      <c r="X116" s="31">
        <v>0</v>
      </c>
      <c r="Y116" s="31">
        <v>0</v>
      </c>
      <c r="Z116" s="78"/>
      <c r="AA116" s="37">
        <v>0</v>
      </c>
      <c r="AB116" s="34">
        <v>0</v>
      </c>
      <c r="AC116" s="34">
        <v>0</v>
      </c>
      <c r="AD116" s="64"/>
      <c r="AE116" s="122"/>
      <c r="AF116" s="123"/>
      <c r="AG116" s="43">
        <f t="shared" si="27"/>
        <v>0</v>
      </c>
      <c r="AH116" s="44">
        <f t="shared" si="27"/>
        <v>0</v>
      </c>
      <c r="AI116" s="44">
        <f t="shared" si="27"/>
        <v>0</v>
      </c>
      <c r="AJ116" s="45">
        <f t="shared" si="27"/>
        <v>0</v>
      </c>
      <c r="AK116" s="80">
        <f t="shared" si="17"/>
        <v>0</v>
      </c>
      <c r="AL116" s="47">
        <v>0.25</v>
      </c>
      <c r="AM116" s="48">
        <f t="shared" si="24"/>
        <v>0</v>
      </c>
      <c r="AN116" s="48">
        <f t="shared" si="25"/>
        <v>0</v>
      </c>
      <c r="AO116" s="49">
        <f t="shared" si="23"/>
        <v>0</v>
      </c>
      <c r="AP116" s="49">
        <f t="shared" si="18"/>
        <v>0</v>
      </c>
      <c r="AQ116" s="50">
        <f t="shared" si="19"/>
        <v>0</v>
      </c>
      <c r="AR116" s="124"/>
      <c r="AS116" s="125"/>
      <c r="AT116" s="126"/>
      <c r="AU116" s="84"/>
      <c r="AV116" s="127"/>
      <c r="AW116" s="128"/>
      <c r="AX116" s="128"/>
      <c r="AY116" s="125"/>
      <c r="AZ116" s="129"/>
    </row>
    <row r="117" spans="1:52" ht="16.5" thickBot="1" x14ac:dyDescent="0.3">
      <c r="A117" s="75">
        <v>250</v>
      </c>
      <c r="B117" s="75" t="s">
        <v>26</v>
      </c>
      <c r="C117" s="133"/>
      <c r="D117" s="26">
        <f t="shared" si="20"/>
        <v>0</v>
      </c>
      <c r="E117" s="27">
        <f t="shared" si="21"/>
        <v>0</v>
      </c>
      <c r="F117" s="29">
        <f t="shared" si="22"/>
        <v>0</v>
      </c>
      <c r="G117" s="30">
        <v>0</v>
      </c>
      <c r="H117" s="31">
        <v>0</v>
      </c>
      <c r="I117" s="32">
        <v>0</v>
      </c>
      <c r="J117" s="130"/>
      <c r="K117" s="33">
        <v>0</v>
      </c>
      <c r="L117" s="34">
        <v>0</v>
      </c>
      <c r="M117" s="34">
        <v>0</v>
      </c>
      <c r="N117" s="62"/>
      <c r="O117" s="34">
        <v>0</v>
      </c>
      <c r="P117" s="34">
        <v>0</v>
      </c>
      <c r="Q117" s="34">
        <v>0</v>
      </c>
      <c r="R117" s="62"/>
      <c r="S117" s="37">
        <v>0</v>
      </c>
      <c r="T117" s="34">
        <v>0</v>
      </c>
      <c r="U117" s="34">
        <v>0</v>
      </c>
      <c r="V117" s="62"/>
      <c r="W117" s="38">
        <v>0</v>
      </c>
      <c r="X117" s="31">
        <v>0</v>
      </c>
      <c r="Y117" s="31">
        <v>0</v>
      </c>
      <c r="Z117" s="78"/>
      <c r="AA117" s="37">
        <v>0</v>
      </c>
      <c r="AB117" s="34">
        <v>0</v>
      </c>
      <c r="AC117" s="34">
        <v>0</v>
      </c>
      <c r="AD117" s="64"/>
      <c r="AE117" s="122"/>
      <c r="AF117" s="123"/>
      <c r="AG117" s="43">
        <f t="shared" si="27"/>
        <v>0</v>
      </c>
      <c r="AH117" s="44">
        <f t="shared" si="27"/>
        <v>0</v>
      </c>
      <c r="AI117" s="44">
        <f t="shared" si="27"/>
        <v>0</v>
      </c>
      <c r="AJ117" s="45">
        <f t="shared" si="27"/>
        <v>0</v>
      </c>
      <c r="AK117" s="80">
        <f t="shared" si="17"/>
        <v>0</v>
      </c>
      <c r="AL117" s="47">
        <v>1</v>
      </c>
      <c r="AM117" s="48">
        <f t="shared" si="24"/>
        <v>0</v>
      </c>
      <c r="AN117" s="48">
        <f t="shared" si="25"/>
        <v>0</v>
      </c>
      <c r="AO117" s="49">
        <f t="shared" si="23"/>
        <v>0</v>
      </c>
      <c r="AP117" s="49">
        <f t="shared" si="18"/>
        <v>0</v>
      </c>
      <c r="AQ117" s="50">
        <f t="shared" si="19"/>
        <v>0</v>
      </c>
      <c r="AR117" s="124"/>
      <c r="AS117" s="125"/>
      <c r="AT117" s="126"/>
      <c r="AU117" s="84">
        <f>AK117*AL117</f>
        <v>0</v>
      </c>
      <c r="AV117" s="127"/>
      <c r="AW117" s="128"/>
      <c r="AX117" s="128"/>
      <c r="AY117" s="125"/>
      <c r="AZ117" s="129"/>
    </row>
    <row r="118" spans="1:52" ht="16.5" thickBot="1" x14ac:dyDescent="0.3">
      <c r="A118" s="75">
        <v>250</v>
      </c>
      <c r="B118" s="75" t="s">
        <v>91</v>
      </c>
      <c r="C118" s="133"/>
      <c r="D118" s="26">
        <f t="shared" si="20"/>
        <v>0</v>
      </c>
      <c r="E118" s="27">
        <f t="shared" si="21"/>
        <v>0</v>
      </c>
      <c r="F118" s="29">
        <f t="shared" si="22"/>
        <v>0</v>
      </c>
      <c r="G118" s="30">
        <v>0</v>
      </c>
      <c r="H118" s="31">
        <v>0</v>
      </c>
      <c r="I118" s="32">
        <v>0</v>
      </c>
      <c r="J118" s="130"/>
      <c r="K118" s="33">
        <v>0</v>
      </c>
      <c r="L118" s="34">
        <v>0</v>
      </c>
      <c r="M118" s="34">
        <v>0</v>
      </c>
      <c r="N118" s="62"/>
      <c r="O118" s="34">
        <v>0</v>
      </c>
      <c r="P118" s="34">
        <v>0</v>
      </c>
      <c r="Q118" s="34">
        <v>0</v>
      </c>
      <c r="R118" s="62"/>
      <c r="S118" s="37">
        <v>0</v>
      </c>
      <c r="T118" s="34">
        <v>0</v>
      </c>
      <c r="U118" s="34">
        <v>0</v>
      </c>
      <c r="V118" s="62"/>
      <c r="W118" s="38">
        <v>0</v>
      </c>
      <c r="X118" s="31">
        <v>0</v>
      </c>
      <c r="Y118" s="31">
        <v>0</v>
      </c>
      <c r="Z118" s="78"/>
      <c r="AA118" s="37">
        <v>0</v>
      </c>
      <c r="AB118" s="34">
        <v>0</v>
      </c>
      <c r="AC118" s="34">
        <v>0</v>
      </c>
      <c r="AD118" s="64"/>
      <c r="AE118" s="122"/>
      <c r="AF118" s="123"/>
      <c r="AG118" s="43">
        <f t="shared" si="27"/>
        <v>0</v>
      </c>
      <c r="AH118" s="44">
        <f t="shared" si="27"/>
        <v>0</v>
      </c>
      <c r="AI118" s="44">
        <f t="shared" si="27"/>
        <v>0</v>
      </c>
      <c r="AJ118" s="45">
        <f t="shared" si="27"/>
        <v>0</v>
      </c>
      <c r="AK118" s="80">
        <f t="shared" si="17"/>
        <v>0</v>
      </c>
      <c r="AL118" s="47">
        <v>0.5</v>
      </c>
      <c r="AM118" s="48">
        <f t="shared" si="24"/>
        <v>0</v>
      </c>
      <c r="AN118" s="48">
        <f t="shared" si="25"/>
        <v>0</v>
      </c>
      <c r="AO118" s="49">
        <f t="shared" si="23"/>
        <v>0</v>
      </c>
      <c r="AP118" s="49">
        <f t="shared" si="18"/>
        <v>0</v>
      </c>
      <c r="AQ118" s="50">
        <f t="shared" si="19"/>
        <v>0</v>
      </c>
      <c r="AR118" s="124"/>
      <c r="AS118" s="125"/>
      <c r="AT118" s="126"/>
      <c r="AU118" s="84"/>
      <c r="AV118" s="127"/>
      <c r="AW118" s="128"/>
      <c r="AX118" s="128"/>
      <c r="AY118" s="125"/>
      <c r="AZ118" s="129"/>
    </row>
    <row r="119" spans="1:52" ht="16.5" thickBot="1" x14ac:dyDescent="0.3">
      <c r="A119" s="75">
        <v>1000</v>
      </c>
      <c r="B119" s="75" t="s">
        <v>91</v>
      </c>
      <c r="C119" s="133"/>
      <c r="D119" s="26">
        <f t="shared" si="20"/>
        <v>0</v>
      </c>
      <c r="E119" s="27">
        <f t="shared" si="21"/>
        <v>0</v>
      </c>
      <c r="F119" s="29">
        <f t="shared" si="22"/>
        <v>0</v>
      </c>
      <c r="G119" s="30">
        <v>0</v>
      </c>
      <c r="H119" s="31">
        <v>0</v>
      </c>
      <c r="I119" s="32">
        <v>0</v>
      </c>
      <c r="J119" s="130"/>
      <c r="K119" s="33">
        <v>0</v>
      </c>
      <c r="L119" s="34">
        <v>0</v>
      </c>
      <c r="M119" s="34">
        <v>0</v>
      </c>
      <c r="N119" s="62"/>
      <c r="O119" s="34">
        <v>0</v>
      </c>
      <c r="P119" s="34">
        <v>0</v>
      </c>
      <c r="Q119" s="34">
        <v>0</v>
      </c>
      <c r="R119" s="62"/>
      <c r="S119" s="37">
        <v>0</v>
      </c>
      <c r="T119" s="34">
        <v>0</v>
      </c>
      <c r="U119" s="34">
        <v>0</v>
      </c>
      <c r="V119" s="62"/>
      <c r="W119" s="38">
        <v>0</v>
      </c>
      <c r="X119" s="31">
        <v>0</v>
      </c>
      <c r="Y119" s="31">
        <v>0</v>
      </c>
      <c r="Z119" s="78"/>
      <c r="AA119" s="37">
        <v>0</v>
      </c>
      <c r="AB119" s="34">
        <v>0</v>
      </c>
      <c r="AC119" s="34">
        <v>0</v>
      </c>
      <c r="AD119" s="64"/>
      <c r="AE119" s="122"/>
      <c r="AF119" s="123"/>
      <c r="AG119" s="43">
        <f t="shared" si="27"/>
        <v>0</v>
      </c>
      <c r="AH119" s="44">
        <f t="shared" si="27"/>
        <v>0</v>
      </c>
      <c r="AI119" s="44">
        <f t="shared" si="27"/>
        <v>0</v>
      </c>
      <c r="AJ119" s="45">
        <f t="shared" si="27"/>
        <v>0</v>
      </c>
      <c r="AK119" s="80">
        <f t="shared" si="17"/>
        <v>0</v>
      </c>
      <c r="AL119" s="47">
        <v>0.5</v>
      </c>
      <c r="AM119" s="48">
        <f t="shared" si="24"/>
        <v>0</v>
      </c>
      <c r="AN119" s="48">
        <f t="shared" si="25"/>
        <v>0</v>
      </c>
      <c r="AO119" s="49">
        <f t="shared" si="23"/>
        <v>0</v>
      </c>
      <c r="AP119" s="49">
        <f t="shared" si="18"/>
        <v>0</v>
      </c>
      <c r="AQ119" s="50">
        <f t="shared" si="19"/>
        <v>0</v>
      </c>
      <c r="AR119" s="124"/>
      <c r="AS119" s="125"/>
      <c r="AT119" s="126"/>
      <c r="AU119" s="84"/>
      <c r="AV119" s="127"/>
      <c r="AW119" s="128"/>
      <c r="AX119" s="128"/>
      <c r="AY119" s="125"/>
      <c r="AZ119" s="129"/>
    </row>
    <row r="120" spans="1:52" ht="16.5" thickBot="1" x14ac:dyDescent="0.3">
      <c r="A120" s="75">
        <v>250</v>
      </c>
      <c r="B120" s="75" t="s">
        <v>92</v>
      </c>
      <c r="C120" s="133"/>
      <c r="D120" s="26">
        <f t="shared" si="20"/>
        <v>0</v>
      </c>
      <c r="E120" s="27">
        <f t="shared" si="21"/>
        <v>0</v>
      </c>
      <c r="F120" s="29">
        <f t="shared" si="22"/>
        <v>0</v>
      </c>
      <c r="G120" s="30">
        <v>0</v>
      </c>
      <c r="H120" s="31">
        <v>0</v>
      </c>
      <c r="I120" s="32">
        <v>0</v>
      </c>
      <c r="J120" s="130"/>
      <c r="K120" s="33">
        <v>0</v>
      </c>
      <c r="L120" s="34">
        <v>0</v>
      </c>
      <c r="M120" s="34">
        <v>0</v>
      </c>
      <c r="N120" s="62"/>
      <c r="O120" s="34">
        <v>0</v>
      </c>
      <c r="P120" s="34">
        <v>0</v>
      </c>
      <c r="Q120" s="34">
        <v>0</v>
      </c>
      <c r="R120" s="62"/>
      <c r="S120" s="37">
        <v>0</v>
      </c>
      <c r="T120" s="34">
        <v>0</v>
      </c>
      <c r="U120" s="34">
        <v>0</v>
      </c>
      <c r="V120" s="62"/>
      <c r="W120" s="38">
        <v>0</v>
      </c>
      <c r="X120" s="31">
        <v>0</v>
      </c>
      <c r="Y120" s="31">
        <v>0</v>
      </c>
      <c r="Z120" s="78"/>
      <c r="AA120" s="37">
        <v>0</v>
      </c>
      <c r="AB120" s="34">
        <v>0</v>
      </c>
      <c r="AC120" s="34">
        <v>0</v>
      </c>
      <c r="AD120" s="64"/>
      <c r="AE120" s="122"/>
      <c r="AF120" s="123"/>
      <c r="AG120" s="43">
        <f t="shared" si="27"/>
        <v>0</v>
      </c>
      <c r="AH120" s="44">
        <f t="shared" si="27"/>
        <v>0</v>
      </c>
      <c r="AI120" s="44">
        <f t="shared" si="27"/>
        <v>0</v>
      </c>
      <c r="AJ120" s="45">
        <f t="shared" si="27"/>
        <v>0</v>
      </c>
      <c r="AK120" s="80">
        <f t="shared" si="17"/>
        <v>0</v>
      </c>
      <c r="AL120" s="47">
        <v>0.5</v>
      </c>
      <c r="AM120" s="48">
        <f t="shared" si="24"/>
        <v>0</v>
      </c>
      <c r="AN120" s="48">
        <f t="shared" si="25"/>
        <v>0</v>
      </c>
      <c r="AO120" s="49">
        <f t="shared" si="23"/>
        <v>0</v>
      </c>
      <c r="AP120" s="49">
        <f t="shared" si="18"/>
        <v>0</v>
      </c>
      <c r="AQ120" s="50">
        <f t="shared" si="19"/>
        <v>0</v>
      </c>
      <c r="AR120" s="124"/>
      <c r="AS120" s="125"/>
      <c r="AT120" s="126"/>
      <c r="AU120" s="84"/>
      <c r="AV120" s="127"/>
      <c r="AW120" s="128"/>
      <c r="AX120" s="128"/>
      <c r="AY120" s="125"/>
      <c r="AZ120" s="129"/>
    </row>
    <row r="121" spans="1:52" ht="16.5" thickBot="1" x14ac:dyDescent="0.3">
      <c r="A121" s="75">
        <v>1.5</v>
      </c>
      <c r="B121" s="75" t="s">
        <v>93</v>
      </c>
      <c r="C121" s="133"/>
      <c r="D121" s="26">
        <f t="shared" si="20"/>
        <v>0</v>
      </c>
      <c r="E121" s="27">
        <f t="shared" si="21"/>
        <v>0</v>
      </c>
      <c r="F121" s="29">
        <f t="shared" si="22"/>
        <v>0</v>
      </c>
      <c r="G121" s="30">
        <v>0</v>
      </c>
      <c r="H121" s="31">
        <v>0</v>
      </c>
      <c r="I121" s="32">
        <v>0</v>
      </c>
      <c r="J121" s="130"/>
      <c r="K121" s="33">
        <v>0</v>
      </c>
      <c r="L121" s="34">
        <v>0</v>
      </c>
      <c r="M121" s="34">
        <v>0</v>
      </c>
      <c r="N121" s="62"/>
      <c r="O121" s="34">
        <v>0</v>
      </c>
      <c r="P121" s="34">
        <v>0</v>
      </c>
      <c r="Q121" s="34">
        <v>0</v>
      </c>
      <c r="R121" s="62"/>
      <c r="S121" s="37">
        <v>0</v>
      </c>
      <c r="T121" s="34">
        <v>0</v>
      </c>
      <c r="U121" s="34">
        <v>0</v>
      </c>
      <c r="V121" s="62"/>
      <c r="W121" s="38">
        <v>0</v>
      </c>
      <c r="X121" s="31">
        <v>0</v>
      </c>
      <c r="Y121" s="31">
        <v>0</v>
      </c>
      <c r="Z121" s="78"/>
      <c r="AA121" s="37">
        <v>0</v>
      </c>
      <c r="AB121" s="34">
        <v>0</v>
      </c>
      <c r="AC121" s="34">
        <v>0</v>
      </c>
      <c r="AD121" s="64"/>
      <c r="AE121" s="122"/>
      <c r="AF121" s="123"/>
      <c r="AG121" s="43">
        <f t="shared" si="27"/>
        <v>0</v>
      </c>
      <c r="AH121" s="44">
        <f t="shared" si="27"/>
        <v>0</v>
      </c>
      <c r="AI121" s="44">
        <f t="shared" si="27"/>
        <v>0</v>
      </c>
      <c r="AJ121" s="45">
        <f t="shared" si="27"/>
        <v>0</v>
      </c>
      <c r="AK121" s="80">
        <f t="shared" si="17"/>
        <v>0</v>
      </c>
      <c r="AL121" s="47">
        <v>0.75</v>
      </c>
      <c r="AM121" s="48">
        <f t="shared" si="24"/>
        <v>0</v>
      </c>
      <c r="AN121" s="48">
        <f t="shared" si="25"/>
        <v>0</v>
      </c>
      <c r="AO121" s="49">
        <f t="shared" si="23"/>
        <v>0</v>
      </c>
      <c r="AP121" s="49">
        <f t="shared" si="18"/>
        <v>0</v>
      </c>
      <c r="AQ121" s="50">
        <f t="shared" si="19"/>
        <v>0</v>
      </c>
      <c r="AR121" s="124"/>
      <c r="AS121" s="125"/>
      <c r="AT121" s="126"/>
      <c r="AU121" s="84">
        <f>AK121*AL121</f>
        <v>0</v>
      </c>
      <c r="AV121" s="127"/>
      <c r="AW121" s="128"/>
      <c r="AX121" s="128"/>
      <c r="AY121" s="125"/>
      <c r="AZ121" s="129"/>
    </row>
    <row r="122" spans="1:52" ht="16.5" thickBot="1" x14ac:dyDescent="0.3">
      <c r="A122" s="75">
        <v>1.5</v>
      </c>
      <c r="B122" s="75" t="s">
        <v>82</v>
      </c>
      <c r="C122" s="133"/>
      <c r="D122" s="26">
        <f t="shared" si="20"/>
        <v>0</v>
      </c>
      <c r="E122" s="27">
        <f t="shared" si="21"/>
        <v>0</v>
      </c>
      <c r="F122" s="29">
        <f t="shared" si="22"/>
        <v>0</v>
      </c>
      <c r="G122" s="30">
        <v>0</v>
      </c>
      <c r="H122" s="31">
        <v>0</v>
      </c>
      <c r="I122" s="32">
        <v>0</v>
      </c>
      <c r="J122" s="130"/>
      <c r="K122" s="33">
        <v>0</v>
      </c>
      <c r="L122" s="34">
        <v>0</v>
      </c>
      <c r="M122" s="34">
        <v>0</v>
      </c>
      <c r="N122" s="62"/>
      <c r="O122" s="34">
        <v>0</v>
      </c>
      <c r="P122" s="34">
        <v>0</v>
      </c>
      <c r="Q122" s="34">
        <v>0</v>
      </c>
      <c r="R122" s="62"/>
      <c r="S122" s="37">
        <v>0</v>
      </c>
      <c r="T122" s="34">
        <v>0</v>
      </c>
      <c r="U122" s="34">
        <v>0</v>
      </c>
      <c r="V122" s="62"/>
      <c r="W122" s="38">
        <v>0</v>
      </c>
      <c r="X122" s="31">
        <v>0</v>
      </c>
      <c r="Y122" s="31">
        <v>0</v>
      </c>
      <c r="Z122" s="78"/>
      <c r="AA122" s="37">
        <v>0</v>
      </c>
      <c r="AB122" s="34">
        <v>0</v>
      </c>
      <c r="AC122" s="34">
        <v>0</v>
      </c>
      <c r="AD122" s="64"/>
      <c r="AE122" s="122"/>
      <c r="AF122" s="123"/>
      <c r="AG122" s="43">
        <f t="shared" si="27"/>
        <v>0</v>
      </c>
      <c r="AH122" s="44">
        <f t="shared" si="27"/>
        <v>0</v>
      </c>
      <c r="AI122" s="44">
        <f t="shared" si="27"/>
        <v>0</v>
      </c>
      <c r="AJ122" s="45">
        <f t="shared" si="27"/>
        <v>0</v>
      </c>
      <c r="AK122" s="80">
        <f t="shared" si="17"/>
        <v>0</v>
      </c>
      <c r="AL122" s="47">
        <v>0.75</v>
      </c>
      <c r="AM122" s="48">
        <f t="shared" si="24"/>
        <v>0</v>
      </c>
      <c r="AN122" s="48">
        <f t="shared" si="25"/>
        <v>0</v>
      </c>
      <c r="AO122" s="49">
        <f t="shared" si="23"/>
        <v>0</v>
      </c>
      <c r="AP122" s="49">
        <f t="shared" si="18"/>
        <v>0</v>
      </c>
      <c r="AQ122" s="50">
        <f t="shared" si="19"/>
        <v>0</v>
      </c>
      <c r="AR122" s="124"/>
      <c r="AS122" s="125"/>
      <c r="AT122" s="126"/>
      <c r="AU122" s="84"/>
      <c r="AV122" s="127"/>
      <c r="AW122" s="128"/>
      <c r="AX122" s="128"/>
      <c r="AY122" s="125"/>
      <c r="AZ122" s="129"/>
    </row>
    <row r="123" spans="1:52" ht="16.5" thickBot="1" x14ac:dyDescent="0.3">
      <c r="A123" s="75">
        <v>250</v>
      </c>
      <c r="B123" s="75" t="s">
        <v>27</v>
      </c>
      <c r="C123" s="133"/>
      <c r="D123" s="26">
        <f t="shared" si="20"/>
        <v>0</v>
      </c>
      <c r="E123" s="27">
        <f t="shared" si="21"/>
        <v>0</v>
      </c>
      <c r="F123" s="29">
        <f t="shared" si="22"/>
        <v>0</v>
      </c>
      <c r="G123" s="30">
        <v>0</v>
      </c>
      <c r="H123" s="31">
        <v>0</v>
      </c>
      <c r="I123" s="32">
        <v>0</v>
      </c>
      <c r="J123" s="130"/>
      <c r="K123" s="33">
        <v>0</v>
      </c>
      <c r="L123" s="34">
        <v>0</v>
      </c>
      <c r="M123" s="34">
        <v>0</v>
      </c>
      <c r="N123" s="62"/>
      <c r="O123" s="34">
        <v>0</v>
      </c>
      <c r="P123" s="34">
        <v>0</v>
      </c>
      <c r="Q123" s="34">
        <v>0</v>
      </c>
      <c r="R123" s="62"/>
      <c r="S123" s="37">
        <v>0</v>
      </c>
      <c r="T123" s="34">
        <v>0</v>
      </c>
      <c r="U123" s="34">
        <v>0</v>
      </c>
      <c r="V123" s="62"/>
      <c r="W123" s="38">
        <v>0</v>
      </c>
      <c r="X123" s="31">
        <v>0</v>
      </c>
      <c r="Y123" s="31">
        <v>0</v>
      </c>
      <c r="Z123" s="78"/>
      <c r="AA123" s="37">
        <v>0</v>
      </c>
      <c r="AB123" s="34">
        <v>0</v>
      </c>
      <c r="AC123" s="34">
        <v>0</v>
      </c>
      <c r="AD123" s="64"/>
      <c r="AE123" s="122"/>
      <c r="AF123" s="123"/>
      <c r="AG123" s="43">
        <f t="shared" si="27"/>
        <v>0</v>
      </c>
      <c r="AH123" s="44">
        <f t="shared" si="27"/>
        <v>0</v>
      </c>
      <c r="AI123" s="44">
        <f t="shared" si="27"/>
        <v>0</v>
      </c>
      <c r="AJ123" s="45">
        <f t="shared" si="27"/>
        <v>0</v>
      </c>
      <c r="AK123" s="80">
        <f t="shared" si="17"/>
        <v>0</v>
      </c>
      <c r="AL123" s="47">
        <v>1</v>
      </c>
      <c r="AM123" s="48">
        <f t="shared" si="24"/>
        <v>0</v>
      </c>
      <c r="AN123" s="48">
        <f t="shared" si="25"/>
        <v>0</v>
      </c>
      <c r="AO123" s="49">
        <f t="shared" si="23"/>
        <v>0</v>
      </c>
      <c r="AP123" s="49">
        <f t="shared" si="18"/>
        <v>0</v>
      </c>
      <c r="AQ123" s="50">
        <f t="shared" si="19"/>
        <v>0</v>
      </c>
      <c r="AR123" s="124"/>
      <c r="AS123" s="125"/>
      <c r="AT123" s="126"/>
      <c r="AU123" s="84">
        <f t="shared" ref="AU123:AU132" si="28">AK123*AL123</f>
        <v>0</v>
      </c>
      <c r="AV123" s="127"/>
      <c r="AW123" s="128"/>
      <c r="AX123" s="128"/>
      <c r="AY123" s="125"/>
      <c r="AZ123" s="129"/>
    </row>
    <row r="124" spans="1:52" ht="16.5" thickBot="1" x14ac:dyDescent="0.3">
      <c r="A124" s="91">
        <v>400</v>
      </c>
      <c r="B124" s="91" t="s">
        <v>94</v>
      </c>
      <c r="C124" s="133"/>
      <c r="D124" s="26">
        <f t="shared" si="20"/>
        <v>0</v>
      </c>
      <c r="E124" s="27">
        <f t="shared" si="21"/>
        <v>0</v>
      </c>
      <c r="F124" s="29">
        <f t="shared" si="22"/>
        <v>0</v>
      </c>
      <c r="G124" s="30">
        <v>0</v>
      </c>
      <c r="H124" s="31">
        <v>0</v>
      </c>
      <c r="I124" s="32">
        <v>0</v>
      </c>
      <c r="J124" s="113"/>
      <c r="K124" s="33">
        <v>0</v>
      </c>
      <c r="L124" s="34">
        <v>0</v>
      </c>
      <c r="M124" s="34">
        <v>0</v>
      </c>
      <c r="N124" s="114"/>
      <c r="O124" s="34">
        <v>0</v>
      </c>
      <c r="P124" s="34">
        <v>0</v>
      </c>
      <c r="Q124" s="34">
        <v>0</v>
      </c>
      <c r="R124" s="114"/>
      <c r="S124" s="37">
        <v>0</v>
      </c>
      <c r="T124" s="34">
        <v>0</v>
      </c>
      <c r="U124" s="34">
        <v>0</v>
      </c>
      <c r="V124" s="114"/>
      <c r="W124" s="38">
        <v>0</v>
      </c>
      <c r="X124" s="31">
        <v>0</v>
      </c>
      <c r="Y124" s="31">
        <v>0</v>
      </c>
      <c r="Z124" s="78"/>
      <c r="AA124" s="37">
        <v>0</v>
      </c>
      <c r="AB124" s="34">
        <v>0</v>
      </c>
      <c r="AC124" s="34">
        <v>0</v>
      </c>
      <c r="AD124" s="64"/>
      <c r="AE124" s="122"/>
      <c r="AF124" s="123"/>
      <c r="AG124" s="43">
        <f t="shared" si="27"/>
        <v>0</v>
      </c>
      <c r="AH124" s="44">
        <f t="shared" si="27"/>
        <v>0</v>
      </c>
      <c r="AI124" s="44">
        <f t="shared" si="27"/>
        <v>0</v>
      </c>
      <c r="AJ124" s="45">
        <f t="shared" si="27"/>
        <v>0</v>
      </c>
      <c r="AK124" s="80">
        <f t="shared" si="17"/>
        <v>0</v>
      </c>
      <c r="AL124" s="47">
        <v>0.75</v>
      </c>
      <c r="AM124" s="48">
        <f t="shared" si="24"/>
        <v>0</v>
      </c>
      <c r="AN124" s="48">
        <f t="shared" si="25"/>
        <v>0</v>
      </c>
      <c r="AO124" s="49">
        <f t="shared" si="23"/>
        <v>0</v>
      </c>
      <c r="AP124" s="49">
        <f t="shared" si="18"/>
        <v>0</v>
      </c>
      <c r="AQ124" s="50">
        <f t="shared" si="19"/>
        <v>0</v>
      </c>
      <c r="AR124" s="124"/>
      <c r="AS124" s="125"/>
      <c r="AT124" s="126"/>
      <c r="AU124" s="84">
        <f t="shared" si="28"/>
        <v>0</v>
      </c>
      <c r="AV124" s="127"/>
      <c r="AW124" s="128"/>
      <c r="AX124" s="128"/>
      <c r="AY124" s="125"/>
      <c r="AZ124" s="129"/>
    </row>
    <row r="125" spans="1:52" ht="16.5" thickBot="1" x14ac:dyDescent="0.3">
      <c r="A125" s="91">
        <v>1000</v>
      </c>
      <c r="B125" s="91" t="s">
        <v>95</v>
      </c>
      <c r="C125" s="133"/>
      <c r="D125" s="26">
        <f t="shared" si="20"/>
        <v>0</v>
      </c>
      <c r="E125" s="27">
        <f t="shared" si="21"/>
        <v>0</v>
      </c>
      <c r="F125" s="29">
        <f t="shared" si="22"/>
        <v>0</v>
      </c>
      <c r="G125" s="30">
        <v>0</v>
      </c>
      <c r="H125" s="31">
        <v>0</v>
      </c>
      <c r="I125" s="32">
        <v>0</v>
      </c>
      <c r="J125" s="113"/>
      <c r="K125" s="33">
        <v>0</v>
      </c>
      <c r="L125" s="34">
        <v>0</v>
      </c>
      <c r="M125" s="34">
        <v>0</v>
      </c>
      <c r="N125" s="114"/>
      <c r="O125" s="34">
        <v>0</v>
      </c>
      <c r="P125" s="34">
        <v>0</v>
      </c>
      <c r="Q125" s="34">
        <v>0</v>
      </c>
      <c r="R125" s="114"/>
      <c r="S125" s="37">
        <v>0</v>
      </c>
      <c r="T125" s="34">
        <v>0</v>
      </c>
      <c r="U125" s="34">
        <v>0</v>
      </c>
      <c r="V125" s="114"/>
      <c r="W125" s="38">
        <v>0</v>
      </c>
      <c r="X125" s="31">
        <v>0</v>
      </c>
      <c r="Y125" s="31">
        <v>0</v>
      </c>
      <c r="Z125" s="78"/>
      <c r="AA125" s="37">
        <v>0</v>
      </c>
      <c r="AB125" s="34">
        <v>0</v>
      </c>
      <c r="AC125" s="34">
        <v>0</v>
      </c>
      <c r="AD125" s="64"/>
      <c r="AE125" s="122"/>
      <c r="AF125" s="123"/>
      <c r="AG125" s="43">
        <f t="shared" si="27"/>
        <v>0</v>
      </c>
      <c r="AH125" s="44">
        <f t="shared" si="27"/>
        <v>0</v>
      </c>
      <c r="AI125" s="44">
        <f t="shared" si="27"/>
        <v>0</v>
      </c>
      <c r="AJ125" s="45">
        <f t="shared" si="27"/>
        <v>0</v>
      </c>
      <c r="AK125" s="80">
        <f t="shared" si="17"/>
        <v>0</v>
      </c>
      <c r="AL125" s="47">
        <v>1</v>
      </c>
      <c r="AM125" s="48">
        <f t="shared" si="24"/>
        <v>0</v>
      </c>
      <c r="AN125" s="48">
        <f t="shared" si="25"/>
        <v>0</v>
      </c>
      <c r="AO125" s="49">
        <f t="shared" si="23"/>
        <v>0</v>
      </c>
      <c r="AP125" s="49">
        <f t="shared" si="18"/>
        <v>0</v>
      </c>
      <c r="AQ125" s="50">
        <f t="shared" si="19"/>
        <v>0</v>
      </c>
      <c r="AR125" s="124"/>
      <c r="AS125" s="125"/>
      <c r="AT125" s="126"/>
      <c r="AU125" s="84">
        <f t="shared" si="28"/>
        <v>0</v>
      </c>
      <c r="AV125" s="127"/>
      <c r="AW125" s="128"/>
      <c r="AX125" s="128"/>
      <c r="AY125" s="125"/>
      <c r="AZ125" s="129"/>
    </row>
    <row r="126" spans="1:52" ht="16.5" thickBot="1" x14ac:dyDescent="0.3">
      <c r="A126" s="134">
        <v>355</v>
      </c>
      <c r="B126" s="134" t="s">
        <v>96</v>
      </c>
      <c r="C126" s="135"/>
      <c r="D126" s="26">
        <f t="shared" si="20"/>
        <v>0</v>
      </c>
      <c r="E126" s="27">
        <f t="shared" si="21"/>
        <v>0</v>
      </c>
      <c r="F126" s="29">
        <f t="shared" si="22"/>
        <v>0</v>
      </c>
      <c r="G126" s="30">
        <v>0</v>
      </c>
      <c r="H126" s="31">
        <v>0</v>
      </c>
      <c r="I126" s="32">
        <v>0</v>
      </c>
      <c r="J126" s="136"/>
      <c r="K126" s="33">
        <v>0</v>
      </c>
      <c r="L126" s="34">
        <v>0</v>
      </c>
      <c r="M126" s="34">
        <v>0</v>
      </c>
      <c r="N126" s="114"/>
      <c r="O126" s="34">
        <v>0</v>
      </c>
      <c r="P126" s="34">
        <v>0</v>
      </c>
      <c r="Q126" s="34">
        <v>0</v>
      </c>
      <c r="R126" s="114"/>
      <c r="S126" s="37">
        <v>0</v>
      </c>
      <c r="T126" s="34">
        <v>0</v>
      </c>
      <c r="U126" s="34">
        <v>0</v>
      </c>
      <c r="V126" s="114"/>
      <c r="W126" s="38">
        <v>0</v>
      </c>
      <c r="X126" s="31">
        <v>0</v>
      </c>
      <c r="Y126" s="31">
        <v>0</v>
      </c>
      <c r="Z126" s="78"/>
      <c r="AA126" s="37">
        <v>0</v>
      </c>
      <c r="AB126" s="34">
        <v>0</v>
      </c>
      <c r="AC126" s="34">
        <v>0</v>
      </c>
      <c r="AD126" s="64"/>
      <c r="AE126" s="122"/>
      <c r="AF126" s="123"/>
      <c r="AG126" s="43">
        <f t="shared" si="27"/>
        <v>0</v>
      </c>
      <c r="AH126" s="44">
        <f t="shared" si="27"/>
        <v>0</v>
      </c>
      <c r="AI126" s="44">
        <f t="shared" si="27"/>
        <v>0</v>
      </c>
      <c r="AJ126" s="45">
        <f t="shared" si="27"/>
        <v>0</v>
      </c>
      <c r="AK126" s="137">
        <f t="shared" si="17"/>
        <v>0</v>
      </c>
      <c r="AL126" s="47">
        <v>0.45</v>
      </c>
      <c r="AM126" s="48">
        <f t="shared" si="24"/>
        <v>0</v>
      </c>
      <c r="AN126" s="48">
        <f t="shared" si="25"/>
        <v>0</v>
      </c>
      <c r="AO126" s="49">
        <f t="shared" si="23"/>
        <v>0</v>
      </c>
      <c r="AP126" s="49">
        <f t="shared" si="18"/>
        <v>0</v>
      </c>
      <c r="AQ126" s="50">
        <f t="shared" si="19"/>
        <v>0</v>
      </c>
      <c r="AR126" s="124"/>
      <c r="AS126" s="125"/>
      <c r="AT126" s="126"/>
      <c r="AU126" s="84">
        <f t="shared" si="28"/>
        <v>0</v>
      </c>
      <c r="AV126" s="127"/>
      <c r="AW126" s="128"/>
      <c r="AX126" s="128"/>
      <c r="AY126" s="125"/>
      <c r="AZ126" s="129"/>
    </row>
    <row r="127" spans="1:52" ht="16.5" thickBot="1" x14ac:dyDescent="0.3">
      <c r="A127" s="134">
        <v>330</v>
      </c>
      <c r="B127" s="134" t="s">
        <v>97</v>
      </c>
      <c r="C127" s="135"/>
      <c r="D127" s="26">
        <f t="shared" si="20"/>
        <v>0</v>
      </c>
      <c r="E127" s="27">
        <f t="shared" si="21"/>
        <v>0</v>
      </c>
      <c r="F127" s="29">
        <f t="shared" si="22"/>
        <v>0</v>
      </c>
      <c r="G127" s="30">
        <v>0</v>
      </c>
      <c r="H127" s="31">
        <v>0</v>
      </c>
      <c r="I127" s="32">
        <v>0</v>
      </c>
      <c r="J127" s="136"/>
      <c r="K127" s="33">
        <v>0</v>
      </c>
      <c r="L127" s="34">
        <v>0</v>
      </c>
      <c r="M127" s="34">
        <v>0</v>
      </c>
      <c r="N127" s="114"/>
      <c r="O127" s="34">
        <v>0</v>
      </c>
      <c r="P127" s="34">
        <v>0</v>
      </c>
      <c r="Q127" s="34">
        <v>0</v>
      </c>
      <c r="R127" s="114"/>
      <c r="S127" s="37">
        <v>0</v>
      </c>
      <c r="T127" s="34">
        <v>0</v>
      </c>
      <c r="U127" s="34">
        <v>0</v>
      </c>
      <c r="V127" s="114"/>
      <c r="W127" s="38">
        <v>0</v>
      </c>
      <c r="X127" s="31">
        <v>0</v>
      </c>
      <c r="Y127" s="31">
        <v>0</v>
      </c>
      <c r="Z127" s="78"/>
      <c r="AA127" s="37">
        <v>0</v>
      </c>
      <c r="AB127" s="34">
        <v>0</v>
      </c>
      <c r="AC127" s="34">
        <v>0</v>
      </c>
      <c r="AD127" s="64"/>
      <c r="AE127" s="122"/>
      <c r="AF127" s="123"/>
      <c r="AG127" s="43">
        <f t="shared" si="27"/>
        <v>0</v>
      </c>
      <c r="AH127" s="44">
        <f t="shared" si="27"/>
        <v>0</v>
      </c>
      <c r="AI127" s="44">
        <f t="shared" si="27"/>
        <v>0</v>
      </c>
      <c r="AJ127" s="45">
        <f t="shared" si="27"/>
        <v>0</v>
      </c>
      <c r="AK127" s="137">
        <f t="shared" si="17"/>
        <v>0</v>
      </c>
      <c r="AL127" s="47">
        <v>0.5</v>
      </c>
      <c r="AM127" s="48">
        <f t="shared" si="24"/>
        <v>0</v>
      </c>
      <c r="AN127" s="48">
        <f t="shared" si="25"/>
        <v>0</v>
      </c>
      <c r="AO127" s="49">
        <f t="shared" si="23"/>
        <v>0</v>
      </c>
      <c r="AP127" s="49">
        <f t="shared" si="18"/>
        <v>0</v>
      </c>
      <c r="AQ127" s="50">
        <f t="shared" si="19"/>
        <v>0</v>
      </c>
      <c r="AR127" s="124"/>
      <c r="AS127" s="125"/>
      <c r="AT127" s="126"/>
      <c r="AU127" s="84">
        <f t="shared" si="28"/>
        <v>0</v>
      </c>
      <c r="AV127" s="127"/>
      <c r="AW127" s="128"/>
      <c r="AX127" s="128"/>
      <c r="AY127" s="125"/>
      <c r="AZ127" s="129"/>
    </row>
    <row r="128" spans="1:52" ht="16.5" thickBot="1" x14ac:dyDescent="0.3">
      <c r="A128" s="134">
        <v>330</v>
      </c>
      <c r="B128" s="134" t="s">
        <v>98</v>
      </c>
      <c r="C128" s="135"/>
      <c r="D128" s="26">
        <f t="shared" si="20"/>
        <v>0</v>
      </c>
      <c r="E128" s="27">
        <f t="shared" si="21"/>
        <v>0</v>
      </c>
      <c r="F128" s="29">
        <f t="shared" si="22"/>
        <v>0</v>
      </c>
      <c r="G128" s="30">
        <v>0</v>
      </c>
      <c r="H128" s="31">
        <v>0</v>
      </c>
      <c r="I128" s="32">
        <v>0</v>
      </c>
      <c r="J128" s="136"/>
      <c r="K128" s="33">
        <v>0</v>
      </c>
      <c r="L128" s="34">
        <v>0</v>
      </c>
      <c r="M128" s="34">
        <v>0</v>
      </c>
      <c r="N128" s="114"/>
      <c r="O128" s="34">
        <v>0</v>
      </c>
      <c r="P128" s="34">
        <v>0</v>
      </c>
      <c r="Q128" s="34">
        <v>0</v>
      </c>
      <c r="R128" s="114"/>
      <c r="S128" s="37">
        <v>0</v>
      </c>
      <c r="T128" s="34">
        <v>0</v>
      </c>
      <c r="U128" s="34">
        <v>0</v>
      </c>
      <c r="V128" s="114"/>
      <c r="W128" s="38">
        <v>0</v>
      </c>
      <c r="X128" s="31">
        <v>0</v>
      </c>
      <c r="Y128" s="31">
        <v>0</v>
      </c>
      <c r="Z128" s="78"/>
      <c r="AA128" s="37">
        <v>0</v>
      </c>
      <c r="AB128" s="34">
        <v>0</v>
      </c>
      <c r="AC128" s="34">
        <v>0</v>
      </c>
      <c r="AD128" s="64"/>
      <c r="AE128" s="122"/>
      <c r="AF128" s="123"/>
      <c r="AG128" s="43">
        <f t="shared" si="27"/>
        <v>0</v>
      </c>
      <c r="AH128" s="44">
        <f t="shared" si="27"/>
        <v>0</v>
      </c>
      <c r="AI128" s="44">
        <f t="shared" si="27"/>
        <v>0</v>
      </c>
      <c r="AJ128" s="45">
        <f t="shared" si="27"/>
        <v>0</v>
      </c>
      <c r="AK128" s="137">
        <f t="shared" si="17"/>
        <v>0</v>
      </c>
      <c r="AL128" s="47">
        <v>0.5</v>
      </c>
      <c r="AM128" s="48">
        <f t="shared" si="24"/>
        <v>0</v>
      </c>
      <c r="AN128" s="48">
        <f t="shared" si="25"/>
        <v>0</v>
      </c>
      <c r="AO128" s="49">
        <f t="shared" si="23"/>
        <v>0</v>
      </c>
      <c r="AP128" s="49">
        <f t="shared" si="18"/>
        <v>0</v>
      </c>
      <c r="AQ128" s="50">
        <f t="shared" si="19"/>
        <v>0</v>
      </c>
      <c r="AR128" s="124"/>
      <c r="AS128" s="125"/>
      <c r="AT128" s="126"/>
      <c r="AU128" s="84">
        <f t="shared" si="28"/>
        <v>0</v>
      </c>
      <c r="AV128" s="127"/>
      <c r="AW128" s="128"/>
      <c r="AX128" s="128"/>
      <c r="AY128" s="125"/>
      <c r="AZ128" s="129"/>
    </row>
    <row r="129" spans="1:52" ht="16.5" thickBot="1" x14ac:dyDescent="0.3">
      <c r="A129" s="134">
        <v>330</v>
      </c>
      <c r="B129" s="134" t="s">
        <v>99</v>
      </c>
      <c r="C129" s="135"/>
      <c r="D129" s="26">
        <f t="shared" si="20"/>
        <v>0</v>
      </c>
      <c r="E129" s="27">
        <f t="shared" si="21"/>
        <v>0</v>
      </c>
      <c r="F129" s="29">
        <f t="shared" si="22"/>
        <v>0</v>
      </c>
      <c r="G129" s="30">
        <v>0</v>
      </c>
      <c r="H129" s="31">
        <v>0</v>
      </c>
      <c r="I129" s="32">
        <v>0</v>
      </c>
      <c r="J129" s="136"/>
      <c r="K129" s="33">
        <v>0</v>
      </c>
      <c r="L129" s="34">
        <v>0</v>
      </c>
      <c r="M129" s="34">
        <v>0</v>
      </c>
      <c r="N129" s="114"/>
      <c r="O129" s="34">
        <v>0</v>
      </c>
      <c r="P129" s="34">
        <v>0</v>
      </c>
      <c r="Q129" s="34">
        <v>0</v>
      </c>
      <c r="R129" s="114"/>
      <c r="S129" s="37">
        <v>0</v>
      </c>
      <c r="T129" s="34">
        <v>0</v>
      </c>
      <c r="U129" s="34">
        <v>0</v>
      </c>
      <c r="V129" s="114"/>
      <c r="W129" s="38">
        <v>0</v>
      </c>
      <c r="X129" s="31">
        <v>0</v>
      </c>
      <c r="Y129" s="31">
        <v>0</v>
      </c>
      <c r="Z129" s="78"/>
      <c r="AA129" s="37">
        <v>0</v>
      </c>
      <c r="AB129" s="34">
        <v>0</v>
      </c>
      <c r="AC129" s="34">
        <v>0</v>
      </c>
      <c r="AD129" s="64"/>
      <c r="AE129" s="122"/>
      <c r="AF129" s="123"/>
      <c r="AG129" s="43">
        <f t="shared" si="27"/>
        <v>0</v>
      </c>
      <c r="AH129" s="44">
        <f t="shared" si="27"/>
        <v>0</v>
      </c>
      <c r="AI129" s="44">
        <f t="shared" si="27"/>
        <v>0</v>
      </c>
      <c r="AJ129" s="45">
        <f t="shared" si="27"/>
        <v>0</v>
      </c>
      <c r="AK129" s="137">
        <f t="shared" si="17"/>
        <v>0</v>
      </c>
      <c r="AL129" s="47">
        <v>0.5</v>
      </c>
      <c r="AM129" s="48">
        <f t="shared" si="24"/>
        <v>0</v>
      </c>
      <c r="AN129" s="48">
        <f t="shared" si="25"/>
        <v>0</v>
      </c>
      <c r="AO129" s="49">
        <f t="shared" si="23"/>
        <v>0</v>
      </c>
      <c r="AP129" s="49">
        <f t="shared" si="18"/>
        <v>0</v>
      </c>
      <c r="AQ129" s="50">
        <f t="shared" si="19"/>
        <v>0</v>
      </c>
      <c r="AR129" s="124"/>
      <c r="AS129" s="125"/>
      <c r="AT129" s="126"/>
      <c r="AU129" s="84">
        <f t="shared" si="28"/>
        <v>0</v>
      </c>
      <c r="AV129" s="127"/>
      <c r="AW129" s="128"/>
      <c r="AX129" s="128"/>
      <c r="AY129" s="125"/>
      <c r="AZ129" s="129"/>
    </row>
    <row r="130" spans="1:52" ht="16.5" thickBot="1" x14ac:dyDescent="0.3">
      <c r="A130" s="134">
        <v>330</v>
      </c>
      <c r="B130" s="134" t="s">
        <v>100</v>
      </c>
      <c r="C130" s="135"/>
      <c r="D130" s="26">
        <f t="shared" si="20"/>
        <v>0</v>
      </c>
      <c r="E130" s="27">
        <f t="shared" si="21"/>
        <v>0</v>
      </c>
      <c r="F130" s="29">
        <f t="shared" si="22"/>
        <v>0</v>
      </c>
      <c r="G130" s="30">
        <v>0</v>
      </c>
      <c r="H130" s="31">
        <v>0</v>
      </c>
      <c r="I130" s="32">
        <v>0</v>
      </c>
      <c r="J130" s="136"/>
      <c r="K130" s="33">
        <v>0</v>
      </c>
      <c r="L130" s="34">
        <v>0</v>
      </c>
      <c r="M130" s="34">
        <v>0</v>
      </c>
      <c r="N130" s="114"/>
      <c r="O130" s="34">
        <v>0</v>
      </c>
      <c r="P130" s="34">
        <v>0</v>
      </c>
      <c r="Q130" s="34">
        <v>0</v>
      </c>
      <c r="R130" s="114"/>
      <c r="S130" s="37">
        <v>0</v>
      </c>
      <c r="T130" s="34">
        <v>0</v>
      </c>
      <c r="U130" s="34">
        <v>0</v>
      </c>
      <c r="V130" s="114"/>
      <c r="W130" s="38">
        <v>0</v>
      </c>
      <c r="X130" s="31">
        <v>0</v>
      </c>
      <c r="Y130" s="31">
        <v>0</v>
      </c>
      <c r="Z130" s="78"/>
      <c r="AA130" s="37">
        <v>0</v>
      </c>
      <c r="AB130" s="34">
        <v>0</v>
      </c>
      <c r="AC130" s="34">
        <v>0</v>
      </c>
      <c r="AD130" s="64"/>
      <c r="AE130" s="122"/>
      <c r="AF130" s="123"/>
      <c r="AG130" s="43">
        <f t="shared" si="27"/>
        <v>0</v>
      </c>
      <c r="AH130" s="44">
        <f t="shared" si="27"/>
        <v>0</v>
      </c>
      <c r="AI130" s="44">
        <f t="shared" si="27"/>
        <v>0</v>
      </c>
      <c r="AJ130" s="45">
        <f t="shared" si="27"/>
        <v>0</v>
      </c>
      <c r="AK130" s="137">
        <f t="shared" si="17"/>
        <v>0</v>
      </c>
      <c r="AL130" s="47">
        <v>0.5</v>
      </c>
      <c r="AM130" s="48">
        <f t="shared" si="24"/>
        <v>0</v>
      </c>
      <c r="AN130" s="48">
        <f t="shared" si="25"/>
        <v>0</v>
      </c>
      <c r="AO130" s="49">
        <f t="shared" si="23"/>
        <v>0</v>
      </c>
      <c r="AP130" s="49">
        <f t="shared" si="18"/>
        <v>0</v>
      </c>
      <c r="AQ130" s="50">
        <f t="shared" si="19"/>
        <v>0</v>
      </c>
      <c r="AR130" s="124"/>
      <c r="AS130" s="125"/>
      <c r="AT130" s="126"/>
      <c r="AU130" s="84">
        <f t="shared" si="28"/>
        <v>0</v>
      </c>
      <c r="AV130" s="127"/>
      <c r="AW130" s="128"/>
      <c r="AX130" s="128"/>
      <c r="AY130" s="125"/>
      <c r="AZ130" s="129"/>
    </row>
    <row r="131" spans="1:52" ht="16.5" thickBot="1" x14ac:dyDescent="0.3">
      <c r="A131" s="134">
        <v>330</v>
      </c>
      <c r="B131" s="134" t="s">
        <v>101</v>
      </c>
      <c r="C131" s="135"/>
      <c r="D131" s="26">
        <f t="shared" si="20"/>
        <v>0</v>
      </c>
      <c r="E131" s="27">
        <f t="shared" si="21"/>
        <v>0</v>
      </c>
      <c r="F131" s="29">
        <f t="shared" si="22"/>
        <v>0</v>
      </c>
      <c r="G131" s="30">
        <v>0</v>
      </c>
      <c r="H131" s="31">
        <v>0</v>
      </c>
      <c r="I131" s="32">
        <v>0</v>
      </c>
      <c r="J131" s="136"/>
      <c r="K131" s="33">
        <v>0</v>
      </c>
      <c r="L131" s="34">
        <v>0</v>
      </c>
      <c r="M131" s="34">
        <v>0</v>
      </c>
      <c r="N131" s="114"/>
      <c r="O131" s="34">
        <v>0</v>
      </c>
      <c r="P131" s="34">
        <v>0</v>
      </c>
      <c r="Q131" s="34">
        <v>0</v>
      </c>
      <c r="R131" s="114"/>
      <c r="S131" s="37">
        <v>0</v>
      </c>
      <c r="T131" s="34">
        <v>0</v>
      </c>
      <c r="U131" s="34">
        <v>0</v>
      </c>
      <c r="V131" s="114"/>
      <c r="W131" s="38">
        <v>0</v>
      </c>
      <c r="X131" s="31">
        <v>0</v>
      </c>
      <c r="Y131" s="31">
        <v>0</v>
      </c>
      <c r="Z131" s="78"/>
      <c r="AA131" s="37">
        <v>0</v>
      </c>
      <c r="AB131" s="34">
        <v>0</v>
      </c>
      <c r="AC131" s="34">
        <v>0</v>
      </c>
      <c r="AD131" s="64"/>
      <c r="AE131" s="122"/>
      <c r="AF131" s="123"/>
      <c r="AG131" s="43">
        <f t="shared" si="27"/>
        <v>0</v>
      </c>
      <c r="AH131" s="44">
        <f t="shared" si="27"/>
        <v>0</v>
      </c>
      <c r="AI131" s="44">
        <f t="shared" si="27"/>
        <v>0</v>
      </c>
      <c r="AJ131" s="45">
        <f t="shared" si="27"/>
        <v>0</v>
      </c>
      <c r="AK131" s="137">
        <f t="shared" si="17"/>
        <v>0</v>
      </c>
      <c r="AL131" s="47">
        <v>0.5</v>
      </c>
      <c r="AM131" s="48">
        <f t="shared" si="24"/>
        <v>0</v>
      </c>
      <c r="AN131" s="48">
        <f t="shared" si="25"/>
        <v>0</v>
      </c>
      <c r="AO131" s="49">
        <f t="shared" si="23"/>
        <v>0</v>
      </c>
      <c r="AP131" s="49">
        <f t="shared" si="18"/>
        <v>0</v>
      </c>
      <c r="AQ131" s="50">
        <f t="shared" si="19"/>
        <v>0</v>
      </c>
      <c r="AR131" s="124"/>
      <c r="AS131" s="125"/>
      <c r="AT131" s="126"/>
      <c r="AU131" s="84">
        <f t="shared" si="28"/>
        <v>0</v>
      </c>
      <c r="AV131" s="127"/>
      <c r="AW131" s="128"/>
      <c r="AX131" s="128"/>
      <c r="AY131" s="125"/>
      <c r="AZ131" s="129"/>
    </row>
    <row r="132" spans="1:52" ht="16.5" thickBot="1" x14ac:dyDescent="0.3">
      <c r="A132" s="134">
        <v>330</v>
      </c>
      <c r="B132" s="134" t="s">
        <v>102</v>
      </c>
      <c r="C132" s="135"/>
      <c r="D132" s="26">
        <f t="shared" si="20"/>
        <v>0</v>
      </c>
      <c r="E132" s="27">
        <f t="shared" si="21"/>
        <v>0</v>
      </c>
      <c r="F132" s="29">
        <f t="shared" si="22"/>
        <v>0</v>
      </c>
      <c r="G132" s="30">
        <v>0</v>
      </c>
      <c r="H132" s="31">
        <v>0</v>
      </c>
      <c r="I132" s="32">
        <v>0</v>
      </c>
      <c r="J132" s="136"/>
      <c r="K132" s="33">
        <v>0</v>
      </c>
      <c r="L132" s="34">
        <v>0</v>
      </c>
      <c r="M132" s="34">
        <v>0</v>
      </c>
      <c r="N132" s="138"/>
      <c r="O132" s="34">
        <v>0</v>
      </c>
      <c r="P132" s="34">
        <v>0</v>
      </c>
      <c r="Q132" s="34">
        <v>0</v>
      </c>
      <c r="R132" s="138"/>
      <c r="S132" s="37">
        <v>0</v>
      </c>
      <c r="T132" s="34">
        <v>0</v>
      </c>
      <c r="U132" s="34">
        <v>0</v>
      </c>
      <c r="V132" s="138"/>
      <c r="W132" s="38">
        <v>0</v>
      </c>
      <c r="X132" s="31">
        <v>0</v>
      </c>
      <c r="Y132" s="31">
        <v>0</v>
      </c>
      <c r="Z132" s="105"/>
      <c r="AA132" s="37">
        <v>0</v>
      </c>
      <c r="AB132" s="34">
        <v>0</v>
      </c>
      <c r="AC132" s="34">
        <v>0</v>
      </c>
      <c r="AD132" s="123"/>
      <c r="AE132" s="122"/>
      <c r="AF132" s="123"/>
      <c r="AG132" s="43">
        <f t="shared" si="27"/>
        <v>0</v>
      </c>
      <c r="AH132" s="44">
        <f t="shared" si="27"/>
        <v>0</v>
      </c>
      <c r="AI132" s="44">
        <f t="shared" si="27"/>
        <v>0</v>
      </c>
      <c r="AJ132" s="45">
        <f t="shared" si="27"/>
        <v>0</v>
      </c>
      <c r="AK132" s="137">
        <f t="shared" ref="AK132:AK184" si="29">AG132+AH132+AI132</f>
        <v>0</v>
      </c>
      <c r="AL132" s="47">
        <v>0.5</v>
      </c>
      <c r="AM132" s="48">
        <f t="shared" si="24"/>
        <v>0</v>
      </c>
      <c r="AN132" s="48">
        <f t="shared" si="25"/>
        <v>0</v>
      </c>
      <c r="AO132" s="49">
        <f t="shared" si="23"/>
        <v>0</v>
      </c>
      <c r="AP132" s="49">
        <f t="shared" ref="AP132:AP182" si="30">AJ132*AL132</f>
        <v>0</v>
      </c>
      <c r="AQ132" s="50">
        <f t="shared" ref="AQ132:AQ169" si="31">AK132*60</f>
        <v>0</v>
      </c>
      <c r="AR132" s="124"/>
      <c r="AS132" s="125"/>
      <c r="AT132" s="126"/>
      <c r="AU132" s="84">
        <f t="shared" si="28"/>
        <v>0</v>
      </c>
      <c r="AV132" s="127"/>
      <c r="AW132" s="128"/>
      <c r="AX132" s="128"/>
      <c r="AY132" s="125"/>
      <c r="AZ132" s="129"/>
    </row>
    <row r="133" spans="1:52" ht="16.5" thickBot="1" x14ac:dyDescent="0.3">
      <c r="A133" s="134">
        <v>330</v>
      </c>
      <c r="B133" s="134" t="s">
        <v>103</v>
      </c>
      <c r="C133" s="135"/>
      <c r="D133" s="26">
        <f t="shared" ref="D133:D183" si="32">C133/3</f>
        <v>0</v>
      </c>
      <c r="E133" s="27">
        <f t="shared" ref="E133:E183" si="33">C133/3</f>
        <v>0</v>
      </c>
      <c r="F133" s="29">
        <f t="shared" ref="F133:F183" si="34">C133/3</f>
        <v>0</v>
      </c>
      <c r="G133" s="30">
        <v>0</v>
      </c>
      <c r="H133" s="31">
        <v>0</v>
      </c>
      <c r="I133" s="32">
        <v>0</v>
      </c>
      <c r="J133" s="136"/>
      <c r="K133" s="33">
        <v>0</v>
      </c>
      <c r="L133" s="34">
        <v>0</v>
      </c>
      <c r="M133" s="34">
        <v>0</v>
      </c>
      <c r="N133" s="138"/>
      <c r="O133" s="34">
        <v>0</v>
      </c>
      <c r="P133" s="34">
        <v>0</v>
      </c>
      <c r="Q133" s="34">
        <v>0</v>
      </c>
      <c r="R133" s="138"/>
      <c r="S133" s="37">
        <v>0</v>
      </c>
      <c r="T133" s="34">
        <v>0</v>
      </c>
      <c r="U133" s="34">
        <v>0</v>
      </c>
      <c r="V133" s="138"/>
      <c r="W133" s="38">
        <v>0</v>
      </c>
      <c r="X133" s="31">
        <v>0</v>
      </c>
      <c r="Y133" s="31">
        <v>0</v>
      </c>
      <c r="Z133" s="105"/>
      <c r="AA133" s="37">
        <v>0</v>
      </c>
      <c r="AB133" s="34">
        <v>0</v>
      </c>
      <c r="AC133" s="34">
        <v>0</v>
      </c>
      <c r="AD133" s="123"/>
      <c r="AE133" s="122"/>
      <c r="AF133" s="123"/>
      <c r="AG133" s="43">
        <f t="shared" si="27"/>
        <v>0</v>
      </c>
      <c r="AH133" s="44">
        <f t="shared" si="27"/>
        <v>0</v>
      </c>
      <c r="AI133" s="44">
        <f t="shared" si="27"/>
        <v>0</v>
      </c>
      <c r="AJ133" s="45">
        <f t="shared" si="27"/>
        <v>0</v>
      </c>
      <c r="AK133" s="137">
        <f t="shared" si="29"/>
        <v>0</v>
      </c>
      <c r="AL133" s="47">
        <v>0.5</v>
      </c>
      <c r="AM133" s="48">
        <f t="shared" si="24"/>
        <v>0</v>
      </c>
      <c r="AN133" s="48">
        <f t="shared" si="25"/>
        <v>0</v>
      </c>
      <c r="AO133" s="49">
        <f t="shared" ref="AO133:AO184" si="35">AI133*AL133</f>
        <v>0</v>
      </c>
      <c r="AP133" s="49">
        <f t="shared" si="30"/>
        <v>0</v>
      </c>
      <c r="AQ133" s="50">
        <f t="shared" si="31"/>
        <v>0</v>
      </c>
      <c r="AR133" s="124"/>
      <c r="AS133" s="125"/>
      <c r="AT133" s="126"/>
      <c r="AU133" s="84"/>
      <c r="AV133" s="127"/>
      <c r="AW133" s="128"/>
      <c r="AX133" s="128"/>
      <c r="AY133" s="125"/>
      <c r="AZ133" s="129"/>
    </row>
    <row r="134" spans="1:52" ht="16.5" thickBot="1" x14ac:dyDescent="0.3">
      <c r="A134" s="134">
        <v>330</v>
      </c>
      <c r="B134" s="134" t="s">
        <v>104</v>
      </c>
      <c r="C134" s="135"/>
      <c r="D134" s="26">
        <f t="shared" si="32"/>
        <v>0</v>
      </c>
      <c r="E134" s="27">
        <f t="shared" si="33"/>
        <v>0</v>
      </c>
      <c r="F134" s="29">
        <f t="shared" si="34"/>
        <v>0</v>
      </c>
      <c r="G134" s="30">
        <v>0</v>
      </c>
      <c r="H134" s="31">
        <v>0</v>
      </c>
      <c r="I134" s="32">
        <v>0</v>
      </c>
      <c r="J134" s="136"/>
      <c r="K134" s="33">
        <v>0</v>
      </c>
      <c r="L134" s="34">
        <v>0</v>
      </c>
      <c r="M134" s="34">
        <v>0</v>
      </c>
      <c r="N134" s="138"/>
      <c r="O134" s="34">
        <v>0</v>
      </c>
      <c r="P134" s="34">
        <v>0</v>
      </c>
      <c r="Q134" s="34">
        <v>0</v>
      </c>
      <c r="R134" s="138"/>
      <c r="S134" s="37">
        <v>0</v>
      </c>
      <c r="T134" s="34">
        <v>0</v>
      </c>
      <c r="U134" s="34">
        <v>0</v>
      </c>
      <c r="V134" s="138"/>
      <c r="W134" s="38">
        <v>0</v>
      </c>
      <c r="X134" s="31">
        <v>0</v>
      </c>
      <c r="Y134" s="31">
        <v>0</v>
      </c>
      <c r="Z134" s="105"/>
      <c r="AA134" s="37">
        <v>0</v>
      </c>
      <c r="AB134" s="34">
        <v>0</v>
      </c>
      <c r="AC134" s="34">
        <v>0</v>
      </c>
      <c r="AD134" s="123"/>
      <c r="AE134" s="122"/>
      <c r="AF134" s="123"/>
      <c r="AG134" s="43">
        <f t="shared" si="27"/>
        <v>0</v>
      </c>
      <c r="AH134" s="44">
        <f t="shared" si="27"/>
        <v>0</v>
      </c>
      <c r="AI134" s="44">
        <f t="shared" si="27"/>
        <v>0</v>
      </c>
      <c r="AJ134" s="45">
        <f t="shared" si="27"/>
        <v>0</v>
      </c>
      <c r="AK134" s="137">
        <f t="shared" si="29"/>
        <v>0</v>
      </c>
      <c r="AL134" s="47">
        <v>0.5</v>
      </c>
      <c r="AM134" s="48">
        <f t="shared" si="24"/>
        <v>0</v>
      </c>
      <c r="AN134" s="48">
        <f t="shared" si="25"/>
        <v>0</v>
      </c>
      <c r="AO134" s="49">
        <f t="shared" si="35"/>
        <v>0</v>
      </c>
      <c r="AP134" s="49">
        <f t="shared" si="30"/>
        <v>0</v>
      </c>
      <c r="AQ134" s="50">
        <f t="shared" si="31"/>
        <v>0</v>
      </c>
      <c r="AR134" s="124"/>
      <c r="AS134" s="125"/>
      <c r="AT134" s="126"/>
      <c r="AU134" s="84"/>
      <c r="AV134" s="127"/>
      <c r="AW134" s="128"/>
      <c r="AX134" s="128"/>
      <c r="AY134" s="125"/>
      <c r="AZ134" s="129"/>
    </row>
    <row r="135" spans="1:52" ht="16.5" thickBot="1" x14ac:dyDescent="0.3">
      <c r="A135" s="134">
        <v>330</v>
      </c>
      <c r="B135" s="134" t="s">
        <v>105</v>
      </c>
      <c r="C135" s="135"/>
      <c r="D135" s="26">
        <f t="shared" si="32"/>
        <v>0</v>
      </c>
      <c r="E135" s="27">
        <f t="shared" si="33"/>
        <v>0</v>
      </c>
      <c r="F135" s="29">
        <f t="shared" si="34"/>
        <v>0</v>
      </c>
      <c r="G135" s="30">
        <v>0</v>
      </c>
      <c r="H135" s="31">
        <v>0</v>
      </c>
      <c r="I135" s="32">
        <v>0</v>
      </c>
      <c r="J135" s="136"/>
      <c r="K135" s="33">
        <v>0</v>
      </c>
      <c r="L135" s="34">
        <v>0</v>
      </c>
      <c r="M135" s="34">
        <v>0</v>
      </c>
      <c r="N135" s="138"/>
      <c r="O135" s="34">
        <v>0</v>
      </c>
      <c r="P135" s="34">
        <v>0</v>
      </c>
      <c r="Q135" s="34">
        <v>0</v>
      </c>
      <c r="R135" s="138"/>
      <c r="S135" s="37">
        <v>0</v>
      </c>
      <c r="T135" s="34">
        <v>0</v>
      </c>
      <c r="U135" s="34">
        <v>0</v>
      </c>
      <c r="V135" s="138"/>
      <c r="W135" s="38">
        <v>0</v>
      </c>
      <c r="X135" s="31">
        <v>0</v>
      </c>
      <c r="Y135" s="31">
        <v>0</v>
      </c>
      <c r="Z135" s="105"/>
      <c r="AA135" s="37">
        <v>0</v>
      </c>
      <c r="AB135" s="34">
        <v>0</v>
      </c>
      <c r="AC135" s="34">
        <v>0</v>
      </c>
      <c r="AD135" s="123"/>
      <c r="AE135" s="122"/>
      <c r="AF135" s="123"/>
      <c r="AG135" s="43">
        <f t="shared" si="27"/>
        <v>0</v>
      </c>
      <c r="AH135" s="44">
        <f t="shared" si="27"/>
        <v>0</v>
      </c>
      <c r="AI135" s="44">
        <f t="shared" si="27"/>
        <v>0</v>
      </c>
      <c r="AJ135" s="45">
        <f t="shared" si="27"/>
        <v>0</v>
      </c>
      <c r="AK135" s="137">
        <f t="shared" si="29"/>
        <v>0</v>
      </c>
      <c r="AL135" s="47">
        <v>0.5</v>
      </c>
      <c r="AM135" s="48">
        <f t="shared" si="24"/>
        <v>0</v>
      </c>
      <c r="AN135" s="48">
        <f t="shared" si="25"/>
        <v>0</v>
      </c>
      <c r="AO135" s="49">
        <f t="shared" si="35"/>
        <v>0</v>
      </c>
      <c r="AP135" s="49">
        <f t="shared" si="30"/>
        <v>0</v>
      </c>
      <c r="AQ135" s="50">
        <f t="shared" si="31"/>
        <v>0</v>
      </c>
      <c r="AR135" s="124"/>
      <c r="AS135" s="125"/>
      <c r="AT135" s="126"/>
      <c r="AU135" s="84"/>
      <c r="AV135" s="127"/>
      <c r="AW135" s="128"/>
      <c r="AX135" s="128"/>
      <c r="AY135" s="125"/>
      <c r="AZ135" s="129"/>
    </row>
    <row r="136" spans="1:52" ht="16.5" thickBot="1" x14ac:dyDescent="0.3">
      <c r="A136" s="134">
        <v>330</v>
      </c>
      <c r="B136" s="134" t="s">
        <v>106</v>
      </c>
      <c r="C136" s="135"/>
      <c r="D136" s="26">
        <f t="shared" si="32"/>
        <v>0</v>
      </c>
      <c r="E136" s="27">
        <f t="shared" si="33"/>
        <v>0</v>
      </c>
      <c r="F136" s="29">
        <f t="shared" si="34"/>
        <v>0</v>
      </c>
      <c r="G136" s="30">
        <v>0</v>
      </c>
      <c r="H136" s="31">
        <v>0</v>
      </c>
      <c r="I136" s="32">
        <v>0</v>
      </c>
      <c r="J136" s="136"/>
      <c r="K136" s="33">
        <v>0</v>
      </c>
      <c r="L136" s="34">
        <v>0</v>
      </c>
      <c r="M136" s="34">
        <v>0</v>
      </c>
      <c r="N136" s="138"/>
      <c r="O136" s="34">
        <v>0</v>
      </c>
      <c r="P136" s="34">
        <v>0</v>
      </c>
      <c r="Q136" s="34">
        <v>0</v>
      </c>
      <c r="R136" s="138"/>
      <c r="S136" s="37">
        <v>0</v>
      </c>
      <c r="T136" s="34">
        <v>0</v>
      </c>
      <c r="U136" s="34">
        <v>0</v>
      </c>
      <c r="V136" s="138"/>
      <c r="W136" s="38">
        <v>0</v>
      </c>
      <c r="X136" s="31">
        <v>0</v>
      </c>
      <c r="Y136" s="31">
        <v>0</v>
      </c>
      <c r="Z136" s="105"/>
      <c r="AA136" s="37">
        <v>0</v>
      </c>
      <c r="AB136" s="34">
        <v>0</v>
      </c>
      <c r="AC136" s="34">
        <v>0</v>
      </c>
      <c r="AD136" s="123"/>
      <c r="AE136" s="122"/>
      <c r="AF136" s="123"/>
      <c r="AG136" s="43">
        <f t="shared" si="27"/>
        <v>0</v>
      </c>
      <c r="AH136" s="44">
        <f t="shared" si="27"/>
        <v>0</v>
      </c>
      <c r="AI136" s="44">
        <f t="shared" si="27"/>
        <v>0</v>
      </c>
      <c r="AJ136" s="45">
        <f t="shared" si="27"/>
        <v>0</v>
      </c>
      <c r="AK136" s="137">
        <f t="shared" si="29"/>
        <v>0</v>
      </c>
      <c r="AL136" s="47">
        <v>0.5</v>
      </c>
      <c r="AM136" s="48">
        <f t="shared" si="24"/>
        <v>0</v>
      </c>
      <c r="AN136" s="48">
        <f t="shared" si="25"/>
        <v>0</v>
      </c>
      <c r="AO136" s="49">
        <f t="shared" si="35"/>
        <v>0</v>
      </c>
      <c r="AP136" s="49">
        <f t="shared" si="30"/>
        <v>0</v>
      </c>
      <c r="AQ136" s="50">
        <f t="shared" si="31"/>
        <v>0</v>
      </c>
      <c r="AR136" s="124"/>
      <c r="AS136" s="125"/>
      <c r="AT136" s="126"/>
      <c r="AU136" s="84"/>
      <c r="AV136" s="127"/>
      <c r="AW136" s="128"/>
      <c r="AX136" s="128"/>
      <c r="AY136" s="125"/>
      <c r="AZ136" s="129"/>
    </row>
    <row r="137" spans="1:52" ht="16.5" thickBot="1" x14ac:dyDescent="0.3">
      <c r="A137" s="134">
        <v>473</v>
      </c>
      <c r="B137" s="134" t="s">
        <v>54</v>
      </c>
      <c r="C137" s="135"/>
      <c r="D137" s="26">
        <f t="shared" si="32"/>
        <v>0</v>
      </c>
      <c r="E137" s="27">
        <f t="shared" si="33"/>
        <v>0</v>
      </c>
      <c r="F137" s="29">
        <f t="shared" si="34"/>
        <v>0</v>
      </c>
      <c r="G137" s="30">
        <v>0</v>
      </c>
      <c r="H137" s="31">
        <v>0</v>
      </c>
      <c r="I137" s="32">
        <v>0</v>
      </c>
      <c r="J137" s="136"/>
      <c r="K137" s="33">
        <v>0</v>
      </c>
      <c r="L137" s="34">
        <v>0</v>
      </c>
      <c r="M137" s="34">
        <v>0</v>
      </c>
      <c r="N137" s="138"/>
      <c r="O137" s="34">
        <v>0</v>
      </c>
      <c r="P137" s="34">
        <v>0</v>
      </c>
      <c r="Q137" s="34">
        <v>0</v>
      </c>
      <c r="R137" s="138"/>
      <c r="S137" s="37">
        <v>0</v>
      </c>
      <c r="T137" s="34">
        <v>0</v>
      </c>
      <c r="U137" s="34">
        <v>0</v>
      </c>
      <c r="V137" s="138"/>
      <c r="W137" s="38">
        <v>0</v>
      </c>
      <c r="X137" s="31">
        <v>0</v>
      </c>
      <c r="Y137" s="31">
        <v>0</v>
      </c>
      <c r="Z137" s="105"/>
      <c r="AA137" s="37">
        <v>0</v>
      </c>
      <c r="AB137" s="34">
        <v>0</v>
      </c>
      <c r="AC137" s="34">
        <v>0</v>
      </c>
      <c r="AD137" s="123"/>
      <c r="AE137" s="122"/>
      <c r="AF137" s="123"/>
      <c r="AG137" s="43">
        <f t="shared" si="27"/>
        <v>0</v>
      </c>
      <c r="AH137" s="44">
        <f t="shared" si="27"/>
        <v>0</v>
      </c>
      <c r="AI137" s="44">
        <f t="shared" si="27"/>
        <v>0</v>
      </c>
      <c r="AJ137" s="45">
        <f t="shared" si="27"/>
        <v>0</v>
      </c>
      <c r="AK137" s="137">
        <f t="shared" si="29"/>
        <v>0</v>
      </c>
      <c r="AL137" s="47">
        <v>0.5</v>
      </c>
      <c r="AM137" s="48">
        <f t="shared" si="24"/>
        <v>0</v>
      </c>
      <c r="AN137" s="48">
        <f t="shared" si="25"/>
        <v>0</v>
      </c>
      <c r="AO137" s="49">
        <f t="shared" si="35"/>
        <v>0</v>
      </c>
      <c r="AP137" s="49">
        <f t="shared" si="30"/>
        <v>0</v>
      </c>
      <c r="AQ137" s="50">
        <f t="shared" si="31"/>
        <v>0</v>
      </c>
      <c r="AR137" s="124"/>
      <c r="AS137" s="125"/>
      <c r="AT137" s="126"/>
      <c r="AU137" s="84"/>
      <c r="AV137" s="127"/>
      <c r="AW137" s="128"/>
      <c r="AX137" s="128"/>
      <c r="AY137" s="125"/>
      <c r="AZ137" s="129"/>
    </row>
    <row r="138" spans="1:52" ht="16.5" thickBot="1" x14ac:dyDescent="0.3">
      <c r="A138" s="134">
        <v>473</v>
      </c>
      <c r="B138" s="134" t="s">
        <v>56</v>
      </c>
      <c r="C138" s="135"/>
      <c r="D138" s="26">
        <f t="shared" si="32"/>
        <v>0</v>
      </c>
      <c r="E138" s="27">
        <f t="shared" si="33"/>
        <v>0</v>
      </c>
      <c r="F138" s="29">
        <f t="shared" si="34"/>
        <v>0</v>
      </c>
      <c r="G138" s="30">
        <v>0</v>
      </c>
      <c r="H138" s="31">
        <v>0</v>
      </c>
      <c r="I138" s="32">
        <v>0</v>
      </c>
      <c r="J138" s="136"/>
      <c r="K138" s="33">
        <v>0</v>
      </c>
      <c r="L138" s="34">
        <v>0</v>
      </c>
      <c r="M138" s="34">
        <v>0</v>
      </c>
      <c r="N138" s="138"/>
      <c r="O138" s="34">
        <v>0</v>
      </c>
      <c r="P138" s="34">
        <v>0</v>
      </c>
      <c r="Q138" s="34">
        <v>0</v>
      </c>
      <c r="R138" s="138"/>
      <c r="S138" s="37">
        <v>0</v>
      </c>
      <c r="T138" s="34">
        <v>0</v>
      </c>
      <c r="U138" s="34">
        <v>0</v>
      </c>
      <c r="V138" s="138"/>
      <c r="W138" s="38">
        <v>0</v>
      </c>
      <c r="X138" s="31">
        <v>0</v>
      </c>
      <c r="Y138" s="31">
        <v>0</v>
      </c>
      <c r="Z138" s="105"/>
      <c r="AA138" s="37">
        <v>0</v>
      </c>
      <c r="AB138" s="34">
        <v>0</v>
      </c>
      <c r="AC138" s="34">
        <v>0</v>
      </c>
      <c r="AD138" s="123"/>
      <c r="AE138" s="122"/>
      <c r="AF138" s="123"/>
      <c r="AG138" s="43">
        <f t="shared" si="27"/>
        <v>0</v>
      </c>
      <c r="AH138" s="44">
        <f t="shared" si="27"/>
        <v>0</v>
      </c>
      <c r="AI138" s="44">
        <f t="shared" si="27"/>
        <v>0</v>
      </c>
      <c r="AJ138" s="45">
        <f t="shared" si="27"/>
        <v>0</v>
      </c>
      <c r="AK138" s="137">
        <f t="shared" si="29"/>
        <v>0</v>
      </c>
      <c r="AL138" s="47">
        <v>0.5</v>
      </c>
      <c r="AM138" s="48">
        <f t="shared" ref="AM138:AM184" si="36">AG138*AL138</f>
        <v>0</v>
      </c>
      <c r="AN138" s="48">
        <f t="shared" ref="AN138:AN184" si="37">AH138*AL138</f>
        <v>0</v>
      </c>
      <c r="AO138" s="49">
        <f t="shared" si="35"/>
        <v>0</v>
      </c>
      <c r="AP138" s="49">
        <f t="shared" si="30"/>
        <v>0</v>
      </c>
      <c r="AQ138" s="50">
        <f t="shared" si="31"/>
        <v>0</v>
      </c>
      <c r="AR138" s="124"/>
      <c r="AS138" s="125"/>
      <c r="AT138" s="126"/>
      <c r="AU138" s="84"/>
      <c r="AV138" s="127"/>
      <c r="AW138" s="128"/>
      <c r="AX138" s="128"/>
      <c r="AY138" s="125"/>
      <c r="AZ138" s="129"/>
    </row>
    <row r="139" spans="1:52" ht="16.5" thickBot="1" x14ac:dyDescent="0.3">
      <c r="A139" s="134">
        <v>473</v>
      </c>
      <c r="B139" s="134" t="s">
        <v>107</v>
      </c>
      <c r="C139" s="135">
        <v>67</v>
      </c>
      <c r="D139" s="26">
        <f t="shared" si="32"/>
        <v>22.333333333333332</v>
      </c>
      <c r="E139" s="27">
        <f t="shared" si="33"/>
        <v>22.333333333333332</v>
      </c>
      <c r="F139" s="29">
        <f t="shared" si="34"/>
        <v>22.333333333333332</v>
      </c>
      <c r="G139" s="30">
        <v>0</v>
      </c>
      <c r="H139" s="31">
        <v>0</v>
      </c>
      <c r="I139" s="32">
        <v>0</v>
      </c>
      <c r="J139" s="136"/>
      <c r="K139" s="33">
        <v>0</v>
      </c>
      <c r="L139" s="34">
        <v>0</v>
      </c>
      <c r="M139" s="34">
        <v>0</v>
      </c>
      <c r="N139" s="138"/>
      <c r="O139" s="34">
        <v>0</v>
      </c>
      <c r="P139" s="34">
        <v>0</v>
      </c>
      <c r="Q139" s="34">
        <v>0</v>
      </c>
      <c r="R139" s="138"/>
      <c r="S139" s="37">
        <v>0</v>
      </c>
      <c r="T139" s="34">
        <v>0</v>
      </c>
      <c r="U139" s="34">
        <v>0</v>
      </c>
      <c r="V139" s="138"/>
      <c r="W139" s="38">
        <v>0</v>
      </c>
      <c r="X139" s="31">
        <v>0</v>
      </c>
      <c r="Y139" s="31">
        <v>0</v>
      </c>
      <c r="Z139" s="105"/>
      <c r="AA139" s="37">
        <v>0</v>
      </c>
      <c r="AB139" s="34">
        <v>0</v>
      </c>
      <c r="AC139" s="34">
        <v>0</v>
      </c>
      <c r="AD139" s="123"/>
      <c r="AE139" s="122"/>
      <c r="AF139" s="123"/>
      <c r="AG139" s="43">
        <f t="shared" si="27"/>
        <v>0</v>
      </c>
      <c r="AH139" s="44">
        <f t="shared" si="27"/>
        <v>0</v>
      </c>
      <c r="AI139" s="44">
        <f t="shared" si="27"/>
        <v>0</v>
      </c>
      <c r="AJ139" s="45">
        <f t="shared" si="27"/>
        <v>0</v>
      </c>
      <c r="AK139" s="137">
        <f t="shared" si="29"/>
        <v>0</v>
      </c>
      <c r="AL139" s="47">
        <v>0.5</v>
      </c>
      <c r="AM139" s="48">
        <f t="shared" si="36"/>
        <v>0</v>
      </c>
      <c r="AN139" s="48">
        <f t="shared" si="37"/>
        <v>0</v>
      </c>
      <c r="AO139" s="49">
        <f t="shared" si="35"/>
        <v>0</v>
      </c>
      <c r="AP139" s="49">
        <f t="shared" si="30"/>
        <v>0</v>
      </c>
      <c r="AQ139" s="50">
        <f t="shared" si="31"/>
        <v>0</v>
      </c>
      <c r="AR139" s="124"/>
      <c r="AS139" s="125"/>
      <c r="AT139" s="126"/>
      <c r="AU139" s="84"/>
      <c r="AV139" s="127"/>
      <c r="AW139" s="128"/>
      <c r="AX139" s="128"/>
      <c r="AY139" s="125"/>
      <c r="AZ139" s="129"/>
    </row>
    <row r="140" spans="1:52" ht="16.5" thickBot="1" x14ac:dyDescent="0.3">
      <c r="A140" s="134">
        <v>473</v>
      </c>
      <c r="B140" s="134" t="s">
        <v>57</v>
      </c>
      <c r="C140" s="135"/>
      <c r="D140" s="26">
        <f t="shared" si="32"/>
        <v>0</v>
      </c>
      <c r="E140" s="27">
        <f t="shared" si="33"/>
        <v>0</v>
      </c>
      <c r="F140" s="29">
        <f t="shared" si="34"/>
        <v>0</v>
      </c>
      <c r="G140" s="30">
        <v>0</v>
      </c>
      <c r="H140" s="31">
        <v>0</v>
      </c>
      <c r="I140" s="32">
        <v>0</v>
      </c>
      <c r="J140" s="136"/>
      <c r="K140" s="33">
        <v>0</v>
      </c>
      <c r="L140" s="34">
        <v>0</v>
      </c>
      <c r="M140" s="34">
        <v>0</v>
      </c>
      <c r="N140" s="138"/>
      <c r="O140" s="34">
        <v>0</v>
      </c>
      <c r="P140" s="34">
        <v>0</v>
      </c>
      <c r="Q140" s="34">
        <v>0</v>
      </c>
      <c r="R140" s="138"/>
      <c r="S140" s="37">
        <v>0</v>
      </c>
      <c r="T140" s="34">
        <v>0</v>
      </c>
      <c r="U140" s="34">
        <v>0</v>
      </c>
      <c r="V140" s="138"/>
      <c r="W140" s="38">
        <v>0</v>
      </c>
      <c r="X140" s="31">
        <v>0</v>
      </c>
      <c r="Y140" s="31">
        <v>0</v>
      </c>
      <c r="Z140" s="105"/>
      <c r="AA140" s="37">
        <v>0</v>
      </c>
      <c r="AB140" s="34">
        <v>0</v>
      </c>
      <c r="AC140" s="34">
        <v>0</v>
      </c>
      <c r="AD140" s="123"/>
      <c r="AE140" s="122"/>
      <c r="AF140" s="123"/>
      <c r="AG140" s="43">
        <f t="shared" si="27"/>
        <v>0</v>
      </c>
      <c r="AH140" s="44">
        <f t="shared" si="27"/>
        <v>0</v>
      </c>
      <c r="AI140" s="44">
        <f t="shared" si="27"/>
        <v>0</v>
      </c>
      <c r="AJ140" s="45">
        <f t="shared" si="27"/>
        <v>0</v>
      </c>
      <c r="AK140" s="137">
        <f t="shared" si="29"/>
        <v>0</v>
      </c>
      <c r="AL140" s="47">
        <v>0.5</v>
      </c>
      <c r="AM140" s="48">
        <f t="shared" si="36"/>
        <v>0</v>
      </c>
      <c r="AN140" s="48">
        <f t="shared" si="37"/>
        <v>0</v>
      </c>
      <c r="AO140" s="49">
        <f t="shared" si="35"/>
        <v>0</v>
      </c>
      <c r="AP140" s="49">
        <f t="shared" si="30"/>
        <v>0</v>
      </c>
      <c r="AQ140" s="50">
        <f t="shared" si="31"/>
        <v>0</v>
      </c>
      <c r="AR140" s="124"/>
      <c r="AS140" s="125"/>
      <c r="AT140" s="126"/>
      <c r="AU140" s="84"/>
      <c r="AV140" s="127"/>
      <c r="AW140" s="128"/>
      <c r="AX140" s="128"/>
      <c r="AY140" s="125"/>
      <c r="AZ140" s="129"/>
    </row>
    <row r="141" spans="1:52" ht="16.5" thickBot="1" x14ac:dyDescent="0.3">
      <c r="A141" s="134">
        <v>473</v>
      </c>
      <c r="B141" s="134" t="s">
        <v>108</v>
      </c>
      <c r="C141" s="135">
        <v>706</v>
      </c>
      <c r="D141" s="26">
        <f t="shared" si="32"/>
        <v>235.33333333333334</v>
      </c>
      <c r="E141" s="27">
        <f t="shared" si="33"/>
        <v>235.33333333333334</v>
      </c>
      <c r="F141" s="29">
        <f t="shared" si="34"/>
        <v>235.33333333333334</v>
      </c>
      <c r="G141" s="30">
        <v>0</v>
      </c>
      <c r="H141" s="31">
        <v>0</v>
      </c>
      <c r="I141" s="32">
        <v>0</v>
      </c>
      <c r="J141" s="136"/>
      <c r="K141" s="33">
        <v>0</v>
      </c>
      <c r="L141" s="34">
        <v>0</v>
      </c>
      <c r="M141" s="34">
        <v>0</v>
      </c>
      <c r="N141" s="138"/>
      <c r="O141" s="34">
        <v>0</v>
      </c>
      <c r="P141" s="34">
        <v>0</v>
      </c>
      <c r="Q141" s="34">
        <v>0</v>
      </c>
      <c r="R141" s="138"/>
      <c r="S141" s="37">
        <v>0</v>
      </c>
      <c r="T141" s="34">
        <v>0</v>
      </c>
      <c r="U141" s="34">
        <v>0</v>
      </c>
      <c r="V141" s="138"/>
      <c r="W141" s="38">
        <v>0</v>
      </c>
      <c r="X141" s="31">
        <v>0</v>
      </c>
      <c r="Y141" s="31">
        <v>0</v>
      </c>
      <c r="Z141" s="105"/>
      <c r="AA141" s="37">
        <v>0</v>
      </c>
      <c r="AB141" s="34">
        <v>0</v>
      </c>
      <c r="AC141" s="34">
        <v>0</v>
      </c>
      <c r="AD141" s="123"/>
      <c r="AE141" s="122"/>
      <c r="AF141" s="123"/>
      <c r="AG141" s="43">
        <f t="shared" si="27"/>
        <v>0</v>
      </c>
      <c r="AH141" s="44">
        <f t="shared" si="27"/>
        <v>0</v>
      </c>
      <c r="AI141" s="44">
        <f t="shared" si="27"/>
        <v>0</v>
      </c>
      <c r="AJ141" s="45">
        <f t="shared" si="27"/>
        <v>0</v>
      </c>
      <c r="AK141" s="137">
        <f t="shared" si="29"/>
        <v>0</v>
      </c>
      <c r="AL141" s="47">
        <v>1</v>
      </c>
      <c r="AM141" s="48">
        <f t="shared" si="36"/>
        <v>0</v>
      </c>
      <c r="AN141" s="48">
        <f t="shared" si="37"/>
        <v>0</v>
      </c>
      <c r="AO141" s="49">
        <f t="shared" si="35"/>
        <v>0</v>
      </c>
      <c r="AP141" s="49">
        <f t="shared" si="30"/>
        <v>0</v>
      </c>
      <c r="AQ141" s="50">
        <f t="shared" si="31"/>
        <v>0</v>
      </c>
      <c r="AR141" s="124"/>
      <c r="AS141" s="125"/>
      <c r="AT141" s="126"/>
      <c r="AU141" s="84"/>
      <c r="AV141" s="127"/>
      <c r="AW141" s="128"/>
      <c r="AX141" s="128"/>
      <c r="AY141" s="125"/>
      <c r="AZ141" s="129"/>
    </row>
    <row r="142" spans="1:52" ht="16.5" thickBot="1" x14ac:dyDescent="0.3">
      <c r="A142" s="134">
        <v>625</v>
      </c>
      <c r="B142" s="134" t="s">
        <v>108</v>
      </c>
      <c r="C142" s="135"/>
      <c r="D142" s="26">
        <f t="shared" si="32"/>
        <v>0</v>
      </c>
      <c r="E142" s="27">
        <f t="shared" si="33"/>
        <v>0</v>
      </c>
      <c r="F142" s="29">
        <f t="shared" si="34"/>
        <v>0</v>
      </c>
      <c r="G142" s="30">
        <v>0</v>
      </c>
      <c r="H142" s="31">
        <v>0</v>
      </c>
      <c r="I142" s="32">
        <v>0</v>
      </c>
      <c r="J142" s="136"/>
      <c r="K142" s="33">
        <v>0</v>
      </c>
      <c r="L142" s="34">
        <v>0</v>
      </c>
      <c r="M142" s="34">
        <v>0</v>
      </c>
      <c r="N142" s="138"/>
      <c r="O142" s="34">
        <v>0</v>
      </c>
      <c r="P142" s="34">
        <v>0</v>
      </c>
      <c r="Q142" s="34">
        <v>0</v>
      </c>
      <c r="R142" s="138"/>
      <c r="S142" s="37">
        <v>0</v>
      </c>
      <c r="T142" s="34">
        <v>0</v>
      </c>
      <c r="U142" s="34">
        <v>0</v>
      </c>
      <c r="V142" s="138"/>
      <c r="W142" s="38">
        <v>0</v>
      </c>
      <c r="X142" s="31">
        <v>0</v>
      </c>
      <c r="Y142" s="31">
        <v>0</v>
      </c>
      <c r="Z142" s="105"/>
      <c r="AA142" s="37">
        <v>0</v>
      </c>
      <c r="AB142" s="34">
        <v>0</v>
      </c>
      <c r="AC142" s="34">
        <v>0</v>
      </c>
      <c r="AD142" s="123"/>
      <c r="AE142" s="122"/>
      <c r="AF142" s="123"/>
      <c r="AG142" s="43">
        <f t="shared" si="27"/>
        <v>0</v>
      </c>
      <c r="AH142" s="44">
        <f t="shared" si="27"/>
        <v>0</v>
      </c>
      <c r="AI142" s="44">
        <f t="shared" si="27"/>
        <v>0</v>
      </c>
      <c r="AJ142" s="45">
        <f t="shared" si="27"/>
        <v>0</v>
      </c>
      <c r="AK142" s="137">
        <f t="shared" si="29"/>
        <v>0</v>
      </c>
      <c r="AL142" s="47">
        <v>0.5</v>
      </c>
      <c r="AM142" s="48">
        <f t="shared" si="36"/>
        <v>0</v>
      </c>
      <c r="AN142" s="48">
        <f t="shared" si="37"/>
        <v>0</v>
      </c>
      <c r="AO142" s="49">
        <f t="shared" si="35"/>
        <v>0</v>
      </c>
      <c r="AP142" s="49">
        <f t="shared" si="30"/>
        <v>0</v>
      </c>
      <c r="AQ142" s="50">
        <f t="shared" si="31"/>
        <v>0</v>
      </c>
      <c r="AR142" s="124"/>
      <c r="AS142" s="125"/>
      <c r="AT142" s="126"/>
      <c r="AU142" s="84"/>
      <c r="AV142" s="127"/>
      <c r="AW142" s="128"/>
      <c r="AX142" s="128"/>
      <c r="AY142" s="125"/>
      <c r="AZ142" s="129"/>
    </row>
    <row r="143" spans="1:52" ht="16.5" thickBot="1" x14ac:dyDescent="0.3">
      <c r="A143" s="134"/>
      <c r="B143" s="134" t="s">
        <v>109</v>
      </c>
      <c r="C143" s="135"/>
      <c r="D143" s="26">
        <f t="shared" si="32"/>
        <v>0</v>
      </c>
      <c r="E143" s="27">
        <f t="shared" si="33"/>
        <v>0</v>
      </c>
      <c r="F143" s="29">
        <f t="shared" si="34"/>
        <v>0</v>
      </c>
      <c r="G143" s="30">
        <v>0</v>
      </c>
      <c r="H143" s="31">
        <v>0</v>
      </c>
      <c r="I143" s="32">
        <v>0</v>
      </c>
      <c r="J143" s="136"/>
      <c r="K143" s="33">
        <v>0</v>
      </c>
      <c r="L143" s="34">
        <v>0</v>
      </c>
      <c r="M143" s="34">
        <v>0</v>
      </c>
      <c r="N143" s="138"/>
      <c r="O143" s="34">
        <v>0</v>
      </c>
      <c r="P143" s="34">
        <v>0</v>
      </c>
      <c r="Q143" s="34">
        <v>0</v>
      </c>
      <c r="R143" s="138"/>
      <c r="S143" s="37">
        <v>0</v>
      </c>
      <c r="T143" s="34">
        <v>0</v>
      </c>
      <c r="U143" s="34">
        <v>0</v>
      </c>
      <c r="V143" s="138"/>
      <c r="W143" s="38">
        <v>0</v>
      </c>
      <c r="X143" s="31">
        <v>0</v>
      </c>
      <c r="Y143" s="31">
        <v>0</v>
      </c>
      <c r="Z143" s="105"/>
      <c r="AA143" s="37">
        <v>0</v>
      </c>
      <c r="AB143" s="34">
        <v>0</v>
      </c>
      <c r="AC143" s="34">
        <v>0</v>
      </c>
      <c r="AD143" s="123"/>
      <c r="AE143" s="122"/>
      <c r="AF143" s="123"/>
      <c r="AG143" s="43">
        <f t="shared" si="27"/>
        <v>0</v>
      </c>
      <c r="AH143" s="44">
        <f t="shared" si="27"/>
        <v>0</v>
      </c>
      <c r="AI143" s="44">
        <f t="shared" si="27"/>
        <v>0</v>
      </c>
      <c r="AJ143" s="45">
        <f t="shared" si="27"/>
        <v>0</v>
      </c>
      <c r="AK143" s="137">
        <f t="shared" si="29"/>
        <v>0</v>
      </c>
      <c r="AL143" s="47">
        <v>1</v>
      </c>
      <c r="AM143" s="48">
        <f t="shared" si="36"/>
        <v>0</v>
      </c>
      <c r="AN143" s="48">
        <f t="shared" si="37"/>
        <v>0</v>
      </c>
      <c r="AO143" s="49">
        <f t="shared" si="35"/>
        <v>0</v>
      </c>
      <c r="AP143" s="49">
        <f t="shared" si="30"/>
        <v>0</v>
      </c>
      <c r="AQ143" s="50">
        <f t="shared" si="31"/>
        <v>0</v>
      </c>
      <c r="AR143" s="124"/>
      <c r="AS143" s="125"/>
      <c r="AT143" s="126"/>
      <c r="AU143" s="84"/>
      <c r="AV143" s="127"/>
      <c r="AW143" s="128"/>
      <c r="AX143" s="128"/>
      <c r="AY143" s="125"/>
      <c r="AZ143" s="129"/>
    </row>
    <row r="144" spans="1:52" ht="16.5" thickBot="1" x14ac:dyDescent="0.3">
      <c r="A144" s="134">
        <v>400</v>
      </c>
      <c r="B144" s="134" t="s">
        <v>110</v>
      </c>
      <c r="C144" s="135"/>
      <c r="D144" s="26">
        <f t="shared" si="32"/>
        <v>0</v>
      </c>
      <c r="E144" s="27">
        <f t="shared" si="33"/>
        <v>0</v>
      </c>
      <c r="F144" s="29">
        <f t="shared" si="34"/>
        <v>0</v>
      </c>
      <c r="G144" s="30">
        <v>0</v>
      </c>
      <c r="H144" s="31">
        <v>0</v>
      </c>
      <c r="I144" s="32">
        <v>0</v>
      </c>
      <c r="J144" s="136"/>
      <c r="K144" s="33">
        <v>0</v>
      </c>
      <c r="L144" s="34">
        <v>0</v>
      </c>
      <c r="M144" s="34">
        <v>0</v>
      </c>
      <c r="N144" s="138"/>
      <c r="O144" s="34">
        <v>0</v>
      </c>
      <c r="P144" s="34">
        <v>0</v>
      </c>
      <c r="Q144" s="34">
        <v>0</v>
      </c>
      <c r="R144" s="138"/>
      <c r="S144" s="37">
        <v>0</v>
      </c>
      <c r="T144" s="34">
        <v>0</v>
      </c>
      <c r="U144" s="34">
        <v>0</v>
      </c>
      <c r="V144" s="138"/>
      <c r="W144" s="38">
        <v>0</v>
      </c>
      <c r="X144" s="31">
        <v>0</v>
      </c>
      <c r="Y144" s="31">
        <v>0</v>
      </c>
      <c r="Z144" s="105"/>
      <c r="AA144" s="37">
        <v>0</v>
      </c>
      <c r="AB144" s="34">
        <v>0</v>
      </c>
      <c r="AC144" s="34">
        <v>0</v>
      </c>
      <c r="AD144" s="123"/>
      <c r="AE144" s="122"/>
      <c r="AF144" s="123"/>
      <c r="AG144" s="43">
        <f t="shared" si="27"/>
        <v>0</v>
      </c>
      <c r="AH144" s="44">
        <f t="shared" si="27"/>
        <v>0</v>
      </c>
      <c r="AI144" s="44">
        <f t="shared" si="27"/>
        <v>0</v>
      </c>
      <c r="AJ144" s="45">
        <f t="shared" si="27"/>
        <v>0</v>
      </c>
      <c r="AK144" s="137">
        <f t="shared" si="29"/>
        <v>0</v>
      </c>
      <c r="AL144" s="47">
        <v>0.75</v>
      </c>
      <c r="AM144" s="48">
        <f t="shared" si="36"/>
        <v>0</v>
      </c>
      <c r="AN144" s="48">
        <f t="shared" si="37"/>
        <v>0</v>
      </c>
      <c r="AO144" s="49">
        <f t="shared" si="35"/>
        <v>0</v>
      </c>
      <c r="AP144" s="49">
        <f t="shared" si="30"/>
        <v>0</v>
      </c>
      <c r="AQ144" s="50">
        <f t="shared" si="31"/>
        <v>0</v>
      </c>
      <c r="AR144" s="124"/>
      <c r="AS144" s="125"/>
      <c r="AT144" s="126"/>
      <c r="AU144" s="84"/>
      <c r="AV144" s="127"/>
      <c r="AW144" s="128"/>
      <c r="AX144" s="128"/>
      <c r="AY144" s="125"/>
      <c r="AZ144" s="129"/>
    </row>
    <row r="145" spans="1:52" ht="16.5" thickBot="1" x14ac:dyDescent="0.3">
      <c r="A145" s="134">
        <v>300</v>
      </c>
      <c r="B145" s="134" t="s">
        <v>54</v>
      </c>
      <c r="C145" s="135"/>
      <c r="D145" s="26">
        <f t="shared" si="32"/>
        <v>0</v>
      </c>
      <c r="E145" s="27">
        <f t="shared" si="33"/>
        <v>0</v>
      </c>
      <c r="F145" s="29">
        <f t="shared" si="34"/>
        <v>0</v>
      </c>
      <c r="G145" s="30">
        <v>0</v>
      </c>
      <c r="H145" s="31">
        <v>0</v>
      </c>
      <c r="I145" s="32">
        <v>0</v>
      </c>
      <c r="J145" s="136"/>
      <c r="K145" s="33">
        <v>0</v>
      </c>
      <c r="L145" s="34">
        <v>0</v>
      </c>
      <c r="M145" s="34">
        <v>0</v>
      </c>
      <c r="N145" s="138"/>
      <c r="O145" s="34">
        <v>0</v>
      </c>
      <c r="P145" s="34">
        <v>0</v>
      </c>
      <c r="Q145" s="34">
        <v>0</v>
      </c>
      <c r="R145" s="138"/>
      <c r="S145" s="37">
        <v>0</v>
      </c>
      <c r="T145" s="34">
        <v>0</v>
      </c>
      <c r="U145" s="34">
        <v>0</v>
      </c>
      <c r="V145" s="138"/>
      <c r="W145" s="38">
        <v>0</v>
      </c>
      <c r="X145" s="31">
        <v>0</v>
      </c>
      <c r="Y145" s="31">
        <v>0</v>
      </c>
      <c r="Z145" s="105"/>
      <c r="AA145" s="37">
        <v>0</v>
      </c>
      <c r="AB145" s="34">
        <v>0</v>
      </c>
      <c r="AC145" s="34">
        <v>0</v>
      </c>
      <c r="AD145" s="123"/>
      <c r="AE145" s="122"/>
      <c r="AF145" s="123"/>
      <c r="AG145" s="43">
        <f t="shared" si="27"/>
        <v>0</v>
      </c>
      <c r="AH145" s="44">
        <f t="shared" si="27"/>
        <v>0</v>
      </c>
      <c r="AI145" s="44">
        <f t="shared" si="27"/>
        <v>0</v>
      </c>
      <c r="AJ145" s="45">
        <f t="shared" si="27"/>
        <v>0</v>
      </c>
      <c r="AK145" s="137">
        <f t="shared" si="29"/>
        <v>0</v>
      </c>
      <c r="AL145" s="47">
        <v>1</v>
      </c>
      <c r="AM145" s="48">
        <f t="shared" si="36"/>
        <v>0</v>
      </c>
      <c r="AN145" s="48">
        <f t="shared" si="37"/>
        <v>0</v>
      </c>
      <c r="AO145" s="49">
        <f t="shared" si="35"/>
        <v>0</v>
      </c>
      <c r="AP145" s="49">
        <f t="shared" si="30"/>
        <v>0</v>
      </c>
      <c r="AQ145" s="50">
        <f t="shared" si="31"/>
        <v>0</v>
      </c>
      <c r="AR145" s="124"/>
      <c r="AS145" s="125"/>
      <c r="AT145" s="126"/>
      <c r="AU145" s="84"/>
      <c r="AV145" s="127"/>
      <c r="AW145" s="128"/>
      <c r="AX145" s="128"/>
      <c r="AY145" s="125"/>
      <c r="AZ145" s="129"/>
    </row>
    <row r="146" spans="1:52" ht="16.5" thickBot="1" x14ac:dyDescent="0.3">
      <c r="A146" s="134">
        <v>300</v>
      </c>
      <c r="B146" s="134" t="s">
        <v>56</v>
      </c>
      <c r="C146" s="135"/>
      <c r="D146" s="26">
        <f t="shared" si="32"/>
        <v>0</v>
      </c>
      <c r="E146" s="27">
        <f t="shared" si="33"/>
        <v>0</v>
      </c>
      <c r="F146" s="29">
        <f t="shared" si="34"/>
        <v>0</v>
      </c>
      <c r="G146" s="30">
        <v>0</v>
      </c>
      <c r="H146" s="31">
        <v>0</v>
      </c>
      <c r="I146" s="32">
        <v>0</v>
      </c>
      <c r="J146" s="136"/>
      <c r="K146" s="33">
        <v>0</v>
      </c>
      <c r="L146" s="34">
        <v>0</v>
      </c>
      <c r="M146" s="34">
        <v>0</v>
      </c>
      <c r="N146" s="138"/>
      <c r="O146" s="34">
        <v>0</v>
      </c>
      <c r="P146" s="34">
        <v>0</v>
      </c>
      <c r="Q146" s="34">
        <v>0</v>
      </c>
      <c r="R146" s="138"/>
      <c r="S146" s="37">
        <v>0</v>
      </c>
      <c r="T146" s="34">
        <v>0</v>
      </c>
      <c r="U146" s="34">
        <v>0</v>
      </c>
      <c r="V146" s="138"/>
      <c r="W146" s="38">
        <v>0</v>
      </c>
      <c r="X146" s="31">
        <v>0</v>
      </c>
      <c r="Y146" s="31">
        <v>0</v>
      </c>
      <c r="Z146" s="105"/>
      <c r="AA146" s="37">
        <v>0</v>
      </c>
      <c r="AB146" s="34">
        <v>0</v>
      </c>
      <c r="AC146" s="34">
        <v>0</v>
      </c>
      <c r="AD146" s="123"/>
      <c r="AE146" s="122"/>
      <c r="AF146" s="123"/>
      <c r="AG146" s="43">
        <f t="shared" si="27"/>
        <v>0</v>
      </c>
      <c r="AH146" s="44">
        <f t="shared" si="27"/>
        <v>0</v>
      </c>
      <c r="AI146" s="44">
        <f t="shared" si="27"/>
        <v>0</v>
      </c>
      <c r="AJ146" s="45">
        <f t="shared" si="27"/>
        <v>0</v>
      </c>
      <c r="AK146" s="137">
        <f t="shared" si="29"/>
        <v>0</v>
      </c>
      <c r="AL146" s="47">
        <v>1</v>
      </c>
      <c r="AM146" s="48">
        <f t="shared" si="36"/>
        <v>0</v>
      </c>
      <c r="AN146" s="48">
        <f t="shared" si="37"/>
        <v>0</v>
      </c>
      <c r="AO146" s="49">
        <f t="shared" si="35"/>
        <v>0</v>
      </c>
      <c r="AP146" s="49">
        <f t="shared" si="30"/>
        <v>0</v>
      </c>
      <c r="AQ146" s="50">
        <f t="shared" si="31"/>
        <v>0</v>
      </c>
      <c r="AR146" s="124"/>
      <c r="AS146" s="125"/>
      <c r="AT146" s="126"/>
      <c r="AU146" s="84"/>
      <c r="AV146" s="127"/>
      <c r="AW146" s="128"/>
      <c r="AX146" s="128"/>
      <c r="AY146" s="125"/>
      <c r="AZ146" s="129"/>
    </row>
    <row r="147" spans="1:52" ht="16.5" thickBot="1" x14ac:dyDescent="0.3">
      <c r="A147" s="134">
        <v>300</v>
      </c>
      <c r="B147" s="134" t="s">
        <v>55</v>
      </c>
      <c r="C147" s="135"/>
      <c r="D147" s="26">
        <f t="shared" si="32"/>
        <v>0</v>
      </c>
      <c r="E147" s="27">
        <f t="shared" si="33"/>
        <v>0</v>
      </c>
      <c r="F147" s="29">
        <f t="shared" si="34"/>
        <v>0</v>
      </c>
      <c r="G147" s="30">
        <v>0</v>
      </c>
      <c r="H147" s="31">
        <v>0</v>
      </c>
      <c r="I147" s="32">
        <v>0</v>
      </c>
      <c r="J147" s="136"/>
      <c r="K147" s="33">
        <v>0</v>
      </c>
      <c r="L147" s="34">
        <v>0</v>
      </c>
      <c r="M147" s="34">
        <v>0</v>
      </c>
      <c r="N147" s="138"/>
      <c r="O147" s="34">
        <v>0</v>
      </c>
      <c r="P147" s="34">
        <v>0</v>
      </c>
      <c r="Q147" s="34">
        <v>0</v>
      </c>
      <c r="R147" s="138"/>
      <c r="S147" s="37">
        <v>0</v>
      </c>
      <c r="T147" s="34">
        <v>0</v>
      </c>
      <c r="U147" s="34">
        <v>0</v>
      </c>
      <c r="V147" s="138"/>
      <c r="W147" s="38">
        <v>0</v>
      </c>
      <c r="X147" s="31">
        <v>0</v>
      </c>
      <c r="Y147" s="31">
        <v>0</v>
      </c>
      <c r="Z147" s="105"/>
      <c r="AA147" s="37">
        <v>0</v>
      </c>
      <c r="AB147" s="34">
        <v>0</v>
      </c>
      <c r="AC147" s="34">
        <v>0</v>
      </c>
      <c r="AD147" s="123"/>
      <c r="AE147" s="122"/>
      <c r="AF147" s="123"/>
      <c r="AG147" s="43">
        <f t="shared" si="27"/>
        <v>0</v>
      </c>
      <c r="AH147" s="44">
        <f t="shared" si="27"/>
        <v>0</v>
      </c>
      <c r="AI147" s="44">
        <f t="shared" si="27"/>
        <v>0</v>
      </c>
      <c r="AJ147" s="45">
        <f t="shared" si="27"/>
        <v>0</v>
      </c>
      <c r="AK147" s="137">
        <f t="shared" si="29"/>
        <v>0</v>
      </c>
      <c r="AL147" s="47">
        <v>1</v>
      </c>
      <c r="AM147" s="48">
        <f t="shared" si="36"/>
        <v>0</v>
      </c>
      <c r="AN147" s="48">
        <f t="shared" si="37"/>
        <v>0</v>
      </c>
      <c r="AO147" s="49">
        <f t="shared" si="35"/>
        <v>0</v>
      </c>
      <c r="AP147" s="49"/>
      <c r="AQ147" s="50">
        <f t="shared" si="31"/>
        <v>0</v>
      </c>
      <c r="AR147" s="124"/>
      <c r="AS147" s="125"/>
      <c r="AT147" s="126"/>
      <c r="AU147" s="84"/>
      <c r="AV147" s="127"/>
      <c r="AW147" s="128"/>
      <c r="AX147" s="128"/>
      <c r="AY147" s="125"/>
      <c r="AZ147" s="129"/>
    </row>
    <row r="148" spans="1:52" s="96" customFormat="1" ht="16.5" thickBot="1" x14ac:dyDescent="0.3">
      <c r="A148" s="134">
        <v>1090</v>
      </c>
      <c r="B148" s="134" t="s">
        <v>88</v>
      </c>
      <c r="C148" s="139"/>
      <c r="D148" s="26">
        <f t="shared" si="32"/>
        <v>0</v>
      </c>
      <c r="E148" s="27">
        <f t="shared" si="33"/>
        <v>0</v>
      </c>
      <c r="F148" s="29">
        <f t="shared" si="34"/>
        <v>0</v>
      </c>
      <c r="G148" s="30">
        <v>0</v>
      </c>
      <c r="H148" s="31">
        <v>0</v>
      </c>
      <c r="I148" s="32">
        <v>0</v>
      </c>
      <c r="J148" s="136"/>
      <c r="K148" s="33">
        <v>0</v>
      </c>
      <c r="L148" s="34">
        <v>0</v>
      </c>
      <c r="M148" s="34">
        <v>0</v>
      </c>
      <c r="N148" s="138"/>
      <c r="O148" s="34">
        <v>0</v>
      </c>
      <c r="P148" s="34">
        <v>0</v>
      </c>
      <c r="Q148" s="34">
        <v>0</v>
      </c>
      <c r="R148" s="138"/>
      <c r="S148" s="37">
        <v>0</v>
      </c>
      <c r="T148" s="34">
        <v>0</v>
      </c>
      <c r="U148" s="34">
        <v>0</v>
      </c>
      <c r="V148" s="138"/>
      <c r="W148" s="38">
        <v>0</v>
      </c>
      <c r="X148" s="31">
        <v>0</v>
      </c>
      <c r="Y148" s="31">
        <v>0</v>
      </c>
      <c r="Z148" s="105"/>
      <c r="AA148" s="37">
        <v>0</v>
      </c>
      <c r="AB148" s="34">
        <v>0</v>
      </c>
      <c r="AC148" s="34">
        <v>0</v>
      </c>
      <c r="AD148" s="105"/>
      <c r="AE148" s="104"/>
      <c r="AF148" s="105"/>
      <c r="AG148" s="43">
        <f t="shared" si="27"/>
        <v>0</v>
      </c>
      <c r="AH148" s="44">
        <f t="shared" si="27"/>
        <v>0</v>
      </c>
      <c r="AI148" s="44">
        <f t="shared" si="27"/>
        <v>0</v>
      </c>
      <c r="AJ148" s="94">
        <f t="shared" si="27"/>
        <v>0</v>
      </c>
      <c r="AK148" s="140">
        <f t="shared" si="29"/>
        <v>0</v>
      </c>
      <c r="AL148" s="96">
        <v>0.5</v>
      </c>
      <c r="AM148" s="48">
        <f t="shared" si="36"/>
        <v>0</v>
      </c>
      <c r="AN148" s="48">
        <f t="shared" si="37"/>
        <v>0</v>
      </c>
      <c r="AO148" s="49">
        <f t="shared" si="35"/>
        <v>0</v>
      </c>
      <c r="AP148" s="49">
        <f t="shared" si="30"/>
        <v>0</v>
      </c>
      <c r="AQ148" s="50">
        <f t="shared" si="31"/>
        <v>0</v>
      </c>
      <c r="AR148" s="106"/>
      <c r="AS148" s="107"/>
      <c r="AT148" s="115"/>
      <c r="AU148" s="100"/>
      <c r="AV148" s="109"/>
      <c r="AW148" s="110"/>
      <c r="AX148" s="110"/>
      <c r="AY148" s="107"/>
      <c r="AZ148" s="116"/>
    </row>
    <row r="149" spans="1:52" s="96" customFormat="1" ht="16.5" thickBot="1" x14ac:dyDescent="0.3">
      <c r="A149" s="134">
        <v>0</v>
      </c>
      <c r="B149" s="134">
        <v>0</v>
      </c>
      <c r="C149" s="139"/>
      <c r="D149" s="26">
        <f t="shared" si="32"/>
        <v>0</v>
      </c>
      <c r="E149" s="27">
        <f t="shared" si="33"/>
        <v>0</v>
      </c>
      <c r="F149" s="29">
        <f t="shared" si="34"/>
        <v>0</v>
      </c>
      <c r="G149" s="30">
        <v>0</v>
      </c>
      <c r="H149" s="31">
        <v>0</v>
      </c>
      <c r="I149" s="32">
        <v>0</v>
      </c>
      <c r="J149" s="136"/>
      <c r="K149" s="33">
        <v>0</v>
      </c>
      <c r="L149" s="34">
        <v>0</v>
      </c>
      <c r="M149" s="34">
        <v>0</v>
      </c>
      <c r="N149" s="138"/>
      <c r="O149" s="34">
        <v>0</v>
      </c>
      <c r="P149" s="34">
        <v>0</v>
      </c>
      <c r="Q149" s="34">
        <v>0</v>
      </c>
      <c r="R149" s="138"/>
      <c r="S149" s="37">
        <v>0</v>
      </c>
      <c r="T149" s="34">
        <v>0</v>
      </c>
      <c r="U149" s="34">
        <v>0</v>
      </c>
      <c r="V149" s="138"/>
      <c r="W149" s="38">
        <v>0</v>
      </c>
      <c r="X149" s="31">
        <v>0</v>
      </c>
      <c r="Y149" s="31">
        <v>0</v>
      </c>
      <c r="Z149" s="105"/>
      <c r="AA149" s="37">
        <v>0</v>
      </c>
      <c r="AB149" s="34">
        <v>0</v>
      </c>
      <c r="AC149" s="34">
        <v>0</v>
      </c>
      <c r="AD149" s="105"/>
      <c r="AE149" s="104"/>
      <c r="AF149" s="105"/>
      <c r="AG149" s="43">
        <f t="shared" si="27"/>
        <v>0</v>
      </c>
      <c r="AH149" s="44">
        <f t="shared" si="27"/>
        <v>0</v>
      </c>
      <c r="AI149" s="44">
        <f t="shared" si="27"/>
        <v>0</v>
      </c>
      <c r="AJ149" s="94">
        <f t="shared" si="27"/>
        <v>0</v>
      </c>
      <c r="AK149" s="140">
        <f t="shared" si="29"/>
        <v>0</v>
      </c>
      <c r="AL149" s="96">
        <v>0</v>
      </c>
      <c r="AM149" s="48">
        <f t="shared" si="36"/>
        <v>0</v>
      </c>
      <c r="AN149" s="48">
        <f t="shared" si="37"/>
        <v>0</v>
      </c>
      <c r="AO149" s="49">
        <f t="shared" si="35"/>
        <v>0</v>
      </c>
      <c r="AP149" s="49">
        <f t="shared" si="30"/>
        <v>0</v>
      </c>
      <c r="AQ149" s="50">
        <f t="shared" si="31"/>
        <v>0</v>
      </c>
      <c r="AR149" s="106"/>
      <c r="AS149" s="107"/>
      <c r="AT149" s="115"/>
      <c r="AU149" s="100"/>
      <c r="AV149" s="109"/>
      <c r="AW149" s="110"/>
      <c r="AX149" s="110"/>
      <c r="AY149" s="107"/>
      <c r="AZ149" s="116"/>
    </row>
    <row r="150" spans="1:52" s="96" customFormat="1" ht="16.5" thickBot="1" x14ac:dyDescent="0.3">
      <c r="A150" s="134">
        <v>250</v>
      </c>
      <c r="B150" s="134" t="s">
        <v>111</v>
      </c>
      <c r="C150" s="139"/>
      <c r="D150" s="26">
        <f t="shared" si="32"/>
        <v>0</v>
      </c>
      <c r="E150" s="27">
        <f t="shared" si="33"/>
        <v>0</v>
      </c>
      <c r="F150" s="29">
        <f t="shared" si="34"/>
        <v>0</v>
      </c>
      <c r="G150" s="30">
        <v>0</v>
      </c>
      <c r="H150" s="31">
        <v>0</v>
      </c>
      <c r="I150" s="32">
        <v>0</v>
      </c>
      <c r="J150" s="136"/>
      <c r="K150" s="33">
        <v>0</v>
      </c>
      <c r="L150" s="34">
        <v>0</v>
      </c>
      <c r="M150" s="34">
        <v>0</v>
      </c>
      <c r="N150" s="138"/>
      <c r="O150" s="34">
        <v>0</v>
      </c>
      <c r="P150" s="34">
        <v>0</v>
      </c>
      <c r="Q150" s="34">
        <v>0</v>
      </c>
      <c r="R150" s="138"/>
      <c r="S150" s="37">
        <v>0</v>
      </c>
      <c r="T150" s="34">
        <v>0</v>
      </c>
      <c r="U150" s="34">
        <v>0</v>
      </c>
      <c r="V150" s="138"/>
      <c r="W150" s="38">
        <v>0</v>
      </c>
      <c r="X150" s="31">
        <v>0</v>
      </c>
      <c r="Y150" s="31">
        <v>0</v>
      </c>
      <c r="Z150" s="105"/>
      <c r="AA150" s="37">
        <v>0</v>
      </c>
      <c r="AB150" s="34">
        <v>0</v>
      </c>
      <c r="AC150" s="34">
        <v>0</v>
      </c>
      <c r="AD150" s="105"/>
      <c r="AE150" s="104"/>
      <c r="AF150" s="105"/>
      <c r="AG150" s="43">
        <f t="shared" si="27"/>
        <v>0</v>
      </c>
      <c r="AH150" s="44">
        <f t="shared" si="27"/>
        <v>0</v>
      </c>
      <c r="AI150" s="44">
        <f t="shared" si="27"/>
        <v>0</v>
      </c>
      <c r="AJ150" s="94">
        <f t="shared" si="27"/>
        <v>0</v>
      </c>
      <c r="AK150" s="140">
        <f t="shared" si="29"/>
        <v>0</v>
      </c>
      <c r="AL150" s="47">
        <v>1</v>
      </c>
      <c r="AM150" s="48">
        <f t="shared" si="36"/>
        <v>0</v>
      </c>
      <c r="AN150" s="48">
        <f t="shared" si="37"/>
        <v>0</v>
      </c>
      <c r="AO150" s="49">
        <f t="shared" si="35"/>
        <v>0</v>
      </c>
      <c r="AP150" s="49">
        <f t="shared" si="30"/>
        <v>0</v>
      </c>
      <c r="AQ150" s="50">
        <f t="shared" si="31"/>
        <v>0</v>
      </c>
      <c r="AR150" s="106"/>
      <c r="AS150" s="107"/>
      <c r="AT150" s="115"/>
      <c r="AU150" s="100"/>
      <c r="AV150" s="109"/>
      <c r="AW150" s="110"/>
      <c r="AX150" s="110"/>
      <c r="AY150" s="107"/>
      <c r="AZ150" s="116"/>
    </row>
    <row r="151" spans="1:52" s="96" customFormat="1" ht="16.5" thickBot="1" x14ac:dyDescent="0.3">
      <c r="A151" s="134">
        <v>250</v>
      </c>
      <c r="B151" s="134" t="s">
        <v>112</v>
      </c>
      <c r="C151" s="139"/>
      <c r="D151" s="26">
        <f t="shared" si="32"/>
        <v>0</v>
      </c>
      <c r="E151" s="27">
        <f t="shared" si="33"/>
        <v>0</v>
      </c>
      <c r="F151" s="29">
        <f t="shared" si="34"/>
        <v>0</v>
      </c>
      <c r="G151" s="30">
        <v>0</v>
      </c>
      <c r="H151" s="31">
        <v>0</v>
      </c>
      <c r="I151" s="32">
        <v>0</v>
      </c>
      <c r="J151" s="136"/>
      <c r="K151" s="33">
        <v>0</v>
      </c>
      <c r="L151" s="34">
        <v>0</v>
      </c>
      <c r="M151" s="34">
        <v>0</v>
      </c>
      <c r="N151" s="138"/>
      <c r="O151" s="34">
        <v>0</v>
      </c>
      <c r="P151" s="34">
        <v>0</v>
      </c>
      <c r="Q151" s="34">
        <v>0</v>
      </c>
      <c r="R151" s="138"/>
      <c r="S151" s="37">
        <v>0</v>
      </c>
      <c r="T151" s="34">
        <v>0</v>
      </c>
      <c r="U151" s="34">
        <v>0</v>
      </c>
      <c r="V151" s="138"/>
      <c r="W151" s="38">
        <v>0</v>
      </c>
      <c r="X151" s="31">
        <v>0</v>
      </c>
      <c r="Y151" s="31">
        <v>0</v>
      </c>
      <c r="Z151" s="105"/>
      <c r="AA151" s="37">
        <v>0</v>
      </c>
      <c r="AB151" s="34">
        <v>0</v>
      </c>
      <c r="AC151" s="34">
        <v>0</v>
      </c>
      <c r="AD151" s="105"/>
      <c r="AE151" s="104"/>
      <c r="AF151" s="105"/>
      <c r="AG151" s="43">
        <f t="shared" si="27"/>
        <v>0</v>
      </c>
      <c r="AH151" s="44">
        <f t="shared" si="27"/>
        <v>0</v>
      </c>
      <c r="AI151" s="44">
        <f t="shared" si="27"/>
        <v>0</v>
      </c>
      <c r="AJ151" s="94">
        <f t="shared" si="27"/>
        <v>0</v>
      </c>
      <c r="AK151" s="140">
        <f t="shared" si="29"/>
        <v>0</v>
      </c>
      <c r="AL151" s="47">
        <v>1</v>
      </c>
      <c r="AM151" s="48">
        <f t="shared" si="36"/>
        <v>0</v>
      </c>
      <c r="AN151" s="48">
        <f t="shared" si="37"/>
        <v>0</v>
      </c>
      <c r="AO151" s="49">
        <f t="shared" si="35"/>
        <v>0</v>
      </c>
      <c r="AP151" s="49">
        <f t="shared" si="30"/>
        <v>0</v>
      </c>
      <c r="AQ151" s="50">
        <f t="shared" si="31"/>
        <v>0</v>
      </c>
      <c r="AR151" s="106"/>
      <c r="AS151" s="107"/>
      <c r="AT151" s="115"/>
      <c r="AU151" s="100"/>
      <c r="AV151" s="109"/>
      <c r="AW151" s="110"/>
      <c r="AX151" s="110"/>
      <c r="AY151" s="107"/>
      <c r="AZ151" s="116"/>
    </row>
    <row r="152" spans="1:52" s="96" customFormat="1" ht="16.5" thickBot="1" x14ac:dyDescent="0.3">
      <c r="A152" s="134"/>
      <c r="B152" s="134" t="s">
        <v>30</v>
      </c>
      <c r="C152" s="139"/>
      <c r="D152" s="26">
        <f t="shared" si="32"/>
        <v>0</v>
      </c>
      <c r="E152" s="27">
        <f t="shared" si="33"/>
        <v>0</v>
      </c>
      <c r="F152" s="29">
        <f t="shared" si="34"/>
        <v>0</v>
      </c>
      <c r="G152" s="30">
        <v>0</v>
      </c>
      <c r="H152" s="31">
        <v>0</v>
      </c>
      <c r="I152" s="32">
        <v>0</v>
      </c>
      <c r="J152" s="136"/>
      <c r="K152" s="33">
        <v>0</v>
      </c>
      <c r="L152" s="34">
        <v>0</v>
      </c>
      <c r="M152" s="34">
        <v>0</v>
      </c>
      <c r="N152" s="138"/>
      <c r="O152" s="34">
        <v>0</v>
      </c>
      <c r="P152" s="34">
        <v>0</v>
      </c>
      <c r="Q152" s="34">
        <v>0</v>
      </c>
      <c r="R152" s="138"/>
      <c r="S152" s="37">
        <v>0</v>
      </c>
      <c r="T152" s="34">
        <v>0</v>
      </c>
      <c r="U152" s="34">
        <v>0</v>
      </c>
      <c r="V152" s="138"/>
      <c r="W152" s="38">
        <v>0</v>
      </c>
      <c r="X152" s="31">
        <v>0</v>
      </c>
      <c r="Y152" s="31">
        <v>0</v>
      </c>
      <c r="Z152" s="105"/>
      <c r="AA152" s="37">
        <v>0</v>
      </c>
      <c r="AB152" s="34">
        <v>0</v>
      </c>
      <c r="AC152" s="34">
        <v>0</v>
      </c>
      <c r="AD152" s="105"/>
      <c r="AE152" s="104"/>
      <c r="AF152" s="105"/>
      <c r="AG152" s="43">
        <f t="shared" si="27"/>
        <v>0</v>
      </c>
      <c r="AH152" s="44">
        <f t="shared" si="27"/>
        <v>0</v>
      </c>
      <c r="AI152" s="44">
        <f t="shared" si="27"/>
        <v>0</v>
      </c>
      <c r="AJ152" s="94">
        <f t="shared" si="27"/>
        <v>0</v>
      </c>
      <c r="AK152" s="140">
        <f t="shared" si="29"/>
        <v>0</v>
      </c>
      <c r="AL152" s="47">
        <v>1</v>
      </c>
      <c r="AM152" s="48">
        <f t="shared" si="36"/>
        <v>0</v>
      </c>
      <c r="AN152" s="48">
        <f t="shared" si="37"/>
        <v>0</v>
      </c>
      <c r="AO152" s="49">
        <f t="shared" si="35"/>
        <v>0</v>
      </c>
      <c r="AP152" s="49">
        <f t="shared" si="30"/>
        <v>0</v>
      </c>
      <c r="AQ152" s="50">
        <f t="shared" si="31"/>
        <v>0</v>
      </c>
      <c r="AR152" s="106"/>
      <c r="AS152" s="107"/>
      <c r="AT152" s="115"/>
      <c r="AU152" s="100"/>
      <c r="AV152" s="109"/>
      <c r="AW152" s="110"/>
      <c r="AX152" s="110"/>
      <c r="AY152" s="107"/>
      <c r="AZ152" s="116"/>
    </row>
    <row r="153" spans="1:52" s="96" customFormat="1" ht="16.5" thickBot="1" x14ac:dyDescent="0.3">
      <c r="A153" s="134"/>
      <c r="B153" s="134" t="s">
        <v>113</v>
      </c>
      <c r="C153" s="139"/>
      <c r="D153" s="26">
        <f t="shared" si="32"/>
        <v>0</v>
      </c>
      <c r="E153" s="27">
        <f t="shared" si="33"/>
        <v>0</v>
      </c>
      <c r="F153" s="29">
        <f t="shared" si="34"/>
        <v>0</v>
      </c>
      <c r="G153" s="30">
        <v>0</v>
      </c>
      <c r="H153" s="31">
        <v>0</v>
      </c>
      <c r="I153" s="32">
        <v>0</v>
      </c>
      <c r="J153" s="136"/>
      <c r="K153" s="33">
        <v>0</v>
      </c>
      <c r="L153" s="34">
        <v>0</v>
      </c>
      <c r="M153" s="34">
        <v>0</v>
      </c>
      <c r="N153" s="138"/>
      <c r="O153" s="34">
        <v>0</v>
      </c>
      <c r="P153" s="34">
        <v>0</v>
      </c>
      <c r="Q153" s="34">
        <v>0</v>
      </c>
      <c r="R153" s="138"/>
      <c r="S153" s="37">
        <v>0</v>
      </c>
      <c r="T153" s="34">
        <v>0</v>
      </c>
      <c r="U153" s="34">
        <v>0</v>
      </c>
      <c r="V153" s="138"/>
      <c r="W153" s="38">
        <v>0</v>
      </c>
      <c r="X153" s="31">
        <v>0</v>
      </c>
      <c r="Y153" s="31">
        <v>0</v>
      </c>
      <c r="Z153" s="105"/>
      <c r="AA153" s="37">
        <v>0</v>
      </c>
      <c r="AB153" s="34">
        <v>0</v>
      </c>
      <c r="AC153" s="34">
        <v>0</v>
      </c>
      <c r="AD153" s="105"/>
      <c r="AE153" s="104"/>
      <c r="AF153" s="105"/>
      <c r="AG153" s="43">
        <f t="shared" si="27"/>
        <v>0</v>
      </c>
      <c r="AH153" s="44">
        <f t="shared" si="27"/>
        <v>0</v>
      </c>
      <c r="AI153" s="44">
        <f t="shared" si="27"/>
        <v>0</v>
      </c>
      <c r="AJ153" s="94">
        <f t="shared" si="27"/>
        <v>0</v>
      </c>
      <c r="AK153" s="140">
        <f t="shared" si="29"/>
        <v>0</v>
      </c>
      <c r="AL153" s="47">
        <v>1</v>
      </c>
      <c r="AM153" s="48">
        <f t="shared" si="36"/>
        <v>0</v>
      </c>
      <c r="AN153" s="48">
        <f t="shared" si="37"/>
        <v>0</v>
      </c>
      <c r="AO153" s="49">
        <f t="shared" si="35"/>
        <v>0</v>
      </c>
      <c r="AP153" s="49">
        <f t="shared" si="30"/>
        <v>0</v>
      </c>
      <c r="AQ153" s="50">
        <f t="shared" si="31"/>
        <v>0</v>
      </c>
      <c r="AR153" s="106"/>
      <c r="AS153" s="107"/>
      <c r="AT153" s="115"/>
      <c r="AU153" s="100"/>
      <c r="AV153" s="109"/>
      <c r="AW153" s="110"/>
      <c r="AX153" s="110"/>
      <c r="AY153" s="107"/>
      <c r="AZ153" s="116"/>
    </row>
    <row r="154" spans="1:52" s="96" customFormat="1" ht="16.5" thickBot="1" x14ac:dyDescent="0.3">
      <c r="A154" s="134"/>
      <c r="B154" s="134" t="s">
        <v>114</v>
      </c>
      <c r="C154" s="139"/>
      <c r="D154" s="26">
        <f t="shared" si="32"/>
        <v>0</v>
      </c>
      <c r="E154" s="27">
        <f t="shared" si="33"/>
        <v>0</v>
      </c>
      <c r="F154" s="29">
        <f t="shared" si="34"/>
        <v>0</v>
      </c>
      <c r="G154" s="30">
        <v>0</v>
      </c>
      <c r="H154" s="31">
        <v>0</v>
      </c>
      <c r="I154" s="32">
        <v>0</v>
      </c>
      <c r="J154" s="136"/>
      <c r="K154" s="33">
        <v>0</v>
      </c>
      <c r="L154" s="34">
        <v>0</v>
      </c>
      <c r="M154" s="34">
        <v>0</v>
      </c>
      <c r="N154" s="138"/>
      <c r="O154" s="34">
        <v>0</v>
      </c>
      <c r="P154" s="34">
        <v>0</v>
      </c>
      <c r="Q154" s="34">
        <v>0</v>
      </c>
      <c r="R154" s="138"/>
      <c r="S154" s="37">
        <v>0</v>
      </c>
      <c r="T154" s="34">
        <v>0</v>
      </c>
      <c r="U154" s="34">
        <v>0</v>
      </c>
      <c r="V154" s="138"/>
      <c r="W154" s="38">
        <v>0</v>
      </c>
      <c r="X154" s="31">
        <v>0</v>
      </c>
      <c r="Y154" s="31">
        <v>0</v>
      </c>
      <c r="Z154" s="105"/>
      <c r="AA154" s="37">
        <v>0</v>
      </c>
      <c r="AB154" s="34">
        <v>0</v>
      </c>
      <c r="AC154" s="34">
        <v>0</v>
      </c>
      <c r="AD154" s="105"/>
      <c r="AE154" s="104"/>
      <c r="AF154" s="105"/>
      <c r="AG154" s="43">
        <f t="shared" si="27"/>
        <v>0</v>
      </c>
      <c r="AH154" s="44">
        <f t="shared" si="27"/>
        <v>0</v>
      </c>
      <c r="AI154" s="44">
        <f t="shared" si="27"/>
        <v>0</v>
      </c>
      <c r="AJ154" s="94">
        <f t="shared" si="27"/>
        <v>0</v>
      </c>
      <c r="AK154" s="140">
        <f t="shared" si="29"/>
        <v>0</v>
      </c>
      <c r="AL154" s="47">
        <v>1</v>
      </c>
      <c r="AM154" s="48">
        <f t="shared" si="36"/>
        <v>0</v>
      </c>
      <c r="AN154" s="48">
        <f t="shared" si="37"/>
        <v>0</v>
      </c>
      <c r="AO154" s="49">
        <f t="shared" si="35"/>
        <v>0</v>
      </c>
      <c r="AP154" s="49">
        <f t="shared" si="30"/>
        <v>0</v>
      </c>
      <c r="AQ154" s="50">
        <f t="shared" si="31"/>
        <v>0</v>
      </c>
      <c r="AR154" s="106"/>
      <c r="AS154" s="107"/>
      <c r="AT154" s="115"/>
      <c r="AU154" s="100"/>
      <c r="AV154" s="109"/>
      <c r="AW154" s="110"/>
      <c r="AX154" s="110"/>
      <c r="AY154" s="107"/>
      <c r="AZ154" s="116"/>
    </row>
    <row r="155" spans="1:52" s="96" customFormat="1" ht="16.5" thickBot="1" x14ac:dyDescent="0.3">
      <c r="A155" s="134"/>
      <c r="B155" s="134" t="s">
        <v>47</v>
      </c>
      <c r="C155" s="139"/>
      <c r="D155" s="26">
        <f t="shared" si="32"/>
        <v>0</v>
      </c>
      <c r="E155" s="27">
        <f t="shared" si="33"/>
        <v>0</v>
      </c>
      <c r="F155" s="29">
        <f t="shared" si="34"/>
        <v>0</v>
      </c>
      <c r="G155" s="30">
        <v>0</v>
      </c>
      <c r="H155" s="31">
        <v>0</v>
      </c>
      <c r="I155" s="32">
        <v>0</v>
      </c>
      <c r="J155" s="136"/>
      <c r="K155" s="33">
        <v>0</v>
      </c>
      <c r="L155" s="34">
        <v>0</v>
      </c>
      <c r="M155" s="34">
        <v>0</v>
      </c>
      <c r="N155" s="138"/>
      <c r="O155" s="34">
        <v>0</v>
      </c>
      <c r="P155" s="34">
        <v>0</v>
      </c>
      <c r="Q155" s="34">
        <v>0</v>
      </c>
      <c r="R155" s="138"/>
      <c r="S155" s="37">
        <v>0</v>
      </c>
      <c r="T155" s="34">
        <v>0</v>
      </c>
      <c r="U155" s="34">
        <v>0</v>
      </c>
      <c r="V155" s="138"/>
      <c r="W155" s="38">
        <v>0</v>
      </c>
      <c r="X155" s="31">
        <v>0</v>
      </c>
      <c r="Y155" s="31">
        <v>0</v>
      </c>
      <c r="Z155" s="105"/>
      <c r="AA155" s="37">
        <v>0</v>
      </c>
      <c r="AB155" s="34">
        <v>0</v>
      </c>
      <c r="AC155" s="34">
        <v>0</v>
      </c>
      <c r="AD155" s="105"/>
      <c r="AE155" s="104"/>
      <c r="AF155" s="105"/>
      <c r="AG155" s="43">
        <f t="shared" si="27"/>
        <v>0</v>
      </c>
      <c r="AH155" s="44">
        <f t="shared" si="27"/>
        <v>0</v>
      </c>
      <c r="AI155" s="44">
        <f t="shared" si="27"/>
        <v>0</v>
      </c>
      <c r="AJ155" s="94">
        <f t="shared" si="27"/>
        <v>0</v>
      </c>
      <c r="AK155" s="140">
        <f t="shared" si="29"/>
        <v>0</v>
      </c>
      <c r="AL155" s="47">
        <v>1</v>
      </c>
      <c r="AM155" s="48">
        <f t="shared" si="36"/>
        <v>0</v>
      </c>
      <c r="AN155" s="48">
        <f t="shared" si="37"/>
        <v>0</v>
      </c>
      <c r="AO155" s="49">
        <f t="shared" si="35"/>
        <v>0</v>
      </c>
      <c r="AP155" s="49">
        <f t="shared" si="30"/>
        <v>0</v>
      </c>
      <c r="AQ155" s="50">
        <f t="shared" si="31"/>
        <v>0</v>
      </c>
      <c r="AR155" s="106"/>
      <c r="AS155" s="107"/>
      <c r="AT155" s="115"/>
      <c r="AU155" s="100"/>
      <c r="AV155" s="109"/>
      <c r="AW155" s="110"/>
      <c r="AX155" s="110"/>
      <c r="AY155" s="107"/>
      <c r="AZ155" s="116"/>
    </row>
    <row r="156" spans="1:52" s="96" customFormat="1" ht="16.5" thickBot="1" x14ac:dyDescent="0.3">
      <c r="A156" s="134"/>
      <c r="B156" s="134" t="s">
        <v>115</v>
      </c>
      <c r="C156" s="139">
        <v>52</v>
      </c>
      <c r="D156" s="26">
        <f t="shared" si="32"/>
        <v>17.333333333333332</v>
      </c>
      <c r="E156" s="27">
        <f t="shared" si="33"/>
        <v>17.333333333333332</v>
      </c>
      <c r="F156" s="29">
        <f t="shared" si="34"/>
        <v>17.333333333333332</v>
      </c>
      <c r="G156" s="30">
        <v>0</v>
      </c>
      <c r="H156" s="31">
        <v>0</v>
      </c>
      <c r="I156" s="32">
        <v>0</v>
      </c>
      <c r="J156" s="136"/>
      <c r="K156" s="33">
        <v>0</v>
      </c>
      <c r="L156" s="34">
        <v>0</v>
      </c>
      <c r="M156" s="34">
        <v>0</v>
      </c>
      <c r="N156" s="138"/>
      <c r="O156" s="34">
        <v>0</v>
      </c>
      <c r="P156" s="34">
        <v>0</v>
      </c>
      <c r="Q156" s="34">
        <v>0</v>
      </c>
      <c r="R156" s="138"/>
      <c r="S156" s="37">
        <v>0</v>
      </c>
      <c r="T156" s="34">
        <v>0</v>
      </c>
      <c r="U156" s="34">
        <v>0</v>
      </c>
      <c r="V156" s="138"/>
      <c r="W156" s="38">
        <v>0</v>
      </c>
      <c r="X156" s="31">
        <v>0</v>
      </c>
      <c r="Y156" s="31">
        <v>0</v>
      </c>
      <c r="Z156" s="105"/>
      <c r="AA156" s="37">
        <v>0</v>
      </c>
      <c r="AB156" s="34">
        <v>0</v>
      </c>
      <c r="AC156" s="34">
        <v>0</v>
      </c>
      <c r="AD156" s="105"/>
      <c r="AE156" s="104"/>
      <c r="AF156" s="105"/>
      <c r="AG156" s="43">
        <f t="shared" si="27"/>
        <v>0</v>
      </c>
      <c r="AH156" s="44">
        <f t="shared" si="27"/>
        <v>0</v>
      </c>
      <c r="AI156" s="44">
        <f t="shared" si="27"/>
        <v>0</v>
      </c>
      <c r="AJ156" s="94">
        <f t="shared" si="27"/>
        <v>0</v>
      </c>
      <c r="AK156" s="140">
        <f t="shared" si="29"/>
        <v>0</v>
      </c>
      <c r="AL156" s="47">
        <v>1</v>
      </c>
      <c r="AM156" s="48">
        <f t="shared" si="36"/>
        <v>0</v>
      </c>
      <c r="AN156" s="48">
        <f t="shared" si="37"/>
        <v>0</v>
      </c>
      <c r="AO156" s="49">
        <f t="shared" si="35"/>
        <v>0</v>
      </c>
      <c r="AP156" s="49">
        <f t="shared" si="30"/>
        <v>0</v>
      </c>
      <c r="AQ156" s="50">
        <f t="shared" si="31"/>
        <v>0</v>
      </c>
      <c r="AR156" s="106"/>
      <c r="AS156" s="107"/>
      <c r="AT156" s="115"/>
      <c r="AU156" s="100"/>
      <c r="AV156" s="109"/>
      <c r="AW156" s="110"/>
      <c r="AX156" s="110"/>
      <c r="AY156" s="107"/>
      <c r="AZ156" s="116"/>
    </row>
    <row r="157" spans="1:52" s="96" customFormat="1" ht="16.5" thickBot="1" x14ac:dyDescent="0.3">
      <c r="A157" s="134">
        <v>360</v>
      </c>
      <c r="B157" s="134" t="s">
        <v>28</v>
      </c>
      <c r="C157" s="139">
        <v>137</v>
      </c>
      <c r="D157" s="26">
        <f t="shared" si="32"/>
        <v>45.666666666666664</v>
      </c>
      <c r="E157" s="27">
        <f t="shared" si="33"/>
        <v>45.666666666666664</v>
      </c>
      <c r="F157" s="29">
        <f t="shared" si="34"/>
        <v>45.666666666666664</v>
      </c>
      <c r="G157" s="30">
        <v>4</v>
      </c>
      <c r="H157" s="31">
        <v>0</v>
      </c>
      <c r="I157" s="32">
        <v>2</v>
      </c>
      <c r="J157" s="136"/>
      <c r="K157" s="33">
        <v>8</v>
      </c>
      <c r="L157" s="34">
        <v>2</v>
      </c>
      <c r="M157" s="34">
        <v>6</v>
      </c>
      <c r="N157" s="138"/>
      <c r="O157" s="34">
        <v>5</v>
      </c>
      <c r="P157" s="34">
        <v>0</v>
      </c>
      <c r="Q157" s="34">
        <v>10</v>
      </c>
      <c r="R157" s="138"/>
      <c r="S157" s="37">
        <v>5</v>
      </c>
      <c r="T157" s="34">
        <v>0</v>
      </c>
      <c r="U157" s="34">
        <v>5</v>
      </c>
      <c r="V157" s="138"/>
      <c r="W157" s="38">
        <v>3</v>
      </c>
      <c r="X157" s="31">
        <v>1</v>
      </c>
      <c r="Y157" s="31">
        <v>19</v>
      </c>
      <c r="Z157" s="105"/>
      <c r="AA157" s="37">
        <v>6</v>
      </c>
      <c r="AB157" s="34">
        <v>0</v>
      </c>
      <c r="AC157" s="34">
        <v>5</v>
      </c>
      <c r="AD157" s="105"/>
      <c r="AE157" s="104"/>
      <c r="AF157" s="105"/>
      <c r="AG157" s="43">
        <f t="shared" si="27"/>
        <v>31</v>
      </c>
      <c r="AH157" s="44">
        <f t="shared" si="27"/>
        <v>3</v>
      </c>
      <c r="AI157" s="44">
        <f t="shared" si="27"/>
        <v>47</v>
      </c>
      <c r="AJ157" s="94">
        <f t="shared" si="27"/>
        <v>0</v>
      </c>
      <c r="AK157" s="140">
        <f t="shared" si="29"/>
        <v>81</v>
      </c>
      <c r="AL157" s="47">
        <v>1.3</v>
      </c>
      <c r="AM157" s="48">
        <f t="shared" si="36"/>
        <v>40.300000000000004</v>
      </c>
      <c r="AN157" s="48">
        <f t="shared" si="37"/>
        <v>3.9000000000000004</v>
      </c>
      <c r="AO157" s="49">
        <f t="shared" si="35"/>
        <v>61.1</v>
      </c>
      <c r="AP157" s="49">
        <f t="shared" si="30"/>
        <v>0</v>
      </c>
      <c r="AQ157" s="50">
        <f t="shared" si="31"/>
        <v>4860</v>
      </c>
      <c r="AR157" s="106"/>
      <c r="AS157" s="107"/>
      <c r="AT157" s="115"/>
      <c r="AU157" s="100"/>
      <c r="AV157" s="109"/>
      <c r="AW157" s="110"/>
      <c r="AX157" s="110"/>
      <c r="AY157" s="107"/>
      <c r="AZ157" s="116"/>
    </row>
    <row r="158" spans="1:52" s="96" customFormat="1" ht="16.5" thickBot="1" x14ac:dyDescent="0.3">
      <c r="A158" s="134">
        <v>360</v>
      </c>
      <c r="B158" s="134" t="s">
        <v>31</v>
      </c>
      <c r="C158" s="139">
        <v>135</v>
      </c>
      <c r="D158" s="26">
        <f t="shared" si="32"/>
        <v>45</v>
      </c>
      <c r="E158" s="27">
        <f t="shared" si="33"/>
        <v>45</v>
      </c>
      <c r="F158" s="29">
        <f t="shared" si="34"/>
        <v>45</v>
      </c>
      <c r="G158" s="30">
        <v>0</v>
      </c>
      <c r="H158" s="31">
        <v>0</v>
      </c>
      <c r="I158" s="32">
        <v>0</v>
      </c>
      <c r="J158" s="136"/>
      <c r="K158" s="33">
        <v>0</v>
      </c>
      <c r="L158" s="34">
        <v>0</v>
      </c>
      <c r="M158" s="34">
        <v>0</v>
      </c>
      <c r="N158" s="138"/>
      <c r="O158" s="34">
        <v>0</v>
      </c>
      <c r="P158" s="34">
        <v>0</v>
      </c>
      <c r="Q158" s="34">
        <v>0</v>
      </c>
      <c r="R158" s="138"/>
      <c r="S158" s="37">
        <v>0</v>
      </c>
      <c r="T158" s="34">
        <v>0</v>
      </c>
      <c r="U158" s="34">
        <v>0</v>
      </c>
      <c r="V158" s="138"/>
      <c r="W158" s="38">
        <v>0</v>
      </c>
      <c r="X158" s="31">
        <v>0</v>
      </c>
      <c r="Y158" s="31">
        <v>0</v>
      </c>
      <c r="Z158" s="105"/>
      <c r="AA158" s="37">
        <v>0</v>
      </c>
      <c r="AB158" s="34">
        <v>0</v>
      </c>
      <c r="AC158" s="34">
        <v>0</v>
      </c>
      <c r="AD158" s="105"/>
      <c r="AE158" s="104"/>
      <c r="AF158" s="105"/>
      <c r="AG158" s="43">
        <f t="shared" si="27"/>
        <v>0</v>
      </c>
      <c r="AH158" s="44">
        <f t="shared" si="27"/>
        <v>0</v>
      </c>
      <c r="AI158" s="44">
        <f t="shared" si="27"/>
        <v>0</v>
      </c>
      <c r="AJ158" s="94">
        <f t="shared" si="27"/>
        <v>0</v>
      </c>
      <c r="AK158" s="140">
        <f t="shared" si="29"/>
        <v>0</v>
      </c>
      <c r="AL158" s="47">
        <v>1.3</v>
      </c>
      <c r="AM158" s="48">
        <f t="shared" si="36"/>
        <v>0</v>
      </c>
      <c r="AN158" s="48">
        <f t="shared" si="37"/>
        <v>0</v>
      </c>
      <c r="AO158" s="49">
        <f t="shared" si="35"/>
        <v>0</v>
      </c>
      <c r="AP158" s="49">
        <f t="shared" si="30"/>
        <v>0</v>
      </c>
      <c r="AQ158" s="50">
        <f t="shared" si="31"/>
        <v>0</v>
      </c>
      <c r="AR158" s="106"/>
      <c r="AS158" s="107"/>
      <c r="AT158" s="115"/>
      <c r="AU158" s="100"/>
      <c r="AV158" s="109"/>
      <c r="AW158" s="110"/>
      <c r="AX158" s="110"/>
      <c r="AY158" s="107"/>
      <c r="AZ158" s="116"/>
    </row>
    <row r="159" spans="1:52" s="96" customFormat="1" ht="16.5" thickBot="1" x14ac:dyDescent="0.3">
      <c r="A159" s="134">
        <v>250</v>
      </c>
      <c r="B159" s="134" t="s">
        <v>116</v>
      </c>
      <c r="C159" s="139"/>
      <c r="D159" s="26">
        <f t="shared" si="32"/>
        <v>0</v>
      </c>
      <c r="E159" s="27">
        <f t="shared" si="33"/>
        <v>0</v>
      </c>
      <c r="F159" s="29">
        <f t="shared" si="34"/>
        <v>0</v>
      </c>
      <c r="G159" s="30">
        <v>0</v>
      </c>
      <c r="H159" s="31">
        <v>0</v>
      </c>
      <c r="I159" s="32">
        <v>0</v>
      </c>
      <c r="J159" s="136"/>
      <c r="K159" s="33">
        <v>0</v>
      </c>
      <c r="L159" s="34">
        <v>0</v>
      </c>
      <c r="M159" s="34">
        <v>0</v>
      </c>
      <c r="N159" s="138"/>
      <c r="O159" s="34">
        <v>0</v>
      </c>
      <c r="P159" s="34">
        <v>0</v>
      </c>
      <c r="Q159" s="34">
        <v>0</v>
      </c>
      <c r="R159" s="138"/>
      <c r="S159" s="37">
        <v>0</v>
      </c>
      <c r="T159" s="34">
        <v>0</v>
      </c>
      <c r="U159" s="34">
        <v>0</v>
      </c>
      <c r="V159" s="138"/>
      <c r="W159" s="38">
        <v>0</v>
      </c>
      <c r="X159" s="31">
        <v>0</v>
      </c>
      <c r="Y159" s="31">
        <v>0</v>
      </c>
      <c r="Z159" s="105"/>
      <c r="AA159" s="37">
        <v>0</v>
      </c>
      <c r="AB159" s="34">
        <v>0</v>
      </c>
      <c r="AC159" s="34">
        <v>0</v>
      </c>
      <c r="AD159" s="105"/>
      <c r="AE159" s="104"/>
      <c r="AF159" s="105"/>
      <c r="AG159" s="43">
        <f t="shared" si="27"/>
        <v>0</v>
      </c>
      <c r="AH159" s="44">
        <f t="shared" si="27"/>
        <v>0</v>
      </c>
      <c r="AI159" s="44">
        <f t="shared" si="27"/>
        <v>0</v>
      </c>
      <c r="AJ159" s="94">
        <f t="shared" si="27"/>
        <v>0</v>
      </c>
      <c r="AK159" s="140">
        <f t="shared" si="29"/>
        <v>0</v>
      </c>
      <c r="AL159" s="47">
        <v>0.5</v>
      </c>
      <c r="AM159" s="48">
        <f t="shared" si="36"/>
        <v>0</v>
      </c>
      <c r="AN159" s="48">
        <f t="shared" si="37"/>
        <v>0</v>
      </c>
      <c r="AO159" s="49">
        <f t="shared" si="35"/>
        <v>0</v>
      </c>
      <c r="AP159" s="49">
        <f t="shared" si="30"/>
        <v>0</v>
      </c>
      <c r="AQ159" s="50">
        <f t="shared" si="31"/>
        <v>0</v>
      </c>
      <c r="AR159" s="106"/>
      <c r="AS159" s="107"/>
      <c r="AT159" s="115"/>
      <c r="AU159" s="100"/>
      <c r="AV159" s="109"/>
      <c r="AW159" s="110"/>
      <c r="AX159" s="110"/>
      <c r="AY159" s="107"/>
      <c r="AZ159" s="116"/>
    </row>
    <row r="160" spans="1:52" s="96" customFormat="1" ht="16.5" thickBot="1" x14ac:dyDescent="0.3">
      <c r="A160" s="134">
        <v>250</v>
      </c>
      <c r="B160" s="134" t="s">
        <v>117</v>
      </c>
      <c r="C160" s="139"/>
      <c r="D160" s="26">
        <f t="shared" si="32"/>
        <v>0</v>
      </c>
      <c r="E160" s="27">
        <f t="shared" si="33"/>
        <v>0</v>
      </c>
      <c r="F160" s="29">
        <f t="shared" si="34"/>
        <v>0</v>
      </c>
      <c r="G160" s="30">
        <v>0</v>
      </c>
      <c r="H160" s="31">
        <v>0</v>
      </c>
      <c r="I160" s="32">
        <v>0</v>
      </c>
      <c r="J160" s="136"/>
      <c r="K160" s="33">
        <v>0</v>
      </c>
      <c r="L160" s="34">
        <v>0</v>
      </c>
      <c r="M160" s="34">
        <v>0</v>
      </c>
      <c r="N160" s="138"/>
      <c r="O160" s="34">
        <v>0</v>
      </c>
      <c r="P160" s="34">
        <v>0</v>
      </c>
      <c r="Q160" s="34">
        <v>0</v>
      </c>
      <c r="R160" s="138"/>
      <c r="S160" s="37">
        <v>0</v>
      </c>
      <c r="T160" s="34">
        <v>0</v>
      </c>
      <c r="U160" s="34">
        <v>0</v>
      </c>
      <c r="V160" s="138"/>
      <c r="W160" s="38">
        <v>0</v>
      </c>
      <c r="X160" s="31">
        <v>0</v>
      </c>
      <c r="Y160" s="31">
        <v>0</v>
      </c>
      <c r="Z160" s="105"/>
      <c r="AA160" s="37">
        <v>0</v>
      </c>
      <c r="AB160" s="34">
        <v>0</v>
      </c>
      <c r="AC160" s="34">
        <v>0</v>
      </c>
      <c r="AD160" s="105"/>
      <c r="AE160" s="104"/>
      <c r="AF160" s="105"/>
      <c r="AG160" s="43">
        <f t="shared" si="27"/>
        <v>0</v>
      </c>
      <c r="AH160" s="44">
        <f t="shared" si="27"/>
        <v>0</v>
      </c>
      <c r="AI160" s="44">
        <f t="shared" si="27"/>
        <v>0</v>
      </c>
      <c r="AJ160" s="94">
        <f t="shared" si="27"/>
        <v>0</v>
      </c>
      <c r="AK160" s="140">
        <f t="shared" si="29"/>
        <v>0</v>
      </c>
      <c r="AL160" s="47">
        <v>0.5</v>
      </c>
      <c r="AM160" s="48">
        <f t="shared" si="36"/>
        <v>0</v>
      </c>
      <c r="AN160" s="48">
        <f t="shared" si="37"/>
        <v>0</v>
      </c>
      <c r="AO160" s="49">
        <f t="shared" si="35"/>
        <v>0</v>
      </c>
      <c r="AP160" s="49">
        <f t="shared" si="30"/>
        <v>0</v>
      </c>
      <c r="AQ160" s="50">
        <f t="shared" si="31"/>
        <v>0</v>
      </c>
      <c r="AR160" s="106"/>
      <c r="AS160" s="107"/>
      <c r="AT160" s="115"/>
      <c r="AU160" s="100"/>
      <c r="AV160" s="109"/>
      <c r="AW160" s="110"/>
      <c r="AX160" s="110"/>
      <c r="AY160" s="107"/>
      <c r="AZ160" s="116"/>
    </row>
    <row r="161" spans="1:52" s="96" customFormat="1" ht="16.5" thickBot="1" x14ac:dyDescent="0.3">
      <c r="A161" s="134">
        <v>360</v>
      </c>
      <c r="B161" s="134" t="s">
        <v>29</v>
      </c>
      <c r="C161" s="139">
        <v>137</v>
      </c>
      <c r="D161" s="26">
        <f t="shared" si="32"/>
        <v>45.666666666666664</v>
      </c>
      <c r="E161" s="27">
        <f t="shared" si="33"/>
        <v>45.666666666666664</v>
      </c>
      <c r="F161" s="29">
        <f t="shared" si="34"/>
        <v>45.666666666666664</v>
      </c>
      <c r="G161" s="30">
        <v>0</v>
      </c>
      <c r="H161" s="31">
        <v>0</v>
      </c>
      <c r="I161" s="32">
        <v>0</v>
      </c>
      <c r="J161" s="136"/>
      <c r="K161" s="33">
        <v>0</v>
      </c>
      <c r="L161" s="34">
        <v>0</v>
      </c>
      <c r="M161" s="34">
        <v>0</v>
      </c>
      <c r="N161" s="138"/>
      <c r="O161" s="34">
        <v>0</v>
      </c>
      <c r="P161" s="34">
        <v>0</v>
      </c>
      <c r="Q161" s="34">
        <v>0</v>
      </c>
      <c r="R161" s="138"/>
      <c r="S161" s="37">
        <v>0</v>
      </c>
      <c r="T161" s="34">
        <v>0</v>
      </c>
      <c r="U161" s="34">
        <v>0</v>
      </c>
      <c r="V161" s="138"/>
      <c r="W161" s="38">
        <v>0</v>
      </c>
      <c r="X161" s="31">
        <v>0</v>
      </c>
      <c r="Y161" s="31">
        <v>0</v>
      </c>
      <c r="Z161" s="105"/>
      <c r="AA161" s="37">
        <v>0</v>
      </c>
      <c r="AB161" s="34">
        <v>0</v>
      </c>
      <c r="AC161" s="34">
        <v>0</v>
      </c>
      <c r="AD161" s="105"/>
      <c r="AE161" s="104"/>
      <c r="AF161" s="105"/>
      <c r="AG161" s="43">
        <f t="shared" si="27"/>
        <v>0</v>
      </c>
      <c r="AH161" s="44">
        <f t="shared" si="27"/>
        <v>0</v>
      </c>
      <c r="AI161" s="44">
        <f t="shared" si="27"/>
        <v>0</v>
      </c>
      <c r="AJ161" s="94">
        <f t="shared" si="27"/>
        <v>0</v>
      </c>
      <c r="AK161" s="140">
        <f t="shared" si="29"/>
        <v>0</v>
      </c>
      <c r="AL161" s="47">
        <v>1.3</v>
      </c>
      <c r="AM161" s="48">
        <f t="shared" si="36"/>
        <v>0</v>
      </c>
      <c r="AN161" s="48">
        <f t="shared" si="37"/>
        <v>0</v>
      </c>
      <c r="AO161" s="49">
        <f t="shared" si="35"/>
        <v>0</v>
      </c>
      <c r="AP161" s="49">
        <f t="shared" si="30"/>
        <v>0</v>
      </c>
      <c r="AQ161" s="50">
        <f t="shared" si="31"/>
        <v>0</v>
      </c>
      <c r="AR161" s="106"/>
      <c r="AS161" s="107"/>
      <c r="AT161" s="115"/>
      <c r="AU161" s="100"/>
      <c r="AV161" s="109"/>
      <c r="AW161" s="110"/>
      <c r="AX161" s="110"/>
      <c r="AY161" s="107"/>
      <c r="AZ161" s="116"/>
    </row>
    <row r="162" spans="1:52" s="96" customFormat="1" ht="16.5" thickBot="1" x14ac:dyDescent="0.3">
      <c r="A162" s="134"/>
      <c r="B162" s="134" t="s">
        <v>118</v>
      </c>
      <c r="C162" s="139">
        <v>78</v>
      </c>
      <c r="D162" s="26">
        <f t="shared" si="32"/>
        <v>26</v>
      </c>
      <c r="E162" s="27">
        <f t="shared" si="33"/>
        <v>26</v>
      </c>
      <c r="F162" s="29">
        <f t="shared" si="34"/>
        <v>26</v>
      </c>
      <c r="G162" s="30">
        <v>0</v>
      </c>
      <c r="H162" s="31">
        <v>0</v>
      </c>
      <c r="I162" s="32">
        <v>0</v>
      </c>
      <c r="J162" s="136"/>
      <c r="K162" s="33">
        <v>0</v>
      </c>
      <c r="L162" s="34">
        <v>0</v>
      </c>
      <c r="M162" s="34">
        <v>0</v>
      </c>
      <c r="N162" s="138"/>
      <c r="O162" s="34">
        <v>0</v>
      </c>
      <c r="P162" s="34">
        <v>0</v>
      </c>
      <c r="Q162" s="34">
        <v>0</v>
      </c>
      <c r="R162" s="138"/>
      <c r="S162" s="37">
        <v>0</v>
      </c>
      <c r="T162" s="34">
        <v>0</v>
      </c>
      <c r="U162" s="34">
        <v>0</v>
      </c>
      <c r="V162" s="138"/>
      <c r="W162" s="38">
        <v>0</v>
      </c>
      <c r="X162" s="31">
        <v>0</v>
      </c>
      <c r="Y162" s="31">
        <v>0</v>
      </c>
      <c r="Z162" s="105"/>
      <c r="AA162" s="37">
        <v>0</v>
      </c>
      <c r="AB162" s="34">
        <v>0</v>
      </c>
      <c r="AC162" s="34">
        <v>0</v>
      </c>
      <c r="AD162" s="105"/>
      <c r="AE162" s="104"/>
      <c r="AF162" s="105"/>
      <c r="AG162" s="43">
        <f t="shared" si="27"/>
        <v>0</v>
      </c>
      <c r="AH162" s="44">
        <f t="shared" si="27"/>
        <v>0</v>
      </c>
      <c r="AI162" s="44">
        <f t="shared" si="27"/>
        <v>0</v>
      </c>
      <c r="AJ162" s="94">
        <f t="shared" si="27"/>
        <v>0</v>
      </c>
      <c r="AK162" s="140">
        <f t="shared" si="29"/>
        <v>0</v>
      </c>
      <c r="AL162" s="47">
        <v>1.5</v>
      </c>
      <c r="AM162" s="48">
        <f t="shared" si="36"/>
        <v>0</v>
      </c>
      <c r="AN162" s="48">
        <f t="shared" si="37"/>
        <v>0</v>
      </c>
      <c r="AO162" s="49">
        <f t="shared" si="35"/>
        <v>0</v>
      </c>
      <c r="AP162" s="49">
        <f t="shared" si="30"/>
        <v>0</v>
      </c>
      <c r="AQ162" s="50">
        <f t="shared" si="31"/>
        <v>0</v>
      </c>
      <c r="AR162" s="106"/>
      <c r="AS162" s="107"/>
      <c r="AT162" s="115"/>
      <c r="AU162" s="100"/>
      <c r="AV162" s="109"/>
      <c r="AW162" s="110"/>
      <c r="AX162" s="110"/>
      <c r="AY162" s="107"/>
      <c r="AZ162" s="116"/>
    </row>
    <row r="163" spans="1:52" s="96" customFormat="1" ht="16.5" thickBot="1" x14ac:dyDescent="0.3">
      <c r="A163" s="134"/>
      <c r="B163" s="134" t="s">
        <v>119</v>
      </c>
      <c r="C163" s="139">
        <v>77</v>
      </c>
      <c r="D163" s="26">
        <f t="shared" si="32"/>
        <v>25.666666666666668</v>
      </c>
      <c r="E163" s="27">
        <f t="shared" si="33"/>
        <v>25.666666666666668</v>
      </c>
      <c r="F163" s="29">
        <f t="shared" si="34"/>
        <v>25.666666666666668</v>
      </c>
      <c r="G163" s="30">
        <v>0</v>
      </c>
      <c r="H163" s="31">
        <v>0</v>
      </c>
      <c r="I163" s="32">
        <v>0</v>
      </c>
      <c r="J163" s="136"/>
      <c r="K163" s="33">
        <v>0</v>
      </c>
      <c r="L163" s="34">
        <v>0</v>
      </c>
      <c r="M163" s="34">
        <v>0</v>
      </c>
      <c r="N163" s="138"/>
      <c r="O163" s="34">
        <v>0</v>
      </c>
      <c r="P163" s="34">
        <v>0</v>
      </c>
      <c r="Q163" s="34">
        <v>0</v>
      </c>
      <c r="R163" s="138"/>
      <c r="S163" s="37">
        <v>0</v>
      </c>
      <c r="T163" s="34">
        <v>0</v>
      </c>
      <c r="U163" s="34">
        <v>0</v>
      </c>
      <c r="V163" s="138"/>
      <c r="W163" s="38">
        <v>0</v>
      </c>
      <c r="X163" s="31">
        <v>0</v>
      </c>
      <c r="Y163" s="31">
        <v>0</v>
      </c>
      <c r="Z163" s="105"/>
      <c r="AA163" s="37">
        <v>0</v>
      </c>
      <c r="AB163" s="34">
        <v>0</v>
      </c>
      <c r="AC163" s="34">
        <v>0</v>
      </c>
      <c r="AD163" s="105"/>
      <c r="AE163" s="104"/>
      <c r="AF163" s="105"/>
      <c r="AG163" s="43">
        <f t="shared" si="27"/>
        <v>0</v>
      </c>
      <c r="AH163" s="44">
        <f t="shared" si="27"/>
        <v>0</v>
      </c>
      <c r="AI163" s="44">
        <f t="shared" si="27"/>
        <v>0</v>
      </c>
      <c r="AJ163" s="94">
        <f t="shared" ref="AJ163:AJ181" si="38">J163+N163+R163+V163+Z163+AD163</f>
        <v>0</v>
      </c>
      <c r="AK163" s="140">
        <f t="shared" si="29"/>
        <v>0</v>
      </c>
      <c r="AL163" s="47">
        <v>1.5</v>
      </c>
      <c r="AM163" s="48">
        <f t="shared" si="36"/>
        <v>0</v>
      </c>
      <c r="AN163" s="48">
        <f t="shared" si="37"/>
        <v>0</v>
      </c>
      <c r="AO163" s="49">
        <f t="shared" si="35"/>
        <v>0</v>
      </c>
      <c r="AP163" s="49">
        <f t="shared" si="30"/>
        <v>0</v>
      </c>
      <c r="AQ163" s="50">
        <f t="shared" si="31"/>
        <v>0</v>
      </c>
      <c r="AR163" s="106"/>
      <c r="AS163" s="107"/>
      <c r="AT163" s="115"/>
      <c r="AU163" s="100"/>
      <c r="AV163" s="109"/>
      <c r="AW163" s="110"/>
      <c r="AX163" s="110"/>
      <c r="AY163" s="107"/>
      <c r="AZ163" s="116"/>
    </row>
    <row r="164" spans="1:52" s="96" customFormat="1" ht="16.5" thickBot="1" x14ac:dyDescent="0.3">
      <c r="A164" s="134"/>
      <c r="B164" s="134" t="s">
        <v>120</v>
      </c>
      <c r="C164" s="139">
        <v>103</v>
      </c>
      <c r="D164" s="26">
        <f t="shared" si="32"/>
        <v>34.333333333333336</v>
      </c>
      <c r="E164" s="27">
        <f t="shared" si="33"/>
        <v>34.333333333333336</v>
      </c>
      <c r="F164" s="29">
        <f t="shared" si="34"/>
        <v>34.333333333333336</v>
      </c>
      <c r="G164" s="30">
        <v>0</v>
      </c>
      <c r="H164" s="31">
        <v>0</v>
      </c>
      <c r="I164" s="32">
        <v>0</v>
      </c>
      <c r="J164" s="136"/>
      <c r="K164" s="33">
        <v>0</v>
      </c>
      <c r="L164" s="34">
        <v>0</v>
      </c>
      <c r="M164" s="34">
        <v>0</v>
      </c>
      <c r="N164" s="138"/>
      <c r="O164" s="34">
        <v>0</v>
      </c>
      <c r="P164" s="34">
        <v>0</v>
      </c>
      <c r="Q164" s="34">
        <v>0</v>
      </c>
      <c r="R164" s="138"/>
      <c r="S164" s="37">
        <v>0</v>
      </c>
      <c r="T164" s="34">
        <v>0</v>
      </c>
      <c r="U164" s="34">
        <v>0</v>
      </c>
      <c r="V164" s="138"/>
      <c r="W164" s="38">
        <v>0</v>
      </c>
      <c r="X164" s="31">
        <v>0</v>
      </c>
      <c r="Y164" s="31">
        <v>0</v>
      </c>
      <c r="Z164" s="105"/>
      <c r="AA164" s="37">
        <v>0</v>
      </c>
      <c r="AB164" s="34">
        <v>0</v>
      </c>
      <c r="AC164" s="34">
        <v>0</v>
      </c>
      <c r="AD164" s="105"/>
      <c r="AE164" s="104"/>
      <c r="AF164" s="105"/>
      <c r="AG164" s="43">
        <f t="shared" ref="AG164:AI183" si="39">G164+K164+O164+S164+W164+AA164</f>
        <v>0</v>
      </c>
      <c r="AH164" s="44">
        <f t="shared" si="39"/>
        <v>0</v>
      </c>
      <c r="AI164" s="44">
        <f t="shared" si="39"/>
        <v>0</v>
      </c>
      <c r="AJ164" s="94">
        <f t="shared" si="38"/>
        <v>0</v>
      </c>
      <c r="AK164" s="140">
        <f t="shared" si="29"/>
        <v>0</v>
      </c>
      <c r="AL164" s="47">
        <v>0.4</v>
      </c>
      <c r="AM164" s="48">
        <f t="shared" si="36"/>
        <v>0</v>
      </c>
      <c r="AN164" s="48">
        <f t="shared" si="37"/>
        <v>0</v>
      </c>
      <c r="AO164" s="49">
        <f t="shared" si="35"/>
        <v>0</v>
      </c>
      <c r="AP164" s="49">
        <f t="shared" si="30"/>
        <v>0</v>
      </c>
      <c r="AQ164" s="50">
        <f t="shared" si="31"/>
        <v>0</v>
      </c>
      <c r="AR164" s="106"/>
      <c r="AS164" s="107"/>
      <c r="AT164" s="115"/>
      <c r="AU164" s="100"/>
      <c r="AV164" s="109"/>
      <c r="AW164" s="110"/>
      <c r="AX164" s="110"/>
      <c r="AY164" s="107"/>
      <c r="AZ164" s="116"/>
    </row>
    <row r="165" spans="1:52" s="96" customFormat="1" ht="16.5" thickBot="1" x14ac:dyDescent="0.3">
      <c r="A165" s="134"/>
      <c r="B165" s="134" t="s">
        <v>121</v>
      </c>
      <c r="C165" s="139">
        <v>155</v>
      </c>
      <c r="D165" s="26">
        <f t="shared" si="32"/>
        <v>51.666666666666664</v>
      </c>
      <c r="E165" s="27">
        <f t="shared" si="33"/>
        <v>51.666666666666664</v>
      </c>
      <c r="F165" s="29">
        <f t="shared" si="34"/>
        <v>51.666666666666664</v>
      </c>
      <c r="G165" s="30">
        <v>1</v>
      </c>
      <c r="H165" s="31">
        <v>0</v>
      </c>
      <c r="I165" s="32">
        <v>0</v>
      </c>
      <c r="J165" s="136"/>
      <c r="K165" s="33">
        <v>0</v>
      </c>
      <c r="L165" s="34">
        <v>0</v>
      </c>
      <c r="M165" s="34">
        <v>0</v>
      </c>
      <c r="N165" s="138"/>
      <c r="O165" s="34">
        <v>0</v>
      </c>
      <c r="P165" s="34">
        <v>0</v>
      </c>
      <c r="Q165" s="34">
        <v>0</v>
      </c>
      <c r="R165" s="138"/>
      <c r="S165" s="37">
        <v>0</v>
      </c>
      <c r="T165" s="34">
        <v>0</v>
      </c>
      <c r="U165" s="34">
        <v>0</v>
      </c>
      <c r="V165" s="138"/>
      <c r="W165" s="38">
        <v>0</v>
      </c>
      <c r="X165" s="31">
        <v>0</v>
      </c>
      <c r="Y165" s="31">
        <v>0</v>
      </c>
      <c r="Z165" s="105"/>
      <c r="AA165" s="37">
        <v>0</v>
      </c>
      <c r="AB165" s="34">
        <v>0</v>
      </c>
      <c r="AC165" s="34">
        <v>0</v>
      </c>
      <c r="AD165" s="105"/>
      <c r="AE165" s="104"/>
      <c r="AF165" s="105"/>
      <c r="AG165" s="43">
        <f t="shared" si="39"/>
        <v>1</v>
      </c>
      <c r="AH165" s="44">
        <f t="shared" si="39"/>
        <v>0</v>
      </c>
      <c r="AI165" s="44">
        <f t="shared" si="39"/>
        <v>0</v>
      </c>
      <c r="AJ165" s="94">
        <f t="shared" si="38"/>
        <v>0</v>
      </c>
      <c r="AK165" s="140">
        <f t="shared" si="29"/>
        <v>1</v>
      </c>
      <c r="AL165" s="47">
        <v>1.5</v>
      </c>
      <c r="AM165" s="48">
        <f t="shared" si="36"/>
        <v>1.5</v>
      </c>
      <c r="AN165" s="48">
        <f t="shared" si="37"/>
        <v>0</v>
      </c>
      <c r="AO165" s="49">
        <f t="shared" si="35"/>
        <v>0</v>
      </c>
      <c r="AP165" s="49">
        <f t="shared" si="30"/>
        <v>0</v>
      </c>
      <c r="AQ165" s="50">
        <f t="shared" si="31"/>
        <v>60</v>
      </c>
      <c r="AR165" s="106"/>
      <c r="AS165" s="107"/>
      <c r="AT165" s="115"/>
      <c r="AU165" s="100"/>
      <c r="AV165" s="109"/>
      <c r="AW165" s="110"/>
      <c r="AX165" s="110"/>
      <c r="AY165" s="107"/>
      <c r="AZ165" s="116"/>
    </row>
    <row r="166" spans="1:52" s="96" customFormat="1" ht="16.5" thickBot="1" x14ac:dyDescent="0.3">
      <c r="A166" s="134">
        <v>300</v>
      </c>
      <c r="B166" s="134" t="s">
        <v>25</v>
      </c>
      <c r="C166" s="139"/>
      <c r="D166" s="26">
        <f t="shared" si="32"/>
        <v>0</v>
      </c>
      <c r="E166" s="27">
        <f t="shared" si="33"/>
        <v>0</v>
      </c>
      <c r="F166" s="29">
        <f t="shared" si="34"/>
        <v>0</v>
      </c>
      <c r="G166" s="30">
        <v>0</v>
      </c>
      <c r="H166" s="31">
        <v>0</v>
      </c>
      <c r="I166" s="32">
        <v>0</v>
      </c>
      <c r="J166" s="136"/>
      <c r="K166" s="33">
        <v>0</v>
      </c>
      <c r="L166" s="34">
        <v>0</v>
      </c>
      <c r="M166" s="34">
        <v>0</v>
      </c>
      <c r="N166" s="138"/>
      <c r="O166" s="34">
        <v>0</v>
      </c>
      <c r="P166" s="34">
        <v>0</v>
      </c>
      <c r="Q166" s="34">
        <v>0</v>
      </c>
      <c r="R166" s="138"/>
      <c r="S166" s="37">
        <v>0</v>
      </c>
      <c r="T166" s="34">
        <v>0</v>
      </c>
      <c r="U166" s="34">
        <v>0</v>
      </c>
      <c r="V166" s="138"/>
      <c r="W166" s="38">
        <v>0</v>
      </c>
      <c r="X166" s="31">
        <v>0</v>
      </c>
      <c r="Y166" s="31">
        <v>0</v>
      </c>
      <c r="Z166" s="105"/>
      <c r="AA166" s="37">
        <v>0</v>
      </c>
      <c r="AB166" s="34">
        <v>0</v>
      </c>
      <c r="AC166" s="34">
        <v>0</v>
      </c>
      <c r="AD166" s="105"/>
      <c r="AE166" s="104"/>
      <c r="AF166" s="105"/>
      <c r="AG166" s="43">
        <f t="shared" si="39"/>
        <v>0</v>
      </c>
      <c r="AH166" s="44">
        <f t="shared" si="39"/>
        <v>0</v>
      </c>
      <c r="AI166" s="44">
        <f t="shared" si="39"/>
        <v>0</v>
      </c>
      <c r="AJ166" s="94">
        <f t="shared" si="38"/>
        <v>0</v>
      </c>
      <c r="AK166" s="140">
        <f t="shared" si="29"/>
        <v>0</v>
      </c>
      <c r="AL166" s="47">
        <v>1.3</v>
      </c>
      <c r="AM166" s="48">
        <f t="shared" si="36"/>
        <v>0</v>
      </c>
      <c r="AN166" s="48">
        <f t="shared" si="37"/>
        <v>0</v>
      </c>
      <c r="AO166" s="49">
        <f t="shared" si="35"/>
        <v>0</v>
      </c>
      <c r="AP166" s="49">
        <f t="shared" si="30"/>
        <v>0</v>
      </c>
      <c r="AQ166" s="50">
        <f t="shared" si="31"/>
        <v>0</v>
      </c>
      <c r="AR166" s="106"/>
      <c r="AS166" s="107"/>
      <c r="AT166" s="115"/>
      <c r="AU166" s="100"/>
      <c r="AV166" s="109"/>
      <c r="AW166" s="110"/>
      <c r="AX166" s="110"/>
      <c r="AY166" s="107"/>
      <c r="AZ166" s="116"/>
    </row>
    <row r="167" spans="1:52" s="96" customFormat="1" ht="16.5" thickBot="1" x14ac:dyDescent="0.3">
      <c r="A167" s="134"/>
      <c r="B167" s="134" t="s">
        <v>188</v>
      </c>
      <c r="C167" s="139">
        <v>155</v>
      </c>
      <c r="D167" s="26">
        <f t="shared" si="32"/>
        <v>51.666666666666664</v>
      </c>
      <c r="E167" s="27">
        <f t="shared" si="33"/>
        <v>51.666666666666664</v>
      </c>
      <c r="F167" s="29">
        <f t="shared" si="34"/>
        <v>51.666666666666664</v>
      </c>
      <c r="G167" s="30">
        <v>0</v>
      </c>
      <c r="H167" s="31">
        <v>0</v>
      </c>
      <c r="I167" s="32">
        <v>0</v>
      </c>
      <c r="J167" s="136"/>
      <c r="K167" s="33">
        <v>0</v>
      </c>
      <c r="L167" s="34">
        <v>0</v>
      </c>
      <c r="M167" s="34">
        <v>0</v>
      </c>
      <c r="N167" s="138"/>
      <c r="O167" s="34">
        <v>0</v>
      </c>
      <c r="P167" s="34">
        <v>0</v>
      </c>
      <c r="Q167" s="34">
        <v>0</v>
      </c>
      <c r="R167" s="138"/>
      <c r="S167" s="37">
        <v>0</v>
      </c>
      <c r="T167" s="34">
        <v>0</v>
      </c>
      <c r="U167" s="34">
        <v>0</v>
      </c>
      <c r="V167" s="138"/>
      <c r="W167" s="38">
        <v>0</v>
      </c>
      <c r="X167" s="31">
        <v>0</v>
      </c>
      <c r="Y167" s="31">
        <v>0</v>
      </c>
      <c r="Z167" s="105"/>
      <c r="AA167" s="37">
        <v>0</v>
      </c>
      <c r="AB167" s="34">
        <v>0</v>
      </c>
      <c r="AC167" s="34">
        <v>0</v>
      </c>
      <c r="AD167" s="105"/>
      <c r="AE167" s="104"/>
      <c r="AF167" s="105"/>
      <c r="AG167" s="43">
        <f t="shared" si="39"/>
        <v>0</v>
      </c>
      <c r="AH167" s="44">
        <f t="shared" si="39"/>
        <v>0</v>
      </c>
      <c r="AI167" s="44">
        <f t="shared" si="39"/>
        <v>0</v>
      </c>
      <c r="AJ167" s="94">
        <f t="shared" si="38"/>
        <v>0</v>
      </c>
      <c r="AK167" s="140">
        <f t="shared" si="29"/>
        <v>0</v>
      </c>
      <c r="AL167" s="47">
        <v>0.5</v>
      </c>
      <c r="AM167" s="48">
        <f t="shared" si="36"/>
        <v>0</v>
      </c>
      <c r="AN167" s="48">
        <f t="shared" si="37"/>
        <v>0</v>
      </c>
      <c r="AO167" s="49">
        <f t="shared" si="35"/>
        <v>0</v>
      </c>
      <c r="AP167" s="49">
        <f t="shared" si="30"/>
        <v>0</v>
      </c>
      <c r="AQ167" s="50">
        <f t="shared" si="31"/>
        <v>0</v>
      </c>
      <c r="AR167" s="106"/>
      <c r="AS167" s="107"/>
      <c r="AT167" s="115"/>
      <c r="AU167" s="100"/>
      <c r="AV167" s="109"/>
      <c r="AW167" s="110"/>
      <c r="AX167" s="110"/>
      <c r="AY167" s="107"/>
      <c r="AZ167" s="116"/>
    </row>
    <row r="168" spans="1:52" s="96" customFormat="1" ht="16.5" thickBot="1" x14ac:dyDescent="0.3">
      <c r="A168" s="134"/>
      <c r="B168" s="134" t="s">
        <v>187</v>
      </c>
      <c r="C168" s="139"/>
      <c r="D168" s="26"/>
      <c r="E168" s="27"/>
      <c r="F168" s="29"/>
      <c r="G168" s="30">
        <v>0</v>
      </c>
      <c r="H168" s="31">
        <v>0</v>
      </c>
      <c r="I168" s="32">
        <v>0</v>
      </c>
      <c r="J168" s="136"/>
      <c r="K168" s="33">
        <v>1</v>
      </c>
      <c r="L168" s="34">
        <v>1</v>
      </c>
      <c r="M168" s="34">
        <v>0</v>
      </c>
      <c r="N168" s="138"/>
      <c r="O168" s="34">
        <v>0</v>
      </c>
      <c r="P168" s="34">
        <v>0</v>
      </c>
      <c r="Q168" s="34">
        <v>0</v>
      </c>
      <c r="R168" s="138"/>
      <c r="S168" s="37">
        <v>0</v>
      </c>
      <c r="T168" s="34">
        <v>0</v>
      </c>
      <c r="U168" s="34">
        <v>0</v>
      </c>
      <c r="V168" s="138"/>
      <c r="W168" s="38">
        <v>0</v>
      </c>
      <c r="X168" s="31">
        <v>0</v>
      </c>
      <c r="Y168" s="31">
        <v>0</v>
      </c>
      <c r="Z168" s="105"/>
      <c r="AA168" s="37">
        <v>1</v>
      </c>
      <c r="AB168" s="34">
        <v>0</v>
      </c>
      <c r="AC168" s="34">
        <v>0</v>
      </c>
      <c r="AD168" s="105"/>
      <c r="AE168" s="104"/>
      <c r="AF168" s="105"/>
      <c r="AG168" s="43"/>
      <c r="AH168" s="44"/>
      <c r="AI168" s="44"/>
      <c r="AJ168" s="94"/>
      <c r="AK168" s="140"/>
      <c r="AL168" s="47"/>
      <c r="AM168" s="48"/>
      <c r="AN168" s="48"/>
      <c r="AO168" s="49"/>
      <c r="AP168" s="49"/>
      <c r="AQ168" s="50"/>
      <c r="AR168" s="106"/>
      <c r="AS168" s="107"/>
      <c r="AT168" s="115"/>
      <c r="AU168" s="100"/>
      <c r="AV168" s="109"/>
      <c r="AW168" s="110"/>
      <c r="AX168" s="110"/>
      <c r="AY168" s="107"/>
      <c r="AZ168" s="116"/>
    </row>
    <row r="169" spans="1:52" s="96" customFormat="1" ht="16.5" thickBot="1" x14ac:dyDescent="0.3">
      <c r="A169" s="134">
        <v>360</v>
      </c>
      <c r="B169" s="134" t="s">
        <v>88</v>
      </c>
      <c r="C169" s="139">
        <v>948</v>
      </c>
      <c r="D169" s="26">
        <f t="shared" si="32"/>
        <v>316</v>
      </c>
      <c r="E169" s="27">
        <f t="shared" si="33"/>
        <v>316</v>
      </c>
      <c r="F169" s="29">
        <f t="shared" si="34"/>
        <v>316</v>
      </c>
      <c r="G169" s="30">
        <v>1</v>
      </c>
      <c r="H169" s="31">
        <v>2</v>
      </c>
      <c r="I169" s="32">
        <v>13</v>
      </c>
      <c r="J169" s="136"/>
      <c r="K169" s="33">
        <v>8</v>
      </c>
      <c r="L169" s="34">
        <v>10</v>
      </c>
      <c r="M169" s="34">
        <v>13</v>
      </c>
      <c r="N169" s="138"/>
      <c r="O169" s="34">
        <v>6</v>
      </c>
      <c r="P169" s="34">
        <v>4</v>
      </c>
      <c r="Q169" s="34">
        <v>19</v>
      </c>
      <c r="R169" s="138"/>
      <c r="S169" s="37">
        <v>10</v>
      </c>
      <c r="T169" s="34">
        <v>1</v>
      </c>
      <c r="U169" s="34">
        <v>9</v>
      </c>
      <c r="V169" s="138"/>
      <c r="W169" s="38">
        <v>28</v>
      </c>
      <c r="X169" s="31">
        <v>0</v>
      </c>
      <c r="Y169" s="31">
        <v>31</v>
      </c>
      <c r="Z169" s="105"/>
      <c r="AA169" s="37">
        <v>1</v>
      </c>
      <c r="AB169" s="34">
        <v>2</v>
      </c>
      <c r="AC169" s="34">
        <v>28</v>
      </c>
      <c r="AD169" s="105"/>
      <c r="AE169" s="104"/>
      <c r="AF169" s="105"/>
      <c r="AG169" s="43">
        <f t="shared" si="39"/>
        <v>54</v>
      </c>
      <c r="AH169" s="44">
        <f t="shared" si="39"/>
        <v>19</v>
      </c>
      <c r="AI169" s="44">
        <f t="shared" si="39"/>
        <v>113</v>
      </c>
      <c r="AJ169" s="94">
        <f t="shared" si="38"/>
        <v>0</v>
      </c>
      <c r="AK169" s="140">
        <f t="shared" si="29"/>
        <v>186</v>
      </c>
      <c r="AL169" s="47">
        <v>1.3</v>
      </c>
      <c r="AM169" s="48">
        <f t="shared" si="36"/>
        <v>70.2</v>
      </c>
      <c r="AN169" s="48">
        <f t="shared" si="37"/>
        <v>24.7</v>
      </c>
      <c r="AO169" s="49">
        <f t="shared" si="35"/>
        <v>146.9</v>
      </c>
      <c r="AP169" s="49">
        <f t="shared" si="30"/>
        <v>0</v>
      </c>
      <c r="AQ169" s="50">
        <f t="shared" si="31"/>
        <v>11160</v>
      </c>
      <c r="AR169" s="106"/>
      <c r="AS169" s="107"/>
      <c r="AT169" s="115"/>
      <c r="AU169" s="100"/>
      <c r="AV169" s="109"/>
      <c r="AW169" s="110"/>
      <c r="AX169" s="110"/>
      <c r="AY169" s="107"/>
      <c r="AZ169" s="116"/>
    </row>
    <row r="170" spans="1:52" s="96" customFormat="1" ht="16.5" thickBot="1" x14ac:dyDescent="0.3">
      <c r="A170" s="134">
        <v>360</v>
      </c>
      <c r="B170" s="134" t="s">
        <v>122</v>
      </c>
      <c r="C170" s="139">
        <v>655</v>
      </c>
      <c r="D170" s="26">
        <f t="shared" si="32"/>
        <v>218.33333333333334</v>
      </c>
      <c r="E170" s="27">
        <f t="shared" si="33"/>
        <v>218.33333333333334</v>
      </c>
      <c r="F170" s="29">
        <f t="shared" si="34"/>
        <v>218.33333333333334</v>
      </c>
      <c r="G170" s="30">
        <v>30</v>
      </c>
      <c r="H170" s="31">
        <v>11</v>
      </c>
      <c r="I170" s="32">
        <v>30</v>
      </c>
      <c r="J170" s="136"/>
      <c r="K170" s="33">
        <v>15</v>
      </c>
      <c r="L170" s="34">
        <v>7</v>
      </c>
      <c r="M170" s="34">
        <v>17</v>
      </c>
      <c r="N170" s="138"/>
      <c r="O170" s="34">
        <v>24</v>
      </c>
      <c r="P170" s="34">
        <v>21</v>
      </c>
      <c r="Q170" s="34">
        <v>11</v>
      </c>
      <c r="R170" s="138"/>
      <c r="S170" s="37">
        <v>23</v>
      </c>
      <c r="T170" s="34">
        <v>26</v>
      </c>
      <c r="U170" s="34">
        <v>18</v>
      </c>
      <c r="V170" s="138"/>
      <c r="W170" s="38">
        <v>13</v>
      </c>
      <c r="X170" s="31">
        <v>3</v>
      </c>
      <c r="Y170" s="31">
        <v>3</v>
      </c>
      <c r="Z170" s="105"/>
      <c r="AA170" s="37">
        <v>19</v>
      </c>
      <c r="AB170" s="34">
        <v>15</v>
      </c>
      <c r="AC170" s="34">
        <v>28</v>
      </c>
      <c r="AD170" s="105"/>
      <c r="AE170" s="104"/>
      <c r="AF170" s="105"/>
      <c r="AG170" s="43">
        <f t="shared" si="39"/>
        <v>124</v>
      </c>
      <c r="AH170" s="44">
        <f t="shared" si="39"/>
        <v>83</v>
      </c>
      <c r="AI170" s="44">
        <f t="shared" si="39"/>
        <v>107</v>
      </c>
      <c r="AJ170" s="94">
        <f t="shared" si="38"/>
        <v>0</v>
      </c>
      <c r="AK170" s="140">
        <f t="shared" si="29"/>
        <v>314</v>
      </c>
      <c r="AL170" s="47">
        <v>0.75</v>
      </c>
      <c r="AM170" s="48">
        <f t="shared" si="36"/>
        <v>93</v>
      </c>
      <c r="AN170" s="48">
        <f t="shared" si="37"/>
        <v>62.25</v>
      </c>
      <c r="AO170" s="49">
        <f t="shared" si="35"/>
        <v>80.25</v>
      </c>
      <c r="AP170" s="49">
        <f t="shared" si="30"/>
        <v>0</v>
      </c>
      <c r="AQ170" s="71"/>
      <c r="AR170" s="106"/>
      <c r="AS170" s="107"/>
      <c r="AT170" s="115"/>
      <c r="AU170" s="100"/>
      <c r="AV170" s="109"/>
      <c r="AW170" s="110"/>
      <c r="AX170" s="110"/>
      <c r="AY170" s="107"/>
      <c r="AZ170" s="116"/>
    </row>
    <row r="171" spans="1:52" s="96" customFormat="1" ht="16.5" thickBot="1" x14ac:dyDescent="0.3">
      <c r="A171" s="134">
        <v>360</v>
      </c>
      <c r="B171" s="134" t="s">
        <v>123</v>
      </c>
      <c r="C171" s="139">
        <v>330</v>
      </c>
      <c r="D171" s="26">
        <f t="shared" si="32"/>
        <v>110</v>
      </c>
      <c r="E171" s="27">
        <f t="shared" si="33"/>
        <v>110</v>
      </c>
      <c r="F171" s="29">
        <f t="shared" si="34"/>
        <v>110</v>
      </c>
      <c r="G171" s="30">
        <v>20</v>
      </c>
      <c r="H171" s="31">
        <v>17</v>
      </c>
      <c r="I171" s="32">
        <v>30</v>
      </c>
      <c r="J171" s="136"/>
      <c r="K171" s="33">
        <v>15</v>
      </c>
      <c r="L171" s="34">
        <v>10</v>
      </c>
      <c r="M171" s="34">
        <v>19</v>
      </c>
      <c r="N171" s="138"/>
      <c r="O171" s="34">
        <v>25</v>
      </c>
      <c r="P171" s="34">
        <v>24</v>
      </c>
      <c r="Q171" s="34">
        <v>17</v>
      </c>
      <c r="R171" s="138"/>
      <c r="S171" s="37">
        <v>31</v>
      </c>
      <c r="T171" s="34">
        <v>27</v>
      </c>
      <c r="U171" s="34">
        <v>7</v>
      </c>
      <c r="V171" s="138"/>
      <c r="W171" s="38">
        <v>6</v>
      </c>
      <c r="X171" s="31">
        <v>4</v>
      </c>
      <c r="Y171" s="31">
        <v>4</v>
      </c>
      <c r="Z171" s="105"/>
      <c r="AA171" s="37">
        <v>29</v>
      </c>
      <c r="AB171" s="34">
        <v>14</v>
      </c>
      <c r="AC171" s="34">
        <v>21</v>
      </c>
      <c r="AD171" s="105"/>
      <c r="AE171" s="104"/>
      <c r="AF171" s="105"/>
      <c r="AG171" s="43">
        <f t="shared" si="39"/>
        <v>126</v>
      </c>
      <c r="AH171" s="44">
        <f t="shared" si="39"/>
        <v>96</v>
      </c>
      <c r="AI171" s="44">
        <f t="shared" si="39"/>
        <v>98</v>
      </c>
      <c r="AJ171" s="94">
        <f t="shared" si="38"/>
        <v>0</v>
      </c>
      <c r="AK171" s="140">
        <f t="shared" si="29"/>
        <v>320</v>
      </c>
      <c r="AL171" s="47">
        <v>0.75</v>
      </c>
      <c r="AM171" s="48">
        <f t="shared" si="36"/>
        <v>94.5</v>
      </c>
      <c r="AN171" s="48">
        <f t="shared" si="37"/>
        <v>72</v>
      </c>
      <c r="AO171" s="49">
        <f t="shared" si="35"/>
        <v>73.5</v>
      </c>
      <c r="AP171" s="49">
        <f t="shared" si="30"/>
        <v>0</v>
      </c>
      <c r="AQ171" s="71"/>
      <c r="AR171" s="106"/>
      <c r="AS171" s="107"/>
      <c r="AT171" s="115"/>
      <c r="AU171" s="100"/>
      <c r="AV171" s="109"/>
      <c r="AW171" s="110"/>
      <c r="AX171" s="110"/>
      <c r="AY171" s="107"/>
      <c r="AZ171" s="116"/>
    </row>
    <row r="172" spans="1:52" s="96" customFormat="1" ht="16.5" thickBot="1" x14ac:dyDescent="0.3">
      <c r="A172" s="134">
        <v>360</v>
      </c>
      <c r="B172" s="134" t="s">
        <v>124</v>
      </c>
      <c r="C172" s="139">
        <v>2313</v>
      </c>
      <c r="D172" s="26">
        <f t="shared" si="32"/>
        <v>771</v>
      </c>
      <c r="E172" s="27">
        <f t="shared" si="33"/>
        <v>771</v>
      </c>
      <c r="F172" s="29">
        <f t="shared" si="34"/>
        <v>771</v>
      </c>
      <c r="G172" s="30">
        <v>20</v>
      </c>
      <c r="H172" s="31">
        <v>22</v>
      </c>
      <c r="I172" s="32">
        <v>30</v>
      </c>
      <c r="J172" s="136"/>
      <c r="K172" s="33">
        <v>15</v>
      </c>
      <c r="L172" s="34">
        <v>8</v>
      </c>
      <c r="M172" s="34">
        <v>25</v>
      </c>
      <c r="N172" s="138"/>
      <c r="O172" s="34">
        <v>25</v>
      </c>
      <c r="P172" s="34">
        <v>25</v>
      </c>
      <c r="Q172" s="34">
        <v>11</v>
      </c>
      <c r="R172" s="138"/>
      <c r="S172" s="37">
        <v>38</v>
      </c>
      <c r="T172" s="34">
        <v>36</v>
      </c>
      <c r="U172" s="34">
        <v>21</v>
      </c>
      <c r="V172" s="138"/>
      <c r="W172" s="38">
        <v>10</v>
      </c>
      <c r="X172" s="31">
        <v>0</v>
      </c>
      <c r="Y172" s="31">
        <v>4</v>
      </c>
      <c r="Z172" s="105"/>
      <c r="AA172" s="37">
        <v>1</v>
      </c>
      <c r="AB172" s="34">
        <v>21</v>
      </c>
      <c r="AC172" s="34">
        <v>22</v>
      </c>
      <c r="AD172" s="105"/>
      <c r="AE172" s="104"/>
      <c r="AF172" s="105"/>
      <c r="AG172" s="43">
        <f t="shared" si="39"/>
        <v>109</v>
      </c>
      <c r="AH172" s="44">
        <f t="shared" si="39"/>
        <v>112</v>
      </c>
      <c r="AI172" s="44">
        <f t="shared" si="39"/>
        <v>113</v>
      </c>
      <c r="AJ172" s="94">
        <f t="shared" si="38"/>
        <v>0</v>
      </c>
      <c r="AK172" s="140">
        <f t="shared" si="29"/>
        <v>334</v>
      </c>
      <c r="AL172" s="47">
        <v>0.75</v>
      </c>
      <c r="AM172" s="48">
        <f t="shared" si="36"/>
        <v>81.75</v>
      </c>
      <c r="AN172" s="48">
        <f t="shared" si="37"/>
        <v>84</v>
      </c>
      <c r="AO172" s="49">
        <f t="shared" si="35"/>
        <v>84.75</v>
      </c>
      <c r="AP172" s="49">
        <f t="shared" si="30"/>
        <v>0</v>
      </c>
      <c r="AQ172" s="71"/>
      <c r="AR172" s="106"/>
      <c r="AS172" s="107"/>
      <c r="AT172" s="115"/>
      <c r="AU172" s="100"/>
      <c r="AV172" s="109"/>
      <c r="AW172" s="110"/>
      <c r="AX172" s="110"/>
      <c r="AY172" s="107"/>
      <c r="AZ172" s="116"/>
    </row>
    <row r="173" spans="1:52" s="96" customFormat="1" ht="16.5" thickBot="1" x14ac:dyDescent="0.3">
      <c r="A173" s="134">
        <v>360</v>
      </c>
      <c r="B173" s="134" t="s">
        <v>125</v>
      </c>
      <c r="C173" s="139">
        <v>330</v>
      </c>
      <c r="D173" s="26">
        <f t="shared" si="32"/>
        <v>110</v>
      </c>
      <c r="E173" s="27">
        <f t="shared" si="33"/>
        <v>110</v>
      </c>
      <c r="F173" s="29">
        <f t="shared" si="34"/>
        <v>110</v>
      </c>
      <c r="G173" s="30">
        <v>0</v>
      </c>
      <c r="H173" s="31">
        <v>0</v>
      </c>
      <c r="I173" s="32">
        <v>0</v>
      </c>
      <c r="J173" s="136"/>
      <c r="K173" s="33">
        <v>0</v>
      </c>
      <c r="L173" s="34">
        <v>0</v>
      </c>
      <c r="M173" s="34">
        <v>0</v>
      </c>
      <c r="N173" s="138"/>
      <c r="O173" s="34">
        <v>0</v>
      </c>
      <c r="P173" s="34">
        <v>0</v>
      </c>
      <c r="Q173" s="34">
        <v>0</v>
      </c>
      <c r="R173" s="138"/>
      <c r="S173" s="37">
        <v>0</v>
      </c>
      <c r="T173" s="34">
        <v>0</v>
      </c>
      <c r="U173" s="34">
        <v>0</v>
      </c>
      <c r="V173" s="138"/>
      <c r="W173" s="38">
        <v>0</v>
      </c>
      <c r="X173" s="31">
        <v>0</v>
      </c>
      <c r="Y173" s="31">
        <v>0</v>
      </c>
      <c r="Z173" s="105"/>
      <c r="AA173" s="37">
        <v>0</v>
      </c>
      <c r="AB173" s="34">
        <v>0</v>
      </c>
      <c r="AC173" s="34">
        <v>0</v>
      </c>
      <c r="AD173" s="105"/>
      <c r="AE173" s="104"/>
      <c r="AF173" s="105"/>
      <c r="AG173" s="43">
        <f t="shared" si="39"/>
        <v>0</v>
      </c>
      <c r="AH173" s="44">
        <f t="shared" si="39"/>
        <v>0</v>
      </c>
      <c r="AI173" s="44">
        <f t="shared" si="39"/>
        <v>0</v>
      </c>
      <c r="AJ173" s="94">
        <f t="shared" si="38"/>
        <v>0</v>
      </c>
      <c r="AK173" s="140">
        <f t="shared" si="29"/>
        <v>0</v>
      </c>
      <c r="AL173" s="47">
        <v>0.75</v>
      </c>
      <c r="AM173" s="48">
        <f t="shared" si="36"/>
        <v>0</v>
      </c>
      <c r="AN173" s="48">
        <f t="shared" si="37"/>
        <v>0</v>
      </c>
      <c r="AO173" s="49">
        <f t="shared" si="35"/>
        <v>0</v>
      </c>
      <c r="AP173" s="49">
        <f t="shared" si="30"/>
        <v>0</v>
      </c>
      <c r="AQ173" s="71"/>
      <c r="AR173" s="106"/>
      <c r="AS173" s="107"/>
      <c r="AT173" s="115"/>
      <c r="AU173" s="100"/>
      <c r="AV173" s="109"/>
      <c r="AW173" s="110"/>
      <c r="AX173" s="110"/>
      <c r="AY173" s="107"/>
      <c r="AZ173" s="116"/>
    </row>
    <row r="174" spans="1:52" s="96" customFormat="1" ht="16.5" thickBot="1" x14ac:dyDescent="0.3">
      <c r="A174" s="134">
        <v>360</v>
      </c>
      <c r="B174" s="134" t="s">
        <v>126</v>
      </c>
      <c r="C174" s="139">
        <v>328</v>
      </c>
      <c r="D174" s="26">
        <f t="shared" si="32"/>
        <v>109.33333333333333</v>
      </c>
      <c r="E174" s="27">
        <f t="shared" si="33"/>
        <v>109.33333333333333</v>
      </c>
      <c r="F174" s="29">
        <f t="shared" si="34"/>
        <v>109.33333333333333</v>
      </c>
      <c r="G174" s="30">
        <v>0</v>
      </c>
      <c r="H174" s="31">
        <v>0</v>
      </c>
      <c r="I174" s="32">
        <v>0</v>
      </c>
      <c r="J174" s="136"/>
      <c r="K174" s="33">
        <v>0</v>
      </c>
      <c r="L174" s="34">
        <v>0</v>
      </c>
      <c r="M174" s="34">
        <v>0</v>
      </c>
      <c r="N174" s="138"/>
      <c r="O174" s="34">
        <v>0</v>
      </c>
      <c r="P174" s="34">
        <v>0</v>
      </c>
      <c r="Q174" s="34">
        <v>0</v>
      </c>
      <c r="R174" s="138"/>
      <c r="S174" s="37">
        <v>0</v>
      </c>
      <c r="T174" s="34">
        <v>0</v>
      </c>
      <c r="U174" s="34">
        <v>0</v>
      </c>
      <c r="V174" s="138"/>
      <c r="W174" s="38">
        <v>0</v>
      </c>
      <c r="X174" s="31">
        <v>0</v>
      </c>
      <c r="Y174" s="31">
        <v>0</v>
      </c>
      <c r="Z174" s="105"/>
      <c r="AA174" s="37">
        <v>0</v>
      </c>
      <c r="AB174" s="34">
        <v>0</v>
      </c>
      <c r="AC174" s="34">
        <v>0</v>
      </c>
      <c r="AD174" s="105"/>
      <c r="AE174" s="104"/>
      <c r="AF174" s="105"/>
      <c r="AG174" s="43">
        <f t="shared" si="39"/>
        <v>0</v>
      </c>
      <c r="AH174" s="44">
        <f t="shared" si="39"/>
        <v>0</v>
      </c>
      <c r="AI174" s="44">
        <f t="shared" si="39"/>
        <v>0</v>
      </c>
      <c r="AJ174" s="94">
        <f t="shared" si="38"/>
        <v>0</v>
      </c>
      <c r="AK174" s="140">
        <f t="shared" si="29"/>
        <v>0</v>
      </c>
      <c r="AL174" s="47">
        <v>0.75</v>
      </c>
      <c r="AM174" s="48">
        <f t="shared" si="36"/>
        <v>0</v>
      </c>
      <c r="AN174" s="48">
        <f t="shared" si="37"/>
        <v>0</v>
      </c>
      <c r="AO174" s="49">
        <f t="shared" si="35"/>
        <v>0</v>
      </c>
      <c r="AP174" s="49"/>
      <c r="AQ174" s="71"/>
      <c r="AR174" s="106"/>
      <c r="AS174" s="107"/>
      <c r="AT174" s="115"/>
      <c r="AU174" s="100"/>
      <c r="AV174" s="109"/>
      <c r="AW174" s="110"/>
      <c r="AX174" s="110"/>
      <c r="AY174" s="107"/>
      <c r="AZ174" s="116"/>
    </row>
    <row r="175" spans="1:52" s="96" customFormat="1" ht="16.5" thickBot="1" x14ac:dyDescent="0.3">
      <c r="A175" s="134">
        <v>360</v>
      </c>
      <c r="B175" s="134" t="s">
        <v>127</v>
      </c>
      <c r="C175" s="139">
        <v>655</v>
      </c>
      <c r="D175" s="26">
        <f t="shared" si="32"/>
        <v>218.33333333333334</v>
      </c>
      <c r="E175" s="27">
        <f t="shared" si="33"/>
        <v>218.33333333333334</v>
      </c>
      <c r="F175" s="29">
        <f t="shared" si="34"/>
        <v>218.33333333333334</v>
      </c>
      <c r="G175" s="30">
        <v>0</v>
      </c>
      <c r="H175" s="31">
        <v>0</v>
      </c>
      <c r="I175" s="32">
        <v>0</v>
      </c>
      <c r="J175" s="136"/>
      <c r="K175" s="33">
        <v>0</v>
      </c>
      <c r="L175" s="34">
        <v>0</v>
      </c>
      <c r="M175" s="34">
        <v>0</v>
      </c>
      <c r="N175" s="138"/>
      <c r="O175" s="34">
        <v>0</v>
      </c>
      <c r="P175" s="34">
        <v>0</v>
      </c>
      <c r="Q175" s="34">
        <v>0</v>
      </c>
      <c r="R175" s="138"/>
      <c r="S175" s="37">
        <v>0</v>
      </c>
      <c r="T175" s="34">
        <v>0</v>
      </c>
      <c r="U175" s="34">
        <v>0</v>
      </c>
      <c r="V175" s="138"/>
      <c r="W175" s="38">
        <v>0</v>
      </c>
      <c r="X175" s="31">
        <v>0</v>
      </c>
      <c r="Y175" s="31">
        <v>0</v>
      </c>
      <c r="Z175" s="105"/>
      <c r="AA175" s="37">
        <v>0</v>
      </c>
      <c r="AB175" s="34">
        <v>0</v>
      </c>
      <c r="AC175" s="34">
        <v>0</v>
      </c>
      <c r="AD175" s="105"/>
      <c r="AE175" s="104"/>
      <c r="AF175" s="105"/>
      <c r="AG175" s="43">
        <f t="shared" si="39"/>
        <v>0</v>
      </c>
      <c r="AH175" s="44">
        <f t="shared" si="39"/>
        <v>0</v>
      </c>
      <c r="AI175" s="44">
        <f t="shared" si="39"/>
        <v>0</v>
      </c>
      <c r="AJ175" s="94">
        <f t="shared" si="38"/>
        <v>0</v>
      </c>
      <c r="AK175" s="140">
        <f t="shared" si="29"/>
        <v>0</v>
      </c>
      <c r="AL175" s="47">
        <v>0.75</v>
      </c>
      <c r="AM175" s="48">
        <f t="shared" si="36"/>
        <v>0</v>
      </c>
      <c r="AN175" s="48">
        <f t="shared" si="37"/>
        <v>0</v>
      </c>
      <c r="AO175" s="49">
        <f t="shared" si="35"/>
        <v>0</v>
      </c>
      <c r="AP175" s="49"/>
      <c r="AQ175" s="71"/>
      <c r="AR175" s="106"/>
      <c r="AS175" s="107"/>
      <c r="AT175" s="115"/>
      <c r="AU175" s="100"/>
      <c r="AV175" s="109"/>
      <c r="AW175" s="110"/>
      <c r="AX175" s="110"/>
      <c r="AY175" s="107"/>
      <c r="AZ175" s="116"/>
    </row>
    <row r="176" spans="1:52" s="96" customFormat="1" ht="16.5" thickBot="1" x14ac:dyDescent="0.3">
      <c r="A176" s="134">
        <v>360</v>
      </c>
      <c r="B176" s="134" t="s">
        <v>128</v>
      </c>
      <c r="C176" s="139">
        <v>330</v>
      </c>
      <c r="D176" s="26">
        <f t="shared" si="32"/>
        <v>110</v>
      </c>
      <c r="E176" s="27">
        <f t="shared" si="33"/>
        <v>110</v>
      </c>
      <c r="F176" s="29">
        <f t="shared" si="34"/>
        <v>110</v>
      </c>
      <c r="G176" s="30">
        <v>0</v>
      </c>
      <c r="H176" s="31">
        <v>0</v>
      </c>
      <c r="I176" s="32">
        <v>0</v>
      </c>
      <c r="J176" s="136"/>
      <c r="K176" s="33">
        <v>0</v>
      </c>
      <c r="L176" s="34">
        <v>0</v>
      </c>
      <c r="M176" s="34">
        <v>0</v>
      </c>
      <c r="N176" s="138"/>
      <c r="O176" s="34">
        <v>0</v>
      </c>
      <c r="P176" s="34">
        <v>0</v>
      </c>
      <c r="Q176" s="34">
        <v>0</v>
      </c>
      <c r="R176" s="138"/>
      <c r="S176" s="37">
        <v>0</v>
      </c>
      <c r="T176" s="34">
        <v>0</v>
      </c>
      <c r="U176" s="34">
        <v>0</v>
      </c>
      <c r="V176" s="138"/>
      <c r="W176" s="38">
        <v>0</v>
      </c>
      <c r="X176" s="31">
        <v>0</v>
      </c>
      <c r="Y176" s="31">
        <v>0</v>
      </c>
      <c r="Z176" s="105"/>
      <c r="AA176" s="37">
        <v>0</v>
      </c>
      <c r="AB176" s="34">
        <v>0</v>
      </c>
      <c r="AC176" s="34">
        <v>0</v>
      </c>
      <c r="AD176" s="105"/>
      <c r="AE176" s="104"/>
      <c r="AF176" s="105"/>
      <c r="AG176" s="43">
        <f t="shared" si="39"/>
        <v>0</v>
      </c>
      <c r="AH176" s="44">
        <f t="shared" si="39"/>
        <v>0</v>
      </c>
      <c r="AI176" s="44">
        <f t="shared" si="39"/>
        <v>0</v>
      </c>
      <c r="AJ176" s="94">
        <f t="shared" si="38"/>
        <v>0</v>
      </c>
      <c r="AK176" s="140">
        <f t="shared" si="29"/>
        <v>0</v>
      </c>
      <c r="AL176" s="47">
        <v>0.75</v>
      </c>
      <c r="AM176" s="48">
        <f t="shared" si="36"/>
        <v>0</v>
      </c>
      <c r="AN176" s="48">
        <f t="shared" si="37"/>
        <v>0</v>
      </c>
      <c r="AO176" s="49">
        <f t="shared" si="35"/>
        <v>0</v>
      </c>
      <c r="AP176" s="49"/>
      <c r="AQ176" s="71"/>
      <c r="AR176" s="106"/>
      <c r="AS176" s="107"/>
      <c r="AT176" s="115"/>
      <c r="AU176" s="100"/>
      <c r="AV176" s="109"/>
      <c r="AW176" s="110"/>
      <c r="AX176" s="110"/>
      <c r="AY176" s="107"/>
      <c r="AZ176" s="116"/>
    </row>
    <row r="177" spans="1:52" s="96" customFormat="1" ht="16.5" thickBot="1" x14ac:dyDescent="0.3">
      <c r="A177" s="134">
        <v>600</v>
      </c>
      <c r="B177" s="134" t="s">
        <v>129</v>
      </c>
      <c r="C177" s="139">
        <v>693</v>
      </c>
      <c r="D177" s="26">
        <f t="shared" si="32"/>
        <v>231</v>
      </c>
      <c r="E177" s="27">
        <f t="shared" si="33"/>
        <v>231</v>
      </c>
      <c r="F177" s="29">
        <f t="shared" si="34"/>
        <v>231</v>
      </c>
      <c r="G177" s="30">
        <v>0</v>
      </c>
      <c r="H177" s="31">
        <v>0</v>
      </c>
      <c r="I177" s="32">
        <v>0</v>
      </c>
      <c r="J177" s="136"/>
      <c r="K177" s="33">
        <v>0</v>
      </c>
      <c r="L177" s="34">
        <v>0</v>
      </c>
      <c r="M177" s="34">
        <v>0</v>
      </c>
      <c r="N177" s="138"/>
      <c r="O177" s="34">
        <v>0</v>
      </c>
      <c r="P177" s="34">
        <v>0</v>
      </c>
      <c r="Q177" s="34">
        <v>0</v>
      </c>
      <c r="R177" s="138"/>
      <c r="S177" s="37">
        <v>0</v>
      </c>
      <c r="T177" s="34">
        <v>0</v>
      </c>
      <c r="U177" s="34">
        <v>0</v>
      </c>
      <c r="V177" s="138"/>
      <c r="W177" s="38">
        <v>0</v>
      </c>
      <c r="X177" s="31">
        <v>0</v>
      </c>
      <c r="Y177" s="31">
        <v>0</v>
      </c>
      <c r="Z177" s="105"/>
      <c r="AA177" s="37">
        <v>0</v>
      </c>
      <c r="AB177" s="34">
        <v>0</v>
      </c>
      <c r="AC177" s="34">
        <v>0</v>
      </c>
      <c r="AD177" s="105"/>
      <c r="AE177" s="104"/>
      <c r="AF177" s="105"/>
      <c r="AG177" s="43">
        <f t="shared" si="39"/>
        <v>0</v>
      </c>
      <c r="AH177" s="44">
        <f t="shared" si="39"/>
        <v>0</v>
      </c>
      <c r="AI177" s="44">
        <f t="shared" si="39"/>
        <v>0</v>
      </c>
      <c r="AJ177" s="94">
        <f t="shared" si="38"/>
        <v>0</v>
      </c>
      <c r="AK177" s="140">
        <f t="shared" si="29"/>
        <v>0</v>
      </c>
      <c r="AL177" s="47">
        <v>0.75</v>
      </c>
      <c r="AM177" s="48">
        <f t="shared" si="36"/>
        <v>0</v>
      </c>
      <c r="AN177" s="48">
        <f t="shared" si="37"/>
        <v>0</v>
      </c>
      <c r="AO177" s="49">
        <f t="shared" si="35"/>
        <v>0</v>
      </c>
      <c r="AP177" s="49"/>
      <c r="AQ177" s="71"/>
      <c r="AR177" s="106"/>
      <c r="AS177" s="107"/>
      <c r="AT177" s="115"/>
      <c r="AU177" s="100"/>
      <c r="AV177" s="109"/>
      <c r="AW177" s="110"/>
      <c r="AX177" s="110"/>
      <c r="AY177" s="107"/>
      <c r="AZ177" s="116"/>
    </row>
    <row r="178" spans="1:52" s="96" customFormat="1" ht="16.5" thickBot="1" x14ac:dyDescent="0.3">
      <c r="A178" s="134">
        <v>600</v>
      </c>
      <c r="B178" s="134" t="s">
        <v>124</v>
      </c>
      <c r="C178" s="139">
        <v>3463</v>
      </c>
      <c r="D178" s="26">
        <f t="shared" si="32"/>
        <v>1154.3333333333333</v>
      </c>
      <c r="E178" s="27">
        <f t="shared" si="33"/>
        <v>1154.3333333333333</v>
      </c>
      <c r="F178" s="29">
        <f t="shared" si="34"/>
        <v>1154.3333333333333</v>
      </c>
      <c r="G178" s="30">
        <v>0</v>
      </c>
      <c r="H178" s="31">
        <v>0</v>
      </c>
      <c r="I178" s="32">
        <v>0</v>
      </c>
      <c r="J178" s="136"/>
      <c r="K178" s="33">
        <v>0</v>
      </c>
      <c r="L178" s="34">
        <v>0</v>
      </c>
      <c r="M178" s="34">
        <v>0</v>
      </c>
      <c r="N178" s="138"/>
      <c r="O178" s="34">
        <v>0</v>
      </c>
      <c r="P178" s="34">
        <v>0</v>
      </c>
      <c r="Q178" s="34">
        <v>0</v>
      </c>
      <c r="R178" s="138"/>
      <c r="S178" s="37">
        <v>0</v>
      </c>
      <c r="T178" s="34">
        <v>0</v>
      </c>
      <c r="U178" s="34">
        <v>0</v>
      </c>
      <c r="V178" s="138"/>
      <c r="W178" s="38">
        <v>0</v>
      </c>
      <c r="X178" s="31">
        <v>0</v>
      </c>
      <c r="Y178" s="31">
        <v>0</v>
      </c>
      <c r="Z178" s="105"/>
      <c r="AA178" s="37">
        <v>0</v>
      </c>
      <c r="AB178" s="34">
        <v>0</v>
      </c>
      <c r="AC178" s="34">
        <v>0</v>
      </c>
      <c r="AD178" s="105"/>
      <c r="AE178" s="104"/>
      <c r="AF178" s="105"/>
      <c r="AG178" s="43">
        <f t="shared" si="39"/>
        <v>0</v>
      </c>
      <c r="AH178" s="44">
        <f t="shared" si="39"/>
        <v>0</v>
      </c>
      <c r="AI178" s="44">
        <f t="shared" si="39"/>
        <v>0</v>
      </c>
      <c r="AJ178" s="94">
        <f t="shared" si="38"/>
        <v>0</v>
      </c>
      <c r="AK178" s="140">
        <f t="shared" si="29"/>
        <v>0</v>
      </c>
      <c r="AL178" s="47">
        <v>0.75</v>
      </c>
      <c r="AM178" s="48">
        <f t="shared" si="36"/>
        <v>0</v>
      </c>
      <c r="AN178" s="48">
        <f t="shared" si="37"/>
        <v>0</v>
      </c>
      <c r="AO178" s="49">
        <f t="shared" si="35"/>
        <v>0</v>
      </c>
      <c r="AP178" s="49">
        <f>AJ178*AL178</f>
        <v>0</v>
      </c>
      <c r="AQ178" s="71"/>
      <c r="AR178" s="106"/>
      <c r="AS178" s="107"/>
      <c r="AT178" s="115"/>
      <c r="AU178" s="100"/>
      <c r="AV178" s="109"/>
      <c r="AW178" s="110"/>
      <c r="AX178" s="110"/>
      <c r="AY178" s="107"/>
      <c r="AZ178" s="116"/>
    </row>
    <row r="179" spans="1:52" s="96" customFormat="1" ht="16.5" thickBot="1" x14ac:dyDescent="0.3">
      <c r="A179" s="134">
        <v>600</v>
      </c>
      <c r="B179" s="134" t="s">
        <v>123</v>
      </c>
      <c r="C179" s="139">
        <v>922</v>
      </c>
      <c r="D179" s="26">
        <f t="shared" si="32"/>
        <v>307.33333333333331</v>
      </c>
      <c r="E179" s="27">
        <f t="shared" si="33"/>
        <v>307.33333333333331</v>
      </c>
      <c r="F179" s="29">
        <f t="shared" si="34"/>
        <v>307.33333333333331</v>
      </c>
      <c r="G179" s="30">
        <v>0</v>
      </c>
      <c r="H179" s="31">
        <v>0</v>
      </c>
      <c r="I179" s="32">
        <v>0</v>
      </c>
      <c r="J179" s="136"/>
      <c r="K179" s="33">
        <v>0</v>
      </c>
      <c r="L179" s="34">
        <v>0</v>
      </c>
      <c r="M179" s="34">
        <v>0</v>
      </c>
      <c r="N179" s="138"/>
      <c r="O179" s="34">
        <v>0</v>
      </c>
      <c r="P179" s="34">
        <v>0</v>
      </c>
      <c r="Q179" s="34">
        <v>0</v>
      </c>
      <c r="R179" s="138"/>
      <c r="S179" s="37">
        <v>0</v>
      </c>
      <c r="T179" s="34">
        <v>0</v>
      </c>
      <c r="U179" s="34">
        <v>0</v>
      </c>
      <c r="V179" s="138"/>
      <c r="W179" s="38">
        <v>0</v>
      </c>
      <c r="X179" s="31">
        <v>0</v>
      </c>
      <c r="Y179" s="31">
        <v>0</v>
      </c>
      <c r="Z179" s="105"/>
      <c r="AA179" s="37">
        <v>0</v>
      </c>
      <c r="AB179" s="34">
        <v>0</v>
      </c>
      <c r="AC179" s="34">
        <v>0</v>
      </c>
      <c r="AD179" s="105"/>
      <c r="AE179" s="104"/>
      <c r="AF179" s="105"/>
      <c r="AG179" s="43">
        <f t="shared" si="39"/>
        <v>0</v>
      </c>
      <c r="AH179" s="44">
        <f t="shared" si="39"/>
        <v>0</v>
      </c>
      <c r="AI179" s="44">
        <f t="shared" si="39"/>
        <v>0</v>
      </c>
      <c r="AJ179" s="94">
        <f t="shared" si="38"/>
        <v>0</v>
      </c>
      <c r="AK179" s="140">
        <f t="shared" si="29"/>
        <v>0</v>
      </c>
      <c r="AL179" s="47">
        <v>0.75</v>
      </c>
      <c r="AM179" s="48">
        <f t="shared" si="36"/>
        <v>0</v>
      </c>
      <c r="AN179" s="48">
        <f t="shared" si="37"/>
        <v>0</v>
      </c>
      <c r="AO179" s="49">
        <f t="shared" si="35"/>
        <v>0</v>
      </c>
      <c r="AP179" s="49"/>
      <c r="AQ179" s="71"/>
      <c r="AR179" s="106"/>
      <c r="AS179" s="107"/>
      <c r="AT179" s="115"/>
      <c r="AU179" s="100"/>
      <c r="AV179" s="109"/>
      <c r="AW179" s="110"/>
      <c r="AX179" s="110"/>
      <c r="AY179" s="107"/>
      <c r="AZ179" s="116"/>
    </row>
    <row r="180" spans="1:52" s="96" customFormat="1" ht="16.5" thickBot="1" x14ac:dyDescent="0.3">
      <c r="A180" s="134">
        <v>625</v>
      </c>
      <c r="B180" s="134" t="s">
        <v>128</v>
      </c>
      <c r="C180" s="139">
        <v>220</v>
      </c>
      <c r="D180" s="26">
        <f t="shared" si="32"/>
        <v>73.333333333333329</v>
      </c>
      <c r="E180" s="27">
        <f t="shared" si="33"/>
        <v>73.333333333333329</v>
      </c>
      <c r="F180" s="29">
        <f t="shared" si="34"/>
        <v>73.333333333333329</v>
      </c>
      <c r="G180" s="30">
        <v>0</v>
      </c>
      <c r="H180" s="31">
        <v>0</v>
      </c>
      <c r="I180" s="32">
        <v>0</v>
      </c>
      <c r="J180" s="136"/>
      <c r="K180" s="33">
        <v>0</v>
      </c>
      <c r="L180" s="34">
        <v>0</v>
      </c>
      <c r="M180" s="34">
        <v>0</v>
      </c>
      <c r="N180" s="138"/>
      <c r="O180" s="34">
        <v>0</v>
      </c>
      <c r="P180" s="34">
        <v>0</v>
      </c>
      <c r="Q180" s="34">
        <v>0</v>
      </c>
      <c r="R180" s="138"/>
      <c r="S180" s="37">
        <v>0</v>
      </c>
      <c r="T180" s="34">
        <v>0</v>
      </c>
      <c r="U180" s="34">
        <v>0</v>
      </c>
      <c r="V180" s="138"/>
      <c r="W180" s="38">
        <v>0</v>
      </c>
      <c r="X180" s="31">
        <v>0</v>
      </c>
      <c r="Y180" s="31">
        <v>0</v>
      </c>
      <c r="Z180" s="105"/>
      <c r="AA180" s="37">
        <v>0</v>
      </c>
      <c r="AB180" s="34">
        <v>0</v>
      </c>
      <c r="AC180" s="34">
        <v>0</v>
      </c>
      <c r="AD180" s="105"/>
      <c r="AE180" s="104"/>
      <c r="AF180" s="105"/>
      <c r="AG180" s="43">
        <f t="shared" si="39"/>
        <v>0</v>
      </c>
      <c r="AH180" s="44">
        <f t="shared" si="39"/>
        <v>0</v>
      </c>
      <c r="AI180" s="44">
        <f t="shared" si="39"/>
        <v>0</v>
      </c>
      <c r="AJ180" s="94"/>
      <c r="AK180" s="140">
        <f t="shared" si="29"/>
        <v>0</v>
      </c>
      <c r="AL180" s="47">
        <v>0.75</v>
      </c>
      <c r="AM180" s="48">
        <f t="shared" si="36"/>
        <v>0</v>
      </c>
      <c r="AN180" s="48">
        <f t="shared" si="37"/>
        <v>0</v>
      </c>
      <c r="AO180" s="49">
        <f t="shared" si="35"/>
        <v>0</v>
      </c>
      <c r="AP180" s="49"/>
      <c r="AQ180" s="71"/>
      <c r="AR180" s="106"/>
      <c r="AS180" s="107"/>
      <c r="AT180" s="115"/>
      <c r="AU180" s="100"/>
      <c r="AV180" s="109"/>
      <c r="AW180" s="110"/>
      <c r="AX180" s="110"/>
      <c r="AY180" s="107"/>
      <c r="AZ180" s="116"/>
    </row>
    <row r="181" spans="1:52" s="96" customFormat="1" ht="16.5" thickBot="1" x14ac:dyDescent="0.3">
      <c r="A181" s="134">
        <v>625</v>
      </c>
      <c r="B181" s="134" t="s">
        <v>127</v>
      </c>
      <c r="C181" s="139">
        <v>660</v>
      </c>
      <c r="D181" s="26">
        <f t="shared" si="32"/>
        <v>220</v>
      </c>
      <c r="E181" s="27">
        <f t="shared" si="33"/>
        <v>220</v>
      </c>
      <c r="F181" s="29">
        <f t="shared" si="34"/>
        <v>220</v>
      </c>
      <c r="G181" s="30">
        <v>0</v>
      </c>
      <c r="H181" s="31">
        <v>0</v>
      </c>
      <c r="I181" s="32">
        <v>0</v>
      </c>
      <c r="J181" s="136"/>
      <c r="K181" s="33">
        <v>0</v>
      </c>
      <c r="L181" s="34">
        <v>0</v>
      </c>
      <c r="M181" s="34">
        <v>0</v>
      </c>
      <c r="N181" s="138"/>
      <c r="O181" s="34">
        <v>0</v>
      </c>
      <c r="P181" s="34">
        <v>0</v>
      </c>
      <c r="Q181" s="34">
        <v>0</v>
      </c>
      <c r="R181" s="138"/>
      <c r="S181" s="37">
        <v>0</v>
      </c>
      <c r="T181" s="34">
        <v>0</v>
      </c>
      <c r="U181" s="34">
        <v>0</v>
      </c>
      <c r="V181" s="138"/>
      <c r="W181" s="38">
        <v>0</v>
      </c>
      <c r="X181" s="31">
        <v>0</v>
      </c>
      <c r="Y181" s="31">
        <v>0</v>
      </c>
      <c r="Z181" s="105"/>
      <c r="AA181" s="37">
        <v>0</v>
      </c>
      <c r="AB181" s="34">
        <v>0</v>
      </c>
      <c r="AC181" s="34">
        <v>0</v>
      </c>
      <c r="AD181" s="105"/>
      <c r="AE181" s="104"/>
      <c r="AF181" s="105"/>
      <c r="AG181" s="43">
        <f t="shared" si="39"/>
        <v>0</v>
      </c>
      <c r="AH181" s="44">
        <f t="shared" si="39"/>
        <v>0</v>
      </c>
      <c r="AI181" s="44">
        <f t="shared" si="39"/>
        <v>0</v>
      </c>
      <c r="AJ181" s="94">
        <f t="shared" si="38"/>
        <v>0</v>
      </c>
      <c r="AK181" s="140">
        <f t="shared" si="29"/>
        <v>0</v>
      </c>
      <c r="AL181" s="47">
        <v>0.75</v>
      </c>
      <c r="AM181" s="48">
        <f t="shared" si="36"/>
        <v>0</v>
      </c>
      <c r="AN181" s="48">
        <f t="shared" si="37"/>
        <v>0</v>
      </c>
      <c r="AO181" s="49">
        <f t="shared" si="35"/>
        <v>0</v>
      </c>
      <c r="AP181" s="49">
        <f t="shared" si="30"/>
        <v>0</v>
      </c>
      <c r="AQ181" s="71"/>
      <c r="AR181" s="106"/>
      <c r="AS181" s="107"/>
      <c r="AT181" s="115"/>
      <c r="AU181" s="100"/>
      <c r="AV181" s="109"/>
      <c r="AW181" s="110"/>
      <c r="AX181" s="110"/>
      <c r="AY181" s="107"/>
      <c r="AZ181" s="116"/>
    </row>
    <row r="182" spans="1:52" s="96" customFormat="1" ht="16.5" thickBot="1" x14ac:dyDescent="0.3">
      <c r="A182" s="134">
        <v>625</v>
      </c>
      <c r="B182" s="134" t="s">
        <v>130</v>
      </c>
      <c r="C182" s="139">
        <v>440</v>
      </c>
      <c r="D182" s="26">
        <f t="shared" si="32"/>
        <v>146.66666666666666</v>
      </c>
      <c r="E182" s="27">
        <f t="shared" si="33"/>
        <v>146.66666666666666</v>
      </c>
      <c r="F182" s="29">
        <f t="shared" si="34"/>
        <v>146.66666666666666</v>
      </c>
      <c r="G182" s="30">
        <v>0</v>
      </c>
      <c r="H182" s="31">
        <v>0</v>
      </c>
      <c r="I182" s="32">
        <v>0</v>
      </c>
      <c r="J182" s="136"/>
      <c r="K182" s="33">
        <v>0</v>
      </c>
      <c r="L182" s="34">
        <v>0</v>
      </c>
      <c r="M182" s="34">
        <v>0</v>
      </c>
      <c r="N182" s="138"/>
      <c r="O182" s="34">
        <v>0</v>
      </c>
      <c r="P182" s="34">
        <v>0</v>
      </c>
      <c r="Q182" s="34">
        <v>0</v>
      </c>
      <c r="R182" s="138"/>
      <c r="S182" s="37">
        <v>0</v>
      </c>
      <c r="T182" s="34">
        <v>0</v>
      </c>
      <c r="U182" s="34">
        <v>0</v>
      </c>
      <c r="V182" s="138"/>
      <c r="W182" s="38">
        <v>0</v>
      </c>
      <c r="X182" s="31">
        <v>0</v>
      </c>
      <c r="Y182" s="31">
        <v>0</v>
      </c>
      <c r="Z182" s="105"/>
      <c r="AA182" s="37">
        <v>0</v>
      </c>
      <c r="AB182" s="34">
        <v>0</v>
      </c>
      <c r="AC182" s="34">
        <v>0</v>
      </c>
      <c r="AD182" s="105"/>
      <c r="AE182" s="104"/>
      <c r="AF182" s="105"/>
      <c r="AG182" s="43">
        <f t="shared" si="39"/>
        <v>0</v>
      </c>
      <c r="AH182" s="44">
        <f t="shared" si="39"/>
        <v>0</v>
      </c>
      <c r="AI182" s="44">
        <f t="shared" si="39"/>
        <v>0</v>
      </c>
      <c r="AJ182" s="94">
        <f>J182+N182+R182+V182+Z182+AD182</f>
        <v>0</v>
      </c>
      <c r="AK182" s="140">
        <f t="shared" si="29"/>
        <v>0</v>
      </c>
      <c r="AL182" s="47">
        <v>0.75</v>
      </c>
      <c r="AM182" s="48">
        <f t="shared" si="36"/>
        <v>0</v>
      </c>
      <c r="AN182" s="48">
        <f t="shared" si="37"/>
        <v>0</v>
      </c>
      <c r="AO182" s="49">
        <f t="shared" si="35"/>
        <v>0</v>
      </c>
      <c r="AP182" s="49">
        <f t="shared" si="30"/>
        <v>0</v>
      </c>
      <c r="AQ182" s="71"/>
      <c r="AR182" s="106"/>
      <c r="AS182" s="107"/>
      <c r="AT182" s="115"/>
      <c r="AU182" s="100"/>
      <c r="AV182" s="109"/>
      <c r="AW182" s="110"/>
      <c r="AX182" s="110"/>
      <c r="AY182" s="107"/>
      <c r="AZ182" s="116"/>
    </row>
    <row r="183" spans="1:52" s="96" customFormat="1" ht="16.5" thickBot="1" x14ac:dyDescent="0.3">
      <c r="A183" s="134">
        <v>625</v>
      </c>
      <c r="B183" s="134" t="s">
        <v>131</v>
      </c>
      <c r="C183" s="139">
        <v>220</v>
      </c>
      <c r="D183" s="26">
        <f t="shared" si="32"/>
        <v>73.333333333333329</v>
      </c>
      <c r="E183" s="27">
        <f t="shared" si="33"/>
        <v>73.333333333333329</v>
      </c>
      <c r="F183" s="29">
        <f t="shared" si="34"/>
        <v>73.333333333333329</v>
      </c>
      <c r="G183" s="30">
        <v>0</v>
      </c>
      <c r="H183" s="31">
        <v>0</v>
      </c>
      <c r="I183" s="32">
        <v>0</v>
      </c>
      <c r="J183" s="136"/>
      <c r="K183" s="33">
        <v>0</v>
      </c>
      <c r="L183" s="34">
        <v>0</v>
      </c>
      <c r="M183" s="34">
        <v>0</v>
      </c>
      <c r="N183" s="138"/>
      <c r="O183" s="34">
        <v>0</v>
      </c>
      <c r="P183" s="34">
        <v>0</v>
      </c>
      <c r="Q183" s="34">
        <v>0</v>
      </c>
      <c r="R183" s="138"/>
      <c r="S183" s="37">
        <v>0</v>
      </c>
      <c r="T183" s="34">
        <v>0</v>
      </c>
      <c r="U183" s="34">
        <v>0</v>
      </c>
      <c r="V183" s="138"/>
      <c r="W183" s="38">
        <v>0</v>
      </c>
      <c r="X183" s="31">
        <v>0</v>
      </c>
      <c r="Y183" s="31">
        <v>0</v>
      </c>
      <c r="Z183" s="105"/>
      <c r="AA183" s="37">
        <v>0</v>
      </c>
      <c r="AB183" s="34">
        <v>0</v>
      </c>
      <c r="AC183" s="34">
        <v>0</v>
      </c>
      <c r="AD183" s="105"/>
      <c r="AE183" s="104"/>
      <c r="AF183" s="105"/>
      <c r="AG183" s="43">
        <f t="shared" si="39"/>
        <v>0</v>
      </c>
      <c r="AH183" s="44">
        <f t="shared" si="39"/>
        <v>0</v>
      </c>
      <c r="AI183" s="44">
        <f t="shared" si="39"/>
        <v>0</v>
      </c>
      <c r="AJ183" s="94"/>
      <c r="AK183" s="140">
        <f t="shared" si="29"/>
        <v>0</v>
      </c>
      <c r="AL183" s="47">
        <v>0.75</v>
      </c>
      <c r="AM183" s="48">
        <f t="shared" si="36"/>
        <v>0</v>
      </c>
      <c r="AN183" s="48">
        <f t="shared" si="37"/>
        <v>0</v>
      </c>
      <c r="AO183" s="49">
        <f t="shared" si="35"/>
        <v>0</v>
      </c>
      <c r="AP183" s="49"/>
      <c r="AQ183" s="71"/>
      <c r="AR183" s="106"/>
      <c r="AS183" s="107"/>
      <c r="AT183" s="115"/>
      <c r="AU183" s="100"/>
      <c r="AV183" s="109"/>
      <c r="AW183" s="110"/>
      <c r="AX183" s="110"/>
      <c r="AY183" s="107"/>
      <c r="AZ183" s="116"/>
    </row>
    <row r="184" spans="1:52" s="96" customFormat="1" ht="16.5" thickBot="1" x14ac:dyDescent="0.3">
      <c r="A184" s="134"/>
      <c r="B184" s="134" t="s">
        <v>132</v>
      </c>
      <c r="C184" s="139"/>
      <c r="D184" s="141"/>
      <c r="E184" s="142"/>
      <c r="F184" s="143"/>
      <c r="G184" s="144">
        <v>5</v>
      </c>
      <c r="H184" s="145">
        <v>0</v>
      </c>
      <c r="I184" s="146">
        <v>0</v>
      </c>
      <c r="J184" s="136"/>
      <c r="K184" s="144">
        <v>0</v>
      </c>
      <c r="L184" s="34">
        <v>0</v>
      </c>
      <c r="M184" s="34">
        <v>1</v>
      </c>
      <c r="N184" s="138"/>
      <c r="O184" s="34">
        <v>0</v>
      </c>
      <c r="P184" s="34">
        <v>0</v>
      </c>
      <c r="Q184" s="34">
        <v>4</v>
      </c>
      <c r="R184" s="138"/>
      <c r="S184" s="37">
        <v>0</v>
      </c>
      <c r="T184" s="34">
        <v>0</v>
      </c>
      <c r="U184" s="34">
        <v>0</v>
      </c>
      <c r="V184" s="138"/>
      <c r="W184" s="38">
        <v>14</v>
      </c>
      <c r="X184" s="31">
        <v>0</v>
      </c>
      <c r="Y184" s="31">
        <v>5</v>
      </c>
      <c r="Z184" s="105"/>
      <c r="AA184" s="37">
        <v>10</v>
      </c>
      <c r="AB184" s="145">
        <v>0</v>
      </c>
      <c r="AC184" s="145">
        <v>5</v>
      </c>
      <c r="AD184" s="105"/>
      <c r="AE184" s="104"/>
      <c r="AF184" s="105"/>
      <c r="AG184" s="43">
        <f>G184+K184+O184+S184+W184+AA184</f>
        <v>29</v>
      </c>
      <c r="AH184" s="44">
        <f>H184+L184+P184+T184+X184+AB184</f>
        <v>0</v>
      </c>
      <c r="AI184" s="44">
        <f>I184+M184+Q184+U184+Y184+AC184</f>
        <v>15</v>
      </c>
      <c r="AJ184" s="94"/>
      <c r="AK184" s="140">
        <f t="shared" si="29"/>
        <v>44</v>
      </c>
      <c r="AL184" s="47">
        <v>0.25</v>
      </c>
      <c r="AM184" s="48">
        <f t="shared" si="36"/>
        <v>7.25</v>
      </c>
      <c r="AN184" s="48">
        <f t="shared" si="37"/>
        <v>0</v>
      </c>
      <c r="AO184" s="49">
        <f t="shared" si="35"/>
        <v>3.75</v>
      </c>
      <c r="AP184" s="49"/>
      <c r="AQ184" s="71"/>
      <c r="AR184" s="106"/>
      <c r="AS184" s="107"/>
      <c r="AT184" s="115"/>
      <c r="AU184" s="100"/>
      <c r="AV184" s="109"/>
      <c r="AW184" s="110"/>
      <c r="AX184" s="110"/>
      <c r="AY184" s="107"/>
      <c r="AZ184" s="116"/>
    </row>
    <row r="185" spans="1:52" ht="16.5" thickBot="1" x14ac:dyDescent="0.3">
      <c r="A185" s="147"/>
      <c r="B185" s="147" t="s">
        <v>133</v>
      </c>
      <c r="C185" s="148"/>
      <c r="D185" s="148"/>
      <c r="E185" s="148"/>
      <c r="F185" s="149"/>
      <c r="G185" s="150">
        <f>SUM(G3:G184)</f>
        <v>177</v>
      </c>
      <c r="H185" s="151">
        <f>SUM(H3:H184)</f>
        <v>280</v>
      </c>
      <c r="I185" s="152">
        <f>SUM(I3:I184)</f>
        <v>290</v>
      </c>
      <c r="J185" s="152"/>
      <c r="K185" s="150">
        <f>SUM(K3:K184)</f>
        <v>233</v>
      </c>
      <c r="L185" s="34">
        <f>SUM(L3:L184)</f>
        <v>310</v>
      </c>
      <c r="M185" s="34">
        <f>SUM(M3:M184)</f>
        <v>330</v>
      </c>
      <c r="N185" s="153"/>
      <c r="O185" s="34">
        <f>SUM(O3:O184)</f>
        <v>237</v>
      </c>
      <c r="P185" s="34">
        <f>SUM(P3:P184)</f>
        <v>228</v>
      </c>
      <c r="Q185" s="34">
        <f>SUM(Q3:Q184)</f>
        <v>289</v>
      </c>
      <c r="R185" s="153"/>
      <c r="S185" s="37">
        <f>SUM(S3:S184)</f>
        <v>329</v>
      </c>
      <c r="T185" s="34">
        <f>SUM(T3:T184)</f>
        <v>389</v>
      </c>
      <c r="U185" s="34">
        <f>SUM(U3:U184)</f>
        <v>278</v>
      </c>
      <c r="V185" s="153"/>
      <c r="W185" s="38">
        <f>SUM(W3:W184)</f>
        <v>269</v>
      </c>
      <c r="X185" s="31">
        <f>SUM(X3:X184)</f>
        <v>164</v>
      </c>
      <c r="Y185" s="31">
        <f>SUM(Y3:Y184)</f>
        <v>257</v>
      </c>
      <c r="Z185" s="153"/>
      <c r="AA185" s="37">
        <f>SUM(AA3:AA184)</f>
        <v>267</v>
      </c>
      <c r="AB185" s="151">
        <f>SUM(AB3:AB184)</f>
        <v>306</v>
      </c>
      <c r="AC185" s="151">
        <f>SUM(AC3:AC184)</f>
        <v>412</v>
      </c>
      <c r="AD185" s="154"/>
      <c r="AE185" s="155"/>
      <c r="AF185" s="154"/>
      <c r="AG185" s="43">
        <f>SUM(AG3:AG183)</f>
        <v>1481</v>
      </c>
      <c r="AH185" s="44">
        <f>SUM(AH3:AH183)</f>
        <v>1676</v>
      </c>
      <c r="AI185" s="44">
        <f>SUM(AI3:AI183)</f>
        <v>1841</v>
      </c>
      <c r="AJ185" s="44">
        <f>SUM(AJ3:AJ182)</f>
        <v>0</v>
      </c>
      <c r="AK185" s="156">
        <f>SUM(AK4:AK182)</f>
        <v>4998</v>
      </c>
      <c r="AL185" s="47"/>
      <c r="AM185" s="48">
        <f>SUM(AM3:AM183)</f>
        <v>1392.3</v>
      </c>
      <c r="AN185" s="48">
        <f>SUM(AN3:AN183)</f>
        <v>1596.1000000000001</v>
      </c>
      <c r="AO185" s="49">
        <f>SUM(AO3:AO183)</f>
        <v>1800.15</v>
      </c>
      <c r="AP185" s="49">
        <f>AJ185*AL185</f>
        <v>0</v>
      </c>
      <c r="AQ185" s="71">
        <f>SUM(AQ3:AQ162)</f>
        <v>230580</v>
      </c>
      <c r="AR185" s="157"/>
      <c r="AS185" s="158"/>
      <c r="AT185" s="159">
        <v>21225.76500000001</v>
      </c>
      <c r="AU185" s="84">
        <f>SUM(AU3:AU132)</f>
        <v>2151.5</v>
      </c>
      <c r="AV185" s="160"/>
      <c r="AW185" s="161">
        <v>2700</v>
      </c>
      <c r="AX185" s="161">
        <v>1500</v>
      </c>
      <c r="AY185" s="161"/>
      <c r="AZ185" s="162">
        <f>SUM(AZ3:AZ108)</f>
        <v>7156.8100000000022</v>
      </c>
    </row>
    <row r="186" spans="1:52" ht="15.75" x14ac:dyDescent="0.25">
      <c r="C186" t="s">
        <v>134</v>
      </c>
      <c r="F186" s="163" t="s">
        <v>135</v>
      </c>
      <c r="G186" s="164"/>
      <c r="H186" s="165"/>
      <c r="I186" s="166"/>
      <c r="J186" s="166"/>
      <c r="K186" s="164"/>
      <c r="L186" s="165"/>
      <c r="M186" s="34"/>
      <c r="N186" s="167"/>
      <c r="O186" s="168"/>
      <c r="P186" s="34"/>
      <c r="Q186" s="165"/>
      <c r="R186" s="167"/>
      <c r="S186" s="168"/>
      <c r="T186" s="165"/>
      <c r="U186" s="165"/>
      <c r="V186" s="167"/>
      <c r="W186" s="168"/>
      <c r="X186" s="165"/>
      <c r="Y186" s="165"/>
      <c r="Z186" s="167"/>
      <c r="AA186" s="168"/>
      <c r="AB186" s="165"/>
      <c r="AC186" s="165"/>
      <c r="AD186" s="40"/>
      <c r="AE186" s="169"/>
      <c r="AF186" s="169"/>
      <c r="AG186" s="170"/>
      <c r="AH186" s="170"/>
      <c r="AI186" s="170"/>
      <c r="AJ186" s="170"/>
      <c r="AK186" s="171"/>
      <c r="AL186" s="172"/>
      <c r="AM186" s="172"/>
      <c r="AN186" s="172"/>
      <c r="AO186" s="72"/>
      <c r="AP186" s="49"/>
      <c r="AQ186" s="173"/>
      <c r="AR186" s="172"/>
      <c r="AS186" s="174"/>
      <c r="AT186" s="173"/>
      <c r="AU186" s="173" t="s">
        <v>136</v>
      </c>
      <c r="AV186" s="173"/>
      <c r="AW186" s="173"/>
      <c r="AX186" s="173"/>
    </row>
    <row r="187" spans="1:52" ht="16.5" thickBot="1" x14ac:dyDescent="0.3">
      <c r="F187" s="175" t="s">
        <v>137</v>
      </c>
      <c r="G187" s="176"/>
      <c r="H187" s="177"/>
      <c r="I187" s="178"/>
      <c r="J187" s="178"/>
      <c r="K187" s="176"/>
      <c r="L187" s="177"/>
      <c r="M187" s="34"/>
      <c r="N187" s="179"/>
      <c r="O187" s="180"/>
      <c r="P187" s="34"/>
      <c r="Q187" s="177"/>
      <c r="R187" s="179"/>
      <c r="S187" s="180"/>
      <c r="T187" s="177"/>
      <c r="U187" s="177"/>
      <c r="V187" s="179"/>
      <c r="W187" s="180"/>
      <c r="X187" s="177"/>
      <c r="Y187" s="177"/>
      <c r="Z187" s="179"/>
      <c r="AA187" s="180"/>
      <c r="AB187" s="177"/>
      <c r="AC187" s="177"/>
      <c r="AD187" s="154"/>
      <c r="AE187" s="181"/>
      <c r="AJ187" s="170"/>
      <c r="AK187" s="171"/>
      <c r="AN187" s="50"/>
      <c r="AO187" s="182"/>
      <c r="AP187" s="49"/>
      <c r="AS187" s="171"/>
      <c r="AX187" s="183">
        <f>AZ185-AW185-AX185</f>
        <v>2956.8100000000022</v>
      </c>
    </row>
    <row r="188" spans="1:52" ht="15.75" thickBot="1" x14ac:dyDescent="0.3">
      <c r="F188" s="184"/>
      <c r="G188" s="185">
        <f t="shared" ref="G188:AD188" si="40">G186/50</f>
        <v>0</v>
      </c>
      <c r="H188" s="185">
        <f t="shared" si="40"/>
        <v>0</v>
      </c>
      <c r="I188" s="186">
        <f t="shared" si="40"/>
        <v>0</v>
      </c>
      <c r="J188" s="185">
        <f t="shared" si="40"/>
        <v>0</v>
      </c>
      <c r="K188" s="185">
        <f>K186/50</f>
        <v>0</v>
      </c>
      <c r="L188" s="185">
        <f>L186/50</f>
        <v>0</v>
      </c>
      <c r="M188" s="185">
        <f t="shared" si="40"/>
        <v>0</v>
      </c>
      <c r="N188" s="185">
        <f t="shared" si="40"/>
        <v>0</v>
      </c>
      <c r="O188" s="185">
        <f>O186/50</f>
        <v>0</v>
      </c>
      <c r="P188" s="185">
        <f t="shared" si="40"/>
        <v>0</v>
      </c>
      <c r="Q188" s="185">
        <f t="shared" si="40"/>
        <v>0</v>
      </c>
      <c r="R188" s="185">
        <f t="shared" si="40"/>
        <v>0</v>
      </c>
      <c r="S188" s="185">
        <f>S186/50</f>
        <v>0</v>
      </c>
      <c r="T188" s="185">
        <f t="shared" si="40"/>
        <v>0</v>
      </c>
      <c r="U188" s="185">
        <f t="shared" si="40"/>
        <v>0</v>
      </c>
      <c r="V188" s="185">
        <f t="shared" si="40"/>
        <v>0</v>
      </c>
      <c r="W188" s="185">
        <f>W186/50</f>
        <v>0</v>
      </c>
      <c r="X188" s="185">
        <f t="shared" si="40"/>
        <v>0</v>
      </c>
      <c r="Y188" s="185">
        <f t="shared" si="40"/>
        <v>0</v>
      </c>
      <c r="Z188" s="185">
        <f t="shared" si="40"/>
        <v>0</v>
      </c>
      <c r="AA188" s="185">
        <f>AA186/50</f>
        <v>0</v>
      </c>
      <c r="AB188" s="185">
        <f t="shared" si="40"/>
        <v>0</v>
      </c>
      <c r="AC188" s="185">
        <f t="shared" si="40"/>
        <v>0</v>
      </c>
      <c r="AD188" s="185">
        <f t="shared" si="40"/>
        <v>0</v>
      </c>
      <c r="AJ188" s="170"/>
      <c r="AK188" s="171"/>
      <c r="AN188" s="187" t="s">
        <v>138</v>
      </c>
      <c r="AO188" s="182" t="s">
        <v>139</v>
      </c>
      <c r="AP188" s="188" t="s">
        <v>140</v>
      </c>
      <c r="AQ188" s="189" t="s">
        <v>134</v>
      </c>
      <c r="AR188" s="189" t="s">
        <v>141</v>
      </c>
      <c r="AS188" s="190" t="s">
        <v>142</v>
      </c>
    </row>
    <row r="189" spans="1:52" ht="15.75" thickBot="1" x14ac:dyDescent="0.3">
      <c r="F189" s="191"/>
      <c r="G189" s="191">
        <f t="shared" ref="G189:AD189" si="41">G187+G188</f>
        <v>0</v>
      </c>
      <c r="H189" s="192">
        <f t="shared" si="41"/>
        <v>0</v>
      </c>
      <c r="I189" s="193">
        <f t="shared" si="41"/>
        <v>0</v>
      </c>
      <c r="J189" s="192">
        <f t="shared" si="41"/>
        <v>0</v>
      </c>
      <c r="K189" s="194">
        <f t="shared" si="41"/>
        <v>0</v>
      </c>
      <c r="L189" s="148">
        <f t="shared" si="41"/>
        <v>0</v>
      </c>
      <c r="M189" s="243">
        <f>M187+M188</f>
        <v>0</v>
      </c>
      <c r="N189" s="148">
        <f t="shared" si="41"/>
        <v>0</v>
      </c>
      <c r="O189" s="155"/>
      <c r="P189" s="148">
        <f t="shared" si="41"/>
        <v>0</v>
      </c>
      <c r="Q189" s="195">
        <f t="shared" si="41"/>
        <v>0</v>
      </c>
      <c r="R189" s="148">
        <f t="shared" si="41"/>
        <v>0</v>
      </c>
      <c r="S189" s="155">
        <f>S187+S188</f>
        <v>0</v>
      </c>
      <c r="T189" s="148">
        <f t="shared" si="41"/>
        <v>0</v>
      </c>
      <c r="U189" s="195">
        <f t="shared" si="41"/>
        <v>0</v>
      </c>
      <c r="V189" s="148">
        <f t="shared" si="41"/>
        <v>0</v>
      </c>
      <c r="W189" s="155">
        <f>W187+W188</f>
        <v>0</v>
      </c>
      <c r="X189" s="148">
        <f t="shared" si="41"/>
        <v>0</v>
      </c>
      <c r="Y189" s="195">
        <f t="shared" si="41"/>
        <v>0</v>
      </c>
      <c r="Z189" s="148">
        <f t="shared" si="41"/>
        <v>0</v>
      </c>
      <c r="AA189" s="155">
        <f>AA187+AA188</f>
        <v>0</v>
      </c>
      <c r="AB189" s="148">
        <f t="shared" si="41"/>
        <v>0</v>
      </c>
      <c r="AC189" s="195">
        <f t="shared" si="41"/>
        <v>0</v>
      </c>
      <c r="AD189" s="148">
        <f t="shared" si="41"/>
        <v>0</v>
      </c>
      <c r="AG189" s="253" t="s">
        <v>143</v>
      </c>
      <c r="AH189" s="253"/>
      <c r="AI189" s="253"/>
      <c r="AJ189" s="196"/>
      <c r="AK189" s="171"/>
      <c r="AL189" s="197" t="s">
        <v>4</v>
      </c>
      <c r="AM189" s="133" t="s">
        <v>144</v>
      </c>
      <c r="AN189" s="198">
        <v>400</v>
      </c>
      <c r="AO189" s="72">
        <f>AM185*0.5</f>
        <v>696.15</v>
      </c>
      <c r="AP189" s="199">
        <f>AN189+AO189</f>
        <v>1096.1500000000001</v>
      </c>
      <c r="AQ189" s="86">
        <f>AG190*0.5</f>
        <v>0</v>
      </c>
      <c r="AR189" s="200">
        <f>AP189-AQ189</f>
        <v>1096.1500000000001</v>
      </c>
      <c r="AS189" s="44"/>
      <c r="AT189" s="86">
        <f>AR189-AS189</f>
        <v>1096.1500000000001</v>
      </c>
      <c r="AU189" s="201">
        <v>1095</v>
      </c>
    </row>
    <row r="190" spans="1:52" ht="15.75" thickBot="1" x14ac:dyDescent="0.3">
      <c r="B190" t="s">
        <v>145</v>
      </c>
      <c r="F190" s="202"/>
      <c r="G190" s="203">
        <f>G189*0.5</f>
        <v>0</v>
      </c>
      <c r="H190" s="203">
        <f t="shared" ref="H190:AC190" si="42">H189*0.5</f>
        <v>0</v>
      </c>
      <c r="I190" s="203">
        <f t="shared" si="42"/>
        <v>0</v>
      </c>
      <c r="J190" s="203">
        <f t="shared" si="42"/>
        <v>0</v>
      </c>
      <c r="K190" s="203">
        <f t="shared" si="42"/>
        <v>0</v>
      </c>
      <c r="L190" s="203">
        <f t="shared" si="42"/>
        <v>0</v>
      </c>
      <c r="M190" s="203">
        <f t="shared" si="42"/>
        <v>0</v>
      </c>
      <c r="N190" s="203">
        <f t="shared" si="42"/>
        <v>0</v>
      </c>
      <c r="O190" s="203">
        <f t="shared" si="42"/>
        <v>0</v>
      </c>
      <c r="P190" s="203">
        <f t="shared" si="42"/>
        <v>0</v>
      </c>
      <c r="Q190" s="203">
        <f t="shared" si="42"/>
        <v>0</v>
      </c>
      <c r="R190" s="203">
        <f t="shared" si="42"/>
        <v>0</v>
      </c>
      <c r="S190" s="203">
        <f t="shared" si="42"/>
        <v>0</v>
      </c>
      <c r="T190" s="203">
        <f t="shared" si="42"/>
        <v>0</v>
      </c>
      <c r="U190" s="203">
        <f t="shared" si="42"/>
        <v>0</v>
      </c>
      <c r="V190" s="203">
        <f t="shared" si="42"/>
        <v>0</v>
      </c>
      <c r="W190" s="203">
        <f t="shared" si="42"/>
        <v>0</v>
      </c>
      <c r="X190" s="203">
        <f t="shared" si="42"/>
        <v>0</v>
      </c>
      <c r="Y190" s="203">
        <f t="shared" si="42"/>
        <v>0</v>
      </c>
      <c r="Z190" s="203">
        <f t="shared" si="42"/>
        <v>0</v>
      </c>
      <c r="AA190" s="203">
        <f t="shared" si="42"/>
        <v>0</v>
      </c>
      <c r="AB190" s="203">
        <f t="shared" si="42"/>
        <v>0</v>
      </c>
      <c r="AC190" s="203">
        <f t="shared" si="42"/>
        <v>0</v>
      </c>
      <c r="AD190" s="204">
        <f>AD189*25</f>
        <v>0</v>
      </c>
      <c r="AG190" s="205">
        <f>G190+K190+O190+S190+W190+AA190</f>
        <v>0</v>
      </c>
      <c r="AH190" s="205">
        <f>H190+L190+P190+T190+X190+AB190</f>
        <v>0</v>
      </c>
      <c r="AI190" s="205">
        <f>I190+M190+Q190+U190+Y190+AC190</f>
        <v>0</v>
      </c>
      <c r="AJ190" s="205">
        <f>J190+N190+R190+V190+Z190+AD190</f>
        <v>0</v>
      </c>
      <c r="AK190" s="171"/>
      <c r="AL190" s="197" t="s">
        <v>189</v>
      </c>
      <c r="AM190" s="133" t="s">
        <v>146</v>
      </c>
      <c r="AN190" s="206">
        <v>400</v>
      </c>
      <c r="AO190" s="72">
        <f>AM185*0.5</f>
        <v>696.15</v>
      </c>
      <c r="AP190" s="199">
        <f>AN190+AO190</f>
        <v>1096.1500000000001</v>
      </c>
      <c r="AQ190" s="86">
        <f>AG190*0.5</f>
        <v>0</v>
      </c>
      <c r="AR190" s="200">
        <f>AP190-AQ190</f>
        <v>1096.1500000000001</v>
      </c>
      <c r="AS190" s="44"/>
      <c r="AT190" s="86">
        <f>AR190-AS190</f>
        <v>1096.1500000000001</v>
      </c>
      <c r="AU190" s="207">
        <v>1095</v>
      </c>
    </row>
    <row r="191" spans="1:52" ht="15.75" thickBot="1" x14ac:dyDescent="0.3">
      <c r="B191" t="s">
        <v>147</v>
      </c>
      <c r="C191">
        <v>110203550</v>
      </c>
      <c r="AF191" s="171"/>
      <c r="AG191" s="171"/>
      <c r="AH191" s="171"/>
      <c r="AI191" s="171"/>
      <c r="AJ191" s="171"/>
      <c r="AK191" s="171"/>
      <c r="AL191" s="197" t="s">
        <v>190</v>
      </c>
      <c r="AM191" s="133" t="s">
        <v>148</v>
      </c>
      <c r="AN191" s="208"/>
      <c r="AO191" s="72">
        <v>0</v>
      </c>
      <c r="AP191" s="199">
        <f>AN191+AO191</f>
        <v>0</v>
      </c>
      <c r="AQ191" s="86"/>
      <c r="AR191" s="200">
        <f t="shared" ref="AR191:AR196" si="43">AP191-AQ191</f>
        <v>0</v>
      </c>
      <c r="AS191" s="209"/>
      <c r="AT191" s="86">
        <f>AR191-AS191</f>
        <v>0</v>
      </c>
      <c r="AU191" s="201">
        <v>0</v>
      </c>
    </row>
    <row r="192" spans="1:52" ht="17.25" customHeight="1" thickBot="1" x14ac:dyDescent="0.35">
      <c r="A192" s="96"/>
      <c r="B192" s="96" t="s">
        <v>149</v>
      </c>
      <c r="C192" s="96">
        <v>110203550</v>
      </c>
      <c r="D192" s="96"/>
      <c r="E192" s="96"/>
      <c r="F192" s="96"/>
      <c r="G192" s="96"/>
      <c r="H192" s="96"/>
      <c r="J192" s="96"/>
      <c r="K192" s="96"/>
      <c r="L192" s="96"/>
      <c r="M192" s="210"/>
      <c r="N192" s="210"/>
      <c r="O192" s="210"/>
      <c r="P192" s="210"/>
      <c r="Q192" s="210"/>
      <c r="R192" s="96"/>
      <c r="S192" s="96"/>
      <c r="T192" s="96"/>
      <c r="V192" s="96"/>
      <c r="W192" s="96"/>
      <c r="X192" s="96"/>
      <c r="AF192" s="171"/>
      <c r="AG192" s="254">
        <f>AG190+AH190+AI190</f>
        <v>0</v>
      </c>
      <c r="AH192" s="255"/>
      <c r="AI192" s="256"/>
      <c r="AJ192" s="50">
        <f>AG192/2</f>
        <v>0</v>
      </c>
      <c r="AK192" s="171"/>
      <c r="AO192" s="44"/>
      <c r="AQ192" s="133"/>
      <c r="AR192" s="200">
        <f t="shared" si="43"/>
        <v>0</v>
      </c>
      <c r="AS192" s="209"/>
      <c r="AT192" s="133"/>
      <c r="AU192" s="201"/>
    </row>
    <row r="193" spans="1:49 16384:16384" x14ac:dyDescent="0.25">
      <c r="B193" s="96" t="s">
        <v>150</v>
      </c>
      <c r="C193" t="s">
        <v>151</v>
      </c>
      <c r="F193" s="96"/>
      <c r="G193" s="96"/>
      <c r="H193" s="96"/>
      <c r="J193" s="96"/>
      <c r="K193" s="96"/>
      <c r="L193" s="96"/>
      <c r="N193" s="96"/>
      <c r="O193" s="96"/>
      <c r="P193" s="96"/>
      <c r="R193" s="96"/>
      <c r="S193" s="96"/>
      <c r="T193" s="96"/>
      <c r="V193" s="96"/>
      <c r="W193" s="96"/>
      <c r="X193" s="96"/>
      <c r="AF193" s="171"/>
      <c r="AG193" s="181"/>
      <c r="AH193" s="210"/>
      <c r="AI193" s="211"/>
      <c r="AJ193" s="212"/>
      <c r="AK193" s="213"/>
      <c r="AL193" s="197" t="s">
        <v>6</v>
      </c>
      <c r="AM193" s="79" t="s">
        <v>144</v>
      </c>
      <c r="AN193" s="198">
        <v>400</v>
      </c>
      <c r="AO193" s="72">
        <f>AN185*0.55</f>
        <v>877.85500000000013</v>
      </c>
      <c r="AP193" s="214">
        <f>AN193+AO193</f>
        <v>1277.855</v>
      </c>
      <c r="AQ193" s="86">
        <f>AH190*0.5</f>
        <v>0</v>
      </c>
      <c r="AR193" s="200">
        <f>AP193-AQ193</f>
        <v>1277.855</v>
      </c>
      <c r="AS193" s="215"/>
      <c r="AT193" s="86">
        <f>AR193-AS193</f>
        <v>1277.855</v>
      </c>
      <c r="AU193" s="207">
        <v>1275</v>
      </c>
      <c r="XFD193" t="s">
        <v>152</v>
      </c>
    </row>
    <row r="194" spans="1:49 16384:16384" x14ac:dyDescent="0.25">
      <c r="F194" s="96"/>
      <c r="G194" s="96"/>
      <c r="H194" s="96"/>
      <c r="J194" s="96"/>
      <c r="K194" s="96"/>
      <c r="L194" s="96"/>
      <c r="N194" s="96"/>
      <c r="O194" s="96"/>
      <c r="P194" s="96"/>
      <c r="R194" s="96"/>
      <c r="S194" s="96"/>
      <c r="T194" s="96"/>
      <c r="V194" s="96"/>
      <c r="W194" s="96"/>
      <c r="X194" s="96"/>
      <c r="AF194" s="171"/>
      <c r="AG194" s="181"/>
      <c r="AH194" s="210"/>
      <c r="AI194" s="216"/>
      <c r="AJ194" s="212"/>
      <c r="AK194" s="213"/>
      <c r="AL194" s="197"/>
      <c r="AM194" s="79" t="s">
        <v>186</v>
      </c>
      <c r="AN194" s="208">
        <v>0</v>
      </c>
      <c r="AO194" s="72"/>
      <c r="AP194" s="214">
        <f>AN194+AO194</f>
        <v>0</v>
      </c>
      <c r="AQ194" s="86"/>
      <c r="AR194" s="200">
        <f>AP194-AQ194</f>
        <v>0</v>
      </c>
      <c r="AS194" s="215"/>
      <c r="AT194" s="86">
        <f>AR194-AS194</f>
        <v>0</v>
      </c>
      <c r="AU194" s="207"/>
    </row>
    <row r="195" spans="1:49 16384:16384" x14ac:dyDescent="0.25">
      <c r="B195" t="s">
        <v>153</v>
      </c>
      <c r="F195" s="96"/>
      <c r="G195" s="96"/>
      <c r="H195" s="96"/>
      <c r="J195" s="96"/>
      <c r="K195" s="96"/>
      <c r="L195" s="96"/>
      <c r="N195" s="96"/>
      <c r="O195" s="96"/>
      <c r="P195" s="96"/>
      <c r="R195" s="96"/>
      <c r="S195" s="96"/>
      <c r="T195" s="96"/>
      <c r="V195" s="96"/>
      <c r="W195" s="96"/>
      <c r="X195" s="96"/>
      <c r="AF195" s="171"/>
      <c r="AG195" s="181"/>
      <c r="AH195" s="210"/>
      <c r="AI195" s="216"/>
      <c r="AJ195" s="212"/>
      <c r="AK195" s="213"/>
      <c r="AL195" s="197" t="s">
        <v>195</v>
      </c>
      <c r="AM195" s="93" t="s">
        <v>146</v>
      </c>
      <c r="AN195" s="206">
        <v>400</v>
      </c>
      <c r="AO195" s="72">
        <f>AN185*0.45</f>
        <v>718.24500000000012</v>
      </c>
      <c r="AP195" s="217">
        <f>AN195+AO195</f>
        <v>1118.2450000000001</v>
      </c>
      <c r="AQ195" s="86">
        <f>AH190*0.5</f>
        <v>0</v>
      </c>
      <c r="AR195" s="200">
        <f>AP195-AQ195</f>
        <v>1118.2450000000001</v>
      </c>
      <c r="AS195" s="215"/>
      <c r="AT195" s="86">
        <f>AR195-AS195</f>
        <v>1118.2450000000001</v>
      </c>
      <c r="AU195" s="201">
        <v>1115</v>
      </c>
    </row>
    <row r="196" spans="1:49 16384:16384" x14ac:dyDescent="0.25">
      <c r="X196" s="96"/>
      <c r="AB196" s="218"/>
      <c r="AC196" s="218"/>
      <c r="AD196" s="218"/>
      <c r="AF196" s="171"/>
      <c r="AG196" s="210"/>
      <c r="AH196" s="210"/>
      <c r="AI196" s="210"/>
      <c r="AJ196" s="210"/>
      <c r="AK196" s="210"/>
      <c r="AL196" s="133"/>
      <c r="AO196" s="219"/>
      <c r="AQ196" s="133"/>
      <c r="AR196" s="200">
        <f t="shared" si="43"/>
        <v>0</v>
      </c>
      <c r="AS196" s="209"/>
      <c r="AT196" s="133"/>
      <c r="AU196" s="201"/>
    </row>
    <row r="197" spans="1:49 16384:16384" x14ac:dyDescent="0.25">
      <c r="B197" t="s">
        <v>154</v>
      </c>
      <c r="X197" s="96"/>
      <c r="AF197" s="171"/>
      <c r="AG197" s="181"/>
      <c r="AH197" s="210"/>
      <c r="AI197" s="211"/>
      <c r="AJ197" s="212"/>
      <c r="AK197" s="213"/>
      <c r="AL197" s="197" t="s">
        <v>7</v>
      </c>
      <c r="AM197" s="79" t="s">
        <v>144</v>
      </c>
      <c r="AN197" s="198">
        <v>400</v>
      </c>
      <c r="AO197" s="72">
        <f>AO185*0.35</f>
        <v>630.05250000000001</v>
      </c>
      <c r="AP197" s="214">
        <f>AN197+AO197</f>
        <v>1030.0525</v>
      </c>
      <c r="AQ197" s="86">
        <f>AI190*0.5</f>
        <v>0</v>
      </c>
      <c r="AR197" s="200">
        <f>AP197-AQ197</f>
        <v>1030.0525</v>
      </c>
      <c r="AS197" s="220"/>
      <c r="AT197" s="86">
        <f>AR197-AS197</f>
        <v>1030.0525</v>
      </c>
      <c r="AU197" s="201">
        <v>1030</v>
      </c>
    </row>
    <row r="198" spans="1:49 16384:16384" ht="15.75" thickBot="1" x14ac:dyDescent="0.3">
      <c r="B198" t="s">
        <v>155</v>
      </c>
      <c r="C198" t="s">
        <v>156</v>
      </c>
      <c r="X198" s="96"/>
      <c r="AI198" s="221">
        <f>25*AG192/15</f>
        <v>0</v>
      </c>
      <c r="AJ198" s="50"/>
      <c r="AK198" s="213"/>
      <c r="AL198" s="197" t="s">
        <v>157</v>
      </c>
      <c r="AM198" s="79" t="s">
        <v>146</v>
      </c>
      <c r="AN198" s="198">
        <v>400</v>
      </c>
      <c r="AO198" s="72">
        <f>AO185*0.33</f>
        <v>594.04950000000008</v>
      </c>
      <c r="AP198" s="214">
        <f>AN198+AO198</f>
        <v>994.04950000000008</v>
      </c>
      <c r="AQ198" s="86">
        <f>AI190*0.5</f>
        <v>0</v>
      </c>
      <c r="AR198" s="200">
        <f>AP198-AQ198</f>
        <v>994.04950000000008</v>
      </c>
      <c r="AS198" s="44"/>
      <c r="AT198" s="86">
        <f>AR198-AS198</f>
        <v>994.04950000000008</v>
      </c>
      <c r="AU198" s="201">
        <v>995</v>
      </c>
    </row>
    <row r="199" spans="1:49 16384:16384" ht="15.75" thickBot="1" x14ac:dyDescent="0.3">
      <c r="B199" t="s">
        <v>158</v>
      </c>
      <c r="X199" s="96"/>
      <c r="AG199" s="222" t="s">
        <v>13</v>
      </c>
      <c r="AH199" s="222" t="s">
        <v>14</v>
      </c>
      <c r="AI199" s="222" t="s">
        <v>15</v>
      </c>
      <c r="AK199" s="213"/>
      <c r="AL199" s="197" t="s">
        <v>159</v>
      </c>
      <c r="AM199" s="79" t="s">
        <v>148</v>
      </c>
      <c r="AN199" s="244">
        <v>400</v>
      </c>
      <c r="AO199" s="72">
        <f>AO185*0.32</f>
        <v>576.048</v>
      </c>
      <c r="AP199" s="214">
        <f>AN199+AO199</f>
        <v>976.048</v>
      </c>
      <c r="AQ199" s="86">
        <v>0</v>
      </c>
      <c r="AR199" s="223">
        <f>AP199-AQ199</f>
        <v>976.048</v>
      </c>
      <c r="AS199" s="44">
        <v>0</v>
      </c>
      <c r="AT199" s="86">
        <f>AR199-AS199</f>
        <v>976.048</v>
      </c>
      <c r="AU199" s="201">
        <v>975</v>
      </c>
    </row>
    <row r="200" spans="1:49 16384:16384" ht="15.75" thickBot="1" x14ac:dyDescent="0.3">
      <c r="A200" t="s">
        <v>160</v>
      </c>
      <c r="AG200" s="224">
        <f>AG190/23.5</f>
        <v>0</v>
      </c>
      <c r="AH200" s="225">
        <f>AH190/47</f>
        <v>0</v>
      </c>
      <c r="AI200" s="226">
        <f>AI190/23.5</f>
        <v>0</v>
      </c>
      <c r="AK200" s="212"/>
      <c r="AO200" s="227"/>
      <c r="AP200" s="50"/>
      <c r="AQ200" s="50"/>
      <c r="AR200" s="213"/>
      <c r="AS200" s="213"/>
      <c r="AT200" s="50"/>
      <c r="AU200" s="213">
        <f>SUM(AU189:AU199)</f>
        <v>7580</v>
      </c>
      <c r="AV200" s="210"/>
      <c r="AW200" s="213"/>
    </row>
    <row r="201" spans="1:49 16384:16384" x14ac:dyDescent="0.25">
      <c r="B201" t="s">
        <v>161</v>
      </c>
      <c r="AL201" s="181"/>
      <c r="AS201" s="212"/>
      <c r="AT201" s="212" t="s">
        <v>162</v>
      </c>
      <c r="AU201" s="228">
        <v>1200</v>
      </c>
    </row>
    <row r="202" spans="1:49 16384:16384" x14ac:dyDescent="0.25">
      <c r="B202" t="s">
        <v>163</v>
      </c>
      <c r="AG202" s="171"/>
      <c r="AJ202" s="210"/>
      <c r="AK202" s="216"/>
      <c r="AL202" s="216"/>
      <c r="AT202" t="s">
        <v>164</v>
      </c>
      <c r="AU202" s="210">
        <v>500</v>
      </c>
      <c r="AV202" s="242"/>
    </row>
    <row r="203" spans="1:49 16384:16384" x14ac:dyDescent="0.25">
      <c r="B203" t="s">
        <v>165</v>
      </c>
      <c r="AJ203" s="181"/>
      <c r="AK203" s="229"/>
      <c r="AL203" s="229"/>
      <c r="AT203" t="s">
        <v>166</v>
      </c>
      <c r="AU203" s="210">
        <v>100</v>
      </c>
      <c r="AV203" s="242"/>
    </row>
    <row r="204" spans="1:49 16384:16384" x14ac:dyDescent="0.25">
      <c r="C204">
        <v>100</v>
      </c>
      <c r="D204">
        <v>100</v>
      </c>
      <c r="AJ204" s="181"/>
      <c r="AK204" s="229"/>
      <c r="AL204" s="229"/>
      <c r="AT204" s="212" t="s">
        <v>167</v>
      </c>
      <c r="AU204" s="210">
        <v>200</v>
      </c>
    </row>
    <row r="205" spans="1:49 16384:16384" x14ac:dyDescent="0.25">
      <c r="A205" s="230" t="s">
        <v>168</v>
      </c>
      <c r="B205" s="230" t="s">
        <v>169</v>
      </c>
      <c r="C205" s="231">
        <v>44891</v>
      </c>
      <c r="D205" s="232">
        <v>44922</v>
      </c>
      <c r="AJ205" s="181"/>
      <c r="AK205" s="229"/>
      <c r="AL205" s="229"/>
      <c r="AR205" s="213"/>
      <c r="AU205" s="233">
        <f>SUM(AU200:AU204)</f>
        <v>9580</v>
      </c>
    </row>
    <row r="206" spans="1:49 16384:16384" x14ac:dyDescent="0.25">
      <c r="AG206" s="201" t="s">
        <v>170</v>
      </c>
      <c r="AH206" s="201" t="s">
        <v>171</v>
      </c>
      <c r="AU206" s="210"/>
    </row>
    <row r="207" spans="1:49 16384:16384" x14ac:dyDescent="0.25">
      <c r="B207" t="s">
        <v>172</v>
      </c>
      <c r="I207"/>
      <c r="J207" s="96"/>
      <c r="M207"/>
      <c r="N207" s="96"/>
      <c r="Q207"/>
      <c r="R207" s="96"/>
      <c r="U207"/>
      <c r="V207" s="96"/>
      <c r="Y207"/>
      <c r="Z207" s="96"/>
      <c r="AC207"/>
      <c r="AD207" s="96"/>
      <c r="AG207" s="234"/>
      <c r="AH207" s="133">
        <f>2844.55/22050</f>
        <v>0.1290045351473923</v>
      </c>
      <c r="AM207" s="210"/>
      <c r="AU207" s="235">
        <f>+AU205+AU206</f>
        <v>9580</v>
      </c>
      <c r="AV207" s="210"/>
      <c r="AW207" s="50"/>
    </row>
    <row r="208" spans="1:49 16384:16384" x14ac:dyDescent="0.25">
      <c r="B208" t="s">
        <v>173</v>
      </c>
      <c r="I208"/>
      <c r="J208" s="96"/>
      <c r="M208"/>
      <c r="N208" s="96"/>
      <c r="Q208"/>
      <c r="R208" s="96"/>
      <c r="U208"/>
      <c r="V208" s="96"/>
      <c r="Y208"/>
      <c r="Z208" s="96"/>
      <c r="AC208"/>
      <c r="AD208" s="96"/>
      <c r="AF208" s="210"/>
      <c r="AG208" s="201" t="s">
        <v>174</v>
      </c>
      <c r="AH208" s="112">
        <f>19205.55/441</f>
        <v>43.55</v>
      </c>
      <c r="AI208" s="210"/>
      <c r="AJ208" s="210"/>
      <c r="AK208" s="210"/>
      <c r="AL208" s="210"/>
      <c r="AM208" s="210"/>
      <c r="AN208" s="236"/>
      <c r="AU208" s="50">
        <f>AU207</f>
        <v>9580</v>
      </c>
    </row>
    <row r="209" spans="2:47" x14ac:dyDescent="0.25">
      <c r="B209" t="s">
        <v>175</v>
      </c>
      <c r="I209"/>
      <c r="J209" s="96"/>
      <c r="M209"/>
      <c r="N209" s="96"/>
      <c r="Q209"/>
      <c r="R209" s="96"/>
      <c r="U209"/>
      <c r="V209" s="96"/>
      <c r="Y209"/>
      <c r="Z209" s="96"/>
      <c r="AC209"/>
      <c r="AD209" s="96"/>
      <c r="AF209" s="181"/>
      <c r="AG209" s="237"/>
      <c r="AH209" s="237"/>
      <c r="AI209" s="237"/>
      <c r="AJ209" s="237"/>
      <c r="AK209" s="210"/>
      <c r="AL209" s="210"/>
      <c r="AN209" s="181"/>
      <c r="AO209" s="229"/>
      <c r="AP209" s="229"/>
      <c r="AQ209" s="210"/>
    </row>
    <row r="210" spans="2:47" x14ac:dyDescent="0.25">
      <c r="B210" t="s">
        <v>176</v>
      </c>
      <c r="I210"/>
      <c r="J210" s="96"/>
      <c r="M210"/>
      <c r="N210" s="96"/>
      <c r="Q210"/>
      <c r="R210" s="96"/>
      <c r="U210"/>
      <c r="V210" s="96"/>
      <c r="Y210"/>
      <c r="Z210" s="96"/>
      <c r="AC210"/>
      <c r="AD210" s="96"/>
      <c r="AF210" s="181"/>
      <c r="AG210" s="237"/>
      <c r="AH210" s="237"/>
      <c r="AI210" s="237"/>
      <c r="AJ210" s="237"/>
      <c r="AK210" s="210"/>
      <c r="AL210" s="210"/>
      <c r="AN210" s="181"/>
      <c r="AO210" s="229"/>
      <c r="AP210" s="229"/>
      <c r="AQ210" s="210"/>
      <c r="AS210" s="50"/>
      <c r="AU210" s="238"/>
    </row>
    <row r="211" spans="2:47" x14ac:dyDescent="0.25">
      <c r="B211" t="s">
        <v>177</v>
      </c>
      <c r="I211"/>
      <c r="J211" s="96"/>
      <c r="M211"/>
      <c r="N211" s="96"/>
      <c r="Q211"/>
      <c r="R211" s="96"/>
      <c r="U211"/>
      <c r="V211" s="96"/>
      <c r="Y211"/>
      <c r="Z211" s="96"/>
      <c r="AC211"/>
      <c r="AD211" s="96"/>
      <c r="AF211" s="181"/>
      <c r="AG211" s="237"/>
      <c r="AH211" s="237"/>
      <c r="AI211" s="237"/>
      <c r="AJ211" s="237"/>
      <c r="AK211" s="210"/>
      <c r="AL211" s="210"/>
      <c r="AN211" s="181"/>
      <c r="AO211" s="229"/>
      <c r="AP211" s="229"/>
      <c r="AQ211" s="210"/>
      <c r="AR211" s="50"/>
    </row>
    <row r="212" spans="2:47" x14ac:dyDescent="0.25">
      <c r="B212">
        <v>123456</v>
      </c>
      <c r="I212"/>
      <c r="J212" s="96"/>
      <c r="M212"/>
      <c r="N212" s="96"/>
      <c r="Q212"/>
      <c r="R212" s="96"/>
      <c r="U212"/>
      <c r="V212" s="96"/>
      <c r="Y212"/>
      <c r="Z212" s="96"/>
      <c r="AC212"/>
      <c r="AD212" s="96"/>
      <c r="AF212" s="181"/>
      <c r="AG212" s="237"/>
      <c r="AH212" s="237"/>
      <c r="AI212" s="237"/>
      <c r="AJ212" s="237"/>
      <c r="AK212" s="210"/>
      <c r="AL212" s="210"/>
      <c r="AN212" s="181"/>
      <c r="AO212" s="229"/>
      <c r="AP212" s="229"/>
      <c r="AQ212" s="210"/>
    </row>
    <row r="213" spans="2:47" x14ac:dyDescent="0.25">
      <c r="I213"/>
      <c r="J213" s="96"/>
      <c r="M213"/>
      <c r="N213" s="96"/>
      <c r="Q213"/>
      <c r="R213" s="96"/>
      <c r="U213"/>
      <c r="V213" s="96"/>
      <c r="Y213"/>
      <c r="Z213" s="96"/>
      <c r="AC213"/>
      <c r="AD213" s="96"/>
      <c r="AF213" s="181"/>
      <c r="AG213" s="237"/>
      <c r="AH213" s="237"/>
      <c r="AI213" s="237"/>
      <c r="AJ213" s="237"/>
      <c r="AK213" s="210"/>
      <c r="AL213" s="210"/>
      <c r="AN213" s="181"/>
      <c r="AO213" s="229"/>
      <c r="AP213" s="239"/>
      <c r="AQ213" s="210"/>
    </row>
    <row r="214" spans="2:47" x14ac:dyDescent="0.25">
      <c r="I214"/>
      <c r="J214" s="96"/>
      <c r="M214"/>
      <c r="N214" s="96"/>
      <c r="Q214"/>
      <c r="R214" s="96"/>
      <c r="U214"/>
      <c r="V214" s="96"/>
      <c r="Y214"/>
      <c r="Z214" s="96"/>
      <c r="AC214"/>
      <c r="AD214" s="96"/>
      <c r="AF214" s="181"/>
      <c r="AG214" s="237"/>
      <c r="AH214" s="237"/>
      <c r="AI214" s="237"/>
      <c r="AJ214" s="237"/>
      <c r="AK214" s="210"/>
      <c r="AL214" s="210"/>
      <c r="AN214" s="181"/>
      <c r="AO214" s="229"/>
      <c r="AP214" s="210"/>
      <c r="AQ214" s="210"/>
    </row>
    <row r="215" spans="2:47" x14ac:dyDescent="0.25">
      <c r="AF215" s="210"/>
      <c r="AG215" s="239"/>
      <c r="AH215" s="239"/>
      <c r="AI215" s="239"/>
      <c r="AJ215" s="239"/>
      <c r="AK215" s="210"/>
      <c r="AL215" s="210"/>
      <c r="AN215" s="210"/>
      <c r="AO215" s="239"/>
      <c r="AP215" s="96"/>
      <c r="AQ215" s="210"/>
    </row>
    <row r="216" spans="2:47" x14ac:dyDescent="0.25">
      <c r="AH216" s="210"/>
      <c r="AN216" s="210"/>
    </row>
    <row r="217" spans="2:47" x14ac:dyDescent="0.25">
      <c r="AH217" s="210"/>
    </row>
    <row r="218" spans="2:47" x14ac:dyDescent="0.25">
      <c r="AH218" s="210"/>
    </row>
    <row r="219" spans="2:47" x14ac:dyDescent="0.25">
      <c r="AM219" s="210"/>
    </row>
    <row r="220" spans="2:47" x14ac:dyDescent="0.25">
      <c r="AK220" s="240">
        <v>45283</v>
      </c>
      <c r="AM220" s="210"/>
    </row>
    <row r="221" spans="2:47" x14ac:dyDescent="0.25">
      <c r="AK221" s="133"/>
      <c r="AL221" s="133" t="s">
        <v>178</v>
      </c>
      <c r="AM221" s="112" t="s">
        <v>179</v>
      </c>
      <c r="AN221" s="133" t="s">
        <v>180</v>
      </c>
    </row>
    <row r="222" spans="2:47" x14ac:dyDescent="0.25">
      <c r="AK222" s="133" t="s">
        <v>181</v>
      </c>
      <c r="AL222" s="133">
        <v>225</v>
      </c>
      <c r="AM222" s="112">
        <v>5</v>
      </c>
      <c r="AN222" s="133">
        <f>AL222*AM222</f>
        <v>1125</v>
      </c>
      <c r="AQ222">
        <f>200*12</f>
        <v>2400</v>
      </c>
    </row>
    <row r="223" spans="2:47" x14ac:dyDescent="0.25">
      <c r="AK223" s="133" t="s">
        <v>182</v>
      </c>
      <c r="AL223" s="133">
        <v>200</v>
      </c>
      <c r="AM223" s="112">
        <v>5</v>
      </c>
      <c r="AN223" s="133">
        <f>AL223*AM223</f>
        <v>1000</v>
      </c>
      <c r="AQ223">
        <f>2400*4</f>
        <v>9600</v>
      </c>
    </row>
    <row r="224" spans="2:47" x14ac:dyDescent="0.25">
      <c r="AK224" s="133" t="s">
        <v>183</v>
      </c>
      <c r="AL224" s="133">
        <v>150</v>
      </c>
      <c r="AM224" s="112">
        <v>7</v>
      </c>
      <c r="AN224" s="133">
        <f>AL224*AM224</f>
        <v>1050</v>
      </c>
      <c r="AQ224">
        <f>600*12</f>
        <v>7200</v>
      </c>
    </row>
    <row r="225" spans="37:40" x14ac:dyDescent="0.25">
      <c r="AK225" s="133" t="s">
        <v>184</v>
      </c>
      <c r="AL225" s="133">
        <v>185</v>
      </c>
      <c r="AM225" s="112">
        <v>5</v>
      </c>
      <c r="AN225" s="133">
        <f>AL225*AM225</f>
        <v>925</v>
      </c>
    </row>
    <row r="226" spans="37:40" x14ac:dyDescent="0.25">
      <c r="AM226" s="210"/>
      <c r="AN226" s="241">
        <f>SUM(AN222:AN225)</f>
        <v>4100</v>
      </c>
    </row>
    <row r="227" spans="37:40" x14ac:dyDescent="0.25">
      <c r="AM227" s="210"/>
    </row>
    <row r="228" spans="37:40" x14ac:dyDescent="0.25">
      <c r="AK228" s="210" t="s">
        <v>185</v>
      </c>
      <c r="AM228" s="210"/>
      <c r="AN228" s="241">
        <v>16000</v>
      </c>
    </row>
    <row r="229" spans="37:40" x14ac:dyDescent="0.25">
      <c r="AM229" s="210"/>
    </row>
    <row r="230" spans="37:40" x14ac:dyDescent="0.25">
      <c r="AM230" s="210"/>
    </row>
    <row r="231" spans="37:40" x14ac:dyDescent="0.25">
      <c r="AM231" s="210"/>
    </row>
    <row r="232" spans="37:40" x14ac:dyDescent="0.25">
      <c r="AM232" s="210"/>
    </row>
    <row r="233" spans="37:40" x14ac:dyDescent="0.25">
      <c r="AM233" s="210"/>
    </row>
    <row r="234" spans="37:40" x14ac:dyDescent="0.25">
      <c r="AM234" s="210"/>
    </row>
    <row r="235" spans="37:40" x14ac:dyDescent="0.25">
      <c r="AM235" s="210"/>
    </row>
    <row r="236" spans="37:40" x14ac:dyDescent="0.25">
      <c r="AM236" s="210"/>
    </row>
    <row r="237" spans="37:40" x14ac:dyDescent="0.25">
      <c r="AM237" s="210"/>
    </row>
    <row r="238" spans="37:40" x14ac:dyDescent="0.25">
      <c r="AM238" s="210"/>
    </row>
    <row r="239" spans="37:40" x14ac:dyDescent="0.25">
      <c r="AM239" s="210"/>
    </row>
    <row r="240" spans="37:40" x14ac:dyDescent="0.25">
      <c r="AM240" s="210"/>
    </row>
    <row r="241" spans="39:39" x14ac:dyDescent="0.25">
      <c r="AM241" s="210"/>
    </row>
    <row r="242" spans="39:39" x14ac:dyDescent="0.25">
      <c r="AM242" s="210"/>
    </row>
    <row r="243" spans="39:39" x14ac:dyDescent="0.25">
      <c r="AM243" s="210"/>
    </row>
    <row r="244" spans="39:39" x14ac:dyDescent="0.25">
      <c r="AM244" s="210"/>
    </row>
    <row r="245" spans="39:39" x14ac:dyDescent="0.25">
      <c r="AM245" s="210"/>
    </row>
    <row r="246" spans="39:39" x14ac:dyDescent="0.25">
      <c r="AM246" s="210"/>
    </row>
    <row r="247" spans="39:39" x14ac:dyDescent="0.25">
      <c r="AM247" s="210"/>
    </row>
    <row r="248" spans="39:39" x14ac:dyDescent="0.25">
      <c r="AM248" s="210"/>
    </row>
    <row r="249" spans="39:39" x14ac:dyDescent="0.25">
      <c r="AM249" s="210"/>
    </row>
    <row r="250" spans="39:39" x14ac:dyDescent="0.25">
      <c r="AM250" s="210"/>
    </row>
    <row r="251" spans="39:39" x14ac:dyDescent="0.25">
      <c r="AM251" s="210"/>
    </row>
    <row r="252" spans="39:39" x14ac:dyDescent="0.25">
      <c r="AM252" s="210"/>
    </row>
    <row r="253" spans="39:39" x14ac:dyDescent="0.25">
      <c r="AM253" s="210"/>
    </row>
    <row r="254" spans="39:39" x14ac:dyDescent="0.25">
      <c r="AM254" s="210"/>
    </row>
    <row r="255" spans="39:39" x14ac:dyDescent="0.25">
      <c r="AM255" s="210"/>
    </row>
    <row r="256" spans="39:39" x14ac:dyDescent="0.25">
      <c r="AM256" s="210"/>
    </row>
    <row r="257" spans="39:39" x14ac:dyDescent="0.25">
      <c r="AM257" s="210"/>
    </row>
    <row r="258" spans="39:39" x14ac:dyDescent="0.25">
      <c r="AM258" s="210"/>
    </row>
    <row r="259" spans="39:39" x14ac:dyDescent="0.25">
      <c r="AM259" s="210"/>
    </row>
    <row r="260" spans="39:39" x14ac:dyDescent="0.25">
      <c r="AM260" s="210"/>
    </row>
    <row r="261" spans="39:39" x14ac:dyDescent="0.25">
      <c r="AM261" s="210"/>
    </row>
    <row r="262" spans="39:39" x14ac:dyDescent="0.25">
      <c r="AM262" s="210"/>
    </row>
    <row r="263" spans="39:39" x14ac:dyDescent="0.25">
      <c r="AM263" s="210"/>
    </row>
    <row r="264" spans="39:39" x14ac:dyDescent="0.25">
      <c r="AM264" s="210"/>
    </row>
    <row r="265" spans="39:39" x14ac:dyDescent="0.25">
      <c r="AM265" s="210"/>
    </row>
    <row r="266" spans="39:39" x14ac:dyDescent="0.25">
      <c r="AM266" s="210"/>
    </row>
    <row r="267" spans="39:39" x14ac:dyDescent="0.25">
      <c r="AM267" s="210"/>
    </row>
    <row r="268" spans="39:39" x14ac:dyDescent="0.25">
      <c r="AM268" s="210"/>
    </row>
    <row r="269" spans="39:39" x14ac:dyDescent="0.25">
      <c r="AM269" s="210"/>
    </row>
    <row r="270" spans="39:39" x14ac:dyDescent="0.25">
      <c r="AM270" s="210"/>
    </row>
    <row r="271" spans="39:39" x14ac:dyDescent="0.25">
      <c r="AM271" s="210"/>
    </row>
    <row r="272" spans="39:39" x14ac:dyDescent="0.25">
      <c r="AM272" s="210"/>
    </row>
    <row r="273" spans="39:39" x14ac:dyDescent="0.25">
      <c r="AM273" s="210"/>
    </row>
    <row r="274" spans="39:39" x14ac:dyDescent="0.25">
      <c r="AM274" s="210"/>
    </row>
    <row r="275" spans="39:39" x14ac:dyDescent="0.25">
      <c r="AM275" s="210"/>
    </row>
    <row r="276" spans="39:39" x14ac:dyDescent="0.25">
      <c r="AM276" s="210"/>
    </row>
    <row r="277" spans="39:39" x14ac:dyDescent="0.25">
      <c r="AM277" s="210"/>
    </row>
    <row r="278" spans="39:39" x14ac:dyDescent="0.25">
      <c r="AM278" s="210"/>
    </row>
    <row r="279" spans="39:39" x14ac:dyDescent="0.25">
      <c r="AM279" s="210"/>
    </row>
    <row r="280" spans="39:39" x14ac:dyDescent="0.25">
      <c r="AM280" s="210"/>
    </row>
    <row r="281" spans="39:39" x14ac:dyDescent="0.25">
      <c r="AM281" s="210"/>
    </row>
    <row r="282" spans="39:39" x14ac:dyDescent="0.25">
      <c r="AM282" s="210"/>
    </row>
    <row r="283" spans="39:39" x14ac:dyDescent="0.25">
      <c r="AM283" s="210"/>
    </row>
    <row r="284" spans="39:39" x14ac:dyDescent="0.25">
      <c r="AM284" s="210"/>
    </row>
    <row r="285" spans="39:39" x14ac:dyDescent="0.25">
      <c r="AM285" s="210"/>
    </row>
    <row r="286" spans="39:39" x14ac:dyDescent="0.25">
      <c r="AM286" s="210"/>
    </row>
    <row r="287" spans="39:39" x14ac:dyDescent="0.25">
      <c r="AM287" s="210"/>
    </row>
    <row r="288" spans="39:39" x14ac:dyDescent="0.25">
      <c r="AM288" s="210"/>
    </row>
    <row r="289" spans="39:39" x14ac:dyDescent="0.25">
      <c r="AM289" s="210"/>
    </row>
    <row r="290" spans="39:39" x14ac:dyDescent="0.25">
      <c r="AM290" s="210"/>
    </row>
    <row r="291" spans="39:39" x14ac:dyDescent="0.25">
      <c r="AM291" s="210"/>
    </row>
    <row r="292" spans="39:39" x14ac:dyDescent="0.25">
      <c r="AM292" s="210"/>
    </row>
    <row r="293" spans="39:39" x14ac:dyDescent="0.25">
      <c r="AM293" s="210"/>
    </row>
    <row r="294" spans="39:39" x14ac:dyDescent="0.25">
      <c r="AM294" s="210"/>
    </row>
    <row r="295" spans="39:39" x14ac:dyDescent="0.25">
      <c r="AM295" s="210"/>
    </row>
    <row r="296" spans="39:39" x14ac:dyDescent="0.25">
      <c r="AM296" s="210"/>
    </row>
    <row r="297" spans="39:39" x14ac:dyDescent="0.25">
      <c r="AM297" s="210"/>
    </row>
    <row r="298" spans="39:39" x14ac:dyDescent="0.25">
      <c r="AM298" s="210"/>
    </row>
    <row r="299" spans="39:39" x14ac:dyDescent="0.25">
      <c r="AM299" s="210"/>
    </row>
    <row r="300" spans="39:39" x14ac:dyDescent="0.25">
      <c r="AM300" s="210"/>
    </row>
    <row r="301" spans="39:39" x14ac:dyDescent="0.25">
      <c r="AM301" s="210"/>
    </row>
    <row r="302" spans="39:39" x14ac:dyDescent="0.25">
      <c r="AM302" s="210"/>
    </row>
    <row r="303" spans="39:39" x14ac:dyDescent="0.25">
      <c r="AM303" s="210"/>
    </row>
    <row r="304" spans="39:39" x14ac:dyDescent="0.25">
      <c r="AM304" s="210"/>
    </row>
    <row r="305" spans="39:39" x14ac:dyDescent="0.25">
      <c r="AM305" s="210"/>
    </row>
    <row r="306" spans="39:39" x14ac:dyDescent="0.25">
      <c r="AM306" s="210"/>
    </row>
    <row r="307" spans="39:39" x14ac:dyDescent="0.25">
      <c r="AM307" s="210"/>
    </row>
    <row r="308" spans="39:39" x14ac:dyDescent="0.25">
      <c r="AM308" s="210"/>
    </row>
    <row r="309" spans="39:39" x14ac:dyDescent="0.25">
      <c r="AM309" s="210"/>
    </row>
    <row r="310" spans="39:39" x14ac:dyDescent="0.25">
      <c r="AM310" s="210"/>
    </row>
    <row r="311" spans="39:39" x14ac:dyDescent="0.25">
      <c r="AM311" s="210"/>
    </row>
    <row r="312" spans="39:39" x14ac:dyDescent="0.25">
      <c r="AM312" s="210"/>
    </row>
    <row r="313" spans="39:39" x14ac:dyDescent="0.25">
      <c r="AM313" s="210"/>
    </row>
    <row r="314" spans="39:39" x14ac:dyDescent="0.25">
      <c r="AM314" s="210"/>
    </row>
    <row r="315" spans="39:39" x14ac:dyDescent="0.25">
      <c r="AM315" s="210"/>
    </row>
    <row r="316" spans="39:39" x14ac:dyDescent="0.25">
      <c r="AM316" s="210"/>
    </row>
    <row r="317" spans="39:39" x14ac:dyDescent="0.25">
      <c r="AM317" s="210"/>
    </row>
    <row r="318" spans="39:39" x14ac:dyDescent="0.25">
      <c r="AM318" s="210"/>
    </row>
    <row r="319" spans="39:39" x14ac:dyDescent="0.25">
      <c r="AM319" s="210"/>
    </row>
    <row r="320" spans="39:39" x14ac:dyDescent="0.25">
      <c r="AM320" s="210"/>
    </row>
    <row r="321" spans="39:39" x14ac:dyDescent="0.25">
      <c r="AM321" s="210"/>
    </row>
    <row r="322" spans="39:39" x14ac:dyDescent="0.25">
      <c r="AM322" s="210"/>
    </row>
    <row r="323" spans="39:39" x14ac:dyDescent="0.25">
      <c r="AM323" s="210"/>
    </row>
    <row r="324" spans="39:39" x14ac:dyDescent="0.25">
      <c r="AM324" s="210"/>
    </row>
    <row r="325" spans="39:39" x14ac:dyDescent="0.25">
      <c r="AM325" s="210"/>
    </row>
    <row r="326" spans="39:39" x14ac:dyDescent="0.25">
      <c r="AM326" s="210"/>
    </row>
    <row r="327" spans="39:39" x14ac:dyDescent="0.25">
      <c r="AM327" s="210"/>
    </row>
    <row r="328" spans="39:39" x14ac:dyDescent="0.25">
      <c r="AM328" s="210"/>
    </row>
    <row r="329" spans="39:39" x14ac:dyDescent="0.25">
      <c r="AM329" s="210"/>
    </row>
    <row r="330" spans="39:39" x14ac:dyDescent="0.25">
      <c r="AM330" s="210"/>
    </row>
    <row r="331" spans="39:39" x14ac:dyDescent="0.25">
      <c r="AM331" s="210"/>
    </row>
    <row r="332" spans="39:39" x14ac:dyDescent="0.25">
      <c r="AM332" s="210"/>
    </row>
    <row r="333" spans="39:39" x14ac:dyDescent="0.25">
      <c r="AM333" s="210"/>
    </row>
    <row r="334" spans="39:39" x14ac:dyDescent="0.25">
      <c r="AM334" s="210"/>
    </row>
    <row r="819064" spans="1:1" x14ac:dyDescent="0.25">
      <c r="A819064" s="242"/>
    </row>
    <row r="819065" spans="1:1" x14ac:dyDescent="0.25">
      <c r="A819065" s="242"/>
    </row>
    <row r="819066" spans="1:1" x14ac:dyDescent="0.25">
      <c r="A819066" s="242"/>
    </row>
    <row r="819067" spans="1:1" x14ac:dyDescent="0.25">
      <c r="A819067" s="242"/>
    </row>
    <row r="819068" spans="1:1" x14ac:dyDescent="0.25">
      <c r="A819068" s="242"/>
    </row>
    <row r="819069" spans="1:1" x14ac:dyDescent="0.25">
      <c r="A819069" s="242"/>
    </row>
    <row r="819070" spans="1:1" x14ac:dyDescent="0.25">
      <c r="A819070" s="242"/>
    </row>
    <row r="819071" spans="1:1" x14ac:dyDescent="0.25">
      <c r="A819071" s="242"/>
    </row>
    <row r="819072" spans="1:1" x14ac:dyDescent="0.25">
      <c r="A819072" s="242"/>
    </row>
    <row r="819073" spans="1:1" x14ac:dyDescent="0.25">
      <c r="A819073" s="242"/>
    </row>
    <row r="819074" spans="1:1" x14ac:dyDescent="0.25">
      <c r="A819074" s="242"/>
    </row>
    <row r="819075" spans="1:1" x14ac:dyDescent="0.25">
      <c r="A819075" s="242"/>
    </row>
    <row r="819076" spans="1:1" x14ac:dyDescent="0.25">
      <c r="A819076" s="242"/>
    </row>
    <row r="819077" spans="1:1" x14ac:dyDescent="0.25">
      <c r="A819077" s="242"/>
    </row>
    <row r="819078" spans="1:1" x14ac:dyDescent="0.25">
      <c r="A819078" s="242"/>
    </row>
    <row r="819079" spans="1:1" x14ac:dyDescent="0.25">
      <c r="A819079" s="242"/>
    </row>
    <row r="819080" spans="1:1" x14ac:dyDescent="0.25">
      <c r="A819080" s="242"/>
    </row>
    <row r="819081" spans="1:1" x14ac:dyDescent="0.25">
      <c r="A819081" s="242"/>
    </row>
    <row r="819082" spans="1:1" x14ac:dyDescent="0.25">
      <c r="A819082" s="242"/>
    </row>
    <row r="819083" spans="1:1" x14ac:dyDescent="0.25">
      <c r="A819083" s="242"/>
    </row>
    <row r="819084" spans="1:1" x14ac:dyDescent="0.25">
      <c r="A819084" s="242"/>
    </row>
    <row r="819085" spans="1:1" x14ac:dyDescent="0.25">
      <c r="A819085" s="242"/>
    </row>
    <row r="819086" spans="1:1" x14ac:dyDescent="0.25">
      <c r="A819086" s="242"/>
    </row>
    <row r="819087" spans="1:1" x14ac:dyDescent="0.25">
      <c r="A819087" s="242"/>
    </row>
    <row r="819088" spans="1:1" x14ac:dyDescent="0.25">
      <c r="A819088" s="242"/>
    </row>
    <row r="819089" spans="1:1" x14ac:dyDescent="0.25">
      <c r="A819089" s="242"/>
    </row>
    <row r="819090" spans="1:1" x14ac:dyDescent="0.25">
      <c r="A819090" s="242"/>
    </row>
    <row r="819091" spans="1:1" x14ac:dyDescent="0.25">
      <c r="A819091" s="242"/>
    </row>
    <row r="819092" spans="1:1" x14ac:dyDescent="0.25">
      <c r="A819092" s="242"/>
    </row>
    <row r="819093" spans="1:1" x14ac:dyDescent="0.25">
      <c r="A819093" s="242"/>
    </row>
    <row r="819094" spans="1:1" x14ac:dyDescent="0.25">
      <c r="A819094" s="242"/>
    </row>
    <row r="819095" spans="1:1" x14ac:dyDescent="0.25">
      <c r="A819095" s="242"/>
    </row>
    <row r="819096" spans="1:1" x14ac:dyDescent="0.25">
      <c r="A819096" s="242"/>
    </row>
    <row r="819097" spans="1:1" x14ac:dyDescent="0.25">
      <c r="A819097" s="242"/>
    </row>
    <row r="819098" spans="1:1" x14ac:dyDescent="0.25">
      <c r="A819098" s="242"/>
    </row>
    <row r="819099" spans="1:1" x14ac:dyDescent="0.25">
      <c r="A819099" s="242"/>
    </row>
    <row r="819100" spans="1:1" x14ac:dyDescent="0.25">
      <c r="A819100" s="242"/>
    </row>
    <row r="819101" spans="1:1" x14ac:dyDescent="0.25">
      <c r="A819101" s="242"/>
    </row>
    <row r="819102" spans="1:1" x14ac:dyDescent="0.25">
      <c r="A819102" s="242"/>
    </row>
    <row r="819103" spans="1:1" x14ac:dyDescent="0.25">
      <c r="A819103" s="242"/>
    </row>
    <row r="819104" spans="1:1" x14ac:dyDescent="0.25">
      <c r="A819104" s="242"/>
    </row>
    <row r="819105" spans="1:1" x14ac:dyDescent="0.25">
      <c r="A819105" s="242"/>
    </row>
    <row r="819106" spans="1:1" x14ac:dyDescent="0.25">
      <c r="A819106" s="242"/>
    </row>
    <row r="819107" spans="1:1" x14ac:dyDescent="0.25">
      <c r="A819107" s="242"/>
    </row>
    <row r="819108" spans="1:1" x14ac:dyDescent="0.25">
      <c r="A819108" s="242"/>
    </row>
    <row r="819109" spans="1:1" x14ac:dyDescent="0.25">
      <c r="A819109" s="242"/>
    </row>
    <row r="819110" spans="1:1" x14ac:dyDescent="0.25">
      <c r="A819110" s="242"/>
    </row>
    <row r="819111" spans="1:1" x14ac:dyDescent="0.25">
      <c r="A819111" s="242"/>
    </row>
    <row r="819112" spans="1:1" x14ac:dyDescent="0.25">
      <c r="A819112" s="242"/>
    </row>
    <row r="819113" spans="1:1" x14ac:dyDescent="0.25">
      <c r="A819113" s="242"/>
    </row>
    <row r="819114" spans="1:1" x14ac:dyDescent="0.25">
      <c r="A819114" s="242"/>
    </row>
    <row r="819115" spans="1:1" x14ac:dyDescent="0.25">
      <c r="A819115" s="242"/>
    </row>
    <row r="819116" spans="1:1" x14ac:dyDescent="0.25">
      <c r="A819116" s="242"/>
    </row>
    <row r="819117" spans="1:1" x14ac:dyDescent="0.25">
      <c r="A819117" s="242"/>
    </row>
    <row r="819118" spans="1:1" x14ac:dyDescent="0.25">
      <c r="A819118" s="242"/>
    </row>
    <row r="819119" spans="1:1" x14ac:dyDescent="0.25">
      <c r="A819119" s="242"/>
    </row>
    <row r="819120" spans="1:1" x14ac:dyDescent="0.25">
      <c r="A819120" s="242"/>
    </row>
    <row r="819121" spans="1:1" x14ac:dyDescent="0.25">
      <c r="A819121" s="242"/>
    </row>
    <row r="819122" spans="1:1" x14ac:dyDescent="0.25">
      <c r="A819122" s="242"/>
    </row>
    <row r="819123" spans="1:1" x14ac:dyDescent="0.25">
      <c r="A819123" s="242"/>
    </row>
    <row r="819124" spans="1:1" x14ac:dyDescent="0.25">
      <c r="A819124" s="242"/>
    </row>
    <row r="819125" spans="1:1" x14ac:dyDescent="0.25">
      <c r="A819125" s="242"/>
    </row>
    <row r="819126" spans="1:1" x14ac:dyDescent="0.25">
      <c r="A819126" s="242"/>
    </row>
    <row r="819127" spans="1:1" x14ac:dyDescent="0.25">
      <c r="A819127" s="242"/>
    </row>
    <row r="819128" spans="1:1" x14ac:dyDescent="0.25">
      <c r="A819128" s="242"/>
    </row>
    <row r="819129" spans="1:1" x14ac:dyDescent="0.25">
      <c r="A819129" s="242"/>
    </row>
    <row r="819130" spans="1:1" x14ac:dyDescent="0.25">
      <c r="A819130" s="242"/>
    </row>
    <row r="819131" spans="1:1" x14ac:dyDescent="0.25">
      <c r="A819131" s="242"/>
    </row>
    <row r="819132" spans="1:1" x14ac:dyDescent="0.25">
      <c r="A819132" s="242"/>
    </row>
    <row r="819133" spans="1:1" x14ac:dyDescent="0.25">
      <c r="A819133" s="242"/>
    </row>
    <row r="819134" spans="1:1" x14ac:dyDescent="0.25">
      <c r="A819134" s="242"/>
    </row>
    <row r="819135" spans="1:1" x14ac:dyDescent="0.25">
      <c r="A819135" s="242"/>
    </row>
    <row r="819136" spans="1:1" x14ac:dyDescent="0.25">
      <c r="A819136" s="242"/>
    </row>
    <row r="819137" spans="1:1" x14ac:dyDescent="0.25">
      <c r="A819137" s="242"/>
    </row>
    <row r="819138" spans="1:1" x14ac:dyDescent="0.25">
      <c r="A819138" s="242"/>
    </row>
    <row r="819139" spans="1:1" x14ac:dyDescent="0.25">
      <c r="A819139" s="242"/>
    </row>
    <row r="819140" spans="1:1" x14ac:dyDescent="0.25">
      <c r="A819140" s="242"/>
    </row>
    <row r="819141" spans="1:1" x14ac:dyDescent="0.25">
      <c r="A819141" s="242"/>
    </row>
    <row r="819142" spans="1:1" x14ac:dyDescent="0.25">
      <c r="A819142" s="242"/>
    </row>
    <row r="819143" spans="1:1" x14ac:dyDescent="0.25">
      <c r="A819143" s="242"/>
    </row>
    <row r="819144" spans="1:1" x14ac:dyDescent="0.25">
      <c r="A819144" s="242"/>
    </row>
    <row r="819145" spans="1:1" x14ac:dyDescent="0.25">
      <c r="A819145" s="242"/>
    </row>
    <row r="819146" spans="1:1" x14ac:dyDescent="0.25">
      <c r="A819146" s="242"/>
    </row>
    <row r="819147" spans="1:1" x14ac:dyDescent="0.25">
      <c r="A819147" s="242"/>
    </row>
    <row r="819148" spans="1:1" x14ac:dyDescent="0.25">
      <c r="A819148" s="242"/>
    </row>
    <row r="819149" spans="1:1" x14ac:dyDescent="0.25">
      <c r="A819149" s="242"/>
    </row>
    <row r="819150" spans="1:1" x14ac:dyDescent="0.25">
      <c r="A819150" s="242"/>
    </row>
    <row r="819151" spans="1:1" x14ac:dyDescent="0.25">
      <c r="A819151" s="242"/>
    </row>
    <row r="819152" spans="1:1" x14ac:dyDescent="0.25">
      <c r="A819152" s="242"/>
    </row>
    <row r="819153" spans="1:1" x14ac:dyDescent="0.25">
      <c r="A819153" s="242"/>
    </row>
    <row r="819154" spans="1:1" x14ac:dyDescent="0.25">
      <c r="A819154" s="242"/>
    </row>
    <row r="819155" spans="1:1" x14ac:dyDescent="0.25">
      <c r="A819155" s="242"/>
    </row>
    <row r="819156" spans="1:1" x14ac:dyDescent="0.25">
      <c r="A819156" s="242"/>
    </row>
    <row r="819157" spans="1:1" x14ac:dyDescent="0.25">
      <c r="A819157" s="242"/>
    </row>
    <row r="819158" spans="1:1" x14ac:dyDescent="0.25">
      <c r="A819158" s="242"/>
    </row>
    <row r="819159" spans="1:1" x14ac:dyDescent="0.25">
      <c r="A819159" s="242"/>
    </row>
    <row r="819160" spans="1:1" x14ac:dyDescent="0.25">
      <c r="A819160" s="242"/>
    </row>
    <row r="819161" spans="1:1" x14ac:dyDescent="0.25">
      <c r="A819161" s="242"/>
    </row>
    <row r="819162" spans="1:1" x14ac:dyDescent="0.25">
      <c r="A819162" s="242"/>
    </row>
    <row r="819163" spans="1:1" x14ac:dyDescent="0.25">
      <c r="A819163" s="242"/>
    </row>
    <row r="819164" spans="1:1" x14ac:dyDescent="0.25">
      <c r="A819164" s="242"/>
    </row>
    <row r="819165" spans="1:1" x14ac:dyDescent="0.25">
      <c r="A819165" s="242"/>
    </row>
    <row r="819166" spans="1:1" x14ac:dyDescent="0.25">
      <c r="A819166" s="242"/>
    </row>
    <row r="819167" spans="1:1" x14ac:dyDescent="0.25">
      <c r="A819167" s="242"/>
    </row>
    <row r="819168" spans="1:1" x14ac:dyDescent="0.25">
      <c r="A819168" s="242"/>
    </row>
    <row r="819169" spans="1:1" x14ac:dyDescent="0.25">
      <c r="A819169" s="242"/>
    </row>
    <row r="819170" spans="1:1" x14ac:dyDescent="0.25">
      <c r="A819170" s="242"/>
    </row>
    <row r="819171" spans="1:1" x14ac:dyDescent="0.25">
      <c r="A819171" s="242"/>
    </row>
    <row r="819172" spans="1:1" x14ac:dyDescent="0.25">
      <c r="A819172" s="242"/>
    </row>
    <row r="819173" spans="1:1" x14ac:dyDescent="0.25">
      <c r="A819173" s="242"/>
    </row>
    <row r="819174" spans="1:1" x14ac:dyDescent="0.25">
      <c r="A819174" s="242"/>
    </row>
    <row r="819175" spans="1:1" x14ac:dyDescent="0.25">
      <c r="A819175" s="242"/>
    </row>
    <row r="819176" spans="1:1" x14ac:dyDescent="0.25">
      <c r="A819176" s="242"/>
    </row>
    <row r="819177" spans="1:1" x14ac:dyDescent="0.25">
      <c r="A819177" s="242"/>
    </row>
    <row r="819178" spans="1:1" x14ac:dyDescent="0.25">
      <c r="A819178" s="242"/>
    </row>
    <row r="819179" spans="1:1" x14ac:dyDescent="0.25">
      <c r="A819179" s="242"/>
    </row>
    <row r="819180" spans="1:1" x14ac:dyDescent="0.25">
      <c r="A819180" s="242"/>
    </row>
    <row r="819181" spans="1:1" x14ac:dyDescent="0.25">
      <c r="A819181" s="242"/>
    </row>
    <row r="819182" spans="1:1" x14ac:dyDescent="0.25">
      <c r="A819182" s="242"/>
    </row>
    <row r="819183" spans="1:1" x14ac:dyDescent="0.25">
      <c r="A819183" s="242"/>
    </row>
    <row r="819184" spans="1:1" x14ac:dyDescent="0.25">
      <c r="A819184" s="242"/>
    </row>
    <row r="819185" spans="1:1" x14ac:dyDescent="0.25">
      <c r="A819185" s="242"/>
    </row>
    <row r="819186" spans="1:1" x14ac:dyDescent="0.25">
      <c r="A819186" s="242"/>
    </row>
    <row r="819187" spans="1:1" x14ac:dyDescent="0.25">
      <c r="A819187" s="242"/>
    </row>
    <row r="819188" spans="1:1" x14ac:dyDescent="0.25">
      <c r="A819188" s="242"/>
    </row>
    <row r="819189" spans="1:1" x14ac:dyDescent="0.25">
      <c r="A819189" s="242"/>
    </row>
    <row r="819190" spans="1:1" x14ac:dyDescent="0.25">
      <c r="A819190" s="242"/>
    </row>
    <row r="819191" spans="1:1" x14ac:dyDescent="0.25">
      <c r="A819191" s="242"/>
    </row>
    <row r="819192" spans="1:1" x14ac:dyDescent="0.25">
      <c r="A819192" s="242"/>
    </row>
    <row r="819193" spans="1:1" x14ac:dyDescent="0.25">
      <c r="A819193" s="242"/>
    </row>
    <row r="819194" spans="1:1" x14ac:dyDescent="0.25">
      <c r="A819194" s="242"/>
    </row>
    <row r="819195" spans="1:1" x14ac:dyDescent="0.25">
      <c r="A819195" s="242"/>
    </row>
    <row r="819196" spans="1:1" x14ac:dyDescent="0.25">
      <c r="A819196" s="242"/>
    </row>
    <row r="819197" spans="1:1" x14ac:dyDescent="0.25">
      <c r="A819197" s="242"/>
    </row>
    <row r="819198" spans="1:1" x14ac:dyDescent="0.25">
      <c r="A819198" s="242"/>
    </row>
    <row r="819199" spans="1:1" x14ac:dyDescent="0.25">
      <c r="A819199" s="242"/>
    </row>
    <row r="819200" spans="1:1" x14ac:dyDescent="0.25">
      <c r="A819200" s="242"/>
    </row>
    <row r="819201" spans="1:1" x14ac:dyDescent="0.25">
      <c r="A819201" s="242"/>
    </row>
    <row r="819202" spans="1:1" x14ac:dyDescent="0.25">
      <c r="A819202" s="242"/>
    </row>
    <row r="819203" spans="1:1" x14ac:dyDescent="0.25">
      <c r="A819203" s="242"/>
    </row>
    <row r="819204" spans="1:1" x14ac:dyDescent="0.25">
      <c r="A819204" s="242"/>
    </row>
    <row r="819205" spans="1:1" x14ac:dyDescent="0.25">
      <c r="A819205" s="242"/>
    </row>
    <row r="819206" spans="1:1" x14ac:dyDescent="0.25">
      <c r="A819206" s="242"/>
    </row>
    <row r="819207" spans="1:1" x14ac:dyDescent="0.25">
      <c r="A819207" s="242"/>
    </row>
    <row r="819208" spans="1:1" x14ac:dyDescent="0.25">
      <c r="A819208" s="242"/>
    </row>
    <row r="819209" spans="1:1" x14ac:dyDescent="0.25">
      <c r="A819209" s="242"/>
    </row>
    <row r="819210" spans="1:1" x14ac:dyDescent="0.25">
      <c r="A819210" s="242"/>
    </row>
    <row r="819211" spans="1:1" x14ac:dyDescent="0.25">
      <c r="A819211" s="242"/>
    </row>
    <row r="819212" spans="1:1" x14ac:dyDescent="0.25">
      <c r="A819212" s="242"/>
    </row>
    <row r="819213" spans="1:1" x14ac:dyDescent="0.25">
      <c r="A819213" s="242"/>
    </row>
    <row r="819214" spans="1:1" x14ac:dyDescent="0.25">
      <c r="A819214" s="242"/>
    </row>
    <row r="819215" spans="1:1" x14ac:dyDescent="0.25">
      <c r="A819215" s="242"/>
    </row>
    <row r="819216" spans="1:1" x14ac:dyDescent="0.25">
      <c r="A819216" s="242"/>
    </row>
    <row r="819217" spans="1:1" x14ac:dyDescent="0.25">
      <c r="A819217" s="242"/>
    </row>
    <row r="819218" spans="1:1" x14ac:dyDescent="0.25">
      <c r="A819218" s="242"/>
    </row>
    <row r="819219" spans="1:1" x14ac:dyDescent="0.25">
      <c r="A819219" s="242"/>
    </row>
    <row r="819220" spans="1:1" x14ac:dyDescent="0.25">
      <c r="A819220" s="242"/>
    </row>
    <row r="819221" spans="1:1" x14ac:dyDescent="0.25">
      <c r="A819221" s="242"/>
    </row>
    <row r="819222" spans="1:1" x14ac:dyDescent="0.25">
      <c r="A819222" s="242"/>
    </row>
    <row r="819223" spans="1:1" x14ac:dyDescent="0.25">
      <c r="A819223" s="242"/>
    </row>
    <row r="819224" spans="1:1" x14ac:dyDescent="0.25">
      <c r="A819224" s="242"/>
    </row>
    <row r="819225" spans="1:1" x14ac:dyDescent="0.25">
      <c r="A819225" s="242"/>
    </row>
    <row r="819226" spans="1:1" x14ac:dyDescent="0.25">
      <c r="A819226" s="242"/>
    </row>
    <row r="819227" spans="1:1" x14ac:dyDescent="0.25">
      <c r="A819227" s="242"/>
    </row>
    <row r="819228" spans="1:1" x14ac:dyDescent="0.25">
      <c r="A819228" s="242"/>
    </row>
    <row r="819229" spans="1:1" x14ac:dyDescent="0.25">
      <c r="A819229" s="242"/>
    </row>
    <row r="819230" spans="1:1" x14ac:dyDescent="0.25">
      <c r="A819230" s="242"/>
    </row>
    <row r="819231" spans="1:1" x14ac:dyDescent="0.25">
      <c r="A819231" s="242"/>
    </row>
    <row r="819232" spans="1:1" x14ac:dyDescent="0.25">
      <c r="A819232" s="242"/>
    </row>
    <row r="819233" spans="1:1" x14ac:dyDescent="0.25">
      <c r="A819233" s="242"/>
    </row>
    <row r="819234" spans="1:1" x14ac:dyDescent="0.25">
      <c r="A819234" s="242"/>
    </row>
    <row r="819235" spans="1:1" x14ac:dyDescent="0.25">
      <c r="A819235" s="242"/>
    </row>
    <row r="819236" spans="1:1" x14ac:dyDescent="0.25">
      <c r="A819236" s="242"/>
    </row>
    <row r="819237" spans="1:1" x14ac:dyDescent="0.25">
      <c r="A819237" s="242"/>
    </row>
    <row r="819238" spans="1:1" x14ac:dyDescent="0.25">
      <c r="A819238" s="242"/>
    </row>
    <row r="819239" spans="1:1" x14ac:dyDescent="0.25">
      <c r="A819239" s="242"/>
    </row>
    <row r="819240" spans="1:1" x14ac:dyDescent="0.25">
      <c r="A819240" s="242"/>
    </row>
    <row r="819241" spans="1:1" x14ac:dyDescent="0.25">
      <c r="A819241" s="242"/>
    </row>
    <row r="819242" spans="1:1" x14ac:dyDescent="0.25">
      <c r="A819242" s="242"/>
    </row>
    <row r="819243" spans="1:1" x14ac:dyDescent="0.25">
      <c r="A819243" s="242"/>
    </row>
    <row r="819244" spans="1:1" x14ac:dyDescent="0.25">
      <c r="A819244" s="242"/>
    </row>
    <row r="819245" spans="1:1" x14ac:dyDescent="0.25">
      <c r="A819245" s="242"/>
    </row>
    <row r="819246" spans="1:1" x14ac:dyDescent="0.25">
      <c r="A819246" s="242"/>
    </row>
    <row r="819247" spans="1:1" x14ac:dyDescent="0.25">
      <c r="A819247" s="242"/>
    </row>
    <row r="819248" spans="1:1" x14ac:dyDescent="0.25">
      <c r="A819248" s="242"/>
    </row>
    <row r="819249" spans="1:1" x14ac:dyDescent="0.25">
      <c r="A819249" s="242"/>
    </row>
    <row r="819250" spans="1:1" x14ac:dyDescent="0.25">
      <c r="A819250" s="242"/>
    </row>
    <row r="819251" spans="1:1" x14ac:dyDescent="0.25">
      <c r="A819251" s="242"/>
    </row>
    <row r="819252" spans="1:1" x14ac:dyDescent="0.25">
      <c r="A819252" s="242"/>
    </row>
    <row r="819253" spans="1:1" x14ac:dyDescent="0.25">
      <c r="A819253" s="242"/>
    </row>
    <row r="819254" spans="1:1" x14ac:dyDescent="0.25">
      <c r="A819254" s="242"/>
    </row>
    <row r="819255" spans="1:1" x14ac:dyDescent="0.25">
      <c r="A819255" s="242"/>
    </row>
    <row r="819256" spans="1:1" x14ac:dyDescent="0.25">
      <c r="A819256" s="242"/>
    </row>
    <row r="819257" spans="1:1" x14ac:dyDescent="0.25">
      <c r="A819257" s="242"/>
    </row>
    <row r="819258" spans="1:1" x14ac:dyDescent="0.25">
      <c r="A819258" s="242"/>
    </row>
    <row r="819259" spans="1:1" x14ac:dyDescent="0.25">
      <c r="A819259" s="242"/>
    </row>
    <row r="819260" spans="1:1" x14ac:dyDescent="0.25">
      <c r="A819260" s="242"/>
    </row>
    <row r="819261" spans="1:1" x14ac:dyDescent="0.25">
      <c r="A819261" s="242"/>
    </row>
    <row r="819262" spans="1:1" x14ac:dyDescent="0.25">
      <c r="A819262" s="242"/>
    </row>
    <row r="819263" spans="1:1" x14ac:dyDescent="0.25">
      <c r="A819263" s="242"/>
    </row>
    <row r="819264" spans="1:1" x14ac:dyDescent="0.25">
      <c r="A819264" s="242"/>
    </row>
    <row r="819265" spans="1:1" x14ac:dyDescent="0.25">
      <c r="A819265" s="242"/>
    </row>
    <row r="819266" spans="1:1" x14ac:dyDescent="0.25">
      <c r="A819266" s="242"/>
    </row>
    <row r="819267" spans="1:1" x14ac:dyDescent="0.25">
      <c r="A819267" s="242"/>
    </row>
    <row r="819268" spans="1:1" x14ac:dyDescent="0.25">
      <c r="A819268" s="242"/>
    </row>
    <row r="819269" spans="1:1" x14ac:dyDescent="0.25">
      <c r="A819269" s="242"/>
    </row>
    <row r="819270" spans="1:1" x14ac:dyDescent="0.25">
      <c r="A819270" s="242"/>
    </row>
    <row r="819271" spans="1:1" x14ac:dyDescent="0.25">
      <c r="A819271" s="242"/>
    </row>
    <row r="819272" spans="1:1" x14ac:dyDescent="0.25">
      <c r="A819272" s="242"/>
    </row>
    <row r="819273" spans="1:1" x14ac:dyDescent="0.25">
      <c r="A819273" s="242"/>
    </row>
    <row r="819274" spans="1:1" x14ac:dyDescent="0.25">
      <c r="A819274" s="242"/>
    </row>
    <row r="819275" spans="1:1" x14ac:dyDescent="0.25">
      <c r="A819275" s="242"/>
    </row>
    <row r="819276" spans="1:1" x14ac:dyDescent="0.25">
      <c r="A819276" s="242"/>
    </row>
    <row r="819277" spans="1:1" x14ac:dyDescent="0.25">
      <c r="A819277" s="242"/>
    </row>
    <row r="819278" spans="1:1" x14ac:dyDescent="0.25">
      <c r="A819278" s="242"/>
    </row>
    <row r="819279" spans="1:1" x14ac:dyDescent="0.25">
      <c r="A819279" s="242"/>
    </row>
    <row r="819280" spans="1:1" x14ac:dyDescent="0.25">
      <c r="A819280" s="242"/>
    </row>
    <row r="819281" spans="1:1" x14ac:dyDescent="0.25">
      <c r="A819281" s="242"/>
    </row>
    <row r="819282" spans="1:1" x14ac:dyDescent="0.25">
      <c r="A819282" s="242"/>
    </row>
    <row r="819283" spans="1:1" x14ac:dyDescent="0.25">
      <c r="A819283" s="242"/>
    </row>
    <row r="819284" spans="1:1" x14ac:dyDescent="0.25">
      <c r="A819284" s="242"/>
    </row>
    <row r="819285" spans="1:1" x14ac:dyDescent="0.25">
      <c r="A819285" s="242"/>
    </row>
    <row r="819286" spans="1:1" x14ac:dyDescent="0.25">
      <c r="A819286" s="242"/>
    </row>
    <row r="819287" spans="1:1" x14ac:dyDescent="0.25">
      <c r="A819287" s="242"/>
    </row>
    <row r="819288" spans="1:1" x14ac:dyDescent="0.25">
      <c r="A819288" s="242"/>
    </row>
    <row r="819289" spans="1:1" x14ac:dyDescent="0.25">
      <c r="A819289" s="242"/>
    </row>
    <row r="819290" spans="1:1" x14ac:dyDescent="0.25">
      <c r="A819290" s="242"/>
    </row>
    <row r="819291" spans="1:1" x14ac:dyDescent="0.25">
      <c r="A819291" s="242"/>
    </row>
    <row r="819292" spans="1:1" x14ac:dyDescent="0.25">
      <c r="A819292" s="242"/>
    </row>
    <row r="819293" spans="1:1" x14ac:dyDescent="0.25">
      <c r="A819293" s="242"/>
    </row>
    <row r="819294" spans="1:1" x14ac:dyDescent="0.25">
      <c r="A819294" s="242"/>
    </row>
    <row r="819295" spans="1:1" x14ac:dyDescent="0.25">
      <c r="A819295" s="242"/>
    </row>
    <row r="819296" spans="1:1" x14ac:dyDescent="0.25">
      <c r="A819296" s="242"/>
    </row>
    <row r="819297" spans="1:1" x14ac:dyDescent="0.25">
      <c r="A819297" s="242"/>
    </row>
    <row r="819298" spans="1:1" x14ac:dyDescent="0.25">
      <c r="A819298" s="242"/>
    </row>
    <row r="819299" spans="1:1" x14ac:dyDescent="0.25">
      <c r="A819299" s="242"/>
    </row>
    <row r="819300" spans="1:1" x14ac:dyDescent="0.25">
      <c r="A819300" s="242"/>
    </row>
    <row r="819301" spans="1:1" x14ac:dyDescent="0.25">
      <c r="A819301" s="242"/>
    </row>
    <row r="819302" spans="1:1" x14ac:dyDescent="0.25">
      <c r="A819302" s="242"/>
    </row>
    <row r="819303" spans="1:1" x14ac:dyDescent="0.25">
      <c r="A819303" s="242"/>
    </row>
    <row r="819304" spans="1:1" x14ac:dyDescent="0.25">
      <c r="A819304" s="242"/>
    </row>
    <row r="819305" spans="1:1" x14ac:dyDescent="0.25">
      <c r="A819305" s="242"/>
    </row>
    <row r="819306" spans="1:1" x14ac:dyDescent="0.25">
      <c r="A819306" s="242"/>
    </row>
    <row r="819307" spans="1:1" x14ac:dyDescent="0.25">
      <c r="A819307" s="242"/>
    </row>
    <row r="819308" spans="1:1" x14ac:dyDescent="0.25">
      <c r="A819308" s="242"/>
    </row>
    <row r="819309" spans="1:1" x14ac:dyDescent="0.25">
      <c r="A819309" s="242"/>
    </row>
    <row r="819310" spans="1:1" x14ac:dyDescent="0.25">
      <c r="A819310" s="242"/>
    </row>
    <row r="819311" spans="1:1" x14ac:dyDescent="0.25">
      <c r="A819311" s="242"/>
    </row>
    <row r="819312" spans="1:1" x14ac:dyDescent="0.25">
      <c r="A819312" s="242"/>
    </row>
    <row r="819313" spans="1:1" x14ac:dyDescent="0.25">
      <c r="A819313" s="242"/>
    </row>
    <row r="819314" spans="1:1" x14ac:dyDescent="0.25">
      <c r="A819314" s="242"/>
    </row>
    <row r="819315" spans="1:1" x14ac:dyDescent="0.25">
      <c r="A819315" s="242"/>
    </row>
    <row r="819316" spans="1:1" x14ac:dyDescent="0.25">
      <c r="A819316" s="242"/>
    </row>
    <row r="819317" spans="1:1" x14ac:dyDescent="0.25">
      <c r="A819317" s="242"/>
    </row>
    <row r="819318" spans="1:1" x14ac:dyDescent="0.25">
      <c r="A819318" s="242"/>
    </row>
    <row r="819319" spans="1:1" x14ac:dyDescent="0.25">
      <c r="A819319" s="242"/>
    </row>
    <row r="819320" spans="1:1" x14ac:dyDescent="0.25">
      <c r="A819320" s="242"/>
    </row>
    <row r="819321" spans="1:1" x14ac:dyDescent="0.25">
      <c r="A819321" s="242"/>
    </row>
    <row r="819322" spans="1:1" x14ac:dyDescent="0.25">
      <c r="A819322" s="242"/>
    </row>
    <row r="819323" spans="1:1" x14ac:dyDescent="0.25">
      <c r="A819323" s="242"/>
    </row>
    <row r="819324" spans="1:1" x14ac:dyDescent="0.25">
      <c r="A819324" s="242"/>
    </row>
    <row r="819325" spans="1:1" x14ac:dyDescent="0.25">
      <c r="A819325" s="242"/>
    </row>
    <row r="819326" spans="1:1" x14ac:dyDescent="0.25">
      <c r="A819326" s="242"/>
    </row>
    <row r="819327" spans="1:1" x14ac:dyDescent="0.25">
      <c r="A819327" s="242"/>
    </row>
    <row r="819328" spans="1:1" x14ac:dyDescent="0.25">
      <c r="A819328" s="242"/>
    </row>
    <row r="819329" spans="1:1" x14ac:dyDescent="0.25">
      <c r="A819329" s="242"/>
    </row>
    <row r="819330" spans="1:1" x14ac:dyDescent="0.25">
      <c r="A819330" s="242"/>
    </row>
    <row r="819331" spans="1:1" x14ac:dyDescent="0.25">
      <c r="A819331" s="242"/>
    </row>
    <row r="819332" spans="1:1" x14ac:dyDescent="0.25">
      <c r="A819332" s="242"/>
    </row>
    <row r="819333" spans="1:1" x14ac:dyDescent="0.25">
      <c r="A819333" s="242"/>
    </row>
    <row r="819334" spans="1:1" x14ac:dyDescent="0.25">
      <c r="A819334" s="242"/>
    </row>
    <row r="819335" spans="1:1" x14ac:dyDescent="0.25">
      <c r="A819335" s="242"/>
    </row>
    <row r="819336" spans="1:1" x14ac:dyDescent="0.25">
      <c r="A819336" s="242"/>
    </row>
    <row r="819337" spans="1:1" x14ac:dyDescent="0.25">
      <c r="A819337" s="242"/>
    </row>
    <row r="819338" spans="1:1" x14ac:dyDescent="0.25">
      <c r="A819338" s="242"/>
    </row>
    <row r="819339" spans="1:1" x14ac:dyDescent="0.25">
      <c r="A819339" s="242"/>
    </row>
    <row r="819340" spans="1:1" x14ac:dyDescent="0.25">
      <c r="A819340" s="242"/>
    </row>
    <row r="819341" spans="1:1" x14ac:dyDescent="0.25">
      <c r="A819341" s="242"/>
    </row>
    <row r="819342" spans="1:1" x14ac:dyDescent="0.25">
      <c r="A819342" s="242"/>
    </row>
    <row r="819343" spans="1:1" x14ac:dyDescent="0.25">
      <c r="A819343" s="242"/>
    </row>
    <row r="819344" spans="1:1" x14ac:dyDescent="0.25">
      <c r="A819344" s="242"/>
    </row>
    <row r="819345" spans="1:1" x14ac:dyDescent="0.25">
      <c r="A819345" s="242"/>
    </row>
    <row r="819346" spans="1:1" x14ac:dyDescent="0.25">
      <c r="A819346" s="242"/>
    </row>
    <row r="819347" spans="1:1" x14ac:dyDescent="0.25">
      <c r="A819347" s="242"/>
    </row>
    <row r="819348" spans="1:1" x14ac:dyDescent="0.25">
      <c r="A819348" s="242"/>
    </row>
    <row r="819349" spans="1:1" x14ac:dyDescent="0.25">
      <c r="A819349" s="242"/>
    </row>
    <row r="819350" spans="1:1" x14ac:dyDescent="0.25">
      <c r="A819350" s="242"/>
    </row>
    <row r="819351" spans="1:1" x14ac:dyDescent="0.25">
      <c r="A819351" s="242"/>
    </row>
    <row r="819352" spans="1:1" x14ac:dyDescent="0.25">
      <c r="A819352" s="242"/>
    </row>
    <row r="819353" spans="1:1" x14ac:dyDescent="0.25">
      <c r="A819353" s="242"/>
    </row>
    <row r="819354" spans="1:1" x14ac:dyDescent="0.25">
      <c r="A819354" s="242"/>
    </row>
    <row r="819355" spans="1:1" x14ac:dyDescent="0.25">
      <c r="A819355" s="242"/>
    </row>
    <row r="819356" spans="1:1" x14ac:dyDescent="0.25">
      <c r="A819356" s="242"/>
    </row>
    <row r="819357" spans="1:1" x14ac:dyDescent="0.25">
      <c r="A819357" s="242"/>
    </row>
    <row r="819358" spans="1:1" x14ac:dyDescent="0.25">
      <c r="A819358" s="242"/>
    </row>
    <row r="819359" spans="1:1" x14ac:dyDescent="0.25">
      <c r="A819359" s="242"/>
    </row>
    <row r="819360" spans="1:1" x14ac:dyDescent="0.25">
      <c r="A819360" s="242"/>
    </row>
    <row r="819361" spans="1:1" x14ac:dyDescent="0.25">
      <c r="A819361" s="242"/>
    </row>
    <row r="819362" spans="1:1" x14ac:dyDescent="0.25">
      <c r="A819362" s="242"/>
    </row>
    <row r="819363" spans="1:1" x14ac:dyDescent="0.25">
      <c r="A819363" s="242"/>
    </row>
    <row r="819364" spans="1:1" x14ac:dyDescent="0.25">
      <c r="A819364" s="242"/>
    </row>
    <row r="819365" spans="1:1" x14ac:dyDescent="0.25">
      <c r="A819365" s="242"/>
    </row>
    <row r="819366" spans="1:1" x14ac:dyDescent="0.25">
      <c r="A819366" s="242"/>
    </row>
    <row r="819367" spans="1:1" x14ac:dyDescent="0.25">
      <c r="A819367" s="242"/>
    </row>
    <row r="819368" spans="1:1" x14ac:dyDescent="0.25">
      <c r="A819368" s="242"/>
    </row>
    <row r="819369" spans="1:1" x14ac:dyDescent="0.25">
      <c r="A819369" s="242"/>
    </row>
    <row r="819370" spans="1:1" x14ac:dyDescent="0.25">
      <c r="A819370" s="242"/>
    </row>
    <row r="819371" spans="1:1" x14ac:dyDescent="0.25">
      <c r="A819371" s="242"/>
    </row>
    <row r="819372" spans="1:1" x14ac:dyDescent="0.25">
      <c r="A819372" s="242"/>
    </row>
    <row r="819373" spans="1:1" x14ac:dyDescent="0.25">
      <c r="A819373" s="242"/>
    </row>
    <row r="819374" spans="1:1" x14ac:dyDescent="0.25">
      <c r="A819374" s="242"/>
    </row>
    <row r="819375" spans="1:1" x14ac:dyDescent="0.25">
      <c r="A819375" s="242"/>
    </row>
    <row r="819376" spans="1:1" x14ac:dyDescent="0.25">
      <c r="A819376" s="242"/>
    </row>
    <row r="819377" spans="1:1" x14ac:dyDescent="0.25">
      <c r="A819377" s="242"/>
    </row>
    <row r="819378" spans="1:1" x14ac:dyDescent="0.25">
      <c r="A819378" s="242"/>
    </row>
    <row r="819379" spans="1:1" x14ac:dyDescent="0.25">
      <c r="A819379" s="242"/>
    </row>
    <row r="819380" spans="1:1" x14ac:dyDescent="0.25">
      <c r="A819380" s="242"/>
    </row>
    <row r="819381" spans="1:1" x14ac:dyDescent="0.25">
      <c r="A819381" s="242"/>
    </row>
    <row r="819382" spans="1:1" x14ac:dyDescent="0.25">
      <c r="A819382" s="242"/>
    </row>
    <row r="819383" spans="1:1" x14ac:dyDescent="0.25">
      <c r="A819383" s="242"/>
    </row>
    <row r="819384" spans="1:1" x14ac:dyDescent="0.25">
      <c r="A819384" s="242"/>
    </row>
    <row r="819385" spans="1:1" x14ac:dyDescent="0.25">
      <c r="A819385" s="242"/>
    </row>
    <row r="819386" spans="1:1" x14ac:dyDescent="0.25">
      <c r="A819386" s="242"/>
    </row>
    <row r="819387" spans="1:1" x14ac:dyDescent="0.25">
      <c r="A819387" s="242"/>
    </row>
    <row r="819388" spans="1:1" x14ac:dyDescent="0.25">
      <c r="A819388" s="242"/>
    </row>
    <row r="819389" spans="1:1" x14ac:dyDescent="0.25">
      <c r="A819389" s="242"/>
    </row>
    <row r="819390" spans="1:1" x14ac:dyDescent="0.25">
      <c r="A819390" s="242"/>
    </row>
    <row r="819391" spans="1:1" x14ac:dyDescent="0.25">
      <c r="A819391" s="242"/>
    </row>
    <row r="819392" spans="1:1" x14ac:dyDescent="0.25">
      <c r="A819392" s="242"/>
    </row>
    <row r="819393" spans="1:1" x14ac:dyDescent="0.25">
      <c r="A819393" s="242"/>
    </row>
    <row r="819394" spans="1:1" x14ac:dyDescent="0.25">
      <c r="A819394" s="242"/>
    </row>
    <row r="819395" spans="1:1" x14ac:dyDescent="0.25">
      <c r="A819395" s="242"/>
    </row>
    <row r="819396" spans="1:1" x14ac:dyDescent="0.25">
      <c r="A819396" s="242"/>
    </row>
    <row r="819397" spans="1:1" x14ac:dyDescent="0.25">
      <c r="A819397" s="242"/>
    </row>
    <row r="819398" spans="1:1" x14ac:dyDescent="0.25">
      <c r="A819398" s="242"/>
    </row>
    <row r="819399" spans="1:1" x14ac:dyDescent="0.25">
      <c r="A819399" s="242"/>
    </row>
    <row r="819400" spans="1:1" x14ac:dyDescent="0.25">
      <c r="A819400" s="242"/>
    </row>
    <row r="819401" spans="1:1" x14ac:dyDescent="0.25">
      <c r="A819401" s="242"/>
    </row>
    <row r="819402" spans="1:1" x14ac:dyDescent="0.25">
      <c r="A819402" s="242"/>
    </row>
    <row r="819403" spans="1:1" x14ac:dyDescent="0.25">
      <c r="A819403" s="242"/>
    </row>
    <row r="819404" spans="1:1" x14ac:dyDescent="0.25">
      <c r="A819404" s="242"/>
    </row>
    <row r="819405" spans="1:1" x14ac:dyDescent="0.25">
      <c r="A819405" s="242"/>
    </row>
    <row r="819406" spans="1:1" x14ac:dyDescent="0.25">
      <c r="A819406" s="242"/>
    </row>
    <row r="819407" spans="1:1" x14ac:dyDescent="0.25">
      <c r="A819407" s="242"/>
    </row>
    <row r="819408" spans="1:1" x14ac:dyDescent="0.25">
      <c r="A819408" s="242"/>
    </row>
    <row r="819409" spans="1:1" x14ac:dyDescent="0.25">
      <c r="A819409" s="242"/>
    </row>
    <row r="819410" spans="1:1" x14ac:dyDescent="0.25">
      <c r="A819410" s="242"/>
    </row>
    <row r="819411" spans="1:1" x14ac:dyDescent="0.25">
      <c r="A819411" s="242"/>
    </row>
    <row r="819412" spans="1:1" x14ac:dyDescent="0.25">
      <c r="A819412" s="242"/>
    </row>
    <row r="819413" spans="1:1" x14ac:dyDescent="0.25">
      <c r="A819413" s="242"/>
    </row>
    <row r="819414" spans="1:1" x14ac:dyDescent="0.25">
      <c r="A819414" s="242"/>
    </row>
    <row r="819415" spans="1:1" x14ac:dyDescent="0.25">
      <c r="A819415" s="242"/>
    </row>
    <row r="819416" spans="1:1" x14ac:dyDescent="0.25">
      <c r="A819416" s="242"/>
    </row>
    <row r="819417" spans="1:1" x14ac:dyDescent="0.25">
      <c r="A819417" s="242"/>
    </row>
    <row r="819418" spans="1:1" x14ac:dyDescent="0.25">
      <c r="A819418" s="242"/>
    </row>
    <row r="819419" spans="1:1" x14ac:dyDescent="0.25">
      <c r="A819419" s="242"/>
    </row>
    <row r="819420" spans="1:1" x14ac:dyDescent="0.25">
      <c r="A819420" s="242"/>
    </row>
    <row r="819421" spans="1:1" x14ac:dyDescent="0.25">
      <c r="A819421" s="242"/>
    </row>
    <row r="819422" spans="1:1" x14ac:dyDescent="0.25">
      <c r="A819422" s="242"/>
    </row>
    <row r="819423" spans="1:1" x14ac:dyDescent="0.25">
      <c r="A819423" s="242"/>
    </row>
    <row r="819424" spans="1:1" x14ac:dyDescent="0.25">
      <c r="A819424" s="242"/>
    </row>
    <row r="819425" spans="1:1" x14ac:dyDescent="0.25">
      <c r="A819425" s="242"/>
    </row>
    <row r="819426" spans="1:1" x14ac:dyDescent="0.25">
      <c r="A819426" s="242"/>
    </row>
    <row r="819427" spans="1:1" x14ac:dyDescent="0.25">
      <c r="A819427" s="242"/>
    </row>
    <row r="819428" spans="1:1" x14ac:dyDescent="0.25">
      <c r="A819428" s="242"/>
    </row>
    <row r="819429" spans="1:1" x14ac:dyDescent="0.25">
      <c r="A819429" s="242"/>
    </row>
    <row r="819430" spans="1:1" x14ac:dyDescent="0.25">
      <c r="A819430" s="242"/>
    </row>
    <row r="819431" spans="1:1" x14ac:dyDescent="0.25">
      <c r="A819431" s="242"/>
    </row>
    <row r="819432" spans="1:1" x14ac:dyDescent="0.25">
      <c r="A819432" s="242"/>
    </row>
    <row r="819433" spans="1:1" x14ac:dyDescent="0.25">
      <c r="A819433" s="242"/>
    </row>
    <row r="819434" spans="1:1" x14ac:dyDescent="0.25">
      <c r="A819434" s="242"/>
    </row>
    <row r="819435" spans="1:1" x14ac:dyDescent="0.25">
      <c r="A819435" s="242"/>
    </row>
    <row r="819436" spans="1:1" x14ac:dyDescent="0.25">
      <c r="A819436" s="242"/>
    </row>
    <row r="819437" spans="1:1" x14ac:dyDescent="0.25">
      <c r="A819437" s="242"/>
    </row>
    <row r="819438" spans="1:1" x14ac:dyDescent="0.25">
      <c r="A819438" s="242"/>
    </row>
    <row r="819439" spans="1:1" x14ac:dyDescent="0.25">
      <c r="A819439" s="242"/>
    </row>
    <row r="819440" spans="1:1" x14ac:dyDescent="0.25">
      <c r="A819440" s="242"/>
    </row>
    <row r="819441" spans="1:1" x14ac:dyDescent="0.25">
      <c r="A819441" s="242"/>
    </row>
    <row r="819442" spans="1:1" x14ac:dyDescent="0.25">
      <c r="A819442" s="242"/>
    </row>
    <row r="819443" spans="1:1" x14ac:dyDescent="0.25">
      <c r="A819443" s="242"/>
    </row>
    <row r="819444" spans="1:1" x14ac:dyDescent="0.25">
      <c r="A819444" s="242"/>
    </row>
    <row r="819445" spans="1:1" x14ac:dyDescent="0.25">
      <c r="A819445" s="242"/>
    </row>
    <row r="819446" spans="1:1" x14ac:dyDescent="0.25">
      <c r="A819446" s="242"/>
    </row>
    <row r="819447" spans="1:1" x14ac:dyDescent="0.25">
      <c r="A819447" s="242"/>
    </row>
    <row r="819448" spans="1:1" x14ac:dyDescent="0.25">
      <c r="A819448" s="242"/>
    </row>
    <row r="819449" spans="1:1" x14ac:dyDescent="0.25">
      <c r="A819449" s="242"/>
    </row>
    <row r="819450" spans="1:1" x14ac:dyDescent="0.25">
      <c r="A819450" s="242"/>
    </row>
    <row r="819451" spans="1:1" x14ac:dyDescent="0.25">
      <c r="A819451" s="242"/>
    </row>
    <row r="819452" spans="1:1" x14ac:dyDescent="0.25">
      <c r="A819452" s="242"/>
    </row>
    <row r="819453" spans="1:1" x14ac:dyDescent="0.25">
      <c r="A819453" s="242"/>
    </row>
    <row r="819454" spans="1:1" x14ac:dyDescent="0.25">
      <c r="A819454" s="242"/>
    </row>
    <row r="819455" spans="1:1" x14ac:dyDescent="0.25">
      <c r="A819455" s="242"/>
    </row>
    <row r="819456" spans="1:1" x14ac:dyDescent="0.25">
      <c r="A819456" s="242"/>
    </row>
    <row r="819457" spans="1:1" x14ac:dyDescent="0.25">
      <c r="A819457" s="242"/>
    </row>
    <row r="819458" spans="1:1" x14ac:dyDescent="0.25">
      <c r="A819458" s="242"/>
    </row>
    <row r="819459" spans="1:1" x14ac:dyDescent="0.25">
      <c r="A819459" s="242"/>
    </row>
    <row r="819460" spans="1:1" x14ac:dyDescent="0.25">
      <c r="A819460" s="242"/>
    </row>
    <row r="819461" spans="1:1" x14ac:dyDescent="0.25">
      <c r="A819461" s="242"/>
    </row>
    <row r="819462" spans="1:1" x14ac:dyDescent="0.25">
      <c r="A819462" s="242"/>
    </row>
    <row r="819463" spans="1:1" x14ac:dyDescent="0.25">
      <c r="A819463" s="242"/>
    </row>
    <row r="819464" spans="1:1" x14ac:dyDescent="0.25">
      <c r="A819464" s="242"/>
    </row>
    <row r="819465" spans="1:1" x14ac:dyDescent="0.25">
      <c r="A819465" s="242"/>
    </row>
    <row r="819466" spans="1:1" x14ac:dyDescent="0.25">
      <c r="A819466" s="242"/>
    </row>
    <row r="819467" spans="1:1" x14ac:dyDescent="0.25">
      <c r="A819467" s="242"/>
    </row>
    <row r="819468" spans="1:1" x14ac:dyDescent="0.25">
      <c r="A819468" s="242"/>
    </row>
    <row r="819469" spans="1:1" x14ac:dyDescent="0.25">
      <c r="A819469" s="242"/>
    </row>
    <row r="819470" spans="1:1" x14ac:dyDescent="0.25">
      <c r="A819470" s="242"/>
    </row>
    <row r="819471" spans="1:1" x14ac:dyDescent="0.25">
      <c r="A819471" s="242"/>
    </row>
    <row r="819472" spans="1:1" x14ac:dyDescent="0.25">
      <c r="A819472" s="242"/>
    </row>
    <row r="819473" spans="1:1" x14ac:dyDescent="0.25">
      <c r="A819473" s="242"/>
    </row>
    <row r="819474" spans="1:1" x14ac:dyDescent="0.25">
      <c r="A819474" s="242"/>
    </row>
    <row r="819475" spans="1:1" x14ac:dyDescent="0.25">
      <c r="A819475" s="242"/>
    </row>
    <row r="819476" spans="1:1" x14ac:dyDescent="0.25">
      <c r="A819476" s="242"/>
    </row>
    <row r="819477" spans="1:1" x14ac:dyDescent="0.25">
      <c r="A819477" s="242"/>
    </row>
    <row r="819478" spans="1:1" x14ac:dyDescent="0.25">
      <c r="A819478" s="242"/>
    </row>
    <row r="819479" spans="1:1" x14ac:dyDescent="0.25">
      <c r="A819479" s="242"/>
    </row>
    <row r="819480" spans="1:1" x14ac:dyDescent="0.25">
      <c r="A819480" s="242"/>
    </row>
    <row r="819481" spans="1:1" x14ac:dyDescent="0.25">
      <c r="A819481" s="242"/>
    </row>
    <row r="819482" spans="1:1" x14ac:dyDescent="0.25">
      <c r="A819482" s="242"/>
    </row>
    <row r="819483" spans="1:1" x14ac:dyDescent="0.25">
      <c r="A819483" s="242"/>
    </row>
    <row r="819484" spans="1:1" x14ac:dyDescent="0.25">
      <c r="A819484" s="242"/>
    </row>
    <row r="819485" spans="1:1" x14ac:dyDescent="0.25">
      <c r="A819485" s="242"/>
    </row>
    <row r="819486" spans="1:1" x14ac:dyDescent="0.25">
      <c r="A819486" s="242"/>
    </row>
    <row r="819487" spans="1:1" x14ac:dyDescent="0.25">
      <c r="A819487" s="242"/>
    </row>
    <row r="819488" spans="1:1" x14ac:dyDescent="0.25">
      <c r="A819488" s="242"/>
    </row>
    <row r="819489" spans="1:1" x14ac:dyDescent="0.25">
      <c r="A819489" s="242"/>
    </row>
    <row r="819490" spans="1:1" x14ac:dyDescent="0.25">
      <c r="A819490" s="242"/>
    </row>
    <row r="819491" spans="1:1" x14ac:dyDescent="0.25">
      <c r="A819491" s="242"/>
    </row>
    <row r="819492" spans="1:1" x14ac:dyDescent="0.25">
      <c r="A819492" s="242"/>
    </row>
    <row r="819493" spans="1:1" x14ac:dyDescent="0.25">
      <c r="A819493" s="242"/>
    </row>
    <row r="819494" spans="1:1" x14ac:dyDescent="0.25">
      <c r="A819494" s="242"/>
    </row>
    <row r="819495" spans="1:1" x14ac:dyDescent="0.25">
      <c r="A819495" s="242"/>
    </row>
    <row r="819496" spans="1:1" x14ac:dyDescent="0.25">
      <c r="A819496" s="242"/>
    </row>
    <row r="819497" spans="1:1" x14ac:dyDescent="0.25">
      <c r="A819497" s="242"/>
    </row>
    <row r="819498" spans="1:1" x14ac:dyDescent="0.25">
      <c r="A819498" s="242"/>
    </row>
    <row r="819499" spans="1:1" x14ac:dyDescent="0.25">
      <c r="A819499" s="242"/>
    </row>
    <row r="819500" spans="1:1" x14ac:dyDescent="0.25">
      <c r="A819500" s="242"/>
    </row>
    <row r="819501" spans="1:1" x14ac:dyDescent="0.25">
      <c r="A819501" s="242"/>
    </row>
    <row r="819502" spans="1:1" x14ac:dyDescent="0.25">
      <c r="A819502" s="242"/>
    </row>
    <row r="819503" spans="1:1" x14ac:dyDescent="0.25">
      <c r="A819503" s="242"/>
    </row>
    <row r="819504" spans="1:1" x14ac:dyDescent="0.25">
      <c r="A819504" s="242"/>
    </row>
    <row r="819505" spans="1:1" x14ac:dyDescent="0.25">
      <c r="A819505" s="242"/>
    </row>
    <row r="819506" spans="1:1" x14ac:dyDescent="0.25">
      <c r="A819506" s="242"/>
    </row>
    <row r="819507" spans="1:1" x14ac:dyDescent="0.25">
      <c r="A819507" s="242"/>
    </row>
    <row r="819508" spans="1:1" x14ac:dyDescent="0.25">
      <c r="A819508" s="242"/>
    </row>
    <row r="819509" spans="1:1" x14ac:dyDescent="0.25">
      <c r="A819509" s="242"/>
    </row>
    <row r="819510" spans="1:1" x14ac:dyDescent="0.25">
      <c r="A819510" s="242"/>
    </row>
    <row r="819511" spans="1:1" x14ac:dyDescent="0.25">
      <c r="A819511" s="242"/>
    </row>
    <row r="819512" spans="1:1" x14ac:dyDescent="0.25">
      <c r="A819512" s="242"/>
    </row>
    <row r="819513" spans="1:1" x14ac:dyDescent="0.25">
      <c r="A819513" s="242"/>
    </row>
    <row r="819514" spans="1:1" x14ac:dyDescent="0.25">
      <c r="A819514" s="242"/>
    </row>
    <row r="819515" spans="1:1" x14ac:dyDescent="0.25">
      <c r="A819515" s="242"/>
    </row>
    <row r="819516" spans="1:1" x14ac:dyDescent="0.25">
      <c r="A819516" s="242"/>
    </row>
    <row r="819517" spans="1:1" x14ac:dyDescent="0.25">
      <c r="A819517" s="242"/>
    </row>
    <row r="819518" spans="1:1" x14ac:dyDescent="0.25">
      <c r="A819518" s="242"/>
    </row>
    <row r="819519" spans="1:1" x14ac:dyDescent="0.25">
      <c r="A819519" s="242"/>
    </row>
    <row r="819520" spans="1:1" x14ac:dyDescent="0.25">
      <c r="A819520" s="242"/>
    </row>
    <row r="819521" spans="1:1" x14ac:dyDescent="0.25">
      <c r="A819521" s="242"/>
    </row>
    <row r="819522" spans="1:1" x14ac:dyDescent="0.25">
      <c r="A819522" s="242"/>
    </row>
    <row r="819523" spans="1:1" x14ac:dyDescent="0.25">
      <c r="A819523" s="242"/>
    </row>
    <row r="819524" spans="1:1" x14ac:dyDescent="0.25">
      <c r="A819524" s="242"/>
    </row>
    <row r="819525" spans="1:1" x14ac:dyDescent="0.25">
      <c r="A819525" s="242"/>
    </row>
    <row r="819526" spans="1:1" x14ac:dyDescent="0.25">
      <c r="A819526" s="242"/>
    </row>
    <row r="819527" spans="1:1" x14ac:dyDescent="0.25">
      <c r="A819527" s="242"/>
    </row>
    <row r="819528" spans="1:1" x14ac:dyDescent="0.25">
      <c r="A819528" s="242"/>
    </row>
    <row r="819529" spans="1:1" x14ac:dyDescent="0.25">
      <c r="A819529" s="242"/>
    </row>
    <row r="819530" spans="1:1" x14ac:dyDescent="0.25">
      <c r="A819530" s="242"/>
    </row>
    <row r="819531" spans="1:1" x14ac:dyDescent="0.25">
      <c r="A819531" s="242"/>
    </row>
    <row r="819532" spans="1:1" x14ac:dyDescent="0.25">
      <c r="A819532" s="242"/>
    </row>
    <row r="819533" spans="1:1" x14ac:dyDescent="0.25">
      <c r="A819533" s="242"/>
    </row>
    <row r="819534" spans="1:1" x14ac:dyDescent="0.25">
      <c r="A819534" s="242"/>
    </row>
    <row r="819535" spans="1:1" x14ac:dyDescent="0.25">
      <c r="A819535" s="242"/>
    </row>
    <row r="819536" spans="1:1" x14ac:dyDescent="0.25">
      <c r="A819536" s="242"/>
    </row>
    <row r="819537" spans="1:1" x14ac:dyDescent="0.25">
      <c r="A819537" s="242"/>
    </row>
    <row r="819538" spans="1:1" x14ac:dyDescent="0.25">
      <c r="A819538" s="242"/>
    </row>
    <row r="819539" spans="1:1" x14ac:dyDescent="0.25">
      <c r="A819539" s="242"/>
    </row>
    <row r="819540" spans="1:1" x14ac:dyDescent="0.25">
      <c r="A819540" s="242"/>
    </row>
    <row r="819541" spans="1:1" x14ac:dyDescent="0.25">
      <c r="A819541" s="242"/>
    </row>
    <row r="819542" spans="1:1" x14ac:dyDescent="0.25">
      <c r="A819542" s="242"/>
    </row>
    <row r="819543" spans="1:1" x14ac:dyDescent="0.25">
      <c r="A819543" s="242"/>
    </row>
    <row r="819544" spans="1:1" x14ac:dyDescent="0.25">
      <c r="A819544" s="242"/>
    </row>
    <row r="819545" spans="1:1" x14ac:dyDescent="0.25">
      <c r="A819545" s="242"/>
    </row>
    <row r="819546" spans="1:1" x14ac:dyDescent="0.25">
      <c r="A819546" s="242"/>
    </row>
    <row r="819547" spans="1:1" x14ac:dyDescent="0.25">
      <c r="A819547" s="242"/>
    </row>
    <row r="819548" spans="1:1" x14ac:dyDescent="0.25">
      <c r="A819548" s="242"/>
    </row>
    <row r="819549" spans="1:1" x14ac:dyDescent="0.25">
      <c r="A819549" s="242"/>
    </row>
    <row r="819550" spans="1:1" x14ac:dyDescent="0.25">
      <c r="A819550" s="242"/>
    </row>
    <row r="819551" spans="1:1" x14ac:dyDescent="0.25">
      <c r="A819551" s="242"/>
    </row>
    <row r="819552" spans="1:1" x14ac:dyDescent="0.25">
      <c r="A819552" s="242"/>
    </row>
    <row r="819553" spans="1:1" x14ac:dyDescent="0.25">
      <c r="A819553" s="242"/>
    </row>
    <row r="819554" spans="1:1" x14ac:dyDescent="0.25">
      <c r="A819554" s="242"/>
    </row>
    <row r="819555" spans="1:1" x14ac:dyDescent="0.25">
      <c r="A819555" s="242"/>
    </row>
    <row r="819556" spans="1:1" x14ac:dyDescent="0.25">
      <c r="A819556" s="242"/>
    </row>
    <row r="819557" spans="1:1" x14ac:dyDescent="0.25">
      <c r="A819557" s="242"/>
    </row>
    <row r="819558" spans="1:1" x14ac:dyDescent="0.25">
      <c r="A819558" s="242"/>
    </row>
    <row r="819559" spans="1:1" x14ac:dyDescent="0.25">
      <c r="A819559" s="242"/>
    </row>
    <row r="819560" spans="1:1" x14ac:dyDescent="0.25">
      <c r="A819560" s="242"/>
    </row>
    <row r="819561" spans="1:1" x14ac:dyDescent="0.25">
      <c r="A819561" s="242"/>
    </row>
    <row r="819562" spans="1:1" x14ac:dyDescent="0.25">
      <c r="A819562" s="242"/>
    </row>
    <row r="819563" spans="1:1" x14ac:dyDescent="0.25">
      <c r="A819563" s="242"/>
    </row>
    <row r="819564" spans="1:1" x14ac:dyDescent="0.25">
      <c r="A819564" s="242"/>
    </row>
    <row r="819565" spans="1:1" x14ac:dyDescent="0.25">
      <c r="A819565" s="242"/>
    </row>
    <row r="819566" spans="1:1" x14ac:dyDescent="0.25">
      <c r="A819566" s="242"/>
    </row>
    <row r="819567" spans="1:1" x14ac:dyDescent="0.25">
      <c r="A819567" s="242"/>
    </row>
    <row r="819568" spans="1:1" x14ac:dyDescent="0.25">
      <c r="A819568" s="242"/>
    </row>
    <row r="819569" spans="1:1" x14ac:dyDescent="0.25">
      <c r="A819569" s="242"/>
    </row>
    <row r="819570" spans="1:1" x14ac:dyDescent="0.25">
      <c r="A819570" s="242"/>
    </row>
    <row r="819571" spans="1:1" x14ac:dyDescent="0.25">
      <c r="A819571" s="242"/>
    </row>
    <row r="819572" spans="1:1" x14ac:dyDescent="0.25">
      <c r="A819572" s="242"/>
    </row>
    <row r="819573" spans="1:1" x14ac:dyDescent="0.25">
      <c r="A819573" s="242"/>
    </row>
    <row r="819574" spans="1:1" x14ac:dyDescent="0.25">
      <c r="A819574" s="242"/>
    </row>
    <row r="819575" spans="1:1" x14ac:dyDescent="0.25">
      <c r="A819575" s="242"/>
    </row>
    <row r="819576" spans="1:1" x14ac:dyDescent="0.25">
      <c r="A819576" s="242"/>
    </row>
    <row r="819577" spans="1:1" x14ac:dyDescent="0.25">
      <c r="A819577" s="242"/>
    </row>
    <row r="819578" spans="1:1" x14ac:dyDescent="0.25">
      <c r="A819578" s="242"/>
    </row>
    <row r="819579" spans="1:1" x14ac:dyDescent="0.25">
      <c r="A819579" s="242"/>
    </row>
    <row r="819580" spans="1:1" x14ac:dyDescent="0.25">
      <c r="A819580" s="242"/>
    </row>
    <row r="819581" spans="1:1" x14ac:dyDescent="0.25">
      <c r="A819581" s="242"/>
    </row>
    <row r="819582" spans="1:1" x14ac:dyDescent="0.25">
      <c r="A819582" s="242"/>
    </row>
    <row r="819583" spans="1:1" x14ac:dyDescent="0.25">
      <c r="A819583" s="242"/>
    </row>
    <row r="819584" spans="1:1" x14ac:dyDescent="0.25">
      <c r="A819584" s="242"/>
    </row>
    <row r="819585" spans="1:1" x14ac:dyDescent="0.25">
      <c r="A819585" s="242"/>
    </row>
    <row r="819586" spans="1:1" x14ac:dyDescent="0.25">
      <c r="A819586" s="242"/>
    </row>
    <row r="819587" spans="1:1" x14ac:dyDescent="0.25">
      <c r="A819587" s="242"/>
    </row>
    <row r="819588" spans="1:1" x14ac:dyDescent="0.25">
      <c r="A819588" s="242"/>
    </row>
    <row r="819589" spans="1:1" x14ac:dyDescent="0.25">
      <c r="A819589" s="242"/>
    </row>
    <row r="819590" spans="1:1" x14ac:dyDescent="0.25">
      <c r="A819590" s="242"/>
    </row>
    <row r="819591" spans="1:1" x14ac:dyDescent="0.25">
      <c r="A819591" s="242"/>
    </row>
    <row r="819592" spans="1:1" x14ac:dyDescent="0.25">
      <c r="A819592" s="242"/>
    </row>
    <row r="819593" spans="1:1" x14ac:dyDescent="0.25">
      <c r="A819593" s="242"/>
    </row>
    <row r="819594" spans="1:1" x14ac:dyDescent="0.25">
      <c r="A819594" s="242"/>
    </row>
    <row r="819595" spans="1:1" x14ac:dyDescent="0.25">
      <c r="A819595" s="242"/>
    </row>
    <row r="819596" spans="1:1" x14ac:dyDescent="0.25">
      <c r="A819596" s="242"/>
    </row>
    <row r="819597" spans="1:1" x14ac:dyDescent="0.25">
      <c r="A819597" s="242"/>
    </row>
    <row r="819598" spans="1:1" x14ac:dyDescent="0.25">
      <c r="A819598" s="242"/>
    </row>
    <row r="819599" spans="1:1" x14ac:dyDescent="0.25">
      <c r="A819599" s="242"/>
    </row>
    <row r="819600" spans="1:1" x14ac:dyDescent="0.25">
      <c r="A819600" s="242"/>
    </row>
    <row r="819601" spans="1:1" x14ac:dyDescent="0.25">
      <c r="A819601" s="242"/>
    </row>
    <row r="819602" spans="1:1" x14ac:dyDescent="0.25">
      <c r="A819602" s="242"/>
    </row>
    <row r="819603" spans="1:1" x14ac:dyDescent="0.25">
      <c r="A819603" s="242"/>
    </row>
    <row r="819604" spans="1:1" x14ac:dyDescent="0.25">
      <c r="A819604" s="242"/>
    </row>
    <row r="819605" spans="1:1" x14ac:dyDescent="0.25">
      <c r="A819605" s="242"/>
    </row>
    <row r="819606" spans="1:1" x14ac:dyDescent="0.25">
      <c r="A819606" s="242"/>
    </row>
    <row r="819607" spans="1:1" x14ac:dyDescent="0.25">
      <c r="A819607" s="242"/>
    </row>
    <row r="819608" spans="1:1" x14ac:dyDescent="0.25">
      <c r="A819608" s="242"/>
    </row>
    <row r="819609" spans="1:1" x14ac:dyDescent="0.25">
      <c r="A819609" s="242"/>
    </row>
    <row r="819610" spans="1:1" x14ac:dyDescent="0.25">
      <c r="A819610" s="242"/>
    </row>
    <row r="819611" spans="1:1" x14ac:dyDescent="0.25">
      <c r="A819611" s="242"/>
    </row>
    <row r="819612" spans="1:1" x14ac:dyDescent="0.25">
      <c r="A819612" s="242"/>
    </row>
    <row r="819613" spans="1:1" x14ac:dyDescent="0.25">
      <c r="A819613" s="242"/>
    </row>
    <row r="819614" spans="1:1" x14ac:dyDescent="0.25">
      <c r="A819614" s="242"/>
    </row>
    <row r="819615" spans="1:1" x14ac:dyDescent="0.25">
      <c r="A819615" s="242"/>
    </row>
    <row r="819616" spans="1:1" x14ac:dyDescent="0.25">
      <c r="A819616" s="242"/>
    </row>
    <row r="819617" spans="1:1" x14ac:dyDescent="0.25">
      <c r="A819617" s="242"/>
    </row>
    <row r="819618" spans="1:1" x14ac:dyDescent="0.25">
      <c r="A819618" s="242"/>
    </row>
    <row r="819619" spans="1:1" x14ac:dyDescent="0.25">
      <c r="A819619" s="242"/>
    </row>
    <row r="819620" spans="1:1" x14ac:dyDescent="0.25">
      <c r="A819620" s="242"/>
    </row>
    <row r="819621" spans="1:1" x14ac:dyDescent="0.25">
      <c r="A819621" s="242"/>
    </row>
    <row r="819622" spans="1:1" x14ac:dyDescent="0.25">
      <c r="A819622" s="242"/>
    </row>
    <row r="819623" spans="1:1" x14ac:dyDescent="0.25">
      <c r="A819623" s="242"/>
    </row>
    <row r="819624" spans="1:1" x14ac:dyDescent="0.25">
      <c r="A819624" s="242"/>
    </row>
    <row r="819625" spans="1:1" x14ac:dyDescent="0.25">
      <c r="A819625" s="242"/>
    </row>
    <row r="819626" spans="1:1" x14ac:dyDescent="0.25">
      <c r="A819626" s="242"/>
    </row>
    <row r="819627" spans="1:1" x14ac:dyDescent="0.25">
      <c r="A819627" s="242"/>
    </row>
    <row r="819628" spans="1:1" x14ac:dyDescent="0.25">
      <c r="A819628" s="242"/>
    </row>
    <row r="819629" spans="1:1" x14ac:dyDescent="0.25">
      <c r="A819629" s="242"/>
    </row>
    <row r="819630" spans="1:1" x14ac:dyDescent="0.25">
      <c r="A819630" s="242"/>
    </row>
    <row r="819631" spans="1:1" x14ac:dyDescent="0.25">
      <c r="A819631" s="242"/>
    </row>
    <row r="819632" spans="1:1" x14ac:dyDescent="0.25">
      <c r="A819632" s="242"/>
    </row>
    <row r="819633" spans="1:1" x14ac:dyDescent="0.25">
      <c r="A819633" s="242"/>
    </row>
    <row r="819634" spans="1:1" x14ac:dyDescent="0.25">
      <c r="A819634" s="242"/>
    </row>
    <row r="819635" spans="1:1" x14ac:dyDescent="0.25">
      <c r="A819635" s="242"/>
    </row>
    <row r="819636" spans="1:1" x14ac:dyDescent="0.25">
      <c r="A819636" s="242"/>
    </row>
    <row r="819637" spans="1:1" x14ac:dyDescent="0.25">
      <c r="A819637" s="242"/>
    </row>
    <row r="819638" spans="1:1" x14ac:dyDescent="0.25">
      <c r="A819638" s="242"/>
    </row>
    <row r="819639" spans="1:1" x14ac:dyDescent="0.25">
      <c r="A819639" s="242"/>
    </row>
    <row r="819640" spans="1:1" x14ac:dyDescent="0.25">
      <c r="A819640" s="242"/>
    </row>
    <row r="819641" spans="1:1" x14ac:dyDescent="0.25">
      <c r="A819641" s="242"/>
    </row>
    <row r="819642" spans="1:1" x14ac:dyDescent="0.25">
      <c r="A819642" s="242"/>
    </row>
    <row r="819643" spans="1:1" x14ac:dyDescent="0.25">
      <c r="A819643" s="242"/>
    </row>
    <row r="819644" spans="1:1" x14ac:dyDescent="0.25">
      <c r="A819644" s="242"/>
    </row>
    <row r="819645" spans="1:1" x14ac:dyDescent="0.25">
      <c r="A819645" s="242"/>
    </row>
    <row r="819646" spans="1:1" x14ac:dyDescent="0.25">
      <c r="A819646" s="242"/>
    </row>
    <row r="819647" spans="1:1" x14ac:dyDescent="0.25">
      <c r="A819647" s="242"/>
    </row>
    <row r="819648" spans="1:1" x14ac:dyDescent="0.25">
      <c r="A819648" s="242"/>
    </row>
    <row r="819649" spans="1:1" x14ac:dyDescent="0.25">
      <c r="A819649" s="242"/>
    </row>
    <row r="819650" spans="1:1" x14ac:dyDescent="0.25">
      <c r="A819650" s="242"/>
    </row>
    <row r="819651" spans="1:1" x14ac:dyDescent="0.25">
      <c r="A819651" s="242"/>
    </row>
    <row r="819652" spans="1:1" x14ac:dyDescent="0.25">
      <c r="A819652" s="242"/>
    </row>
    <row r="819653" spans="1:1" x14ac:dyDescent="0.25">
      <c r="A819653" s="242"/>
    </row>
    <row r="819654" spans="1:1" x14ac:dyDescent="0.25">
      <c r="A819654" s="242"/>
    </row>
    <row r="819655" spans="1:1" x14ac:dyDescent="0.25">
      <c r="A819655" s="242"/>
    </row>
    <row r="819656" spans="1:1" x14ac:dyDescent="0.25">
      <c r="A819656" s="242"/>
    </row>
    <row r="819657" spans="1:1" x14ac:dyDescent="0.25">
      <c r="A819657" s="242"/>
    </row>
    <row r="819658" spans="1:1" x14ac:dyDescent="0.25">
      <c r="A819658" s="242"/>
    </row>
    <row r="819659" spans="1:1" x14ac:dyDescent="0.25">
      <c r="A819659" s="242"/>
    </row>
    <row r="819660" spans="1:1" x14ac:dyDescent="0.25">
      <c r="A819660" s="242"/>
    </row>
    <row r="819661" spans="1:1" x14ac:dyDescent="0.25">
      <c r="A819661" s="242"/>
    </row>
    <row r="819662" spans="1:1" x14ac:dyDescent="0.25">
      <c r="A819662" s="242"/>
    </row>
    <row r="819663" spans="1:1" x14ac:dyDescent="0.25">
      <c r="A819663" s="242"/>
    </row>
    <row r="819664" spans="1:1" x14ac:dyDescent="0.25">
      <c r="A819664" s="242"/>
    </row>
    <row r="819665" spans="1:1" x14ac:dyDescent="0.25">
      <c r="A819665" s="242"/>
    </row>
    <row r="819666" spans="1:1" x14ac:dyDescent="0.25">
      <c r="A819666" s="242"/>
    </row>
    <row r="819667" spans="1:1" x14ac:dyDescent="0.25">
      <c r="A819667" s="242"/>
    </row>
    <row r="819668" spans="1:1" x14ac:dyDescent="0.25">
      <c r="A819668" s="242"/>
    </row>
    <row r="819669" spans="1:1" x14ac:dyDescent="0.25">
      <c r="A819669" s="242"/>
    </row>
    <row r="819670" spans="1:1" x14ac:dyDescent="0.25">
      <c r="A819670" s="242"/>
    </row>
    <row r="819671" spans="1:1" x14ac:dyDescent="0.25">
      <c r="A819671" s="242"/>
    </row>
    <row r="819672" spans="1:1" x14ac:dyDescent="0.25">
      <c r="A819672" s="242"/>
    </row>
    <row r="819673" spans="1:1" x14ac:dyDescent="0.25">
      <c r="A819673" s="242"/>
    </row>
    <row r="819674" spans="1:1" x14ac:dyDescent="0.25">
      <c r="A819674" s="242"/>
    </row>
    <row r="819675" spans="1:1" x14ac:dyDescent="0.25">
      <c r="A819675" s="242"/>
    </row>
    <row r="819676" spans="1:1" x14ac:dyDescent="0.25">
      <c r="A819676" s="242"/>
    </row>
    <row r="819677" spans="1:1" x14ac:dyDescent="0.25">
      <c r="A819677" s="242"/>
    </row>
    <row r="819678" spans="1:1" x14ac:dyDescent="0.25">
      <c r="A819678" s="242"/>
    </row>
    <row r="819679" spans="1:1" x14ac:dyDescent="0.25">
      <c r="A819679" s="242"/>
    </row>
    <row r="819680" spans="1:1" x14ac:dyDescent="0.25">
      <c r="A819680" s="242"/>
    </row>
    <row r="819681" spans="1:1" x14ac:dyDescent="0.25">
      <c r="A819681" s="242"/>
    </row>
    <row r="819682" spans="1:1" x14ac:dyDescent="0.25">
      <c r="A819682" s="242"/>
    </row>
    <row r="819683" spans="1:1" x14ac:dyDescent="0.25">
      <c r="A819683" s="242"/>
    </row>
    <row r="819684" spans="1:1" x14ac:dyDescent="0.25">
      <c r="A819684" s="242"/>
    </row>
    <row r="819685" spans="1:1" x14ac:dyDescent="0.25">
      <c r="A819685" s="242"/>
    </row>
    <row r="819686" spans="1:1" x14ac:dyDescent="0.25">
      <c r="A819686" s="242"/>
    </row>
    <row r="819687" spans="1:1" x14ac:dyDescent="0.25">
      <c r="A819687" s="242"/>
    </row>
    <row r="819688" spans="1:1" x14ac:dyDescent="0.25">
      <c r="A819688" s="242"/>
    </row>
    <row r="819689" spans="1:1" x14ac:dyDescent="0.25">
      <c r="A819689" s="242"/>
    </row>
    <row r="819690" spans="1:1" x14ac:dyDescent="0.25">
      <c r="A819690" s="242"/>
    </row>
    <row r="819691" spans="1:1" x14ac:dyDescent="0.25">
      <c r="A819691" s="242"/>
    </row>
    <row r="819692" spans="1:1" x14ac:dyDescent="0.25">
      <c r="A819692" s="242"/>
    </row>
    <row r="819693" spans="1:1" x14ac:dyDescent="0.25">
      <c r="A819693" s="242"/>
    </row>
    <row r="819694" spans="1:1" x14ac:dyDescent="0.25">
      <c r="A819694" s="242"/>
    </row>
    <row r="819695" spans="1:1" x14ac:dyDescent="0.25">
      <c r="A819695" s="242"/>
    </row>
    <row r="819696" spans="1:1" x14ac:dyDescent="0.25">
      <c r="A819696" s="242"/>
    </row>
    <row r="819697" spans="1:1" x14ac:dyDescent="0.25">
      <c r="A819697" s="242"/>
    </row>
    <row r="819698" spans="1:1" x14ac:dyDescent="0.25">
      <c r="A819698" s="242"/>
    </row>
    <row r="819699" spans="1:1" x14ac:dyDescent="0.25">
      <c r="A819699" s="242"/>
    </row>
    <row r="819700" spans="1:1" x14ac:dyDescent="0.25">
      <c r="A819700" s="242"/>
    </row>
    <row r="819701" spans="1:1" x14ac:dyDescent="0.25">
      <c r="A819701" s="242"/>
    </row>
    <row r="819702" spans="1:1" x14ac:dyDescent="0.25">
      <c r="A819702" s="242"/>
    </row>
    <row r="819703" spans="1:1" x14ac:dyDescent="0.25">
      <c r="A819703" s="242"/>
    </row>
    <row r="819704" spans="1:1" x14ac:dyDescent="0.25">
      <c r="A819704" s="242"/>
    </row>
    <row r="819705" spans="1:1" x14ac:dyDescent="0.25">
      <c r="A819705" s="242"/>
    </row>
    <row r="819706" spans="1:1" x14ac:dyDescent="0.25">
      <c r="A819706" s="242"/>
    </row>
    <row r="819707" spans="1:1" x14ac:dyDescent="0.25">
      <c r="A819707" s="242"/>
    </row>
    <row r="819708" spans="1:1" x14ac:dyDescent="0.25">
      <c r="A819708" s="242"/>
    </row>
    <row r="819709" spans="1:1" x14ac:dyDescent="0.25">
      <c r="A819709" s="242"/>
    </row>
    <row r="819710" spans="1:1" x14ac:dyDescent="0.25">
      <c r="A819710" s="242"/>
    </row>
    <row r="819711" spans="1:1" x14ac:dyDescent="0.25">
      <c r="A819711" s="242"/>
    </row>
    <row r="819712" spans="1:1" x14ac:dyDescent="0.25">
      <c r="A819712" s="242"/>
    </row>
    <row r="819713" spans="1:1" x14ac:dyDescent="0.25">
      <c r="A819713" s="242"/>
    </row>
    <row r="819714" spans="1:1" x14ac:dyDescent="0.25">
      <c r="A819714" s="242"/>
    </row>
    <row r="819715" spans="1:1" x14ac:dyDescent="0.25">
      <c r="A819715" s="242"/>
    </row>
    <row r="819716" spans="1:1" x14ac:dyDescent="0.25">
      <c r="A819716" s="242"/>
    </row>
    <row r="819717" spans="1:1" x14ac:dyDescent="0.25">
      <c r="A819717" s="242"/>
    </row>
    <row r="819718" spans="1:1" x14ac:dyDescent="0.25">
      <c r="A819718" s="242"/>
    </row>
    <row r="819719" spans="1:1" x14ac:dyDescent="0.25">
      <c r="A819719" s="242"/>
    </row>
    <row r="819720" spans="1:1" x14ac:dyDescent="0.25">
      <c r="A819720" s="242"/>
    </row>
    <row r="819721" spans="1:1" x14ac:dyDescent="0.25">
      <c r="A819721" s="242"/>
    </row>
    <row r="819722" spans="1:1" x14ac:dyDescent="0.25">
      <c r="A819722" s="242"/>
    </row>
    <row r="819723" spans="1:1" x14ac:dyDescent="0.25">
      <c r="A819723" s="242"/>
    </row>
    <row r="819724" spans="1:1" x14ac:dyDescent="0.25">
      <c r="A819724" s="242"/>
    </row>
    <row r="819725" spans="1:1" x14ac:dyDescent="0.25">
      <c r="A819725" s="242"/>
    </row>
    <row r="819726" spans="1:1" x14ac:dyDescent="0.25">
      <c r="A819726" s="242"/>
    </row>
    <row r="819727" spans="1:1" x14ac:dyDescent="0.25">
      <c r="A819727" s="242"/>
    </row>
    <row r="819728" spans="1:1" x14ac:dyDescent="0.25">
      <c r="A819728" s="242"/>
    </row>
    <row r="819729" spans="1:1" x14ac:dyDescent="0.25">
      <c r="A819729" s="242"/>
    </row>
    <row r="819730" spans="1:1" x14ac:dyDescent="0.25">
      <c r="A819730" s="242"/>
    </row>
    <row r="819731" spans="1:1" x14ac:dyDescent="0.25">
      <c r="A819731" s="242"/>
    </row>
    <row r="819732" spans="1:1" x14ac:dyDescent="0.25">
      <c r="A819732" s="242"/>
    </row>
    <row r="819733" spans="1:1" x14ac:dyDescent="0.25">
      <c r="A819733" s="242"/>
    </row>
    <row r="819734" spans="1:1" x14ac:dyDescent="0.25">
      <c r="A819734" s="242"/>
    </row>
    <row r="819735" spans="1:1" x14ac:dyDescent="0.25">
      <c r="A819735" s="242"/>
    </row>
    <row r="819736" spans="1:1" x14ac:dyDescent="0.25">
      <c r="A819736" s="242"/>
    </row>
    <row r="819737" spans="1:1" x14ac:dyDescent="0.25">
      <c r="A819737" s="242"/>
    </row>
    <row r="819738" spans="1:1" x14ac:dyDescent="0.25">
      <c r="A819738" s="242"/>
    </row>
    <row r="819739" spans="1:1" x14ac:dyDescent="0.25">
      <c r="A819739" s="242"/>
    </row>
    <row r="819740" spans="1:1" x14ac:dyDescent="0.25">
      <c r="A819740" s="242"/>
    </row>
    <row r="819741" spans="1:1" x14ac:dyDescent="0.25">
      <c r="A819741" s="242"/>
    </row>
    <row r="819742" spans="1:1" x14ac:dyDescent="0.25">
      <c r="A819742" s="242"/>
    </row>
    <row r="819743" spans="1:1" x14ac:dyDescent="0.25">
      <c r="A819743" s="242"/>
    </row>
    <row r="819744" spans="1:1" x14ac:dyDescent="0.25">
      <c r="A819744" s="242"/>
    </row>
    <row r="819745" spans="1:1" x14ac:dyDescent="0.25">
      <c r="A819745" s="242"/>
    </row>
    <row r="819746" spans="1:1" x14ac:dyDescent="0.25">
      <c r="A819746" s="242"/>
    </row>
    <row r="819747" spans="1:1" x14ac:dyDescent="0.25">
      <c r="A819747" s="242"/>
    </row>
    <row r="819748" spans="1:1" x14ac:dyDescent="0.25">
      <c r="A819748" s="242"/>
    </row>
    <row r="819749" spans="1:1" x14ac:dyDescent="0.25">
      <c r="A819749" s="242"/>
    </row>
    <row r="819750" spans="1:1" x14ac:dyDescent="0.25">
      <c r="A819750" s="242"/>
    </row>
    <row r="819751" spans="1:1" x14ac:dyDescent="0.25">
      <c r="A819751" s="242"/>
    </row>
    <row r="819752" spans="1:1" x14ac:dyDescent="0.25">
      <c r="A819752" s="242"/>
    </row>
    <row r="819753" spans="1:1" x14ac:dyDescent="0.25">
      <c r="A819753" s="242"/>
    </row>
    <row r="819754" spans="1:1" x14ac:dyDescent="0.25">
      <c r="A819754" s="242"/>
    </row>
    <row r="819755" spans="1:1" x14ac:dyDescent="0.25">
      <c r="A819755" s="242"/>
    </row>
    <row r="819756" spans="1:1" x14ac:dyDescent="0.25">
      <c r="A819756" s="242"/>
    </row>
    <row r="819757" spans="1:1" x14ac:dyDescent="0.25">
      <c r="A819757" s="242"/>
    </row>
    <row r="819758" spans="1:1" x14ac:dyDescent="0.25">
      <c r="A819758" s="242"/>
    </row>
    <row r="819759" spans="1:1" x14ac:dyDescent="0.25">
      <c r="A819759" s="242"/>
    </row>
    <row r="819760" spans="1:1" x14ac:dyDescent="0.25">
      <c r="A819760" s="242"/>
    </row>
    <row r="819761" spans="1:1" x14ac:dyDescent="0.25">
      <c r="A819761" s="242"/>
    </row>
    <row r="819762" spans="1:1" x14ac:dyDescent="0.25">
      <c r="A819762" s="242"/>
    </row>
    <row r="819763" spans="1:1" x14ac:dyDescent="0.25">
      <c r="A819763" s="242"/>
    </row>
    <row r="819764" spans="1:1" x14ac:dyDescent="0.25">
      <c r="A819764" s="242"/>
    </row>
    <row r="819765" spans="1:1" x14ac:dyDescent="0.25">
      <c r="A819765" s="242"/>
    </row>
    <row r="819766" spans="1:1" x14ac:dyDescent="0.25">
      <c r="A819766" s="242"/>
    </row>
    <row r="819767" spans="1:1" x14ac:dyDescent="0.25">
      <c r="A819767" s="242"/>
    </row>
    <row r="819768" spans="1:1" x14ac:dyDescent="0.25">
      <c r="A819768" s="242"/>
    </row>
    <row r="819769" spans="1:1" x14ac:dyDescent="0.25">
      <c r="A819769" s="242"/>
    </row>
    <row r="819770" spans="1:1" x14ac:dyDescent="0.25">
      <c r="A819770" s="242"/>
    </row>
    <row r="819771" spans="1:1" x14ac:dyDescent="0.25">
      <c r="A819771" s="242"/>
    </row>
    <row r="819772" spans="1:1" x14ac:dyDescent="0.25">
      <c r="A819772" s="242"/>
    </row>
    <row r="819773" spans="1:1" x14ac:dyDescent="0.25">
      <c r="A819773" s="242"/>
    </row>
    <row r="819774" spans="1:1" x14ac:dyDescent="0.25">
      <c r="A819774" s="242"/>
    </row>
    <row r="819775" spans="1:1" x14ac:dyDescent="0.25">
      <c r="A819775" s="242"/>
    </row>
    <row r="819776" spans="1:1" x14ac:dyDescent="0.25">
      <c r="A819776" s="242"/>
    </row>
    <row r="819777" spans="1:1" x14ac:dyDescent="0.25">
      <c r="A819777" s="242"/>
    </row>
    <row r="819778" spans="1:1" x14ac:dyDescent="0.25">
      <c r="A819778" s="242"/>
    </row>
    <row r="819779" spans="1:1" x14ac:dyDescent="0.25">
      <c r="A819779" s="242"/>
    </row>
    <row r="819780" spans="1:1" x14ac:dyDescent="0.25">
      <c r="A819780" s="242"/>
    </row>
    <row r="819781" spans="1:1" x14ac:dyDescent="0.25">
      <c r="A819781" s="242"/>
    </row>
    <row r="819782" spans="1:1" x14ac:dyDescent="0.25">
      <c r="A819782" s="242"/>
    </row>
    <row r="819783" spans="1:1" x14ac:dyDescent="0.25">
      <c r="A819783" s="242"/>
    </row>
    <row r="819784" spans="1:1" x14ac:dyDescent="0.25">
      <c r="A819784" s="242"/>
    </row>
    <row r="819785" spans="1:1" x14ac:dyDescent="0.25">
      <c r="A819785" s="242"/>
    </row>
    <row r="819786" spans="1:1" x14ac:dyDescent="0.25">
      <c r="A819786" s="242"/>
    </row>
    <row r="819787" spans="1:1" x14ac:dyDescent="0.25">
      <c r="A819787" s="242"/>
    </row>
    <row r="819788" spans="1:1" x14ac:dyDescent="0.25">
      <c r="A819788" s="242"/>
    </row>
    <row r="819789" spans="1:1" x14ac:dyDescent="0.25">
      <c r="A819789" s="242"/>
    </row>
    <row r="819790" spans="1:1" x14ac:dyDescent="0.25">
      <c r="A819790" s="242"/>
    </row>
    <row r="819791" spans="1:1" x14ac:dyDescent="0.25">
      <c r="A819791" s="242"/>
    </row>
    <row r="819792" spans="1:1" x14ac:dyDescent="0.25">
      <c r="A819792" s="242"/>
    </row>
    <row r="819793" spans="1:1" x14ac:dyDescent="0.25">
      <c r="A819793" s="242"/>
    </row>
    <row r="819794" spans="1:1" x14ac:dyDescent="0.25">
      <c r="A819794" s="242"/>
    </row>
    <row r="819795" spans="1:1" x14ac:dyDescent="0.25">
      <c r="A819795" s="242"/>
    </row>
    <row r="819796" spans="1:1" x14ac:dyDescent="0.25">
      <c r="A819796" s="242"/>
    </row>
    <row r="819797" spans="1:1" x14ac:dyDescent="0.25">
      <c r="A819797" s="242"/>
    </row>
    <row r="819798" spans="1:1" x14ac:dyDescent="0.25">
      <c r="A819798" s="242"/>
    </row>
    <row r="819799" spans="1:1" x14ac:dyDescent="0.25">
      <c r="A819799" s="242"/>
    </row>
    <row r="819800" spans="1:1" x14ac:dyDescent="0.25">
      <c r="A819800" s="242"/>
    </row>
    <row r="819801" spans="1:1" x14ac:dyDescent="0.25">
      <c r="A819801" s="242"/>
    </row>
    <row r="819802" spans="1:1" x14ac:dyDescent="0.25">
      <c r="A819802" s="242"/>
    </row>
    <row r="819803" spans="1:1" x14ac:dyDescent="0.25">
      <c r="A819803" s="242"/>
    </row>
    <row r="819804" spans="1:1" x14ac:dyDescent="0.25">
      <c r="A819804" s="242"/>
    </row>
    <row r="819805" spans="1:1" x14ac:dyDescent="0.25">
      <c r="A819805" s="242"/>
    </row>
    <row r="819806" spans="1:1" x14ac:dyDescent="0.25">
      <c r="A819806" s="242"/>
    </row>
    <row r="819807" spans="1:1" x14ac:dyDescent="0.25">
      <c r="A819807" s="242"/>
    </row>
    <row r="819808" spans="1:1" x14ac:dyDescent="0.25">
      <c r="A819808" s="242"/>
    </row>
    <row r="819809" spans="1:1" x14ac:dyDescent="0.25">
      <c r="A819809" s="242"/>
    </row>
    <row r="819810" spans="1:1" x14ac:dyDescent="0.25">
      <c r="A819810" s="242"/>
    </row>
    <row r="819811" spans="1:1" x14ac:dyDescent="0.25">
      <c r="A819811" s="242"/>
    </row>
    <row r="819812" spans="1:1" x14ac:dyDescent="0.25">
      <c r="A819812" s="242"/>
    </row>
    <row r="819813" spans="1:1" x14ac:dyDescent="0.25">
      <c r="A819813" s="242"/>
    </row>
    <row r="819814" spans="1:1" x14ac:dyDescent="0.25">
      <c r="A819814" s="242"/>
    </row>
    <row r="819815" spans="1:1" x14ac:dyDescent="0.25">
      <c r="A819815" s="242"/>
    </row>
    <row r="819816" spans="1:1" x14ac:dyDescent="0.25">
      <c r="A819816" s="242"/>
    </row>
    <row r="819817" spans="1:1" x14ac:dyDescent="0.25">
      <c r="A819817" s="242"/>
    </row>
    <row r="819818" spans="1:1" x14ac:dyDescent="0.25">
      <c r="A819818" s="242"/>
    </row>
    <row r="819819" spans="1:1" x14ac:dyDescent="0.25">
      <c r="A819819" s="242"/>
    </row>
    <row r="819820" spans="1:1" x14ac:dyDescent="0.25">
      <c r="A819820" s="242"/>
    </row>
    <row r="819821" spans="1:1" x14ac:dyDescent="0.25">
      <c r="A819821" s="242"/>
    </row>
    <row r="819822" spans="1:1" x14ac:dyDescent="0.25">
      <c r="A819822" s="242"/>
    </row>
    <row r="819823" spans="1:1" x14ac:dyDescent="0.25">
      <c r="A819823" s="242"/>
    </row>
    <row r="819824" spans="1:1" x14ac:dyDescent="0.25">
      <c r="A819824" s="242"/>
    </row>
    <row r="819825" spans="1:1" x14ac:dyDescent="0.25">
      <c r="A819825" s="242"/>
    </row>
    <row r="819826" spans="1:1" x14ac:dyDescent="0.25">
      <c r="A819826" s="242"/>
    </row>
    <row r="819827" spans="1:1" x14ac:dyDescent="0.25">
      <c r="A819827" s="242"/>
    </row>
    <row r="819828" spans="1:1" x14ac:dyDescent="0.25">
      <c r="A819828" s="242"/>
    </row>
    <row r="819829" spans="1:1" x14ac:dyDescent="0.25">
      <c r="A819829" s="242"/>
    </row>
    <row r="819830" spans="1:1" x14ac:dyDescent="0.25">
      <c r="A819830" s="242"/>
    </row>
    <row r="819831" spans="1:1" x14ac:dyDescent="0.25">
      <c r="A819831" s="242"/>
    </row>
    <row r="819832" spans="1:1" x14ac:dyDescent="0.25">
      <c r="A819832" s="242"/>
    </row>
    <row r="819833" spans="1:1" x14ac:dyDescent="0.25">
      <c r="A819833" s="242"/>
    </row>
    <row r="819834" spans="1:1" x14ac:dyDescent="0.25">
      <c r="A819834" s="242"/>
    </row>
    <row r="819835" spans="1:1" x14ac:dyDescent="0.25">
      <c r="A819835" s="242"/>
    </row>
    <row r="819836" spans="1:1" x14ac:dyDescent="0.25">
      <c r="A819836" s="242"/>
    </row>
    <row r="819837" spans="1:1" x14ac:dyDescent="0.25">
      <c r="A819837" s="242"/>
    </row>
    <row r="819838" spans="1:1" x14ac:dyDescent="0.25">
      <c r="A819838" s="242"/>
    </row>
    <row r="819839" spans="1:1" x14ac:dyDescent="0.25">
      <c r="A819839" s="242"/>
    </row>
    <row r="819840" spans="1:1" x14ac:dyDescent="0.25">
      <c r="A819840" s="242"/>
    </row>
    <row r="819841" spans="1:1" x14ac:dyDescent="0.25">
      <c r="A819841" s="242"/>
    </row>
    <row r="819842" spans="1:1" x14ac:dyDescent="0.25">
      <c r="A819842" s="242"/>
    </row>
    <row r="819843" spans="1:1" x14ac:dyDescent="0.25">
      <c r="A819843" s="242"/>
    </row>
    <row r="819844" spans="1:1" x14ac:dyDescent="0.25">
      <c r="A819844" s="242"/>
    </row>
    <row r="819845" spans="1:1" x14ac:dyDescent="0.25">
      <c r="A819845" s="242"/>
    </row>
    <row r="819846" spans="1:1" x14ac:dyDescent="0.25">
      <c r="A819846" s="242"/>
    </row>
    <row r="819847" spans="1:1" x14ac:dyDescent="0.25">
      <c r="A819847" s="242"/>
    </row>
    <row r="819848" spans="1:1" x14ac:dyDescent="0.25">
      <c r="A819848" s="242"/>
    </row>
    <row r="819849" spans="1:1" x14ac:dyDescent="0.25">
      <c r="A819849" s="242"/>
    </row>
    <row r="819850" spans="1:1" x14ac:dyDescent="0.25">
      <c r="A819850" s="242"/>
    </row>
    <row r="819851" spans="1:1" x14ac:dyDescent="0.25">
      <c r="A819851" s="242"/>
    </row>
    <row r="819852" spans="1:1" x14ac:dyDescent="0.25">
      <c r="A819852" s="242"/>
    </row>
    <row r="819853" spans="1:1" x14ac:dyDescent="0.25">
      <c r="A819853" s="242"/>
    </row>
    <row r="819854" spans="1:1" x14ac:dyDescent="0.25">
      <c r="A819854" s="242"/>
    </row>
    <row r="819855" spans="1:1" x14ac:dyDescent="0.25">
      <c r="A819855" s="242"/>
    </row>
    <row r="819856" spans="1:1" x14ac:dyDescent="0.25">
      <c r="A819856" s="242"/>
    </row>
    <row r="819857" spans="1:1" x14ac:dyDescent="0.25">
      <c r="A819857" s="242"/>
    </row>
    <row r="819858" spans="1:1" x14ac:dyDescent="0.25">
      <c r="A819858" s="242"/>
    </row>
    <row r="819859" spans="1:1" x14ac:dyDescent="0.25">
      <c r="A819859" s="242"/>
    </row>
    <row r="819860" spans="1:1" x14ac:dyDescent="0.25">
      <c r="A819860" s="242"/>
    </row>
    <row r="819861" spans="1:1" x14ac:dyDescent="0.25">
      <c r="A819861" s="242"/>
    </row>
    <row r="819862" spans="1:1" x14ac:dyDescent="0.25">
      <c r="A819862" s="242"/>
    </row>
    <row r="819863" spans="1:1" x14ac:dyDescent="0.25">
      <c r="A819863" s="242"/>
    </row>
    <row r="819864" spans="1:1" x14ac:dyDescent="0.25">
      <c r="A819864" s="242"/>
    </row>
    <row r="819865" spans="1:1" x14ac:dyDescent="0.25">
      <c r="A819865" s="242"/>
    </row>
    <row r="819866" spans="1:1" x14ac:dyDescent="0.25">
      <c r="A819866" s="242"/>
    </row>
    <row r="819867" spans="1:1" x14ac:dyDescent="0.25">
      <c r="A819867" s="242"/>
    </row>
    <row r="819868" spans="1:1" x14ac:dyDescent="0.25">
      <c r="A819868" s="242"/>
    </row>
    <row r="819869" spans="1:1" x14ac:dyDescent="0.25">
      <c r="A819869" s="242"/>
    </row>
    <row r="819870" spans="1:1" x14ac:dyDescent="0.25">
      <c r="A819870" s="242"/>
    </row>
    <row r="819871" spans="1:1" x14ac:dyDescent="0.25">
      <c r="A819871" s="242"/>
    </row>
    <row r="819872" spans="1:1" x14ac:dyDescent="0.25">
      <c r="A819872" s="242"/>
    </row>
    <row r="819873" spans="1:1" x14ac:dyDescent="0.25">
      <c r="A819873" s="242"/>
    </row>
    <row r="819874" spans="1:1" x14ac:dyDescent="0.25">
      <c r="A819874" s="242"/>
    </row>
    <row r="819875" spans="1:1" x14ac:dyDescent="0.25">
      <c r="A819875" s="242"/>
    </row>
    <row r="819876" spans="1:1" x14ac:dyDescent="0.25">
      <c r="A819876" s="242"/>
    </row>
    <row r="819877" spans="1:1" x14ac:dyDescent="0.25">
      <c r="A819877" s="242"/>
    </row>
    <row r="819878" spans="1:1" x14ac:dyDescent="0.25">
      <c r="A819878" s="242"/>
    </row>
    <row r="819879" spans="1:1" x14ac:dyDescent="0.25">
      <c r="A819879" s="242"/>
    </row>
    <row r="819880" spans="1:1" x14ac:dyDescent="0.25">
      <c r="A819880" s="242"/>
    </row>
    <row r="819881" spans="1:1" x14ac:dyDescent="0.25">
      <c r="A819881" s="242"/>
    </row>
    <row r="819882" spans="1:1" x14ac:dyDescent="0.25">
      <c r="A819882" s="242"/>
    </row>
    <row r="819883" spans="1:1" x14ac:dyDescent="0.25">
      <c r="A819883" s="242"/>
    </row>
    <row r="819884" spans="1:1" x14ac:dyDescent="0.25">
      <c r="A819884" s="242"/>
    </row>
    <row r="819885" spans="1:1" x14ac:dyDescent="0.25">
      <c r="A819885" s="242"/>
    </row>
    <row r="819886" spans="1:1" x14ac:dyDescent="0.25">
      <c r="A819886" s="242"/>
    </row>
    <row r="819887" spans="1:1" x14ac:dyDescent="0.25">
      <c r="A819887" s="242"/>
    </row>
    <row r="819888" spans="1:1" x14ac:dyDescent="0.25">
      <c r="A819888" s="242"/>
    </row>
    <row r="819889" spans="1:1" x14ac:dyDescent="0.25">
      <c r="A819889" s="242"/>
    </row>
    <row r="819890" spans="1:1" x14ac:dyDescent="0.25">
      <c r="A819890" s="242"/>
    </row>
    <row r="819891" spans="1:1" x14ac:dyDescent="0.25">
      <c r="A819891" s="242"/>
    </row>
    <row r="819892" spans="1:1" x14ac:dyDescent="0.25">
      <c r="A819892" s="242"/>
    </row>
    <row r="819893" spans="1:1" x14ac:dyDescent="0.25">
      <c r="A819893" s="242"/>
    </row>
    <row r="819894" spans="1:1" x14ac:dyDescent="0.25">
      <c r="A819894" s="242"/>
    </row>
    <row r="819895" spans="1:1" x14ac:dyDescent="0.25">
      <c r="A819895" s="242"/>
    </row>
    <row r="819896" spans="1:1" x14ac:dyDescent="0.25">
      <c r="A819896" s="242"/>
    </row>
    <row r="819897" spans="1:1" x14ac:dyDescent="0.25">
      <c r="A819897" s="242"/>
    </row>
    <row r="819898" spans="1:1" x14ac:dyDescent="0.25">
      <c r="A819898" s="242"/>
    </row>
    <row r="819899" spans="1:1" x14ac:dyDescent="0.25">
      <c r="A819899" s="242"/>
    </row>
    <row r="819900" spans="1:1" x14ac:dyDescent="0.25">
      <c r="A819900" s="242"/>
    </row>
    <row r="819901" spans="1:1" x14ac:dyDescent="0.25">
      <c r="A819901" s="242"/>
    </row>
    <row r="819902" spans="1:1" x14ac:dyDescent="0.25">
      <c r="A819902" s="242"/>
    </row>
    <row r="819903" spans="1:1" x14ac:dyDescent="0.25">
      <c r="A819903" s="242"/>
    </row>
    <row r="819904" spans="1:1" x14ac:dyDescent="0.25">
      <c r="A819904" s="242"/>
    </row>
    <row r="819905" spans="1:1" x14ac:dyDescent="0.25">
      <c r="A819905" s="242"/>
    </row>
    <row r="819906" spans="1:1" x14ac:dyDescent="0.25">
      <c r="A819906" s="242"/>
    </row>
    <row r="819907" spans="1:1" x14ac:dyDescent="0.25">
      <c r="A819907" s="242"/>
    </row>
    <row r="819908" spans="1:1" x14ac:dyDescent="0.25">
      <c r="A819908" s="242"/>
    </row>
    <row r="819909" spans="1:1" x14ac:dyDescent="0.25">
      <c r="A819909" s="242"/>
    </row>
    <row r="819910" spans="1:1" x14ac:dyDescent="0.25">
      <c r="A819910" s="242"/>
    </row>
    <row r="819911" spans="1:1" x14ac:dyDescent="0.25">
      <c r="A819911" s="242"/>
    </row>
    <row r="819912" spans="1:1" x14ac:dyDescent="0.25">
      <c r="A819912" s="242"/>
    </row>
    <row r="819913" spans="1:1" x14ac:dyDescent="0.25">
      <c r="A819913" s="242"/>
    </row>
    <row r="819914" spans="1:1" x14ac:dyDescent="0.25">
      <c r="A819914" s="242"/>
    </row>
    <row r="819915" spans="1:1" x14ac:dyDescent="0.25">
      <c r="A819915" s="242"/>
    </row>
    <row r="819916" spans="1:1" x14ac:dyDescent="0.25">
      <c r="A819916" s="242"/>
    </row>
    <row r="819917" spans="1:1" x14ac:dyDescent="0.25">
      <c r="A819917" s="242"/>
    </row>
    <row r="819918" spans="1:1" x14ac:dyDescent="0.25">
      <c r="A819918" s="242"/>
    </row>
    <row r="819919" spans="1:1" x14ac:dyDescent="0.25">
      <c r="A819919" s="242"/>
    </row>
    <row r="819920" spans="1:1" x14ac:dyDescent="0.25">
      <c r="A819920" s="242"/>
    </row>
    <row r="819921" spans="1:1" x14ac:dyDescent="0.25">
      <c r="A819921" s="242"/>
    </row>
    <row r="819922" spans="1:1" x14ac:dyDescent="0.25">
      <c r="A819922" s="242"/>
    </row>
    <row r="819923" spans="1:1" x14ac:dyDescent="0.25">
      <c r="A819923" s="242"/>
    </row>
    <row r="819924" spans="1:1" x14ac:dyDescent="0.25">
      <c r="A819924" s="242"/>
    </row>
    <row r="819925" spans="1:1" x14ac:dyDescent="0.25">
      <c r="A819925" s="242"/>
    </row>
    <row r="819926" spans="1:1" x14ac:dyDescent="0.25">
      <c r="A819926" s="242"/>
    </row>
    <row r="819927" spans="1:1" x14ac:dyDescent="0.25">
      <c r="A819927" s="242"/>
    </row>
    <row r="819928" spans="1:1" x14ac:dyDescent="0.25">
      <c r="A819928" s="242"/>
    </row>
    <row r="819929" spans="1:1" x14ac:dyDescent="0.25">
      <c r="A819929" s="242"/>
    </row>
    <row r="819930" spans="1:1" x14ac:dyDescent="0.25">
      <c r="A819930" s="242"/>
    </row>
    <row r="819931" spans="1:1" x14ac:dyDescent="0.25">
      <c r="A819931" s="242"/>
    </row>
    <row r="819932" spans="1:1" x14ac:dyDescent="0.25">
      <c r="A819932" s="242"/>
    </row>
    <row r="819933" spans="1:1" x14ac:dyDescent="0.25">
      <c r="A819933" s="242"/>
    </row>
    <row r="819934" spans="1:1" x14ac:dyDescent="0.25">
      <c r="A819934" s="242"/>
    </row>
    <row r="819935" spans="1:1" x14ac:dyDescent="0.25">
      <c r="A819935" s="242"/>
    </row>
    <row r="819936" spans="1:1" x14ac:dyDescent="0.25">
      <c r="A819936" s="242"/>
    </row>
    <row r="819937" spans="1:1" x14ac:dyDescent="0.25">
      <c r="A819937" s="242"/>
    </row>
    <row r="819938" spans="1:1" x14ac:dyDescent="0.25">
      <c r="A819938" s="242"/>
    </row>
    <row r="819939" spans="1:1" x14ac:dyDescent="0.25">
      <c r="A819939" s="242"/>
    </row>
    <row r="819940" spans="1:1" x14ac:dyDescent="0.25">
      <c r="A819940" s="242"/>
    </row>
    <row r="819941" spans="1:1" x14ac:dyDescent="0.25">
      <c r="A819941" s="242"/>
    </row>
    <row r="819942" spans="1:1" x14ac:dyDescent="0.25">
      <c r="A819942" s="242"/>
    </row>
    <row r="819943" spans="1:1" x14ac:dyDescent="0.25">
      <c r="A819943" s="242"/>
    </row>
    <row r="819944" spans="1:1" x14ac:dyDescent="0.25">
      <c r="A819944" s="242"/>
    </row>
    <row r="819945" spans="1:1" x14ac:dyDescent="0.25">
      <c r="A819945" s="242"/>
    </row>
    <row r="819946" spans="1:1" x14ac:dyDescent="0.25">
      <c r="A819946" s="242"/>
    </row>
    <row r="819947" spans="1:1" x14ac:dyDescent="0.25">
      <c r="A819947" s="242"/>
    </row>
    <row r="819948" spans="1:1" x14ac:dyDescent="0.25">
      <c r="A819948" s="242"/>
    </row>
    <row r="819949" spans="1:1" x14ac:dyDescent="0.25">
      <c r="A819949" s="242"/>
    </row>
    <row r="819950" spans="1:1" x14ac:dyDescent="0.25">
      <c r="A819950" s="242"/>
    </row>
    <row r="819951" spans="1:1" x14ac:dyDescent="0.25">
      <c r="A819951" s="242"/>
    </row>
    <row r="819952" spans="1:1" x14ac:dyDescent="0.25">
      <c r="A819952" s="242"/>
    </row>
    <row r="819953" spans="1:1" x14ac:dyDescent="0.25">
      <c r="A819953" s="242"/>
    </row>
    <row r="819954" spans="1:1" x14ac:dyDescent="0.25">
      <c r="A819954" s="242"/>
    </row>
    <row r="819955" spans="1:1" x14ac:dyDescent="0.25">
      <c r="A819955" s="242"/>
    </row>
    <row r="819956" spans="1:1" x14ac:dyDescent="0.25">
      <c r="A819956" s="242"/>
    </row>
    <row r="819957" spans="1:1" x14ac:dyDescent="0.25">
      <c r="A819957" s="242"/>
    </row>
    <row r="819958" spans="1:1" x14ac:dyDescent="0.25">
      <c r="A819958" s="242"/>
    </row>
    <row r="819959" spans="1:1" x14ac:dyDescent="0.25">
      <c r="A819959" s="242"/>
    </row>
    <row r="819960" spans="1:1" x14ac:dyDescent="0.25">
      <c r="A819960" s="242"/>
    </row>
    <row r="819961" spans="1:1" x14ac:dyDescent="0.25">
      <c r="A819961" s="242"/>
    </row>
    <row r="819962" spans="1:1" x14ac:dyDescent="0.25">
      <c r="A819962" s="242"/>
    </row>
    <row r="819963" spans="1:1" x14ac:dyDescent="0.25">
      <c r="A819963" s="242"/>
    </row>
    <row r="819964" spans="1:1" x14ac:dyDescent="0.25">
      <c r="A819964" s="242"/>
    </row>
    <row r="819965" spans="1:1" x14ac:dyDescent="0.25">
      <c r="A819965" s="242"/>
    </row>
    <row r="819966" spans="1:1" x14ac:dyDescent="0.25">
      <c r="A819966" s="242"/>
    </row>
    <row r="819967" spans="1:1" x14ac:dyDescent="0.25">
      <c r="A819967" s="242"/>
    </row>
    <row r="819968" spans="1:1" x14ac:dyDescent="0.25">
      <c r="A819968" s="242"/>
    </row>
    <row r="819969" spans="1:1" x14ac:dyDescent="0.25">
      <c r="A819969" s="242"/>
    </row>
    <row r="819970" spans="1:1" x14ac:dyDescent="0.25">
      <c r="A819970" s="242"/>
    </row>
    <row r="819971" spans="1:1" x14ac:dyDescent="0.25">
      <c r="A819971" s="242"/>
    </row>
    <row r="819972" spans="1:1" x14ac:dyDescent="0.25">
      <c r="A819972" s="242"/>
    </row>
    <row r="819973" spans="1:1" x14ac:dyDescent="0.25">
      <c r="A819973" s="242"/>
    </row>
    <row r="819974" spans="1:1" x14ac:dyDescent="0.25">
      <c r="A819974" s="242"/>
    </row>
    <row r="819975" spans="1:1" x14ac:dyDescent="0.25">
      <c r="A819975" s="242"/>
    </row>
    <row r="819976" spans="1:1" x14ac:dyDescent="0.25">
      <c r="A819976" s="242"/>
    </row>
    <row r="819977" spans="1:1" x14ac:dyDescent="0.25">
      <c r="A819977" s="242"/>
    </row>
    <row r="819978" spans="1:1" x14ac:dyDescent="0.25">
      <c r="A819978" s="242"/>
    </row>
    <row r="819979" spans="1:1" x14ac:dyDescent="0.25">
      <c r="A819979" s="242"/>
    </row>
    <row r="819980" spans="1:1" x14ac:dyDescent="0.25">
      <c r="A819980" s="242"/>
    </row>
    <row r="819981" spans="1:1" x14ac:dyDescent="0.25">
      <c r="A819981" s="242"/>
    </row>
    <row r="819982" spans="1:1" x14ac:dyDescent="0.25">
      <c r="A819982" s="242"/>
    </row>
    <row r="819983" spans="1:1" x14ac:dyDescent="0.25">
      <c r="A819983" s="242"/>
    </row>
    <row r="819984" spans="1:1" x14ac:dyDescent="0.25">
      <c r="A819984" s="242"/>
    </row>
    <row r="819985" spans="1:1" x14ac:dyDescent="0.25">
      <c r="A819985" s="242"/>
    </row>
    <row r="819986" spans="1:1" x14ac:dyDescent="0.25">
      <c r="A819986" s="242"/>
    </row>
    <row r="819987" spans="1:1" x14ac:dyDescent="0.25">
      <c r="A819987" s="242"/>
    </row>
    <row r="819988" spans="1:1" x14ac:dyDescent="0.25">
      <c r="A819988" s="242"/>
    </row>
    <row r="819989" spans="1:1" x14ac:dyDescent="0.25">
      <c r="A819989" s="242"/>
    </row>
    <row r="819990" spans="1:1" x14ac:dyDescent="0.25">
      <c r="A819990" s="242"/>
    </row>
    <row r="819991" spans="1:1" x14ac:dyDescent="0.25">
      <c r="A819991" s="242"/>
    </row>
    <row r="819992" spans="1:1" x14ac:dyDescent="0.25">
      <c r="A819992" s="242"/>
    </row>
    <row r="819993" spans="1:1" x14ac:dyDescent="0.25">
      <c r="A819993" s="242"/>
    </row>
    <row r="819994" spans="1:1" x14ac:dyDescent="0.25">
      <c r="A819994" s="242"/>
    </row>
    <row r="819995" spans="1:1" x14ac:dyDescent="0.25">
      <c r="A819995" s="242"/>
    </row>
    <row r="819996" spans="1:1" x14ac:dyDescent="0.25">
      <c r="A819996" s="242"/>
    </row>
    <row r="819997" spans="1:1" x14ac:dyDescent="0.25">
      <c r="A819997" s="242"/>
    </row>
    <row r="819998" spans="1:1" x14ac:dyDescent="0.25">
      <c r="A819998" s="242"/>
    </row>
    <row r="819999" spans="1:1" x14ac:dyDescent="0.25">
      <c r="A819999" s="242"/>
    </row>
    <row r="820000" spans="1:1" x14ac:dyDescent="0.25">
      <c r="A820000" s="242"/>
    </row>
    <row r="820001" spans="1:1" x14ac:dyDescent="0.25">
      <c r="A820001" s="242"/>
    </row>
    <row r="820002" spans="1:1" x14ac:dyDescent="0.25">
      <c r="A820002" s="242"/>
    </row>
    <row r="820003" spans="1:1" x14ac:dyDescent="0.25">
      <c r="A820003" s="242"/>
    </row>
    <row r="820004" spans="1:1" x14ac:dyDescent="0.25">
      <c r="A820004" s="242"/>
    </row>
    <row r="820005" spans="1:1" x14ac:dyDescent="0.25">
      <c r="A820005" s="242"/>
    </row>
    <row r="820006" spans="1:1" x14ac:dyDescent="0.25">
      <c r="A820006" s="242"/>
    </row>
    <row r="820007" spans="1:1" x14ac:dyDescent="0.25">
      <c r="A820007" s="242"/>
    </row>
    <row r="820008" spans="1:1" x14ac:dyDescent="0.25">
      <c r="A820008" s="242"/>
    </row>
    <row r="820009" spans="1:1" x14ac:dyDescent="0.25">
      <c r="A820009" s="242"/>
    </row>
    <row r="820010" spans="1:1" x14ac:dyDescent="0.25">
      <c r="A820010" s="242"/>
    </row>
    <row r="820011" spans="1:1" x14ac:dyDescent="0.25">
      <c r="A820011" s="242"/>
    </row>
    <row r="820012" spans="1:1" x14ac:dyDescent="0.25">
      <c r="A820012" s="242"/>
    </row>
    <row r="820013" spans="1:1" x14ac:dyDescent="0.25">
      <c r="A820013" s="242"/>
    </row>
    <row r="820014" spans="1:1" x14ac:dyDescent="0.25">
      <c r="A820014" s="242"/>
    </row>
    <row r="820015" spans="1:1" x14ac:dyDescent="0.25">
      <c r="A820015" s="242"/>
    </row>
    <row r="820016" spans="1:1" x14ac:dyDescent="0.25">
      <c r="A820016" s="242"/>
    </row>
    <row r="820017" spans="1:1" x14ac:dyDescent="0.25">
      <c r="A820017" s="242"/>
    </row>
    <row r="820018" spans="1:1" x14ac:dyDescent="0.25">
      <c r="A820018" s="242"/>
    </row>
    <row r="820019" spans="1:1" x14ac:dyDescent="0.25">
      <c r="A820019" s="242"/>
    </row>
    <row r="820020" spans="1:1" x14ac:dyDescent="0.25">
      <c r="A820020" s="242"/>
    </row>
    <row r="820021" spans="1:1" x14ac:dyDescent="0.25">
      <c r="A820021" s="242"/>
    </row>
    <row r="820022" spans="1:1" x14ac:dyDescent="0.25">
      <c r="A820022" s="242"/>
    </row>
    <row r="820023" spans="1:1" x14ac:dyDescent="0.25">
      <c r="A820023" s="242"/>
    </row>
    <row r="820024" spans="1:1" x14ac:dyDescent="0.25">
      <c r="A820024" s="242"/>
    </row>
    <row r="820025" spans="1:1" x14ac:dyDescent="0.25">
      <c r="A820025" s="242"/>
    </row>
    <row r="820026" spans="1:1" x14ac:dyDescent="0.25">
      <c r="A820026" s="242"/>
    </row>
    <row r="820027" spans="1:1" x14ac:dyDescent="0.25">
      <c r="A820027" s="242"/>
    </row>
    <row r="820028" spans="1:1" x14ac:dyDescent="0.25">
      <c r="A820028" s="242"/>
    </row>
    <row r="820029" spans="1:1" x14ac:dyDescent="0.25">
      <c r="A820029" s="242"/>
    </row>
    <row r="820030" spans="1:1" x14ac:dyDescent="0.25">
      <c r="A820030" s="242"/>
    </row>
    <row r="820031" spans="1:1" x14ac:dyDescent="0.25">
      <c r="A820031" s="242"/>
    </row>
    <row r="820032" spans="1:1" x14ac:dyDescent="0.25">
      <c r="A820032" s="242"/>
    </row>
    <row r="820033" spans="1:1" x14ac:dyDescent="0.25">
      <c r="A820033" s="242"/>
    </row>
    <row r="820034" spans="1:1" x14ac:dyDescent="0.25">
      <c r="A820034" s="242"/>
    </row>
    <row r="820035" spans="1:1" x14ac:dyDescent="0.25">
      <c r="A820035" s="242"/>
    </row>
    <row r="820036" spans="1:1" x14ac:dyDescent="0.25">
      <c r="A820036" s="242"/>
    </row>
    <row r="820037" spans="1:1" x14ac:dyDescent="0.25">
      <c r="A820037" s="242"/>
    </row>
    <row r="820038" spans="1:1" x14ac:dyDescent="0.25">
      <c r="A820038" s="242"/>
    </row>
    <row r="820039" spans="1:1" x14ac:dyDescent="0.25">
      <c r="A820039" s="242"/>
    </row>
    <row r="820040" spans="1:1" x14ac:dyDescent="0.25">
      <c r="A820040" s="242"/>
    </row>
    <row r="820041" spans="1:1" x14ac:dyDescent="0.25">
      <c r="A820041" s="242"/>
    </row>
    <row r="820042" spans="1:1" x14ac:dyDescent="0.25">
      <c r="A820042" s="242"/>
    </row>
    <row r="820043" spans="1:1" x14ac:dyDescent="0.25">
      <c r="A820043" s="242"/>
    </row>
    <row r="820044" spans="1:1" x14ac:dyDescent="0.25">
      <c r="A820044" s="242"/>
    </row>
    <row r="820045" spans="1:1" x14ac:dyDescent="0.25">
      <c r="A820045" s="242"/>
    </row>
    <row r="820046" spans="1:1" x14ac:dyDescent="0.25">
      <c r="A820046" s="242"/>
    </row>
    <row r="820047" spans="1:1" x14ac:dyDescent="0.25">
      <c r="A820047" s="242"/>
    </row>
    <row r="820048" spans="1:1" x14ac:dyDescent="0.25">
      <c r="A820048" s="242"/>
    </row>
    <row r="820049" spans="1:1" x14ac:dyDescent="0.25">
      <c r="A820049" s="242"/>
    </row>
    <row r="820050" spans="1:1" x14ac:dyDescent="0.25">
      <c r="A820050" s="242"/>
    </row>
    <row r="820051" spans="1:1" x14ac:dyDescent="0.25">
      <c r="A820051" s="242"/>
    </row>
    <row r="820052" spans="1:1" x14ac:dyDescent="0.25">
      <c r="A820052" s="242"/>
    </row>
    <row r="820053" spans="1:1" x14ac:dyDescent="0.25">
      <c r="A820053" s="242"/>
    </row>
    <row r="820054" spans="1:1" x14ac:dyDescent="0.25">
      <c r="A820054" s="242"/>
    </row>
    <row r="820055" spans="1:1" x14ac:dyDescent="0.25">
      <c r="A820055" s="242"/>
    </row>
    <row r="820056" spans="1:1" x14ac:dyDescent="0.25">
      <c r="A820056" s="242"/>
    </row>
    <row r="820057" spans="1:1" x14ac:dyDescent="0.25">
      <c r="A820057" s="242"/>
    </row>
    <row r="820058" spans="1:1" x14ac:dyDescent="0.25">
      <c r="A820058" s="242"/>
    </row>
    <row r="820059" spans="1:1" x14ac:dyDescent="0.25">
      <c r="A820059" s="242"/>
    </row>
    <row r="820060" spans="1:1" x14ac:dyDescent="0.25">
      <c r="A820060" s="242"/>
    </row>
    <row r="820061" spans="1:1" x14ac:dyDescent="0.25">
      <c r="A820061" s="242"/>
    </row>
    <row r="820062" spans="1:1" x14ac:dyDescent="0.25">
      <c r="A820062" s="242"/>
    </row>
    <row r="820063" spans="1:1" x14ac:dyDescent="0.25">
      <c r="A820063" s="242"/>
    </row>
    <row r="820064" spans="1:1" x14ac:dyDescent="0.25">
      <c r="A820064" s="242"/>
    </row>
    <row r="820065" spans="1:1" x14ac:dyDescent="0.25">
      <c r="A820065" s="242"/>
    </row>
    <row r="820066" spans="1:1" x14ac:dyDescent="0.25">
      <c r="A820066" s="242"/>
    </row>
    <row r="820067" spans="1:1" x14ac:dyDescent="0.25">
      <c r="A820067" s="242"/>
    </row>
    <row r="820068" spans="1:1" x14ac:dyDescent="0.25">
      <c r="A820068" s="242"/>
    </row>
    <row r="820069" spans="1:1" x14ac:dyDescent="0.25">
      <c r="A820069" s="242"/>
    </row>
    <row r="820070" spans="1:1" x14ac:dyDescent="0.25">
      <c r="A820070" s="242"/>
    </row>
    <row r="820071" spans="1:1" x14ac:dyDescent="0.25">
      <c r="A820071" s="242"/>
    </row>
    <row r="820072" spans="1:1" x14ac:dyDescent="0.25">
      <c r="A820072" s="242"/>
    </row>
    <row r="820073" spans="1:1" x14ac:dyDescent="0.25">
      <c r="A820073" s="242"/>
    </row>
    <row r="820074" spans="1:1" x14ac:dyDescent="0.25">
      <c r="A820074" s="242"/>
    </row>
    <row r="820075" spans="1:1" x14ac:dyDescent="0.25">
      <c r="A820075" s="242"/>
    </row>
    <row r="820076" spans="1:1" x14ac:dyDescent="0.25">
      <c r="A820076" s="242"/>
    </row>
    <row r="820077" spans="1:1" x14ac:dyDescent="0.25">
      <c r="A820077" s="242"/>
    </row>
    <row r="820078" spans="1:1" x14ac:dyDescent="0.25">
      <c r="A820078" s="242"/>
    </row>
    <row r="820079" spans="1:1" x14ac:dyDescent="0.25">
      <c r="A820079" s="242"/>
    </row>
    <row r="820080" spans="1:1" x14ac:dyDescent="0.25">
      <c r="A820080" s="242"/>
    </row>
    <row r="820081" spans="1:1" x14ac:dyDescent="0.25">
      <c r="A820081" s="242"/>
    </row>
    <row r="820082" spans="1:1" x14ac:dyDescent="0.25">
      <c r="A820082" s="242"/>
    </row>
    <row r="820083" spans="1:1" x14ac:dyDescent="0.25">
      <c r="A820083" s="242"/>
    </row>
    <row r="820084" spans="1:1" x14ac:dyDescent="0.25">
      <c r="A820084" s="242"/>
    </row>
    <row r="820085" spans="1:1" x14ac:dyDescent="0.25">
      <c r="A820085" s="242"/>
    </row>
    <row r="820086" spans="1:1" x14ac:dyDescent="0.25">
      <c r="A820086" s="242"/>
    </row>
    <row r="820087" spans="1:1" x14ac:dyDescent="0.25">
      <c r="A820087" s="242"/>
    </row>
    <row r="820088" spans="1:1" x14ac:dyDescent="0.25">
      <c r="A820088" s="242"/>
    </row>
    <row r="820089" spans="1:1" x14ac:dyDescent="0.25">
      <c r="A820089" s="242"/>
    </row>
    <row r="820090" spans="1:1" x14ac:dyDescent="0.25">
      <c r="A820090" s="242"/>
    </row>
    <row r="820091" spans="1:1" x14ac:dyDescent="0.25">
      <c r="A820091" s="242"/>
    </row>
    <row r="820092" spans="1:1" x14ac:dyDescent="0.25">
      <c r="A820092" s="242"/>
    </row>
    <row r="820093" spans="1:1" x14ac:dyDescent="0.25">
      <c r="A820093" s="242"/>
    </row>
    <row r="820094" spans="1:1" x14ac:dyDescent="0.25">
      <c r="A820094" s="242"/>
    </row>
    <row r="820095" spans="1:1" x14ac:dyDescent="0.25">
      <c r="A820095" s="242"/>
    </row>
    <row r="820096" spans="1:1" x14ac:dyDescent="0.25">
      <c r="A820096" s="242"/>
    </row>
    <row r="820097" spans="1:1" x14ac:dyDescent="0.25">
      <c r="A820097" s="242"/>
    </row>
    <row r="820098" spans="1:1" x14ac:dyDescent="0.25">
      <c r="A820098" s="242"/>
    </row>
    <row r="820099" spans="1:1" x14ac:dyDescent="0.25">
      <c r="A820099" s="242"/>
    </row>
    <row r="820100" spans="1:1" x14ac:dyDescent="0.25">
      <c r="A820100" s="242"/>
    </row>
    <row r="820101" spans="1:1" x14ac:dyDescent="0.25">
      <c r="A820101" s="242"/>
    </row>
    <row r="820102" spans="1:1" x14ac:dyDescent="0.25">
      <c r="A820102" s="242"/>
    </row>
    <row r="820103" spans="1:1" x14ac:dyDescent="0.25">
      <c r="A820103" s="242"/>
    </row>
    <row r="820104" spans="1:1" x14ac:dyDescent="0.25">
      <c r="A820104" s="242"/>
    </row>
    <row r="820105" spans="1:1" x14ac:dyDescent="0.25">
      <c r="A820105" s="242"/>
    </row>
    <row r="820106" spans="1:1" x14ac:dyDescent="0.25">
      <c r="A820106" s="242"/>
    </row>
    <row r="820107" spans="1:1" x14ac:dyDescent="0.25">
      <c r="A820107" s="242"/>
    </row>
    <row r="820108" spans="1:1" x14ac:dyDescent="0.25">
      <c r="A820108" s="242"/>
    </row>
    <row r="820109" spans="1:1" x14ac:dyDescent="0.25">
      <c r="A820109" s="242"/>
    </row>
    <row r="820110" spans="1:1" x14ac:dyDescent="0.25">
      <c r="A820110" s="242"/>
    </row>
    <row r="820111" spans="1:1" x14ac:dyDescent="0.25">
      <c r="A820111" s="242"/>
    </row>
    <row r="820112" spans="1:1" x14ac:dyDescent="0.25">
      <c r="A820112" s="242"/>
    </row>
    <row r="820113" spans="1:1" x14ac:dyDescent="0.25">
      <c r="A820113" s="242"/>
    </row>
    <row r="820114" spans="1:1" x14ac:dyDescent="0.25">
      <c r="A820114" s="242"/>
    </row>
    <row r="820115" spans="1:1" x14ac:dyDescent="0.25">
      <c r="A820115" s="242"/>
    </row>
    <row r="820116" spans="1:1" x14ac:dyDescent="0.25">
      <c r="A820116" s="242"/>
    </row>
    <row r="820117" spans="1:1" x14ac:dyDescent="0.25">
      <c r="A820117" s="242"/>
    </row>
    <row r="820118" spans="1:1" x14ac:dyDescent="0.25">
      <c r="A820118" s="242"/>
    </row>
    <row r="820119" spans="1:1" x14ac:dyDescent="0.25">
      <c r="A820119" s="242"/>
    </row>
    <row r="820120" spans="1:1" x14ac:dyDescent="0.25">
      <c r="A820120" s="242"/>
    </row>
    <row r="820121" spans="1:1" x14ac:dyDescent="0.25">
      <c r="A820121" s="242"/>
    </row>
    <row r="820122" spans="1:1" x14ac:dyDescent="0.25">
      <c r="A820122" s="242"/>
    </row>
    <row r="820123" spans="1:1" x14ac:dyDescent="0.25">
      <c r="A820123" s="242"/>
    </row>
    <row r="820124" spans="1:1" x14ac:dyDescent="0.25">
      <c r="A820124" s="242"/>
    </row>
    <row r="820125" spans="1:1" x14ac:dyDescent="0.25">
      <c r="A820125" s="242"/>
    </row>
    <row r="820126" spans="1:1" x14ac:dyDescent="0.25">
      <c r="A820126" s="242"/>
    </row>
    <row r="820127" spans="1:1" x14ac:dyDescent="0.25">
      <c r="A820127" s="242"/>
    </row>
    <row r="820128" spans="1:1" x14ac:dyDescent="0.25">
      <c r="A820128" s="242"/>
    </row>
    <row r="820129" spans="1:1" x14ac:dyDescent="0.25">
      <c r="A820129" s="242"/>
    </row>
    <row r="820130" spans="1:1" x14ac:dyDescent="0.25">
      <c r="A820130" s="242"/>
    </row>
    <row r="820131" spans="1:1" x14ac:dyDescent="0.25">
      <c r="A820131" s="242"/>
    </row>
    <row r="820132" spans="1:1" x14ac:dyDescent="0.25">
      <c r="A820132" s="242"/>
    </row>
    <row r="820133" spans="1:1" x14ac:dyDescent="0.25">
      <c r="A820133" s="242"/>
    </row>
    <row r="820134" spans="1:1" x14ac:dyDescent="0.25">
      <c r="A820134" s="242"/>
    </row>
    <row r="820135" spans="1:1" x14ac:dyDescent="0.25">
      <c r="A820135" s="242"/>
    </row>
    <row r="820136" spans="1:1" x14ac:dyDescent="0.25">
      <c r="A820136" s="242"/>
    </row>
    <row r="820137" spans="1:1" x14ac:dyDescent="0.25">
      <c r="A820137" s="242"/>
    </row>
    <row r="820138" spans="1:1" x14ac:dyDescent="0.25">
      <c r="A820138" s="242"/>
    </row>
    <row r="820139" spans="1:1" x14ac:dyDescent="0.25">
      <c r="A820139" s="242"/>
    </row>
    <row r="820140" spans="1:1" x14ac:dyDescent="0.25">
      <c r="A820140" s="242"/>
    </row>
    <row r="820141" spans="1:1" x14ac:dyDescent="0.25">
      <c r="A820141" s="242"/>
    </row>
    <row r="820142" spans="1:1" x14ac:dyDescent="0.25">
      <c r="A820142" s="242"/>
    </row>
    <row r="820143" spans="1:1" x14ac:dyDescent="0.25">
      <c r="A820143" s="242"/>
    </row>
    <row r="820144" spans="1:1" x14ac:dyDescent="0.25">
      <c r="A820144" s="242"/>
    </row>
    <row r="820145" spans="1:1" x14ac:dyDescent="0.25">
      <c r="A820145" s="242"/>
    </row>
    <row r="820146" spans="1:1" x14ac:dyDescent="0.25">
      <c r="A820146" s="242"/>
    </row>
    <row r="820147" spans="1:1" x14ac:dyDescent="0.25">
      <c r="A820147" s="242"/>
    </row>
    <row r="820148" spans="1:1" x14ac:dyDescent="0.25">
      <c r="A820148" s="242"/>
    </row>
    <row r="820149" spans="1:1" x14ac:dyDescent="0.25">
      <c r="A820149" s="242"/>
    </row>
    <row r="820150" spans="1:1" x14ac:dyDescent="0.25">
      <c r="A820150" s="242"/>
    </row>
    <row r="820151" spans="1:1" x14ac:dyDescent="0.25">
      <c r="A820151" s="242"/>
    </row>
    <row r="820152" spans="1:1" x14ac:dyDescent="0.25">
      <c r="A820152" s="242"/>
    </row>
    <row r="820153" spans="1:1" x14ac:dyDescent="0.25">
      <c r="A820153" s="242"/>
    </row>
    <row r="820154" spans="1:1" x14ac:dyDescent="0.25">
      <c r="A820154" s="242"/>
    </row>
    <row r="820155" spans="1:1" x14ac:dyDescent="0.25">
      <c r="A820155" s="242"/>
    </row>
    <row r="820156" spans="1:1" x14ac:dyDescent="0.25">
      <c r="A820156" s="242"/>
    </row>
    <row r="820157" spans="1:1" x14ac:dyDescent="0.25">
      <c r="A820157" s="242"/>
    </row>
    <row r="820158" spans="1:1" x14ac:dyDescent="0.25">
      <c r="A820158" s="242"/>
    </row>
    <row r="820159" spans="1:1" x14ac:dyDescent="0.25">
      <c r="A820159" s="242"/>
    </row>
    <row r="820160" spans="1:1" x14ac:dyDescent="0.25">
      <c r="A820160" s="242"/>
    </row>
    <row r="820161" spans="1:1" x14ac:dyDescent="0.25">
      <c r="A820161" s="242"/>
    </row>
    <row r="820162" spans="1:1" x14ac:dyDescent="0.25">
      <c r="A820162" s="242"/>
    </row>
    <row r="820163" spans="1:1" x14ac:dyDescent="0.25">
      <c r="A820163" s="242"/>
    </row>
    <row r="820164" spans="1:1" x14ac:dyDescent="0.25">
      <c r="A820164" s="242"/>
    </row>
    <row r="820165" spans="1:1" x14ac:dyDescent="0.25">
      <c r="A820165" s="242"/>
    </row>
    <row r="820166" spans="1:1" x14ac:dyDescent="0.25">
      <c r="A820166" s="242"/>
    </row>
    <row r="820167" spans="1:1" x14ac:dyDescent="0.25">
      <c r="A820167" s="242"/>
    </row>
    <row r="820168" spans="1:1" x14ac:dyDescent="0.25">
      <c r="A820168" s="242"/>
    </row>
    <row r="820169" spans="1:1" x14ac:dyDescent="0.25">
      <c r="A820169" s="242"/>
    </row>
    <row r="820170" spans="1:1" x14ac:dyDescent="0.25">
      <c r="A820170" s="242"/>
    </row>
    <row r="820171" spans="1:1" x14ac:dyDescent="0.25">
      <c r="A820171" s="242"/>
    </row>
    <row r="820172" spans="1:1" x14ac:dyDescent="0.25">
      <c r="A820172" s="242"/>
    </row>
    <row r="820173" spans="1:1" x14ac:dyDescent="0.25">
      <c r="A820173" s="242"/>
    </row>
    <row r="820174" spans="1:1" x14ac:dyDescent="0.25">
      <c r="A820174" s="242"/>
    </row>
    <row r="820175" spans="1:1" x14ac:dyDescent="0.25">
      <c r="A820175" s="242"/>
    </row>
    <row r="820176" spans="1:1" x14ac:dyDescent="0.25">
      <c r="A820176" s="242"/>
    </row>
    <row r="820177" spans="1:1" x14ac:dyDescent="0.25">
      <c r="A820177" s="242"/>
    </row>
    <row r="820178" spans="1:1" x14ac:dyDescent="0.25">
      <c r="A820178" s="242"/>
    </row>
    <row r="820179" spans="1:1" x14ac:dyDescent="0.25">
      <c r="A820179" s="242"/>
    </row>
    <row r="820180" spans="1:1" x14ac:dyDescent="0.25">
      <c r="A820180" s="242"/>
    </row>
    <row r="820181" spans="1:1" x14ac:dyDescent="0.25">
      <c r="A820181" s="242"/>
    </row>
    <row r="820182" spans="1:1" x14ac:dyDescent="0.25">
      <c r="A820182" s="242"/>
    </row>
    <row r="820183" spans="1:1" x14ac:dyDescent="0.25">
      <c r="A820183" s="242"/>
    </row>
    <row r="820184" spans="1:1" x14ac:dyDescent="0.25">
      <c r="A820184" s="242"/>
    </row>
    <row r="820185" spans="1:1" x14ac:dyDescent="0.25">
      <c r="A820185" s="242"/>
    </row>
    <row r="820186" spans="1:1" x14ac:dyDescent="0.25">
      <c r="A820186" s="242"/>
    </row>
    <row r="820187" spans="1:1" x14ac:dyDescent="0.25">
      <c r="A820187" s="242"/>
    </row>
    <row r="820188" spans="1:1" x14ac:dyDescent="0.25">
      <c r="A820188" s="242"/>
    </row>
    <row r="820189" spans="1:1" x14ac:dyDescent="0.25">
      <c r="A820189" s="242"/>
    </row>
    <row r="820190" spans="1:1" x14ac:dyDescent="0.25">
      <c r="A820190" s="242"/>
    </row>
    <row r="820191" spans="1:1" x14ac:dyDescent="0.25">
      <c r="A820191" s="242"/>
    </row>
    <row r="820192" spans="1:1" x14ac:dyDescent="0.25">
      <c r="A820192" s="242"/>
    </row>
    <row r="820193" spans="1:1" x14ac:dyDescent="0.25">
      <c r="A820193" s="242"/>
    </row>
    <row r="820194" spans="1:1" x14ac:dyDescent="0.25">
      <c r="A820194" s="242"/>
    </row>
    <row r="820195" spans="1:1" x14ac:dyDescent="0.25">
      <c r="A820195" s="242"/>
    </row>
    <row r="820196" spans="1:1" x14ac:dyDescent="0.25">
      <c r="A820196" s="242"/>
    </row>
    <row r="820197" spans="1:1" x14ac:dyDescent="0.25">
      <c r="A820197" s="242"/>
    </row>
    <row r="820198" spans="1:1" x14ac:dyDescent="0.25">
      <c r="A820198" s="242"/>
    </row>
    <row r="820199" spans="1:1" x14ac:dyDescent="0.25">
      <c r="A820199" s="242"/>
    </row>
    <row r="820200" spans="1:1" x14ac:dyDescent="0.25">
      <c r="A820200" s="242"/>
    </row>
    <row r="820201" spans="1:1" x14ac:dyDescent="0.25">
      <c r="A820201" s="242"/>
    </row>
    <row r="820202" spans="1:1" x14ac:dyDescent="0.25">
      <c r="A820202" s="242"/>
    </row>
    <row r="820203" spans="1:1" x14ac:dyDescent="0.25">
      <c r="A820203" s="242"/>
    </row>
    <row r="820204" spans="1:1" x14ac:dyDescent="0.25">
      <c r="A820204" s="242"/>
    </row>
    <row r="820205" spans="1:1" x14ac:dyDescent="0.25">
      <c r="A820205" s="242"/>
    </row>
    <row r="820206" spans="1:1" x14ac:dyDescent="0.25">
      <c r="A820206" s="242"/>
    </row>
    <row r="820207" spans="1:1" x14ac:dyDescent="0.25">
      <c r="A820207" s="242"/>
    </row>
    <row r="820208" spans="1:1" x14ac:dyDescent="0.25">
      <c r="A820208" s="242"/>
    </row>
    <row r="820209" spans="1:1" x14ac:dyDescent="0.25">
      <c r="A820209" s="242"/>
    </row>
    <row r="820210" spans="1:1" x14ac:dyDescent="0.25">
      <c r="A820210" s="242"/>
    </row>
    <row r="820211" spans="1:1" x14ac:dyDescent="0.25">
      <c r="A820211" s="242"/>
    </row>
    <row r="820212" spans="1:1" x14ac:dyDescent="0.25">
      <c r="A820212" s="242"/>
    </row>
    <row r="820213" spans="1:1" x14ac:dyDescent="0.25">
      <c r="A820213" s="242"/>
    </row>
    <row r="820214" spans="1:1" x14ac:dyDescent="0.25">
      <c r="A820214" s="242"/>
    </row>
    <row r="820215" spans="1:1" x14ac:dyDescent="0.25">
      <c r="A820215" s="242"/>
    </row>
    <row r="820216" spans="1:1" x14ac:dyDescent="0.25">
      <c r="A820216" s="242"/>
    </row>
    <row r="820217" spans="1:1" x14ac:dyDescent="0.25">
      <c r="A820217" s="242"/>
    </row>
    <row r="820218" spans="1:1" x14ac:dyDescent="0.25">
      <c r="A820218" s="242"/>
    </row>
    <row r="820219" spans="1:1" x14ac:dyDescent="0.25">
      <c r="A820219" s="242"/>
    </row>
    <row r="820220" spans="1:1" x14ac:dyDescent="0.25">
      <c r="A820220" s="242"/>
    </row>
    <row r="820221" spans="1:1" x14ac:dyDescent="0.25">
      <c r="A820221" s="242"/>
    </row>
    <row r="820222" spans="1:1" x14ac:dyDescent="0.25">
      <c r="A820222" s="242"/>
    </row>
    <row r="820223" spans="1:1" x14ac:dyDescent="0.25">
      <c r="A820223" s="242"/>
    </row>
    <row r="820224" spans="1:1" x14ac:dyDescent="0.25">
      <c r="A820224" s="242"/>
    </row>
    <row r="820225" spans="1:1" x14ac:dyDescent="0.25">
      <c r="A820225" s="242"/>
    </row>
    <row r="820226" spans="1:1" x14ac:dyDescent="0.25">
      <c r="A820226" s="242"/>
    </row>
    <row r="820227" spans="1:1" x14ac:dyDescent="0.25">
      <c r="A820227" s="242"/>
    </row>
    <row r="820228" spans="1:1" x14ac:dyDescent="0.25">
      <c r="A820228" s="242"/>
    </row>
    <row r="820229" spans="1:1" x14ac:dyDescent="0.25">
      <c r="A820229" s="242"/>
    </row>
    <row r="820230" spans="1:1" x14ac:dyDescent="0.25">
      <c r="A820230" s="242"/>
    </row>
    <row r="820231" spans="1:1" x14ac:dyDescent="0.25">
      <c r="A820231" s="242"/>
    </row>
    <row r="820232" spans="1:1" x14ac:dyDescent="0.25">
      <c r="A820232" s="242"/>
    </row>
    <row r="820233" spans="1:1" x14ac:dyDescent="0.25">
      <c r="A820233" s="242"/>
    </row>
    <row r="820234" spans="1:1" x14ac:dyDescent="0.25">
      <c r="A820234" s="242"/>
    </row>
    <row r="820235" spans="1:1" x14ac:dyDescent="0.25">
      <c r="A820235" s="242"/>
    </row>
    <row r="820236" spans="1:1" x14ac:dyDescent="0.25">
      <c r="A820236" s="242"/>
    </row>
    <row r="820237" spans="1:1" x14ac:dyDescent="0.25">
      <c r="A820237" s="242"/>
    </row>
    <row r="820238" spans="1:1" x14ac:dyDescent="0.25">
      <c r="A820238" s="242"/>
    </row>
    <row r="820239" spans="1:1" x14ac:dyDescent="0.25">
      <c r="A820239" s="242"/>
    </row>
    <row r="820240" spans="1:1" x14ac:dyDescent="0.25">
      <c r="A820240" s="242"/>
    </row>
    <row r="820241" spans="1:1" x14ac:dyDescent="0.25">
      <c r="A820241" s="242"/>
    </row>
    <row r="820242" spans="1:1" x14ac:dyDescent="0.25">
      <c r="A820242" s="242"/>
    </row>
    <row r="820243" spans="1:1" x14ac:dyDescent="0.25">
      <c r="A820243" s="242"/>
    </row>
    <row r="820244" spans="1:1" x14ac:dyDescent="0.25">
      <c r="A820244" s="242"/>
    </row>
    <row r="820245" spans="1:1" x14ac:dyDescent="0.25">
      <c r="A820245" s="242"/>
    </row>
    <row r="820246" spans="1:1" x14ac:dyDescent="0.25">
      <c r="A820246" s="242"/>
    </row>
    <row r="820247" spans="1:1" x14ac:dyDescent="0.25">
      <c r="A820247" s="242"/>
    </row>
    <row r="820248" spans="1:1" x14ac:dyDescent="0.25">
      <c r="A820248" s="242"/>
    </row>
    <row r="820249" spans="1:1" x14ac:dyDescent="0.25">
      <c r="A820249" s="242"/>
    </row>
    <row r="820250" spans="1:1" x14ac:dyDescent="0.25">
      <c r="A820250" s="242"/>
    </row>
    <row r="820251" spans="1:1" x14ac:dyDescent="0.25">
      <c r="A820251" s="242"/>
    </row>
    <row r="820252" spans="1:1" x14ac:dyDescent="0.25">
      <c r="A820252" s="242"/>
    </row>
    <row r="820253" spans="1:1" x14ac:dyDescent="0.25">
      <c r="A820253" s="242"/>
    </row>
    <row r="820254" spans="1:1" x14ac:dyDescent="0.25">
      <c r="A820254" s="242"/>
    </row>
    <row r="820255" spans="1:1" x14ac:dyDescent="0.25">
      <c r="A820255" s="242"/>
    </row>
    <row r="820256" spans="1:1" x14ac:dyDescent="0.25">
      <c r="A820256" s="242"/>
    </row>
    <row r="820257" spans="1:1" x14ac:dyDescent="0.25">
      <c r="A820257" s="242"/>
    </row>
    <row r="820258" spans="1:1" x14ac:dyDescent="0.25">
      <c r="A820258" s="242"/>
    </row>
    <row r="820259" spans="1:1" x14ac:dyDescent="0.25">
      <c r="A820259" s="242"/>
    </row>
    <row r="820260" spans="1:1" x14ac:dyDescent="0.25">
      <c r="A820260" s="242"/>
    </row>
    <row r="820261" spans="1:1" x14ac:dyDescent="0.25">
      <c r="A820261" s="242"/>
    </row>
    <row r="820262" spans="1:1" x14ac:dyDescent="0.25">
      <c r="A820262" s="242"/>
    </row>
    <row r="820263" spans="1:1" x14ac:dyDescent="0.25">
      <c r="A820263" s="242"/>
    </row>
    <row r="820264" spans="1:1" x14ac:dyDescent="0.25">
      <c r="A820264" s="242"/>
    </row>
    <row r="820265" spans="1:1" x14ac:dyDescent="0.25">
      <c r="A820265" s="242"/>
    </row>
    <row r="820266" spans="1:1" x14ac:dyDescent="0.25">
      <c r="A820266" s="242"/>
    </row>
    <row r="820267" spans="1:1" x14ac:dyDescent="0.25">
      <c r="A820267" s="242"/>
    </row>
    <row r="820268" spans="1:1" x14ac:dyDescent="0.25">
      <c r="A820268" s="242"/>
    </row>
    <row r="820269" spans="1:1" x14ac:dyDescent="0.25">
      <c r="A820269" s="242"/>
    </row>
    <row r="820270" spans="1:1" x14ac:dyDescent="0.25">
      <c r="A820270" s="242"/>
    </row>
    <row r="820271" spans="1:1" x14ac:dyDescent="0.25">
      <c r="A820271" s="242"/>
    </row>
    <row r="820272" spans="1:1" x14ac:dyDescent="0.25">
      <c r="A820272" s="242"/>
    </row>
    <row r="820273" spans="1:1" x14ac:dyDescent="0.25">
      <c r="A820273" s="242"/>
    </row>
    <row r="820274" spans="1:1" x14ac:dyDescent="0.25">
      <c r="A820274" s="242"/>
    </row>
    <row r="820275" spans="1:1" x14ac:dyDescent="0.25">
      <c r="A820275" s="242"/>
    </row>
    <row r="820276" spans="1:1" x14ac:dyDescent="0.25">
      <c r="A820276" s="242"/>
    </row>
    <row r="820277" spans="1:1" x14ac:dyDescent="0.25">
      <c r="A820277" s="242"/>
    </row>
    <row r="820278" spans="1:1" x14ac:dyDescent="0.25">
      <c r="A820278" s="242"/>
    </row>
    <row r="820279" spans="1:1" x14ac:dyDescent="0.25">
      <c r="A820279" s="242"/>
    </row>
    <row r="820280" spans="1:1" x14ac:dyDescent="0.25">
      <c r="A820280" s="242"/>
    </row>
    <row r="820281" spans="1:1" x14ac:dyDescent="0.25">
      <c r="A820281" s="242"/>
    </row>
    <row r="820282" spans="1:1" x14ac:dyDescent="0.25">
      <c r="A820282" s="242"/>
    </row>
    <row r="820283" spans="1:1" x14ac:dyDescent="0.25">
      <c r="A820283" s="242"/>
    </row>
    <row r="820284" spans="1:1" x14ac:dyDescent="0.25">
      <c r="A820284" s="242"/>
    </row>
    <row r="820285" spans="1:1" x14ac:dyDescent="0.25">
      <c r="A820285" s="242"/>
    </row>
    <row r="820286" spans="1:1" x14ac:dyDescent="0.25">
      <c r="A820286" s="242"/>
    </row>
    <row r="820287" spans="1:1" x14ac:dyDescent="0.25">
      <c r="A820287" s="242"/>
    </row>
    <row r="820288" spans="1:1" x14ac:dyDescent="0.25">
      <c r="A820288" s="242"/>
    </row>
    <row r="820289" spans="1:1" x14ac:dyDescent="0.25">
      <c r="A820289" s="242"/>
    </row>
    <row r="820290" spans="1:1" x14ac:dyDescent="0.25">
      <c r="A820290" s="242"/>
    </row>
    <row r="820291" spans="1:1" x14ac:dyDescent="0.25">
      <c r="A820291" s="242"/>
    </row>
    <row r="820292" spans="1:1" x14ac:dyDescent="0.25">
      <c r="A820292" s="242"/>
    </row>
    <row r="820293" spans="1:1" x14ac:dyDescent="0.25">
      <c r="A820293" s="242"/>
    </row>
    <row r="820294" spans="1:1" x14ac:dyDescent="0.25">
      <c r="A820294" s="242"/>
    </row>
    <row r="820295" spans="1:1" x14ac:dyDescent="0.25">
      <c r="A820295" s="242"/>
    </row>
    <row r="820296" spans="1:1" x14ac:dyDescent="0.25">
      <c r="A820296" s="242"/>
    </row>
    <row r="820297" spans="1:1" x14ac:dyDescent="0.25">
      <c r="A820297" s="242"/>
    </row>
    <row r="820298" spans="1:1" x14ac:dyDescent="0.25">
      <c r="A820298" s="242"/>
    </row>
    <row r="820299" spans="1:1" x14ac:dyDescent="0.25">
      <c r="A820299" s="242"/>
    </row>
    <row r="820300" spans="1:1" x14ac:dyDescent="0.25">
      <c r="A820300" s="242"/>
    </row>
    <row r="820301" spans="1:1" x14ac:dyDescent="0.25">
      <c r="A820301" s="242"/>
    </row>
    <row r="820302" spans="1:1" x14ac:dyDescent="0.25">
      <c r="A820302" s="242"/>
    </row>
    <row r="820303" spans="1:1" x14ac:dyDescent="0.25">
      <c r="A820303" s="242"/>
    </row>
    <row r="820304" spans="1:1" x14ac:dyDescent="0.25">
      <c r="A820304" s="242"/>
    </row>
    <row r="820305" spans="1:1" x14ac:dyDescent="0.25">
      <c r="A820305" s="242"/>
    </row>
    <row r="820306" spans="1:1" x14ac:dyDescent="0.25">
      <c r="A820306" s="242"/>
    </row>
    <row r="820307" spans="1:1" x14ac:dyDescent="0.25">
      <c r="A820307" s="242"/>
    </row>
    <row r="820308" spans="1:1" x14ac:dyDescent="0.25">
      <c r="A820308" s="242"/>
    </row>
    <row r="820309" spans="1:1" x14ac:dyDescent="0.25">
      <c r="A820309" s="242"/>
    </row>
    <row r="820310" spans="1:1" x14ac:dyDescent="0.25">
      <c r="A820310" s="242"/>
    </row>
    <row r="820311" spans="1:1" x14ac:dyDescent="0.25">
      <c r="A820311" s="242"/>
    </row>
    <row r="820312" spans="1:1" x14ac:dyDescent="0.25">
      <c r="A820312" s="242"/>
    </row>
    <row r="820313" spans="1:1" x14ac:dyDescent="0.25">
      <c r="A820313" s="242"/>
    </row>
    <row r="820314" spans="1:1" x14ac:dyDescent="0.25">
      <c r="A820314" s="242"/>
    </row>
    <row r="820315" spans="1:1" x14ac:dyDescent="0.25">
      <c r="A820315" s="242"/>
    </row>
    <row r="820316" spans="1:1" x14ac:dyDescent="0.25">
      <c r="A820316" s="242"/>
    </row>
    <row r="820317" spans="1:1" x14ac:dyDescent="0.25">
      <c r="A820317" s="242"/>
    </row>
    <row r="820318" spans="1:1" x14ac:dyDescent="0.25">
      <c r="A820318" s="242"/>
    </row>
    <row r="820319" spans="1:1" x14ac:dyDescent="0.25">
      <c r="A820319" s="242"/>
    </row>
    <row r="820320" spans="1:1" x14ac:dyDescent="0.25">
      <c r="A820320" s="242"/>
    </row>
    <row r="820321" spans="1:1" x14ac:dyDescent="0.25">
      <c r="A820321" s="242"/>
    </row>
    <row r="820322" spans="1:1" x14ac:dyDescent="0.25">
      <c r="A820322" s="242"/>
    </row>
    <row r="820323" spans="1:1" x14ac:dyDescent="0.25">
      <c r="A820323" s="242"/>
    </row>
    <row r="820324" spans="1:1" x14ac:dyDescent="0.25">
      <c r="A820324" s="242"/>
    </row>
    <row r="820325" spans="1:1" x14ac:dyDescent="0.25">
      <c r="A820325" s="242"/>
    </row>
    <row r="820326" spans="1:1" x14ac:dyDescent="0.25">
      <c r="A820326" s="242"/>
    </row>
    <row r="820327" spans="1:1" x14ac:dyDescent="0.25">
      <c r="A820327" s="242"/>
    </row>
    <row r="820328" spans="1:1" x14ac:dyDescent="0.25">
      <c r="A820328" s="242"/>
    </row>
    <row r="820329" spans="1:1" x14ac:dyDescent="0.25">
      <c r="A820329" s="242"/>
    </row>
    <row r="820330" spans="1:1" x14ac:dyDescent="0.25">
      <c r="A820330" s="242"/>
    </row>
    <row r="820331" spans="1:1" x14ac:dyDescent="0.25">
      <c r="A820331" s="242"/>
    </row>
    <row r="820332" spans="1:1" x14ac:dyDescent="0.25">
      <c r="A820332" s="242"/>
    </row>
    <row r="820333" spans="1:1" x14ac:dyDescent="0.25">
      <c r="A820333" s="242"/>
    </row>
    <row r="820334" spans="1:1" x14ac:dyDescent="0.25">
      <c r="A820334" s="242"/>
    </row>
    <row r="820335" spans="1:1" x14ac:dyDescent="0.25">
      <c r="A820335" s="242"/>
    </row>
    <row r="820336" spans="1:1" x14ac:dyDescent="0.25">
      <c r="A820336" s="242"/>
    </row>
    <row r="820337" spans="1:1" x14ac:dyDescent="0.25">
      <c r="A820337" s="242"/>
    </row>
    <row r="820338" spans="1:1" x14ac:dyDescent="0.25">
      <c r="A820338" s="242"/>
    </row>
    <row r="820339" spans="1:1" x14ac:dyDescent="0.25">
      <c r="A820339" s="242"/>
    </row>
    <row r="820340" spans="1:1" x14ac:dyDescent="0.25">
      <c r="A820340" s="242"/>
    </row>
    <row r="820341" spans="1:1" x14ac:dyDescent="0.25">
      <c r="A820341" s="242"/>
    </row>
    <row r="820342" spans="1:1" x14ac:dyDescent="0.25">
      <c r="A820342" s="242"/>
    </row>
    <row r="820343" spans="1:1" x14ac:dyDescent="0.25">
      <c r="A820343" s="242"/>
    </row>
    <row r="820344" spans="1:1" x14ac:dyDescent="0.25">
      <c r="A820344" s="242"/>
    </row>
    <row r="820345" spans="1:1" x14ac:dyDescent="0.25">
      <c r="A820345" s="242"/>
    </row>
    <row r="820346" spans="1:1" x14ac:dyDescent="0.25">
      <c r="A820346" s="242"/>
    </row>
    <row r="820347" spans="1:1" x14ac:dyDescent="0.25">
      <c r="A820347" s="242"/>
    </row>
    <row r="820348" spans="1:1" x14ac:dyDescent="0.25">
      <c r="A820348" s="242"/>
    </row>
    <row r="820349" spans="1:1" x14ac:dyDescent="0.25">
      <c r="A820349" s="242"/>
    </row>
    <row r="820350" spans="1:1" x14ac:dyDescent="0.25">
      <c r="A820350" s="242"/>
    </row>
    <row r="820351" spans="1:1" x14ac:dyDescent="0.25">
      <c r="A820351" s="242"/>
    </row>
    <row r="820352" spans="1:1" x14ac:dyDescent="0.25">
      <c r="A820352" s="242"/>
    </row>
    <row r="820353" spans="1:1" x14ac:dyDescent="0.25">
      <c r="A820353" s="242"/>
    </row>
    <row r="820354" spans="1:1" x14ac:dyDescent="0.25">
      <c r="A820354" s="242"/>
    </row>
    <row r="820355" spans="1:1" x14ac:dyDescent="0.25">
      <c r="A820355" s="242"/>
    </row>
    <row r="820356" spans="1:1" x14ac:dyDescent="0.25">
      <c r="A820356" s="242"/>
    </row>
    <row r="820357" spans="1:1" x14ac:dyDescent="0.25">
      <c r="A820357" s="242"/>
    </row>
    <row r="820358" spans="1:1" x14ac:dyDescent="0.25">
      <c r="A820358" s="242"/>
    </row>
    <row r="820359" spans="1:1" x14ac:dyDescent="0.25">
      <c r="A820359" s="242"/>
    </row>
    <row r="820360" spans="1:1" x14ac:dyDescent="0.25">
      <c r="A820360" s="242"/>
    </row>
    <row r="820361" spans="1:1" x14ac:dyDescent="0.25">
      <c r="A820361" s="242"/>
    </row>
    <row r="820362" spans="1:1" x14ac:dyDescent="0.25">
      <c r="A820362" s="242"/>
    </row>
    <row r="820363" spans="1:1" x14ac:dyDescent="0.25">
      <c r="A820363" s="242"/>
    </row>
    <row r="820364" spans="1:1" x14ac:dyDescent="0.25">
      <c r="A820364" s="242"/>
    </row>
    <row r="820365" spans="1:1" x14ac:dyDescent="0.25">
      <c r="A820365" s="242"/>
    </row>
    <row r="820366" spans="1:1" x14ac:dyDescent="0.25">
      <c r="A820366" s="242"/>
    </row>
    <row r="820367" spans="1:1" x14ac:dyDescent="0.25">
      <c r="A820367" s="242"/>
    </row>
    <row r="820368" spans="1:1" x14ac:dyDescent="0.25">
      <c r="A820368" s="242"/>
    </row>
    <row r="820369" spans="1:1" x14ac:dyDescent="0.25">
      <c r="A820369" s="242"/>
    </row>
    <row r="820370" spans="1:1" x14ac:dyDescent="0.25">
      <c r="A820370" s="242"/>
    </row>
    <row r="820371" spans="1:1" x14ac:dyDescent="0.25">
      <c r="A820371" s="242"/>
    </row>
    <row r="820372" spans="1:1" x14ac:dyDescent="0.25">
      <c r="A820372" s="242"/>
    </row>
    <row r="820373" spans="1:1" x14ac:dyDescent="0.25">
      <c r="A820373" s="242"/>
    </row>
    <row r="820374" spans="1:1" x14ac:dyDescent="0.25">
      <c r="A820374" s="242"/>
    </row>
    <row r="820375" spans="1:1" x14ac:dyDescent="0.25">
      <c r="A820375" s="242"/>
    </row>
    <row r="820376" spans="1:1" x14ac:dyDescent="0.25">
      <c r="A820376" s="242"/>
    </row>
    <row r="820377" spans="1:1" x14ac:dyDescent="0.25">
      <c r="A820377" s="242"/>
    </row>
    <row r="820378" spans="1:1" x14ac:dyDescent="0.25">
      <c r="A820378" s="242"/>
    </row>
    <row r="820379" spans="1:1" x14ac:dyDescent="0.25">
      <c r="A820379" s="242"/>
    </row>
    <row r="820380" spans="1:1" x14ac:dyDescent="0.25">
      <c r="A820380" s="242"/>
    </row>
    <row r="820381" spans="1:1" x14ac:dyDescent="0.25">
      <c r="A820381" s="242"/>
    </row>
    <row r="820382" spans="1:1" x14ac:dyDescent="0.25">
      <c r="A820382" s="242"/>
    </row>
    <row r="820383" spans="1:1" x14ac:dyDescent="0.25">
      <c r="A820383" s="242"/>
    </row>
    <row r="820384" spans="1:1" x14ac:dyDescent="0.25">
      <c r="A820384" s="242"/>
    </row>
    <row r="820385" spans="1:1" x14ac:dyDescent="0.25">
      <c r="A820385" s="242"/>
    </row>
    <row r="820386" spans="1:1" x14ac:dyDescent="0.25">
      <c r="A820386" s="242"/>
    </row>
    <row r="820387" spans="1:1" x14ac:dyDescent="0.25">
      <c r="A820387" s="242"/>
    </row>
    <row r="820388" spans="1:1" x14ac:dyDescent="0.25">
      <c r="A820388" s="242"/>
    </row>
    <row r="820389" spans="1:1" x14ac:dyDescent="0.25">
      <c r="A820389" s="242"/>
    </row>
    <row r="820390" spans="1:1" x14ac:dyDescent="0.25">
      <c r="A820390" s="242"/>
    </row>
    <row r="820391" spans="1:1" x14ac:dyDescent="0.25">
      <c r="A820391" s="242"/>
    </row>
    <row r="820392" spans="1:1" x14ac:dyDescent="0.25">
      <c r="A820392" s="242"/>
    </row>
    <row r="820393" spans="1:1" x14ac:dyDescent="0.25">
      <c r="A820393" s="242"/>
    </row>
    <row r="820394" spans="1:1" x14ac:dyDescent="0.25">
      <c r="A820394" s="242"/>
    </row>
    <row r="820395" spans="1:1" x14ac:dyDescent="0.25">
      <c r="A820395" s="242"/>
    </row>
    <row r="820396" spans="1:1" x14ac:dyDescent="0.25">
      <c r="A820396" s="242"/>
    </row>
    <row r="820397" spans="1:1" x14ac:dyDescent="0.25">
      <c r="A820397" s="242"/>
    </row>
    <row r="820398" spans="1:1" x14ac:dyDescent="0.25">
      <c r="A820398" s="242"/>
    </row>
    <row r="820399" spans="1:1" x14ac:dyDescent="0.25">
      <c r="A820399" s="242"/>
    </row>
    <row r="820400" spans="1:1" x14ac:dyDescent="0.25">
      <c r="A820400" s="242"/>
    </row>
    <row r="820401" spans="1:1" x14ac:dyDescent="0.25">
      <c r="A820401" s="242"/>
    </row>
    <row r="820402" spans="1:1" x14ac:dyDescent="0.25">
      <c r="A820402" s="242"/>
    </row>
    <row r="820403" spans="1:1" x14ac:dyDescent="0.25">
      <c r="A820403" s="242"/>
    </row>
    <row r="820404" spans="1:1" x14ac:dyDescent="0.25">
      <c r="A820404" s="242"/>
    </row>
    <row r="820405" spans="1:1" x14ac:dyDescent="0.25">
      <c r="A820405" s="242"/>
    </row>
    <row r="820406" spans="1:1" x14ac:dyDescent="0.25">
      <c r="A820406" s="242"/>
    </row>
    <row r="820407" spans="1:1" x14ac:dyDescent="0.25">
      <c r="A820407" s="242"/>
    </row>
    <row r="820408" spans="1:1" x14ac:dyDescent="0.25">
      <c r="A820408" s="242"/>
    </row>
    <row r="820409" spans="1:1" x14ac:dyDescent="0.25">
      <c r="A820409" s="242"/>
    </row>
    <row r="820410" spans="1:1" x14ac:dyDescent="0.25">
      <c r="A820410" s="242"/>
    </row>
    <row r="820411" spans="1:1" x14ac:dyDescent="0.25">
      <c r="A820411" s="242"/>
    </row>
    <row r="820412" spans="1:1" x14ac:dyDescent="0.25">
      <c r="A820412" s="242"/>
    </row>
    <row r="820413" spans="1:1" x14ac:dyDescent="0.25">
      <c r="A820413" s="242"/>
    </row>
    <row r="820414" spans="1:1" x14ac:dyDescent="0.25">
      <c r="A820414" s="242"/>
    </row>
    <row r="820415" spans="1:1" x14ac:dyDescent="0.25">
      <c r="A820415" s="242"/>
    </row>
    <row r="820416" spans="1:1" x14ac:dyDescent="0.25">
      <c r="A820416" s="242"/>
    </row>
    <row r="820417" spans="1:1" x14ac:dyDescent="0.25">
      <c r="A820417" s="242"/>
    </row>
    <row r="820418" spans="1:1" x14ac:dyDescent="0.25">
      <c r="A820418" s="242"/>
    </row>
    <row r="820419" spans="1:1" x14ac:dyDescent="0.25">
      <c r="A820419" s="242"/>
    </row>
    <row r="820420" spans="1:1" x14ac:dyDescent="0.25">
      <c r="A820420" s="242"/>
    </row>
    <row r="820421" spans="1:1" x14ac:dyDescent="0.25">
      <c r="A820421" s="242"/>
    </row>
    <row r="820422" spans="1:1" x14ac:dyDescent="0.25">
      <c r="A820422" s="242"/>
    </row>
    <row r="820423" spans="1:1" x14ac:dyDescent="0.25">
      <c r="A820423" s="242"/>
    </row>
    <row r="820424" spans="1:1" x14ac:dyDescent="0.25">
      <c r="A820424" s="242"/>
    </row>
    <row r="820425" spans="1:1" x14ac:dyDescent="0.25">
      <c r="A820425" s="242"/>
    </row>
    <row r="820426" spans="1:1" x14ac:dyDescent="0.25">
      <c r="A820426" s="242"/>
    </row>
    <row r="820427" spans="1:1" x14ac:dyDescent="0.25">
      <c r="A820427" s="242"/>
    </row>
    <row r="820428" spans="1:1" x14ac:dyDescent="0.25">
      <c r="A820428" s="242"/>
    </row>
    <row r="820429" spans="1:1" x14ac:dyDescent="0.25">
      <c r="A820429" s="242"/>
    </row>
    <row r="820430" spans="1:1" x14ac:dyDescent="0.25">
      <c r="A820430" s="242"/>
    </row>
    <row r="820431" spans="1:1" x14ac:dyDescent="0.25">
      <c r="A820431" s="242"/>
    </row>
    <row r="820432" spans="1:1" x14ac:dyDescent="0.25">
      <c r="A820432" s="242"/>
    </row>
    <row r="820433" spans="1:1" x14ac:dyDescent="0.25">
      <c r="A820433" s="242"/>
    </row>
    <row r="820434" spans="1:1" x14ac:dyDescent="0.25">
      <c r="A820434" s="242"/>
    </row>
    <row r="820435" spans="1:1" x14ac:dyDescent="0.25">
      <c r="A820435" s="242"/>
    </row>
    <row r="820436" spans="1:1" x14ac:dyDescent="0.25">
      <c r="A820436" s="242"/>
    </row>
    <row r="820437" spans="1:1" x14ac:dyDescent="0.25">
      <c r="A820437" s="242"/>
    </row>
    <row r="820438" spans="1:1" x14ac:dyDescent="0.25">
      <c r="A820438" s="242"/>
    </row>
    <row r="820439" spans="1:1" x14ac:dyDescent="0.25">
      <c r="A820439" s="242"/>
    </row>
    <row r="820440" spans="1:1" x14ac:dyDescent="0.25">
      <c r="A820440" s="242"/>
    </row>
    <row r="820441" spans="1:1" x14ac:dyDescent="0.25">
      <c r="A820441" s="242"/>
    </row>
    <row r="820442" spans="1:1" x14ac:dyDescent="0.25">
      <c r="A820442" s="242"/>
    </row>
    <row r="820443" spans="1:1" x14ac:dyDescent="0.25">
      <c r="A820443" s="242"/>
    </row>
    <row r="820444" spans="1:1" x14ac:dyDescent="0.25">
      <c r="A820444" s="242"/>
    </row>
    <row r="820445" spans="1:1" x14ac:dyDescent="0.25">
      <c r="A820445" s="242"/>
    </row>
    <row r="820446" spans="1:1" x14ac:dyDescent="0.25">
      <c r="A820446" s="242"/>
    </row>
    <row r="820447" spans="1:1" x14ac:dyDescent="0.25">
      <c r="A820447" s="242"/>
    </row>
    <row r="820448" spans="1:1" x14ac:dyDescent="0.25">
      <c r="A820448" s="242"/>
    </row>
    <row r="820449" spans="1:1" x14ac:dyDescent="0.25">
      <c r="A820449" s="242"/>
    </row>
    <row r="820450" spans="1:1" x14ac:dyDescent="0.25">
      <c r="A820450" s="242"/>
    </row>
    <row r="820451" spans="1:1" x14ac:dyDescent="0.25">
      <c r="A820451" s="242"/>
    </row>
    <row r="820452" spans="1:1" x14ac:dyDescent="0.25">
      <c r="A820452" s="242"/>
    </row>
    <row r="820453" spans="1:1" x14ac:dyDescent="0.25">
      <c r="A820453" s="242"/>
    </row>
    <row r="820454" spans="1:1" x14ac:dyDescent="0.25">
      <c r="A820454" s="242"/>
    </row>
    <row r="820455" spans="1:1" x14ac:dyDescent="0.25">
      <c r="A820455" s="242"/>
    </row>
    <row r="820456" spans="1:1" x14ac:dyDescent="0.25">
      <c r="A820456" s="242"/>
    </row>
    <row r="820457" spans="1:1" x14ac:dyDescent="0.25">
      <c r="A820457" s="242"/>
    </row>
    <row r="820458" spans="1:1" x14ac:dyDescent="0.25">
      <c r="A820458" s="242"/>
    </row>
    <row r="820459" spans="1:1" x14ac:dyDescent="0.25">
      <c r="A820459" s="242"/>
    </row>
    <row r="820460" spans="1:1" x14ac:dyDescent="0.25">
      <c r="A820460" s="242"/>
    </row>
    <row r="820461" spans="1:1" x14ac:dyDescent="0.25">
      <c r="A820461" s="242"/>
    </row>
    <row r="820462" spans="1:1" x14ac:dyDescent="0.25">
      <c r="A820462" s="242"/>
    </row>
    <row r="820463" spans="1:1" x14ac:dyDescent="0.25">
      <c r="A820463" s="242"/>
    </row>
    <row r="820464" spans="1:1" x14ac:dyDescent="0.25">
      <c r="A820464" s="242"/>
    </row>
    <row r="820465" spans="1:1" x14ac:dyDescent="0.25">
      <c r="A820465" s="242"/>
    </row>
    <row r="820466" spans="1:1" x14ac:dyDescent="0.25">
      <c r="A820466" s="242"/>
    </row>
    <row r="820467" spans="1:1" x14ac:dyDescent="0.25">
      <c r="A820467" s="242"/>
    </row>
    <row r="820468" spans="1:1" x14ac:dyDescent="0.25">
      <c r="A820468" s="242"/>
    </row>
    <row r="820469" spans="1:1" x14ac:dyDescent="0.25">
      <c r="A820469" s="242"/>
    </row>
    <row r="820470" spans="1:1" x14ac:dyDescent="0.25">
      <c r="A820470" s="242"/>
    </row>
    <row r="820471" spans="1:1" x14ac:dyDescent="0.25">
      <c r="A820471" s="242"/>
    </row>
    <row r="820472" spans="1:1" x14ac:dyDescent="0.25">
      <c r="A820472" s="242"/>
    </row>
    <row r="820473" spans="1:1" x14ac:dyDescent="0.25">
      <c r="A820473" s="242"/>
    </row>
    <row r="820474" spans="1:1" x14ac:dyDescent="0.25">
      <c r="A820474" s="242"/>
    </row>
    <row r="820475" spans="1:1" x14ac:dyDescent="0.25">
      <c r="A820475" s="242"/>
    </row>
    <row r="820476" spans="1:1" x14ac:dyDescent="0.25">
      <c r="A820476" s="242"/>
    </row>
    <row r="820477" spans="1:1" x14ac:dyDescent="0.25">
      <c r="A820477" s="242"/>
    </row>
    <row r="820478" spans="1:1" x14ac:dyDescent="0.25">
      <c r="A820478" s="242"/>
    </row>
    <row r="820479" spans="1:1" x14ac:dyDescent="0.25">
      <c r="A820479" s="242"/>
    </row>
    <row r="820480" spans="1:1" x14ac:dyDescent="0.25">
      <c r="A820480" s="242"/>
    </row>
    <row r="820481" spans="1:1" x14ac:dyDescent="0.25">
      <c r="A820481" s="242"/>
    </row>
    <row r="820482" spans="1:1" x14ac:dyDescent="0.25">
      <c r="A820482" s="242"/>
    </row>
    <row r="820483" spans="1:1" x14ac:dyDescent="0.25">
      <c r="A820483" s="242"/>
    </row>
    <row r="820484" spans="1:1" x14ac:dyDescent="0.25">
      <c r="A820484" s="242"/>
    </row>
    <row r="820485" spans="1:1" x14ac:dyDescent="0.25">
      <c r="A820485" s="242"/>
    </row>
    <row r="820486" spans="1:1" x14ac:dyDescent="0.25">
      <c r="A820486" s="242"/>
    </row>
    <row r="820487" spans="1:1" x14ac:dyDescent="0.25">
      <c r="A820487" s="242"/>
    </row>
    <row r="820488" spans="1:1" x14ac:dyDescent="0.25">
      <c r="A820488" s="242"/>
    </row>
    <row r="820489" spans="1:1" x14ac:dyDescent="0.25">
      <c r="A820489" s="242"/>
    </row>
    <row r="820490" spans="1:1" x14ac:dyDescent="0.25">
      <c r="A820490" s="242"/>
    </row>
    <row r="820491" spans="1:1" x14ac:dyDescent="0.25">
      <c r="A820491" s="242"/>
    </row>
    <row r="820492" spans="1:1" x14ac:dyDescent="0.25">
      <c r="A820492" s="242"/>
    </row>
    <row r="820493" spans="1:1" x14ac:dyDescent="0.25">
      <c r="A820493" s="242"/>
    </row>
    <row r="820494" spans="1:1" x14ac:dyDescent="0.25">
      <c r="A820494" s="242"/>
    </row>
    <row r="820495" spans="1:1" x14ac:dyDescent="0.25">
      <c r="A820495" s="242"/>
    </row>
    <row r="820496" spans="1:1" x14ac:dyDescent="0.25">
      <c r="A820496" s="242"/>
    </row>
    <row r="820497" spans="1:1" x14ac:dyDescent="0.25">
      <c r="A820497" s="242"/>
    </row>
    <row r="820498" spans="1:1" x14ac:dyDescent="0.25">
      <c r="A820498" s="242"/>
    </row>
    <row r="820499" spans="1:1" x14ac:dyDescent="0.25">
      <c r="A820499" s="242"/>
    </row>
    <row r="820500" spans="1:1" x14ac:dyDescent="0.25">
      <c r="A820500" s="242"/>
    </row>
    <row r="820501" spans="1:1" x14ac:dyDescent="0.25">
      <c r="A820501" s="242"/>
    </row>
    <row r="820502" spans="1:1" x14ac:dyDescent="0.25">
      <c r="A820502" s="242"/>
    </row>
    <row r="820503" spans="1:1" x14ac:dyDescent="0.25">
      <c r="A820503" s="242"/>
    </row>
    <row r="820504" spans="1:1" x14ac:dyDescent="0.25">
      <c r="A820504" s="242"/>
    </row>
    <row r="820505" spans="1:1" x14ac:dyDescent="0.25">
      <c r="A820505" s="242"/>
    </row>
    <row r="820506" spans="1:1" x14ac:dyDescent="0.25">
      <c r="A820506" s="242"/>
    </row>
    <row r="820507" spans="1:1" x14ac:dyDescent="0.25">
      <c r="A820507" s="242"/>
    </row>
    <row r="820508" spans="1:1" x14ac:dyDescent="0.25">
      <c r="A820508" s="242"/>
    </row>
    <row r="820509" spans="1:1" x14ac:dyDescent="0.25">
      <c r="A820509" s="242"/>
    </row>
    <row r="820510" spans="1:1" x14ac:dyDescent="0.25">
      <c r="A820510" s="242"/>
    </row>
    <row r="820511" spans="1:1" x14ac:dyDescent="0.25">
      <c r="A820511" s="242"/>
    </row>
    <row r="820512" spans="1:1" x14ac:dyDescent="0.25">
      <c r="A820512" s="242"/>
    </row>
    <row r="820513" spans="1:1" x14ac:dyDescent="0.25">
      <c r="A820513" s="242"/>
    </row>
    <row r="820514" spans="1:1" x14ac:dyDescent="0.25">
      <c r="A820514" s="242"/>
    </row>
    <row r="820515" spans="1:1" x14ac:dyDescent="0.25">
      <c r="A820515" s="242"/>
    </row>
    <row r="820516" spans="1:1" x14ac:dyDescent="0.25">
      <c r="A820516" s="242"/>
    </row>
    <row r="820517" spans="1:1" x14ac:dyDescent="0.25">
      <c r="A820517" s="242"/>
    </row>
    <row r="820518" spans="1:1" x14ac:dyDescent="0.25">
      <c r="A820518" s="242"/>
    </row>
    <row r="820519" spans="1:1" x14ac:dyDescent="0.25">
      <c r="A820519" s="242"/>
    </row>
    <row r="820520" spans="1:1" x14ac:dyDescent="0.25">
      <c r="A820520" s="242"/>
    </row>
    <row r="820521" spans="1:1" x14ac:dyDescent="0.25">
      <c r="A820521" s="242"/>
    </row>
    <row r="820522" spans="1:1" x14ac:dyDescent="0.25">
      <c r="A820522" s="242"/>
    </row>
    <row r="820523" spans="1:1" x14ac:dyDescent="0.25">
      <c r="A820523" s="242"/>
    </row>
    <row r="820524" spans="1:1" x14ac:dyDescent="0.25">
      <c r="A820524" s="242"/>
    </row>
    <row r="820525" spans="1:1" x14ac:dyDescent="0.25">
      <c r="A820525" s="242"/>
    </row>
    <row r="820526" spans="1:1" x14ac:dyDescent="0.25">
      <c r="A820526" s="242"/>
    </row>
    <row r="820527" spans="1:1" x14ac:dyDescent="0.25">
      <c r="A820527" s="242"/>
    </row>
    <row r="820528" spans="1:1" x14ac:dyDescent="0.25">
      <c r="A820528" s="242"/>
    </row>
    <row r="820529" spans="1:1" x14ac:dyDescent="0.25">
      <c r="A820529" s="242"/>
    </row>
    <row r="820530" spans="1:1" x14ac:dyDescent="0.25">
      <c r="A820530" s="242"/>
    </row>
    <row r="820531" spans="1:1" x14ac:dyDescent="0.25">
      <c r="A820531" s="242"/>
    </row>
    <row r="820532" spans="1:1" x14ac:dyDescent="0.25">
      <c r="A820532" s="242"/>
    </row>
    <row r="820533" spans="1:1" x14ac:dyDescent="0.25">
      <c r="A820533" s="242"/>
    </row>
    <row r="820534" spans="1:1" x14ac:dyDescent="0.25">
      <c r="A820534" s="242"/>
    </row>
    <row r="820535" spans="1:1" x14ac:dyDescent="0.25">
      <c r="A820535" s="242"/>
    </row>
    <row r="820536" spans="1:1" x14ac:dyDescent="0.25">
      <c r="A820536" s="242"/>
    </row>
    <row r="820537" spans="1:1" x14ac:dyDescent="0.25">
      <c r="A820537" s="242"/>
    </row>
    <row r="820538" spans="1:1" x14ac:dyDescent="0.25">
      <c r="A820538" s="242"/>
    </row>
    <row r="820539" spans="1:1" x14ac:dyDescent="0.25">
      <c r="A820539" s="242"/>
    </row>
    <row r="820540" spans="1:1" x14ac:dyDescent="0.25">
      <c r="A820540" s="242"/>
    </row>
    <row r="820541" spans="1:1" x14ac:dyDescent="0.25">
      <c r="A820541" s="242"/>
    </row>
    <row r="820542" spans="1:1" x14ac:dyDescent="0.25">
      <c r="A820542" s="242"/>
    </row>
    <row r="820543" spans="1:1" x14ac:dyDescent="0.25">
      <c r="A820543" s="242"/>
    </row>
    <row r="820544" spans="1:1" x14ac:dyDescent="0.25">
      <c r="A820544" s="242"/>
    </row>
    <row r="820545" spans="1:1" x14ac:dyDescent="0.25">
      <c r="A820545" s="242"/>
    </row>
    <row r="820546" spans="1:1" x14ac:dyDescent="0.25">
      <c r="A820546" s="242"/>
    </row>
    <row r="820547" spans="1:1" x14ac:dyDescent="0.25">
      <c r="A820547" s="242"/>
    </row>
    <row r="820548" spans="1:1" x14ac:dyDescent="0.25">
      <c r="A820548" s="242"/>
    </row>
    <row r="820549" spans="1:1" x14ac:dyDescent="0.25">
      <c r="A820549" s="242"/>
    </row>
    <row r="820550" spans="1:1" x14ac:dyDescent="0.25">
      <c r="A820550" s="242"/>
    </row>
    <row r="820551" spans="1:1" x14ac:dyDescent="0.25">
      <c r="A820551" s="242"/>
    </row>
    <row r="820552" spans="1:1" x14ac:dyDescent="0.25">
      <c r="A820552" s="242"/>
    </row>
    <row r="820553" spans="1:1" x14ac:dyDescent="0.25">
      <c r="A820553" s="242"/>
    </row>
    <row r="820554" spans="1:1" x14ac:dyDescent="0.25">
      <c r="A820554" s="242"/>
    </row>
    <row r="820555" spans="1:1" x14ac:dyDescent="0.25">
      <c r="A820555" s="242"/>
    </row>
    <row r="820556" spans="1:1" x14ac:dyDescent="0.25">
      <c r="A820556" s="242"/>
    </row>
    <row r="820557" spans="1:1" x14ac:dyDescent="0.25">
      <c r="A820557" s="242"/>
    </row>
    <row r="820558" spans="1:1" x14ac:dyDescent="0.25">
      <c r="A820558" s="242"/>
    </row>
    <row r="820559" spans="1:1" x14ac:dyDescent="0.25">
      <c r="A820559" s="242"/>
    </row>
    <row r="820560" spans="1:1" x14ac:dyDescent="0.25">
      <c r="A820560" s="242"/>
    </row>
    <row r="820561" spans="1:1" x14ac:dyDescent="0.25">
      <c r="A820561" s="242"/>
    </row>
    <row r="820562" spans="1:1" x14ac:dyDescent="0.25">
      <c r="A820562" s="242"/>
    </row>
    <row r="820563" spans="1:1" x14ac:dyDescent="0.25">
      <c r="A820563" s="242"/>
    </row>
    <row r="820564" spans="1:1" x14ac:dyDescent="0.25">
      <c r="A820564" s="242"/>
    </row>
    <row r="820565" spans="1:1" x14ac:dyDescent="0.25">
      <c r="A820565" s="242"/>
    </row>
    <row r="820566" spans="1:1" x14ac:dyDescent="0.25">
      <c r="A820566" s="242"/>
    </row>
    <row r="820567" spans="1:1" x14ac:dyDescent="0.25">
      <c r="A820567" s="242"/>
    </row>
    <row r="820568" spans="1:1" x14ac:dyDescent="0.25">
      <c r="A820568" s="242"/>
    </row>
    <row r="820569" spans="1:1" x14ac:dyDescent="0.25">
      <c r="A820569" s="242"/>
    </row>
    <row r="820570" spans="1:1" x14ac:dyDescent="0.25">
      <c r="A820570" s="242"/>
    </row>
    <row r="820571" spans="1:1" x14ac:dyDescent="0.25">
      <c r="A820571" s="242"/>
    </row>
    <row r="820572" spans="1:1" x14ac:dyDescent="0.25">
      <c r="A820572" s="242"/>
    </row>
    <row r="820573" spans="1:1" x14ac:dyDescent="0.25">
      <c r="A820573" s="242"/>
    </row>
    <row r="820574" spans="1:1" x14ac:dyDescent="0.25">
      <c r="A820574" s="242"/>
    </row>
    <row r="820575" spans="1:1" x14ac:dyDescent="0.25">
      <c r="A820575" s="242"/>
    </row>
    <row r="820576" spans="1:1" x14ac:dyDescent="0.25">
      <c r="A820576" s="242"/>
    </row>
    <row r="820577" spans="1:1" x14ac:dyDescent="0.25">
      <c r="A820577" s="242"/>
    </row>
    <row r="820578" spans="1:1" x14ac:dyDescent="0.25">
      <c r="A820578" s="242"/>
    </row>
    <row r="820579" spans="1:1" x14ac:dyDescent="0.25">
      <c r="A820579" s="242"/>
    </row>
    <row r="820580" spans="1:1" x14ac:dyDescent="0.25">
      <c r="A820580" s="242"/>
    </row>
    <row r="820581" spans="1:1" x14ac:dyDescent="0.25">
      <c r="A820581" s="242"/>
    </row>
    <row r="820582" spans="1:1" x14ac:dyDescent="0.25">
      <c r="A820582" s="242"/>
    </row>
    <row r="820583" spans="1:1" x14ac:dyDescent="0.25">
      <c r="A820583" s="242"/>
    </row>
    <row r="820584" spans="1:1" x14ac:dyDescent="0.25">
      <c r="A820584" s="242"/>
    </row>
    <row r="820585" spans="1:1" x14ac:dyDescent="0.25">
      <c r="A820585" s="242"/>
    </row>
    <row r="820586" spans="1:1" x14ac:dyDescent="0.25">
      <c r="A820586" s="242"/>
    </row>
    <row r="820587" spans="1:1" x14ac:dyDescent="0.25">
      <c r="A820587" s="242"/>
    </row>
    <row r="820588" spans="1:1" x14ac:dyDescent="0.25">
      <c r="A820588" s="242"/>
    </row>
    <row r="820589" spans="1:1" x14ac:dyDescent="0.25">
      <c r="A820589" s="242"/>
    </row>
    <row r="820590" spans="1:1" x14ac:dyDescent="0.25">
      <c r="A820590" s="242"/>
    </row>
    <row r="820591" spans="1:1" x14ac:dyDescent="0.25">
      <c r="A820591" s="242"/>
    </row>
    <row r="820592" spans="1:1" x14ac:dyDescent="0.25">
      <c r="A820592" s="242"/>
    </row>
    <row r="820593" spans="1:1" x14ac:dyDescent="0.25">
      <c r="A820593" s="242"/>
    </row>
    <row r="820594" spans="1:1" x14ac:dyDescent="0.25">
      <c r="A820594" s="242"/>
    </row>
    <row r="820595" spans="1:1" x14ac:dyDescent="0.25">
      <c r="A820595" s="242"/>
    </row>
    <row r="820596" spans="1:1" x14ac:dyDescent="0.25">
      <c r="A820596" s="242"/>
    </row>
    <row r="820597" spans="1:1" x14ac:dyDescent="0.25">
      <c r="A820597" s="242"/>
    </row>
    <row r="820598" spans="1:1" x14ac:dyDescent="0.25">
      <c r="A820598" s="242"/>
    </row>
    <row r="820599" spans="1:1" x14ac:dyDescent="0.25">
      <c r="A820599" s="242"/>
    </row>
    <row r="820600" spans="1:1" x14ac:dyDescent="0.25">
      <c r="A820600" s="242"/>
    </row>
    <row r="820601" spans="1:1" x14ac:dyDescent="0.25">
      <c r="A820601" s="242"/>
    </row>
    <row r="820602" spans="1:1" x14ac:dyDescent="0.25">
      <c r="A820602" s="242"/>
    </row>
    <row r="820603" spans="1:1" x14ac:dyDescent="0.25">
      <c r="A820603" s="242"/>
    </row>
    <row r="820604" spans="1:1" x14ac:dyDescent="0.25">
      <c r="A820604" s="242"/>
    </row>
    <row r="820605" spans="1:1" x14ac:dyDescent="0.25">
      <c r="A820605" s="242"/>
    </row>
    <row r="820606" spans="1:1" x14ac:dyDescent="0.25">
      <c r="A820606" s="242"/>
    </row>
    <row r="820607" spans="1:1" x14ac:dyDescent="0.25">
      <c r="A820607" s="242"/>
    </row>
    <row r="820608" spans="1:1" x14ac:dyDescent="0.25">
      <c r="A820608" s="242"/>
    </row>
    <row r="820609" spans="1:1" x14ac:dyDescent="0.25">
      <c r="A820609" s="242"/>
    </row>
    <row r="820610" spans="1:1" x14ac:dyDescent="0.25">
      <c r="A820610" s="242"/>
    </row>
    <row r="820611" spans="1:1" x14ac:dyDescent="0.25">
      <c r="A820611" s="242"/>
    </row>
    <row r="820612" spans="1:1" x14ac:dyDescent="0.25">
      <c r="A820612" s="242"/>
    </row>
    <row r="820613" spans="1:1" x14ac:dyDescent="0.25">
      <c r="A820613" s="242"/>
    </row>
    <row r="820614" spans="1:1" x14ac:dyDescent="0.25">
      <c r="A820614" s="242"/>
    </row>
    <row r="820615" spans="1:1" x14ac:dyDescent="0.25">
      <c r="A820615" s="242"/>
    </row>
    <row r="820616" spans="1:1" x14ac:dyDescent="0.25">
      <c r="A820616" s="242"/>
    </row>
    <row r="820617" spans="1:1" x14ac:dyDescent="0.25">
      <c r="A820617" s="242"/>
    </row>
    <row r="820618" spans="1:1" x14ac:dyDescent="0.25">
      <c r="A820618" s="242"/>
    </row>
    <row r="820619" spans="1:1" x14ac:dyDescent="0.25">
      <c r="A820619" s="242"/>
    </row>
    <row r="820620" spans="1:1" x14ac:dyDescent="0.25">
      <c r="A820620" s="242"/>
    </row>
    <row r="820621" spans="1:1" x14ac:dyDescent="0.25">
      <c r="A820621" s="242"/>
    </row>
    <row r="820622" spans="1:1" x14ac:dyDescent="0.25">
      <c r="A820622" s="242"/>
    </row>
    <row r="820623" spans="1:1" x14ac:dyDescent="0.25">
      <c r="A820623" s="242"/>
    </row>
    <row r="820624" spans="1:1" x14ac:dyDescent="0.25">
      <c r="A820624" s="242"/>
    </row>
    <row r="820625" spans="1:1" x14ac:dyDescent="0.25">
      <c r="A820625" s="242"/>
    </row>
    <row r="820626" spans="1:1" x14ac:dyDescent="0.25">
      <c r="A820626" s="242"/>
    </row>
    <row r="820627" spans="1:1" x14ac:dyDescent="0.25">
      <c r="A820627" s="242"/>
    </row>
    <row r="820628" spans="1:1" x14ac:dyDescent="0.25">
      <c r="A820628" s="242"/>
    </row>
    <row r="820629" spans="1:1" x14ac:dyDescent="0.25">
      <c r="A820629" s="242"/>
    </row>
    <row r="820630" spans="1:1" x14ac:dyDescent="0.25">
      <c r="A820630" s="242"/>
    </row>
    <row r="820631" spans="1:1" x14ac:dyDescent="0.25">
      <c r="A820631" s="242"/>
    </row>
    <row r="820632" spans="1:1" x14ac:dyDescent="0.25">
      <c r="A820632" s="242"/>
    </row>
    <row r="820633" spans="1:1" x14ac:dyDescent="0.25">
      <c r="A820633" s="242"/>
    </row>
    <row r="820634" spans="1:1" x14ac:dyDescent="0.25">
      <c r="A820634" s="242"/>
    </row>
    <row r="820635" spans="1:1" x14ac:dyDescent="0.25">
      <c r="A820635" s="242"/>
    </row>
    <row r="820636" spans="1:1" x14ac:dyDescent="0.25">
      <c r="A820636" s="242"/>
    </row>
    <row r="820637" spans="1:1" x14ac:dyDescent="0.25">
      <c r="A820637" s="242"/>
    </row>
    <row r="820638" spans="1:1" x14ac:dyDescent="0.25">
      <c r="A820638" s="242"/>
    </row>
    <row r="820639" spans="1:1" x14ac:dyDescent="0.25">
      <c r="A820639" s="242"/>
    </row>
    <row r="820640" spans="1:1" x14ac:dyDescent="0.25">
      <c r="A820640" s="242"/>
    </row>
    <row r="820641" spans="1:1" x14ac:dyDescent="0.25">
      <c r="A820641" s="242"/>
    </row>
    <row r="820642" spans="1:1" x14ac:dyDescent="0.25">
      <c r="A820642" s="242"/>
    </row>
    <row r="820643" spans="1:1" x14ac:dyDescent="0.25">
      <c r="A820643" s="242"/>
    </row>
    <row r="820644" spans="1:1" x14ac:dyDescent="0.25">
      <c r="A820644" s="242"/>
    </row>
    <row r="820645" spans="1:1" x14ac:dyDescent="0.25">
      <c r="A820645" s="242"/>
    </row>
    <row r="820646" spans="1:1" x14ac:dyDescent="0.25">
      <c r="A820646" s="242"/>
    </row>
    <row r="820647" spans="1:1" x14ac:dyDescent="0.25">
      <c r="A820647" s="242"/>
    </row>
    <row r="820648" spans="1:1" x14ac:dyDescent="0.25">
      <c r="A820648" s="242"/>
    </row>
    <row r="820649" spans="1:1" x14ac:dyDescent="0.25">
      <c r="A820649" s="242"/>
    </row>
    <row r="820650" spans="1:1" x14ac:dyDescent="0.25">
      <c r="A820650" s="242"/>
    </row>
    <row r="820651" spans="1:1" x14ac:dyDescent="0.25">
      <c r="A820651" s="242"/>
    </row>
    <row r="820652" spans="1:1" x14ac:dyDescent="0.25">
      <c r="A820652" s="242"/>
    </row>
    <row r="820653" spans="1:1" x14ac:dyDescent="0.25">
      <c r="A820653" s="242"/>
    </row>
    <row r="820654" spans="1:1" x14ac:dyDescent="0.25">
      <c r="A820654" s="242"/>
    </row>
    <row r="820655" spans="1:1" x14ac:dyDescent="0.25">
      <c r="A820655" s="242"/>
    </row>
    <row r="820656" spans="1:1" x14ac:dyDescent="0.25">
      <c r="A820656" s="242"/>
    </row>
    <row r="820657" spans="1:1" x14ac:dyDescent="0.25">
      <c r="A820657" s="242"/>
    </row>
    <row r="820658" spans="1:1" x14ac:dyDescent="0.25">
      <c r="A820658" s="242"/>
    </row>
    <row r="820659" spans="1:1" x14ac:dyDescent="0.25">
      <c r="A820659" s="242"/>
    </row>
    <row r="820660" spans="1:1" x14ac:dyDescent="0.25">
      <c r="A820660" s="242"/>
    </row>
    <row r="820661" spans="1:1" x14ac:dyDescent="0.25">
      <c r="A820661" s="242"/>
    </row>
    <row r="820662" spans="1:1" x14ac:dyDescent="0.25">
      <c r="A820662" s="242"/>
    </row>
    <row r="820663" spans="1:1" x14ac:dyDescent="0.25">
      <c r="A820663" s="242"/>
    </row>
    <row r="820664" spans="1:1" x14ac:dyDescent="0.25">
      <c r="A820664" s="242"/>
    </row>
    <row r="820665" spans="1:1" x14ac:dyDescent="0.25">
      <c r="A820665" s="242"/>
    </row>
    <row r="820666" spans="1:1" x14ac:dyDescent="0.25">
      <c r="A820666" s="242"/>
    </row>
    <row r="820667" spans="1:1" x14ac:dyDescent="0.25">
      <c r="A820667" s="242"/>
    </row>
    <row r="820668" spans="1:1" x14ac:dyDescent="0.25">
      <c r="A820668" s="242"/>
    </row>
    <row r="820669" spans="1:1" x14ac:dyDescent="0.25">
      <c r="A820669" s="242"/>
    </row>
    <row r="820670" spans="1:1" x14ac:dyDescent="0.25">
      <c r="A820670" s="242"/>
    </row>
    <row r="820671" spans="1:1" x14ac:dyDescent="0.25">
      <c r="A820671" s="242"/>
    </row>
    <row r="820672" spans="1:1" x14ac:dyDescent="0.25">
      <c r="A820672" s="242"/>
    </row>
    <row r="820673" spans="1:1" x14ac:dyDescent="0.25">
      <c r="A820673" s="242"/>
    </row>
    <row r="820674" spans="1:1" x14ac:dyDescent="0.25">
      <c r="A820674" s="242"/>
    </row>
    <row r="820675" spans="1:1" x14ac:dyDescent="0.25">
      <c r="A820675" s="242"/>
    </row>
    <row r="820676" spans="1:1" x14ac:dyDescent="0.25">
      <c r="A820676" s="242"/>
    </row>
    <row r="820677" spans="1:1" x14ac:dyDescent="0.25">
      <c r="A820677" s="242"/>
    </row>
    <row r="820678" spans="1:1" x14ac:dyDescent="0.25">
      <c r="A820678" s="242"/>
    </row>
    <row r="820679" spans="1:1" x14ac:dyDescent="0.25">
      <c r="A820679" s="242"/>
    </row>
    <row r="820680" spans="1:1" x14ac:dyDescent="0.25">
      <c r="A820680" s="242"/>
    </row>
    <row r="820681" spans="1:1" x14ac:dyDescent="0.25">
      <c r="A820681" s="242"/>
    </row>
    <row r="820682" spans="1:1" x14ac:dyDescent="0.25">
      <c r="A820682" s="242"/>
    </row>
    <row r="820683" spans="1:1" x14ac:dyDescent="0.25">
      <c r="A820683" s="242"/>
    </row>
    <row r="820684" spans="1:1" x14ac:dyDescent="0.25">
      <c r="A820684" s="242"/>
    </row>
    <row r="820685" spans="1:1" x14ac:dyDescent="0.25">
      <c r="A820685" s="242"/>
    </row>
    <row r="820686" spans="1:1" x14ac:dyDescent="0.25">
      <c r="A820686" s="242"/>
    </row>
    <row r="820687" spans="1:1" x14ac:dyDescent="0.25">
      <c r="A820687" s="242"/>
    </row>
    <row r="820688" spans="1:1" x14ac:dyDescent="0.25">
      <c r="A820688" s="242"/>
    </row>
    <row r="820689" spans="1:1" x14ac:dyDescent="0.25">
      <c r="A820689" s="242"/>
    </row>
    <row r="820690" spans="1:1" x14ac:dyDescent="0.25">
      <c r="A820690" s="242"/>
    </row>
    <row r="820691" spans="1:1" x14ac:dyDescent="0.25">
      <c r="A820691" s="242"/>
    </row>
    <row r="820692" spans="1:1" x14ac:dyDescent="0.25">
      <c r="A820692" s="242"/>
    </row>
    <row r="820693" spans="1:1" x14ac:dyDescent="0.25">
      <c r="A820693" s="242"/>
    </row>
    <row r="820694" spans="1:1" x14ac:dyDescent="0.25">
      <c r="A820694" s="242"/>
    </row>
    <row r="820695" spans="1:1" x14ac:dyDescent="0.25">
      <c r="A820695" s="242"/>
    </row>
    <row r="820696" spans="1:1" x14ac:dyDescent="0.25">
      <c r="A820696" s="242"/>
    </row>
    <row r="820697" spans="1:1" x14ac:dyDescent="0.25">
      <c r="A820697" s="242"/>
    </row>
    <row r="820698" spans="1:1" x14ac:dyDescent="0.25">
      <c r="A820698" s="242"/>
    </row>
    <row r="820699" spans="1:1" x14ac:dyDescent="0.25">
      <c r="A820699" s="242"/>
    </row>
    <row r="820700" spans="1:1" x14ac:dyDescent="0.25">
      <c r="A820700" s="242"/>
    </row>
    <row r="820701" spans="1:1" x14ac:dyDescent="0.25">
      <c r="A820701" s="242"/>
    </row>
    <row r="820702" spans="1:1" x14ac:dyDescent="0.25">
      <c r="A820702" s="242"/>
    </row>
    <row r="820703" spans="1:1" x14ac:dyDescent="0.25">
      <c r="A820703" s="242"/>
    </row>
    <row r="820704" spans="1:1" x14ac:dyDescent="0.25">
      <c r="A820704" s="242"/>
    </row>
    <row r="820705" spans="1:1" x14ac:dyDescent="0.25">
      <c r="A820705" s="242"/>
    </row>
    <row r="820706" spans="1:1" x14ac:dyDescent="0.25">
      <c r="A820706" s="242"/>
    </row>
    <row r="820707" spans="1:1" x14ac:dyDescent="0.25">
      <c r="A820707" s="242"/>
    </row>
    <row r="820708" spans="1:1" x14ac:dyDescent="0.25">
      <c r="A820708" s="242"/>
    </row>
    <row r="820709" spans="1:1" x14ac:dyDescent="0.25">
      <c r="A820709" s="242"/>
    </row>
    <row r="820710" spans="1:1" x14ac:dyDescent="0.25">
      <c r="A820710" s="242"/>
    </row>
    <row r="820711" spans="1:1" x14ac:dyDescent="0.25">
      <c r="A820711" s="242"/>
    </row>
    <row r="820712" spans="1:1" x14ac:dyDescent="0.25">
      <c r="A820712" s="242"/>
    </row>
    <row r="820713" spans="1:1" x14ac:dyDescent="0.25">
      <c r="A820713" s="242"/>
    </row>
    <row r="820714" spans="1:1" x14ac:dyDescent="0.25">
      <c r="A820714" s="242"/>
    </row>
    <row r="820715" spans="1:1" x14ac:dyDescent="0.25">
      <c r="A820715" s="242"/>
    </row>
    <row r="820716" spans="1:1" x14ac:dyDescent="0.25">
      <c r="A820716" s="242"/>
    </row>
    <row r="820717" spans="1:1" x14ac:dyDescent="0.25">
      <c r="A820717" s="242"/>
    </row>
    <row r="820718" spans="1:1" x14ac:dyDescent="0.25">
      <c r="A820718" s="242"/>
    </row>
    <row r="820719" spans="1:1" x14ac:dyDescent="0.25">
      <c r="A820719" s="242"/>
    </row>
    <row r="820720" spans="1:1" x14ac:dyDescent="0.25">
      <c r="A820720" s="242"/>
    </row>
    <row r="820721" spans="1:1" x14ac:dyDescent="0.25">
      <c r="A820721" s="242"/>
    </row>
    <row r="820722" spans="1:1" x14ac:dyDescent="0.25">
      <c r="A820722" s="242"/>
    </row>
    <row r="820723" spans="1:1" x14ac:dyDescent="0.25">
      <c r="A820723" s="242"/>
    </row>
    <row r="820724" spans="1:1" x14ac:dyDescent="0.25">
      <c r="A820724" s="242"/>
    </row>
    <row r="820725" spans="1:1" x14ac:dyDescent="0.25">
      <c r="A820725" s="242"/>
    </row>
    <row r="820726" spans="1:1" x14ac:dyDescent="0.25">
      <c r="A820726" s="242"/>
    </row>
    <row r="820727" spans="1:1" x14ac:dyDescent="0.25">
      <c r="A820727" s="242"/>
    </row>
    <row r="820728" spans="1:1" x14ac:dyDescent="0.25">
      <c r="A820728" s="242"/>
    </row>
    <row r="820729" spans="1:1" x14ac:dyDescent="0.25">
      <c r="A820729" s="242"/>
    </row>
    <row r="820730" spans="1:1" x14ac:dyDescent="0.25">
      <c r="A820730" s="242"/>
    </row>
    <row r="820731" spans="1:1" x14ac:dyDescent="0.25">
      <c r="A820731" s="242"/>
    </row>
    <row r="820732" spans="1:1" x14ac:dyDescent="0.25">
      <c r="A820732" s="242"/>
    </row>
    <row r="820733" spans="1:1" x14ac:dyDescent="0.25">
      <c r="A820733" s="242"/>
    </row>
    <row r="820734" spans="1:1" x14ac:dyDescent="0.25">
      <c r="A820734" s="242"/>
    </row>
    <row r="820735" spans="1:1" x14ac:dyDescent="0.25">
      <c r="A820735" s="242"/>
    </row>
    <row r="820736" spans="1:1" x14ac:dyDescent="0.25">
      <c r="A820736" s="242"/>
    </row>
    <row r="820737" spans="1:1" x14ac:dyDescent="0.25">
      <c r="A820737" s="242"/>
    </row>
    <row r="820738" spans="1:1" x14ac:dyDescent="0.25">
      <c r="A820738" s="242"/>
    </row>
    <row r="820739" spans="1:1" x14ac:dyDescent="0.25">
      <c r="A820739" s="242"/>
    </row>
    <row r="820740" spans="1:1" x14ac:dyDescent="0.25">
      <c r="A820740" s="242"/>
    </row>
    <row r="820741" spans="1:1" x14ac:dyDescent="0.25">
      <c r="A820741" s="242"/>
    </row>
    <row r="820742" spans="1:1" x14ac:dyDescent="0.25">
      <c r="A820742" s="242"/>
    </row>
    <row r="820743" spans="1:1" x14ac:dyDescent="0.25">
      <c r="A820743" s="242"/>
    </row>
    <row r="820744" spans="1:1" x14ac:dyDescent="0.25">
      <c r="A820744" s="242"/>
    </row>
    <row r="820745" spans="1:1" x14ac:dyDescent="0.25">
      <c r="A820745" s="242"/>
    </row>
    <row r="820746" spans="1:1" x14ac:dyDescent="0.25">
      <c r="A820746" s="242"/>
    </row>
    <row r="820747" spans="1:1" x14ac:dyDescent="0.25">
      <c r="A820747" s="242"/>
    </row>
    <row r="820748" spans="1:1" x14ac:dyDescent="0.25">
      <c r="A820748" s="242"/>
    </row>
    <row r="820749" spans="1:1" x14ac:dyDescent="0.25">
      <c r="A820749" s="242"/>
    </row>
    <row r="820750" spans="1:1" x14ac:dyDescent="0.25">
      <c r="A820750" s="242"/>
    </row>
    <row r="820751" spans="1:1" x14ac:dyDescent="0.25">
      <c r="A820751" s="242"/>
    </row>
    <row r="820752" spans="1:1" x14ac:dyDescent="0.25">
      <c r="A820752" s="242"/>
    </row>
    <row r="820753" spans="1:1" x14ac:dyDescent="0.25">
      <c r="A820753" s="242"/>
    </row>
    <row r="820754" spans="1:1" x14ac:dyDescent="0.25">
      <c r="A820754" s="242"/>
    </row>
    <row r="820755" spans="1:1" x14ac:dyDescent="0.25">
      <c r="A820755" s="242"/>
    </row>
    <row r="820756" spans="1:1" x14ac:dyDescent="0.25">
      <c r="A820756" s="242"/>
    </row>
    <row r="820757" spans="1:1" x14ac:dyDescent="0.25">
      <c r="A820757" s="242"/>
    </row>
    <row r="820758" spans="1:1" x14ac:dyDescent="0.25">
      <c r="A820758" s="242"/>
    </row>
    <row r="820759" spans="1:1" x14ac:dyDescent="0.25">
      <c r="A820759" s="242"/>
    </row>
    <row r="820760" spans="1:1" x14ac:dyDescent="0.25">
      <c r="A820760" s="242"/>
    </row>
    <row r="820761" spans="1:1" x14ac:dyDescent="0.25">
      <c r="A820761" s="242"/>
    </row>
    <row r="820762" spans="1:1" x14ac:dyDescent="0.25">
      <c r="A820762" s="242"/>
    </row>
    <row r="820763" spans="1:1" x14ac:dyDescent="0.25">
      <c r="A820763" s="242"/>
    </row>
    <row r="820764" spans="1:1" x14ac:dyDescent="0.25">
      <c r="A820764" s="242"/>
    </row>
    <row r="820765" spans="1:1" x14ac:dyDescent="0.25">
      <c r="A820765" s="242"/>
    </row>
    <row r="820766" spans="1:1" x14ac:dyDescent="0.25">
      <c r="A820766" s="242"/>
    </row>
    <row r="820767" spans="1:1" x14ac:dyDescent="0.25">
      <c r="A820767" s="242"/>
    </row>
    <row r="820768" spans="1:1" x14ac:dyDescent="0.25">
      <c r="A820768" s="242"/>
    </row>
    <row r="820769" spans="1:1" x14ac:dyDescent="0.25">
      <c r="A820769" s="242"/>
    </row>
    <row r="820770" spans="1:1" x14ac:dyDescent="0.25">
      <c r="A820770" s="242"/>
    </row>
    <row r="820771" spans="1:1" x14ac:dyDescent="0.25">
      <c r="A820771" s="242"/>
    </row>
    <row r="820772" spans="1:1" x14ac:dyDescent="0.25">
      <c r="A820772" s="242"/>
    </row>
    <row r="820773" spans="1:1" x14ac:dyDescent="0.25">
      <c r="A820773" s="242"/>
    </row>
    <row r="820774" spans="1:1" x14ac:dyDescent="0.25">
      <c r="A820774" s="242"/>
    </row>
    <row r="820775" spans="1:1" x14ac:dyDescent="0.25">
      <c r="A820775" s="242"/>
    </row>
    <row r="820776" spans="1:1" x14ac:dyDescent="0.25">
      <c r="A820776" s="242"/>
    </row>
    <row r="820777" spans="1:1" x14ac:dyDescent="0.25">
      <c r="A820777" s="242"/>
    </row>
    <row r="820778" spans="1:1" x14ac:dyDescent="0.25">
      <c r="A820778" s="242"/>
    </row>
    <row r="820779" spans="1:1" x14ac:dyDescent="0.25">
      <c r="A820779" s="242"/>
    </row>
    <row r="820780" spans="1:1" x14ac:dyDescent="0.25">
      <c r="A820780" s="242"/>
    </row>
    <row r="820781" spans="1:1" x14ac:dyDescent="0.25">
      <c r="A820781" s="242"/>
    </row>
    <row r="820782" spans="1:1" x14ac:dyDescent="0.25">
      <c r="A820782" s="242"/>
    </row>
    <row r="820783" spans="1:1" x14ac:dyDescent="0.25">
      <c r="A820783" s="242"/>
    </row>
    <row r="820784" spans="1:1" x14ac:dyDescent="0.25">
      <c r="A820784" s="242"/>
    </row>
    <row r="820785" spans="1:1" x14ac:dyDescent="0.25">
      <c r="A820785" s="242"/>
    </row>
    <row r="820786" spans="1:1" x14ac:dyDescent="0.25">
      <c r="A820786" s="242"/>
    </row>
    <row r="820787" spans="1:1" x14ac:dyDescent="0.25">
      <c r="A820787" s="242"/>
    </row>
    <row r="820788" spans="1:1" x14ac:dyDescent="0.25">
      <c r="A820788" s="242"/>
    </row>
    <row r="820789" spans="1:1" x14ac:dyDescent="0.25">
      <c r="A820789" s="242"/>
    </row>
    <row r="820790" spans="1:1" x14ac:dyDescent="0.25">
      <c r="A820790" s="242"/>
    </row>
    <row r="820791" spans="1:1" x14ac:dyDescent="0.25">
      <c r="A820791" s="242"/>
    </row>
    <row r="820792" spans="1:1" x14ac:dyDescent="0.25">
      <c r="A820792" s="242"/>
    </row>
    <row r="820793" spans="1:1" x14ac:dyDescent="0.25">
      <c r="A820793" s="242"/>
    </row>
    <row r="820794" spans="1:1" x14ac:dyDescent="0.25">
      <c r="A820794" s="242"/>
    </row>
    <row r="820795" spans="1:1" x14ac:dyDescent="0.25">
      <c r="A820795" s="242"/>
    </row>
    <row r="820796" spans="1:1" x14ac:dyDescent="0.25">
      <c r="A820796" s="242"/>
    </row>
    <row r="820797" spans="1:1" x14ac:dyDescent="0.25">
      <c r="A820797" s="242"/>
    </row>
    <row r="820798" spans="1:1" x14ac:dyDescent="0.25">
      <c r="A820798" s="242"/>
    </row>
    <row r="820799" spans="1:1" x14ac:dyDescent="0.25">
      <c r="A820799" s="242"/>
    </row>
    <row r="820800" spans="1:1" x14ac:dyDescent="0.25">
      <c r="A820800" s="242"/>
    </row>
    <row r="820801" spans="1:1" x14ac:dyDescent="0.25">
      <c r="A820801" s="242"/>
    </row>
    <row r="820802" spans="1:1" x14ac:dyDescent="0.25">
      <c r="A820802" s="242"/>
    </row>
    <row r="820803" spans="1:1" x14ac:dyDescent="0.25">
      <c r="A820803" s="242"/>
    </row>
    <row r="820804" spans="1:1" x14ac:dyDescent="0.25">
      <c r="A820804" s="242"/>
    </row>
    <row r="820805" spans="1:1" x14ac:dyDescent="0.25">
      <c r="A820805" s="242"/>
    </row>
    <row r="820806" spans="1:1" x14ac:dyDescent="0.25">
      <c r="A820806" s="242"/>
    </row>
    <row r="820807" spans="1:1" x14ac:dyDescent="0.25">
      <c r="A820807" s="242"/>
    </row>
    <row r="820808" spans="1:1" x14ac:dyDescent="0.25">
      <c r="A820808" s="242"/>
    </row>
    <row r="820809" spans="1:1" x14ac:dyDescent="0.25">
      <c r="A820809" s="242"/>
    </row>
    <row r="820810" spans="1:1" x14ac:dyDescent="0.25">
      <c r="A820810" s="242"/>
    </row>
    <row r="820811" spans="1:1" x14ac:dyDescent="0.25">
      <c r="A820811" s="242"/>
    </row>
    <row r="820812" spans="1:1" x14ac:dyDescent="0.25">
      <c r="A820812" s="242"/>
    </row>
    <row r="820813" spans="1:1" x14ac:dyDescent="0.25">
      <c r="A820813" s="242"/>
    </row>
    <row r="820814" spans="1:1" x14ac:dyDescent="0.25">
      <c r="A820814" s="242"/>
    </row>
    <row r="820815" spans="1:1" x14ac:dyDescent="0.25">
      <c r="A820815" s="242"/>
    </row>
    <row r="820816" spans="1:1" x14ac:dyDescent="0.25">
      <c r="A820816" s="242"/>
    </row>
    <row r="820817" spans="1:1" x14ac:dyDescent="0.25">
      <c r="A820817" s="242"/>
    </row>
    <row r="820818" spans="1:1" x14ac:dyDescent="0.25">
      <c r="A820818" s="242"/>
    </row>
    <row r="820819" spans="1:1" x14ac:dyDescent="0.25">
      <c r="A820819" s="242"/>
    </row>
    <row r="820820" spans="1:1" x14ac:dyDescent="0.25">
      <c r="A820820" s="242"/>
    </row>
    <row r="820821" spans="1:1" x14ac:dyDescent="0.25">
      <c r="A820821" s="242"/>
    </row>
    <row r="820822" spans="1:1" x14ac:dyDescent="0.25">
      <c r="A820822" s="242"/>
    </row>
    <row r="820823" spans="1:1" x14ac:dyDescent="0.25">
      <c r="A820823" s="242"/>
    </row>
    <row r="820824" spans="1:1" x14ac:dyDescent="0.25">
      <c r="A820824" s="242"/>
    </row>
    <row r="820825" spans="1:1" x14ac:dyDescent="0.25">
      <c r="A820825" s="242"/>
    </row>
    <row r="820826" spans="1:1" x14ac:dyDescent="0.25">
      <c r="A820826" s="242"/>
    </row>
    <row r="820827" spans="1:1" x14ac:dyDescent="0.25">
      <c r="A820827" s="242"/>
    </row>
    <row r="820828" spans="1:1" x14ac:dyDescent="0.25">
      <c r="A820828" s="242"/>
    </row>
    <row r="820829" spans="1:1" x14ac:dyDescent="0.25">
      <c r="A820829" s="242"/>
    </row>
    <row r="820830" spans="1:1" x14ac:dyDescent="0.25">
      <c r="A820830" s="242"/>
    </row>
    <row r="820831" spans="1:1" x14ac:dyDescent="0.25">
      <c r="A820831" s="242"/>
    </row>
    <row r="820832" spans="1:1" x14ac:dyDescent="0.25">
      <c r="A820832" s="242"/>
    </row>
    <row r="820833" spans="1:1" x14ac:dyDescent="0.25">
      <c r="A820833" s="242"/>
    </row>
    <row r="820834" spans="1:1" x14ac:dyDescent="0.25">
      <c r="A820834" s="242"/>
    </row>
    <row r="820835" spans="1:1" x14ac:dyDescent="0.25">
      <c r="A820835" s="242"/>
    </row>
    <row r="820836" spans="1:1" x14ac:dyDescent="0.25">
      <c r="A820836" s="242"/>
    </row>
    <row r="820837" spans="1:1" x14ac:dyDescent="0.25">
      <c r="A820837" s="242"/>
    </row>
    <row r="820838" spans="1:1" x14ac:dyDescent="0.25">
      <c r="A820838" s="242"/>
    </row>
    <row r="820839" spans="1:1" x14ac:dyDescent="0.25">
      <c r="A820839" s="242"/>
    </row>
    <row r="820840" spans="1:1" x14ac:dyDescent="0.25">
      <c r="A820840" s="242"/>
    </row>
    <row r="820841" spans="1:1" x14ac:dyDescent="0.25">
      <c r="A820841" s="242"/>
    </row>
    <row r="820842" spans="1:1" x14ac:dyDescent="0.25">
      <c r="A820842" s="242"/>
    </row>
    <row r="820843" spans="1:1" x14ac:dyDescent="0.25">
      <c r="A820843" s="242"/>
    </row>
    <row r="820844" spans="1:1" x14ac:dyDescent="0.25">
      <c r="A820844" s="242"/>
    </row>
    <row r="820845" spans="1:1" x14ac:dyDescent="0.25">
      <c r="A820845" s="242"/>
    </row>
    <row r="820846" spans="1:1" x14ac:dyDescent="0.25">
      <c r="A820846" s="242"/>
    </row>
    <row r="820847" spans="1:1" x14ac:dyDescent="0.25">
      <c r="A820847" s="242"/>
    </row>
    <row r="820848" spans="1:1" x14ac:dyDescent="0.25">
      <c r="A820848" s="242"/>
    </row>
    <row r="820849" spans="1:1" x14ac:dyDescent="0.25">
      <c r="A820849" s="242"/>
    </row>
    <row r="820850" spans="1:1" x14ac:dyDescent="0.25">
      <c r="A820850" s="242"/>
    </row>
    <row r="820851" spans="1:1" x14ac:dyDescent="0.25">
      <c r="A820851" s="242"/>
    </row>
    <row r="820852" spans="1:1" x14ac:dyDescent="0.25">
      <c r="A820852" s="242"/>
    </row>
    <row r="820853" spans="1:1" x14ac:dyDescent="0.25">
      <c r="A820853" s="242"/>
    </row>
    <row r="820854" spans="1:1" x14ac:dyDescent="0.25">
      <c r="A820854" s="242"/>
    </row>
    <row r="820855" spans="1:1" x14ac:dyDescent="0.25">
      <c r="A820855" s="242"/>
    </row>
    <row r="820856" spans="1:1" x14ac:dyDescent="0.25">
      <c r="A820856" s="242"/>
    </row>
    <row r="820857" spans="1:1" x14ac:dyDescent="0.25">
      <c r="A820857" s="242"/>
    </row>
    <row r="820858" spans="1:1" x14ac:dyDescent="0.25">
      <c r="A820858" s="242"/>
    </row>
    <row r="820859" spans="1:1" x14ac:dyDescent="0.25">
      <c r="A820859" s="242"/>
    </row>
    <row r="820860" spans="1:1" x14ac:dyDescent="0.25">
      <c r="A820860" s="242"/>
    </row>
    <row r="820861" spans="1:1" x14ac:dyDescent="0.25">
      <c r="A820861" s="242"/>
    </row>
    <row r="820862" spans="1:1" x14ac:dyDescent="0.25">
      <c r="A820862" s="242"/>
    </row>
    <row r="820863" spans="1:1" x14ac:dyDescent="0.25">
      <c r="A820863" s="242"/>
    </row>
    <row r="820864" spans="1:1" x14ac:dyDescent="0.25">
      <c r="A820864" s="242"/>
    </row>
    <row r="820865" spans="1:1" x14ac:dyDescent="0.25">
      <c r="A820865" s="242"/>
    </row>
    <row r="820866" spans="1:1" x14ac:dyDescent="0.25">
      <c r="A820866" s="242"/>
    </row>
    <row r="820867" spans="1:1" x14ac:dyDescent="0.25">
      <c r="A820867" s="242"/>
    </row>
    <row r="820868" spans="1:1" x14ac:dyDescent="0.25">
      <c r="A820868" s="242"/>
    </row>
    <row r="820869" spans="1:1" x14ac:dyDescent="0.25">
      <c r="A820869" s="242"/>
    </row>
    <row r="820870" spans="1:1" x14ac:dyDescent="0.25">
      <c r="A820870" s="242"/>
    </row>
    <row r="820871" spans="1:1" x14ac:dyDescent="0.25">
      <c r="A820871" s="242"/>
    </row>
    <row r="820872" spans="1:1" x14ac:dyDescent="0.25">
      <c r="A820872" s="242"/>
    </row>
    <row r="820873" spans="1:1" x14ac:dyDescent="0.25">
      <c r="A820873" s="242"/>
    </row>
    <row r="820874" spans="1:1" x14ac:dyDescent="0.25">
      <c r="A820874" s="242"/>
    </row>
    <row r="820875" spans="1:1" x14ac:dyDescent="0.25">
      <c r="A820875" s="242"/>
    </row>
    <row r="820876" spans="1:1" x14ac:dyDescent="0.25">
      <c r="A820876" s="242"/>
    </row>
    <row r="820877" spans="1:1" x14ac:dyDescent="0.25">
      <c r="A820877" s="242"/>
    </row>
    <row r="820878" spans="1:1" x14ac:dyDescent="0.25">
      <c r="A820878" s="242"/>
    </row>
    <row r="820879" spans="1:1" x14ac:dyDescent="0.25">
      <c r="A820879" s="242"/>
    </row>
    <row r="820880" spans="1:1" x14ac:dyDescent="0.25">
      <c r="A820880" s="242"/>
    </row>
    <row r="820881" spans="1:1" x14ac:dyDescent="0.25">
      <c r="A820881" s="242"/>
    </row>
    <row r="820882" spans="1:1" x14ac:dyDescent="0.25">
      <c r="A820882" s="242"/>
    </row>
    <row r="820883" spans="1:1" x14ac:dyDescent="0.25">
      <c r="A820883" s="242"/>
    </row>
    <row r="820884" spans="1:1" x14ac:dyDescent="0.25">
      <c r="A820884" s="242"/>
    </row>
    <row r="820885" spans="1:1" x14ac:dyDescent="0.25">
      <c r="A820885" s="242"/>
    </row>
    <row r="820886" spans="1:1" x14ac:dyDescent="0.25">
      <c r="A820886" s="242"/>
    </row>
    <row r="820887" spans="1:1" x14ac:dyDescent="0.25">
      <c r="A820887" s="242"/>
    </row>
    <row r="820888" spans="1:1" x14ac:dyDescent="0.25">
      <c r="A820888" s="242"/>
    </row>
    <row r="820889" spans="1:1" x14ac:dyDescent="0.25">
      <c r="A820889" s="242"/>
    </row>
    <row r="820890" spans="1:1" x14ac:dyDescent="0.25">
      <c r="A820890" s="242"/>
    </row>
    <row r="820891" spans="1:1" x14ac:dyDescent="0.25">
      <c r="A820891" s="242"/>
    </row>
    <row r="820892" spans="1:1" x14ac:dyDescent="0.25">
      <c r="A820892" s="242"/>
    </row>
    <row r="820893" spans="1:1" x14ac:dyDescent="0.25">
      <c r="A820893" s="242"/>
    </row>
    <row r="820894" spans="1:1" x14ac:dyDescent="0.25">
      <c r="A820894" s="242"/>
    </row>
    <row r="820895" spans="1:1" x14ac:dyDescent="0.25">
      <c r="A820895" s="242"/>
    </row>
    <row r="820896" spans="1:1" x14ac:dyDescent="0.25">
      <c r="A820896" s="242"/>
    </row>
    <row r="820897" spans="1:1" x14ac:dyDescent="0.25">
      <c r="A820897" s="242"/>
    </row>
    <row r="820898" spans="1:1" x14ac:dyDescent="0.25">
      <c r="A820898" s="242"/>
    </row>
    <row r="820899" spans="1:1" x14ac:dyDescent="0.25">
      <c r="A820899" s="242"/>
    </row>
    <row r="820900" spans="1:1" x14ac:dyDescent="0.25">
      <c r="A820900" s="242"/>
    </row>
    <row r="820901" spans="1:1" x14ac:dyDescent="0.25">
      <c r="A820901" s="242"/>
    </row>
    <row r="820902" spans="1:1" x14ac:dyDescent="0.25">
      <c r="A820902" s="242"/>
    </row>
    <row r="820903" spans="1:1" x14ac:dyDescent="0.25">
      <c r="A820903" s="242"/>
    </row>
    <row r="820904" spans="1:1" x14ac:dyDescent="0.25">
      <c r="A820904" s="242"/>
    </row>
    <row r="820905" spans="1:1" x14ac:dyDescent="0.25">
      <c r="A820905" s="242"/>
    </row>
    <row r="820906" spans="1:1" x14ac:dyDescent="0.25">
      <c r="A820906" s="242"/>
    </row>
    <row r="820907" spans="1:1" x14ac:dyDescent="0.25">
      <c r="A820907" s="242"/>
    </row>
    <row r="820908" spans="1:1" x14ac:dyDescent="0.25">
      <c r="A820908" s="242"/>
    </row>
    <row r="820909" spans="1:1" x14ac:dyDescent="0.25">
      <c r="A820909" s="242"/>
    </row>
    <row r="820910" spans="1:1" x14ac:dyDescent="0.25">
      <c r="A820910" s="242"/>
    </row>
    <row r="820911" spans="1:1" x14ac:dyDescent="0.25">
      <c r="A820911" s="242"/>
    </row>
    <row r="820912" spans="1:1" x14ac:dyDescent="0.25">
      <c r="A820912" s="242"/>
    </row>
    <row r="820913" spans="1:1" x14ac:dyDescent="0.25">
      <c r="A820913" s="242"/>
    </row>
    <row r="820914" spans="1:1" x14ac:dyDescent="0.25">
      <c r="A820914" s="242"/>
    </row>
    <row r="820915" spans="1:1" x14ac:dyDescent="0.25">
      <c r="A820915" s="242"/>
    </row>
    <row r="820916" spans="1:1" x14ac:dyDescent="0.25">
      <c r="A820916" s="242"/>
    </row>
    <row r="820917" spans="1:1" x14ac:dyDescent="0.25">
      <c r="A820917" s="242"/>
    </row>
    <row r="820918" spans="1:1" x14ac:dyDescent="0.25">
      <c r="A820918" s="242"/>
    </row>
    <row r="820919" spans="1:1" x14ac:dyDescent="0.25">
      <c r="A820919" s="242"/>
    </row>
    <row r="820920" spans="1:1" x14ac:dyDescent="0.25">
      <c r="A820920" s="242"/>
    </row>
    <row r="820921" spans="1:1" x14ac:dyDescent="0.25">
      <c r="A820921" s="242"/>
    </row>
    <row r="820922" spans="1:1" x14ac:dyDescent="0.25">
      <c r="A820922" s="242"/>
    </row>
    <row r="820923" spans="1:1" x14ac:dyDescent="0.25">
      <c r="A820923" s="242"/>
    </row>
    <row r="820924" spans="1:1" x14ac:dyDescent="0.25">
      <c r="A820924" s="242"/>
    </row>
    <row r="820925" spans="1:1" x14ac:dyDescent="0.25">
      <c r="A820925" s="242"/>
    </row>
    <row r="820926" spans="1:1" x14ac:dyDescent="0.25">
      <c r="A820926" s="242"/>
    </row>
    <row r="820927" spans="1:1" x14ac:dyDescent="0.25">
      <c r="A820927" s="242"/>
    </row>
    <row r="820928" spans="1:1" x14ac:dyDescent="0.25">
      <c r="A820928" s="242"/>
    </row>
    <row r="820929" spans="1:1" x14ac:dyDescent="0.25">
      <c r="A820929" s="242"/>
    </row>
    <row r="820930" spans="1:1" x14ac:dyDescent="0.25">
      <c r="A820930" s="242"/>
    </row>
    <row r="820931" spans="1:1" x14ac:dyDescent="0.25">
      <c r="A820931" s="242"/>
    </row>
    <row r="820932" spans="1:1" x14ac:dyDescent="0.25">
      <c r="A820932" s="242"/>
    </row>
    <row r="820933" spans="1:1" x14ac:dyDescent="0.25">
      <c r="A820933" s="242"/>
    </row>
    <row r="820934" spans="1:1" x14ac:dyDescent="0.25">
      <c r="A820934" s="242"/>
    </row>
    <row r="820935" spans="1:1" x14ac:dyDescent="0.25">
      <c r="A820935" s="242"/>
    </row>
    <row r="820936" spans="1:1" x14ac:dyDescent="0.25">
      <c r="A820936" s="242"/>
    </row>
    <row r="820937" spans="1:1" x14ac:dyDescent="0.25">
      <c r="A820937" s="242"/>
    </row>
    <row r="820938" spans="1:1" x14ac:dyDescent="0.25">
      <c r="A820938" s="242"/>
    </row>
    <row r="820939" spans="1:1" x14ac:dyDescent="0.25">
      <c r="A820939" s="242"/>
    </row>
    <row r="820940" spans="1:1" x14ac:dyDescent="0.25">
      <c r="A820940" s="242"/>
    </row>
    <row r="820941" spans="1:1" x14ac:dyDescent="0.25">
      <c r="A820941" s="242"/>
    </row>
    <row r="820942" spans="1:1" x14ac:dyDescent="0.25">
      <c r="A820942" s="242"/>
    </row>
    <row r="820943" spans="1:1" x14ac:dyDescent="0.25">
      <c r="A820943" s="242"/>
    </row>
    <row r="820944" spans="1:1" x14ac:dyDescent="0.25">
      <c r="A820944" s="242"/>
    </row>
    <row r="820945" spans="1:1" x14ac:dyDescent="0.25">
      <c r="A820945" s="242"/>
    </row>
    <row r="820946" spans="1:1" x14ac:dyDescent="0.25">
      <c r="A820946" s="242"/>
    </row>
    <row r="820947" spans="1:1" x14ac:dyDescent="0.25">
      <c r="A820947" s="242"/>
    </row>
    <row r="820948" spans="1:1" x14ac:dyDescent="0.25">
      <c r="A820948" s="242"/>
    </row>
    <row r="820949" spans="1:1" x14ac:dyDescent="0.25">
      <c r="A820949" s="242"/>
    </row>
    <row r="820950" spans="1:1" x14ac:dyDescent="0.25">
      <c r="A820950" s="242"/>
    </row>
    <row r="820951" spans="1:1" x14ac:dyDescent="0.25">
      <c r="A820951" s="242"/>
    </row>
    <row r="820952" spans="1:1" x14ac:dyDescent="0.25">
      <c r="A820952" s="242"/>
    </row>
    <row r="820953" spans="1:1" x14ac:dyDescent="0.25">
      <c r="A820953" s="242"/>
    </row>
    <row r="820954" spans="1:1" x14ac:dyDescent="0.25">
      <c r="A820954" s="242"/>
    </row>
    <row r="820955" spans="1:1" x14ac:dyDescent="0.25">
      <c r="A820955" s="242"/>
    </row>
    <row r="820956" spans="1:1" x14ac:dyDescent="0.25">
      <c r="A820956" s="242"/>
    </row>
    <row r="820957" spans="1:1" x14ac:dyDescent="0.25">
      <c r="A820957" s="242"/>
    </row>
    <row r="820958" spans="1:1" x14ac:dyDescent="0.25">
      <c r="A820958" s="242"/>
    </row>
    <row r="820959" spans="1:1" x14ac:dyDescent="0.25">
      <c r="A820959" s="242"/>
    </row>
    <row r="820960" spans="1:1" x14ac:dyDescent="0.25">
      <c r="A820960" s="242"/>
    </row>
    <row r="820961" spans="1:1" x14ac:dyDescent="0.25">
      <c r="A820961" s="242"/>
    </row>
    <row r="820962" spans="1:1" x14ac:dyDescent="0.25">
      <c r="A820962" s="242"/>
    </row>
    <row r="820963" spans="1:1" x14ac:dyDescent="0.25">
      <c r="A820963" s="242"/>
    </row>
    <row r="820964" spans="1:1" x14ac:dyDescent="0.25">
      <c r="A820964" s="242"/>
    </row>
    <row r="820965" spans="1:1" x14ac:dyDescent="0.25">
      <c r="A820965" s="242"/>
    </row>
    <row r="820966" spans="1:1" x14ac:dyDescent="0.25">
      <c r="A820966" s="242"/>
    </row>
    <row r="820967" spans="1:1" x14ac:dyDescent="0.25">
      <c r="A820967" s="242"/>
    </row>
    <row r="820968" spans="1:1" x14ac:dyDescent="0.25">
      <c r="A820968" s="242"/>
    </row>
    <row r="820969" spans="1:1" x14ac:dyDescent="0.25">
      <c r="A820969" s="242"/>
    </row>
    <row r="820970" spans="1:1" x14ac:dyDescent="0.25">
      <c r="A820970" s="242"/>
    </row>
    <row r="820971" spans="1:1" x14ac:dyDescent="0.25">
      <c r="A820971" s="242"/>
    </row>
    <row r="820972" spans="1:1" x14ac:dyDescent="0.25">
      <c r="A820972" s="242"/>
    </row>
    <row r="820973" spans="1:1" x14ac:dyDescent="0.25">
      <c r="A820973" s="242"/>
    </row>
    <row r="820974" spans="1:1" x14ac:dyDescent="0.25">
      <c r="A820974" s="242"/>
    </row>
    <row r="820975" spans="1:1" x14ac:dyDescent="0.25">
      <c r="A820975" s="242"/>
    </row>
    <row r="820976" spans="1:1" x14ac:dyDescent="0.25">
      <c r="A820976" s="242"/>
    </row>
    <row r="820977" spans="1:1" x14ac:dyDescent="0.25">
      <c r="A820977" s="242"/>
    </row>
    <row r="820978" spans="1:1" x14ac:dyDescent="0.25">
      <c r="A820978" s="242"/>
    </row>
    <row r="820979" spans="1:1" x14ac:dyDescent="0.25">
      <c r="A820979" s="242"/>
    </row>
    <row r="820980" spans="1:1" x14ac:dyDescent="0.25">
      <c r="A820980" s="242"/>
    </row>
    <row r="820981" spans="1:1" x14ac:dyDescent="0.25">
      <c r="A820981" s="242"/>
    </row>
    <row r="820982" spans="1:1" x14ac:dyDescent="0.25">
      <c r="A820982" s="242"/>
    </row>
    <row r="820983" spans="1:1" x14ac:dyDescent="0.25">
      <c r="A820983" s="242"/>
    </row>
    <row r="820984" spans="1:1" x14ac:dyDescent="0.25">
      <c r="A820984" s="242"/>
    </row>
    <row r="820985" spans="1:1" x14ac:dyDescent="0.25">
      <c r="A820985" s="242"/>
    </row>
    <row r="820986" spans="1:1" x14ac:dyDescent="0.25">
      <c r="A820986" s="242"/>
    </row>
    <row r="820987" spans="1:1" x14ac:dyDescent="0.25">
      <c r="A820987" s="242"/>
    </row>
    <row r="820988" spans="1:1" x14ac:dyDescent="0.25">
      <c r="A820988" s="242"/>
    </row>
    <row r="820989" spans="1:1" x14ac:dyDescent="0.25">
      <c r="A820989" s="242"/>
    </row>
    <row r="820990" spans="1:1" x14ac:dyDescent="0.25">
      <c r="A820990" s="242"/>
    </row>
    <row r="820991" spans="1:1" x14ac:dyDescent="0.25">
      <c r="A820991" s="242"/>
    </row>
    <row r="820992" spans="1:1" x14ac:dyDescent="0.25">
      <c r="A820992" s="242"/>
    </row>
    <row r="820993" spans="1:1" x14ac:dyDescent="0.25">
      <c r="A820993" s="242"/>
    </row>
    <row r="820994" spans="1:1" x14ac:dyDescent="0.25">
      <c r="A820994" s="242"/>
    </row>
    <row r="820995" spans="1:1" x14ac:dyDescent="0.25">
      <c r="A820995" s="242"/>
    </row>
    <row r="820996" spans="1:1" x14ac:dyDescent="0.25">
      <c r="A820996" s="242"/>
    </row>
    <row r="820997" spans="1:1" x14ac:dyDescent="0.25">
      <c r="A820997" s="242"/>
    </row>
    <row r="820998" spans="1:1" x14ac:dyDescent="0.25">
      <c r="A820998" s="242"/>
    </row>
    <row r="820999" spans="1:1" x14ac:dyDescent="0.25">
      <c r="A820999" s="242"/>
    </row>
    <row r="821000" spans="1:1" x14ac:dyDescent="0.25">
      <c r="A821000" s="242"/>
    </row>
    <row r="821001" spans="1:1" x14ac:dyDescent="0.25">
      <c r="A821001" s="242"/>
    </row>
    <row r="821002" spans="1:1" x14ac:dyDescent="0.25">
      <c r="A821002" s="242"/>
    </row>
    <row r="821003" spans="1:1" x14ac:dyDescent="0.25">
      <c r="A821003" s="242"/>
    </row>
    <row r="821004" spans="1:1" x14ac:dyDescent="0.25">
      <c r="A821004" s="242"/>
    </row>
    <row r="821005" spans="1:1" x14ac:dyDescent="0.25">
      <c r="A821005" s="242"/>
    </row>
    <row r="821006" spans="1:1" x14ac:dyDescent="0.25">
      <c r="A821006" s="242"/>
    </row>
    <row r="821007" spans="1:1" x14ac:dyDescent="0.25">
      <c r="A821007" s="242"/>
    </row>
    <row r="821008" spans="1:1" x14ac:dyDescent="0.25">
      <c r="A821008" s="242"/>
    </row>
    <row r="821009" spans="1:1" x14ac:dyDescent="0.25">
      <c r="A821009" s="242"/>
    </row>
    <row r="821010" spans="1:1" x14ac:dyDescent="0.25">
      <c r="A821010" s="242"/>
    </row>
    <row r="821011" spans="1:1" x14ac:dyDescent="0.25">
      <c r="A821011" s="242"/>
    </row>
    <row r="821012" spans="1:1" x14ac:dyDescent="0.25">
      <c r="A821012" s="242"/>
    </row>
    <row r="821013" spans="1:1" x14ac:dyDescent="0.25">
      <c r="A821013" s="242"/>
    </row>
    <row r="821014" spans="1:1" x14ac:dyDescent="0.25">
      <c r="A821014" s="242"/>
    </row>
    <row r="821015" spans="1:1" x14ac:dyDescent="0.25">
      <c r="A821015" s="242"/>
    </row>
    <row r="821016" spans="1:1" x14ac:dyDescent="0.25">
      <c r="A821016" s="242"/>
    </row>
    <row r="821017" spans="1:1" x14ac:dyDescent="0.25">
      <c r="A821017" s="242"/>
    </row>
    <row r="821018" spans="1:1" x14ac:dyDescent="0.25">
      <c r="A821018" s="242"/>
    </row>
    <row r="821019" spans="1:1" x14ac:dyDescent="0.25">
      <c r="A821019" s="242"/>
    </row>
    <row r="821020" spans="1:1" x14ac:dyDescent="0.25">
      <c r="A821020" s="242"/>
    </row>
    <row r="821021" spans="1:1" x14ac:dyDescent="0.25">
      <c r="A821021" s="242"/>
    </row>
    <row r="821022" spans="1:1" x14ac:dyDescent="0.25">
      <c r="A821022" s="242"/>
    </row>
    <row r="821023" spans="1:1" x14ac:dyDescent="0.25">
      <c r="A821023" s="242"/>
    </row>
    <row r="821024" spans="1:1" x14ac:dyDescent="0.25">
      <c r="A821024" s="242"/>
    </row>
    <row r="821025" spans="1:1" x14ac:dyDescent="0.25">
      <c r="A821025" s="242"/>
    </row>
    <row r="821026" spans="1:1" x14ac:dyDescent="0.25">
      <c r="A821026" s="242"/>
    </row>
    <row r="821027" spans="1:1" x14ac:dyDescent="0.25">
      <c r="A821027" s="242"/>
    </row>
    <row r="821028" spans="1:1" x14ac:dyDescent="0.25">
      <c r="A821028" s="242"/>
    </row>
    <row r="821029" spans="1:1" x14ac:dyDescent="0.25">
      <c r="A821029" s="242"/>
    </row>
    <row r="821030" spans="1:1" x14ac:dyDescent="0.25">
      <c r="A821030" s="242"/>
    </row>
    <row r="821031" spans="1:1" x14ac:dyDescent="0.25">
      <c r="A821031" s="242"/>
    </row>
    <row r="821032" spans="1:1" x14ac:dyDescent="0.25">
      <c r="A821032" s="242"/>
    </row>
    <row r="821033" spans="1:1" x14ac:dyDescent="0.25">
      <c r="A821033" s="242"/>
    </row>
    <row r="821034" spans="1:1" x14ac:dyDescent="0.25">
      <c r="A821034" s="242"/>
    </row>
    <row r="821035" spans="1:1" x14ac:dyDescent="0.25">
      <c r="A821035" s="242"/>
    </row>
    <row r="821036" spans="1:1" x14ac:dyDescent="0.25">
      <c r="A821036" s="242"/>
    </row>
    <row r="821037" spans="1:1" x14ac:dyDescent="0.25">
      <c r="A821037" s="242"/>
    </row>
    <row r="821038" spans="1:1" x14ac:dyDescent="0.25">
      <c r="A821038" s="242"/>
    </row>
    <row r="821039" spans="1:1" x14ac:dyDescent="0.25">
      <c r="A821039" s="242"/>
    </row>
    <row r="821040" spans="1:1" x14ac:dyDescent="0.25">
      <c r="A821040" s="242"/>
    </row>
    <row r="821041" spans="1:1" x14ac:dyDescent="0.25">
      <c r="A821041" s="242"/>
    </row>
    <row r="821042" spans="1:1" x14ac:dyDescent="0.25">
      <c r="A821042" s="242"/>
    </row>
    <row r="821043" spans="1:1" x14ac:dyDescent="0.25">
      <c r="A821043" s="242"/>
    </row>
    <row r="821044" spans="1:1" x14ac:dyDescent="0.25">
      <c r="A821044" s="242"/>
    </row>
    <row r="821045" spans="1:1" x14ac:dyDescent="0.25">
      <c r="A821045" s="242"/>
    </row>
    <row r="821046" spans="1:1" x14ac:dyDescent="0.25">
      <c r="A821046" s="242"/>
    </row>
    <row r="821047" spans="1:1" x14ac:dyDescent="0.25">
      <c r="A821047" s="242"/>
    </row>
    <row r="821048" spans="1:1" x14ac:dyDescent="0.25">
      <c r="A821048" s="242"/>
    </row>
    <row r="821049" spans="1:1" x14ac:dyDescent="0.25">
      <c r="A821049" s="242"/>
    </row>
    <row r="821050" spans="1:1" x14ac:dyDescent="0.25">
      <c r="A821050" s="242"/>
    </row>
    <row r="821051" spans="1:1" x14ac:dyDescent="0.25">
      <c r="A821051" s="242"/>
    </row>
    <row r="821052" spans="1:1" x14ac:dyDescent="0.25">
      <c r="A821052" s="242"/>
    </row>
    <row r="821053" spans="1:1" x14ac:dyDescent="0.25">
      <c r="A821053" s="242"/>
    </row>
    <row r="821054" spans="1:1" x14ac:dyDescent="0.25">
      <c r="A821054" s="242"/>
    </row>
    <row r="821055" spans="1:1" x14ac:dyDescent="0.25">
      <c r="A821055" s="242"/>
    </row>
    <row r="821056" spans="1:1" x14ac:dyDescent="0.25">
      <c r="A821056" s="242"/>
    </row>
    <row r="821057" spans="1:1" x14ac:dyDescent="0.25">
      <c r="A821057" s="242"/>
    </row>
    <row r="821058" spans="1:1" x14ac:dyDescent="0.25">
      <c r="A821058" s="242"/>
    </row>
    <row r="821059" spans="1:1" x14ac:dyDescent="0.25">
      <c r="A821059" s="242"/>
    </row>
    <row r="821060" spans="1:1" x14ac:dyDescent="0.25">
      <c r="A821060" s="242"/>
    </row>
    <row r="821061" spans="1:1" x14ac:dyDescent="0.25">
      <c r="A821061" s="242"/>
    </row>
    <row r="821062" spans="1:1" x14ac:dyDescent="0.25">
      <c r="A821062" s="242"/>
    </row>
    <row r="821063" spans="1:1" x14ac:dyDescent="0.25">
      <c r="A821063" s="242"/>
    </row>
    <row r="821064" spans="1:1" x14ac:dyDescent="0.25">
      <c r="A821064" s="242"/>
    </row>
    <row r="821065" spans="1:1" x14ac:dyDescent="0.25">
      <c r="A821065" s="242"/>
    </row>
    <row r="821066" spans="1:1" x14ac:dyDescent="0.25">
      <c r="A821066" s="242"/>
    </row>
    <row r="821067" spans="1:1" x14ac:dyDescent="0.25">
      <c r="A821067" s="242"/>
    </row>
    <row r="821068" spans="1:1" x14ac:dyDescent="0.25">
      <c r="A821068" s="242"/>
    </row>
    <row r="821069" spans="1:1" x14ac:dyDescent="0.25">
      <c r="A821069" s="242"/>
    </row>
    <row r="821070" spans="1:1" x14ac:dyDescent="0.25">
      <c r="A821070" s="242"/>
    </row>
    <row r="821071" spans="1:1" x14ac:dyDescent="0.25">
      <c r="A821071" s="242"/>
    </row>
    <row r="821072" spans="1:1" x14ac:dyDescent="0.25">
      <c r="A821072" s="242"/>
    </row>
    <row r="821073" spans="1:1" x14ac:dyDescent="0.25">
      <c r="A821073" s="242"/>
    </row>
    <row r="821074" spans="1:1" x14ac:dyDescent="0.25">
      <c r="A821074" s="242"/>
    </row>
    <row r="821075" spans="1:1" x14ac:dyDescent="0.25">
      <c r="A821075" s="242"/>
    </row>
    <row r="821076" spans="1:1" x14ac:dyDescent="0.25">
      <c r="A821076" s="242"/>
    </row>
    <row r="821077" spans="1:1" x14ac:dyDescent="0.25">
      <c r="A821077" s="242"/>
    </row>
    <row r="821078" spans="1:1" x14ac:dyDescent="0.25">
      <c r="A821078" s="242"/>
    </row>
    <row r="821079" spans="1:1" x14ac:dyDescent="0.25">
      <c r="A821079" s="242"/>
    </row>
    <row r="821080" spans="1:1" x14ac:dyDescent="0.25">
      <c r="A821080" s="242"/>
    </row>
    <row r="821081" spans="1:1" x14ac:dyDescent="0.25">
      <c r="A821081" s="242"/>
    </row>
    <row r="821082" spans="1:1" x14ac:dyDescent="0.25">
      <c r="A821082" s="242"/>
    </row>
    <row r="821083" spans="1:1" x14ac:dyDescent="0.25">
      <c r="A821083" s="242"/>
    </row>
    <row r="821084" spans="1:1" x14ac:dyDescent="0.25">
      <c r="A821084" s="242"/>
    </row>
    <row r="821085" spans="1:1" x14ac:dyDescent="0.25">
      <c r="A821085" s="242"/>
    </row>
    <row r="821086" spans="1:1" x14ac:dyDescent="0.25">
      <c r="A821086" s="242"/>
    </row>
    <row r="821087" spans="1:1" x14ac:dyDescent="0.25">
      <c r="A821087" s="242"/>
    </row>
    <row r="821088" spans="1:1" x14ac:dyDescent="0.25">
      <c r="A821088" s="242"/>
    </row>
    <row r="821089" spans="1:1" x14ac:dyDescent="0.25">
      <c r="A821089" s="242"/>
    </row>
    <row r="821090" spans="1:1" x14ac:dyDescent="0.25">
      <c r="A821090" s="242"/>
    </row>
    <row r="821091" spans="1:1" x14ac:dyDescent="0.25">
      <c r="A821091" s="242"/>
    </row>
    <row r="821092" spans="1:1" x14ac:dyDescent="0.25">
      <c r="A821092" s="242"/>
    </row>
    <row r="821093" spans="1:1" x14ac:dyDescent="0.25">
      <c r="A821093" s="242"/>
    </row>
    <row r="821094" spans="1:1" x14ac:dyDescent="0.25">
      <c r="A821094" s="242"/>
    </row>
    <row r="821095" spans="1:1" x14ac:dyDescent="0.25">
      <c r="A821095" s="242"/>
    </row>
    <row r="821096" spans="1:1" x14ac:dyDescent="0.25">
      <c r="A821096" s="242"/>
    </row>
    <row r="821097" spans="1:1" x14ac:dyDescent="0.25">
      <c r="A821097" s="242"/>
    </row>
    <row r="821098" spans="1:1" x14ac:dyDescent="0.25">
      <c r="A821098" s="242"/>
    </row>
    <row r="821099" spans="1:1" x14ac:dyDescent="0.25">
      <c r="A821099" s="242"/>
    </row>
    <row r="821100" spans="1:1" x14ac:dyDescent="0.25">
      <c r="A821100" s="242"/>
    </row>
    <row r="821101" spans="1:1" x14ac:dyDescent="0.25">
      <c r="A821101" s="242"/>
    </row>
    <row r="821102" spans="1:1" x14ac:dyDescent="0.25">
      <c r="A821102" s="242"/>
    </row>
    <row r="821103" spans="1:1" x14ac:dyDescent="0.25">
      <c r="A821103" s="242"/>
    </row>
    <row r="821104" spans="1:1" x14ac:dyDescent="0.25">
      <c r="A821104" s="242"/>
    </row>
    <row r="821105" spans="1:1" x14ac:dyDescent="0.25">
      <c r="A821105" s="242"/>
    </row>
    <row r="821106" spans="1:1" x14ac:dyDescent="0.25">
      <c r="A821106" s="242"/>
    </row>
    <row r="821107" spans="1:1" x14ac:dyDescent="0.25">
      <c r="A821107" s="242"/>
    </row>
    <row r="821108" spans="1:1" x14ac:dyDescent="0.25">
      <c r="A821108" s="242"/>
    </row>
    <row r="821109" spans="1:1" x14ac:dyDescent="0.25">
      <c r="A821109" s="242"/>
    </row>
    <row r="821110" spans="1:1" x14ac:dyDescent="0.25">
      <c r="A821110" s="242"/>
    </row>
    <row r="821111" spans="1:1" x14ac:dyDescent="0.25">
      <c r="A821111" s="242"/>
    </row>
    <row r="821112" spans="1:1" x14ac:dyDescent="0.25">
      <c r="A821112" s="242"/>
    </row>
    <row r="821113" spans="1:1" x14ac:dyDescent="0.25">
      <c r="A821113" s="242"/>
    </row>
    <row r="821114" spans="1:1" x14ac:dyDescent="0.25">
      <c r="A821114" s="242"/>
    </row>
    <row r="821115" spans="1:1" x14ac:dyDescent="0.25">
      <c r="A821115" s="242"/>
    </row>
    <row r="821116" spans="1:1" x14ac:dyDescent="0.25">
      <c r="A821116" s="242"/>
    </row>
    <row r="821117" spans="1:1" x14ac:dyDescent="0.25">
      <c r="A821117" s="242"/>
    </row>
    <row r="821118" spans="1:1" x14ac:dyDescent="0.25">
      <c r="A821118" s="242"/>
    </row>
    <row r="821119" spans="1:1" x14ac:dyDescent="0.25">
      <c r="A821119" s="242"/>
    </row>
    <row r="821120" spans="1:1" x14ac:dyDescent="0.25">
      <c r="A821120" s="242"/>
    </row>
    <row r="821121" spans="1:1" x14ac:dyDescent="0.25">
      <c r="A821121" s="242"/>
    </row>
    <row r="821122" spans="1:1" x14ac:dyDescent="0.25">
      <c r="A821122" s="242"/>
    </row>
    <row r="821123" spans="1:1" x14ac:dyDescent="0.25">
      <c r="A821123" s="242"/>
    </row>
    <row r="821124" spans="1:1" x14ac:dyDescent="0.25">
      <c r="A821124" s="242"/>
    </row>
    <row r="821125" spans="1:1" x14ac:dyDescent="0.25">
      <c r="A821125" s="242"/>
    </row>
    <row r="821126" spans="1:1" x14ac:dyDescent="0.25">
      <c r="A821126" s="242"/>
    </row>
    <row r="821127" spans="1:1" x14ac:dyDescent="0.25">
      <c r="A821127" s="242"/>
    </row>
    <row r="821128" spans="1:1" x14ac:dyDescent="0.25">
      <c r="A821128" s="242"/>
    </row>
    <row r="821129" spans="1:1" x14ac:dyDescent="0.25">
      <c r="A821129" s="242"/>
    </row>
    <row r="821130" spans="1:1" x14ac:dyDescent="0.25">
      <c r="A821130" s="242"/>
    </row>
    <row r="821131" spans="1:1" x14ac:dyDescent="0.25">
      <c r="A821131" s="242"/>
    </row>
    <row r="821132" spans="1:1" x14ac:dyDescent="0.25">
      <c r="A821132" s="242"/>
    </row>
    <row r="821133" spans="1:1" x14ac:dyDescent="0.25">
      <c r="A821133" s="242"/>
    </row>
    <row r="821134" spans="1:1" x14ac:dyDescent="0.25">
      <c r="A821134" s="242"/>
    </row>
    <row r="821135" spans="1:1" x14ac:dyDescent="0.25">
      <c r="A821135" s="242"/>
    </row>
    <row r="821136" spans="1:1" x14ac:dyDescent="0.25">
      <c r="A821136" s="242"/>
    </row>
    <row r="821137" spans="1:1" x14ac:dyDescent="0.25">
      <c r="A821137" s="242"/>
    </row>
    <row r="821138" spans="1:1" x14ac:dyDescent="0.25">
      <c r="A821138" s="242"/>
    </row>
    <row r="821139" spans="1:1" x14ac:dyDescent="0.25">
      <c r="A821139" s="242"/>
    </row>
    <row r="821140" spans="1:1" x14ac:dyDescent="0.25">
      <c r="A821140" s="242"/>
    </row>
    <row r="821141" spans="1:1" x14ac:dyDescent="0.25">
      <c r="A821141" s="242"/>
    </row>
    <row r="821142" spans="1:1" x14ac:dyDescent="0.25">
      <c r="A821142" s="242"/>
    </row>
    <row r="821143" spans="1:1" x14ac:dyDescent="0.25">
      <c r="A821143" s="242"/>
    </row>
    <row r="821144" spans="1:1" x14ac:dyDescent="0.25">
      <c r="A821144" s="242"/>
    </row>
    <row r="821145" spans="1:1" x14ac:dyDescent="0.25">
      <c r="A821145" s="242"/>
    </row>
    <row r="821146" spans="1:1" x14ac:dyDescent="0.25">
      <c r="A821146" s="242"/>
    </row>
    <row r="821147" spans="1:1" x14ac:dyDescent="0.25">
      <c r="A821147" s="242"/>
    </row>
    <row r="821148" spans="1:1" x14ac:dyDescent="0.25">
      <c r="A821148" s="242"/>
    </row>
    <row r="821149" spans="1:1" x14ac:dyDescent="0.25">
      <c r="A821149" s="242"/>
    </row>
    <row r="821150" spans="1:1" x14ac:dyDescent="0.25">
      <c r="A821150" s="242"/>
    </row>
    <row r="821151" spans="1:1" x14ac:dyDescent="0.25">
      <c r="A821151" s="242"/>
    </row>
    <row r="821152" spans="1:1" x14ac:dyDescent="0.25">
      <c r="A821152" s="242"/>
    </row>
    <row r="821153" spans="1:1" x14ac:dyDescent="0.25">
      <c r="A821153" s="242"/>
    </row>
    <row r="821154" spans="1:1" x14ac:dyDescent="0.25">
      <c r="A821154" s="242"/>
    </row>
    <row r="821155" spans="1:1" x14ac:dyDescent="0.25">
      <c r="A821155" s="242"/>
    </row>
    <row r="821156" spans="1:1" x14ac:dyDescent="0.25">
      <c r="A821156" s="242"/>
    </row>
    <row r="821157" spans="1:1" x14ac:dyDescent="0.25">
      <c r="A821157" s="242"/>
    </row>
    <row r="821158" spans="1:1" x14ac:dyDescent="0.25">
      <c r="A821158" s="242"/>
    </row>
    <row r="821159" spans="1:1" x14ac:dyDescent="0.25">
      <c r="A821159" s="242"/>
    </row>
    <row r="821160" spans="1:1" x14ac:dyDescent="0.25">
      <c r="A821160" s="242"/>
    </row>
    <row r="821161" spans="1:1" x14ac:dyDescent="0.25">
      <c r="A821161" s="242"/>
    </row>
    <row r="821162" spans="1:1" x14ac:dyDescent="0.25">
      <c r="A821162" s="242"/>
    </row>
    <row r="821163" spans="1:1" x14ac:dyDescent="0.25">
      <c r="A821163" s="242"/>
    </row>
    <row r="821164" spans="1:1" x14ac:dyDescent="0.25">
      <c r="A821164" s="242"/>
    </row>
    <row r="821165" spans="1:1" x14ac:dyDescent="0.25">
      <c r="A821165" s="242"/>
    </row>
    <row r="821166" spans="1:1" x14ac:dyDescent="0.25">
      <c r="A821166" s="242"/>
    </row>
    <row r="821167" spans="1:1" x14ac:dyDescent="0.25">
      <c r="A821167" s="242"/>
    </row>
    <row r="821168" spans="1:1" x14ac:dyDescent="0.25">
      <c r="A821168" s="242"/>
    </row>
    <row r="821169" spans="1:1" x14ac:dyDescent="0.25">
      <c r="A821169" s="242"/>
    </row>
    <row r="821170" spans="1:1" x14ac:dyDescent="0.25">
      <c r="A821170" s="242"/>
    </row>
    <row r="821171" spans="1:1" x14ac:dyDescent="0.25">
      <c r="A821171" s="242"/>
    </row>
    <row r="821172" spans="1:1" x14ac:dyDescent="0.25">
      <c r="A821172" s="242"/>
    </row>
    <row r="821173" spans="1:1" x14ac:dyDescent="0.25">
      <c r="A821173" s="242"/>
    </row>
    <row r="821174" spans="1:1" x14ac:dyDescent="0.25">
      <c r="A821174" s="242"/>
    </row>
    <row r="821175" spans="1:1" x14ac:dyDescent="0.25">
      <c r="A821175" s="242"/>
    </row>
    <row r="821176" spans="1:1" x14ac:dyDescent="0.25">
      <c r="A821176" s="242"/>
    </row>
    <row r="821177" spans="1:1" x14ac:dyDescent="0.25">
      <c r="A821177" s="242"/>
    </row>
    <row r="821178" spans="1:1" x14ac:dyDescent="0.25">
      <c r="A821178" s="242"/>
    </row>
    <row r="821179" spans="1:1" x14ac:dyDescent="0.25">
      <c r="A821179" s="242"/>
    </row>
    <row r="821180" spans="1:1" x14ac:dyDescent="0.25">
      <c r="A821180" s="242"/>
    </row>
    <row r="821181" spans="1:1" x14ac:dyDescent="0.25">
      <c r="A821181" s="242"/>
    </row>
    <row r="821182" spans="1:1" x14ac:dyDescent="0.25">
      <c r="A821182" s="242"/>
    </row>
    <row r="821183" spans="1:1" x14ac:dyDescent="0.25">
      <c r="A821183" s="242"/>
    </row>
    <row r="821184" spans="1:1" x14ac:dyDescent="0.25">
      <c r="A821184" s="242"/>
    </row>
    <row r="821185" spans="1:1" x14ac:dyDescent="0.25">
      <c r="A821185" s="242"/>
    </row>
    <row r="821186" spans="1:1" x14ac:dyDescent="0.25">
      <c r="A821186" s="242"/>
    </row>
    <row r="821187" spans="1:1" x14ac:dyDescent="0.25">
      <c r="A821187" s="242"/>
    </row>
    <row r="821188" spans="1:1" x14ac:dyDescent="0.25">
      <c r="A821188" s="242"/>
    </row>
    <row r="821189" spans="1:1" x14ac:dyDescent="0.25">
      <c r="A821189" s="242"/>
    </row>
    <row r="821190" spans="1:1" x14ac:dyDescent="0.25">
      <c r="A821190" s="242"/>
    </row>
    <row r="821191" spans="1:1" x14ac:dyDescent="0.25">
      <c r="A821191" s="242"/>
    </row>
    <row r="821192" spans="1:1" x14ac:dyDescent="0.25">
      <c r="A821192" s="242"/>
    </row>
    <row r="821193" spans="1:1" x14ac:dyDescent="0.25">
      <c r="A821193" s="242"/>
    </row>
    <row r="821194" spans="1:1" x14ac:dyDescent="0.25">
      <c r="A821194" s="242"/>
    </row>
    <row r="821195" spans="1:1" x14ac:dyDescent="0.25">
      <c r="A821195" s="242"/>
    </row>
    <row r="821196" spans="1:1" x14ac:dyDescent="0.25">
      <c r="A821196" s="242"/>
    </row>
    <row r="821197" spans="1:1" x14ac:dyDescent="0.25">
      <c r="A821197" s="242"/>
    </row>
    <row r="821198" spans="1:1" x14ac:dyDescent="0.25">
      <c r="A821198" s="242"/>
    </row>
    <row r="821199" spans="1:1" x14ac:dyDescent="0.25">
      <c r="A821199" s="242"/>
    </row>
    <row r="821200" spans="1:1" x14ac:dyDescent="0.25">
      <c r="A821200" s="242"/>
    </row>
    <row r="821201" spans="1:1" x14ac:dyDescent="0.25">
      <c r="A821201" s="242"/>
    </row>
    <row r="821202" spans="1:1" x14ac:dyDescent="0.25">
      <c r="A821202" s="242"/>
    </row>
    <row r="821203" spans="1:1" x14ac:dyDescent="0.25">
      <c r="A821203" s="242"/>
    </row>
    <row r="821204" spans="1:1" x14ac:dyDescent="0.25">
      <c r="A821204" s="242"/>
    </row>
    <row r="821205" spans="1:1" x14ac:dyDescent="0.25">
      <c r="A821205" s="242"/>
    </row>
    <row r="821206" spans="1:1" x14ac:dyDescent="0.25">
      <c r="A821206" s="242"/>
    </row>
    <row r="821207" spans="1:1" x14ac:dyDescent="0.25">
      <c r="A821207" s="242"/>
    </row>
    <row r="821208" spans="1:1" x14ac:dyDescent="0.25">
      <c r="A821208" s="242"/>
    </row>
    <row r="821209" spans="1:1" x14ac:dyDescent="0.25">
      <c r="A821209" s="242"/>
    </row>
    <row r="821210" spans="1:1" x14ac:dyDescent="0.25">
      <c r="A821210" s="242"/>
    </row>
    <row r="821211" spans="1:1" x14ac:dyDescent="0.25">
      <c r="A821211" s="242"/>
    </row>
    <row r="821212" spans="1:1" x14ac:dyDescent="0.25">
      <c r="A821212" s="242"/>
    </row>
    <row r="821213" spans="1:1" x14ac:dyDescent="0.25">
      <c r="A821213" s="242"/>
    </row>
    <row r="821214" spans="1:1" x14ac:dyDescent="0.25">
      <c r="A821214" s="242"/>
    </row>
    <row r="821215" spans="1:1" x14ac:dyDescent="0.25">
      <c r="A821215" s="242"/>
    </row>
    <row r="821216" spans="1:1" x14ac:dyDescent="0.25">
      <c r="A821216" s="242"/>
    </row>
    <row r="821217" spans="1:1" x14ac:dyDescent="0.25">
      <c r="A821217" s="242"/>
    </row>
    <row r="821218" spans="1:1" x14ac:dyDescent="0.25">
      <c r="A821218" s="242"/>
    </row>
    <row r="821219" spans="1:1" x14ac:dyDescent="0.25">
      <c r="A821219" s="242"/>
    </row>
    <row r="821220" spans="1:1" x14ac:dyDescent="0.25">
      <c r="A821220" s="242"/>
    </row>
    <row r="821221" spans="1:1" x14ac:dyDescent="0.25">
      <c r="A821221" s="242"/>
    </row>
    <row r="821222" spans="1:1" x14ac:dyDescent="0.25">
      <c r="A821222" s="242"/>
    </row>
    <row r="821223" spans="1:1" x14ac:dyDescent="0.25">
      <c r="A821223" s="242"/>
    </row>
    <row r="821224" spans="1:1" x14ac:dyDescent="0.25">
      <c r="A821224" s="242"/>
    </row>
    <row r="821225" spans="1:1" x14ac:dyDescent="0.25">
      <c r="A821225" s="242"/>
    </row>
    <row r="821226" spans="1:1" x14ac:dyDescent="0.25">
      <c r="A821226" s="242"/>
    </row>
    <row r="821227" spans="1:1" x14ac:dyDescent="0.25">
      <c r="A821227" s="242"/>
    </row>
    <row r="821228" spans="1:1" x14ac:dyDescent="0.25">
      <c r="A821228" s="242"/>
    </row>
    <row r="821229" spans="1:1" x14ac:dyDescent="0.25">
      <c r="A821229" s="242"/>
    </row>
    <row r="821230" spans="1:1" x14ac:dyDescent="0.25">
      <c r="A821230" s="242"/>
    </row>
    <row r="821231" spans="1:1" x14ac:dyDescent="0.25">
      <c r="A821231" s="242"/>
    </row>
    <row r="821232" spans="1:1" x14ac:dyDescent="0.25">
      <c r="A821232" s="242"/>
    </row>
    <row r="821233" spans="1:1" x14ac:dyDescent="0.25">
      <c r="A821233" s="242"/>
    </row>
    <row r="821234" spans="1:1" x14ac:dyDescent="0.25">
      <c r="A821234" s="242"/>
    </row>
    <row r="821235" spans="1:1" x14ac:dyDescent="0.25">
      <c r="A821235" s="242"/>
    </row>
    <row r="821236" spans="1:1" x14ac:dyDescent="0.25">
      <c r="A821236" s="242"/>
    </row>
    <row r="821237" spans="1:1" x14ac:dyDescent="0.25">
      <c r="A821237" s="242"/>
    </row>
    <row r="821238" spans="1:1" x14ac:dyDescent="0.25">
      <c r="A821238" s="242"/>
    </row>
    <row r="821239" spans="1:1" x14ac:dyDescent="0.25">
      <c r="A821239" s="242"/>
    </row>
    <row r="821240" spans="1:1" x14ac:dyDescent="0.25">
      <c r="A821240" s="242"/>
    </row>
    <row r="821241" spans="1:1" x14ac:dyDescent="0.25">
      <c r="A821241" s="242"/>
    </row>
    <row r="821242" spans="1:1" x14ac:dyDescent="0.25">
      <c r="A821242" s="242"/>
    </row>
    <row r="821243" spans="1:1" x14ac:dyDescent="0.25">
      <c r="A821243" s="242"/>
    </row>
    <row r="821244" spans="1:1" x14ac:dyDescent="0.25">
      <c r="A821244" s="242"/>
    </row>
    <row r="821245" spans="1:1" x14ac:dyDescent="0.25">
      <c r="A821245" s="242"/>
    </row>
    <row r="821246" spans="1:1" x14ac:dyDescent="0.25">
      <c r="A821246" s="242"/>
    </row>
    <row r="821247" spans="1:1" x14ac:dyDescent="0.25">
      <c r="A821247" s="242"/>
    </row>
    <row r="821248" spans="1:1" x14ac:dyDescent="0.25">
      <c r="A821248" s="242"/>
    </row>
    <row r="821249" spans="1:1" x14ac:dyDescent="0.25">
      <c r="A821249" s="242"/>
    </row>
    <row r="821250" spans="1:1" x14ac:dyDescent="0.25">
      <c r="A821250" s="242"/>
    </row>
    <row r="821251" spans="1:1" x14ac:dyDescent="0.25">
      <c r="A821251" s="242"/>
    </row>
    <row r="821252" spans="1:1" x14ac:dyDescent="0.25">
      <c r="A821252" s="242"/>
    </row>
    <row r="821253" spans="1:1" x14ac:dyDescent="0.25">
      <c r="A821253" s="242"/>
    </row>
    <row r="821254" spans="1:1" x14ac:dyDescent="0.25">
      <c r="A821254" s="242"/>
    </row>
    <row r="821255" spans="1:1" x14ac:dyDescent="0.25">
      <c r="A821255" s="242"/>
    </row>
    <row r="821256" spans="1:1" x14ac:dyDescent="0.25">
      <c r="A821256" s="242"/>
    </row>
    <row r="821257" spans="1:1" x14ac:dyDescent="0.25">
      <c r="A821257" s="242"/>
    </row>
    <row r="821258" spans="1:1" x14ac:dyDescent="0.25">
      <c r="A821258" s="242"/>
    </row>
    <row r="821259" spans="1:1" x14ac:dyDescent="0.25">
      <c r="A821259" s="242"/>
    </row>
    <row r="821260" spans="1:1" x14ac:dyDescent="0.25">
      <c r="A821260" s="242"/>
    </row>
    <row r="821261" spans="1:1" x14ac:dyDescent="0.25">
      <c r="A821261" s="242"/>
    </row>
    <row r="821262" spans="1:1" x14ac:dyDescent="0.25">
      <c r="A821262" s="242"/>
    </row>
    <row r="821263" spans="1:1" x14ac:dyDescent="0.25">
      <c r="A821263" s="242"/>
    </row>
    <row r="821264" spans="1:1" x14ac:dyDescent="0.25">
      <c r="A821264" s="242"/>
    </row>
    <row r="821265" spans="1:1" x14ac:dyDescent="0.25">
      <c r="A821265" s="242"/>
    </row>
    <row r="821266" spans="1:1" x14ac:dyDescent="0.25">
      <c r="A821266" s="242"/>
    </row>
    <row r="821267" spans="1:1" x14ac:dyDescent="0.25">
      <c r="A821267" s="242"/>
    </row>
    <row r="821268" spans="1:1" x14ac:dyDescent="0.25">
      <c r="A821268" s="242"/>
    </row>
    <row r="821269" spans="1:1" x14ac:dyDescent="0.25">
      <c r="A821269" s="242"/>
    </row>
    <row r="821270" spans="1:1" x14ac:dyDescent="0.25">
      <c r="A821270" s="242"/>
    </row>
    <row r="821271" spans="1:1" x14ac:dyDescent="0.25">
      <c r="A821271" s="242"/>
    </row>
    <row r="821272" spans="1:1" x14ac:dyDescent="0.25">
      <c r="A821272" s="242"/>
    </row>
    <row r="821273" spans="1:1" x14ac:dyDescent="0.25">
      <c r="A821273" s="242"/>
    </row>
    <row r="821274" spans="1:1" x14ac:dyDescent="0.25">
      <c r="A821274" s="242"/>
    </row>
    <row r="821275" spans="1:1" x14ac:dyDescent="0.25">
      <c r="A821275" s="242"/>
    </row>
    <row r="821276" spans="1:1" x14ac:dyDescent="0.25">
      <c r="A821276" s="242"/>
    </row>
    <row r="821277" spans="1:1" x14ac:dyDescent="0.25">
      <c r="A821277" s="242"/>
    </row>
    <row r="821278" spans="1:1" x14ac:dyDescent="0.25">
      <c r="A821278" s="242"/>
    </row>
    <row r="821279" spans="1:1" x14ac:dyDescent="0.25">
      <c r="A821279" s="242"/>
    </row>
    <row r="821280" spans="1:1" x14ac:dyDescent="0.25">
      <c r="A821280" s="242"/>
    </row>
    <row r="821281" spans="1:1" x14ac:dyDescent="0.25">
      <c r="A821281" s="242"/>
    </row>
    <row r="821282" spans="1:1" x14ac:dyDescent="0.25">
      <c r="A821282" s="242"/>
    </row>
    <row r="821283" spans="1:1" x14ac:dyDescent="0.25">
      <c r="A821283" s="242"/>
    </row>
    <row r="821284" spans="1:1" x14ac:dyDescent="0.25">
      <c r="A821284" s="242"/>
    </row>
    <row r="821285" spans="1:1" x14ac:dyDescent="0.25">
      <c r="A821285" s="242"/>
    </row>
    <row r="821286" spans="1:1" x14ac:dyDescent="0.25">
      <c r="A821286" s="242"/>
    </row>
    <row r="821287" spans="1:1" x14ac:dyDescent="0.25">
      <c r="A821287" s="242"/>
    </row>
    <row r="821288" spans="1:1" x14ac:dyDescent="0.25">
      <c r="A821288" s="242"/>
    </row>
    <row r="821289" spans="1:1" x14ac:dyDescent="0.25">
      <c r="A821289" s="242"/>
    </row>
    <row r="821290" spans="1:1" x14ac:dyDescent="0.25">
      <c r="A821290" s="242"/>
    </row>
    <row r="821291" spans="1:1" x14ac:dyDescent="0.25">
      <c r="A821291" s="242"/>
    </row>
    <row r="821292" spans="1:1" x14ac:dyDescent="0.25">
      <c r="A821292" s="242"/>
    </row>
    <row r="821293" spans="1:1" x14ac:dyDescent="0.25">
      <c r="A821293" s="242"/>
    </row>
    <row r="821294" spans="1:1" x14ac:dyDescent="0.25">
      <c r="A821294" s="242"/>
    </row>
    <row r="821295" spans="1:1" x14ac:dyDescent="0.25">
      <c r="A821295" s="242"/>
    </row>
    <row r="821296" spans="1:1" x14ac:dyDescent="0.25">
      <c r="A821296" s="242"/>
    </row>
    <row r="821297" spans="1:1" x14ac:dyDescent="0.25">
      <c r="A821297" s="242"/>
    </row>
    <row r="821298" spans="1:1" x14ac:dyDescent="0.25">
      <c r="A821298" s="242"/>
    </row>
    <row r="821299" spans="1:1" x14ac:dyDescent="0.25">
      <c r="A821299" s="242"/>
    </row>
    <row r="821300" spans="1:1" x14ac:dyDescent="0.25">
      <c r="A821300" s="242"/>
    </row>
    <row r="821301" spans="1:1" x14ac:dyDescent="0.25">
      <c r="A821301" s="242"/>
    </row>
    <row r="821302" spans="1:1" x14ac:dyDescent="0.25">
      <c r="A821302" s="242"/>
    </row>
    <row r="821303" spans="1:1" x14ac:dyDescent="0.25">
      <c r="A821303" s="242"/>
    </row>
    <row r="821304" spans="1:1" x14ac:dyDescent="0.25">
      <c r="A821304" s="242"/>
    </row>
    <row r="821305" spans="1:1" x14ac:dyDescent="0.25">
      <c r="A821305" s="242"/>
    </row>
    <row r="821306" spans="1:1" x14ac:dyDescent="0.25">
      <c r="A821306" s="242"/>
    </row>
    <row r="821307" spans="1:1" x14ac:dyDescent="0.25">
      <c r="A821307" s="242"/>
    </row>
    <row r="821308" spans="1:1" x14ac:dyDescent="0.25">
      <c r="A821308" s="242"/>
    </row>
    <row r="821309" spans="1:1" x14ac:dyDescent="0.25">
      <c r="A821309" s="242"/>
    </row>
    <row r="821310" spans="1:1" x14ac:dyDescent="0.25">
      <c r="A821310" s="242"/>
    </row>
    <row r="821311" spans="1:1" x14ac:dyDescent="0.25">
      <c r="A821311" s="242"/>
    </row>
    <row r="821312" spans="1:1" x14ac:dyDescent="0.25">
      <c r="A821312" s="242"/>
    </row>
    <row r="821313" spans="1:1" x14ac:dyDescent="0.25">
      <c r="A821313" s="242"/>
    </row>
    <row r="821314" spans="1:1" x14ac:dyDescent="0.25">
      <c r="A821314" s="242"/>
    </row>
    <row r="821315" spans="1:1" x14ac:dyDescent="0.25">
      <c r="A821315" s="242"/>
    </row>
    <row r="821316" spans="1:1" x14ac:dyDescent="0.25">
      <c r="A821316" s="242"/>
    </row>
    <row r="821317" spans="1:1" x14ac:dyDescent="0.25">
      <c r="A821317" s="242"/>
    </row>
    <row r="821318" spans="1:1" x14ac:dyDescent="0.25">
      <c r="A821318" s="242"/>
    </row>
    <row r="821319" spans="1:1" x14ac:dyDescent="0.25">
      <c r="A821319" s="242"/>
    </row>
    <row r="821320" spans="1:1" x14ac:dyDescent="0.25">
      <c r="A821320" s="242"/>
    </row>
    <row r="821321" spans="1:1" x14ac:dyDescent="0.25">
      <c r="A821321" s="242"/>
    </row>
    <row r="821322" spans="1:1" x14ac:dyDescent="0.25">
      <c r="A821322" s="242"/>
    </row>
    <row r="821323" spans="1:1" x14ac:dyDescent="0.25">
      <c r="A821323" s="242"/>
    </row>
    <row r="821324" spans="1:1" x14ac:dyDescent="0.25">
      <c r="A821324" s="242"/>
    </row>
    <row r="821325" spans="1:1" x14ac:dyDescent="0.25">
      <c r="A821325" s="242"/>
    </row>
    <row r="821326" spans="1:1" x14ac:dyDescent="0.25">
      <c r="A821326" s="242"/>
    </row>
    <row r="821327" spans="1:1" x14ac:dyDescent="0.25">
      <c r="A821327" s="242"/>
    </row>
    <row r="821328" spans="1:1" x14ac:dyDescent="0.25">
      <c r="A821328" s="242"/>
    </row>
    <row r="821329" spans="1:1" x14ac:dyDescent="0.25">
      <c r="A821329" s="242"/>
    </row>
    <row r="821330" spans="1:1" x14ac:dyDescent="0.25">
      <c r="A821330" s="242"/>
    </row>
    <row r="821331" spans="1:1" x14ac:dyDescent="0.25">
      <c r="A821331" s="242"/>
    </row>
    <row r="821332" spans="1:1" x14ac:dyDescent="0.25">
      <c r="A821332" s="242"/>
    </row>
    <row r="821333" spans="1:1" x14ac:dyDescent="0.25">
      <c r="A821333" s="242"/>
    </row>
    <row r="821334" spans="1:1" x14ac:dyDescent="0.25">
      <c r="A821334" s="242"/>
    </row>
    <row r="821335" spans="1:1" x14ac:dyDescent="0.25">
      <c r="A821335" s="242"/>
    </row>
    <row r="821336" spans="1:1" x14ac:dyDescent="0.25">
      <c r="A821336" s="242"/>
    </row>
    <row r="821337" spans="1:1" x14ac:dyDescent="0.25">
      <c r="A821337" s="242"/>
    </row>
    <row r="821338" spans="1:1" x14ac:dyDescent="0.25">
      <c r="A821338" s="242"/>
    </row>
    <row r="821339" spans="1:1" x14ac:dyDescent="0.25">
      <c r="A821339" s="242"/>
    </row>
    <row r="821340" spans="1:1" x14ac:dyDescent="0.25">
      <c r="A821340" s="242"/>
    </row>
    <row r="821341" spans="1:1" x14ac:dyDescent="0.25">
      <c r="A821341" s="242"/>
    </row>
    <row r="821342" spans="1:1" x14ac:dyDescent="0.25">
      <c r="A821342" s="242"/>
    </row>
    <row r="821343" spans="1:1" x14ac:dyDescent="0.25">
      <c r="A821343" s="242"/>
    </row>
    <row r="821344" spans="1:1" x14ac:dyDescent="0.25">
      <c r="A821344" s="242"/>
    </row>
    <row r="821345" spans="1:1" x14ac:dyDescent="0.25">
      <c r="A821345" s="242"/>
    </row>
    <row r="821346" spans="1:1" x14ac:dyDescent="0.25">
      <c r="A821346" s="242"/>
    </row>
    <row r="821347" spans="1:1" x14ac:dyDescent="0.25">
      <c r="A821347" s="242"/>
    </row>
    <row r="821348" spans="1:1" x14ac:dyDescent="0.25">
      <c r="A821348" s="242"/>
    </row>
    <row r="821349" spans="1:1" x14ac:dyDescent="0.25">
      <c r="A821349" s="242"/>
    </row>
    <row r="821350" spans="1:1" x14ac:dyDescent="0.25">
      <c r="A821350" s="242"/>
    </row>
    <row r="821351" spans="1:1" x14ac:dyDescent="0.25">
      <c r="A821351" s="242"/>
    </row>
    <row r="821352" spans="1:1" x14ac:dyDescent="0.25">
      <c r="A821352" s="242"/>
    </row>
    <row r="821353" spans="1:1" x14ac:dyDescent="0.25">
      <c r="A821353" s="242"/>
    </row>
    <row r="821354" spans="1:1" x14ac:dyDescent="0.25">
      <c r="A821354" s="242"/>
    </row>
    <row r="821355" spans="1:1" x14ac:dyDescent="0.25">
      <c r="A821355" s="242"/>
    </row>
    <row r="821356" spans="1:1" x14ac:dyDescent="0.25">
      <c r="A821356" s="242"/>
    </row>
    <row r="821357" spans="1:1" x14ac:dyDescent="0.25">
      <c r="A821357" s="242"/>
    </row>
    <row r="821358" spans="1:1" x14ac:dyDescent="0.25">
      <c r="A821358" s="242"/>
    </row>
    <row r="821359" spans="1:1" x14ac:dyDescent="0.25">
      <c r="A821359" s="242"/>
    </row>
    <row r="821360" spans="1:1" x14ac:dyDescent="0.25">
      <c r="A821360" s="242"/>
    </row>
    <row r="821361" spans="1:1" x14ac:dyDescent="0.25">
      <c r="A821361" s="242"/>
    </row>
    <row r="821362" spans="1:1" x14ac:dyDescent="0.25">
      <c r="A821362" s="242"/>
    </row>
    <row r="821363" spans="1:1" x14ac:dyDescent="0.25">
      <c r="A821363" s="242"/>
    </row>
    <row r="821364" spans="1:1" x14ac:dyDescent="0.25">
      <c r="A821364" s="242"/>
    </row>
    <row r="821365" spans="1:1" x14ac:dyDescent="0.25">
      <c r="A821365" s="242"/>
    </row>
    <row r="821366" spans="1:1" x14ac:dyDescent="0.25">
      <c r="A821366" s="242"/>
    </row>
    <row r="821367" spans="1:1" x14ac:dyDescent="0.25">
      <c r="A821367" s="242"/>
    </row>
    <row r="821368" spans="1:1" x14ac:dyDescent="0.25">
      <c r="A821368" s="242"/>
    </row>
    <row r="821369" spans="1:1" x14ac:dyDescent="0.25">
      <c r="A821369" s="242"/>
    </row>
    <row r="821370" spans="1:1" x14ac:dyDescent="0.25">
      <c r="A821370" s="242"/>
    </row>
    <row r="821371" spans="1:1" x14ac:dyDescent="0.25">
      <c r="A821371" s="242"/>
    </row>
    <row r="821372" spans="1:1" x14ac:dyDescent="0.25">
      <c r="A821372" s="242"/>
    </row>
    <row r="821373" spans="1:1" x14ac:dyDescent="0.25">
      <c r="A821373" s="242"/>
    </row>
    <row r="821374" spans="1:1" x14ac:dyDescent="0.25">
      <c r="A821374" s="242"/>
    </row>
    <row r="821375" spans="1:1" x14ac:dyDescent="0.25">
      <c r="A821375" s="242"/>
    </row>
    <row r="821376" spans="1:1" x14ac:dyDescent="0.25">
      <c r="A821376" s="242"/>
    </row>
    <row r="821377" spans="1:1" x14ac:dyDescent="0.25">
      <c r="A821377" s="242"/>
    </row>
    <row r="821378" spans="1:1" x14ac:dyDescent="0.25">
      <c r="A821378" s="242"/>
    </row>
    <row r="821379" spans="1:1" x14ac:dyDescent="0.25">
      <c r="A821379" s="242"/>
    </row>
    <row r="821380" spans="1:1" x14ac:dyDescent="0.25">
      <c r="A821380" s="242"/>
    </row>
    <row r="821381" spans="1:1" x14ac:dyDescent="0.25">
      <c r="A821381" s="242"/>
    </row>
    <row r="821382" spans="1:1" x14ac:dyDescent="0.25">
      <c r="A821382" s="242"/>
    </row>
    <row r="821383" spans="1:1" x14ac:dyDescent="0.25">
      <c r="A821383" s="242"/>
    </row>
    <row r="821384" spans="1:1" x14ac:dyDescent="0.25">
      <c r="A821384" s="242"/>
    </row>
    <row r="821385" spans="1:1" x14ac:dyDescent="0.25">
      <c r="A821385" s="242"/>
    </row>
    <row r="821386" spans="1:1" x14ac:dyDescent="0.25">
      <c r="A821386" s="242"/>
    </row>
    <row r="821387" spans="1:1" x14ac:dyDescent="0.25">
      <c r="A821387" s="242"/>
    </row>
    <row r="821388" spans="1:1" x14ac:dyDescent="0.25">
      <c r="A821388" s="242"/>
    </row>
    <row r="821389" spans="1:1" x14ac:dyDescent="0.25">
      <c r="A821389" s="242"/>
    </row>
    <row r="821390" spans="1:1" x14ac:dyDescent="0.25">
      <c r="A821390" s="242"/>
    </row>
    <row r="821391" spans="1:1" x14ac:dyDescent="0.25">
      <c r="A821391" s="242"/>
    </row>
    <row r="821392" spans="1:1" x14ac:dyDescent="0.25">
      <c r="A821392" s="242"/>
    </row>
    <row r="821393" spans="1:1" x14ac:dyDescent="0.25">
      <c r="A821393" s="242"/>
    </row>
    <row r="821394" spans="1:1" x14ac:dyDescent="0.25">
      <c r="A821394" s="242"/>
    </row>
    <row r="821395" spans="1:1" x14ac:dyDescent="0.25">
      <c r="A821395" s="242"/>
    </row>
    <row r="821396" spans="1:1" x14ac:dyDescent="0.25">
      <c r="A821396" s="242"/>
    </row>
    <row r="821397" spans="1:1" x14ac:dyDescent="0.25">
      <c r="A821397" s="242"/>
    </row>
    <row r="821398" spans="1:1" x14ac:dyDescent="0.25">
      <c r="A821398" s="242"/>
    </row>
    <row r="821399" spans="1:1" x14ac:dyDescent="0.25">
      <c r="A821399" s="242"/>
    </row>
    <row r="821400" spans="1:1" x14ac:dyDescent="0.25">
      <c r="A821400" s="242"/>
    </row>
    <row r="821401" spans="1:1" x14ac:dyDescent="0.25">
      <c r="A821401" s="242"/>
    </row>
    <row r="821402" spans="1:1" x14ac:dyDescent="0.25">
      <c r="A821402" s="242"/>
    </row>
    <row r="821403" spans="1:1" x14ac:dyDescent="0.25">
      <c r="A821403" s="242"/>
    </row>
    <row r="821404" spans="1:1" x14ac:dyDescent="0.25">
      <c r="A821404" s="242"/>
    </row>
    <row r="821405" spans="1:1" x14ac:dyDescent="0.25">
      <c r="A821405" s="242"/>
    </row>
    <row r="821406" spans="1:1" x14ac:dyDescent="0.25">
      <c r="A821406" s="242"/>
    </row>
    <row r="821407" spans="1:1" x14ac:dyDescent="0.25">
      <c r="A821407" s="242"/>
    </row>
    <row r="821408" spans="1:1" x14ac:dyDescent="0.25">
      <c r="A821408" s="242"/>
    </row>
    <row r="821409" spans="1:1" x14ac:dyDescent="0.25">
      <c r="A821409" s="242"/>
    </row>
    <row r="821410" spans="1:1" x14ac:dyDescent="0.25">
      <c r="A821410" s="242"/>
    </row>
    <row r="821411" spans="1:1" x14ac:dyDescent="0.25">
      <c r="A821411" s="242"/>
    </row>
    <row r="821412" spans="1:1" x14ac:dyDescent="0.25">
      <c r="A821412" s="242"/>
    </row>
    <row r="821413" spans="1:1" x14ac:dyDescent="0.25">
      <c r="A821413" s="242"/>
    </row>
    <row r="821414" spans="1:1" x14ac:dyDescent="0.25">
      <c r="A821414" s="242"/>
    </row>
    <row r="821415" spans="1:1" x14ac:dyDescent="0.25">
      <c r="A821415" s="242"/>
    </row>
    <row r="821416" spans="1:1" x14ac:dyDescent="0.25">
      <c r="A821416" s="242"/>
    </row>
    <row r="821417" spans="1:1" x14ac:dyDescent="0.25">
      <c r="A821417" s="242"/>
    </row>
    <row r="821418" spans="1:1" x14ac:dyDescent="0.25">
      <c r="A821418" s="242"/>
    </row>
    <row r="821419" spans="1:1" x14ac:dyDescent="0.25">
      <c r="A821419" s="242"/>
    </row>
    <row r="821420" spans="1:1" x14ac:dyDescent="0.25">
      <c r="A821420" s="242"/>
    </row>
    <row r="821421" spans="1:1" x14ac:dyDescent="0.25">
      <c r="A821421" s="242"/>
    </row>
    <row r="821422" spans="1:1" x14ac:dyDescent="0.25">
      <c r="A821422" s="242"/>
    </row>
    <row r="821423" spans="1:1" x14ac:dyDescent="0.25">
      <c r="A821423" s="242"/>
    </row>
    <row r="821424" spans="1:1" x14ac:dyDescent="0.25">
      <c r="A821424" s="242"/>
    </row>
    <row r="821425" spans="1:1" x14ac:dyDescent="0.25">
      <c r="A821425" s="242"/>
    </row>
    <row r="821426" spans="1:1" x14ac:dyDescent="0.25">
      <c r="A821426" s="242"/>
    </row>
    <row r="821427" spans="1:1" x14ac:dyDescent="0.25">
      <c r="A821427" s="242"/>
    </row>
    <row r="821428" spans="1:1" x14ac:dyDescent="0.25">
      <c r="A821428" s="242"/>
    </row>
    <row r="821429" spans="1:1" x14ac:dyDescent="0.25">
      <c r="A821429" s="242"/>
    </row>
    <row r="821430" spans="1:1" x14ac:dyDescent="0.25">
      <c r="A821430" s="242"/>
    </row>
    <row r="821431" spans="1:1" x14ac:dyDescent="0.25">
      <c r="A821431" s="242"/>
    </row>
    <row r="821432" spans="1:1" x14ac:dyDescent="0.25">
      <c r="A821432" s="242"/>
    </row>
    <row r="821433" spans="1:1" x14ac:dyDescent="0.25">
      <c r="A821433" s="242"/>
    </row>
    <row r="821434" spans="1:1" x14ac:dyDescent="0.25">
      <c r="A821434" s="242"/>
    </row>
    <row r="821435" spans="1:1" x14ac:dyDescent="0.25">
      <c r="A821435" s="242"/>
    </row>
    <row r="821436" spans="1:1" x14ac:dyDescent="0.25">
      <c r="A821436" s="242"/>
    </row>
    <row r="821437" spans="1:1" x14ac:dyDescent="0.25">
      <c r="A821437" s="242"/>
    </row>
    <row r="821438" spans="1:1" x14ac:dyDescent="0.25">
      <c r="A821438" s="242"/>
    </row>
    <row r="821439" spans="1:1" x14ac:dyDescent="0.25">
      <c r="A821439" s="242"/>
    </row>
    <row r="821440" spans="1:1" x14ac:dyDescent="0.25">
      <c r="A821440" s="242"/>
    </row>
    <row r="821441" spans="1:1" x14ac:dyDescent="0.25">
      <c r="A821441" s="242"/>
    </row>
    <row r="821442" spans="1:1" x14ac:dyDescent="0.25">
      <c r="A821442" s="242"/>
    </row>
    <row r="821443" spans="1:1" x14ac:dyDescent="0.25">
      <c r="A821443" s="242"/>
    </row>
    <row r="821444" spans="1:1" x14ac:dyDescent="0.25">
      <c r="A821444" s="242"/>
    </row>
    <row r="821445" spans="1:1" x14ac:dyDescent="0.25">
      <c r="A821445" s="242"/>
    </row>
    <row r="821446" spans="1:1" x14ac:dyDescent="0.25">
      <c r="A821446" s="242"/>
    </row>
    <row r="821447" spans="1:1" x14ac:dyDescent="0.25">
      <c r="A821447" s="242"/>
    </row>
    <row r="821448" spans="1:1" x14ac:dyDescent="0.25">
      <c r="A821448" s="242"/>
    </row>
    <row r="821449" spans="1:1" x14ac:dyDescent="0.25">
      <c r="A821449" s="242"/>
    </row>
    <row r="821450" spans="1:1" x14ac:dyDescent="0.25">
      <c r="A821450" s="242"/>
    </row>
    <row r="821451" spans="1:1" x14ac:dyDescent="0.25">
      <c r="A821451" s="242"/>
    </row>
    <row r="821452" spans="1:1" x14ac:dyDescent="0.25">
      <c r="A821452" s="242"/>
    </row>
    <row r="821453" spans="1:1" x14ac:dyDescent="0.25">
      <c r="A821453" s="242"/>
    </row>
    <row r="821454" spans="1:1" x14ac:dyDescent="0.25">
      <c r="A821454" s="242"/>
    </row>
    <row r="821455" spans="1:1" x14ac:dyDescent="0.25">
      <c r="A821455" s="242"/>
    </row>
    <row r="821456" spans="1:1" x14ac:dyDescent="0.25">
      <c r="A821456" s="242"/>
    </row>
    <row r="821457" spans="1:1" x14ac:dyDescent="0.25">
      <c r="A821457" s="242"/>
    </row>
    <row r="821458" spans="1:1" x14ac:dyDescent="0.25">
      <c r="A821458" s="242"/>
    </row>
    <row r="821459" spans="1:1" x14ac:dyDescent="0.25">
      <c r="A821459" s="242"/>
    </row>
    <row r="821460" spans="1:1" x14ac:dyDescent="0.25">
      <c r="A821460" s="242"/>
    </row>
    <row r="821461" spans="1:1" x14ac:dyDescent="0.25">
      <c r="A821461" s="242"/>
    </row>
    <row r="821462" spans="1:1" x14ac:dyDescent="0.25">
      <c r="A821462" s="242"/>
    </row>
    <row r="821463" spans="1:1" x14ac:dyDescent="0.25">
      <c r="A821463" s="242"/>
    </row>
    <row r="821464" spans="1:1" x14ac:dyDescent="0.25">
      <c r="A821464" s="242"/>
    </row>
    <row r="821465" spans="1:1" x14ac:dyDescent="0.25">
      <c r="A821465" s="242"/>
    </row>
    <row r="821466" spans="1:1" x14ac:dyDescent="0.25">
      <c r="A821466" s="242"/>
    </row>
    <row r="821467" spans="1:1" x14ac:dyDescent="0.25">
      <c r="A821467" s="242"/>
    </row>
    <row r="821468" spans="1:1" x14ac:dyDescent="0.25">
      <c r="A821468" s="242"/>
    </row>
    <row r="821469" spans="1:1" x14ac:dyDescent="0.25">
      <c r="A821469" s="242"/>
    </row>
    <row r="821470" spans="1:1" x14ac:dyDescent="0.25">
      <c r="A821470" s="242"/>
    </row>
    <row r="821471" spans="1:1" x14ac:dyDescent="0.25">
      <c r="A821471" s="242"/>
    </row>
    <row r="821472" spans="1:1" x14ac:dyDescent="0.25">
      <c r="A821472" s="242"/>
    </row>
    <row r="821473" spans="1:1" x14ac:dyDescent="0.25">
      <c r="A821473" s="242"/>
    </row>
    <row r="821474" spans="1:1" x14ac:dyDescent="0.25">
      <c r="A821474" s="242"/>
    </row>
    <row r="821475" spans="1:1" x14ac:dyDescent="0.25">
      <c r="A821475" s="242"/>
    </row>
    <row r="821476" spans="1:1" x14ac:dyDescent="0.25">
      <c r="A821476" s="242"/>
    </row>
    <row r="821477" spans="1:1" x14ac:dyDescent="0.25">
      <c r="A821477" s="242"/>
    </row>
    <row r="821478" spans="1:1" x14ac:dyDescent="0.25">
      <c r="A821478" s="242"/>
    </row>
    <row r="821479" spans="1:1" x14ac:dyDescent="0.25">
      <c r="A821479" s="242"/>
    </row>
    <row r="821480" spans="1:1" x14ac:dyDescent="0.25">
      <c r="A821480" s="242"/>
    </row>
    <row r="821481" spans="1:1" x14ac:dyDescent="0.25">
      <c r="A821481" s="242"/>
    </row>
    <row r="821482" spans="1:1" x14ac:dyDescent="0.25">
      <c r="A821482" s="242"/>
    </row>
    <row r="821483" spans="1:1" x14ac:dyDescent="0.25">
      <c r="A821483" s="242"/>
    </row>
    <row r="821484" spans="1:1" x14ac:dyDescent="0.25">
      <c r="A821484" s="242"/>
    </row>
    <row r="821485" spans="1:1" x14ac:dyDescent="0.25">
      <c r="A821485" s="242"/>
    </row>
    <row r="821486" spans="1:1" x14ac:dyDescent="0.25">
      <c r="A821486" s="242"/>
    </row>
    <row r="821487" spans="1:1" x14ac:dyDescent="0.25">
      <c r="A821487" s="242"/>
    </row>
    <row r="821488" spans="1:1" x14ac:dyDescent="0.25">
      <c r="A821488" s="242"/>
    </row>
    <row r="821489" spans="1:1" x14ac:dyDescent="0.25">
      <c r="A821489" s="242"/>
    </row>
    <row r="821490" spans="1:1" x14ac:dyDescent="0.25">
      <c r="A821490" s="242"/>
    </row>
    <row r="821491" spans="1:1" x14ac:dyDescent="0.25">
      <c r="A821491" s="242"/>
    </row>
    <row r="821492" spans="1:1" x14ac:dyDescent="0.25">
      <c r="A821492" s="242"/>
    </row>
    <row r="821493" spans="1:1" x14ac:dyDescent="0.25">
      <c r="A821493" s="242"/>
    </row>
    <row r="821494" spans="1:1" x14ac:dyDescent="0.25">
      <c r="A821494" s="242"/>
    </row>
    <row r="821495" spans="1:1" x14ac:dyDescent="0.25">
      <c r="A821495" s="242"/>
    </row>
    <row r="821496" spans="1:1" x14ac:dyDescent="0.25">
      <c r="A821496" s="242"/>
    </row>
    <row r="821497" spans="1:1" x14ac:dyDescent="0.25">
      <c r="A821497" s="242"/>
    </row>
    <row r="821498" spans="1:1" x14ac:dyDescent="0.25">
      <c r="A821498" s="242"/>
    </row>
    <row r="821499" spans="1:1" x14ac:dyDescent="0.25">
      <c r="A821499" s="242"/>
    </row>
    <row r="821500" spans="1:1" x14ac:dyDescent="0.25">
      <c r="A821500" s="242"/>
    </row>
    <row r="821501" spans="1:1" x14ac:dyDescent="0.25">
      <c r="A821501" s="242"/>
    </row>
    <row r="821502" spans="1:1" x14ac:dyDescent="0.25">
      <c r="A821502" s="242"/>
    </row>
    <row r="821503" spans="1:1" x14ac:dyDescent="0.25">
      <c r="A821503" s="242"/>
    </row>
    <row r="821504" spans="1:1" x14ac:dyDescent="0.25">
      <c r="A821504" s="242"/>
    </row>
    <row r="821505" spans="1:1" x14ac:dyDescent="0.25">
      <c r="A821505" s="242"/>
    </row>
    <row r="821506" spans="1:1" x14ac:dyDescent="0.25">
      <c r="A821506" s="242"/>
    </row>
    <row r="821507" spans="1:1" x14ac:dyDescent="0.25">
      <c r="A821507" s="242"/>
    </row>
    <row r="821508" spans="1:1" x14ac:dyDescent="0.25">
      <c r="A821508" s="242"/>
    </row>
    <row r="821509" spans="1:1" x14ac:dyDescent="0.25">
      <c r="A821509" s="242"/>
    </row>
    <row r="821510" spans="1:1" x14ac:dyDescent="0.25">
      <c r="A821510" s="242"/>
    </row>
    <row r="821511" spans="1:1" x14ac:dyDescent="0.25">
      <c r="A821511" s="242"/>
    </row>
    <row r="821512" spans="1:1" x14ac:dyDescent="0.25">
      <c r="A821512" s="242"/>
    </row>
    <row r="821513" spans="1:1" x14ac:dyDescent="0.25">
      <c r="A821513" s="242"/>
    </row>
    <row r="821514" spans="1:1" x14ac:dyDescent="0.25">
      <c r="A821514" s="242"/>
    </row>
    <row r="821515" spans="1:1" x14ac:dyDescent="0.25">
      <c r="A821515" s="242"/>
    </row>
    <row r="821516" spans="1:1" x14ac:dyDescent="0.25">
      <c r="A821516" s="242"/>
    </row>
    <row r="821517" spans="1:1" x14ac:dyDescent="0.25">
      <c r="A821517" s="242"/>
    </row>
    <row r="821518" spans="1:1" x14ac:dyDescent="0.25">
      <c r="A821518" s="242"/>
    </row>
    <row r="821519" spans="1:1" x14ac:dyDescent="0.25">
      <c r="A821519" s="242"/>
    </row>
    <row r="821520" spans="1:1" x14ac:dyDescent="0.25">
      <c r="A821520" s="242"/>
    </row>
    <row r="821521" spans="1:1" x14ac:dyDescent="0.25">
      <c r="A821521" s="242"/>
    </row>
    <row r="821522" spans="1:1" x14ac:dyDescent="0.25">
      <c r="A821522" s="242"/>
    </row>
    <row r="821523" spans="1:1" x14ac:dyDescent="0.25">
      <c r="A821523" s="242"/>
    </row>
    <row r="821524" spans="1:1" x14ac:dyDescent="0.25">
      <c r="A821524" s="242"/>
    </row>
    <row r="821525" spans="1:1" x14ac:dyDescent="0.25">
      <c r="A821525" s="242"/>
    </row>
    <row r="821526" spans="1:1" x14ac:dyDescent="0.25">
      <c r="A821526" s="242"/>
    </row>
    <row r="821527" spans="1:1" x14ac:dyDescent="0.25">
      <c r="A821527" s="242"/>
    </row>
    <row r="821528" spans="1:1" x14ac:dyDescent="0.25">
      <c r="A821528" s="242"/>
    </row>
    <row r="821529" spans="1:1" x14ac:dyDescent="0.25">
      <c r="A821529" s="242"/>
    </row>
    <row r="821530" spans="1:1" x14ac:dyDescent="0.25">
      <c r="A821530" s="242"/>
    </row>
    <row r="821531" spans="1:1" x14ac:dyDescent="0.25">
      <c r="A821531" s="242"/>
    </row>
    <row r="821532" spans="1:1" x14ac:dyDescent="0.25">
      <c r="A821532" s="242"/>
    </row>
    <row r="821533" spans="1:1" x14ac:dyDescent="0.25">
      <c r="A821533" s="242"/>
    </row>
    <row r="821534" spans="1:1" x14ac:dyDescent="0.25">
      <c r="A821534" s="242"/>
    </row>
    <row r="821535" spans="1:1" x14ac:dyDescent="0.25">
      <c r="A821535" s="242"/>
    </row>
    <row r="821536" spans="1:1" x14ac:dyDescent="0.25">
      <c r="A821536" s="242"/>
    </row>
    <row r="821537" spans="1:1" x14ac:dyDescent="0.25">
      <c r="A821537" s="242"/>
    </row>
    <row r="821538" spans="1:1" x14ac:dyDescent="0.25">
      <c r="A821538" s="242"/>
    </row>
    <row r="821539" spans="1:1" x14ac:dyDescent="0.25">
      <c r="A821539" s="242"/>
    </row>
    <row r="821540" spans="1:1" x14ac:dyDescent="0.25">
      <c r="A821540" s="242"/>
    </row>
    <row r="821541" spans="1:1" x14ac:dyDescent="0.25">
      <c r="A821541" s="242"/>
    </row>
    <row r="821542" spans="1:1" x14ac:dyDescent="0.25">
      <c r="A821542" s="242"/>
    </row>
    <row r="821543" spans="1:1" x14ac:dyDescent="0.25">
      <c r="A821543" s="242"/>
    </row>
    <row r="821544" spans="1:1" x14ac:dyDescent="0.25">
      <c r="A821544" s="242"/>
    </row>
    <row r="821545" spans="1:1" x14ac:dyDescent="0.25">
      <c r="A821545" s="242"/>
    </row>
    <row r="821546" spans="1:1" x14ac:dyDescent="0.25">
      <c r="A821546" s="242"/>
    </row>
    <row r="821547" spans="1:1" x14ac:dyDescent="0.25">
      <c r="A821547" s="242"/>
    </row>
    <row r="821548" spans="1:1" x14ac:dyDescent="0.25">
      <c r="A821548" s="242"/>
    </row>
    <row r="821549" spans="1:1" x14ac:dyDescent="0.25">
      <c r="A821549" s="242"/>
    </row>
    <row r="821550" spans="1:1" x14ac:dyDescent="0.25">
      <c r="A821550" s="242"/>
    </row>
    <row r="821551" spans="1:1" x14ac:dyDescent="0.25">
      <c r="A821551" s="242"/>
    </row>
    <row r="821552" spans="1:1" x14ac:dyDescent="0.25">
      <c r="A821552" s="242"/>
    </row>
    <row r="821553" spans="1:1" x14ac:dyDescent="0.25">
      <c r="A821553" s="242"/>
    </row>
    <row r="821554" spans="1:1" x14ac:dyDescent="0.25">
      <c r="A821554" s="242"/>
    </row>
    <row r="821555" spans="1:1" x14ac:dyDescent="0.25">
      <c r="A821555" s="242"/>
    </row>
    <row r="821556" spans="1:1" x14ac:dyDescent="0.25">
      <c r="A821556" s="242"/>
    </row>
    <row r="821557" spans="1:1" x14ac:dyDescent="0.25">
      <c r="A821557" s="242"/>
    </row>
    <row r="821558" spans="1:1" x14ac:dyDescent="0.25">
      <c r="A821558" s="242"/>
    </row>
    <row r="821559" spans="1:1" x14ac:dyDescent="0.25">
      <c r="A821559" s="242"/>
    </row>
    <row r="821560" spans="1:1" x14ac:dyDescent="0.25">
      <c r="A821560" s="242"/>
    </row>
    <row r="821561" spans="1:1" x14ac:dyDescent="0.25">
      <c r="A821561" s="242"/>
    </row>
    <row r="821562" spans="1:1" x14ac:dyDescent="0.25">
      <c r="A821562" s="242"/>
    </row>
    <row r="821563" spans="1:1" x14ac:dyDescent="0.25">
      <c r="A821563" s="242"/>
    </row>
    <row r="821564" spans="1:1" x14ac:dyDescent="0.25">
      <c r="A821564" s="242"/>
    </row>
    <row r="821565" spans="1:1" x14ac:dyDescent="0.25">
      <c r="A821565" s="242"/>
    </row>
    <row r="821566" spans="1:1" x14ac:dyDescent="0.25">
      <c r="A821566" s="242"/>
    </row>
    <row r="821567" spans="1:1" x14ac:dyDescent="0.25">
      <c r="A821567" s="242"/>
    </row>
    <row r="821568" spans="1:1" x14ac:dyDescent="0.25">
      <c r="A821568" s="242"/>
    </row>
    <row r="821569" spans="1:1" x14ac:dyDescent="0.25">
      <c r="A821569" s="242"/>
    </row>
    <row r="821570" spans="1:1" x14ac:dyDescent="0.25">
      <c r="A821570" s="242"/>
    </row>
    <row r="821571" spans="1:1" x14ac:dyDescent="0.25">
      <c r="A821571" s="242"/>
    </row>
    <row r="821572" spans="1:1" x14ac:dyDescent="0.25">
      <c r="A821572" s="242"/>
    </row>
    <row r="821573" spans="1:1" x14ac:dyDescent="0.25">
      <c r="A821573" s="242"/>
    </row>
    <row r="821574" spans="1:1" x14ac:dyDescent="0.25">
      <c r="A821574" s="242"/>
    </row>
    <row r="821575" spans="1:1" x14ac:dyDescent="0.25">
      <c r="A821575" s="242"/>
    </row>
    <row r="821576" spans="1:1" x14ac:dyDescent="0.25">
      <c r="A821576" s="242"/>
    </row>
    <row r="821577" spans="1:1" x14ac:dyDescent="0.25">
      <c r="A821577" s="242"/>
    </row>
    <row r="821578" spans="1:1" x14ac:dyDescent="0.25">
      <c r="A821578" s="242"/>
    </row>
    <row r="821579" spans="1:1" x14ac:dyDescent="0.25">
      <c r="A821579" s="242"/>
    </row>
    <row r="821580" spans="1:1" x14ac:dyDescent="0.25">
      <c r="A821580" s="242"/>
    </row>
    <row r="821581" spans="1:1" x14ac:dyDescent="0.25">
      <c r="A821581" s="242"/>
    </row>
    <row r="821582" spans="1:1" x14ac:dyDescent="0.25">
      <c r="A821582" s="242"/>
    </row>
    <row r="821583" spans="1:1" x14ac:dyDescent="0.25">
      <c r="A821583" s="242"/>
    </row>
    <row r="821584" spans="1:1" x14ac:dyDescent="0.25">
      <c r="A821584" s="242"/>
    </row>
    <row r="821585" spans="1:1" x14ac:dyDescent="0.25">
      <c r="A821585" s="242"/>
    </row>
    <row r="821586" spans="1:1" x14ac:dyDescent="0.25">
      <c r="A821586" s="242"/>
    </row>
    <row r="821587" spans="1:1" x14ac:dyDescent="0.25">
      <c r="A821587" s="242"/>
    </row>
    <row r="821588" spans="1:1" x14ac:dyDescent="0.25">
      <c r="A821588" s="242"/>
    </row>
    <row r="821589" spans="1:1" x14ac:dyDescent="0.25">
      <c r="A821589" s="242"/>
    </row>
    <row r="821590" spans="1:1" x14ac:dyDescent="0.25">
      <c r="A821590" s="242"/>
    </row>
    <row r="821591" spans="1:1" x14ac:dyDescent="0.25">
      <c r="A821591" s="242"/>
    </row>
    <row r="821592" spans="1:1" x14ac:dyDescent="0.25">
      <c r="A821592" s="242"/>
    </row>
    <row r="821593" spans="1:1" x14ac:dyDescent="0.25">
      <c r="A821593" s="242"/>
    </row>
    <row r="821594" spans="1:1" x14ac:dyDescent="0.25">
      <c r="A821594" s="242"/>
    </row>
    <row r="821595" spans="1:1" x14ac:dyDescent="0.25">
      <c r="A821595" s="242"/>
    </row>
    <row r="821596" spans="1:1" x14ac:dyDescent="0.25">
      <c r="A821596" s="242"/>
    </row>
    <row r="821597" spans="1:1" x14ac:dyDescent="0.25">
      <c r="A821597" s="242"/>
    </row>
    <row r="821598" spans="1:1" x14ac:dyDescent="0.25">
      <c r="A821598" s="242"/>
    </row>
    <row r="821599" spans="1:1" x14ac:dyDescent="0.25">
      <c r="A821599" s="242"/>
    </row>
    <row r="821600" spans="1:1" x14ac:dyDescent="0.25">
      <c r="A821600" s="242"/>
    </row>
    <row r="821601" spans="1:1" x14ac:dyDescent="0.25">
      <c r="A821601" s="242"/>
    </row>
    <row r="821602" spans="1:1" x14ac:dyDescent="0.25">
      <c r="A821602" s="242"/>
    </row>
    <row r="821603" spans="1:1" x14ac:dyDescent="0.25">
      <c r="A821603" s="242"/>
    </row>
    <row r="821604" spans="1:1" x14ac:dyDescent="0.25">
      <c r="A821604" s="242"/>
    </row>
    <row r="821605" spans="1:1" x14ac:dyDescent="0.25">
      <c r="A821605" s="242"/>
    </row>
    <row r="821606" spans="1:1" x14ac:dyDescent="0.25">
      <c r="A821606" s="242"/>
    </row>
    <row r="821607" spans="1:1" x14ac:dyDescent="0.25">
      <c r="A821607" s="242"/>
    </row>
    <row r="821608" spans="1:1" x14ac:dyDescent="0.25">
      <c r="A821608" s="242"/>
    </row>
    <row r="821609" spans="1:1" x14ac:dyDescent="0.25">
      <c r="A821609" s="242"/>
    </row>
    <row r="821610" spans="1:1" x14ac:dyDescent="0.25">
      <c r="A821610" s="242"/>
    </row>
    <row r="821611" spans="1:1" x14ac:dyDescent="0.25">
      <c r="A821611" s="242"/>
    </row>
    <row r="821612" spans="1:1" x14ac:dyDescent="0.25">
      <c r="A821612" s="242"/>
    </row>
    <row r="821613" spans="1:1" x14ac:dyDescent="0.25">
      <c r="A821613" s="242"/>
    </row>
    <row r="821614" spans="1:1" x14ac:dyDescent="0.25">
      <c r="A821614" s="242"/>
    </row>
    <row r="821615" spans="1:1" x14ac:dyDescent="0.25">
      <c r="A821615" s="242"/>
    </row>
    <row r="821616" spans="1:1" x14ac:dyDescent="0.25">
      <c r="A821616" s="242"/>
    </row>
    <row r="821617" spans="1:1" x14ac:dyDescent="0.25">
      <c r="A821617" s="242"/>
    </row>
    <row r="821618" spans="1:1" x14ac:dyDescent="0.25">
      <c r="A821618" s="242"/>
    </row>
    <row r="821619" spans="1:1" x14ac:dyDescent="0.25">
      <c r="A821619" s="242"/>
    </row>
    <row r="821620" spans="1:1" x14ac:dyDescent="0.25">
      <c r="A821620" s="242"/>
    </row>
    <row r="821621" spans="1:1" x14ac:dyDescent="0.25">
      <c r="A821621" s="242"/>
    </row>
    <row r="821622" spans="1:1" x14ac:dyDescent="0.25">
      <c r="A821622" s="242"/>
    </row>
    <row r="821623" spans="1:1" x14ac:dyDescent="0.25">
      <c r="A821623" s="242"/>
    </row>
    <row r="821624" spans="1:1" x14ac:dyDescent="0.25">
      <c r="A821624" s="242"/>
    </row>
    <row r="821625" spans="1:1" x14ac:dyDescent="0.25">
      <c r="A821625" s="242"/>
    </row>
    <row r="821626" spans="1:1" x14ac:dyDescent="0.25">
      <c r="A821626" s="242"/>
    </row>
    <row r="821627" spans="1:1" x14ac:dyDescent="0.25">
      <c r="A821627" s="242"/>
    </row>
    <row r="821628" spans="1:1" x14ac:dyDescent="0.25">
      <c r="A821628" s="242"/>
    </row>
    <row r="821629" spans="1:1" x14ac:dyDescent="0.25">
      <c r="A821629" s="242"/>
    </row>
    <row r="821630" spans="1:1" x14ac:dyDescent="0.25">
      <c r="A821630" s="242"/>
    </row>
    <row r="821631" spans="1:1" x14ac:dyDescent="0.25">
      <c r="A821631" s="242"/>
    </row>
    <row r="821632" spans="1:1" x14ac:dyDescent="0.25">
      <c r="A821632" s="242"/>
    </row>
    <row r="821633" spans="1:1" x14ac:dyDescent="0.25">
      <c r="A821633" s="242"/>
    </row>
    <row r="821634" spans="1:1" x14ac:dyDescent="0.25">
      <c r="A821634" s="242"/>
    </row>
    <row r="821635" spans="1:1" x14ac:dyDescent="0.25">
      <c r="A821635" s="242"/>
    </row>
    <row r="821636" spans="1:1" x14ac:dyDescent="0.25">
      <c r="A821636" s="242"/>
    </row>
    <row r="821637" spans="1:1" x14ac:dyDescent="0.25">
      <c r="A821637" s="242"/>
    </row>
    <row r="821638" spans="1:1" x14ac:dyDescent="0.25">
      <c r="A821638" s="242"/>
    </row>
    <row r="821639" spans="1:1" x14ac:dyDescent="0.25">
      <c r="A821639" s="242"/>
    </row>
    <row r="821640" spans="1:1" x14ac:dyDescent="0.25">
      <c r="A821640" s="242"/>
    </row>
    <row r="821641" spans="1:1" x14ac:dyDescent="0.25">
      <c r="A821641" s="242"/>
    </row>
    <row r="821642" spans="1:1" x14ac:dyDescent="0.25">
      <c r="A821642" s="242"/>
    </row>
    <row r="821643" spans="1:1" x14ac:dyDescent="0.25">
      <c r="A821643" s="242"/>
    </row>
    <row r="821644" spans="1:1" x14ac:dyDescent="0.25">
      <c r="A821644" s="242"/>
    </row>
    <row r="821645" spans="1:1" x14ac:dyDescent="0.25">
      <c r="A821645" s="242"/>
    </row>
    <row r="821646" spans="1:1" x14ac:dyDescent="0.25">
      <c r="A821646" s="242"/>
    </row>
    <row r="821647" spans="1:1" x14ac:dyDescent="0.25">
      <c r="A821647" s="242"/>
    </row>
    <row r="821648" spans="1:1" x14ac:dyDescent="0.25">
      <c r="A821648" s="242"/>
    </row>
    <row r="821649" spans="1:1" x14ac:dyDescent="0.25">
      <c r="A821649" s="242"/>
    </row>
    <row r="821650" spans="1:1" x14ac:dyDescent="0.25">
      <c r="A821650" s="242"/>
    </row>
    <row r="821651" spans="1:1" x14ac:dyDescent="0.25">
      <c r="A821651" s="242"/>
    </row>
    <row r="821652" spans="1:1" x14ac:dyDescent="0.25">
      <c r="A821652" s="242"/>
    </row>
    <row r="821653" spans="1:1" x14ac:dyDescent="0.25">
      <c r="A821653" s="242"/>
    </row>
    <row r="821654" spans="1:1" x14ac:dyDescent="0.25">
      <c r="A821654" s="242"/>
    </row>
    <row r="821655" spans="1:1" x14ac:dyDescent="0.25">
      <c r="A821655" s="242"/>
    </row>
    <row r="821656" spans="1:1" x14ac:dyDescent="0.25">
      <c r="A821656" s="242"/>
    </row>
    <row r="821657" spans="1:1" x14ac:dyDescent="0.25">
      <c r="A821657" s="242"/>
    </row>
    <row r="821658" spans="1:1" x14ac:dyDescent="0.25">
      <c r="A821658" s="242"/>
    </row>
    <row r="821659" spans="1:1" x14ac:dyDescent="0.25">
      <c r="A821659" s="242"/>
    </row>
    <row r="821660" spans="1:1" x14ac:dyDescent="0.25">
      <c r="A821660" s="242"/>
    </row>
    <row r="821661" spans="1:1" x14ac:dyDescent="0.25">
      <c r="A821661" s="242"/>
    </row>
    <row r="821662" spans="1:1" x14ac:dyDescent="0.25">
      <c r="A821662" s="242"/>
    </row>
    <row r="821663" spans="1:1" x14ac:dyDescent="0.25">
      <c r="A821663" s="242"/>
    </row>
    <row r="821664" spans="1:1" x14ac:dyDescent="0.25">
      <c r="A821664" s="242"/>
    </row>
    <row r="821665" spans="1:1" x14ac:dyDescent="0.25">
      <c r="A821665" s="242"/>
    </row>
    <row r="821666" spans="1:1" x14ac:dyDescent="0.25">
      <c r="A821666" s="242"/>
    </row>
    <row r="821667" spans="1:1" x14ac:dyDescent="0.25">
      <c r="A821667" s="242"/>
    </row>
    <row r="821668" spans="1:1" x14ac:dyDescent="0.25">
      <c r="A821668" s="242"/>
    </row>
    <row r="821669" spans="1:1" x14ac:dyDescent="0.25">
      <c r="A821669" s="242"/>
    </row>
    <row r="821670" spans="1:1" x14ac:dyDescent="0.25">
      <c r="A821670" s="242"/>
    </row>
    <row r="821671" spans="1:1" x14ac:dyDescent="0.25">
      <c r="A821671" s="242"/>
    </row>
    <row r="821672" spans="1:1" x14ac:dyDescent="0.25">
      <c r="A821672" s="242"/>
    </row>
    <row r="821673" spans="1:1" x14ac:dyDescent="0.25">
      <c r="A821673" s="242"/>
    </row>
    <row r="821674" spans="1:1" x14ac:dyDescent="0.25">
      <c r="A821674" s="242"/>
    </row>
    <row r="821675" spans="1:1" x14ac:dyDescent="0.25">
      <c r="A821675" s="242"/>
    </row>
    <row r="821676" spans="1:1" x14ac:dyDescent="0.25">
      <c r="A821676" s="242"/>
    </row>
    <row r="821677" spans="1:1" x14ac:dyDescent="0.25">
      <c r="A821677" s="242"/>
    </row>
    <row r="821678" spans="1:1" x14ac:dyDescent="0.25">
      <c r="A821678" s="242"/>
    </row>
    <row r="821679" spans="1:1" x14ac:dyDescent="0.25">
      <c r="A821679" s="242"/>
    </row>
    <row r="821680" spans="1:1" x14ac:dyDescent="0.25">
      <c r="A821680" s="242"/>
    </row>
    <row r="821681" spans="1:1" x14ac:dyDescent="0.25">
      <c r="A821681" s="242"/>
    </row>
    <row r="821682" spans="1:1" x14ac:dyDescent="0.25">
      <c r="A821682" s="242"/>
    </row>
    <row r="821683" spans="1:1" x14ac:dyDescent="0.25">
      <c r="A821683" s="242"/>
    </row>
    <row r="821684" spans="1:1" x14ac:dyDescent="0.25">
      <c r="A821684" s="242"/>
    </row>
    <row r="821685" spans="1:1" x14ac:dyDescent="0.25">
      <c r="A821685" s="242"/>
    </row>
    <row r="821686" spans="1:1" x14ac:dyDescent="0.25">
      <c r="A821686" s="242"/>
    </row>
    <row r="821687" spans="1:1" x14ac:dyDescent="0.25">
      <c r="A821687" s="242"/>
    </row>
    <row r="821688" spans="1:1" x14ac:dyDescent="0.25">
      <c r="A821688" s="242"/>
    </row>
    <row r="821689" spans="1:1" x14ac:dyDescent="0.25">
      <c r="A821689" s="242"/>
    </row>
    <row r="821690" spans="1:1" x14ac:dyDescent="0.25">
      <c r="A821690" s="242"/>
    </row>
    <row r="821691" spans="1:1" x14ac:dyDescent="0.25">
      <c r="A821691" s="242"/>
    </row>
    <row r="821692" spans="1:1" x14ac:dyDescent="0.25">
      <c r="A821692" s="242"/>
    </row>
    <row r="821693" spans="1:1" x14ac:dyDescent="0.25">
      <c r="A821693" s="242"/>
    </row>
    <row r="821694" spans="1:1" x14ac:dyDescent="0.25">
      <c r="A821694" s="242"/>
    </row>
    <row r="821695" spans="1:1" x14ac:dyDescent="0.25">
      <c r="A821695" s="242"/>
    </row>
    <row r="821696" spans="1:1" x14ac:dyDescent="0.25">
      <c r="A821696" s="242"/>
    </row>
    <row r="821697" spans="1:1" x14ac:dyDescent="0.25">
      <c r="A821697" s="242"/>
    </row>
    <row r="821698" spans="1:1" x14ac:dyDescent="0.25">
      <c r="A821698" s="242"/>
    </row>
    <row r="821699" spans="1:1" x14ac:dyDescent="0.25">
      <c r="A821699" s="242"/>
    </row>
    <row r="821700" spans="1:1" x14ac:dyDescent="0.25">
      <c r="A821700" s="242"/>
    </row>
    <row r="821701" spans="1:1" x14ac:dyDescent="0.25">
      <c r="A821701" s="242"/>
    </row>
    <row r="821702" spans="1:1" x14ac:dyDescent="0.25">
      <c r="A821702" s="242"/>
    </row>
    <row r="821703" spans="1:1" x14ac:dyDescent="0.25">
      <c r="A821703" s="242"/>
    </row>
    <row r="821704" spans="1:1" x14ac:dyDescent="0.25">
      <c r="A821704" s="242"/>
    </row>
    <row r="821705" spans="1:1" x14ac:dyDescent="0.25">
      <c r="A821705" s="242"/>
    </row>
    <row r="821706" spans="1:1" x14ac:dyDescent="0.25">
      <c r="A821706" s="242"/>
    </row>
    <row r="821707" spans="1:1" x14ac:dyDescent="0.25">
      <c r="A821707" s="242"/>
    </row>
    <row r="821708" spans="1:1" x14ac:dyDescent="0.25">
      <c r="A821708" s="242"/>
    </row>
    <row r="821709" spans="1:1" x14ac:dyDescent="0.25">
      <c r="A821709" s="242"/>
    </row>
    <row r="821710" spans="1:1" x14ac:dyDescent="0.25">
      <c r="A821710" s="242"/>
    </row>
    <row r="821711" spans="1:1" x14ac:dyDescent="0.25">
      <c r="A821711" s="242"/>
    </row>
    <row r="821712" spans="1:1" x14ac:dyDescent="0.25">
      <c r="A821712" s="242"/>
    </row>
    <row r="821713" spans="1:1" x14ac:dyDescent="0.25">
      <c r="A821713" s="242"/>
    </row>
    <row r="821714" spans="1:1" x14ac:dyDescent="0.25">
      <c r="A821714" s="242"/>
    </row>
    <row r="821715" spans="1:1" x14ac:dyDescent="0.25">
      <c r="A821715" s="242"/>
    </row>
    <row r="821716" spans="1:1" x14ac:dyDescent="0.25">
      <c r="A821716" s="242"/>
    </row>
    <row r="821717" spans="1:1" x14ac:dyDescent="0.25">
      <c r="A821717" s="242"/>
    </row>
    <row r="821718" spans="1:1" x14ac:dyDescent="0.25">
      <c r="A821718" s="242"/>
    </row>
    <row r="821719" spans="1:1" x14ac:dyDescent="0.25">
      <c r="A821719" s="242"/>
    </row>
    <row r="821720" spans="1:1" x14ac:dyDescent="0.25">
      <c r="A821720" s="242"/>
    </row>
    <row r="821721" spans="1:1" x14ac:dyDescent="0.25">
      <c r="A821721" s="242"/>
    </row>
    <row r="821722" spans="1:1" x14ac:dyDescent="0.25">
      <c r="A821722" s="242"/>
    </row>
    <row r="821723" spans="1:1" x14ac:dyDescent="0.25">
      <c r="A821723" s="242"/>
    </row>
    <row r="821724" spans="1:1" x14ac:dyDescent="0.25">
      <c r="A821724" s="242"/>
    </row>
    <row r="821725" spans="1:1" x14ac:dyDescent="0.25">
      <c r="A821725" s="242"/>
    </row>
    <row r="821726" spans="1:1" x14ac:dyDescent="0.25">
      <c r="A821726" s="242"/>
    </row>
    <row r="821727" spans="1:1" x14ac:dyDescent="0.25">
      <c r="A821727" s="242"/>
    </row>
    <row r="821728" spans="1:1" x14ac:dyDescent="0.25">
      <c r="A821728" s="242"/>
    </row>
    <row r="821729" spans="1:1" x14ac:dyDescent="0.25">
      <c r="A821729" s="242"/>
    </row>
    <row r="821730" spans="1:1" x14ac:dyDescent="0.25">
      <c r="A821730" s="242"/>
    </row>
    <row r="821731" spans="1:1" x14ac:dyDescent="0.25">
      <c r="A821731" s="242"/>
    </row>
    <row r="821732" spans="1:1" x14ac:dyDescent="0.25">
      <c r="A821732" s="242"/>
    </row>
    <row r="821733" spans="1:1" x14ac:dyDescent="0.25">
      <c r="A821733" s="242"/>
    </row>
    <row r="821734" spans="1:1" x14ac:dyDescent="0.25">
      <c r="A821734" s="242"/>
    </row>
    <row r="821735" spans="1:1" x14ac:dyDescent="0.25">
      <c r="A821735" s="242"/>
    </row>
    <row r="821736" spans="1:1" x14ac:dyDescent="0.25">
      <c r="A821736" s="242"/>
    </row>
    <row r="821737" spans="1:1" x14ac:dyDescent="0.25">
      <c r="A821737" s="242"/>
    </row>
    <row r="821738" spans="1:1" x14ac:dyDescent="0.25">
      <c r="A821738" s="242"/>
    </row>
    <row r="821739" spans="1:1" x14ac:dyDescent="0.25">
      <c r="A821739" s="242"/>
    </row>
    <row r="821740" spans="1:1" x14ac:dyDescent="0.25">
      <c r="A821740" s="242"/>
    </row>
    <row r="821741" spans="1:1" x14ac:dyDescent="0.25">
      <c r="A821741" s="242"/>
    </row>
    <row r="821742" spans="1:1" x14ac:dyDescent="0.25">
      <c r="A821742" s="242"/>
    </row>
    <row r="821743" spans="1:1" x14ac:dyDescent="0.25">
      <c r="A821743" s="242"/>
    </row>
    <row r="821744" spans="1:1" x14ac:dyDescent="0.25">
      <c r="A821744" s="242"/>
    </row>
    <row r="821745" spans="1:1" x14ac:dyDescent="0.25">
      <c r="A821745" s="242"/>
    </row>
    <row r="821746" spans="1:1" x14ac:dyDescent="0.25">
      <c r="A821746" s="242"/>
    </row>
    <row r="821747" spans="1:1" x14ac:dyDescent="0.25">
      <c r="A821747" s="242"/>
    </row>
    <row r="821748" spans="1:1" x14ac:dyDescent="0.25">
      <c r="A821748" s="242"/>
    </row>
    <row r="821749" spans="1:1" x14ac:dyDescent="0.25">
      <c r="A821749" s="242"/>
    </row>
    <row r="821750" spans="1:1" x14ac:dyDescent="0.25">
      <c r="A821750" s="242"/>
    </row>
    <row r="821751" spans="1:1" x14ac:dyDescent="0.25">
      <c r="A821751" s="242"/>
    </row>
    <row r="821752" spans="1:1" x14ac:dyDescent="0.25">
      <c r="A821752" s="242"/>
    </row>
    <row r="821753" spans="1:1" x14ac:dyDescent="0.25">
      <c r="A821753" s="242"/>
    </row>
    <row r="821754" spans="1:1" x14ac:dyDescent="0.25">
      <c r="A821754" s="242"/>
    </row>
    <row r="821755" spans="1:1" x14ac:dyDescent="0.25">
      <c r="A821755" s="242"/>
    </row>
    <row r="821756" spans="1:1" x14ac:dyDescent="0.25">
      <c r="A821756" s="242"/>
    </row>
    <row r="821757" spans="1:1" x14ac:dyDescent="0.25">
      <c r="A821757" s="242"/>
    </row>
    <row r="821758" spans="1:1" x14ac:dyDescent="0.25">
      <c r="A821758" s="242"/>
    </row>
    <row r="821759" spans="1:1" x14ac:dyDescent="0.25">
      <c r="A821759" s="242"/>
    </row>
    <row r="821760" spans="1:1" x14ac:dyDescent="0.25">
      <c r="A821760" s="242"/>
    </row>
    <row r="821761" spans="1:1" x14ac:dyDescent="0.25">
      <c r="A821761" s="242"/>
    </row>
    <row r="821762" spans="1:1" x14ac:dyDescent="0.25">
      <c r="A821762" s="242"/>
    </row>
    <row r="821763" spans="1:1" x14ac:dyDescent="0.25">
      <c r="A821763" s="242"/>
    </row>
    <row r="821764" spans="1:1" x14ac:dyDescent="0.25">
      <c r="A821764" s="242"/>
    </row>
    <row r="821765" spans="1:1" x14ac:dyDescent="0.25">
      <c r="A821765" s="242"/>
    </row>
    <row r="821766" spans="1:1" x14ac:dyDescent="0.25">
      <c r="A821766" s="242"/>
    </row>
    <row r="821767" spans="1:1" x14ac:dyDescent="0.25">
      <c r="A821767" s="242"/>
    </row>
    <row r="821768" spans="1:1" x14ac:dyDescent="0.25">
      <c r="A821768" s="242"/>
    </row>
    <row r="821769" spans="1:1" x14ac:dyDescent="0.25">
      <c r="A821769" s="242"/>
    </row>
    <row r="821770" spans="1:1" x14ac:dyDescent="0.25">
      <c r="A821770" s="242"/>
    </row>
    <row r="821771" spans="1:1" x14ac:dyDescent="0.25">
      <c r="A821771" s="242"/>
    </row>
    <row r="821772" spans="1:1" x14ac:dyDescent="0.25">
      <c r="A821772" s="242"/>
    </row>
    <row r="821773" spans="1:1" x14ac:dyDescent="0.25">
      <c r="A821773" s="242"/>
    </row>
    <row r="821774" spans="1:1" x14ac:dyDescent="0.25">
      <c r="A821774" s="242"/>
    </row>
    <row r="821775" spans="1:1" x14ac:dyDescent="0.25">
      <c r="A821775" s="242"/>
    </row>
    <row r="821776" spans="1:1" x14ac:dyDescent="0.25">
      <c r="A821776" s="242"/>
    </row>
    <row r="821777" spans="1:1" x14ac:dyDescent="0.25">
      <c r="A821777" s="242"/>
    </row>
    <row r="821778" spans="1:1" x14ac:dyDescent="0.25">
      <c r="A821778" s="242"/>
    </row>
    <row r="821779" spans="1:1" x14ac:dyDescent="0.25">
      <c r="A821779" s="242"/>
    </row>
    <row r="821780" spans="1:1" x14ac:dyDescent="0.25">
      <c r="A821780" s="242"/>
    </row>
    <row r="821781" spans="1:1" x14ac:dyDescent="0.25">
      <c r="A821781" s="242"/>
    </row>
    <row r="821782" spans="1:1" x14ac:dyDescent="0.25">
      <c r="A821782" s="242"/>
    </row>
    <row r="821783" spans="1:1" x14ac:dyDescent="0.25">
      <c r="A821783" s="242"/>
    </row>
    <row r="821784" spans="1:1" x14ac:dyDescent="0.25">
      <c r="A821784" s="242"/>
    </row>
    <row r="821785" spans="1:1" x14ac:dyDescent="0.25">
      <c r="A821785" s="242"/>
    </row>
    <row r="821786" spans="1:1" x14ac:dyDescent="0.25">
      <c r="A821786" s="242"/>
    </row>
    <row r="821787" spans="1:1" x14ac:dyDescent="0.25">
      <c r="A821787" s="242"/>
    </row>
    <row r="821788" spans="1:1" x14ac:dyDescent="0.25">
      <c r="A821788" s="242"/>
    </row>
    <row r="821789" spans="1:1" x14ac:dyDescent="0.25">
      <c r="A821789" s="242"/>
    </row>
    <row r="821790" spans="1:1" x14ac:dyDescent="0.25">
      <c r="A821790" s="242"/>
    </row>
    <row r="821791" spans="1:1" x14ac:dyDescent="0.25">
      <c r="A821791" s="242"/>
    </row>
    <row r="821792" spans="1:1" x14ac:dyDescent="0.25">
      <c r="A821792" s="242"/>
    </row>
    <row r="821793" spans="1:1" x14ac:dyDescent="0.25">
      <c r="A821793" s="242"/>
    </row>
    <row r="821794" spans="1:1" x14ac:dyDescent="0.25">
      <c r="A821794" s="242"/>
    </row>
    <row r="821795" spans="1:1" x14ac:dyDescent="0.25">
      <c r="A821795" s="242"/>
    </row>
    <row r="821796" spans="1:1" x14ac:dyDescent="0.25">
      <c r="A821796" s="242"/>
    </row>
    <row r="821797" spans="1:1" x14ac:dyDescent="0.25">
      <c r="A821797" s="242"/>
    </row>
    <row r="821798" spans="1:1" x14ac:dyDescent="0.25">
      <c r="A821798" s="242"/>
    </row>
    <row r="821799" spans="1:1" x14ac:dyDescent="0.25">
      <c r="A821799" s="242"/>
    </row>
    <row r="821800" spans="1:1" x14ac:dyDescent="0.25">
      <c r="A821800" s="242"/>
    </row>
    <row r="821801" spans="1:1" x14ac:dyDescent="0.25">
      <c r="A821801" s="242"/>
    </row>
    <row r="821802" spans="1:1" x14ac:dyDescent="0.25">
      <c r="A821802" s="242"/>
    </row>
    <row r="821803" spans="1:1" x14ac:dyDescent="0.25">
      <c r="A821803" s="242"/>
    </row>
    <row r="821804" spans="1:1" x14ac:dyDescent="0.25">
      <c r="A821804" s="242"/>
    </row>
    <row r="821805" spans="1:1" x14ac:dyDescent="0.25">
      <c r="A821805" s="242"/>
    </row>
    <row r="821806" spans="1:1" x14ac:dyDescent="0.25">
      <c r="A821806" s="242"/>
    </row>
    <row r="821807" spans="1:1" x14ac:dyDescent="0.25">
      <c r="A821807" s="242"/>
    </row>
    <row r="821808" spans="1:1" x14ac:dyDescent="0.25">
      <c r="A821808" s="242"/>
    </row>
    <row r="821809" spans="1:1" x14ac:dyDescent="0.25">
      <c r="A821809" s="242"/>
    </row>
    <row r="821810" spans="1:1" x14ac:dyDescent="0.25">
      <c r="A821810" s="242"/>
    </row>
    <row r="821811" spans="1:1" x14ac:dyDescent="0.25">
      <c r="A821811" s="242"/>
    </row>
    <row r="821812" spans="1:1" x14ac:dyDescent="0.25">
      <c r="A821812" s="242"/>
    </row>
    <row r="821813" spans="1:1" x14ac:dyDescent="0.25">
      <c r="A821813" s="242"/>
    </row>
    <row r="821814" spans="1:1" x14ac:dyDescent="0.25">
      <c r="A821814" s="242"/>
    </row>
    <row r="821815" spans="1:1" x14ac:dyDescent="0.25">
      <c r="A821815" s="242"/>
    </row>
    <row r="821816" spans="1:1" x14ac:dyDescent="0.25">
      <c r="A821816" s="242"/>
    </row>
    <row r="821817" spans="1:1" x14ac:dyDescent="0.25">
      <c r="A821817" s="242"/>
    </row>
    <row r="821818" spans="1:1" x14ac:dyDescent="0.25">
      <c r="A821818" s="242"/>
    </row>
    <row r="821819" spans="1:1" x14ac:dyDescent="0.25">
      <c r="A821819" s="242"/>
    </row>
    <row r="821820" spans="1:1" x14ac:dyDescent="0.25">
      <c r="A821820" s="242"/>
    </row>
    <row r="821821" spans="1:1" x14ac:dyDescent="0.25">
      <c r="A821821" s="242"/>
    </row>
    <row r="821822" spans="1:1" x14ac:dyDescent="0.25">
      <c r="A821822" s="242"/>
    </row>
    <row r="821823" spans="1:1" x14ac:dyDescent="0.25">
      <c r="A821823" s="242"/>
    </row>
    <row r="821824" spans="1:1" x14ac:dyDescent="0.25">
      <c r="A821824" s="242"/>
    </row>
    <row r="821825" spans="1:1" x14ac:dyDescent="0.25">
      <c r="A821825" s="242"/>
    </row>
    <row r="821826" spans="1:1" x14ac:dyDescent="0.25">
      <c r="A821826" s="242"/>
    </row>
    <row r="821827" spans="1:1" x14ac:dyDescent="0.25">
      <c r="A821827" s="242"/>
    </row>
    <row r="821828" spans="1:1" x14ac:dyDescent="0.25">
      <c r="A821828" s="242"/>
    </row>
    <row r="821829" spans="1:1" x14ac:dyDescent="0.25">
      <c r="A821829" s="242"/>
    </row>
    <row r="821830" spans="1:1" x14ac:dyDescent="0.25">
      <c r="A821830" s="242"/>
    </row>
    <row r="821831" spans="1:1" x14ac:dyDescent="0.25">
      <c r="A821831" s="242"/>
    </row>
    <row r="821832" spans="1:1" x14ac:dyDescent="0.25">
      <c r="A821832" s="242"/>
    </row>
    <row r="821833" spans="1:1" x14ac:dyDescent="0.25">
      <c r="A821833" s="242"/>
    </row>
    <row r="821834" spans="1:1" x14ac:dyDescent="0.25">
      <c r="A821834" s="242"/>
    </row>
    <row r="821835" spans="1:1" x14ac:dyDescent="0.25">
      <c r="A821835" s="242"/>
    </row>
    <row r="821836" spans="1:1" x14ac:dyDescent="0.25">
      <c r="A821836" s="242"/>
    </row>
    <row r="821837" spans="1:1" x14ac:dyDescent="0.25">
      <c r="A821837" s="242"/>
    </row>
    <row r="821838" spans="1:1" x14ac:dyDescent="0.25">
      <c r="A821838" s="242"/>
    </row>
    <row r="821839" spans="1:1" x14ac:dyDescent="0.25">
      <c r="A821839" s="242"/>
    </row>
    <row r="821840" spans="1:1" x14ac:dyDescent="0.25">
      <c r="A821840" s="242"/>
    </row>
    <row r="821841" spans="1:1" x14ac:dyDescent="0.25">
      <c r="A821841" s="242"/>
    </row>
    <row r="821842" spans="1:1" x14ac:dyDescent="0.25">
      <c r="A821842" s="242"/>
    </row>
    <row r="821843" spans="1:1" x14ac:dyDescent="0.25">
      <c r="A821843" s="242"/>
    </row>
    <row r="821844" spans="1:1" x14ac:dyDescent="0.25">
      <c r="A821844" s="242"/>
    </row>
    <row r="821845" spans="1:1" x14ac:dyDescent="0.25">
      <c r="A821845" s="242"/>
    </row>
    <row r="821846" spans="1:1" x14ac:dyDescent="0.25">
      <c r="A821846" s="242"/>
    </row>
    <row r="821847" spans="1:1" x14ac:dyDescent="0.25">
      <c r="A821847" s="242"/>
    </row>
    <row r="821848" spans="1:1" x14ac:dyDescent="0.25">
      <c r="A821848" s="242"/>
    </row>
    <row r="821849" spans="1:1" x14ac:dyDescent="0.25">
      <c r="A821849" s="242"/>
    </row>
    <row r="821850" spans="1:1" x14ac:dyDescent="0.25">
      <c r="A821850" s="242"/>
    </row>
    <row r="821851" spans="1:1" x14ac:dyDescent="0.25">
      <c r="A821851" s="242"/>
    </row>
    <row r="821852" spans="1:1" x14ac:dyDescent="0.25">
      <c r="A821852" s="242"/>
    </row>
    <row r="821853" spans="1:1" x14ac:dyDescent="0.25">
      <c r="A821853" s="242"/>
    </row>
    <row r="821854" spans="1:1" x14ac:dyDescent="0.25">
      <c r="A821854" s="242"/>
    </row>
    <row r="821855" spans="1:1" x14ac:dyDescent="0.25">
      <c r="A821855" s="242"/>
    </row>
    <row r="821856" spans="1:1" x14ac:dyDescent="0.25">
      <c r="A821856" s="242"/>
    </row>
    <row r="821857" spans="1:1" x14ac:dyDescent="0.25">
      <c r="A821857" s="242"/>
    </row>
    <row r="821858" spans="1:1" x14ac:dyDescent="0.25">
      <c r="A821858" s="242"/>
    </row>
    <row r="821859" spans="1:1" x14ac:dyDescent="0.25">
      <c r="A821859" s="242"/>
    </row>
    <row r="821860" spans="1:1" x14ac:dyDescent="0.25">
      <c r="A821860" s="242"/>
    </row>
    <row r="821861" spans="1:1" x14ac:dyDescent="0.25">
      <c r="A821861" s="242"/>
    </row>
    <row r="821862" spans="1:1" x14ac:dyDescent="0.25">
      <c r="A821862" s="242"/>
    </row>
    <row r="821863" spans="1:1" x14ac:dyDescent="0.25">
      <c r="A821863" s="242"/>
    </row>
    <row r="821864" spans="1:1" x14ac:dyDescent="0.25">
      <c r="A821864" s="242"/>
    </row>
    <row r="821865" spans="1:1" x14ac:dyDescent="0.25">
      <c r="A821865" s="242"/>
    </row>
    <row r="821866" spans="1:1" x14ac:dyDescent="0.25">
      <c r="A821866" s="242"/>
    </row>
    <row r="821867" spans="1:1" x14ac:dyDescent="0.25">
      <c r="A821867" s="242"/>
    </row>
    <row r="821868" spans="1:1" x14ac:dyDescent="0.25">
      <c r="A821868" s="242"/>
    </row>
    <row r="821869" spans="1:1" x14ac:dyDescent="0.25">
      <c r="A821869" s="242"/>
    </row>
    <row r="821870" spans="1:1" x14ac:dyDescent="0.25">
      <c r="A821870" s="242"/>
    </row>
    <row r="821871" spans="1:1" x14ac:dyDescent="0.25">
      <c r="A821871" s="242"/>
    </row>
    <row r="821872" spans="1:1" x14ac:dyDescent="0.25">
      <c r="A821872" s="242"/>
    </row>
    <row r="821873" spans="1:1" x14ac:dyDescent="0.25">
      <c r="A821873" s="242"/>
    </row>
    <row r="821874" spans="1:1" x14ac:dyDescent="0.25">
      <c r="A821874" s="242"/>
    </row>
    <row r="821875" spans="1:1" x14ac:dyDescent="0.25">
      <c r="A821875" s="242"/>
    </row>
    <row r="821876" spans="1:1" x14ac:dyDescent="0.25">
      <c r="A821876" s="242"/>
    </row>
    <row r="821877" spans="1:1" x14ac:dyDescent="0.25">
      <c r="A821877" s="242"/>
    </row>
    <row r="821878" spans="1:1" x14ac:dyDescent="0.25">
      <c r="A821878" s="242"/>
    </row>
    <row r="821879" spans="1:1" x14ac:dyDescent="0.25">
      <c r="A821879" s="242"/>
    </row>
    <row r="821880" spans="1:1" x14ac:dyDescent="0.25">
      <c r="A821880" s="242"/>
    </row>
    <row r="821881" spans="1:1" x14ac:dyDescent="0.25">
      <c r="A821881" s="242"/>
    </row>
    <row r="821882" spans="1:1" x14ac:dyDescent="0.25">
      <c r="A821882" s="242"/>
    </row>
    <row r="821883" spans="1:1" x14ac:dyDescent="0.25">
      <c r="A821883" s="242"/>
    </row>
    <row r="821884" spans="1:1" x14ac:dyDescent="0.25">
      <c r="A821884" s="242"/>
    </row>
    <row r="821885" spans="1:1" x14ac:dyDescent="0.25">
      <c r="A821885" s="242"/>
    </row>
    <row r="821886" spans="1:1" x14ac:dyDescent="0.25">
      <c r="A821886" s="242"/>
    </row>
    <row r="821887" spans="1:1" x14ac:dyDescent="0.25">
      <c r="A821887" s="242"/>
    </row>
    <row r="821888" spans="1:1" x14ac:dyDescent="0.25">
      <c r="A821888" s="242"/>
    </row>
    <row r="821889" spans="1:1" x14ac:dyDescent="0.25">
      <c r="A821889" s="242"/>
    </row>
    <row r="821890" spans="1:1" x14ac:dyDescent="0.25">
      <c r="A821890" s="242"/>
    </row>
    <row r="821891" spans="1:1" x14ac:dyDescent="0.25">
      <c r="A821891" s="242"/>
    </row>
    <row r="821892" spans="1:1" x14ac:dyDescent="0.25">
      <c r="A821892" s="242"/>
    </row>
    <row r="821893" spans="1:1" x14ac:dyDescent="0.25">
      <c r="A821893" s="242"/>
    </row>
    <row r="821894" spans="1:1" x14ac:dyDescent="0.25">
      <c r="A821894" s="242"/>
    </row>
    <row r="821895" spans="1:1" x14ac:dyDescent="0.25">
      <c r="A821895" s="242"/>
    </row>
    <row r="821896" spans="1:1" x14ac:dyDescent="0.25">
      <c r="A821896" s="242"/>
    </row>
    <row r="821897" spans="1:1" x14ac:dyDescent="0.25">
      <c r="A821897" s="242"/>
    </row>
    <row r="821898" spans="1:1" x14ac:dyDescent="0.25">
      <c r="A821898" s="242"/>
    </row>
    <row r="821899" spans="1:1" x14ac:dyDescent="0.25">
      <c r="A821899" s="242"/>
    </row>
    <row r="821900" spans="1:1" x14ac:dyDescent="0.25">
      <c r="A821900" s="242"/>
    </row>
    <row r="821901" spans="1:1" x14ac:dyDescent="0.25">
      <c r="A821901" s="242"/>
    </row>
    <row r="821902" spans="1:1" x14ac:dyDescent="0.25">
      <c r="A821902" s="242"/>
    </row>
    <row r="821903" spans="1:1" x14ac:dyDescent="0.25">
      <c r="A821903" s="242"/>
    </row>
    <row r="821904" spans="1:1" x14ac:dyDescent="0.25">
      <c r="A821904" s="242"/>
    </row>
    <row r="821905" spans="1:1" x14ac:dyDescent="0.25">
      <c r="A821905" s="242"/>
    </row>
    <row r="821906" spans="1:1" x14ac:dyDescent="0.25">
      <c r="A821906" s="242"/>
    </row>
    <row r="821907" spans="1:1" x14ac:dyDescent="0.25">
      <c r="A821907" s="242"/>
    </row>
    <row r="821908" spans="1:1" x14ac:dyDescent="0.25">
      <c r="A821908" s="242"/>
    </row>
    <row r="821909" spans="1:1" x14ac:dyDescent="0.25">
      <c r="A821909" s="242"/>
    </row>
    <row r="821910" spans="1:1" x14ac:dyDescent="0.25">
      <c r="A821910" s="242"/>
    </row>
    <row r="821911" spans="1:1" x14ac:dyDescent="0.25">
      <c r="A821911" s="242"/>
    </row>
    <row r="821912" spans="1:1" x14ac:dyDescent="0.25">
      <c r="A821912" s="242"/>
    </row>
    <row r="821913" spans="1:1" x14ac:dyDescent="0.25">
      <c r="A821913" s="242"/>
    </row>
    <row r="821914" spans="1:1" x14ac:dyDescent="0.25">
      <c r="A821914" s="242"/>
    </row>
    <row r="821915" spans="1:1" x14ac:dyDescent="0.25">
      <c r="A821915" s="242"/>
    </row>
    <row r="821916" spans="1:1" x14ac:dyDescent="0.25">
      <c r="A821916" s="242"/>
    </row>
    <row r="821917" spans="1:1" x14ac:dyDescent="0.25">
      <c r="A821917" s="242"/>
    </row>
    <row r="821918" spans="1:1" x14ac:dyDescent="0.25">
      <c r="A821918" s="242"/>
    </row>
    <row r="821919" spans="1:1" x14ac:dyDescent="0.25">
      <c r="A821919" s="242"/>
    </row>
    <row r="821920" spans="1:1" x14ac:dyDescent="0.25">
      <c r="A821920" s="242"/>
    </row>
    <row r="821921" spans="1:1" x14ac:dyDescent="0.25">
      <c r="A821921" s="242"/>
    </row>
    <row r="821922" spans="1:1" x14ac:dyDescent="0.25">
      <c r="A821922" s="242"/>
    </row>
    <row r="821923" spans="1:1" x14ac:dyDescent="0.25">
      <c r="A821923" s="242"/>
    </row>
    <row r="821924" spans="1:1" x14ac:dyDescent="0.25">
      <c r="A821924" s="242"/>
    </row>
    <row r="821925" spans="1:1" x14ac:dyDescent="0.25">
      <c r="A821925" s="242"/>
    </row>
    <row r="821926" spans="1:1" x14ac:dyDescent="0.25">
      <c r="A821926" s="242"/>
    </row>
    <row r="821927" spans="1:1" x14ac:dyDescent="0.25">
      <c r="A821927" s="242"/>
    </row>
    <row r="821928" spans="1:1" x14ac:dyDescent="0.25">
      <c r="A821928" s="242"/>
    </row>
    <row r="821929" spans="1:1" x14ac:dyDescent="0.25">
      <c r="A821929" s="242"/>
    </row>
    <row r="821930" spans="1:1" x14ac:dyDescent="0.25">
      <c r="A821930" s="242"/>
    </row>
    <row r="821931" spans="1:1" x14ac:dyDescent="0.25">
      <c r="A821931" s="242"/>
    </row>
    <row r="821932" spans="1:1" x14ac:dyDescent="0.25">
      <c r="A821932" s="242"/>
    </row>
    <row r="821933" spans="1:1" x14ac:dyDescent="0.25">
      <c r="A821933" s="242"/>
    </row>
    <row r="821934" spans="1:1" x14ac:dyDescent="0.25">
      <c r="A821934" s="242"/>
    </row>
    <row r="821935" spans="1:1" x14ac:dyDescent="0.25">
      <c r="A821935" s="242"/>
    </row>
    <row r="821936" spans="1:1" x14ac:dyDescent="0.25">
      <c r="A821936" s="242"/>
    </row>
    <row r="821937" spans="1:1" x14ac:dyDescent="0.25">
      <c r="A821937" s="242"/>
    </row>
    <row r="821938" spans="1:1" x14ac:dyDescent="0.25">
      <c r="A821938" s="242"/>
    </row>
    <row r="821939" spans="1:1" x14ac:dyDescent="0.25">
      <c r="A821939" s="242"/>
    </row>
    <row r="821940" spans="1:1" x14ac:dyDescent="0.25">
      <c r="A821940" s="242"/>
    </row>
    <row r="821941" spans="1:1" x14ac:dyDescent="0.25">
      <c r="A821941" s="242"/>
    </row>
    <row r="821942" spans="1:1" x14ac:dyDescent="0.25">
      <c r="A821942" s="242"/>
    </row>
    <row r="821943" spans="1:1" x14ac:dyDescent="0.25">
      <c r="A821943" s="242"/>
    </row>
    <row r="821944" spans="1:1" x14ac:dyDescent="0.25">
      <c r="A821944" s="242"/>
    </row>
    <row r="821945" spans="1:1" x14ac:dyDescent="0.25">
      <c r="A821945" s="242"/>
    </row>
    <row r="821946" spans="1:1" x14ac:dyDescent="0.25">
      <c r="A821946" s="242"/>
    </row>
    <row r="821947" spans="1:1" x14ac:dyDescent="0.25">
      <c r="A821947" s="242"/>
    </row>
    <row r="821948" spans="1:1" x14ac:dyDescent="0.25">
      <c r="A821948" s="242"/>
    </row>
    <row r="821949" spans="1:1" x14ac:dyDescent="0.25">
      <c r="A821949" s="242"/>
    </row>
    <row r="821950" spans="1:1" x14ac:dyDescent="0.25">
      <c r="A821950" s="242"/>
    </row>
    <row r="821951" spans="1:1" x14ac:dyDescent="0.25">
      <c r="A821951" s="242"/>
    </row>
    <row r="821952" spans="1:1" x14ac:dyDescent="0.25">
      <c r="A821952" s="242"/>
    </row>
    <row r="821953" spans="1:1" x14ac:dyDescent="0.25">
      <c r="A821953" s="242"/>
    </row>
    <row r="821954" spans="1:1" x14ac:dyDescent="0.25">
      <c r="A821954" s="242"/>
    </row>
    <row r="821955" spans="1:1" x14ac:dyDescent="0.25">
      <c r="A821955" s="242"/>
    </row>
    <row r="821956" spans="1:1" x14ac:dyDescent="0.25">
      <c r="A821956" s="242"/>
    </row>
    <row r="821957" spans="1:1" x14ac:dyDescent="0.25">
      <c r="A821957" s="242"/>
    </row>
    <row r="821958" spans="1:1" x14ac:dyDescent="0.25">
      <c r="A821958" s="242"/>
    </row>
    <row r="821959" spans="1:1" x14ac:dyDescent="0.25">
      <c r="A821959" s="242"/>
    </row>
    <row r="821960" spans="1:1" x14ac:dyDescent="0.25">
      <c r="A821960" s="242"/>
    </row>
    <row r="821961" spans="1:1" x14ac:dyDescent="0.25">
      <c r="A821961" s="242"/>
    </row>
    <row r="821962" spans="1:1" x14ac:dyDescent="0.25">
      <c r="A821962" s="242"/>
    </row>
    <row r="821963" spans="1:1" x14ac:dyDescent="0.25">
      <c r="A821963" s="242"/>
    </row>
    <row r="821964" spans="1:1" x14ac:dyDescent="0.25">
      <c r="A821964" s="242"/>
    </row>
    <row r="821965" spans="1:1" x14ac:dyDescent="0.25">
      <c r="A821965" s="242"/>
    </row>
    <row r="821966" spans="1:1" x14ac:dyDescent="0.25">
      <c r="A821966" s="242"/>
    </row>
    <row r="821967" spans="1:1" x14ac:dyDescent="0.25">
      <c r="A821967" s="242"/>
    </row>
    <row r="821968" spans="1:1" x14ac:dyDescent="0.25">
      <c r="A821968" s="242"/>
    </row>
    <row r="821969" spans="1:1" x14ac:dyDescent="0.25">
      <c r="A821969" s="242"/>
    </row>
    <row r="821970" spans="1:1" x14ac:dyDescent="0.25">
      <c r="A821970" s="242"/>
    </row>
    <row r="821971" spans="1:1" x14ac:dyDescent="0.25">
      <c r="A821971" s="242"/>
    </row>
    <row r="821972" spans="1:1" x14ac:dyDescent="0.25">
      <c r="A821972" s="242"/>
    </row>
    <row r="821973" spans="1:1" x14ac:dyDescent="0.25">
      <c r="A821973" s="242"/>
    </row>
    <row r="821974" spans="1:1" x14ac:dyDescent="0.25">
      <c r="A821974" s="242"/>
    </row>
    <row r="821975" spans="1:1" x14ac:dyDescent="0.25">
      <c r="A821975" s="242"/>
    </row>
    <row r="821976" spans="1:1" x14ac:dyDescent="0.25">
      <c r="A821976" s="242"/>
    </row>
    <row r="821977" spans="1:1" x14ac:dyDescent="0.25">
      <c r="A821977" s="242"/>
    </row>
    <row r="821978" spans="1:1" x14ac:dyDescent="0.25">
      <c r="A821978" s="242"/>
    </row>
    <row r="821979" spans="1:1" x14ac:dyDescent="0.25">
      <c r="A821979" s="242"/>
    </row>
    <row r="821980" spans="1:1" x14ac:dyDescent="0.25">
      <c r="A821980" s="242"/>
    </row>
    <row r="821981" spans="1:1" x14ac:dyDescent="0.25">
      <c r="A821981" s="242"/>
    </row>
    <row r="821982" spans="1:1" x14ac:dyDescent="0.25">
      <c r="A821982" s="242"/>
    </row>
    <row r="821983" spans="1:1" x14ac:dyDescent="0.25">
      <c r="A821983" s="242"/>
    </row>
    <row r="821984" spans="1:1" x14ac:dyDescent="0.25">
      <c r="A821984" s="242"/>
    </row>
    <row r="821985" spans="1:1" x14ac:dyDescent="0.25">
      <c r="A821985" s="242"/>
    </row>
    <row r="821986" spans="1:1" x14ac:dyDescent="0.25">
      <c r="A821986" s="242"/>
    </row>
    <row r="821987" spans="1:1" x14ac:dyDescent="0.25">
      <c r="A821987" s="242"/>
    </row>
    <row r="821988" spans="1:1" x14ac:dyDescent="0.25">
      <c r="A821988" s="242"/>
    </row>
    <row r="821989" spans="1:1" x14ac:dyDescent="0.25">
      <c r="A821989" s="242"/>
    </row>
    <row r="821990" spans="1:1" x14ac:dyDescent="0.25">
      <c r="A821990" s="242"/>
    </row>
    <row r="821991" spans="1:1" x14ac:dyDescent="0.25">
      <c r="A821991" s="242"/>
    </row>
    <row r="821992" spans="1:1" x14ac:dyDescent="0.25">
      <c r="A821992" s="242"/>
    </row>
    <row r="821993" spans="1:1" x14ac:dyDescent="0.25">
      <c r="A821993" s="242"/>
    </row>
    <row r="821994" spans="1:1" x14ac:dyDescent="0.25">
      <c r="A821994" s="242"/>
    </row>
    <row r="821995" spans="1:1" x14ac:dyDescent="0.25">
      <c r="A821995" s="242"/>
    </row>
    <row r="821996" spans="1:1" x14ac:dyDescent="0.25">
      <c r="A821996" s="242"/>
    </row>
    <row r="821997" spans="1:1" x14ac:dyDescent="0.25">
      <c r="A821997" s="242"/>
    </row>
    <row r="821998" spans="1:1" x14ac:dyDescent="0.25">
      <c r="A821998" s="242"/>
    </row>
    <row r="821999" spans="1:1" x14ac:dyDescent="0.25">
      <c r="A821999" s="242"/>
    </row>
    <row r="822000" spans="1:1" x14ac:dyDescent="0.25">
      <c r="A822000" s="242"/>
    </row>
    <row r="822001" spans="1:1" x14ac:dyDescent="0.25">
      <c r="A822001" s="242"/>
    </row>
    <row r="822002" spans="1:1" x14ac:dyDescent="0.25">
      <c r="A822002" s="242"/>
    </row>
    <row r="822003" spans="1:1" x14ac:dyDescent="0.25">
      <c r="A822003" s="242"/>
    </row>
    <row r="822004" spans="1:1" x14ac:dyDescent="0.25">
      <c r="A822004" s="242"/>
    </row>
    <row r="822005" spans="1:1" x14ac:dyDescent="0.25">
      <c r="A822005" s="242"/>
    </row>
    <row r="822006" spans="1:1" x14ac:dyDescent="0.25">
      <c r="A822006" s="242"/>
    </row>
    <row r="822007" spans="1:1" x14ac:dyDescent="0.25">
      <c r="A822007" s="242"/>
    </row>
    <row r="822008" spans="1:1" x14ac:dyDescent="0.25">
      <c r="A822008" s="242"/>
    </row>
    <row r="822009" spans="1:1" x14ac:dyDescent="0.25">
      <c r="A822009" s="242"/>
    </row>
    <row r="822010" spans="1:1" x14ac:dyDescent="0.25">
      <c r="A822010" s="242"/>
    </row>
    <row r="822011" spans="1:1" x14ac:dyDescent="0.25">
      <c r="A822011" s="242"/>
    </row>
    <row r="822012" spans="1:1" x14ac:dyDescent="0.25">
      <c r="A822012" s="242"/>
    </row>
    <row r="822013" spans="1:1" x14ac:dyDescent="0.25">
      <c r="A822013" s="242"/>
    </row>
    <row r="822014" spans="1:1" x14ac:dyDescent="0.25">
      <c r="A822014" s="242"/>
    </row>
    <row r="822015" spans="1:1" x14ac:dyDescent="0.25">
      <c r="A822015" s="242"/>
    </row>
    <row r="822016" spans="1:1" x14ac:dyDescent="0.25">
      <c r="A822016" s="242"/>
    </row>
    <row r="822017" spans="1:1" x14ac:dyDescent="0.25">
      <c r="A822017" s="242"/>
    </row>
    <row r="822018" spans="1:1" x14ac:dyDescent="0.25">
      <c r="A822018" s="242"/>
    </row>
    <row r="822019" spans="1:1" x14ac:dyDescent="0.25">
      <c r="A822019" s="242"/>
    </row>
    <row r="822020" spans="1:1" x14ac:dyDescent="0.25">
      <c r="A822020" s="242"/>
    </row>
    <row r="822021" spans="1:1" x14ac:dyDescent="0.25">
      <c r="A822021" s="242"/>
    </row>
    <row r="822022" spans="1:1" x14ac:dyDescent="0.25">
      <c r="A822022" s="242"/>
    </row>
    <row r="822023" spans="1:1" x14ac:dyDescent="0.25">
      <c r="A822023" s="242"/>
    </row>
    <row r="822024" spans="1:1" x14ac:dyDescent="0.25">
      <c r="A822024" s="242"/>
    </row>
    <row r="822025" spans="1:1" x14ac:dyDescent="0.25">
      <c r="A822025" s="242"/>
    </row>
    <row r="822026" spans="1:1" x14ac:dyDescent="0.25">
      <c r="A822026" s="242"/>
    </row>
    <row r="822027" spans="1:1" x14ac:dyDescent="0.25">
      <c r="A822027" s="242"/>
    </row>
    <row r="822028" spans="1:1" x14ac:dyDescent="0.25">
      <c r="A822028" s="242"/>
    </row>
    <row r="822029" spans="1:1" x14ac:dyDescent="0.25">
      <c r="A822029" s="242"/>
    </row>
    <row r="822030" spans="1:1" x14ac:dyDescent="0.25">
      <c r="A822030" s="242"/>
    </row>
    <row r="822031" spans="1:1" x14ac:dyDescent="0.25">
      <c r="A822031" s="242"/>
    </row>
    <row r="822032" spans="1:1" x14ac:dyDescent="0.25">
      <c r="A822032" s="242"/>
    </row>
    <row r="822033" spans="1:1" x14ac:dyDescent="0.25">
      <c r="A822033" s="242"/>
    </row>
    <row r="822034" spans="1:1" x14ac:dyDescent="0.25">
      <c r="A822034" s="242"/>
    </row>
    <row r="822035" spans="1:1" x14ac:dyDescent="0.25">
      <c r="A822035" s="242"/>
    </row>
    <row r="822036" spans="1:1" x14ac:dyDescent="0.25">
      <c r="A822036" s="242"/>
    </row>
    <row r="822037" spans="1:1" x14ac:dyDescent="0.25">
      <c r="A822037" s="242"/>
    </row>
    <row r="822038" spans="1:1" x14ac:dyDescent="0.25">
      <c r="A822038" s="242"/>
    </row>
    <row r="822039" spans="1:1" x14ac:dyDescent="0.25">
      <c r="A822039" s="242"/>
    </row>
    <row r="822040" spans="1:1" x14ac:dyDescent="0.25">
      <c r="A822040" s="242"/>
    </row>
    <row r="822041" spans="1:1" x14ac:dyDescent="0.25">
      <c r="A822041" s="242"/>
    </row>
    <row r="822042" spans="1:1" x14ac:dyDescent="0.25">
      <c r="A822042" s="242"/>
    </row>
    <row r="822043" spans="1:1" x14ac:dyDescent="0.25">
      <c r="A822043" s="242"/>
    </row>
    <row r="822044" spans="1:1" x14ac:dyDescent="0.25">
      <c r="A822044" s="242"/>
    </row>
    <row r="822045" spans="1:1" x14ac:dyDescent="0.25">
      <c r="A822045" s="242"/>
    </row>
    <row r="822046" spans="1:1" x14ac:dyDescent="0.25">
      <c r="A822046" s="242"/>
    </row>
    <row r="822047" spans="1:1" x14ac:dyDescent="0.25">
      <c r="A822047" s="242"/>
    </row>
    <row r="822048" spans="1:1" x14ac:dyDescent="0.25">
      <c r="A822048" s="242"/>
    </row>
    <row r="822049" spans="1:1" x14ac:dyDescent="0.25">
      <c r="A822049" s="242"/>
    </row>
    <row r="822050" spans="1:1" x14ac:dyDescent="0.25">
      <c r="A822050" s="242"/>
    </row>
    <row r="822051" spans="1:1" x14ac:dyDescent="0.25">
      <c r="A822051" s="242"/>
    </row>
    <row r="822052" spans="1:1" x14ac:dyDescent="0.25">
      <c r="A822052" s="242"/>
    </row>
    <row r="822053" spans="1:1" x14ac:dyDescent="0.25">
      <c r="A822053" s="242"/>
    </row>
    <row r="822054" spans="1:1" x14ac:dyDescent="0.25">
      <c r="A822054" s="242"/>
    </row>
    <row r="822055" spans="1:1" x14ac:dyDescent="0.25">
      <c r="A822055" s="242"/>
    </row>
    <row r="822056" spans="1:1" x14ac:dyDescent="0.25">
      <c r="A822056" s="242"/>
    </row>
    <row r="822057" spans="1:1" x14ac:dyDescent="0.25">
      <c r="A822057" s="242"/>
    </row>
    <row r="822058" spans="1:1" x14ac:dyDescent="0.25">
      <c r="A822058" s="242"/>
    </row>
    <row r="822059" spans="1:1" x14ac:dyDescent="0.25">
      <c r="A822059" s="242"/>
    </row>
    <row r="822060" spans="1:1" x14ac:dyDescent="0.25">
      <c r="A822060" s="242"/>
    </row>
    <row r="822061" spans="1:1" x14ac:dyDescent="0.25">
      <c r="A822061" s="242"/>
    </row>
    <row r="822062" spans="1:1" x14ac:dyDescent="0.25">
      <c r="A822062" s="242"/>
    </row>
    <row r="822063" spans="1:1" x14ac:dyDescent="0.25">
      <c r="A822063" s="242"/>
    </row>
    <row r="822064" spans="1:1" x14ac:dyDescent="0.25">
      <c r="A822064" s="242"/>
    </row>
    <row r="822065" spans="1:1" x14ac:dyDescent="0.25">
      <c r="A822065" s="242"/>
    </row>
    <row r="822066" spans="1:1" x14ac:dyDescent="0.25">
      <c r="A822066" s="242"/>
    </row>
    <row r="822067" spans="1:1" x14ac:dyDescent="0.25">
      <c r="A822067" s="242"/>
    </row>
    <row r="822068" spans="1:1" x14ac:dyDescent="0.25">
      <c r="A822068" s="242"/>
    </row>
    <row r="822069" spans="1:1" x14ac:dyDescent="0.25">
      <c r="A822069" s="242"/>
    </row>
    <row r="822070" spans="1:1" x14ac:dyDescent="0.25">
      <c r="A822070" s="242"/>
    </row>
    <row r="822071" spans="1:1" x14ac:dyDescent="0.25">
      <c r="A822071" s="242"/>
    </row>
    <row r="822072" spans="1:1" x14ac:dyDescent="0.25">
      <c r="A822072" s="242"/>
    </row>
    <row r="822073" spans="1:1" x14ac:dyDescent="0.25">
      <c r="A822073" s="242"/>
    </row>
    <row r="822074" spans="1:1" x14ac:dyDescent="0.25">
      <c r="A822074" s="242"/>
    </row>
    <row r="822075" spans="1:1" x14ac:dyDescent="0.25">
      <c r="A822075" s="242"/>
    </row>
    <row r="822076" spans="1:1" x14ac:dyDescent="0.25">
      <c r="A822076" s="242"/>
    </row>
    <row r="822077" spans="1:1" x14ac:dyDescent="0.25">
      <c r="A822077" s="242"/>
    </row>
    <row r="822078" spans="1:1" x14ac:dyDescent="0.25">
      <c r="A822078" s="242"/>
    </row>
    <row r="822079" spans="1:1" x14ac:dyDescent="0.25">
      <c r="A822079" s="242"/>
    </row>
    <row r="822080" spans="1:1" x14ac:dyDescent="0.25">
      <c r="A822080" s="242"/>
    </row>
    <row r="822081" spans="1:1" x14ac:dyDescent="0.25">
      <c r="A822081" s="242"/>
    </row>
    <row r="822082" spans="1:1" x14ac:dyDescent="0.25">
      <c r="A822082" s="242"/>
    </row>
    <row r="822083" spans="1:1" x14ac:dyDescent="0.25">
      <c r="A822083" s="242"/>
    </row>
    <row r="822084" spans="1:1" x14ac:dyDescent="0.25">
      <c r="A822084" s="242"/>
    </row>
    <row r="822085" spans="1:1" x14ac:dyDescent="0.25">
      <c r="A822085" s="242"/>
    </row>
    <row r="822086" spans="1:1" x14ac:dyDescent="0.25">
      <c r="A822086" s="242"/>
    </row>
    <row r="822087" spans="1:1" x14ac:dyDescent="0.25">
      <c r="A822087" s="242"/>
    </row>
    <row r="822088" spans="1:1" x14ac:dyDescent="0.25">
      <c r="A822088" s="242"/>
    </row>
    <row r="822089" spans="1:1" x14ac:dyDescent="0.25">
      <c r="A822089" s="242"/>
    </row>
    <row r="822090" spans="1:1" x14ac:dyDescent="0.25">
      <c r="A822090" s="242"/>
    </row>
    <row r="822091" spans="1:1" x14ac:dyDescent="0.25">
      <c r="A822091" s="242"/>
    </row>
    <row r="822092" spans="1:1" x14ac:dyDescent="0.25">
      <c r="A822092" s="242"/>
    </row>
    <row r="822093" spans="1:1" x14ac:dyDescent="0.25">
      <c r="A822093" s="242"/>
    </row>
    <row r="822094" spans="1:1" x14ac:dyDescent="0.25">
      <c r="A822094" s="242"/>
    </row>
    <row r="822095" spans="1:1" x14ac:dyDescent="0.25">
      <c r="A822095" s="242"/>
    </row>
    <row r="822096" spans="1:1" x14ac:dyDescent="0.25">
      <c r="A822096" s="242"/>
    </row>
    <row r="822097" spans="1:1" x14ac:dyDescent="0.25">
      <c r="A822097" s="242"/>
    </row>
    <row r="822098" spans="1:1" x14ac:dyDescent="0.25">
      <c r="A822098" s="242"/>
    </row>
    <row r="822099" spans="1:1" x14ac:dyDescent="0.25">
      <c r="A822099" s="242"/>
    </row>
    <row r="822100" spans="1:1" x14ac:dyDescent="0.25">
      <c r="A822100" s="242"/>
    </row>
    <row r="822101" spans="1:1" x14ac:dyDescent="0.25">
      <c r="A822101" s="242"/>
    </row>
    <row r="822102" spans="1:1" x14ac:dyDescent="0.25">
      <c r="A822102" s="242"/>
    </row>
    <row r="822103" spans="1:1" x14ac:dyDescent="0.25">
      <c r="A822103" s="242"/>
    </row>
    <row r="822104" spans="1:1" x14ac:dyDescent="0.25">
      <c r="A822104" s="242"/>
    </row>
    <row r="822105" spans="1:1" x14ac:dyDescent="0.25">
      <c r="A822105" s="242"/>
    </row>
    <row r="822106" spans="1:1" x14ac:dyDescent="0.25">
      <c r="A822106" s="242"/>
    </row>
    <row r="822107" spans="1:1" x14ac:dyDescent="0.25">
      <c r="A822107" s="242"/>
    </row>
    <row r="822108" spans="1:1" x14ac:dyDescent="0.25">
      <c r="A822108" s="242"/>
    </row>
    <row r="822109" spans="1:1" x14ac:dyDescent="0.25">
      <c r="A822109" s="242"/>
    </row>
    <row r="822110" spans="1:1" x14ac:dyDescent="0.25">
      <c r="A822110" s="242"/>
    </row>
    <row r="822111" spans="1:1" x14ac:dyDescent="0.25">
      <c r="A822111" s="242"/>
    </row>
    <row r="822112" spans="1:1" x14ac:dyDescent="0.25">
      <c r="A822112" s="242"/>
    </row>
    <row r="822113" spans="1:1" x14ac:dyDescent="0.25">
      <c r="A822113" s="242"/>
    </row>
    <row r="822114" spans="1:1" x14ac:dyDescent="0.25">
      <c r="A822114" s="242"/>
    </row>
    <row r="822115" spans="1:1" x14ac:dyDescent="0.25">
      <c r="A822115" s="242"/>
    </row>
    <row r="822116" spans="1:1" x14ac:dyDescent="0.25">
      <c r="A822116" s="242"/>
    </row>
    <row r="822117" spans="1:1" x14ac:dyDescent="0.25">
      <c r="A822117" s="242"/>
    </row>
    <row r="822118" spans="1:1" x14ac:dyDescent="0.25">
      <c r="A822118" s="242"/>
    </row>
    <row r="822119" spans="1:1" x14ac:dyDescent="0.25">
      <c r="A822119" s="242"/>
    </row>
    <row r="822120" spans="1:1" x14ac:dyDescent="0.25">
      <c r="A822120" s="242"/>
    </row>
    <row r="822121" spans="1:1" x14ac:dyDescent="0.25">
      <c r="A822121" s="242"/>
    </row>
    <row r="822122" spans="1:1" x14ac:dyDescent="0.25">
      <c r="A822122" s="242"/>
    </row>
    <row r="822123" spans="1:1" x14ac:dyDescent="0.25">
      <c r="A822123" s="242"/>
    </row>
    <row r="822124" spans="1:1" x14ac:dyDescent="0.25">
      <c r="A822124" s="242"/>
    </row>
    <row r="822125" spans="1:1" x14ac:dyDescent="0.25">
      <c r="A822125" s="242"/>
    </row>
    <row r="822126" spans="1:1" x14ac:dyDescent="0.25">
      <c r="A822126" s="242"/>
    </row>
    <row r="822127" spans="1:1" x14ac:dyDescent="0.25">
      <c r="A822127" s="242"/>
    </row>
    <row r="822128" spans="1:1" x14ac:dyDescent="0.25">
      <c r="A822128" s="242"/>
    </row>
    <row r="822129" spans="1:1" x14ac:dyDescent="0.25">
      <c r="A822129" s="242"/>
    </row>
    <row r="822130" spans="1:1" x14ac:dyDescent="0.25">
      <c r="A822130" s="242"/>
    </row>
    <row r="822131" spans="1:1" x14ac:dyDescent="0.25">
      <c r="A822131" s="242"/>
    </row>
    <row r="822132" spans="1:1" x14ac:dyDescent="0.25">
      <c r="A822132" s="242"/>
    </row>
    <row r="822133" spans="1:1" x14ac:dyDescent="0.25">
      <c r="A822133" s="242"/>
    </row>
    <row r="822134" spans="1:1" x14ac:dyDescent="0.25">
      <c r="A822134" s="242"/>
    </row>
    <row r="822135" spans="1:1" x14ac:dyDescent="0.25">
      <c r="A822135" s="242"/>
    </row>
    <row r="822136" spans="1:1" x14ac:dyDescent="0.25">
      <c r="A822136" s="242"/>
    </row>
    <row r="822137" spans="1:1" x14ac:dyDescent="0.25">
      <c r="A822137" s="242"/>
    </row>
    <row r="822138" spans="1:1" x14ac:dyDescent="0.25">
      <c r="A822138" s="242"/>
    </row>
    <row r="822139" spans="1:1" x14ac:dyDescent="0.25">
      <c r="A822139" s="242"/>
    </row>
    <row r="822140" spans="1:1" x14ac:dyDescent="0.25">
      <c r="A822140" s="242"/>
    </row>
    <row r="822141" spans="1:1" x14ac:dyDescent="0.25">
      <c r="A822141" s="242"/>
    </row>
    <row r="822142" spans="1:1" x14ac:dyDescent="0.25">
      <c r="A822142" s="242"/>
    </row>
    <row r="822143" spans="1:1" x14ac:dyDescent="0.25">
      <c r="A822143" s="242"/>
    </row>
    <row r="822144" spans="1:1" x14ac:dyDescent="0.25">
      <c r="A822144" s="242"/>
    </row>
    <row r="822145" spans="1:1" x14ac:dyDescent="0.25">
      <c r="A822145" s="242"/>
    </row>
    <row r="822146" spans="1:1" x14ac:dyDescent="0.25">
      <c r="A822146" s="242"/>
    </row>
    <row r="822147" spans="1:1" x14ac:dyDescent="0.25">
      <c r="A822147" s="242"/>
    </row>
    <row r="822148" spans="1:1" x14ac:dyDescent="0.25">
      <c r="A822148" s="242"/>
    </row>
    <row r="822149" spans="1:1" x14ac:dyDescent="0.25">
      <c r="A822149" s="242"/>
    </row>
    <row r="822150" spans="1:1" x14ac:dyDescent="0.25">
      <c r="A822150" s="242"/>
    </row>
    <row r="822151" spans="1:1" x14ac:dyDescent="0.25">
      <c r="A822151" s="242"/>
    </row>
    <row r="822152" spans="1:1" x14ac:dyDescent="0.25">
      <c r="A822152" s="242"/>
    </row>
    <row r="822153" spans="1:1" x14ac:dyDescent="0.25">
      <c r="A822153" s="242"/>
    </row>
    <row r="822154" spans="1:1" x14ac:dyDescent="0.25">
      <c r="A822154" s="242"/>
    </row>
    <row r="822155" spans="1:1" x14ac:dyDescent="0.25">
      <c r="A822155" s="242"/>
    </row>
    <row r="822156" spans="1:1" x14ac:dyDescent="0.25">
      <c r="A822156" s="242"/>
    </row>
    <row r="822157" spans="1:1" x14ac:dyDescent="0.25">
      <c r="A822157" s="242"/>
    </row>
    <row r="822158" spans="1:1" x14ac:dyDescent="0.25">
      <c r="A822158" s="242"/>
    </row>
    <row r="822159" spans="1:1" x14ac:dyDescent="0.25">
      <c r="A822159" s="242"/>
    </row>
    <row r="822160" spans="1:1" x14ac:dyDescent="0.25">
      <c r="A822160" s="242"/>
    </row>
    <row r="822161" spans="1:1" x14ac:dyDescent="0.25">
      <c r="A822161" s="242"/>
    </row>
    <row r="822162" spans="1:1" x14ac:dyDescent="0.25">
      <c r="A822162" s="242"/>
    </row>
    <row r="822163" spans="1:1" x14ac:dyDescent="0.25">
      <c r="A822163" s="242"/>
    </row>
    <row r="822164" spans="1:1" x14ac:dyDescent="0.25">
      <c r="A822164" s="242"/>
    </row>
    <row r="822165" spans="1:1" x14ac:dyDescent="0.25">
      <c r="A822165" s="242"/>
    </row>
    <row r="822166" spans="1:1" x14ac:dyDescent="0.25">
      <c r="A822166" s="242"/>
    </row>
    <row r="822167" spans="1:1" x14ac:dyDescent="0.25">
      <c r="A822167" s="242"/>
    </row>
    <row r="822168" spans="1:1" x14ac:dyDescent="0.25">
      <c r="A822168" s="242"/>
    </row>
    <row r="822169" spans="1:1" x14ac:dyDescent="0.25">
      <c r="A822169" s="242"/>
    </row>
    <row r="822170" spans="1:1" x14ac:dyDescent="0.25">
      <c r="A822170" s="242"/>
    </row>
    <row r="822171" spans="1:1" x14ac:dyDescent="0.25">
      <c r="A822171" s="242"/>
    </row>
    <row r="822172" spans="1:1" x14ac:dyDescent="0.25">
      <c r="A822172" s="242"/>
    </row>
    <row r="822173" spans="1:1" x14ac:dyDescent="0.25">
      <c r="A822173" s="242"/>
    </row>
    <row r="822174" spans="1:1" x14ac:dyDescent="0.25">
      <c r="A822174" s="242"/>
    </row>
    <row r="822175" spans="1:1" x14ac:dyDescent="0.25">
      <c r="A822175" s="242"/>
    </row>
    <row r="822176" spans="1:1" x14ac:dyDescent="0.25">
      <c r="A822176" s="242"/>
    </row>
    <row r="822177" spans="1:1" x14ac:dyDescent="0.25">
      <c r="A822177" s="242"/>
    </row>
    <row r="822178" spans="1:1" x14ac:dyDescent="0.25">
      <c r="A822178" s="242"/>
    </row>
    <row r="822179" spans="1:1" x14ac:dyDescent="0.25">
      <c r="A822179" s="242"/>
    </row>
    <row r="822180" spans="1:1" x14ac:dyDescent="0.25">
      <c r="A822180" s="242"/>
    </row>
    <row r="822181" spans="1:1" x14ac:dyDescent="0.25">
      <c r="A822181" s="242"/>
    </row>
    <row r="822182" spans="1:1" x14ac:dyDescent="0.25">
      <c r="A822182" s="242"/>
    </row>
    <row r="822183" spans="1:1" x14ac:dyDescent="0.25">
      <c r="A822183" s="242"/>
    </row>
    <row r="822184" spans="1:1" x14ac:dyDescent="0.25">
      <c r="A822184" s="242"/>
    </row>
    <row r="822185" spans="1:1" x14ac:dyDescent="0.25">
      <c r="A822185" s="242"/>
    </row>
    <row r="822186" spans="1:1" x14ac:dyDescent="0.25">
      <c r="A822186" s="242"/>
    </row>
    <row r="822187" spans="1:1" x14ac:dyDescent="0.25">
      <c r="A822187" s="242"/>
    </row>
    <row r="822188" spans="1:1" x14ac:dyDescent="0.25">
      <c r="A822188" s="242"/>
    </row>
    <row r="822189" spans="1:1" x14ac:dyDescent="0.25">
      <c r="A822189" s="242"/>
    </row>
    <row r="822190" spans="1:1" x14ac:dyDescent="0.25">
      <c r="A822190" s="242"/>
    </row>
    <row r="822191" spans="1:1" x14ac:dyDescent="0.25">
      <c r="A822191" s="242"/>
    </row>
    <row r="822192" spans="1:1" x14ac:dyDescent="0.25">
      <c r="A822192" s="242"/>
    </row>
    <row r="822193" spans="1:1" x14ac:dyDescent="0.25">
      <c r="A822193" s="242"/>
    </row>
    <row r="822194" spans="1:1" x14ac:dyDescent="0.25">
      <c r="A822194" s="242"/>
    </row>
    <row r="822195" spans="1:1" x14ac:dyDescent="0.25">
      <c r="A822195" s="242"/>
    </row>
    <row r="822196" spans="1:1" x14ac:dyDescent="0.25">
      <c r="A822196" s="242"/>
    </row>
    <row r="822197" spans="1:1" x14ac:dyDescent="0.25">
      <c r="A822197" s="242"/>
    </row>
    <row r="822198" spans="1:1" x14ac:dyDescent="0.25">
      <c r="A822198" s="242"/>
    </row>
    <row r="822199" spans="1:1" x14ac:dyDescent="0.25">
      <c r="A822199" s="242"/>
    </row>
    <row r="822200" spans="1:1" x14ac:dyDescent="0.25">
      <c r="A822200" s="242"/>
    </row>
    <row r="822201" spans="1:1" x14ac:dyDescent="0.25">
      <c r="A822201" s="242"/>
    </row>
    <row r="822202" spans="1:1" x14ac:dyDescent="0.25">
      <c r="A822202" s="242"/>
    </row>
    <row r="822203" spans="1:1" x14ac:dyDescent="0.25">
      <c r="A822203" s="242"/>
    </row>
    <row r="822204" spans="1:1" x14ac:dyDescent="0.25">
      <c r="A822204" s="242"/>
    </row>
    <row r="822205" spans="1:1" x14ac:dyDescent="0.25">
      <c r="A822205" s="242"/>
    </row>
    <row r="822206" spans="1:1" x14ac:dyDescent="0.25">
      <c r="A822206" s="242"/>
    </row>
    <row r="822207" spans="1:1" x14ac:dyDescent="0.25">
      <c r="A822207" s="242"/>
    </row>
    <row r="822208" spans="1:1" x14ac:dyDescent="0.25">
      <c r="A822208" s="242"/>
    </row>
    <row r="822209" spans="1:1" x14ac:dyDescent="0.25">
      <c r="A822209" s="242"/>
    </row>
    <row r="822210" spans="1:1" x14ac:dyDescent="0.25">
      <c r="A822210" s="242"/>
    </row>
    <row r="822211" spans="1:1" x14ac:dyDescent="0.25">
      <c r="A822211" s="242"/>
    </row>
    <row r="822212" spans="1:1" x14ac:dyDescent="0.25">
      <c r="A822212" s="242"/>
    </row>
    <row r="822213" spans="1:1" x14ac:dyDescent="0.25">
      <c r="A822213" s="242"/>
    </row>
    <row r="822214" spans="1:1" x14ac:dyDescent="0.25">
      <c r="A822214" s="242"/>
    </row>
    <row r="822215" spans="1:1" x14ac:dyDescent="0.25">
      <c r="A822215" s="242"/>
    </row>
    <row r="822216" spans="1:1" x14ac:dyDescent="0.25">
      <c r="A822216" s="242"/>
    </row>
    <row r="822217" spans="1:1" x14ac:dyDescent="0.25">
      <c r="A822217" s="242"/>
    </row>
    <row r="822218" spans="1:1" x14ac:dyDescent="0.25">
      <c r="A822218" s="242"/>
    </row>
    <row r="822219" spans="1:1" x14ac:dyDescent="0.25">
      <c r="A822219" s="242"/>
    </row>
    <row r="822220" spans="1:1" x14ac:dyDescent="0.25">
      <c r="A822220" s="242"/>
    </row>
    <row r="822221" spans="1:1" x14ac:dyDescent="0.25">
      <c r="A822221" s="242"/>
    </row>
    <row r="822222" spans="1:1" x14ac:dyDescent="0.25">
      <c r="A822222" s="242"/>
    </row>
    <row r="822223" spans="1:1" x14ac:dyDescent="0.25">
      <c r="A822223" s="242"/>
    </row>
    <row r="822224" spans="1:1" x14ac:dyDescent="0.25">
      <c r="A822224" s="242"/>
    </row>
    <row r="822225" spans="1:1" x14ac:dyDescent="0.25">
      <c r="A822225" s="242"/>
    </row>
    <row r="822226" spans="1:1" x14ac:dyDescent="0.25">
      <c r="A822226" s="242"/>
    </row>
    <row r="822227" spans="1:1" x14ac:dyDescent="0.25">
      <c r="A822227" s="242"/>
    </row>
    <row r="822228" spans="1:1" x14ac:dyDescent="0.25">
      <c r="A822228" s="242"/>
    </row>
    <row r="822229" spans="1:1" x14ac:dyDescent="0.25">
      <c r="A822229" s="242"/>
    </row>
    <row r="822230" spans="1:1" x14ac:dyDescent="0.25">
      <c r="A822230" s="242"/>
    </row>
    <row r="822231" spans="1:1" x14ac:dyDescent="0.25">
      <c r="A822231" s="242"/>
    </row>
    <row r="822232" spans="1:1" x14ac:dyDescent="0.25">
      <c r="A822232" s="242"/>
    </row>
    <row r="822233" spans="1:1" x14ac:dyDescent="0.25">
      <c r="A822233" s="242"/>
    </row>
    <row r="822234" spans="1:1" x14ac:dyDescent="0.25">
      <c r="A822234" s="242"/>
    </row>
    <row r="822235" spans="1:1" x14ac:dyDescent="0.25">
      <c r="A822235" s="242"/>
    </row>
    <row r="822236" spans="1:1" x14ac:dyDescent="0.25">
      <c r="A822236" s="242"/>
    </row>
    <row r="822237" spans="1:1" x14ac:dyDescent="0.25">
      <c r="A822237" s="242"/>
    </row>
    <row r="822238" spans="1:1" x14ac:dyDescent="0.25">
      <c r="A822238" s="242"/>
    </row>
    <row r="822239" spans="1:1" x14ac:dyDescent="0.25">
      <c r="A822239" s="242"/>
    </row>
    <row r="822240" spans="1:1" x14ac:dyDescent="0.25">
      <c r="A822240" s="242"/>
    </row>
    <row r="822241" spans="1:1" x14ac:dyDescent="0.25">
      <c r="A822241" s="242"/>
    </row>
    <row r="822242" spans="1:1" x14ac:dyDescent="0.25">
      <c r="A822242" s="242"/>
    </row>
    <row r="822243" spans="1:1" x14ac:dyDescent="0.25">
      <c r="A822243" s="242"/>
    </row>
    <row r="822244" spans="1:1" x14ac:dyDescent="0.25">
      <c r="A822244" s="242"/>
    </row>
    <row r="822245" spans="1:1" x14ac:dyDescent="0.25">
      <c r="A822245" s="242"/>
    </row>
    <row r="822246" spans="1:1" x14ac:dyDescent="0.25">
      <c r="A822246" s="242"/>
    </row>
    <row r="822247" spans="1:1" x14ac:dyDescent="0.25">
      <c r="A822247" s="242"/>
    </row>
    <row r="822248" spans="1:1" x14ac:dyDescent="0.25">
      <c r="A822248" s="242"/>
    </row>
    <row r="822249" spans="1:1" x14ac:dyDescent="0.25">
      <c r="A822249" s="242"/>
    </row>
    <row r="822250" spans="1:1" x14ac:dyDescent="0.25">
      <c r="A822250" s="242"/>
    </row>
    <row r="822251" spans="1:1" x14ac:dyDescent="0.25">
      <c r="A822251" s="242"/>
    </row>
    <row r="822252" spans="1:1" x14ac:dyDescent="0.25">
      <c r="A822252" s="242"/>
    </row>
    <row r="822253" spans="1:1" x14ac:dyDescent="0.25">
      <c r="A822253" s="242"/>
    </row>
    <row r="822254" spans="1:1" x14ac:dyDescent="0.25">
      <c r="A822254" s="242"/>
    </row>
    <row r="822255" spans="1:1" x14ac:dyDescent="0.25">
      <c r="A822255" s="242"/>
    </row>
    <row r="822256" spans="1:1" x14ac:dyDescent="0.25">
      <c r="A822256" s="242"/>
    </row>
    <row r="822257" spans="1:1" x14ac:dyDescent="0.25">
      <c r="A822257" s="242"/>
    </row>
    <row r="822258" spans="1:1" x14ac:dyDescent="0.25">
      <c r="A822258" s="242"/>
    </row>
    <row r="822259" spans="1:1" x14ac:dyDescent="0.25">
      <c r="A822259" s="242"/>
    </row>
    <row r="822260" spans="1:1" x14ac:dyDescent="0.25">
      <c r="A822260" s="242"/>
    </row>
    <row r="822261" spans="1:1" x14ac:dyDescent="0.25">
      <c r="A822261" s="242"/>
    </row>
    <row r="822262" spans="1:1" x14ac:dyDescent="0.25">
      <c r="A822262" s="242"/>
    </row>
    <row r="822263" spans="1:1" x14ac:dyDescent="0.25">
      <c r="A822263" s="242"/>
    </row>
    <row r="822264" spans="1:1" x14ac:dyDescent="0.25">
      <c r="A822264" s="242"/>
    </row>
    <row r="822265" spans="1:1" x14ac:dyDescent="0.25">
      <c r="A822265" s="242"/>
    </row>
    <row r="822266" spans="1:1" x14ac:dyDescent="0.25">
      <c r="A822266" s="242"/>
    </row>
    <row r="822267" spans="1:1" x14ac:dyDescent="0.25">
      <c r="A822267" s="242"/>
    </row>
    <row r="822268" spans="1:1" x14ac:dyDescent="0.25">
      <c r="A822268" s="242"/>
    </row>
    <row r="822269" spans="1:1" x14ac:dyDescent="0.25">
      <c r="A822269" s="242"/>
    </row>
    <row r="822270" spans="1:1" x14ac:dyDescent="0.25">
      <c r="A822270" s="242"/>
    </row>
    <row r="822271" spans="1:1" x14ac:dyDescent="0.25">
      <c r="A822271" s="242"/>
    </row>
    <row r="822272" spans="1:1" x14ac:dyDescent="0.25">
      <c r="A822272" s="242"/>
    </row>
    <row r="822273" spans="1:1" x14ac:dyDescent="0.25">
      <c r="A822273" s="242"/>
    </row>
    <row r="822274" spans="1:1" x14ac:dyDescent="0.25">
      <c r="A822274" s="242"/>
    </row>
    <row r="822275" spans="1:1" x14ac:dyDescent="0.25">
      <c r="A822275" s="242"/>
    </row>
    <row r="822276" spans="1:1" x14ac:dyDescent="0.25">
      <c r="A822276" s="242"/>
    </row>
    <row r="822277" spans="1:1" x14ac:dyDescent="0.25">
      <c r="A822277" s="242"/>
    </row>
    <row r="822278" spans="1:1" x14ac:dyDescent="0.25">
      <c r="A822278" s="242"/>
    </row>
    <row r="822279" spans="1:1" x14ac:dyDescent="0.25">
      <c r="A822279" s="242"/>
    </row>
    <row r="822280" spans="1:1" x14ac:dyDescent="0.25">
      <c r="A822280" s="242"/>
    </row>
    <row r="822281" spans="1:1" x14ac:dyDescent="0.25">
      <c r="A822281" s="242"/>
    </row>
    <row r="822282" spans="1:1" x14ac:dyDescent="0.25">
      <c r="A822282" s="242"/>
    </row>
    <row r="822283" spans="1:1" x14ac:dyDescent="0.25">
      <c r="A822283" s="242"/>
    </row>
    <row r="822284" spans="1:1" x14ac:dyDescent="0.25">
      <c r="A822284" s="242"/>
    </row>
    <row r="822285" spans="1:1" x14ac:dyDescent="0.25">
      <c r="A822285" s="242"/>
    </row>
    <row r="822286" spans="1:1" x14ac:dyDescent="0.25">
      <c r="A822286" s="242"/>
    </row>
    <row r="822287" spans="1:1" x14ac:dyDescent="0.25">
      <c r="A822287" s="242"/>
    </row>
    <row r="822288" spans="1:1" x14ac:dyDescent="0.25">
      <c r="A822288" s="242"/>
    </row>
    <row r="822289" spans="1:1" x14ac:dyDescent="0.25">
      <c r="A822289" s="242"/>
    </row>
    <row r="822290" spans="1:1" x14ac:dyDescent="0.25">
      <c r="A822290" s="242"/>
    </row>
    <row r="822291" spans="1:1" x14ac:dyDescent="0.25">
      <c r="A822291" s="242"/>
    </row>
    <row r="822292" spans="1:1" x14ac:dyDescent="0.25">
      <c r="A822292" s="242"/>
    </row>
    <row r="822293" spans="1:1" x14ac:dyDescent="0.25">
      <c r="A822293" s="242"/>
    </row>
    <row r="822294" spans="1:1" x14ac:dyDescent="0.25">
      <c r="A822294" s="242"/>
    </row>
    <row r="822295" spans="1:1" x14ac:dyDescent="0.25">
      <c r="A822295" s="242"/>
    </row>
    <row r="822296" spans="1:1" x14ac:dyDescent="0.25">
      <c r="A822296" s="242"/>
    </row>
    <row r="822297" spans="1:1" x14ac:dyDescent="0.25">
      <c r="A822297" s="242"/>
    </row>
    <row r="822298" spans="1:1" x14ac:dyDescent="0.25">
      <c r="A822298" s="242"/>
    </row>
    <row r="822299" spans="1:1" x14ac:dyDescent="0.25">
      <c r="A822299" s="242"/>
    </row>
    <row r="822300" spans="1:1" x14ac:dyDescent="0.25">
      <c r="A822300" s="242"/>
    </row>
    <row r="822301" spans="1:1" x14ac:dyDescent="0.25">
      <c r="A822301" s="242"/>
    </row>
    <row r="822302" spans="1:1" x14ac:dyDescent="0.25">
      <c r="A822302" s="242"/>
    </row>
    <row r="822303" spans="1:1" x14ac:dyDescent="0.25">
      <c r="A822303" s="242"/>
    </row>
    <row r="822304" spans="1:1" x14ac:dyDescent="0.25">
      <c r="A822304" s="242"/>
    </row>
    <row r="822305" spans="1:1" x14ac:dyDescent="0.25">
      <c r="A822305" s="242"/>
    </row>
    <row r="822306" spans="1:1" x14ac:dyDescent="0.25">
      <c r="A822306" s="242"/>
    </row>
    <row r="822307" spans="1:1" x14ac:dyDescent="0.25">
      <c r="A822307" s="242"/>
    </row>
    <row r="822308" spans="1:1" x14ac:dyDescent="0.25">
      <c r="A822308" s="242"/>
    </row>
    <row r="822309" spans="1:1" x14ac:dyDescent="0.25">
      <c r="A822309" s="242"/>
    </row>
    <row r="822310" spans="1:1" x14ac:dyDescent="0.25">
      <c r="A822310" s="242"/>
    </row>
    <row r="822311" spans="1:1" x14ac:dyDescent="0.25">
      <c r="A822311" s="242"/>
    </row>
    <row r="822312" spans="1:1" x14ac:dyDescent="0.25">
      <c r="A822312" s="242"/>
    </row>
    <row r="822313" spans="1:1" x14ac:dyDescent="0.25">
      <c r="A822313" s="242"/>
    </row>
    <row r="822314" spans="1:1" x14ac:dyDescent="0.25">
      <c r="A822314" s="242"/>
    </row>
    <row r="822315" spans="1:1" x14ac:dyDescent="0.25">
      <c r="A822315" s="242"/>
    </row>
    <row r="822316" spans="1:1" x14ac:dyDescent="0.25">
      <c r="A822316" s="242"/>
    </row>
    <row r="822317" spans="1:1" x14ac:dyDescent="0.25">
      <c r="A822317" s="242"/>
    </row>
    <row r="822318" spans="1:1" x14ac:dyDescent="0.25">
      <c r="A822318" s="242"/>
    </row>
    <row r="822319" spans="1:1" x14ac:dyDescent="0.25">
      <c r="A822319" s="242"/>
    </row>
    <row r="822320" spans="1:1" x14ac:dyDescent="0.25">
      <c r="A822320" s="242"/>
    </row>
    <row r="822321" spans="1:1" x14ac:dyDescent="0.25">
      <c r="A822321" s="242"/>
    </row>
    <row r="822322" spans="1:1" x14ac:dyDescent="0.25">
      <c r="A822322" s="242"/>
    </row>
    <row r="822323" spans="1:1" x14ac:dyDescent="0.25">
      <c r="A822323" s="242"/>
    </row>
    <row r="822324" spans="1:1" x14ac:dyDescent="0.25">
      <c r="A822324" s="242"/>
    </row>
    <row r="822325" spans="1:1" x14ac:dyDescent="0.25">
      <c r="A822325" s="242"/>
    </row>
    <row r="822326" spans="1:1" x14ac:dyDescent="0.25">
      <c r="A822326" s="242"/>
    </row>
    <row r="822327" spans="1:1" x14ac:dyDescent="0.25">
      <c r="A822327" s="242"/>
    </row>
    <row r="822328" spans="1:1" x14ac:dyDescent="0.25">
      <c r="A822328" s="242"/>
    </row>
    <row r="822329" spans="1:1" x14ac:dyDescent="0.25">
      <c r="A822329" s="242"/>
    </row>
    <row r="822330" spans="1:1" x14ac:dyDescent="0.25">
      <c r="A822330" s="242"/>
    </row>
    <row r="822331" spans="1:1" x14ac:dyDescent="0.25">
      <c r="A822331" s="242"/>
    </row>
    <row r="822332" spans="1:1" x14ac:dyDescent="0.25">
      <c r="A822332" s="242"/>
    </row>
    <row r="822333" spans="1:1" x14ac:dyDescent="0.25">
      <c r="A822333" s="242"/>
    </row>
    <row r="822334" spans="1:1" x14ac:dyDescent="0.25">
      <c r="A822334" s="242"/>
    </row>
    <row r="822335" spans="1:1" x14ac:dyDescent="0.25">
      <c r="A822335" s="242"/>
    </row>
    <row r="822336" spans="1:1" x14ac:dyDescent="0.25">
      <c r="A822336" s="242"/>
    </row>
    <row r="822337" spans="1:1" x14ac:dyDescent="0.25">
      <c r="A822337" s="242"/>
    </row>
    <row r="822338" spans="1:1" x14ac:dyDescent="0.25">
      <c r="A822338" s="242"/>
    </row>
    <row r="822339" spans="1:1" x14ac:dyDescent="0.25">
      <c r="A822339" s="242"/>
    </row>
    <row r="822340" spans="1:1" x14ac:dyDescent="0.25">
      <c r="A822340" s="242"/>
    </row>
    <row r="822341" spans="1:1" x14ac:dyDescent="0.25">
      <c r="A822341" s="242"/>
    </row>
    <row r="822342" spans="1:1" x14ac:dyDescent="0.25">
      <c r="A822342" s="242"/>
    </row>
    <row r="822343" spans="1:1" x14ac:dyDescent="0.25">
      <c r="A822343" s="242"/>
    </row>
    <row r="822344" spans="1:1" x14ac:dyDescent="0.25">
      <c r="A822344" s="242"/>
    </row>
    <row r="822345" spans="1:1" x14ac:dyDescent="0.25">
      <c r="A822345" s="242"/>
    </row>
    <row r="822346" spans="1:1" x14ac:dyDescent="0.25">
      <c r="A822346" s="242"/>
    </row>
    <row r="822347" spans="1:1" x14ac:dyDescent="0.25">
      <c r="A822347" s="242"/>
    </row>
    <row r="822348" spans="1:1" x14ac:dyDescent="0.25">
      <c r="A822348" s="242"/>
    </row>
    <row r="822349" spans="1:1" x14ac:dyDescent="0.25">
      <c r="A822349" s="242"/>
    </row>
    <row r="822350" spans="1:1" x14ac:dyDescent="0.25">
      <c r="A822350" s="242"/>
    </row>
    <row r="822351" spans="1:1" x14ac:dyDescent="0.25">
      <c r="A822351" s="242"/>
    </row>
    <row r="822352" spans="1:1" x14ac:dyDescent="0.25">
      <c r="A822352" s="242"/>
    </row>
    <row r="822353" spans="1:1" x14ac:dyDescent="0.25">
      <c r="A822353" s="242"/>
    </row>
    <row r="822354" spans="1:1" x14ac:dyDescent="0.25">
      <c r="A822354" s="242"/>
    </row>
    <row r="822355" spans="1:1" x14ac:dyDescent="0.25">
      <c r="A822355" s="242"/>
    </row>
    <row r="822356" spans="1:1" x14ac:dyDescent="0.25">
      <c r="A822356" s="242"/>
    </row>
    <row r="822357" spans="1:1" x14ac:dyDescent="0.25">
      <c r="A822357" s="242"/>
    </row>
    <row r="822358" spans="1:1" x14ac:dyDescent="0.25">
      <c r="A822358" s="242"/>
    </row>
    <row r="822359" spans="1:1" x14ac:dyDescent="0.25">
      <c r="A822359" s="242"/>
    </row>
    <row r="822360" spans="1:1" x14ac:dyDescent="0.25">
      <c r="A822360" s="242"/>
    </row>
    <row r="822361" spans="1:1" x14ac:dyDescent="0.25">
      <c r="A822361" s="242"/>
    </row>
    <row r="822362" spans="1:1" x14ac:dyDescent="0.25">
      <c r="A822362" s="242"/>
    </row>
    <row r="822363" spans="1:1" x14ac:dyDescent="0.25">
      <c r="A822363" s="242"/>
    </row>
    <row r="822364" spans="1:1" x14ac:dyDescent="0.25">
      <c r="A822364" s="242"/>
    </row>
    <row r="822365" spans="1:1" x14ac:dyDescent="0.25">
      <c r="A822365" s="242"/>
    </row>
    <row r="822366" spans="1:1" x14ac:dyDescent="0.25">
      <c r="A822366" s="242"/>
    </row>
    <row r="822367" spans="1:1" x14ac:dyDescent="0.25">
      <c r="A822367" s="242"/>
    </row>
    <row r="822368" spans="1:1" x14ac:dyDescent="0.25">
      <c r="A822368" s="242"/>
    </row>
    <row r="822369" spans="1:1" x14ac:dyDescent="0.25">
      <c r="A822369" s="242"/>
    </row>
    <row r="822370" spans="1:1" x14ac:dyDescent="0.25">
      <c r="A822370" s="242"/>
    </row>
    <row r="822371" spans="1:1" x14ac:dyDescent="0.25">
      <c r="A822371" s="242"/>
    </row>
    <row r="822372" spans="1:1" x14ac:dyDescent="0.25">
      <c r="A822372" s="242"/>
    </row>
    <row r="822373" spans="1:1" x14ac:dyDescent="0.25">
      <c r="A822373" s="242"/>
    </row>
    <row r="822374" spans="1:1" x14ac:dyDescent="0.25">
      <c r="A822374" s="242"/>
    </row>
    <row r="822375" spans="1:1" x14ac:dyDescent="0.25">
      <c r="A822375" s="242"/>
    </row>
    <row r="822376" spans="1:1" x14ac:dyDescent="0.25">
      <c r="A822376" s="242"/>
    </row>
    <row r="822377" spans="1:1" x14ac:dyDescent="0.25">
      <c r="A822377" s="242"/>
    </row>
    <row r="822378" spans="1:1" x14ac:dyDescent="0.25">
      <c r="A822378" s="242"/>
    </row>
    <row r="822379" spans="1:1" x14ac:dyDescent="0.25">
      <c r="A822379" s="242"/>
    </row>
    <row r="822380" spans="1:1" x14ac:dyDescent="0.25">
      <c r="A822380" s="242"/>
    </row>
    <row r="822381" spans="1:1" x14ac:dyDescent="0.25">
      <c r="A822381" s="242"/>
    </row>
    <row r="822382" spans="1:1" x14ac:dyDescent="0.25">
      <c r="A822382" s="242"/>
    </row>
    <row r="822383" spans="1:1" x14ac:dyDescent="0.25">
      <c r="A822383" s="242"/>
    </row>
    <row r="822384" spans="1:1" x14ac:dyDescent="0.25">
      <c r="A822384" s="242"/>
    </row>
    <row r="822385" spans="1:1" x14ac:dyDescent="0.25">
      <c r="A822385" s="242"/>
    </row>
    <row r="822386" spans="1:1" x14ac:dyDescent="0.25">
      <c r="A822386" s="242"/>
    </row>
    <row r="822387" spans="1:1" x14ac:dyDescent="0.25">
      <c r="A822387" s="242"/>
    </row>
    <row r="822388" spans="1:1" x14ac:dyDescent="0.25">
      <c r="A822388" s="242"/>
    </row>
    <row r="822389" spans="1:1" x14ac:dyDescent="0.25">
      <c r="A822389" s="242"/>
    </row>
    <row r="822390" spans="1:1" x14ac:dyDescent="0.25">
      <c r="A822390" s="242"/>
    </row>
    <row r="822391" spans="1:1" x14ac:dyDescent="0.25">
      <c r="A822391" s="242"/>
    </row>
    <row r="822392" spans="1:1" x14ac:dyDescent="0.25">
      <c r="A822392" s="242"/>
    </row>
    <row r="822393" spans="1:1" x14ac:dyDescent="0.25">
      <c r="A822393" s="242"/>
    </row>
    <row r="822394" spans="1:1" x14ac:dyDescent="0.25">
      <c r="A822394" s="242"/>
    </row>
    <row r="822395" spans="1:1" x14ac:dyDescent="0.25">
      <c r="A822395" s="242"/>
    </row>
    <row r="822396" spans="1:1" x14ac:dyDescent="0.25">
      <c r="A822396" s="242"/>
    </row>
    <row r="822397" spans="1:1" x14ac:dyDescent="0.25">
      <c r="A822397" s="242"/>
    </row>
    <row r="822398" spans="1:1" x14ac:dyDescent="0.25">
      <c r="A822398" s="242"/>
    </row>
    <row r="822399" spans="1:1" x14ac:dyDescent="0.25">
      <c r="A822399" s="242"/>
    </row>
    <row r="822400" spans="1:1" x14ac:dyDescent="0.25">
      <c r="A822400" s="242"/>
    </row>
    <row r="822401" spans="1:1" x14ac:dyDescent="0.25">
      <c r="A822401" s="242"/>
    </row>
    <row r="822402" spans="1:1" x14ac:dyDescent="0.25">
      <c r="A822402" s="242"/>
    </row>
    <row r="822403" spans="1:1" x14ac:dyDescent="0.25">
      <c r="A822403" s="242"/>
    </row>
    <row r="822404" spans="1:1" x14ac:dyDescent="0.25">
      <c r="A822404" s="242"/>
    </row>
    <row r="822405" spans="1:1" x14ac:dyDescent="0.25">
      <c r="A822405" s="242"/>
    </row>
    <row r="822406" spans="1:1" x14ac:dyDescent="0.25">
      <c r="A822406" s="242"/>
    </row>
    <row r="822407" spans="1:1" x14ac:dyDescent="0.25">
      <c r="A822407" s="242"/>
    </row>
    <row r="822408" spans="1:1" x14ac:dyDescent="0.25">
      <c r="A822408" s="242"/>
    </row>
    <row r="822409" spans="1:1" x14ac:dyDescent="0.25">
      <c r="A822409" s="242"/>
    </row>
    <row r="822410" spans="1:1" x14ac:dyDescent="0.25">
      <c r="A822410" s="242"/>
    </row>
    <row r="822411" spans="1:1" x14ac:dyDescent="0.25">
      <c r="A822411" s="242"/>
    </row>
    <row r="822412" spans="1:1" x14ac:dyDescent="0.25">
      <c r="A822412" s="242"/>
    </row>
    <row r="822413" spans="1:1" x14ac:dyDescent="0.25">
      <c r="A822413" s="242"/>
    </row>
    <row r="822414" spans="1:1" x14ac:dyDescent="0.25">
      <c r="A822414" s="242"/>
    </row>
    <row r="822415" spans="1:1" x14ac:dyDescent="0.25">
      <c r="A822415" s="242"/>
    </row>
    <row r="822416" spans="1:1" x14ac:dyDescent="0.25">
      <c r="A822416" s="242"/>
    </row>
    <row r="822417" spans="1:1" x14ac:dyDescent="0.25">
      <c r="A822417" s="242"/>
    </row>
    <row r="822418" spans="1:1" x14ac:dyDescent="0.25">
      <c r="A822418" s="242"/>
    </row>
    <row r="822419" spans="1:1" x14ac:dyDescent="0.25">
      <c r="A822419" s="242"/>
    </row>
    <row r="822420" spans="1:1" x14ac:dyDescent="0.25">
      <c r="A822420" s="242"/>
    </row>
    <row r="822421" spans="1:1" x14ac:dyDescent="0.25">
      <c r="A822421" s="242"/>
    </row>
    <row r="822422" spans="1:1" x14ac:dyDescent="0.25">
      <c r="A822422" s="242"/>
    </row>
    <row r="822423" spans="1:1" x14ac:dyDescent="0.25">
      <c r="A822423" s="242"/>
    </row>
    <row r="822424" spans="1:1" x14ac:dyDescent="0.25">
      <c r="A822424" s="242"/>
    </row>
    <row r="822425" spans="1:1" x14ac:dyDescent="0.25">
      <c r="A822425" s="242"/>
    </row>
    <row r="822426" spans="1:1" x14ac:dyDescent="0.25">
      <c r="A822426" s="242"/>
    </row>
    <row r="822427" spans="1:1" x14ac:dyDescent="0.25">
      <c r="A822427" s="242"/>
    </row>
    <row r="822428" spans="1:1" x14ac:dyDescent="0.25">
      <c r="A822428" s="242"/>
    </row>
    <row r="822429" spans="1:1" x14ac:dyDescent="0.25">
      <c r="A822429" s="242"/>
    </row>
    <row r="822430" spans="1:1" x14ac:dyDescent="0.25">
      <c r="A822430" s="242"/>
    </row>
    <row r="822431" spans="1:1" x14ac:dyDescent="0.25">
      <c r="A822431" s="242"/>
    </row>
    <row r="822432" spans="1:1" x14ac:dyDescent="0.25">
      <c r="A822432" s="242"/>
    </row>
    <row r="822433" spans="1:1" x14ac:dyDescent="0.25">
      <c r="A822433" s="242"/>
    </row>
    <row r="822434" spans="1:1" x14ac:dyDescent="0.25">
      <c r="A822434" s="242"/>
    </row>
    <row r="822435" spans="1:1" x14ac:dyDescent="0.25">
      <c r="A822435" s="242"/>
    </row>
    <row r="822436" spans="1:1" x14ac:dyDescent="0.25">
      <c r="A822436" s="242"/>
    </row>
    <row r="822437" spans="1:1" x14ac:dyDescent="0.25">
      <c r="A822437" s="242"/>
    </row>
    <row r="822438" spans="1:1" x14ac:dyDescent="0.25">
      <c r="A822438" s="242"/>
    </row>
    <row r="822439" spans="1:1" x14ac:dyDescent="0.25">
      <c r="A822439" s="242"/>
    </row>
    <row r="822440" spans="1:1" x14ac:dyDescent="0.25">
      <c r="A822440" s="242"/>
    </row>
    <row r="822441" spans="1:1" x14ac:dyDescent="0.25">
      <c r="A822441" s="242"/>
    </row>
    <row r="822442" spans="1:1" x14ac:dyDescent="0.25">
      <c r="A822442" s="242"/>
    </row>
    <row r="822443" spans="1:1" x14ac:dyDescent="0.25">
      <c r="A822443" s="242"/>
    </row>
    <row r="822444" spans="1:1" x14ac:dyDescent="0.25">
      <c r="A822444" s="242"/>
    </row>
    <row r="822445" spans="1:1" x14ac:dyDescent="0.25">
      <c r="A822445" s="242"/>
    </row>
    <row r="822446" spans="1:1" x14ac:dyDescent="0.25">
      <c r="A822446" s="242"/>
    </row>
    <row r="822447" spans="1:1" x14ac:dyDescent="0.25">
      <c r="A822447" s="242"/>
    </row>
    <row r="822448" spans="1:1" x14ac:dyDescent="0.25">
      <c r="A822448" s="242"/>
    </row>
    <row r="822449" spans="1:1" x14ac:dyDescent="0.25">
      <c r="A822449" s="242"/>
    </row>
    <row r="822450" spans="1:1" x14ac:dyDescent="0.25">
      <c r="A822450" s="242"/>
    </row>
    <row r="822451" spans="1:1" x14ac:dyDescent="0.25">
      <c r="A822451" s="242"/>
    </row>
    <row r="822452" spans="1:1" x14ac:dyDescent="0.25">
      <c r="A822452" s="242"/>
    </row>
    <row r="822453" spans="1:1" x14ac:dyDescent="0.25">
      <c r="A822453" s="242"/>
    </row>
    <row r="822454" spans="1:1" x14ac:dyDescent="0.25">
      <c r="A822454" s="242"/>
    </row>
    <row r="822455" spans="1:1" x14ac:dyDescent="0.25">
      <c r="A822455" s="242"/>
    </row>
    <row r="822456" spans="1:1" x14ac:dyDescent="0.25">
      <c r="A822456" s="242"/>
    </row>
    <row r="822457" spans="1:1" x14ac:dyDescent="0.25">
      <c r="A822457" s="242"/>
    </row>
    <row r="822458" spans="1:1" x14ac:dyDescent="0.25">
      <c r="A822458" s="242"/>
    </row>
    <row r="822459" spans="1:1" x14ac:dyDescent="0.25">
      <c r="A822459" s="242"/>
    </row>
    <row r="822460" spans="1:1" x14ac:dyDescent="0.25">
      <c r="A822460" s="242"/>
    </row>
    <row r="822461" spans="1:1" x14ac:dyDescent="0.25">
      <c r="A822461" s="242"/>
    </row>
    <row r="822462" spans="1:1" x14ac:dyDescent="0.25">
      <c r="A822462" s="242"/>
    </row>
    <row r="822463" spans="1:1" x14ac:dyDescent="0.25">
      <c r="A822463" s="242"/>
    </row>
    <row r="822464" spans="1:1" x14ac:dyDescent="0.25">
      <c r="A822464" s="242"/>
    </row>
    <row r="822465" spans="1:1" x14ac:dyDescent="0.25">
      <c r="A822465" s="242"/>
    </row>
    <row r="822466" spans="1:1" x14ac:dyDescent="0.25">
      <c r="A822466" s="242"/>
    </row>
    <row r="822467" spans="1:1" x14ac:dyDescent="0.25">
      <c r="A822467" s="242"/>
    </row>
    <row r="822468" spans="1:1" x14ac:dyDescent="0.25">
      <c r="A822468" s="242"/>
    </row>
    <row r="822469" spans="1:1" x14ac:dyDescent="0.25">
      <c r="A822469" s="242"/>
    </row>
    <row r="822470" spans="1:1" x14ac:dyDescent="0.25">
      <c r="A822470" s="242"/>
    </row>
    <row r="822471" spans="1:1" x14ac:dyDescent="0.25">
      <c r="A822471" s="242"/>
    </row>
    <row r="822472" spans="1:1" x14ac:dyDescent="0.25">
      <c r="A822472" s="242"/>
    </row>
    <row r="822473" spans="1:1" x14ac:dyDescent="0.25">
      <c r="A822473" s="242"/>
    </row>
    <row r="822474" spans="1:1" x14ac:dyDescent="0.25">
      <c r="A822474" s="242"/>
    </row>
    <row r="822475" spans="1:1" x14ac:dyDescent="0.25">
      <c r="A822475" s="242"/>
    </row>
    <row r="822476" spans="1:1" x14ac:dyDescent="0.25">
      <c r="A822476" s="242"/>
    </row>
    <row r="822477" spans="1:1" x14ac:dyDescent="0.25">
      <c r="A822477" s="242"/>
    </row>
    <row r="822478" spans="1:1" x14ac:dyDescent="0.25">
      <c r="A822478" s="242"/>
    </row>
    <row r="822479" spans="1:1" x14ac:dyDescent="0.25">
      <c r="A822479" s="242"/>
    </row>
    <row r="822480" spans="1:1" x14ac:dyDescent="0.25">
      <c r="A822480" s="242"/>
    </row>
    <row r="822481" spans="1:1" x14ac:dyDescent="0.25">
      <c r="A822481" s="242"/>
    </row>
    <row r="822482" spans="1:1" x14ac:dyDescent="0.25">
      <c r="A822482" s="242"/>
    </row>
    <row r="822483" spans="1:1" x14ac:dyDescent="0.25">
      <c r="A822483" s="242"/>
    </row>
    <row r="822484" spans="1:1" x14ac:dyDescent="0.25">
      <c r="A822484" s="242"/>
    </row>
    <row r="822485" spans="1:1" x14ac:dyDescent="0.25">
      <c r="A822485" s="242"/>
    </row>
    <row r="822486" spans="1:1" x14ac:dyDescent="0.25">
      <c r="A822486" s="242"/>
    </row>
    <row r="822487" spans="1:1" x14ac:dyDescent="0.25">
      <c r="A822487" s="242"/>
    </row>
    <row r="822488" spans="1:1" x14ac:dyDescent="0.25">
      <c r="A822488" s="242"/>
    </row>
    <row r="822489" spans="1:1" x14ac:dyDescent="0.25">
      <c r="A822489" s="242"/>
    </row>
    <row r="822490" spans="1:1" x14ac:dyDescent="0.25">
      <c r="A822490" s="242"/>
    </row>
    <row r="822491" spans="1:1" x14ac:dyDescent="0.25">
      <c r="A822491" s="242"/>
    </row>
    <row r="822492" spans="1:1" x14ac:dyDescent="0.25">
      <c r="A822492" s="242"/>
    </row>
    <row r="822493" spans="1:1" x14ac:dyDescent="0.25">
      <c r="A822493" s="242"/>
    </row>
    <row r="822494" spans="1:1" x14ac:dyDescent="0.25">
      <c r="A822494" s="242"/>
    </row>
    <row r="822495" spans="1:1" x14ac:dyDescent="0.25">
      <c r="A822495" s="242"/>
    </row>
    <row r="822496" spans="1:1" x14ac:dyDescent="0.25">
      <c r="A822496" s="242"/>
    </row>
    <row r="822497" spans="1:1" x14ac:dyDescent="0.25">
      <c r="A822497" s="242"/>
    </row>
    <row r="822498" spans="1:1" x14ac:dyDescent="0.25">
      <c r="A822498" s="242"/>
    </row>
    <row r="822499" spans="1:1" x14ac:dyDescent="0.25">
      <c r="A822499" s="242"/>
    </row>
    <row r="822500" spans="1:1" x14ac:dyDescent="0.25">
      <c r="A822500" s="242"/>
    </row>
    <row r="822501" spans="1:1" x14ac:dyDescent="0.25">
      <c r="A822501" s="242"/>
    </row>
    <row r="822502" spans="1:1" x14ac:dyDescent="0.25">
      <c r="A822502" s="242"/>
    </row>
    <row r="822503" spans="1:1" x14ac:dyDescent="0.25">
      <c r="A822503" s="242"/>
    </row>
    <row r="822504" spans="1:1" x14ac:dyDescent="0.25">
      <c r="A822504" s="242"/>
    </row>
    <row r="822505" spans="1:1" x14ac:dyDescent="0.25">
      <c r="A822505" s="242"/>
    </row>
    <row r="822506" spans="1:1" x14ac:dyDescent="0.25">
      <c r="A822506" s="242"/>
    </row>
    <row r="822507" spans="1:1" x14ac:dyDescent="0.25">
      <c r="A822507" s="242"/>
    </row>
    <row r="822508" spans="1:1" x14ac:dyDescent="0.25">
      <c r="A822508" s="242"/>
    </row>
    <row r="822509" spans="1:1" x14ac:dyDescent="0.25">
      <c r="A822509" s="242"/>
    </row>
    <row r="822510" spans="1:1" x14ac:dyDescent="0.25">
      <c r="A822510" s="242"/>
    </row>
    <row r="822511" spans="1:1" x14ac:dyDescent="0.25">
      <c r="A822511" s="242"/>
    </row>
    <row r="822512" spans="1:1" x14ac:dyDescent="0.25">
      <c r="A822512" s="242"/>
    </row>
    <row r="822513" spans="1:1" x14ac:dyDescent="0.25">
      <c r="A822513" s="242"/>
    </row>
    <row r="822514" spans="1:1" x14ac:dyDescent="0.25">
      <c r="A822514" s="242"/>
    </row>
    <row r="822515" spans="1:1" x14ac:dyDescent="0.25">
      <c r="A822515" s="242"/>
    </row>
    <row r="822516" spans="1:1" x14ac:dyDescent="0.25">
      <c r="A822516" s="242"/>
    </row>
    <row r="822517" spans="1:1" x14ac:dyDescent="0.25">
      <c r="A822517" s="242"/>
    </row>
    <row r="822518" spans="1:1" x14ac:dyDescent="0.25">
      <c r="A822518" s="242"/>
    </row>
    <row r="822519" spans="1:1" x14ac:dyDescent="0.25">
      <c r="A822519" s="242"/>
    </row>
    <row r="822520" spans="1:1" x14ac:dyDescent="0.25">
      <c r="A822520" s="242"/>
    </row>
    <row r="822521" spans="1:1" x14ac:dyDescent="0.25">
      <c r="A822521" s="242"/>
    </row>
    <row r="822522" spans="1:1" x14ac:dyDescent="0.25">
      <c r="A822522" s="242"/>
    </row>
    <row r="822523" spans="1:1" x14ac:dyDescent="0.25">
      <c r="A822523" s="242"/>
    </row>
    <row r="822524" spans="1:1" x14ac:dyDescent="0.25">
      <c r="A822524" s="242"/>
    </row>
    <row r="822525" spans="1:1" x14ac:dyDescent="0.25">
      <c r="A822525" s="242"/>
    </row>
    <row r="822526" spans="1:1" x14ac:dyDescent="0.25">
      <c r="A822526" s="242"/>
    </row>
    <row r="822527" spans="1:1" x14ac:dyDescent="0.25">
      <c r="A822527" s="242"/>
    </row>
    <row r="822528" spans="1:1" x14ac:dyDescent="0.25">
      <c r="A822528" s="242"/>
    </row>
    <row r="822529" spans="1:1" x14ac:dyDescent="0.25">
      <c r="A822529" s="242"/>
    </row>
    <row r="822530" spans="1:1" x14ac:dyDescent="0.25">
      <c r="A822530" s="242"/>
    </row>
    <row r="822531" spans="1:1" x14ac:dyDescent="0.25">
      <c r="A822531" s="242"/>
    </row>
    <row r="822532" spans="1:1" x14ac:dyDescent="0.25">
      <c r="A822532" s="242"/>
    </row>
    <row r="822533" spans="1:1" x14ac:dyDescent="0.25">
      <c r="A822533" s="242"/>
    </row>
    <row r="822534" spans="1:1" x14ac:dyDescent="0.25">
      <c r="A822534" s="242"/>
    </row>
    <row r="822535" spans="1:1" x14ac:dyDescent="0.25">
      <c r="A822535" s="242"/>
    </row>
    <row r="822536" spans="1:1" x14ac:dyDescent="0.25">
      <c r="A822536" s="242"/>
    </row>
    <row r="822537" spans="1:1" x14ac:dyDescent="0.25">
      <c r="A822537" s="242"/>
    </row>
    <row r="822538" spans="1:1" x14ac:dyDescent="0.25">
      <c r="A822538" s="242"/>
    </row>
    <row r="822539" spans="1:1" x14ac:dyDescent="0.25">
      <c r="A822539" s="242"/>
    </row>
    <row r="822540" spans="1:1" x14ac:dyDescent="0.25">
      <c r="A822540" s="242"/>
    </row>
    <row r="822541" spans="1:1" x14ac:dyDescent="0.25">
      <c r="A822541" s="242"/>
    </row>
    <row r="822542" spans="1:1" x14ac:dyDescent="0.25">
      <c r="A822542" s="242"/>
    </row>
    <row r="822543" spans="1:1" x14ac:dyDescent="0.25">
      <c r="A822543" s="242"/>
    </row>
    <row r="822544" spans="1:1" x14ac:dyDescent="0.25">
      <c r="A822544" s="242"/>
    </row>
    <row r="822545" spans="1:1" x14ac:dyDescent="0.25">
      <c r="A822545" s="242"/>
    </row>
    <row r="822546" spans="1:1" x14ac:dyDescent="0.25">
      <c r="A822546" s="242"/>
    </row>
    <row r="822547" spans="1:1" x14ac:dyDescent="0.25">
      <c r="A822547" s="242"/>
    </row>
    <row r="822548" spans="1:1" x14ac:dyDescent="0.25">
      <c r="A822548" s="242"/>
    </row>
    <row r="822549" spans="1:1" x14ac:dyDescent="0.25">
      <c r="A822549" s="242"/>
    </row>
    <row r="822550" spans="1:1" x14ac:dyDescent="0.25">
      <c r="A822550" s="242"/>
    </row>
    <row r="822551" spans="1:1" x14ac:dyDescent="0.25">
      <c r="A822551" s="242"/>
    </row>
    <row r="822552" spans="1:1" x14ac:dyDescent="0.25">
      <c r="A822552" s="242"/>
    </row>
    <row r="822553" spans="1:1" x14ac:dyDescent="0.25">
      <c r="A822553" s="242"/>
    </row>
    <row r="822554" spans="1:1" x14ac:dyDescent="0.25">
      <c r="A822554" s="242"/>
    </row>
    <row r="822555" spans="1:1" x14ac:dyDescent="0.25">
      <c r="A822555" s="242"/>
    </row>
    <row r="822556" spans="1:1" x14ac:dyDescent="0.25">
      <c r="A822556" s="242"/>
    </row>
    <row r="822557" spans="1:1" x14ac:dyDescent="0.25">
      <c r="A822557" s="242"/>
    </row>
    <row r="822558" spans="1:1" x14ac:dyDescent="0.25">
      <c r="A822558" s="242"/>
    </row>
    <row r="822559" spans="1:1" x14ac:dyDescent="0.25">
      <c r="A822559" s="242"/>
    </row>
    <row r="822560" spans="1:1" x14ac:dyDescent="0.25">
      <c r="A822560" s="242"/>
    </row>
    <row r="822561" spans="1:1" x14ac:dyDescent="0.25">
      <c r="A822561" s="242"/>
    </row>
    <row r="822562" spans="1:1" x14ac:dyDescent="0.25">
      <c r="A822562" s="242"/>
    </row>
    <row r="822563" spans="1:1" x14ac:dyDescent="0.25">
      <c r="A822563" s="242"/>
    </row>
    <row r="822564" spans="1:1" x14ac:dyDescent="0.25">
      <c r="A822564" s="242"/>
    </row>
    <row r="822565" spans="1:1" x14ac:dyDescent="0.25">
      <c r="A822565" s="242"/>
    </row>
    <row r="822566" spans="1:1" x14ac:dyDescent="0.25">
      <c r="A822566" s="242"/>
    </row>
    <row r="822567" spans="1:1" x14ac:dyDescent="0.25">
      <c r="A822567" s="242"/>
    </row>
    <row r="822568" spans="1:1" x14ac:dyDescent="0.25">
      <c r="A822568" s="242"/>
    </row>
    <row r="822569" spans="1:1" x14ac:dyDescent="0.25">
      <c r="A822569" s="242"/>
    </row>
    <row r="822570" spans="1:1" x14ac:dyDescent="0.25">
      <c r="A822570" s="242"/>
    </row>
    <row r="822571" spans="1:1" x14ac:dyDescent="0.25">
      <c r="A822571" s="242"/>
    </row>
    <row r="822572" spans="1:1" x14ac:dyDescent="0.25">
      <c r="A822572" s="242"/>
    </row>
    <row r="822573" spans="1:1" x14ac:dyDescent="0.25">
      <c r="A822573" s="242"/>
    </row>
    <row r="822574" spans="1:1" x14ac:dyDescent="0.25">
      <c r="A822574" s="242"/>
    </row>
    <row r="822575" spans="1:1" x14ac:dyDescent="0.25">
      <c r="A822575" s="242"/>
    </row>
    <row r="822576" spans="1:1" x14ac:dyDescent="0.25">
      <c r="A822576" s="242"/>
    </row>
    <row r="822577" spans="1:1" x14ac:dyDescent="0.25">
      <c r="A822577" s="242"/>
    </row>
    <row r="822578" spans="1:1" x14ac:dyDescent="0.25">
      <c r="A822578" s="242"/>
    </row>
    <row r="822579" spans="1:1" x14ac:dyDescent="0.25">
      <c r="A822579" s="242"/>
    </row>
    <row r="822580" spans="1:1" x14ac:dyDescent="0.25">
      <c r="A822580" s="242"/>
    </row>
    <row r="822581" spans="1:1" x14ac:dyDescent="0.25">
      <c r="A822581" s="242"/>
    </row>
    <row r="822582" spans="1:1" x14ac:dyDescent="0.25">
      <c r="A822582" s="242"/>
    </row>
    <row r="822583" spans="1:1" x14ac:dyDescent="0.25">
      <c r="A822583" s="242"/>
    </row>
    <row r="822584" spans="1:1" x14ac:dyDescent="0.25">
      <c r="A822584" s="242"/>
    </row>
    <row r="822585" spans="1:1" x14ac:dyDescent="0.25">
      <c r="A822585" s="242"/>
    </row>
    <row r="822586" spans="1:1" x14ac:dyDescent="0.25">
      <c r="A822586" s="242"/>
    </row>
    <row r="822587" spans="1:1" x14ac:dyDescent="0.25">
      <c r="A822587" s="242"/>
    </row>
    <row r="822588" spans="1:1" x14ac:dyDescent="0.25">
      <c r="A822588" s="242"/>
    </row>
    <row r="822589" spans="1:1" x14ac:dyDescent="0.25">
      <c r="A822589" s="242"/>
    </row>
    <row r="822590" spans="1:1" x14ac:dyDescent="0.25">
      <c r="A822590" s="242"/>
    </row>
    <row r="822591" spans="1:1" x14ac:dyDescent="0.25">
      <c r="A822591" s="242"/>
    </row>
    <row r="822592" spans="1:1" x14ac:dyDescent="0.25">
      <c r="A822592" s="242"/>
    </row>
    <row r="822593" spans="1:1" x14ac:dyDescent="0.25">
      <c r="A822593" s="242"/>
    </row>
    <row r="822594" spans="1:1" x14ac:dyDescent="0.25">
      <c r="A822594" s="242"/>
    </row>
    <row r="822595" spans="1:1" x14ac:dyDescent="0.25">
      <c r="A822595" s="242"/>
    </row>
    <row r="822596" spans="1:1" x14ac:dyDescent="0.25">
      <c r="A822596" s="242"/>
    </row>
    <row r="822597" spans="1:1" x14ac:dyDescent="0.25">
      <c r="A822597" s="242"/>
    </row>
    <row r="822598" spans="1:1" x14ac:dyDescent="0.25">
      <c r="A822598" s="242"/>
    </row>
    <row r="822599" spans="1:1" x14ac:dyDescent="0.25">
      <c r="A822599" s="242"/>
    </row>
    <row r="822600" spans="1:1" x14ac:dyDescent="0.25">
      <c r="A822600" s="242"/>
    </row>
    <row r="822601" spans="1:1" x14ac:dyDescent="0.25">
      <c r="A822601" s="242"/>
    </row>
    <row r="822602" spans="1:1" x14ac:dyDescent="0.25">
      <c r="A822602" s="242"/>
    </row>
    <row r="822603" spans="1:1" x14ac:dyDescent="0.25">
      <c r="A822603" s="242"/>
    </row>
    <row r="822604" spans="1:1" x14ac:dyDescent="0.25">
      <c r="A822604" s="242"/>
    </row>
    <row r="822605" spans="1:1" x14ac:dyDescent="0.25">
      <c r="A822605" s="242"/>
    </row>
    <row r="822606" spans="1:1" x14ac:dyDescent="0.25">
      <c r="A822606" s="242"/>
    </row>
    <row r="822607" spans="1:1" x14ac:dyDescent="0.25">
      <c r="A822607" s="242"/>
    </row>
    <row r="822608" spans="1:1" x14ac:dyDescent="0.25">
      <c r="A822608" s="242"/>
    </row>
    <row r="822609" spans="1:1" x14ac:dyDescent="0.25">
      <c r="A822609" s="242"/>
    </row>
    <row r="822610" spans="1:1" x14ac:dyDescent="0.25">
      <c r="A822610" s="242"/>
    </row>
    <row r="822611" spans="1:1" x14ac:dyDescent="0.25">
      <c r="A822611" s="242"/>
    </row>
    <row r="822612" spans="1:1" x14ac:dyDescent="0.25">
      <c r="A822612" s="242"/>
    </row>
    <row r="822613" spans="1:1" x14ac:dyDescent="0.25">
      <c r="A822613" s="242"/>
    </row>
    <row r="822614" spans="1:1" x14ac:dyDescent="0.25">
      <c r="A822614" s="242"/>
    </row>
    <row r="822615" spans="1:1" x14ac:dyDescent="0.25">
      <c r="A822615" s="242"/>
    </row>
    <row r="822616" spans="1:1" x14ac:dyDescent="0.25">
      <c r="A822616" s="242"/>
    </row>
    <row r="822617" spans="1:1" x14ac:dyDescent="0.25">
      <c r="A822617" s="242"/>
    </row>
    <row r="822618" spans="1:1" x14ac:dyDescent="0.25">
      <c r="A822618" s="242"/>
    </row>
    <row r="822619" spans="1:1" x14ac:dyDescent="0.25">
      <c r="A822619" s="242"/>
    </row>
    <row r="822620" spans="1:1" x14ac:dyDescent="0.25">
      <c r="A822620" s="242"/>
    </row>
    <row r="822621" spans="1:1" x14ac:dyDescent="0.25">
      <c r="A822621" s="242"/>
    </row>
    <row r="822622" spans="1:1" x14ac:dyDescent="0.25">
      <c r="A822622" s="242"/>
    </row>
    <row r="822623" spans="1:1" x14ac:dyDescent="0.25">
      <c r="A822623" s="242"/>
    </row>
    <row r="822624" spans="1:1" x14ac:dyDescent="0.25">
      <c r="A822624" s="242"/>
    </row>
    <row r="822625" spans="1:1" x14ac:dyDescent="0.25">
      <c r="A822625" s="242"/>
    </row>
    <row r="822626" spans="1:1" x14ac:dyDescent="0.25">
      <c r="A822626" s="242"/>
    </row>
    <row r="822627" spans="1:1" x14ac:dyDescent="0.25">
      <c r="A822627" s="242"/>
    </row>
    <row r="822628" spans="1:1" x14ac:dyDescent="0.25">
      <c r="A822628" s="242"/>
    </row>
    <row r="822629" spans="1:1" x14ac:dyDescent="0.25">
      <c r="A822629" s="242"/>
    </row>
    <row r="822630" spans="1:1" x14ac:dyDescent="0.25">
      <c r="A822630" s="242"/>
    </row>
    <row r="822631" spans="1:1" x14ac:dyDescent="0.25">
      <c r="A822631" s="242"/>
    </row>
    <row r="822632" spans="1:1" x14ac:dyDescent="0.25">
      <c r="A822632" s="242"/>
    </row>
    <row r="822633" spans="1:1" x14ac:dyDescent="0.25">
      <c r="A822633" s="242"/>
    </row>
    <row r="822634" spans="1:1" x14ac:dyDescent="0.25">
      <c r="A822634" s="242"/>
    </row>
    <row r="822635" spans="1:1" x14ac:dyDescent="0.25">
      <c r="A822635" s="242"/>
    </row>
    <row r="822636" spans="1:1" x14ac:dyDescent="0.25">
      <c r="A822636" s="242"/>
    </row>
    <row r="822637" spans="1:1" x14ac:dyDescent="0.25">
      <c r="A822637" s="242"/>
    </row>
    <row r="822638" spans="1:1" x14ac:dyDescent="0.25">
      <c r="A822638" s="242"/>
    </row>
    <row r="822639" spans="1:1" x14ac:dyDescent="0.25">
      <c r="A822639" s="242"/>
    </row>
    <row r="822640" spans="1:1" x14ac:dyDescent="0.25">
      <c r="A822640" s="242"/>
    </row>
    <row r="822641" spans="1:1" x14ac:dyDescent="0.25">
      <c r="A822641" s="242"/>
    </row>
    <row r="822642" spans="1:1" x14ac:dyDescent="0.25">
      <c r="A822642" s="242"/>
    </row>
    <row r="822643" spans="1:1" x14ac:dyDescent="0.25">
      <c r="A822643" s="242"/>
    </row>
    <row r="822644" spans="1:1" x14ac:dyDescent="0.25">
      <c r="A822644" s="242"/>
    </row>
    <row r="822645" spans="1:1" x14ac:dyDescent="0.25">
      <c r="A822645" s="242"/>
    </row>
    <row r="822646" spans="1:1" x14ac:dyDescent="0.25">
      <c r="A822646" s="242"/>
    </row>
    <row r="822647" spans="1:1" x14ac:dyDescent="0.25">
      <c r="A822647" s="242"/>
    </row>
    <row r="822648" spans="1:1" x14ac:dyDescent="0.25">
      <c r="A822648" s="242"/>
    </row>
    <row r="822649" spans="1:1" x14ac:dyDescent="0.25">
      <c r="A822649" s="242"/>
    </row>
    <row r="822650" spans="1:1" x14ac:dyDescent="0.25">
      <c r="A822650" s="242"/>
    </row>
    <row r="822651" spans="1:1" x14ac:dyDescent="0.25">
      <c r="A822651" s="242"/>
    </row>
    <row r="822652" spans="1:1" x14ac:dyDescent="0.25">
      <c r="A822652" s="242"/>
    </row>
    <row r="822653" spans="1:1" x14ac:dyDescent="0.25">
      <c r="A822653" s="242"/>
    </row>
    <row r="822654" spans="1:1" x14ac:dyDescent="0.25">
      <c r="A822654" s="242"/>
    </row>
    <row r="822655" spans="1:1" x14ac:dyDescent="0.25">
      <c r="A822655" s="242"/>
    </row>
    <row r="822656" spans="1:1" x14ac:dyDescent="0.25">
      <c r="A822656" s="242"/>
    </row>
    <row r="822657" spans="1:1" x14ac:dyDescent="0.25">
      <c r="A822657" s="242"/>
    </row>
    <row r="822658" spans="1:1" x14ac:dyDescent="0.25">
      <c r="A822658" s="242"/>
    </row>
    <row r="822659" spans="1:1" x14ac:dyDescent="0.25">
      <c r="A822659" s="242"/>
    </row>
    <row r="822660" spans="1:1" x14ac:dyDescent="0.25">
      <c r="A822660" s="242"/>
    </row>
    <row r="822661" spans="1:1" x14ac:dyDescent="0.25">
      <c r="A822661" s="242"/>
    </row>
    <row r="822662" spans="1:1" x14ac:dyDescent="0.25">
      <c r="A822662" s="242"/>
    </row>
    <row r="822663" spans="1:1" x14ac:dyDescent="0.25">
      <c r="A822663" s="242"/>
    </row>
    <row r="822664" spans="1:1" x14ac:dyDescent="0.25">
      <c r="A822664" s="242"/>
    </row>
    <row r="822665" spans="1:1" x14ac:dyDescent="0.25">
      <c r="A822665" s="242"/>
    </row>
    <row r="822666" spans="1:1" x14ac:dyDescent="0.25">
      <c r="A822666" s="242"/>
    </row>
    <row r="822667" spans="1:1" x14ac:dyDescent="0.25">
      <c r="A822667" s="242"/>
    </row>
    <row r="822668" spans="1:1" x14ac:dyDescent="0.25">
      <c r="A822668" s="242"/>
    </row>
    <row r="822669" spans="1:1" x14ac:dyDescent="0.25">
      <c r="A822669" s="242"/>
    </row>
    <row r="822670" spans="1:1" x14ac:dyDescent="0.25">
      <c r="A822670" s="242"/>
    </row>
    <row r="822671" spans="1:1" x14ac:dyDescent="0.25">
      <c r="A822671" s="242"/>
    </row>
    <row r="822672" spans="1:1" x14ac:dyDescent="0.25">
      <c r="A822672" s="242"/>
    </row>
    <row r="822673" spans="1:1" x14ac:dyDescent="0.25">
      <c r="A822673" s="242"/>
    </row>
    <row r="822674" spans="1:1" x14ac:dyDescent="0.25">
      <c r="A822674" s="242"/>
    </row>
    <row r="822675" spans="1:1" x14ac:dyDescent="0.25">
      <c r="A822675" s="242"/>
    </row>
    <row r="822676" spans="1:1" x14ac:dyDescent="0.25">
      <c r="A822676" s="242"/>
    </row>
    <row r="822677" spans="1:1" x14ac:dyDescent="0.25">
      <c r="A822677" s="242"/>
    </row>
    <row r="822678" spans="1:1" x14ac:dyDescent="0.25">
      <c r="A822678" s="242"/>
    </row>
    <row r="822679" spans="1:1" x14ac:dyDescent="0.25">
      <c r="A822679" s="242"/>
    </row>
    <row r="822680" spans="1:1" x14ac:dyDescent="0.25">
      <c r="A822680" s="242"/>
    </row>
    <row r="822681" spans="1:1" x14ac:dyDescent="0.25">
      <c r="A822681" s="242"/>
    </row>
    <row r="822682" spans="1:1" x14ac:dyDescent="0.25">
      <c r="A822682" s="242"/>
    </row>
    <row r="822683" spans="1:1" x14ac:dyDescent="0.25">
      <c r="A822683" s="242"/>
    </row>
    <row r="822684" spans="1:1" x14ac:dyDescent="0.25">
      <c r="A822684" s="242"/>
    </row>
    <row r="822685" spans="1:1" x14ac:dyDescent="0.25">
      <c r="A822685" s="242"/>
    </row>
    <row r="822686" spans="1:1" x14ac:dyDescent="0.25">
      <c r="A822686" s="242"/>
    </row>
    <row r="822687" spans="1:1" x14ac:dyDescent="0.25">
      <c r="A822687" s="242"/>
    </row>
    <row r="822688" spans="1:1" x14ac:dyDescent="0.25">
      <c r="A822688" s="242"/>
    </row>
    <row r="822689" spans="1:1" x14ac:dyDescent="0.25">
      <c r="A822689" s="242"/>
    </row>
    <row r="822690" spans="1:1" x14ac:dyDescent="0.25">
      <c r="A822690" s="242"/>
    </row>
    <row r="822691" spans="1:1" x14ac:dyDescent="0.25">
      <c r="A822691" s="242"/>
    </row>
    <row r="822692" spans="1:1" x14ac:dyDescent="0.25">
      <c r="A822692" s="242"/>
    </row>
    <row r="822693" spans="1:1" x14ac:dyDescent="0.25">
      <c r="A822693" s="242"/>
    </row>
    <row r="822694" spans="1:1" x14ac:dyDescent="0.25">
      <c r="A822694" s="242"/>
    </row>
    <row r="822695" spans="1:1" x14ac:dyDescent="0.25">
      <c r="A822695" s="242"/>
    </row>
    <row r="822696" spans="1:1" x14ac:dyDescent="0.25">
      <c r="A822696" s="242"/>
    </row>
    <row r="822697" spans="1:1" x14ac:dyDescent="0.25">
      <c r="A822697" s="242"/>
    </row>
    <row r="822698" spans="1:1" x14ac:dyDescent="0.25">
      <c r="A822698" s="242"/>
    </row>
    <row r="822699" spans="1:1" x14ac:dyDescent="0.25">
      <c r="A822699" s="242"/>
    </row>
    <row r="822700" spans="1:1" x14ac:dyDescent="0.25">
      <c r="A822700" s="242"/>
    </row>
    <row r="822701" spans="1:1" x14ac:dyDescent="0.25">
      <c r="A822701" s="242"/>
    </row>
    <row r="822702" spans="1:1" x14ac:dyDescent="0.25">
      <c r="A822702" s="242"/>
    </row>
    <row r="822703" spans="1:1" x14ac:dyDescent="0.25">
      <c r="A822703" s="242"/>
    </row>
    <row r="822704" spans="1:1" x14ac:dyDescent="0.25">
      <c r="A822704" s="242"/>
    </row>
    <row r="822705" spans="1:1" x14ac:dyDescent="0.25">
      <c r="A822705" s="242"/>
    </row>
    <row r="822706" spans="1:1" x14ac:dyDescent="0.25">
      <c r="A822706" s="242"/>
    </row>
    <row r="822707" spans="1:1" x14ac:dyDescent="0.25">
      <c r="A822707" s="242"/>
    </row>
    <row r="822708" spans="1:1" x14ac:dyDescent="0.25">
      <c r="A822708" s="242"/>
    </row>
    <row r="822709" spans="1:1" x14ac:dyDescent="0.25">
      <c r="A822709" s="242"/>
    </row>
    <row r="822710" spans="1:1" x14ac:dyDescent="0.25">
      <c r="A822710" s="242"/>
    </row>
    <row r="822711" spans="1:1" x14ac:dyDescent="0.25">
      <c r="A822711" s="242"/>
    </row>
    <row r="822712" spans="1:1" x14ac:dyDescent="0.25">
      <c r="A822712" s="242"/>
    </row>
    <row r="822713" spans="1:1" x14ac:dyDescent="0.25">
      <c r="A822713" s="242"/>
    </row>
    <row r="822714" spans="1:1" x14ac:dyDescent="0.25">
      <c r="A822714" s="242"/>
    </row>
    <row r="822715" spans="1:1" x14ac:dyDescent="0.25">
      <c r="A822715" s="242"/>
    </row>
    <row r="822716" spans="1:1" x14ac:dyDescent="0.25">
      <c r="A822716" s="242"/>
    </row>
    <row r="822717" spans="1:1" x14ac:dyDescent="0.25">
      <c r="A822717" s="242"/>
    </row>
    <row r="822718" spans="1:1" x14ac:dyDescent="0.25">
      <c r="A822718" s="242"/>
    </row>
    <row r="822719" spans="1:1" x14ac:dyDescent="0.25">
      <c r="A822719" s="242"/>
    </row>
    <row r="822720" spans="1:1" x14ac:dyDescent="0.25">
      <c r="A822720" s="242"/>
    </row>
    <row r="822721" spans="1:1" x14ac:dyDescent="0.25">
      <c r="A822721" s="242"/>
    </row>
    <row r="822722" spans="1:1" x14ac:dyDescent="0.25">
      <c r="A822722" s="242"/>
    </row>
    <row r="822723" spans="1:1" x14ac:dyDescent="0.25">
      <c r="A822723" s="242"/>
    </row>
    <row r="822724" spans="1:1" x14ac:dyDescent="0.25">
      <c r="A822724" s="242"/>
    </row>
    <row r="822725" spans="1:1" x14ac:dyDescent="0.25">
      <c r="A822725" s="242"/>
    </row>
    <row r="822726" spans="1:1" x14ac:dyDescent="0.25">
      <c r="A822726" s="242"/>
    </row>
    <row r="822727" spans="1:1" x14ac:dyDescent="0.25">
      <c r="A822727" s="242"/>
    </row>
    <row r="822728" spans="1:1" x14ac:dyDescent="0.25">
      <c r="A822728" s="242"/>
    </row>
    <row r="822729" spans="1:1" x14ac:dyDescent="0.25">
      <c r="A822729" s="242"/>
    </row>
    <row r="822730" spans="1:1" x14ac:dyDescent="0.25">
      <c r="A822730" s="242"/>
    </row>
    <row r="822731" spans="1:1" x14ac:dyDescent="0.25">
      <c r="A822731" s="242"/>
    </row>
    <row r="822732" spans="1:1" x14ac:dyDescent="0.25">
      <c r="A822732" s="242"/>
    </row>
    <row r="822733" spans="1:1" x14ac:dyDescent="0.25">
      <c r="A822733" s="242"/>
    </row>
    <row r="822734" spans="1:1" x14ac:dyDescent="0.25">
      <c r="A822734" s="242"/>
    </row>
    <row r="822735" spans="1:1" x14ac:dyDescent="0.25">
      <c r="A822735" s="242"/>
    </row>
    <row r="822736" spans="1:1" x14ac:dyDescent="0.25">
      <c r="A822736" s="242"/>
    </row>
    <row r="822737" spans="1:1" x14ac:dyDescent="0.25">
      <c r="A822737" s="242"/>
    </row>
    <row r="822738" spans="1:1" x14ac:dyDescent="0.25">
      <c r="A822738" s="242"/>
    </row>
    <row r="822739" spans="1:1" x14ac:dyDescent="0.25">
      <c r="A822739" s="242"/>
    </row>
    <row r="822740" spans="1:1" x14ac:dyDescent="0.25">
      <c r="A822740" s="242"/>
    </row>
    <row r="822741" spans="1:1" x14ac:dyDescent="0.25">
      <c r="A822741" s="242"/>
    </row>
    <row r="822742" spans="1:1" x14ac:dyDescent="0.25">
      <c r="A822742" s="242"/>
    </row>
    <row r="822743" spans="1:1" x14ac:dyDescent="0.25">
      <c r="A822743" s="242"/>
    </row>
    <row r="822744" spans="1:1" x14ac:dyDescent="0.25">
      <c r="A822744" s="242"/>
    </row>
    <row r="822745" spans="1:1" x14ac:dyDescent="0.25">
      <c r="A822745" s="242"/>
    </row>
    <row r="822746" spans="1:1" x14ac:dyDescent="0.25">
      <c r="A822746" s="242"/>
    </row>
    <row r="822747" spans="1:1" x14ac:dyDescent="0.25">
      <c r="A822747" s="242"/>
    </row>
    <row r="822748" spans="1:1" x14ac:dyDescent="0.25">
      <c r="A822748" s="242"/>
    </row>
    <row r="822749" spans="1:1" x14ac:dyDescent="0.25">
      <c r="A822749" s="242"/>
    </row>
    <row r="822750" spans="1:1" x14ac:dyDescent="0.25">
      <c r="A822750" s="242"/>
    </row>
    <row r="822751" spans="1:1" x14ac:dyDescent="0.25">
      <c r="A822751" s="242"/>
    </row>
    <row r="822752" spans="1:1" x14ac:dyDescent="0.25">
      <c r="A822752" s="242"/>
    </row>
    <row r="822753" spans="1:1" x14ac:dyDescent="0.25">
      <c r="A822753" s="242"/>
    </row>
    <row r="822754" spans="1:1" x14ac:dyDescent="0.25">
      <c r="A822754" s="242"/>
    </row>
    <row r="822755" spans="1:1" x14ac:dyDescent="0.25">
      <c r="A822755" s="242"/>
    </row>
    <row r="822756" spans="1:1" x14ac:dyDescent="0.25">
      <c r="A822756" s="242"/>
    </row>
    <row r="822757" spans="1:1" x14ac:dyDescent="0.25">
      <c r="A822757" s="242"/>
    </row>
    <row r="822758" spans="1:1" x14ac:dyDescent="0.25">
      <c r="A822758" s="242"/>
    </row>
    <row r="822759" spans="1:1" x14ac:dyDescent="0.25">
      <c r="A822759" s="242"/>
    </row>
    <row r="822760" spans="1:1" x14ac:dyDescent="0.25">
      <c r="A822760" s="242"/>
    </row>
    <row r="822761" spans="1:1" x14ac:dyDescent="0.25">
      <c r="A822761" s="242"/>
    </row>
    <row r="822762" spans="1:1" x14ac:dyDescent="0.25">
      <c r="A822762" s="242"/>
    </row>
    <row r="822763" spans="1:1" x14ac:dyDescent="0.25">
      <c r="A822763" s="242"/>
    </row>
    <row r="822764" spans="1:1" x14ac:dyDescent="0.25">
      <c r="A822764" s="242"/>
    </row>
    <row r="822765" spans="1:1" x14ac:dyDescent="0.25">
      <c r="A822765" s="242"/>
    </row>
    <row r="822766" spans="1:1" x14ac:dyDescent="0.25">
      <c r="A822766" s="242"/>
    </row>
    <row r="822767" spans="1:1" x14ac:dyDescent="0.25">
      <c r="A822767" s="242"/>
    </row>
    <row r="822768" spans="1:1" x14ac:dyDescent="0.25">
      <c r="A822768" s="242"/>
    </row>
    <row r="822769" spans="1:1" x14ac:dyDescent="0.25">
      <c r="A822769" s="242"/>
    </row>
    <row r="822770" spans="1:1" x14ac:dyDescent="0.25">
      <c r="A822770" s="242"/>
    </row>
    <row r="822771" spans="1:1" x14ac:dyDescent="0.25">
      <c r="A822771" s="242"/>
    </row>
    <row r="822772" spans="1:1" x14ac:dyDescent="0.25">
      <c r="A822772" s="242"/>
    </row>
    <row r="822773" spans="1:1" x14ac:dyDescent="0.25">
      <c r="A822773" s="242"/>
    </row>
    <row r="822774" spans="1:1" x14ac:dyDescent="0.25">
      <c r="A822774" s="242"/>
    </row>
    <row r="822775" spans="1:1" x14ac:dyDescent="0.25">
      <c r="A822775" s="242"/>
    </row>
    <row r="822776" spans="1:1" x14ac:dyDescent="0.25">
      <c r="A822776" s="242"/>
    </row>
    <row r="822777" spans="1:1" x14ac:dyDescent="0.25">
      <c r="A822777" s="242"/>
    </row>
    <row r="822778" spans="1:1" x14ac:dyDescent="0.25">
      <c r="A822778" s="242"/>
    </row>
    <row r="822779" spans="1:1" x14ac:dyDescent="0.25">
      <c r="A822779" s="242"/>
    </row>
    <row r="822780" spans="1:1" x14ac:dyDescent="0.25">
      <c r="A822780" s="242"/>
    </row>
    <row r="822781" spans="1:1" x14ac:dyDescent="0.25">
      <c r="A822781" s="242"/>
    </row>
    <row r="822782" spans="1:1" x14ac:dyDescent="0.25">
      <c r="A822782" s="242"/>
    </row>
    <row r="822783" spans="1:1" x14ac:dyDescent="0.25">
      <c r="A822783" s="242"/>
    </row>
    <row r="822784" spans="1:1" x14ac:dyDescent="0.25">
      <c r="A822784" s="242"/>
    </row>
    <row r="822785" spans="1:1" x14ac:dyDescent="0.25">
      <c r="A822785" s="242"/>
    </row>
    <row r="822786" spans="1:1" x14ac:dyDescent="0.25">
      <c r="A822786" s="242"/>
    </row>
    <row r="822787" spans="1:1" x14ac:dyDescent="0.25">
      <c r="A822787" s="242"/>
    </row>
    <row r="822788" spans="1:1" x14ac:dyDescent="0.25">
      <c r="A822788" s="242"/>
    </row>
    <row r="822789" spans="1:1" x14ac:dyDescent="0.25">
      <c r="A822789" s="242"/>
    </row>
    <row r="822790" spans="1:1" x14ac:dyDescent="0.25">
      <c r="A822790" s="242"/>
    </row>
    <row r="822791" spans="1:1" x14ac:dyDescent="0.25">
      <c r="A822791" s="242"/>
    </row>
    <row r="822792" spans="1:1" x14ac:dyDescent="0.25">
      <c r="A822792" s="242"/>
    </row>
    <row r="822793" spans="1:1" x14ac:dyDescent="0.25">
      <c r="A822793" s="242"/>
    </row>
    <row r="822794" spans="1:1" x14ac:dyDescent="0.25">
      <c r="A822794" s="242"/>
    </row>
    <row r="822795" spans="1:1" x14ac:dyDescent="0.25">
      <c r="A822795" s="242"/>
    </row>
    <row r="822796" spans="1:1" x14ac:dyDescent="0.25">
      <c r="A822796" s="242"/>
    </row>
    <row r="822797" spans="1:1" x14ac:dyDescent="0.25">
      <c r="A822797" s="242"/>
    </row>
    <row r="822798" spans="1:1" x14ac:dyDescent="0.25">
      <c r="A822798" s="242"/>
    </row>
    <row r="822799" spans="1:1" x14ac:dyDescent="0.25">
      <c r="A822799" s="242"/>
    </row>
    <row r="822800" spans="1:1" x14ac:dyDescent="0.25">
      <c r="A822800" s="242"/>
    </row>
    <row r="822801" spans="1:1" x14ac:dyDescent="0.25">
      <c r="A822801" s="242"/>
    </row>
    <row r="822802" spans="1:1" x14ac:dyDescent="0.25">
      <c r="A822802" s="242"/>
    </row>
    <row r="822803" spans="1:1" x14ac:dyDescent="0.25">
      <c r="A822803" s="242"/>
    </row>
    <row r="822804" spans="1:1" x14ac:dyDescent="0.25">
      <c r="A822804" s="242"/>
    </row>
    <row r="822805" spans="1:1" x14ac:dyDescent="0.25">
      <c r="A822805" s="242"/>
    </row>
    <row r="822806" spans="1:1" x14ac:dyDescent="0.25">
      <c r="A822806" s="242"/>
    </row>
    <row r="822807" spans="1:1" x14ac:dyDescent="0.25">
      <c r="A822807" s="242"/>
    </row>
    <row r="822808" spans="1:1" x14ac:dyDescent="0.25">
      <c r="A822808" s="242"/>
    </row>
    <row r="822809" spans="1:1" x14ac:dyDescent="0.25">
      <c r="A822809" s="242"/>
    </row>
    <row r="822810" spans="1:1" x14ac:dyDescent="0.25">
      <c r="A822810" s="242"/>
    </row>
    <row r="822811" spans="1:1" x14ac:dyDescent="0.25">
      <c r="A822811" s="242"/>
    </row>
    <row r="822812" spans="1:1" x14ac:dyDescent="0.25">
      <c r="A822812" s="242"/>
    </row>
    <row r="822813" spans="1:1" x14ac:dyDescent="0.25">
      <c r="A822813" s="242"/>
    </row>
    <row r="822814" spans="1:1" x14ac:dyDescent="0.25">
      <c r="A822814" s="242"/>
    </row>
    <row r="822815" spans="1:1" x14ac:dyDescent="0.25">
      <c r="A822815" s="242"/>
    </row>
    <row r="822816" spans="1:1" x14ac:dyDescent="0.25">
      <c r="A822816" s="242"/>
    </row>
    <row r="822817" spans="1:1" x14ac:dyDescent="0.25">
      <c r="A822817" s="242"/>
    </row>
    <row r="822818" spans="1:1" x14ac:dyDescent="0.25">
      <c r="A822818" s="242"/>
    </row>
    <row r="822819" spans="1:1" x14ac:dyDescent="0.25">
      <c r="A822819" s="242"/>
    </row>
    <row r="822820" spans="1:1" x14ac:dyDescent="0.25">
      <c r="A822820" s="242"/>
    </row>
    <row r="822821" spans="1:1" x14ac:dyDescent="0.25">
      <c r="A822821" s="242"/>
    </row>
    <row r="822822" spans="1:1" x14ac:dyDescent="0.25">
      <c r="A822822" s="242"/>
    </row>
    <row r="822823" spans="1:1" x14ac:dyDescent="0.25">
      <c r="A822823" s="242"/>
    </row>
    <row r="822824" spans="1:1" x14ac:dyDescent="0.25">
      <c r="A822824" s="242"/>
    </row>
    <row r="822825" spans="1:1" x14ac:dyDescent="0.25">
      <c r="A822825" s="242"/>
    </row>
    <row r="822826" spans="1:1" x14ac:dyDescent="0.25">
      <c r="A822826" s="242"/>
    </row>
    <row r="822827" spans="1:1" x14ac:dyDescent="0.25">
      <c r="A822827" s="242"/>
    </row>
    <row r="822828" spans="1:1" x14ac:dyDescent="0.25">
      <c r="A822828" s="242"/>
    </row>
    <row r="822829" spans="1:1" x14ac:dyDescent="0.25">
      <c r="A822829" s="242"/>
    </row>
    <row r="822830" spans="1:1" x14ac:dyDescent="0.25">
      <c r="A822830" s="242"/>
    </row>
    <row r="822831" spans="1:1" x14ac:dyDescent="0.25">
      <c r="A822831" s="242"/>
    </row>
    <row r="822832" spans="1:1" x14ac:dyDescent="0.25">
      <c r="A822832" s="242"/>
    </row>
    <row r="822833" spans="1:1" x14ac:dyDescent="0.25">
      <c r="A822833" s="242"/>
    </row>
    <row r="822834" spans="1:1" x14ac:dyDescent="0.25">
      <c r="A822834" s="242"/>
    </row>
    <row r="822835" spans="1:1" x14ac:dyDescent="0.25">
      <c r="A822835" s="242"/>
    </row>
    <row r="822836" spans="1:1" x14ac:dyDescent="0.25">
      <c r="A822836" s="242"/>
    </row>
    <row r="822837" spans="1:1" x14ac:dyDescent="0.25">
      <c r="A822837" s="242"/>
    </row>
    <row r="822838" spans="1:1" x14ac:dyDescent="0.25">
      <c r="A822838" s="242"/>
    </row>
    <row r="822839" spans="1:1" x14ac:dyDescent="0.25">
      <c r="A822839" s="242"/>
    </row>
    <row r="822840" spans="1:1" x14ac:dyDescent="0.25">
      <c r="A822840" s="242"/>
    </row>
    <row r="822841" spans="1:1" x14ac:dyDescent="0.25">
      <c r="A822841" s="242"/>
    </row>
    <row r="822842" spans="1:1" x14ac:dyDescent="0.25">
      <c r="A822842" s="242"/>
    </row>
    <row r="822843" spans="1:1" x14ac:dyDescent="0.25">
      <c r="A822843" s="242"/>
    </row>
    <row r="822844" spans="1:1" x14ac:dyDescent="0.25">
      <c r="A822844" s="242"/>
    </row>
    <row r="822845" spans="1:1" x14ac:dyDescent="0.25">
      <c r="A822845" s="242"/>
    </row>
    <row r="822846" spans="1:1" x14ac:dyDescent="0.25">
      <c r="A822846" s="242"/>
    </row>
    <row r="822847" spans="1:1" x14ac:dyDescent="0.25">
      <c r="A822847" s="242"/>
    </row>
    <row r="822848" spans="1:1" x14ac:dyDescent="0.25">
      <c r="A822848" s="242"/>
    </row>
    <row r="822849" spans="1:1" x14ac:dyDescent="0.25">
      <c r="A822849" s="242"/>
    </row>
    <row r="822850" spans="1:1" x14ac:dyDescent="0.25">
      <c r="A822850" s="242"/>
    </row>
    <row r="822851" spans="1:1" x14ac:dyDescent="0.25">
      <c r="A822851" s="242"/>
    </row>
    <row r="822852" spans="1:1" x14ac:dyDescent="0.25">
      <c r="A822852" s="242"/>
    </row>
    <row r="822853" spans="1:1" x14ac:dyDescent="0.25">
      <c r="A822853" s="242"/>
    </row>
    <row r="822854" spans="1:1" x14ac:dyDescent="0.25">
      <c r="A822854" s="242"/>
    </row>
    <row r="822855" spans="1:1" x14ac:dyDescent="0.25">
      <c r="A822855" s="242"/>
    </row>
    <row r="822856" spans="1:1" x14ac:dyDescent="0.25">
      <c r="A822856" s="242"/>
    </row>
    <row r="822857" spans="1:1" x14ac:dyDescent="0.25">
      <c r="A822857" s="242"/>
    </row>
    <row r="822858" spans="1:1" x14ac:dyDescent="0.25">
      <c r="A822858" s="242"/>
    </row>
    <row r="822859" spans="1:1" x14ac:dyDescent="0.25">
      <c r="A822859" s="242"/>
    </row>
    <row r="822860" spans="1:1" x14ac:dyDescent="0.25">
      <c r="A822860" s="242"/>
    </row>
    <row r="822861" spans="1:1" x14ac:dyDescent="0.25">
      <c r="A822861" s="242"/>
    </row>
    <row r="822862" spans="1:1" x14ac:dyDescent="0.25">
      <c r="A822862" s="242"/>
    </row>
    <row r="822863" spans="1:1" x14ac:dyDescent="0.25">
      <c r="A822863" s="242"/>
    </row>
    <row r="822864" spans="1:1" x14ac:dyDescent="0.25">
      <c r="A822864" s="242"/>
    </row>
    <row r="822865" spans="1:1" x14ac:dyDescent="0.25">
      <c r="A822865" s="242"/>
    </row>
    <row r="822866" spans="1:1" x14ac:dyDescent="0.25">
      <c r="A822866" s="242"/>
    </row>
    <row r="822867" spans="1:1" x14ac:dyDescent="0.25">
      <c r="A822867" s="242"/>
    </row>
    <row r="822868" spans="1:1" x14ac:dyDescent="0.25">
      <c r="A822868" s="242"/>
    </row>
    <row r="822869" spans="1:1" x14ac:dyDescent="0.25">
      <c r="A822869" s="242"/>
    </row>
    <row r="822870" spans="1:1" x14ac:dyDescent="0.25">
      <c r="A822870" s="242"/>
    </row>
    <row r="822871" spans="1:1" x14ac:dyDescent="0.25">
      <c r="A822871" s="242"/>
    </row>
    <row r="822872" spans="1:1" x14ac:dyDescent="0.25">
      <c r="A822872" s="242"/>
    </row>
    <row r="822873" spans="1:1" x14ac:dyDescent="0.25">
      <c r="A822873" s="242"/>
    </row>
    <row r="822874" spans="1:1" x14ac:dyDescent="0.25">
      <c r="A822874" s="242"/>
    </row>
    <row r="822875" spans="1:1" x14ac:dyDescent="0.25">
      <c r="A822875" s="242"/>
    </row>
    <row r="822876" spans="1:1" x14ac:dyDescent="0.25">
      <c r="A822876" s="242"/>
    </row>
    <row r="822877" spans="1:1" x14ac:dyDescent="0.25">
      <c r="A822877" s="242"/>
    </row>
    <row r="822878" spans="1:1" x14ac:dyDescent="0.25">
      <c r="A822878" s="242"/>
    </row>
    <row r="822879" spans="1:1" x14ac:dyDescent="0.25">
      <c r="A822879" s="242"/>
    </row>
    <row r="822880" spans="1:1" x14ac:dyDescent="0.25">
      <c r="A822880" s="242"/>
    </row>
    <row r="822881" spans="1:1" x14ac:dyDescent="0.25">
      <c r="A822881" s="242"/>
    </row>
    <row r="822882" spans="1:1" x14ac:dyDescent="0.25">
      <c r="A822882" s="242"/>
    </row>
    <row r="822883" spans="1:1" x14ac:dyDescent="0.25">
      <c r="A822883" s="242"/>
    </row>
    <row r="822884" spans="1:1" x14ac:dyDescent="0.25">
      <c r="A822884" s="242"/>
    </row>
    <row r="822885" spans="1:1" x14ac:dyDescent="0.25">
      <c r="A822885" s="242"/>
    </row>
    <row r="822886" spans="1:1" x14ac:dyDescent="0.25">
      <c r="A822886" s="242"/>
    </row>
    <row r="822887" spans="1:1" x14ac:dyDescent="0.25">
      <c r="A822887" s="242"/>
    </row>
    <row r="822888" spans="1:1" x14ac:dyDescent="0.25">
      <c r="A822888" s="242"/>
    </row>
    <row r="822889" spans="1:1" x14ac:dyDescent="0.25">
      <c r="A822889" s="242"/>
    </row>
    <row r="822890" spans="1:1" x14ac:dyDescent="0.25">
      <c r="A822890" s="242"/>
    </row>
    <row r="822891" spans="1:1" x14ac:dyDescent="0.25">
      <c r="A822891" s="242"/>
    </row>
    <row r="822892" spans="1:1" x14ac:dyDescent="0.25">
      <c r="A822892" s="242"/>
    </row>
    <row r="822893" spans="1:1" x14ac:dyDescent="0.25">
      <c r="A822893" s="242"/>
    </row>
    <row r="822894" spans="1:1" x14ac:dyDescent="0.25">
      <c r="A822894" s="242"/>
    </row>
    <row r="822895" spans="1:1" x14ac:dyDescent="0.25">
      <c r="A822895" s="242"/>
    </row>
    <row r="822896" spans="1:1" x14ac:dyDescent="0.25">
      <c r="A822896" s="242"/>
    </row>
    <row r="822897" spans="1:1" x14ac:dyDescent="0.25">
      <c r="A822897" s="242"/>
    </row>
    <row r="822898" spans="1:1" x14ac:dyDescent="0.25">
      <c r="A822898" s="242"/>
    </row>
    <row r="822899" spans="1:1" x14ac:dyDescent="0.25">
      <c r="A822899" s="242"/>
    </row>
    <row r="822900" spans="1:1" x14ac:dyDescent="0.25">
      <c r="A822900" s="242"/>
    </row>
    <row r="822901" spans="1:1" x14ac:dyDescent="0.25">
      <c r="A822901" s="242"/>
    </row>
    <row r="822902" spans="1:1" x14ac:dyDescent="0.25">
      <c r="A822902" s="242"/>
    </row>
    <row r="822903" spans="1:1" x14ac:dyDescent="0.25">
      <c r="A822903" s="242"/>
    </row>
    <row r="822904" spans="1:1" x14ac:dyDescent="0.25">
      <c r="A822904" s="242"/>
    </row>
    <row r="822905" spans="1:1" x14ac:dyDescent="0.25">
      <c r="A822905" s="242"/>
    </row>
    <row r="822906" spans="1:1" x14ac:dyDescent="0.25">
      <c r="A822906" s="242"/>
    </row>
    <row r="822907" spans="1:1" x14ac:dyDescent="0.25">
      <c r="A822907" s="242"/>
    </row>
    <row r="822908" spans="1:1" x14ac:dyDescent="0.25">
      <c r="A822908" s="242"/>
    </row>
    <row r="822909" spans="1:1" x14ac:dyDescent="0.25">
      <c r="A822909" s="242"/>
    </row>
    <row r="822910" spans="1:1" x14ac:dyDescent="0.25">
      <c r="A822910" s="242"/>
    </row>
    <row r="822911" spans="1:1" x14ac:dyDescent="0.25">
      <c r="A822911" s="242"/>
    </row>
    <row r="822912" spans="1:1" x14ac:dyDescent="0.25">
      <c r="A822912" s="242"/>
    </row>
    <row r="822913" spans="1:1" x14ac:dyDescent="0.25">
      <c r="A822913" s="242"/>
    </row>
    <row r="822914" spans="1:1" x14ac:dyDescent="0.25">
      <c r="A822914" s="242"/>
    </row>
    <row r="822915" spans="1:1" x14ac:dyDescent="0.25">
      <c r="A822915" s="242"/>
    </row>
    <row r="822916" spans="1:1" x14ac:dyDescent="0.25">
      <c r="A822916" s="242"/>
    </row>
    <row r="822917" spans="1:1" x14ac:dyDescent="0.25">
      <c r="A822917" s="242"/>
    </row>
    <row r="822918" spans="1:1" x14ac:dyDescent="0.25">
      <c r="A822918" s="242"/>
    </row>
    <row r="822919" spans="1:1" x14ac:dyDescent="0.25">
      <c r="A822919" s="242"/>
    </row>
    <row r="822920" spans="1:1" x14ac:dyDescent="0.25">
      <c r="A822920" s="242"/>
    </row>
    <row r="822921" spans="1:1" x14ac:dyDescent="0.25">
      <c r="A822921" s="242"/>
    </row>
    <row r="822922" spans="1:1" x14ac:dyDescent="0.25">
      <c r="A822922" s="242"/>
    </row>
    <row r="822923" spans="1:1" x14ac:dyDescent="0.25">
      <c r="A822923" s="242"/>
    </row>
    <row r="822924" spans="1:1" x14ac:dyDescent="0.25">
      <c r="A822924" s="242"/>
    </row>
    <row r="822925" spans="1:1" x14ac:dyDescent="0.25">
      <c r="A822925" s="242"/>
    </row>
    <row r="822926" spans="1:1" x14ac:dyDescent="0.25">
      <c r="A822926" s="242"/>
    </row>
    <row r="822927" spans="1:1" x14ac:dyDescent="0.25">
      <c r="A822927" s="242"/>
    </row>
    <row r="822928" spans="1:1" x14ac:dyDescent="0.25">
      <c r="A822928" s="242"/>
    </row>
    <row r="822929" spans="1:1" x14ac:dyDescent="0.25">
      <c r="A822929" s="242"/>
    </row>
    <row r="822930" spans="1:1" x14ac:dyDescent="0.25">
      <c r="A822930" s="242"/>
    </row>
    <row r="822931" spans="1:1" x14ac:dyDescent="0.25">
      <c r="A822931" s="242"/>
    </row>
    <row r="822932" spans="1:1" x14ac:dyDescent="0.25">
      <c r="A822932" s="242"/>
    </row>
    <row r="822933" spans="1:1" x14ac:dyDescent="0.25">
      <c r="A822933" s="242"/>
    </row>
    <row r="822934" spans="1:1" x14ac:dyDescent="0.25">
      <c r="A822934" s="242"/>
    </row>
    <row r="822935" spans="1:1" x14ac:dyDescent="0.25">
      <c r="A822935" s="242"/>
    </row>
    <row r="822936" spans="1:1" x14ac:dyDescent="0.25">
      <c r="A822936" s="242"/>
    </row>
    <row r="822937" spans="1:1" x14ac:dyDescent="0.25">
      <c r="A822937" s="242"/>
    </row>
    <row r="822938" spans="1:1" x14ac:dyDescent="0.25">
      <c r="A822938" s="242"/>
    </row>
    <row r="822939" spans="1:1" x14ac:dyDescent="0.25">
      <c r="A822939" s="242"/>
    </row>
    <row r="822940" spans="1:1" x14ac:dyDescent="0.25">
      <c r="A822940" s="242"/>
    </row>
    <row r="822941" spans="1:1" x14ac:dyDescent="0.25">
      <c r="A822941" s="242"/>
    </row>
    <row r="822942" spans="1:1" x14ac:dyDescent="0.25">
      <c r="A822942" s="242"/>
    </row>
    <row r="822943" spans="1:1" x14ac:dyDescent="0.25">
      <c r="A822943" s="242"/>
    </row>
    <row r="822944" spans="1:1" x14ac:dyDescent="0.25">
      <c r="A822944" s="242"/>
    </row>
    <row r="822945" spans="1:1" x14ac:dyDescent="0.25">
      <c r="A822945" s="242"/>
    </row>
    <row r="822946" spans="1:1" x14ac:dyDescent="0.25">
      <c r="A822946" s="242"/>
    </row>
    <row r="822947" spans="1:1" x14ac:dyDescent="0.25">
      <c r="A822947" s="242"/>
    </row>
    <row r="822948" spans="1:1" x14ac:dyDescent="0.25">
      <c r="A822948" s="242"/>
    </row>
    <row r="822949" spans="1:1" x14ac:dyDescent="0.25">
      <c r="A822949" s="242"/>
    </row>
    <row r="822950" spans="1:1" x14ac:dyDescent="0.25">
      <c r="A822950" s="242"/>
    </row>
    <row r="822951" spans="1:1" x14ac:dyDescent="0.25">
      <c r="A822951" s="242"/>
    </row>
    <row r="822952" spans="1:1" x14ac:dyDescent="0.25">
      <c r="A822952" s="242"/>
    </row>
    <row r="822953" spans="1:1" x14ac:dyDescent="0.25">
      <c r="A822953" s="242"/>
    </row>
    <row r="822954" spans="1:1" x14ac:dyDescent="0.25">
      <c r="A822954" s="242"/>
    </row>
    <row r="822955" spans="1:1" x14ac:dyDescent="0.25">
      <c r="A822955" s="242"/>
    </row>
    <row r="822956" spans="1:1" x14ac:dyDescent="0.25">
      <c r="A822956" s="242"/>
    </row>
    <row r="822957" spans="1:1" x14ac:dyDescent="0.25">
      <c r="A822957" s="242"/>
    </row>
    <row r="822958" spans="1:1" x14ac:dyDescent="0.25">
      <c r="A822958" s="242"/>
    </row>
    <row r="822959" spans="1:1" x14ac:dyDescent="0.25">
      <c r="A822959" s="242"/>
    </row>
    <row r="822960" spans="1:1" x14ac:dyDescent="0.25">
      <c r="A822960" s="242"/>
    </row>
    <row r="822961" spans="1:1" x14ac:dyDescent="0.25">
      <c r="A822961" s="242"/>
    </row>
    <row r="822962" spans="1:1" x14ac:dyDescent="0.25">
      <c r="A822962" s="242"/>
    </row>
    <row r="822963" spans="1:1" x14ac:dyDescent="0.25">
      <c r="A822963" s="242"/>
    </row>
    <row r="822964" spans="1:1" x14ac:dyDescent="0.25">
      <c r="A822964" s="242"/>
    </row>
    <row r="822965" spans="1:1" x14ac:dyDescent="0.25">
      <c r="A822965" s="242"/>
    </row>
    <row r="822966" spans="1:1" x14ac:dyDescent="0.25">
      <c r="A822966" s="242"/>
    </row>
    <row r="822967" spans="1:1" x14ac:dyDescent="0.25">
      <c r="A822967" s="242"/>
    </row>
    <row r="822968" spans="1:1" x14ac:dyDescent="0.25">
      <c r="A822968" s="242"/>
    </row>
    <row r="822969" spans="1:1" x14ac:dyDescent="0.25">
      <c r="A822969" s="242"/>
    </row>
    <row r="822970" spans="1:1" x14ac:dyDescent="0.25">
      <c r="A822970" s="242"/>
    </row>
    <row r="822971" spans="1:1" x14ac:dyDescent="0.25">
      <c r="A822971" s="242"/>
    </row>
    <row r="822972" spans="1:1" x14ac:dyDescent="0.25">
      <c r="A822972" s="242"/>
    </row>
    <row r="822973" spans="1:1" x14ac:dyDescent="0.25">
      <c r="A822973" s="242"/>
    </row>
    <row r="822974" spans="1:1" x14ac:dyDescent="0.25">
      <c r="A822974" s="242"/>
    </row>
    <row r="822975" spans="1:1" x14ac:dyDescent="0.25">
      <c r="A822975" s="242"/>
    </row>
    <row r="822976" spans="1:1" x14ac:dyDescent="0.25">
      <c r="A822976" s="242"/>
    </row>
    <row r="822977" spans="1:1" x14ac:dyDescent="0.25">
      <c r="A822977" s="242"/>
    </row>
    <row r="822978" spans="1:1" x14ac:dyDescent="0.25">
      <c r="A822978" s="242"/>
    </row>
    <row r="822979" spans="1:1" x14ac:dyDescent="0.25">
      <c r="A822979" s="242"/>
    </row>
    <row r="822980" spans="1:1" x14ac:dyDescent="0.25">
      <c r="A822980" s="242"/>
    </row>
    <row r="822981" spans="1:1" x14ac:dyDescent="0.25">
      <c r="A822981" s="242"/>
    </row>
    <row r="822982" spans="1:1" x14ac:dyDescent="0.25">
      <c r="A822982" s="242"/>
    </row>
    <row r="822983" spans="1:1" x14ac:dyDescent="0.25">
      <c r="A822983" s="242"/>
    </row>
    <row r="822984" spans="1:1" x14ac:dyDescent="0.25">
      <c r="A822984" s="242"/>
    </row>
    <row r="822985" spans="1:1" x14ac:dyDescent="0.25">
      <c r="A822985" s="242"/>
    </row>
    <row r="822986" spans="1:1" x14ac:dyDescent="0.25">
      <c r="A822986" s="242"/>
    </row>
    <row r="822987" spans="1:1" x14ac:dyDescent="0.25">
      <c r="A822987" s="242"/>
    </row>
    <row r="822988" spans="1:1" x14ac:dyDescent="0.25">
      <c r="A822988" s="242"/>
    </row>
    <row r="822989" spans="1:1" x14ac:dyDescent="0.25">
      <c r="A822989" s="242"/>
    </row>
    <row r="822990" spans="1:1" x14ac:dyDescent="0.25">
      <c r="A822990" s="242"/>
    </row>
    <row r="822991" spans="1:1" x14ac:dyDescent="0.25">
      <c r="A822991" s="242"/>
    </row>
    <row r="822992" spans="1:1" x14ac:dyDescent="0.25">
      <c r="A822992" s="242"/>
    </row>
    <row r="822993" spans="1:1" x14ac:dyDescent="0.25">
      <c r="A822993" s="242"/>
    </row>
    <row r="822994" spans="1:1" x14ac:dyDescent="0.25">
      <c r="A822994" s="242"/>
    </row>
    <row r="822995" spans="1:1" x14ac:dyDescent="0.25">
      <c r="A822995" s="242"/>
    </row>
    <row r="822996" spans="1:1" x14ac:dyDescent="0.25">
      <c r="A822996" s="242"/>
    </row>
    <row r="822997" spans="1:1" x14ac:dyDescent="0.25">
      <c r="A822997" s="242"/>
    </row>
    <row r="822998" spans="1:1" x14ac:dyDescent="0.25">
      <c r="A822998" s="242"/>
    </row>
    <row r="822999" spans="1:1" x14ac:dyDescent="0.25">
      <c r="A822999" s="242"/>
    </row>
    <row r="823000" spans="1:1" x14ac:dyDescent="0.25">
      <c r="A823000" s="242"/>
    </row>
    <row r="823001" spans="1:1" x14ac:dyDescent="0.25">
      <c r="A823001" s="242"/>
    </row>
    <row r="823002" spans="1:1" x14ac:dyDescent="0.25">
      <c r="A823002" s="242"/>
    </row>
    <row r="823003" spans="1:1" x14ac:dyDescent="0.25">
      <c r="A823003" s="242"/>
    </row>
    <row r="823004" spans="1:1" x14ac:dyDescent="0.25">
      <c r="A823004" s="242"/>
    </row>
    <row r="823005" spans="1:1" x14ac:dyDescent="0.25">
      <c r="A823005" s="242"/>
    </row>
    <row r="823006" spans="1:1" x14ac:dyDescent="0.25">
      <c r="A823006" s="242"/>
    </row>
    <row r="823007" spans="1:1" x14ac:dyDescent="0.25">
      <c r="A823007" s="242"/>
    </row>
    <row r="823008" spans="1:1" x14ac:dyDescent="0.25">
      <c r="A823008" s="242"/>
    </row>
    <row r="823009" spans="1:1" x14ac:dyDescent="0.25">
      <c r="A823009" s="242"/>
    </row>
    <row r="823010" spans="1:1" x14ac:dyDescent="0.25">
      <c r="A823010" s="242"/>
    </row>
    <row r="823011" spans="1:1" x14ac:dyDescent="0.25">
      <c r="A823011" s="242"/>
    </row>
    <row r="823012" spans="1:1" x14ac:dyDescent="0.25">
      <c r="A823012" s="242"/>
    </row>
    <row r="823013" spans="1:1" x14ac:dyDescent="0.25">
      <c r="A823013" s="242"/>
    </row>
    <row r="823014" spans="1:1" x14ac:dyDescent="0.25">
      <c r="A823014" s="242"/>
    </row>
    <row r="823015" spans="1:1" x14ac:dyDescent="0.25">
      <c r="A823015" s="242"/>
    </row>
    <row r="823016" spans="1:1" x14ac:dyDescent="0.25">
      <c r="A823016" s="242"/>
    </row>
    <row r="823017" spans="1:1" x14ac:dyDescent="0.25">
      <c r="A823017" s="242"/>
    </row>
    <row r="823018" spans="1:1" x14ac:dyDescent="0.25">
      <c r="A823018" s="242"/>
    </row>
    <row r="823019" spans="1:1" x14ac:dyDescent="0.25">
      <c r="A823019" s="242"/>
    </row>
    <row r="823020" spans="1:1" x14ac:dyDescent="0.25">
      <c r="A823020" s="242"/>
    </row>
    <row r="823021" spans="1:1" x14ac:dyDescent="0.25">
      <c r="A823021" s="242"/>
    </row>
    <row r="823022" spans="1:1" x14ac:dyDescent="0.25">
      <c r="A823022" s="242"/>
    </row>
    <row r="823023" spans="1:1" x14ac:dyDescent="0.25">
      <c r="A823023" s="242"/>
    </row>
    <row r="823024" spans="1:1" x14ac:dyDescent="0.25">
      <c r="A823024" s="242"/>
    </row>
    <row r="823025" spans="1:1" x14ac:dyDescent="0.25">
      <c r="A823025" s="242"/>
    </row>
    <row r="823026" spans="1:1" x14ac:dyDescent="0.25">
      <c r="A823026" s="242"/>
    </row>
    <row r="823027" spans="1:1" x14ac:dyDescent="0.25">
      <c r="A823027" s="242"/>
    </row>
    <row r="823028" spans="1:1" x14ac:dyDescent="0.25">
      <c r="A823028" s="242"/>
    </row>
    <row r="823029" spans="1:1" x14ac:dyDescent="0.25">
      <c r="A823029" s="242"/>
    </row>
    <row r="823030" spans="1:1" x14ac:dyDescent="0.25">
      <c r="A823030" s="242"/>
    </row>
    <row r="823031" spans="1:1" x14ac:dyDescent="0.25">
      <c r="A823031" s="242"/>
    </row>
    <row r="823032" spans="1:1" x14ac:dyDescent="0.25">
      <c r="A823032" s="242"/>
    </row>
    <row r="823033" spans="1:1" x14ac:dyDescent="0.25">
      <c r="A823033" s="242"/>
    </row>
    <row r="823034" spans="1:1" x14ac:dyDescent="0.25">
      <c r="A823034" s="242"/>
    </row>
    <row r="823035" spans="1:1" x14ac:dyDescent="0.25">
      <c r="A823035" s="242"/>
    </row>
    <row r="823036" spans="1:1" x14ac:dyDescent="0.25">
      <c r="A823036" s="242"/>
    </row>
    <row r="823037" spans="1:1" x14ac:dyDescent="0.25">
      <c r="A823037" s="242"/>
    </row>
    <row r="823038" spans="1:1" x14ac:dyDescent="0.25">
      <c r="A823038" s="242"/>
    </row>
    <row r="823039" spans="1:1" x14ac:dyDescent="0.25">
      <c r="A823039" s="242"/>
    </row>
    <row r="823040" spans="1:1" x14ac:dyDescent="0.25">
      <c r="A823040" s="242"/>
    </row>
    <row r="823041" spans="1:1" x14ac:dyDescent="0.25">
      <c r="A823041" s="242"/>
    </row>
    <row r="823042" spans="1:1" x14ac:dyDescent="0.25">
      <c r="A823042" s="242"/>
    </row>
    <row r="823043" spans="1:1" x14ac:dyDescent="0.25">
      <c r="A823043" s="242"/>
    </row>
    <row r="823044" spans="1:1" x14ac:dyDescent="0.25">
      <c r="A823044" s="242"/>
    </row>
    <row r="823045" spans="1:1" x14ac:dyDescent="0.25">
      <c r="A823045" s="242"/>
    </row>
    <row r="823046" spans="1:1" x14ac:dyDescent="0.25">
      <c r="A823046" s="242"/>
    </row>
    <row r="823047" spans="1:1" x14ac:dyDescent="0.25">
      <c r="A823047" s="242"/>
    </row>
    <row r="823048" spans="1:1" x14ac:dyDescent="0.25">
      <c r="A823048" s="242"/>
    </row>
    <row r="823049" spans="1:1" x14ac:dyDescent="0.25">
      <c r="A823049" s="242"/>
    </row>
    <row r="823050" spans="1:1" x14ac:dyDescent="0.25">
      <c r="A823050" s="242"/>
    </row>
    <row r="823051" spans="1:1" x14ac:dyDescent="0.25">
      <c r="A823051" s="242"/>
    </row>
    <row r="823052" spans="1:1" x14ac:dyDescent="0.25">
      <c r="A823052" s="242"/>
    </row>
    <row r="823053" spans="1:1" x14ac:dyDescent="0.25">
      <c r="A823053" s="242"/>
    </row>
    <row r="823054" spans="1:1" x14ac:dyDescent="0.25">
      <c r="A823054" s="242"/>
    </row>
    <row r="823055" spans="1:1" x14ac:dyDescent="0.25">
      <c r="A823055" s="242"/>
    </row>
    <row r="823056" spans="1:1" x14ac:dyDescent="0.25">
      <c r="A823056" s="242"/>
    </row>
    <row r="823057" spans="1:1" x14ac:dyDescent="0.25">
      <c r="A823057" s="242"/>
    </row>
    <row r="823058" spans="1:1" x14ac:dyDescent="0.25">
      <c r="A823058" s="242"/>
    </row>
    <row r="823059" spans="1:1" x14ac:dyDescent="0.25">
      <c r="A823059" s="242"/>
    </row>
    <row r="823060" spans="1:1" x14ac:dyDescent="0.25">
      <c r="A823060" s="242"/>
    </row>
    <row r="823061" spans="1:1" x14ac:dyDescent="0.25">
      <c r="A823061" s="242"/>
    </row>
    <row r="823062" spans="1:1" x14ac:dyDescent="0.25">
      <c r="A823062" s="242"/>
    </row>
    <row r="823063" spans="1:1" x14ac:dyDescent="0.25">
      <c r="A823063" s="242"/>
    </row>
    <row r="823064" spans="1:1" x14ac:dyDescent="0.25">
      <c r="A823064" s="242"/>
    </row>
    <row r="823065" spans="1:1" x14ac:dyDescent="0.25">
      <c r="A823065" s="242"/>
    </row>
    <row r="823066" spans="1:1" x14ac:dyDescent="0.25">
      <c r="A823066" s="242"/>
    </row>
    <row r="823067" spans="1:1" x14ac:dyDescent="0.25">
      <c r="A823067" s="242"/>
    </row>
    <row r="823068" spans="1:1" x14ac:dyDescent="0.25">
      <c r="A823068" s="242"/>
    </row>
    <row r="823069" spans="1:1" x14ac:dyDescent="0.25">
      <c r="A823069" s="242"/>
    </row>
    <row r="823070" spans="1:1" x14ac:dyDescent="0.25">
      <c r="A823070" s="242"/>
    </row>
    <row r="823071" spans="1:1" x14ac:dyDescent="0.25">
      <c r="A823071" s="242"/>
    </row>
    <row r="823072" spans="1:1" x14ac:dyDescent="0.25">
      <c r="A823072" s="242"/>
    </row>
    <row r="823073" spans="1:1" x14ac:dyDescent="0.25">
      <c r="A823073" s="242"/>
    </row>
    <row r="823074" spans="1:1" x14ac:dyDescent="0.25">
      <c r="A823074" s="242"/>
    </row>
    <row r="823075" spans="1:1" x14ac:dyDescent="0.25">
      <c r="A823075" s="242"/>
    </row>
    <row r="823076" spans="1:1" x14ac:dyDescent="0.25">
      <c r="A823076" s="242"/>
    </row>
    <row r="823077" spans="1:1" x14ac:dyDescent="0.25">
      <c r="A823077" s="242"/>
    </row>
    <row r="823078" spans="1:1" x14ac:dyDescent="0.25">
      <c r="A823078" s="242"/>
    </row>
    <row r="823079" spans="1:1" x14ac:dyDescent="0.25">
      <c r="A823079" s="242"/>
    </row>
    <row r="823080" spans="1:1" x14ac:dyDescent="0.25">
      <c r="A823080" s="242"/>
    </row>
    <row r="823081" spans="1:1" x14ac:dyDescent="0.25">
      <c r="A823081" s="242"/>
    </row>
    <row r="823082" spans="1:1" x14ac:dyDescent="0.25">
      <c r="A823082" s="242"/>
    </row>
    <row r="823083" spans="1:1" x14ac:dyDescent="0.25">
      <c r="A823083" s="242"/>
    </row>
    <row r="823084" spans="1:1" x14ac:dyDescent="0.25">
      <c r="A823084" s="242"/>
    </row>
    <row r="823085" spans="1:1" x14ac:dyDescent="0.25">
      <c r="A823085" s="242"/>
    </row>
    <row r="823086" spans="1:1" x14ac:dyDescent="0.25">
      <c r="A823086" s="242"/>
    </row>
    <row r="823087" spans="1:1" x14ac:dyDescent="0.25">
      <c r="A823087" s="242"/>
    </row>
    <row r="823088" spans="1:1" x14ac:dyDescent="0.25">
      <c r="A823088" s="242"/>
    </row>
    <row r="823089" spans="1:1" x14ac:dyDescent="0.25">
      <c r="A823089" s="242"/>
    </row>
    <row r="823090" spans="1:1" x14ac:dyDescent="0.25">
      <c r="A823090" s="242"/>
    </row>
    <row r="823091" spans="1:1" x14ac:dyDescent="0.25">
      <c r="A823091" s="242"/>
    </row>
    <row r="823092" spans="1:1" x14ac:dyDescent="0.25">
      <c r="A823092" s="242"/>
    </row>
    <row r="823093" spans="1:1" x14ac:dyDescent="0.25">
      <c r="A823093" s="242"/>
    </row>
    <row r="823094" spans="1:1" x14ac:dyDescent="0.25">
      <c r="A823094" s="242"/>
    </row>
    <row r="823095" spans="1:1" x14ac:dyDescent="0.25">
      <c r="A823095" s="242"/>
    </row>
    <row r="823096" spans="1:1" x14ac:dyDescent="0.25">
      <c r="A823096" s="242"/>
    </row>
    <row r="823097" spans="1:1" x14ac:dyDescent="0.25">
      <c r="A823097" s="242"/>
    </row>
    <row r="823098" spans="1:1" x14ac:dyDescent="0.25">
      <c r="A823098" s="242"/>
    </row>
    <row r="823099" spans="1:1" x14ac:dyDescent="0.25">
      <c r="A823099" s="242"/>
    </row>
    <row r="823100" spans="1:1" x14ac:dyDescent="0.25">
      <c r="A823100" s="242"/>
    </row>
    <row r="823101" spans="1:1" x14ac:dyDescent="0.25">
      <c r="A823101" s="242"/>
    </row>
    <row r="823102" spans="1:1" x14ac:dyDescent="0.25">
      <c r="A823102" s="242"/>
    </row>
    <row r="823103" spans="1:1" x14ac:dyDescent="0.25">
      <c r="A823103" s="242"/>
    </row>
    <row r="823104" spans="1:1" x14ac:dyDescent="0.25">
      <c r="A823104" s="242"/>
    </row>
    <row r="823105" spans="1:1" x14ac:dyDescent="0.25">
      <c r="A823105" s="242"/>
    </row>
    <row r="823106" spans="1:1" x14ac:dyDescent="0.25">
      <c r="A823106" s="242"/>
    </row>
    <row r="823107" spans="1:1" x14ac:dyDescent="0.25">
      <c r="A823107" s="242"/>
    </row>
    <row r="823108" spans="1:1" x14ac:dyDescent="0.25">
      <c r="A823108" s="242"/>
    </row>
    <row r="823109" spans="1:1" x14ac:dyDescent="0.25">
      <c r="A823109" s="242"/>
    </row>
    <row r="823110" spans="1:1" x14ac:dyDescent="0.25">
      <c r="A823110" s="242"/>
    </row>
    <row r="823111" spans="1:1" x14ac:dyDescent="0.25">
      <c r="A823111" s="242"/>
    </row>
    <row r="823112" spans="1:1" x14ac:dyDescent="0.25">
      <c r="A823112" s="242"/>
    </row>
    <row r="823113" spans="1:1" x14ac:dyDescent="0.25">
      <c r="A823113" s="242"/>
    </row>
    <row r="823114" spans="1:1" x14ac:dyDescent="0.25">
      <c r="A823114" s="242"/>
    </row>
    <row r="823115" spans="1:1" x14ac:dyDescent="0.25">
      <c r="A823115" s="242"/>
    </row>
    <row r="823116" spans="1:1" x14ac:dyDescent="0.25">
      <c r="A823116" s="242"/>
    </row>
    <row r="823117" spans="1:1" x14ac:dyDescent="0.25">
      <c r="A823117" s="242"/>
    </row>
    <row r="823118" spans="1:1" x14ac:dyDescent="0.25">
      <c r="A823118" s="242"/>
    </row>
    <row r="823119" spans="1:1" x14ac:dyDescent="0.25">
      <c r="A823119" s="242"/>
    </row>
    <row r="823120" spans="1:1" x14ac:dyDescent="0.25">
      <c r="A823120" s="242"/>
    </row>
    <row r="823121" spans="1:1" x14ac:dyDescent="0.25">
      <c r="A823121" s="242"/>
    </row>
    <row r="823122" spans="1:1" x14ac:dyDescent="0.25">
      <c r="A823122" s="242"/>
    </row>
    <row r="823123" spans="1:1" x14ac:dyDescent="0.25">
      <c r="A823123" s="242"/>
    </row>
    <row r="823124" spans="1:1" x14ac:dyDescent="0.25">
      <c r="A823124" s="242"/>
    </row>
    <row r="823125" spans="1:1" x14ac:dyDescent="0.25">
      <c r="A823125" s="242"/>
    </row>
    <row r="823126" spans="1:1" x14ac:dyDescent="0.25">
      <c r="A823126" s="242"/>
    </row>
    <row r="823127" spans="1:1" x14ac:dyDescent="0.25">
      <c r="A823127" s="242"/>
    </row>
    <row r="823128" spans="1:1" x14ac:dyDescent="0.25">
      <c r="A823128" s="242"/>
    </row>
    <row r="823129" spans="1:1" x14ac:dyDescent="0.25">
      <c r="A823129" s="242"/>
    </row>
    <row r="823130" spans="1:1" x14ac:dyDescent="0.25">
      <c r="A823130" s="242"/>
    </row>
    <row r="823131" spans="1:1" x14ac:dyDescent="0.25">
      <c r="A823131" s="242"/>
    </row>
    <row r="823132" spans="1:1" x14ac:dyDescent="0.25">
      <c r="A823132" s="242"/>
    </row>
    <row r="823133" spans="1:1" x14ac:dyDescent="0.25">
      <c r="A823133" s="242"/>
    </row>
    <row r="823134" spans="1:1" x14ac:dyDescent="0.25">
      <c r="A823134" s="242"/>
    </row>
    <row r="823135" spans="1:1" x14ac:dyDescent="0.25">
      <c r="A823135" s="242"/>
    </row>
    <row r="823136" spans="1:1" x14ac:dyDescent="0.25">
      <c r="A823136" s="242"/>
    </row>
    <row r="823137" spans="1:1" x14ac:dyDescent="0.25">
      <c r="A823137" s="242"/>
    </row>
    <row r="823138" spans="1:1" x14ac:dyDescent="0.25">
      <c r="A823138" s="242"/>
    </row>
    <row r="823139" spans="1:1" x14ac:dyDescent="0.25">
      <c r="A823139" s="242"/>
    </row>
    <row r="823140" spans="1:1" x14ac:dyDescent="0.25">
      <c r="A823140" s="242"/>
    </row>
    <row r="823141" spans="1:1" x14ac:dyDescent="0.25">
      <c r="A823141" s="242"/>
    </row>
    <row r="823142" spans="1:1" x14ac:dyDescent="0.25">
      <c r="A823142" s="242"/>
    </row>
    <row r="823143" spans="1:1" x14ac:dyDescent="0.25">
      <c r="A823143" s="242"/>
    </row>
    <row r="823144" spans="1:1" x14ac:dyDescent="0.25">
      <c r="A823144" s="242"/>
    </row>
    <row r="823145" spans="1:1" x14ac:dyDescent="0.25">
      <c r="A823145" s="242"/>
    </row>
    <row r="823146" spans="1:1" x14ac:dyDescent="0.25">
      <c r="A823146" s="242"/>
    </row>
    <row r="823147" spans="1:1" x14ac:dyDescent="0.25">
      <c r="A823147" s="242"/>
    </row>
    <row r="823148" spans="1:1" x14ac:dyDescent="0.25">
      <c r="A823148" s="242"/>
    </row>
    <row r="823149" spans="1:1" x14ac:dyDescent="0.25">
      <c r="A823149" s="242"/>
    </row>
    <row r="823150" spans="1:1" x14ac:dyDescent="0.25">
      <c r="A823150" s="242"/>
    </row>
    <row r="823151" spans="1:1" x14ac:dyDescent="0.25">
      <c r="A823151" s="242"/>
    </row>
    <row r="823152" spans="1:1" x14ac:dyDescent="0.25">
      <c r="A823152" s="242"/>
    </row>
    <row r="823153" spans="1:1" x14ac:dyDescent="0.25">
      <c r="A823153" s="242"/>
    </row>
    <row r="823154" spans="1:1" x14ac:dyDescent="0.25">
      <c r="A823154" s="242"/>
    </row>
    <row r="823155" spans="1:1" x14ac:dyDescent="0.25">
      <c r="A823155" s="242"/>
    </row>
    <row r="823156" spans="1:1" x14ac:dyDescent="0.25">
      <c r="A823156" s="242"/>
    </row>
    <row r="823157" spans="1:1" x14ac:dyDescent="0.25">
      <c r="A823157" s="242"/>
    </row>
    <row r="823158" spans="1:1" x14ac:dyDescent="0.25">
      <c r="A823158" s="242"/>
    </row>
    <row r="823159" spans="1:1" x14ac:dyDescent="0.25">
      <c r="A823159" s="242"/>
    </row>
    <row r="823160" spans="1:1" x14ac:dyDescent="0.25">
      <c r="A823160" s="242"/>
    </row>
    <row r="823161" spans="1:1" x14ac:dyDescent="0.25">
      <c r="A823161" s="242"/>
    </row>
    <row r="823162" spans="1:1" x14ac:dyDescent="0.25">
      <c r="A823162" s="242"/>
    </row>
    <row r="823163" spans="1:1" x14ac:dyDescent="0.25">
      <c r="A823163" s="242"/>
    </row>
    <row r="823164" spans="1:1" x14ac:dyDescent="0.25">
      <c r="A823164" s="242"/>
    </row>
    <row r="823165" spans="1:1" x14ac:dyDescent="0.25">
      <c r="A823165" s="242"/>
    </row>
    <row r="823166" spans="1:1" x14ac:dyDescent="0.25">
      <c r="A823166" s="242"/>
    </row>
    <row r="823167" spans="1:1" x14ac:dyDescent="0.25">
      <c r="A823167" s="242"/>
    </row>
    <row r="823168" spans="1:1" x14ac:dyDescent="0.25">
      <c r="A823168" s="242"/>
    </row>
    <row r="823169" spans="1:1" x14ac:dyDescent="0.25">
      <c r="A823169" s="242"/>
    </row>
    <row r="823170" spans="1:1" x14ac:dyDescent="0.25">
      <c r="A823170" s="242"/>
    </row>
    <row r="823171" spans="1:1" x14ac:dyDescent="0.25">
      <c r="A823171" s="242"/>
    </row>
    <row r="823172" spans="1:1" x14ac:dyDescent="0.25">
      <c r="A823172" s="242"/>
    </row>
    <row r="823173" spans="1:1" x14ac:dyDescent="0.25">
      <c r="A823173" s="242"/>
    </row>
    <row r="823174" spans="1:1" x14ac:dyDescent="0.25">
      <c r="A823174" s="242"/>
    </row>
    <row r="823175" spans="1:1" x14ac:dyDescent="0.25">
      <c r="A823175" s="242"/>
    </row>
    <row r="823176" spans="1:1" x14ac:dyDescent="0.25">
      <c r="A823176" s="242"/>
    </row>
    <row r="823177" spans="1:1" x14ac:dyDescent="0.25">
      <c r="A823177" s="242"/>
    </row>
    <row r="823178" spans="1:1" x14ac:dyDescent="0.25">
      <c r="A823178" s="242"/>
    </row>
    <row r="823179" spans="1:1" x14ac:dyDescent="0.25">
      <c r="A823179" s="242"/>
    </row>
    <row r="823180" spans="1:1" x14ac:dyDescent="0.25">
      <c r="A823180" s="242"/>
    </row>
    <row r="823181" spans="1:1" x14ac:dyDescent="0.25">
      <c r="A823181" s="242"/>
    </row>
    <row r="823182" spans="1:1" x14ac:dyDescent="0.25">
      <c r="A823182" s="242"/>
    </row>
    <row r="823183" spans="1:1" x14ac:dyDescent="0.25">
      <c r="A823183" s="242"/>
    </row>
    <row r="823184" spans="1:1" x14ac:dyDescent="0.25">
      <c r="A823184" s="242"/>
    </row>
    <row r="823185" spans="1:1" x14ac:dyDescent="0.25">
      <c r="A823185" s="242"/>
    </row>
    <row r="823186" spans="1:1" x14ac:dyDescent="0.25">
      <c r="A823186" s="242"/>
    </row>
    <row r="823187" spans="1:1" x14ac:dyDescent="0.25">
      <c r="A823187" s="242"/>
    </row>
    <row r="823188" spans="1:1" x14ac:dyDescent="0.25">
      <c r="A823188" s="242"/>
    </row>
    <row r="823189" spans="1:1" x14ac:dyDescent="0.25">
      <c r="A823189" s="242"/>
    </row>
    <row r="823190" spans="1:1" x14ac:dyDescent="0.25">
      <c r="A823190" s="242"/>
    </row>
    <row r="823191" spans="1:1" x14ac:dyDescent="0.25">
      <c r="A823191" s="242"/>
    </row>
    <row r="823192" spans="1:1" x14ac:dyDescent="0.25">
      <c r="A823192" s="242"/>
    </row>
    <row r="823193" spans="1:1" x14ac:dyDescent="0.25">
      <c r="A823193" s="242"/>
    </row>
    <row r="823194" spans="1:1" x14ac:dyDescent="0.25">
      <c r="A823194" s="242"/>
    </row>
    <row r="823195" spans="1:1" x14ac:dyDescent="0.25">
      <c r="A823195" s="242"/>
    </row>
    <row r="823196" spans="1:1" x14ac:dyDescent="0.25">
      <c r="A823196" s="242"/>
    </row>
    <row r="823197" spans="1:1" x14ac:dyDescent="0.25">
      <c r="A823197" s="242"/>
    </row>
    <row r="823198" spans="1:1" x14ac:dyDescent="0.25">
      <c r="A823198" s="242"/>
    </row>
    <row r="823199" spans="1:1" x14ac:dyDescent="0.25">
      <c r="A823199" s="242"/>
    </row>
    <row r="823200" spans="1:1" x14ac:dyDescent="0.25">
      <c r="A823200" s="242"/>
    </row>
    <row r="823201" spans="1:1" x14ac:dyDescent="0.25">
      <c r="A823201" s="242"/>
    </row>
    <row r="823202" spans="1:1" x14ac:dyDescent="0.25">
      <c r="A823202" s="242"/>
    </row>
    <row r="823203" spans="1:1" x14ac:dyDescent="0.25">
      <c r="A823203" s="242"/>
    </row>
    <row r="823204" spans="1:1" x14ac:dyDescent="0.25">
      <c r="A823204" s="242"/>
    </row>
    <row r="823205" spans="1:1" x14ac:dyDescent="0.25">
      <c r="A823205" s="242"/>
    </row>
    <row r="823206" spans="1:1" x14ac:dyDescent="0.25">
      <c r="A823206" s="242"/>
    </row>
    <row r="823207" spans="1:1" x14ac:dyDescent="0.25">
      <c r="A823207" s="242"/>
    </row>
    <row r="823208" spans="1:1" x14ac:dyDescent="0.25">
      <c r="A823208" s="242"/>
    </row>
    <row r="823209" spans="1:1" x14ac:dyDescent="0.25">
      <c r="A823209" s="242"/>
    </row>
    <row r="823210" spans="1:1" x14ac:dyDescent="0.25">
      <c r="A823210" s="242"/>
    </row>
    <row r="823211" spans="1:1" x14ac:dyDescent="0.25">
      <c r="A823211" s="242"/>
    </row>
    <row r="823212" spans="1:1" x14ac:dyDescent="0.25">
      <c r="A823212" s="242"/>
    </row>
    <row r="823213" spans="1:1" x14ac:dyDescent="0.25">
      <c r="A823213" s="242"/>
    </row>
    <row r="823214" spans="1:1" x14ac:dyDescent="0.25">
      <c r="A823214" s="242"/>
    </row>
    <row r="823215" spans="1:1" x14ac:dyDescent="0.25">
      <c r="A823215" s="242"/>
    </row>
    <row r="823216" spans="1:1" x14ac:dyDescent="0.25">
      <c r="A823216" s="242"/>
    </row>
    <row r="823217" spans="1:1" x14ac:dyDescent="0.25">
      <c r="A823217" s="242"/>
    </row>
    <row r="823218" spans="1:1" x14ac:dyDescent="0.25">
      <c r="A823218" s="242"/>
    </row>
    <row r="823219" spans="1:1" x14ac:dyDescent="0.25">
      <c r="A823219" s="242"/>
    </row>
    <row r="823220" spans="1:1" x14ac:dyDescent="0.25">
      <c r="A823220" s="242"/>
    </row>
    <row r="823221" spans="1:1" x14ac:dyDescent="0.25">
      <c r="A823221" s="242"/>
    </row>
    <row r="823222" spans="1:1" x14ac:dyDescent="0.25">
      <c r="A823222" s="242"/>
    </row>
    <row r="823223" spans="1:1" x14ac:dyDescent="0.25">
      <c r="A823223" s="242"/>
    </row>
    <row r="823224" spans="1:1" x14ac:dyDescent="0.25">
      <c r="A823224" s="242"/>
    </row>
    <row r="823225" spans="1:1" x14ac:dyDescent="0.25">
      <c r="A823225" s="242"/>
    </row>
    <row r="823226" spans="1:1" x14ac:dyDescent="0.25">
      <c r="A823226" s="242"/>
    </row>
    <row r="823227" spans="1:1" x14ac:dyDescent="0.25">
      <c r="A823227" s="242"/>
    </row>
    <row r="823228" spans="1:1" x14ac:dyDescent="0.25">
      <c r="A823228" s="242"/>
    </row>
    <row r="823229" spans="1:1" x14ac:dyDescent="0.25">
      <c r="A823229" s="242"/>
    </row>
    <row r="823230" spans="1:1" x14ac:dyDescent="0.25">
      <c r="A823230" s="242"/>
    </row>
    <row r="823231" spans="1:1" x14ac:dyDescent="0.25">
      <c r="A823231" s="242"/>
    </row>
    <row r="823232" spans="1:1" x14ac:dyDescent="0.25">
      <c r="A823232" s="242"/>
    </row>
    <row r="823233" spans="1:1" x14ac:dyDescent="0.25">
      <c r="A823233" s="242"/>
    </row>
    <row r="823234" spans="1:1" x14ac:dyDescent="0.25">
      <c r="A823234" s="242"/>
    </row>
    <row r="823235" spans="1:1" x14ac:dyDescent="0.25">
      <c r="A823235" s="242"/>
    </row>
    <row r="823236" spans="1:1" x14ac:dyDescent="0.25">
      <c r="A823236" s="242"/>
    </row>
    <row r="823237" spans="1:1" x14ac:dyDescent="0.25">
      <c r="A823237" s="242"/>
    </row>
    <row r="823238" spans="1:1" x14ac:dyDescent="0.25">
      <c r="A823238" s="242"/>
    </row>
    <row r="823239" spans="1:1" x14ac:dyDescent="0.25">
      <c r="A823239" s="242"/>
    </row>
    <row r="823240" spans="1:1" x14ac:dyDescent="0.25">
      <c r="A823240" s="242"/>
    </row>
    <row r="823241" spans="1:1" x14ac:dyDescent="0.25">
      <c r="A823241" s="242"/>
    </row>
    <row r="823242" spans="1:1" x14ac:dyDescent="0.25">
      <c r="A823242" s="242"/>
    </row>
    <row r="823243" spans="1:1" x14ac:dyDescent="0.25">
      <c r="A823243" s="242"/>
    </row>
    <row r="823244" spans="1:1" x14ac:dyDescent="0.25">
      <c r="A823244" s="242"/>
    </row>
    <row r="823245" spans="1:1" x14ac:dyDescent="0.25">
      <c r="A823245" s="242"/>
    </row>
    <row r="823246" spans="1:1" x14ac:dyDescent="0.25">
      <c r="A823246" s="242"/>
    </row>
    <row r="823247" spans="1:1" x14ac:dyDescent="0.25">
      <c r="A823247" s="242"/>
    </row>
    <row r="823248" spans="1:1" x14ac:dyDescent="0.25">
      <c r="A823248" s="242"/>
    </row>
    <row r="823249" spans="1:1" x14ac:dyDescent="0.25">
      <c r="A823249" s="242"/>
    </row>
    <row r="823250" spans="1:1" x14ac:dyDescent="0.25">
      <c r="A823250" s="242"/>
    </row>
    <row r="823251" spans="1:1" x14ac:dyDescent="0.25">
      <c r="A823251" s="242"/>
    </row>
    <row r="823252" spans="1:1" x14ac:dyDescent="0.25">
      <c r="A823252" s="242"/>
    </row>
    <row r="823253" spans="1:1" x14ac:dyDescent="0.25">
      <c r="A823253" s="242"/>
    </row>
    <row r="823254" spans="1:1" x14ac:dyDescent="0.25">
      <c r="A823254" s="242"/>
    </row>
    <row r="823255" spans="1:1" x14ac:dyDescent="0.25">
      <c r="A823255" s="242"/>
    </row>
    <row r="823256" spans="1:1" x14ac:dyDescent="0.25">
      <c r="A823256" s="242"/>
    </row>
    <row r="823257" spans="1:1" x14ac:dyDescent="0.25">
      <c r="A823257" s="242"/>
    </row>
    <row r="823258" spans="1:1" x14ac:dyDescent="0.25">
      <c r="A823258" s="242"/>
    </row>
    <row r="823259" spans="1:1" x14ac:dyDescent="0.25">
      <c r="A823259" s="242"/>
    </row>
    <row r="823260" spans="1:1" x14ac:dyDescent="0.25">
      <c r="A823260" s="242"/>
    </row>
    <row r="823261" spans="1:1" x14ac:dyDescent="0.25">
      <c r="A823261" s="242"/>
    </row>
    <row r="823262" spans="1:1" x14ac:dyDescent="0.25">
      <c r="A823262" s="242"/>
    </row>
    <row r="823263" spans="1:1" x14ac:dyDescent="0.25">
      <c r="A823263" s="242"/>
    </row>
    <row r="823264" spans="1:1" x14ac:dyDescent="0.25">
      <c r="A823264" s="242"/>
    </row>
    <row r="823265" spans="1:1" x14ac:dyDescent="0.25">
      <c r="A823265" s="242"/>
    </row>
    <row r="823266" spans="1:1" x14ac:dyDescent="0.25">
      <c r="A823266" s="242"/>
    </row>
    <row r="823267" spans="1:1" x14ac:dyDescent="0.25">
      <c r="A823267" s="242"/>
    </row>
    <row r="823268" spans="1:1" x14ac:dyDescent="0.25">
      <c r="A823268" s="242"/>
    </row>
    <row r="823269" spans="1:1" x14ac:dyDescent="0.25">
      <c r="A823269" s="242"/>
    </row>
    <row r="823270" spans="1:1" x14ac:dyDescent="0.25">
      <c r="A823270" s="242"/>
    </row>
    <row r="823271" spans="1:1" x14ac:dyDescent="0.25">
      <c r="A823271" s="242"/>
    </row>
    <row r="823272" spans="1:1" x14ac:dyDescent="0.25">
      <c r="A823272" s="242"/>
    </row>
    <row r="823273" spans="1:1" x14ac:dyDescent="0.25">
      <c r="A823273" s="242"/>
    </row>
    <row r="823274" spans="1:1" x14ac:dyDescent="0.25">
      <c r="A823274" s="242"/>
    </row>
    <row r="823275" spans="1:1" x14ac:dyDescent="0.25">
      <c r="A823275" s="242"/>
    </row>
    <row r="823276" spans="1:1" x14ac:dyDescent="0.25">
      <c r="A823276" s="242"/>
    </row>
    <row r="823277" spans="1:1" x14ac:dyDescent="0.25">
      <c r="A823277" s="242"/>
    </row>
    <row r="823278" spans="1:1" x14ac:dyDescent="0.25">
      <c r="A823278" s="242"/>
    </row>
    <row r="823279" spans="1:1" x14ac:dyDescent="0.25">
      <c r="A823279" s="242"/>
    </row>
    <row r="823280" spans="1:1" x14ac:dyDescent="0.25">
      <c r="A823280" s="242"/>
    </row>
    <row r="823281" spans="1:1" x14ac:dyDescent="0.25">
      <c r="A823281" s="242"/>
    </row>
    <row r="823282" spans="1:1" x14ac:dyDescent="0.25">
      <c r="A823282" s="242"/>
    </row>
    <row r="823283" spans="1:1" x14ac:dyDescent="0.25">
      <c r="A823283" s="242"/>
    </row>
    <row r="823284" spans="1:1" x14ac:dyDescent="0.25">
      <c r="A823284" s="242"/>
    </row>
    <row r="823285" spans="1:1" x14ac:dyDescent="0.25">
      <c r="A823285" s="242"/>
    </row>
    <row r="823286" spans="1:1" x14ac:dyDescent="0.25">
      <c r="A823286" s="242"/>
    </row>
    <row r="823287" spans="1:1" x14ac:dyDescent="0.25">
      <c r="A823287" s="242"/>
    </row>
    <row r="823288" spans="1:1" x14ac:dyDescent="0.25">
      <c r="A823288" s="242"/>
    </row>
    <row r="823289" spans="1:1" x14ac:dyDescent="0.25">
      <c r="A823289" s="242"/>
    </row>
    <row r="823290" spans="1:1" x14ac:dyDescent="0.25">
      <c r="A823290" s="242"/>
    </row>
    <row r="823291" spans="1:1" x14ac:dyDescent="0.25">
      <c r="A823291" s="242"/>
    </row>
    <row r="823292" spans="1:1" x14ac:dyDescent="0.25">
      <c r="A823292" s="242"/>
    </row>
    <row r="823293" spans="1:1" x14ac:dyDescent="0.25">
      <c r="A823293" s="242"/>
    </row>
    <row r="823294" spans="1:1" x14ac:dyDescent="0.25">
      <c r="A823294" s="242"/>
    </row>
    <row r="823295" spans="1:1" x14ac:dyDescent="0.25">
      <c r="A823295" s="242"/>
    </row>
    <row r="823296" spans="1:1" x14ac:dyDescent="0.25">
      <c r="A823296" s="242"/>
    </row>
    <row r="823297" spans="1:1" x14ac:dyDescent="0.25">
      <c r="A823297" s="242"/>
    </row>
    <row r="823298" spans="1:1" x14ac:dyDescent="0.25">
      <c r="A823298" s="242"/>
    </row>
    <row r="823299" spans="1:1" x14ac:dyDescent="0.25">
      <c r="A823299" s="242"/>
    </row>
    <row r="823300" spans="1:1" x14ac:dyDescent="0.25">
      <c r="A823300" s="242"/>
    </row>
    <row r="823301" spans="1:1" x14ac:dyDescent="0.25">
      <c r="A823301" s="242"/>
    </row>
    <row r="823302" spans="1:1" x14ac:dyDescent="0.25">
      <c r="A823302" s="242"/>
    </row>
    <row r="823303" spans="1:1" x14ac:dyDescent="0.25">
      <c r="A823303" s="242"/>
    </row>
    <row r="823304" spans="1:1" x14ac:dyDescent="0.25">
      <c r="A823304" s="242"/>
    </row>
    <row r="823305" spans="1:1" x14ac:dyDescent="0.25">
      <c r="A823305" s="242"/>
    </row>
    <row r="823306" spans="1:1" x14ac:dyDescent="0.25">
      <c r="A823306" s="242"/>
    </row>
    <row r="823307" spans="1:1" x14ac:dyDescent="0.25">
      <c r="A823307" s="242"/>
    </row>
    <row r="823308" spans="1:1" x14ac:dyDescent="0.25">
      <c r="A823308" s="242"/>
    </row>
    <row r="823309" spans="1:1" x14ac:dyDescent="0.25">
      <c r="A823309" s="242"/>
    </row>
    <row r="823310" spans="1:1" x14ac:dyDescent="0.25">
      <c r="A823310" s="242"/>
    </row>
    <row r="823311" spans="1:1" x14ac:dyDescent="0.25">
      <c r="A823311" s="242"/>
    </row>
    <row r="823312" spans="1:1" x14ac:dyDescent="0.25">
      <c r="A823312" s="242"/>
    </row>
    <row r="823313" spans="1:1" x14ac:dyDescent="0.25">
      <c r="A823313" s="242"/>
    </row>
    <row r="823314" spans="1:1" x14ac:dyDescent="0.25">
      <c r="A823314" s="242"/>
    </row>
    <row r="823315" spans="1:1" x14ac:dyDescent="0.25">
      <c r="A823315" s="242"/>
    </row>
    <row r="823316" spans="1:1" x14ac:dyDescent="0.25">
      <c r="A823316" s="242"/>
    </row>
    <row r="823317" spans="1:1" x14ac:dyDescent="0.25">
      <c r="A823317" s="242"/>
    </row>
    <row r="823318" spans="1:1" x14ac:dyDescent="0.25">
      <c r="A823318" s="242"/>
    </row>
    <row r="823319" spans="1:1" x14ac:dyDescent="0.25">
      <c r="A823319" s="242"/>
    </row>
    <row r="823320" spans="1:1" x14ac:dyDescent="0.25">
      <c r="A823320" s="242"/>
    </row>
    <row r="823321" spans="1:1" x14ac:dyDescent="0.25">
      <c r="A823321" s="242"/>
    </row>
    <row r="823322" spans="1:1" x14ac:dyDescent="0.25">
      <c r="A823322" s="242"/>
    </row>
    <row r="823323" spans="1:1" x14ac:dyDescent="0.25">
      <c r="A823323" s="242"/>
    </row>
    <row r="823324" spans="1:1" x14ac:dyDescent="0.25">
      <c r="A823324" s="242"/>
    </row>
    <row r="823325" spans="1:1" x14ac:dyDescent="0.25">
      <c r="A823325" s="242"/>
    </row>
    <row r="823326" spans="1:1" x14ac:dyDescent="0.25">
      <c r="A823326" s="242"/>
    </row>
    <row r="823327" spans="1:1" x14ac:dyDescent="0.25">
      <c r="A823327" s="242"/>
    </row>
    <row r="823328" spans="1:1" x14ac:dyDescent="0.25">
      <c r="A823328" s="242"/>
    </row>
    <row r="823329" spans="1:1" x14ac:dyDescent="0.25">
      <c r="A823329" s="242"/>
    </row>
    <row r="823330" spans="1:1" x14ac:dyDescent="0.25">
      <c r="A823330" s="242"/>
    </row>
    <row r="823331" spans="1:1" x14ac:dyDescent="0.25">
      <c r="A823331" s="242"/>
    </row>
    <row r="823332" spans="1:1" x14ac:dyDescent="0.25">
      <c r="A823332" s="242"/>
    </row>
    <row r="823333" spans="1:1" x14ac:dyDescent="0.25">
      <c r="A823333" s="242"/>
    </row>
    <row r="823334" spans="1:1" x14ac:dyDescent="0.25">
      <c r="A823334" s="242"/>
    </row>
    <row r="823335" spans="1:1" x14ac:dyDescent="0.25">
      <c r="A823335" s="242"/>
    </row>
    <row r="823336" spans="1:1" x14ac:dyDescent="0.25">
      <c r="A823336" s="242"/>
    </row>
    <row r="823337" spans="1:1" x14ac:dyDescent="0.25">
      <c r="A823337" s="242"/>
    </row>
    <row r="823338" spans="1:1" x14ac:dyDescent="0.25">
      <c r="A823338" s="242"/>
    </row>
    <row r="823339" spans="1:1" x14ac:dyDescent="0.25">
      <c r="A823339" s="242"/>
    </row>
    <row r="823340" spans="1:1" x14ac:dyDescent="0.25">
      <c r="A823340" s="242"/>
    </row>
    <row r="823341" spans="1:1" x14ac:dyDescent="0.25">
      <c r="A823341" s="242"/>
    </row>
    <row r="823342" spans="1:1" x14ac:dyDescent="0.25">
      <c r="A823342" s="242"/>
    </row>
    <row r="823343" spans="1:1" x14ac:dyDescent="0.25">
      <c r="A823343" s="242"/>
    </row>
    <row r="823344" spans="1:1" x14ac:dyDescent="0.25">
      <c r="A823344" s="242"/>
    </row>
    <row r="823345" spans="1:1" x14ac:dyDescent="0.25">
      <c r="A823345" s="242"/>
    </row>
    <row r="823346" spans="1:1" x14ac:dyDescent="0.25">
      <c r="A823346" s="242"/>
    </row>
    <row r="823347" spans="1:1" x14ac:dyDescent="0.25">
      <c r="A823347" s="242"/>
    </row>
    <row r="823348" spans="1:1" x14ac:dyDescent="0.25">
      <c r="A823348" s="242"/>
    </row>
    <row r="823349" spans="1:1" x14ac:dyDescent="0.25">
      <c r="A823349" s="242"/>
    </row>
    <row r="823350" spans="1:1" x14ac:dyDescent="0.25">
      <c r="A823350" s="242"/>
    </row>
    <row r="823351" spans="1:1" x14ac:dyDescent="0.25">
      <c r="A823351" s="242"/>
    </row>
    <row r="823352" spans="1:1" x14ac:dyDescent="0.25">
      <c r="A823352" s="242"/>
    </row>
    <row r="823353" spans="1:1" x14ac:dyDescent="0.25">
      <c r="A823353" s="242"/>
    </row>
    <row r="823354" spans="1:1" x14ac:dyDescent="0.25">
      <c r="A823354" s="242"/>
    </row>
    <row r="823355" spans="1:1" x14ac:dyDescent="0.25">
      <c r="A823355" s="242"/>
    </row>
    <row r="823356" spans="1:1" x14ac:dyDescent="0.25">
      <c r="A823356" s="242"/>
    </row>
    <row r="823357" spans="1:1" x14ac:dyDescent="0.25">
      <c r="A823357" s="242"/>
    </row>
    <row r="823358" spans="1:1" x14ac:dyDescent="0.25">
      <c r="A823358" s="242"/>
    </row>
    <row r="823359" spans="1:1" x14ac:dyDescent="0.25">
      <c r="A823359" s="242"/>
    </row>
    <row r="823360" spans="1:1" x14ac:dyDescent="0.25">
      <c r="A823360" s="242"/>
    </row>
    <row r="823361" spans="1:1" x14ac:dyDescent="0.25">
      <c r="A823361" s="242"/>
    </row>
    <row r="823362" spans="1:1" x14ac:dyDescent="0.25">
      <c r="A823362" s="242"/>
    </row>
    <row r="823363" spans="1:1" x14ac:dyDescent="0.25">
      <c r="A823363" s="242"/>
    </row>
    <row r="823364" spans="1:1" x14ac:dyDescent="0.25">
      <c r="A823364" s="242"/>
    </row>
    <row r="823365" spans="1:1" x14ac:dyDescent="0.25">
      <c r="A823365" s="242"/>
    </row>
    <row r="823366" spans="1:1" x14ac:dyDescent="0.25">
      <c r="A823366" s="242"/>
    </row>
    <row r="823367" spans="1:1" x14ac:dyDescent="0.25">
      <c r="A823367" s="242"/>
    </row>
    <row r="823368" spans="1:1" x14ac:dyDescent="0.25">
      <c r="A823368" s="242"/>
    </row>
    <row r="823369" spans="1:1" x14ac:dyDescent="0.25">
      <c r="A823369" s="242"/>
    </row>
    <row r="823370" spans="1:1" x14ac:dyDescent="0.25">
      <c r="A823370" s="242"/>
    </row>
    <row r="823371" spans="1:1" x14ac:dyDescent="0.25">
      <c r="A823371" s="242"/>
    </row>
    <row r="823372" spans="1:1" x14ac:dyDescent="0.25">
      <c r="A823372" s="242"/>
    </row>
    <row r="823373" spans="1:1" x14ac:dyDescent="0.25">
      <c r="A823373" s="242"/>
    </row>
    <row r="823374" spans="1:1" x14ac:dyDescent="0.25">
      <c r="A823374" s="242"/>
    </row>
    <row r="823375" spans="1:1" x14ac:dyDescent="0.25">
      <c r="A823375" s="242"/>
    </row>
    <row r="823376" spans="1:1" x14ac:dyDescent="0.25">
      <c r="A823376" s="242"/>
    </row>
    <row r="823377" spans="1:1" x14ac:dyDescent="0.25">
      <c r="A823377" s="242"/>
    </row>
    <row r="823378" spans="1:1" x14ac:dyDescent="0.25">
      <c r="A823378" s="242"/>
    </row>
    <row r="823379" spans="1:1" x14ac:dyDescent="0.25">
      <c r="A823379" s="242"/>
    </row>
    <row r="823380" spans="1:1" x14ac:dyDescent="0.25">
      <c r="A823380" s="242"/>
    </row>
    <row r="823381" spans="1:1" x14ac:dyDescent="0.25">
      <c r="A823381" s="242"/>
    </row>
    <row r="823382" spans="1:1" x14ac:dyDescent="0.25">
      <c r="A823382" s="242"/>
    </row>
    <row r="823383" spans="1:1" x14ac:dyDescent="0.25">
      <c r="A823383" s="242"/>
    </row>
    <row r="823384" spans="1:1" x14ac:dyDescent="0.25">
      <c r="A823384" s="242"/>
    </row>
    <row r="823385" spans="1:1" x14ac:dyDescent="0.25">
      <c r="A823385" s="242"/>
    </row>
    <row r="823386" spans="1:1" x14ac:dyDescent="0.25">
      <c r="A823386" s="242"/>
    </row>
    <row r="823387" spans="1:1" x14ac:dyDescent="0.25">
      <c r="A823387" s="242"/>
    </row>
    <row r="823388" spans="1:1" x14ac:dyDescent="0.25">
      <c r="A823388" s="242"/>
    </row>
    <row r="823389" spans="1:1" x14ac:dyDescent="0.25">
      <c r="A823389" s="242"/>
    </row>
    <row r="823390" spans="1:1" x14ac:dyDescent="0.25">
      <c r="A823390" s="242"/>
    </row>
    <row r="823391" spans="1:1" x14ac:dyDescent="0.25">
      <c r="A823391" s="242"/>
    </row>
    <row r="823392" spans="1:1" x14ac:dyDescent="0.25">
      <c r="A823392" s="242"/>
    </row>
    <row r="823393" spans="1:1" x14ac:dyDescent="0.25">
      <c r="A823393" s="242"/>
    </row>
    <row r="823394" spans="1:1" x14ac:dyDescent="0.25">
      <c r="A823394" s="242"/>
    </row>
    <row r="823395" spans="1:1" x14ac:dyDescent="0.25">
      <c r="A823395" s="242"/>
    </row>
    <row r="823396" spans="1:1" x14ac:dyDescent="0.25">
      <c r="A823396" s="242"/>
    </row>
    <row r="823397" spans="1:1" x14ac:dyDescent="0.25">
      <c r="A823397" s="242"/>
    </row>
    <row r="823398" spans="1:1" x14ac:dyDescent="0.25">
      <c r="A823398" s="242"/>
    </row>
    <row r="823399" spans="1:1" x14ac:dyDescent="0.25">
      <c r="A823399" s="242"/>
    </row>
    <row r="823400" spans="1:1" x14ac:dyDescent="0.25">
      <c r="A823400" s="242"/>
    </row>
    <row r="823401" spans="1:1" x14ac:dyDescent="0.25">
      <c r="A823401" s="242"/>
    </row>
    <row r="823402" spans="1:1" x14ac:dyDescent="0.25">
      <c r="A823402" s="242"/>
    </row>
    <row r="823403" spans="1:1" x14ac:dyDescent="0.25">
      <c r="A823403" s="242"/>
    </row>
    <row r="823404" spans="1:1" x14ac:dyDescent="0.25">
      <c r="A823404" s="242"/>
    </row>
    <row r="823405" spans="1:1" x14ac:dyDescent="0.25">
      <c r="A823405" s="242"/>
    </row>
    <row r="823406" spans="1:1" x14ac:dyDescent="0.25">
      <c r="A823406" s="242"/>
    </row>
    <row r="823407" spans="1:1" x14ac:dyDescent="0.25">
      <c r="A823407" s="242"/>
    </row>
    <row r="823408" spans="1:1" x14ac:dyDescent="0.25">
      <c r="A823408" s="242"/>
    </row>
    <row r="823409" spans="1:1" x14ac:dyDescent="0.25">
      <c r="A823409" s="242"/>
    </row>
    <row r="823410" spans="1:1" x14ac:dyDescent="0.25">
      <c r="A823410" s="242"/>
    </row>
    <row r="823411" spans="1:1" x14ac:dyDescent="0.25">
      <c r="A823411" s="242"/>
    </row>
    <row r="823412" spans="1:1" x14ac:dyDescent="0.25">
      <c r="A823412" s="242"/>
    </row>
    <row r="823413" spans="1:1" x14ac:dyDescent="0.25">
      <c r="A823413" s="242"/>
    </row>
    <row r="823414" spans="1:1" x14ac:dyDescent="0.25">
      <c r="A823414" s="242"/>
    </row>
    <row r="823415" spans="1:1" x14ac:dyDescent="0.25">
      <c r="A823415" s="242"/>
    </row>
    <row r="823416" spans="1:1" x14ac:dyDescent="0.25">
      <c r="A823416" s="242"/>
    </row>
    <row r="823417" spans="1:1" x14ac:dyDescent="0.25">
      <c r="A823417" s="242"/>
    </row>
    <row r="823418" spans="1:1" x14ac:dyDescent="0.25">
      <c r="A823418" s="242"/>
    </row>
    <row r="823419" spans="1:1" x14ac:dyDescent="0.25">
      <c r="A823419" s="242"/>
    </row>
    <row r="823420" spans="1:1" x14ac:dyDescent="0.25">
      <c r="A823420" s="242"/>
    </row>
    <row r="823421" spans="1:1" x14ac:dyDescent="0.25">
      <c r="A823421" s="242"/>
    </row>
    <row r="823422" spans="1:1" x14ac:dyDescent="0.25">
      <c r="A823422" s="242"/>
    </row>
    <row r="823423" spans="1:1" x14ac:dyDescent="0.25">
      <c r="A823423" s="242"/>
    </row>
    <row r="823424" spans="1:1" x14ac:dyDescent="0.25">
      <c r="A823424" s="242"/>
    </row>
    <row r="823425" spans="1:1" x14ac:dyDescent="0.25">
      <c r="A823425" s="242"/>
    </row>
    <row r="823426" spans="1:1" x14ac:dyDescent="0.25">
      <c r="A823426" s="242"/>
    </row>
    <row r="823427" spans="1:1" x14ac:dyDescent="0.25">
      <c r="A823427" s="242"/>
    </row>
    <row r="823428" spans="1:1" x14ac:dyDescent="0.25">
      <c r="A823428" s="242"/>
    </row>
    <row r="823429" spans="1:1" x14ac:dyDescent="0.25">
      <c r="A823429" s="242"/>
    </row>
    <row r="823430" spans="1:1" x14ac:dyDescent="0.25">
      <c r="A823430" s="242"/>
    </row>
    <row r="823431" spans="1:1" x14ac:dyDescent="0.25">
      <c r="A823431" s="242"/>
    </row>
    <row r="823432" spans="1:1" x14ac:dyDescent="0.25">
      <c r="A823432" s="242"/>
    </row>
    <row r="823433" spans="1:1" x14ac:dyDescent="0.25">
      <c r="A823433" s="242"/>
    </row>
    <row r="823434" spans="1:1" x14ac:dyDescent="0.25">
      <c r="A823434" s="242"/>
    </row>
    <row r="823435" spans="1:1" x14ac:dyDescent="0.25">
      <c r="A823435" s="242"/>
    </row>
    <row r="823436" spans="1:1" x14ac:dyDescent="0.25">
      <c r="A823436" s="242"/>
    </row>
    <row r="823437" spans="1:1" x14ac:dyDescent="0.25">
      <c r="A823437" s="242"/>
    </row>
    <row r="823438" spans="1:1" x14ac:dyDescent="0.25">
      <c r="A823438" s="242"/>
    </row>
    <row r="823439" spans="1:1" x14ac:dyDescent="0.25">
      <c r="A823439" s="242"/>
    </row>
    <row r="823440" spans="1:1" x14ac:dyDescent="0.25">
      <c r="A823440" s="242"/>
    </row>
    <row r="823441" spans="1:1" x14ac:dyDescent="0.25">
      <c r="A823441" s="242"/>
    </row>
    <row r="823442" spans="1:1" x14ac:dyDescent="0.25">
      <c r="A823442" s="242"/>
    </row>
    <row r="823443" spans="1:1" x14ac:dyDescent="0.25">
      <c r="A823443" s="242"/>
    </row>
    <row r="823444" spans="1:1" x14ac:dyDescent="0.25">
      <c r="A823444" s="242"/>
    </row>
    <row r="823445" spans="1:1" x14ac:dyDescent="0.25">
      <c r="A823445" s="242"/>
    </row>
    <row r="823446" spans="1:1" x14ac:dyDescent="0.25">
      <c r="A823446" s="242"/>
    </row>
    <row r="823447" spans="1:1" x14ac:dyDescent="0.25">
      <c r="A823447" s="242"/>
    </row>
    <row r="823448" spans="1:1" x14ac:dyDescent="0.25">
      <c r="A823448" s="242"/>
    </row>
    <row r="823449" spans="1:1" x14ac:dyDescent="0.25">
      <c r="A823449" s="242"/>
    </row>
    <row r="823450" spans="1:1" x14ac:dyDescent="0.25">
      <c r="A823450" s="242"/>
    </row>
    <row r="823451" spans="1:1" x14ac:dyDescent="0.25">
      <c r="A823451" s="242"/>
    </row>
    <row r="823452" spans="1:1" x14ac:dyDescent="0.25">
      <c r="A823452" s="242"/>
    </row>
    <row r="823453" spans="1:1" x14ac:dyDescent="0.25">
      <c r="A823453" s="242"/>
    </row>
    <row r="823454" spans="1:1" x14ac:dyDescent="0.25">
      <c r="A823454" s="242"/>
    </row>
    <row r="823455" spans="1:1" x14ac:dyDescent="0.25">
      <c r="A823455" s="242"/>
    </row>
    <row r="823456" spans="1:1" x14ac:dyDescent="0.25">
      <c r="A823456" s="242"/>
    </row>
    <row r="823457" spans="1:1" x14ac:dyDescent="0.25">
      <c r="A823457" s="242"/>
    </row>
    <row r="823458" spans="1:1" x14ac:dyDescent="0.25">
      <c r="A823458" s="242"/>
    </row>
    <row r="823459" spans="1:1" x14ac:dyDescent="0.25">
      <c r="A823459" s="242"/>
    </row>
    <row r="823460" spans="1:1" x14ac:dyDescent="0.25">
      <c r="A823460" s="242"/>
    </row>
    <row r="823461" spans="1:1" x14ac:dyDescent="0.25">
      <c r="A823461" s="242"/>
    </row>
    <row r="823462" spans="1:1" x14ac:dyDescent="0.25">
      <c r="A823462" s="242"/>
    </row>
    <row r="823463" spans="1:1" x14ac:dyDescent="0.25">
      <c r="A823463" s="242"/>
    </row>
    <row r="823464" spans="1:1" x14ac:dyDescent="0.25">
      <c r="A823464" s="242"/>
    </row>
    <row r="823465" spans="1:1" x14ac:dyDescent="0.25">
      <c r="A823465" s="242"/>
    </row>
    <row r="823466" spans="1:1" x14ac:dyDescent="0.25">
      <c r="A823466" s="242"/>
    </row>
    <row r="823467" spans="1:1" x14ac:dyDescent="0.25">
      <c r="A823467" s="242"/>
    </row>
    <row r="823468" spans="1:1" x14ac:dyDescent="0.25">
      <c r="A823468" s="242"/>
    </row>
    <row r="823469" spans="1:1" x14ac:dyDescent="0.25">
      <c r="A823469" s="242"/>
    </row>
    <row r="823470" spans="1:1" x14ac:dyDescent="0.25">
      <c r="A823470" s="242"/>
    </row>
    <row r="823471" spans="1:1" x14ac:dyDescent="0.25">
      <c r="A823471" s="242"/>
    </row>
    <row r="823472" spans="1:1" x14ac:dyDescent="0.25">
      <c r="A823472" s="242"/>
    </row>
    <row r="823473" spans="1:1" x14ac:dyDescent="0.25">
      <c r="A823473" s="242"/>
    </row>
    <row r="823474" spans="1:1" x14ac:dyDescent="0.25">
      <c r="A823474" s="242"/>
    </row>
    <row r="823475" spans="1:1" x14ac:dyDescent="0.25">
      <c r="A823475" s="242"/>
    </row>
    <row r="823476" spans="1:1" x14ac:dyDescent="0.25">
      <c r="A823476" s="242"/>
    </row>
    <row r="823477" spans="1:1" x14ac:dyDescent="0.25">
      <c r="A823477" s="242"/>
    </row>
    <row r="823478" spans="1:1" x14ac:dyDescent="0.25">
      <c r="A823478" s="242"/>
    </row>
    <row r="823479" spans="1:1" x14ac:dyDescent="0.25">
      <c r="A823479" s="242"/>
    </row>
    <row r="823480" spans="1:1" x14ac:dyDescent="0.25">
      <c r="A823480" s="242"/>
    </row>
    <row r="823481" spans="1:1" x14ac:dyDescent="0.25">
      <c r="A823481" s="242"/>
    </row>
    <row r="823482" spans="1:1" x14ac:dyDescent="0.25">
      <c r="A823482" s="242"/>
    </row>
    <row r="823483" spans="1:1" x14ac:dyDescent="0.25">
      <c r="A823483" s="242"/>
    </row>
    <row r="823484" spans="1:1" x14ac:dyDescent="0.25">
      <c r="A823484" s="242"/>
    </row>
    <row r="823485" spans="1:1" x14ac:dyDescent="0.25">
      <c r="A823485" s="242"/>
    </row>
    <row r="823486" spans="1:1" x14ac:dyDescent="0.25">
      <c r="A823486" s="242"/>
    </row>
    <row r="823487" spans="1:1" x14ac:dyDescent="0.25">
      <c r="A823487" s="242"/>
    </row>
    <row r="823488" spans="1:1" x14ac:dyDescent="0.25">
      <c r="A823488" s="242"/>
    </row>
    <row r="823489" spans="1:1" x14ac:dyDescent="0.25">
      <c r="A823489" s="242"/>
    </row>
    <row r="823490" spans="1:1" x14ac:dyDescent="0.25">
      <c r="A823490" s="242"/>
    </row>
    <row r="823491" spans="1:1" x14ac:dyDescent="0.25">
      <c r="A823491" s="242"/>
    </row>
    <row r="823492" spans="1:1" x14ac:dyDescent="0.25">
      <c r="A823492" s="242"/>
    </row>
    <row r="823493" spans="1:1" x14ac:dyDescent="0.25">
      <c r="A823493" s="242"/>
    </row>
    <row r="823494" spans="1:1" x14ac:dyDescent="0.25">
      <c r="A823494" s="242"/>
    </row>
    <row r="823495" spans="1:1" x14ac:dyDescent="0.25">
      <c r="A823495" s="242"/>
    </row>
    <row r="823496" spans="1:1" x14ac:dyDescent="0.25">
      <c r="A823496" s="242"/>
    </row>
    <row r="823497" spans="1:1" x14ac:dyDescent="0.25">
      <c r="A823497" s="242"/>
    </row>
    <row r="823498" spans="1:1" x14ac:dyDescent="0.25">
      <c r="A823498" s="242"/>
    </row>
    <row r="823499" spans="1:1" x14ac:dyDescent="0.25">
      <c r="A823499" s="242"/>
    </row>
    <row r="823500" spans="1:1" x14ac:dyDescent="0.25">
      <c r="A823500" s="242"/>
    </row>
    <row r="823501" spans="1:1" x14ac:dyDescent="0.25">
      <c r="A823501" s="242"/>
    </row>
    <row r="823502" spans="1:1" x14ac:dyDescent="0.25">
      <c r="A823502" s="242"/>
    </row>
    <row r="823503" spans="1:1" x14ac:dyDescent="0.25">
      <c r="A823503" s="242"/>
    </row>
    <row r="823504" spans="1:1" x14ac:dyDescent="0.25">
      <c r="A823504" s="242"/>
    </row>
    <row r="823505" spans="1:1" x14ac:dyDescent="0.25">
      <c r="A823505" s="242"/>
    </row>
    <row r="823506" spans="1:1" x14ac:dyDescent="0.25">
      <c r="A823506" s="242"/>
    </row>
    <row r="823507" spans="1:1" x14ac:dyDescent="0.25">
      <c r="A823507" s="242"/>
    </row>
    <row r="823508" spans="1:1" x14ac:dyDescent="0.25">
      <c r="A823508" s="242"/>
    </row>
    <row r="823509" spans="1:1" x14ac:dyDescent="0.25">
      <c r="A823509" s="242"/>
    </row>
    <row r="823510" spans="1:1" x14ac:dyDescent="0.25">
      <c r="A823510" s="242"/>
    </row>
    <row r="823511" spans="1:1" x14ac:dyDescent="0.25">
      <c r="A823511" s="242"/>
    </row>
    <row r="823512" spans="1:1" x14ac:dyDescent="0.25">
      <c r="A823512" s="242"/>
    </row>
    <row r="823513" spans="1:1" x14ac:dyDescent="0.25">
      <c r="A823513" s="242"/>
    </row>
    <row r="823514" spans="1:1" x14ac:dyDescent="0.25">
      <c r="A823514" s="242"/>
    </row>
    <row r="823515" spans="1:1" x14ac:dyDescent="0.25">
      <c r="A823515" s="242"/>
    </row>
    <row r="823516" spans="1:1" x14ac:dyDescent="0.25">
      <c r="A823516" s="242"/>
    </row>
    <row r="823517" spans="1:1" x14ac:dyDescent="0.25">
      <c r="A823517" s="242"/>
    </row>
    <row r="823518" spans="1:1" x14ac:dyDescent="0.25">
      <c r="A823518" s="242"/>
    </row>
    <row r="823519" spans="1:1" x14ac:dyDescent="0.25">
      <c r="A823519" s="242"/>
    </row>
    <row r="823520" spans="1:1" x14ac:dyDescent="0.25">
      <c r="A823520" s="242"/>
    </row>
    <row r="823521" spans="1:1" x14ac:dyDescent="0.25">
      <c r="A823521" s="242"/>
    </row>
    <row r="823522" spans="1:1" x14ac:dyDescent="0.25">
      <c r="A823522" s="242"/>
    </row>
    <row r="823523" spans="1:1" x14ac:dyDescent="0.25">
      <c r="A823523" s="242"/>
    </row>
    <row r="823524" spans="1:1" x14ac:dyDescent="0.25">
      <c r="A823524" s="242"/>
    </row>
    <row r="823525" spans="1:1" x14ac:dyDescent="0.25">
      <c r="A823525" s="242"/>
    </row>
    <row r="823526" spans="1:1" x14ac:dyDescent="0.25">
      <c r="A823526" s="242"/>
    </row>
    <row r="823527" spans="1:1" x14ac:dyDescent="0.25">
      <c r="A823527" s="242"/>
    </row>
    <row r="823528" spans="1:1" x14ac:dyDescent="0.25">
      <c r="A823528" s="242"/>
    </row>
    <row r="823529" spans="1:1" x14ac:dyDescent="0.25">
      <c r="A823529" s="242"/>
    </row>
    <row r="823530" spans="1:1" x14ac:dyDescent="0.25">
      <c r="A823530" s="242"/>
    </row>
    <row r="823531" spans="1:1" x14ac:dyDescent="0.25">
      <c r="A823531" s="242"/>
    </row>
    <row r="823532" spans="1:1" x14ac:dyDescent="0.25">
      <c r="A823532" s="242"/>
    </row>
    <row r="823533" spans="1:1" x14ac:dyDescent="0.25">
      <c r="A823533" s="242"/>
    </row>
    <row r="823534" spans="1:1" x14ac:dyDescent="0.25">
      <c r="A823534" s="242"/>
    </row>
    <row r="823535" spans="1:1" x14ac:dyDescent="0.25">
      <c r="A823535" s="242"/>
    </row>
    <row r="823536" spans="1:1" x14ac:dyDescent="0.25">
      <c r="A823536" s="242"/>
    </row>
    <row r="823537" spans="1:1" x14ac:dyDescent="0.25">
      <c r="A823537" s="242"/>
    </row>
    <row r="823538" spans="1:1" x14ac:dyDescent="0.25">
      <c r="A823538" s="242"/>
    </row>
    <row r="823539" spans="1:1" x14ac:dyDescent="0.25">
      <c r="A823539" s="242"/>
    </row>
    <row r="823540" spans="1:1" x14ac:dyDescent="0.25">
      <c r="A823540" s="242"/>
    </row>
    <row r="823541" spans="1:1" x14ac:dyDescent="0.25">
      <c r="A823541" s="242"/>
    </row>
    <row r="823542" spans="1:1" x14ac:dyDescent="0.25">
      <c r="A823542" s="242"/>
    </row>
    <row r="823543" spans="1:1" x14ac:dyDescent="0.25">
      <c r="A823543" s="242"/>
    </row>
    <row r="823544" spans="1:1" x14ac:dyDescent="0.25">
      <c r="A823544" s="242"/>
    </row>
    <row r="823545" spans="1:1" x14ac:dyDescent="0.25">
      <c r="A823545" s="242"/>
    </row>
    <row r="823546" spans="1:1" x14ac:dyDescent="0.25">
      <c r="A823546" s="242"/>
    </row>
    <row r="823547" spans="1:1" x14ac:dyDescent="0.25">
      <c r="A823547" s="242"/>
    </row>
    <row r="823548" spans="1:1" x14ac:dyDescent="0.25">
      <c r="A823548" s="242"/>
    </row>
    <row r="823549" spans="1:1" x14ac:dyDescent="0.25">
      <c r="A823549" s="242"/>
    </row>
    <row r="823550" spans="1:1" x14ac:dyDescent="0.25">
      <c r="A823550" s="242"/>
    </row>
    <row r="823551" spans="1:1" x14ac:dyDescent="0.25">
      <c r="A823551" s="242"/>
    </row>
    <row r="823552" spans="1:1" x14ac:dyDescent="0.25">
      <c r="A823552" s="242"/>
    </row>
    <row r="823553" spans="1:1" x14ac:dyDescent="0.25">
      <c r="A823553" s="242"/>
    </row>
    <row r="823554" spans="1:1" x14ac:dyDescent="0.25">
      <c r="A823554" s="242"/>
    </row>
    <row r="823555" spans="1:1" x14ac:dyDescent="0.25">
      <c r="A823555" s="242"/>
    </row>
    <row r="823556" spans="1:1" x14ac:dyDescent="0.25">
      <c r="A823556" s="242"/>
    </row>
    <row r="823557" spans="1:1" x14ac:dyDescent="0.25">
      <c r="A823557" s="242"/>
    </row>
    <row r="823558" spans="1:1" x14ac:dyDescent="0.25">
      <c r="A823558" s="242"/>
    </row>
    <row r="823559" spans="1:1" x14ac:dyDescent="0.25">
      <c r="A823559" s="242"/>
    </row>
    <row r="823560" spans="1:1" x14ac:dyDescent="0.25">
      <c r="A823560" s="242"/>
    </row>
    <row r="823561" spans="1:1" x14ac:dyDescent="0.25">
      <c r="A823561" s="242"/>
    </row>
    <row r="823562" spans="1:1" x14ac:dyDescent="0.25">
      <c r="A823562" s="242"/>
    </row>
    <row r="823563" spans="1:1" x14ac:dyDescent="0.25">
      <c r="A823563" s="242"/>
    </row>
    <row r="823564" spans="1:1" x14ac:dyDescent="0.25">
      <c r="A823564" s="242"/>
    </row>
    <row r="823565" spans="1:1" x14ac:dyDescent="0.25">
      <c r="A823565" s="242"/>
    </row>
    <row r="823566" spans="1:1" x14ac:dyDescent="0.25">
      <c r="A823566" s="242"/>
    </row>
    <row r="823567" spans="1:1" x14ac:dyDescent="0.25">
      <c r="A823567" s="242"/>
    </row>
    <row r="823568" spans="1:1" x14ac:dyDescent="0.25">
      <c r="A823568" s="242"/>
    </row>
    <row r="823569" spans="1:1" x14ac:dyDescent="0.25">
      <c r="A823569" s="242"/>
    </row>
    <row r="823570" spans="1:1" x14ac:dyDescent="0.25">
      <c r="A823570" s="242"/>
    </row>
    <row r="823571" spans="1:1" x14ac:dyDescent="0.25">
      <c r="A823571" s="242"/>
    </row>
    <row r="823572" spans="1:1" x14ac:dyDescent="0.25">
      <c r="A823572" s="242"/>
    </row>
    <row r="823573" spans="1:1" x14ac:dyDescent="0.25">
      <c r="A823573" s="242"/>
    </row>
    <row r="823574" spans="1:1" x14ac:dyDescent="0.25">
      <c r="A823574" s="242"/>
    </row>
    <row r="823575" spans="1:1" x14ac:dyDescent="0.25">
      <c r="A823575" s="242"/>
    </row>
    <row r="823576" spans="1:1" x14ac:dyDescent="0.25">
      <c r="A823576" s="242"/>
    </row>
    <row r="823577" spans="1:1" x14ac:dyDescent="0.25">
      <c r="A823577" s="242"/>
    </row>
    <row r="823578" spans="1:1" x14ac:dyDescent="0.25">
      <c r="A823578" s="242"/>
    </row>
    <row r="823579" spans="1:1" x14ac:dyDescent="0.25">
      <c r="A823579" s="242"/>
    </row>
    <row r="823580" spans="1:1" x14ac:dyDescent="0.25">
      <c r="A823580" s="242"/>
    </row>
    <row r="823581" spans="1:1" x14ac:dyDescent="0.25">
      <c r="A823581" s="242"/>
    </row>
    <row r="823582" spans="1:1" x14ac:dyDescent="0.25">
      <c r="A823582" s="242"/>
    </row>
    <row r="823583" spans="1:1" x14ac:dyDescent="0.25">
      <c r="A823583" s="242"/>
    </row>
    <row r="823584" spans="1:1" x14ac:dyDescent="0.25">
      <c r="A823584" s="242"/>
    </row>
    <row r="823585" spans="1:1" x14ac:dyDescent="0.25">
      <c r="A823585" s="242"/>
    </row>
    <row r="823586" spans="1:1" x14ac:dyDescent="0.25">
      <c r="A823586" s="242"/>
    </row>
    <row r="823587" spans="1:1" x14ac:dyDescent="0.25">
      <c r="A823587" s="242"/>
    </row>
    <row r="823588" spans="1:1" x14ac:dyDescent="0.25">
      <c r="A823588" s="242"/>
    </row>
    <row r="823589" spans="1:1" x14ac:dyDescent="0.25">
      <c r="A823589" s="242"/>
    </row>
    <row r="823590" spans="1:1" x14ac:dyDescent="0.25">
      <c r="A823590" s="242"/>
    </row>
    <row r="823591" spans="1:1" x14ac:dyDescent="0.25">
      <c r="A823591" s="242"/>
    </row>
    <row r="823592" spans="1:1" x14ac:dyDescent="0.25">
      <c r="A823592" s="242"/>
    </row>
    <row r="823593" spans="1:1" x14ac:dyDescent="0.25">
      <c r="A823593" s="242"/>
    </row>
    <row r="823594" spans="1:1" x14ac:dyDescent="0.25">
      <c r="A823594" s="242"/>
    </row>
    <row r="823595" spans="1:1" x14ac:dyDescent="0.25">
      <c r="A823595" s="242"/>
    </row>
    <row r="823596" spans="1:1" x14ac:dyDescent="0.25">
      <c r="A823596" s="242"/>
    </row>
    <row r="823597" spans="1:1" x14ac:dyDescent="0.25">
      <c r="A823597" s="242"/>
    </row>
    <row r="823598" spans="1:1" x14ac:dyDescent="0.25">
      <c r="A823598" s="242"/>
    </row>
    <row r="823599" spans="1:1" x14ac:dyDescent="0.25">
      <c r="A823599" s="242"/>
    </row>
    <row r="823600" spans="1:1" x14ac:dyDescent="0.25">
      <c r="A823600" s="242"/>
    </row>
    <row r="823601" spans="1:1" x14ac:dyDescent="0.25">
      <c r="A823601" s="242"/>
    </row>
    <row r="823602" spans="1:1" x14ac:dyDescent="0.25">
      <c r="A823602" s="242"/>
    </row>
    <row r="823603" spans="1:1" x14ac:dyDescent="0.25">
      <c r="A823603" s="242"/>
    </row>
    <row r="823604" spans="1:1" x14ac:dyDescent="0.25">
      <c r="A823604" s="242"/>
    </row>
    <row r="823605" spans="1:1" x14ac:dyDescent="0.25">
      <c r="A823605" s="242"/>
    </row>
    <row r="823606" spans="1:1" x14ac:dyDescent="0.25">
      <c r="A823606" s="242"/>
    </row>
    <row r="823607" spans="1:1" x14ac:dyDescent="0.25">
      <c r="A823607" s="242"/>
    </row>
    <row r="823608" spans="1:1" x14ac:dyDescent="0.25">
      <c r="A823608" s="242"/>
    </row>
    <row r="823609" spans="1:1" x14ac:dyDescent="0.25">
      <c r="A823609" s="242"/>
    </row>
    <row r="823610" spans="1:1" x14ac:dyDescent="0.25">
      <c r="A823610" s="242"/>
    </row>
    <row r="823611" spans="1:1" x14ac:dyDescent="0.25">
      <c r="A823611" s="242"/>
    </row>
    <row r="823612" spans="1:1" x14ac:dyDescent="0.25">
      <c r="A823612" s="242"/>
    </row>
    <row r="823613" spans="1:1" x14ac:dyDescent="0.25">
      <c r="A823613" s="242"/>
    </row>
    <row r="823614" spans="1:1" x14ac:dyDescent="0.25">
      <c r="A823614" s="242"/>
    </row>
    <row r="823615" spans="1:1" x14ac:dyDescent="0.25">
      <c r="A823615" s="242"/>
    </row>
    <row r="823616" spans="1:1" x14ac:dyDescent="0.25">
      <c r="A823616" s="242"/>
    </row>
    <row r="823617" spans="1:1" x14ac:dyDescent="0.25">
      <c r="A823617" s="242"/>
    </row>
    <row r="823618" spans="1:1" x14ac:dyDescent="0.25">
      <c r="A823618" s="242"/>
    </row>
    <row r="823619" spans="1:1" x14ac:dyDescent="0.25">
      <c r="A823619" s="242"/>
    </row>
    <row r="823620" spans="1:1" x14ac:dyDescent="0.25">
      <c r="A823620" s="242"/>
    </row>
    <row r="823621" spans="1:1" x14ac:dyDescent="0.25">
      <c r="A823621" s="242"/>
    </row>
    <row r="823622" spans="1:1" x14ac:dyDescent="0.25">
      <c r="A823622" s="242"/>
    </row>
    <row r="823623" spans="1:1" x14ac:dyDescent="0.25">
      <c r="A823623" s="242"/>
    </row>
    <row r="823624" spans="1:1" x14ac:dyDescent="0.25">
      <c r="A823624" s="242"/>
    </row>
    <row r="823625" spans="1:1" x14ac:dyDescent="0.25">
      <c r="A823625" s="242"/>
    </row>
    <row r="823626" spans="1:1" x14ac:dyDescent="0.25">
      <c r="A823626" s="242"/>
    </row>
    <row r="823627" spans="1:1" x14ac:dyDescent="0.25">
      <c r="A823627" s="242"/>
    </row>
    <row r="823628" spans="1:1" x14ac:dyDescent="0.25">
      <c r="A823628" s="242"/>
    </row>
    <row r="823629" spans="1:1" x14ac:dyDescent="0.25">
      <c r="A823629" s="242"/>
    </row>
    <row r="823630" spans="1:1" x14ac:dyDescent="0.25">
      <c r="A823630" s="242"/>
    </row>
    <row r="823631" spans="1:1" x14ac:dyDescent="0.25">
      <c r="A823631" s="242"/>
    </row>
    <row r="823632" spans="1:1" x14ac:dyDescent="0.25">
      <c r="A823632" s="242"/>
    </row>
    <row r="823633" spans="1:1" x14ac:dyDescent="0.25">
      <c r="A823633" s="242"/>
    </row>
    <row r="823634" spans="1:1" x14ac:dyDescent="0.25">
      <c r="A823634" s="242"/>
    </row>
    <row r="823635" spans="1:1" x14ac:dyDescent="0.25">
      <c r="A823635" s="242"/>
    </row>
    <row r="823636" spans="1:1" x14ac:dyDescent="0.25">
      <c r="A823636" s="242"/>
    </row>
    <row r="823637" spans="1:1" x14ac:dyDescent="0.25">
      <c r="A823637" s="242"/>
    </row>
    <row r="823638" spans="1:1" x14ac:dyDescent="0.25">
      <c r="A823638" s="242"/>
    </row>
    <row r="823639" spans="1:1" x14ac:dyDescent="0.25">
      <c r="A823639" s="242"/>
    </row>
    <row r="823640" spans="1:1" x14ac:dyDescent="0.25">
      <c r="A823640" s="242"/>
    </row>
    <row r="823641" spans="1:1" x14ac:dyDescent="0.25">
      <c r="A823641" s="242"/>
    </row>
    <row r="823642" spans="1:1" x14ac:dyDescent="0.25">
      <c r="A823642" s="242"/>
    </row>
    <row r="823643" spans="1:1" x14ac:dyDescent="0.25">
      <c r="A823643" s="242"/>
    </row>
    <row r="823644" spans="1:1" x14ac:dyDescent="0.25">
      <c r="A823644" s="242"/>
    </row>
    <row r="823645" spans="1:1" x14ac:dyDescent="0.25">
      <c r="A823645" s="242"/>
    </row>
    <row r="823646" spans="1:1" x14ac:dyDescent="0.25">
      <c r="A823646" s="242"/>
    </row>
    <row r="823647" spans="1:1" x14ac:dyDescent="0.25">
      <c r="A823647" s="242"/>
    </row>
    <row r="823648" spans="1:1" x14ac:dyDescent="0.25">
      <c r="A823648" s="242"/>
    </row>
    <row r="823649" spans="1:1" x14ac:dyDescent="0.25">
      <c r="A823649" s="242"/>
    </row>
    <row r="823650" spans="1:1" x14ac:dyDescent="0.25">
      <c r="A823650" s="242"/>
    </row>
    <row r="823651" spans="1:1" x14ac:dyDescent="0.25">
      <c r="A823651" s="242"/>
    </row>
    <row r="823652" spans="1:1" x14ac:dyDescent="0.25">
      <c r="A823652" s="242"/>
    </row>
    <row r="823653" spans="1:1" x14ac:dyDescent="0.25">
      <c r="A823653" s="242"/>
    </row>
    <row r="823654" spans="1:1" x14ac:dyDescent="0.25">
      <c r="A823654" s="242"/>
    </row>
    <row r="823655" spans="1:1" x14ac:dyDescent="0.25">
      <c r="A823655" s="242"/>
    </row>
    <row r="823656" spans="1:1" x14ac:dyDescent="0.25">
      <c r="A823656" s="242"/>
    </row>
    <row r="823657" spans="1:1" x14ac:dyDescent="0.25">
      <c r="A823657" s="242"/>
    </row>
    <row r="823658" spans="1:1" x14ac:dyDescent="0.25">
      <c r="A823658" s="242"/>
    </row>
    <row r="823659" spans="1:1" x14ac:dyDescent="0.25">
      <c r="A823659" s="242"/>
    </row>
    <row r="823660" spans="1:1" x14ac:dyDescent="0.25">
      <c r="A823660" s="242"/>
    </row>
    <row r="823661" spans="1:1" x14ac:dyDescent="0.25">
      <c r="A823661" s="242"/>
    </row>
    <row r="823662" spans="1:1" x14ac:dyDescent="0.25">
      <c r="A823662" s="242"/>
    </row>
    <row r="823663" spans="1:1" x14ac:dyDescent="0.25">
      <c r="A823663" s="242"/>
    </row>
    <row r="823664" spans="1:1" x14ac:dyDescent="0.25">
      <c r="A823664" s="242"/>
    </row>
    <row r="823665" spans="1:1" x14ac:dyDescent="0.25">
      <c r="A823665" s="242"/>
    </row>
    <row r="823666" spans="1:1" x14ac:dyDescent="0.25">
      <c r="A823666" s="242"/>
    </row>
    <row r="823667" spans="1:1" x14ac:dyDescent="0.25">
      <c r="A823667" s="242"/>
    </row>
    <row r="823668" spans="1:1" x14ac:dyDescent="0.25">
      <c r="A823668" s="242"/>
    </row>
    <row r="823669" spans="1:1" x14ac:dyDescent="0.25">
      <c r="A823669" s="242"/>
    </row>
    <row r="823670" spans="1:1" x14ac:dyDescent="0.25">
      <c r="A823670" s="242"/>
    </row>
    <row r="823671" spans="1:1" x14ac:dyDescent="0.25">
      <c r="A823671" s="242"/>
    </row>
    <row r="823672" spans="1:1" x14ac:dyDescent="0.25">
      <c r="A823672" s="242"/>
    </row>
    <row r="823673" spans="1:1" x14ac:dyDescent="0.25">
      <c r="A823673" s="242"/>
    </row>
    <row r="823674" spans="1:1" x14ac:dyDescent="0.25">
      <c r="A823674" s="242"/>
    </row>
    <row r="823675" spans="1:1" x14ac:dyDescent="0.25">
      <c r="A823675" s="242"/>
    </row>
    <row r="823676" spans="1:1" x14ac:dyDescent="0.25">
      <c r="A823676" s="242"/>
    </row>
    <row r="823677" spans="1:1" x14ac:dyDescent="0.25">
      <c r="A823677" s="242"/>
    </row>
    <row r="823678" spans="1:1" x14ac:dyDescent="0.25">
      <c r="A823678" s="242"/>
    </row>
    <row r="823679" spans="1:1" x14ac:dyDescent="0.25">
      <c r="A823679" s="242"/>
    </row>
    <row r="823680" spans="1:1" x14ac:dyDescent="0.25">
      <c r="A823680" s="242"/>
    </row>
    <row r="823681" spans="1:1" x14ac:dyDescent="0.25">
      <c r="A823681" s="242"/>
    </row>
    <row r="823682" spans="1:1" x14ac:dyDescent="0.25">
      <c r="A823682" s="242"/>
    </row>
    <row r="823683" spans="1:1" x14ac:dyDescent="0.25">
      <c r="A823683" s="242"/>
    </row>
    <row r="823684" spans="1:1" x14ac:dyDescent="0.25">
      <c r="A823684" s="242"/>
    </row>
    <row r="823685" spans="1:1" x14ac:dyDescent="0.25">
      <c r="A823685" s="242"/>
    </row>
    <row r="823686" spans="1:1" x14ac:dyDescent="0.25">
      <c r="A823686" s="242"/>
    </row>
    <row r="823687" spans="1:1" x14ac:dyDescent="0.25">
      <c r="A823687" s="242"/>
    </row>
    <row r="823688" spans="1:1" x14ac:dyDescent="0.25">
      <c r="A823688" s="242"/>
    </row>
    <row r="823689" spans="1:1" x14ac:dyDescent="0.25">
      <c r="A823689" s="242"/>
    </row>
    <row r="823690" spans="1:1" x14ac:dyDescent="0.25">
      <c r="A823690" s="242"/>
    </row>
    <row r="823691" spans="1:1" x14ac:dyDescent="0.25">
      <c r="A823691" s="242"/>
    </row>
    <row r="823692" spans="1:1" x14ac:dyDescent="0.25">
      <c r="A823692" s="242"/>
    </row>
    <row r="823693" spans="1:1" x14ac:dyDescent="0.25">
      <c r="A823693" s="242"/>
    </row>
    <row r="823694" spans="1:1" x14ac:dyDescent="0.25">
      <c r="A823694" s="242"/>
    </row>
    <row r="823695" spans="1:1" x14ac:dyDescent="0.25">
      <c r="A823695" s="242"/>
    </row>
    <row r="823696" spans="1:1" x14ac:dyDescent="0.25">
      <c r="A823696" s="242"/>
    </row>
    <row r="823697" spans="1:1" x14ac:dyDescent="0.25">
      <c r="A823697" s="242"/>
    </row>
    <row r="823698" spans="1:1" x14ac:dyDescent="0.25">
      <c r="A823698" s="242"/>
    </row>
    <row r="823699" spans="1:1" x14ac:dyDescent="0.25">
      <c r="A823699" s="242"/>
    </row>
    <row r="823700" spans="1:1" x14ac:dyDescent="0.25">
      <c r="A823700" s="242"/>
    </row>
    <row r="823701" spans="1:1" x14ac:dyDescent="0.25">
      <c r="A823701" s="242"/>
    </row>
    <row r="823702" spans="1:1" x14ac:dyDescent="0.25">
      <c r="A823702" s="242"/>
    </row>
    <row r="823703" spans="1:1" x14ac:dyDescent="0.25">
      <c r="A823703" s="242"/>
    </row>
    <row r="823704" spans="1:1" x14ac:dyDescent="0.25">
      <c r="A823704" s="242"/>
    </row>
    <row r="823705" spans="1:1" x14ac:dyDescent="0.25">
      <c r="A823705" s="242"/>
    </row>
    <row r="823706" spans="1:1" x14ac:dyDescent="0.25">
      <c r="A823706" s="242"/>
    </row>
    <row r="823707" spans="1:1" x14ac:dyDescent="0.25">
      <c r="A823707" s="242"/>
    </row>
    <row r="823708" spans="1:1" x14ac:dyDescent="0.25">
      <c r="A823708" s="242"/>
    </row>
    <row r="823709" spans="1:1" x14ac:dyDescent="0.25">
      <c r="A823709" s="242"/>
    </row>
    <row r="823710" spans="1:1" x14ac:dyDescent="0.25">
      <c r="A823710" s="242"/>
    </row>
    <row r="823711" spans="1:1" x14ac:dyDescent="0.25">
      <c r="A823711" s="242"/>
    </row>
    <row r="823712" spans="1:1" x14ac:dyDescent="0.25">
      <c r="A823712" s="242"/>
    </row>
    <row r="823713" spans="1:1" x14ac:dyDescent="0.25">
      <c r="A823713" s="242"/>
    </row>
    <row r="823714" spans="1:1" x14ac:dyDescent="0.25">
      <c r="A823714" s="242"/>
    </row>
    <row r="823715" spans="1:1" x14ac:dyDescent="0.25">
      <c r="A823715" s="242"/>
    </row>
    <row r="823716" spans="1:1" x14ac:dyDescent="0.25">
      <c r="A823716" s="242"/>
    </row>
    <row r="823717" spans="1:1" x14ac:dyDescent="0.25">
      <c r="A823717" s="242"/>
    </row>
    <row r="823718" spans="1:1" x14ac:dyDescent="0.25">
      <c r="A823718" s="242"/>
    </row>
    <row r="823719" spans="1:1" x14ac:dyDescent="0.25">
      <c r="A823719" s="242"/>
    </row>
    <row r="823720" spans="1:1" x14ac:dyDescent="0.25">
      <c r="A823720" s="242"/>
    </row>
    <row r="823721" spans="1:1" x14ac:dyDescent="0.25">
      <c r="A823721" s="242"/>
    </row>
    <row r="823722" spans="1:1" x14ac:dyDescent="0.25">
      <c r="A823722" s="242"/>
    </row>
    <row r="823723" spans="1:1" x14ac:dyDescent="0.25">
      <c r="A823723" s="242"/>
    </row>
    <row r="823724" spans="1:1" x14ac:dyDescent="0.25">
      <c r="A823724" s="242"/>
    </row>
    <row r="823725" spans="1:1" x14ac:dyDescent="0.25">
      <c r="A823725" s="242"/>
    </row>
    <row r="823726" spans="1:1" x14ac:dyDescent="0.25">
      <c r="A823726" s="242"/>
    </row>
    <row r="823727" spans="1:1" x14ac:dyDescent="0.25">
      <c r="A823727" s="242"/>
    </row>
    <row r="823728" spans="1:1" x14ac:dyDescent="0.25">
      <c r="A823728" s="242"/>
    </row>
    <row r="823729" spans="1:1" x14ac:dyDescent="0.25">
      <c r="A823729" s="242"/>
    </row>
    <row r="823730" spans="1:1" x14ac:dyDescent="0.25">
      <c r="A823730" s="242"/>
    </row>
    <row r="823731" spans="1:1" x14ac:dyDescent="0.25">
      <c r="A823731" s="242"/>
    </row>
    <row r="823732" spans="1:1" x14ac:dyDescent="0.25">
      <c r="A823732" s="242"/>
    </row>
    <row r="823733" spans="1:1" x14ac:dyDescent="0.25">
      <c r="A823733" s="242"/>
    </row>
    <row r="823734" spans="1:1" x14ac:dyDescent="0.25">
      <c r="A823734" s="242"/>
    </row>
    <row r="823735" spans="1:1" x14ac:dyDescent="0.25">
      <c r="A823735" s="242"/>
    </row>
    <row r="823736" spans="1:1" x14ac:dyDescent="0.25">
      <c r="A823736" s="242"/>
    </row>
    <row r="823737" spans="1:1" x14ac:dyDescent="0.25">
      <c r="A823737" s="242"/>
    </row>
    <row r="823738" spans="1:1" x14ac:dyDescent="0.25">
      <c r="A823738" s="242"/>
    </row>
    <row r="823739" spans="1:1" x14ac:dyDescent="0.25">
      <c r="A823739" s="242"/>
    </row>
    <row r="823740" spans="1:1" x14ac:dyDescent="0.25">
      <c r="A823740" s="242"/>
    </row>
    <row r="823741" spans="1:1" x14ac:dyDescent="0.25">
      <c r="A823741" s="242"/>
    </row>
    <row r="823742" spans="1:1" x14ac:dyDescent="0.25">
      <c r="A823742" s="242"/>
    </row>
    <row r="823743" spans="1:1" x14ac:dyDescent="0.25">
      <c r="A823743" s="242"/>
    </row>
    <row r="823744" spans="1:1" x14ac:dyDescent="0.25">
      <c r="A823744" s="242"/>
    </row>
    <row r="823745" spans="1:1" x14ac:dyDescent="0.25">
      <c r="A823745" s="242"/>
    </row>
    <row r="823746" spans="1:1" x14ac:dyDescent="0.25">
      <c r="A823746" s="242"/>
    </row>
    <row r="823747" spans="1:1" x14ac:dyDescent="0.25">
      <c r="A823747" s="242"/>
    </row>
    <row r="823748" spans="1:1" x14ac:dyDescent="0.25">
      <c r="A823748" s="242"/>
    </row>
    <row r="823749" spans="1:1" x14ac:dyDescent="0.25">
      <c r="A823749" s="242"/>
    </row>
    <row r="823750" spans="1:1" x14ac:dyDescent="0.25">
      <c r="A823750" s="242"/>
    </row>
    <row r="823751" spans="1:1" x14ac:dyDescent="0.25">
      <c r="A823751" s="242"/>
    </row>
    <row r="823752" spans="1:1" x14ac:dyDescent="0.25">
      <c r="A823752" s="242"/>
    </row>
    <row r="823753" spans="1:1" x14ac:dyDescent="0.25">
      <c r="A823753" s="242"/>
    </row>
    <row r="823754" spans="1:1" x14ac:dyDescent="0.25">
      <c r="A823754" s="242"/>
    </row>
    <row r="823755" spans="1:1" x14ac:dyDescent="0.25">
      <c r="A823755" s="242"/>
    </row>
    <row r="823756" spans="1:1" x14ac:dyDescent="0.25">
      <c r="A823756" s="242"/>
    </row>
    <row r="823757" spans="1:1" x14ac:dyDescent="0.25">
      <c r="A823757" s="242"/>
    </row>
    <row r="823758" spans="1:1" x14ac:dyDescent="0.25">
      <c r="A823758" s="242"/>
    </row>
    <row r="823759" spans="1:1" x14ac:dyDescent="0.25">
      <c r="A823759" s="242"/>
    </row>
    <row r="823760" spans="1:1" x14ac:dyDescent="0.25">
      <c r="A823760" s="242"/>
    </row>
    <row r="823761" spans="1:1" x14ac:dyDescent="0.25">
      <c r="A823761" s="242"/>
    </row>
    <row r="823762" spans="1:1" x14ac:dyDescent="0.25">
      <c r="A823762" s="242"/>
    </row>
    <row r="823763" spans="1:1" x14ac:dyDescent="0.25">
      <c r="A823763" s="242"/>
    </row>
    <row r="823764" spans="1:1" x14ac:dyDescent="0.25">
      <c r="A823764" s="242"/>
    </row>
    <row r="823765" spans="1:1" x14ac:dyDescent="0.25">
      <c r="A823765" s="242"/>
    </row>
    <row r="823766" spans="1:1" x14ac:dyDescent="0.25">
      <c r="A823766" s="242"/>
    </row>
    <row r="823767" spans="1:1" x14ac:dyDescent="0.25">
      <c r="A823767" s="242"/>
    </row>
    <row r="823768" spans="1:1" x14ac:dyDescent="0.25">
      <c r="A823768" s="242"/>
    </row>
    <row r="823769" spans="1:1" x14ac:dyDescent="0.25">
      <c r="A823769" s="242"/>
    </row>
    <row r="823770" spans="1:1" x14ac:dyDescent="0.25">
      <c r="A823770" s="242"/>
    </row>
    <row r="823771" spans="1:1" x14ac:dyDescent="0.25">
      <c r="A823771" s="242"/>
    </row>
    <row r="823772" spans="1:1" x14ac:dyDescent="0.25">
      <c r="A823772" s="242"/>
    </row>
    <row r="823773" spans="1:1" x14ac:dyDescent="0.25">
      <c r="A823773" s="242"/>
    </row>
    <row r="823774" spans="1:1" x14ac:dyDescent="0.25">
      <c r="A823774" s="242"/>
    </row>
    <row r="823775" spans="1:1" x14ac:dyDescent="0.25">
      <c r="A823775" s="242"/>
    </row>
    <row r="823776" spans="1:1" x14ac:dyDescent="0.25">
      <c r="A823776" s="242"/>
    </row>
    <row r="823777" spans="1:1" x14ac:dyDescent="0.25">
      <c r="A823777" s="242"/>
    </row>
    <row r="823778" spans="1:1" x14ac:dyDescent="0.25">
      <c r="A823778" s="242"/>
    </row>
    <row r="823779" spans="1:1" x14ac:dyDescent="0.25">
      <c r="A823779" s="242"/>
    </row>
    <row r="823780" spans="1:1" x14ac:dyDescent="0.25">
      <c r="A823780" s="242"/>
    </row>
    <row r="823781" spans="1:1" x14ac:dyDescent="0.25">
      <c r="A823781" s="242"/>
    </row>
    <row r="823782" spans="1:1" x14ac:dyDescent="0.25">
      <c r="A823782" s="242"/>
    </row>
    <row r="823783" spans="1:1" x14ac:dyDescent="0.25">
      <c r="A823783" s="242"/>
    </row>
    <row r="823784" spans="1:1" x14ac:dyDescent="0.25">
      <c r="A823784" s="242"/>
    </row>
    <row r="823785" spans="1:1" x14ac:dyDescent="0.25">
      <c r="A823785" s="242"/>
    </row>
    <row r="823786" spans="1:1" x14ac:dyDescent="0.25">
      <c r="A823786" s="242"/>
    </row>
    <row r="823787" spans="1:1" x14ac:dyDescent="0.25">
      <c r="A823787" s="242"/>
    </row>
    <row r="823788" spans="1:1" x14ac:dyDescent="0.25">
      <c r="A823788" s="242"/>
    </row>
    <row r="823789" spans="1:1" x14ac:dyDescent="0.25">
      <c r="A823789" s="242"/>
    </row>
    <row r="823790" spans="1:1" x14ac:dyDescent="0.25">
      <c r="A823790" s="242"/>
    </row>
    <row r="823791" spans="1:1" x14ac:dyDescent="0.25">
      <c r="A823791" s="242"/>
    </row>
    <row r="823792" spans="1:1" x14ac:dyDescent="0.25">
      <c r="A823792" s="242"/>
    </row>
    <row r="823793" spans="1:1" x14ac:dyDescent="0.25">
      <c r="A823793" s="242"/>
    </row>
    <row r="823794" spans="1:1" x14ac:dyDescent="0.25">
      <c r="A823794" s="242"/>
    </row>
    <row r="823795" spans="1:1" x14ac:dyDescent="0.25">
      <c r="A823795" s="242"/>
    </row>
    <row r="823796" spans="1:1" x14ac:dyDescent="0.25">
      <c r="A823796" s="242"/>
    </row>
    <row r="823797" spans="1:1" x14ac:dyDescent="0.25">
      <c r="A823797" s="242"/>
    </row>
    <row r="823798" spans="1:1" x14ac:dyDescent="0.25">
      <c r="A823798" s="242"/>
    </row>
    <row r="823799" spans="1:1" x14ac:dyDescent="0.25">
      <c r="A823799" s="242"/>
    </row>
    <row r="823800" spans="1:1" x14ac:dyDescent="0.25">
      <c r="A823800" s="242"/>
    </row>
    <row r="823801" spans="1:1" x14ac:dyDescent="0.25">
      <c r="A823801" s="242"/>
    </row>
    <row r="823802" spans="1:1" x14ac:dyDescent="0.25">
      <c r="A823802" s="242"/>
    </row>
    <row r="823803" spans="1:1" x14ac:dyDescent="0.25">
      <c r="A823803" s="242"/>
    </row>
    <row r="823804" spans="1:1" x14ac:dyDescent="0.25">
      <c r="A823804" s="242"/>
    </row>
    <row r="823805" spans="1:1" x14ac:dyDescent="0.25">
      <c r="A823805" s="242"/>
    </row>
    <row r="823806" spans="1:1" x14ac:dyDescent="0.25">
      <c r="A823806" s="242"/>
    </row>
    <row r="823807" spans="1:1" x14ac:dyDescent="0.25">
      <c r="A823807" s="242"/>
    </row>
    <row r="823808" spans="1:1" x14ac:dyDescent="0.25">
      <c r="A823808" s="242"/>
    </row>
    <row r="823809" spans="1:1" x14ac:dyDescent="0.25">
      <c r="A823809" s="242"/>
    </row>
    <row r="823810" spans="1:1" x14ac:dyDescent="0.25">
      <c r="A823810" s="242"/>
    </row>
    <row r="823811" spans="1:1" x14ac:dyDescent="0.25">
      <c r="A823811" s="242"/>
    </row>
    <row r="823812" spans="1:1" x14ac:dyDescent="0.25">
      <c r="A823812" s="242"/>
    </row>
    <row r="823813" spans="1:1" x14ac:dyDescent="0.25">
      <c r="A823813" s="242"/>
    </row>
    <row r="823814" spans="1:1" x14ac:dyDescent="0.25">
      <c r="A823814" s="242"/>
    </row>
    <row r="823815" spans="1:1" x14ac:dyDescent="0.25">
      <c r="A823815" s="242"/>
    </row>
    <row r="823816" spans="1:1" x14ac:dyDescent="0.25">
      <c r="A823816" s="242"/>
    </row>
    <row r="823817" spans="1:1" x14ac:dyDescent="0.25">
      <c r="A823817" s="242"/>
    </row>
    <row r="823818" spans="1:1" x14ac:dyDescent="0.25">
      <c r="A823818" s="242"/>
    </row>
    <row r="823819" spans="1:1" x14ac:dyDescent="0.25">
      <c r="A823819" s="242"/>
    </row>
    <row r="823820" spans="1:1" x14ac:dyDescent="0.25">
      <c r="A823820" s="242"/>
    </row>
    <row r="823821" spans="1:1" x14ac:dyDescent="0.25">
      <c r="A823821" s="242"/>
    </row>
    <row r="823822" spans="1:1" x14ac:dyDescent="0.25">
      <c r="A823822" s="242"/>
    </row>
    <row r="823823" spans="1:1" x14ac:dyDescent="0.25">
      <c r="A823823" s="242"/>
    </row>
    <row r="823824" spans="1:1" x14ac:dyDescent="0.25">
      <c r="A823824" s="242"/>
    </row>
    <row r="823825" spans="1:1" x14ac:dyDescent="0.25">
      <c r="A823825" s="242"/>
    </row>
    <row r="823826" spans="1:1" x14ac:dyDescent="0.25">
      <c r="A823826" s="242"/>
    </row>
    <row r="823827" spans="1:1" x14ac:dyDescent="0.25">
      <c r="A823827" s="242"/>
    </row>
    <row r="823828" spans="1:1" x14ac:dyDescent="0.25">
      <c r="A823828" s="242"/>
    </row>
    <row r="823829" spans="1:1" x14ac:dyDescent="0.25">
      <c r="A823829" s="242"/>
    </row>
    <row r="823830" spans="1:1" x14ac:dyDescent="0.25">
      <c r="A823830" s="242"/>
    </row>
    <row r="823831" spans="1:1" x14ac:dyDescent="0.25">
      <c r="A823831" s="242"/>
    </row>
    <row r="823832" spans="1:1" x14ac:dyDescent="0.25">
      <c r="A823832" s="242"/>
    </row>
    <row r="823833" spans="1:1" x14ac:dyDescent="0.25">
      <c r="A823833" s="242"/>
    </row>
    <row r="823834" spans="1:1" x14ac:dyDescent="0.25">
      <c r="A823834" s="242"/>
    </row>
    <row r="823835" spans="1:1" x14ac:dyDescent="0.25">
      <c r="A823835" s="242"/>
    </row>
    <row r="823836" spans="1:1" x14ac:dyDescent="0.25">
      <c r="A823836" s="242"/>
    </row>
    <row r="823837" spans="1:1" x14ac:dyDescent="0.25">
      <c r="A823837" s="242"/>
    </row>
    <row r="823838" spans="1:1" x14ac:dyDescent="0.25">
      <c r="A823838" s="242"/>
    </row>
    <row r="823839" spans="1:1" x14ac:dyDescent="0.25">
      <c r="A823839" s="242"/>
    </row>
    <row r="823840" spans="1:1" x14ac:dyDescent="0.25">
      <c r="A823840" s="242"/>
    </row>
    <row r="823841" spans="1:1" x14ac:dyDescent="0.25">
      <c r="A823841" s="242"/>
    </row>
    <row r="823842" spans="1:1" x14ac:dyDescent="0.25">
      <c r="A823842" s="242"/>
    </row>
    <row r="823843" spans="1:1" x14ac:dyDescent="0.25">
      <c r="A823843" s="242"/>
    </row>
    <row r="823844" spans="1:1" x14ac:dyDescent="0.25">
      <c r="A823844" s="242"/>
    </row>
    <row r="823845" spans="1:1" x14ac:dyDescent="0.25">
      <c r="A823845" s="242"/>
    </row>
    <row r="823846" spans="1:1" x14ac:dyDescent="0.25">
      <c r="A823846" s="242"/>
    </row>
    <row r="823847" spans="1:1" x14ac:dyDescent="0.25">
      <c r="A823847" s="242"/>
    </row>
    <row r="823848" spans="1:1" x14ac:dyDescent="0.25">
      <c r="A823848" s="242"/>
    </row>
    <row r="823849" spans="1:1" x14ac:dyDescent="0.25">
      <c r="A823849" s="242"/>
    </row>
    <row r="823850" spans="1:1" x14ac:dyDescent="0.25">
      <c r="A823850" s="242"/>
    </row>
    <row r="823851" spans="1:1" x14ac:dyDescent="0.25">
      <c r="A823851" s="242"/>
    </row>
    <row r="823852" spans="1:1" x14ac:dyDescent="0.25">
      <c r="A823852" s="242"/>
    </row>
    <row r="823853" spans="1:1" x14ac:dyDescent="0.25">
      <c r="A823853" s="242"/>
    </row>
    <row r="823854" spans="1:1" x14ac:dyDescent="0.25">
      <c r="A823854" s="242"/>
    </row>
    <row r="823855" spans="1:1" x14ac:dyDescent="0.25">
      <c r="A823855" s="242"/>
    </row>
    <row r="823856" spans="1:1" x14ac:dyDescent="0.25">
      <c r="A823856" s="242"/>
    </row>
    <row r="823857" spans="1:1" x14ac:dyDescent="0.25">
      <c r="A823857" s="242"/>
    </row>
    <row r="823858" spans="1:1" x14ac:dyDescent="0.25">
      <c r="A823858" s="242"/>
    </row>
    <row r="823859" spans="1:1" x14ac:dyDescent="0.25">
      <c r="A823859" s="242"/>
    </row>
    <row r="823860" spans="1:1" x14ac:dyDescent="0.25">
      <c r="A823860" s="242"/>
    </row>
    <row r="823861" spans="1:1" x14ac:dyDescent="0.25">
      <c r="A823861" s="242"/>
    </row>
    <row r="823862" spans="1:1" x14ac:dyDescent="0.25">
      <c r="A823862" s="242"/>
    </row>
    <row r="823863" spans="1:1" x14ac:dyDescent="0.25">
      <c r="A823863" s="242"/>
    </row>
    <row r="823864" spans="1:1" x14ac:dyDescent="0.25">
      <c r="A823864" s="242"/>
    </row>
    <row r="823865" spans="1:1" x14ac:dyDescent="0.25">
      <c r="A823865" s="242"/>
    </row>
    <row r="823866" spans="1:1" x14ac:dyDescent="0.25">
      <c r="A823866" s="242"/>
    </row>
    <row r="823867" spans="1:1" x14ac:dyDescent="0.25">
      <c r="A823867" s="242"/>
    </row>
    <row r="823868" spans="1:1" x14ac:dyDescent="0.25">
      <c r="A823868" s="242"/>
    </row>
    <row r="823869" spans="1:1" x14ac:dyDescent="0.25">
      <c r="A823869" s="242"/>
    </row>
    <row r="823870" spans="1:1" x14ac:dyDescent="0.25">
      <c r="A823870" s="242"/>
    </row>
    <row r="823871" spans="1:1" x14ac:dyDescent="0.25">
      <c r="A823871" s="242"/>
    </row>
    <row r="823872" spans="1:1" x14ac:dyDescent="0.25">
      <c r="A823872" s="242"/>
    </row>
    <row r="823873" spans="1:1" x14ac:dyDescent="0.25">
      <c r="A823873" s="242"/>
    </row>
    <row r="823874" spans="1:1" x14ac:dyDescent="0.25">
      <c r="A823874" s="242"/>
    </row>
    <row r="823875" spans="1:1" x14ac:dyDescent="0.25">
      <c r="A823875" s="242"/>
    </row>
    <row r="823876" spans="1:1" x14ac:dyDescent="0.25">
      <c r="A823876" s="242"/>
    </row>
    <row r="823877" spans="1:1" x14ac:dyDescent="0.25">
      <c r="A823877" s="242"/>
    </row>
    <row r="823878" spans="1:1" x14ac:dyDescent="0.25">
      <c r="A823878" s="242"/>
    </row>
    <row r="823879" spans="1:1" x14ac:dyDescent="0.25">
      <c r="A823879" s="242"/>
    </row>
    <row r="823880" spans="1:1" x14ac:dyDescent="0.25">
      <c r="A823880" s="242"/>
    </row>
    <row r="823881" spans="1:1" x14ac:dyDescent="0.25">
      <c r="A823881" s="242"/>
    </row>
    <row r="823882" spans="1:1" x14ac:dyDescent="0.25">
      <c r="A823882" s="242"/>
    </row>
    <row r="823883" spans="1:1" x14ac:dyDescent="0.25">
      <c r="A823883" s="242"/>
    </row>
    <row r="823884" spans="1:1" x14ac:dyDescent="0.25">
      <c r="A823884" s="242"/>
    </row>
    <row r="823885" spans="1:1" x14ac:dyDescent="0.25">
      <c r="A823885" s="242"/>
    </row>
    <row r="823886" spans="1:1" x14ac:dyDescent="0.25">
      <c r="A823886" s="242"/>
    </row>
    <row r="823887" spans="1:1" x14ac:dyDescent="0.25">
      <c r="A823887" s="242"/>
    </row>
    <row r="823888" spans="1:1" x14ac:dyDescent="0.25">
      <c r="A823888" s="242"/>
    </row>
    <row r="823889" spans="1:1" x14ac:dyDescent="0.25">
      <c r="A823889" s="242"/>
    </row>
    <row r="823890" spans="1:1" x14ac:dyDescent="0.25">
      <c r="A823890" s="242"/>
    </row>
    <row r="823891" spans="1:1" x14ac:dyDescent="0.25">
      <c r="A823891" s="242"/>
    </row>
    <row r="823892" spans="1:1" x14ac:dyDescent="0.25">
      <c r="A823892" s="242"/>
    </row>
    <row r="823893" spans="1:1" x14ac:dyDescent="0.25">
      <c r="A823893" s="242"/>
    </row>
    <row r="823894" spans="1:1" x14ac:dyDescent="0.25">
      <c r="A823894" s="242"/>
    </row>
    <row r="823895" spans="1:1" x14ac:dyDescent="0.25">
      <c r="A823895" s="242"/>
    </row>
    <row r="823896" spans="1:1" x14ac:dyDescent="0.25">
      <c r="A823896" s="242"/>
    </row>
    <row r="823897" spans="1:1" x14ac:dyDescent="0.25">
      <c r="A823897" s="242"/>
    </row>
    <row r="823898" spans="1:1" x14ac:dyDescent="0.25">
      <c r="A823898" s="242"/>
    </row>
    <row r="823899" spans="1:1" x14ac:dyDescent="0.25">
      <c r="A823899" s="242"/>
    </row>
    <row r="823900" spans="1:1" x14ac:dyDescent="0.25">
      <c r="A823900" s="242"/>
    </row>
    <row r="823901" spans="1:1" x14ac:dyDescent="0.25">
      <c r="A823901" s="242"/>
    </row>
    <row r="823902" spans="1:1" x14ac:dyDescent="0.25">
      <c r="A823902" s="242"/>
    </row>
    <row r="823903" spans="1:1" x14ac:dyDescent="0.25">
      <c r="A823903" s="242"/>
    </row>
    <row r="823904" spans="1:1" x14ac:dyDescent="0.25">
      <c r="A823904" s="242"/>
    </row>
    <row r="823905" spans="1:1" x14ac:dyDescent="0.25">
      <c r="A823905" s="242"/>
    </row>
    <row r="823906" spans="1:1" x14ac:dyDescent="0.25">
      <c r="A823906" s="242"/>
    </row>
    <row r="823907" spans="1:1" x14ac:dyDescent="0.25">
      <c r="A823907" s="242"/>
    </row>
    <row r="823908" spans="1:1" x14ac:dyDescent="0.25">
      <c r="A823908" s="242"/>
    </row>
    <row r="823909" spans="1:1" x14ac:dyDescent="0.25">
      <c r="A823909" s="242"/>
    </row>
    <row r="823910" spans="1:1" x14ac:dyDescent="0.25">
      <c r="A823910" s="242"/>
    </row>
    <row r="823911" spans="1:1" x14ac:dyDescent="0.25">
      <c r="A823911" s="242"/>
    </row>
    <row r="823912" spans="1:1" x14ac:dyDescent="0.25">
      <c r="A823912" s="242"/>
    </row>
    <row r="823913" spans="1:1" x14ac:dyDescent="0.25">
      <c r="A823913" s="242"/>
    </row>
    <row r="823914" spans="1:1" x14ac:dyDescent="0.25">
      <c r="A823914" s="242"/>
    </row>
    <row r="823915" spans="1:1" x14ac:dyDescent="0.25">
      <c r="A823915" s="242"/>
    </row>
    <row r="823916" spans="1:1" x14ac:dyDescent="0.25">
      <c r="A823916" s="242"/>
    </row>
    <row r="823917" spans="1:1" x14ac:dyDescent="0.25">
      <c r="A823917" s="242"/>
    </row>
    <row r="823918" spans="1:1" x14ac:dyDescent="0.25">
      <c r="A823918" s="242"/>
    </row>
    <row r="823919" spans="1:1" x14ac:dyDescent="0.25">
      <c r="A823919" s="242"/>
    </row>
    <row r="823920" spans="1:1" x14ac:dyDescent="0.25">
      <c r="A823920" s="242"/>
    </row>
    <row r="823921" spans="1:1" x14ac:dyDescent="0.25">
      <c r="A823921" s="242"/>
    </row>
    <row r="823922" spans="1:1" x14ac:dyDescent="0.25">
      <c r="A823922" s="242"/>
    </row>
    <row r="823923" spans="1:1" x14ac:dyDescent="0.25">
      <c r="A823923" s="242"/>
    </row>
    <row r="823924" spans="1:1" x14ac:dyDescent="0.25">
      <c r="A823924" s="242"/>
    </row>
    <row r="823925" spans="1:1" x14ac:dyDescent="0.25">
      <c r="A823925" s="242"/>
    </row>
    <row r="823926" spans="1:1" x14ac:dyDescent="0.25">
      <c r="A823926" s="242"/>
    </row>
    <row r="823927" spans="1:1" x14ac:dyDescent="0.25">
      <c r="A823927" s="242"/>
    </row>
    <row r="823928" spans="1:1" x14ac:dyDescent="0.25">
      <c r="A823928" s="242"/>
    </row>
    <row r="823929" spans="1:1" x14ac:dyDescent="0.25">
      <c r="A823929" s="242"/>
    </row>
    <row r="823930" spans="1:1" x14ac:dyDescent="0.25">
      <c r="A823930" s="242"/>
    </row>
    <row r="823931" spans="1:1" x14ac:dyDescent="0.25">
      <c r="A823931" s="242"/>
    </row>
    <row r="823932" spans="1:1" x14ac:dyDescent="0.25">
      <c r="A823932" s="242"/>
    </row>
    <row r="823933" spans="1:1" x14ac:dyDescent="0.25">
      <c r="A823933" s="242"/>
    </row>
    <row r="823934" spans="1:1" x14ac:dyDescent="0.25">
      <c r="A823934" s="242"/>
    </row>
    <row r="823935" spans="1:1" x14ac:dyDescent="0.25">
      <c r="A823935" s="242"/>
    </row>
    <row r="823936" spans="1:1" x14ac:dyDescent="0.25">
      <c r="A823936" s="242"/>
    </row>
    <row r="823937" spans="1:1" x14ac:dyDescent="0.25">
      <c r="A823937" s="242"/>
    </row>
    <row r="823938" spans="1:1" x14ac:dyDescent="0.25">
      <c r="A823938" s="242"/>
    </row>
    <row r="823939" spans="1:1" x14ac:dyDescent="0.25">
      <c r="A823939" s="242"/>
    </row>
    <row r="823940" spans="1:1" x14ac:dyDescent="0.25">
      <c r="A823940" s="242"/>
    </row>
    <row r="823941" spans="1:1" x14ac:dyDescent="0.25">
      <c r="A823941" s="242"/>
    </row>
    <row r="823942" spans="1:1" x14ac:dyDescent="0.25">
      <c r="A823942" s="242"/>
    </row>
    <row r="823943" spans="1:1" x14ac:dyDescent="0.25">
      <c r="A823943" s="242"/>
    </row>
    <row r="823944" spans="1:1" x14ac:dyDescent="0.25">
      <c r="A823944" s="242"/>
    </row>
    <row r="823945" spans="1:1" x14ac:dyDescent="0.25">
      <c r="A823945" s="242"/>
    </row>
    <row r="823946" spans="1:1" x14ac:dyDescent="0.25">
      <c r="A823946" s="242"/>
    </row>
    <row r="823947" spans="1:1" x14ac:dyDescent="0.25">
      <c r="A823947" s="242"/>
    </row>
    <row r="823948" spans="1:1" x14ac:dyDescent="0.25">
      <c r="A823948" s="242"/>
    </row>
    <row r="823949" spans="1:1" x14ac:dyDescent="0.25">
      <c r="A823949" s="242"/>
    </row>
    <row r="823950" spans="1:1" x14ac:dyDescent="0.25">
      <c r="A823950" s="242"/>
    </row>
    <row r="823951" spans="1:1" x14ac:dyDescent="0.25">
      <c r="A823951" s="242"/>
    </row>
    <row r="823952" spans="1:1" x14ac:dyDescent="0.25">
      <c r="A823952" s="242"/>
    </row>
    <row r="823953" spans="1:1" x14ac:dyDescent="0.25">
      <c r="A823953" s="242"/>
    </row>
    <row r="823954" spans="1:1" x14ac:dyDescent="0.25">
      <c r="A823954" s="242"/>
    </row>
    <row r="823955" spans="1:1" x14ac:dyDescent="0.25">
      <c r="A823955" s="242"/>
    </row>
    <row r="823956" spans="1:1" x14ac:dyDescent="0.25">
      <c r="A823956" s="242"/>
    </row>
    <row r="823957" spans="1:1" x14ac:dyDescent="0.25">
      <c r="A823957" s="242"/>
    </row>
    <row r="823958" spans="1:1" x14ac:dyDescent="0.25">
      <c r="A823958" s="242"/>
    </row>
    <row r="823959" spans="1:1" x14ac:dyDescent="0.25">
      <c r="A823959" s="242"/>
    </row>
    <row r="823960" spans="1:1" x14ac:dyDescent="0.25">
      <c r="A823960" s="242"/>
    </row>
    <row r="823961" spans="1:1" x14ac:dyDescent="0.25">
      <c r="A823961" s="242"/>
    </row>
    <row r="823962" spans="1:1" x14ac:dyDescent="0.25">
      <c r="A823962" s="242"/>
    </row>
    <row r="823963" spans="1:1" x14ac:dyDescent="0.25">
      <c r="A823963" s="242"/>
    </row>
    <row r="823964" spans="1:1" x14ac:dyDescent="0.25">
      <c r="A823964" s="242"/>
    </row>
    <row r="823965" spans="1:1" x14ac:dyDescent="0.25">
      <c r="A823965" s="242"/>
    </row>
    <row r="823966" spans="1:1" x14ac:dyDescent="0.25">
      <c r="A823966" s="242"/>
    </row>
    <row r="823967" spans="1:1" x14ac:dyDescent="0.25">
      <c r="A823967" s="242"/>
    </row>
    <row r="823968" spans="1:1" x14ac:dyDescent="0.25">
      <c r="A823968" s="242"/>
    </row>
    <row r="823969" spans="1:1" x14ac:dyDescent="0.25">
      <c r="A823969" s="242"/>
    </row>
    <row r="823970" spans="1:1" x14ac:dyDescent="0.25">
      <c r="A823970" s="242"/>
    </row>
    <row r="823971" spans="1:1" x14ac:dyDescent="0.25">
      <c r="A823971" s="242"/>
    </row>
    <row r="823972" spans="1:1" x14ac:dyDescent="0.25">
      <c r="A823972" s="242"/>
    </row>
    <row r="823973" spans="1:1" x14ac:dyDescent="0.25">
      <c r="A823973" s="242"/>
    </row>
    <row r="823974" spans="1:1" x14ac:dyDescent="0.25">
      <c r="A823974" s="242"/>
    </row>
    <row r="823975" spans="1:1" x14ac:dyDescent="0.25">
      <c r="A823975" s="242"/>
    </row>
    <row r="823976" spans="1:1" x14ac:dyDescent="0.25">
      <c r="A823976" s="242"/>
    </row>
    <row r="823977" spans="1:1" x14ac:dyDescent="0.25">
      <c r="A823977" s="242"/>
    </row>
    <row r="823978" spans="1:1" x14ac:dyDescent="0.25">
      <c r="A823978" s="242"/>
    </row>
    <row r="823979" spans="1:1" x14ac:dyDescent="0.25">
      <c r="A823979" s="242"/>
    </row>
    <row r="823980" spans="1:1" x14ac:dyDescent="0.25">
      <c r="A823980" s="242"/>
    </row>
    <row r="823981" spans="1:1" x14ac:dyDescent="0.25">
      <c r="A823981" s="242"/>
    </row>
    <row r="823982" spans="1:1" x14ac:dyDescent="0.25">
      <c r="A823982" s="242"/>
    </row>
    <row r="823983" spans="1:1" x14ac:dyDescent="0.25">
      <c r="A823983" s="242"/>
    </row>
    <row r="823984" spans="1:1" x14ac:dyDescent="0.25">
      <c r="A823984" s="242"/>
    </row>
    <row r="823985" spans="1:1" x14ac:dyDescent="0.25">
      <c r="A823985" s="242"/>
    </row>
    <row r="823986" spans="1:1" x14ac:dyDescent="0.25">
      <c r="A823986" s="242"/>
    </row>
    <row r="823987" spans="1:1" x14ac:dyDescent="0.25">
      <c r="A823987" s="242"/>
    </row>
    <row r="823988" spans="1:1" x14ac:dyDescent="0.25">
      <c r="A823988" s="242"/>
    </row>
    <row r="823989" spans="1:1" x14ac:dyDescent="0.25">
      <c r="A823989" s="242"/>
    </row>
    <row r="823990" spans="1:1" x14ac:dyDescent="0.25">
      <c r="A823990" s="242"/>
    </row>
    <row r="823991" spans="1:1" x14ac:dyDescent="0.25">
      <c r="A823991" s="242"/>
    </row>
    <row r="823992" spans="1:1" x14ac:dyDescent="0.25">
      <c r="A823992" s="242"/>
    </row>
    <row r="823993" spans="1:1" x14ac:dyDescent="0.25">
      <c r="A823993" s="242"/>
    </row>
    <row r="823994" spans="1:1" x14ac:dyDescent="0.25">
      <c r="A823994" s="242"/>
    </row>
    <row r="823995" spans="1:1" x14ac:dyDescent="0.25">
      <c r="A823995" s="242"/>
    </row>
    <row r="823996" spans="1:1" x14ac:dyDescent="0.25">
      <c r="A823996" s="242"/>
    </row>
    <row r="823997" spans="1:1" x14ac:dyDescent="0.25">
      <c r="A823997" s="242"/>
    </row>
    <row r="823998" spans="1:1" x14ac:dyDescent="0.25">
      <c r="A823998" s="242"/>
    </row>
    <row r="823999" spans="1:1" x14ac:dyDescent="0.25">
      <c r="A823999" s="242"/>
    </row>
    <row r="824000" spans="1:1" x14ac:dyDescent="0.25">
      <c r="A824000" s="242"/>
    </row>
    <row r="824001" spans="1:1" x14ac:dyDescent="0.25">
      <c r="A824001" s="242"/>
    </row>
    <row r="824002" spans="1:1" x14ac:dyDescent="0.25">
      <c r="A824002" s="242"/>
    </row>
    <row r="824003" spans="1:1" x14ac:dyDescent="0.25">
      <c r="A824003" s="242"/>
    </row>
    <row r="824004" spans="1:1" x14ac:dyDescent="0.25">
      <c r="A824004" s="242"/>
    </row>
    <row r="824005" spans="1:1" x14ac:dyDescent="0.25">
      <c r="A824005" s="242"/>
    </row>
    <row r="824006" spans="1:1" x14ac:dyDescent="0.25">
      <c r="A824006" s="242"/>
    </row>
    <row r="824007" spans="1:1" x14ac:dyDescent="0.25">
      <c r="A824007" s="242"/>
    </row>
    <row r="824008" spans="1:1" x14ac:dyDescent="0.25">
      <c r="A824008" s="242"/>
    </row>
    <row r="824009" spans="1:1" x14ac:dyDescent="0.25">
      <c r="A824009" s="242"/>
    </row>
    <row r="824010" spans="1:1" x14ac:dyDescent="0.25">
      <c r="A824010" s="242"/>
    </row>
    <row r="824011" spans="1:1" x14ac:dyDescent="0.25">
      <c r="A824011" s="242"/>
    </row>
    <row r="824012" spans="1:1" x14ac:dyDescent="0.25">
      <c r="A824012" s="242"/>
    </row>
    <row r="824013" spans="1:1" x14ac:dyDescent="0.25">
      <c r="A824013" s="242"/>
    </row>
    <row r="824014" spans="1:1" x14ac:dyDescent="0.25">
      <c r="A824014" s="242"/>
    </row>
    <row r="824015" spans="1:1" x14ac:dyDescent="0.25">
      <c r="A824015" s="242"/>
    </row>
    <row r="824016" spans="1:1" x14ac:dyDescent="0.25">
      <c r="A824016" s="242"/>
    </row>
    <row r="824017" spans="1:1" x14ac:dyDescent="0.25">
      <c r="A824017" s="242"/>
    </row>
    <row r="824018" spans="1:1" x14ac:dyDescent="0.25">
      <c r="A824018" s="242"/>
    </row>
    <row r="824019" spans="1:1" x14ac:dyDescent="0.25">
      <c r="A824019" s="242"/>
    </row>
    <row r="824020" spans="1:1" x14ac:dyDescent="0.25">
      <c r="A824020" s="242"/>
    </row>
    <row r="824021" spans="1:1" x14ac:dyDescent="0.25">
      <c r="A824021" s="242"/>
    </row>
    <row r="824022" spans="1:1" x14ac:dyDescent="0.25">
      <c r="A824022" s="242"/>
    </row>
    <row r="824023" spans="1:1" x14ac:dyDescent="0.25">
      <c r="A824023" s="242"/>
    </row>
    <row r="824024" spans="1:1" x14ac:dyDescent="0.25">
      <c r="A824024" s="242"/>
    </row>
    <row r="824025" spans="1:1" x14ac:dyDescent="0.25">
      <c r="A824025" s="242"/>
    </row>
    <row r="824026" spans="1:1" x14ac:dyDescent="0.25">
      <c r="A824026" s="242"/>
    </row>
    <row r="824027" spans="1:1" x14ac:dyDescent="0.25">
      <c r="A824027" s="242"/>
    </row>
    <row r="824028" spans="1:1" x14ac:dyDescent="0.25">
      <c r="A824028" s="242"/>
    </row>
    <row r="824029" spans="1:1" x14ac:dyDescent="0.25">
      <c r="A824029" s="242"/>
    </row>
    <row r="824030" spans="1:1" x14ac:dyDescent="0.25">
      <c r="A824030" s="242"/>
    </row>
    <row r="824031" spans="1:1" x14ac:dyDescent="0.25">
      <c r="A824031" s="242"/>
    </row>
    <row r="824032" spans="1:1" x14ac:dyDescent="0.25">
      <c r="A824032" s="242"/>
    </row>
    <row r="824033" spans="1:1" x14ac:dyDescent="0.25">
      <c r="A824033" s="242"/>
    </row>
    <row r="824034" spans="1:1" x14ac:dyDescent="0.25">
      <c r="A824034" s="242"/>
    </row>
    <row r="824035" spans="1:1" x14ac:dyDescent="0.25">
      <c r="A824035" s="242"/>
    </row>
    <row r="824036" spans="1:1" x14ac:dyDescent="0.25">
      <c r="A824036" s="242"/>
    </row>
    <row r="824037" spans="1:1" x14ac:dyDescent="0.25">
      <c r="A824037" s="242"/>
    </row>
    <row r="824038" spans="1:1" x14ac:dyDescent="0.25">
      <c r="A824038" s="242"/>
    </row>
    <row r="824039" spans="1:1" x14ac:dyDescent="0.25">
      <c r="A824039" s="242"/>
    </row>
    <row r="824040" spans="1:1" x14ac:dyDescent="0.25">
      <c r="A824040" s="242"/>
    </row>
    <row r="824041" spans="1:1" x14ac:dyDescent="0.25">
      <c r="A824041" s="242"/>
    </row>
    <row r="824042" spans="1:1" x14ac:dyDescent="0.25">
      <c r="A824042" s="242"/>
    </row>
    <row r="824043" spans="1:1" x14ac:dyDescent="0.25">
      <c r="A824043" s="242"/>
    </row>
    <row r="824044" spans="1:1" x14ac:dyDescent="0.25">
      <c r="A824044" s="242"/>
    </row>
    <row r="824045" spans="1:1" x14ac:dyDescent="0.25">
      <c r="A824045" s="242"/>
    </row>
    <row r="824046" spans="1:1" x14ac:dyDescent="0.25">
      <c r="A824046" s="242"/>
    </row>
    <row r="824047" spans="1:1" x14ac:dyDescent="0.25">
      <c r="A824047" s="242"/>
    </row>
    <row r="824048" spans="1:1" x14ac:dyDescent="0.25">
      <c r="A824048" s="242"/>
    </row>
    <row r="824049" spans="1:1" x14ac:dyDescent="0.25">
      <c r="A824049" s="242"/>
    </row>
    <row r="824050" spans="1:1" x14ac:dyDescent="0.25">
      <c r="A824050" s="242"/>
    </row>
    <row r="824051" spans="1:1" x14ac:dyDescent="0.25">
      <c r="A824051" s="242"/>
    </row>
    <row r="824052" spans="1:1" x14ac:dyDescent="0.25">
      <c r="A824052" s="242"/>
    </row>
    <row r="824053" spans="1:1" x14ac:dyDescent="0.25">
      <c r="A824053" s="242"/>
    </row>
    <row r="824054" spans="1:1" x14ac:dyDescent="0.25">
      <c r="A824054" s="242"/>
    </row>
    <row r="824055" spans="1:1" x14ac:dyDescent="0.25">
      <c r="A824055" s="242"/>
    </row>
    <row r="824056" spans="1:1" x14ac:dyDescent="0.25">
      <c r="A824056" s="242"/>
    </row>
    <row r="824057" spans="1:1" x14ac:dyDescent="0.25">
      <c r="A824057" s="242"/>
    </row>
    <row r="824058" spans="1:1" x14ac:dyDescent="0.25">
      <c r="A824058" s="242"/>
    </row>
    <row r="824059" spans="1:1" x14ac:dyDescent="0.25">
      <c r="A824059" s="242"/>
    </row>
    <row r="824060" spans="1:1" x14ac:dyDescent="0.25">
      <c r="A824060" s="242"/>
    </row>
    <row r="824061" spans="1:1" x14ac:dyDescent="0.25">
      <c r="A824061" s="242"/>
    </row>
    <row r="824062" spans="1:1" x14ac:dyDescent="0.25">
      <c r="A824062" s="242"/>
    </row>
    <row r="824063" spans="1:1" x14ac:dyDescent="0.25">
      <c r="A824063" s="242"/>
    </row>
    <row r="824064" spans="1:1" x14ac:dyDescent="0.25">
      <c r="A824064" s="242"/>
    </row>
    <row r="824065" spans="1:1" x14ac:dyDescent="0.25">
      <c r="A824065" s="242"/>
    </row>
    <row r="824066" spans="1:1" x14ac:dyDescent="0.25">
      <c r="A824066" s="242"/>
    </row>
    <row r="824067" spans="1:1" x14ac:dyDescent="0.25">
      <c r="A824067" s="242"/>
    </row>
    <row r="824068" spans="1:1" x14ac:dyDescent="0.25">
      <c r="A824068" s="242"/>
    </row>
    <row r="824069" spans="1:1" x14ac:dyDescent="0.25">
      <c r="A824069" s="242"/>
    </row>
    <row r="824070" spans="1:1" x14ac:dyDescent="0.25">
      <c r="A824070" s="242"/>
    </row>
    <row r="824071" spans="1:1" x14ac:dyDescent="0.25">
      <c r="A824071" s="242"/>
    </row>
    <row r="824072" spans="1:1" x14ac:dyDescent="0.25">
      <c r="A824072" s="242"/>
    </row>
    <row r="824073" spans="1:1" x14ac:dyDescent="0.25">
      <c r="A824073" s="242"/>
    </row>
    <row r="824074" spans="1:1" x14ac:dyDescent="0.25">
      <c r="A824074" s="242"/>
    </row>
    <row r="824075" spans="1:1" x14ac:dyDescent="0.25">
      <c r="A824075" s="242"/>
    </row>
    <row r="824076" spans="1:1" x14ac:dyDescent="0.25">
      <c r="A824076" s="242"/>
    </row>
    <row r="824077" spans="1:1" x14ac:dyDescent="0.25">
      <c r="A824077" s="242"/>
    </row>
    <row r="824078" spans="1:1" x14ac:dyDescent="0.25">
      <c r="A824078" s="242"/>
    </row>
    <row r="824079" spans="1:1" x14ac:dyDescent="0.25">
      <c r="A824079" s="242"/>
    </row>
    <row r="824080" spans="1:1" x14ac:dyDescent="0.25">
      <c r="A824080" s="242"/>
    </row>
    <row r="824081" spans="1:1" x14ac:dyDescent="0.25">
      <c r="A824081" s="242"/>
    </row>
    <row r="824082" spans="1:1" x14ac:dyDescent="0.25">
      <c r="A824082" s="242"/>
    </row>
    <row r="824083" spans="1:1" x14ac:dyDescent="0.25">
      <c r="A824083" s="242"/>
    </row>
    <row r="824084" spans="1:1" x14ac:dyDescent="0.25">
      <c r="A824084" s="242"/>
    </row>
    <row r="824085" spans="1:1" x14ac:dyDescent="0.25">
      <c r="A824085" s="242"/>
    </row>
    <row r="824086" spans="1:1" x14ac:dyDescent="0.25">
      <c r="A824086" s="242"/>
    </row>
    <row r="824087" spans="1:1" x14ac:dyDescent="0.25">
      <c r="A824087" s="242"/>
    </row>
    <row r="824088" spans="1:1" x14ac:dyDescent="0.25">
      <c r="A824088" s="242"/>
    </row>
    <row r="824089" spans="1:1" x14ac:dyDescent="0.25">
      <c r="A824089" s="242"/>
    </row>
    <row r="824090" spans="1:1" x14ac:dyDescent="0.25">
      <c r="A824090" s="242"/>
    </row>
    <row r="824091" spans="1:1" x14ac:dyDescent="0.25">
      <c r="A824091" s="242"/>
    </row>
    <row r="824092" spans="1:1" x14ac:dyDescent="0.25">
      <c r="A824092" s="242"/>
    </row>
    <row r="824093" spans="1:1" x14ac:dyDescent="0.25">
      <c r="A824093" s="242"/>
    </row>
    <row r="824094" spans="1:1" x14ac:dyDescent="0.25">
      <c r="A824094" s="242"/>
    </row>
    <row r="824095" spans="1:1" x14ac:dyDescent="0.25">
      <c r="A824095" s="242"/>
    </row>
    <row r="824096" spans="1:1" x14ac:dyDescent="0.25">
      <c r="A824096" s="242"/>
    </row>
    <row r="824097" spans="1:1" x14ac:dyDescent="0.25">
      <c r="A824097" s="242"/>
    </row>
    <row r="824098" spans="1:1" x14ac:dyDescent="0.25">
      <c r="A824098" s="242"/>
    </row>
    <row r="824099" spans="1:1" x14ac:dyDescent="0.25">
      <c r="A824099" s="242"/>
    </row>
    <row r="824100" spans="1:1" x14ac:dyDescent="0.25">
      <c r="A824100" s="242"/>
    </row>
    <row r="824101" spans="1:1" x14ac:dyDescent="0.25">
      <c r="A824101" s="242"/>
    </row>
    <row r="824102" spans="1:1" x14ac:dyDescent="0.25">
      <c r="A824102" s="242"/>
    </row>
    <row r="824103" spans="1:1" x14ac:dyDescent="0.25">
      <c r="A824103" s="242"/>
    </row>
    <row r="824104" spans="1:1" x14ac:dyDescent="0.25">
      <c r="A824104" s="242"/>
    </row>
    <row r="824105" spans="1:1" x14ac:dyDescent="0.25">
      <c r="A824105" s="242"/>
    </row>
    <row r="824106" spans="1:1" x14ac:dyDescent="0.25">
      <c r="A824106" s="242"/>
    </row>
    <row r="824107" spans="1:1" x14ac:dyDescent="0.25">
      <c r="A824107" s="242"/>
    </row>
    <row r="824108" spans="1:1" x14ac:dyDescent="0.25">
      <c r="A824108" s="242"/>
    </row>
    <row r="824109" spans="1:1" x14ac:dyDescent="0.25">
      <c r="A824109" s="242"/>
    </row>
    <row r="824110" spans="1:1" x14ac:dyDescent="0.25">
      <c r="A824110" s="242"/>
    </row>
    <row r="824111" spans="1:1" x14ac:dyDescent="0.25">
      <c r="A824111" s="242"/>
    </row>
    <row r="824112" spans="1:1" x14ac:dyDescent="0.25">
      <c r="A824112" s="242"/>
    </row>
    <row r="824113" spans="1:1" x14ac:dyDescent="0.25">
      <c r="A824113" s="242"/>
    </row>
    <row r="824114" spans="1:1" x14ac:dyDescent="0.25">
      <c r="A824114" s="242"/>
    </row>
    <row r="824115" spans="1:1" x14ac:dyDescent="0.25">
      <c r="A824115" s="242"/>
    </row>
    <row r="824116" spans="1:1" x14ac:dyDescent="0.25">
      <c r="A824116" s="242"/>
    </row>
    <row r="824117" spans="1:1" x14ac:dyDescent="0.25">
      <c r="A824117" s="242"/>
    </row>
    <row r="824118" spans="1:1" x14ac:dyDescent="0.25">
      <c r="A824118" s="242"/>
    </row>
    <row r="824119" spans="1:1" x14ac:dyDescent="0.25">
      <c r="A824119" s="242"/>
    </row>
    <row r="824120" spans="1:1" x14ac:dyDescent="0.25">
      <c r="A824120" s="242"/>
    </row>
    <row r="824121" spans="1:1" x14ac:dyDescent="0.25">
      <c r="A824121" s="242"/>
    </row>
    <row r="824122" spans="1:1" x14ac:dyDescent="0.25">
      <c r="A824122" s="242"/>
    </row>
    <row r="824123" spans="1:1" x14ac:dyDescent="0.25">
      <c r="A824123" s="242"/>
    </row>
    <row r="824124" spans="1:1" x14ac:dyDescent="0.25">
      <c r="A824124" s="242"/>
    </row>
    <row r="824125" spans="1:1" x14ac:dyDescent="0.25">
      <c r="A824125" s="242"/>
    </row>
    <row r="824126" spans="1:1" x14ac:dyDescent="0.25">
      <c r="A824126" s="242"/>
    </row>
    <row r="824127" spans="1:1" x14ac:dyDescent="0.25">
      <c r="A824127" s="242"/>
    </row>
    <row r="824128" spans="1:1" x14ac:dyDescent="0.25">
      <c r="A824128" s="242"/>
    </row>
    <row r="824129" spans="1:1" x14ac:dyDescent="0.25">
      <c r="A824129" s="242"/>
    </row>
    <row r="824130" spans="1:1" x14ac:dyDescent="0.25">
      <c r="A824130" s="242"/>
    </row>
    <row r="824131" spans="1:1" x14ac:dyDescent="0.25">
      <c r="A824131" s="242"/>
    </row>
    <row r="824132" spans="1:1" x14ac:dyDescent="0.25">
      <c r="A824132" s="242"/>
    </row>
    <row r="824133" spans="1:1" x14ac:dyDescent="0.25">
      <c r="A824133" s="242"/>
    </row>
    <row r="824134" spans="1:1" x14ac:dyDescent="0.25">
      <c r="A824134" s="242"/>
    </row>
    <row r="824135" spans="1:1" x14ac:dyDescent="0.25">
      <c r="A824135" s="242"/>
    </row>
    <row r="824136" spans="1:1" x14ac:dyDescent="0.25">
      <c r="A824136" s="242"/>
    </row>
    <row r="824137" spans="1:1" x14ac:dyDescent="0.25">
      <c r="A824137" s="242"/>
    </row>
    <row r="824138" spans="1:1" x14ac:dyDescent="0.25">
      <c r="A824138" s="242"/>
    </row>
    <row r="824139" spans="1:1" x14ac:dyDescent="0.25">
      <c r="A824139" s="242"/>
    </row>
    <row r="824140" spans="1:1" x14ac:dyDescent="0.25">
      <c r="A824140" s="242"/>
    </row>
    <row r="824141" spans="1:1" x14ac:dyDescent="0.25">
      <c r="A824141" s="242"/>
    </row>
    <row r="824142" spans="1:1" x14ac:dyDescent="0.25">
      <c r="A824142" s="242"/>
    </row>
    <row r="824143" spans="1:1" x14ac:dyDescent="0.25">
      <c r="A824143" s="242"/>
    </row>
    <row r="824144" spans="1:1" x14ac:dyDescent="0.25">
      <c r="A824144" s="242"/>
    </row>
    <row r="824145" spans="1:1" x14ac:dyDescent="0.25">
      <c r="A824145" s="242"/>
    </row>
    <row r="824146" spans="1:1" x14ac:dyDescent="0.25">
      <c r="A824146" s="242"/>
    </row>
    <row r="824147" spans="1:1" x14ac:dyDescent="0.25">
      <c r="A824147" s="242"/>
    </row>
    <row r="824148" spans="1:1" x14ac:dyDescent="0.25">
      <c r="A824148" s="242"/>
    </row>
    <row r="824149" spans="1:1" x14ac:dyDescent="0.25">
      <c r="A824149" s="242"/>
    </row>
    <row r="824150" spans="1:1" x14ac:dyDescent="0.25">
      <c r="A824150" s="242"/>
    </row>
    <row r="824151" spans="1:1" x14ac:dyDescent="0.25">
      <c r="A824151" s="242"/>
    </row>
    <row r="824152" spans="1:1" x14ac:dyDescent="0.25">
      <c r="A824152" s="242"/>
    </row>
    <row r="824153" spans="1:1" x14ac:dyDescent="0.25">
      <c r="A824153" s="242"/>
    </row>
    <row r="824154" spans="1:1" x14ac:dyDescent="0.25">
      <c r="A824154" s="242"/>
    </row>
    <row r="824155" spans="1:1" x14ac:dyDescent="0.25">
      <c r="A824155" s="242"/>
    </row>
    <row r="824156" spans="1:1" x14ac:dyDescent="0.25">
      <c r="A824156" s="242"/>
    </row>
    <row r="824157" spans="1:1" x14ac:dyDescent="0.25">
      <c r="A824157" s="242"/>
    </row>
    <row r="824158" spans="1:1" x14ac:dyDescent="0.25">
      <c r="A824158" s="242"/>
    </row>
    <row r="824159" spans="1:1" x14ac:dyDescent="0.25">
      <c r="A824159" s="242"/>
    </row>
    <row r="824160" spans="1:1" x14ac:dyDescent="0.25">
      <c r="A824160" s="242"/>
    </row>
    <row r="824161" spans="1:1" x14ac:dyDescent="0.25">
      <c r="A824161" s="242"/>
    </row>
    <row r="824162" spans="1:1" x14ac:dyDescent="0.25">
      <c r="A824162" s="242"/>
    </row>
    <row r="824163" spans="1:1" x14ac:dyDescent="0.25">
      <c r="A824163" s="242"/>
    </row>
    <row r="824164" spans="1:1" x14ac:dyDescent="0.25">
      <c r="A824164" s="242"/>
    </row>
    <row r="824165" spans="1:1" x14ac:dyDescent="0.25">
      <c r="A824165" s="242"/>
    </row>
    <row r="824166" spans="1:1" x14ac:dyDescent="0.25">
      <c r="A824166" s="242"/>
    </row>
    <row r="824167" spans="1:1" x14ac:dyDescent="0.25">
      <c r="A824167" s="242"/>
    </row>
    <row r="824168" spans="1:1" x14ac:dyDescent="0.25">
      <c r="A824168" s="242"/>
    </row>
    <row r="824169" spans="1:1" x14ac:dyDescent="0.25">
      <c r="A824169" s="242"/>
    </row>
    <row r="824170" spans="1:1" x14ac:dyDescent="0.25">
      <c r="A824170" s="242"/>
    </row>
    <row r="824171" spans="1:1" x14ac:dyDescent="0.25">
      <c r="A824171" s="242"/>
    </row>
    <row r="824172" spans="1:1" x14ac:dyDescent="0.25">
      <c r="A824172" s="242"/>
    </row>
    <row r="824173" spans="1:1" x14ac:dyDescent="0.25">
      <c r="A824173" s="242"/>
    </row>
    <row r="824174" spans="1:1" x14ac:dyDescent="0.25">
      <c r="A824174" s="242"/>
    </row>
    <row r="824175" spans="1:1" x14ac:dyDescent="0.25">
      <c r="A824175" s="242"/>
    </row>
    <row r="824176" spans="1:1" x14ac:dyDescent="0.25">
      <c r="A824176" s="242"/>
    </row>
    <row r="824177" spans="1:1" x14ac:dyDescent="0.25">
      <c r="A824177" s="242"/>
    </row>
    <row r="824178" spans="1:1" x14ac:dyDescent="0.25">
      <c r="A824178" s="242"/>
    </row>
    <row r="824179" spans="1:1" x14ac:dyDescent="0.25">
      <c r="A824179" s="242"/>
    </row>
    <row r="824180" spans="1:1" x14ac:dyDescent="0.25">
      <c r="A824180" s="242"/>
    </row>
    <row r="824181" spans="1:1" x14ac:dyDescent="0.25">
      <c r="A824181" s="242"/>
    </row>
    <row r="824182" spans="1:1" x14ac:dyDescent="0.25">
      <c r="A824182" s="242"/>
    </row>
    <row r="824183" spans="1:1" x14ac:dyDescent="0.25">
      <c r="A824183" s="242"/>
    </row>
    <row r="824184" spans="1:1" x14ac:dyDescent="0.25">
      <c r="A824184" s="242"/>
    </row>
    <row r="824185" spans="1:1" x14ac:dyDescent="0.25">
      <c r="A824185" s="242"/>
    </row>
    <row r="824186" spans="1:1" x14ac:dyDescent="0.25">
      <c r="A824186" s="242"/>
    </row>
    <row r="824187" spans="1:1" x14ac:dyDescent="0.25">
      <c r="A824187" s="242"/>
    </row>
    <row r="824188" spans="1:1" x14ac:dyDescent="0.25">
      <c r="A824188" s="242"/>
    </row>
    <row r="824189" spans="1:1" x14ac:dyDescent="0.25">
      <c r="A824189" s="242"/>
    </row>
    <row r="824190" spans="1:1" x14ac:dyDescent="0.25">
      <c r="A824190" s="242"/>
    </row>
    <row r="824191" spans="1:1" x14ac:dyDescent="0.25">
      <c r="A824191" s="242"/>
    </row>
    <row r="824192" spans="1:1" x14ac:dyDescent="0.25">
      <c r="A824192" s="242"/>
    </row>
    <row r="824193" spans="1:1" x14ac:dyDescent="0.25">
      <c r="A824193" s="242"/>
    </row>
    <row r="824194" spans="1:1" x14ac:dyDescent="0.25">
      <c r="A824194" s="242"/>
    </row>
    <row r="824195" spans="1:1" x14ac:dyDescent="0.25">
      <c r="A824195" s="242"/>
    </row>
    <row r="824196" spans="1:1" x14ac:dyDescent="0.25">
      <c r="A824196" s="242"/>
    </row>
    <row r="824197" spans="1:1" x14ac:dyDescent="0.25">
      <c r="A824197" s="242"/>
    </row>
    <row r="824198" spans="1:1" x14ac:dyDescent="0.25">
      <c r="A824198" s="242"/>
    </row>
    <row r="824199" spans="1:1" x14ac:dyDescent="0.25">
      <c r="A824199" s="242"/>
    </row>
    <row r="824200" spans="1:1" x14ac:dyDescent="0.25">
      <c r="A824200" s="242"/>
    </row>
    <row r="824201" spans="1:1" x14ac:dyDescent="0.25">
      <c r="A824201" s="242"/>
    </row>
    <row r="824202" spans="1:1" x14ac:dyDescent="0.25">
      <c r="A824202" s="242"/>
    </row>
    <row r="824203" spans="1:1" x14ac:dyDescent="0.25">
      <c r="A824203" s="242"/>
    </row>
    <row r="824204" spans="1:1" x14ac:dyDescent="0.25">
      <c r="A824204" s="242"/>
    </row>
    <row r="824205" spans="1:1" x14ac:dyDescent="0.25">
      <c r="A824205" s="242"/>
    </row>
    <row r="824206" spans="1:1" x14ac:dyDescent="0.25">
      <c r="A824206" s="242"/>
    </row>
    <row r="824207" spans="1:1" x14ac:dyDescent="0.25">
      <c r="A824207" s="242"/>
    </row>
    <row r="824208" spans="1:1" x14ac:dyDescent="0.25">
      <c r="A824208" s="242"/>
    </row>
    <row r="824209" spans="1:1" x14ac:dyDescent="0.25">
      <c r="A824209" s="242"/>
    </row>
    <row r="824210" spans="1:1" x14ac:dyDescent="0.25">
      <c r="A824210" s="242"/>
    </row>
    <row r="824211" spans="1:1" x14ac:dyDescent="0.25">
      <c r="A824211" s="242"/>
    </row>
    <row r="824212" spans="1:1" x14ac:dyDescent="0.25">
      <c r="A824212" s="242"/>
    </row>
    <row r="824213" spans="1:1" x14ac:dyDescent="0.25">
      <c r="A824213" s="242"/>
    </row>
    <row r="824214" spans="1:1" x14ac:dyDescent="0.25">
      <c r="A824214" s="242"/>
    </row>
    <row r="824215" spans="1:1" x14ac:dyDescent="0.25">
      <c r="A824215" s="242"/>
    </row>
    <row r="824216" spans="1:1" x14ac:dyDescent="0.25">
      <c r="A824216" s="242"/>
    </row>
    <row r="824217" spans="1:1" x14ac:dyDescent="0.25">
      <c r="A824217" s="242"/>
    </row>
    <row r="824218" spans="1:1" x14ac:dyDescent="0.25">
      <c r="A824218" s="242"/>
    </row>
    <row r="824219" spans="1:1" x14ac:dyDescent="0.25">
      <c r="A824219" s="242"/>
    </row>
    <row r="824220" spans="1:1" x14ac:dyDescent="0.25">
      <c r="A824220" s="242"/>
    </row>
    <row r="824221" spans="1:1" x14ac:dyDescent="0.25">
      <c r="A824221" s="242"/>
    </row>
    <row r="824222" spans="1:1" x14ac:dyDescent="0.25">
      <c r="A824222" s="242"/>
    </row>
    <row r="824223" spans="1:1" x14ac:dyDescent="0.25">
      <c r="A824223" s="242"/>
    </row>
    <row r="824224" spans="1:1" x14ac:dyDescent="0.25">
      <c r="A824224" s="242"/>
    </row>
    <row r="824225" spans="1:1" x14ac:dyDescent="0.25">
      <c r="A824225" s="242"/>
    </row>
    <row r="824226" spans="1:1" x14ac:dyDescent="0.25">
      <c r="A824226" s="242"/>
    </row>
    <row r="824227" spans="1:1" x14ac:dyDescent="0.25">
      <c r="A824227" s="242"/>
    </row>
    <row r="824228" spans="1:1" x14ac:dyDescent="0.25">
      <c r="A824228" s="242"/>
    </row>
    <row r="824229" spans="1:1" x14ac:dyDescent="0.25">
      <c r="A824229" s="242"/>
    </row>
    <row r="824230" spans="1:1" x14ac:dyDescent="0.25">
      <c r="A824230" s="242"/>
    </row>
    <row r="824231" spans="1:1" x14ac:dyDescent="0.25">
      <c r="A824231" s="242"/>
    </row>
    <row r="824232" spans="1:1" x14ac:dyDescent="0.25">
      <c r="A824232" s="242"/>
    </row>
    <row r="824233" spans="1:1" x14ac:dyDescent="0.25">
      <c r="A824233" s="242"/>
    </row>
    <row r="824234" spans="1:1" x14ac:dyDescent="0.25">
      <c r="A824234" s="242"/>
    </row>
    <row r="824235" spans="1:1" x14ac:dyDescent="0.25">
      <c r="A824235" s="242"/>
    </row>
    <row r="824236" spans="1:1" x14ac:dyDescent="0.25">
      <c r="A824236" s="242"/>
    </row>
    <row r="824237" spans="1:1" x14ac:dyDescent="0.25">
      <c r="A824237" s="242"/>
    </row>
    <row r="824238" spans="1:1" x14ac:dyDescent="0.25">
      <c r="A824238" s="242"/>
    </row>
    <row r="824239" spans="1:1" x14ac:dyDescent="0.25">
      <c r="A824239" s="242"/>
    </row>
    <row r="824240" spans="1:1" x14ac:dyDescent="0.25">
      <c r="A824240" s="242"/>
    </row>
    <row r="824241" spans="1:1" x14ac:dyDescent="0.25">
      <c r="A824241" s="242"/>
    </row>
    <row r="824242" spans="1:1" x14ac:dyDescent="0.25">
      <c r="A824242" s="242"/>
    </row>
    <row r="824243" spans="1:1" x14ac:dyDescent="0.25">
      <c r="A824243" s="242"/>
    </row>
    <row r="824244" spans="1:1" x14ac:dyDescent="0.25">
      <c r="A824244" s="242"/>
    </row>
    <row r="824245" spans="1:1" x14ac:dyDescent="0.25">
      <c r="A824245" s="242"/>
    </row>
    <row r="824246" spans="1:1" x14ac:dyDescent="0.25">
      <c r="A824246" s="242"/>
    </row>
    <row r="824247" spans="1:1" x14ac:dyDescent="0.25">
      <c r="A824247" s="242"/>
    </row>
    <row r="824248" spans="1:1" x14ac:dyDescent="0.25">
      <c r="A824248" s="242"/>
    </row>
    <row r="824249" spans="1:1" x14ac:dyDescent="0.25">
      <c r="A824249" s="242"/>
    </row>
    <row r="824250" spans="1:1" x14ac:dyDescent="0.25">
      <c r="A824250" s="242"/>
    </row>
    <row r="824251" spans="1:1" x14ac:dyDescent="0.25">
      <c r="A824251" s="242"/>
    </row>
    <row r="824252" spans="1:1" x14ac:dyDescent="0.25">
      <c r="A824252" s="242"/>
    </row>
    <row r="824253" spans="1:1" x14ac:dyDescent="0.25">
      <c r="A824253" s="242"/>
    </row>
    <row r="824254" spans="1:1" x14ac:dyDescent="0.25">
      <c r="A824254" s="242"/>
    </row>
    <row r="824255" spans="1:1" x14ac:dyDescent="0.25">
      <c r="A824255" s="242"/>
    </row>
    <row r="824256" spans="1:1" x14ac:dyDescent="0.25">
      <c r="A824256" s="242"/>
    </row>
    <row r="824257" spans="1:1" x14ac:dyDescent="0.25">
      <c r="A824257" s="242"/>
    </row>
    <row r="824258" spans="1:1" x14ac:dyDescent="0.25">
      <c r="A824258" s="242"/>
    </row>
    <row r="824259" spans="1:1" x14ac:dyDescent="0.25">
      <c r="A824259" s="242"/>
    </row>
    <row r="824260" spans="1:1" x14ac:dyDescent="0.25">
      <c r="A824260" s="242"/>
    </row>
    <row r="824261" spans="1:1" x14ac:dyDescent="0.25">
      <c r="A824261" s="242"/>
    </row>
    <row r="824262" spans="1:1" x14ac:dyDescent="0.25">
      <c r="A824262" s="242"/>
    </row>
    <row r="824263" spans="1:1" x14ac:dyDescent="0.25">
      <c r="A824263" s="242"/>
    </row>
    <row r="824264" spans="1:1" x14ac:dyDescent="0.25">
      <c r="A824264" s="242"/>
    </row>
    <row r="824265" spans="1:1" x14ac:dyDescent="0.25">
      <c r="A824265" s="242"/>
    </row>
    <row r="824266" spans="1:1" x14ac:dyDescent="0.25">
      <c r="A824266" s="242"/>
    </row>
    <row r="824267" spans="1:1" x14ac:dyDescent="0.25">
      <c r="A824267" s="242"/>
    </row>
    <row r="824268" spans="1:1" x14ac:dyDescent="0.25">
      <c r="A824268" s="242"/>
    </row>
    <row r="824269" spans="1:1" x14ac:dyDescent="0.25">
      <c r="A824269" s="242"/>
    </row>
    <row r="824270" spans="1:1" x14ac:dyDescent="0.25">
      <c r="A824270" s="242"/>
    </row>
    <row r="824271" spans="1:1" x14ac:dyDescent="0.25">
      <c r="A824271" s="242"/>
    </row>
    <row r="824272" spans="1:1" x14ac:dyDescent="0.25">
      <c r="A824272" s="242"/>
    </row>
    <row r="824273" spans="1:1" x14ac:dyDescent="0.25">
      <c r="A824273" s="242"/>
    </row>
    <row r="824274" spans="1:1" x14ac:dyDescent="0.25">
      <c r="A824274" s="242"/>
    </row>
    <row r="824275" spans="1:1" x14ac:dyDescent="0.25">
      <c r="A824275" s="242"/>
    </row>
    <row r="824276" spans="1:1" x14ac:dyDescent="0.25">
      <c r="A824276" s="242"/>
    </row>
    <row r="824277" spans="1:1" x14ac:dyDescent="0.25">
      <c r="A824277" s="242"/>
    </row>
    <row r="824278" spans="1:1" x14ac:dyDescent="0.25">
      <c r="A824278" s="242"/>
    </row>
    <row r="824279" spans="1:1" x14ac:dyDescent="0.25">
      <c r="A824279" s="242"/>
    </row>
    <row r="824280" spans="1:1" x14ac:dyDescent="0.25">
      <c r="A824280" s="242"/>
    </row>
    <row r="824281" spans="1:1" x14ac:dyDescent="0.25">
      <c r="A824281" s="242"/>
    </row>
    <row r="824282" spans="1:1" x14ac:dyDescent="0.25">
      <c r="A824282" s="242"/>
    </row>
    <row r="824283" spans="1:1" x14ac:dyDescent="0.25">
      <c r="A824283" s="242"/>
    </row>
    <row r="824284" spans="1:1" x14ac:dyDescent="0.25">
      <c r="A824284" s="242"/>
    </row>
    <row r="824285" spans="1:1" x14ac:dyDescent="0.25">
      <c r="A824285" s="242"/>
    </row>
    <row r="824286" spans="1:1" x14ac:dyDescent="0.25">
      <c r="A824286" s="242"/>
    </row>
    <row r="824287" spans="1:1" x14ac:dyDescent="0.25">
      <c r="A824287" s="242"/>
    </row>
    <row r="824288" spans="1:1" x14ac:dyDescent="0.25">
      <c r="A824288" s="242"/>
    </row>
    <row r="824289" spans="1:1" x14ac:dyDescent="0.25">
      <c r="A824289" s="242"/>
    </row>
    <row r="824290" spans="1:1" x14ac:dyDescent="0.25">
      <c r="A824290" s="242"/>
    </row>
    <row r="824291" spans="1:1" x14ac:dyDescent="0.25">
      <c r="A824291" s="242"/>
    </row>
    <row r="824292" spans="1:1" x14ac:dyDescent="0.25">
      <c r="A824292" s="242"/>
    </row>
    <row r="824293" spans="1:1" x14ac:dyDescent="0.25">
      <c r="A824293" s="242"/>
    </row>
    <row r="824294" spans="1:1" x14ac:dyDescent="0.25">
      <c r="A824294" s="242"/>
    </row>
    <row r="824295" spans="1:1" x14ac:dyDescent="0.25">
      <c r="A824295" s="242"/>
    </row>
    <row r="824296" spans="1:1" x14ac:dyDescent="0.25">
      <c r="A824296" s="242"/>
    </row>
    <row r="824297" spans="1:1" x14ac:dyDescent="0.25">
      <c r="A824297" s="242"/>
    </row>
    <row r="824298" spans="1:1" x14ac:dyDescent="0.25">
      <c r="A824298" s="242"/>
    </row>
    <row r="824299" spans="1:1" x14ac:dyDescent="0.25">
      <c r="A824299" s="242"/>
    </row>
    <row r="824300" spans="1:1" x14ac:dyDescent="0.25">
      <c r="A824300" s="242"/>
    </row>
    <row r="824301" spans="1:1" x14ac:dyDescent="0.25">
      <c r="A824301" s="242"/>
    </row>
    <row r="824302" spans="1:1" x14ac:dyDescent="0.25">
      <c r="A824302" s="242"/>
    </row>
    <row r="824303" spans="1:1" x14ac:dyDescent="0.25">
      <c r="A824303" s="242"/>
    </row>
    <row r="824304" spans="1:1" x14ac:dyDescent="0.25">
      <c r="A824304" s="242"/>
    </row>
    <row r="824305" spans="1:1" x14ac:dyDescent="0.25">
      <c r="A824305" s="242"/>
    </row>
    <row r="824306" spans="1:1" x14ac:dyDescent="0.25">
      <c r="A824306" s="242"/>
    </row>
    <row r="824307" spans="1:1" x14ac:dyDescent="0.25">
      <c r="A824307" s="242"/>
    </row>
    <row r="824308" spans="1:1" x14ac:dyDescent="0.25">
      <c r="A824308" s="242"/>
    </row>
    <row r="824309" spans="1:1" x14ac:dyDescent="0.25">
      <c r="A824309" s="242"/>
    </row>
    <row r="824310" spans="1:1" x14ac:dyDescent="0.25">
      <c r="A824310" s="242"/>
    </row>
    <row r="824311" spans="1:1" x14ac:dyDescent="0.25">
      <c r="A824311" s="242"/>
    </row>
    <row r="824312" spans="1:1" x14ac:dyDescent="0.25">
      <c r="A824312" s="242"/>
    </row>
    <row r="824313" spans="1:1" x14ac:dyDescent="0.25">
      <c r="A824313" s="242"/>
    </row>
    <row r="824314" spans="1:1" x14ac:dyDescent="0.25">
      <c r="A824314" s="242"/>
    </row>
    <row r="824315" spans="1:1" x14ac:dyDescent="0.25">
      <c r="A824315" s="242"/>
    </row>
    <row r="824316" spans="1:1" x14ac:dyDescent="0.25">
      <c r="A824316" s="242"/>
    </row>
    <row r="824317" spans="1:1" x14ac:dyDescent="0.25">
      <c r="A824317" s="242"/>
    </row>
    <row r="824318" spans="1:1" x14ac:dyDescent="0.25">
      <c r="A824318" s="242"/>
    </row>
    <row r="824319" spans="1:1" x14ac:dyDescent="0.25">
      <c r="A824319" s="242"/>
    </row>
    <row r="824320" spans="1:1" x14ac:dyDescent="0.25">
      <c r="A824320" s="242"/>
    </row>
    <row r="824321" spans="1:1" x14ac:dyDescent="0.25">
      <c r="A824321" s="242"/>
    </row>
    <row r="824322" spans="1:1" x14ac:dyDescent="0.25">
      <c r="A824322" s="242"/>
    </row>
    <row r="824323" spans="1:1" x14ac:dyDescent="0.25">
      <c r="A824323" s="242"/>
    </row>
    <row r="824324" spans="1:1" x14ac:dyDescent="0.25">
      <c r="A824324" s="242"/>
    </row>
    <row r="824325" spans="1:1" x14ac:dyDescent="0.25">
      <c r="A824325" s="242"/>
    </row>
    <row r="824326" spans="1:1" x14ac:dyDescent="0.25">
      <c r="A824326" s="242"/>
    </row>
    <row r="824327" spans="1:1" x14ac:dyDescent="0.25">
      <c r="A824327" s="242"/>
    </row>
    <row r="824328" spans="1:1" x14ac:dyDescent="0.25">
      <c r="A824328" s="242"/>
    </row>
    <row r="824329" spans="1:1" x14ac:dyDescent="0.25">
      <c r="A824329" s="242"/>
    </row>
    <row r="824330" spans="1:1" x14ac:dyDescent="0.25">
      <c r="A824330" s="242"/>
    </row>
    <row r="824331" spans="1:1" x14ac:dyDescent="0.25">
      <c r="A824331" s="242"/>
    </row>
    <row r="824332" spans="1:1" x14ac:dyDescent="0.25">
      <c r="A824332" s="242"/>
    </row>
    <row r="824333" spans="1:1" x14ac:dyDescent="0.25">
      <c r="A824333" s="242"/>
    </row>
    <row r="824334" spans="1:1" x14ac:dyDescent="0.25">
      <c r="A824334" s="242"/>
    </row>
    <row r="824335" spans="1:1" x14ac:dyDescent="0.25">
      <c r="A824335" s="242"/>
    </row>
    <row r="824336" spans="1:1" x14ac:dyDescent="0.25">
      <c r="A824336" s="242"/>
    </row>
    <row r="824337" spans="1:1" x14ac:dyDescent="0.25">
      <c r="A824337" s="242"/>
    </row>
    <row r="824338" spans="1:1" x14ac:dyDescent="0.25">
      <c r="A824338" s="242"/>
    </row>
    <row r="824339" spans="1:1" x14ac:dyDescent="0.25">
      <c r="A824339" s="242"/>
    </row>
    <row r="824340" spans="1:1" x14ac:dyDescent="0.25">
      <c r="A824340" s="242"/>
    </row>
    <row r="824341" spans="1:1" x14ac:dyDescent="0.25">
      <c r="A824341" s="242"/>
    </row>
    <row r="824342" spans="1:1" x14ac:dyDescent="0.25">
      <c r="A824342" s="242"/>
    </row>
    <row r="824343" spans="1:1" x14ac:dyDescent="0.25">
      <c r="A824343" s="242"/>
    </row>
    <row r="824344" spans="1:1" x14ac:dyDescent="0.25">
      <c r="A824344" s="242"/>
    </row>
    <row r="824345" spans="1:1" x14ac:dyDescent="0.25">
      <c r="A824345" s="242"/>
    </row>
    <row r="824346" spans="1:1" x14ac:dyDescent="0.25">
      <c r="A824346" s="242"/>
    </row>
    <row r="824347" spans="1:1" x14ac:dyDescent="0.25">
      <c r="A824347" s="242"/>
    </row>
    <row r="824348" spans="1:1" x14ac:dyDescent="0.25">
      <c r="A824348" s="242"/>
    </row>
    <row r="824349" spans="1:1" x14ac:dyDescent="0.25">
      <c r="A824349" s="242"/>
    </row>
    <row r="824350" spans="1:1" x14ac:dyDescent="0.25">
      <c r="A824350" s="242"/>
    </row>
    <row r="824351" spans="1:1" x14ac:dyDescent="0.25">
      <c r="A824351" s="242"/>
    </row>
    <row r="824352" spans="1:1" x14ac:dyDescent="0.25">
      <c r="A824352" s="242"/>
    </row>
    <row r="824353" spans="1:1" x14ac:dyDescent="0.25">
      <c r="A824353" s="242"/>
    </row>
    <row r="824354" spans="1:1" x14ac:dyDescent="0.25">
      <c r="A824354" s="242"/>
    </row>
    <row r="824355" spans="1:1" x14ac:dyDescent="0.25">
      <c r="A824355" s="242"/>
    </row>
    <row r="824356" spans="1:1" x14ac:dyDescent="0.25">
      <c r="A824356" s="242"/>
    </row>
    <row r="824357" spans="1:1" x14ac:dyDescent="0.25">
      <c r="A824357" s="242"/>
    </row>
    <row r="824358" spans="1:1" x14ac:dyDescent="0.25">
      <c r="A824358" s="242"/>
    </row>
    <row r="824359" spans="1:1" x14ac:dyDescent="0.25">
      <c r="A824359" s="242"/>
    </row>
    <row r="824360" spans="1:1" x14ac:dyDescent="0.25">
      <c r="A824360" s="242"/>
    </row>
    <row r="824361" spans="1:1" x14ac:dyDescent="0.25">
      <c r="A824361" s="242"/>
    </row>
    <row r="824362" spans="1:1" x14ac:dyDescent="0.25">
      <c r="A824362" s="242"/>
    </row>
    <row r="824363" spans="1:1" x14ac:dyDescent="0.25">
      <c r="A824363" s="242"/>
    </row>
    <row r="824364" spans="1:1" x14ac:dyDescent="0.25">
      <c r="A824364" s="242"/>
    </row>
    <row r="824365" spans="1:1" x14ac:dyDescent="0.25">
      <c r="A824365" s="242"/>
    </row>
    <row r="824366" spans="1:1" x14ac:dyDescent="0.25">
      <c r="A824366" s="242"/>
    </row>
    <row r="824367" spans="1:1" x14ac:dyDescent="0.25">
      <c r="A824367" s="242"/>
    </row>
    <row r="824368" spans="1:1" x14ac:dyDescent="0.25">
      <c r="A824368" s="242"/>
    </row>
    <row r="824369" spans="1:1" x14ac:dyDescent="0.25">
      <c r="A824369" s="242"/>
    </row>
    <row r="824370" spans="1:1" x14ac:dyDescent="0.25">
      <c r="A824370" s="242"/>
    </row>
    <row r="824371" spans="1:1" x14ac:dyDescent="0.25">
      <c r="A824371" s="242"/>
    </row>
    <row r="824372" spans="1:1" x14ac:dyDescent="0.25">
      <c r="A824372" s="242"/>
    </row>
    <row r="824373" spans="1:1" x14ac:dyDescent="0.25">
      <c r="A824373" s="242"/>
    </row>
    <row r="824374" spans="1:1" x14ac:dyDescent="0.25">
      <c r="A824374" s="242"/>
    </row>
    <row r="824375" spans="1:1" x14ac:dyDescent="0.25">
      <c r="A824375" s="242"/>
    </row>
    <row r="824376" spans="1:1" x14ac:dyDescent="0.25">
      <c r="A824376" s="242"/>
    </row>
    <row r="824377" spans="1:1" x14ac:dyDescent="0.25">
      <c r="A824377" s="242"/>
    </row>
    <row r="824378" spans="1:1" x14ac:dyDescent="0.25">
      <c r="A824378" s="242"/>
    </row>
    <row r="824379" spans="1:1" x14ac:dyDescent="0.25">
      <c r="A824379" s="242"/>
    </row>
    <row r="824380" spans="1:1" x14ac:dyDescent="0.25">
      <c r="A824380" s="242"/>
    </row>
    <row r="824381" spans="1:1" x14ac:dyDescent="0.25">
      <c r="A824381" s="242"/>
    </row>
    <row r="824382" spans="1:1" x14ac:dyDescent="0.25">
      <c r="A824382" s="242"/>
    </row>
    <row r="824383" spans="1:1" x14ac:dyDescent="0.25">
      <c r="A824383" s="242"/>
    </row>
    <row r="824384" spans="1:1" x14ac:dyDescent="0.25">
      <c r="A824384" s="242"/>
    </row>
    <row r="824385" spans="1:1" x14ac:dyDescent="0.25">
      <c r="A824385" s="242"/>
    </row>
    <row r="824386" spans="1:1" x14ac:dyDescent="0.25">
      <c r="A824386" s="242"/>
    </row>
    <row r="824387" spans="1:1" x14ac:dyDescent="0.25">
      <c r="A824387" s="242"/>
    </row>
    <row r="824388" spans="1:1" x14ac:dyDescent="0.25">
      <c r="A824388" s="242"/>
    </row>
    <row r="824389" spans="1:1" x14ac:dyDescent="0.25">
      <c r="A824389" s="242"/>
    </row>
    <row r="824390" spans="1:1" x14ac:dyDescent="0.25">
      <c r="A824390" s="242"/>
    </row>
    <row r="824391" spans="1:1" x14ac:dyDescent="0.25">
      <c r="A824391" s="242"/>
    </row>
    <row r="824392" spans="1:1" x14ac:dyDescent="0.25">
      <c r="A824392" s="242"/>
    </row>
    <row r="824393" spans="1:1" x14ac:dyDescent="0.25">
      <c r="A824393" s="242"/>
    </row>
    <row r="824394" spans="1:1" x14ac:dyDescent="0.25">
      <c r="A824394" s="242"/>
    </row>
    <row r="824395" spans="1:1" x14ac:dyDescent="0.25">
      <c r="A824395" s="242"/>
    </row>
    <row r="824396" spans="1:1" x14ac:dyDescent="0.25">
      <c r="A824396" s="242"/>
    </row>
    <row r="824397" spans="1:1" x14ac:dyDescent="0.25">
      <c r="A824397" s="242"/>
    </row>
    <row r="824398" spans="1:1" x14ac:dyDescent="0.25">
      <c r="A824398" s="242"/>
    </row>
    <row r="824399" spans="1:1" x14ac:dyDescent="0.25">
      <c r="A824399" s="242"/>
    </row>
    <row r="824400" spans="1:1" x14ac:dyDescent="0.25">
      <c r="A824400" s="242"/>
    </row>
    <row r="824401" spans="1:1" x14ac:dyDescent="0.25">
      <c r="A824401" s="242"/>
    </row>
    <row r="824402" spans="1:1" x14ac:dyDescent="0.25">
      <c r="A824402" s="242"/>
    </row>
    <row r="824403" spans="1:1" x14ac:dyDescent="0.25">
      <c r="A824403" s="242"/>
    </row>
    <row r="824404" spans="1:1" x14ac:dyDescent="0.25">
      <c r="A824404" s="242"/>
    </row>
    <row r="824405" spans="1:1" x14ac:dyDescent="0.25">
      <c r="A824405" s="242"/>
    </row>
    <row r="824406" spans="1:1" x14ac:dyDescent="0.25">
      <c r="A824406" s="242"/>
    </row>
    <row r="824407" spans="1:1" x14ac:dyDescent="0.25">
      <c r="A824407" s="242"/>
    </row>
    <row r="824408" spans="1:1" x14ac:dyDescent="0.25">
      <c r="A824408" s="242"/>
    </row>
    <row r="824409" spans="1:1" x14ac:dyDescent="0.25">
      <c r="A824409" s="242"/>
    </row>
    <row r="824410" spans="1:1" x14ac:dyDescent="0.25">
      <c r="A824410" s="242"/>
    </row>
    <row r="824411" spans="1:1" x14ac:dyDescent="0.25">
      <c r="A824411" s="242"/>
    </row>
    <row r="824412" spans="1:1" x14ac:dyDescent="0.25">
      <c r="A824412" s="242"/>
    </row>
    <row r="824413" spans="1:1" x14ac:dyDescent="0.25">
      <c r="A824413" s="242"/>
    </row>
    <row r="824414" spans="1:1" x14ac:dyDescent="0.25">
      <c r="A824414" s="242"/>
    </row>
    <row r="824415" spans="1:1" x14ac:dyDescent="0.25">
      <c r="A824415" s="242"/>
    </row>
    <row r="824416" spans="1:1" x14ac:dyDescent="0.25">
      <c r="A824416" s="242"/>
    </row>
    <row r="824417" spans="1:1" x14ac:dyDescent="0.25">
      <c r="A824417" s="242"/>
    </row>
    <row r="824418" spans="1:1" x14ac:dyDescent="0.25">
      <c r="A824418" s="242"/>
    </row>
    <row r="824419" spans="1:1" x14ac:dyDescent="0.25">
      <c r="A824419" s="242"/>
    </row>
    <row r="824420" spans="1:1" x14ac:dyDescent="0.25">
      <c r="A824420" s="242"/>
    </row>
    <row r="824421" spans="1:1" x14ac:dyDescent="0.25">
      <c r="A824421" s="242"/>
    </row>
    <row r="824422" spans="1:1" x14ac:dyDescent="0.25">
      <c r="A824422" s="242"/>
    </row>
    <row r="824423" spans="1:1" x14ac:dyDescent="0.25">
      <c r="A824423" s="242"/>
    </row>
    <row r="824424" spans="1:1" x14ac:dyDescent="0.25">
      <c r="A824424" s="242"/>
    </row>
    <row r="824425" spans="1:1" x14ac:dyDescent="0.25">
      <c r="A824425" s="242"/>
    </row>
    <row r="824426" spans="1:1" x14ac:dyDescent="0.25">
      <c r="A824426" s="242"/>
    </row>
    <row r="824427" spans="1:1" x14ac:dyDescent="0.25">
      <c r="A824427" s="242"/>
    </row>
    <row r="824428" spans="1:1" x14ac:dyDescent="0.25">
      <c r="A824428" s="242"/>
    </row>
    <row r="824429" spans="1:1" x14ac:dyDescent="0.25">
      <c r="A824429" s="242"/>
    </row>
    <row r="824430" spans="1:1" x14ac:dyDescent="0.25">
      <c r="A824430" s="242"/>
    </row>
    <row r="824431" spans="1:1" x14ac:dyDescent="0.25">
      <c r="A824431" s="242"/>
    </row>
    <row r="824432" spans="1:1" x14ac:dyDescent="0.25">
      <c r="A824432" s="242"/>
    </row>
    <row r="824433" spans="1:1" x14ac:dyDescent="0.25">
      <c r="A824433" s="242"/>
    </row>
    <row r="824434" spans="1:1" x14ac:dyDescent="0.25">
      <c r="A824434" s="242"/>
    </row>
    <row r="824435" spans="1:1" x14ac:dyDescent="0.25">
      <c r="A824435" s="242"/>
    </row>
    <row r="824436" spans="1:1" x14ac:dyDescent="0.25">
      <c r="A824436" s="242"/>
    </row>
    <row r="824437" spans="1:1" x14ac:dyDescent="0.25">
      <c r="A824437" s="242"/>
    </row>
    <row r="824438" spans="1:1" x14ac:dyDescent="0.25">
      <c r="A824438" s="242"/>
    </row>
    <row r="824439" spans="1:1" x14ac:dyDescent="0.25">
      <c r="A824439" s="242"/>
    </row>
    <row r="824440" spans="1:1" x14ac:dyDescent="0.25">
      <c r="A824440" s="242"/>
    </row>
    <row r="824441" spans="1:1" x14ac:dyDescent="0.25">
      <c r="A824441" s="242"/>
    </row>
    <row r="824442" spans="1:1" x14ac:dyDescent="0.25">
      <c r="A824442" s="242"/>
    </row>
    <row r="824443" spans="1:1" x14ac:dyDescent="0.25">
      <c r="A824443" s="242"/>
    </row>
    <row r="824444" spans="1:1" x14ac:dyDescent="0.25">
      <c r="A824444" s="242"/>
    </row>
    <row r="824445" spans="1:1" x14ac:dyDescent="0.25">
      <c r="A824445" s="242"/>
    </row>
    <row r="824446" spans="1:1" x14ac:dyDescent="0.25">
      <c r="A824446" s="242"/>
    </row>
    <row r="824447" spans="1:1" x14ac:dyDescent="0.25">
      <c r="A824447" s="242"/>
    </row>
    <row r="824448" spans="1:1" x14ac:dyDescent="0.25">
      <c r="A824448" s="242"/>
    </row>
    <row r="824449" spans="1:1" x14ac:dyDescent="0.25">
      <c r="A824449" s="242"/>
    </row>
    <row r="824450" spans="1:1" x14ac:dyDescent="0.25">
      <c r="A824450" s="242"/>
    </row>
    <row r="824451" spans="1:1" x14ac:dyDescent="0.25">
      <c r="A824451" s="242"/>
    </row>
    <row r="824452" spans="1:1" x14ac:dyDescent="0.25">
      <c r="A824452" s="242"/>
    </row>
    <row r="824453" spans="1:1" x14ac:dyDescent="0.25">
      <c r="A824453" s="242"/>
    </row>
    <row r="824454" spans="1:1" x14ac:dyDescent="0.25">
      <c r="A824454" s="242"/>
    </row>
    <row r="824455" spans="1:1" x14ac:dyDescent="0.25">
      <c r="A824455" s="242"/>
    </row>
    <row r="824456" spans="1:1" x14ac:dyDescent="0.25">
      <c r="A824456" s="242"/>
    </row>
    <row r="824457" spans="1:1" x14ac:dyDescent="0.25">
      <c r="A824457" s="242"/>
    </row>
    <row r="824458" spans="1:1" x14ac:dyDescent="0.25">
      <c r="A824458" s="242"/>
    </row>
    <row r="824459" spans="1:1" x14ac:dyDescent="0.25">
      <c r="A824459" s="242"/>
    </row>
    <row r="824460" spans="1:1" x14ac:dyDescent="0.25">
      <c r="A824460" s="242"/>
    </row>
    <row r="824461" spans="1:1" x14ac:dyDescent="0.25">
      <c r="A824461" s="242"/>
    </row>
    <row r="824462" spans="1:1" x14ac:dyDescent="0.25">
      <c r="A824462" s="242"/>
    </row>
    <row r="824463" spans="1:1" x14ac:dyDescent="0.25">
      <c r="A824463" s="242"/>
    </row>
    <row r="824464" spans="1:1" x14ac:dyDescent="0.25">
      <c r="A824464" s="242"/>
    </row>
    <row r="824465" spans="1:1" x14ac:dyDescent="0.25">
      <c r="A824465" s="242"/>
    </row>
    <row r="824466" spans="1:1" x14ac:dyDescent="0.25">
      <c r="A824466" s="242"/>
    </row>
    <row r="824467" spans="1:1" x14ac:dyDescent="0.25">
      <c r="A824467" s="242"/>
    </row>
    <row r="824468" spans="1:1" x14ac:dyDescent="0.25">
      <c r="A824468" s="242"/>
    </row>
    <row r="824469" spans="1:1" x14ac:dyDescent="0.25">
      <c r="A824469" s="242"/>
    </row>
    <row r="824470" spans="1:1" x14ac:dyDescent="0.25">
      <c r="A824470" s="242"/>
    </row>
    <row r="824471" spans="1:1" x14ac:dyDescent="0.25">
      <c r="A824471" s="242"/>
    </row>
    <row r="824472" spans="1:1" x14ac:dyDescent="0.25">
      <c r="A824472" s="242"/>
    </row>
    <row r="824473" spans="1:1" x14ac:dyDescent="0.25">
      <c r="A824473" s="242"/>
    </row>
    <row r="824474" spans="1:1" x14ac:dyDescent="0.25">
      <c r="A824474" s="242"/>
    </row>
    <row r="824475" spans="1:1" x14ac:dyDescent="0.25">
      <c r="A824475" s="242"/>
    </row>
    <row r="824476" spans="1:1" x14ac:dyDescent="0.25">
      <c r="A824476" s="242"/>
    </row>
    <row r="824477" spans="1:1" x14ac:dyDescent="0.25">
      <c r="A824477" s="242"/>
    </row>
    <row r="824478" spans="1:1" x14ac:dyDescent="0.25">
      <c r="A824478" s="242"/>
    </row>
    <row r="824479" spans="1:1" x14ac:dyDescent="0.25">
      <c r="A824479" s="242"/>
    </row>
    <row r="824480" spans="1:1" x14ac:dyDescent="0.25">
      <c r="A824480" s="242"/>
    </row>
    <row r="824481" spans="1:1" x14ac:dyDescent="0.25">
      <c r="A824481" s="242"/>
    </row>
    <row r="824482" spans="1:1" x14ac:dyDescent="0.25">
      <c r="A824482" s="242"/>
    </row>
    <row r="824483" spans="1:1" x14ac:dyDescent="0.25">
      <c r="A824483" s="242"/>
    </row>
    <row r="824484" spans="1:1" x14ac:dyDescent="0.25">
      <c r="A824484" s="242"/>
    </row>
    <row r="824485" spans="1:1" x14ac:dyDescent="0.25">
      <c r="A824485" s="242"/>
    </row>
    <row r="824486" spans="1:1" x14ac:dyDescent="0.25">
      <c r="A824486" s="242"/>
    </row>
    <row r="824487" spans="1:1" x14ac:dyDescent="0.25">
      <c r="A824487" s="242"/>
    </row>
    <row r="824488" spans="1:1" x14ac:dyDescent="0.25">
      <c r="A824488" s="242"/>
    </row>
    <row r="824489" spans="1:1" x14ac:dyDescent="0.25">
      <c r="A824489" s="242"/>
    </row>
    <row r="824490" spans="1:1" x14ac:dyDescent="0.25">
      <c r="A824490" s="242"/>
    </row>
    <row r="824491" spans="1:1" x14ac:dyDescent="0.25">
      <c r="A824491" s="242"/>
    </row>
    <row r="824492" spans="1:1" x14ac:dyDescent="0.25">
      <c r="A824492" s="242"/>
    </row>
    <row r="824493" spans="1:1" x14ac:dyDescent="0.25">
      <c r="A824493" s="242"/>
    </row>
    <row r="824494" spans="1:1" x14ac:dyDescent="0.25">
      <c r="A824494" s="242"/>
    </row>
    <row r="824495" spans="1:1" x14ac:dyDescent="0.25">
      <c r="A824495" s="242"/>
    </row>
    <row r="824496" spans="1:1" x14ac:dyDescent="0.25">
      <c r="A824496" s="242"/>
    </row>
    <row r="824497" spans="1:1" x14ac:dyDescent="0.25">
      <c r="A824497" s="242"/>
    </row>
    <row r="824498" spans="1:1" x14ac:dyDescent="0.25">
      <c r="A824498" s="242"/>
    </row>
    <row r="824499" spans="1:1" x14ac:dyDescent="0.25">
      <c r="A824499" s="242"/>
    </row>
    <row r="824500" spans="1:1" x14ac:dyDescent="0.25">
      <c r="A824500" s="242"/>
    </row>
    <row r="824501" spans="1:1" x14ac:dyDescent="0.25">
      <c r="A824501" s="242"/>
    </row>
    <row r="824502" spans="1:1" x14ac:dyDescent="0.25">
      <c r="A824502" s="242"/>
    </row>
    <row r="824503" spans="1:1" x14ac:dyDescent="0.25">
      <c r="A824503" s="242"/>
    </row>
    <row r="824504" spans="1:1" x14ac:dyDescent="0.25">
      <c r="A824504" s="242"/>
    </row>
    <row r="824505" spans="1:1" x14ac:dyDescent="0.25">
      <c r="A824505" s="242"/>
    </row>
    <row r="824506" spans="1:1" x14ac:dyDescent="0.25">
      <c r="A824506" s="242"/>
    </row>
    <row r="824507" spans="1:1" x14ac:dyDescent="0.25">
      <c r="A824507" s="242"/>
    </row>
    <row r="824508" spans="1:1" x14ac:dyDescent="0.25">
      <c r="A824508" s="242"/>
    </row>
    <row r="824509" spans="1:1" x14ac:dyDescent="0.25">
      <c r="A824509" s="242"/>
    </row>
    <row r="824510" spans="1:1" x14ac:dyDescent="0.25">
      <c r="A824510" s="242"/>
    </row>
    <row r="824511" spans="1:1" x14ac:dyDescent="0.25">
      <c r="A824511" s="242"/>
    </row>
    <row r="824512" spans="1:1" x14ac:dyDescent="0.25">
      <c r="A824512" s="242"/>
    </row>
    <row r="824513" spans="1:1" x14ac:dyDescent="0.25">
      <c r="A824513" s="242"/>
    </row>
    <row r="824514" spans="1:1" x14ac:dyDescent="0.25">
      <c r="A824514" s="242"/>
    </row>
    <row r="824515" spans="1:1" x14ac:dyDescent="0.25">
      <c r="A824515" s="242"/>
    </row>
    <row r="824516" spans="1:1" x14ac:dyDescent="0.25">
      <c r="A824516" s="242"/>
    </row>
    <row r="824517" spans="1:1" x14ac:dyDescent="0.25">
      <c r="A824517" s="242"/>
    </row>
    <row r="824518" spans="1:1" x14ac:dyDescent="0.25">
      <c r="A824518" s="242"/>
    </row>
    <row r="824519" spans="1:1" x14ac:dyDescent="0.25">
      <c r="A824519" s="242"/>
    </row>
    <row r="824520" spans="1:1" x14ac:dyDescent="0.25">
      <c r="A824520" s="242"/>
    </row>
    <row r="824521" spans="1:1" x14ac:dyDescent="0.25">
      <c r="A824521" s="242"/>
    </row>
    <row r="824522" spans="1:1" x14ac:dyDescent="0.25">
      <c r="A824522" s="242"/>
    </row>
    <row r="824523" spans="1:1" x14ac:dyDescent="0.25">
      <c r="A824523" s="242"/>
    </row>
    <row r="824524" spans="1:1" x14ac:dyDescent="0.25">
      <c r="A824524" s="242"/>
    </row>
    <row r="824525" spans="1:1" x14ac:dyDescent="0.25">
      <c r="A824525" s="242"/>
    </row>
    <row r="824526" spans="1:1" x14ac:dyDescent="0.25">
      <c r="A824526" s="242"/>
    </row>
    <row r="824527" spans="1:1" x14ac:dyDescent="0.25">
      <c r="A824527" s="242"/>
    </row>
    <row r="824528" spans="1:1" x14ac:dyDescent="0.25">
      <c r="A824528" s="242"/>
    </row>
    <row r="824529" spans="1:1" x14ac:dyDescent="0.25">
      <c r="A824529" s="242"/>
    </row>
    <row r="824530" spans="1:1" x14ac:dyDescent="0.25">
      <c r="A824530" s="242"/>
    </row>
    <row r="824531" spans="1:1" x14ac:dyDescent="0.25">
      <c r="A824531" s="242"/>
    </row>
    <row r="824532" spans="1:1" x14ac:dyDescent="0.25">
      <c r="A824532" s="242"/>
    </row>
    <row r="824533" spans="1:1" x14ac:dyDescent="0.25">
      <c r="A824533" s="242"/>
    </row>
    <row r="824534" spans="1:1" x14ac:dyDescent="0.25">
      <c r="A824534" s="242"/>
    </row>
    <row r="824535" spans="1:1" x14ac:dyDescent="0.25">
      <c r="A824535" s="242"/>
    </row>
    <row r="824536" spans="1:1" x14ac:dyDescent="0.25">
      <c r="A824536" s="242"/>
    </row>
    <row r="824537" spans="1:1" x14ac:dyDescent="0.25">
      <c r="A824537" s="242"/>
    </row>
    <row r="824538" spans="1:1" x14ac:dyDescent="0.25">
      <c r="A824538" s="242"/>
    </row>
    <row r="824539" spans="1:1" x14ac:dyDescent="0.25">
      <c r="A824539" s="242"/>
    </row>
    <row r="824540" spans="1:1" x14ac:dyDescent="0.25">
      <c r="A824540" s="242"/>
    </row>
    <row r="824541" spans="1:1" x14ac:dyDescent="0.25">
      <c r="A824541" s="242"/>
    </row>
    <row r="824542" spans="1:1" x14ac:dyDescent="0.25">
      <c r="A824542" s="242"/>
    </row>
    <row r="824543" spans="1:1" x14ac:dyDescent="0.25">
      <c r="A824543" s="242"/>
    </row>
    <row r="824544" spans="1:1" x14ac:dyDescent="0.25">
      <c r="A824544" s="242"/>
    </row>
    <row r="824545" spans="1:1" x14ac:dyDescent="0.25">
      <c r="A824545" s="242"/>
    </row>
    <row r="824546" spans="1:1" x14ac:dyDescent="0.25">
      <c r="A824546" s="242"/>
    </row>
    <row r="824547" spans="1:1" x14ac:dyDescent="0.25">
      <c r="A824547" s="242"/>
    </row>
    <row r="824548" spans="1:1" x14ac:dyDescent="0.25">
      <c r="A824548" s="242"/>
    </row>
    <row r="824549" spans="1:1" x14ac:dyDescent="0.25">
      <c r="A824549" s="242"/>
    </row>
    <row r="824550" spans="1:1" x14ac:dyDescent="0.25">
      <c r="A824550" s="242"/>
    </row>
    <row r="824551" spans="1:1" x14ac:dyDescent="0.25">
      <c r="A824551" s="242"/>
    </row>
    <row r="824552" spans="1:1" x14ac:dyDescent="0.25">
      <c r="A824552" s="242"/>
    </row>
    <row r="824553" spans="1:1" x14ac:dyDescent="0.25">
      <c r="A824553" s="242"/>
    </row>
    <row r="824554" spans="1:1" x14ac:dyDescent="0.25">
      <c r="A824554" s="242"/>
    </row>
    <row r="824555" spans="1:1" x14ac:dyDescent="0.25">
      <c r="A824555" s="242"/>
    </row>
    <row r="824556" spans="1:1" x14ac:dyDescent="0.25">
      <c r="A824556" s="242"/>
    </row>
    <row r="824557" spans="1:1" x14ac:dyDescent="0.25">
      <c r="A824557" s="242"/>
    </row>
    <row r="824558" spans="1:1" x14ac:dyDescent="0.25">
      <c r="A824558" s="242"/>
    </row>
    <row r="824559" spans="1:1" x14ac:dyDescent="0.25">
      <c r="A824559" s="242"/>
    </row>
    <row r="824560" spans="1:1" x14ac:dyDescent="0.25">
      <c r="A824560" s="242"/>
    </row>
    <row r="824561" spans="1:1" x14ac:dyDescent="0.25">
      <c r="A824561" s="242"/>
    </row>
    <row r="824562" spans="1:1" x14ac:dyDescent="0.25">
      <c r="A824562" s="242"/>
    </row>
    <row r="824563" spans="1:1" x14ac:dyDescent="0.25">
      <c r="A824563" s="242"/>
    </row>
    <row r="824564" spans="1:1" x14ac:dyDescent="0.25">
      <c r="A824564" s="242"/>
    </row>
    <row r="824565" spans="1:1" x14ac:dyDescent="0.25">
      <c r="A824565" s="242"/>
    </row>
    <row r="824566" spans="1:1" x14ac:dyDescent="0.25">
      <c r="A824566" s="242"/>
    </row>
    <row r="824567" spans="1:1" x14ac:dyDescent="0.25">
      <c r="A824567" s="242"/>
    </row>
    <row r="824568" spans="1:1" x14ac:dyDescent="0.25">
      <c r="A824568" s="242"/>
    </row>
    <row r="824569" spans="1:1" x14ac:dyDescent="0.25">
      <c r="A824569" s="242"/>
    </row>
    <row r="824570" spans="1:1" x14ac:dyDescent="0.25">
      <c r="A824570" s="242"/>
    </row>
    <row r="824571" spans="1:1" x14ac:dyDescent="0.25">
      <c r="A824571" s="242"/>
    </row>
    <row r="824572" spans="1:1" x14ac:dyDescent="0.25">
      <c r="A824572" s="242"/>
    </row>
    <row r="824573" spans="1:1" x14ac:dyDescent="0.25">
      <c r="A824573" s="242"/>
    </row>
    <row r="824574" spans="1:1" x14ac:dyDescent="0.25">
      <c r="A824574" s="242"/>
    </row>
    <row r="824575" spans="1:1" x14ac:dyDescent="0.25">
      <c r="A824575" s="242"/>
    </row>
    <row r="824576" spans="1:1" x14ac:dyDescent="0.25">
      <c r="A824576" s="242"/>
    </row>
    <row r="824577" spans="1:1" x14ac:dyDescent="0.25">
      <c r="A824577" s="242"/>
    </row>
    <row r="824578" spans="1:1" x14ac:dyDescent="0.25">
      <c r="A824578" s="242"/>
    </row>
    <row r="824579" spans="1:1" x14ac:dyDescent="0.25">
      <c r="A824579" s="242"/>
    </row>
    <row r="824580" spans="1:1" x14ac:dyDescent="0.25">
      <c r="A824580" s="242"/>
    </row>
    <row r="824581" spans="1:1" x14ac:dyDescent="0.25">
      <c r="A824581" s="242"/>
    </row>
    <row r="824582" spans="1:1" x14ac:dyDescent="0.25">
      <c r="A824582" s="242"/>
    </row>
    <row r="824583" spans="1:1" x14ac:dyDescent="0.25">
      <c r="A824583" s="242"/>
    </row>
    <row r="824584" spans="1:1" x14ac:dyDescent="0.25">
      <c r="A824584" s="242"/>
    </row>
    <row r="824585" spans="1:1" x14ac:dyDescent="0.25">
      <c r="A824585" s="242"/>
    </row>
    <row r="824586" spans="1:1" x14ac:dyDescent="0.25">
      <c r="A824586" s="242"/>
    </row>
    <row r="824587" spans="1:1" x14ac:dyDescent="0.25">
      <c r="A824587" s="242"/>
    </row>
    <row r="824588" spans="1:1" x14ac:dyDescent="0.25">
      <c r="A824588" s="242"/>
    </row>
    <row r="824589" spans="1:1" x14ac:dyDescent="0.25">
      <c r="A824589" s="242"/>
    </row>
    <row r="824590" spans="1:1" x14ac:dyDescent="0.25">
      <c r="A824590" s="242"/>
    </row>
    <row r="824591" spans="1:1" x14ac:dyDescent="0.25">
      <c r="A824591" s="242"/>
    </row>
    <row r="824592" spans="1:1" x14ac:dyDescent="0.25">
      <c r="A824592" s="242"/>
    </row>
    <row r="824593" spans="1:1" x14ac:dyDescent="0.25">
      <c r="A824593" s="242"/>
    </row>
    <row r="824594" spans="1:1" x14ac:dyDescent="0.25">
      <c r="A824594" s="242"/>
    </row>
    <row r="824595" spans="1:1" x14ac:dyDescent="0.25">
      <c r="A824595" s="242"/>
    </row>
    <row r="824596" spans="1:1" x14ac:dyDescent="0.25">
      <c r="A824596" s="242"/>
    </row>
    <row r="824597" spans="1:1" x14ac:dyDescent="0.25">
      <c r="A824597" s="242"/>
    </row>
    <row r="824598" spans="1:1" x14ac:dyDescent="0.25">
      <c r="A824598" s="242"/>
    </row>
    <row r="824599" spans="1:1" x14ac:dyDescent="0.25">
      <c r="A824599" s="242"/>
    </row>
    <row r="824600" spans="1:1" x14ac:dyDescent="0.25">
      <c r="A824600" s="242"/>
    </row>
    <row r="824601" spans="1:1" x14ac:dyDescent="0.25">
      <c r="A824601" s="242"/>
    </row>
    <row r="824602" spans="1:1" x14ac:dyDescent="0.25">
      <c r="A824602" s="242"/>
    </row>
    <row r="824603" spans="1:1" x14ac:dyDescent="0.25">
      <c r="A824603" s="242"/>
    </row>
    <row r="824604" spans="1:1" x14ac:dyDescent="0.25">
      <c r="A824604" s="242"/>
    </row>
    <row r="824605" spans="1:1" x14ac:dyDescent="0.25">
      <c r="A824605" s="242"/>
    </row>
    <row r="824606" spans="1:1" x14ac:dyDescent="0.25">
      <c r="A824606" s="242"/>
    </row>
    <row r="824607" spans="1:1" x14ac:dyDescent="0.25">
      <c r="A824607" s="242"/>
    </row>
    <row r="824608" spans="1:1" x14ac:dyDescent="0.25">
      <c r="A824608" s="242"/>
    </row>
    <row r="824609" spans="1:1" x14ac:dyDescent="0.25">
      <c r="A824609" s="242"/>
    </row>
    <row r="824610" spans="1:1" x14ac:dyDescent="0.25">
      <c r="A824610" s="242"/>
    </row>
    <row r="824611" spans="1:1" x14ac:dyDescent="0.25">
      <c r="A824611" s="242"/>
    </row>
    <row r="824612" spans="1:1" x14ac:dyDescent="0.25">
      <c r="A824612" s="242"/>
    </row>
    <row r="824613" spans="1:1" x14ac:dyDescent="0.25">
      <c r="A824613" s="242"/>
    </row>
    <row r="824614" spans="1:1" x14ac:dyDescent="0.25">
      <c r="A824614" s="242"/>
    </row>
    <row r="824615" spans="1:1" x14ac:dyDescent="0.25">
      <c r="A824615" s="242"/>
    </row>
    <row r="824616" spans="1:1" x14ac:dyDescent="0.25">
      <c r="A824616" s="242"/>
    </row>
    <row r="824617" spans="1:1" x14ac:dyDescent="0.25">
      <c r="A824617" s="242"/>
    </row>
    <row r="824618" spans="1:1" x14ac:dyDescent="0.25">
      <c r="A824618" s="242"/>
    </row>
    <row r="824619" spans="1:1" x14ac:dyDescent="0.25">
      <c r="A824619" s="242"/>
    </row>
    <row r="824620" spans="1:1" x14ac:dyDescent="0.25">
      <c r="A824620" s="242"/>
    </row>
    <row r="824621" spans="1:1" x14ac:dyDescent="0.25">
      <c r="A824621" s="242"/>
    </row>
    <row r="824622" spans="1:1" x14ac:dyDescent="0.25">
      <c r="A824622" s="242"/>
    </row>
    <row r="824623" spans="1:1" x14ac:dyDescent="0.25">
      <c r="A824623" s="242"/>
    </row>
    <row r="824624" spans="1:1" x14ac:dyDescent="0.25">
      <c r="A824624" s="242"/>
    </row>
    <row r="824625" spans="1:1" x14ac:dyDescent="0.25">
      <c r="A824625" s="242"/>
    </row>
    <row r="824626" spans="1:1" x14ac:dyDescent="0.25">
      <c r="A824626" s="242"/>
    </row>
    <row r="824627" spans="1:1" x14ac:dyDescent="0.25">
      <c r="A824627" s="242"/>
    </row>
    <row r="824628" spans="1:1" x14ac:dyDescent="0.25">
      <c r="A824628" s="242"/>
    </row>
    <row r="824629" spans="1:1" x14ac:dyDescent="0.25">
      <c r="A824629" s="242"/>
    </row>
    <row r="824630" spans="1:1" x14ac:dyDescent="0.25">
      <c r="A824630" s="242"/>
    </row>
    <row r="824631" spans="1:1" x14ac:dyDescent="0.25">
      <c r="A824631" s="242"/>
    </row>
    <row r="824632" spans="1:1" x14ac:dyDescent="0.25">
      <c r="A824632" s="242"/>
    </row>
    <row r="824633" spans="1:1" x14ac:dyDescent="0.25">
      <c r="A824633" s="242"/>
    </row>
    <row r="824634" spans="1:1" x14ac:dyDescent="0.25">
      <c r="A824634" s="242"/>
    </row>
    <row r="824635" spans="1:1" x14ac:dyDescent="0.25">
      <c r="A824635" s="242"/>
    </row>
    <row r="824636" spans="1:1" x14ac:dyDescent="0.25">
      <c r="A824636" s="242"/>
    </row>
    <row r="824637" spans="1:1" x14ac:dyDescent="0.25">
      <c r="A824637" s="242"/>
    </row>
    <row r="824638" spans="1:1" x14ac:dyDescent="0.25">
      <c r="A824638" s="242"/>
    </row>
    <row r="824639" spans="1:1" x14ac:dyDescent="0.25">
      <c r="A824639" s="242"/>
    </row>
    <row r="824640" spans="1:1" x14ac:dyDescent="0.25">
      <c r="A824640" s="242"/>
    </row>
    <row r="824641" spans="1:1" x14ac:dyDescent="0.25">
      <c r="A824641" s="242"/>
    </row>
    <row r="824642" spans="1:1" x14ac:dyDescent="0.25">
      <c r="A824642" s="242"/>
    </row>
    <row r="824643" spans="1:1" x14ac:dyDescent="0.25">
      <c r="A824643" s="242"/>
    </row>
    <row r="824644" spans="1:1" x14ac:dyDescent="0.25">
      <c r="A824644" s="242"/>
    </row>
    <row r="824645" spans="1:1" x14ac:dyDescent="0.25">
      <c r="A824645" s="242"/>
    </row>
    <row r="824646" spans="1:1" x14ac:dyDescent="0.25">
      <c r="A824646" s="242"/>
    </row>
    <row r="824647" spans="1:1" x14ac:dyDescent="0.25">
      <c r="A824647" s="242"/>
    </row>
    <row r="824648" spans="1:1" x14ac:dyDescent="0.25">
      <c r="A824648" s="242"/>
    </row>
    <row r="824649" spans="1:1" x14ac:dyDescent="0.25">
      <c r="A824649" s="242"/>
    </row>
    <row r="824650" spans="1:1" x14ac:dyDescent="0.25">
      <c r="A824650" s="242"/>
    </row>
    <row r="824651" spans="1:1" x14ac:dyDescent="0.25">
      <c r="A824651" s="242"/>
    </row>
    <row r="824652" spans="1:1" x14ac:dyDescent="0.25">
      <c r="A824652" s="242"/>
    </row>
    <row r="824653" spans="1:1" x14ac:dyDescent="0.25">
      <c r="A824653" s="242"/>
    </row>
    <row r="824654" spans="1:1" x14ac:dyDescent="0.25">
      <c r="A824654" s="242"/>
    </row>
    <row r="824655" spans="1:1" x14ac:dyDescent="0.25">
      <c r="A824655" s="242"/>
    </row>
    <row r="824656" spans="1:1" x14ac:dyDescent="0.25">
      <c r="A824656" s="242"/>
    </row>
    <row r="824657" spans="1:1" x14ac:dyDescent="0.25">
      <c r="A824657" s="242"/>
    </row>
    <row r="824658" spans="1:1" x14ac:dyDescent="0.25">
      <c r="A824658" s="242"/>
    </row>
    <row r="824659" spans="1:1" x14ac:dyDescent="0.25">
      <c r="A824659" s="242"/>
    </row>
    <row r="824660" spans="1:1" x14ac:dyDescent="0.25">
      <c r="A824660" s="242"/>
    </row>
    <row r="824661" spans="1:1" x14ac:dyDescent="0.25">
      <c r="A824661" s="242"/>
    </row>
    <row r="824662" spans="1:1" x14ac:dyDescent="0.25">
      <c r="A824662" s="242"/>
    </row>
    <row r="824663" spans="1:1" x14ac:dyDescent="0.25">
      <c r="A824663" s="242"/>
    </row>
    <row r="824664" spans="1:1" x14ac:dyDescent="0.25">
      <c r="A824664" s="242"/>
    </row>
    <row r="824665" spans="1:1" x14ac:dyDescent="0.25">
      <c r="A824665" s="242"/>
    </row>
    <row r="824666" spans="1:1" x14ac:dyDescent="0.25">
      <c r="A824666" s="242"/>
    </row>
    <row r="824667" spans="1:1" x14ac:dyDescent="0.25">
      <c r="A824667" s="242"/>
    </row>
    <row r="824668" spans="1:1" x14ac:dyDescent="0.25">
      <c r="A824668" s="242"/>
    </row>
    <row r="824669" spans="1:1" x14ac:dyDescent="0.25">
      <c r="A824669" s="242"/>
    </row>
    <row r="824670" spans="1:1" x14ac:dyDescent="0.25">
      <c r="A824670" s="242"/>
    </row>
    <row r="824671" spans="1:1" x14ac:dyDescent="0.25">
      <c r="A824671" s="242"/>
    </row>
    <row r="824672" spans="1:1" x14ac:dyDescent="0.25">
      <c r="A824672" s="242"/>
    </row>
    <row r="824673" spans="1:1" x14ac:dyDescent="0.25">
      <c r="A824673" s="242"/>
    </row>
    <row r="824674" spans="1:1" x14ac:dyDescent="0.25">
      <c r="A824674" s="242"/>
    </row>
    <row r="824675" spans="1:1" x14ac:dyDescent="0.25">
      <c r="A824675" s="242"/>
    </row>
    <row r="824676" spans="1:1" x14ac:dyDescent="0.25">
      <c r="A824676" s="242"/>
    </row>
    <row r="824677" spans="1:1" x14ac:dyDescent="0.25">
      <c r="A824677" s="242"/>
    </row>
    <row r="824678" spans="1:1" x14ac:dyDescent="0.25">
      <c r="A824678" s="242"/>
    </row>
    <row r="824679" spans="1:1" x14ac:dyDescent="0.25">
      <c r="A824679" s="242"/>
    </row>
    <row r="824680" spans="1:1" x14ac:dyDescent="0.25">
      <c r="A824680" s="242"/>
    </row>
    <row r="824681" spans="1:1" x14ac:dyDescent="0.25">
      <c r="A824681" s="242"/>
    </row>
    <row r="824682" spans="1:1" x14ac:dyDescent="0.25">
      <c r="A824682" s="242"/>
    </row>
    <row r="824683" spans="1:1" x14ac:dyDescent="0.25">
      <c r="A824683" s="242"/>
    </row>
    <row r="824684" spans="1:1" x14ac:dyDescent="0.25">
      <c r="A824684" s="242"/>
    </row>
    <row r="824685" spans="1:1" x14ac:dyDescent="0.25">
      <c r="A824685" s="242"/>
    </row>
    <row r="824686" spans="1:1" x14ac:dyDescent="0.25">
      <c r="A824686" s="242"/>
    </row>
    <row r="824687" spans="1:1" x14ac:dyDescent="0.25">
      <c r="A824687" s="242"/>
    </row>
    <row r="824688" spans="1:1" x14ac:dyDescent="0.25">
      <c r="A824688" s="242"/>
    </row>
    <row r="824689" spans="1:1" x14ac:dyDescent="0.25">
      <c r="A824689" s="242"/>
    </row>
    <row r="824690" spans="1:1" x14ac:dyDescent="0.25">
      <c r="A824690" s="242"/>
    </row>
    <row r="824691" spans="1:1" x14ac:dyDescent="0.25">
      <c r="A824691" s="242"/>
    </row>
    <row r="824692" spans="1:1" x14ac:dyDescent="0.25">
      <c r="A824692" s="242"/>
    </row>
    <row r="824693" spans="1:1" x14ac:dyDescent="0.25">
      <c r="A824693" s="242"/>
    </row>
    <row r="824694" spans="1:1" x14ac:dyDescent="0.25">
      <c r="A824694" s="242"/>
    </row>
    <row r="824695" spans="1:1" x14ac:dyDescent="0.25">
      <c r="A824695" s="242"/>
    </row>
    <row r="824696" spans="1:1" x14ac:dyDescent="0.25">
      <c r="A824696" s="242"/>
    </row>
    <row r="824697" spans="1:1" x14ac:dyDescent="0.25">
      <c r="A824697" s="242"/>
    </row>
    <row r="824698" spans="1:1" x14ac:dyDescent="0.25">
      <c r="A824698" s="242"/>
    </row>
    <row r="824699" spans="1:1" x14ac:dyDescent="0.25">
      <c r="A824699" s="242"/>
    </row>
    <row r="824700" spans="1:1" x14ac:dyDescent="0.25">
      <c r="A824700" s="242"/>
    </row>
    <row r="824701" spans="1:1" x14ac:dyDescent="0.25">
      <c r="A824701" s="242"/>
    </row>
    <row r="824702" spans="1:1" x14ac:dyDescent="0.25">
      <c r="A824702" s="242"/>
    </row>
    <row r="824703" spans="1:1" x14ac:dyDescent="0.25">
      <c r="A824703" s="242"/>
    </row>
    <row r="824704" spans="1:1" x14ac:dyDescent="0.25">
      <c r="A824704" s="242"/>
    </row>
    <row r="824705" spans="1:1" x14ac:dyDescent="0.25">
      <c r="A824705" s="242"/>
    </row>
    <row r="824706" spans="1:1" x14ac:dyDescent="0.25">
      <c r="A824706" s="242"/>
    </row>
    <row r="824707" spans="1:1" x14ac:dyDescent="0.25">
      <c r="A824707" s="242"/>
    </row>
    <row r="824708" spans="1:1" x14ac:dyDescent="0.25">
      <c r="A824708" s="242"/>
    </row>
    <row r="824709" spans="1:1" x14ac:dyDescent="0.25">
      <c r="A824709" s="242"/>
    </row>
    <row r="824710" spans="1:1" x14ac:dyDescent="0.25">
      <c r="A824710" s="242"/>
    </row>
    <row r="824711" spans="1:1" x14ac:dyDescent="0.25">
      <c r="A824711" s="242"/>
    </row>
    <row r="824712" spans="1:1" x14ac:dyDescent="0.25">
      <c r="A824712" s="242"/>
    </row>
    <row r="824713" spans="1:1" x14ac:dyDescent="0.25">
      <c r="A824713" s="242"/>
    </row>
    <row r="824714" spans="1:1" x14ac:dyDescent="0.25">
      <c r="A824714" s="242"/>
    </row>
    <row r="824715" spans="1:1" x14ac:dyDescent="0.25">
      <c r="A824715" s="242"/>
    </row>
    <row r="824716" spans="1:1" x14ac:dyDescent="0.25">
      <c r="A824716" s="242"/>
    </row>
    <row r="824717" spans="1:1" x14ac:dyDescent="0.25">
      <c r="A824717" s="242"/>
    </row>
    <row r="824718" spans="1:1" x14ac:dyDescent="0.25">
      <c r="A824718" s="242"/>
    </row>
    <row r="824719" spans="1:1" x14ac:dyDescent="0.25">
      <c r="A824719" s="242"/>
    </row>
    <row r="824720" spans="1:1" x14ac:dyDescent="0.25">
      <c r="A824720" s="242"/>
    </row>
    <row r="824721" spans="1:1" x14ac:dyDescent="0.25">
      <c r="A824721" s="242"/>
    </row>
    <row r="824722" spans="1:1" x14ac:dyDescent="0.25">
      <c r="A824722" s="242"/>
    </row>
    <row r="824723" spans="1:1" x14ac:dyDescent="0.25">
      <c r="A824723" s="242"/>
    </row>
    <row r="824724" spans="1:1" x14ac:dyDescent="0.25">
      <c r="A824724" s="242"/>
    </row>
    <row r="824725" spans="1:1" x14ac:dyDescent="0.25">
      <c r="A824725" s="242"/>
    </row>
    <row r="824726" spans="1:1" x14ac:dyDescent="0.25">
      <c r="A824726" s="242"/>
    </row>
    <row r="824727" spans="1:1" x14ac:dyDescent="0.25">
      <c r="A824727" s="242"/>
    </row>
    <row r="824728" spans="1:1" x14ac:dyDescent="0.25">
      <c r="A824728" s="242"/>
    </row>
    <row r="824729" spans="1:1" x14ac:dyDescent="0.25">
      <c r="A824729" s="242"/>
    </row>
    <row r="824730" spans="1:1" x14ac:dyDescent="0.25">
      <c r="A824730" s="242"/>
    </row>
    <row r="824731" spans="1:1" x14ac:dyDescent="0.25">
      <c r="A824731" s="242"/>
    </row>
    <row r="824732" spans="1:1" x14ac:dyDescent="0.25">
      <c r="A824732" s="242"/>
    </row>
    <row r="824733" spans="1:1" x14ac:dyDescent="0.25">
      <c r="A824733" s="242"/>
    </row>
    <row r="824734" spans="1:1" x14ac:dyDescent="0.25">
      <c r="A824734" s="242"/>
    </row>
    <row r="824735" spans="1:1" x14ac:dyDescent="0.25">
      <c r="A824735" s="242"/>
    </row>
    <row r="824736" spans="1:1" x14ac:dyDescent="0.25">
      <c r="A824736" s="242"/>
    </row>
    <row r="824737" spans="1:1" x14ac:dyDescent="0.25">
      <c r="A824737" s="242"/>
    </row>
    <row r="824738" spans="1:1" x14ac:dyDescent="0.25">
      <c r="A824738" s="242"/>
    </row>
    <row r="824739" spans="1:1" x14ac:dyDescent="0.25">
      <c r="A824739" s="242"/>
    </row>
    <row r="824740" spans="1:1" x14ac:dyDescent="0.25">
      <c r="A824740" s="242"/>
    </row>
    <row r="824741" spans="1:1" x14ac:dyDescent="0.25">
      <c r="A824741" s="242"/>
    </row>
    <row r="824742" spans="1:1" x14ac:dyDescent="0.25">
      <c r="A824742" s="242"/>
    </row>
    <row r="824743" spans="1:1" x14ac:dyDescent="0.25">
      <c r="A824743" s="242"/>
    </row>
    <row r="824744" spans="1:1" x14ac:dyDescent="0.25">
      <c r="A824744" s="242"/>
    </row>
    <row r="824745" spans="1:1" x14ac:dyDescent="0.25">
      <c r="A824745" s="242"/>
    </row>
    <row r="824746" spans="1:1" x14ac:dyDescent="0.25">
      <c r="A824746" s="242"/>
    </row>
    <row r="824747" spans="1:1" x14ac:dyDescent="0.25">
      <c r="A824747" s="242"/>
    </row>
    <row r="824748" spans="1:1" x14ac:dyDescent="0.25">
      <c r="A824748" s="242"/>
    </row>
    <row r="824749" spans="1:1" x14ac:dyDescent="0.25">
      <c r="A824749" s="242"/>
    </row>
    <row r="824750" spans="1:1" x14ac:dyDescent="0.25">
      <c r="A824750" s="242"/>
    </row>
    <row r="824751" spans="1:1" x14ac:dyDescent="0.25">
      <c r="A824751" s="242"/>
    </row>
    <row r="824752" spans="1:1" x14ac:dyDescent="0.25">
      <c r="A824752" s="242"/>
    </row>
    <row r="824753" spans="1:1" x14ac:dyDescent="0.25">
      <c r="A824753" s="242"/>
    </row>
    <row r="824754" spans="1:1" x14ac:dyDescent="0.25">
      <c r="A824754" s="242"/>
    </row>
    <row r="824755" spans="1:1" x14ac:dyDescent="0.25">
      <c r="A824755" s="242"/>
    </row>
    <row r="824756" spans="1:1" x14ac:dyDescent="0.25">
      <c r="A824756" s="242"/>
    </row>
    <row r="824757" spans="1:1" x14ac:dyDescent="0.25">
      <c r="A824757" s="242"/>
    </row>
    <row r="824758" spans="1:1" x14ac:dyDescent="0.25">
      <c r="A824758" s="242"/>
    </row>
    <row r="824759" spans="1:1" x14ac:dyDescent="0.25">
      <c r="A824759" s="242"/>
    </row>
    <row r="824760" spans="1:1" x14ac:dyDescent="0.25">
      <c r="A824760" s="242"/>
    </row>
    <row r="824761" spans="1:1" x14ac:dyDescent="0.25">
      <c r="A824761" s="242"/>
    </row>
    <row r="824762" spans="1:1" x14ac:dyDescent="0.25">
      <c r="A824762" s="242"/>
    </row>
    <row r="824763" spans="1:1" x14ac:dyDescent="0.25">
      <c r="A824763" s="242"/>
    </row>
    <row r="824764" spans="1:1" x14ac:dyDescent="0.25">
      <c r="A824764" s="242"/>
    </row>
    <row r="824765" spans="1:1" x14ac:dyDescent="0.25">
      <c r="A824765" s="242"/>
    </row>
    <row r="824766" spans="1:1" x14ac:dyDescent="0.25">
      <c r="A824766" s="242"/>
    </row>
    <row r="824767" spans="1:1" x14ac:dyDescent="0.25">
      <c r="A824767" s="242"/>
    </row>
    <row r="824768" spans="1:1" x14ac:dyDescent="0.25">
      <c r="A824768" s="242"/>
    </row>
    <row r="824769" spans="1:1" x14ac:dyDescent="0.25">
      <c r="A824769" s="242"/>
    </row>
    <row r="824770" spans="1:1" x14ac:dyDescent="0.25">
      <c r="A824770" s="242"/>
    </row>
    <row r="824771" spans="1:1" x14ac:dyDescent="0.25">
      <c r="A824771" s="242"/>
    </row>
    <row r="824772" spans="1:1" x14ac:dyDescent="0.25">
      <c r="A824772" s="242"/>
    </row>
    <row r="824773" spans="1:1" x14ac:dyDescent="0.25">
      <c r="A824773" s="242"/>
    </row>
    <row r="824774" spans="1:1" x14ac:dyDescent="0.25">
      <c r="A824774" s="242"/>
    </row>
    <row r="824775" spans="1:1" x14ac:dyDescent="0.25">
      <c r="A824775" s="242"/>
    </row>
    <row r="824776" spans="1:1" x14ac:dyDescent="0.25">
      <c r="A824776" s="242"/>
    </row>
    <row r="824777" spans="1:1" x14ac:dyDescent="0.25">
      <c r="A824777" s="242"/>
    </row>
    <row r="824778" spans="1:1" x14ac:dyDescent="0.25">
      <c r="A824778" s="242"/>
    </row>
    <row r="824779" spans="1:1" x14ac:dyDescent="0.25">
      <c r="A824779" s="242"/>
    </row>
    <row r="824780" spans="1:1" x14ac:dyDescent="0.25">
      <c r="A824780" s="242"/>
    </row>
    <row r="824781" spans="1:1" x14ac:dyDescent="0.25">
      <c r="A824781" s="242"/>
    </row>
    <row r="824782" spans="1:1" x14ac:dyDescent="0.25">
      <c r="A824782" s="242"/>
    </row>
    <row r="824783" spans="1:1" x14ac:dyDescent="0.25">
      <c r="A824783" s="242"/>
    </row>
    <row r="824784" spans="1:1" x14ac:dyDescent="0.25">
      <c r="A824784" s="242"/>
    </row>
    <row r="824785" spans="1:1" x14ac:dyDescent="0.25">
      <c r="A824785" s="242"/>
    </row>
    <row r="824786" spans="1:1" x14ac:dyDescent="0.25">
      <c r="A824786" s="242"/>
    </row>
    <row r="824787" spans="1:1" x14ac:dyDescent="0.25">
      <c r="A824787" s="242"/>
    </row>
    <row r="824788" spans="1:1" x14ac:dyDescent="0.25">
      <c r="A824788" s="242"/>
    </row>
    <row r="824789" spans="1:1" x14ac:dyDescent="0.25">
      <c r="A824789" s="242"/>
    </row>
    <row r="824790" spans="1:1" x14ac:dyDescent="0.25">
      <c r="A824790" s="242"/>
    </row>
    <row r="824791" spans="1:1" x14ac:dyDescent="0.25">
      <c r="A824791" s="242"/>
    </row>
    <row r="824792" spans="1:1" x14ac:dyDescent="0.25">
      <c r="A824792" s="242"/>
    </row>
    <row r="824793" spans="1:1" x14ac:dyDescent="0.25">
      <c r="A824793" s="242"/>
    </row>
    <row r="824794" spans="1:1" x14ac:dyDescent="0.25">
      <c r="A824794" s="242"/>
    </row>
    <row r="824795" spans="1:1" x14ac:dyDescent="0.25">
      <c r="A824795" s="242"/>
    </row>
    <row r="824796" spans="1:1" x14ac:dyDescent="0.25">
      <c r="A824796" s="242"/>
    </row>
    <row r="824797" spans="1:1" x14ac:dyDescent="0.25">
      <c r="A824797" s="242"/>
    </row>
    <row r="824798" spans="1:1" x14ac:dyDescent="0.25">
      <c r="A824798" s="242"/>
    </row>
    <row r="824799" spans="1:1" x14ac:dyDescent="0.25">
      <c r="A824799" s="242"/>
    </row>
    <row r="824800" spans="1:1" x14ac:dyDescent="0.25">
      <c r="A824800" s="242"/>
    </row>
    <row r="824801" spans="1:1" x14ac:dyDescent="0.25">
      <c r="A824801" s="242"/>
    </row>
    <row r="824802" spans="1:1" x14ac:dyDescent="0.25">
      <c r="A824802" s="242"/>
    </row>
    <row r="824803" spans="1:1" x14ac:dyDescent="0.25">
      <c r="A824803" s="242"/>
    </row>
    <row r="824804" spans="1:1" x14ac:dyDescent="0.25">
      <c r="A824804" s="242"/>
    </row>
    <row r="824805" spans="1:1" x14ac:dyDescent="0.25">
      <c r="A824805" s="242"/>
    </row>
    <row r="824806" spans="1:1" x14ac:dyDescent="0.25">
      <c r="A824806" s="242"/>
    </row>
    <row r="824807" spans="1:1" x14ac:dyDescent="0.25">
      <c r="A824807" s="242"/>
    </row>
    <row r="824808" spans="1:1" x14ac:dyDescent="0.25">
      <c r="A824808" s="242"/>
    </row>
    <row r="824809" spans="1:1" x14ac:dyDescent="0.25">
      <c r="A824809" s="242"/>
    </row>
    <row r="824810" spans="1:1" x14ac:dyDescent="0.25">
      <c r="A824810" s="242"/>
    </row>
    <row r="824811" spans="1:1" x14ac:dyDescent="0.25">
      <c r="A824811" s="242"/>
    </row>
    <row r="824812" spans="1:1" x14ac:dyDescent="0.25">
      <c r="A824812" s="242"/>
    </row>
    <row r="824813" spans="1:1" x14ac:dyDescent="0.25">
      <c r="A824813" s="242"/>
    </row>
    <row r="824814" spans="1:1" x14ac:dyDescent="0.25">
      <c r="A824814" s="242"/>
    </row>
    <row r="824815" spans="1:1" x14ac:dyDescent="0.25">
      <c r="A824815" s="242"/>
    </row>
    <row r="824816" spans="1:1" x14ac:dyDescent="0.25">
      <c r="A824816" s="242"/>
    </row>
    <row r="824817" spans="1:1" x14ac:dyDescent="0.25">
      <c r="A824817" s="242"/>
    </row>
    <row r="824818" spans="1:1" x14ac:dyDescent="0.25">
      <c r="A824818" s="242"/>
    </row>
    <row r="824819" spans="1:1" x14ac:dyDescent="0.25">
      <c r="A824819" s="242"/>
    </row>
    <row r="824820" spans="1:1" x14ac:dyDescent="0.25">
      <c r="A824820" s="242"/>
    </row>
    <row r="824821" spans="1:1" x14ac:dyDescent="0.25">
      <c r="A824821" s="242"/>
    </row>
    <row r="824822" spans="1:1" x14ac:dyDescent="0.25">
      <c r="A824822" s="242"/>
    </row>
    <row r="824823" spans="1:1" x14ac:dyDescent="0.25">
      <c r="A824823" s="242"/>
    </row>
    <row r="824824" spans="1:1" x14ac:dyDescent="0.25">
      <c r="A824824" s="242"/>
    </row>
    <row r="824825" spans="1:1" x14ac:dyDescent="0.25">
      <c r="A824825" s="242"/>
    </row>
    <row r="824826" spans="1:1" x14ac:dyDescent="0.25">
      <c r="A824826" s="242"/>
    </row>
    <row r="824827" spans="1:1" x14ac:dyDescent="0.25">
      <c r="A824827" s="242"/>
    </row>
    <row r="824828" spans="1:1" x14ac:dyDescent="0.25">
      <c r="A824828" s="242"/>
    </row>
    <row r="824829" spans="1:1" x14ac:dyDescent="0.25">
      <c r="A824829" s="242"/>
    </row>
    <row r="824830" spans="1:1" x14ac:dyDescent="0.25">
      <c r="A824830" s="242"/>
    </row>
    <row r="824831" spans="1:1" x14ac:dyDescent="0.25">
      <c r="A824831" s="242"/>
    </row>
    <row r="824832" spans="1:1" x14ac:dyDescent="0.25">
      <c r="A824832" s="242"/>
    </row>
    <row r="824833" spans="1:1" x14ac:dyDescent="0.25">
      <c r="A824833" s="242"/>
    </row>
    <row r="824834" spans="1:1" x14ac:dyDescent="0.25">
      <c r="A824834" s="242"/>
    </row>
    <row r="824835" spans="1:1" x14ac:dyDescent="0.25">
      <c r="A824835" s="242"/>
    </row>
    <row r="824836" spans="1:1" x14ac:dyDescent="0.25">
      <c r="A824836" s="242"/>
    </row>
    <row r="824837" spans="1:1" x14ac:dyDescent="0.25">
      <c r="A824837" s="242"/>
    </row>
    <row r="824838" spans="1:1" x14ac:dyDescent="0.25">
      <c r="A824838" s="242"/>
    </row>
    <row r="824839" spans="1:1" x14ac:dyDescent="0.25">
      <c r="A824839" s="242"/>
    </row>
    <row r="824840" spans="1:1" x14ac:dyDescent="0.25">
      <c r="A824840" s="242"/>
    </row>
    <row r="824841" spans="1:1" x14ac:dyDescent="0.25">
      <c r="A824841" s="242"/>
    </row>
    <row r="824842" spans="1:1" x14ac:dyDescent="0.25">
      <c r="A824842" s="242"/>
    </row>
    <row r="824843" spans="1:1" x14ac:dyDescent="0.25">
      <c r="A824843" s="242"/>
    </row>
    <row r="824844" spans="1:1" x14ac:dyDescent="0.25">
      <c r="A824844" s="242"/>
    </row>
    <row r="824845" spans="1:1" x14ac:dyDescent="0.25">
      <c r="A824845" s="242"/>
    </row>
    <row r="824846" spans="1:1" x14ac:dyDescent="0.25">
      <c r="A824846" s="242"/>
    </row>
    <row r="824847" spans="1:1" x14ac:dyDescent="0.25">
      <c r="A824847" s="242"/>
    </row>
    <row r="824848" spans="1:1" x14ac:dyDescent="0.25">
      <c r="A824848" s="242"/>
    </row>
    <row r="824849" spans="1:1" x14ac:dyDescent="0.25">
      <c r="A824849" s="242"/>
    </row>
    <row r="824850" spans="1:1" x14ac:dyDescent="0.25">
      <c r="A824850" s="242"/>
    </row>
    <row r="824851" spans="1:1" x14ac:dyDescent="0.25">
      <c r="A824851" s="242"/>
    </row>
    <row r="824852" spans="1:1" x14ac:dyDescent="0.25">
      <c r="A824852" s="242"/>
    </row>
    <row r="824853" spans="1:1" x14ac:dyDescent="0.25">
      <c r="A824853" s="242"/>
    </row>
    <row r="824854" spans="1:1" x14ac:dyDescent="0.25">
      <c r="A824854" s="242"/>
    </row>
    <row r="824855" spans="1:1" x14ac:dyDescent="0.25">
      <c r="A824855" s="242"/>
    </row>
    <row r="824856" spans="1:1" x14ac:dyDescent="0.25">
      <c r="A824856" s="242"/>
    </row>
    <row r="824857" spans="1:1" x14ac:dyDescent="0.25">
      <c r="A824857" s="242"/>
    </row>
    <row r="824858" spans="1:1" x14ac:dyDescent="0.25">
      <c r="A824858" s="242"/>
    </row>
    <row r="824859" spans="1:1" x14ac:dyDescent="0.25">
      <c r="A824859" s="242"/>
    </row>
    <row r="824860" spans="1:1" x14ac:dyDescent="0.25">
      <c r="A824860" s="242"/>
    </row>
    <row r="824861" spans="1:1" x14ac:dyDescent="0.25">
      <c r="A824861" s="242"/>
    </row>
    <row r="824862" spans="1:1" x14ac:dyDescent="0.25">
      <c r="A824862" s="242"/>
    </row>
    <row r="824863" spans="1:1" x14ac:dyDescent="0.25">
      <c r="A824863" s="242"/>
    </row>
    <row r="824864" spans="1:1" x14ac:dyDescent="0.25">
      <c r="A824864" s="242"/>
    </row>
    <row r="824865" spans="1:1" x14ac:dyDescent="0.25">
      <c r="A824865" s="242"/>
    </row>
    <row r="824866" spans="1:1" x14ac:dyDescent="0.25">
      <c r="A824866" s="242"/>
    </row>
    <row r="824867" spans="1:1" x14ac:dyDescent="0.25">
      <c r="A824867" s="242"/>
    </row>
    <row r="824868" spans="1:1" x14ac:dyDescent="0.25">
      <c r="A824868" s="242"/>
    </row>
    <row r="824869" spans="1:1" x14ac:dyDescent="0.25">
      <c r="A824869" s="242"/>
    </row>
    <row r="824870" spans="1:1" x14ac:dyDescent="0.25">
      <c r="A824870" s="242"/>
    </row>
    <row r="824871" spans="1:1" x14ac:dyDescent="0.25">
      <c r="A824871" s="242"/>
    </row>
    <row r="824872" spans="1:1" x14ac:dyDescent="0.25">
      <c r="A824872" s="242"/>
    </row>
    <row r="824873" spans="1:1" x14ac:dyDescent="0.25">
      <c r="A824873" s="242"/>
    </row>
    <row r="824874" spans="1:1" x14ac:dyDescent="0.25">
      <c r="A824874" s="242"/>
    </row>
    <row r="824875" spans="1:1" x14ac:dyDescent="0.25">
      <c r="A824875" s="242"/>
    </row>
    <row r="824876" spans="1:1" x14ac:dyDescent="0.25">
      <c r="A824876" s="242"/>
    </row>
    <row r="824877" spans="1:1" x14ac:dyDescent="0.25">
      <c r="A824877" s="242"/>
    </row>
    <row r="824878" spans="1:1" x14ac:dyDescent="0.25">
      <c r="A824878" s="242"/>
    </row>
    <row r="824879" spans="1:1" x14ac:dyDescent="0.25">
      <c r="A824879" s="242"/>
    </row>
    <row r="824880" spans="1:1" x14ac:dyDescent="0.25">
      <c r="A824880" s="242"/>
    </row>
    <row r="824881" spans="1:1" x14ac:dyDescent="0.25">
      <c r="A824881" s="242"/>
    </row>
    <row r="824882" spans="1:1" x14ac:dyDescent="0.25">
      <c r="A824882" s="242"/>
    </row>
    <row r="824883" spans="1:1" x14ac:dyDescent="0.25">
      <c r="A824883" s="242"/>
    </row>
    <row r="824884" spans="1:1" x14ac:dyDescent="0.25">
      <c r="A824884" s="242"/>
    </row>
    <row r="824885" spans="1:1" x14ac:dyDescent="0.25">
      <c r="A824885" s="242"/>
    </row>
    <row r="824886" spans="1:1" x14ac:dyDescent="0.25">
      <c r="A824886" s="242"/>
    </row>
    <row r="824887" spans="1:1" x14ac:dyDescent="0.25">
      <c r="A824887" s="242"/>
    </row>
    <row r="824888" spans="1:1" x14ac:dyDescent="0.25">
      <c r="A824888" s="242"/>
    </row>
    <row r="824889" spans="1:1" x14ac:dyDescent="0.25">
      <c r="A824889" s="242"/>
    </row>
    <row r="824890" spans="1:1" x14ac:dyDescent="0.25">
      <c r="A824890" s="242"/>
    </row>
    <row r="824891" spans="1:1" x14ac:dyDescent="0.25">
      <c r="A824891" s="242"/>
    </row>
    <row r="824892" spans="1:1" x14ac:dyDescent="0.25">
      <c r="A824892" s="242"/>
    </row>
    <row r="824893" spans="1:1" x14ac:dyDescent="0.25">
      <c r="A824893" s="242"/>
    </row>
    <row r="824894" spans="1:1" x14ac:dyDescent="0.25">
      <c r="A824894" s="242"/>
    </row>
    <row r="824895" spans="1:1" x14ac:dyDescent="0.25">
      <c r="A824895" s="242"/>
    </row>
    <row r="824896" spans="1:1" x14ac:dyDescent="0.25">
      <c r="A824896" s="242"/>
    </row>
    <row r="824897" spans="1:1" x14ac:dyDescent="0.25">
      <c r="A824897" s="242"/>
    </row>
    <row r="824898" spans="1:1" x14ac:dyDescent="0.25">
      <c r="A824898" s="242"/>
    </row>
    <row r="824899" spans="1:1" x14ac:dyDescent="0.25">
      <c r="A824899" s="242"/>
    </row>
    <row r="824900" spans="1:1" x14ac:dyDescent="0.25">
      <c r="A824900" s="242"/>
    </row>
    <row r="824901" spans="1:1" x14ac:dyDescent="0.25">
      <c r="A824901" s="242"/>
    </row>
    <row r="824902" spans="1:1" x14ac:dyDescent="0.25">
      <c r="A824902" s="242"/>
    </row>
    <row r="824903" spans="1:1" x14ac:dyDescent="0.25">
      <c r="A824903" s="242"/>
    </row>
    <row r="824904" spans="1:1" x14ac:dyDescent="0.25">
      <c r="A824904" s="242"/>
    </row>
    <row r="824905" spans="1:1" x14ac:dyDescent="0.25">
      <c r="A824905" s="242"/>
    </row>
    <row r="824906" spans="1:1" x14ac:dyDescent="0.25">
      <c r="A824906" s="242"/>
    </row>
    <row r="824907" spans="1:1" x14ac:dyDescent="0.25">
      <c r="A824907" s="242"/>
    </row>
    <row r="824908" spans="1:1" x14ac:dyDescent="0.25">
      <c r="A824908" s="242"/>
    </row>
    <row r="824909" spans="1:1" x14ac:dyDescent="0.25">
      <c r="A824909" s="242"/>
    </row>
    <row r="824910" spans="1:1" x14ac:dyDescent="0.25">
      <c r="A824910" s="242"/>
    </row>
    <row r="824911" spans="1:1" x14ac:dyDescent="0.25">
      <c r="A824911" s="242"/>
    </row>
    <row r="824912" spans="1:1" x14ac:dyDescent="0.25">
      <c r="A824912" s="242"/>
    </row>
    <row r="824913" spans="1:1" x14ac:dyDescent="0.25">
      <c r="A824913" s="242"/>
    </row>
    <row r="824914" spans="1:1" x14ac:dyDescent="0.25">
      <c r="A824914" s="242"/>
    </row>
    <row r="824915" spans="1:1" x14ac:dyDescent="0.25">
      <c r="A824915" s="242"/>
    </row>
    <row r="824916" spans="1:1" x14ac:dyDescent="0.25">
      <c r="A824916" s="242"/>
    </row>
    <row r="824917" spans="1:1" x14ac:dyDescent="0.25">
      <c r="A824917" s="242"/>
    </row>
    <row r="824918" spans="1:1" x14ac:dyDescent="0.25">
      <c r="A824918" s="242"/>
    </row>
    <row r="824919" spans="1:1" x14ac:dyDescent="0.25">
      <c r="A824919" s="242"/>
    </row>
    <row r="824920" spans="1:1" x14ac:dyDescent="0.25">
      <c r="A824920" s="242"/>
    </row>
    <row r="824921" spans="1:1" x14ac:dyDescent="0.25">
      <c r="A824921" s="242"/>
    </row>
    <row r="824922" spans="1:1" x14ac:dyDescent="0.25">
      <c r="A824922" s="242"/>
    </row>
    <row r="824923" spans="1:1" x14ac:dyDescent="0.25">
      <c r="A824923" s="242"/>
    </row>
    <row r="824924" spans="1:1" x14ac:dyDescent="0.25">
      <c r="A824924" s="242"/>
    </row>
    <row r="824925" spans="1:1" x14ac:dyDescent="0.25">
      <c r="A824925" s="242"/>
    </row>
    <row r="824926" spans="1:1" x14ac:dyDescent="0.25">
      <c r="A824926" s="242"/>
    </row>
    <row r="824927" spans="1:1" x14ac:dyDescent="0.25">
      <c r="A824927" s="242"/>
    </row>
    <row r="824928" spans="1:1" x14ac:dyDescent="0.25">
      <c r="A824928" s="242"/>
    </row>
    <row r="824929" spans="1:1" x14ac:dyDescent="0.25">
      <c r="A824929" s="242"/>
    </row>
    <row r="824930" spans="1:1" x14ac:dyDescent="0.25">
      <c r="A824930" s="242"/>
    </row>
    <row r="824931" spans="1:1" x14ac:dyDescent="0.25">
      <c r="A824931" s="242"/>
    </row>
    <row r="824932" spans="1:1" x14ac:dyDescent="0.25">
      <c r="A824932" s="242"/>
    </row>
    <row r="824933" spans="1:1" x14ac:dyDescent="0.25">
      <c r="A824933" s="242"/>
    </row>
    <row r="824934" spans="1:1" x14ac:dyDescent="0.25">
      <c r="A824934" s="242"/>
    </row>
    <row r="824935" spans="1:1" x14ac:dyDescent="0.25">
      <c r="A824935" s="242"/>
    </row>
    <row r="824936" spans="1:1" x14ac:dyDescent="0.25">
      <c r="A824936" s="242"/>
    </row>
    <row r="824937" spans="1:1" x14ac:dyDescent="0.25">
      <c r="A824937" s="242"/>
    </row>
    <row r="824938" spans="1:1" x14ac:dyDescent="0.25">
      <c r="A824938" s="242"/>
    </row>
    <row r="824939" spans="1:1" x14ac:dyDescent="0.25">
      <c r="A824939" s="242"/>
    </row>
    <row r="824940" spans="1:1" x14ac:dyDescent="0.25">
      <c r="A824940" s="242"/>
    </row>
    <row r="824941" spans="1:1" x14ac:dyDescent="0.25">
      <c r="A824941" s="242"/>
    </row>
    <row r="824942" spans="1:1" x14ac:dyDescent="0.25">
      <c r="A824942" s="242"/>
    </row>
    <row r="824943" spans="1:1" x14ac:dyDescent="0.25">
      <c r="A824943" s="242"/>
    </row>
    <row r="824944" spans="1:1" x14ac:dyDescent="0.25">
      <c r="A824944" s="242"/>
    </row>
    <row r="824945" spans="1:1" x14ac:dyDescent="0.25">
      <c r="A824945" s="242"/>
    </row>
    <row r="824946" spans="1:1" x14ac:dyDescent="0.25">
      <c r="A824946" s="242"/>
    </row>
    <row r="824947" spans="1:1" x14ac:dyDescent="0.25">
      <c r="A824947" s="242"/>
    </row>
    <row r="824948" spans="1:1" x14ac:dyDescent="0.25">
      <c r="A824948" s="242"/>
    </row>
    <row r="824949" spans="1:1" x14ac:dyDescent="0.25">
      <c r="A824949" s="242"/>
    </row>
    <row r="824950" spans="1:1" x14ac:dyDescent="0.25">
      <c r="A824950" s="242"/>
    </row>
    <row r="824951" spans="1:1" x14ac:dyDescent="0.25">
      <c r="A824951" s="242"/>
    </row>
    <row r="824952" spans="1:1" x14ac:dyDescent="0.25">
      <c r="A824952" s="242"/>
    </row>
    <row r="824953" spans="1:1" x14ac:dyDescent="0.25">
      <c r="A824953" s="242"/>
    </row>
    <row r="824954" spans="1:1" x14ac:dyDescent="0.25">
      <c r="A824954" s="242"/>
    </row>
    <row r="824955" spans="1:1" x14ac:dyDescent="0.25">
      <c r="A824955" s="242"/>
    </row>
    <row r="824956" spans="1:1" x14ac:dyDescent="0.25">
      <c r="A824956" s="242"/>
    </row>
    <row r="824957" spans="1:1" x14ac:dyDescent="0.25">
      <c r="A824957" s="242"/>
    </row>
    <row r="824958" spans="1:1" x14ac:dyDescent="0.25">
      <c r="A824958" s="242"/>
    </row>
    <row r="824959" spans="1:1" x14ac:dyDescent="0.25">
      <c r="A824959" s="242"/>
    </row>
    <row r="824960" spans="1:1" x14ac:dyDescent="0.25">
      <c r="A824960" s="242"/>
    </row>
    <row r="824961" spans="1:1" x14ac:dyDescent="0.25">
      <c r="A824961" s="242"/>
    </row>
    <row r="824962" spans="1:1" x14ac:dyDescent="0.25">
      <c r="A824962" s="242"/>
    </row>
    <row r="824963" spans="1:1" x14ac:dyDescent="0.25">
      <c r="A824963" s="242"/>
    </row>
    <row r="824964" spans="1:1" x14ac:dyDescent="0.25">
      <c r="A824964" s="242"/>
    </row>
    <row r="824965" spans="1:1" x14ac:dyDescent="0.25">
      <c r="A824965" s="242"/>
    </row>
    <row r="824966" spans="1:1" x14ac:dyDescent="0.25">
      <c r="A824966" s="242"/>
    </row>
    <row r="824967" spans="1:1" x14ac:dyDescent="0.25">
      <c r="A824967" s="242"/>
    </row>
    <row r="824968" spans="1:1" x14ac:dyDescent="0.25">
      <c r="A824968" s="242"/>
    </row>
    <row r="824969" spans="1:1" x14ac:dyDescent="0.25">
      <c r="A824969" s="242"/>
    </row>
    <row r="824970" spans="1:1" x14ac:dyDescent="0.25">
      <c r="A824970" s="242"/>
    </row>
    <row r="824971" spans="1:1" x14ac:dyDescent="0.25">
      <c r="A824971" s="242"/>
    </row>
    <row r="824972" spans="1:1" x14ac:dyDescent="0.25">
      <c r="A824972" s="242"/>
    </row>
    <row r="824973" spans="1:1" x14ac:dyDescent="0.25">
      <c r="A824973" s="242"/>
    </row>
    <row r="824974" spans="1:1" x14ac:dyDescent="0.25">
      <c r="A824974" s="242"/>
    </row>
    <row r="824975" spans="1:1" x14ac:dyDescent="0.25">
      <c r="A824975" s="242"/>
    </row>
    <row r="824976" spans="1:1" x14ac:dyDescent="0.25">
      <c r="A824976" s="242"/>
    </row>
    <row r="824977" spans="1:1" x14ac:dyDescent="0.25">
      <c r="A824977" s="242"/>
    </row>
    <row r="824978" spans="1:1" x14ac:dyDescent="0.25">
      <c r="A824978" s="242"/>
    </row>
    <row r="824979" spans="1:1" x14ac:dyDescent="0.25">
      <c r="A824979" s="242"/>
    </row>
    <row r="824980" spans="1:1" x14ac:dyDescent="0.25">
      <c r="A824980" s="242"/>
    </row>
    <row r="824981" spans="1:1" x14ac:dyDescent="0.25">
      <c r="A824981" s="242"/>
    </row>
    <row r="824982" spans="1:1" x14ac:dyDescent="0.25">
      <c r="A824982" s="242"/>
    </row>
    <row r="824983" spans="1:1" x14ac:dyDescent="0.25">
      <c r="A824983" s="242"/>
    </row>
    <row r="824984" spans="1:1" x14ac:dyDescent="0.25">
      <c r="A824984" s="242"/>
    </row>
    <row r="824985" spans="1:1" x14ac:dyDescent="0.25">
      <c r="A824985" s="242"/>
    </row>
    <row r="824986" spans="1:1" x14ac:dyDescent="0.25">
      <c r="A824986" s="242"/>
    </row>
    <row r="824987" spans="1:1" x14ac:dyDescent="0.25">
      <c r="A824987" s="242"/>
    </row>
    <row r="824988" spans="1:1" x14ac:dyDescent="0.25">
      <c r="A824988" s="242"/>
    </row>
    <row r="824989" spans="1:1" x14ac:dyDescent="0.25">
      <c r="A824989" s="242"/>
    </row>
    <row r="824990" spans="1:1" x14ac:dyDescent="0.25">
      <c r="A824990" s="242"/>
    </row>
    <row r="824991" spans="1:1" x14ac:dyDescent="0.25">
      <c r="A824991" s="242"/>
    </row>
    <row r="824992" spans="1:1" x14ac:dyDescent="0.25">
      <c r="A824992" s="242"/>
    </row>
    <row r="824993" spans="1:1" x14ac:dyDescent="0.25">
      <c r="A824993" s="242"/>
    </row>
    <row r="824994" spans="1:1" x14ac:dyDescent="0.25">
      <c r="A824994" s="242"/>
    </row>
    <row r="824995" spans="1:1" x14ac:dyDescent="0.25">
      <c r="A824995" s="242"/>
    </row>
    <row r="824996" spans="1:1" x14ac:dyDescent="0.25">
      <c r="A824996" s="242"/>
    </row>
    <row r="824997" spans="1:1" x14ac:dyDescent="0.25">
      <c r="A824997" s="242"/>
    </row>
    <row r="824998" spans="1:1" x14ac:dyDescent="0.25">
      <c r="A824998" s="242"/>
    </row>
    <row r="824999" spans="1:1" x14ac:dyDescent="0.25">
      <c r="A824999" s="242"/>
    </row>
    <row r="825000" spans="1:1" x14ac:dyDescent="0.25">
      <c r="A825000" s="242"/>
    </row>
    <row r="825001" spans="1:1" x14ac:dyDescent="0.25">
      <c r="A825001" s="242"/>
    </row>
    <row r="825002" spans="1:1" x14ac:dyDescent="0.25">
      <c r="A825002" s="242"/>
    </row>
    <row r="825003" spans="1:1" x14ac:dyDescent="0.25">
      <c r="A825003" s="242"/>
    </row>
    <row r="825004" spans="1:1" x14ac:dyDescent="0.25">
      <c r="A825004" s="242"/>
    </row>
    <row r="825005" spans="1:1" x14ac:dyDescent="0.25">
      <c r="A825005" s="242"/>
    </row>
    <row r="825006" spans="1:1" x14ac:dyDescent="0.25">
      <c r="A825006" s="242"/>
    </row>
    <row r="825007" spans="1:1" x14ac:dyDescent="0.25">
      <c r="A825007" s="242"/>
    </row>
    <row r="825008" spans="1:1" x14ac:dyDescent="0.25">
      <c r="A825008" s="242"/>
    </row>
    <row r="825009" spans="1:1" x14ac:dyDescent="0.25">
      <c r="A825009" s="242"/>
    </row>
    <row r="825010" spans="1:1" x14ac:dyDescent="0.25">
      <c r="A825010" s="242"/>
    </row>
    <row r="825011" spans="1:1" x14ac:dyDescent="0.25">
      <c r="A825011" s="242"/>
    </row>
    <row r="825012" spans="1:1" x14ac:dyDescent="0.25">
      <c r="A825012" s="242"/>
    </row>
    <row r="825013" spans="1:1" x14ac:dyDescent="0.25">
      <c r="A825013" s="242"/>
    </row>
    <row r="825014" spans="1:1" x14ac:dyDescent="0.25">
      <c r="A825014" s="242"/>
    </row>
    <row r="825015" spans="1:1" x14ac:dyDescent="0.25">
      <c r="A825015" s="242"/>
    </row>
    <row r="825016" spans="1:1" x14ac:dyDescent="0.25">
      <c r="A825016" s="242"/>
    </row>
    <row r="825017" spans="1:1" x14ac:dyDescent="0.25">
      <c r="A825017" s="242"/>
    </row>
    <row r="825018" spans="1:1" x14ac:dyDescent="0.25">
      <c r="A825018" s="242"/>
    </row>
    <row r="825019" spans="1:1" x14ac:dyDescent="0.25">
      <c r="A825019" s="242"/>
    </row>
    <row r="825020" spans="1:1" x14ac:dyDescent="0.25">
      <c r="A825020" s="242"/>
    </row>
    <row r="825021" spans="1:1" x14ac:dyDescent="0.25">
      <c r="A825021" s="242"/>
    </row>
    <row r="825022" spans="1:1" x14ac:dyDescent="0.25">
      <c r="A825022" s="242"/>
    </row>
    <row r="825023" spans="1:1" x14ac:dyDescent="0.25">
      <c r="A825023" s="242"/>
    </row>
    <row r="825024" spans="1:1" x14ac:dyDescent="0.25">
      <c r="A825024" s="242"/>
    </row>
    <row r="825025" spans="1:1" x14ac:dyDescent="0.25">
      <c r="A825025" s="242"/>
    </row>
    <row r="825026" spans="1:1" x14ac:dyDescent="0.25">
      <c r="A825026" s="242"/>
    </row>
    <row r="825027" spans="1:1" x14ac:dyDescent="0.25">
      <c r="A825027" s="242"/>
    </row>
    <row r="825028" spans="1:1" x14ac:dyDescent="0.25">
      <c r="A825028" s="242"/>
    </row>
    <row r="825029" spans="1:1" x14ac:dyDescent="0.25">
      <c r="A825029" s="242"/>
    </row>
    <row r="825030" spans="1:1" x14ac:dyDescent="0.25">
      <c r="A825030" s="242"/>
    </row>
    <row r="825031" spans="1:1" x14ac:dyDescent="0.25">
      <c r="A825031" s="242"/>
    </row>
    <row r="825032" spans="1:1" x14ac:dyDescent="0.25">
      <c r="A825032" s="242"/>
    </row>
    <row r="825033" spans="1:1" x14ac:dyDescent="0.25">
      <c r="A825033" s="242"/>
    </row>
    <row r="825034" spans="1:1" x14ac:dyDescent="0.25">
      <c r="A825034" s="242"/>
    </row>
    <row r="825035" spans="1:1" x14ac:dyDescent="0.25">
      <c r="A825035" s="242"/>
    </row>
    <row r="825036" spans="1:1" x14ac:dyDescent="0.25">
      <c r="A825036" s="242"/>
    </row>
    <row r="825037" spans="1:1" x14ac:dyDescent="0.25">
      <c r="A825037" s="242"/>
    </row>
    <row r="825038" spans="1:1" x14ac:dyDescent="0.25">
      <c r="A825038" s="242"/>
    </row>
    <row r="825039" spans="1:1" x14ac:dyDescent="0.25">
      <c r="A825039" s="242"/>
    </row>
    <row r="825040" spans="1:1" x14ac:dyDescent="0.25">
      <c r="A825040" s="242"/>
    </row>
    <row r="825041" spans="1:1" x14ac:dyDescent="0.25">
      <c r="A825041" s="242"/>
    </row>
    <row r="825042" spans="1:1" x14ac:dyDescent="0.25">
      <c r="A825042" s="242"/>
    </row>
    <row r="825043" spans="1:1" x14ac:dyDescent="0.25">
      <c r="A825043" s="242"/>
    </row>
    <row r="825044" spans="1:1" x14ac:dyDescent="0.25">
      <c r="A825044" s="242"/>
    </row>
    <row r="825045" spans="1:1" x14ac:dyDescent="0.25">
      <c r="A825045" s="242"/>
    </row>
    <row r="825046" spans="1:1" x14ac:dyDescent="0.25">
      <c r="A825046" s="242"/>
    </row>
    <row r="825047" spans="1:1" x14ac:dyDescent="0.25">
      <c r="A825047" s="242"/>
    </row>
    <row r="825048" spans="1:1" x14ac:dyDescent="0.25">
      <c r="A825048" s="242"/>
    </row>
    <row r="825049" spans="1:1" x14ac:dyDescent="0.25">
      <c r="A825049" s="242"/>
    </row>
    <row r="825050" spans="1:1" x14ac:dyDescent="0.25">
      <c r="A825050" s="242"/>
    </row>
    <row r="825051" spans="1:1" x14ac:dyDescent="0.25">
      <c r="A825051" s="242"/>
    </row>
    <row r="825052" spans="1:1" x14ac:dyDescent="0.25">
      <c r="A825052" s="242"/>
    </row>
    <row r="825053" spans="1:1" x14ac:dyDescent="0.25">
      <c r="A825053" s="242"/>
    </row>
    <row r="825054" spans="1:1" x14ac:dyDescent="0.25">
      <c r="A825054" s="242"/>
    </row>
    <row r="825055" spans="1:1" x14ac:dyDescent="0.25">
      <c r="A825055" s="242"/>
    </row>
    <row r="825056" spans="1:1" x14ac:dyDescent="0.25">
      <c r="A825056" s="242"/>
    </row>
    <row r="825057" spans="1:1" x14ac:dyDescent="0.25">
      <c r="A825057" s="242"/>
    </row>
    <row r="825058" spans="1:1" x14ac:dyDescent="0.25">
      <c r="A825058" s="242"/>
    </row>
    <row r="825059" spans="1:1" x14ac:dyDescent="0.25">
      <c r="A825059" s="242"/>
    </row>
    <row r="825060" spans="1:1" x14ac:dyDescent="0.25">
      <c r="A825060" s="242"/>
    </row>
    <row r="825061" spans="1:1" x14ac:dyDescent="0.25">
      <c r="A825061" s="242"/>
    </row>
    <row r="825062" spans="1:1" x14ac:dyDescent="0.25">
      <c r="A825062" s="242"/>
    </row>
    <row r="825063" spans="1:1" x14ac:dyDescent="0.25">
      <c r="A825063" s="242"/>
    </row>
    <row r="825064" spans="1:1" x14ac:dyDescent="0.25">
      <c r="A825064" s="242"/>
    </row>
    <row r="825065" spans="1:1" x14ac:dyDescent="0.25">
      <c r="A825065" s="242"/>
    </row>
    <row r="825066" spans="1:1" x14ac:dyDescent="0.25">
      <c r="A825066" s="242"/>
    </row>
    <row r="825067" spans="1:1" x14ac:dyDescent="0.25">
      <c r="A825067" s="242"/>
    </row>
    <row r="825068" spans="1:1" x14ac:dyDescent="0.25">
      <c r="A825068" s="242"/>
    </row>
    <row r="825069" spans="1:1" x14ac:dyDescent="0.25">
      <c r="A825069" s="242"/>
    </row>
    <row r="825070" spans="1:1" x14ac:dyDescent="0.25">
      <c r="A825070" s="242"/>
    </row>
    <row r="825071" spans="1:1" x14ac:dyDescent="0.25">
      <c r="A825071" s="242"/>
    </row>
    <row r="825072" spans="1:1" x14ac:dyDescent="0.25">
      <c r="A825072" s="242"/>
    </row>
    <row r="825073" spans="1:1" x14ac:dyDescent="0.25">
      <c r="A825073" s="242"/>
    </row>
    <row r="825074" spans="1:1" x14ac:dyDescent="0.25">
      <c r="A825074" s="242"/>
    </row>
    <row r="825075" spans="1:1" x14ac:dyDescent="0.25">
      <c r="A825075" s="242"/>
    </row>
    <row r="825076" spans="1:1" x14ac:dyDescent="0.25">
      <c r="A825076" s="242"/>
    </row>
    <row r="825077" spans="1:1" x14ac:dyDescent="0.25">
      <c r="A825077" s="242"/>
    </row>
    <row r="825078" spans="1:1" x14ac:dyDescent="0.25">
      <c r="A825078" s="242"/>
    </row>
    <row r="825079" spans="1:1" x14ac:dyDescent="0.25">
      <c r="A825079" s="242"/>
    </row>
    <row r="825080" spans="1:1" x14ac:dyDescent="0.25">
      <c r="A825080" s="242"/>
    </row>
    <row r="825081" spans="1:1" x14ac:dyDescent="0.25">
      <c r="A825081" s="242"/>
    </row>
    <row r="825082" spans="1:1" x14ac:dyDescent="0.25">
      <c r="A825082" s="242"/>
    </row>
    <row r="825083" spans="1:1" x14ac:dyDescent="0.25">
      <c r="A825083" s="242"/>
    </row>
    <row r="825084" spans="1:1" x14ac:dyDescent="0.25">
      <c r="A825084" s="242"/>
    </row>
    <row r="825085" spans="1:1" x14ac:dyDescent="0.25">
      <c r="A825085" s="242"/>
    </row>
    <row r="825086" spans="1:1" x14ac:dyDescent="0.25">
      <c r="A825086" s="242"/>
    </row>
    <row r="825087" spans="1:1" x14ac:dyDescent="0.25">
      <c r="A825087" s="242"/>
    </row>
    <row r="825088" spans="1:1" x14ac:dyDescent="0.25">
      <c r="A825088" s="242"/>
    </row>
    <row r="825089" spans="1:1" x14ac:dyDescent="0.25">
      <c r="A825089" s="242"/>
    </row>
    <row r="825090" spans="1:1" x14ac:dyDescent="0.25">
      <c r="A825090" s="242"/>
    </row>
    <row r="825091" spans="1:1" x14ac:dyDescent="0.25">
      <c r="A825091" s="242"/>
    </row>
    <row r="825092" spans="1:1" x14ac:dyDescent="0.25">
      <c r="A825092" s="242"/>
    </row>
    <row r="825093" spans="1:1" x14ac:dyDescent="0.25">
      <c r="A825093" s="242"/>
    </row>
    <row r="825094" spans="1:1" x14ac:dyDescent="0.25">
      <c r="A825094" s="242"/>
    </row>
    <row r="825095" spans="1:1" x14ac:dyDescent="0.25">
      <c r="A825095" s="242"/>
    </row>
    <row r="825096" spans="1:1" x14ac:dyDescent="0.25">
      <c r="A825096" s="242"/>
    </row>
    <row r="825097" spans="1:1" x14ac:dyDescent="0.25">
      <c r="A825097" s="242"/>
    </row>
    <row r="825098" spans="1:1" x14ac:dyDescent="0.25">
      <c r="A825098" s="242"/>
    </row>
    <row r="825099" spans="1:1" x14ac:dyDescent="0.25">
      <c r="A825099" s="242"/>
    </row>
    <row r="825100" spans="1:1" x14ac:dyDescent="0.25">
      <c r="A825100" s="242"/>
    </row>
    <row r="825101" spans="1:1" x14ac:dyDescent="0.25">
      <c r="A825101" s="242"/>
    </row>
    <row r="825102" spans="1:1" x14ac:dyDescent="0.25">
      <c r="A825102" s="242"/>
    </row>
    <row r="825103" spans="1:1" x14ac:dyDescent="0.25">
      <c r="A825103" s="242"/>
    </row>
    <row r="825104" spans="1:1" x14ac:dyDescent="0.25">
      <c r="A825104" s="242"/>
    </row>
    <row r="825105" spans="1:1" x14ac:dyDescent="0.25">
      <c r="A825105" s="242"/>
    </row>
    <row r="825106" spans="1:1" x14ac:dyDescent="0.25">
      <c r="A825106" s="242"/>
    </row>
    <row r="825107" spans="1:1" x14ac:dyDescent="0.25">
      <c r="A825107" s="242"/>
    </row>
    <row r="825108" spans="1:1" x14ac:dyDescent="0.25">
      <c r="A825108" s="242"/>
    </row>
    <row r="825109" spans="1:1" x14ac:dyDescent="0.25">
      <c r="A825109" s="242"/>
    </row>
    <row r="825110" spans="1:1" x14ac:dyDescent="0.25">
      <c r="A825110" s="242"/>
    </row>
    <row r="825111" spans="1:1" x14ac:dyDescent="0.25">
      <c r="A825111" s="242"/>
    </row>
    <row r="825112" spans="1:1" x14ac:dyDescent="0.25">
      <c r="A825112" s="242"/>
    </row>
    <row r="825113" spans="1:1" x14ac:dyDescent="0.25">
      <c r="A825113" s="242"/>
    </row>
    <row r="825114" spans="1:1" x14ac:dyDescent="0.25">
      <c r="A825114" s="242"/>
    </row>
    <row r="825115" spans="1:1" x14ac:dyDescent="0.25">
      <c r="A825115" s="242"/>
    </row>
    <row r="825116" spans="1:1" x14ac:dyDescent="0.25">
      <c r="A825116" s="242"/>
    </row>
    <row r="825117" spans="1:1" x14ac:dyDescent="0.25">
      <c r="A825117" s="242"/>
    </row>
    <row r="825118" spans="1:1" x14ac:dyDescent="0.25">
      <c r="A825118" s="242"/>
    </row>
    <row r="825119" spans="1:1" x14ac:dyDescent="0.25">
      <c r="A825119" s="242"/>
    </row>
    <row r="825120" spans="1:1" x14ac:dyDescent="0.25">
      <c r="A825120" s="242"/>
    </row>
    <row r="825121" spans="1:1" x14ac:dyDescent="0.25">
      <c r="A825121" s="242"/>
    </row>
    <row r="825122" spans="1:1" x14ac:dyDescent="0.25">
      <c r="A825122" s="242"/>
    </row>
    <row r="825123" spans="1:1" x14ac:dyDescent="0.25">
      <c r="A825123" s="242"/>
    </row>
    <row r="825124" spans="1:1" x14ac:dyDescent="0.25">
      <c r="A825124" s="242"/>
    </row>
    <row r="825125" spans="1:1" x14ac:dyDescent="0.25">
      <c r="A825125" s="242"/>
    </row>
    <row r="825126" spans="1:1" x14ac:dyDescent="0.25">
      <c r="A825126" s="242"/>
    </row>
    <row r="825127" spans="1:1" x14ac:dyDescent="0.25">
      <c r="A825127" s="242"/>
    </row>
    <row r="825128" spans="1:1" x14ac:dyDescent="0.25">
      <c r="A825128" s="242"/>
    </row>
    <row r="825129" spans="1:1" x14ac:dyDescent="0.25">
      <c r="A825129" s="242"/>
    </row>
    <row r="825130" spans="1:1" x14ac:dyDescent="0.25">
      <c r="A825130" s="242"/>
    </row>
    <row r="825131" spans="1:1" x14ac:dyDescent="0.25">
      <c r="A825131" s="242"/>
    </row>
    <row r="825132" spans="1:1" x14ac:dyDescent="0.25">
      <c r="A825132" s="242"/>
    </row>
    <row r="825133" spans="1:1" x14ac:dyDescent="0.25">
      <c r="A825133" s="242"/>
    </row>
    <row r="825134" spans="1:1" x14ac:dyDescent="0.25">
      <c r="A825134" s="242"/>
    </row>
    <row r="825135" spans="1:1" x14ac:dyDescent="0.25">
      <c r="A825135" s="242"/>
    </row>
    <row r="825136" spans="1:1" x14ac:dyDescent="0.25">
      <c r="A825136" s="242"/>
    </row>
    <row r="825137" spans="1:1" x14ac:dyDescent="0.25">
      <c r="A825137" s="242"/>
    </row>
    <row r="825138" spans="1:1" x14ac:dyDescent="0.25">
      <c r="A825138" s="242"/>
    </row>
    <row r="825139" spans="1:1" x14ac:dyDescent="0.25">
      <c r="A825139" s="242"/>
    </row>
    <row r="825140" spans="1:1" x14ac:dyDescent="0.25">
      <c r="A825140" s="242"/>
    </row>
    <row r="825141" spans="1:1" x14ac:dyDescent="0.25">
      <c r="A825141" s="242"/>
    </row>
    <row r="825142" spans="1:1" x14ac:dyDescent="0.25">
      <c r="A825142" s="242"/>
    </row>
    <row r="825143" spans="1:1" x14ac:dyDescent="0.25">
      <c r="A825143" s="242"/>
    </row>
    <row r="825144" spans="1:1" x14ac:dyDescent="0.25">
      <c r="A825144" s="242"/>
    </row>
    <row r="825145" spans="1:1" x14ac:dyDescent="0.25">
      <c r="A825145" s="242"/>
    </row>
    <row r="825146" spans="1:1" x14ac:dyDescent="0.25">
      <c r="A825146" s="242"/>
    </row>
    <row r="825147" spans="1:1" x14ac:dyDescent="0.25">
      <c r="A825147" s="242"/>
    </row>
    <row r="825148" spans="1:1" x14ac:dyDescent="0.25">
      <c r="A825148" s="242"/>
    </row>
    <row r="825149" spans="1:1" x14ac:dyDescent="0.25">
      <c r="A825149" s="242"/>
    </row>
    <row r="825150" spans="1:1" x14ac:dyDescent="0.25">
      <c r="A825150" s="242"/>
    </row>
    <row r="825151" spans="1:1" x14ac:dyDescent="0.25">
      <c r="A825151" s="242"/>
    </row>
    <row r="825152" spans="1:1" x14ac:dyDescent="0.25">
      <c r="A825152" s="242"/>
    </row>
    <row r="825153" spans="1:1" x14ac:dyDescent="0.25">
      <c r="A825153" s="242"/>
    </row>
    <row r="825154" spans="1:1" x14ac:dyDescent="0.25">
      <c r="A825154" s="242"/>
    </row>
    <row r="825155" spans="1:1" x14ac:dyDescent="0.25">
      <c r="A825155" s="242"/>
    </row>
    <row r="825156" spans="1:1" x14ac:dyDescent="0.25">
      <c r="A825156" s="242"/>
    </row>
    <row r="825157" spans="1:1" x14ac:dyDescent="0.25">
      <c r="A825157" s="242"/>
    </row>
    <row r="825158" spans="1:1" x14ac:dyDescent="0.25">
      <c r="A825158" s="242"/>
    </row>
    <row r="825159" spans="1:1" x14ac:dyDescent="0.25">
      <c r="A825159" s="242"/>
    </row>
    <row r="825160" spans="1:1" x14ac:dyDescent="0.25">
      <c r="A825160" s="242"/>
    </row>
    <row r="825161" spans="1:1" x14ac:dyDescent="0.25">
      <c r="A825161" s="242"/>
    </row>
    <row r="825162" spans="1:1" x14ac:dyDescent="0.25">
      <c r="A825162" s="242"/>
    </row>
    <row r="825163" spans="1:1" x14ac:dyDescent="0.25">
      <c r="A825163" s="242"/>
    </row>
    <row r="825164" spans="1:1" x14ac:dyDescent="0.25">
      <c r="A825164" s="242"/>
    </row>
    <row r="825165" spans="1:1" x14ac:dyDescent="0.25">
      <c r="A825165" s="242"/>
    </row>
    <row r="825166" spans="1:1" x14ac:dyDescent="0.25">
      <c r="A825166" s="242"/>
    </row>
    <row r="825167" spans="1:1" x14ac:dyDescent="0.25">
      <c r="A825167" s="242"/>
    </row>
    <row r="825168" spans="1:1" x14ac:dyDescent="0.25">
      <c r="A825168" s="242"/>
    </row>
    <row r="825169" spans="1:1" x14ac:dyDescent="0.25">
      <c r="A825169" s="242"/>
    </row>
    <row r="825170" spans="1:1" x14ac:dyDescent="0.25">
      <c r="A825170" s="242"/>
    </row>
    <row r="825171" spans="1:1" x14ac:dyDescent="0.25">
      <c r="A825171" s="242"/>
    </row>
    <row r="825172" spans="1:1" x14ac:dyDescent="0.25">
      <c r="A825172" s="242"/>
    </row>
    <row r="825173" spans="1:1" x14ac:dyDescent="0.25">
      <c r="A825173" s="242"/>
    </row>
    <row r="825174" spans="1:1" x14ac:dyDescent="0.25">
      <c r="A825174" s="242"/>
    </row>
    <row r="825175" spans="1:1" x14ac:dyDescent="0.25">
      <c r="A825175" s="242"/>
    </row>
    <row r="825176" spans="1:1" x14ac:dyDescent="0.25">
      <c r="A825176" s="242"/>
    </row>
    <row r="825177" spans="1:1" x14ac:dyDescent="0.25">
      <c r="A825177" s="242"/>
    </row>
    <row r="825178" spans="1:1" x14ac:dyDescent="0.25">
      <c r="A825178" s="242"/>
    </row>
    <row r="825179" spans="1:1" x14ac:dyDescent="0.25">
      <c r="A825179" s="242"/>
    </row>
    <row r="825180" spans="1:1" x14ac:dyDescent="0.25">
      <c r="A825180" s="242"/>
    </row>
    <row r="825181" spans="1:1" x14ac:dyDescent="0.25">
      <c r="A825181" s="242"/>
    </row>
    <row r="825182" spans="1:1" x14ac:dyDescent="0.25">
      <c r="A825182" s="242"/>
    </row>
    <row r="825183" spans="1:1" x14ac:dyDescent="0.25">
      <c r="A825183" s="242"/>
    </row>
    <row r="825184" spans="1:1" x14ac:dyDescent="0.25">
      <c r="A825184" s="242"/>
    </row>
    <row r="825185" spans="1:1" x14ac:dyDescent="0.25">
      <c r="A825185" s="242"/>
    </row>
    <row r="825186" spans="1:1" x14ac:dyDescent="0.25">
      <c r="A825186" s="242"/>
    </row>
    <row r="825187" spans="1:1" x14ac:dyDescent="0.25">
      <c r="A825187" s="242"/>
    </row>
    <row r="825188" spans="1:1" x14ac:dyDescent="0.25">
      <c r="A825188" s="242"/>
    </row>
    <row r="825189" spans="1:1" x14ac:dyDescent="0.25">
      <c r="A825189" s="242"/>
    </row>
    <row r="825190" spans="1:1" x14ac:dyDescent="0.25">
      <c r="A825190" s="242"/>
    </row>
    <row r="825191" spans="1:1" x14ac:dyDescent="0.25">
      <c r="A825191" s="242"/>
    </row>
    <row r="825192" spans="1:1" x14ac:dyDescent="0.25">
      <c r="A825192" s="242"/>
    </row>
    <row r="825193" spans="1:1" x14ac:dyDescent="0.25">
      <c r="A825193" s="242"/>
    </row>
    <row r="825194" spans="1:1" x14ac:dyDescent="0.25">
      <c r="A825194" s="242"/>
    </row>
    <row r="825195" spans="1:1" x14ac:dyDescent="0.25">
      <c r="A825195" s="242"/>
    </row>
    <row r="825196" spans="1:1" x14ac:dyDescent="0.25">
      <c r="A825196" s="242"/>
    </row>
    <row r="825197" spans="1:1" x14ac:dyDescent="0.25">
      <c r="A825197" s="242"/>
    </row>
    <row r="825198" spans="1:1" x14ac:dyDescent="0.25">
      <c r="A825198" s="242"/>
    </row>
    <row r="825199" spans="1:1" x14ac:dyDescent="0.25">
      <c r="A825199" s="242"/>
    </row>
    <row r="825200" spans="1:1" x14ac:dyDescent="0.25">
      <c r="A825200" s="242"/>
    </row>
    <row r="825201" spans="1:1" x14ac:dyDescent="0.25">
      <c r="A825201" s="242"/>
    </row>
    <row r="825202" spans="1:1" x14ac:dyDescent="0.25">
      <c r="A825202" s="242"/>
    </row>
    <row r="825203" spans="1:1" x14ac:dyDescent="0.25">
      <c r="A825203" s="242"/>
    </row>
    <row r="825204" spans="1:1" x14ac:dyDescent="0.25">
      <c r="A825204" s="242"/>
    </row>
    <row r="825205" spans="1:1" x14ac:dyDescent="0.25">
      <c r="A825205" s="242"/>
    </row>
    <row r="825206" spans="1:1" x14ac:dyDescent="0.25">
      <c r="A825206" s="242"/>
    </row>
    <row r="825207" spans="1:1" x14ac:dyDescent="0.25">
      <c r="A825207" s="242"/>
    </row>
    <row r="825208" spans="1:1" x14ac:dyDescent="0.25">
      <c r="A825208" s="242"/>
    </row>
    <row r="825209" spans="1:1" x14ac:dyDescent="0.25">
      <c r="A825209" s="242"/>
    </row>
    <row r="825210" spans="1:1" x14ac:dyDescent="0.25">
      <c r="A825210" s="242"/>
    </row>
    <row r="825211" spans="1:1" x14ac:dyDescent="0.25">
      <c r="A825211" s="242"/>
    </row>
    <row r="825212" spans="1:1" x14ac:dyDescent="0.25">
      <c r="A825212" s="242"/>
    </row>
    <row r="825213" spans="1:1" x14ac:dyDescent="0.25">
      <c r="A825213" s="242"/>
    </row>
    <row r="825214" spans="1:1" x14ac:dyDescent="0.25">
      <c r="A825214" s="242"/>
    </row>
    <row r="825215" spans="1:1" x14ac:dyDescent="0.25">
      <c r="A825215" s="242"/>
    </row>
    <row r="825216" spans="1:1" x14ac:dyDescent="0.25">
      <c r="A825216" s="242"/>
    </row>
    <row r="825217" spans="1:1" x14ac:dyDescent="0.25">
      <c r="A825217" s="242"/>
    </row>
    <row r="825218" spans="1:1" x14ac:dyDescent="0.25">
      <c r="A825218" s="242"/>
    </row>
    <row r="825219" spans="1:1" x14ac:dyDescent="0.25">
      <c r="A825219" s="242"/>
    </row>
    <row r="825220" spans="1:1" x14ac:dyDescent="0.25">
      <c r="A825220" s="242"/>
    </row>
    <row r="825221" spans="1:1" x14ac:dyDescent="0.25">
      <c r="A825221" s="242"/>
    </row>
    <row r="825222" spans="1:1" x14ac:dyDescent="0.25">
      <c r="A825222" s="242"/>
    </row>
    <row r="825223" spans="1:1" x14ac:dyDescent="0.25">
      <c r="A825223" s="242"/>
    </row>
    <row r="825224" spans="1:1" x14ac:dyDescent="0.25">
      <c r="A825224" s="242"/>
    </row>
    <row r="825225" spans="1:1" x14ac:dyDescent="0.25">
      <c r="A825225" s="242"/>
    </row>
    <row r="825226" spans="1:1" x14ac:dyDescent="0.25">
      <c r="A825226" s="242"/>
    </row>
    <row r="825227" spans="1:1" x14ac:dyDescent="0.25">
      <c r="A825227" s="242"/>
    </row>
    <row r="825228" spans="1:1" x14ac:dyDescent="0.25">
      <c r="A825228" s="242"/>
    </row>
    <row r="825229" spans="1:1" x14ac:dyDescent="0.25">
      <c r="A825229" s="242"/>
    </row>
    <row r="825230" spans="1:1" x14ac:dyDescent="0.25">
      <c r="A825230" s="242"/>
    </row>
    <row r="825231" spans="1:1" x14ac:dyDescent="0.25">
      <c r="A825231" s="242"/>
    </row>
    <row r="825232" spans="1:1" x14ac:dyDescent="0.25">
      <c r="A825232" s="242"/>
    </row>
    <row r="825233" spans="1:1" x14ac:dyDescent="0.25">
      <c r="A825233" s="242"/>
    </row>
    <row r="825234" spans="1:1" x14ac:dyDescent="0.25">
      <c r="A825234" s="242"/>
    </row>
    <row r="825235" spans="1:1" x14ac:dyDescent="0.25">
      <c r="A825235" s="242"/>
    </row>
    <row r="825236" spans="1:1" x14ac:dyDescent="0.25">
      <c r="A825236" s="242"/>
    </row>
    <row r="825237" spans="1:1" x14ac:dyDescent="0.25">
      <c r="A825237" s="242"/>
    </row>
    <row r="825238" spans="1:1" x14ac:dyDescent="0.25">
      <c r="A825238" s="242"/>
    </row>
    <row r="825239" spans="1:1" x14ac:dyDescent="0.25">
      <c r="A825239" s="242"/>
    </row>
    <row r="825240" spans="1:1" x14ac:dyDescent="0.25">
      <c r="A825240" s="242"/>
    </row>
    <row r="825241" spans="1:1" x14ac:dyDescent="0.25">
      <c r="A825241" s="242"/>
    </row>
    <row r="825242" spans="1:1" x14ac:dyDescent="0.25">
      <c r="A825242" s="242"/>
    </row>
    <row r="825243" spans="1:1" x14ac:dyDescent="0.25">
      <c r="A825243" s="242"/>
    </row>
    <row r="825244" spans="1:1" x14ac:dyDescent="0.25">
      <c r="A825244" s="242"/>
    </row>
    <row r="825245" spans="1:1" x14ac:dyDescent="0.25">
      <c r="A825245" s="242"/>
    </row>
    <row r="825246" spans="1:1" x14ac:dyDescent="0.25">
      <c r="A825246" s="242"/>
    </row>
    <row r="825247" spans="1:1" x14ac:dyDescent="0.25">
      <c r="A825247" s="242"/>
    </row>
    <row r="825248" spans="1:1" x14ac:dyDescent="0.25">
      <c r="A825248" s="242"/>
    </row>
    <row r="825249" spans="1:1" x14ac:dyDescent="0.25">
      <c r="A825249" s="242"/>
    </row>
    <row r="825250" spans="1:1" x14ac:dyDescent="0.25">
      <c r="A825250" s="242"/>
    </row>
    <row r="825251" spans="1:1" x14ac:dyDescent="0.25">
      <c r="A825251" s="242"/>
    </row>
    <row r="825252" spans="1:1" x14ac:dyDescent="0.25">
      <c r="A825252" s="242"/>
    </row>
    <row r="825253" spans="1:1" x14ac:dyDescent="0.25">
      <c r="A825253" s="242"/>
    </row>
    <row r="825254" spans="1:1" x14ac:dyDescent="0.25">
      <c r="A825254" s="242"/>
    </row>
    <row r="825255" spans="1:1" x14ac:dyDescent="0.25">
      <c r="A825255" s="242"/>
    </row>
    <row r="825256" spans="1:1" x14ac:dyDescent="0.25">
      <c r="A825256" s="242"/>
    </row>
    <row r="825257" spans="1:1" x14ac:dyDescent="0.25">
      <c r="A825257" s="242"/>
    </row>
    <row r="825258" spans="1:1" x14ac:dyDescent="0.25">
      <c r="A825258" s="242"/>
    </row>
    <row r="825259" spans="1:1" x14ac:dyDescent="0.25">
      <c r="A825259" s="242"/>
    </row>
    <row r="825260" spans="1:1" x14ac:dyDescent="0.25">
      <c r="A825260" s="242"/>
    </row>
    <row r="825261" spans="1:1" x14ac:dyDescent="0.25">
      <c r="A825261" s="242"/>
    </row>
    <row r="825262" spans="1:1" x14ac:dyDescent="0.25">
      <c r="A825262" s="242"/>
    </row>
    <row r="825263" spans="1:1" x14ac:dyDescent="0.25">
      <c r="A825263" s="242"/>
    </row>
    <row r="825264" spans="1:1" x14ac:dyDescent="0.25">
      <c r="A825264" s="242"/>
    </row>
    <row r="825265" spans="1:1" x14ac:dyDescent="0.25">
      <c r="A825265" s="242"/>
    </row>
    <row r="825266" spans="1:1" x14ac:dyDescent="0.25">
      <c r="A825266" s="242"/>
    </row>
    <row r="825267" spans="1:1" x14ac:dyDescent="0.25">
      <c r="A825267" s="242"/>
    </row>
    <row r="825268" spans="1:1" x14ac:dyDescent="0.25">
      <c r="A825268" s="242"/>
    </row>
    <row r="825269" spans="1:1" x14ac:dyDescent="0.25">
      <c r="A825269" s="242"/>
    </row>
    <row r="825270" spans="1:1" x14ac:dyDescent="0.25">
      <c r="A825270" s="242"/>
    </row>
    <row r="825271" spans="1:1" x14ac:dyDescent="0.25">
      <c r="A825271" s="242"/>
    </row>
    <row r="825272" spans="1:1" x14ac:dyDescent="0.25">
      <c r="A825272" s="242"/>
    </row>
    <row r="825273" spans="1:1" x14ac:dyDescent="0.25">
      <c r="A825273" s="242"/>
    </row>
    <row r="825274" spans="1:1" x14ac:dyDescent="0.25">
      <c r="A825274" s="242"/>
    </row>
    <row r="825275" spans="1:1" x14ac:dyDescent="0.25">
      <c r="A825275" s="242"/>
    </row>
    <row r="825276" spans="1:1" x14ac:dyDescent="0.25">
      <c r="A825276" s="242"/>
    </row>
    <row r="825277" spans="1:1" x14ac:dyDescent="0.25">
      <c r="A825277" s="242"/>
    </row>
    <row r="825278" spans="1:1" x14ac:dyDescent="0.25">
      <c r="A825278" s="242"/>
    </row>
    <row r="825279" spans="1:1" x14ac:dyDescent="0.25">
      <c r="A825279" s="242"/>
    </row>
    <row r="825280" spans="1:1" x14ac:dyDescent="0.25">
      <c r="A825280" s="242"/>
    </row>
    <row r="825281" spans="1:1" x14ac:dyDescent="0.25">
      <c r="A825281" s="242"/>
    </row>
    <row r="825282" spans="1:1" x14ac:dyDescent="0.25">
      <c r="A825282" s="242"/>
    </row>
    <row r="825283" spans="1:1" x14ac:dyDescent="0.25">
      <c r="A825283" s="242"/>
    </row>
    <row r="825284" spans="1:1" x14ac:dyDescent="0.25">
      <c r="A825284" s="242"/>
    </row>
    <row r="825285" spans="1:1" x14ac:dyDescent="0.25">
      <c r="A825285" s="242"/>
    </row>
    <row r="825286" spans="1:1" x14ac:dyDescent="0.25">
      <c r="A825286" s="242"/>
    </row>
    <row r="825287" spans="1:1" x14ac:dyDescent="0.25">
      <c r="A825287" s="242"/>
    </row>
    <row r="825288" spans="1:1" x14ac:dyDescent="0.25">
      <c r="A825288" s="242"/>
    </row>
    <row r="825289" spans="1:1" x14ac:dyDescent="0.25">
      <c r="A825289" s="242"/>
    </row>
    <row r="825290" spans="1:1" x14ac:dyDescent="0.25">
      <c r="A825290" s="242"/>
    </row>
    <row r="825291" spans="1:1" x14ac:dyDescent="0.25">
      <c r="A825291" s="242"/>
    </row>
    <row r="825292" spans="1:1" x14ac:dyDescent="0.25">
      <c r="A825292" s="242"/>
    </row>
    <row r="825293" spans="1:1" x14ac:dyDescent="0.25">
      <c r="A825293" s="242"/>
    </row>
    <row r="825294" spans="1:1" x14ac:dyDescent="0.25">
      <c r="A825294" s="242"/>
    </row>
    <row r="825295" spans="1:1" x14ac:dyDescent="0.25">
      <c r="A825295" s="242"/>
    </row>
    <row r="825296" spans="1:1" x14ac:dyDescent="0.25">
      <c r="A825296" s="242"/>
    </row>
    <row r="825297" spans="1:1" x14ac:dyDescent="0.25">
      <c r="A825297" s="242"/>
    </row>
    <row r="825298" spans="1:1" x14ac:dyDescent="0.25">
      <c r="A825298" s="242"/>
    </row>
    <row r="825299" spans="1:1" x14ac:dyDescent="0.25">
      <c r="A825299" s="242"/>
    </row>
    <row r="825300" spans="1:1" x14ac:dyDescent="0.25">
      <c r="A825300" s="242"/>
    </row>
    <row r="825301" spans="1:1" x14ac:dyDescent="0.25">
      <c r="A825301" s="242"/>
    </row>
    <row r="825302" spans="1:1" x14ac:dyDescent="0.25">
      <c r="A825302" s="242"/>
    </row>
    <row r="825303" spans="1:1" x14ac:dyDescent="0.25">
      <c r="A825303" s="242"/>
    </row>
    <row r="825304" spans="1:1" x14ac:dyDescent="0.25">
      <c r="A825304" s="242"/>
    </row>
    <row r="825305" spans="1:1" x14ac:dyDescent="0.25">
      <c r="A825305" s="242"/>
    </row>
    <row r="825306" spans="1:1" x14ac:dyDescent="0.25">
      <c r="A825306" s="242"/>
    </row>
    <row r="825307" spans="1:1" x14ac:dyDescent="0.25">
      <c r="A825307" s="242"/>
    </row>
    <row r="825308" spans="1:1" x14ac:dyDescent="0.25">
      <c r="A825308" s="242"/>
    </row>
    <row r="825309" spans="1:1" x14ac:dyDescent="0.25">
      <c r="A825309" s="242"/>
    </row>
    <row r="825310" spans="1:1" x14ac:dyDescent="0.25">
      <c r="A825310" s="242"/>
    </row>
    <row r="825311" spans="1:1" x14ac:dyDescent="0.25">
      <c r="A825311" s="242"/>
    </row>
    <row r="825312" spans="1:1" x14ac:dyDescent="0.25">
      <c r="A825312" s="242"/>
    </row>
    <row r="825313" spans="1:1" x14ac:dyDescent="0.25">
      <c r="A825313" s="242"/>
    </row>
    <row r="825314" spans="1:1" x14ac:dyDescent="0.25">
      <c r="A825314" s="242"/>
    </row>
    <row r="825315" spans="1:1" x14ac:dyDescent="0.25">
      <c r="A825315" s="242"/>
    </row>
    <row r="825316" spans="1:1" x14ac:dyDescent="0.25">
      <c r="A825316" s="242"/>
    </row>
    <row r="825317" spans="1:1" x14ac:dyDescent="0.25">
      <c r="A825317" s="242"/>
    </row>
    <row r="825318" spans="1:1" x14ac:dyDescent="0.25">
      <c r="A825318" s="242"/>
    </row>
    <row r="825319" spans="1:1" x14ac:dyDescent="0.25">
      <c r="A825319" s="242"/>
    </row>
    <row r="825320" spans="1:1" x14ac:dyDescent="0.25">
      <c r="A825320" s="242"/>
    </row>
    <row r="825321" spans="1:1" x14ac:dyDescent="0.25">
      <c r="A825321" s="242"/>
    </row>
    <row r="825322" spans="1:1" x14ac:dyDescent="0.25">
      <c r="A825322" s="242"/>
    </row>
    <row r="825323" spans="1:1" x14ac:dyDescent="0.25">
      <c r="A825323" s="242"/>
    </row>
    <row r="825324" spans="1:1" x14ac:dyDescent="0.25">
      <c r="A825324" s="242"/>
    </row>
    <row r="825325" spans="1:1" x14ac:dyDescent="0.25">
      <c r="A825325" s="242"/>
    </row>
    <row r="825326" spans="1:1" x14ac:dyDescent="0.25">
      <c r="A825326" s="242"/>
    </row>
    <row r="825327" spans="1:1" x14ac:dyDescent="0.25">
      <c r="A825327" s="242"/>
    </row>
    <row r="825328" spans="1:1" x14ac:dyDescent="0.25">
      <c r="A825328" s="242"/>
    </row>
    <row r="825329" spans="1:1" x14ac:dyDescent="0.25">
      <c r="A825329" s="242"/>
    </row>
    <row r="825330" spans="1:1" x14ac:dyDescent="0.25">
      <c r="A825330" s="242"/>
    </row>
    <row r="825331" spans="1:1" x14ac:dyDescent="0.25">
      <c r="A825331" s="242"/>
    </row>
    <row r="825332" spans="1:1" x14ac:dyDescent="0.25">
      <c r="A825332" s="242"/>
    </row>
    <row r="825333" spans="1:1" x14ac:dyDescent="0.25">
      <c r="A825333" s="242"/>
    </row>
    <row r="825334" spans="1:1" x14ac:dyDescent="0.25">
      <c r="A825334" s="242"/>
    </row>
    <row r="825335" spans="1:1" x14ac:dyDescent="0.25">
      <c r="A825335" s="242"/>
    </row>
    <row r="825336" spans="1:1" x14ac:dyDescent="0.25">
      <c r="A825336" s="242"/>
    </row>
    <row r="825337" spans="1:1" x14ac:dyDescent="0.25">
      <c r="A825337" s="242"/>
    </row>
    <row r="825338" spans="1:1" x14ac:dyDescent="0.25">
      <c r="A825338" s="242"/>
    </row>
    <row r="825339" spans="1:1" x14ac:dyDescent="0.25">
      <c r="A825339" s="242"/>
    </row>
    <row r="825340" spans="1:1" x14ac:dyDescent="0.25">
      <c r="A825340" s="242"/>
    </row>
    <row r="825341" spans="1:1" x14ac:dyDescent="0.25">
      <c r="A825341" s="242"/>
    </row>
    <row r="825342" spans="1:1" x14ac:dyDescent="0.25">
      <c r="A825342" s="242"/>
    </row>
    <row r="825343" spans="1:1" x14ac:dyDescent="0.25">
      <c r="A825343" s="242"/>
    </row>
    <row r="825344" spans="1:1" x14ac:dyDescent="0.25">
      <c r="A825344" s="242"/>
    </row>
    <row r="825345" spans="1:1" x14ac:dyDescent="0.25">
      <c r="A825345" s="242"/>
    </row>
    <row r="825346" spans="1:1" x14ac:dyDescent="0.25">
      <c r="A825346" s="242"/>
    </row>
    <row r="825347" spans="1:1" x14ac:dyDescent="0.25">
      <c r="A825347" s="242"/>
    </row>
    <row r="825348" spans="1:1" x14ac:dyDescent="0.25">
      <c r="A825348" s="242"/>
    </row>
    <row r="825349" spans="1:1" x14ac:dyDescent="0.25">
      <c r="A825349" s="242"/>
    </row>
    <row r="825350" spans="1:1" x14ac:dyDescent="0.25">
      <c r="A825350" s="242"/>
    </row>
    <row r="825351" spans="1:1" x14ac:dyDescent="0.25">
      <c r="A825351" s="242"/>
    </row>
    <row r="825352" spans="1:1" x14ac:dyDescent="0.25">
      <c r="A825352" s="242"/>
    </row>
    <row r="825353" spans="1:1" x14ac:dyDescent="0.25">
      <c r="A825353" s="242"/>
    </row>
    <row r="825354" spans="1:1" x14ac:dyDescent="0.25">
      <c r="A825354" s="242"/>
    </row>
    <row r="825355" spans="1:1" x14ac:dyDescent="0.25">
      <c r="A825355" s="242"/>
    </row>
    <row r="825356" spans="1:1" x14ac:dyDescent="0.25">
      <c r="A825356" s="242"/>
    </row>
    <row r="825357" spans="1:1" x14ac:dyDescent="0.25">
      <c r="A825357" s="242"/>
    </row>
    <row r="825358" spans="1:1" x14ac:dyDescent="0.25">
      <c r="A825358" s="242"/>
    </row>
    <row r="825359" spans="1:1" x14ac:dyDescent="0.25">
      <c r="A825359" s="242"/>
    </row>
    <row r="825360" spans="1:1" x14ac:dyDescent="0.25">
      <c r="A825360" s="242"/>
    </row>
    <row r="825361" spans="1:1" x14ac:dyDescent="0.25">
      <c r="A825361" s="242"/>
    </row>
    <row r="825362" spans="1:1" x14ac:dyDescent="0.25">
      <c r="A825362" s="242"/>
    </row>
    <row r="825363" spans="1:1" x14ac:dyDescent="0.25">
      <c r="A825363" s="242"/>
    </row>
    <row r="825364" spans="1:1" x14ac:dyDescent="0.25">
      <c r="A825364" s="242"/>
    </row>
    <row r="825365" spans="1:1" x14ac:dyDescent="0.25">
      <c r="A825365" s="242"/>
    </row>
    <row r="825366" spans="1:1" x14ac:dyDescent="0.25">
      <c r="A825366" s="242"/>
    </row>
    <row r="825367" spans="1:1" x14ac:dyDescent="0.25">
      <c r="A825367" s="242"/>
    </row>
    <row r="825368" spans="1:1" x14ac:dyDescent="0.25">
      <c r="A825368" s="242"/>
    </row>
    <row r="825369" spans="1:1" x14ac:dyDescent="0.25">
      <c r="A825369" s="242"/>
    </row>
    <row r="825370" spans="1:1" x14ac:dyDescent="0.25">
      <c r="A825370" s="242"/>
    </row>
    <row r="825371" spans="1:1" x14ac:dyDescent="0.25">
      <c r="A825371" s="242"/>
    </row>
    <row r="825372" spans="1:1" x14ac:dyDescent="0.25">
      <c r="A825372" s="242"/>
    </row>
    <row r="825373" spans="1:1" x14ac:dyDescent="0.25">
      <c r="A825373" s="242"/>
    </row>
    <row r="825374" spans="1:1" x14ac:dyDescent="0.25">
      <c r="A825374" s="242"/>
    </row>
    <row r="825375" spans="1:1" x14ac:dyDescent="0.25">
      <c r="A825375" s="242"/>
    </row>
    <row r="825376" spans="1:1" x14ac:dyDescent="0.25">
      <c r="A825376" s="242"/>
    </row>
    <row r="825377" spans="1:1" x14ac:dyDescent="0.25">
      <c r="A825377" s="242"/>
    </row>
    <row r="825378" spans="1:1" x14ac:dyDescent="0.25">
      <c r="A825378" s="242"/>
    </row>
    <row r="825379" spans="1:1" x14ac:dyDescent="0.25">
      <c r="A825379" s="242"/>
    </row>
    <row r="825380" spans="1:1" x14ac:dyDescent="0.25">
      <c r="A825380" s="242"/>
    </row>
    <row r="825381" spans="1:1" x14ac:dyDescent="0.25">
      <c r="A825381" s="242"/>
    </row>
    <row r="825382" spans="1:1" x14ac:dyDescent="0.25">
      <c r="A825382" s="242"/>
    </row>
    <row r="825383" spans="1:1" x14ac:dyDescent="0.25">
      <c r="A825383" s="242"/>
    </row>
    <row r="825384" spans="1:1" x14ac:dyDescent="0.25">
      <c r="A825384" s="242"/>
    </row>
    <row r="825385" spans="1:1" x14ac:dyDescent="0.25">
      <c r="A825385" s="242"/>
    </row>
    <row r="825386" spans="1:1" x14ac:dyDescent="0.25">
      <c r="A825386" s="242"/>
    </row>
    <row r="825387" spans="1:1" x14ac:dyDescent="0.25">
      <c r="A825387" s="242"/>
    </row>
    <row r="825388" spans="1:1" x14ac:dyDescent="0.25">
      <c r="A825388" s="242"/>
    </row>
    <row r="825389" spans="1:1" x14ac:dyDescent="0.25">
      <c r="A825389" s="242"/>
    </row>
    <row r="825390" spans="1:1" x14ac:dyDescent="0.25">
      <c r="A825390" s="242"/>
    </row>
    <row r="825391" spans="1:1" x14ac:dyDescent="0.25">
      <c r="A825391" s="242"/>
    </row>
    <row r="825392" spans="1:1" x14ac:dyDescent="0.25">
      <c r="A825392" s="242"/>
    </row>
    <row r="825393" spans="1:1" x14ac:dyDescent="0.25">
      <c r="A825393" s="242"/>
    </row>
    <row r="825394" spans="1:1" x14ac:dyDescent="0.25">
      <c r="A825394" s="242"/>
    </row>
    <row r="825395" spans="1:1" x14ac:dyDescent="0.25">
      <c r="A825395" s="242"/>
    </row>
    <row r="825396" spans="1:1" x14ac:dyDescent="0.25">
      <c r="A825396" s="242"/>
    </row>
    <row r="825397" spans="1:1" x14ac:dyDescent="0.25">
      <c r="A825397" s="242"/>
    </row>
    <row r="825398" spans="1:1" x14ac:dyDescent="0.25">
      <c r="A825398" s="242"/>
    </row>
    <row r="825399" spans="1:1" x14ac:dyDescent="0.25">
      <c r="A825399" s="242"/>
    </row>
    <row r="825400" spans="1:1" x14ac:dyDescent="0.25">
      <c r="A825400" s="242"/>
    </row>
    <row r="825401" spans="1:1" x14ac:dyDescent="0.25">
      <c r="A825401" s="242"/>
    </row>
    <row r="825402" spans="1:1" x14ac:dyDescent="0.25">
      <c r="A825402" s="242"/>
    </row>
    <row r="825403" spans="1:1" x14ac:dyDescent="0.25">
      <c r="A825403" s="242"/>
    </row>
    <row r="825404" spans="1:1" x14ac:dyDescent="0.25">
      <c r="A825404" s="242"/>
    </row>
    <row r="825405" spans="1:1" x14ac:dyDescent="0.25">
      <c r="A825405" s="242"/>
    </row>
    <row r="825406" spans="1:1" x14ac:dyDescent="0.25">
      <c r="A825406" s="242"/>
    </row>
    <row r="825407" spans="1:1" x14ac:dyDescent="0.25">
      <c r="A825407" s="242"/>
    </row>
    <row r="825408" spans="1:1" x14ac:dyDescent="0.25">
      <c r="A825408" s="242"/>
    </row>
    <row r="825409" spans="1:1" x14ac:dyDescent="0.25">
      <c r="A825409" s="242"/>
    </row>
    <row r="825410" spans="1:1" x14ac:dyDescent="0.25">
      <c r="A825410" s="242"/>
    </row>
    <row r="825411" spans="1:1" x14ac:dyDescent="0.25">
      <c r="A825411" s="242"/>
    </row>
    <row r="825412" spans="1:1" x14ac:dyDescent="0.25">
      <c r="A825412" s="242"/>
    </row>
    <row r="825413" spans="1:1" x14ac:dyDescent="0.25">
      <c r="A825413" s="242"/>
    </row>
    <row r="825414" spans="1:1" x14ac:dyDescent="0.25">
      <c r="A825414" s="242"/>
    </row>
    <row r="825415" spans="1:1" x14ac:dyDescent="0.25">
      <c r="A825415" s="242"/>
    </row>
    <row r="825416" spans="1:1" x14ac:dyDescent="0.25">
      <c r="A825416" s="242"/>
    </row>
    <row r="825417" spans="1:1" x14ac:dyDescent="0.25">
      <c r="A825417" s="242"/>
    </row>
    <row r="825418" spans="1:1" x14ac:dyDescent="0.25">
      <c r="A825418" s="242"/>
    </row>
    <row r="825419" spans="1:1" x14ac:dyDescent="0.25">
      <c r="A825419" s="242"/>
    </row>
    <row r="825420" spans="1:1" x14ac:dyDescent="0.25">
      <c r="A825420" s="242"/>
    </row>
    <row r="825421" spans="1:1" x14ac:dyDescent="0.25">
      <c r="A825421" s="242"/>
    </row>
    <row r="825422" spans="1:1" x14ac:dyDescent="0.25">
      <c r="A825422" s="242"/>
    </row>
    <row r="825423" spans="1:1" x14ac:dyDescent="0.25">
      <c r="A825423" s="242"/>
    </row>
    <row r="825424" spans="1:1" x14ac:dyDescent="0.25">
      <c r="A825424" s="242"/>
    </row>
    <row r="825425" spans="1:1" x14ac:dyDescent="0.25">
      <c r="A825425" s="242"/>
    </row>
    <row r="825426" spans="1:1" x14ac:dyDescent="0.25">
      <c r="A825426" s="242"/>
    </row>
    <row r="825427" spans="1:1" x14ac:dyDescent="0.25">
      <c r="A825427" s="242"/>
    </row>
    <row r="825428" spans="1:1" x14ac:dyDescent="0.25">
      <c r="A825428" s="242"/>
    </row>
    <row r="825429" spans="1:1" x14ac:dyDescent="0.25">
      <c r="A825429" s="242"/>
    </row>
    <row r="825430" spans="1:1" x14ac:dyDescent="0.25">
      <c r="A825430" s="242"/>
    </row>
    <row r="825431" spans="1:1" x14ac:dyDescent="0.25">
      <c r="A825431" s="242"/>
    </row>
    <row r="825432" spans="1:1" x14ac:dyDescent="0.25">
      <c r="A825432" s="242"/>
    </row>
    <row r="825433" spans="1:1" x14ac:dyDescent="0.25">
      <c r="A825433" s="242"/>
    </row>
    <row r="825434" spans="1:1" x14ac:dyDescent="0.25">
      <c r="A825434" s="242"/>
    </row>
    <row r="825435" spans="1:1" x14ac:dyDescent="0.25">
      <c r="A825435" s="242"/>
    </row>
    <row r="825436" spans="1:1" x14ac:dyDescent="0.25">
      <c r="A825436" s="242"/>
    </row>
    <row r="825437" spans="1:1" x14ac:dyDescent="0.25">
      <c r="A825437" s="242"/>
    </row>
    <row r="825438" spans="1:1" x14ac:dyDescent="0.25">
      <c r="A825438" s="242"/>
    </row>
    <row r="825439" spans="1:1" x14ac:dyDescent="0.25">
      <c r="A825439" s="242"/>
    </row>
    <row r="825440" spans="1:1" x14ac:dyDescent="0.25">
      <c r="A825440" s="242"/>
    </row>
    <row r="825441" spans="1:1" x14ac:dyDescent="0.25">
      <c r="A825441" s="242"/>
    </row>
    <row r="825442" spans="1:1" x14ac:dyDescent="0.25">
      <c r="A825442" s="242"/>
    </row>
    <row r="825443" spans="1:1" x14ac:dyDescent="0.25">
      <c r="A825443" s="242"/>
    </row>
    <row r="825444" spans="1:1" x14ac:dyDescent="0.25">
      <c r="A825444" s="242"/>
    </row>
    <row r="825445" spans="1:1" x14ac:dyDescent="0.25">
      <c r="A825445" s="242"/>
    </row>
    <row r="825446" spans="1:1" x14ac:dyDescent="0.25">
      <c r="A825446" s="242"/>
    </row>
    <row r="825447" spans="1:1" x14ac:dyDescent="0.25">
      <c r="A825447" s="242"/>
    </row>
    <row r="825448" spans="1:1" x14ac:dyDescent="0.25">
      <c r="A825448" s="242"/>
    </row>
    <row r="825449" spans="1:1" x14ac:dyDescent="0.25">
      <c r="A825449" s="242"/>
    </row>
    <row r="825450" spans="1:1" x14ac:dyDescent="0.25">
      <c r="A825450" s="242"/>
    </row>
    <row r="825451" spans="1:1" x14ac:dyDescent="0.25">
      <c r="A825451" s="242"/>
    </row>
    <row r="825452" spans="1:1" x14ac:dyDescent="0.25">
      <c r="A825452" s="242"/>
    </row>
    <row r="825453" spans="1:1" x14ac:dyDescent="0.25">
      <c r="A825453" s="242"/>
    </row>
    <row r="825454" spans="1:1" x14ac:dyDescent="0.25">
      <c r="A825454" s="242"/>
    </row>
    <row r="825455" spans="1:1" x14ac:dyDescent="0.25">
      <c r="A825455" s="242"/>
    </row>
    <row r="825456" spans="1:1" x14ac:dyDescent="0.25">
      <c r="A825456" s="242"/>
    </row>
    <row r="825457" spans="1:1" x14ac:dyDescent="0.25">
      <c r="A825457" s="242"/>
    </row>
    <row r="825458" spans="1:1" x14ac:dyDescent="0.25">
      <c r="A825458" s="242"/>
    </row>
    <row r="825459" spans="1:1" x14ac:dyDescent="0.25">
      <c r="A825459" s="242"/>
    </row>
    <row r="825460" spans="1:1" x14ac:dyDescent="0.25">
      <c r="A825460" s="242"/>
    </row>
    <row r="825461" spans="1:1" x14ac:dyDescent="0.25">
      <c r="A825461" s="242"/>
    </row>
    <row r="825462" spans="1:1" x14ac:dyDescent="0.25">
      <c r="A825462" s="242"/>
    </row>
    <row r="825463" spans="1:1" x14ac:dyDescent="0.25">
      <c r="A825463" s="242"/>
    </row>
    <row r="825464" spans="1:1" x14ac:dyDescent="0.25">
      <c r="A825464" s="242"/>
    </row>
    <row r="825465" spans="1:1" x14ac:dyDescent="0.25">
      <c r="A825465" s="242"/>
    </row>
    <row r="825466" spans="1:1" x14ac:dyDescent="0.25">
      <c r="A825466" s="242"/>
    </row>
    <row r="825467" spans="1:1" x14ac:dyDescent="0.25">
      <c r="A825467" s="242"/>
    </row>
    <row r="825468" spans="1:1" x14ac:dyDescent="0.25">
      <c r="A825468" s="242"/>
    </row>
    <row r="825469" spans="1:1" x14ac:dyDescent="0.25">
      <c r="A825469" s="242"/>
    </row>
    <row r="825470" spans="1:1" x14ac:dyDescent="0.25">
      <c r="A825470" s="242"/>
    </row>
    <row r="825471" spans="1:1" x14ac:dyDescent="0.25">
      <c r="A825471" s="242"/>
    </row>
    <row r="825472" spans="1:1" x14ac:dyDescent="0.25">
      <c r="A825472" s="242"/>
    </row>
    <row r="825473" spans="1:1" x14ac:dyDescent="0.25">
      <c r="A825473" s="242"/>
    </row>
    <row r="825474" spans="1:1" x14ac:dyDescent="0.25">
      <c r="A825474" s="242"/>
    </row>
    <row r="825475" spans="1:1" x14ac:dyDescent="0.25">
      <c r="A825475" s="242"/>
    </row>
    <row r="825476" spans="1:1" x14ac:dyDescent="0.25">
      <c r="A825476" s="242"/>
    </row>
    <row r="825477" spans="1:1" x14ac:dyDescent="0.25">
      <c r="A825477" s="242"/>
    </row>
    <row r="825478" spans="1:1" x14ac:dyDescent="0.25">
      <c r="A825478" s="242"/>
    </row>
    <row r="825479" spans="1:1" x14ac:dyDescent="0.25">
      <c r="A825479" s="242"/>
    </row>
    <row r="825480" spans="1:1" x14ac:dyDescent="0.25">
      <c r="A825480" s="242"/>
    </row>
    <row r="825481" spans="1:1" x14ac:dyDescent="0.25">
      <c r="A825481" s="242"/>
    </row>
    <row r="825482" spans="1:1" x14ac:dyDescent="0.25">
      <c r="A825482" s="242"/>
    </row>
    <row r="825483" spans="1:1" x14ac:dyDescent="0.25">
      <c r="A825483" s="242"/>
    </row>
    <row r="825484" spans="1:1" x14ac:dyDescent="0.25">
      <c r="A825484" s="242"/>
    </row>
    <row r="825485" spans="1:1" x14ac:dyDescent="0.25">
      <c r="A825485" s="242"/>
    </row>
    <row r="825486" spans="1:1" x14ac:dyDescent="0.25">
      <c r="A825486" s="242"/>
    </row>
    <row r="825487" spans="1:1" x14ac:dyDescent="0.25">
      <c r="A825487" s="242"/>
    </row>
    <row r="825488" spans="1:1" x14ac:dyDescent="0.25">
      <c r="A825488" s="242"/>
    </row>
    <row r="825489" spans="1:1" x14ac:dyDescent="0.25">
      <c r="A825489" s="242"/>
    </row>
    <row r="825490" spans="1:1" x14ac:dyDescent="0.25">
      <c r="A825490" s="242"/>
    </row>
    <row r="825491" spans="1:1" x14ac:dyDescent="0.25">
      <c r="A825491" s="242"/>
    </row>
    <row r="825492" spans="1:1" x14ac:dyDescent="0.25">
      <c r="A825492" s="242"/>
    </row>
    <row r="825493" spans="1:1" x14ac:dyDescent="0.25">
      <c r="A825493" s="242"/>
    </row>
    <row r="825494" spans="1:1" x14ac:dyDescent="0.25">
      <c r="A825494" s="242"/>
    </row>
    <row r="825495" spans="1:1" x14ac:dyDescent="0.25">
      <c r="A825495" s="242"/>
    </row>
    <row r="825496" spans="1:1" x14ac:dyDescent="0.25">
      <c r="A825496" s="242"/>
    </row>
    <row r="825497" spans="1:1" x14ac:dyDescent="0.25">
      <c r="A825497" s="242"/>
    </row>
    <row r="825498" spans="1:1" x14ac:dyDescent="0.25">
      <c r="A825498" s="242"/>
    </row>
    <row r="825499" spans="1:1" x14ac:dyDescent="0.25">
      <c r="A825499" s="242"/>
    </row>
    <row r="825500" spans="1:1" x14ac:dyDescent="0.25">
      <c r="A825500" s="242"/>
    </row>
    <row r="825501" spans="1:1" x14ac:dyDescent="0.25">
      <c r="A825501" s="242"/>
    </row>
    <row r="825502" spans="1:1" x14ac:dyDescent="0.25">
      <c r="A825502" s="242"/>
    </row>
    <row r="825503" spans="1:1" x14ac:dyDescent="0.25">
      <c r="A825503" s="242"/>
    </row>
    <row r="825504" spans="1:1" x14ac:dyDescent="0.25">
      <c r="A825504" s="242"/>
    </row>
    <row r="825505" spans="1:1" x14ac:dyDescent="0.25">
      <c r="A825505" s="242"/>
    </row>
    <row r="825506" spans="1:1" x14ac:dyDescent="0.25">
      <c r="A825506" s="242"/>
    </row>
    <row r="825507" spans="1:1" x14ac:dyDescent="0.25">
      <c r="A825507" s="242"/>
    </row>
    <row r="825508" spans="1:1" x14ac:dyDescent="0.25">
      <c r="A825508" s="242"/>
    </row>
    <row r="825509" spans="1:1" x14ac:dyDescent="0.25">
      <c r="A825509" s="242"/>
    </row>
    <row r="825510" spans="1:1" x14ac:dyDescent="0.25">
      <c r="A825510" s="242"/>
    </row>
    <row r="825511" spans="1:1" x14ac:dyDescent="0.25">
      <c r="A825511" s="242"/>
    </row>
    <row r="825512" spans="1:1" x14ac:dyDescent="0.25">
      <c r="A825512" s="242"/>
    </row>
    <row r="825513" spans="1:1" x14ac:dyDescent="0.25">
      <c r="A825513" s="242"/>
    </row>
    <row r="825514" spans="1:1" x14ac:dyDescent="0.25">
      <c r="A825514" s="242"/>
    </row>
    <row r="825515" spans="1:1" x14ac:dyDescent="0.25">
      <c r="A825515" s="242"/>
    </row>
    <row r="825516" spans="1:1" x14ac:dyDescent="0.25">
      <c r="A825516" s="242"/>
    </row>
    <row r="825517" spans="1:1" x14ac:dyDescent="0.25">
      <c r="A825517" s="242"/>
    </row>
    <row r="825518" spans="1:1" x14ac:dyDescent="0.25">
      <c r="A825518" s="242"/>
    </row>
    <row r="825519" spans="1:1" x14ac:dyDescent="0.25">
      <c r="A825519" s="242"/>
    </row>
    <row r="825520" spans="1:1" x14ac:dyDescent="0.25">
      <c r="A825520" s="242"/>
    </row>
    <row r="825521" spans="1:1" x14ac:dyDescent="0.25">
      <c r="A825521" s="242"/>
    </row>
    <row r="825522" spans="1:1" x14ac:dyDescent="0.25">
      <c r="A825522" s="242"/>
    </row>
    <row r="825523" spans="1:1" x14ac:dyDescent="0.25">
      <c r="A825523" s="242"/>
    </row>
    <row r="825524" spans="1:1" x14ac:dyDescent="0.25">
      <c r="A825524" s="242"/>
    </row>
    <row r="825525" spans="1:1" x14ac:dyDescent="0.25">
      <c r="A825525" s="242"/>
    </row>
    <row r="825526" spans="1:1" x14ac:dyDescent="0.25">
      <c r="A825526" s="242"/>
    </row>
    <row r="825527" spans="1:1" x14ac:dyDescent="0.25">
      <c r="A825527" s="242"/>
    </row>
    <row r="825528" spans="1:1" x14ac:dyDescent="0.25">
      <c r="A825528" s="242"/>
    </row>
    <row r="825529" spans="1:1" x14ac:dyDescent="0.25">
      <c r="A825529" s="242"/>
    </row>
    <row r="825530" spans="1:1" x14ac:dyDescent="0.25">
      <c r="A825530" s="242"/>
    </row>
    <row r="825531" spans="1:1" x14ac:dyDescent="0.25">
      <c r="A825531" s="242"/>
    </row>
    <row r="825532" spans="1:1" x14ac:dyDescent="0.25">
      <c r="A825532" s="242"/>
    </row>
    <row r="825533" spans="1:1" x14ac:dyDescent="0.25">
      <c r="A825533" s="242"/>
    </row>
    <row r="825534" spans="1:1" x14ac:dyDescent="0.25">
      <c r="A825534" s="242"/>
    </row>
    <row r="825535" spans="1:1" x14ac:dyDescent="0.25">
      <c r="A825535" s="242"/>
    </row>
    <row r="825536" spans="1:1" x14ac:dyDescent="0.25">
      <c r="A825536" s="242"/>
    </row>
    <row r="825537" spans="1:1" x14ac:dyDescent="0.25">
      <c r="A825537" s="242"/>
    </row>
    <row r="825538" spans="1:1" x14ac:dyDescent="0.25">
      <c r="A825538" s="242"/>
    </row>
    <row r="825539" spans="1:1" x14ac:dyDescent="0.25">
      <c r="A825539" s="242"/>
    </row>
    <row r="825540" spans="1:1" x14ac:dyDescent="0.25">
      <c r="A825540" s="242"/>
    </row>
    <row r="825541" spans="1:1" x14ac:dyDescent="0.25">
      <c r="A825541" s="242"/>
    </row>
    <row r="825542" spans="1:1" x14ac:dyDescent="0.25">
      <c r="A825542" s="242"/>
    </row>
    <row r="825543" spans="1:1" x14ac:dyDescent="0.25">
      <c r="A825543" s="242"/>
    </row>
    <row r="825544" spans="1:1" x14ac:dyDescent="0.25">
      <c r="A825544" s="242"/>
    </row>
    <row r="825545" spans="1:1" x14ac:dyDescent="0.25">
      <c r="A825545" s="242"/>
    </row>
    <row r="825546" spans="1:1" x14ac:dyDescent="0.25">
      <c r="A825546" s="242"/>
    </row>
    <row r="825547" spans="1:1" x14ac:dyDescent="0.25">
      <c r="A825547" s="242"/>
    </row>
    <row r="825548" spans="1:1" x14ac:dyDescent="0.25">
      <c r="A825548" s="242"/>
    </row>
    <row r="825549" spans="1:1" x14ac:dyDescent="0.25">
      <c r="A825549" s="242"/>
    </row>
    <row r="825550" spans="1:1" x14ac:dyDescent="0.25">
      <c r="A825550" s="242"/>
    </row>
    <row r="825551" spans="1:1" x14ac:dyDescent="0.25">
      <c r="A825551" s="242"/>
    </row>
    <row r="825552" spans="1:1" x14ac:dyDescent="0.25">
      <c r="A825552" s="242"/>
    </row>
    <row r="825553" spans="1:1" x14ac:dyDescent="0.25">
      <c r="A825553" s="242"/>
    </row>
    <row r="825554" spans="1:1" x14ac:dyDescent="0.25">
      <c r="A825554" s="242"/>
    </row>
    <row r="825555" spans="1:1" x14ac:dyDescent="0.25">
      <c r="A825555" s="242"/>
    </row>
    <row r="825556" spans="1:1" x14ac:dyDescent="0.25">
      <c r="A825556" s="242"/>
    </row>
    <row r="825557" spans="1:1" x14ac:dyDescent="0.25">
      <c r="A825557" s="242"/>
    </row>
    <row r="825558" spans="1:1" x14ac:dyDescent="0.25">
      <c r="A825558" s="242"/>
    </row>
    <row r="825559" spans="1:1" x14ac:dyDescent="0.25">
      <c r="A825559" s="242"/>
    </row>
    <row r="825560" spans="1:1" x14ac:dyDescent="0.25">
      <c r="A825560" s="242"/>
    </row>
    <row r="825561" spans="1:1" x14ac:dyDescent="0.25">
      <c r="A825561" s="242"/>
    </row>
    <row r="825562" spans="1:1" x14ac:dyDescent="0.25">
      <c r="A825562" s="242"/>
    </row>
    <row r="825563" spans="1:1" x14ac:dyDescent="0.25">
      <c r="A825563" s="242"/>
    </row>
    <row r="825564" spans="1:1" x14ac:dyDescent="0.25">
      <c r="A825564" s="242"/>
    </row>
    <row r="825565" spans="1:1" x14ac:dyDescent="0.25">
      <c r="A825565" s="242"/>
    </row>
    <row r="825566" spans="1:1" x14ac:dyDescent="0.25">
      <c r="A825566" s="242"/>
    </row>
    <row r="825567" spans="1:1" x14ac:dyDescent="0.25">
      <c r="A825567" s="242"/>
    </row>
    <row r="825568" spans="1:1" x14ac:dyDescent="0.25">
      <c r="A825568" s="242"/>
    </row>
    <row r="825569" spans="1:1" x14ac:dyDescent="0.25">
      <c r="A825569" s="242"/>
    </row>
    <row r="825570" spans="1:1" x14ac:dyDescent="0.25">
      <c r="A825570" s="242"/>
    </row>
    <row r="825571" spans="1:1" x14ac:dyDescent="0.25">
      <c r="A825571" s="242"/>
    </row>
    <row r="825572" spans="1:1" x14ac:dyDescent="0.25">
      <c r="A825572" s="242"/>
    </row>
    <row r="825573" spans="1:1" x14ac:dyDescent="0.25">
      <c r="A825573" s="242"/>
    </row>
    <row r="825574" spans="1:1" x14ac:dyDescent="0.25">
      <c r="A825574" s="242"/>
    </row>
    <row r="825575" spans="1:1" x14ac:dyDescent="0.25">
      <c r="A825575" s="242"/>
    </row>
    <row r="825576" spans="1:1" x14ac:dyDescent="0.25">
      <c r="A825576" s="242"/>
    </row>
    <row r="825577" spans="1:1" x14ac:dyDescent="0.25">
      <c r="A825577" s="242"/>
    </row>
    <row r="825578" spans="1:1" x14ac:dyDescent="0.25">
      <c r="A825578" s="242"/>
    </row>
    <row r="825579" spans="1:1" x14ac:dyDescent="0.25">
      <c r="A825579" s="242"/>
    </row>
    <row r="825580" spans="1:1" x14ac:dyDescent="0.25">
      <c r="A825580" s="242"/>
    </row>
    <row r="825581" spans="1:1" x14ac:dyDescent="0.25">
      <c r="A825581" s="242"/>
    </row>
    <row r="825582" spans="1:1" x14ac:dyDescent="0.25">
      <c r="A825582" s="242"/>
    </row>
    <row r="825583" spans="1:1" x14ac:dyDescent="0.25">
      <c r="A825583" s="242"/>
    </row>
    <row r="825584" spans="1:1" x14ac:dyDescent="0.25">
      <c r="A825584" s="242"/>
    </row>
    <row r="825585" spans="1:1" x14ac:dyDescent="0.25">
      <c r="A825585" s="242"/>
    </row>
    <row r="825586" spans="1:1" x14ac:dyDescent="0.25">
      <c r="A825586" s="242"/>
    </row>
    <row r="825587" spans="1:1" x14ac:dyDescent="0.25">
      <c r="A825587" s="242"/>
    </row>
    <row r="825588" spans="1:1" x14ac:dyDescent="0.25">
      <c r="A825588" s="242"/>
    </row>
    <row r="825589" spans="1:1" x14ac:dyDescent="0.25">
      <c r="A825589" s="242"/>
    </row>
    <row r="825590" spans="1:1" x14ac:dyDescent="0.25">
      <c r="A825590" s="242"/>
    </row>
    <row r="825591" spans="1:1" x14ac:dyDescent="0.25">
      <c r="A825591" s="242"/>
    </row>
    <row r="825592" spans="1:1" x14ac:dyDescent="0.25">
      <c r="A825592" s="242"/>
    </row>
    <row r="825593" spans="1:1" x14ac:dyDescent="0.25">
      <c r="A825593" s="242"/>
    </row>
    <row r="825594" spans="1:1" x14ac:dyDescent="0.25">
      <c r="A825594" s="242"/>
    </row>
    <row r="825595" spans="1:1" x14ac:dyDescent="0.25">
      <c r="A825595" s="242"/>
    </row>
    <row r="825596" spans="1:1" x14ac:dyDescent="0.25">
      <c r="A825596" s="242"/>
    </row>
    <row r="825597" spans="1:1" x14ac:dyDescent="0.25">
      <c r="A825597" s="242"/>
    </row>
    <row r="825598" spans="1:1" x14ac:dyDescent="0.25">
      <c r="A825598" s="242"/>
    </row>
    <row r="825599" spans="1:1" x14ac:dyDescent="0.25">
      <c r="A825599" s="242"/>
    </row>
    <row r="825600" spans="1:1" x14ac:dyDescent="0.25">
      <c r="A825600" s="242"/>
    </row>
    <row r="825601" spans="1:1" x14ac:dyDescent="0.25">
      <c r="A825601" s="242"/>
    </row>
    <row r="825602" spans="1:1" x14ac:dyDescent="0.25">
      <c r="A825602" s="242"/>
    </row>
    <row r="825603" spans="1:1" x14ac:dyDescent="0.25">
      <c r="A825603" s="242"/>
    </row>
    <row r="825604" spans="1:1" x14ac:dyDescent="0.25">
      <c r="A825604" s="242"/>
    </row>
    <row r="825605" spans="1:1" x14ac:dyDescent="0.25">
      <c r="A825605" s="242"/>
    </row>
    <row r="825606" spans="1:1" x14ac:dyDescent="0.25">
      <c r="A825606" s="242"/>
    </row>
    <row r="825607" spans="1:1" x14ac:dyDescent="0.25">
      <c r="A825607" s="242"/>
    </row>
    <row r="825608" spans="1:1" x14ac:dyDescent="0.25">
      <c r="A825608" s="242"/>
    </row>
    <row r="825609" spans="1:1" x14ac:dyDescent="0.25">
      <c r="A825609" s="242"/>
    </row>
    <row r="825610" spans="1:1" x14ac:dyDescent="0.25">
      <c r="A825610" s="242"/>
    </row>
    <row r="825611" spans="1:1" x14ac:dyDescent="0.25">
      <c r="A825611" s="242"/>
    </row>
    <row r="825612" spans="1:1" x14ac:dyDescent="0.25">
      <c r="A825612" s="242"/>
    </row>
    <row r="825613" spans="1:1" x14ac:dyDescent="0.25">
      <c r="A825613" s="242"/>
    </row>
    <row r="825614" spans="1:1" x14ac:dyDescent="0.25">
      <c r="A825614" s="242"/>
    </row>
    <row r="825615" spans="1:1" x14ac:dyDescent="0.25">
      <c r="A825615" s="242"/>
    </row>
    <row r="825616" spans="1:1" x14ac:dyDescent="0.25">
      <c r="A825616" s="242"/>
    </row>
    <row r="825617" spans="1:1" x14ac:dyDescent="0.25">
      <c r="A825617" s="242"/>
    </row>
    <row r="825618" spans="1:1" x14ac:dyDescent="0.25">
      <c r="A825618" s="242"/>
    </row>
    <row r="825619" spans="1:1" x14ac:dyDescent="0.25">
      <c r="A825619" s="242"/>
    </row>
    <row r="825620" spans="1:1" x14ac:dyDescent="0.25">
      <c r="A825620" s="242"/>
    </row>
    <row r="825621" spans="1:1" x14ac:dyDescent="0.25">
      <c r="A825621" s="242"/>
    </row>
    <row r="825622" spans="1:1" x14ac:dyDescent="0.25">
      <c r="A825622" s="242"/>
    </row>
    <row r="825623" spans="1:1" x14ac:dyDescent="0.25">
      <c r="A825623" s="242"/>
    </row>
    <row r="825624" spans="1:1" x14ac:dyDescent="0.25">
      <c r="A825624" s="242"/>
    </row>
    <row r="825625" spans="1:1" x14ac:dyDescent="0.25">
      <c r="A825625" s="242"/>
    </row>
    <row r="825626" spans="1:1" x14ac:dyDescent="0.25">
      <c r="A825626" s="242"/>
    </row>
    <row r="825627" spans="1:1" x14ac:dyDescent="0.25">
      <c r="A825627" s="242"/>
    </row>
    <row r="825628" spans="1:1" x14ac:dyDescent="0.25">
      <c r="A825628" s="242"/>
    </row>
    <row r="825629" spans="1:1" x14ac:dyDescent="0.25">
      <c r="A825629" s="242"/>
    </row>
    <row r="825630" spans="1:1" x14ac:dyDescent="0.25">
      <c r="A825630" s="242"/>
    </row>
    <row r="825631" spans="1:1" x14ac:dyDescent="0.25">
      <c r="A825631" s="242"/>
    </row>
    <row r="825632" spans="1:1" x14ac:dyDescent="0.25">
      <c r="A825632" s="242"/>
    </row>
    <row r="825633" spans="1:1" x14ac:dyDescent="0.25">
      <c r="A825633" s="242"/>
    </row>
    <row r="825634" spans="1:1" x14ac:dyDescent="0.25">
      <c r="A825634" s="242"/>
    </row>
    <row r="825635" spans="1:1" x14ac:dyDescent="0.25">
      <c r="A825635" s="242"/>
    </row>
    <row r="825636" spans="1:1" x14ac:dyDescent="0.25">
      <c r="A825636" s="242"/>
    </row>
    <row r="825637" spans="1:1" x14ac:dyDescent="0.25">
      <c r="A825637" s="242"/>
    </row>
    <row r="825638" spans="1:1" x14ac:dyDescent="0.25">
      <c r="A825638" s="242"/>
    </row>
    <row r="825639" spans="1:1" x14ac:dyDescent="0.25">
      <c r="A825639" s="242"/>
    </row>
    <row r="825640" spans="1:1" x14ac:dyDescent="0.25">
      <c r="A825640" s="242"/>
    </row>
    <row r="825641" spans="1:1" x14ac:dyDescent="0.25">
      <c r="A825641" s="242"/>
    </row>
    <row r="825642" spans="1:1" x14ac:dyDescent="0.25">
      <c r="A825642" s="242"/>
    </row>
    <row r="825643" spans="1:1" x14ac:dyDescent="0.25">
      <c r="A825643" s="242"/>
    </row>
    <row r="825644" spans="1:1" x14ac:dyDescent="0.25">
      <c r="A825644" s="242"/>
    </row>
    <row r="825645" spans="1:1" x14ac:dyDescent="0.25">
      <c r="A825645" s="242"/>
    </row>
    <row r="825646" spans="1:1" x14ac:dyDescent="0.25">
      <c r="A825646" s="242"/>
    </row>
    <row r="825647" spans="1:1" x14ac:dyDescent="0.25">
      <c r="A825647" s="242"/>
    </row>
    <row r="825648" spans="1:1" x14ac:dyDescent="0.25">
      <c r="A825648" s="242"/>
    </row>
    <row r="825649" spans="1:1" x14ac:dyDescent="0.25">
      <c r="A825649" s="242"/>
    </row>
    <row r="825650" spans="1:1" x14ac:dyDescent="0.25">
      <c r="A825650" s="242"/>
    </row>
    <row r="825651" spans="1:1" x14ac:dyDescent="0.25">
      <c r="A825651" s="242"/>
    </row>
    <row r="825652" spans="1:1" x14ac:dyDescent="0.25">
      <c r="A825652" s="242"/>
    </row>
    <row r="825653" spans="1:1" x14ac:dyDescent="0.25">
      <c r="A825653" s="242"/>
    </row>
    <row r="825654" spans="1:1" x14ac:dyDescent="0.25">
      <c r="A825654" s="242"/>
    </row>
    <row r="825655" spans="1:1" x14ac:dyDescent="0.25">
      <c r="A825655" s="242"/>
    </row>
    <row r="825656" spans="1:1" x14ac:dyDescent="0.25">
      <c r="A825656" s="242"/>
    </row>
    <row r="825657" spans="1:1" x14ac:dyDescent="0.25">
      <c r="A825657" s="242"/>
    </row>
    <row r="825658" spans="1:1" x14ac:dyDescent="0.25">
      <c r="A825658" s="242"/>
    </row>
    <row r="825659" spans="1:1" x14ac:dyDescent="0.25">
      <c r="A825659" s="242"/>
    </row>
    <row r="825660" spans="1:1" x14ac:dyDescent="0.25">
      <c r="A825660" s="242"/>
    </row>
    <row r="825661" spans="1:1" x14ac:dyDescent="0.25">
      <c r="A825661" s="242"/>
    </row>
    <row r="825662" spans="1:1" x14ac:dyDescent="0.25">
      <c r="A825662" s="242"/>
    </row>
    <row r="825663" spans="1:1" x14ac:dyDescent="0.25">
      <c r="A825663" s="242"/>
    </row>
    <row r="825664" spans="1:1" x14ac:dyDescent="0.25">
      <c r="A825664" s="242"/>
    </row>
    <row r="825665" spans="1:1" x14ac:dyDescent="0.25">
      <c r="A825665" s="242"/>
    </row>
    <row r="825666" spans="1:1" x14ac:dyDescent="0.25">
      <c r="A825666" s="242"/>
    </row>
    <row r="825667" spans="1:1" x14ac:dyDescent="0.25">
      <c r="A825667" s="242"/>
    </row>
    <row r="825668" spans="1:1" x14ac:dyDescent="0.25">
      <c r="A825668" s="242"/>
    </row>
    <row r="825669" spans="1:1" x14ac:dyDescent="0.25">
      <c r="A825669" s="242"/>
    </row>
    <row r="825670" spans="1:1" x14ac:dyDescent="0.25">
      <c r="A825670" s="242"/>
    </row>
    <row r="825671" spans="1:1" x14ac:dyDescent="0.25">
      <c r="A825671" s="242"/>
    </row>
    <row r="825672" spans="1:1" x14ac:dyDescent="0.25">
      <c r="A825672" s="242"/>
    </row>
    <row r="825673" spans="1:1" x14ac:dyDescent="0.25">
      <c r="A825673" s="242"/>
    </row>
    <row r="825674" spans="1:1" x14ac:dyDescent="0.25">
      <c r="A825674" s="242"/>
    </row>
    <row r="825675" spans="1:1" x14ac:dyDescent="0.25">
      <c r="A825675" s="242"/>
    </row>
    <row r="825676" spans="1:1" x14ac:dyDescent="0.25">
      <c r="A825676" s="242"/>
    </row>
    <row r="825677" spans="1:1" x14ac:dyDescent="0.25">
      <c r="A825677" s="242"/>
    </row>
    <row r="825678" spans="1:1" x14ac:dyDescent="0.25">
      <c r="A825678" s="242"/>
    </row>
    <row r="825679" spans="1:1" x14ac:dyDescent="0.25">
      <c r="A825679" s="242"/>
    </row>
    <row r="825680" spans="1:1" x14ac:dyDescent="0.25">
      <c r="A825680" s="242"/>
    </row>
    <row r="825681" spans="1:1" x14ac:dyDescent="0.25">
      <c r="A825681" s="242"/>
    </row>
    <row r="825682" spans="1:1" x14ac:dyDescent="0.25">
      <c r="A825682" s="242"/>
    </row>
    <row r="825683" spans="1:1" x14ac:dyDescent="0.25">
      <c r="A825683" s="242"/>
    </row>
    <row r="825684" spans="1:1" x14ac:dyDescent="0.25">
      <c r="A825684" s="242"/>
    </row>
    <row r="825685" spans="1:1" x14ac:dyDescent="0.25">
      <c r="A825685" s="242"/>
    </row>
    <row r="825686" spans="1:1" x14ac:dyDescent="0.25">
      <c r="A825686" s="242"/>
    </row>
    <row r="825687" spans="1:1" x14ac:dyDescent="0.25">
      <c r="A825687" s="242"/>
    </row>
    <row r="825688" spans="1:1" x14ac:dyDescent="0.25">
      <c r="A825688" s="242"/>
    </row>
    <row r="825689" spans="1:1" x14ac:dyDescent="0.25">
      <c r="A825689" s="242"/>
    </row>
    <row r="825690" spans="1:1" x14ac:dyDescent="0.25">
      <c r="A825690" s="242"/>
    </row>
    <row r="825691" spans="1:1" x14ac:dyDescent="0.25">
      <c r="A825691" s="242"/>
    </row>
    <row r="825692" spans="1:1" x14ac:dyDescent="0.25">
      <c r="A825692" s="242"/>
    </row>
    <row r="825693" spans="1:1" x14ac:dyDescent="0.25">
      <c r="A825693" s="242"/>
    </row>
    <row r="825694" spans="1:1" x14ac:dyDescent="0.25">
      <c r="A825694" s="242"/>
    </row>
    <row r="825695" spans="1:1" x14ac:dyDescent="0.25">
      <c r="A825695" s="242"/>
    </row>
    <row r="825696" spans="1:1" x14ac:dyDescent="0.25">
      <c r="A825696" s="242"/>
    </row>
    <row r="825697" spans="1:1" x14ac:dyDescent="0.25">
      <c r="A825697" s="242"/>
    </row>
    <row r="825698" spans="1:1" x14ac:dyDescent="0.25">
      <c r="A825698" s="242"/>
    </row>
    <row r="825699" spans="1:1" x14ac:dyDescent="0.25">
      <c r="A825699" s="242"/>
    </row>
    <row r="825700" spans="1:1" x14ac:dyDescent="0.25">
      <c r="A825700" s="242"/>
    </row>
    <row r="825701" spans="1:1" x14ac:dyDescent="0.25">
      <c r="A825701" s="242"/>
    </row>
    <row r="825702" spans="1:1" x14ac:dyDescent="0.25">
      <c r="A825702" s="242"/>
    </row>
    <row r="825703" spans="1:1" x14ac:dyDescent="0.25">
      <c r="A825703" s="242"/>
    </row>
    <row r="825704" spans="1:1" x14ac:dyDescent="0.25">
      <c r="A825704" s="242"/>
    </row>
    <row r="825705" spans="1:1" x14ac:dyDescent="0.25">
      <c r="A825705" s="242"/>
    </row>
    <row r="825706" spans="1:1" x14ac:dyDescent="0.25">
      <c r="A825706" s="242"/>
    </row>
    <row r="825707" spans="1:1" x14ac:dyDescent="0.25">
      <c r="A825707" s="242"/>
    </row>
    <row r="825708" spans="1:1" x14ac:dyDescent="0.25">
      <c r="A825708" s="242"/>
    </row>
    <row r="825709" spans="1:1" x14ac:dyDescent="0.25">
      <c r="A825709" s="242"/>
    </row>
    <row r="825710" spans="1:1" x14ac:dyDescent="0.25">
      <c r="A825710" s="242"/>
    </row>
    <row r="825711" spans="1:1" x14ac:dyDescent="0.25">
      <c r="A825711" s="242"/>
    </row>
    <row r="825712" spans="1:1" x14ac:dyDescent="0.25">
      <c r="A825712" s="242"/>
    </row>
    <row r="825713" spans="1:1" x14ac:dyDescent="0.25">
      <c r="A825713" s="242"/>
    </row>
    <row r="825714" spans="1:1" x14ac:dyDescent="0.25">
      <c r="A825714" s="242"/>
    </row>
    <row r="825715" spans="1:1" x14ac:dyDescent="0.25">
      <c r="A825715" s="242"/>
    </row>
    <row r="825716" spans="1:1" x14ac:dyDescent="0.25">
      <c r="A825716" s="242"/>
    </row>
    <row r="825717" spans="1:1" x14ac:dyDescent="0.25">
      <c r="A825717" s="242"/>
    </row>
    <row r="825718" spans="1:1" x14ac:dyDescent="0.25">
      <c r="A825718" s="242"/>
    </row>
    <row r="825719" spans="1:1" x14ac:dyDescent="0.25">
      <c r="A825719" s="242"/>
    </row>
    <row r="825720" spans="1:1" x14ac:dyDescent="0.25">
      <c r="A825720" s="242"/>
    </row>
    <row r="825721" spans="1:1" x14ac:dyDescent="0.25">
      <c r="A825721" s="242"/>
    </row>
    <row r="825722" spans="1:1" x14ac:dyDescent="0.25">
      <c r="A825722" s="242"/>
    </row>
    <row r="825723" spans="1:1" x14ac:dyDescent="0.25">
      <c r="A825723" s="242"/>
    </row>
    <row r="825724" spans="1:1" x14ac:dyDescent="0.25">
      <c r="A825724" s="242"/>
    </row>
    <row r="825725" spans="1:1" x14ac:dyDescent="0.25">
      <c r="A825725" s="242"/>
    </row>
    <row r="825726" spans="1:1" x14ac:dyDescent="0.25">
      <c r="A825726" s="242"/>
    </row>
    <row r="825727" spans="1:1" x14ac:dyDescent="0.25">
      <c r="A825727" s="242"/>
    </row>
    <row r="825728" spans="1:1" x14ac:dyDescent="0.25">
      <c r="A825728" s="242"/>
    </row>
    <row r="825729" spans="1:1" x14ac:dyDescent="0.25">
      <c r="A825729" s="242"/>
    </row>
    <row r="825730" spans="1:1" x14ac:dyDescent="0.25">
      <c r="A825730" s="242"/>
    </row>
    <row r="825731" spans="1:1" x14ac:dyDescent="0.25">
      <c r="A825731" s="242"/>
    </row>
    <row r="825732" spans="1:1" x14ac:dyDescent="0.25">
      <c r="A825732" s="242"/>
    </row>
    <row r="825733" spans="1:1" x14ac:dyDescent="0.25">
      <c r="A825733" s="242"/>
    </row>
    <row r="825734" spans="1:1" x14ac:dyDescent="0.25">
      <c r="A825734" s="242"/>
    </row>
    <row r="825735" spans="1:1" x14ac:dyDescent="0.25">
      <c r="A825735" s="242"/>
    </row>
    <row r="825736" spans="1:1" x14ac:dyDescent="0.25">
      <c r="A825736" s="242"/>
    </row>
    <row r="825737" spans="1:1" x14ac:dyDescent="0.25">
      <c r="A825737" s="242"/>
    </row>
    <row r="825738" spans="1:1" x14ac:dyDescent="0.25">
      <c r="A825738" s="242"/>
    </row>
    <row r="825739" spans="1:1" x14ac:dyDescent="0.25">
      <c r="A825739" s="242"/>
    </row>
    <row r="825740" spans="1:1" x14ac:dyDescent="0.25">
      <c r="A825740" s="242"/>
    </row>
    <row r="825741" spans="1:1" x14ac:dyDescent="0.25">
      <c r="A825741" s="242"/>
    </row>
    <row r="825742" spans="1:1" x14ac:dyDescent="0.25">
      <c r="A825742" s="242"/>
    </row>
    <row r="825743" spans="1:1" x14ac:dyDescent="0.25">
      <c r="A825743" s="242"/>
    </row>
    <row r="825744" spans="1:1" x14ac:dyDescent="0.25">
      <c r="A825744" s="242"/>
    </row>
    <row r="825745" spans="1:1" x14ac:dyDescent="0.25">
      <c r="A825745" s="242"/>
    </row>
    <row r="825746" spans="1:1" x14ac:dyDescent="0.25">
      <c r="A825746" s="242"/>
    </row>
    <row r="825747" spans="1:1" x14ac:dyDescent="0.25">
      <c r="A825747" s="242"/>
    </row>
    <row r="825748" spans="1:1" x14ac:dyDescent="0.25">
      <c r="A825748" s="242"/>
    </row>
    <row r="825749" spans="1:1" x14ac:dyDescent="0.25">
      <c r="A825749" s="242"/>
    </row>
    <row r="825750" spans="1:1" x14ac:dyDescent="0.25">
      <c r="A825750" s="242"/>
    </row>
    <row r="825751" spans="1:1" x14ac:dyDescent="0.25">
      <c r="A825751" s="242"/>
    </row>
    <row r="825752" spans="1:1" x14ac:dyDescent="0.25">
      <c r="A825752" s="242"/>
    </row>
    <row r="825753" spans="1:1" x14ac:dyDescent="0.25">
      <c r="A825753" s="242"/>
    </row>
    <row r="825754" spans="1:1" x14ac:dyDescent="0.25">
      <c r="A825754" s="242"/>
    </row>
    <row r="825755" spans="1:1" x14ac:dyDescent="0.25">
      <c r="A825755" s="242"/>
    </row>
    <row r="825756" spans="1:1" x14ac:dyDescent="0.25">
      <c r="A825756" s="242"/>
    </row>
    <row r="825757" spans="1:1" x14ac:dyDescent="0.25">
      <c r="A825757" s="242"/>
    </row>
    <row r="825758" spans="1:1" x14ac:dyDescent="0.25">
      <c r="A825758" s="242"/>
    </row>
    <row r="825759" spans="1:1" x14ac:dyDescent="0.25">
      <c r="A825759" s="242"/>
    </row>
    <row r="825760" spans="1:1" x14ac:dyDescent="0.25">
      <c r="A825760" s="242"/>
    </row>
    <row r="825761" spans="1:1" x14ac:dyDescent="0.25">
      <c r="A825761" s="242"/>
    </row>
    <row r="825762" spans="1:1" x14ac:dyDescent="0.25">
      <c r="A825762" s="242"/>
    </row>
    <row r="825763" spans="1:1" x14ac:dyDescent="0.25">
      <c r="A825763" s="242"/>
    </row>
    <row r="825764" spans="1:1" x14ac:dyDescent="0.25">
      <c r="A825764" s="242"/>
    </row>
    <row r="825765" spans="1:1" x14ac:dyDescent="0.25">
      <c r="A825765" s="242"/>
    </row>
    <row r="825766" spans="1:1" x14ac:dyDescent="0.25">
      <c r="A825766" s="242"/>
    </row>
    <row r="825767" spans="1:1" x14ac:dyDescent="0.25">
      <c r="A825767" s="242"/>
    </row>
    <row r="825768" spans="1:1" x14ac:dyDescent="0.25">
      <c r="A825768" s="242"/>
    </row>
    <row r="825769" spans="1:1" x14ac:dyDescent="0.25">
      <c r="A825769" s="242"/>
    </row>
    <row r="825770" spans="1:1" x14ac:dyDescent="0.25">
      <c r="A825770" s="242"/>
    </row>
    <row r="825771" spans="1:1" x14ac:dyDescent="0.25">
      <c r="A825771" s="242"/>
    </row>
    <row r="825772" spans="1:1" x14ac:dyDescent="0.25">
      <c r="A825772" s="242"/>
    </row>
    <row r="825773" spans="1:1" x14ac:dyDescent="0.25">
      <c r="A825773" s="242"/>
    </row>
    <row r="825774" spans="1:1" x14ac:dyDescent="0.25">
      <c r="A825774" s="242"/>
    </row>
    <row r="825775" spans="1:1" x14ac:dyDescent="0.25">
      <c r="A825775" s="242"/>
    </row>
    <row r="825776" spans="1:1" x14ac:dyDescent="0.25">
      <c r="A825776" s="242"/>
    </row>
    <row r="825777" spans="1:1" x14ac:dyDescent="0.25">
      <c r="A825777" s="242"/>
    </row>
    <row r="825778" spans="1:1" x14ac:dyDescent="0.25">
      <c r="A825778" s="242"/>
    </row>
    <row r="825779" spans="1:1" x14ac:dyDescent="0.25">
      <c r="A825779" s="242"/>
    </row>
    <row r="825780" spans="1:1" x14ac:dyDescent="0.25">
      <c r="A825780" s="242"/>
    </row>
    <row r="825781" spans="1:1" x14ac:dyDescent="0.25">
      <c r="A825781" s="242"/>
    </row>
    <row r="825782" spans="1:1" x14ac:dyDescent="0.25">
      <c r="A825782" s="242"/>
    </row>
    <row r="825783" spans="1:1" x14ac:dyDescent="0.25">
      <c r="A825783" s="242"/>
    </row>
    <row r="825784" spans="1:1" x14ac:dyDescent="0.25">
      <c r="A825784" s="242"/>
    </row>
    <row r="825785" spans="1:1" x14ac:dyDescent="0.25">
      <c r="A825785" s="242"/>
    </row>
    <row r="825786" spans="1:1" x14ac:dyDescent="0.25">
      <c r="A825786" s="242"/>
    </row>
    <row r="825787" spans="1:1" x14ac:dyDescent="0.25">
      <c r="A825787" s="242"/>
    </row>
    <row r="825788" spans="1:1" x14ac:dyDescent="0.25">
      <c r="A825788" s="242"/>
    </row>
    <row r="825789" spans="1:1" x14ac:dyDescent="0.25">
      <c r="A825789" s="242"/>
    </row>
    <row r="825790" spans="1:1" x14ac:dyDescent="0.25">
      <c r="A825790" s="242"/>
    </row>
    <row r="825791" spans="1:1" x14ac:dyDescent="0.25">
      <c r="A825791" s="242"/>
    </row>
    <row r="825792" spans="1:1" x14ac:dyDescent="0.25">
      <c r="A825792" s="242"/>
    </row>
    <row r="825793" spans="1:1" x14ac:dyDescent="0.25">
      <c r="A825793" s="242"/>
    </row>
    <row r="825794" spans="1:1" x14ac:dyDescent="0.25">
      <c r="A825794" s="242"/>
    </row>
    <row r="825795" spans="1:1" x14ac:dyDescent="0.25">
      <c r="A825795" s="242"/>
    </row>
    <row r="825796" spans="1:1" x14ac:dyDescent="0.25">
      <c r="A825796" s="242"/>
    </row>
    <row r="825797" spans="1:1" x14ac:dyDescent="0.25">
      <c r="A825797" s="242"/>
    </row>
    <row r="825798" spans="1:1" x14ac:dyDescent="0.25">
      <c r="A825798" s="242"/>
    </row>
    <row r="825799" spans="1:1" x14ac:dyDescent="0.25">
      <c r="A825799" s="242"/>
    </row>
    <row r="825800" spans="1:1" x14ac:dyDescent="0.25">
      <c r="A825800" s="242"/>
    </row>
    <row r="825801" spans="1:1" x14ac:dyDescent="0.25">
      <c r="A825801" s="242"/>
    </row>
    <row r="825802" spans="1:1" x14ac:dyDescent="0.25">
      <c r="A825802" s="242"/>
    </row>
    <row r="825803" spans="1:1" x14ac:dyDescent="0.25">
      <c r="A825803" s="242"/>
    </row>
    <row r="825804" spans="1:1" x14ac:dyDescent="0.25">
      <c r="A825804" s="242"/>
    </row>
    <row r="825805" spans="1:1" x14ac:dyDescent="0.25">
      <c r="A825805" s="242"/>
    </row>
    <row r="825806" spans="1:1" x14ac:dyDescent="0.25">
      <c r="A825806" s="242"/>
    </row>
    <row r="825807" spans="1:1" x14ac:dyDescent="0.25">
      <c r="A825807" s="242"/>
    </row>
    <row r="825808" spans="1:1" x14ac:dyDescent="0.25">
      <c r="A825808" s="242"/>
    </row>
    <row r="825809" spans="1:1" x14ac:dyDescent="0.25">
      <c r="A825809" s="242"/>
    </row>
    <row r="825810" spans="1:1" x14ac:dyDescent="0.25">
      <c r="A825810" s="242"/>
    </row>
    <row r="825811" spans="1:1" x14ac:dyDescent="0.25">
      <c r="A825811" s="242"/>
    </row>
    <row r="825812" spans="1:1" x14ac:dyDescent="0.25">
      <c r="A825812" s="242"/>
    </row>
    <row r="825813" spans="1:1" x14ac:dyDescent="0.25">
      <c r="A825813" s="242"/>
    </row>
    <row r="825814" spans="1:1" x14ac:dyDescent="0.25">
      <c r="A825814" s="242"/>
    </row>
    <row r="825815" spans="1:1" x14ac:dyDescent="0.25">
      <c r="A825815" s="242"/>
    </row>
    <row r="825816" spans="1:1" x14ac:dyDescent="0.25">
      <c r="A825816" s="242"/>
    </row>
    <row r="825817" spans="1:1" x14ac:dyDescent="0.25">
      <c r="A825817" s="242"/>
    </row>
    <row r="825818" spans="1:1" x14ac:dyDescent="0.25">
      <c r="A825818" s="242"/>
    </row>
    <row r="825819" spans="1:1" x14ac:dyDescent="0.25">
      <c r="A825819" s="242"/>
    </row>
    <row r="825820" spans="1:1" x14ac:dyDescent="0.25">
      <c r="A825820" s="242"/>
    </row>
    <row r="825821" spans="1:1" x14ac:dyDescent="0.25">
      <c r="A825821" s="242"/>
    </row>
    <row r="825822" spans="1:1" x14ac:dyDescent="0.25">
      <c r="A825822" s="242"/>
    </row>
    <row r="825823" spans="1:1" x14ac:dyDescent="0.25">
      <c r="A825823" s="242"/>
    </row>
    <row r="825824" spans="1:1" x14ac:dyDescent="0.25">
      <c r="A825824" s="242"/>
    </row>
    <row r="825825" spans="1:1" x14ac:dyDescent="0.25">
      <c r="A825825" s="242"/>
    </row>
    <row r="825826" spans="1:1" x14ac:dyDescent="0.25">
      <c r="A825826" s="242"/>
    </row>
    <row r="825827" spans="1:1" x14ac:dyDescent="0.25">
      <c r="A825827" s="242"/>
    </row>
    <row r="825828" spans="1:1" x14ac:dyDescent="0.25">
      <c r="A825828" s="242"/>
    </row>
    <row r="825829" spans="1:1" x14ac:dyDescent="0.25">
      <c r="A825829" s="242"/>
    </row>
    <row r="825830" spans="1:1" x14ac:dyDescent="0.25">
      <c r="A825830" s="242"/>
    </row>
    <row r="825831" spans="1:1" x14ac:dyDescent="0.25">
      <c r="A825831" s="242"/>
    </row>
    <row r="825832" spans="1:1" x14ac:dyDescent="0.25">
      <c r="A825832" s="242"/>
    </row>
    <row r="825833" spans="1:1" x14ac:dyDescent="0.25">
      <c r="A825833" s="242"/>
    </row>
    <row r="825834" spans="1:1" x14ac:dyDescent="0.25">
      <c r="A825834" s="242"/>
    </row>
    <row r="825835" spans="1:1" x14ac:dyDescent="0.25">
      <c r="A825835" s="242"/>
    </row>
    <row r="825836" spans="1:1" x14ac:dyDescent="0.25">
      <c r="A825836" s="242"/>
    </row>
    <row r="825837" spans="1:1" x14ac:dyDescent="0.25">
      <c r="A825837" s="242"/>
    </row>
    <row r="825838" spans="1:1" x14ac:dyDescent="0.25">
      <c r="A825838" s="242"/>
    </row>
    <row r="825839" spans="1:1" x14ac:dyDescent="0.25">
      <c r="A825839" s="242"/>
    </row>
    <row r="825840" spans="1:1" x14ac:dyDescent="0.25">
      <c r="A825840" s="242"/>
    </row>
    <row r="825841" spans="1:1" x14ac:dyDescent="0.25">
      <c r="A825841" s="242"/>
    </row>
    <row r="825842" spans="1:1" x14ac:dyDescent="0.25">
      <c r="A825842" s="242"/>
    </row>
    <row r="825843" spans="1:1" x14ac:dyDescent="0.25">
      <c r="A825843" s="242"/>
    </row>
    <row r="825844" spans="1:1" x14ac:dyDescent="0.25">
      <c r="A825844" s="242"/>
    </row>
    <row r="825845" spans="1:1" x14ac:dyDescent="0.25">
      <c r="A825845" s="242"/>
    </row>
    <row r="825846" spans="1:1" x14ac:dyDescent="0.25">
      <c r="A825846" s="242"/>
    </row>
    <row r="825847" spans="1:1" x14ac:dyDescent="0.25">
      <c r="A825847" s="242"/>
    </row>
    <row r="825848" spans="1:1" x14ac:dyDescent="0.25">
      <c r="A825848" s="242"/>
    </row>
    <row r="825849" spans="1:1" x14ac:dyDescent="0.25">
      <c r="A825849" s="242"/>
    </row>
    <row r="825850" spans="1:1" x14ac:dyDescent="0.25">
      <c r="A825850" s="242"/>
    </row>
    <row r="825851" spans="1:1" x14ac:dyDescent="0.25">
      <c r="A825851" s="242"/>
    </row>
    <row r="825852" spans="1:1" x14ac:dyDescent="0.25">
      <c r="A825852" s="242"/>
    </row>
    <row r="825853" spans="1:1" x14ac:dyDescent="0.25">
      <c r="A825853" s="242"/>
    </row>
    <row r="825854" spans="1:1" x14ac:dyDescent="0.25">
      <c r="A825854" s="242"/>
    </row>
    <row r="825855" spans="1:1" x14ac:dyDescent="0.25">
      <c r="A825855" s="242"/>
    </row>
    <row r="825856" spans="1:1" x14ac:dyDescent="0.25">
      <c r="A825856" s="242"/>
    </row>
    <row r="825857" spans="1:1" x14ac:dyDescent="0.25">
      <c r="A825857" s="242"/>
    </row>
    <row r="825858" spans="1:1" x14ac:dyDescent="0.25">
      <c r="A825858" s="242"/>
    </row>
    <row r="825859" spans="1:1" x14ac:dyDescent="0.25">
      <c r="A825859" s="242"/>
    </row>
    <row r="825860" spans="1:1" x14ac:dyDescent="0.25">
      <c r="A825860" s="242"/>
    </row>
    <row r="825861" spans="1:1" x14ac:dyDescent="0.25">
      <c r="A825861" s="242"/>
    </row>
    <row r="825862" spans="1:1" x14ac:dyDescent="0.25">
      <c r="A825862" s="242"/>
    </row>
    <row r="825863" spans="1:1" x14ac:dyDescent="0.25">
      <c r="A825863" s="242"/>
    </row>
    <row r="825864" spans="1:1" x14ac:dyDescent="0.25">
      <c r="A825864" s="242"/>
    </row>
    <row r="825865" spans="1:1" x14ac:dyDescent="0.25">
      <c r="A825865" s="242"/>
    </row>
    <row r="825866" spans="1:1" x14ac:dyDescent="0.25">
      <c r="A825866" s="242"/>
    </row>
    <row r="825867" spans="1:1" x14ac:dyDescent="0.25">
      <c r="A825867" s="242"/>
    </row>
    <row r="825868" spans="1:1" x14ac:dyDescent="0.25">
      <c r="A825868" s="242"/>
    </row>
    <row r="825869" spans="1:1" x14ac:dyDescent="0.25">
      <c r="A825869" s="242"/>
    </row>
    <row r="825870" spans="1:1" x14ac:dyDescent="0.25">
      <c r="A825870" s="242"/>
    </row>
    <row r="825871" spans="1:1" x14ac:dyDescent="0.25">
      <c r="A825871" s="242"/>
    </row>
    <row r="825872" spans="1:1" x14ac:dyDescent="0.25">
      <c r="A825872" s="242"/>
    </row>
    <row r="825873" spans="1:1" x14ac:dyDescent="0.25">
      <c r="A825873" s="242"/>
    </row>
    <row r="825874" spans="1:1" x14ac:dyDescent="0.25">
      <c r="A825874" s="242"/>
    </row>
    <row r="825875" spans="1:1" x14ac:dyDescent="0.25">
      <c r="A825875" s="242"/>
    </row>
    <row r="825876" spans="1:1" x14ac:dyDescent="0.25">
      <c r="A825876" s="242"/>
    </row>
    <row r="825877" spans="1:1" x14ac:dyDescent="0.25">
      <c r="A825877" s="242"/>
    </row>
    <row r="825878" spans="1:1" x14ac:dyDescent="0.25">
      <c r="A825878" s="242"/>
    </row>
    <row r="825879" spans="1:1" x14ac:dyDescent="0.25">
      <c r="A825879" s="242"/>
    </row>
    <row r="825880" spans="1:1" x14ac:dyDescent="0.25">
      <c r="A825880" s="242"/>
    </row>
    <row r="825881" spans="1:1" x14ac:dyDescent="0.25">
      <c r="A825881" s="242"/>
    </row>
    <row r="825882" spans="1:1" x14ac:dyDescent="0.25">
      <c r="A825882" s="242"/>
    </row>
    <row r="825883" spans="1:1" x14ac:dyDescent="0.25">
      <c r="A825883" s="242"/>
    </row>
    <row r="825884" spans="1:1" x14ac:dyDescent="0.25">
      <c r="A825884" s="242"/>
    </row>
    <row r="825885" spans="1:1" x14ac:dyDescent="0.25">
      <c r="A825885" s="242"/>
    </row>
    <row r="825886" spans="1:1" x14ac:dyDescent="0.25">
      <c r="A825886" s="242"/>
    </row>
    <row r="825887" spans="1:1" x14ac:dyDescent="0.25">
      <c r="A825887" s="242"/>
    </row>
    <row r="825888" spans="1:1" x14ac:dyDescent="0.25">
      <c r="A825888" s="242"/>
    </row>
    <row r="825889" spans="1:1" x14ac:dyDescent="0.25">
      <c r="A825889" s="242"/>
    </row>
    <row r="825890" spans="1:1" x14ac:dyDescent="0.25">
      <c r="A825890" s="242"/>
    </row>
    <row r="825891" spans="1:1" x14ac:dyDescent="0.25">
      <c r="A825891" s="242"/>
    </row>
    <row r="825892" spans="1:1" x14ac:dyDescent="0.25">
      <c r="A825892" s="242"/>
    </row>
    <row r="825893" spans="1:1" x14ac:dyDescent="0.25">
      <c r="A825893" s="242"/>
    </row>
    <row r="825894" spans="1:1" x14ac:dyDescent="0.25">
      <c r="A825894" s="242"/>
    </row>
    <row r="825895" spans="1:1" x14ac:dyDescent="0.25">
      <c r="A825895" s="242"/>
    </row>
    <row r="825896" spans="1:1" x14ac:dyDescent="0.25">
      <c r="A825896" s="242"/>
    </row>
    <row r="825897" spans="1:1" x14ac:dyDescent="0.25">
      <c r="A825897" s="242"/>
    </row>
    <row r="825898" spans="1:1" x14ac:dyDescent="0.25">
      <c r="A825898" s="242"/>
    </row>
    <row r="825899" spans="1:1" x14ac:dyDescent="0.25">
      <c r="A825899" s="242"/>
    </row>
    <row r="825900" spans="1:1" x14ac:dyDescent="0.25">
      <c r="A825900" s="242"/>
    </row>
    <row r="825901" spans="1:1" x14ac:dyDescent="0.25">
      <c r="A825901" s="242"/>
    </row>
    <row r="825902" spans="1:1" x14ac:dyDescent="0.25">
      <c r="A825902" s="242"/>
    </row>
    <row r="825903" spans="1:1" x14ac:dyDescent="0.25">
      <c r="A825903" s="242"/>
    </row>
    <row r="825904" spans="1:1" x14ac:dyDescent="0.25">
      <c r="A825904" s="242"/>
    </row>
    <row r="825905" spans="1:1" x14ac:dyDescent="0.25">
      <c r="A825905" s="242"/>
    </row>
    <row r="825906" spans="1:1" x14ac:dyDescent="0.25">
      <c r="A825906" s="242"/>
    </row>
    <row r="825907" spans="1:1" x14ac:dyDescent="0.25">
      <c r="A825907" s="242"/>
    </row>
    <row r="825908" spans="1:1" x14ac:dyDescent="0.25">
      <c r="A825908" s="242"/>
    </row>
    <row r="825909" spans="1:1" x14ac:dyDescent="0.25">
      <c r="A825909" s="242"/>
    </row>
    <row r="825910" spans="1:1" x14ac:dyDescent="0.25">
      <c r="A825910" s="242"/>
    </row>
    <row r="825911" spans="1:1" x14ac:dyDescent="0.25">
      <c r="A825911" s="242"/>
    </row>
    <row r="825912" spans="1:1" x14ac:dyDescent="0.25">
      <c r="A825912" s="242"/>
    </row>
    <row r="825913" spans="1:1" x14ac:dyDescent="0.25">
      <c r="A825913" s="242"/>
    </row>
    <row r="825914" spans="1:1" x14ac:dyDescent="0.25">
      <c r="A825914" s="242"/>
    </row>
    <row r="825915" spans="1:1" x14ac:dyDescent="0.25">
      <c r="A825915" s="242"/>
    </row>
    <row r="825916" spans="1:1" x14ac:dyDescent="0.25">
      <c r="A825916" s="242"/>
    </row>
    <row r="825917" spans="1:1" x14ac:dyDescent="0.25">
      <c r="A825917" s="242"/>
    </row>
    <row r="825918" spans="1:1" x14ac:dyDescent="0.25">
      <c r="A825918" s="242"/>
    </row>
    <row r="825919" spans="1:1" x14ac:dyDescent="0.25">
      <c r="A825919" s="242"/>
    </row>
    <row r="825920" spans="1:1" x14ac:dyDescent="0.25">
      <c r="A825920" s="242"/>
    </row>
    <row r="825921" spans="1:1" x14ac:dyDescent="0.25">
      <c r="A825921" s="242"/>
    </row>
    <row r="825922" spans="1:1" x14ac:dyDescent="0.25">
      <c r="A825922" s="242"/>
    </row>
    <row r="825923" spans="1:1" x14ac:dyDescent="0.25">
      <c r="A825923" s="242"/>
    </row>
    <row r="825924" spans="1:1" x14ac:dyDescent="0.25">
      <c r="A825924" s="242"/>
    </row>
    <row r="825925" spans="1:1" x14ac:dyDescent="0.25">
      <c r="A825925" s="242"/>
    </row>
    <row r="825926" spans="1:1" x14ac:dyDescent="0.25">
      <c r="A825926" s="242"/>
    </row>
    <row r="825927" spans="1:1" x14ac:dyDescent="0.25">
      <c r="A825927" s="242"/>
    </row>
    <row r="825928" spans="1:1" x14ac:dyDescent="0.25">
      <c r="A825928" s="242"/>
    </row>
    <row r="825929" spans="1:1" x14ac:dyDescent="0.25">
      <c r="A825929" s="242"/>
    </row>
    <row r="825930" spans="1:1" x14ac:dyDescent="0.25">
      <c r="A825930" s="242"/>
    </row>
    <row r="825931" spans="1:1" x14ac:dyDescent="0.25">
      <c r="A825931" s="242"/>
    </row>
    <row r="825932" spans="1:1" x14ac:dyDescent="0.25">
      <c r="A825932" s="242"/>
    </row>
    <row r="825933" spans="1:1" x14ac:dyDescent="0.25">
      <c r="A825933" s="242"/>
    </row>
    <row r="825934" spans="1:1" x14ac:dyDescent="0.25">
      <c r="A825934" s="242"/>
    </row>
    <row r="825935" spans="1:1" x14ac:dyDescent="0.25">
      <c r="A825935" s="242"/>
    </row>
    <row r="825936" spans="1:1" x14ac:dyDescent="0.25">
      <c r="A825936" s="242"/>
    </row>
    <row r="825937" spans="1:1" x14ac:dyDescent="0.25">
      <c r="A825937" s="242"/>
    </row>
    <row r="825938" spans="1:1" x14ac:dyDescent="0.25">
      <c r="A825938" s="242"/>
    </row>
    <row r="825939" spans="1:1" x14ac:dyDescent="0.25">
      <c r="A825939" s="242"/>
    </row>
    <row r="825940" spans="1:1" x14ac:dyDescent="0.25">
      <c r="A825940" s="242"/>
    </row>
    <row r="825941" spans="1:1" x14ac:dyDescent="0.25">
      <c r="A825941" s="242"/>
    </row>
    <row r="825942" spans="1:1" x14ac:dyDescent="0.25">
      <c r="A825942" s="242"/>
    </row>
    <row r="825943" spans="1:1" x14ac:dyDescent="0.25">
      <c r="A825943" s="242"/>
    </row>
    <row r="825944" spans="1:1" x14ac:dyDescent="0.25">
      <c r="A825944" s="242"/>
    </row>
    <row r="825945" spans="1:1" x14ac:dyDescent="0.25">
      <c r="A825945" s="242"/>
    </row>
    <row r="825946" spans="1:1" x14ac:dyDescent="0.25">
      <c r="A825946" s="242"/>
    </row>
    <row r="825947" spans="1:1" x14ac:dyDescent="0.25">
      <c r="A825947" s="242"/>
    </row>
    <row r="825948" spans="1:1" x14ac:dyDescent="0.25">
      <c r="A825948" s="242"/>
    </row>
    <row r="825949" spans="1:1" x14ac:dyDescent="0.25">
      <c r="A825949" s="242"/>
    </row>
    <row r="825950" spans="1:1" x14ac:dyDescent="0.25">
      <c r="A825950" s="242"/>
    </row>
    <row r="825951" spans="1:1" x14ac:dyDescent="0.25">
      <c r="A825951" s="242"/>
    </row>
    <row r="825952" spans="1:1" x14ac:dyDescent="0.25">
      <c r="A825952" s="242"/>
    </row>
    <row r="825953" spans="1:1" x14ac:dyDescent="0.25">
      <c r="A825953" s="242"/>
    </row>
    <row r="825954" spans="1:1" x14ac:dyDescent="0.25">
      <c r="A825954" s="242"/>
    </row>
    <row r="825955" spans="1:1" x14ac:dyDescent="0.25">
      <c r="A825955" s="242"/>
    </row>
    <row r="825956" spans="1:1" x14ac:dyDescent="0.25">
      <c r="A825956" s="242"/>
    </row>
    <row r="825957" spans="1:1" x14ac:dyDescent="0.25">
      <c r="A825957" s="242"/>
    </row>
    <row r="825958" spans="1:1" x14ac:dyDescent="0.25">
      <c r="A825958" s="242"/>
    </row>
    <row r="825959" spans="1:1" x14ac:dyDescent="0.25">
      <c r="A825959" s="242"/>
    </row>
    <row r="825960" spans="1:1" x14ac:dyDescent="0.25">
      <c r="A825960" s="242"/>
    </row>
    <row r="825961" spans="1:1" x14ac:dyDescent="0.25">
      <c r="A825961" s="242"/>
    </row>
    <row r="825962" spans="1:1" x14ac:dyDescent="0.25">
      <c r="A825962" s="242"/>
    </row>
    <row r="825963" spans="1:1" x14ac:dyDescent="0.25">
      <c r="A825963" s="242"/>
    </row>
    <row r="825964" spans="1:1" x14ac:dyDescent="0.25">
      <c r="A825964" s="242"/>
    </row>
    <row r="825965" spans="1:1" x14ac:dyDescent="0.25">
      <c r="A825965" s="242"/>
    </row>
    <row r="825966" spans="1:1" x14ac:dyDescent="0.25">
      <c r="A825966" s="242"/>
    </row>
    <row r="825967" spans="1:1" x14ac:dyDescent="0.25">
      <c r="A825967" s="242"/>
    </row>
    <row r="825968" spans="1:1" x14ac:dyDescent="0.25">
      <c r="A825968" s="242"/>
    </row>
    <row r="825969" spans="1:1" x14ac:dyDescent="0.25">
      <c r="A825969" s="242"/>
    </row>
    <row r="825970" spans="1:1" x14ac:dyDescent="0.25">
      <c r="A825970" s="242"/>
    </row>
    <row r="825971" spans="1:1" x14ac:dyDescent="0.25">
      <c r="A825971" s="242"/>
    </row>
    <row r="825972" spans="1:1" x14ac:dyDescent="0.25">
      <c r="A825972" s="242"/>
    </row>
    <row r="825973" spans="1:1" x14ac:dyDescent="0.25">
      <c r="A825973" s="242"/>
    </row>
    <row r="825974" spans="1:1" x14ac:dyDescent="0.25">
      <c r="A825974" s="242"/>
    </row>
    <row r="825975" spans="1:1" x14ac:dyDescent="0.25">
      <c r="A825975" s="242"/>
    </row>
    <row r="825976" spans="1:1" x14ac:dyDescent="0.25">
      <c r="A825976" s="242"/>
    </row>
    <row r="825977" spans="1:1" x14ac:dyDescent="0.25">
      <c r="A825977" s="242"/>
    </row>
    <row r="825978" spans="1:1" x14ac:dyDescent="0.25">
      <c r="A825978" s="242"/>
    </row>
    <row r="825979" spans="1:1" x14ac:dyDescent="0.25">
      <c r="A825979" s="242"/>
    </row>
    <row r="825980" spans="1:1" x14ac:dyDescent="0.25">
      <c r="A825980" s="242"/>
    </row>
    <row r="825981" spans="1:1" x14ac:dyDescent="0.25">
      <c r="A825981" s="242"/>
    </row>
    <row r="825982" spans="1:1" x14ac:dyDescent="0.25">
      <c r="A825982" s="242"/>
    </row>
    <row r="825983" spans="1:1" x14ac:dyDescent="0.25">
      <c r="A825983" s="242"/>
    </row>
    <row r="825984" spans="1:1" x14ac:dyDescent="0.25">
      <c r="A825984" s="242"/>
    </row>
    <row r="825985" spans="1:1" x14ac:dyDescent="0.25">
      <c r="A825985" s="242"/>
    </row>
    <row r="825986" spans="1:1" x14ac:dyDescent="0.25">
      <c r="A825986" s="242"/>
    </row>
    <row r="825987" spans="1:1" x14ac:dyDescent="0.25">
      <c r="A825987" s="242"/>
    </row>
    <row r="825988" spans="1:1" x14ac:dyDescent="0.25">
      <c r="A825988" s="242"/>
    </row>
    <row r="825989" spans="1:1" x14ac:dyDescent="0.25">
      <c r="A825989" s="242"/>
    </row>
    <row r="825990" spans="1:1" x14ac:dyDescent="0.25">
      <c r="A825990" s="242"/>
    </row>
    <row r="825991" spans="1:1" x14ac:dyDescent="0.25">
      <c r="A825991" s="242"/>
    </row>
    <row r="825992" spans="1:1" x14ac:dyDescent="0.25">
      <c r="A825992" s="242"/>
    </row>
    <row r="825993" spans="1:1" x14ac:dyDescent="0.25">
      <c r="A825993" s="242"/>
    </row>
    <row r="825994" spans="1:1" x14ac:dyDescent="0.25">
      <c r="A825994" s="242"/>
    </row>
    <row r="825995" spans="1:1" x14ac:dyDescent="0.25">
      <c r="A825995" s="242"/>
    </row>
    <row r="825996" spans="1:1" x14ac:dyDescent="0.25">
      <c r="A825996" s="242"/>
    </row>
    <row r="825997" spans="1:1" x14ac:dyDescent="0.25">
      <c r="A825997" s="242"/>
    </row>
    <row r="825998" spans="1:1" x14ac:dyDescent="0.25">
      <c r="A825998" s="242"/>
    </row>
    <row r="825999" spans="1:1" x14ac:dyDescent="0.25">
      <c r="A825999" s="242"/>
    </row>
    <row r="826000" spans="1:1" x14ac:dyDescent="0.25">
      <c r="A826000" s="242"/>
    </row>
    <row r="826001" spans="1:1" x14ac:dyDescent="0.25">
      <c r="A826001" s="242"/>
    </row>
    <row r="826002" spans="1:1" x14ac:dyDescent="0.25">
      <c r="A826002" s="242"/>
    </row>
    <row r="826003" spans="1:1" x14ac:dyDescent="0.25">
      <c r="A826003" s="242"/>
    </row>
    <row r="826004" spans="1:1" x14ac:dyDescent="0.25">
      <c r="A826004" s="242"/>
    </row>
    <row r="826005" spans="1:1" x14ac:dyDescent="0.25">
      <c r="A826005" s="242"/>
    </row>
    <row r="826006" spans="1:1" x14ac:dyDescent="0.25">
      <c r="A826006" s="242"/>
    </row>
    <row r="826007" spans="1:1" x14ac:dyDescent="0.25">
      <c r="A826007" s="242"/>
    </row>
    <row r="826008" spans="1:1" x14ac:dyDescent="0.25">
      <c r="A826008" s="242"/>
    </row>
    <row r="826009" spans="1:1" x14ac:dyDescent="0.25">
      <c r="A826009" s="242"/>
    </row>
    <row r="826010" spans="1:1" x14ac:dyDescent="0.25">
      <c r="A826010" s="242"/>
    </row>
    <row r="826011" spans="1:1" x14ac:dyDescent="0.25">
      <c r="A826011" s="242"/>
    </row>
    <row r="826012" spans="1:1" x14ac:dyDescent="0.25">
      <c r="A826012" s="242"/>
    </row>
    <row r="826013" spans="1:1" x14ac:dyDescent="0.25">
      <c r="A826013" s="242"/>
    </row>
    <row r="826014" spans="1:1" x14ac:dyDescent="0.25">
      <c r="A826014" s="242"/>
    </row>
    <row r="826015" spans="1:1" x14ac:dyDescent="0.25">
      <c r="A826015" s="242"/>
    </row>
    <row r="826016" spans="1:1" x14ac:dyDescent="0.25">
      <c r="A826016" s="242"/>
    </row>
    <row r="826017" spans="1:1" x14ac:dyDescent="0.25">
      <c r="A826017" s="242"/>
    </row>
    <row r="826018" spans="1:1" x14ac:dyDescent="0.25">
      <c r="A826018" s="242"/>
    </row>
    <row r="826019" spans="1:1" x14ac:dyDescent="0.25">
      <c r="A826019" s="242"/>
    </row>
    <row r="826020" spans="1:1" x14ac:dyDescent="0.25">
      <c r="A826020" s="242"/>
    </row>
    <row r="826021" spans="1:1" x14ac:dyDescent="0.25">
      <c r="A826021" s="242"/>
    </row>
    <row r="826022" spans="1:1" x14ac:dyDescent="0.25">
      <c r="A826022" s="242"/>
    </row>
    <row r="826023" spans="1:1" x14ac:dyDescent="0.25">
      <c r="A826023" s="242"/>
    </row>
    <row r="826024" spans="1:1" x14ac:dyDescent="0.25">
      <c r="A826024" s="242"/>
    </row>
    <row r="826025" spans="1:1" x14ac:dyDescent="0.25">
      <c r="A826025" s="242"/>
    </row>
    <row r="826026" spans="1:1" x14ac:dyDescent="0.25">
      <c r="A826026" s="242"/>
    </row>
    <row r="826027" spans="1:1" x14ac:dyDescent="0.25">
      <c r="A826027" s="242"/>
    </row>
    <row r="826028" spans="1:1" x14ac:dyDescent="0.25">
      <c r="A826028" s="242"/>
    </row>
    <row r="826029" spans="1:1" x14ac:dyDescent="0.25">
      <c r="A826029" s="242"/>
    </row>
    <row r="826030" spans="1:1" x14ac:dyDescent="0.25">
      <c r="A826030" s="242"/>
    </row>
    <row r="826031" spans="1:1" x14ac:dyDescent="0.25">
      <c r="A826031" s="242"/>
    </row>
    <row r="826032" spans="1:1" x14ac:dyDescent="0.25">
      <c r="A826032" s="242"/>
    </row>
    <row r="826033" spans="1:1" x14ac:dyDescent="0.25">
      <c r="A826033" s="242"/>
    </row>
    <row r="826034" spans="1:1" x14ac:dyDescent="0.25">
      <c r="A826034" s="242"/>
    </row>
    <row r="826035" spans="1:1" x14ac:dyDescent="0.25">
      <c r="A826035" s="242"/>
    </row>
    <row r="826036" spans="1:1" x14ac:dyDescent="0.25">
      <c r="A826036" s="242"/>
    </row>
    <row r="826037" spans="1:1" x14ac:dyDescent="0.25">
      <c r="A826037" s="242"/>
    </row>
    <row r="826038" spans="1:1" x14ac:dyDescent="0.25">
      <c r="A826038" s="242"/>
    </row>
    <row r="826039" spans="1:1" x14ac:dyDescent="0.25">
      <c r="A826039" s="242"/>
    </row>
    <row r="826040" spans="1:1" x14ac:dyDescent="0.25">
      <c r="A826040" s="242"/>
    </row>
    <row r="826041" spans="1:1" x14ac:dyDescent="0.25">
      <c r="A826041" s="242"/>
    </row>
    <row r="826042" spans="1:1" x14ac:dyDescent="0.25">
      <c r="A826042" s="242"/>
    </row>
    <row r="826043" spans="1:1" x14ac:dyDescent="0.25">
      <c r="A826043" s="242"/>
    </row>
    <row r="826044" spans="1:1" x14ac:dyDescent="0.25">
      <c r="A826044" s="242"/>
    </row>
    <row r="826045" spans="1:1" x14ac:dyDescent="0.25">
      <c r="A826045" s="242"/>
    </row>
    <row r="826046" spans="1:1" x14ac:dyDescent="0.25">
      <c r="A826046" s="242"/>
    </row>
    <row r="826047" spans="1:1" x14ac:dyDescent="0.25">
      <c r="A826047" s="242"/>
    </row>
    <row r="826048" spans="1:1" x14ac:dyDescent="0.25">
      <c r="A826048" s="242"/>
    </row>
    <row r="826049" spans="1:1" x14ac:dyDescent="0.25">
      <c r="A826049" s="242"/>
    </row>
    <row r="826050" spans="1:1" x14ac:dyDescent="0.25">
      <c r="A826050" s="242"/>
    </row>
    <row r="826051" spans="1:1" x14ac:dyDescent="0.25">
      <c r="A826051" s="242"/>
    </row>
    <row r="826052" spans="1:1" x14ac:dyDescent="0.25">
      <c r="A826052" s="242"/>
    </row>
    <row r="826053" spans="1:1" x14ac:dyDescent="0.25">
      <c r="A826053" s="242"/>
    </row>
    <row r="826054" spans="1:1" x14ac:dyDescent="0.25">
      <c r="A826054" s="242"/>
    </row>
    <row r="826055" spans="1:1" x14ac:dyDescent="0.25">
      <c r="A826055" s="242"/>
    </row>
    <row r="826056" spans="1:1" x14ac:dyDescent="0.25">
      <c r="A826056" s="242"/>
    </row>
    <row r="826057" spans="1:1" x14ac:dyDescent="0.25">
      <c r="A826057" s="242"/>
    </row>
    <row r="826058" spans="1:1" x14ac:dyDescent="0.25">
      <c r="A826058" s="242"/>
    </row>
    <row r="826059" spans="1:1" x14ac:dyDescent="0.25">
      <c r="A826059" s="242"/>
    </row>
    <row r="826060" spans="1:1" x14ac:dyDescent="0.25">
      <c r="A826060" s="242"/>
    </row>
    <row r="826061" spans="1:1" x14ac:dyDescent="0.25">
      <c r="A826061" s="242"/>
    </row>
    <row r="826062" spans="1:1" x14ac:dyDescent="0.25">
      <c r="A826062" s="242"/>
    </row>
    <row r="826063" spans="1:1" x14ac:dyDescent="0.25">
      <c r="A826063" s="242"/>
    </row>
    <row r="826064" spans="1:1" x14ac:dyDescent="0.25">
      <c r="A826064" s="242"/>
    </row>
    <row r="826065" spans="1:1" x14ac:dyDescent="0.25">
      <c r="A826065" s="242"/>
    </row>
    <row r="826066" spans="1:1" x14ac:dyDescent="0.25">
      <c r="A826066" s="242"/>
    </row>
    <row r="826067" spans="1:1" x14ac:dyDescent="0.25">
      <c r="A826067" s="242"/>
    </row>
    <row r="826068" spans="1:1" x14ac:dyDescent="0.25">
      <c r="A826068" s="242"/>
    </row>
    <row r="826069" spans="1:1" x14ac:dyDescent="0.25">
      <c r="A826069" s="242"/>
    </row>
    <row r="826070" spans="1:1" x14ac:dyDescent="0.25">
      <c r="A826070" s="242"/>
    </row>
    <row r="826071" spans="1:1" x14ac:dyDescent="0.25">
      <c r="A826071" s="242"/>
    </row>
    <row r="826072" spans="1:1" x14ac:dyDescent="0.25">
      <c r="A826072" s="242"/>
    </row>
    <row r="826073" spans="1:1" x14ac:dyDescent="0.25">
      <c r="A826073" s="242"/>
    </row>
    <row r="826074" spans="1:1" x14ac:dyDescent="0.25">
      <c r="A826074" s="242"/>
    </row>
    <row r="826075" spans="1:1" x14ac:dyDescent="0.25">
      <c r="A826075" s="242"/>
    </row>
    <row r="826076" spans="1:1" x14ac:dyDescent="0.25">
      <c r="A826076" s="242"/>
    </row>
    <row r="826077" spans="1:1" x14ac:dyDescent="0.25">
      <c r="A826077" s="242"/>
    </row>
    <row r="826078" spans="1:1" x14ac:dyDescent="0.25">
      <c r="A826078" s="242"/>
    </row>
    <row r="826079" spans="1:1" x14ac:dyDescent="0.25">
      <c r="A826079" s="242"/>
    </row>
    <row r="826080" spans="1:1" x14ac:dyDescent="0.25">
      <c r="A826080" s="242"/>
    </row>
    <row r="826081" spans="1:1" x14ac:dyDescent="0.25">
      <c r="A826081" s="242"/>
    </row>
    <row r="826082" spans="1:1" x14ac:dyDescent="0.25">
      <c r="A826082" s="242"/>
    </row>
    <row r="826083" spans="1:1" x14ac:dyDescent="0.25">
      <c r="A826083" s="242"/>
    </row>
    <row r="826084" spans="1:1" x14ac:dyDescent="0.25">
      <c r="A826084" s="242"/>
    </row>
    <row r="826085" spans="1:1" x14ac:dyDescent="0.25">
      <c r="A826085" s="242"/>
    </row>
    <row r="826086" spans="1:1" x14ac:dyDescent="0.25">
      <c r="A826086" s="242"/>
    </row>
    <row r="826087" spans="1:1" x14ac:dyDescent="0.25">
      <c r="A826087" s="242"/>
    </row>
    <row r="826088" spans="1:1" x14ac:dyDescent="0.25">
      <c r="A826088" s="242"/>
    </row>
    <row r="826089" spans="1:1" x14ac:dyDescent="0.25">
      <c r="A826089" s="242"/>
    </row>
    <row r="826090" spans="1:1" x14ac:dyDescent="0.25">
      <c r="A826090" s="242"/>
    </row>
    <row r="826091" spans="1:1" x14ac:dyDescent="0.25">
      <c r="A826091" s="242"/>
    </row>
    <row r="826092" spans="1:1" x14ac:dyDescent="0.25">
      <c r="A826092" s="242"/>
    </row>
    <row r="826093" spans="1:1" x14ac:dyDescent="0.25">
      <c r="A826093" s="242"/>
    </row>
    <row r="826094" spans="1:1" x14ac:dyDescent="0.25">
      <c r="A826094" s="242"/>
    </row>
    <row r="826095" spans="1:1" x14ac:dyDescent="0.25">
      <c r="A826095" s="242"/>
    </row>
    <row r="826096" spans="1:1" x14ac:dyDescent="0.25">
      <c r="A826096" s="242"/>
    </row>
    <row r="826097" spans="1:1" x14ac:dyDescent="0.25">
      <c r="A826097" s="242"/>
    </row>
    <row r="826098" spans="1:1" x14ac:dyDescent="0.25">
      <c r="A826098" s="242"/>
    </row>
    <row r="826099" spans="1:1" x14ac:dyDescent="0.25">
      <c r="A826099" s="242"/>
    </row>
    <row r="826100" spans="1:1" x14ac:dyDescent="0.25">
      <c r="A826100" s="242"/>
    </row>
    <row r="826101" spans="1:1" x14ac:dyDescent="0.25">
      <c r="A826101" s="242"/>
    </row>
    <row r="826102" spans="1:1" x14ac:dyDescent="0.25">
      <c r="A826102" s="242"/>
    </row>
    <row r="826103" spans="1:1" x14ac:dyDescent="0.25">
      <c r="A826103" s="242"/>
    </row>
    <row r="826104" spans="1:1" x14ac:dyDescent="0.25">
      <c r="A826104" s="242"/>
    </row>
    <row r="826105" spans="1:1" x14ac:dyDescent="0.25">
      <c r="A826105" s="242"/>
    </row>
    <row r="826106" spans="1:1" x14ac:dyDescent="0.25">
      <c r="A826106" s="242"/>
    </row>
    <row r="826107" spans="1:1" x14ac:dyDescent="0.25">
      <c r="A826107" s="242"/>
    </row>
    <row r="826108" spans="1:1" x14ac:dyDescent="0.25">
      <c r="A826108" s="242"/>
    </row>
    <row r="826109" spans="1:1" x14ac:dyDescent="0.25">
      <c r="A826109" s="242"/>
    </row>
    <row r="826110" spans="1:1" x14ac:dyDescent="0.25">
      <c r="A826110" s="242"/>
    </row>
    <row r="826111" spans="1:1" x14ac:dyDescent="0.25">
      <c r="A826111" s="242"/>
    </row>
    <row r="826112" spans="1:1" x14ac:dyDescent="0.25">
      <c r="A826112" s="242"/>
    </row>
    <row r="826113" spans="1:1" x14ac:dyDescent="0.25">
      <c r="A826113" s="242"/>
    </row>
    <row r="826114" spans="1:1" x14ac:dyDescent="0.25">
      <c r="A826114" s="242"/>
    </row>
    <row r="826115" spans="1:1" x14ac:dyDescent="0.25">
      <c r="A826115" s="242"/>
    </row>
    <row r="826116" spans="1:1" x14ac:dyDescent="0.25">
      <c r="A826116" s="242"/>
    </row>
    <row r="826117" spans="1:1" x14ac:dyDescent="0.25">
      <c r="A826117" s="242"/>
    </row>
    <row r="826118" spans="1:1" x14ac:dyDescent="0.25">
      <c r="A826118" s="242"/>
    </row>
    <row r="826119" spans="1:1" x14ac:dyDescent="0.25">
      <c r="A826119" s="242"/>
    </row>
    <row r="826120" spans="1:1" x14ac:dyDescent="0.25">
      <c r="A826120" s="242"/>
    </row>
    <row r="826121" spans="1:1" x14ac:dyDescent="0.25">
      <c r="A826121" s="242"/>
    </row>
    <row r="826122" spans="1:1" x14ac:dyDescent="0.25">
      <c r="A826122" s="242"/>
    </row>
    <row r="826123" spans="1:1" x14ac:dyDescent="0.25">
      <c r="A826123" s="242"/>
    </row>
    <row r="826124" spans="1:1" x14ac:dyDescent="0.25">
      <c r="A826124" s="242"/>
    </row>
    <row r="826125" spans="1:1" x14ac:dyDescent="0.25">
      <c r="A826125" s="242"/>
    </row>
    <row r="826126" spans="1:1" x14ac:dyDescent="0.25">
      <c r="A826126" s="242"/>
    </row>
    <row r="826127" spans="1:1" x14ac:dyDescent="0.25">
      <c r="A826127" s="242"/>
    </row>
    <row r="826128" spans="1:1" x14ac:dyDescent="0.25">
      <c r="A826128" s="242"/>
    </row>
    <row r="826129" spans="1:1" x14ac:dyDescent="0.25">
      <c r="A826129" s="242"/>
    </row>
    <row r="826130" spans="1:1" x14ac:dyDescent="0.25">
      <c r="A826130" s="242"/>
    </row>
    <row r="826131" spans="1:1" x14ac:dyDescent="0.25">
      <c r="A826131" s="242"/>
    </row>
    <row r="826132" spans="1:1" x14ac:dyDescent="0.25">
      <c r="A826132" s="242"/>
    </row>
    <row r="826133" spans="1:1" x14ac:dyDescent="0.25">
      <c r="A826133" s="242"/>
    </row>
    <row r="826134" spans="1:1" x14ac:dyDescent="0.25">
      <c r="A826134" s="242"/>
    </row>
    <row r="826135" spans="1:1" x14ac:dyDescent="0.25">
      <c r="A826135" s="242"/>
    </row>
    <row r="826136" spans="1:1" x14ac:dyDescent="0.25">
      <c r="A826136" s="242"/>
    </row>
    <row r="826137" spans="1:1" x14ac:dyDescent="0.25">
      <c r="A826137" s="242"/>
    </row>
    <row r="826138" spans="1:1" x14ac:dyDescent="0.25">
      <c r="A826138" s="242"/>
    </row>
    <row r="826139" spans="1:1" x14ac:dyDescent="0.25">
      <c r="A826139" s="242"/>
    </row>
    <row r="826140" spans="1:1" x14ac:dyDescent="0.25">
      <c r="A826140" s="242"/>
    </row>
    <row r="826141" spans="1:1" x14ac:dyDescent="0.25">
      <c r="A826141" s="242"/>
    </row>
    <row r="826142" spans="1:1" x14ac:dyDescent="0.25">
      <c r="A826142" s="242"/>
    </row>
    <row r="826143" spans="1:1" x14ac:dyDescent="0.25">
      <c r="A826143" s="242"/>
    </row>
    <row r="826144" spans="1:1" x14ac:dyDescent="0.25">
      <c r="A826144" s="242"/>
    </row>
    <row r="826145" spans="1:1" x14ac:dyDescent="0.25">
      <c r="A826145" s="242"/>
    </row>
    <row r="826146" spans="1:1" x14ac:dyDescent="0.25">
      <c r="A826146" s="242"/>
    </row>
    <row r="826147" spans="1:1" x14ac:dyDescent="0.25">
      <c r="A826147" s="242"/>
    </row>
    <row r="826148" spans="1:1" x14ac:dyDescent="0.25">
      <c r="A826148" s="242"/>
    </row>
    <row r="826149" spans="1:1" x14ac:dyDescent="0.25">
      <c r="A826149" s="242"/>
    </row>
    <row r="826150" spans="1:1" x14ac:dyDescent="0.25">
      <c r="A826150" s="242"/>
    </row>
    <row r="826151" spans="1:1" x14ac:dyDescent="0.25">
      <c r="A826151" s="242"/>
    </row>
    <row r="826152" spans="1:1" x14ac:dyDescent="0.25">
      <c r="A826152" s="242"/>
    </row>
    <row r="826153" spans="1:1" x14ac:dyDescent="0.25">
      <c r="A826153" s="242"/>
    </row>
    <row r="826154" spans="1:1" x14ac:dyDescent="0.25">
      <c r="A826154" s="242"/>
    </row>
    <row r="826155" spans="1:1" x14ac:dyDescent="0.25">
      <c r="A826155" s="242"/>
    </row>
    <row r="826156" spans="1:1" x14ac:dyDescent="0.25">
      <c r="A826156" s="242"/>
    </row>
    <row r="826157" spans="1:1" x14ac:dyDescent="0.25">
      <c r="A826157" s="242"/>
    </row>
    <row r="826158" spans="1:1" x14ac:dyDescent="0.25">
      <c r="A826158" s="242"/>
    </row>
    <row r="826159" spans="1:1" x14ac:dyDescent="0.25">
      <c r="A826159" s="242"/>
    </row>
    <row r="826160" spans="1:1" x14ac:dyDescent="0.25">
      <c r="A826160" s="242"/>
    </row>
    <row r="826161" spans="1:1" x14ac:dyDescent="0.25">
      <c r="A826161" s="242"/>
    </row>
    <row r="826162" spans="1:1" x14ac:dyDescent="0.25">
      <c r="A826162" s="242"/>
    </row>
    <row r="826163" spans="1:1" x14ac:dyDescent="0.25">
      <c r="A826163" s="242"/>
    </row>
    <row r="826164" spans="1:1" x14ac:dyDescent="0.25">
      <c r="A826164" s="242"/>
    </row>
    <row r="826165" spans="1:1" x14ac:dyDescent="0.25">
      <c r="A826165" s="242"/>
    </row>
    <row r="826166" spans="1:1" x14ac:dyDescent="0.25">
      <c r="A826166" s="242"/>
    </row>
    <row r="826167" spans="1:1" x14ac:dyDescent="0.25">
      <c r="A826167" s="242"/>
    </row>
    <row r="826168" spans="1:1" x14ac:dyDescent="0.25">
      <c r="A826168" s="242"/>
    </row>
    <row r="826169" spans="1:1" x14ac:dyDescent="0.25">
      <c r="A826169" s="242"/>
    </row>
    <row r="826170" spans="1:1" x14ac:dyDescent="0.25">
      <c r="A826170" s="242"/>
    </row>
    <row r="826171" spans="1:1" x14ac:dyDescent="0.25">
      <c r="A826171" s="242"/>
    </row>
    <row r="826172" spans="1:1" x14ac:dyDescent="0.25">
      <c r="A826172" s="242"/>
    </row>
    <row r="826173" spans="1:1" x14ac:dyDescent="0.25">
      <c r="A826173" s="242"/>
    </row>
    <row r="826174" spans="1:1" x14ac:dyDescent="0.25">
      <c r="A826174" s="242"/>
    </row>
    <row r="826175" spans="1:1" x14ac:dyDescent="0.25">
      <c r="A826175" s="242"/>
    </row>
    <row r="826176" spans="1:1" x14ac:dyDescent="0.25">
      <c r="A826176" s="242"/>
    </row>
    <row r="826177" spans="1:1" x14ac:dyDescent="0.25">
      <c r="A826177" s="242"/>
    </row>
    <row r="826178" spans="1:1" x14ac:dyDescent="0.25">
      <c r="A826178" s="242"/>
    </row>
    <row r="826179" spans="1:1" x14ac:dyDescent="0.25">
      <c r="A826179" s="242"/>
    </row>
    <row r="826180" spans="1:1" x14ac:dyDescent="0.25">
      <c r="A826180" s="242"/>
    </row>
    <row r="826181" spans="1:1" x14ac:dyDescent="0.25">
      <c r="A826181" s="242"/>
    </row>
    <row r="826182" spans="1:1" x14ac:dyDescent="0.25">
      <c r="A826182" s="242"/>
    </row>
    <row r="826183" spans="1:1" x14ac:dyDescent="0.25">
      <c r="A826183" s="242"/>
    </row>
    <row r="826184" spans="1:1" x14ac:dyDescent="0.25">
      <c r="A826184" s="242"/>
    </row>
    <row r="826185" spans="1:1" x14ac:dyDescent="0.25">
      <c r="A826185" s="242"/>
    </row>
    <row r="826186" spans="1:1" x14ac:dyDescent="0.25">
      <c r="A826186" s="242"/>
    </row>
    <row r="826187" spans="1:1" x14ac:dyDescent="0.25">
      <c r="A826187" s="242"/>
    </row>
    <row r="826188" spans="1:1" x14ac:dyDescent="0.25">
      <c r="A826188" s="242"/>
    </row>
    <row r="826189" spans="1:1" x14ac:dyDescent="0.25">
      <c r="A826189" s="242"/>
    </row>
    <row r="826190" spans="1:1" x14ac:dyDescent="0.25">
      <c r="A826190" s="242"/>
    </row>
    <row r="826191" spans="1:1" x14ac:dyDescent="0.25">
      <c r="A826191" s="242"/>
    </row>
    <row r="826192" spans="1:1" x14ac:dyDescent="0.25">
      <c r="A826192" s="242"/>
    </row>
    <row r="826193" spans="1:1" x14ac:dyDescent="0.25">
      <c r="A826193" s="242"/>
    </row>
    <row r="826194" spans="1:1" x14ac:dyDescent="0.25">
      <c r="A826194" s="242"/>
    </row>
    <row r="826195" spans="1:1" x14ac:dyDescent="0.25">
      <c r="A826195" s="242"/>
    </row>
    <row r="826196" spans="1:1" x14ac:dyDescent="0.25">
      <c r="A826196" s="242"/>
    </row>
    <row r="826197" spans="1:1" x14ac:dyDescent="0.25">
      <c r="A826197" s="242"/>
    </row>
    <row r="826198" spans="1:1" x14ac:dyDescent="0.25">
      <c r="A826198" s="242"/>
    </row>
    <row r="826199" spans="1:1" x14ac:dyDescent="0.25">
      <c r="A826199" s="242"/>
    </row>
    <row r="826200" spans="1:1" x14ac:dyDescent="0.25">
      <c r="A826200" s="242"/>
    </row>
    <row r="826201" spans="1:1" x14ac:dyDescent="0.25">
      <c r="A826201" s="242"/>
    </row>
    <row r="826202" spans="1:1" x14ac:dyDescent="0.25">
      <c r="A826202" s="242"/>
    </row>
    <row r="826203" spans="1:1" x14ac:dyDescent="0.25">
      <c r="A826203" s="242"/>
    </row>
    <row r="826204" spans="1:1" x14ac:dyDescent="0.25">
      <c r="A826204" s="242"/>
    </row>
    <row r="826205" spans="1:1" x14ac:dyDescent="0.25">
      <c r="A826205" s="242"/>
    </row>
    <row r="826206" spans="1:1" x14ac:dyDescent="0.25">
      <c r="A826206" s="242"/>
    </row>
    <row r="826207" spans="1:1" x14ac:dyDescent="0.25">
      <c r="A826207" s="242"/>
    </row>
    <row r="826208" spans="1:1" x14ac:dyDescent="0.25">
      <c r="A826208" s="242"/>
    </row>
    <row r="826209" spans="1:1" x14ac:dyDescent="0.25">
      <c r="A826209" s="242"/>
    </row>
    <row r="826210" spans="1:1" x14ac:dyDescent="0.25">
      <c r="A826210" s="242"/>
    </row>
    <row r="826211" spans="1:1" x14ac:dyDescent="0.25">
      <c r="A826211" s="242"/>
    </row>
    <row r="826212" spans="1:1" x14ac:dyDescent="0.25">
      <c r="A826212" s="242"/>
    </row>
    <row r="826213" spans="1:1" x14ac:dyDescent="0.25">
      <c r="A826213" s="242"/>
    </row>
    <row r="826214" spans="1:1" x14ac:dyDescent="0.25">
      <c r="A826214" s="242"/>
    </row>
    <row r="826215" spans="1:1" x14ac:dyDescent="0.25">
      <c r="A826215" s="242"/>
    </row>
    <row r="826216" spans="1:1" x14ac:dyDescent="0.25">
      <c r="A826216" s="242"/>
    </row>
    <row r="826217" spans="1:1" x14ac:dyDescent="0.25">
      <c r="A826217" s="242"/>
    </row>
    <row r="826218" spans="1:1" x14ac:dyDescent="0.25">
      <c r="A826218" s="242"/>
    </row>
    <row r="826219" spans="1:1" x14ac:dyDescent="0.25">
      <c r="A826219" s="242"/>
    </row>
    <row r="826220" spans="1:1" x14ac:dyDescent="0.25">
      <c r="A826220" s="242"/>
    </row>
    <row r="826221" spans="1:1" x14ac:dyDescent="0.25">
      <c r="A826221" s="242"/>
    </row>
    <row r="826222" spans="1:1" x14ac:dyDescent="0.25">
      <c r="A826222" s="242"/>
    </row>
    <row r="826223" spans="1:1" x14ac:dyDescent="0.25">
      <c r="A826223" s="242"/>
    </row>
    <row r="826224" spans="1:1" x14ac:dyDescent="0.25">
      <c r="A826224" s="242"/>
    </row>
    <row r="826225" spans="1:1" x14ac:dyDescent="0.25">
      <c r="A826225" s="242"/>
    </row>
    <row r="826226" spans="1:1" x14ac:dyDescent="0.25">
      <c r="A826226" s="242"/>
    </row>
    <row r="826227" spans="1:1" x14ac:dyDescent="0.25">
      <c r="A826227" s="242"/>
    </row>
    <row r="826228" spans="1:1" x14ac:dyDescent="0.25">
      <c r="A826228" s="242"/>
    </row>
    <row r="826229" spans="1:1" x14ac:dyDescent="0.25">
      <c r="A826229" s="242"/>
    </row>
    <row r="826230" spans="1:1" x14ac:dyDescent="0.25">
      <c r="A826230" s="242"/>
    </row>
    <row r="826231" spans="1:1" x14ac:dyDescent="0.25">
      <c r="A826231" s="242"/>
    </row>
    <row r="826232" spans="1:1" x14ac:dyDescent="0.25">
      <c r="A826232" s="242"/>
    </row>
    <row r="826233" spans="1:1" x14ac:dyDescent="0.25">
      <c r="A826233" s="242"/>
    </row>
    <row r="826234" spans="1:1" x14ac:dyDescent="0.25">
      <c r="A826234" s="242"/>
    </row>
    <row r="826235" spans="1:1" x14ac:dyDescent="0.25">
      <c r="A826235" s="242"/>
    </row>
    <row r="826236" spans="1:1" x14ac:dyDescent="0.25">
      <c r="A826236" s="242"/>
    </row>
    <row r="826237" spans="1:1" x14ac:dyDescent="0.25">
      <c r="A826237" s="242"/>
    </row>
    <row r="826238" spans="1:1" x14ac:dyDescent="0.25">
      <c r="A826238" s="242"/>
    </row>
    <row r="826239" spans="1:1" x14ac:dyDescent="0.25">
      <c r="A826239" s="242"/>
    </row>
    <row r="826240" spans="1:1" x14ac:dyDescent="0.25">
      <c r="A826240" s="242"/>
    </row>
    <row r="826241" spans="1:1" x14ac:dyDescent="0.25">
      <c r="A826241" s="242"/>
    </row>
    <row r="826242" spans="1:1" x14ac:dyDescent="0.25">
      <c r="A826242" s="242"/>
    </row>
    <row r="826243" spans="1:1" x14ac:dyDescent="0.25">
      <c r="A826243" s="242"/>
    </row>
    <row r="826244" spans="1:1" x14ac:dyDescent="0.25">
      <c r="A826244" s="242"/>
    </row>
    <row r="826245" spans="1:1" x14ac:dyDescent="0.25">
      <c r="A826245" s="242"/>
    </row>
    <row r="826246" spans="1:1" x14ac:dyDescent="0.25">
      <c r="A826246" s="242"/>
    </row>
    <row r="826247" spans="1:1" x14ac:dyDescent="0.25">
      <c r="A826247" s="242"/>
    </row>
    <row r="826248" spans="1:1" x14ac:dyDescent="0.25">
      <c r="A826248" s="242"/>
    </row>
    <row r="826249" spans="1:1" x14ac:dyDescent="0.25">
      <c r="A826249" s="242"/>
    </row>
    <row r="826250" spans="1:1" x14ac:dyDescent="0.25">
      <c r="A826250" s="242"/>
    </row>
    <row r="826251" spans="1:1" x14ac:dyDescent="0.25">
      <c r="A826251" s="242"/>
    </row>
    <row r="826252" spans="1:1" x14ac:dyDescent="0.25">
      <c r="A826252" s="242"/>
    </row>
    <row r="826253" spans="1:1" x14ac:dyDescent="0.25">
      <c r="A826253" s="242"/>
    </row>
    <row r="826254" spans="1:1" x14ac:dyDescent="0.25">
      <c r="A826254" s="242"/>
    </row>
    <row r="826255" spans="1:1" x14ac:dyDescent="0.25">
      <c r="A826255" s="242"/>
    </row>
    <row r="826256" spans="1:1" x14ac:dyDescent="0.25">
      <c r="A826256" s="242"/>
    </row>
    <row r="826257" spans="1:1" x14ac:dyDescent="0.25">
      <c r="A826257" s="242"/>
    </row>
    <row r="826258" spans="1:1" x14ac:dyDescent="0.25">
      <c r="A826258" s="242"/>
    </row>
    <row r="826259" spans="1:1" x14ac:dyDescent="0.25">
      <c r="A826259" s="242"/>
    </row>
    <row r="826260" spans="1:1" x14ac:dyDescent="0.25">
      <c r="A826260" s="242"/>
    </row>
    <row r="826261" spans="1:1" x14ac:dyDescent="0.25">
      <c r="A826261" s="242"/>
    </row>
    <row r="826262" spans="1:1" x14ac:dyDescent="0.25">
      <c r="A826262" s="242"/>
    </row>
    <row r="826263" spans="1:1" x14ac:dyDescent="0.25">
      <c r="A826263" s="242"/>
    </row>
    <row r="826264" spans="1:1" x14ac:dyDescent="0.25">
      <c r="A826264" s="242"/>
    </row>
    <row r="826265" spans="1:1" x14ac:dyDescent="0.25">
      <c r="A826265" s="242"/>
    </row>
    <row r="826266" spans="1:1" x14ac:dyDescent="0.25">
      <c r="A826266" s="242"/>
    </row>
    <row r="826267" spans="1:1" x14ac:dyDescent="0.25">
      <c r="A826267" s="242"/>
    </row>
    <row r="826268" spans="1:1" x14ac:dyDescent="0.25">
      <c r="A826268" s="242"/>
    </row>
    <row r="826269" spans="1:1" x14ac:dyDescent="0.25">
      <c r="A826269" s="242"/>
    </row>
    <row r="826270" spans="1:1" x14ac:dyDescent="0.25">
      <c r="A826270" s="242"/>
    </row>
    <row r="826271" spans="1:1" x14ac:dyDescent="0.25">
      <c r="A826271" s="242"/>
    </row>
    <row r="826272" spans="1:1" x14ac:dyDescent="0.25">
      <c r="A826272" s="242"/>
    </row>
    <row r="826273" spans="1:1" x14ac:dyDescent="0.25">
      <c r="A826273" s="242"/>
    </row>
    <row r="826274" spans="1:1" x14ac:dyDescent="0.25">
      <c r="A826274" s="242"/>
    </row>
    <row r="826275" spans="1:1" x14ac:dyDescent="0.25">
      <c r="A826275" s="242"/>
    </row>
    <row r="826276" spans="1:1" x14ac:dyDescent="0.25">
      <c r="A826276" s="242"/>
    </row>
    <row r="826277" spans="1:1" x14ac:dyDescent="0.25">
      <c r="A826277" s="242"/>
    </row>
    <row r="826278" spans="1:1" x14ac:dyDescent="0.25">
      <c r="A826278" s="242"/>
    </row>
    <row r="826279" spans="1:1" x14ac:dyDescent="0.25">
      <c r="A826279" s="242"/>
    </row>
    <row r="826280" spans="1:1" x14ac:dyDescent="0.25">
      <c r="A826280" s="242"/>
    </row>
    <row r="826281" spans="1:1" x14ac:dyDescent="0.25">
      <c r="A826281" s="242"/>
    </row>
    <row r="826282" spans="1:1" x14ac:dyDescent="0.25">
      <c r="A826282" s="242"/>
    </row>
    <row r="826283" spans="1:1" x14ac:dyDescent="0.25">
      <c r="A826283" s="242"/>
    </row>
    <row r="826284" spans="1:1" x14ac:dyDescent="0.25">
      <c r="A826284" s="242"/>
    </row>
    <row r="826285" spans="1:1" x14ac:dyDescent="0.25">
      <c r="A826285" s="242"/>
    </row>
    <row r="826286" spans="1:1" x14ac:dyDescent="0.25">
      <c r="A826286" s="242"/>
    </row>
    <row r="826287" spans="1:1" x14ac:dyDescent="0.25">
      <c r="A826287" s="242"/>
    </row>
    <row r="826288" spans="1:1" x14ac:dyDescent="0.25">
      <c r="A826288" s="242"/>
    </row>
    <row r="826289" spans="1:1" x14ac:dyDescent="0.25">
      <c r="A826289" s="242"/>
    </row>
    <row r="826290" spans="1:1" x14ac:dyDescent="0.25">
      <c r="A826290" s="242"/>
    </row>
    <row r="826291" spans="1:1" x14ac:dyDescent="0.25">
      <c r="A826291" s="242"/>
    </row>
    <row r="826292" spans="1:1" x14ac:dyDescent="0.25">
      <c r="A826292" s="242"/>
    </row>
    <row r="826293" spans="1:1" x14ac:dyDescent="0.25">
      <c r="A826293" s="242"/>
    </row>
    <row r="826294" spans="1:1" x14ac:dyDescent="0.25">
      <c r="A826294" s="242"/>
    </row>
    <row r="826295" spans="1:1" x14ac:dyDescent="0.25">
      <c r="A826295" s="242"/>
    </row>
    <row r="826296" spans="1:1" x14ac:dyDescent="0.25">
      <c r="A826296" s="242"/>
    </row>
    <row r="826297" spans="1:1" x14ac:dyDescent="0.25">
      <c r="A826297" s="242"/>
    </row>
    <row r="826298" spans="1:1" x14ac:dyDescent="0.25">
      <c r="A826298" s="242"/>
    </row>
    <row r="826299" spans="1:1" x14ac:dyDescent="0.25">
      <c r="A826299" s="242"/>
    </row>
    <row r="826300" spans="1:1" x14ac:dyDescent="0.25">
      <c r="A826300" s="242"/>
    </row>
    <row r="826301" spans="1:1" x14ac:dyDescent="0.25">
      <c r="A826301" s="242"/>
    </row>
    <row r="826302" spans="1:1" x14ac:dyDescent="0.25">
      <c r="A826302" s="242"/>
    </row>
    <row r="826303" spans="1:1" x14ac:dyDescent="0.25">
      <c r="A826303" s="242"/>
    </row>
    <row r="826304" spans="1:1" x14ac:dyDescent="0.25">
      <c r="A826304" s="242"/>
    </row>
    <row r="826305" spans="1:1" x14ac:dyDescent="0.25">
      <c r="A826305" s="242"/>
    </row>
    <row r="826306" spans="1:1" x14ac:dyDescent="0.25">
      <c r="A826306" s="242"/>
    </row>
    <row r="826307" spans="1:1" x14ac:dyDescent="0.25">
      <c r="A826307" s="242"/>
    </row>
    <row r="826308" spans="1:1" x14ac:dyDescent="0.25">
      <c r="A826308" s="242"/>
    </row>
    <row r="826309" spans="1:1" x14ac:dyDescent="0.25">
      <c r="A826309" s="242"/>
    </row>
    <row r="826310" spans="1:1" x14ac:dyDescent="0.25">
      <c r="A826310" s="242"/>
    </row>
    <row r="826311" spans="1:1" x14ac:dyDescent="0.25">
      <c r="A826311" s="242"/>
    </row>
    <row r="826312" spans="1:1" x14ac:dyDescent="0.25">
      <c r="A826312" s="242"/>
    </row>
    <row r="826313" spans="1:1" x14ac:dyDescent="0.25">
      <c r="A826313" s="242"/>
    </row>
    <row r="826314" spans="1:1" x14ac:dyDescent="0.25">
      <c r="A826314" s="242"/>
    </row>
    <row r="826315" spans="1:1" x14ac:dyDescent="0.25">
      <c r="A826315" s="242"/>
    </row>
    <row r="826316" spans="1:1" x14ac:dyDescent="0.25">
      <c r="A826316" s="242"/>
    </row>
    <row r="826317" spans="1:1" x14ac:dyDescent="0.25">
      <c r="A826317" s="242"/>
    </row>
    <row r="826318" spans="1:1" x14ac:dyDescent="0.25">
      <c r="A826318" s="242"/>
    </row>
    <row r="826319" spans="1:1" x14ac:dyDescent="0.25">
      <c r="A826319" s="242"/>
    </row>
    <row r="826320" spans="1:1" x14ac:dyDescent="0.25">
      <c r="A826320" s="242"/>
    </row>
    <row r="826321" spans="1:1" x14ac:dyDescent="0.25">
      <c r="A826321" s="242"/>
    </row>
    <row r="826322" spans="1:1" x14ac:dyDescent="0.25">
      <c r="A826322" s="242"/>
    </row>
    <row r="826323" spans="1:1" x14ac:dyDescent="0.25">
      <c r="A826323" s="242"/>
    </row>
    <row r="826324" spans="1:1" x14ac:dyDescent="0.25">
      <c r="A826324" s="242"/>
    </row>
    <row r="826325" spans="1:1" x14ac:dyDescent="0.25">
      <c r="A826325" s="242"/>
    </row>
    <row r="826326" spans="1:1" x14ac:dyDescent="0.25">
      <c r="A826326" s="242"/>
    </row>
    <row r="826327" spans="1:1" x14ac:dyDescent="0.25">
      <c r="A826327" s="242"/>
    </row>
    <row r="826328" spans="1:1" x14ac:dyDescent="0.25">
      <c r="A826328" s="242"/>
    </row>
    <row r="826329" spans="1:1" x14ac:dyDescent="0.25">
      <c r="A826329" s="242"/>
    </row>
    <row r="826330" spans="1:1" x14ac:dyDescent="0.25">
      <c r="A826330" s="242"/>
    </row>
    <row r="826331" spans="1:1" x14ac:dyDescent="0.25">
      <c r="A826331" s="242"/>
    </row>
    <row r="826332" spans="1:1" x14ac:dyDescent="0.25">
      <c r="A826332" s="242"/>
    </row>
    <row r="826333" spans="1:1" x14ac:dyDescent="0.25">
      <c r="A826333" s="242"/>
    </row>
    <row r="826334" spans="1:1" x14ac:dyDescent="0.25">
      <c r="A826334" s="242"/>
    </row>
    <row r="826335" spans="1:1" x14ac:dyDescent="0.25">
      <c r="A826335" s="242"/>
    </row>
    <row r="826336" spans="1:1" x14ac:dyDescent="0.25">
      <c r="A826336" s="242"/>
    </row>
    <row r="826337" spans="1:1" x14ac:dyDescent="0.25">
      <c r="A826337" s="242"/>
    </row>
    <row r="826338" spans="1:1" x14ac:dyDescent="0.25">
      <c r="A826338" s="242"/>
    </row>
    <row r="826339" spans="1:1" x14ac:dyDescent="0.25">
      <c r="A826339" s="242"/>
    </row>
    <row r="826340" spans="1:1" x14ac:dyDescent="0.25">
      <c r="A826340" s="242"/>
    </row>
    <row r="826341" spans="1:1" x14ac:dyDescent="0.25">
      <c r="A826341" s="242"/>
    </row>
    <row r="826342" spans="1:1" x14ac:dyDescent="0.25">
      <c r="A826342" s="242"/>
    </row>
    <row r="826343" spans="1:1" x14ac:dyDescent="0.25">
      <c r="A826343" s="242"/>
    </row>
    <row r="826344" spans="1:1" x14ac:dyDescent="0.25">
      <c r="A826344" s="242"/>
    </row>
    <row r="826345" spans="1:1" x14ac:dyDescent="0.25">
      <c r="A826345" s="242"/>
    </row>
    <row r="826346" spans="1:1" x14ac:dyDescent="0.25">
      <c r="A826346" s="242"/>
    </row>
    <row r="826347" spans="1:1" x14ac:dyDescent="0.25">
      <c r="A826347" s="242"/>
    </row>
    <row r="826348" spans="1:1" x14ac:dyDescent="0.25">
      <c r="A826348" s="242"/>
    </row>
    <row r="826349" spans="1:1" x14ac:dyDescent="0.25">
      <c r="A826349" s="242"/>
    </row>
    <row r="826350" spans="1:1" x14ac:dyDescent="0.25">
      <c r="A826350" s="242"/>
    </row>
    <row r="826351" spans="1:1" x14ac:dyDescent="0.25">
      <c r="A826351" s="242"/>
    </row>
    <row r="826352" spans="1:1" x14ac:dyDescent="0.25">
      <c r="A826352" s="242"/>
    </row>
    <row r="826353" spans="1:1" x14ac:dyDescent="0.25">
      <c r="A826353" s="242"/>
    </row>
    <row r="826354" spans="1:1" x14ac:dyDescent="0.25">
      <c r="A826354" s="242"/>
    </row>
    <row r="826355" spans="1:1" x14ac:dyDescent="0.25">
      <c r="A826355" s="242"/>
    </row>
    <row r="826356" spans="1:1" x14ac:dyDescent="0.25">
      <c r="A826356" s="242"/>
    </row>
    <row r="826357" spans="1:1" x14ac:dyDescent="0.25">
      <c r="A826357" s="242"/>
    </row>
    <row r="826358" spans="1:1" x14ac:dyDescent="0.25">
      <c r="A826358" s="242"/>
    </row>
    <row r="826359" spans="1:1" x14ac:dyDescent="0.25">
      <c r="A826359" s="242"/>
    </row>
    <row r="826360" spans="1:1" x14ac:dyDescent="0.25">
      <c r="A826360" s="242"/>
    </row>
    <row r="826361" spans="1:1" x14ac:dyDescent="0.25">
      <c r="A826361" s="242"/>
    </row>
    <row r="826362" spans="1:1" x14ac:dyDescent="0.25">
      <c r="A826362" s="242"/>
    </row>
    <row r="826363" spans="1:1" x14ac:dyDescent="0.25">
      <c r="A826363" s="242"/>
    </row>
    <row r="826364" spans="1:1" x14ac:dyDescent="0.25">
      <c r="A826364" s="242"/>
    </row>
    <row r="826365" spans="1:1" x14ac:dyDescent="0.25">
      <c r="A826365" s="242"/>
    </row>
    <row r="826366" spans="1:1" x14ac:dyDescent="0.25">
      <c r="A826366" s="242"/>
    </row>
    <row r="826367" spans="1:1" x14ac:dyDescent="0.25">
      <c r="A826367" s="242"/>
    </row>
    <row r="826368" spans="1:1" x14ac:dyDescent="0.25">
      <c r="A826368" s="242"/>
    </row>
    <row r="826369" spans="1:1" x14ac:dyDescent="0.25">
      <c r="A826369" s="242"/>
    </row>
    <row r="826370" spans="1:1" x14ac:dyDescent="0.25">
      <c r="A826370" s="242"/>
    </row>
    <row r="826371" spans="1:1" x14ac:dyDescent="0.25">
      <c r="A826371" s="242"/>
    </row>
    <row r="826372" spans="1:1" x14ac:dyDescent="0.25">
      <c r="A826372" s="242"/>
    </row>
    <row r="826373" spans="1:1" x14ac:dyDescent="0.25">
      <c r="A826373" s="242"/>
    </row>
    <row r="826374" spans="1:1" x14ac:dyDescent="0.25">
      <c r="A826374" s="242"/>
    </row>
    <row r="826375" spans="1:1" x14ac:dyDescent="0.25">
      <c r="A826375" s="242"/>
    </row>
    <row r="826376" spans="1:1" x14ac:dyDescent="0.25">
      <c r="A826376" s="242"/>
    </row>
    <row r="826377" spans="1:1" x14ac:dyDescent="0.25">
      <c r="A826377" s="242"/>
    </row>
    <row r="826378" spans="1:1" x14ac:dyDescent="0.25">
      <c r="A826378" s="242"/>
    </row>
    <row r="826379" spans="1:1" x14ac:dyDescent="0.25">
      <c r="A826379" s="242"/>
    </row>
    <row r="826380" spans="1:1" x14ac:dyDescent="0.25">
      <c r="A826380" s="242"/>
    </row>
    <row r="826381" spans="1:1" x14ac:dyDescent="0.25">
      <c r="A826381" s="242"/>
    </row>
    <row r="826382" spans="1:1" x14ac:dyDescent="0.25">
      <c r="A826382" s="242"/>
    </row>
    <row r="826383" spans="1:1" x14ac:dyDescent="0.25">
      <c r="A826383" s="242"/>
    </row>
    <row r="826384" spans="1:1" x14ac:dyDescent="0.25">
      <c r="A826384" s="242"/>
    </row>
    <row r="826385" spans="1:1" x14ac:dyDescent="0.25">
      <c r="A826385" s="242"/>
    </row>
    <row r="826386" spans="1:1" x14ac:dyDescent="0.25">
      <c r="A826386" s="242"/>
    </row>
    <row r="826387" spans="1:1" x14ac:dyDescent="0.25">
      <c r="A826387" s="242"/>
    </row>
    <row r="826388" spans="1:1" x14ac:dyDescent="0.25">
      <c r="A826388" s="242"/>
    </row>
    <row r="826389" spans="1:1" x14ac:dyDescent="0.25">
      <c r="A826389" s="242"/>
    </row>
    <row r="826390" spans="1:1" x14ac:dyDescent="0.25">
      <c r="A826390" s="242"/>
    </row>
    <row r="826391" spans="1:1" x14ac:dyDescent="0.25">
      <c r="A826391" s="242"/>
    </row>
    <row r="826392" spans="1:1" x14ac:dyDescent="0.25">
      <c r="A826392" s="242"/>
    </row>
    <row r="826393" spans="1:1" x14ac:dyDescent="0.25">
      <c r="A826393" s="242"/>
    </row>
    <row r="826394" spans="1:1" x14ac:dyDescent="0.25">
      <c r="A826394" s="242"/>
    </row>
    <row r="826395" spans="1:1" x14ac:dyDescent="0.25">
      <c r="A826395" s="242"/>
    </row>
    <row r="826396" spans="1:1" x14ac:dyDescent="0.25">
      <c r="A826396" s="242"/>
    </row>
    <row r="826397" spans="1:1" x14ac:dyDescent="0.25">
      <c r="A826397" s="242"/>
    </row>
    <row r="826398" spans="1:1" x14ac:dyDescent="0.25">
      <c r="A826398" s="242"/>
    </row>
    <row r="826399" spans="1:1" x14ac:dyDescent="0.25">
      <c r="A826399" s="242"/>
    </row>
    <row r="826400" spans="1:1" x14ac:dyDescent="0.25">
      <c r="A826400" s="242"/>
    </row>
    <row r="826401" spans="1:1" x14ac:dyDescent="0.25">
      <c r="A826401" s="242"/>
    </row>
    <row r="826402" spans="1:1" x14ac:dyDescent="0.25">
      <c r="A826402" s="242"/>
    </row>
    <row r="826403" spans="1:1" x14ac:dyDescent="0.25">
      <c r="A826403" s="242"/>
    </row>
    <row r="826404" spans="1:1" x14ac:dyDescent="0.25">
      <c r="A826404" s="242"/>
    </row>
    <row r="826405" spans="1:1" x14ac:dyDescent="0.25">
      <c r="A826405" s="242"/>
    </row>
    <row r="826406" spans="1:1" x14ac:dyDescent="0.25">
      <c r="A826406" s="242"/>
    </row>
    <row r="826407" spans="1:1" x14ac:dyDescent="0.25">
      <c r="A826407" s="242"/>
    </row>
    <row r="826408" spans="1:1" x14ac:dyDescent="0.25">
      <c r="A826408" s="242"/>
    </row>
    <row r="826409" spans="1:1" x14ac:dyDescent="0.25">
      <c r="A826409" s="242"/>
    </row>
    <row r="826410" spans="1:1" x14ac:dyDescent="0.25">
      <c r="A826410" s="242"/>
    </row>
    <row r="826411" spans="1:1" x14ac:dyDescent="0.25">
      <c r="A826411" s="242"/>
    </row>
    <row r="826412" spans="1:1" x14ac:dyDescent="0.25">
      <c r="A826412" s="242"/>
    </row>
    <row r="826413" spans="1:1" x14ac:dyDescent="0.25">
      <c r="A826413" s="242"/>
    </row>
    <row r="826414" spans="1:1" x14ac:dyDescent="0.25">
      <c r="A826414" s="242"/>
    </row>
    <row r="826415" spans="1:1" x14ac:dyDescent="0.25">
      <c r="A826415" s="242"/>
    </row>
    <row r="826416" spans="1:1" x14ac:dyDescent="0.25">
      <c r="A826416" s="242"/>
    </row>
    <row r="826417" spans="1:1" x14ac:dyDescent="0.25">
      <c r="A826417" s="242"/>
    </row>
    <row r="826418" spans="1:1" x14ac:dyDescent="0.25">
      <c r="A826418" s="242"/>
    </row>
    <row r="826419" spans="1:1" x14ac:dyDescent="0.25">
      <c r="A826419" s="242"/>
    </row>
    <row r="826420" spans="1:1" x14ac:dyDescent="0.25">
      <c r="A826420" s="242"/>
    </row>
    <row r="826421" spans="1:1" x14ac:dyDescent="0.25">
      <c r="A826421" s="242"/>
    </row>
    <row r="826422" spans="1:1" x14ac:dyDescent="0.25">
      <c r="A826422" s="242"/>
    </row>
    <row r="826423" spans="1:1" x14ac:dyDescent="0.25">
      <c r="A826423" s="242"/>
    </row>
    <row r="826424" spans="1:1" x14ac:dyDescent="0.25">
      <c r="A826424" s="242"/>
    </row>
    <row r="826425" spans="1:1" x14ac:dyDescent="0.25">
      <c r="A826425" s="242"/>
    </row>
    <row r="826426" spans="1:1" x14ac:dyDescent="0.25">
      <c r="A826426" s="242"/>
    </row>
    <row r="826427" spans="1:1" x14ac:dyDescent="0.25">
      <c r="A826427" s="242"/>
    </row>
    <row r="826428" spans="1:1" x14ac:dyDescent="0.25">
      <c r="A826428" s="242"/>
    </row>
    <row r="826429" spans="1:1" x14ac:dyDescent="0.25">
      <c r="A826429" s="242"/>
    </row>
    <row r="826430" spans="1:1" x14ac:dyDescent="0.25">
      <c r="A826430" s="242"/>
    </row>
    <row r="826431" spans="1:1" x14ac:dyDescent="0.25">
      <c r="A826431" s="242"/>
    </row>
    <row r="826432" spans="1:1" x14ac:dyDescent="0.25">
      <c r="A826432" s="242"/>
    </row>
    <row r="826433" spans="1:1" x14ac:dyDescent="0.25">
      <c r="A826433" s="242"/>
    </row>
    <row r="826434" spans="1:1" x14ac:dyDescent="0.25">
      <c r="A826434" s="242"/>
    </row>
    <row r="826435" spans="1:1" x14ac:dyDescent="0.25">
      <c r="A826435" s="242"/>
    </row>
    <row r="826436" spans="1:1" x14ac:dyDescent="0.25">
      <c r="A826436" s="242"/>
    </row>
    <row r="826437" spans="1:1" x14ac:dyDescent="0.25">
      <c r="A826437" s="242"/>
    </row>
    <row r="826438" spans="1:1" x14ac:dyDescent="0.25">
      <c r="A826438" s="242"/>
    </row>
    <row r="826439" spans="1:1" x14ac:dyDescent="0.25">
      <c r="A826439" s="242"/>
    </row>
    <row r="826440" spans="1:1" x14ac:dyDescent="0.25">
      <c r="A826440" s="242"/>
    </row>
    <row r="826441" spans="1:1" x14ac:dyDescent="0.25">
      <c r="A826441" s="242"/>
    </row>
    <row r="826442" spans="1:1" x14ac:dyDescent="0.25">
      <c r="A826442" s="242"/>
    </row>
    <row r="826443" spans="1:1" x14ac:dyDescent="0.25">
      <c r="A826443" s="242"/>
    </row>
    <row r="826444" spans="1:1" x14ac:dyDescent="0.25">
      <c r="A826444" s="242"/>
    </row>
    <row r="826445" spans="1:1" x14ac:dyDescent="0.25">
      <c r="A826445" s="242"/>
    </row>
    <row r="826446" spans="1:1" x14ac:dyDescent="0.25">
      <c r="A826446" s="242"/>
    </row>
    <row r="826447" spans="1:1" x14ac:dyDescent="0.25">
      <c r="A826447" s="242"/>
    </row>
    <row r="826448" spans="1:1" x14ac:dyDescent="0.25">
      <c r="A826448" s="242"/>
    </row>
    <row r="826449" spans="1:1" x14ac:dyDescent="0.25">
      <c r="A826449" s="242"/>
    </row>
    <row r="826450" spans="1:1" x14ac:dyDescent="0.25">
      <c r="A826450" s="242"/>
    </row>
    <row r="826451" spans="1:1" x14ac:dyDescent="0.25">
      <c r="A826451" s="242"/>
    </row>
    <row r="826452" spans="1:1" x14ac:dyDescent="0.25">
      <c r="A826452" s="242"/>
    </row>
    <row r="826453" spans="1:1" x14ac:dyDescent="0.25">
      <c r="A826453" s="242"/>
    </row>
    <row r="826454" spans="1:1" x14ac:dyDescent="0.25">
      <c r="A826454" s="242"/>
    </row>
    <row r="826455" spans="1:1" x14ac:dyDescent="0.25">
      <c r="A826455" s="242"/>
    </row>
    <row r="826456" spans="1:1" x14ac:dyDescent="0.25">
      <c r="A826456" s="242"/>
    </row>
    <row r="826457" spans="1:1" x14ac:dyDescent="0.25">
      <c r="A826457" s="242"/>
    </row>
    <row r="826458" spans="1:1" x14ac:dyDescent="0.25">
      <c r="A826458" s="242"/>
    </row>
    <row r="826459" spans="1:1" x14ac:dyDescent="0.25">
      <c r="A826459" s="242"/>
    </row>
    <row r="826460" spans="1:1" x14ac:dyDescent="0.25">
      <c r="A826460" s="242"/>
    </row>
    <row r="826461" spans="1:1" x14ac:dyDescent="0.25">
      <c r="A826461" s="242"/>
    </row>
    <row r="826462" spans="1:1" x14ac:dyDescent="0.25">
      <c r="A826462" s="242"/>
    </row>
    <row r="826463" spans="1:1" x14ac:dyDescent="0.25">
      <c r="A826463" s="242"/>
    </row>
    <row r="826464" spans="1:1" x14ac:dyDescent="0.25">
      <c r="A826464" s="242"/>
    </row>
    <row r="826465" spans="1:1" x14ac:dyDescent="0.25">
      <c r="A826465" s="242"/>
    </row>
    <row r="826466" spans="1:1" x14ac:dyDescent="0.25">
      <c r="A826466" s="242"/>
    </row>
    <row r="826467" spans="1:1" x14ac:dyDescent="0.25">
      <c r="A826467" s="242"/>
    </row>
    <row r="826468" spans="1:1" x14ac:dyDescent="0.25">
      <c r="A826468" s="242"/>
    </row>
    <row r="826469" spans="1:1" x14ac:dyDescent="0.25">
      <c r="A826469" s="242"/>
    </row>
    <row r="826470" spans="1:1" x14ac:dyDescent="0.25">
      <c r="A826470" s="242"/>
    </row>
    <row r="826471" spans="1:1" x14ac:dyDescent="0.25">
      <c r="A826471" s="242"/>
    </row>
    <row r="826472" spans="1:1" x14ac:dyDescent="0.25">
      <c r="A826472" s="242"/>
    </row>
    <row r="826473" spans="1:1" x14ac:dyDescent="0.25">
      <c r="A826473" s="242"/>
    </row>
    <row r="826474" spans="1:1" x14ac:dyDescent="0.25">
      <c r="A826474" s="242"/>
    </row>
    <row r="826475" spans="1:1" x14ac:dyDescent="0.25">
      <c r="A826475" s="242"/>
    </row>
    <row r="826476" spans="1:1" x14ac:dyDescent="0.25">
      <c r="A826476" s="242"/>
    </row>
    <row r="826477" spans="1:1" x14ac:dyDescent="0.25">
      <c r="A826477" s="242"/>
    </row>
    <row r="826478" spans="1:1" x14ac:dyDescent="0.25">
      <c r="A826478" s="242"/>
    </row>
    <row r="826479" spans="1:1" x14ac:dyDescent="0.25">
      <c r="A826479" s="242"/>
    </row>
    <row r="826480" spans="1:1" x14ac:dyDescent="0.25">
      <c r="A826480" s="242"/>
    </row>
    <row r="826481" spans="1:1" x14ac:dyDescent="0.25">
      <c r="A826481" s="242"/>
    </row>
    <row r="826482" spans="1:1" x14ac:dyDescent="0.25">
      <c r="A826482" s="242"/>
    </row>
    <row r="826483" spans="1:1" x14ac:dyDescent="0.25">
      <c r="A826483" s="242"/>
    </row>
    <row r="826484" spans="1:1" x14ac:dyDescent="0.25">
      <c r="A826484" s="242"/>
    </row>
    <row r="826485" spans="1:1" x14ac:dyDescent="0.25">
      <c r="A826485" s="242"/>
    </row>
    <row r="826486" spans="1:1" x14ac:dyDescent="0.25">
      <c r="A826486" s="242"/>
    </row>
    <row r="826487" spans="1:1" x14ac:dyDescent="0.25">
      <c r="A826487" s="242"/>
    </row>
    <row r="826488" spans="1:1" x14ac:dyDescent="0.25">
      <c r="A826488" s="242"/>
    </row>
    <row r="826489" spans="1:1" x14ac:dyDescent="0.25">
      <c r="A826489" s="242"/>
    </row>
    <row r="826490" spans="1:1" x14ac:dyDescent="0.25">
      <c r="A826490" s="242"/>
    </row>
    <row r="826491" spans="1:1" x14ac:dyDescent="0.25">
      <c r="A826491" s="242"/>
    </row>
    <row r="826492" spans="1:1" x14ac:dyDescent="0.25">
      <c r="A826492" s="242"/>
    </row>
    <row r="826493" spans="1:1" x14ac:dyDescent="0.25">
      <c r="A826493" s="242"/>
    </row>
    <row r="826494" spans="1:1" x14ac:dyDescent="0.25">
      <c r="A826494" s="242"/>
    </row>
    <row r="826495" spans="1:1" x14ac:dyDescent="0.25">
      <c r="A826495" s="242"/>
    </row>
    <row r="826496" spans="1:1" x14ac:dyDescent="0.25">
      <c r="A826496" s="242"/>
    </row>
    <row r="826497" spans="1:1" x14ac:dyDescent="0.25">
      <c r="A826497" s="242"/>
    </row>
    <row r="826498" spans="1:1" x14ac:dyDescent="0.25">
      <c r="A826498" s="242"/>
    </row>
    <row r="826499" spans="1:1" x14ac:dyDescent="0.25">
      <c r="A826499" s="242"/>
    </row>
    <row r="826500" spans="1:1" x14ac:dyDescent="0.25">
      <c r="A826500" s="242"/>
    </row>
    <row r="826501" spans="1:1" x14ac:dyDescent="0.25">
      <c r="A826501" s="242"/>
    </row>
    <row r="826502" spans="1:1" x14ac:dyDescent="0.25">
      <c r="A826502" s="242"/>
    </row>
    <row r="826503" spans="1:1" x14ac:dyDescent="0.25">
      <c r="A826503" s="242"/>
    </row>
    <row r="826504" spans="1:1" x14ac:dyDescent="0.25">
      <c r="A826504" s="242"/>
    </row>
    <row r="826505" spans="1:1" x14ac:dyDescent="0.25">
      <c r="A826505" s="242"/>
    </row>
    <row r="826506" spans="1:1" x14ac:dyDescent="0.25">
      <c r="A826506" s="242"/>
    </row>
    <row r="826507" spans="1:1" x14ac:dyDescent="0.25">
      <c r="A826507" s="242"/>
    </row>
    <row r="826508" spans="1:1" x14ac:dyDescent="0.25">
      <c r="A826508" s="242"/>
    </row>
    <row r="826509" spans="1:1" x14ac:dyDescent="0.25">
      <c r="A826509" s="242"/>
    </row>
    <row r="826510" spans="1:1" x14ac:dyDescent="0.25">
      <c r="A826510" s="242"/>
    </row>
    <row r="826511" spans="1:1" x14ac:dyDescent="0.25">
      <c r="A826511" s="242"/>
    </row>
    <row r="826512" spans="1:1" x14ac:dyDescent="0.25">
      <c r="A826512" s="242"/>
    </row>
    <row r="826513" spans="1:1" x14ac:dyDescent="0.25">
      <c r="A826513" s="242"/>
    </row>
    <row r="826514" spans="1:1" x14ac:dyDescent="0.25">
      <c r="A826514" s="242"/>
    </row>
    <row r="826515" spans="1:1" x14ac:dyDescent="0.25">
      <c r="A826515" s="242"/>
    </row>
    <row r="826516" spans="1:1" x14ac:dyDescent="0.25">
      <c r="A826516" s="242"/>
    </row>
    <row r="826517" spans="1:1" x14ac:dyDescent="0.25">
      <c r="A826517" s="242"/>
    </row>
    <row r="826518" spans="1:1" x14ac:dyDescent="0.25">
      <c r="A826518" s="242"/>
    </row>
    <row r="826519" spans="1:1" x14ac:dyDescent="0.25">
      <c r="A826519" s="242"/>
    </row>
    <row r="826520" spans="1:1" x14ac:dyDescent="0.25">
      <c r="A826520" s="242"/>
    </row>
    <row r="826521" spans="1:1" x14ac:dyDescent="0.25">
      <c r="A826521" s="242"/>
    </row>
    <row r="826522" spans="1:1" x14ac:dyDescent="0.25">
      <c r="A826522" s="242"/>
    </row>
    <row r="826523" spans="1:1" x14ac:dyDescent="0.25">
      <c r="A826523" s="242"/>
    </row>
    <row r="826524" spans="1:1" x14ac:dyDescent="0.25">
      <c r="A826524" s="242"/>
    </row>
    <row r="826525" spans="1:1" x14ac:dyDescent="0.25">
      <c r="A826525" s="242"/>
    </row>
    <row r="826526" spans="1:1" x14ac:dyDescent="0.25">
      <c r="A826526" s="242"/>
    </row>
    <row r="826527" spans="1:1" x14ac:dyDescent="0.25">
      <c r="A826527" s="242"/>
    </row>
    <row r="826528" spans="1:1" x14ac:dyDescent="0.25">
      <c r="A826528" s="242"/>
    </row>
    <row r="826529" spans="1:1" x14ac:dyDescent="0.25">
      <c r="A826529" s="242"/>
    </row>
    <row r="826530" spans="1:1" x14ac:dyDescent="0.25">
      <c r="A826530" s="242"/>
    </row>
    <row r="826531" spans="1:1" x14ac:dyDescent="0.25">
      <c r="A826531" s="242"/>
    </row>
    <row r="826532" spans="1:1" x14ac:dyDescent="0.25">
      <c r="A826532" s="242"/>
    </row>
    <row r="826533" spans="1:1" x14ac:dyDescent="0.25">
      <c r="A826533" s="242"/>
    </row>
    <row r="826534" spans="1:1" x14ac:dyDescent="0.25">
      <c r="A826534" s="242"/>
    </row>
    <row r="826535" spans="1:1" x14ac:dyDescent="0.25">
      <c r="A826535" s="242"/>
    </row>
    <row r="826536" spans="1:1" x14ac:dyDescent="0.25">
      <c r="A826536" s="242"/>
    </row>
    <row r="826537" spans="1:1" x14ac:dyDescent="0.25">
      <c r="A826537" s="242"/>
    </row>
    <row r="826538" spans="1:1" x14ac:dyDescent="0.25">
      <c r="A826538" s="242"/>
    </row>
    <row r="826539" spans="1:1" x14ac:dyDescent="0.25">
      <c r="A826539" s="242"/>
    </row>
    <row r="826540" spans="1:1" x14ac:dyDescent="0.25">
      <c r="A826540" s="242"/>
    </row>
    <row r="826541" spans="1:1" x14ac:dyDescent="0.25">
      <c r="A826541" s="242"/>
    </row>
    <row r="826542" spans="1:1" x14ac:dyDescent="0.25">
      <c r="A826542" s="242"/>
    </row>
    <row r="826543" spans="1:1" x14ac:dyDescent="0.25">
      <c r="A826543" s="242"/>
    </row>
    <row r="826544" spans="1:1" x14ac:dyDescent="0.25">
      <c r="A826544" s="242"/>
    </row>
    <row r="826545" spans="1:1" x14ac:dyDescent="0.25">
      <c r="A826545" s="242"/>
    </row>
    <row r="826546" spans="1:1" x14ac:dyDescent="0.25">
      <c r="A826546" s="242"/>
    </row>
    <row r="826547" spans="1:1" x14ac:dyDescent="0.25">
      <c r="A826547" s="242"/>
    </row>
    <row r="826548" spans="1:1" x14ac:dyDescent="0.25">
      <c r="A826548" s="242"/>
    </row>
    <row r="826549" spans="1:1" x14ac:dyDescent="0.25">
      <c r="A826549" s="242"/>
    </row>
    <row r="826550" spans="1:1" x14ac:dyDescent="0.25">
      <c r="A826550" s="242"/>
    </row>
    <row r="826551" spans="1:1" x14ac:dyDescent="0.25">
      <c r="A826551" s="242"/>
    </row>
    <row r="826552" spans="1:1" x14ac:dyDescent="0.25">
      <c r="A826552" s="242"/>
    </row>
    <row r="826553" spans="1:1" x14ac:dyDescent="0.25">
      <c r="A826553" s="242"/>
    </row>
    <row r="826554" spans="1:1" x14ac:dyDescent="0.25">
      <c r="A826554" s="242"/>
    </row>
    <row r="826555" spans="1:1" x14ac:dyDescent="0.25">
      <c r="A826555" s="242"/>
    </row>
    <row r="826556" spans="1:1" x14ac:dyDescent="0.25">
      <c r="A826556" s="242"/>
    </row>
    <row r="826557" spans="1:1" x14ac:dyDescent="0.25">
      <c r="A826557" s="242"/>
    </row>
    <row r="826558" spans="1:1" x14ac:dyDescent="0.25">
      <c r="A826558" s="242"/>
    </row>
    <row r="826559" spans="1:1" x14ac:dyDescent="0.25">
      <c r="A826559" s="242"/>
    </row>
    <row r="826560" spans="1:1" x14ac:dyDescent="0.25">
      <c r="A826560" s="242"/>
    </row>
    <row r="826561" spans="1:1" x14ac:dyDescent="0.25">
      <c r="A826561" s="242"/>
    </row>
    <row r="826562" spans="1:1" x14ac:dyDescent="0.25">
      <c r="A826562" s="242"/>
    </row>
    <row r="826563" spans="1:1" x14ac:dyDescent="0.25">
      <c r="A826563" s="242"/>
    </row>
    <row r="826564" spans="1:1" x14ac:dyDescent="0.25">
      <c r="A826564" s="242"/>
    </row>
    <row r="826565" spans="1:1" x14ac:dyDescent="0.25">
      <c r="A826565" s="242"/>
    </row>
    <row r="826566" spans="1:1" x14ac:dyDescent="0.25">
      <c r="A826566" s="242"/>
    </row>
    <row r="826567" spans="1:1" x14ac:dyDescent="0.25">
      <c r="A826567" s="242"/>
    </row>
    <row r="826568" spans="1:1" x14ac:dyDescent="0.25">
      <c r="A826568" s="242"/>
    </row>
    <row r="826569" spans="1:1" x14ac:dyDescent="0.25">
      <c r="A826569" s="242"/>
    </row>
    <row r="826570" spans="1:1" x14ac:dyDescent="0.25">
      <c r="A826570" s="242"/>
    </row>
    <row r="826571" spans="1:1" x14ac:dyDescent="0.25">
      <c r="A826571" s="242"/>
    </row>
    <row r="826572" spans="1:1" x14ac:dyDescent="0.25">
      <c r="A826572" s="242"/>
    </row>
    <row r="826573" spans="1:1" x14ac:dyDescent="0.25">
      <c r="A826573" s="242"/>
    </row>
    <row r="826574" spans="1:1" x14ac:dyDescent="0.25">
      <c r="A826574" s="242"/>
    </row>
    <row r="826575" spans="1:1" x14ac:dyDescent="0.25">
      <c r="A826575" s="242"/>
    </row>
    <row r="826576" spans="1:1" x14ac:dyDescent="0.25">
      <c r="A826576" s="242"/>
    </row>
    <row r="826577" spans="1:1" x14ac:dyDescent="0.25">
      <c r="A826577" s="242"/>
    </row>
    <row r="826578" spans="1:1" x14ac:dyDescent="0.25">
      <c r="A826578" s="242"/>
    </row>
    <row r="826579" spans="1:1" x14ac:dyDescent="0.25">
      <c r="A826579" s="242"/>
    </row>
    <row r="826580" spans="1:1" x14ac:dyDescent="0.25">
      <c r="A826580" s="242"/>
    </row>
    <row r="826581" spans="1:1" x14ac:dyDescent="0.25">
      <c r="A826581" s="242"/>
    </row>
    <row r="826582" spans="1:1" x14ac:dyDescent="0.25">
      <c r="A826582" s="242"/>
    </row>
    <row r="826583" spans="1:1" x14ac:dyDescent="0.25">
      <c r="A826583" s="242"/>
    </row>
    <row r="826584" spans="1:1" x14ac:dyDescent="0.25">
      <c r="A826584" s="242"/>
    </row>
    <row r="826585" spans="1:1" x14ac:dyDescent="0.25">
      <c r="A826585" s="242"/>
    </row>
    <row r="826586" spans="1:1" x14ac:dyDescent="0.25">
      <c r="A826586" s="242"/>
    </row>
    <row r="826587" spans="1:1" x14ac:dyDescent="0.25">
      <c r="A826587" s="242"/>
    </row>
    <row r="826588" spans="1:1" x14ac:dyDescent="0.25">
      <c r="A826588" s="242"/>
    </row>
    <row r="826589" spans="1:1" x14ac:dyDescent="0.25">
      <c r="A826589" s="242"/>
    </row>
    <row r="826590" spans="1:1" x14ac:dyDescent="0.25">
      <c r="A826590" s="242"/>
    </row>
    <row r="826591" spans="1:1" x14ac:dyDescent="0.25">
      <c r="A826591" s="242"/>
    </row>
    <row r="826592" spans="1:1" x14ac:dyDescent="0.25">
      <c r="A826592" s="242"/>
    </row>
    <row r="826593" spans="1:1" x14ac:dyDescent="0.25">
      <c r="A826593" s="242"/>
    </row>
    <row r="826594" spans="1:1" x14ac:dyDescent="0.25">
      <c r="A826594" s="242"/>
    </row>
    <row r="826595" spans="1:1" x14ac:dyDescent="0.25">
      <c r="A826595" s="242"/>
    </row>
    <row r="826596" spans="1:1" x14ac:dyDescent="0.25">
      <c r="A826596" s="242"/>
    </row>
    <row r="826597" spans="1:1" x14ac:dyDescent="0.25">
      <c r="A826597" s="242"/>
    </row>
    <row r="826598" spans="1:1" x14ac:dyDescent="0.25">
      <c r="A826598" s="242"/>
    </row>
    <row r="826599" spans="1:1" x14ac:dyDescent="0.25">
      <c r="A826599" s="242"/>
    </row>
    <row r="826600" spans="1:1" x14ac:dyDescent="0.25">
      <c r="A826600" s="242"/>
    </row>
    <row r="826601" spans="1:1" x14ac:dyDescent="0.25">
      <c r="A826601" s="242"/>
    </row>
    <row r="826602" spans="1:1" x14ac:dyDescent="0.25">
      <c r="A826602" s="242"/>
    </row>
    <row r="826603" spans="1:1" x14ac:dyDescent="0.25">
      <c r="A826603" s="242"/>
    </row>
    <row r="826604" spans="1:1" x14ac:dyDescent="0.25">
      <c r="A826604" s="242"/>
    </row>
    <row r="826605" spans="1:1" x14ac:dyDescent="0.25">
      <c r="A826605" s="242"/>
    </row>
    <row r="826606" spans="1:1" x14ac:dyDescent="0.25">
      <c r="A826606" s="242"/>
    </row>
    <row r="826607" spans="1:1" x14ac:dyDescent="0.25">
      <c r="A826607" s="242"/>
    </row>
    <row r="826608" spans="1:1" x14ac:dyDescent="0.25">
      <c r="A826608" s="242"/>
    </row>
    <row r="826609" spans="1:1" x14ac:dyDescent="0.25">
      <c r="A826609" s="242"/>
    </row>
    <row r="826610" spans="1:1" x14ac:dyDescent="0.25">
      <c r="A826610" s="242"/>
    </row>
    <row r="826611" spans="1:1" x14ac:dyDescent="0.25">
      <c r="A826611" s="242"/>
    </row>
    <row r="826612" spans="1:1" x14ac:dyDescent="0.25">
      <c r="A826612" s="242"/>
    </row>
    <row r="826613" spans="1:1" x14ac:dyDescent="0.25">
      <c r="A826613" s="242"/>
    </row>
    <row r="826614" spans="1:1" x14ac:dyDescent="0.25">
      <c r="A826614" s="242"/>
    </row>
    <row r="826615" spans="1:1" x14ac:dyDescent="0.25">
      <c r="A826615" s="242"/>
    </row>
    <row r="826616" spans="1:1" x14ac:dyDescent="0.25">
      <c r="A826616" s="242"/>
    </row>
    <row r="826617" spans="1:1" x14ac:dyDescent="0.25">
      <c r="A826617" s="242"/>
    </row>
    <row r="826618" spans="1:1" x14ac:dyDescent="0.25">
      <c r="A826618" s="242"/>
    </row>
    <row r="826619" spans="1:1" x14ac:dyDescent="0.25">
      <c r="A826619" s="242"/>
    </row>
    <row r="826620" spans="1:1" x14ac:dyDescent="0.25">
      <c r="A826620" s="242"/>
    </row>
    <row r="826621" spans="1:1" x14ac:dyDescent="0.25">
      <c r="A826621" s="242"/>
    </row>
    <row r="826622" spans="1:1" x14ac:dyDescent="0.25">
      <c r="A826622" s="242"/>
    </row>
    <row r="826623" spans="1:1" x14ac:dyDescent="0.25">
      <c r="A826623" s="242"/>
    </row>
    <row r="826624" spans="1:1" x14ac:dyDescent="0.25">
      <c r="A826624" s="242"/>
    </row>
    <row r="826625" spans="1:1" x14ac:dyDescent="0.25">
      <c r="A826625" s="242"/>
    </row>
    <row r="826626" spans="1:1" x14ac:dyDescent="0.25">
      <c r="A826626" s="242"/>
    </row>
    <row r="826627" spans="1:1" x14ac:dyDescent="0.25">
      <c r="A826627" s="242"/>
    </row>
    <row r="826628" spans="1:1" x14ac:dyDescent="0.25">
      <c r="A826628" s="242"/>
    </row>
    <row r="826629" spans="1:1" x14ac:dyDescent="0.25">
      <c r="A826629" s="242"/>
    </row>
    <row r="826630" spans="1:1" x14ac:dyDescent="0.25">
      <c r="A826630" s="242"/>
    </row>
    <row r="826631" spans="1:1" x14ac:dyDescent="0.25">
      <c r="A826631" s="242"/>
    </row>
    <row r="826632" spans="1:1" x14ac:dyDescent="0.25">
      <c r="A826632" s="242"/>
    </row>
    <row r="826633" spans="1:1" x14ac:dyDescent="0.25">
      <c r="A826633" s="242"/>
    </row>
    <row r="826634" spans="1:1" x14ac:dyDescent="0.25">
      <c r="A826634" s="242"/>
    </row>
    <row r="826635" spans="1:1" x14ac:dyDescent="0.25">
      <c r="A826635" s="242"/>
    </row>
    <row r="826636" spans="1:1" x14ac:dyDescent="0.25">
      <c r="A826636" s="242"/>
    </row>
    <row r="826637" spans="1:1" x14ac:dyDescent="0.25">
      <c r="A826637" s="242"/>
    </row>
    <row r="826638" spans="1:1" x14ac:dyDescent="0.25">
      <c r="A826638" s="242"/>
    </row>
    <row r="826639" spans="1:1" x14ac:dyDescent="0.25">
      <c r="A826639" s="242"/>
    </row>
    <row r="826640" spans="1:1" x14ac:dyDescent="0.25">
      <c r="A826640" s="242"/>
    </row>
    <row r="826641" spans="1:1" x14ac:dyDescent="0.25">
      <c r="A826641" s="242"/>
    </row>
    <row r="826642" spans="1:1" x14ac:dyDescent="0.25">
      <c r="A826642" s="242"/>
    </row>
    <row r="826643" spans="1:1" x14ac:dyDescent="0.25">
      <c r="A826643" s="242"/>
    </row>
    <row r="826644" spans="1:1" x14ac:dyDescent="0.25">
      <c r="A826644" s="242"/>
    </row>
    <row r="826645" spans="1:1" x14ac:dyDescent="0.25">
      <c r="A826645" s="242"/>
    </row>
    <row r="826646" spans="1:1" x14ac:dyDescent="0.25">
      <c r="A826646" s="242"/>
    </row>
    <row r="826647" spans="1:1" x14ac:dyDescent="0.25">
      <c r="A826647" s="242"/>
    </row>
    <row r="826648" spans="1:1" x14ac:dyDescent="0.25">
      <c r="A826648" s="242"/>
    </row>
    <row r="826649" spans="1:1" x14ac:dyDescent="0.25">
      <c r="A826649" s="242"/>
    </row>
    <row r="826650" spans="1:1" x14ac:dyDescent="0.25">
      <c r="A826650" s="242"/>
    </row>
    <row r="826651" spans="1:1" x14ac:dyDescent="0.25">
      <c r="A826651" s="242"/>
    </row>
    <row r="826652" spans="1:1" x14ac:dyDescent="0.25">
      <c r="A826652" s="242"/>
    </row>
    <row r="826653" spans="1:1" x14ac:dyDescent="0.25">
      <c r="A826653" s="242"/>
    </row>
    <row r="826654" spans="1:1" x14ac:dyDescent="0.25">
      <c r="A826654" s="242"/>
    </row>
    <row r="826655" spans="1:1" x14ac:dyDescent="0.25">
      <c r="A826655" s="242"/>
    </row>
    <row r="826656" spans="1:1" x14ac:dyDescent="0.25">
      <c r="A826656" s="242"/>
    </row>
    <row r="826657" spans="1:1" x14ac:dyDescent="0.25">
      <c r="A826657" s="242"/>
    </row>
    <row r="826658" spans="1:1" x14ac:dyDescent="0.25">
      <c r="A826658" s="242"/>
    </row>
    <row r="826659" spans="1:1" x14ac:dyDescent="0.25">
      <c r="A826659" s="242"/>
    </row>
    <row r="826660" spans="1:1" x14ac:dyDescent="0.25">
      <c r="A826660" s="242"/>
    </row>
    <row r="826661" spans="1:1" x14ac:dyDescent="0.25">
      <c r="A826661" s="242"/>
    </row>
    <row r="826662" spans="1:1" x14ac:dyDescent="0.25">
      <c r="A826662" s="242"/>
    </row>
    <row r="826663" spans="1:1" x14ac:dyDescent="0.25">
      <c r="A826663" s="242"/>
    </row>
    <row r="826664" spans="1:1" x14ac:dyDescent="0.25">
      <c r="A826664" s="242"/>
    </row>
    <row r="826665" spans="1:1" x14ac:dyDescent="0.25">
      <c r="A826665" s="242"/>
    </row>
    <row r="826666" spans="1:1" x14ac:dyDescent="0.25">
      <c r="A826666" s="242"/>
    </row>
    <row r="826667" spans="1:1" x14ac:dyDescent="0.25">
      <c r="A826667" s="242"/>
    </row>
    <row r="826668" spans="1:1" x14ac:dyDescent="0.25">
      <c r="A826668" s="242"/>
    </row>
    <row r="826669" spans="1:1" x14ac:dyDescent="0.25">
      <c r="A826669" s="242"/>
    </row>
    <row r="826670" spans="1:1" x14ac:dyDescent="0.25">
      <c r="A826670" s="242"/>
    </row>
    <row r="826671" spans="1:1" x14ac:dyDescent="0.25">
      <c r="A826671" s="242"/>
    </row>
    <row r="826672" spans="1:1" x14ac:dyDescent="0.25">
      <c r="A826672" s="242"/>
    </row>
    <row r="826673" spans="1:1" x14ac:dyDescent="0.25">
      <c r="A826673" s="242"/>
    </row>
    <row r="826674" spans="1:1" x14ac:dyDescent="0.25">
      <c r="A826674" s="242"/>
    </row>
    <row r="826675" spans="1:1" x14ac:dyDescent="0.25">
      <c r="A826675" s="242"/>
    </row>
    <row r="826676" spans="1:1" x14ac:dyDescent="0.25">
      <c r="A826676" s="242"/>
    </row>
    <row r="826677" spans="1:1" x14ac:dyDescent="0.25">
      <c r="A826677" s="242"/>
    </row>
    <row r="826678" spans="1:1" x14ac:dyDescent="0.25">
      <c r="A826678" s="242"/>
    </row>
    <row r="826679" spans="1:1" x14ac:dyDescent="0.25">
      <c r="A826679" s="242"/>
    </row>
    <row r="826680" spans="1:1" x14ac:dyDescent="0.25">
      <c r="A826680" s="242"/>
    </row>
    <row r="826681" spans="1:1" x14ac:dyDescent="0.25">
      <c r="A826681" s="242"/>
    </row>
    <row r="826682" spans="1:1" x14ac:dyDescent="0.25">
      <c r="A826682" s="242"/>
    </row>
    <row r="826683" spans="1:1" x14ac:dyDescent="0.25">
      <c r="A826683" s="242"/>
    </row>
    <row r="826684" spans="1:1" x14ac:dyDescent="0.25">
      <c r="A826684" s="242"/>
    </row>
    <row r="826685" spans="1:1" x14ac:dyDescent="0.25">
      <c r="A826685" s="242"/>
    </row>
    <row r="826686" spans="1:1" x14ac:dyDescent="0.25">
      <c r="A826686" s="242"/>
    </row>
    <row r="826687" spans="1:1" x14ac:dyDescent="0.25">
      <c r="A826687" s="242"/>
    </row>
    <row r="826688" spans="1:1" x14ac:dyDescent="0.25">
      <c r="A826688" s="242"/>
    </row>
    <row r="826689" spans="1:1" x14ac:dyDescent="0.25">
      <c r="A826689" s="242"/>
    </row>
    <row r="826690" spans="1:1" x14ac:dyDescent="0.25">
      <c r="A826690" s="242"/>
    </row>
    <row r="826691" spans="1:1" x14ac:dyDescent="0.25">
      <c r="A826691" s="242"/>
    </row>
    <row r="826692" spans="1:1" x14ac:dyDescent="0.25">
      <c r="A826692" s="242"/>
    </row>
    <row r="826693" spans="1:1" x14ac:dyDescent="0.25">
      <c r="A826693" s="242"/>
    </row>
    <row r="826694" spans="1:1" x14ac:dyDescent="0.25">
      <c r="A826694" s="242"/>
    </row>
    <row r="826695" spans="1:1" x14ac:dyDescent="0.25">
      <c r="A826695" s="242"/>
    </row>
    <row r="826696" spans="1:1" x14ac:dyDescent="0.25">
      <c r="A826696" s="242"/>
    </row>
    <row r="826697" spans="1:1" x14ac:dyDescent="0.25">
      <c r="A826697" s="242"/>
    </row>
    <row r="826698" spans="1:1" x14ac:dyDescent="0.25">
      <c r="A826698" s="242"/>
    </row>
    <row r="826699" spans="1:1" x14ac:dyDescent="0.25">
      <c r="A826699" s="242"/>
    </row>
    <row r="826700" spans="1:1" x14ac:dyDescent="0.25">
      <c r="A826700" s="242"/>
    </row>
    <row r="826701" spans="1:1" x14ac:dyDescent="0.25">
      <c r="A826701" s="242"/>
    </row>
    <row r="826702" spans="1:1" x14ac:dyDescent="0.25">
      <c r="A826702" s="242"/>
    </row>
    <row r="826703" spans="1:1" x14ac:dyDescent="0.25">
      <c r="A826703" s="242"/>
    </row>
    <row r="826704" spans="1:1" x14ac:dyDescent="0.25">
      <c r="A826704" s="242"/>
    </row>
    <row r="826705" spans="1:1" x14ac:dyDescent="0.25">
      <c r="A826705" s="242"/>
    </row>
    <row r="826706" spans="1:1" x14ac:dyDescent="0.25">
      <c r="A826706" s="242"/>
    </row>
    <row r="826707" spans="1:1" x14ac:dyDescent="0.25">
      <c r="A826707" s="242"/>
    </row>
    <row r="826708" spans="1:1" x14ac:dyDescent="0.25">
      <c r="A826708" s="242"/>
    </row>
    <row r="826709" spans="1:1" x14ac:dyDescent="0.25">
      <c r="A826709" s="242"/>
    </row>
    <row r="826710" spans="1:1" x14ac:dyDescent="0.25">
      <c r="A826710" s="242"/>
    </row>
    <row r="826711" spans="1:1" x14ac:dyDescent="0.25">
      <c r="A826711" s="242"/>
    </row>
    <row r="826712" spans="1:1" x14ac:dyDescent="0.25">
      <c r="A826712" s="242"/>
    </row>
    <row r="826713" spans="1:1" x14ac:dyDescent="0.25">
      <c r="A826713" s="242"/>
    </row>
    <row r="826714" spans="1:1" x14ac:dyDescent="0.25">
      <c r="A826714" s="242"/>
    </row>
    <row r="826715" spans="1:1" x14ac:dyDescent="0.25">
      <c r="A826715" s="242"/>
    </row>
    <row r="826716" spans="1:1" x14ac:dyDescent="0.25">
      <c r="A826716" s="242"/>
    </row>
    <row r="826717" spans="1:1" x14ac:dyDescent="0.25">
      <c r="A826717" s="242"/>
    </row>
    <row r="826718" spans="1:1" x14ac:dyDescent="0.25">
      <c r="A826718" s="242"/>
    </row>
    <row r="826719" spans="1:1" x14ac:dyDescent="0.25">
      <c r="A826719" s="242"/>
    </row>
    <row r="826720" spans="1:1" x14ac:dyDescent="0.25">
      <c r="A826720" s="242"/>
    </row>
    <row r="826721" spans="1:1" x14ac:dyDescent="0.25">
      <c r="A826721" s="242"/>
    </row>
    <row r="826722" spans="1:1" x14ac:dyDescent="0.25">
      <c r="A826722" s="242"/>
    </row>
    <row r="826723" spans="1:1" x14ac:dyDescent="0.25">
      <c r="A826723" s="242"/>
    </row>
    <row r="826724" spans="1:1" x14ac:dyDescent="0.25">
      <c r="A826724" s="242"/>
    </row>
    <row r="826725" spans="1:1" x14ac:dyDescent="0.25">
      <c r="A826725" s="242"/>
    </row>
    <row r="826726" spans="1:1" x14ac:dyDescent="0.25">
      <c r="A826726" s="242"/>
    </row>
    <row r="826727" spans="1:1" x14ac:dyDescent="0.25">
      <c r="A826727" s="242"/>
    </row>
    <row r="826728" spans="1:1" x14ac:dyDescent="0.25">
      <c r="A826728" s="242"/>
    </row>
    <row r="826729" spans="1:1" x14ac:dyDescent="0.25">
      <c r="A826729" s="242"/>
    </row>
    <row r="826730" spans="1:1" x14ac:dyDescent="0.25">
      <c r="A826730" s="242"/>
    </row>
    <row r="826731" spans="1:1" x14ac:dyDescent="0.25">
      <c r="A826731" s="242"/>
    </row>
    <row r="826732" spans="1:1" x14ac:dyDescent="0.25">
      <c r="A826732" s="242"/>
    </row>
    <row r="826733" spans="1:1" x14ac:dyDescent="0.25">
      <c r="A826733" s="242"/>
    </row>
    <row r="826734" spans="1:1" x14ac:dyDescent="0.25">
      <c r="A826734" s="242"/>
    </row>
    <row r="826735" spans="1:1" x14ac:dyDescent="0.25">
      <c r="A826735" s="242"/>
    </row>
    <row r="826736" spans="1:1" x14ac:dyDescent="0.25">
      <c r="A826736" s="242"/>
    </row>
    <row r="826737" spans="1:1" x14ac:dyDescent="0.25">
      <c r="A826737" s="242"/>
    </row>
    <row r="826738" spans="1:1" x14ac:dyDescent="0.25">
      <c r="A826738" s="242"/>
    </row>
    <row r="826739" spans="1:1" x14ac:dyDescent="0.25">
      <c r="A826739" s="242"/>
    </row>
    <row r="826740" spans="1:1" x14ac:dyDescent="0.25">
      <c r="A826740" s="242"/>
    </row>
    <row r="826741" spans="1:1" x14ac:dyDescent="0.25">
      <c r="A826741" s="242"/>
    </row>
    <row r="826742" spans="1:1" x14ac:dyDescent="0.25">
      <c r="A826742" s="242"/>
    </row>
    <row r="826743" spans="1:1" x14ac:dyDescent="0.25">
      <c r="A826743" s="242"/>
    </row>
    <row r="826744" spans="1:1" x14ac:dyDescent="0.25">
      <c r="A826744" s="242"/>
    </row>
    <row r="826745" spans="1:1" x14ac:dyDescent="0.25">
      <c r="A826745" s="242"/>
    </row>
    <row r="826746" spans="1:1" x14ac:dyDescent="0.25">
      <c r="A826746" s="242"/>
    </row>
    <row r="826747" spans="1:1" x14ac:dyDescent="0.25">
      <c r="A826747" s="242"/>
    </row>
    <row r="826748" spans="1:1" x14ac:dyDescent="0.25">
      <c r="A826748" s="242"/>
    </row>
    <row r="826749" spans="1:1" x14ac:dyDescent="0.25">
      <c r="A826749" s="242"/>
    </row>
    <row r="826750" spans="1:1" x14ac:dyDescent="0.25">
      <c r="A826750" s="242"/>
    </row>
    <row r="826751" spans="1:1" x14ac:dyDescent="0.25">
      <c r="A826751" s="242"/>
    </row>
    <row r="826752" spans="1:1" x14ac:dyDescent="0.25">
      <c r="A826752" s="242"/>
    </row>
    <row r="826753" spans="1:1" x14ac:dyDescent="0.25">
      <c r="A826753" s="242"/>
    </row>
    <row r="826754" spans="1:1" x14ac:dyDescent="0.25">
      <c r="A826754" s="242"/>
    </row>
    <row r="826755" spans="1:1" x14ac:dyDescent="0.25">
      <c r="A826755" s="242"/>
    </row>
    <row r="826756" spans="1:1" x14ac:dyDescent="0.25">
      <c r="A826756" s="242"/>
    </row>
    <row r="826757" spans="1:1" x14ac:dyDescent="0.25">
      <c r="A826757" s="242"/>
    </row>
    <row r="826758" spans="1:1" x14ac:dyDescent="0.25">
      <c r="A826758" s="242"/>
    </row>
    <row r="826759" spans="1:1" x14ac:dyDescent="0.25">
      <c r="A826759" s="242"/>
    </row>
    <row r="826760" spans="1:1" x14ac:dyDescent="0.25">
      <c r="A826760" s="242"/>
    </row>
    <row r="826761" spans="1:1" x14ac:dyDescent="0.25">
      <c r="A826761" s="242"/>
    </row>
    <row r="826762" spans="1:1" x14ac:dyDescent="0.25">
      <c r="A826762" s="242"/>
    </row>
    <row r="826763" spans="1:1" x14ac:dyDescent="0.25">
      <c r="A826763" s="242"/>
    </row>
    <row r="826764" spans="1:1" x14ac:dyDescent="0.25">
      <c r="A826764" s="242"/>
    </row>
    <row r="826765" spans="1:1" x14ac:dyDescent="0.25">
      <c r="A826765" s="242"/>
    </row>
    <row r="826766" spans="1:1" x14ac:dyDescent="0.25">
      <c r="A826766" s="242"/>
    </row>
    <row r="826767" spans="1:1" x14ac:dyDescent="0.25">
      <c r="A826767" s="242"/>
    </row>
    <row r="826768" spans="1:1" x14ac:dyDescent="0.25">
      <c r="A826768" s="242"/>
    </row>
    <row r="826769" spans="1:1" x14ac:dyDescent="0.25">
      <c r="A826769" s="242"/>
    </row>
    <row r="826770" spans="1:1" x14ac:dyDescent="0.25">
      <c r="A826770" s="242"/>
    </row>
    <row r="826771" spans="1:1" x14ac:dyDescent="0.25">
      <c r="A826771" s="242"/>
    </row>
    <row r="826772" spans="1:1" x14ac:dyDescent="0.25">
      <c r="A826772" s="242"/>
    </row>
    <row r="826773" spans="1:1" x14ac:dyDescent="0.25">
      <c r="A826773" s="242"/>
    </row>
    <row r="826774" spans="1:1" x14ac:dyDescent="0.25">
      <c r="A826774" s="242"/>
    </row>
    <row r="826775" spans="1:1" x14ac:dyDescent="0.25">
      <c r="A826775" s="242"/>
    </row>
    <row r="826776" spans="1:1" x14ac:dyDescent="0.25">
      <c r="A826776" s="242"/>
    </row>
    <row r="826777" spans="1:1" x14ac:dyDescent="0.25">
      <c r="A826777" s="242"/>
    </row>
    <row r="826778" spans="1:1" x14ac:dyDescent="0.25">
      <c r="A826778" s="242"/>
    </row>
    <row r="826779" spans="1:1" x14ac:dyDescent="0.25">
      <c r="A826779" s="242"/>
    </row>
    <row r="826780" spans="1:1" x14ac:dyDescent="0.25">
      <c r="A826780" s="242"/>
    </row>
    <row r="826781" spans="1:1" x14ac:dyDescent="0.25">
      <c r="A826781" s="242"/>
    </row>
    <row r="826782" spans="1:1" x14ac:dyDescent="0.25">
      <c r="A826782" s="242"/>
    </row>
    <row r="826783" spans="1:1" x14ac:dyDescent="0.25">
      <c r="A826783" s="242"/>
    </row>
    <row r="826784" spans="1:1" x14ac:dyDescent="0.25">
      <c r="A826784" s="242"/>
    </row>
    <row r="826785" spans="1:1" x14ac:dyDescent="0.25">
      <c r="A826785" s="242"/>
    </row>
    <row r="826786" spans="1:1" x14ac:dyDescent="0.25">
      <c r="A826786" s="242"/>
    </row>
    <row r="826787" spans="1:1" x14ac:dyDescent="0.25">
      <c r="A826787" s="242"/>
    </row>
    <row r="826788" spans="1:1" x14ac:dyDescent="0.25">
      <c r="A826788" s="242"/>
    </row>
    <row r="826789" spans="1:1" x14ac:dyDescent="0.25">
      <c r="A826789" s="242"/>
    </row>
    <row r="826790" spans="1:1" x14ac:dyDescent="0.25">
      <c r="A826790" s="242"/>
    </row>
    <row r="826791" spans="1:1" x14ac:dyDescent="0.25">
      <c r="A826791" s="242"/>
    </row>
    <row r="826792" spans="1:1" x14ac:dyDescent="0.25">
      <c r="A826792" s="242"/>
    </row>
    <row r="826793" spans="1:1" x14ac:dyDescent="0.25">
      <c r="A826793" s="242"/>
    </row>
    <row r="826794" spans="1:1" x14ac:dyDescent="0.25">
      <c r="A826794" s="242"/>
    </row>
    <row r="826795" spans="1:1" x14ac:dyDescent="0.25">
      <c r="A826795" s="242"/>
    </row>
    <row r="826796" spans="1:1" x14ac:dyDescent="0.25">
      <c r="A826796" s="242"/>
    </row>
    <row r="826797" spans="1:1" x14ac:dyDescent="0.25">
      <c r="A826797" s="242"/>
    </row>
    <row r="826798" spans="1:1" x14ac:dyDescent="0.25">
      <c r="A826798" s="242"/>
    </row>
    <row r="826799" spans="1:1" x14ac:dyDescent="0.25">
      <c r="A826799" s="242"/>
    </row>
    <row r="826800" spans="1:1" x14ac:dyDescent="0.25">
      <c r="A826800" s="242"/>
    </row>
    <row r="826801" spans="1:1" x14ac:dyDescent="0.25">
      <c r="A826801" s="242"/>
    </row>
    <row r="826802" spans="1:1" x14ac:dyDescent="0.25">
      <c r="A826802" s="242"/>
    </row>
    <row r="826803" spans="1:1" x14ac:dyDescent="0.25">
      <c r="A826803" s="242"/>
    </row>
    <row r="826804" spans="1:1" x14ac:dyDescent="0.25">
      <c r="A826804" s="242"/>
    </row>
    <row r="826805" spans="1:1" x14ac:dyDescent="0.25">
      <c r="A826805" s="242"/>
    </row>
    <row r="826806" spans="1:1" x14ac:dyDescent="0.25">
      <c r="A826806" s="242"/>
    </row>
    <row r="826807" spans="1:1" x14ac:dyDescent="0.25">
      <c r="A826807" s="242"/>
    </row>
    <row r="826808" spans="1:1" x14ac:dyDescent="0.25">
      <c r="A826808" s="242"/>
    </row>
    <row r="826809" spans="1:1" x14ac:dyDescent="0.25">
      <c r="A826809" s="242"/>
    </row>
    <row r="826810" spans="1:1" x14ac:dyDescent="0.25">
      <c r="A826810" s="242"/>
    </row>
    <row r="826811" spans="1:1" x14ac:dyDescent="0.25">
      <c r="A826811" s="242"/>
    </row>
    <row r="826812" spans="1:1" x14ac:dyDescent="0.25">
      <c r="A826812" s="242"/>
    </row>
    <row r="826813" spans="1:1" x14ac:dyDescent="0.25">
      <c r="A826813" s="242"/>
    </row>
    <row r="826814" spans="1:1" x14ac:dyDescent="0.25">
      <c r="A826814" s="242"/>
    </row>
    <row r="826815" spans="1:1" x14ac:dyDescent="0.25">
      <c r="A826815" s="242"/>
    </row>
    <row r="826816" spans="1:1" x14ac:dyDescent="0.25">
      <c r="A826816" s="242"/>
    </row>
    <row r="826817" spans="1:1" x14ac:dyDescent="0.25">
      <c r="A826817" s="242"/>
    </row>
    <row r="826818" spans="1:1" x14ac:dyDescent="0.25">
      <c r="A826818" s="242"/>
    </row>
    <row r="826819" spans="1:1" x14ac:dyDescent="0.25">
      <c r="A826819" s="242"/>
    </row>
    <row r="826820" spans="1:1" x14ac:dyDescent="0.25">
      <c r="A826820" s="242"/>
    </row>
    <row r="826821" spans="1:1" x14ac:dyDescent="0.25">
      <c r="A826821" s="242"/>
    </row>
    <row r="826822" spans="1:1" x14ac:dyDescent="0.25">
      <c r="A826822" s="242"/>
    </row>
    <row r="826823" spans="1:1" x14ac:dyDescent="0.25">
      <c r="A826823" s="242"/>
    </row>
    <row r="826824" spans="1:1" x14ac:dyDescent="0.25">
      <c r="A826824" s="242"/>
    </row>
    <row r="826825" spans="1:1" x14ac:dyDescent="0.25">
      <c r="A826825" s="242"/>
    </row>
    <row r="826826" spans="1:1" x14ac:dyDescent="0.25">
      <c r="A826826" s="242"/>
    </row>
    <row r="826827" spans="1:1" x14ac:dyDescent="0.25">
      <c r="A826827" s="242"/>
    </row>
    <row r="826828" spans="1:1" x14ac:dyDescent="0.25">
      <c r="A826828" s="242"/>
    </row>
    <row r="826829" spans="1:1" x14ac:dyDescent="0.25">
      <c r="A826829" s="242"/>
    </row>
    <row r="826830" spans="1:1" x14ac:dyDescent="0.25">
      <c r="A826830" s="242"/>
    </row>
    <row r="826831" spans="1:1" x14ac:dyDescent="0.25">
      <c r="A826831" s="242"/>
    </row>
    <row r="826832" spans="1:1" x14ac:dyDescent="0.25">
      <c r="A826832" s="242"/>
    </row>
    <row r="826833" spans="1:1" x14ac:dyDescent="0.25">
      <c r="A826833" s="242"/>
    </row>
    <row r="826834" spans="1:1" x14ac:dyDescent="0.25">
      <c r="A826834" s="242"/>
    </row>
    <row r="826835" spans="1:1" x14ac:dyDescent="0.25">
      <c r="A826835" s="242"/>
    </row>
    <row r="826836" spans="1:1" x14ac:dyDescent="0.25">
      <c r="A826836" s="242"/>
    </row>
    <row r="826837" spans="1:1" x14ac:dyDescent="0.25">
      <c r="A826837" s="242"/>
    </row>
    <row r="826838" spans="1:1" x14ac:dyDescent="0.25">
      <c r="A826838" s="242"/>
    </row>
    <row r="826839" spans="1:1" x14ac:dyDescent="0.25">
      <c r="A826839" s="242"/>
    </row>
    <row r="826840" spans="1:1" x14ac:dyDescent="0.25">
      <c r="A826840" s="242"/>
    </row>
    <row r="826841" spans="1:1" x14ac:dyDescent="0.25">
      <c r="A826841" s="242"/>
    </row>
    <row r="826842" spans="1:1" x14ac:dyDescent="0.25">
      <c r="A826842" s="242"/>
    </row>
    <row r="826843" spans="1:1" x14ac:dyDescent="0.25">
      <c r="A826843" s="242"/>
    </row>
    <row r="826844" spans="1:1" x14ac:dyDescent="0.25">
      <c r="A826844" s="242"/>
    </row>
    <row r="826845" spans="1:1" x14ac:dyDescent="0.25">
      <c r="A826845" s="242"/>
    </row>
    <row r="826846" spans="1:1" x14ac:dyDescent="0.25">
      <c r="A826846" s="242"/>
    </row>
    <row r="826847" spans="1:1" x14ac:dyDescent="0.25">
      <c r="A826847" s="242"/>
    </row>
    <row r="826848" spans="1:1" x14ac:dyDescent="0.25">
      <c r="A826848" s="242"/>
    </row>
    <row r="826849" spans="1:1" x14ac:dyDescent="0.25">
      <c r="A826849" s="242"/>
    </row>
    <row r="826850" spans="1:1" x14ac:dyDescent="0.25">
      <c r="A826850" s="242"/>
    </row>
    <row r="826851" spans="1:1" x14ac:dyDescent="0.25">
      <c r="A826851" s="242"/>
    </row>
    <row r="826852" spans="1:1" x14ac:dyDescent="0.25">
      <c r="A826852" s="242"/>
    </row>
    <row r="826853" spans="1:1" x14ac:dyDescent="0.25">
      <c r="A826853" s="242"/>
    </row>
    <row r="826854" spans="1:1" x14ac:dyDescent="0.25">
      <c r="A826854" s="242"/>
    </row>
    <row r="826855" spans="1:1" x14ac:dyDescent="0.25">
      <c r="A826855" s="242"/>
    </row>
    <row r="826856" spans="1:1" x14ac:dyDescent="0.25">
      <c r="A826856" s="242"/>
    </row>
    <row r="826857" spans="1:1" x14ac:dyDescent="0.25">
      <c r="A826857" s="242"/>
    </row>
    <row r="826858" spans="1:1" x14ac:dyDescent="0.25">
      <c r="A826858" s="242"/>
    </row>
    <row r="826859" spans="1:1" x14ac:dyDescent="0.25">
      <c r="A826859" s="242"/>
    </row>
    <row r="826860" spans="1:1" x14ac:dyDescent="0.25">
      <c r="A826860" s="242"/>
    </row>
    <row r="826861" spans="1:1" x14ac:dyDescent="0.25">
      <c r="A826861" s="242"/>
    </row>
    <row r="826862" spans="1:1" x14ac:dyDescent="0.25">
      <c r="A826862" s="242"/>
    </row>
    <row r="826863" spans="1:1" x14ac:dyDescent="0.25">
      <c r="A826863" s="242"/>
    </row>
    <row r="826864" spans="1:1" x14ac:dyDescent="0.25">
      <c r="A826864" s="242"/>
    </row>
    <row r="826865" spans="1:1" x14ac:dyDescent="0.25">
      <c r="A826865" s="242"/>
    </row>
    <row r="826866" spans="1:1" x14ac:dyDescent="0.25">
      <c r="A826866" s="242"/>
    </row>
    <row r="826867" spans="1:1" x14ac:dyDescent="0.25">
      <c r="A826867" s="242"/>
    </row>
    <row r="826868" spans="1:1" x14ac:dyDescent="0.25">
      <c r="A826868" s="242"/>
    </row>
    <row r="826869" spans="1:1" x14ac:dyDescent="0.25">
      <c r="A826869" s="242"/>
    </row>
    <row r="826870" spans="1:1" x14ac:dyDescent="0.25">
      <c r="A826870" s="242"/>
    </row>
    <row r="826871" spans="1:1" x14ac:dyDescent="0.25">
      <c r="A826871" s="242"/>
    </row>
    <row r="826872" spans="1:1" x14ac:dyDescent="0.25">
      <c r="A826872" s="242"/>
    </row>
    <row r="826873" spans="1:1" x14ac:dyDescent="0.25">
      <c r="A826873" s="242"/>
    </row>
    <row r="826874" spans="1:1" x14ac:dyDescent="0.25">
      <c r="A826874" s="242"/>
    </row>
    <row r="826875" spans="1:1" x14ac:dyDescent="0.25">
      <c r="A826875" s="242"/>
    </row>
    <row r="826876" spans="1:1" x14ac:dyDescent="0.25">
      <c r="A826876" s="242"/>
    </row>
    <row r="826877" spans="1:1" x14ac:dyDescent="0.25">
      <c r="A826877" s="242"/>
    </row>
    <row r="826878" spans="1:1" x14ac:dyDescent="0.25">
      <c r="A826878" s="242"/>
    </row>
    <row r="826879" spans="1:1" x14ac:dyDescent="0.25">
      <c r="A826879" s="242"/>
    </row>
    <row r="826880" spans="1:1" x14ac:dyDescent="0.25">
      <c r="A826880" s="242"/>
    </row>
    <row r="826881" spans="1:1" x14ac:dyDescent="0.25">
      <c r="A826881" s="242"/>
    </row>
    <row r="826882" spans="1:1" x14ac:dyDescent="0.25">
      <c r="A826882" s="242"/>
    </row>
    <row r="826883" spans="1:1" x14ac:dyDescent="0.25">
      <c r="A826883" s="242"/>
    </row>
    <row r="826884" spans="1:1" x14ac:dyDescent="0.25">
      <c r="A826884" s="242"/>
    </row>
    <row r="826885" spans="1:1" x14ac:dyDescent="0.25">
      <c r="A826885" s="242"/>
    </row>
    <row r="826886" spans="1:1" x14ac:dyDescent="0.25">
      <c r="A826886" s="242"/>
    </row>
    <row r="826887" spans="1:1" x14ac:dyDescent="0.25">
      <c r="A826887" s="242"/>
    </row>
    <row r="826888" spans="1:1" x14ac:dyDescent="0.25">
      <c r="A826888" s="242"/>
    </row>
    <row r="826889" spans="1:1" x14ac:dyDescent="0.25">
      <c r="A826889" s="242"/>
    </row>
    <row r="826890" spans="1:1" x14ac:dyDescent="0.25">
      <c r="A826890" s="242"/>
    </row>
    <row r="826891" spans="1:1" x14ac:dyDescent="0.25">
      <c r="A826891" s="242"/>
    </row>
    <row r="826892" spans="1:1" x14ac:dyDescent="0.25">
      <c r="A826892" s="242"/>
    </row>
    <row r="826893" spans="1:1" x14ac:dyDescent="0.25">
      <c r="A826893" s="242"/>
    </row>
    <row r="826894" spans="1:1" x14ac:dyDescent="0.25">
      <c r="A826894" s="242"/>
    </row>
    <row r="826895" spans="1:1" x14ac:dyDescent="0.25">
      <c r="A826895" s="242"/>
    </row>
    <row r="826896" spans="1:1" x14ac:dyDescent="0.25">
      <c r="A826896" s="242"/>
    </row>
    <row r="826897" spans="1:1" x14ac:dyDescent="0.25">
      <c r="A826897" s="242"/>
    </row>
    <row r="826898" spans="1:1" x14ac:dyDescent="0.25">
      <c r="A826898" s="242"/>
    </row>
    <row r="826899" spans="1:1" x14ac:dyDescent="0.25">
      <c r="A826899" s="242"/>
    </row>
    <row r="826900" spans="1:1" x14ac:dyDescent="0.25">
      <c r="A826900" s="242"/>
    </row>
    <row r="826901" spans="1:1" x14ac:dyDescent="0.25">
      <c r="A826901" s="242"/>
    </row>
    <row r="826902" spans="1:1" x14ac:dyDescent="0.25">
      <c r="A826902" s="242"/>
    </row>
    <row r="826903" spans="1:1" x14ac:dyDescent="0.25">
      <c r="A826903" s="242"/>
    </row>
    <row r="826904" spans="1:1" x14ac:dyDescent="0.25">
      <c r="A826904" s="242"/>
    </row>
    <row r="826905" spans="1:1" x14ac:dyDescent="0.25">
      <c r="A826905" s="242"/>
    </row>
    <row r="826906" spans="1:1" x14ac:dyDescent="0.25">
      <c r="A826906" s="242"/>
    </row>
    <row r="826907" spans="1:1" x14ac:dyDescent="0.25">
      <c r="A826907" s="242"/>
    </row>
    <row r="826908" spans="1:1" x14ac:dyDescent="0.25">
      <c r="A826908" s="242"/>
    </row>
    <row r="826909" spans="1:1" x14ac:dyDescent="0.25">
      <c r="A826909" s="242"/>
    </row>
    <row r="826910" spans="1:1" x14ac:dyDescent="0.25">
      <c r="A826910" s="242"/>
    </row>
    <row r="826911" spans="1:1" x14ac:dyDescent="0.25">
      <c r="A826911" s="242"/>
    </row>
    <row r="826912" spans="1:1" x14ac:dyDescent="0.25">
      <c r="A826912" s="242"/>
    </row>
    <row r="826913" spans="1:1" x14ac:dyDescent="0.25">
      <c r="A826913" s="242"/>
    </row>
    <row r="826914" spans="1:1" x14ac:dyDescent="0.25">
      <c r="A826914" s="242"/>
    </row>
    <row r="826915" spans="1:1" x14ac:dyDescent="0.25">
      <c r="A826915" s="242"/>
    </row>
    <row r="826916" spans="1:1" x14ac:dyDescent="0.25">
      <c r="A826916" s="242"/>
    </row>
    <row r="826917" spans="1:1" x14ac:dyDescent="0.25">
      <c r="A826917" s="242"/>
    </row>
    <row r="826918" spans="1:1" x14ac:dyDescent="0.25">
      <c r="A826918" s="242"/>
    </row>
    <row r="826919" spans="1:1" x14ac:dyDescent="0.25">
      <c r="A826919" s="242"/>
    </row>
    <row r="826920" spans="1:1" x14ac:dyDescent="0.25">
      <c r="A826920" s="242"/>
    </row>
    <row r="826921" spans="1:1" x14ac:dyDescent="0.25">
      <c r="A826921" s="242"/>
    </row>
    <row r="826922" spans="1:1" x14ac:dyDescent="0.25">
      <c r="A826922" s="242"/>
    </row>
    <row r="826923" spans="1:1" x14ac:dyDescent="0.25">
      <c r="A826923" s="242"/>
    </row>
    <row r="826924" spans="1:1" x14ac:dyDescent="0.25">
      <c r="A826924" s="242"/>
    </row>
    <row r="826925" spans="1:1" x14ac:dyDescent="0.25">
      <c r="A826925" s="242"/>
    </row>
    <row r="826926" spans="1:1" x14ac:dyDescent="0.25">
      <c r="A826926" s="242"/>
    </row>
    <row r="826927" spans="1:1" x14ac:dyDescent="0.25">
      <c r="A826927" s="242"/>
    </row>
    <row r="826928" spans="1:1" x14ac:dyDescent="0.25">
      <c r="A826928" s="242"/>
    </row>
    <row r="826929" spans="1:1" x14ac:dyDescent="0.25">
      <c r="A826929" s="242"/>
    </row>
    <row r="826930" spans="1:1" x14ac:dyDescent="0.25">
      <c r="A826930" s="242"/>
    </row>
    <row r="826931" spans="1:1" x14ac:dyDescent="0.25">
      <c r="A826931" s="242"/>
    </row>
    <row r="826932" spans="1:1" x14ac:dyDescent="0.25">
      <c r="A826932" s="242"/>
    </row>
    <row r="826933" spans="1:1" x14ac:dyDescent="0.25">
      <c r="A826933" s="242"/>
    </row>
    <row r="826934" spans="1:1" x14ac:dyDescent="0.25">
      <c r="A826934" s="242"/>
    </row>
    <row r="826935" spans="1:1" x14ac:dyDescent="0.25">
      <c r="A826935" s="242"/>
    </row>
    <row r="826936" spans="1:1" x14ac:dyDescent="0.25">
      <c r="A826936" s="242"/>
    </row>
    <row r="826937" spans="1:1" x14ac:dyDescent="0.25">
      <c r="A826937" s="242"/>
    </row>
    <row r="826938" spans="1:1" x14ac:dyDescent="0.25">
      <c r="A826938" s="242"/>
    </row>
    <row r="826939" spans="1:1" x14ac:dyDescent="0.25">
      <c r="A826939" s="242"/>
    </row>
    <row r="826940" spans="1:1" x14ac:dyDescent="0.25">
      <c r="A826940" s="242"/>
    </row>
    <row r="826941" spans="1:1" x14ac:dyDescent="0.25">
      <c r="A826941" s="242"/>
    </row>
    <row r="826942" spans="1:1" x14ac:dyDescent="0.25">
      <c r="A826942" s="242"/>
    </row>
    <row r="826943" spans="1:1" x14ac:dyDescent="0.25">
      <c r="A826943" s="242"/>
    </row>
    <row r="826944" spans="1:1" x14ac:dyDescent="0.25">
      <c r="A826944" s="242"/>
    </row>
    <row r="826945" spans="1:1" x14ac:dyDescent="0.25">
      <c r="A826945" s="242"/>
    </row>
    <row r="826946" spans="1:1" x14ac:dyDescent="0.25">
      <c r="A826946" s="242"/>
    </row>
    <row r="826947" spans="1:1" x14ac:dyDescent="0.25">
      <c r="A826947" s="242"/>
    </row>
    <row r="826948" spans="1:1" x14ac:dyDescent="0.25">
      <c r="A826948" s="242"/>
    </row>
    <row r="826949" spans="1:1" x14ac:dyDescent="0.25">
      <c r="A826949" s="242"/>
    </row>
    <row r="826950" spans="1:1" x14ac:dyDescent="0.25">
      <c r="A826950" s="242"/>
    </row>
    <row r="826951" spans="1:1" x14ac:dyDescent="0.25">
      <c r="A826951" s="242"/>
    </row>
    <row r="826952" spans="1:1" x14ac:dyDescent="0.25">
      <c r="A826952" s="242"/>
    </row>
    <row r="826953" spans="1:1" x14ac:dyDescent="0.25">
      <c r="A826953" s="242"/>
    </row>
    <row r="826954" spans="1:1" x14ac:dyDescent="0.25">
      <c r="A826954" s="242"/>
    </row>
    <row r="826955" spans="1:1" x14ac:dyDescent="0.25">
      <c r="A826955" s="242"/>
    </row>
    <row r="826956" spans="1:1" x14ac:dyDescent="0.25">
      <c r="A826956" s="242"/>
    </row>
    <row r="826957" spans="1:1" x14ac:dyDescent="0.25">
      <c r="A826957" s="242"/>
    </row>
    <row r="826958" spans="1:1" x14ac:dyDescent="0.25">
      <c r="A826958" s="242"/>
    </row>
    <row r="826959" spans="1:1" x14ac:dyDescent="0.25">
      <c r="A826959" s="242"/>
    </row>
    <row r="826960" spans="1:1" x14ac:dyDescent="0.25">
      <c r="A826960" s="242"/>
    </row>
    <row r="826961" spans="1:1" x14ac:dyDescent="0.25">
      <c r="A826961" s="242"/>
    </row>
    <row r="826962" spans="1:1" x14ac:dyDescent="0.25">
      <c r="A826962" s="242"/>
    </row>
    <row r="826963" spans="1:1" x14ac:dyDescent="0.25">
      <c r="A826963" s="242"/>
    </row>
    <row r="826964" spans="1:1" x14ac:dyDescent="0.25">
      <c r="A826964" s="242"/>
    </row>
    <row r="826965" spans="1:1" x14ac:dyDescent="0.25">
      <c r="A826965" s="242"/>
    </row>
    <row r="826966" spans="1:1" x14ac:dyDescent="0.25">
      <c r="A826966" s="242"/>
    </row>
    <row r="826967" spans="1:1" x14ac:dyDescent="0.25">
      <c r="A826967" s="242"/>
    </row>
    <row r="826968" spans="1:1" x14ac:dyDescent="0.25">
      <c r="A826968" s="242"/>
    </row>
    <row r="826969" spans="1:1" x14ac:dyDescent="0.25">
      <c r="A826969" s="242"/>
    </row>
    <row r="826970" spans="1:1" x14ac:dyDescent="0.25">
      <c r="A826970" s="242"/>
    </row>
    <row r="826971" spans="1:1" x14ac:dyDescent="0.25">
      <c r="A826971" s="242"/>
    </row>
    <row r="826972" spans="1:1" x14ac:dyDescent="0.25">
      <c r="A826972" s="242"/>
    </row>
    <row r="826973" spans="1:1" x14ac:dyDescent="0.25">
      <c r="A826973" s="242"/>
    </row>
    <row r="826974" spans="1:1" x14ac:dyDescent="0.25">
      <c r="A826974" s="242"/>
    </row>
    <row r="826975" spans="1:1" x14ac:dyDescent="0.25">
      <c r="A826975" s="242"/>
    </row>
    <row r="826976" spans="1:1" x14ac:dyDescent="0.25">
      <c r="A826976" s="242"/>
    </row>
    <row r="826977" spans="1:1" x14ac:dyDescent="0.25">
      <c r="A826977" s="242"/>
    </row>
    <row r="826978" spans="1:1" x14ac:dyDescent="0.25">
      <c r="A826978" s="242"/>
    </row>
    <row r="826979" spans="1:1" x14ac:dyDescent="0.25">
      <c r="A826979" s="242"/>
    </row>
    <row r="826980" spans="1:1" x14ac:dyDescent="0.25">
      <c r="A826980" s="242"/>
    </row>
    <row r="826981" spans="1:1" x14ac:dyDescent="0.25">
      <c r="A826981" s="242"/>
    </row>
    <row r="826982" spans="1:1" x14ac:dyDescent="0.25">
      <c r="A826982" s="242"/>
    </row>
    <row r="826983" spans="1:1" x14ac:dyDescent="0.25">
      <c r="A826983" s="242"/>
    </row>
    <row r="826984" spans="1:1" x14ac:dyDescent="0.25">
      <c r="A826984" s="242"/>
    </row>
    <row r="826985" spans="1:1" x14ac:dyDescent="0.25">
      <c r="A826985" s="242"/>
    </row>
    <row r="826986" spans="1:1" x14ac:dyDescent="0.25">
      <c r="A826986" s="242"/>
    </row>
    <row r="826987" spans="1:1" x14ac:dyDescent="0.25">
      <c r="A826987" s="242"/>
    </row>
    <row r="826988" spans="1:1" x14ac:dyDescent="0.25">
      <c r="A826988" s="242"/>
    </row>
    <row r="826989" spans="1:1" x14ac:dyDescent="0.25">
      <c r="A826989" s="242"/>
    </row>
    <row r="826990" spans="1:1" x14ac:dyDescent="0.25">
      <c r="A826990" s="242"/>
    </row>
    <row r="826991" spans="1:1" x14ac:dyDescent="0.25">
      <c r="A826991" s="242"/>
    </row>
    <row r="826992" spans="1:1" x14ac:dyDescent="0.25">
      <c r="A826992" s="242"/>
    </row>
    <row r="826993" spans="1:1" x14ac:dyDescent="0.25">
      <c r="A826993" s="242"/>
    </row>
    <row r="826994" spans="1:1" x14ac:dyDescent="0.25">
      <c r="A826994" s="242"/>
    </row>
    <row r="826995" spans="1:1" x14ac:dyDescent="0.25">
      <c r="A826995" s="242"/>
    </row>
    <row r="826996" spans="1:1" x14ac:dyDescent="0.25">
      <c r="A826996" s="242"/>
    </row>
    <row r="826997" spans="1:1" x14ac:dyDescent="0.25">
      <c r="A826997" s="242"/>
    </row>
    <row r="826998" spans="1:1" x14ac:dyDescent="0.25">
      <c r="A826998" s="242"/>
    </row>
    <row r="826999" spans="1:1" x14ac:dyDescent="0.25">
      <c r="A826999" s="242"/>
    </row>
    <row r="827000" spans="1:1" x14ac:dyDescent="0.25">
      <c r="A827000" s="242"/>
    </row>
    <row r="827001" spans="1:1" x14ac:dyDescent="0.25">
      <c r="A827001" s="242"/>
    </row>
    <row r="827002" spans="1:1" x14ac:dyDescent="0.25">
      <c r="A827002" s="242"/>
    </row>
    <row r="827003" spans="1:1" x14ac:dyDescent="0.25">
      <c r="A827003" s="242"/>
    </row>
    <row r="827004" spans="1:1" x14ac:dyDescent="0.25">
      <c r="A827004" s="242"/>
    </row>
    <row r="827005" spans="1:1" x14ac:dyDescent="0.25">
      <c r="A827005" s="242"/>
    </row>
    <row r="827006" spans="1:1" x14ac:dyDescent="0.25">
      <c r="A827006" s="242"/>
    </row>
    <row r="827007" spans="1:1" x14ac:dyDescent="0.25">
      <c r="A827007" s="242"/>
    </row>
    <row r="827008" spans="1:1" x14ac:dyDescent="0.25">
      <c r="A827008" s="242"/>
    </row>
    <row r="827009" spans="1:1" x14ac:dyDescent="0.25">
      <c r="A827009" s="242"/>
    </row>
    <row r="827010" spans="1:1" x14ac:dyDescent="0.25">
      <c r="A827010" s="242"/>
    </row>
    <row r="827011" spans="1:1" x14ac:dyDescent="0.25">
      <c r="A827011" s="242"/>
    </row>
    <row r="827012" spans="1:1" x14ac:dyDescent="0.25">
      <c r="A827012" s="242"/>
    </row>
    <row r="827013" spans="1:1" x14ac:dyDescent="0.25">
      <c r="A827013" s="242"/>
    </row>
    <row r="827014" spans="1:1" x14ac:dyDescent="0.25">
      <c r="A827014" s="242"/>
    </row>
    <row r="827015" spans="1:1" x14ac:dyDescent="0.25">
      <c r="A827015" s="242"/>
    </row>
    <row r="827016" spans="1:1" x14ac:dyDescent="0.25">
      <c r="A827016" s="242"/>
    </row>
    <row r="827017" spans="1:1" x14ac:dyDescent="0.25">
      <c r="A827017" s="242"/>
    </row>
    <row r="827018" spans="1:1" x14ac:dyDescent="0.25">
      <c r="A827018" s="242"/>
    </row>
    <row r="827019" spans="1:1" x14ac:dyDescent="0.25">
      <c r="A827019" s="242"/>
    </row>
    <row r="827020" spans="1:1" x14ac:dyDescent="0.25">
      <c r="A827020" s="242"/>
    </row>
    <row r="827021" spans="1:1" x14ac:dyDescent="0.25">
      <c r="A827021" s="242"/>
    </row>
    <row r="827022" spans="1:1" x14ac:dyDescent="0.25">
      <c r="A827022" s="242"/>
    </row>
    <row r="827023" spans="1:1" x14ac:dyDescent="0.25">
      <c r="A827023" s="242"/>
    </row>
    <row r="827024" spans="1:1" x14ac:dyDescent="0.25">
      <c r="A827024" s="242"/>
    </row>
    <row r="827025" spans="1:1" x14ac:dyDescent="0.25">
      <c r="A827025" s="242"/>
    </row>
    <row r="827026" spans="1:1" x14ac:dyDescent="0.25">
      <c r="A827026" s="242"/>
    </row>
    <row r="827027" spans="1:1" x14ac:dyDescent="0.25">
      <c r="A827027" s="242"/>
    </row>
    <row r="827028" spans="1:1" x14ac:dyDescent="0.25">
      <c r="A827028" s="242"/>
    </row>
    <row r="827029" spans="1:1" x14ac:dyDescent="0.25">
      <c r="A827029" s="242"/>
    </row>
    <row r="827030" spans="1:1" x14ac:dyDescent="0.25">
      <c r="A827030" s="242"/>
    </row>
    <row r="827031" spans="1:1" x14ac:dyDescent="0.25">
      <c r="A827031" s="242"/>
    </row>
    <row r="827032" spans="1:1" x14ac:dyDescent="0.25">
      <c r="A827032" s="242"/>
    </row>
    <row r="827033" spans="1:1" x14ac:dyDescent="0.25">
      <c r="A827033" s="242"/>
    </row>
    <row r="827034" spans="1:1" x14ac:dyDescent="0.25">
      <c r="A827034" s="242"/>
    </row>
    <row r="827035" spans="1:1" x14ac:dyDescent="0.25">
      <c r="A827035" s="242"/>
    </row>
    <row r="827036" spans="1:1" x14ac:dyDescent="0.25">
      <c r="A827036" s="242"/>
    </row>
    <row r="827037" spans="1:1" x14ac:dyDescent="0.25">
      <c r="A827037" s="242"/>
    </row>
    <row r="827038" spans="1:1" x14ac:dyDescent="0.25">
      <c r="A827038" s="242"/>
    </row>
    <row r="827039" spans="1:1" x14ac:dyDescent="0.25">
      <c r="A827039" s="242"/>
    </row>
    <row r="827040" spans="1:1" x14ac:dyDescent="0.25">
      <c r="A827040" s="242"/>
    </row>
    <row r="827041" spans="1:1" x14ac:dyDescent="0.25">
      <c r="A827041" s="242"/>
    </row>
    <row r="827042" spans="1:1" x14ac:dyDescent="0.25">
      <c r="A827042" s="242"/>
    </row>
    <row r="827043" spans="1:1" x14ac:dyDescent="0.25">
      <c r="A827043" s="242"/>
    </row>
    <row r="827044" spans="1:1" x14ac:dyDescent="0.25">
      <c r="A827044" s="242"/>
    </row>
    <row r="827045" spans="1:1" x14ac:dyDescent="0.25">
      <c r="A827045" s="242"/>
    </row>
    <row r="827046" spans="1:1" x14ac:dyDescent="0.25">
      <c r="A827046" s="242"/>
    </row>
    <row r="827047" spans="1:1" x14ac:dyDescent="0.25">
      <c r="A827047" s="242"/>
    </row>
    <row r="827048" spans="1:1" x14ac:dyDescent="0.25">
      <c r="A827048" s="242"/>
    </row>
    <row r="827049" spans="1:1" x14ac:dyDescent="0.25">
      <c r="A827049" s="242"/>
    </row>
    <row r="827050" spans="1:1" x14ac:dyDescent="0.25">
      <c r="A827050" s="242"/>
    </row>
    <row r="827051" spans="1:1" x14ac:dyDescent="0.25">
      <c r="A827051" s="242"/>
    </row>
    <row r="827052" spans="1:1" x14ac:dyDescent="0.25">
      <c r="A827052" s="242"/>
    </row>
    <row r="827053" spans="1:1" x14ac:dyDescent="0.25">
      <c r="A827053" s="242"/>
    </row>
    <row r="827054" spans="1:1" x14ac:dyDescent="0.25">
      <c r="A827054" s="242"/>
    </row>
    <row r="827055" spans="1:1" x14ac:dyDescent="0.25">
      <c r="A827055" s="242"/>
    </row>
    <row r="827056" spans="1:1" x14ac:dyDescent="0.25">
      <c r="A827056" s="242"/>
    </row>
    <row r="827057" spans="1:1" x14ac:dyDescent="0.25">
      <c r="A827057" s="242"/>
    </row>
    <row r="827058" spans="1:1" x14ac:dyDescent="0.25">
      <c r="A827058" s="242"/>
    </row>
    <row r="827059" spans="1:1" x14ac:dyDescent="0.25">
      <c r="A827059" s="242"/>
    </row>
    <row r="827060" spans="1:1" x14ac:dyDescent="0.25">
      <c r="A827060" s="242"/>
    </row>
    <row r="827061" spans="1:1" x14ac:dyDescent="0.25">
      <c r="A827061" s="242"/>
    </row>
    <row r="827062" spans="1:1" x14ac:dyDescent="0.25">
      <c r="A827062" s="242"/>
    </row>
    <row r="827063" spans="1:1" x14ac:dyDescent="0.25">
      <c r="A827063" s="242"/>
    </row>
    <row r="827064" spans="1:1" x14ac:dyDescent="0.25">
      <c r="A827064" s="242"/>
    </row>
    <row r="827065" spans="1:1" x14ac:dyDescent="0.25">
      <c r="A827065" s="242"/>
    </row>
    <row r="827066" spans="1:1" x14ac:dyDescent="0.25">
      <c r="A827066" s="242"/>
    </row>
    <row r="827067" spans="1:1" x14ac:dyDescent="0.25">
      <c r="A827067" s="242"/>
    </row>
    <row r="827068" spans="1:1" x14ac:dyDescent="0.25">
      <c r="A827068" s="242"/>
    </row>
    <row r="827069" spans="1:1" x14ac:dyDescent="0.25">
      <c r="A827069" s="242"/>
    </row>
    <row r="827070" spans="1:1" x14ac:dyDescent="0.25">
      <c r="A827070" s="242"/>
    </row>
    <row r="827071" spans="1:1" x14ac:dyDescent="0.25">
      <c r="A827071" s="242"/>
    </row>
    <row r="827072" spans="1:1" x14ac:dyDescent="0.25">
      <c r="A827072" s="242"/>
    </row>
    <row r="827073" spans="1:1" x14ac:dyDescent="0.25">
      <c r="A827073" s="242"/>
    </row>
    <row r="827074" spans="1:1" x14ac:dyDescent="0.25">
      <c r="A827074" s="242"/>
    </row>
    <row r="827075" spans="1:1" x14ac:dyDescent="0.25">
      <c r="A827075" s="242"/>
    </row>
    <row r="827076" spans="1:1" x14ac:dyDescent="0.25">
      <c r="A827076" s="242"/>
    </row>
    <row r="827077" spans="1:1" x14ac:dyDescent="0.25">
      <c r="A827077" s="242"/>
    </row>
    <row r="827078" spans="1:1" x14ac:dyDescent="0.25">
      <c r="A827078" s="242"/>
    </row>
    <row r="827079" spans="1:1" x14ac:dyDescent="0.25">
      <c r="A827079" s="242"/>
    </row>
    <row r="827080" spans="1:1" x14ac:dyDescent="0.25">
      <c r="A827080" s="242"/>
    </row>
    <row r="827081" spans="1:1" x14ac:dyDescent="0.25">
      <c r="A827081" s="242"/>
    </row>
    <row r="827082" spans="1:1" x14ac:dyDescent="0.25">
      <c r="A827082" s="242"/>
    </row>
    <row r="827083" spans="1:1" x14ac:dyDescent="0.25">
      <c r="A827083" s="242"/>
    </row>
    <row r="827084" spans="1:1" x14ac:dyDescent="0.25">
      <c r="A827084" s="242"/>
    </row>
    <row r="827085" spans="1:1" x14ac:dyDescent="0.25">
      <c r="A827085" s="242"/>
    </row>
    <row r="827086" spans="1:1" x14ac:dyDescent="0.25">
      <c r="A827086" s="242"/>
    </row>
    <row r="827087" spans="1:1" x14ac:dyDescent="0.25">
      <c r="A827087" s="242"/>
    </row>
    <row r="827088" spans="1:1" x14ac:dyDescent="0.25">
      <c r="A827088" s="242"/>
    </row>
    <row r="827089" spans="1:1" x14ac:dyDescent="0.25">
      <c r="A827089" s="242"/>
    </row>
    <row r="827090" spans="1:1" x14ac:dyDescent="0.25">
      <c r="A827090" s="242"/>
    </row>
    <row r="827091" spans="1:1" x14ac:dyDescent="0.25">
      <c r="A827091" s="242"/>
    </row>
    <row r="827092" spans="1:1" x14ac:dyDescent="0.25">
      <c r="A827092" s="242"/>
    </row>
    <row r="827093" spans="1:1" x14ac:dyDescent="0.25">
      <c r="A827093" s="242"/>
    </row>
    <row r="827094" spans="1:1" x14ac:dyDescent="0.25">
      <c r="A827094" s="242"/>
    </row>
    <row r="827095" spans="1:1" x14ac:dyDescent="0.25">
      <c r="A827095" s="242"/>
    </row>
    <row r="827096" spans="1:1" x14ac:dyDescent="0.25">
      <c r="A827096" s="242"/>
    </row>
    <row r="827097" spans="1:1" x14ac:dyDescent="0.25">
      <c r="A827097" s="242"/>
    </row>
    <row r="827098" spans="1:1" x14ac:dyDescent="0.25">
      <c r="A827098" s="242"/>
    </row>
    <row r="827099" spans="1:1" x14ac:dyDescent="0.25">
      <c r="A827099" s="242"/>
    </row>
    <row r="827100" spans="1:1" x14ac:dyDescent="0.25">
      <c r="A827100" s="242"/>
    </row>
    <row r="827101" spans="1:1" x14ac:dyDescent="0.25">
      <c r="A827101" s="242"/>
    </row>
    <row r="827102" spans="1:1" x14ac:dyDescent="0.25">
      <c r="A827102" s="242"/>
    </row>
    <row r="827103" spans="1:1" x14ac:dyDescent="0.25">
      <c r="A827103" s="242"/>
    </row>
    <row r="827104" spans="1:1" x14ac:dyDescent="0.25">
      <c r="A827104" s="242"/>
    </row>
    <row r="827105" spans="1:1" x14ac:dyDescent="0.25">
      <c r="A827105" s="242"/>
    </row>
    <row r="827106" spans="1:1" x14ac:dyDescent="0.25">
      <c r="A827106" s="242"/>
    </row>
    <row r="827107" spans="1:1" x14ac:dyDescent="0.25">
      <c r="A827107" s="242"/>
    </row>
    <row r="827108" spans="1:1" x14ac:dyDescent="0.25">
      <c r="A827108" s="242"/>
    </row>
    <row r="827109" spans="1:1" x14ac:dyDescent="0.25">
      <c r="A827109" s="242"/>
    </row>
    <row r="827110" spans="1:1" x14ac:dyDescent="0.25">
      <c r="A827110" s="242"/>
    </row>
    <row r="827111" spans="1:1" x14ac:dyDescent="0.25">
      <c r="A827111" s="242"/>
    </row>
    <row r="827112" spans="1:1" x14ac:dyDescent="0.25">
      <c r="A827112" s="242"/>
    </row>
    <row r="827113" spans="1:1" x14ac:dyDescent="0.25">
      <c r="A827113" s="242"/>
    </row>
    <row r="827114" spans="1:1" x14ac:dyDescent="0.25">
      <c r="A827114" s="242"/>
    </row>
    <row r="827115" spans="1:1" x14ac:dyDescent="0.25">
      <c r="A827115" s="242"/>
    </row>
    <row r="827116" spans="1:1" x14ac:dyDescent="0.25">
      <c r="A827116" s="242"/>
    </row>
    <row r="827117" spans="1:1" x14ac:dyDescent="0.25">
      <c r="A827117" s="242"/>
    </row>
    <row r="827118" spans="1:1" x14ac:dyDescent="0.25">
      <c r="A827118" s="242"/>
    </row>
    <row r="827119" spans="1:1" x14ac:dyDescent="0.25">
      <c r="A827119" s="242"/>
    </row>
    <row r="827120" spans="1:1" x14ac:dyDescent="0.25">
      <c r="A827120" s="242"/>
    </row>
    <row r="827121" spans="1:1" x14ac:dyDescent="0.25">
      <c r="A827121" s="242"/>
    </row>
    <row r="827122" spans="1:1" x14ac:dyDescent="0.25">
      <c r="A827122" s="242"/>
    </row>
    <row r="827123" spans="1:1" x14ac:dyDescent="0.25">
      <c r="A827123" s="242"/>
    </row>
    <row r="827124" spans="1:1" x14ac:dyDescent="0.25">
      <c r="A827124" s="242"/>
    </row>
    <row r="827125" spans="1:1" x14ac:dyDescent="0.25">
      <c r="A827125" s="242"/>
    </row>
    <row r="827126" spans="1:1" x14ac:dyDescent="0.25">
      <c r="A827126" s="242"/>
    </row>
    <row r="827127" spans="1:1" x14ac:dyDescent="0.25">
      <c r="A827127" s="242"/>
    </row>
    <row r="827128" spans="1:1" x14ac:dyDescent="0.25">
      <c r="A827128" s="242"/>
    </row>
    <row r="827129" spans="1:1" x14ac:dyDescent="0.25">
      <c r="A827129" s="242"/>
    </row>
    <row r="827130" spans="1:1" x14ac:dyDescent="0.25">
      <c r="A827130" s="242"/>
    </row>
    <row r="827131" spans="1:1" x14ac:dyDescent="0.25">
      <c r="A827131" s="242"/>
    </row>
    <row r="827132" spans="1:1" x14ac:dyDescent="0.25">
      <c r="A827132" s="242"/>
    </row>
    <row r="827133" spans="1:1" x14ac:dyDescent="0.25">
      <c r="A827133" s="242"/>
    </row>
    <row r="827134" spans="1:1" x14ac:dyDescent="0.25">
      <c r="A827134" s="242"/>
    </row>
    <row r="827135" spans="1:1" x14ac:dyDescent="0.25">
      <c r="A827135" s="242"/>
    </row>
    <row r="827136" spans="1:1" x14ac:dyDescent="0.25">
      <c r="A827136" s="242"/>
    </row>
    <row r="827137" spans="1:1" x14ac:dyDescent="0.25">
      <c r="A827137" s="242"/>
    </row>
    <row r="827138" spans="1:1" x14ac:dyDescent="0.25">
      <c r="A827138" s="242"/>
    </row>
    <row r="827139" spans="1:1" x14ac:dyDescent="0.25">
      <c r="A827139" s="242"/>
    </row>
    <row r="827140" spans="1:1" x14ac:dyDescent="0.25">
      <c r="A827140" s="242"/>
    </row>
    <row r="827141" spans="1:1" x14ac:dyDescent="0.25">
      <c r="A827141" s="242"/>
    </row>
    <row r="827142" spans="1:1" x14ac:dyDescent="0.25">
      <c r="A827142" s="242"/>
    </row>
    <row r="827143" spans="1:1" x14ac:dyDescent="0.25">
      <c r="A827143" s="242"/>
    </row>
    <row r="827144" spans="1:1" x14ac:dyDescent="0.25">
      <c r="A827144" s="242"/>
    </row>
    <row r="827145" spans="1:1" x14ac:dyDescent="0.25">
      <c r="A827145" s="242"/>
    </row>
    <row r="827146" spans="1:1" x14ac:dyDescent="0.25">
      <c r="A827146" s="242"/>
    </row>
    <row r="827147" spans="1:1" x14ac:dyDescent="0.25">
      <c r="A827147" s="242"/>
    </row>
    <row r="827148" spans="1:1" x14ac:dyDescent="0.25">
      <c r="A827148" s="242"/>
    </row>
    <row r="827149" spans="1:1" x14ac:dyDescent="0.25">
      <c r="A827149" s="242"/>
    </row>
    <row r="827150" spans="1:1" x14ac:dyDescent="0.25">
      <c r="A827150" s="242"/>
    </row>
    <row r="827151" spans="1:1" x14ac:dyDescent="0.25">
      <c r="A827151" s="242"/>
    </row>
    <row r="827152" spans="1:1" x14ac:dyDescent="0.25">
      <c r="A827152" s="242"/>
    </row>
    <row r="827153" spans="1:1" x14ac:dyDescent="0.25">
      <c r="A827153" s="242"/>
    </row>
    <row r="827154" spans="1:1" x14ac:dyDescent="0.25">
      <c r="A827154" s="242"/>
    </row>
    <row r="827155" spans="1:1" x14ac:dyDescent="0.25">
      <c r="A827155" s="242"/>
    </row>
    <row r="827156" spans="1:1" x14ac:dyDescent="0.25">
      <c r="A827156" s="242"/>
    </row>
    <row r="827157" spans="1:1" x14ac:dyDescent="0.25">
      <c r="A827157" s="242"/>
    </row>
    <row r="827158" spans="1:1" x14ac:dyDescent="0.25">
      <c r="A827158" s="242"/>
    </row>
    <row r="827159" spans="1:1" x14ac:dyDescent="0.25">
      <c r="A827159" s="242"/>
    </row>
    <row r="827160" spans="1:1" x14ac:dyDescent="0.25">
      <c r="A827160" s="242"/>
    </row>
    <row r="827161" spans="1:1" x14ac:dyDescent="0.25">
      <c r="A827161" s="242"/>
    </row>
    <row r="827162" spans="1:1" x14ac:dyDescent="0.25">
      <c r="A827162" s="242"/>
    </row>
    <row r="827163" spans="1:1" x14ac:dyDescent="0.25">
      <c r="A827163" s="242"/>
    </row>
    <row r="827164" spans="1:1" x14ac:dyDescent="0.25">
      <c r="A827164" s="242"/>
    </row>
    <row r="827165" spans="1:1" x14ac:dyDescent="0.25">
      <c r="A827165" s="242"/>
    </row>
    <row r="827166" spans="1:1" x14ac:dyDescent="0.25">
      <c r="A827166" s="242"/>
    </row>
    <row r="827167" spans="1:1" x14ac:dyDescent="0.25">
      <c r="A827167" s="242"/>
    </row>
    <row r="827168" spans="1:1" x14ac:dyDescent="0.25">
      <c r="A827168" s="242"/>
    </row>
    <row r="827169" spans="1:1" x14ac:dyDescent="0.25">
      <c r="A827169" s="242"/>
    </row>
    <row r="827170" spans="1:1" x14ac:dyDescent="0.25">
      <c r="A827170" s="242"/>
    </row>
    <row r="827171" spans="1:1" x14ac:dyDescent="0.25">
      <c r="A827171" s="242"/>
    </row>
    <row r="827172" spans="1:1" x14ac:dyDescent="0.25">
      <c r="A827172" s="242"/>
    </row>
    <row r="827173" spans="1:1" x14ac:dyDescent="0.25">
      <c r="A827173" s="242"/>
    </row>
    <row r="827174" spans="1:1" x14ac:dyDescent="0.25">
      <c r="A827174" s="242"/>
    </row>
    <row r="827175" spans="1:1" x14ac:dyDescent="0.25">
      <c r="A827175" s="242"/>
    </row>
    <row r="827176" spans="1:1" x14ac:dyDescent="0.25">
      <c r="A827176" s="242"/>
    </row>
    <row r="827177" spans="1:1" x14ac:dyDescent="0.25">
      <c r="A827177" s="242"/>
    </row>
    <row r="827178" spans="1:1" x14ac:dyDescent="0.25">
      <c r="A827178" s="242"/>
    </row>
    <row r="827179" spans="1:1" x14ac:dyDescent="0.25">
      <c r="A827179" s="242"/>
    </row>
    <row r="827180" spans="1:1" x14ac:dyDescent="0.25">
      <c r="A827180" s="242"/>
    </row>
    <row r="827181" spans="1:1" x14ac:dyDescent="0.25">
      <c r="A827181" s="242"/>
    </row>
    <row r="827182" spans="1:1" x14ac:dyDescent="0.25">
      <c r="A827182" s="242"/>
    </row>
    <row r="827183" spans="1:1" x14ac:dyDescent="0.25">
      <c r="A827183" s="242"/>
    </row>
    <row r="827184" spans="1:1" x14ac:dyDescent="0.25">
      <c r="A827184" s="242"/>
    </row>
    <row r="827185" spans="1:1" x14ac:dyDescent="0.25">
      <c r="A827185" s="242"/>
    </row>
    <row r="827186" spans="1:1" x14ac:dyDescent="0.25">
      <c r="A827186" s="242"/>
    </row>
    <row r="827187" spans="1:1" x14ac:dyDescent="0.25">
      <c r="A827187" s="242"/>
    </row>
    <row r="827188" spans="1:1" x14ac:dyDescent="0.25">
      <c r="A827188" s="242"/>
    </row>
    <row r="827189" spans="1:1" x14ac:dyDescent="0.25">
      <c r="A827189" s="242"/>
    </row>
    <row r="827190" spans="1:1" x14ac:dyDescent="0.25">
      <c r="A827190" s="242"/>
    </row>
    <row r="827191" spans="1:1" x14ac:dyDescent="0.25">
      <c r="A827191" s="242"/>
    </row>
    <row r="827192" spans="1:1" x14ac:dyDescent="0.25">
      <c r="A827192" s="242"/>
    </row>
    <row r="827193" spans="1:1" x14ac:dyDescent="0.25">
      <c r="A827193" s="242"/>
    </row>
    <row r="827194" spans="1:1" x14ac:dyDescent="0.25">
      <c r="A827194" s="242"/>
    </row>
    <row r="827195" spans="1:1" x14ac:dyDescent="0.25">
      <c r="A827195" s="242"/>
    </row>
    <row r="827196" spans="1:1" x14ac:dyDescent="0.25">
      <c r="A827196" s="242"/>
    </row>
    <row r="827197" spans="1:1" x14ac:dyDescent="0.25">
      <c r="A827197" s="242"/>
    </row>
    <row r="827198" spans="1:1" x14ac:dyDescent="0.25">
      <c r="A827198" s="242"/>
    </row>
    <row r="827199" spans="1:1" x14ac:dyDescent="0.25">
      <c r="A827199" s="242"/>
    </row>
    <row r="827200" spans="1:1" x14ac:dyDescent="0.25">
      <c r="A827200" s="242"/>
    </row>
    <row r="827201" spans="1:1" x14ac:dyDescent="0.25">
      <c r="A827201" s="242"/>
    </row>
    <row r="827202" spans="1:1" x14ac:dyDescent="0.25">
      <c r="A827202" s="242"/>
    </row>
    <row r="827203" spans="1:1" x14ac:dyDescent="0.25">
      <c r="A827203" s="242"/>
    </row>
    <row r="827204" spans="1:1" x14ac:dyDescent="0.25">
      <c r="A827204" s="242"/>
    </row>
    <row r="827205" spans="1:1" x14ac:dyDescent="0.25">
      <c r="A827205" s="242"/>
    </row>
    <row r="827206" spans="1:1" x14ac:dyDescent="0.25">
      <c r="A827206" s="242"/>
    </row>
    <row r="827207" spans="1:1" x14ac:dyDescent="0.25">
      <c r="A827207" s="242"/>
    </row>
    <row r="827208" spans="1:1" x14ac:dyDescent="0.25">
      <c r="A827208" s="242"/>
    </row>
    <row r="827209" spans="1:1" x14ac:dyDescent="0.25">
      <c r="A827209" s="242"/>
    </row>
    <row r="827210" spans="1:1" x14ac:dyDescent="0.25">
      <c r="A827210" s="242"/>
    </row>
    <row r="827211" spans="1:1" x14ac:dyDescent="0.25">
      <c r="A827211" s="242"/>
    </row>
    <row r="827212" spans="1:1" x14ac:dyDescent="0.25">
      <c r="A827212" s="242"/>
    </row>
    <row r="827213" spans="1:1" x14ac:dyDescent="0.25">
      <c r="A827213" s="242"/>
    </row>
    <row r="827214" spans="1:1" x14ac:dyDescent="0.25">
      <c r="A827214" s="242"/>
    </row>
    <row r="827215" spans="1:1" x14ac:dyDescent="0.25">
      <c r="A827215" s="242"/>
    </row>
    <row r="827216" spans="1:1" x14ac:dyDescent="0.25">
      <c r="A827216" s="242"/>
    </row>
    <row r="827217" spans="1:1" x14ac:dyDescent="0.25">
      <c r="A827217" s="242"/>
    </row>
    <row r="827218" spans="1:1" x14ac:dyDescent="0.25">
      <c r="A827218" s="242"/>
    </row>
    <row r="827219" spans="1:1" x14ac:dyDescent="0.25">
      <c r="A827219" s="242"/>
    </row>
    <row r="827220" spans="1:1" x14ac:dyDescent="0.25">
      <c r="A827220" s="242"/>
    </row>
    <row r="827221" spans="1:1" x14ac:dyDescent="0.25">
      <c r="A827221" s="242"/>
    </row>
    <row r="827222" spans="1:1" x14ac:dyDescent="0.25">
      <c r="A827222" s="242"/>
    </row>
    <row r="827223" spans="1:1" x14ac:dyDescent="0.25">
      <c r="A827223" s="242"/>
    </row>
    <row r="827224" spans="1:1" x14ac:dyDescent="0.25">
      <c r="A827224" s="242"/>
    </row>
    <row r="827225" spans="1:1" x14ac:dyDescent="0.25">
      <c r="A827225" s="242"/>
    </row>
    <row r="827226" spans="1:1" x14ac:dyDescent="0.25">
      <c r="A827226" s="242"/>
    </row>
    <row r="827227" spans="1:1" x14ac:dyDescent="0.25">
      <c r="A827227" s="242"/>
    </row>
    <row r="827228" spans="1:1" x14ac:dyDescent="0.25">
      <c r="A827228" s="242"/>
    </row>
    <row r="827229" spans="1:1" x14ac:dyDescent="0.25">
      <c r="A827229" s="242"/>
    </row>
    <row r="827230" spans="1:1" x14ac:dyDescent="0.25">
      <c r="A827230" s="242"/>
    </row>
    <row r="827231" spans="1:1" x14ac:dyDescent="0.25">
      <c r="A827231" s="242"/>
    </row>
    <row r="827232" spans="1:1" x14ac:dyDescent="0.25">
      <c r="A827232" s="242"/>
    </row>
    <row r="827233" spans="1:1" x14ac:dyDescent="0.25">
      <c r="A827233" s="242"/>
    </row>
    <row r="827234" spans="1:1" x14ac:dyDescent="0.25">
      <c r="A827234" s="242"/>
    </row>
    <row r="827235" spans="1:1" x14ac:dyDescent="0.25">
      <c r="A827235" s="242"/>
    </row>
    <row r="827236" spans="1:1" x14ac:dyDescent="0.25">
      <c r="A827236" s="242"/>
    </row>
    <row r="827237" spans="1:1" x14ac:dyDescent="0.25">
      <c r="A827237" s="242"/>
    </row>
    <row r="827238" spans="1:1" x14ac:dyDescent="0.25">
      <c r="A827238" s="242"/>
    </row>
    <row r="827239" spans="1:1" x14ac:dyDescent="0.25">
      <c r="A827239" s="242"/>
    </row>
    <row r="827240" spans="1:1" x14ac:dyDescent="0.25">
      <c r="A827240" s="242"/>
    </row>
    <row r="827241" spans="1:1" x14ac:dyDescent="0.25">
      <c r="A827241" s="242"/>
    </row>
    <row r="827242" spans="1:1" x14ac:dyDescent="0.25">
      <c r="A827242" s="242"/>
    </row>
    <row r="827243" spans="1:1" x14ac:dyDescent="0.25">
      <c r="A827243" s="242"/>
    </row>
    <row r="827244" spans="1:1" x14ac:dyDescent="0.25">
      <c r="A827244" s="242"/>
    </row>
    <row r="827245" spans="1:1" x14ac:dyDescent="0.25">
      <c r="A827245" s="242"/>
    </row>
    <row r="827246" spans="1:1" x14ac:dyDescent="0.25">
      <c r="A827246" s="242"/>
    </row>
    <row r="827247" spans="1:1" x14ac:dyDescent="0.25">
      <c r="A827247" s="242"/>
    </row>
    <row r="827248" spans="1:1" x14ac:dyDescent="0.25">
      <c r="A827248" s="242"/>
    </row>
    <row r="827249" spans="1:1" x14ac:dyDescent="0.25">
      <c r="A827249" s="242"/>
    </row>
    <row r="827250" spans="1:1" x14ac:dyDescent="0.25">
      <c r="A827250" s="242"/>
    </row>
    <row r="827251" spans="1:1" x14ac:dyDescent="0.25">
      <c r="A827251" s="242"/>
    </row>
    <row r="827252" spans="1:1" x14ac:dyDescent="0.25">
      <c r="A827252" s="242"/>
    </row>
    <row r="827253" spans="1:1" x14ac:dyDescent="0.25">
      <c r="A827253" s="242"/>
    </row>
    <row r="827254" spans="1:1" x14ac:dyDescent="0.25">
      <c r="A827254" s="242"/>
    </row>
    <row r="827255" spans="1:1" x14ac:dyDescent="0.25">
      <c r="A827255" s="242"/>
    </row>
    <row r="827256" spans="1:1" x14ac:dyDescent="0.25">
      <c r="A827256" s="242"/>
    </row>
    <row r="827257" spans="1:1" x14ac:dyDescent="0.25">
      <c r="A827257" s="242"/>
    </row>
    <row r="827258" spans="1:1" x14ac:dyDescent="0.25">
      <c r="A827258" s="242"/>
    </row>
    <row r="827259" spans="1:1" x14ac:dyDescent="0.25">
      <c r="A827259" s="242"/>
    </row>
    <row r="827260" spans="1:1" x14ac:dyDescent="0.25">
      <c r="A827260" s="242"/>
    </row>
    <row r="827261" spans="1:1" x14ac:dyDescent="0.25">
      <c r="A827261" s="242"/>
    </row>
    <row r="827262" spans="1:1" x14ac:dyDescent="0.25">
      <c r="A827262" s="242"/>
    </row>
    <row r="827263" spans="1:1" x14ac:dyDescent="0.25">
      <c r="A827263" s="242"/>
    </row>
    <row r="827264" spans="1:1" x14ac:dyDescent="0.25">
      <c r="A827264" s="242"/>
    </row>
    <row r="827265" spans="1:1" x14ac:dyDescent="0.25">
      <c r="A827265" s="242"/>
    </row>
    <row r="827266" spans="1:1" x14ac:dyDescent="0.25">
      <c r="A827266" s="242"/>
    </row>
    <row r="827267" spans="1:1" x14ac:dyDescent="0.25">
      <c r="A827267" s="242"/>
    </row>
    <row r="827268" spans="1:1" x14ac:dyDescent="0.25">
      <c r="A827268" s="242"/>
    </row>
    <row r="827269" spans="1:1" x14ac:dyDescent="0.25">
      <c r="A827269" s="242"/>
    </row>
    <row r="827270" spans="1:1" x14ac:dyDescent="0.25">
      <c r="A827270" s="242"/>
    </row>
    <row r="827271" spans="1:1" x14ac:dyDescent="0.25">
      <c r="A827271" s="242"/>
    </row>
    <row r="827272" spans="1:1" x14ac:dyDescent="0.25">
      <c r="A827272" s="242"/>
    </row>
    <row r="827273" spans="1:1" x14ac:dyDescent="0.25">
      <c r="A827273" s="242"/>
    </row>
    <row r="827274" spans="1:1" x14ac:dyDescent="0.25">
      <c r="A827274" s="242"/>
    </row>
    <row r="827275" spans="1:1" x14ac:dyDescent="0.25">
      <c r="A827275" s="242"/>
    </row>
    <row r="827276" spans="1:1" x14ac:dyDescent="0.25">
      <c r="A827276" s="242"/>
    </row>
    <row r="827277" spans="1:1" x14ac:dyDescent="0.25">
      <c r="A827277" s="242"/>
    </row>
    <row r="827278" spans="1:1" x14ac:dyDescent="0.25">
      <c r="A827278" s="242"/>
    </row>
    <row r="827279" spans="1:1" x14ac:dyDescent="0.25">
      <c r="A827279" s="242"/>
    </row>
    <row r="827280" spans="1:1" x14ac:dyDescent="0.25">
      <c r="A827280" s="242"/>
    </row>
    <row r="827281" spans="1:1" x14ac:dyDescent="0.25">
      <c r="A827281" s="242"/>
    </row>
    <row r="827282" spans="1:1" x14ac:dyDescent="0.25">
      <c r="A827282" s="242"/>
    </row>
    <row r="827283" spans="1:1" x14ac:dyDescent="0.25">
      <c r="A827283" s="242"/>
    </row>
    <row r="827284" spans="1:1" x14ac:dyDescent="0.25">
      <c r="A827284" s="242"/>
    </row>
    <row r="827285" spans="1:1" x14ac:dyDescent="0.25">
      <c r="A827285" s="242"/>
    </row>
    <row r="827286" spans="1:1" x14ac:dyDescent="0.25">
      <c r="A827286" s="242"/>
    </row>
    <row r="827287" spans="1:1" x14ac:dyDescent="0.25">
      <c r="A827287" s="242"/>
    </row>
    <row r="827288" spans="1:1" x14ac:dyDescent="0.25">
      <c r="A827288" s="242"/>
    </row>
    <row r="827289" spans="1:1" x14ac:dyDescent="0.25">
      <c r="A827289" s="242"/>
    </row>
    <row r="827290" spans="1:1" x14ac:dyDescent="0.25">
      <c r="A827290" s="242"/>
    </row>
    <row r="827291" spans="1:1" x14ac:dyDescent="0.25">
      <c r="A827291" s="242"/>
    </row>
    <row r="827292" spans="1:1" x14ac:dyDescent="0.25">
      <c r="A827292" s="242"/>
    </row>
    <row r="827293" spans="1:1" x14ac:dyDescent="0.25">
      <c r="A827293" s="242"/>
    </row>
    <row r="827294" spans="1:1" x14ac:dyDescent="0.25">
      <c r="A827294" s="242"/>
    </row>
    <row r="827295" spans="1:1" x14ac:dyDescent="0.25">
      <c r="A827295" s="242"/>
    </row>
    <row r="827296" spans="1:1" x14ac:dyDescent="0.25">
      <c r="A827296" s="242"/>
    </row>
    <row r="827297" spans="1:1" x14ac:dyDescent="0.25">
      <c r="A827297" s="242"/>
    </row>
    <row r="827298" spans="1:1" x14ac:dyDescent="0.25">
      <c r="A827298" s="242"/>
    </row>
    <row r="827299" spans="1:1" x14ac:dyDescent="0.25">
      <c r="A827299" s="242"/>
    </row>
    <row r="827300" spans="1:1" x14ac:dyDescent="0.25">
      <c r="A827300" s="242"/>
    </row>
    <row r="827301" spans="1:1" x14ac:dyDescent="0.25">
      <c r="A827301" s="242"/>
    </row>
    <row r="827302" spans="1:1" x14ac:dyDescent="0.25">
      <c r="A827302" s="242"/>
    </row>
    <row r="827303" spans="1:1" x14ac:dyDescent="0.25">
      <c r="A827303" s="242"/>
    </row>
    <row r="827304" spans="1:1" x14ac:dyDescent="0.25">
      <c r="A827304" s="242"/>
    </row>
    <row r="827305" spans="1:1" x14ac:dyDescent="0.25">
      <c r="A827305" s="242"/>
    </row>
    <row r="827306" spans="1:1" x14ac:dyDescent="0.25">
      <c r="A827306" s="242"/>
    </row>
    <row r="827307" spans="1:1" x14ac:dyDescent="0.25">
      <c r="A827307" s="242"/>
    </row>
    <row r="827308" spans="1:1" x14ac:dyDescent="0.25">
      <c r="A827308" s="242"/>
    </row>
    <row r="827309" spans="1:1" x14ac:dyDescent="0.25">
      <c r="A827309" s="242"/>
    </row>
    <row r="827310" spans="1:1" x14ac:dyDescent="0.25">
      <c r="A827310" s="242"/>
    </row>
    <row r="827311" spans="1:1" x14ac:dyDescent="0.25">
      <c r="A827311" s="242"/>
    </row>
    <row r="827312" spans="1:1" x14ac:dyDescent="0.25">
      <c r="A827312" s="242"/>
    </row>
    <row r="827313" spans="1:1" x14ac:dyDescent="0.25">
      <c r="A827313" s="242"/>
    </row>
    <row r="827314" spans="1:1" x14ac:dyDescent="0.25">
      <c r="A827314" s="242"/>
    </row>
    <row r="827315" spans="1:1" x14ac:dyDescent="0.25">
      <c r="A827315" s="242"/>
    </row>
    <row r="827316" spans="1:1" x14ac:dyDescent="0.25">
      <c r="A827316" s="242"/>
    </row>
    <row r="827317" spans="1:1" x14ac:dyDescent="0.25">
      <c r="A827317" s="242"/>
    </row>
    <row r="827318" spans="1:1" x14ac:dyDescent="0.25">
      <c r="A827318" s="242"/>
    </row>
    <row r="827319" spans="1:1" x14ac:dyDescent="0.25">
      <c r="A827319" s="242"/>
    </row>
    <row r="827320" spans="1:1" x14ac:dyDescent="0.25">
      <c r="A827320" s="242"/>
    </row>
    <row r="827321" spans="1:1" x14ac:dyDescent="0.25">
      <c r="A827321" s="242"/>
    </row>
    <row r="827322" spans="1:1" x14ac:dyDescent="0.25">
      <c r="A827322" s="242"/>
    </row>
    <row r="827323" spans="1:1" x14ac:dyDescent="0.25">
      <c r="A827323" s="242"/>
    </row>
    <row r="827324" spans="1:1" x14ac:dyDescent="0.25">
      <c r="A827324" s="242"/>
    </row>
    <row r="827325" spans="1:1" x14ac:dyDescent="0.25">
      <c r="A827325" s="242"/>
    </row>
    <row r="827326" spans="1:1" x14ac:dyDescent="0.25">
      <c r="A827326" s="242"/>
    </row>
    <row r="827327" spans="1:1" x14ac:dyDescent="0.25">
      <c r="A827327" s="242"/>
    </row>
    <row r="827328" spans="1:1" x14ac:dyDescent="0.25">
      <c r="A827328" s="242"/>
    </row>
    <row r="827329" spans="1:1" x14ac:dyDescent="0.25">
      <c r="A827329" s="242"/>
    </row>
    <row r="827330" spans="1:1" x14ac:dyDescent="0.25">
      <c r="A827330" s="242"/>
    </row>
    <row r="827331" spans="1:1" x14ac:dyDescent="0.25">
      <c r="A827331" s="242"/>
    </row>
    <row r="827332" spans="1:1" x14ac:dyDescent="0.25">
      <c r="A827332" s="242"/>
    </row>
    <row r="827333" spans="1:1" x14ac:dyDescent="0.25">
      <c r="A827333" s="242"/>
    </row>
    <row r="827334" spans="1:1" x14ac:dyDescent="0.25">
      <c r="A827334" s="242"/>
    </row>
    <row r="827335" spans="1:1" x14ac:dyDescent="0.25">
      <c r="A827335" s="242"/>
    </row>
    <row r="827336" spans="1:1" x14ac:dyDescent="0.25">
      <c r="A827336" s="242"/>
    </row>
    <row r="827337" spans="1:1" x14ac:dyDescent="0.25">
      <c r="A827337" s="242"/>
    </row>
    <row r="827338" spans="1:1" x14ac:dyDescent="0.25">
      <c r="A827338" s="242"/>
    </row>
    <row r="827339" spans="1:1" x14ac:dyDescent="0.25">
      <c r="A827339" s="242"/>
    </row>
    <row r="827340" spans="1:1" x14ac:dyDescent="0.25">
      <c r="A827340" s="242"/>
    </row>
    <row r="827341" spans="1:1" x14ac:dyDescent="0.25">
      <c r="A827341" s="242"/>
    </row>
    <row r="827342" spans="1:1" x14ac:dyDescent="0.25">
      <c r="A827342" s="242"/>
    </row>
    <row r="827343" spans="1:1" x14ac:dyDescent="0.25">
      <c r="A827343" s="242"/>
    </row>
    <row r="827344" spans="1:1" x14ac:dyDescent="0.25">
      <c r="A827344" s="242"/>
    </row>
    <row r="827345" spans="1:1" x14ac:dyDescent="0.25">
      <c r="A827345" s="242"/>
    </row>
    <row r="827346" spans="1:1" x14ac:dyDescent="0.25">
      <c r="A827346" s="242"/>
    </row>
    <row r="827347" spans="1:1" x14ac:dyDescent="0.25">
      <c r="A827347" s="242"/>
    </row>
    <row r="827348" spans="1:1" x14ac:dyDescent="0.25">
      <c r="A827348" s="242"/>
    </row>
    <row r="827349" spans="1:1" x14ac:dyDescent="0.25">
      <c r="A827349" s="242"/>
    </row>
    <row r="827350" spans="1:1" x14ac:dyDescent="0.25">
      <c r="A827350" s="242"/>
    </row>
    <row r="827351" spans="1:1" x14ac:dyDescent="0.25">
      <c r="A827351" s="242"/>
    </row>
    <row r="827352" spans="1:1" x14ac:dyDescent="0.25">
      <c r="A827352" s="242"/>
    </row>
    <row r="827353" spans="1:1" x14ac:dyDescent="0.25">
      <c r="A827353" s="242"/>
    </row>
    <row r="827354" spans="1:1" x14ac:dyDescent="0.25">
      <c r="A827354" s="242"/>
    </row>
    <row r="827355" spans="1:1" x14ac:dyDescent="0.25">
      <c r="A827355" s="242"/>
    </row>
    <row r="827356" spans="1:1" x14ac:dyDescent="0.25">
      <c r="A827356" s="242"/>
    </row>
    <row r="827357" spans="1:1" x14ac:dyDescent="0.25">
      <c r="A827357" s="242"/>
    </row>
    <row r="827358" spans="1:1" x14ac:dyDescent="0.25">
      <c r="A827358" s="242"/>
    </row>
    <row r="827359" spans="1:1" x14ac:dyDescent="0.25">
      <c r="A827359" s="242"/>
    </row>
    <row r="827360" spans="1:1" x14ac:dyDescent="0.25">
      <c r="A827360" s="242"/>
    </row>
    <row r="827361" spans="1:1" x14ac:dyDescent="0.25">
      <c r="A827361" s="242"/>
    </row>
    <row r="827362" spans="1:1" x14ac:dyDescent="0.25">
      <c r="A827362" s="242"/>
    </row>
    <row r="827363" spans="1:1" x14ac:dyDescent="0.25">
      <c r="A827363" s="242"/>
    </row>
    <row r="827364" spans="1:1" x14ac:dyDescent="0.25">
      <c r="A827364" s="242"/>
    </row>
    <row r="827365" spans="1:1" x14ac:dyDescent="0.25">
      <c r="A827365" s="242"/>
    </row>
    <row r="827366" spans="1:1" x14ac:dyDescent="0.25">
      <c r="A827366" s="242"/>
    </row>
    <row r="827367" spans="1:1" x14ac:dyDescent="0.25">
      <c r="A827367" s="242"/>
    </row>
    <row r="827368" spans="1:1" x14ac:dyDescent="0.25">
      <c r="A827368" s="242"/>
    </row>
    <row r="827369" spans="1:1" x14ac:dyDescent="0.25">
      <c r="A827369" s="242"/>
    </row>
    <row r="827370" spans="1:1" x14ac:dyDescent="0.25">
      <c r="A827370" s="242"/>
    </row>
    <row r="827371" spans="1:1" x14ac:dyDescent="0.25">
      <c r="A827371" s="242"/>
    </row>
    <row r="827372" spans="1:1" x14ac:dyDescent="0.25">
      <c r="A827372" s="242"/>
    </row>
    <row r="827373" spans="1:1" x14ac:dyDescent="0.25">
      <c r="A827373" s="242"/>
    </row>
    <row r="827374" spans="1:1" x14ac:dyDescent="0.25">
      <c r="A827374" s="242"/>
    </row>
    <row r="827375" spans="1:1" x14ac:dyDescent="0.25">
      <c r="A827375" s="242"/>
    </row>
    <row r="827376" spans="1:1" x14ac:dyDescent="0.25">
      <c r="A827376" s="242"/>
    </row>
    <row r="827377" spans="1:1" x14ac:dyDescent="0.25">
      <c r="A827377" s="242"/>
    </row>
    <row r="827378" spans="1:1" x14ac:dyDescent="0.25">
      <c r="A827378" s="242"/>
    </row>
    <row r="827379" spans="1:1" x14ac:dyDescent="0.25">
      <c r="A827379" s="242"/>
    </row>
    <row r="827380" spans="1:1" x14ac:dyDescent="0.25">
      <c r="A827380" s="242"/>
    </row>
    <row r="827381" spans="1:1" x14ac:dyDescent="0.25">
      <c r="A827381" s="242"/>
    </row>
    <row r="827382" spans="1:1" x14ac:dyDescent="0.25">
      <c r="A827382" s="242"/>
    </row>
    <row r="827383" spans="1:1" x14ac:dyDescent="0.25">
      <c r="A827383" s="242"/>
    </row>
    <row r="827384" spans="1:1" x14ac:dyDescent="0.25">
      <c r="A827384" s="242"/>
    </row>
    <row r="827385" spans="1:1" x14ac:dyDescent="0.25">
      <c r="A827385" s="242"/>
    </row>
    <row r="827386" spans="1:1" x14ac:dyDescent="0.25">
      <c r="A827386" s="242"/>
    </row>
    <row r="827387" spans="1:1" x14ac:dyDescent="0.25">
      <c r="A827387" s="242"/>
    </row>
    <row r="827388" spans="1:1" x14ac:dyDescent="0.25">
      <c r="A827388" s="242"/>
    </row>
    <row r="827389" spans="1:1" x14ac:dyDescent="0.25">
      <c r="A827389" s="242"/>
    </row>
    <row r="827390" spans="1:1" x14ac:dyDescent="0.25">
      <c r="A827390" s="242"/>
    </row>
    <row r="827391" spans="1:1" x14ac:dyDescent="0.25">
      <c r="A827391" s="242"/>
    </row>
    <row r="827392" spans="1:1" x14ac:dyDescent="0.25">
      <c r="A827392" s="242"/>
    </row>
    <row r="827393" spans="1:1" x14ac:dyDescent="0.25">
      <c r="A827393" s="242"/>
    </row>
    <row r="827394" spans="1:1" x14ac:dyDescent="0.25">
      <c r="A827394" s="242"/>
    </row>
    <row r="827395" spans="1:1" x14ac:dyDescent="0.25">
      <c r="A827395" s="242"/>
    </row>
    <row r="827396" spans="1:1" x14ac:dyDescent="0.25">
      <c r="A827396" s="242"/>
    </row>
    <row r="827397" spans="1:1" x14ac:dyDescent="0.25">
      <c r="A827397" s="242"/>
    </row>
    <row r="827398" spans="1:1" x14ac:dyDescent="0.25">
      <c r="A827398" s="242"/>
    </row>
    <row r="827399" spans="1:1" x14ac:dyDescent="0.25">
      <c r="A827399" s="242"/>
    </row>
    <row r="827400" spans="1:1" x14ac:dyDescent="0.25">
      <c r="A827400" s="242"/>
    </row>
    <row r="827401" spans="1:1" x14ac:dyDescent="0.25">
      <c r="A827401" s="242"/>
    </row>
    <row r="827402" spans="1:1" x14ac:dyDescent="0.25">
      <c r="A827402" s="242"/>
    </row>
    <row r="827403" spans="1:1" x14ac:dyDescent="0.25">
      <c r="A827403" s="242"/>
    </row>
    <row r="827404" spans="1:1" x14ac:dyDescent="0.25">
      <c r="A827404" s="242"/>
    </row>
    <row r="827405" spans="1:1" x14ac:dyDescent="0.25">
      <c r="A827405" s="242"/>
    </row>
    <row r="827406" spans="1:1" x14ac:dyDescent="0.25">
      <c r="A827406" s="242"/>
    </row>
    <row r="827407" spans="1:1" x14ac:dyDescent="0.25">
      <c r="A827407" s="242"/>
    </row>
    <row r="827408" spans="1:1" x14ac:dyDescent="0.25">
      <c r="A827408" s="242"/>
    </row>
    <row r="827409" spans="1:1" x14ac:dyDescent="0.25">
      <c r="A827409" s="242"/>
    </row>
    <row r="827410" spans="1:1" x14ac:dyDescent="0.25">
      <c r="A827410" s="242"/>
    </row>
    <row r="827411" spans="1:1" x14ac:dyDescent="0.25">
      <c r="A827411" s="242"/>
    </row>
    <row r="827412" spans="1:1" x14ac:dyDescent="0.25">
      <c r="A827412" s="242"/>
    </row>
    <row r="827413" spans="1:1" x14ac:dyDescent="0.25">
      <c r="A827413" s="242"/>
    </row>
    <row r="827414" spans="1:1" x14ac:dyDescent="0.25">
      <c r="A827414" s="242"/>
    </row>
    <row r="827415" spans="1:1" x14ac:dyDescent="0.25">
      <c r="A827415" s="242"/>
    </row>
    <row r="827416" spans="1:1" x14ac:dyDescent="0.25">
      <c r="A827416" s="242"/>
    </row>
    <row r="827417" spans="1:1" x14ac:dyDescent="0.25">
      <c r="A827417" s="242"/>
    </row>
    <row r="827418" spans="1:1" x14ac:dyDescent="0.25">
      <c r="A827418" s="242"/>
    </row>
    <row r="827419" spans="1:1" x14ac:dyDescent="0.25">
      <c r="A827419" s="242"/>
    </row>
    <row r="827420" spans="1:1" x14ac:dyDescent="0.25">
      <c r="A827420" s="242"/>
    </row>
    <row r="827421" spans="1:1" x14ac:dyDescent="0.25">
      <c r="A827421" s="242"/>
    </row>
    <row r="827422" spans="1:1" x14ac:dyDescent="0.25">
      <c r="A827422" s="242"/>
    </row>
    <row r="827423" spans="1:1" x14ac:dyDescent="0.25">
      <c r="A827423" s="242"/>
    </row>
    <row r="827424" spans="1:1" x14ac:dyDescent="0.25">
      <c r="A827424" s="242"/>
    </row>
    <row r="827425" spans="1:1" x14ac:dyDescent="0.25">
      <c r="A827425" s="242"/>
    </row>
    <row r="827426" spans="1:1" x14ac:dyDescent="0.25">
      <c r="A827426" s="242"/>
    </row>
    <row r="827427" spans="1:1" x14ac:dyDescent="0.25">
      <c r="A827427" s="242"/>
    </row>
    <row r="827428" spans="1:1" x14ac:dyDescent="0.25">
      <c r="A827428" s="242"/>
    </row>
    <row r="827429" spans="1:1" x14ac:dyDescent="0.25">
      <c r="A827429" s="242"/>
    </row>
    <row r="827430" spans="1:1" x14ac:dyDescent="0.25">
      <c r="A827430" s="242"/>
    </row>
    <row r="827431" spans="1:1" x14ac:dyDescent="0.25">
      <c r="A827431" s="242"/>
    </row>
    <row r="827432" spans="1:1" x14ac:dyDescent="0.25">
      <c r="A827432" s="242"/>
    </row>
    <row r="827433" spans="1:1" x14ac:dyDescent="0.25">
      <c r="A827433" s="242"/>
    </row>
    <row r="827434" spans="1:1" x14ac:dyDescent="0.25">
      <c r="A827434" s="242"/>
    </row>
    <row r="827435" spans="1:1" x14ac:dyDescent="0.25">
      <c r="A827435" s="242"/>
    </row>
    <row r="827436" spans="1:1" x14ac:dyDescent="0.25">
      <c r="A827436" s="242"/>
    </row>
    <row r="827437" spans="1:1" x14ac:dyDescent="0.25">
      <c r="A827437" s="242"/>
    </row>
    <row r="827438" spans="1:1" x14ac:dyDescent="0.25">
      <c r="A827438" s="242"/>
    </row>
    <row r="827439" spans="1:1" x14ac:dyDescent="0.25">
      <c r="A827439" s="242"/>
    </row>
    <row r="827440" spans="1:1" x14ac:dyDescent="0.25">
      <c r="A827440" s="242"/>
    </row>
    <row r="827441" spans="1:1" x14ac:dyDescent="0.25">
      <c r="A827441" s="242"/>
    </row>
    <row r="827442" spans="1:1" x14ac:dyDescent="0.25">
      <c r="A827442" s="242"/>
    </row>
    <row r="827443" spans="1:1" x14ac:dyDescent="0.25">
      <c r="A827443" s="242"/>
    </row>
    <row r="827444" spans="1:1" x14ac:dyDescent="0.25">
      <c r="A827444" s="242"/>
    </row>
    <row r="827445" spans="1:1" x14ac:dyDescent="0.25">
      <c r="A827445" s="242"/>
    </row>
    <row r="827446" spans="1:1" x14ac:dyDescent="0.25">
      <c r="A827446" s="242"/>
    </row>
    <row r="827447" spans="1:1" x14ac:dyDescent="0.25">
      <c r="A827447" s="242"/>
    </row>
    <row r="827448" spans="1:1" x14ac:dyDescent="0.25">
      <c r="A827448" s="242"/>
    </row>
    <row r="827449" spans="1:1" x14ac:dyDescent="0.25">
      <c r="A827449" s="242"/>
    </row>
    <row r="827450" spans="1:1" x14ac:dyDescent="0.25">
      <c r="A827450" s="242"/>
    </row>
    <row r="827451" spans="1:1" x14ac:dyDescent="0.25">
      <c r="A827451" s="242"/>
    </row>
    <row r="827452" spans="1:1" x14ac:dyDescent="0.25">
      <c r="A827452" s="242"/>
    </row>
    <row r="827453" spans="1:1" x14ac:dyDescent="0.25">
      <c r="A827453" s="242"/>
    </row>
    <row r="827454" spans="1:1" x14ac:dyDescent="0.25">
      <c r="A827454" s="242"/>
    </row>
    <row r="827455" spans="1:1" x14ac:dyDescent="0.25">
      <c r="A827455" s="242"/>
    </row>
    <row r="827456" spans="1:1" x14ac:dyDescent="0.25">
      <c r="A827456" s="242"/>
    </row>
    <row r="827457" spans="1:1" x14ac:dyDescent="0.25">
      <c r="A827457" s="242"/>
    </row>
    <row r="827458" spans="1:1" x14ac:dyDescent="0.25">
      <c r="A827458" s="242"/>
    </row>
    <row r="827459" spans="1:1" x14ac:dyDescent="0.25">
      <c r="A827459" s="242"/>
    </row>
    <row r="827460" spans="1:1" x14ac:dyDescent="0.25">
      <c r="A827460" s="242"/>
    </row>
    <row r="827461" spans="1:1" x14ac:dyDescent="0.25">
      <c r="A827461" s="242"/>
    </row>
    <row r="827462" spans="1:1" x14ac:dyDescent="0.25">
      <c r="A827462" s="242"/>
    </row>
    <row r="827463" spans="1:1" x14ac:dyDescent="0.25">
      <c r="A827463" s="242"/>
    </row>
    <row r="827464" spans="1:1" x14ac:dyDescent="0.25">
      <c r="A827464" s="242"/>
    </row>
    <row r="827465" spans="1:1" x14ac:dyDescent="0.25">
      <c r="A827465" s="242"/>
    </row>
    <row r="827466" spans="1:1" x14ac:dyDescent="0.25">
      <c r="A827466" s="242"/>
    </row>
    <row r="827467" spans="1:1" x14ac:dyDescent="0.25">
      <c r="A827467" s="242"/>
    </row>
    <row r="827468" spans="1:1" x14ac:dyDescent="0.25">
      <c r="A827468" s="242"/>
    </row>
    <row r="827469" spans="1:1" x14ac:dyDescent="0.25">
      <c r="A827469" s="242"/>
    </row>
    <row r="827470" spans="1:1" x14ac:dyDescent="0.25">
      <c r="A827470" s="242"/>
    </row>
    <row r="827471" spans="1:1" x14ac:dyDescent="0.25">
      <c r="A827471" s="242"/>
    </row>
    <row r="827472" spans="1:1" x14ac:dyDescent="0.25">
      <c r="A827472" s="242"/>
    </row>
    <row r="827473" spans="1:1" x14ac:dyDescent="0.25">
      <c r="A827473" s="242"/>
    </row>
    <row r="827474" spans="1:1" x14ac:dyDescent="0.25">
      <c r="A827474" s="242"/>
    </row>
    <row r="827475" spans="1:1" x14ac:dyDescent="0.25">
      <c r="A827475" s="242"/>
    </row>
    <row r="827476" spans="1:1" x14ac:dyDescent="0.25">
      <c r="A827476" s="242"/>
    </row>
    <row r="827477" spans="1:1" x14ac:dyDescent="0.25">
      <c r="A827477" s="242"/>
    </row>
    <row r="827478" spans="1:1" x14ac:dyDescent="0.25">
      <c r="A827478" s="242"/>
    </row>
    <row r="827479" spans="1:1" x14ac:dyDescent="0.25">
      <c r="A827479" s="242"/>
    </row>
    <row r="827480" spans="1:1" x14ac:dyDescent="0.25">
      <c r="A827480" s="242"/>
    </row>
    <row r="827481" spans="1:1" x14ac:dyDescent="0.25">
      <c r="A827481" s="242"/>
    </row>
    <row r="827482" spans="1:1" x14ac:dyDescent="0.25">
      <c r="A827482" s="242"/>
    </row>
    <row r="827483" spans="1:1" x14ac:dyDescent="0.25">
      <c r="A827483" s="242"/>
    </row>
    <row r="827484" spans="1:1" x14ac:dyDescent="0.25">
      <c r="A827484" s="242"/>
    </row>
    <row r="827485" spans="1:1" x14ac:dyDescent="0.25">
      <c r="A827485" s="242"/>
    </row>
    <row r="827486" spans="1:1" x14ac:dyDescent="0.25">
      <c r="A827486" s="242"/>
    </row>
    <row r="827487" spans="1:1" x14ac:dyDescent="0.25">
      <c r="A827487" s="242"/>
    </row>
    <row r="827488" spans="1:1" x14ac:dyDescent="0.25">
      <c r="A827488" s="242"/>
    </row>
    <row r="827489" spans="1:1" x14ac:dyDescent="0.25">
      <c r="A827489" s="242"/>
    </row>
    <row r="827490" spans="1:1" x14ac:dyDescent="0.25">
      <c r="A827490" s="242"/>
    </row>
    <row r="827491" spans="1:1" x14ac:dyDescent="0.25">
      <c r="A827491" s="242"/>
    </row>
    <row r="827492" spans="1:1" x14ac:dyDescent="0.25">
      <c r="A827492" s="242"/>
    </row>
    <row r="827493" spans="1:1" x14ac:dyDescent="0.25">
      <c r="A827493" s="242"/>
    </row>
    <row r="827494" spans="1:1" x14ac:dyDescent="0.25">
      <c r="A827494" s="242"/>
    </row>
    <row r="827495" spans="1:1" x14ac:dyDescent="0.25">
      <c r="A827495" s="242"/>
    </row>
    <row r="827496" spans="1:1" x14ac:dyDescent="0.25">
      <c r="A827496" s="242"/>
    </row>
    <row r="827497" spans="1:1" x14ac:dyDescent="0.25">
      <c r="A827497" s="242"/>
    </row>
    <row r="827498" spans="1:1" x14ac:dyDescent="0.25">
      <c r="A827498" s="242"/>
    </row>
    <row r="827499" spans="1:1" x14ac:dyDescent="0.25">
      <c r="A827499" s="242"/>
    </row>
    <row r="827500" spans="1:1" x14ac:dyDescent="0.25">
      <c r="A827500" s="242"/>
    </row>
    <row r="827501" spans="1:1" x14ac:dyDescent="0.25">
      <c r="A827501" s="242"/>
    </row>
    <row r="827502" spans="1:1" x14ac:dyDescent="0.25">
      <c r="A827502" s="242"/>
    </row>
    <row r="827503" spans="1:1" x14ac:dyDescent="0.25">
      <c r="A827503" s="242"/>
    </row>
    <row r="827504" spans="1:1" x14ac:dyDescent="0.25">
      <c r="A827504" s="242"/>
    </row>
    <row r="827505" spans="1:1" x14ac:dyDescent="0.25">
      <c r="A827505" s="242"/>
    </row>
    <row r="827506" spans="1:1" x14ac:dyDescent="0.25">
      <c r="A827506" s="242"/>
    </row>
    <row r="827507" spans="1:1" x14ac:dyDescent="0.25">
      <c r="A827507" s="242"/>
    </row>
    <row r="827508" spans="1:1" x14ac:dyDescent="0.25">
      <c r="A827508" s="242"/>
    </row>
    <row r="827509" spans="1:1" x14ac:dyDescent="0.25">
      <c r="A827509" s="242"/>
    </row>
    <row r="827510" spans="1:1" x14ac:dyDescent="0.25">
      <c r="A827510" s="242"/>
    </row>
    <row r="827511" spans="1:1" x14ac:dyDescent="0.25">
      <c r="A827511" s="242"/>
    </row>
    <row r="827512" spans="1:1" x14ac:dyDescent="0.25">
      <c r="A827512" s="242"/>
    </row>
    <row r="827513" spans="1:1" x14ac:dyDescent="0.25">
      <c r="A827513" s="242"/>
    </row>
    <row r="827514" spans="1:1" x14ac:dyDescent="0.25">
      <c r="A827514" s="242"/>
    </row>
    <row r="827515" spans="1:1" x14ac:dyDescent="0.25">
      <c r="A827515" s="242"/>
    </row>
    <row r="827516" spans="1:1" x14ac:dyDescent="0.25">
      <c r="A827516" s="242"/>
    </row>
    <row r="827517" spans="1:1" x14ac:dyDescent="0.25">
      <c r="A827517" s="242"/>
    </row>
    <row r="827518" spans="1:1" x14ac:dyDescent="0.25">
      <c r="A827518" s="242"/>
    </row>
    <row r="827519" spans="1:1" x14ac:dyDescent="0.25">
      <c r="A827519" s="242"/>
    </row>
    <row r="827520" spans="1:1" x14ac:dyDescent="0.25">
      <c r="A827520" s="242"/>
    </row>
    <row r="827521" spans="1:1" x14ac:dyDescent="0.25">
      <c r="A827521" s="242"/>
    </row>
    <row r="827522" spans="1:1" x14ac:dyDescent="0.25">
      <c r="A827522" s="242"/>
    </row>
    <row r="827523" spans="1:1" x14ac:dyDescent="0.25">
      <c r="A827523" s="242"/>
    </row>
    <row r="827524" spans="1:1" x14ac:dyDescent="0.25">
      <c r="A827524" s="242"/>
    </row>
    <row r="827525" spans="1:1" x14ac:dyDescent="0.25">
      <c r="A827525" s="242"/>
    </row>
    <row r="827526" spans="1:1" x14ac:dyDescent="0.25">
      <c r="A827526" s="242"/>
    </row>
    <row r="827527" spans="1:1" x14ac:dyDescent="0.25">
      <c r="A827527" s="242"/>
    </row>
    <row r="827528" spans="1:1" x14ac:dyDescent="0.25">
      <c r="A827528" s="242"/>
    </row>
    <row r="827529" spans="1:1" x14ac:dyDescent="0.25">
      <c r="A827529" s="242"/>
    </row>
    <row r="827530" spans="1:1" x14ac:dyDescent="0.25">
      <c r="A827530" s="242"/>
    </row>
    <row r="827531" spans="1:1" x14ac:dyDescent="0.25">
      <c r="A827531" s="242"/>
    </row>
    <row r="827532" spans="1:1" x14ac:dyDescent="0.25">
      <c r="A827532" s="242"/>
    </row>
    <row r="827533" spans="1:1" x14ac:dyDescent="0.25">
      <c r="A827533" s="242"/>
    </row>
    <row r="827534" spans="1:1" x14ac:dyDescent="0.25">
      <c r="A827534" s="242"/>
    </row>
    <row r="827535" spans="1:1" x14ac:dyDescent="0.25">
      <c r="A827535" s="242"/>
    </row>
    <row r="827536" spans="1:1" x14ac:dyDescent="0.25">
      <c r="A827536" s="242"/>
    </row>
    <row r="827537" spans="1:1" x14ac:dyDescent="0.25">
      <c r="A827537" s="242"/>
    </row>
    <row r="827538" spans="1:1" x14ac:dyDescent="0.25">
      <c r="A827538" s="242"/>
    </row>
    <row r="827539" spans="1:1" x14ac:dyDescent="0.25">
      <c r="A827539" s="242"/>
    </row>
    <row r="827540" spans="1:1" x14ac:dyDescent="0.25">
      <c r="A827540" s="242"/>
    </row>
    <row r="827541" spans="1:1" x14ac:dyDescent="0.25">
      <c r="A827541" s="242"/>
    </row>
    <row r="827542" spans="1:1" x14ac:dyDescent="0.25">
      <c r="A827542" s="242"/>
    </row>
    <row r="827543" spans="1:1" x14ac:dyDescent="0.25">
      <c r="A827543" s="242"/>
    </row>
    <row r="827544" spans="1:1" x14ac:dyDescent="0.25">
      <c r="A827544" s="242"/>
    </row>
    <row r="827545" spans="1:1" x14ac:dyDescent="0.25">
      <c r="A827545" s="242"/>
    </row>
    <row r="827546" spans="1:1" x14ac:dyDescent="0.25">
      <c r="A827546" s="242"/>
    </row>
    <row r="827547" spans="1:1" x14ac:dyDescent="0.25">
      <c r="A827547" s="242"/>
    </row>
    <row r="827548" spans="1:1" x14ac:dyDescent="0.25">
      <c r="A827548" s="242"/>
    </row>
    <row r="827549" spans="1:1" x14ac:dyDescent="0.25">
      <c r="A827549" s="242"/>
    </row>
    <row r="827550" spans="1:1" x14ac:dyDescent="0.25">
      <c r="A827550" s="242"/>
    </row>
    <row r="827551" spans="1:1" x14ac:dyDescent="0.25">
      <c r="A827551" s="242"/>
    </row>
    <row r="827552" spans="1:1" x14ac:dyDescent="0.25">
      <c r="A827552" s="242"/>
    </row>
    <row r="827553" spans="1:1" x14ac:dyDescent="0.25">
      <c r="A827553" s="242"/>
    </row>
    <row r="827554" spans="1:1" x14ac:dyDescent="0.25">
      <c r="A827554" s="242"/>
    </row>
    <row r="827555" spans="1:1" x14ac:dyDescent="0.25">
      <c r="A827555" s="242"/>
    </row>
    <row r="827556" spans="1:1" x14ac:dyDescent="0.25">
      <c r="A827556" s="242"/>
    </row>
    <row r="827557" spans="1:1" x14ac:dyDescent="0.25">
      <c r="A827557" s="242"/>
    </row>
    <row r="827558" spans="1:1" x14ac:dyDescent="0.25">
      <c r="A827558" s="242"/>
    </row>
    <row r="827559" spans="1:1" x14ac:dyDescent="0.25">
      <c r="A827559" s="242"/>
    </row>
    <row r="827560" spans="1:1" x14ac:dyDescent="0.25">
      <c r="A827560" s="242"/>
    </row>
    <row r="827561" spans="1:1" x14ac:dyDescent="0.25">
      <c r="A827561" s="242"/>
    </row>
    <row r="827562" spans="1:1" x14ac:dyDescent="0.25">
      <c r="A827562" s="242"/>
    </row>
    <row r="827563" spans="1:1" x14ac:dyDescent="0.25">
      <c r="A827563" s="242"/>
    </row>
    <row r="827564" spans="1:1" x14ac:dyDescent="0.25">
      <c r="A827564" s="242"/>
    </row>
    <row r="827565" spans="1:1" x14ac:dyDescent="0.25">
      <c r="A827565" s="242"/>
    </row>
    <row r="827566" spans="1:1" x14ac:dyDescent="0.25">
      <c r="A827566" s="242"/>
    </row>
    <row r="827567" spans="1:1" x14ac:dyDescent="0.25">
      <c r="A827567" s="242"/>
    </row>
    <row r="827568" spans="1:1" x14ac:dyDescent="0.25">
      <c r="A827568" s="242"/>
    </row>
    <row r="827569" spans="1:1" x14ac:dyDescent="0.25">
      <c r="A827569" s="242"/>
    </row>
    <row r="827570" spans="1:1" x14ac:dyDescent="0.25">
      <c r="A827570" s="242"/>
    </row>
    <row r="827571" spans="1:1" x14ac:dyDescent="0.25">
      <c r="A827571" s="242"/>
    </row>
    <row r="827572" spans="1:1" x14ac:dyDescent="0.25">
      <c r="A827572" s="242"/>
    </row>
    <row r="827573" spans="1:1" x14ac:dyDescent="0.25">
      <c r="A827573" s="242"/>
    </row>
    <row r="827574" spans="1:1" x14ac:dyDescent="0.25">
      <c r="A827574" s="242"/>
    </row>
    <row r="827575" spans="1:1" x14ac:dyDescent="0.25">
      <c r="A827575" s="242"/>
    </row>
    <row r="827576" spans="1:1" x14ac:dyDescent="0.25">
      <c r="A827576" s="242"/>
    </row>
    <row r="827577" spans="1:1" x14ac:dyDescent="0.25">
      <c r="A827577" s="242"/>
    </row>
    <row r="827578" spans="1:1" x14ac:dyDescent="0.25">
      <c r="A827578" s="242"/>
    </row>
    <row r="827579" spans="1:1" x14ac:dyDescent="0.25">
      <c r="A827579" s="242"/>
    </row>
    <row r="827580" spans="1:1" x14ac:dyDescent="0.25">
      <c r="A827580" s="242"/>
    </row>
    <row r="827581" spans="1:1" x14ac:dyDescent="0.25">
      <c r="A827581" s="242"/>
    </row>
    <row r="827582" spans="1:1" x14ac:dyDescent="0.25">
      <c r="A827582" s="242"/>
    </row>
    <row r="827583" spans="1:1" x14ac:dyDescent="0.25">
      <c r="A827583" s="242"/>
    </row>
    <row r="827584" spans="1:1" x14ac:dyDescent="0.25">
      <c r="A827584" s="242"/>
    </row>
    <row r="827585" spans="1:1" x14ac:dyDescent="0.25">
      <c r="A827585" s="242"/>
    </row>
    <row r="827586" spans="1:1" x14ac:dyDescent="0.25">
      <c r="A827586" s="242"/>
    </row>
    <row r="827587" spans="1:1" x14ac:dyDescent="0.25">
      <c r="A827587" s="242"/>
    </row>
    <row r="827588" spans="1:1" x14ac:dyDescent="0.25">
      <c r="A827588" s="242"/>
    </row>
    <row r="827589" spans="1:1" x14ac:dyDescent="0.25">
      <c r="A827589" s="242"/>
    </row>
    <row r="827590" spans="1:1" x14ac:dyDescent="0.25">
      <c r="A827590" s="242"/>
    </row>
    <row r="827591" spans="1:1" x14ac:dyDescent="0.25">
      <c r="A827591" s="242"/>
    </row>
    <row r="827592" spans="1:1" x14ac:dyDescent="0.25">
      <c r="A827592" s="242"/>
    </row>
    <row r="827593" spans="1:1" x14ac:dyDescent="0.25">
      <c r="A827593" s="242"/>
    </row>
    <row r="827594" spans="1:1" x14ac:dyDescent="0.25">
      <c r="A827594" s="242"/>
    </row>
    <row r="827595" spans="1:1" x14ac:dyDescent="0.25">
      <c r="A827595" s="242"/>
    </row>
    <row r="827596" spans="1:1" x14ac:dyDescent="0.25">
      <c r="A827596" s="242"/>
    </row>
    <row r="827597" spans="1:1" x14ac:dyDescent="0.25">
      <c r="A827597" s="242"/>
    </row>
    <row r="827598" spans="1:1" x14ac:dyDescent="0.25">
      <c r="A827598" s="242"/>
    </row>
    <row r="827599" spans="1:1" x14ac:dyDescent="0.25">
      <c r="A827599" s="242"/>
    </row>
    <row r="827600" spans="1:1" x14ac:dyDescent="0.25">
      <c r="A827600" s="242"/>
    </row>
    <row r="827601" spans="1:1" x14ac:dyDescent="0.25">
      <c r="A827601" s="242"/>
    </row>
    <row r="827602" spans="1:1" x14ac:dyDescent="0.25">
      <c r="A827602" s="242"/>
    </row>
    <row r="827603" spans="1:1" x14ac:dyDescent="0.25">
      <c r="A827603" s="242"/>
    </row>
    <row r="827604" spans="1:1" x14ac:dyDescent="0.25">
      <c r="A827604" s="242"/>
    </row>
    <row r="827605" spans="1:1" x14ac:dyDescent="0.25">
      <c r="A827605" s="242"/>
    </row>
    <row r="827606" spans="1:1" x14ac:dyDescent="0.25">
      <c r="A827606" s="242"/>
    </row>
    <row r="827607" spans="1:1" x14ac:dyDescent="0.25">
      <c r="A827607" s="242"/>
    </row>
    <row r="827608" spans="1:1" x14ac:dyDescent="0.25">
      <c r="A827608" s="242"/>
    </row>
    <row r="827609" spans="1:1" x14ac:dyDescent="0.25">
      <c r="A827609" s="242"/>
    </row>
    <row r="827610" spans="1:1" x14ac:dyDescent="0.25">
      <c r="A827610" s="242"/>
    </row>
    <row r="827611" spans="1:1" x14ac:dyDescent="0.25">
      <c r="A827611" s="242"/>
    </row>
    <row r="827612" spans="1:1" x14ac:dyDescent="0.25">
      <c r="A827612" s="242"/>
    </row>
    <row r="827613" spans="1:1" x14ac:dyDescent="0.25">
      <c r="A827613" s="242"/>
    </row>
    <row r="827614" spans="1:1" x14ac:dyDescent="0.25">
      <c r="A827614" s="242"/>
    </row>
    <row r="827615" spans="1:1" x14ac:dyDescent="0.25">
      <c r="A827615" s="242"/>
    </row>
    <row r="827616" spans="1:1" x14ac:dyDescent="0.25">
      <c r="A827616" s="242"/>
    </row>
    <row r="827617" spans="1:1" x14ac:dyDescent="0.25">
      <c r="A827617" s="242"/>
    </row>
    <row r="827618" spans="1:1" x14ac:dyDescent="0.25">
      <c r="A827618" s="242"/>
    </row>
    <row r="827619" spans="1:1" x14ac:dyDescent="0.25">
      <c r="A827619" s="242"/>
    </row>
    <row r="827620" spans="1:1" x14ac:dyDescent="0.25">
      <c r="A827620" s="242"/>
    </row>
    <row r="827621" spans="1:1" x14ac:dyDescent="0.25">
      <c r="A827621" s="242"/>
    </row>
    <row r="827622" spans="1:1" x14ac:dyDescent="0.25">
      <c r="A827622" s="242"/>
    </row>
    <row r="827623" spans="1:1" x14ac:dyDescent="0.25">
      <c r="A827623" s="242"/>
    </row>
    <row r="827624" spans="1:1" x14ac:dyDescent="0.25">
      <c r="A827624" s="242"/>
    </row>
    <row r="827625" spans="1:1" x14ac:dyDescent="0.25">
      <c r="A827625" s="242"/>
    </row>
    <row r="827626" spans="1:1" x14ac:dyDescent="0.25">
      <c r="A827626" s="242"/>
    </row>
    <row r="827627" spans="1:1" x14ac:dyDescent="0.25">
      <c r="A827627" s="242"/>
    </row>
    <row r="827628" spans="1:1" x14ac:dyDescent="0.25">
      <c r="A827628" s="242"/>
    </row>
    <row r="827629" spans="1:1" x14ac:dyDescent="0.25">
      <c r="A827629" s="242"/>
    </row>
    <row r="827630" spans="1:1" x14ac:dyDescent="0.25">
      <c r="A827630" s="242"/>
    </row>
    <row r="827631" spans="1:1" x14ac:dyDescent="0.25">
      <c r="A827631" s="242"/>
    </row>
    <row r="827632" spans="1:1" x14ac:dyDescent="0.25">
      <c r="A827632" s="242"/>
    </row>
    <row r="827633" spans="1:1" x14ac:dyDescent="0.25">
      <c r="A827633" s="242"/>
    </row>
    <row r="827634" spans="1:1" x14ac:dyDescent="0.25">
      <c r="A827634" s="242"/>
    </row>
    <row r="827635" spans="1:1" x14ac:dyDescent="0.25">
      <c r="A827635" s="242"/>
    </row>
    <row r="827636" spans="1:1" x14ac:dyDescent="0.25">
      <c r="A827636" s="242"/>
    </row>
    <row r="827637" spans="1:1" x14ac:dyDescent="0.25">
      <c r="A827637" s="242"/>
    </row>
    <row r="827638" spans="1:1" x14ac:dyDescent="0.25">
      <c r="A827638" s="242"/>
    </row>
    <row r="827639" spans="1:1" x14ac:dyDescent="0.25">
      <c r="A827639" s="242"/>
    </row>
    <row r="827640" spans="1:1" x14ac:dyDescent="0.25">
      <c r="A827640" s="242"/>
    </row>
    <row r="827641" spans="1:1" x14ac:dyDescent="0.25">
      <c r="A827641" s="242"/>
    </row>
    <row r="827642" spans="1:1" x14ac:dyDescent="0.25">
      <c r="A827642" s="242"/>
    </row>
    <row r="827643" spans="1:1" x14ac:dyDescent="0.25">
      <c r="A827643" s="242"/>
    </row>
    <row r="827644" spans="1:1" x14ac:dyDescent="0.25">
      <c r="A827644" s="242"/>
    </row>
    <row r="827645" spans="1:1" x14ac:dyDescent="0.25">
      <c r="A827645" s="242"/>
    </row>
    <row r="827646" spans="1:1" x14ac:dyDescent="0.25">
      <c r="A827646" s="242"/>
    </row>
    <row r="827647" spans="1:1" x14ac:dyDescent="0.25">
      <c r="A827647" s="242"/>
    </row>
    <row r="827648" spans="1:1" x14ac:dyDescent="0.25">
      <c r="A827648" s="242"/>
    </row>
    <row r="827649" spans="1:1" x14ac:dyDescent="0.25">
      <c r="A827649" s="242"/>
    </row>
    <row r="827650" spans="1:1" x14ac:dyDescent="0.25">
      <c r="A827650" s="242"/>
    </row>
    <row r="827651" spans="1:1" x14ac:dyDescent="0.25">
      <c r="A827651" s="242"/>
    </row>
    <row r="827652" spans="1:1" x14ac:dyDescent="0.25">
      <c r="A827652" s="242"/>
    </row>
    <row r="827653" spans="1:1" x14ac:dyDescent="0.25">
      <c r="A827653" s="242"/>
    </row>
    <row r="827654" spans="1:1" x14ac:dyDescent="0.25">
      <c r="A827654" s="242"/>
    </row>
    <row r="827655" spans="1:1" x14ac:dyDescent="0.25">
      <c r="A827655" s="242"/>
    </row>
    <row r="827656" spans="1:1" x14ac:dyDescent="0.25">
      <c r="A827656" s="242"/>
    </row>
    <row r="827657" spans="1:1" x14ac:dyDescent="0.25">
      <c r="A827657" s="242"/>
    </row>
    <row r="827658" spans="1:1" x14ac:dyDescent="0.25">
      <c r="A827658" s="242"/>
    </row>
    <row r="827659" spans="1:1" x14ac:dyDescent="0.25">
      <c r="A827659" s="242"/>
    </row>
    <row r="827660" spans="1:1" x14ac:dyDescent="0.25">
      <c r="A827660" s="242"/>
    </row>
    <row r="827661" spans="1:1" x14ac:dyDescent="0.25">
      <c r="A827661" s="242"/>
    </row>
    <row r="827662" spans="1:1" x14ac:dyDescent="0.25">
      <c r="A827662" s="242"/>
    </row>
    <row r="827663" spans="1:1" x14ac:dyDescent="0.25">
      <c r="A827663" s="242"/>
    </row>
    <row r="827664" spans="1:1" x14ac:dyDescent="0.25">
      <c r="A827664" s="242"/>
    </row>
    <row r="827665" spans="1:1" x14ac:dyDescent="0.25">
      <c r="A827665" s="242"/>
    </row>
    <row r="827666" spans="1:1" x14ac:dyDescent="0.25">
      <c r="A827666" s="242"/>
    </row>
    <row r="827667" spans="1:1" x14ac:dyDescent="0.25">
      <c r="A827667" s="242"/>
    </row>
    <row r="827668" spans="1:1" x14ac:dyDescent="0.25">
      <c r="A827668" s="242"/>
    </row>
    <row r="827669" spans="1:1" x14ac:dyDescent="0.25">
      <c r="A827669" s="242"/>
    </row>
    <row r="827670" spans="1:1" x14ac:dyDescent="0.25">
      <c r="A827670" s="242"/>
    </row>
    <row r="827671" spans="1:1" x14ac:dyDescent="0.25">
      <c r="A827671" s="242"/>
    </row>
    <row r="827672" spans="1:1" x14ac:dyDescent="0.25">
      <c r="A827672" s="242"/>
    </row>
    <row r="827673" spans="1:1" x14ac:dyDescent="0.25">
      <c r="A827673" s="242"/>
    </row>
    <row r="827674" spans="1:1" x14ac:dyDescent="0.25">
      <c r="A827674" s="242"/>
    </row>
    <row r="827675" spans="1:1" x14ac:dyDescent="0.25">
      <c r="A827675" s="242"/>
    </row>
    <row r="827676" spans="1:1" x14ac:dyDescent="0.25">
      <c r="A827676" s="242"/>
    </row>
    <row r="827677" spans="1:1" x14ac:dyDescent="0.25">
      <c r="A827677" s="242"/>
    </row>
    <row r="827678" spans="1:1" x14ac:dyDescent="0.25">
      <c r="A827678" s="242"/>
    </row>
    <row r="827679" spans="1:1" x14ac:dyDescent="0.25">
      <c r="A827679" s="242"/>
    </row>
    <row r="827680" spans="1:1" x14ac:dyDescent="0.25">
      <c r="A827680" s="242"/>
    </row>
    <row r="827681" spans="1:1" x14ac:dyDescent="0.25">
      <c r="A827681" s="242"/>
    </row>
    <row r="827682" spans="1:1" x14ac:dyDescent="0.25">
      <c r="A827682" s="242"/>
    </row>
    <row r="827683" spans="1:1" x14ac:dyDescent="0.25">
      <c r="A827683" s="242"/>
    </row>
    <row r="827684" spans="1:1" x14ac:dyDescent="0.25">
      <c r="A827684" s="242"/>
    </row>
    <row r="827685" spans="1:1" x14ac:dyDescent="0.25">
      <c r="A827685" s="242"/>
    </row>
    <row r="827686" spans="1:1" x14ac:dyDescent="0.25">
      <c r="A827686" s="242"/>
    </row>
    <row r="827687" spans="1:1" x14ac:dyDescent="0.25">
      <c r="A827687" s="242"/>
    </row>
    <row r="827688" spans="1:1" x14ac:dyDescent="0.25">
      <c r="A827688" s="242"/>
    </row>
    <row r="827689" spans="1:1" x14ac:dyDescent="0.25">
      <c r="A827689" s="242"/>
    </row>
    <row r="827690" spans="1:1" x14ac:dyDescent="0.25">
      <c r="A827690" s="242"/>
    </row>
    <row r="827691" spans="1:1" x14ac:dyDescent="0.25">
      <c r="A827691" s="242"/>
    </row>
    <row r="827692" spans="1:1" x14ac:dyDescent="0.25">
      <c r="A827692" s="242"/>
    </row>
    <row r="827693" spans="1:1" x14ac:dyDescent="0.25">
      <c r="A827693" s="242"/>
    </row>
    <row r="827694" spans="1:1" x14ac:dyDescent="0.25">
      <c r="A827694" s="242"/>
    </row>
    <row r="827695" spans="1:1" x14ac:dyDescent="0.25">
      <c r="A827695" s="242"/>
    </row>
    <row r="827696" spans="1:1" x14ac:dyDescent="0.25">
      <c r="A827696" s="242"/>
    </row>
    <row r="827697" spans="1:1" x14ac:dyDescent="0.25">
      <c r="A827697" s="242"/>
    </row>
    <row r="827698" spans="1:1" x14ac:dyDescent="0.25">
      <c r="A827698" s="242"/>
    </row>
    <row r="827699" spans="1:1" x14ac:dyDescent="0.25">
      <c r="A827699" s="242"/>
    </row>
    <row r="827700" spans="1:1" x14ac:dyDescent="0.25">
      <c r="A827700" s="242"/>
    </row>
    <row r="827701" spans="1:1" x14ac:dyDescent="0.25">
      <c r="A827701" s="242"/>
    </row>
    <row r="827702" spans="1:1" x14ac:dyDescent="0.25">
      <c r="A827702" s="242"/>
    </row>
    <row r="827703" spans="1:1" x14ac:dyDescent="0.25">
      <c r="A827703" s="242"/>
    </row>
    <row r="827704" spans="1:1" x14ac:dyDescent="0.25">
      <c r="A827704" s="242"/>
    </row>
    <row r="827705" spans="1:1" x14ac:dyDescent="0.25">
      <c r="A827705" s="242"/>
    </row>
    <row r="827706" spans="1:1" x14ac:dyDescent="0.25">
      <c r="A827706" s="242"/>
    </row>
    <row r="827707" spans="1:1" x14ac:dyDescent="0.25">
      <c r="A827707" s="242"/>
    </row>
    <row r="827708" spans="1:1" x14ac:dyDescent="0.25">
      <c r="A827708" s="242"/>
    </row>
    <row r="827709" spans="1:1" x14ac:dyDescent="0.25">
      <c r="A827709" s="242"/>
    </row>
    <row r="827710" spans="1:1" x14ac:dyDescent="0.25">
      <c r="A827710" s="242"/>
    </row>
    <row r="827711" spans="1:1" x14ac:dyDescent="0.25">
      <c r="A827711" s="242"/>
    </row>
    <row r="827712" spans="1:1" x14ac:dyDescent="0.25">
      <c r="A827712" s="242"/>
    </row>
    <row r="827713" spans="1:1" x14ac:dyDescent="0.25">
      <c r="A827713" s="242"/>
    </row>
    <row r="827714" spans="1:1" x14ac:dyDescent="0.25">
      <c r="A827714" s="242"/>
    </row>
    <row r="827715" spans="1:1" x14ac:dyDescent="0.25">
      <c r="A827715" s="242"/>
    </row>
    <row r="827716" spans="1:1" x14ac:dyDescent="0.25">
      <c r="A827716" s="242"/>
    </row>
    <row r="827717" spans="1:1" x14ac:dyDescent="0.25">
      <c r="A827717" s="242"/>
    </row>
    <row r="827718" spans="1:1" x14ac:dyDescent="0.25">
      <c r="A827718" s="242"/>
    </row>
    <row r="827719" spans="1:1" x14ac:dyDescent="0.25">
      <c r="A827719" s="242"/>
    </row>
    <row r="827720" spans="1:1" x14ac:dyDescent="0.25">
      <c r="A827720" s="242"/>
    </row>
    <row r="827721" spans="1:1" x14ac:dyDescent="0.25">
      <c r="A827721" s="242"/>
    </row>
    <row r="827722" spans="1:1" x14ac:dyDescent="0.25">
      <c r="A827722" s="242"/>
    </row>
    <row r="827723" spans="1:1" x14ac:dyDescent="0.25">
      <c r="A827723" s="242"/>
    </row>
    <row r="827724" spans="1:1" x14ac:dyDescent="0.25">
      <c r="A827724" s="242"/>
    </row>
    <row r="827725" spans="1:1" x14ac:dyDescent="0.25">
      <c r="A827725" s="242"/>
    </row>
    <row r="827726" spans="1:1" x14ac:dyDescent="0.25">
      <c r="A827726" s="242"/>
    </row>
    <row r="827727" spans="1:1" x14ac:dyDescent="0.25">
      <c r="A827727" s="242"/>
    </row>
    <row r="827728" spans="1:1" x14ac:dyDescent="0.25">
      <c r="A827728" s="242"/>
    </row>
    <row r="827729" spans="1:1" x14ac:dyDescent="0.25">
      <c r="A827729" s="242"/>
    </row>
    <row r="827730" spans="1:1" x14ac:dyDescent="0.25">
      <c r="A827730" s="242"/>
    </row>
    <row r="827731" spans="1:1" x14ac:dyDescent="0.25">
      <c r="A827731" s="242"/>
    </row>
    <row r="827732" spans="1:1" x14ac:dyDescent="0.25">
      <c r="A827732" s="242"/>
    </row>
    <row r="827733" spans="1:1" x14ac:dyDescent="0.25">
      <c r="A827733" s="242"/>
    </row>
    <row r="827734" spans="1:1" x14ac:dyDescent="0.25">
      <c r="A827734" s="242"/>
    </row>
    <row r="827735" spans="1:1" x14ac:dyDescent="0.25">
      <c r="A827735" s="242"/>
    </row>
    <row r="827736" spans="1:1" x14ac:dyDescent="0.25">
      <c r="A827736" s="242"/>
    </row>
    <row r="827737" spans="1:1" x14ac:dyDescent="0.25">
      <c r="A827737" s="242"/>
    </row>
    <row r="827738" spans="1:1" x14ac:dyDescent="0.25">
      <c r="A827738" s="242"/>
    </row>
    <row r="827739" spans="1:1" x14ac:dyDescent="0.25">
      <c r="A827739" s="242"/>
    </row>
    <row r="827740" spans="1:1" x14ac:dyDescent="0.25">
      <c r="A827740" s="242"/>
    </row>
    <row r="827741" spans="1:1" x14ac:dyDescent="0.25">
      <c r="A827741" s="242"/>
    </row>
    <row r="827742" spans="1:1" x14ac:dyDescent="0.25">
      <c r="A827742" s="242"/>
    </row>
    <row r="827743" spans="1:1" x14ac:dyDescent="0.25">
      <c r="A827743" s="242"/>
    </row>
    <row r="827744" spans="1:1" x14ac:dyDescent="0.25">
      <c r="A827744" s="242"/>
    </row>
    <row r="827745" spans="1:1" x14ac:dyDescent="0.25">
      <c r="A827745" s="242"/>
    </row>
    <row r="827746" spans="1:1" x14ac:dyDescent="0.25">
      <c r="A827746" s="242"/>
    </row>
    <row r="827747" spans="1:1" x14ac:dyDescent="0.25">
      <c r="A827747" s="242"/>
    </row>
    <row r="827748" spans="1:1" x14ac:dyDescent="0.25">
      <c r="A827748" s="242"/>
    </row>
    <row r="827749" spans="1:1" x14ac:dyDescent="0.25">
      <c r="A827749" s="242"/>
    </row>
    <row r="827750" spans="1:1" x14ac:dyDescent="0.25">
      <c r="A827750" s="242"/>
    </row>
    <row r="827751" spans="1:1" x14ac:dyDescent="0.25">
      <c r="A827751" s="242"/>
    </row>
    <row r="827752" spans="1:1" x14ac:dyDescent="0.25">
      <c r="A827752" s="242"/>
    </row>
    <row r="827753" spans="1:1" x14ac:dyDescent="0.25">
      <c r="A827753" s="242"/>
    </row>
    <row r="827754" spans="1:1" x14ac:dyDescent="0.25">
      <c r="A827754" s="242"/>
    </row>
    <row r="827755" spans="1:1" x14ac:dyDescent="0.25">
      <c r="A827755" s="242"/>
    </row>
    <row r="827756" spans="1:1" x14ac:dyDescent="0.25">
      <c r="A827756" s="242"/>
    </row>
    <row r="827757" spans="1:1" x14ac:dyDescent="0.25">
      <c r="A827757" s="242"/>
    </row>
    <row r="827758" spans="1:1" x14ac:dyDescent="0.25">
      <c r="A827758" s="242"/>
    </row>
    <row r="827759" spans="1:1" x14ac:dyDescent="0.25">
      <c r="A827759" s="242"/>
    </row>
    <row r="827760" spans="1:1" x14ac:dyDescent="0.25">
      <c r="A827760" s="242"/>
    </row>
    <row r="827761" spans="1:1" x14ac:dyDescent="0.25">
      <c r="A827761" s="242"/>
    </row>
    <row r="827762" spans="1:1" x14ac:dyDescent="0.25">
      <c r="A827762" s="242"/>
    </row>
    <row r="827763" spans="1:1" x14ac:dyDescent="0.25">
      <c r="A827763" s="242"/>
    </row>
    <row r="827764" spans="1:1" x14ac:dyDescent="0.25">
      <c r="A827764" s="242"/>
    </row>
    <row r="827765" spans="1:1" x14ac:dyDescent="0.25">
      <c r="A827765" s="242"/>
    </row>
    <row r="827766" spans="1:1" x14ac:dyDescent="0.25">
      <c r="A827766" s="242"/>
    </row>
    <row r="827767" spans="1:1" x14ac:dyDescent="0.25">
      <c r="A827767" s="242"/>
    </row>
    <row r="827768" spans="1:1" x14ac:dyDescent="0.25">
      <c r="A827768" s="242"/>
    </row>
    <row r="827769" spans="1:1" x14ac:dyDescent="0.25">
      <c r="A827769" s="242"/>
    </row>
    <row r="827770" spans="1:1" x14ac:dyDescent="0.25">
      <c r="A827770" s="242"/>
    </row>
    <row r="827771" spans="1:1" x14ac:dyDescent="0.25">
      <c r="A827771" s="242"/>
    </row>
    <row r="827772" spans="1:1" x14ac:dyDescent="0.25">
      <c r="A827772" s="242"/>
    </row>
    <row r="827773" spans="1:1" x14ac:dyDescent="0.25">
      <c r="A827773" s="242"/>
    </row>
    <row r="827774" spans="1:1" x14ac:dyDescent="0.25">
      <c r="A827774" s="242"/>
    </row>
    <row r="827775" spans="1:1" x14ac:dyDescent="0.25">
      <c r="A827775" s="242"/>
    </row>
    <row r="827776" spans="1:1" x14ac:dyDescent="0.25">
      <c r="A827776" s="242"/>
    </row>
    <row r="827777" spans="1:1" x14ac:dyDescent="0.25">
      <c r="A827777" s="242"/>
    </row>
    <row r="827778" spans="1:1" x14ac:dyDescent="0.25">
      <c r="A827778" s="242"/>
    </row>
    <row r="827779" spans="1:1" x14ac:dyDescent="0.25">
      <c r="A827779" s="242"/>
    </row>
    <row r="827780" spans="1:1" x14ac:dyDescent="0.25">
      <c r="A827780" s="242"/>
    </row>
    <row r="827781" spans="1:1" x14ac:dyDescent="0.25">
      <c r="A827781" s="242"/>
    </row>
    <row r="827782" spans="1:1" x14ac:dyDescent="0.25">
      <c r="A827782" s="242"/>
    </row>
    <row r="827783" spans="1:1" x14ac:dyDescent="0.25">
      <c r="A827783" s="242"/>
    </row>
    <row r="827784" spans="1:1" x14ac:dyDescent="0.25">
      <c r="A827784" s="242"/>
    </row>
    <row r="827785" spans="1:1" x14ac:dyDescent="0.25">
      <c r="A827785" s="242"/>
    </row>
    <row r="827786" spans="1:1" x14ac:dyDescent="0.25">
      <c r="A827786" s="242"/>
    </row>
    <row r="827787" spans="1:1" x14ac:dyDescent="0.25">
      <c r="A827787" s="242"/>
    </row>
    <row r="827788" spans="1:1" x14ac:dyDescent="0.25">
      <c r="A827788" s="242"/>
    </row>
    <row r="827789" spans="1:1" x14ac:dyDescent="0.25">
      <c r="A827789" s="242"/>
    </row>
    <row r="827790" spans="1:1" x14ac:dyDescent="0.25">
      <c r="A827790" s="242"/>
    </row>
    <row r="827791" spans="1:1" x14ac:dyDescent="0.25">
      <c r="A827791" s="242"/>
    </row>
    <row r="827792" spans="1:1" x14ac:dyDescent="0.25">
      <c r="A827792" s="242"/>
    </row>
    <row r="827793" spans="1:1" x14ac:dyDescent="0.25">
      <c r="A827793" s="242"/>
    </row>
    <row r="827794" spans="1:1" x14ac:dyDescent="0.25">
      <c r="A827794" s="242"/>
    </row>
    <row r="827795" spans="1:1" x14ac:dyDescent="0.25">
      <c r="A827795" s="242"/>
    </row>
    <row r="827796" spans="1:1" x14ac:dyDescent="0.25">
      <c r="A827796" s="242"/>
    </row>
    <row r="827797" spans="1:1" x14ac:dyDescent="0.25">
      <c r="A827797" s="242"/>
    </row>
    <row r="827798" spans="1:1" x14ac:dyDescent="0.25">
      <c r="A827798" s="242"/>
    </row>
    <row r="827799" spans="1:1" x14ac:dyDescent="0.25">
      <c r="A827799" s="242"/>
    </row>
    <row r="827800" spans="1:1" x14ac:dyDescent="0.25">
      <c r="A827800" s="242"/>
    </row>
    <row r="827801" spans="1:1" x14ac:dyDescent="0.25">
      <c r="A827801" s="242"/>
    </row>
    <row r="827802" spans="1:1" x14ac:dyDescent="0.25">
      <c r="A827802" s="242"/>
    </row>
    <row r="827803" spans="1:1" x14ac:dyDescent="0.25">
      <c r="A827803" s="242"/>
    </row>
    <row r="827804" spans="1:1" x14ac:dyDescent="0.25">
      <c r="A827804" s="242"/>
    </row>
    <row r="827805" spans="1:1" x14ac:dyDescent="0.25">
      <c r="A827805" s="242"/>
    </row>
    <row r="827806" spans="1:1" x14ac:dyDescent="0.25">
      <c r="A827806" s="242"/>
    </row>
    <row r="827807" spans="1:1" x14ac:dyDescent="0.25">
      <c r="A827807" s="242"/>
    </row>
    <row r="827808" spans="1:1" x14ac:dyDescent="0.25">
      <c r="A827808" s="242"/>
    </row>
    <row r="827809" spans="1:1" x14ac:dyDescent="0.25">
      <c r="A827809" s="242"/>
    </row>
    <row r="827810" spans="1:1" x14ac:dyDescent="0.25">
      <c r="A827810" s="242"/>
    </row>
    <row r="827811" spans="1:1" x14ac:dyDescent="0.25">
      <c r="A827811" s="242"/>
    </row>
    <row r="827812" spans="1:1" x14ac:dyDescent="0.25">
      <c r="A827812" s="242"/>
    </row>
    <row r="827813" spans="1:1" x14ac:dyDescent="0.25">
      <c r="A827813" s="242"/>
    </row>
    <row r="827814" spans="1:1" x14ac:dyDescent="0.25">
      <c r="A827814" s="242"/>
    </row>
    <row r="827815" spans="1:1" x14ac:dyDescent="0.25">
      <c r="A827815" s="242"/>
    </row>
    <row r="827816" spans="1:1" x14ac:dyDescent="0.25">
      <c r="A827816" s="242"/>
    </row>
    <row r="827817" spans="1:1" x14ac:dyDescent="0.25">
      <c r="A827817" s="242"/>
    </row>
    <row r="827818" spans="1:1" x14ac:dyDescent="0.25">
      <c r="A827818" s="242"/>
    </row>
    <row r="827819" spans="1:1" x14ac:dyDescent="0.25">
      <c r="A827819" s="242"/>
    </row>
    <row r="827820" spans="1:1" x14ac:dyDescent="0.25">
      <c r="A827820" s="242"/>
    </row>
    <row r="827821" spans="1:1" x14ac:dyDescent="0.25">
      <c r="A827821" s="242"/>
    </row>
    <row r="827822" spans="1:1" x14ac:dyDescent="0.25">
      <c r="A827822" s="242"/>
    </row>
    <row r="827823" spans="1:1" x14ac:dyDescent="0.25">
      <c r="A827823" s="242"/>
    </row>
    <row r="827824" spans="1:1" x14ac:dyDescent="0.25">
      <c r="A827824" s="242"/>
    </row>
    <row r="827825" spans="1:1" x14ac:dyDescent="0.25">
      <c r="A827825" s="242"/>
    </row>
    <row r="827826" spans="1:1" x14ac:dyDescent="0.25">
      <c r="A827826" s="242"/>
    </row>
    <row r="827827" spans="1:1" x14ac:dyDescent="0.25">
      <c r="A827827" s="242"/>
    </row>
    <row r="827828" spans="1:1" x14ac:dyDescent="0.25">
      <c r="A827828" s="242"/>
    </row>
    <row r="827829" spans="1:1" x14ac:dyDescent="0.25">
      <c r="A827829" s="242"/>
    </row>
    <row r="827830" spans="1:1" x14ac:dyDescent="0.25">
      <c r="A827830" s="242"/>
    </row>
    <row r="827831" spans="1:1" x14ac:dyDescent="0.25">
      <c r="A827831" s="242"/>
    </row>
    <row r="827832" spans="1:1" x14ac:dyDescent="0.25">
      <c r="A827832" s="242"/>
    </row>
    <row r="827833" spans="1:1" x14ac:dyDescent="0.25">
      <c r="A827833" s="242"/>
    </row>
    <row r="827834" spans="1:1" x14ac:dyDescent="0.25">
      <c r="A827834" s="242"/>
    </row>
    <row r="827835" spans="1:1" x14ac:dyDescent="0.25">
      <c r="A827835" s="242"/>
    </row>
    <row r="827836" spans="1:1" x14ac:dyDescent="0.25">
      <c r="A827836" s="242"/>
    </row>
    <row r="827837" spans="1:1" x14ac:dyDescent="0.25">
      <c r="A827837" s="242"/>
    </row>
    <row r="827838" spans="1:1" x14ac:dyDescent="0.25">
      <c r="A827838" s="242"/>
    </row>
    <row r="827839" spans="1:1" x14ac:dyDescent="0.25">
      <c r="A827839" s="242"/>
    </row>
    <row r="827840" spans="1:1" x14ac:dyDescent="0.25">
      <c r="A827840" s="242"/>
    </row>
    <row r="827841" spans="1:1" x14ac:dyDescent="0.25">
      <c r="A827841" s="242"/>
    </row>
    <row r="827842" spans="1:1" x14ac:dyDescent="0.25">
      <c r="A827842" s="242"/>
    </row>
    <row r="827843" spans="1:1" x14ac:dyDescent="0.25">
      <c r="A827843" s="242"/>
    </row>
    <row r="827844" spans="1:1" x14ac:dyDescent="0.25">
      <c r="A827844" s="242"/>
    </row>
    <row r="827845" spans="1:1" x14ac:dyDescent="0.25">
      <c r="A827845" s="242"/>
    </row>
    <row r="827846" spans="1:1" x14ac:dyDescent="0.25">
      <c r="A827846" s="242"/>
    </row>
    <row r="827847" spans="1:1" x14ac:dyDescent="0.25">
      <c r="A827847" s="242"/>
    </row>
    <row r="827848" spans="1:1" x14ac:dyDescent="0.25">
      <c r="A827848" s="242"/>
    </row>
    <row r="827849" spans="1:1" x14ac:dyDescent="0.25">
      <c r="A827849" s="242"/>
    </row>
    <row r="827850" spans="1:1" x14ac:dyDescent="0.25">
      <c r="A827850" s="242"/>
    </row>
    <row r="827851" spans="1:1" x14ac:dyDescent="0.25">
      <c r="A827851" s="242"/>
    </row>
    <row r="827852" spans="1:1" x14ac:dyDescent="0.25">
      <c r="A827852" s="242"/>
    </row>
    <row r="827853" spans="1:1" x14ac:dyDescent="0.25">
      <c r="A827853" s="242"/>
    </row>
    <row r="827854" spans="1:1" x14ac:dyDescent="0.25">
      <c r="A827854" s="242"/>
    </row>
    <row r="827855" spans="1:1" x14ac:dyDescent="0.25">
      <c r="A827855" s="242"/>
    </row>
    <row r="827856" spans="1:1" x14ac:dyDescent="0.25">
      <c r="A827856" s="242"/>
    </row>
    <row r="827857" spans="1:1" x14ac:dyDescent="0.25">
      <c r="A827857" s="242"/>
    </row>
    <row r="827858" spans="1:1" x14ac:dyDescent="0.25">
      <c r="A827858" s="242"/>
    </row>
    <row r="827859" spans="1:1" x14ac:dyDescent="0.25">
      <c r="A827859" s="242"/>
    </row>
    <row r="827860" spans="1:1" x14ac:dyDescent="0.25">
      <c r="A827860" s="242"/>
    </row>
    <row r="827861" spans="1:1" x14ac:dyDescent="0.25">
      <c r="A827861" s="242"/>
    </row>
    <row r="827862" spans="1:1" x14ac:dyDescent="0.25">
      <c r="A827862" s="242"/>
    </row>
    <row r="827863" spans="1:1" x14ac:dyDescent="0.25">
      <c r="A827863" s="242"/>
    </row>
    <row r="827864" spans="1:1" x14ac:dyDescent="0.25">
      <c r="A827864" s="242"/>
    </row>
    <row r="827865" spans="1:1" x14ac:dyDescent="0.25">
      <c r="A827865" s="242"/>
    </row>
    <row r="827866" spans="1:1" x14ac:dyDescent="0.25">
      <c r="A827866" s="242"/>
    </row>
    <row r="827867" spans="1:1" x14ac:dyDescent="0.25">
      <c r="A827867" s="242"/>
    </row>
    <row r="827868" spans="1:1" x14ac:dyDescent="0.25">
      <c r="A827868" s="242"/>
    </row>
    <row r="827869" spans="1:1" x14ac:dyDescent="0.25">
      <c r="A827869" s="242"/>
    </row>
    <row r="827870" spans="1:1" x14ac:dyDescent="0.25">
      <c r="A827870" s="242"/>
    </row>
    <row r="827871" spans="1:1" x14ac:dyDescent="0.25">
      <c r="A827871" s="242"/>
    </row>
    <row r="827872" spans="1:1" x14ac:dyDescent="0.25">
      <c r="A827872" s="242"/>
    </row>
    <row r="827873" spans="1:1" x14ac:dyDescent="0.25">
      <c r="A827873" s="242"/>
    </row>
    <row r="827874" spans="1:1" x14ac:dyDescent="0.25">
      <c r="A827874" s="242"/>
    </row>
    <row r="827875" spans="1:1" x14ac:dyDescent="0.25">
      <c r="A827875" s="242"/>
    </row>
    <row r="827876" spans="1:1" x14ac:dyDescent="0.25">
      <c r="A827876" s="242"/>
    </row>
    <row r="827877" spans="1:1" x14ac:dyDescent="0.25">
      <c r="A827877" s="242"/>
    </row>
    <row r="827878" spans="1:1" x14ac:dyDescent="0.25">
      <c r="A827878" s="242"/>
    </row>
    <row r="827879" spans="1:1" x14ac:dyDescent="0.25">
      <c r="A827879" s="242"/>
    </row>
    <row r="827880" spans="1:1" x14ac:dyDescent="0.25">
      <c r="A827880" s="242"/>
    </row>
    <row r="827881" spans="1:1" x14ac:dyDescent="0.25">
      <c r="A827881" s="242"/>
    </row>
    <row r="827882" spans="1:1" x14ac:dyDescent="0.25">
      <c r="A827882" s="242"/>
    </row>
    <row r="827883" spans="1:1" x14ac:dyDescent="0.25">
      <c r="A827883" s="242"/>
    </row>
    <row r="827884" spans="1:1" x14ac:dyDescent="0.25">
      <c r="A827884" s="242"/>
    </row>
    <row r="827885" spans="1:1" x14ac:dyDescent="0.25">
      <c r="A827885" s="242"/>
    </row>
    <row r="827886" spans="1:1" x14ac:dyDescent="0.25">
      <c r="A827886" s="242"/>
    </row>
    <row r="827887" spans="1:1" x14ac:dyDescent="0.25">
      <c r="A827887" s="242"/>
    </row>
    <row r="827888" spans="1:1" x14ac:dyDescent="0.25">
      <c r="A827888" s="242"/>
    </row>
    <row r="827889" spans="1:1" x14ac:dyDescent="0.25">
      <c r="A827889" s="242"/>
    </row>
    <row r="827890" spans="1:1" x14ac:dyDescent="0.25">
      <c r="A827890" s="242"/>
    </row>
    <row r="827891" spans="1:1" x14ac:dyDescent="0.25">
      <c r="A827891" s="242"/>
    </row>
    <row r="827892" spans="1:1" x14ac:dyDescent="0.25">
      <c r="A827892" s="242"/>
    </row>
    <row r="827893" spans="1:1" x14ac:dyDescent="0.25">
      <c r="A827893" s="242"/>
    </row>
    <row r="827894" spans="1:1" x14ac:dyDescent="0.25">
      <c r="A827894" s="242"/>
    </row>
    <row r="827895" spans="1:1" x14ac:dyDescent="0.25">
      <c r="A827895" s="242"/>
    </row>
    <row r="827896" spans="1:1" x14ac:dyDescent="0.25">
      <c r="A827896" s="242"/>
    </row>
    <row r="827897" spans="1:1" x14ac:dyDescent="0.25">
      <c r="A827897" s="242"/>
    </row>
    <row r="827898" spans="1:1" x14ac:dyDescent="0.25">
      <c r="A827898" s="242"/>
    </row>
    <row r="827899" spans="1:1" x14ac:dyDescent="0.25">
      <c r="A827899" s="242"/>
    </row>
    <row r="827900" spans="1:1" x14ac:dyDescent="0.25">
      <c r="A827900" s="242"/>
    </row>
    <row r="827901" spans="1:1" x14ac:dyDescent="0.25">
      <c r="A827901" s="242"/>
    </row>
    <row r="827902" spans="1:1" x14ac:dyDescent="0.25">
      <c r="A827902" s="242"/>
    </row>
    <row r="827903" spans="1:1" x14ac:dyDescent="0.25">
      <c r="A827903" s="242"/>
    </row>
    <row r="827904" spans="1:1" x14ac:dyDescent="0.25">
      <c r="A827904" s="242"/>
    </row>
    <row r="827905" spans="1:1" x14ac:dyDescent="0.25">
      <c r="A827905" s="242"/>
    </row>
    <row r="827906" spans="1:1" x14ac:dyDescent="0.25">
      <c r="A827906" s="242"/>
    </row>
    <row r="827907" spans="1:1" x14ac:dyDescent="0.25">
      <c r="A827907" s="242"/>
    </row>
    <row r="827908" spans="1:1" x14ac:dyDescent="0.25">
      <c r="A827908" s="242"/>
    </row>
    <row r="827909" spans="1:1" x14ac:dyDescent="0.25">
      <c r="A827909" s="242"/>
    </row>
    <row r="827910" spans="1:1" x14ac:dyDescent="0.25">
      <c r="A827910" s="242"/>
    </row>
    <row r="827911" spans="1:1" x14ac:dyDescent="0.25">
      <c r="A827911" s="242"/>
    </row>
    <row r="827912" spans="1:1" x14ac:dyDescent="0.25">
      <c r="A827912" s="242"/>
    </row>
    <row r="827913" spans="1:1" x14ac:dyDescent="0.25">
      <c r="A827913" s="242"/>
    </row>
    <row r="827914" spans="1:1" x14ac:dyDescent="0.25">
      <c r="A827914" s="242"/>
    </row>
    <row r="827915" spans="1:1" x14ac:dyDescent="0.25">
      <c r="A827915" s="242"/>
    </row>
    <row r="827916" spans="1:1" x14ac:dyDescent="0.25">
      <c r="A827916" s="242"/>
    </row>
    <row r="827917" spans="1:1" x14ac:dyDescent="0.25">
      <c r="A827917" s="242"/>
    </row>
    <row r="827918" spans="1:1" x14ac:dyDescent="0.25">
      <c r="A827918" s="242"/>
    </row>
    <row r="827919" spans="1:1" x14ac:dyDescent="0.25">
      <c r="A827919" s="242"/>
    </row>
    <row r="827920" spans="1:1" x14ac:dyDescent="0.25">
      <c r="A827920" s="242"/>
    </row>
    <row r="827921" spans="1:1" x14ac:dyDescent="0.25">
      <c r="A827921" s="242"/>
    </row>
    <row r="827922" spans="1:1" x14ac:dyDescent="0.25">
      <c r="A827922" s="242"/>
    </row>
    <row r="827923" spans="1:1" x14ac:dyDescent="0.25">
      <c r="A827923" s="242"/>
    </row>
    <row r="827924" spans="1:1" x14ac:dyDescent="0.25">
      <c r="A827924" s="242"/>
    </row>
    <row r="827925" spans="1:1" x14ac:dyDescent="0.25">
      <c r="A827925" s="242"/>
    </row>
    <row r="827926" spans="1:1" x14ac:dyDescent="0.25">
      <c r="A827926" s="242"/>
    </row>
    <row r="827927" spans="1:1" x14ac:dyDescent="0.25">
      <c r="A827927" s="242"/>
    </row>
    <row r="827928" spans="1:1" x14ac:dyDescent="0.25">
      <c r="A827928" s="242"/>
    </row>
    <row r="827929" spans="1:1" x14ac:dyDescent="0.25">
      <c r="A827929" s="242"/>
    </row>
    <row r="827930" spans="1:1" x14ac:dyDescent="0.25">
      <c r="A827930" s="242"/>
    </row>
    <row r="827931" spans="1:1" x14ac:dyDescent="0.25">
      <c r="A827931" s="242"/>
    </row>
    <row r="827932" spans="1:1" x14ac:dyDescent="0.25">
      <c r="A827932" s="242"/>
    </row>
    <row r="827933" spans="1:1" x14ac:dyDescent="0.25">
      <c r="A827933" s="242"/>
    </row>
    <row r="827934" spans="1:1" x14ac:dyDescent="0.25">
      <c r="A827934" s="242"/>
    </row>
    <row r="827935" spans="1:1" x14ac:dyDescent="0.25">
      <c r="A827935" s="242"/>
    </row>
    <row r="827936" spans="1:1" x14ac:dyDescent="0.25">
      <c r="A827936" s="242"/>
    </row>
    <row r="827937" spans="1:1" x14ac:dyDescent="0.25">
      <c r="A827937" s="242"/>
    </row>
    <row r="827938" spans="1:1" x14ac:dyDescent="0.25">
      <c r="A827938" s="242"/>
    </row>
    <row r="827939" spans="1:1" x14ac:dyDescent="0.25">
      <c r="A827939" s="242"/>
    </row>
    <row r="827940" spans="1:1" x14ac:dyDescent="0.25">
      <c r="A827940" s="242"/>
    </row>
    <row r="827941" spans="1:1" x14ac:dyDescent="0.25">
      <c r="A827941" s="242"/>
    </row>
    <row r="827942" spans="1:1" x14ac:dyDescent="0.25">
      <c r="A827942" s="242"/>
    </row>
    <row r="827943" spans="1:1" x14ac:dyDescent="0.25">
      <c r="A827943" s="242"/>
    </row>
    <row r="827944" spans="1:1" x14ac:dyDescent="0.25">
      <c r="A827944" s="242"/>
    </row>
    <row r="827945" spans="1:1" x14ac:dyDescent="0.25">
      <c r="A827945" s="242"/>
    </row>
    <row r="827946" spans="1:1" x14ac:dyDescent="0.25">
      <c r="A827946" s="242"/>
    </row>
    <row r="827947" spans="1:1" x14ac:dyDescent="0.25">
      <c r="A827947" s="242"/>
    </row>
    <row r="827948" spans="1:1" x14ac:dyDescent="0.25">
      <c r="A827948" s="242"/>
    </row>
    <row r="827949" spans="1:1" x14ac:dyDescent="0.25">
      <c r="A827949" s="242"/>
    </row>
    <row r="827950" spans="1:1" x14ac:dyDescent="0.25">
      <c r="A827950" s="242"/>
    </row>
    <row r="827951" spans="1:1" x14ac:dyDescent="0.25">
      <c r="A827951" s="242"/>
    </row>
    <row r="827952" spans="1:1" x14ac:dyDescent="0.25">
      <c r="A827952" s="242"/>
    </row>
    <row r="827953" spans="1:1" x14ac:dyDescent="0.25">
      <c r="A827953" s="242"/>
    </row>
    <row r="827954" spans="1:1" x14ac:dyDescent="0.25">
      <c r="A827954" s="242"/>
    </row>
    <row r="827955" spans="1:1" x14ac:dyDescent="0.25">
      <c r="A827955" s="242"/>
    </row>
    <row r="827956" spans="1:1" x14ac:dyDescent="0.25">
      <c r="A827956" s="242"/>
    </row>
    <row r="827957" spans="1:1" x14ac:dyDescent="0.25">
      <c r="A827957" s="242"/>
    </row>
    <row r="827958" spans="1:1" x14ac:dyDescent="0.25">
      <c r="A827958" s="242"/>
    </row>
    <row r="827959" spans="1:1" x14ac:dyDescent="0.25">
      <c r="A827959" s="242"/>
    </row>
    <row r="827960" spans="1:1" x14ac:dyDescent="0.25">
      <c r="A827960" s="242"/>
    </row>
    <row r="827961" spans="1:1" x14ac:dyDescent="0.25">
      <c r="A827961" s="242"/>
    </row>
    <row r="827962" spans="1:1" x14ac:dyDescent="0.25">
      <c r="A827962" s="242"/>
    </row>
    <row r="827963" spans="1:1" x14ac:dyDescent="0.25">
      <c r="A827963" s="242"/>
    </row>
    <row r="827964" spans="1:1" x14ac:dyDescent="0.25">
      <c r="A827964" s="242"/>
    </row>
    <row r="827965" spans="1:1" x14ac:dyDescent="0.25">
      <c r="A827965" s="242"/>
    </row>
    <row r="827966" spans="1:1" x14ac:dyDescent="0.25">
      <c r="A827966" s="242"/>
    </row>
    <row r="827967" spans="1:1" x14ac:dyDescent="0.25">
      <c r="A827967" s="242"/>
    </row>
    <row r="827968" spans="1:1" x14ac:dyDescent="0.25">
      <c r="A827968" s="242"/>
    </row>
    <row r="827969" spans="1:1" x14ac:dyDescent="0.25">
      <c r="A827969" s="242"/>
    </row>
    <row r="827970" spans="1:1" x14ac:dyDescent="0.25">
      <c r="A827970" s="242"/>
    </row>
    <row r="827971" spans="1:1" x14ac:dyDescent="0.25">
      <c r="A827971" s="242"/>
    </row>
    <row r="827972" spans="1:1" x14ac:dyDescent="0.25">
      <c r="A827972" s="242"/>
    </row>
    <row r="827973" spans="1:1" x14ac:dyDescent="0.25">
      <c r="A827973" s="242"/>
    </row>
    <row r="827974" spans="1:1" x14ac:dyDescent="0.25">
      <c r="A827974" s="242"/>
    </row>
    <row r="827975" spans="1:1" x14ac:dyDescent="0.25">
      <c r="A827975" s="242"/>
    </row>
    <row r="827976" spans="1:1" x14ac:dyDescent="0.25">
      <c r="A827976" s="242"/>
    </row>
    <row r="827977" spans="1:1" x14ac:dyDescent="0.25">
      <c r="A827977" s="242"/>
    </row>
    <row r="827978" spans="1:1" x14ac:dyDescent="0.25">
      <c r="A827978" s="242"/>
    </row>
    <row r="827979" spans="1:1" x14ac:dyDescent="0.25">
      <c r="A827979" s="242"/>
    </row>
    <row r="827980" spans="1:1" x14ac:dyDescent="0.25">
      <c r="A827980" s="242"/>
    </row>
    <row r="827981" spans="1:1" x14ac:dyDescent="0.25">
      <c r="A827981" s="242"/>
    </row>
    <row r="827982" spans="1:1" x14ac:dyDescent="0.25">
      <c r="A827982" s="242"/>
    </row>
    <row r="827983" spans="1:1" x14ac:dyDescent="0.25">
      <c r="A827983" s="242"/>
    </row>
    <row r="827984" spans="1:1" x14ac:dyDescent="0.25">
      <c r="A827984" s="242"/>
    </row>
    <row r="827985" spans="1:1" x14ac:dyDescent="0.25">
      <c r="A827985" s="242"/>
    </row>
    <row r="827986" spans="1:1" x14ac:dyDescent="0.25">
      <c r="A827986" s="242"/>
    </row>
    <row r="827987" spans="1:1" x14ac:dyDescent="0.25">
      <c r="A827987" s="242"/>
    </row>
    <row r="827988" spans="1:1" x14ac:dyDescent="0.25">
      <c r="A827988" s="242"/>
    </row>
    <row r="827989" spans="1:1" x14ac:dyDescent="0.25">
      <c r="A827989" s="242"/>
    </row>
    <row r="827990" spans="1:1" x14ac:dyDescent="0.25">
      <c r="A827990" s="242"/>
    </row>
    <row r="827991" spans="1:1" x14ac:dyDescent="0.25">
      <c r="A827991" s="242"/>
    </row>
    <row r="827992" spans="1:1" x14ac:dyDescent="0.25">
      <c r="A827992" s="242"/>
    </row>
    <row r="827993" spans="1:1" x14ac:dyDescent="0.25">
      <c r="A827993" s="242"/>
    </row>
    <row r="827994" spans="1:1" x14ac:dyDescent="0.25">
      <c r="A827994" s="242"/>
    </row>
    <row r="827995" spans="1:1" x14ac:dyDescent="0.25">
      <c r="A827995" s="242"/>
    </row>
    <row r="827996" spans="1:1" x14ac:dyDescent="0.25">
      <c r="A827996" s="242"/>
    </row>
    <row r="827997" spans="1:1" x14ac:dyDescent="0.25">
      <c r="A827997" s="242"/>
    </row>
    <row r="827998" spans="1:1" x14ac:dyDescent="0.25">
      <c r="A827998" s="242"/>
    </row>
    <row r="827999" spans="1:1" x14ac:dyDescent="0.25">
      <c r="A827999" s="242"/>
    </row>
    <row r="828000" spans="1:1" x14ac:dyDescent="0.25">
      <c r="A828000" s="242"/>
    </row>
    <row r="828001" spans="1:1" x14ac:dyDescent="0.25">
      <c r="A828001" s="242"/>
    </row>
    <row r="828002" spans="1:1" x14ac:dyDescent="0.25">
      <c r="A828002" s="242"/>
    </row>
    <row r="828003" spans="1:1" x14ac:dyDescent="0.25">
      <c r="A828003" s="242"/>
    </row>
    <row r="828004" spans="1:1" x14ac:dyDescent="0.25">
      <c r="A828004" s="242"/>
    </row>
    <row r="828005" spans="1:1" x14ac:dyDescent="0.25">
      <c r="A828005" s="242"/>
    </row>
    <row r="828006" spans="1:1" x14ac:dyDescent="0.25">
      <c r="A828006" s="242"/>
    </row>
    <row r="828007" spans="1:1" x14ac:dyDescent="0.25">
      <c r="A828007" s="242"/>
    </row>
    <row r="828008" spans="1:1" x14ac:dyDescent="0.25">
      <c r="A828008" s="242"/>
    </row>
    <row r="828009" spans="1:1" x14ac:dyDescent="0.25">
      <c r="A828009" s="242"/>
    </row>
    <row r="828010" spans="1:1" x14ac:dyDescent="0.25">
      <c r="A828010" s="242"/>
    </row>
    <row r="828011" spans="1:1" x14ac:dyDescent="0.25">
      <c r="A828011" s="242"/>
    </row>
    <row r="828012" spans="1:1" x14ac:dyDescent="0.25">
      <c r="A828012" s="242"/>
    </row>
    <row r="828013" spans="1:1" x14ac:dyDescent="0.25">
      <c r="A828013" s="242"/>
    </row>
    <row r="828014" spans="1:1" x14ac:dyDescent="0.25">
      <c r="A828014" s="242"/>
    </row>
    <row r="828015" spans="1:1" x14ac:dyDescent="0.25">
      <c r="A828015" s="242"/>
    </row>
    <row r="828016" spans="1:1" x14ac:dyDescent="0.25">
      <c r="A828016" s="242"/>
    </row>
    <row r="828017" spans="1:1" x14ac:dyDescent="0.25">
      <c r="A828017" s="242"/>
    </row>
    <row r="828018" spans="1:1" x14ac:dyDescent="0.25">
      <c r="A828018" s="242"/>
    </row>
    <row r="828019" spans="1:1" x14ac:dyDescent="0.25">
      <c r="A828019" s="242"/>
    </row>
    <row r="828020" spans="1:1" x14ac:dyDescent="0.25">
      <c r="A828020" s="242"/>
    </row>
    <row r="828021" spans="1:1" x14ac:dyDescent="0.25">
      <c r="A828021" s="242"/>
    </row>
    <row r="828022" spans="1:1" x14ac:dyDescent="0.25">
      <c r="A828022" s="242"/>
    </row>
    <row r="828023" spans="1:1" x14ac:dyDescent="0.25">
      <c r="A828023" s="242"/>
    </row>
    <row r="828024" spans="1:1" x14ac:dyDescent="0.25">
      <c r="A828024" s="242"/>
    </row>
    <row r="828025" spans="1:1" x14ac:dyDescent="0.25">
      <c r="A828025" s="242"/>
    </row>
    <row r="828026" spans="1:1" x14ac:dyDescent="0.25">
      <c r="A828026" s="242"/>
    </row>
    <row r="828027" spans="1:1" x14ac:dyDescent="0.25">
      <c r="A828027" s="242"/>
    </row>
    <row r="828028" spans="1:1" x14ac:dyDescent="0.25">
      <c r="A828028" s="242"/>
    </row>
    <row r="828029" spans="1:1" x14ac:dyDescent="0.25">
      <c r="A828029" s="242"/>
    </row>
    <row r="828030" spans="1:1" x14ac:dyDescent="0.25">
      <c r="A828030" s="242"/>
    </row>
    <row r="828031" spans="1:1" x14ac:dyDescent="0.25">
      <c r="A828031" s="242"/>
    </row>
    <row r="828032" spans="1:1" x14ac:dyDescent="0.25">
      <c r="A828032" s="242"/>
    </row>
    <row r="828033" spans="1:1" x14ac:dyDescent="0.25">
      <c r="A828033" s="242"/>
    </row>
    <row r="828034" spans="1:1" x14ac:dyDescent="0.25">
      <c r="A828034" s="242"/>
    </row>
    <row r="828035" spans="1:1" x14ac:dyDescent="0.25">
      <c r="A828035" s="242"/>
    </row>
    <row r="828036" spans="1:1" x14ac:dyDescent="0.25">
      <c r="A828036" s="242"/>
    </row>
    <row r="828037" spans="1:1" x14ac:dyDescent="0.25">
      <c r="A828037" s="242"/>
    </row>
    <row r="828038" spans="1:1" x14ac:dyDescent="0.25">
      <c r="A828038" s="242"/>
    </row>
    <row r="828039" spans="1:1" x14ac:dyDescent="0.25">
      <c r="A828039" s="242"/>
    </row>
    <row r="828040" spans="1:1" x14ac:dyDescent="0.25">
      <c r="A828040" s="242"/>
    </row>
    <row r="828041" spans="1:1" x14ac:dyDescent="0.25">
      <c r="A828041" s="242"/>
    </row>
    <row r="828042" spans="1:1" x14ac:dyDescent="0.25">
      <c r="A828042" s="242"/>
    </row>
    <row r="828043" spans="1:1" x14ac:dyDescent="0.25">
      <c r="A828043" s="242"/>
    </row>
    <row r="828044" spans="1:1" x14ac:dyDescent="0.25">
      <c r="A828044" s="242"/>
    </row>
    <row r="828045" spans="1:1" x14ac:dyDescent="0.25">
      <c r="A828045" s="242"/>
    </row>
    <row r="828046" spans="1:1" x14ac:dyDescent="0.25">
      <c r="A828046" s="242"/>
    </row>
    <row r="828047" spans="1:1" x14ac:dyDescent="0.25">
      <c r="A828047" s="242"/>
    </row>
    <row r="828048" spans="1:1" x14ac:dyDescent="0.25">
      <c r="A828048" s="242"/>
    </row>
    <row r="828049" spans="1:1" x14ac:dyDescent="0.25">
      <c r="A828049" s="242"/>
    </row>
    <row r="828050" spans="1:1" x14ac:dyDescent="0.25">
      <c r="A828050" s="242"/>
    </row>
    <row r="828051" spans="1:1" x14ac:dyDescent="0.25">
      <c r="A828051" s="242"/>
    </row>
    <row r="828052" spans="1:1" x14ac:dyDescent="0.25">
      <c r="A828052" s="242"/>
    </row>
    <row r="828053" spans="1:1" x14ac:dyDescent="0.25">
      <c r="A828053" s="242"/>
    </row>
    <row r="828054" spans="1:1" x14ac:dyDescent="0.25">
      <c r="A828054" s="242"/>
    </row>
    <row r="828055" spans="1:1" x14ac:dyDescent="0.25">
      <c r="A828055" s="242"/>
    </row>
    <row r="828056" spans="1:1" x14ac:dyDescent="0.25">
      <c r="A828056" s="242"/>
    </row>
    <row r="828057" spans="1:1" x14ac:dyDescent="0.25">
      <c r="A828057" s="242"/>
    </row>
    <row r="828058" spans="1:1" x14ac:dyDescent="0.25">
      <c r="A828058" s="242"/>
    </row>
    <row r="828059" spans="1:1" x14ac:dyDescent="0.25">
      <c r="A828059" s="242"/>
    </row>
    <row r="828060" spans="1:1" x14ac:dyDescent="0.25">
      <c r="A828060" s="242"/>
    </row>
    <row r="828061" spans="1:1" x14ac:dyDescent="0.25">
      <c r="A828061" s="242"/>
    </row>
    <row r="828062" spans="1:1" x14ac:dyDescent="0.25">
      <c r="A828062" s="242"/>
    </row>
    <row r="828063" spans="1:1" x14ac:dyDescent="0.25">
      <c r="A828063" s="242"/>
    </row>
    <row r="828064" spans="1:1" x14ac:dyDescent="0.25">
      <c r="A828064" s="242"/>
    </row>
    <row r="828065" spans="1:1" x14ac:dyDescent="0.25">
      <c r="A828065" s="242"/>
    </row>
    <row r="828066" spans="1:1" x14ac:dyDescent="0.25">
      <c r="A828066" s="242"/>
    </row>
    <row r="828067" spans="1:1" x14ac:dyDescent="0.25">
      <c r="A828067" s="242"/>
    </row>
    <row r="828068" spans="1:1" x14ac:dyDescent="0.25">
      <c r="A828068" s="242"/>
    </row>
    <row r="828069" spans="1:1" x14ac:dyDescent="0.25">
      <c r="A828069" s="242"/>
    </row>
    <row r="828070" spans="1:1" x14ac:dyDescent="0.25">
      <c r="A828070" s="242"/>
    </row>
    <row r="828071" spans="1:1" x14ac:dyDescent="0.25">
      <c r="A828071" s="242"/>
    </row>
    <row r="828072" spans="1:1" x14ac:dyDescent="0.25">
      <c r="A828072" s="242"/>
    </row>
    <row r="828073" spans="1:1" x14ac:dyDescent="0.25">
      <c r="A828073" s="242"/>
    </row>
    <row r="828074" spans="1:1" x14ac:dyDescent="0.25">
      <c r="A828074" s="242"/>
    </row>
    <row r="828075" spans="1:1" x14ac:dyDescent="0.25">
      <c r="A828075" s="242"/>
    </row>
    <row r="828076" spans="1:1" x14ac:dyDescent="0.25">
      <c r="A828076" s="242"/>
    </row>
    <row r="828077" spans="1:1" x14ac:dyDescent="0.25">
      <c r="A828077" s="242"/>
    </row>
    <row r="828078" spans="1:1" x14ac:dyDescent="0.25">
      <c r="A828078" s="242"/>
    </row>
    <row r="828079" spans="1:1" x14ac:dyDescent="0.25">
      <c r="A828079" s="242"/>
    </row>
    <row r="828080" spans="1:1" x14ac:dyDescent="0.25">
      <c r="A828080" s="242"/>
    </row>
    <row r="828081" spans="1:1" x14ac:dyDescent="0.25">
      <c r="A828081" s="242"/>
    </row>
    <row r="828082" spans="1:1" x14ac:dyDescent="0.25">
      <c r="A828082" s="242"/>
    </row>
    <row r="828083" spans="1:1" x14ac:dyDescent="0.25">
      <c r="A828083" s="242"/>
    </row>
    <row r="828084" spans="1:1" x14ac:dyDescent="0.25">
      <c r="A828084" s="242"/>
    </row>
    <row r="828085" spans="1:1" x14ac:dyDescent="0.25">
      <c r="A828085" s="242"/>
    </row>
    <row r="828086" spans="1:1" x14ac:dyDescent="0.25">
      <c r="A828086" s="242"/>
    </row>
    <row r="828087" spans="1:1" x14ac:dyDescent="0.25">
      <c r="A828087" s="242"/>
    </row>
    <row r="828088" spans="1:1" x14ac:dyDescent="0.25">
      <c r="A828088" s="242"/>
    </row>
    <row r="828089" spans="1:1" x14ac:dyDescent="0.25">
      <c r="A828089" s="242"/>
    </row>
    <row r="828090" spans="1:1" x14ac:dyDescent="0.25">
      <c r="A828090" s="242"/>
    </row>
    <row r="828091" spans="1:1" x14ac:dyDescent="0.25">
      <c r="A828091" s="242"/>
    </row>
    <row r="828092" spans="1:1" x14ac:dyDescent="0.25">
      <c r="A828092" s="242"/>
    </row>
    <row r="828093" spans="1:1" x14ac:dyDescent="0.25">
      <c r="A828093" s="242"/>
    </row>
    <row r="828094" spans="1:1" x14ac:dyDescent="0.25">
      <c r="A828094" s="242"/>
    </row>
    <row r="828095" spans="1:1" x14ac:dyDescent="0.25">
      <c r="A828095" s="242"/>
    </row>
    <row r="828096" spans="1:1" x14ac:dyDescent="0.25">
      <c r="A828096" s="242"/>
    </row>
    <row r="828097" spans="1:1" x14ac:dyDescent="0.25">
      <c r="A828097" s="242"/>
    </row>
    <row r="828098" spans="1:1" x14ac:dyDescent="0.25">
      <c r="A828098" s="242"/>
    </row>
    <row r="828099" spans="1:1" x14ac:dyDescent="0.25">
      <c r="A828099" s="242"/>
    </row>
    <row r="828100" spans="1:1" x14ac:dyDescent="0.25">
      <c r="A828100" s="242"/>
    </row>
    <row r="828101" spans="1:1" x14ac:dyDescent="0.25">
      <c r="A828101" s="242"/>
    </row>
    <row r="828102" spans="1:1" x14ac:dyDescent="0.25">
      <c r="A828102" s="242"/>
    </row>
    <row r="828103" spans="1:1" x14ac:dyDescent="0.25">
      <c r="A828103" s="242"/>
    </row>
    <row r="828104" spans="1:1" x14ac:dyDescent="0.25">
      <c r="A828104" s="242"/>
    </row>
    <row r="828105" spans="1:1" x14ac:dyDescent="0.25">
      <c r="A828105" s="242"/>
    </row>
    <row r="828106" spans="1:1" x14ac:dyDescent="0.25">
      <c r="A828106" s="242"/>
    </row>
    <row r="828107" spans="1:1" x14ac:dyDescent="0.25">
      <c r="A828107" s="242"/>
    </row>
    <row r="828108" spans="1:1" x14ac:dyDescent="0.25">
      <c r="A828108" s="242"/>
    </row>
    <row r="828109" spans="1:1" x14ac:dyDescent="0.25">
      <c r="A828109" s="242"/>
    </row>
    <row r="828110" spans="1:1" x14ac:dyDescent="0.25">
      <c r="A828110" s="242"/>
    </row>
    <row r="828111" spans="1:1" x14ac:dyDescent="0.25">
      <c r="A828111" s="242"/>
    </row>
    <row r="828112" spans="1:1" x14ac:dyDescent="0.25">
      <c r="A828112" s="242"/>
    </row>
    <row r="828113" spans="1:1" x14ac:dyDescent="0.25">
      <c r="A828113" s="242"/>
    </row>
    <row r="828114" spans="1:1" x14ac:dyDescent="0.25">
      <c r="A828114" s="242"/>
    </row>
    <row r="828115" spans="1:1" x14ac:dyDescent="0.25">
      <c r="A828115" s="242"/>
    </row>
    <row r="828116" spans="1:1" x14ac:dyDescent="0.25">
      <c r="A828116" s="242"/>
    </row>
    <row r="828117" spans="1:1" x14ac:dyDescent="0.25">
      <c r="A828117" s="242"/>
    </row>
    <row r="828118" spans="1:1" x14ac:dyDescent="0.25">
      <c r="A828118" s="242"/>
    </row>
    <row r="828119" spans="1:1" x14ac:dyDescent="0.25">
      <c r="A828119" s="242"/>
    </row>
    <row r="828120" spans="1:1" x14ac:dyDescent="0.25">
      <c r="A828120" s="242"/>
    </row>
    <row r="828121" spans="1:1" x14ac:dyDescent="0.25">
      <c r="A828121" s="242"/>
    </row>
    <row r="828122" spans="1:1" x14ac:dyDescent="0.25">
      <c r="A828122" s="242"/>
    </row>
    <row r="828123" spans="1:1" x14ac:dyDescent="0.25">
      <c r="A828123" s="242"/>
    </row>
    <row r="828124" spans="1:1" x14ac:dyDescent="0.25">
      <c r="A828124" s="242"/>
    </row>
    <row r="828125" spans="1:1" x14ac:dyDescent="0.25">
      <c r="A828125" s="242"/>
    </row>
    <row r="828126" spans="1:1" x14ac:dyDescent="0.25">
      <c r="A828126" s="242"/>
    </row>
    <row r="828127" spans="1:1" x14ac:dyDescent="0.25">
      <c r="A828127" s="242"/>
    </row>
    <row r="828128" spans="1:1" x14ac:dyDescent="0.25">
      <c r="A828128" s="242"/>
    </row>
    <row r="828129" spans="1:1" x14ac:dyDescent="0.25">
      <c r="A828129" s="242"/>
    </row>
    <row r="828130" spans="1:1" x14ac:dyDescent="0.25">
      <c r="A828130" s="242"/>
    </row>
    <row r="828131" spans="1:1" x14ac:dyDescent="0.25">
      <c r="A828131" s="242"/>
    </row>
    <row r="828132" spans="1:1" x14ac:dyDescent="0.25">
      <c r="A828132" s="242"/>
    </row>
    <row r="828133" spans="1:1" x14ac:dyDescent="0.25">
      <c r="A828133" s="242"/>
    </row>
    <row r="828134" spans="1:1" x14ac:dyDescent="0.25">
      <c r="A828134" s="242"/>
    </row>
    <row r="828135" spans="1:1" x14ac:dyDescent="0.25">
      <c r="A828135" s="242"/>
    </row>
    <row r="828136" spans="1:1" x14ac:dyDescent="0.25">
      <c r="A828136" s="242"/>
    </row>
    <row r="828137" spans="1:1" x14ac:dyDescent="0.25">
      <c r="A828137" s="242"/>
    </row>
    <row r="828138" spans="1:1" x14ac:dyDescent="0.25">
      <c r="A828138" s="242"/>
    </row>
    <row r="828139" spans="1:1" x14ac:dyDescent="0.25">
      <c r="A828139" s="242"/>
    </row>
    <row r="828140" spans="1:1" x14ac:dyDescent="0.25">
      <c r="A828140" s="242"/>
    </row>
    <row r="828141" spans="1:1" x14ac:dyDescent="0.25">
      <c r="A828141" s="242"/>
    </row>
    <row r="828142" spans="1:1" x14ac:dyDescent="0.25">
      <c r="A828142" s="242"/>
    </row>
    <row r="828143" spans="1:1" x14ac:dyDescent="0.25">
      <c r="A828143" s="242"/>
    </row>
    <row r="828144" spans="1:1" x14ac:dyDescent="0.25">
      <c r="A828144" s="242"/>
    </row>
    <row r="828145" spans="1:1" x14ac:dyDescent="0.25">
      <c r="A828145" s="242"/>
    </row>
    <row r="828146" spans="1:1" x14ac:dyDescent="0.25">
      <c r="A828146" s="242"/>
    </row>
    <row r="828147" spans="1:1" x14ac:dyDescent="0.25">
      <c r="A828147" s="242"/>
    </row>
    <row r="828148" spans="1:1" x14ac:dyDescent="0.25">
      <c r="A828148" s="242"/>
    </row>
    <row r="828149" spans="1:1" x14ac:dyDescent="0.25">
      <c r="A828149" s="242"/>
    </row>
    <row r="828150" spans="1:1" x14ac:dyDescent="0.25">
      <c r="A828150" s="242"/>
    </row>
    <row r="828151" spans="1:1" x14ac:dyDescent="0.25">
      <c r="A828151" s="242"/>
    </row>
    <row r="828152" spans="1:1" x14ac:dyDescent="0.25">
      <c r="A828152" s="242"/>
    </row>
    <row r="828153" spans="1:1" x14ac:dyDescent="0.25">
      <c r="A828153" s="242"/>
    </row>
    <row r="828154" spans="1:1" x14ac:dyDescent="0.25">
      <c r="A828154" s="242"/>
    </row>
    <row r="828155" spans="1:1" x14ac:dyDescent="0.25">
      <c r="A828155" s="242"/>
    </row>
    <row r="828156" spans="1:1" x14ac:dyDescent="0.25">
      <c r="A828156" s="242"/>
    </row>
    <row r="828157" spans="1:1" x14ac:dyDescent="0.25">
      <c r="A828157" s="242"/>
    </row>
    <row r="828158" spans="1:1" x14ac:dyDescent="0.25">
      <c r="A828158" s="242"/>
    </row>
    <row r="828159" spans="1:1" x14ac:dyDescent="0.25">
      <c r="A828159" s="242"/>
    </row>
    <row r="828160" spans="1:1" x14ac:dyDescent="0.25">
      <c r="A828160" s="242"/>
    </row>
    <row r="828161" spans="1:1" x14ac:dyDescent="0.25">
      <c r="A828161" s="242"/>
    </row>
    <row r="828162" spans="1:1" x14ac:dyDescent="0.25">
      <c r="A828162" s="242"/>
    </row>
    <row r="828163" spans="1:1" x14ac:dyDescent="0.25">
      <c r="A828163" s="242"/>
    </row>
    <row r="828164" spans="1:1" x14ac:dyDescent="0.25">
      <c r="A828164" s="242"/>
    </row>
    <row r="828165" spans="1:1" x14ac:dyDescent="0.25">
      <c r="A828165" s="242"/>
    </row>
    <row r="828166" spans="1:1" x14ac:dyDescent="0.25">
      <c r="A828166" s="242"/>
    </row>
    <row r="828167" spans="1:1" x14ac:dyDescent="0.25">
      <c r="A828167" s="242"/>
    </row>
    <row r="828168" spans="1:1" x14ac:dyDescent="0.25">
      <c r="A828168" s="242"/>
    </row>
    <row r="828169" spans="1:1" x14ac:dyDescent="0.25">
      <c r="A828169" s="242"/>
    </row>
    <row r="828170" spans="1:1" x14ac:dyDescent="0.25">
      <c r="A828170" s="242"/>
    </row>
    <row r="828171" spans="1:1" x14ac:dyDescent="0.25">
      <c r="A828171" s="242"/>
    </row>
    <row r="828172" spans="1:1" x14ac:dyDescent="0.25">
      <c r="A828172" s="242"/>
    </row>
    <row r="828173" spans="1:1" x14ac:dyDescent="0.25">
      <c r="A828173" s="242"/>
    </row>
    <row r="828174" spans="1:1" x14ac:dyDescent="0.25">
      <c r="A828174" s="242"/>
    </row>
    <row r="828175" spans="1:1" x14ac:dyDescent="0.25">
      <c r="A828175" s="242"/>
    </row>
    <row r="828176" spans="1:1" x14ac:dyDescent="0.25">
      <c r="A828176" s="242"/>
    </row>
    <row r="828177" spans="1:1" x14ac:dyDescent="0.25">
      <c r="A828177" s="242"/>
    </row>
    <row r="828178" spans="1:1" x14ac:dyDescent="0.25">
      <c r="A828178" s="242"/>
    </row>
    <row r="828179" spans="1:1" x14ac:dyDescent="0.25">
      <c r="A828179" s="242"/>
    </row>
    <row r="828180" spans="1:1" x14ac:dyDescent="0.25">
      <c r="A828180" s="242"/>
    </row>
    <row r="828181" spans="1:1" x14ac:dyDescent="0.25">
      <c r="A828181" s="242"/>
    </row>
    <row r="828182" spans="1:1" x14ac:dyDescent="0.25">
      <c r="A828182" s="242"/>
    </row>
    <row r="828183" spans="1:1" x14ac:dyDescent="0.25">
      <c r="A828183" s="242"/>
    </row>
    <row r="828184" spans="1:1" x14ac:dyDescent="0.25">
      <c r="A828184" s="242"/>
    </row>
    <row r="828185" spans="1:1" x14ac:dyDescent="0.25">
      <c r="A828185" s="242"/>
    </row>
    <row r="828186" spans="1:1" x14ac:dyDescent="0.25">
      <c r="A828186" s="242"/>
    </row>
    <row r="828187" spans="1:1" x14ac:dyDescent="0.25">
      <c r="A828187" s="242"/>
    </row>
    <row r="828188" spans="1:1" x14ac:dyDescent="0.25">
      <c r="A828188" s="242"/>
    </row>
    <row r="828189" spans="1:1" x14ac:dyDescent="0.25">
      <c r="A828189" s="242"/>
    </row>
    <row r="828190" spans="1:1" x14ac:dyDescent="0.25">
      <c r="A828190" s="242"/>
    </row>
    <row r="828191" spans="1:1" x14ac:dyDescent="0.25">
      <c r="A828191" s="242"/>
    </row>
    <row r="828192" spans="1:1" x14ac:dyDescent="0.25">
      <c r="A828192" s="242"/>
    </row>
    <row r="828193" spans="1:1" x14ac:dyDescent="0.25">
      <c r="A828193" s="242"/>
    </row>
    <row r="828194" spans="1:1" x14ac:dyDescent="0.25">
      <c r="A828194" s="242"/>
    </row>
    <row r="828195" spans="1:1" x14ac:dyDescent="0.25">
      <c r="A828195" s="242"/>
    </row>
    <row r="828196" spans="1:1" x14ac:dyDescent="0.25">
      <c r="A828196" s="242"/>
    </row>
    <row r="828197" spans="1:1" x14ac:dyDescent="0.25">
      <c r="A828197" s="242"/>
    </row>
    <row r="828198" spans="1:1" x14ac:dyDescent="0.25">
      <c r="A828198" s="242"/>
    </row>
    <row r="828199" spans="1:1" x14ac:dyDescent="0.25">
      <c r="A828199" s="242"/>
    </row>
    <row r="828200" spans="1:1" x14ac:dyDescent="0.25">
      <c r="A828200" s="242"/>
    </row>
    <row r="828201" spans="1:1" x14ac:dyDescent="0.25">
      <c r="A828201" s="242"/>
    </row>
    <row r="828202" spans="1:1" x14ac:dyDescent="0.25">
      <c r="A828202" s="242"/>
    </row>
    <row r="828203" spans="1:1" x14ac:dyDescent="0.25">
      <c r="A828203" s="242"/>
    </row>
    <row r="828204" spans="1:1" x14ac:dyDescent="0.25">
      <c r="A828204" s="242"/>
    </row>
    <row r="828205" spans="1:1" x14ac:dyDescent="0.25">
      <c r="A828205" s="242"/>
    </row>
    <row r="828206" spans="1:1" x14ac:dyDescent="0.25">
      <c r="A828206" s="242"/>
    </row>
    <row r="828207" spans="1:1" x14ac:dyDescent="0.25">
      <c r="A828207" s="242"/>
    </row>
    <row r="828208" spans="1:1" x14ac:dyDescent="0.25">
      <c r="A828208" s="242"/>
    </row>
    <row r="828209" spans="1:1" x14ac:dyDescent="0.25">
      <c r="A828209" s="242"/>
    </row>
    <row r="828210" spans="1:1" x14ac:dyDescent="0.25">
      <c r="A828210" s="242"/>
    </row>
    <row r="828211" spans="1:1" x14ac:dyDescent="0.25">
      <c r="A828211" s="242"/>
    </row>
    <row r="828212" spans="1:1" x14ac:dyDescent="0.25">
      <c r="A828212" s="242"/>
    </row>
    <row r="828213" spans="1:1" x14ac:dyDescent="0.25">
      <c r="A828213" s="242"/>
    </row>
    <row r="828214" spans="1:1" x14ac:dyDescent="0.25">
      <c r="A828214" s="242"/>
    </row>
    <row r="828215" spans="1:1" x14ac:dyDescent="0.25">
      <c r="A828215" s="242"/>
    </row>
    <row r="828216" spans="1:1" x14ac:dyDescent="0.25">
      <c r="A828216" s="242"/>
    </row>
    <row r="828217" spans="1:1" x14ac:dyDescent="0.25">
      <c r="A828217" s="242"/>
    </row>
    <row r="828218" spans="1:1" x14ac:dyDescent="0.25">
      <c r="A828218" s="242"/>
    </row>
    <row r="828219" spans="1:1" x14ac:dyDescent="0.25">
      <c r="A828219" s="242"/>
    </row>
    <row r="828220" spans="1:1" x14ac:dyDescent="0.25">
      <c r="A828220" s="242"/>
    </row>
    <row r="828221" spans="1:1" x14ac:dyDescent="0.25">
      <c r="A828221" s="242"/>
    </row>
    <row r="828222" spans="1:1" x14ac:dyDescent="0.25">
      <c r="A828222" s="242"/>
    </row>
    <row r="828223" spans="1:1" x14ac:dyDescent="0.25">
      <c r="A828223" s="242"/>
    </row>
    <row r="828224" spans="1:1" x14ac:dyDescent="0.25">
      <c r="A828224" s="242"/>
    </row>
    <row r="828225" spans="1:1" x14ac:dyDescent="0.25">
      <c r="A828225" s="242"/>
    </row>
    <row r="828226" spans="1:1" x14ac:dyDescent="0.25">
      <c r="A828226" s="242"/>
    </row>
    <row r="828227" spans="1:1" x14ac:dyDescent="0.25">
      <c r="A828227" s="242"/>
    </row>
    <row r="828228" spans="1:1" x14ac:dyDescent="0.25">
      <c r="A828228" s="242"/>
    </row>
    <row r="828229" spans="1:1" x14ac:dyDescent="0.25">
      <c r="A828229" s="242"/>
    </row>
    <row r="828230" spans="1:1" x14ac:dyDescent="0.25">
      <c r="A828230" s="242"/>
    </row>
    <row r="828231" spans="1:1" x14ac:dyDescent="0.25">
      <c r="A828231" s="242"/>
    </row>
    <row r="828232" spans="1:1" x14ac:dyDescent="0.25">
      <c r="A828232" s="242"/>
    </row>
    <row r="828233" spans="1:1" x14ac:dyDescent="0.25">
      <c r="A828233" s="242"/>
    </row>
    <row r="828234" spans="1:1" x14ac:dyDescent="0.25">
      <c r="A828234" s="242"/>
    </row>
    <row r="828235" spans="1:1" x14ac:dyDescent="0.25">
      <c r="A828235" s="242"/>
    </row>
    <row r="828236" spans="1:1" x14ac:dyDescent="0.25">
      <c r="A828236" s="242"/>
    </row>
    <row r="828237" spans="1:1" x14ac:dyDescent="0.25">
      <c r="A828237" s="242"/>
    </row>
    <row r="828238" spans="1:1" x14ac:dyDescent="0.25">
      <c r="A828238" s="242"/>
    </row>
    <row r="828239" spans="1:1" x14ac:dyDescent="0.25">
      <c r="A828239" s="242"/>
    </row>
    <row r="828240" spans="1:1" x14ac:dyDescent="0.25">
      <c r="A828240" s="242"/>
    </row>
    <row r="828241" spans="1:1" x14ac:dyDescent="0.25">
      <c r="A828241" s="242"/>
    </row>
    <row r="828242" spans="1:1" x14ac:dyDescent="0.25">
      <c r="A828242" s="242"/>
    </row>
    <row r="828243" spans="1:1" x14ac:dyDescent="0.25">
      <c r="A828243" s="242"/>
    </row>
    <row r="828244" spans="1:1" x14ac:dyDescent="0.25">
      <c r="A828244" s="242"/>
    </row>
    <row r="828245" spans="1:1" x14ac:dyDescent="0.25">
      <c r="A828245" s="242"/>
    </row>
    <row r="828246" spans="1:1" x14ac:dyDescent="0.25">
      <c r="A828246" s="242"/>
    </row>
    <row r="828247" spans="1:1" x14ac:dyDescent="0.25">
      <c r="A828247" s="242"/>
    </row>
    <row r="828248" spans="1:1" x14ac:dyDescent="0.25">
      <c r="A828248" s="242"/>
    </row>
    <row r="828249" spans="1:1" x14ac:dyDescent="0.25">
      <c r="A828249" s="242"/>
    </row>
    <row r="828250" spans="1:1" x14ac:dyDescent="0.25">
      <c r="A828250" s="242"/>
    </row>
    <row r="828251" spans="1:1" x14ac:dyDescent="0.25">
      <c r="A828251" s="242"/>
    </row>
    <row r="828252" spans="1:1" x14ac:dyDescent="0.25">
      <c r="A828252" s="242"/>
    </row>
    <row r="828253" spans="1:1" x14ac:dyDescent="0.25">
      <c r="A828253" s="242"/>
    </row>
    <row r="828254" spans="1:1" x14ac:dyDescent="0.25">
      <c r="A828254" s="242"/>
    </row>
    <row r="828255" spans="1:1" x14ac:dyDescent="0.25">
      <c r="A828255" s="242"/>
    </row>
    <row r="828256" spans="1:1" x14ac:dyDescent="0.25">
      <c r="A828256" s="242"/>
    </row>
    <row r="828257" spans="1:1" x14ac:dyDescent="0.25">
      <c r="A828257" s="242"/>
    </row>
    <row r="828258" spans="1:1" x14ac:dyDescent="0.25">
      <c r="A828258" s="242"/>
    </row>
    <row r="828259" spans="1:1" x14ac:dyDescent="0.25">
      <c r="A828259" s="242"/>
    </row>
    <row r="828260" spans="1:1" x14ac:dyDescent="0.25">
      <c r="A828260" s="242"/>
    </row>
    <row r="828261" spans="1:1" x14ac:dyDescent="0.25">
      <c r="A828261" s="242"/>
    </row>
    <row r="828262" spans="1:1" x14ac:dyDescent="0.25">
      <c r="A828262" s="242"/>
    </row>
    <row r="828263" spans="1:1" x14ac:dyDescent="0.25">
      <c r="A828263" s="242"/>
    </row>
    <row r="828264" spans="1:1" x14ac:dyDescent="0.25">
      <c r="A828264" s="242"/>
    </row>
    <row r="828265" spans="1:1" x14ac:dyDescent="0.25">
      <c r="A828265" s="242"/>
    </row>
    <row r="828266" spans="1:1" x14ac:dyDescent="0.25">
      <c r="A828266" s="242"/>
    </row>
    <row r="828267" spans="1:1" x14ac:dyDescent="0.25">
      <c r="A828267" s="242"/>
    </row>
    <row r="828268" spans="1:1" x14ac:dyDescent="0.25">
      <c r="A828268" s="242"/>
    </row>
    <row r="828269" spans="1:1" x14ac:dyDescent="0.25">
      <c r="A828269" s="242"/>
    </row>
    <row r="828270" spans="1:1" x14ac:dyDescent="0.25">
      <c r="A828270" s="242"/>
    </row>
    <row r="828271" spans="1:1" x14ac:dyDescent="0.25">
      <c r="A828271" s="242"/>
    </row>
    <row r="828272" spans="1:1" x14ac:dyDescent="0.25">
      <c r="A828272" s="242"/>
    </row>
    <row r="828273" spans="1:1" x14ac:dyDescent="0.25">
      <c r="A828273" s="242"/>
    </row>
    <row r="828274" spans="1:1" x14ac:dyDescent="0.25">
      <c r="A828274" s="242"/>
    </row>
    <row r="828275" spans="1:1" x14ac:dyDescent="0.25">
      <c r="A828275" s="242"/>
    </row>
    <row r="828276" spans="1:1" x14ac:dyDescent="0.25">
      <c r="A828276" s="242"/>
    </row>
    <row r="828277" spans="1:1" x14ac:dyDescent="0.25">
      <c r="A828277" s="242"/>
    </row>
    <row r="828278" spans="1:1" x14ac:dyDescent="0.25">
      <c r="A828278" s="242"/>
    </row>
    <row r="828279" spans="1:1" x14ac:dyDescent="0.25">
      <c r="A828279" s="242"/>
    </row>
    <row r="828280" spans="1:1" x14ac:dyDescent="0.25">
      <c r="A828280" s="242"/>
    </row>
    <row r="828281" spans="1:1" x14ac:dyDescent="0.25">
      <c r="A828281" s="242"/>
    </row>
    <row r="828282" spans="1:1" x14ac:dyDescent="0.25">
      <c r="A828282" s="242"/>
    </row>
    <row r="828283" spans="1:1" x14ac:dyDescent="0.25">
      <c r="A828283" s="242"/>
    </row>
    <row r="828284" spans="1:1" x14ac:dyDescent="0.25">
      <c r="A828284" s="242"/>
    </row>
    <row r="828285" spans="1:1" x14ac:dyDescent="0.25">
      <c r="A828285" s="242"/>
    </row>
    <row r="828286" spans="1:1" x14ac:dyDescent="0.25">
      <c r="A828286" s="242"/>
    </row>
    <row r="828287" spans="1:1" x14ac:dyDescent="0.25">
      <c r="A828287" s="242"/>
    </row>
    <row r="828288" spans="1:1" x14ac:dyDescent="0.25">
      <c r="A828288" s="242"/>
    </row>
    <row r="828289" spans="1:1" x14ac:dyDescent="0.25">
      <c r="A828289" s="242"/>
    </row>
    <row r="828290" spans="1:1" x14ac:dyDescent="0.25">
      <c r="A828290" s="242"/>
    </row>
    <row r="828291" spans="1:1" x14ac:dyDescent="0.25">
      <c r="A828291" s="242"/>
    </row>
    <row r="828292" spans="1:1" x14ac:dyDescent="0.25">
      <c r="A828292" s="242"/>
    </row>
    <row r="828293" spans="1:1" x14ac:dyDescent="0.25">
      <c r="A828293" s="242"/>
    </row>
    <row r="828294" spans="1:1" x14ac:dyDescent="0.25">
      <c r="A828294" s="242"/>
    </row>
    <row r="828295" spans="1:1" x14ac:dyDescent="0.25">
      <c r="A828295" s="242"/>
    </row>
    <row r="828296" spans="1:1" x14ac:dyDescent="0.25">
      <c r="A828296" s="242"/>
    </row>
    <row r="828297" spans="1:1" x14ac:dyDescent="0.25">
      <c r="A828297" s="242"/>
    </row>
    <row r="828298" spans="1:1" x14ac:dyDescent="0.25">
      <c r="A828298" s="242"/>
    </row>
    <row r="828299" spans="1:1" x14ac:dyDescent="0.25">
      <c r="A828299" s="242"/>
    </row>
    <row r="828300" spans="1:1" x14ac:dyDescent="0.25">
      <c r="A828300" s="242"/>
    </row>
    <row r="828301" spans="1:1" x14ac:dyDescent="0.25">
      <c r="A828301" s="242"/>
    </row>
    <row r="828302" spans="1:1" x14ac:dyDescent="0.25">
      <c r="A828302" s="242"/>
    </row>
    <row r="828303" spans="1:1" x14ac:dyDescent="0.25">
      <c r="A828303" s="242"/>
    </row>
    <row r="828304" spans="1:1" x14ac:dyDescent="0.25">
      <c r="A828304" s="242"/>
    </row>
    <row r="828305" spans="1:1" x14ac:dyDescent="0.25">
      <c r="A828305" s="242"/>
    </row>
    <row r="828306" spans="1:1" x14ac:dyDescent="0.25">
      <c r="A828306" s="242"/>
    </row>
    <row r="828307" spans="1:1" x14ac:dyDescent="0.25">
      <c r="A828307" s="242"/>
    </row>
    <row r="828308" spans="1:1" x14ac:dyDescent="0.25">
      <c r="A828308" s="242"/>
    </row>
    <row r="828309" spans="1:1" x14ac:dyDescent="0.25">
      <c r="A828309" s="242"/>
    </row>
    <row r="828310" spans="1:1" x14ac:dyDescent="0.25">
      <c r="A828310" s="242"/>
    </row>
    <row r="828311" spans="1:1" x14ac:dyDescent="0.25">
      <c r="A828311" s="242"/>
    </row>
    <row r="828312" spans="1:1" x14ac:dyDescent="0.25">
      <c r="A828312" s="242"/>
    </row>
    <row r="828313" spans="1:1" x14ac:dyDescent="0.25">
      <c r="A828313" s="242"/>
    </row>
    <row r="828314" spans="1:1" x14ac:dyDescent="0.25">
      <c r="A828314" s="242"/>
    </row>
    <row r="828315" spans="1:1" x14ac:dyDescent="0.25">
      <c r="A828315" s="242"/>
    </row>
    <row r="828316" spans="1:1" x14ac:dyDescent="0.25">
      <c r="A828316" s="242"/>
    </row>
    <row r="828317" spans="1:1" x14ac:dyDescent="0.25">
      <c r="A828317" s="242"/>
    </row>
    <row r="828318" spans="1:1" x14ac:dyDescent="0.25">
      <c r="A828318" s="242"/>
    </row>
    <row r="828319" spans="1:1" x14ac:dyDescent="0.25">
      <c r="A828319" s="242"/>
    </row>
    <row r="828320" spans="1:1" x14ac:dyDescent="0.25">
      <c r="A828320" s="242"/>
    </row>
    <row r="828321" spans="1:1" x14ac:dyDescent="0.25">
      <c r="A828321" s="242"/>
    </row>
    <row r="828322" spans="1:1" x14ac:dyDescent="0.25">
      <c r="A828322" s="242"/>
    </row>
    <row r="828323" spans="1:1" x14ac:dyDescent="0.25">
      <c r="A828323" s="242"/>
    </row>
    <row r="828324" spans="1:1" x14ac:dyDescent="0.25">
      <c r="A828324" s="242"/>
    </row>
    <row r="828325" spans="1:1" x14ac:dyDescent="0.25">
      <c r="A828325" s="242"/>
    </row>
    <row r="828326" spans="1:1" x14ac:dyDescent="0.25">
      <c r="A828326" s="242"/>
    </row>
    <row r="828327" spans="1:1" x14ac:dyDescent="0.25">
      <c r="A828327" s="242"/>
    </row>
    <row r="828328" spans="1:1" x14ac:dyDescent="0.25">
      <c r="A828328" s="242"/>
    </row>
    <row r="828329" spans="1:1" x14ac:dyDescent="0.25">
      <c r="A828329" s="242"/>
    </row>
    <row r="828330" spans="1:1" x14ac:dyDescent="0.25">
      <c r="A828330" s="242"/>
    </row>
    <row r="828331" spans="1:1" x14ac:dyDescent="0.25">
      <c r="A828331" s="242"/>
    </row>
    <row r="828332" spans="1:1" x14ac:dyDescent="0.25">
      <c r="A828332" s="242"/>
    </row>
    <row r="828333" spans="1:1" x14ac:dyDescent="0.25">
      <c r="A828333" s="242"/>
    </row>
    <row r="828334" spans="1:1" x14ac:dyDescent="0.25">
      <c r="A828334" s="242"/>
    </row>
    <row r="828335" spans="1:1" x14ac:dyDescent="0.25">
      <c r="A828335" s="242"/>
    </row>
    <row r="828336" spans="1:1" x14ac:dyDescent="0.25">
      <c r="A828336" s="242"/>
    </row>
    <row r="828337" spans="1:1" x14ac:dyDescent="0.25">
      <c r="A828337" s="242"/>
    </row>
    <row r="828338" spans="1:1" x14ac:dyDescent="0.25">
      <c r="A828338" s="242"/>
    </row>
    <row r="828339" spans="1:1" x14ac:dyDescent="0.25">
      <c r="A828339" s="242"/>
    </row>
    <row r="828340" spans="1:1" x14ac:dyDescent="0.25">
      <c r="A828340" s="242"/>
    </row>
    <row r="828341" spans="1:1" x14ac:dyDescent="0.25">
      <c r="A828341" s="242"/>
    </row>
    <row r="828342" spans="1:1" x14ac:dyDescent="0.25">
      <c r="A828342" s="242"/>
    </row>
    <row r="828343" spans="1:1" x14ac:dyDescent="0.25">
      <c r="A828343" s="242"/>
    </row>
    <row r="828344" spans="1:1" x14ac:dyDescent="0.25">
      <c r="A828344" s="242"/>
    </row>
    <row r="828345" spans="1:1" x14ac:dyDescent="0.25">
      <c r="A828345" s="242"/>
    </row>
    <row r="828346" spans="1:1" x14ac:dyDescent="0.25">
      <c r="A828346" s="242"/>
    </row>
    <row r="828347" spans="1:1" x14ac:dyDescent="0.25">
      <c r="A828347" s="242"/>
    </row>
    <row r="828348" spans="1:1" x14ac:dyDescent="0.25">
      <c r="A828348" s="242"/>
    </row>
    <row r="828349" spans="1:1" x14ac:dyDescent="0.25">
      <c r="A828349" s="242"/>
    </row>
    <row r="828350" spans="1:1" x14ac:dyDescent="0.25">
      <c r="A828350" s="242"/>
    </row>
    <row r="828351" spans="1:1" x14ac:dyDescent="0.25">
      <c r="A828351" s="242"/>
    </row>
    <row r="828352" spans="1:1" x14ac:dyDescent="0.25">
      <c r="A828352" s="242"/>
    </row>
    <row r="828353" spans="1:1" x14ac:dyDescent="0.25">
      <c r="A828353" s="242"/>
    </row>
    <row r="828354" spans="1:1" x14ac:dyDescent="0.25">
      <c r="A828354" s="242"/>
    </row>
    <row r="828355" spans="1:1" x14ac:dyDescent="0.25">
      <c r="A828355" s="242"/>
    </row>
    <row r="828356" spans="1:1" x14ac:dyDescent="0.25">
      <c r="A828356" s="242"/>
    </row>
    <row r="828357" spans="1:1" x14ac:dyDescent="0.25">
      <c r="A828357" s="242"/>
    </row>
    <row r="828358" spans="1:1" x14ac:dyDescent="0.25">
      <c r="A828358" s="242"/>
    </row>
    <row r="828359" spans="1:1" x14ac:dyDescent="0.25">
      <c r="A828359" s="242"/>
    </row>
    <row r="828360" spans="1:1" x14ac:dyDescent="0.25">
      <c r="A828360" s="242"/>
    </row>
    <row r="828361" spans="1:1" x14ac:dyDescent="0.25">
      <c r="A828361" s="242"/>
    </row>
    <row r="828362" spans="1:1" x14ac:dyDescent="0.25">
      <c r="A828362" s="242"/>
    </row>
    <row r="828363" spans="1:1" x14ac:dyDescent="0.25">
      <c r="A828363" s="242"/>
    </row>
    <row r="828364" spans="1:1" x14ac:dyDescent="0.25">
      <c r="A828364" s="242"/>
    </row>
    <row r="828365" spans="1:1" x14ac:dyDescent="0.25">
      <c r="A828365" s="242"/>
    </row>
    <row r="828366" spans="1:1" x14ac:dyDescent="0.25">
      <c r="A828366" s="242"/>
    </row>
    <row r="828367" spans="1:1" x14ac:dyDescent="0.25">
      <c r="A828367" s="242"/>
    </row>
    <row r="828368" spans="1:1" x14ac:dyDescent="0.25">
      <c r="A828368" s="242"/>
    </row>
    <row r="828369" spans="1:1" x14ac:dyDescent="0.25">
      <c r="A828369" s="242"/>
    </row>
    <row r="828370" spans="1:1" x14ac:dyDescent="0.25">
      <c r="A828370" s="242"/>
    </row>
    <row r="828371" spans="1:1" x14ac:dyDescent="0.25">
      <c r="A828371" s="242"/>
    </row>
    <row r="828372" spans="1:1" x14ac:dyDescent="0.25">
      <c r="A828372" s="242"/>
    </row>
    <row r="828373" spans="1:1" x14ac:dyDescent="0.25">
      <c r="A828373" s="242"/>
    </row>
    <row r="828374" spans="1:1" x14ac:dyDescent="0.25">
      <c r="A828374" s="242"/>
    </row>
    <row r="828375" spans="1:1" x14ac:dyDescent="0.25">
      <c r="A828375" s="242"/>
    </row>
    <row r="828376" spans="1:1" x14ac:dyDescent="0.25">
      <c r="A828376" s="242"/>
    </row>
    <row r="828377" spans="1:1" x14ac:dyDescent="0.25">
      <c r="A828377" s="242"/>
    </row>
    <row r="828378" spans="1:1" x14ac:dyDescent="0.25">
      <c r="A828378" s="242"/>
    </row>
    <row r="828379" spans="1:1" x14ac:dyDescent="0.25">
      <c r="A828379" s="242"/>
    </row>
    <row r="828380" spans="1:1" x14ac:dyDescent="0.25">
      <c r="A828380" s="242"/>
    </row>
    <row r="828381" spans="1:1" x14ac:dyDescent="0.25">
      <c r="A828381" s="242"/>
    </row>
    <row r="828382" spans="1:1" x14ac:dyDescent="0.25">
      <c r="A828382" s="242"/>
    </row>
    <row r="828383" spans="1:1" x14ac:dyDescent="0.25">
      <c r="A828383" s="242"/>
    </row>
    <row r="828384" spans="1:1" x14ac:dyDescent="0.25">
      <c r="A828384" s="242"/>
    </row>
    <row r="828385" spans="1:1" x14ac:dyDescent="0.25">
      <c r="A828385" s="242"/>
    </row>
    <row r="828386" spans="1:1" x14ac:dyDescent="0.25">
      <c r="A828386" s="242"/>
    </row>
    <row r="828387" spans="1:1" x14ac:dyDescent="0.25">
      <c r="A828387" s="242"/>
    </row>
    <row r="828388" spans="1:1" x14ac:dyDescent="0.25">
      <c r="A828388" s="242"/>
    </row>
    <row r="828389" spans="1:1" x14ac:dyDescent="0.25">
      <c r="A828389" s="242"/>
    </row>
    <row r="828390" spans="1:1" x14ac:dyDescent="0.25">
      <c r="A828390" s="242"/>
    </row>
    <row r="828391" spans="1:1" x14ac:dyDescent="0.25">
      <c r="A828391" s="242"/>
    </row>
    <row r="828392" spans="1:1" x14ac:dyDescent="0.25">
      <c r="A828392" s="242"/>
    </row>
    <row r="828393" spans="1:1" x14ac:dyDescent="0.25">
      <c r="A828393" s="242"/>
    </row>
    <row r="828394" spans="1:1" x14ac:dyDescent="0.25">
      <c r="A828394" s="242"/>
    </row>
    <row r="828395" spans="1:1" x14ac:dyDescent="0.25">
      <c r="A828395" s="242"/>
    </row>
    <row r="828396" spans="1:1" x14ac:dyDescent="0.25">
      <c r="A828396" s="242"/>
    </row>
    <row r="828397" spans="1:1" x14ac:dyDescent="0.25">
      <c r="A828397" s="242"/>
    </row>
    <row r="828398" spans="1:1" x14ac:dyDescent="0.25">
      <c r="A828398" s="242"/>
    </row>
    <row r="828399" spans="1:1" x14ac:dyDescent="0.25">
      <c r="A828399" s="242"/>
    </row>
    <row r="828400" spans="1:1" x14ac:dyDescent="0.25">
      <c r="A828400" s="242"/>
    </row>
    <row r="828401" spans="1:1" x14ac:dyDescent="0.25">
      <c r="A828401" s="242"/>
    </row>
    <row r="828402" spans="1:1" x14ac:dyDescent="0.25">
      <c r="A828402" s="242"/>
    </row>
    <row r="828403" spans="1:1" x14ac:dyDescent="0.25">
      <c r="A828403" s="242"/>
    </row>
    <row r="828404" spans="1:1" x14ac:dyDescent="0.25">
      <c r="A828404" s="242"/>
    </row>
    <row r="828405" spans="1:1" x14ac:dyDescent="0.25">
      <c r="A828405" s="242"/>
    </row>
    <row r="828406" spans="1:1" x14ac:dyDescent="0.25">
      <c r="A828406" s="242"/>
    </row>
    <row r="828407" spans="1:1" x14ac:dyDescent="0.25">
      <c r="A828407" s="242"/>
    </row>
    <row r="828408" spans="1:1" x14ac:dyDescent="0.25">
      <c r="A828408" s="242"/>
    </row>
    <row r="828409" spans="1:1" x14ac:dyDescent="0.25">
      <c r="A828409" s="242"/>
    </row>
    <row r="828410" spans="1:1" x14ac:dyDescent="0.25">
      <c r="A828410" s="242"/>
    </row>
    <row r="828411" spans="1:1" x14ac:dyDescent="0.25">
      <c r="A828411" s="242"/>
    </row>
    <row r="828412" spans="1:1" x14ac:dyDescent="0.25">
      <c r="A828412" s="242"/>
    </row>
    <row r="828413" spans="1:1" x14ac:dyDescent="0.25">
      <c r="A828413" s="242"/>
    </row>
    <row r="828414" spans="1:1" x14ac:dyDescent="0.25">
      <c r="A828414" s="242"/>
    </row>
    <row r="828415" spans="1:1" x14ac:dyDescent="0.25">
      <c r="A828415" s="242"/>
    </row>
    <row r="828416" spans="1:1" x14ac:dyDescent="0.25">
      <c r="A828416" s="242"/>
    </row>
    <row r="828417" spans="1:1" x14ac:dyDescent="0.25">
      <c r="A828417" s="242"/>
    </row>
    <row r="828418" spans="1:1" x14ac:dyDescent="0.25">
      <c r="A828418" s="242"/>
    </row>
    <row r="828419" spans="1:1" x14ac:dyDescent="0.25">
      <c r="A828419" s="242"/>
    </row>
    <row r="828420" spans="1:1" x14ac:dyDescent="0.25">
      <c r="A828420" s="242"/>
    </row>
    <row r="828421" spans="1:1" x14ac:dyDescent="0.25">
      <c r="A828421" s="242"/>
    </row>
    <row r="828422" spans="1:1" x14ac:dyDescent="0.25">
      <c r="A828422" s="242"/>
    </row>
    <row r="828423" spans="1:1" x14ac:dyDescent="0.25">
      <c r="A828423" s="242"/>
    </row>
    <row r="828424" spans="1:1" x14ac:dyDescent="0.25">
      <c r="A828424" s="242"/>
    </row>
    <row r="828425" spans="1:1" x14ac:dyDescent="0.25">
      <c r="A828425" s="242"/>
    </row>
    <row r="828426" spans="1:1" x14ac:dyDescent="0.25">
      <c r="A828426" s="242"/>
    </row>
    <row r="828427" spans="1:1" x14ac:dyDescent="0.25">
      <c r="A828427" s="242"/>
    </row>
    <row r="828428" spans="1:1" x14ac:dyDescent="0.25">
      <c r="A828428" s="242"/>
    </row>
    <row r="828429" spans="1:1" x14ac:dyDescent="0.25">
      <c r="A828429" s="242"/>
    </row>
    <row r="828430" spans="1:1" x14ac:dyDescent="0.25">
      <c r="A828430" s="242"/>
    </row>
    <row r="828431" spans="1:1" x14ac:dyDescent="0.25">
      <c r="A828431" s="242"/>
    </row>
    <row r="828432" spans="1:1" x14ac:dyDescent="0.25">
      <c r="A828432" s="242"/>
    </row>
    <row r="828433" spans="1:1" x14ac:dyDescent="0.25">
      <c r="A828433" s="242"/>
    </row>
    <row r="828434" spans="1:1" x14ac:dyDescent="0.25">
      <c r="A828434" s="242"/>
    </row>
    <row r="828435" spans="1:1" x14ac:dyDescent="0.25">
      <c r="A828435" s="242"/>
    </row>
    <row r="828436" spans="1:1" x14ac:dyDescent="0.25">
      <c r="A828436" s="242"/>
    </row>
    <row r="828437" spans="1:1" x14ac:dyDescent="0.25">
      <c r="A828437" s="242"/>
    </row>
    <row r="828438" spans="1:1" x14ac:dyDescent="0.25">
      <c r="A828438" s="242"/>
    </row>
    <row r="828439" spans="1:1" x14ac:dyDescent="0.25">
      <c r="A828439" s="242"/>
    </row>
    <row r="828440" spans="1:1" x14ac:dyDescent="0.25">
      <c r="A828440" s="242"/>
    </row>
    <row r="828441" spans="1:1" x14ac:dyDescent="0.25">
      <c r="A828441" s="242"/>
    </row>
    <row r="828442" spans="1:1" x14ac:dyDescent="0.25">
      <c r="A828442" s="242"/>
    </row>
    <row r="828443" spans="1:1" x14ac:dyDescent="0.25">
      <c r="A828443" s="242"/>
    </row>
    <row r="828444" spans="1:1" x14ac:dyDescent="0.25">
      <c r="A828444" s="242"/>
    </row>
    <row r="828445" spans="1:1" x14ac:dyDescent="0.25">
      <c r="A828445" s="242"/>
    </row>
    <row r="828446" spans="1:1" x14ac:dyDescent="0.25">
      <c r="A828446" s="242"/>
    </row>
    <row r="828447" spans="1:1" x14ac:dyDescent="0.25">
      <c r="A828447" s="242"/>
    </row>
    <row r="828448" spans="1:1" x14ac:dyDescent="0.25">
      <c r="A828448" s="242"/>
    </row>
    <row r="828449" spans="1:1" x14ac:dyDescent="0.25">
      <c r="A828449" s="242"/>
    </row>
    <row r="828450" spans="1:1" x14ac:dyDescent="0.25">
      <c r="A828450" s="242"/>
    </row>
    <row r="828451" spans="1:1" x14ac:dyDescent="0.25">
      <c r="A828451" s="242"/>
    </row>
    <row r="828452" spans="1:1" x14ac:dyDescent="0.25">
      <c r="A828452" s="242"/>
    </row>
    <row r="828453" spans="1:1" x14ac:dyDescent="0.25">
      <c r="A828453" s="242"/>
    </row>
    <row r="828454" spans="1:1" x14ac:dyDescent="0.25">
      <c r="A828454" s="242"/>
    </row>
    <row r="828455" spans="1:1" x14ac:dyDescent="0.25">
      <c r="A828455" s="242"/>
    </row>
    <row r="828456" spans="1:1" x14ac:dyDescent="0.25">
      <c r="A828456" s="242"/>
    </row>
    <row r="828457" spans="1:1" x14ac:dyDescent="0.25">
      <c r="A828457" s="242"/>
    </row>
    <row r="828458" spans="1:1" x14ac:dyDescent="0.25">
      <c r="A828458" s="242"/>
    </row>
    <row r="828459" spans="1:1" x14ac:dyDescent="0.25">
      <c r="A828459" s="242"/>
    </row>
    <row r="828460" spans="1:1" x14ac:dyDescent="0.25">
      <c r="A828460" s="242"/>
    </row>
    <row r="828461" spans="1:1" x14ac:dyDescent="0.25">
      <c r="A828461" s="242"/>
    </row>
    <row r="828462" spans="1:1" x14ac:dyDescent="0.25">
      <c r="A828462" s="242"/>
    </row>
    <row r="828463" spans="1:1" x14ac:dyDescent="0.25">
      <c r="A828463" s="242"/>
    </row>
    <row r="828464" spans="1:1" x14ac:dyDescent="0.25">
      <c r="A828464" s="242"/>
    </row>
    <row r="828465" spans="1:1" x14ac:dyDescent="0.25">
      <c r="A828465" s="242"/>
    </row>
    <row r="828466" spans="1:1" x14ac:dyDescent="0.25">
      <c r="A828466" s="242"/>
    </row>
    <row r="828467" spans="1:1" x14ac:dyDescent="0.25">
      <c r="A828467" s="242"/>
    </row>
    <row r="828468" spans="1:1" x14ac:dyDescent="0.25">
      <c r="A828468" s="242"/>
    </row>
    <row r="828469" spans="1:1" x14ac:dyDescent="0.25">
      <c r="A828469" s="242"/>
    </row>
    <row r="828470" spans="1:1" x14ac:dyDescent="0.25">
      <c r="A828470" s="242"/>
    </row>
    <row r="828471" spans="1:1" x14ac:dyDescent="0.25">
      <c r="A828471" s="242"/>
    </row>
    <row r="828472" spans="1:1" x14ac:dyDescent="0.25">
      <c r="A828472" s="242"/>
    </row>
    <row r="828473" spans="1:1" x14ac:dyDescent="0.25">
      <c r="A828473" s="242"/>
    </row>
    <row r="828474" spans="1:1" x14ac:dyDescent="0.25">
      <c r="A828474" s="242"/>
    </row>
    <row r="828475" spans="1:1" x14ac:dyDescent="0.25">
      <c r="A828475" s="242"/>
    </row>
    <row r="828476" spans="1:1" x14ac:dyDescent="0.25">
      <c r="A828476" s="242"/>
    </row>
    <row r="828477" spans="1:1" x14ac:dyDescent="0.25">
      <c r="A828477" s="242"/>
    </row>
    <row r="828478" spans="1:1" x14ac:dyDescent="0.25">
      <c r="A828478" s="242"/>
    </row>
    <row r="828479" spans="1:1" x14ac:dyDescent="0.25">
      <c r="A828479" s="242"/>
    </row>
    <row r="828480" spans="1:1" x14ac:dyDescent="0.25">
      <c r="A828480" s="242"/>
    </row>
    <row r="828481" spans="1:1" x14ac:dyDescent="0.25">
      <c r="A828481" s="242"/>
    </row>
    <row r="828482" spans="1:1" x14ac:dyDescent="0.25">
      <c r="A828482" s="242"/>
    </row>
    <row r="828483" spans="1:1" x14ac:dyDescent="0.25">
      <c r="A828483" s="242"/>
    </row>
    <row r="828484" spans="1:1" x14ac:dyDescent="0.25">
      <c r="A828484" s="242"/>
    </row>
    <row r="828485" spans="1:1" x14ac:dyDescent="0.25">
      <c r="A828485" s="242"/>
    </row>
    <row r="828486" spans="1:1" x14ac:dyDescent="0.25">
      <c r="A828486" s="242"/>
    </row>
    <row r="828487" spans="1:1" x14ac:dyDescent="0.25">
      <c r="A828487" s="242"/>
    </row>
    <row r="828488" spans="1:1" x14ac:dyDescent="0.25">
      <c r="A828488" s="242"/>
    </row>
    <row r="828489" spans="1:1" x14ac:dyDescent="0.25">
      <c r="A828489" s="242"/>
    </row>
    <row r="828490" spans="1:1" x14ac:dyDescent="0.25">
      <c r="A828490" s="242"/>
    </row>
    <row r="828491" spans="1:1" x14ac:dyDescent="0.25">
      <c r="A828491" s="242"/>
    </row>
    <row r="828492" spans="1:1" x14ac:dyDescent="0.25">
      <c r="A828492" s="242"/>
    </row>
    <row r="828493" spans="1:1" x14ac:dyDescent="0.25">
      <c r="A828493" s="242"/>
    </row>
    <row r="828494" spans="1:1" x14ac:dyDescent="0.25">
      <c r="A828494" s="242"/>
    </row>
    <row r="828495" spans="1:1" x14ac:dyDescent="0.25">
      <c r="A828495" s="242"/>
    </row>
    <row r="828496" spans="1:1" x14ac:dyDescent="0.25">
      <c r="A828496" s="242"/>
    </row>
    <row r="828497" spans="1:1" x14ac:dyDescent="0.25">
      <c r="A828497" s="242"/>
    </row>
    <row r="828498" spans="1:1" x14ac:dyDescent="0.25">
      <c r="A828498" s="242"/>
    </row>
    <row r="828499" spans="1:1" x14ac:dyDescent="0.25">
      <c r="A828499" s="242"/>
    </row>
    <row r="828500" spans="1:1" x14ac:dyDescent="0.25">
      <c r="A828500" s="242"/>
    </row>
    <row r="828501" spans="1:1" x14ac:dyDescent="0.25">
      <c r="A828501" s="242"/>
    </row>
    <row r="828502" spans="1:1" x14ac:dyDescent="0.25">
      <c r="A828502" s="242"/>
    </row>
    <row r="828503" spans="1:1" x14ac:dyDescent="0.25">
      <c r="A828503" s="242"/>
    </row>
    <row r="828504" spans="1:1" x14ac:dyDescent="0.25">
      <c r="A828504" s="242"/>
    </row>
    <row r="828505" spans="1:1" x14ac:dyDescent="0.25">
      <c r="A828505" s="242"/>
    </row>
    <row r="828506" spans="1:1" x14ac:dyDescent="0.25">
      <c r="A828506" s="242"/>
    </row>
    <row r="828507" spans="1:1" x14ac:dyDescent="0.25">
      <c r="A828507" s="242"/>
    </row>
    <row r="828508" spans="1:1" x14ac:dyDescent="0.25">
      <c r="A828508" s="242"/>
    </row>
    <row r="828509" spans="1:1" x14ac:dyDescent="0.25">
      <c r="A828509" s="242"/>
    </row>
    <row r="828510" spans="1:1" x14ac:dyDescent="0.25">
      <c r="A828510" s="242"/>
    </row>
    <row r="828511" spans="1:1" x14ac:dyDescent="0.25">
      <c r="A828511" s="242"/>
    </row>
    <row r="828512" spans="1:1" x14ac:dyDescent="0.25">
      <c r="A828512" s="242"/>
    </row>
    <row r="828513" spans="1:1" x14ac:dyDescent="0.25">
      <c r="A828513" s="242"/>
    </row>
    <row r="828514" spans="1:1" x14ac:dyDescent="0.25">
      <c r="A828514" s="242"/>
    </row>
    <row r="828515" spans="1:1" x14ac:dyDescent="0.25">
      <c r="A828515" s="242"/>
    </row>
    <row r="828516" spans="1:1" x14ac:dyDescent="0.25">
      <c r="A828516" s="242"/>
    </row>
    <row r="828517" spans="1:1" x14ac:dyDescent="0.25">
      <c r="A828517" s="242"/>
    </row>
    <row r="828518" spans="1:1" x14ac:dyDescent="0.25">
      <c r="A828518" s="242"/>
    </row>
    <row r="828519" spans="1:1" x14ac:dyDescent="0.25">
      <c r="A828519" s="242"/>
    </row>
    <row r="828520" spans="1:1" x14ac:dyDescent="0.25">
      <c r="A828520" s="242"/>
    </row>
    <row r="828521" spans="1:1" x14ac:dyDescent="0.25">
      <c r="A828521" s="242"/>
    </row>
    <row r="828522" spans="1:1" x14ac:dyDescent="0.25">
      <c r="A828522" s="242"/>
    </row>
    <row r="828523" spans="1:1" x14ac:dyDescent="0.25">
      <c r="A828523" s="242"/>
    </row>
    <row r="828524" spans="1:1" x14ac:dyDescent="0.25">
      <c r="A828524" s="242"/>
    </row>
    <row r="828525" spans="1:1" x14ac:dyDescent="0.25">
      <c r="A828525" s="242"/>
    </row>
    <row r="828526" spans="1:1" x14ac:dyDescent="0.25">
      <c r="A828526" s="242"/>
    </row>
    <row r="828527" spans="1:1" x14ac:dyDescent="0.25">
      <c r="A828527" s="242"/>
    </row>
    <row r="828528" spans="1:1" x14ac:dyDescent="0.25">
      <c r="A828528" s="242"/>
    </row>
    <row r="828529" spans="1:1" x14ac:dyDescent="0.25">
      <c r="A828529" s="242"/>
    </row>
    <row r="828530" spans="1:1" x14ac:dyDescent="0.25">
      <c r="A828530" s="242"/>
    </row>
    <row r="828531" spans="1:1" x14ac:dyDescent="0.25">
      <c r="A828531" s="242"/>
    </row>
    <row r="828532" spans="1:1" x14ac:dyDescent="0.25">
      <c r="A828532" s="242"/>
    </row>
    <row r="828533" spans="1:1" x14ac:dyDescent="0.25">
      <c r="A828533" s="242"/>
    </row>
    <row r="828534" spans="1:1" x14ac:dyDescent="0.25">
      <c r="A828534" s="242"/>
    </row>
    <row r="828535" spans="1:1" x14ac:dyDescent="0.25">
      <c r="A828535" s="242"/>
    </row>
    <row r="828536" spans="1:1" x14ac:dyDescent="0.25">
      <c r="A828536" s="242"/>
    </row>
    <row r="828537" spans="1:1" x14ac:dyDescent="0.25">
      <c r="A828537" s="242"/>
    </row>
    <row r="828538" spans="1:1" x14ac:dyDescent="0.25">
      <c r="A828538" s="242"/>
    </row>
    <row r="828539" spans="1:1" x14ac:dyDescent="0.25">
      <c r="A828539" s="242"/>
    </row>
    <row r="828540" spans="1:1" x14ac:dyDescent="0.25">
      <c r="A828540" s="242"/>
    </row>
    <row r="828541" spans="1:1" x14ac:dyDescent="0.25">
      <c r="A828541" s="242"/>
    </row>
    <row r="828542" spans="1:1" x14ac:dyDescent="0.25">
      <c r="A828542" s="242"/>
    </row>
    <row r="828543" spans="1:1" x14ac:dyDescent="0.25">
      <c r="A828543" s="242"/>
    </row>
    <row r="828544" spans="1:1" x14ac:dyDescent="0.25">
      <c r="A828544" s="242"/>
    </row>
    <row r="828545" spans="1:1" x14ac:dyDescent="0.25">
      <c r="A828545" s="242"/>
    </row>
    <row r="828546" spans="1:1" x14ac:dyDescent="0.25">
      <c r="A828546" s="242"/>
    </row>
    <row r="828547" spans="1:1" x14ac:dyDescent="0.25">
      <c r="A828547" s="242"/>
    </row>
    <row r="828548" spans="1:1" x14ac:dyDescent="0.25">
      <c r="A828548" s="242"/>
    </row>
    <row r="828549" spans="1:1" x14ac:dyDescent="0.25">
      <c r="A828549" s="242"/>
    </row>
    <row r="828550" spans="1:1" x14ac:dyDescent="0.25">
      <c r="A828550" s="242"/>
    </row>
    <row r="828551" spans="1:1" x14ac:dyDescent="0.25">
      <c r="A828551" s="242"/>
    </row>
    <row r="828552" spans="1:1" x14ac:dyDescent="0.25">
      <c r="A828552" s="242"/>
    </row>
    <row r="828553" spans="1:1" x14ac:dyDescent="0.25">
      <c r="A828553" s="242"/>
    </row>
    <row r="828554" spans="1:1" x14ac:dyDescent="0.25">
      <c r="A828554" s="242"/>
    </row>
    <row r="828555" spans="1:1" x14ac:dyDescent="0.25">
      <c r="A828555" s="242"/>
    </row>
    <row r="828556" spans="1:1" x14ac:dyDescent="0.25">
      <c r="A828556" s="242"/>
    </row>
    <row r="828557" spans="1:1" x14ac:dyDescent="0.25">
      <c r="A828557" s="242"/>
    </row>
    <row r="828558" spans="1:1" x14ac:dyDescent="0.25">
      <c r="A828558" s="242"/>
    </row>
    <row r="828559" spans="1:1" x14ac:dyDescent="0.25">
      <c r="A828559" s="242"/>
    </row>
    <row r="828560" spans="1:1" x14ac:dyDescent="0.25">
      <c r="A828560" s="242"/>
    </row>
    <row r="828561" spans="1:1" x14ac:dyDescent="0.25">
      <c r="A828561" s="242"/>
    </row>
    <row r="828562" spans="1:1" x14ac:dyDescent="0.25">
      <c r="A828562" s="242"/>
    </row>
    <row r="828563" spans="1:1" x14ac:dyDescent="0.25">
      <c r="A828563" s="242"/>
    </row>
    <row r="828564" spans="1:1" x14ac:dyDescent="0.25">
      <c r="A828564" s="242"/>
    </row>
    <row r="828565" spans="1:1" x14ac:dyDescent="0.25">
      <c r="A828565" s="242"/>
    </row>
    <row r="828566" spans="1:1" x14ac:dyDescent="0.25">
      <c r="A828566" s="242"/>
    </row>
    <row r="828567" spans="1:1" x14ac:dyDescent="0.25">
      <c r="A828567" s="242"/>
    </row>
    <row r="828568" spans="1:1" x14ac:dyDescent="0.25">
      <c r="A828568" s="242"/>
    </row>
    <row r="828569" spans="1:1" x14ac:dyDescent="0.25">
      <c r="A828569" s="242"/>
    </row>
    <row r="828570" spans="1:1" x14ac:dyDescent="0.25">
      <c r="A828570" s="242"/>
    </row>
    <row r="828571" spans="1:1" x14ac:dyDescent="0.25">
      <c r="A828571" s="242"/>
    </row>
    <row r="828572" spans="1:1" x14ac:dyDescent="0.25">
      <c r="A828572" s="242"/>
    </row>
    <row r="828573" spans="1:1" x14ac:dyDescent="0.25">
      <c r="A828573" s="242"/>
    </row>
    <row r="828574" spans="1:1" x14ac:dyDescent="0.25">
      <c r="A828574" s="242"/>
    </row>
    <row r="828575" spans="1:1" x14ac:dyDescent="0.25">
      <c r="A828575" s="242"/>
    </row>
    <row r="828576" spans="1:1" x14ac:dyDescent="0.25">
      <c r="A828576" s="242"/>
    </row>
    <row r="828577" spans="1:1" x14ac:dyDescent="0.25">
      <c r="A828577" s="242"/>
    </row>
    <row r="828578" spans="1:1" x14ac:dyDescent="0.25">
      <c r="A828578" s="242"/>
    </row>
    <row r="828579" spans="1:1" x14ac:dyDescent="0.25">
      <c r="A828579" s="242"/>
    </row>
    <row r="828580" spans="1:1" x14ac:dyDescent="0.25">
      <c r="A828580" s="242"/>
    </row>
    <row r="828581" spans="1:1" x14ac:dyDescent="0.25">
      <c r="A828581" s="242"/>
    </row>
    <row r="828582" spans="1:1" x14ac:dyDescent="0.25">
      <c r="A828582" s="242"/>
    </row>
    <row r="828583" spans="1:1" x14ac:dyDescent="0.25">
      <c r="A828583" s="242"/>
    </row>
    <row r="828584" spans="1:1" x14ac:dyDescent="0.25">
      <c r="A828584" s="242"/>
    </row>
    <row r="828585" spans="1:1" x14ac:dyDescent="0.25">
      <c r="A828585" s="242"/>
    </row>
    <row r="828586" spans="1:1" x14ac:dyDescent="0.25">
      <c r="A828586" s="242"/>
    </row>
    <row r="828587" spans="1:1" x14ac:dyDescent="0.25">
      <c r="A828587" s="242"/>
    </row>
    <row r="828588" spans="1:1" x14ac:dyDescent="0.25">
      <c r="A828588" s="242"/>
    </row>
    <row r="828589" spans="1:1" x14ac:dyDescent="0.25">
      <c r="A828589" s="242"/>
    </row>
    <row r="828590" spans="1:1" x14ac:dyDescent="0.25">
      <c r="A828590" s="242"/>
    </row>
    <row r="828591" spans="1:1" x14ac:dyDescent="0.25">
      <c r="A828591" s="242"/>
    </row>
    <row r="828592" spans="1:1" x14ac:dyDescent="0.25">
      <c r="A828592" s="242"/>
    </row>
    <row r="828593" spans="1:1" x14ac:dyDescent="0.25">
      <c r="A828593" s="242"/>
    </row>
    <row r="828594" spans="1:1" x14ac:dyDescent="0.25">
      <c r="A828594" s="242"/>
    </row>
    <row r="828595" spans="1:1" x14ac:dyDescent="0.25">
      <c r="A828595" s="242"/>
    </row>
    <row r="828596" spans="1:1" x14ac:dyDescent="0.25">
      <c r="A828596" s="242"/>
    </row>
    <row r="828597" spans="1:1" x14ac:dyDescent="0.25">
      <c r="A828597" s="242"/>
    </row>
    <row r="828598" spans="1:1" x14ac:dyDescent="0.25">
      <c r="A828598" s="242"/>
    </row>
    <row r="828599" spans="1:1" x14ac:dyDescent="0.25">
      <c r="A828599" s="242"/>
    </row>
    <row r="828600" spans="1:1" x14ac:dyDescent="0.25">
      <c r="A828600" s="242"/>
    </row>
    <row r="828601" spans="1:1" x14ac:dyDescent="0.25">
      <c r="A828601" s="242"/>
    </row>
    <row r="828602" spans="1:1" x14ac:dyDescent="0.25">
      <c r="A828602" s="242"/>
    </row>
    <row r="828603" spans="1:1" x14ac:dyDescent="0.25">
      <c r="A828603" s="242"/>
    </row>
    <row r="828604" spans="1:1" x14ac:dyDescent="0.25">
      <c r="A828604" s="242"/>
    </row>
    <row r="828605" spans="1:1" x14ac:dyDescent="0.25">
      <c r="A828605" s="242"/>
    </row>
    <row r="828606" spans="1:1" x14ac:dyDescent="0.25">
      <c r="A828606" s="242"/>
    </row>
    <row r="828607" spans="1:1" x14ac:dyDescent="0.25">
      <c r="A828607" s="242"/>
    </row>
    <row r="828608" spans="1:1" x14ac:dyDescent="0.25">
      <c r="A828608" s="242"/>
    </row>
    <row r="828609" spans="1:1" x14ac:dyDescent="0.25">
      <c r="A828609" s="242"/>
    </row>
    <row r="828610" spans="1:1" x14ac:dyDescent="0.25">
      <c r="A828610" s="242"/>
    </row>
    <row r="828611" spans="1:1" x14ac:dyDescent="0.25">
      <c r="A828611" s="242"/>
    </row>
    <row r="828612" spans="1:1" x14ac:dyDescent="0.25">
      <c r="A828612" s="242"/>
    </row>
    <row r="828613" spans="1:1" x14ac:dyDescent="0.25">
      <c r="A828613" s="242"/>
    </row>
    <row r="828614" spans="1:1" x14ac:dyDescent="0.25">
      <c r="A828614" s="242"/>
    </row>
    <row r="828615" spans="1:1" x14ac:dyDescent="0.25">
      <c r="A828615" s="242"/>
    </row>
    <row r="828616" spans="1:1" x14ac:dyDescent="0.25">
      <c r="A828616" s="242"/>
    </row>
    <row r="828617" spans="1:1" x14ac:dyDescent="0.25">
      <c r="A828617" s="242"/>
    </row>
    <row r="828618" spans="1:1" x14ac:dyDescent="0.25">
      <c r="A828618" s="242"/>
    </row>
    <row r="828619" spans="1:1" x14ac:dyDescent="0.25">
      <c r="A828619" s="242"/>
    </row>
    <row r="828620" spans="1:1" x14ac:dyDescent="0.25">
      <c r="A828620" s="242"/>
    </row>
    <row r="828621" spans="1:1" x14ac:dyDescent="0.25">
      <c r="A828621" s="242"/>
    </row>
    <row r="828622" spans="1:1" x14ac:dyDescent="0.25">
      <c r="A828622" s="242"/>
    </row>
    <row r="828623" spans="1:1" x14ac:dyDescent="0.25">
      <c r="A828623" s="242"/>
    </row>
    <row r="828624" spans="1:1" x14ac:dyDescent="0.25">
      <c r="A828624" s="242"/>
    </row>
    <row r="828625" spans="1:1" x14ac:dyDescent="0.25">
      <c r="A828625" s="242"/>
    </row>
    <row r="828626" spans="1:1" x14ac:dyDescent="0.25">
      <c r="A828626" s="242"/>
    </row>
    <row r="828627" spans="1:1" x14ac:dyDescent="0.25">
      <c r="A828627" s="242"/>
    </row>
    <row r="828628" spans="1:1" x14ac:dyDescent="0.25">
      <c r="A828628" s="242"/>
    </row>
    <row r="828629" spans="1:1" x14ac:dyDescent="0.25">
      <c r="A828629" s="242"/>
    </row>
    <row r="828630" spans="1:1" x14ac:dyDescent="0.25">
      <c r="A828630" s="242"/>
    </row>
    <row r="828631" spans="1:1" x14ac:dyDescent="0.25">
      <c r="A828631" s="242"/>
    </row>
    <row r="828632" spans="1:1" x14ac:dyDescent="0.25">
      <c r="A828632" s="242"/>
    </row>
    <row r="828633" spans="1:1" x14ac:dyDescent="0.25">
      <c r="A828633" s="242"/>
    </row>
    <row r="828634" spans="1:1" x14ac:dyDescent="0.25">
      <c r="A828634" s="242"/>
    </row>
    <row r="828635" spans="1:1" x14ac:dyDescent="0.25">
      <c r="A828635" s="242"/>
    </row>
    <row r="828636" spans="1:1" x14ac:dyDescent="0.25">
      <c r="A828636" s="242"/>
    </row>
    <row r="828637" spans="1:1" x14ac:dyDescent="0.25">
      <c r="A828637" s="242"/>
    </row>
    <row r="828638" spans="1:1" x14ac:dyDescent="0.25">
      <c r="A828638" s="242"/>
    </row>
    <row r="828639" spans="1:1" x14ac:dyDescent="0.25">
      <c r="A828639" s="242"/>
    </row>
    <row r="828640" spans="1:1" x14ac:dyDescent="0.25">
      <c r="A828640" s="242"/>
    </row>
    <row r="828641" spans="1:1" x14ac:dyDescent="0.25">
      <c r="A828641" s="242"/>
    </row>
    <row r="828642" spans="1:1" x14ac:dyDescent="0.25">
      <c r="A828642" s="242"/>
    </row>
    <row r="828643" spans="1:1" x14ac:dyDescent="0.25">
      <c r="A828643" s="242"/>
    </row>
    <row r="828644" spans="1:1" x14ac:dyDescent="0.25">
      <c r="A828644" s="242"/>
    </row>
    <row r="828645" spans="1:1" x14ac:dyDescent="0.25">
      <c r="A828645" s="242"/>
    </row>
    <row r="828646" spans="1:1" x14ac:dyDescent="0.25">
      <c r="A828646" s="242"/>
    </row>
    <row r="828647" spans="1:1" x14ac:dyDescent="0.25">
      <c r="A828647" s="242"/>
    </row>
    <row r="828648" spans="1:1" x14ac:dyDescent="0.25">
      <c r="A828648" s="242"/>
    </row>
    <row r="828649" spans="1:1" x14ac:dyDescent="0.25">
      <c r="A828649" s="242"/>
    </row>
    <row r="828650" spans="1:1" x14ac:dyDescent="0.25">
      <c r="A828650" s="242"/>
    </row>
    <row r="828651" spans="1:1" x14ac:dyDescent="0.25">
      <c r="A828651" s="242"/>
    </row>
    <row r="828652" spans="1:1" x14ac:dyDescent="0.25">
      <c r="A828652" s="242"/>
    </row>
    <row r="828653" spans="1:1" x14ac:dyDescent="0.25">
      <c r="A828653" s="242"/>
    </row>
    <row r="828654" spans="1:1" x14ac:dyDescent="0.25">
      <c r="A828654" s="242"/>
    </row>
    <row r="828655" spans="1:1" x14ac:dyDescent="0.25">
      <c r="A828655" s="242"/>
    </row>
    <row r="828656" spans="1:1" x14ac:dyDescent="0.25">
      <c r="A828656" s="242"/>
    </row>
    <row r="828657" spans="1:1" x14ac:dyDescent="0.25">
      <c r="A828657" s="242"/>
    </row>
    <row r="828658" spans="1:1" x14ac:dyDescent="0.25">
      <c r="A828658" s="242"/>
    </row>
    <row r="828659" spans="1:1" x14ac:dyDescent="0.25">
      <c r="A828659" s="242"/>
    </row>
    <row r="828660" spans="1:1" x14ac:dyDescent="0.25">
      <c r="A828660" s="242"/>
    </row>
    <row r="828661" spans="1:1" x14ac:dyDescent="0.25">
      <c r="A828661" s="242"/>
    </row>
    <row r="828662" spans="1:1" x14ac:dyDescent="0.25">
      <c r="A828662" s="242"/>
    </row>
    <row r="828663" spans="1:1" x14ac:dyDescent="0.25">
      <c r="A828663" s="242"/>
    </row>
    <row r="828664" spans="1:1" x14ac:dyDescent="0.25">
      <c r="A828664" s="242"/>
    </row>
    <row r="828665" spans="1:1" x14ac:dyDescent="0.25">
      <c r="A828665" s="242"/>
    </row>
    <row r="828666" spans="1:1" x14ac:dyDescent="0.25">
      <c r="A828666" s="242"/>
    </row>
    <row r="828667" spans="1:1" x14ac:dyDescent="0.25">
      <c r="A828667" s="242"/>
    </row>
    <row r="828668" spans="1:1" x14ac:dyDescent="0.25">
      <c r="A828668" s="242"/>
    </row>
    <row r="828669" spans="1:1" x14ac:dyDescent="0.25">
      <c r="A828669" s="242"/>
    </row>
    <row r="828670" spans="1:1" x14ac:dyDescent="0.25">
      <c r="A828670" s="242"/>
    </row>
    <row r="828671" spans="1:1" x14ac:dyDescent="0.25">
      <c r="A828671" s="242"/>
    </row>
    <row r="828672" spans="1:1" x14ac:dyDescent="0.25">
      <c r="A828672" s="242"/>
    </row>
    <row r="828673" spans="1:1" x14ac:dyDescent="0.25">
      <c r="A828673" s="242"/>
    </row>
    <row r="828674" spans="1:1" x14ac:dyDescent="0.25">
      <c r="A828674" s="242"/>
    </row>
    <row r="828675" spans="1:1" x14ac:dyDescent="0.25">
      <c r="A828675" s="242"/>
    </row>
    <row r="828676" spans="1:1" x14ac:dyDescent="0.25">
      <c r="A828676" s="242"/>
    </row>
    <row r="828677" spans="1:1" x14ac:dyDescent="0.25">
      <c r="A828677" s="242"/>
    </row>
    <row r="828678" spans="1:1" x14ac:dyDescent="0.25">
      <c r="A828678" s="242"/>
    </row>
    <row r="828679" spans="1:1" x14ac:dyDescent="0.25">
      <c r="A828679" s="242"/>
    </row>
    <row r="828680" spans="1:1" x14ac:dyDescent="0.25">
      <c r="A828680" s="242"/>
    </row>
    <row r="828681" spans="1:1" x14ac:dyDescent="0.25">
      <c r="A828681" s="242"/>
    </row>
    <row r="828682" spans="1:1" x14ac:dyDescent="0.25">
      <c r="A828682" s="242"/>
    </row>
    <row r="828683" spans="1:1" x14ac:dyDescent="0.25">
      <c r="A828683" s="242"/>
    </row>
    <row r="828684" spans="1:1" x14ac:dyDescent="0.25">
      <c r="A828684" s="242"/>
    </row>
    <row r="828685" spans="1:1" x14ac:dyDescent="0.25">
      <c r="A828685" s="242"/>
    </row>
    <row r="828686" spans="1:1" x14ac:dyDescent="0.25">
      <c r="A828686" s="242"/>
    </row>
    <row r="828687" spans="1:1" x14ac:dyDescent="0.25">
      <c r="A828687" s="242"/>
    </row>
    <row r="828688" spans="1:1" x14ac:dyDescent="0.25">
      <c r="A828688" s="242"/>
    </row>
    <row r="828689" spans="1:1" x14ac:dyDescent="0.25">
      <c r="A828689" s="242"/>
    </row>
    <row r="828690" spans="1:1" x14ac:dyDescent="0.25">
      <c r="A828690" s="242"/>
    </row>
    <row r="828691" spans="1:1" x14ac:dyDescent="0.25">
      <c r="A828691" s="242"/>
    </row>
    <row r="828692" spans="1:1" x14ac:dyDescent="0.25">
      <c r="A828692" s="242"/>
    </row>
    <row r="828693" spans="1:1" x14ac:dyDescent="0.25">
      <c r="A828693" s="242"/>
    </row>
    <row r="828694" spans="1:1" x14ac:dyDescent="0.25">
      <c r="A828694" s="242"/>
    </row>
    <row r="828695" spans="1:1" x14ac:dyDescent="0.25">
      <c r="A828695" s="242"/>
    </row>
    <row r="828696" spans="1:1" x14ac:dyDescent="0.25">
      <c r="A828696" s="242"/>
    </row>
    <row r="828697" spans="1:1" x14ac:dyDescent="0.25">
      <c r="A828697" s="242"/>
    </row>
    <row r="828698" spans="1:1" x14ac:dyDescent="0.25">
      <c r="A828698" s="242"/>
    </row>
    <row r="828699" spans="1:1" x14ac:dyDescent="0.25">
      <c r="A828699" s="242"/>
    </row>
    <row r="828700" spans="1:1" x14ac:dyDescent="0.25">
      <c r="A828700" s="242"/>
    </row>
    <row r="828701" spans="1:1" x14ac:dyDescent="0.25">
      <c r="A828701" s="242"/>
    </row>
    <row r="828702" spans="1:1" x14ac:dyDescent="0.25">
      <c r="A828702" s="242"/>
    </row>
    <row r="828703" spans="1:1" x14ac:dyDescent="0.25">
      <c r="A828703" s="242"/>
    </row>
    <row r="828704" spans="1:1" x14ac:dyDescent="0.25">
      <c r="A828704" s="242"/>
    </row>
    <row r="828705" spans="1:1" x14ac:dyDescent="0.25">
      <c r="A828705" s="242"/>
    </row>
    <row r="828706" spans="1:1" x14ac:dyDescent="0.25">
      <c r="A828706" s="242"/>
    </row>
    <row r="828707" spans="1:1" x14ac:dyDescent="0.25">
      <c r="A828707" s="242"/>
    </row>
    <row r="828708" spans="1:1" x14ac:dyDescent="0.25">
      <c r="A828708" s="242"/>
    </row>
    <row r="828709" spans="1:1" x14ac:dyDescent="0.25">
      <c r="A828709" s="242"/>
    </row>
    <row r="828710" spans="1:1" x14ac:dyDescent="0.25">
      <c r="A828710" s="242"/>
    </row>
    <row r="828711" spans="1:1" x14ac:dyDescent="0.25">
      <c r="A828711" s="242"/>
    </row>
    <row r="828712" spans="1:1" x14ac:dyDescent="0.25">
      <c r="A828712" s="242"/>
    </row>
    <row r="828713" spans="1:1" x14ac:dyDescent="0.25">
      <c r="A828713" s="242"/>
    </row>
    <row r="828714" spans="1:1" x14ac:dyDescent="0.25">
      <c r="A828714" s="242"/>
    </row>
    <row r="828715" spans="1:1" x14ac:dyDescent="0.25">
      <c r="A828715" s="242"/>
    </row>
    <row r="828716" spans="1:1" x14ac:dyDescent="0.25">
      <c r="A828716" s="242"/>
    </row>
    <row r="828717" spans="1:1" x14ac:dyDescent="0.25">
      <c r="A828717" s="242"/>
    </row>
    <row r="828718" spans="1:1" x14ac:dyDescent="0.25">
      <c r="A828718" s="242"/>
    </row>
    <row r="828719" spans="1:1" x14ac:dyDescent="0.25">
      <c r="A828719" s="242"/>
    </row>
    <row r="828720" spans="1:1" x14ac:dyDescent="0.25">
      <c r="A828720" s="242"/>
    </row>
    <row r="828721" spans="1:1" x14ac:dyDescent="0.25">
      <c r="A828721" s="242"/>
    </row>
    <row r="828722" spans="1:1" x14ac:dyDescent="0.25">
      <c r="A828722" s="242"/>
    </row>
    <row r="828723" spans="1:1" x14ac:dyDescent="0.25">
      <c r="A828723" s="242"/>
    </row>
    <row r="828724" spans="1:1" x14ac:dyDescent="0.25">
      <c r="A828724" s="242"/>
    </row>
    <row r="828725" spans="1:1" x14ac:dyDescent="0.25">
      <c r="A828725" s="242"/>
    </row>
    <row r="828726" spans="1:1" x14ac:dyDescent="0.25">
      <c r="A828726" s="242"/>
    </row>
    <row r="828727" spans="1:1" x14ac:dyDescent="0.25">
      <c r="A828727" s="242"/>
    </row>
    <row r="828728" spans="1:1" x14ac:dyDescent="0.25">
      <c r="A828728" s="242"/>
    </row>
    <row r="828729" spans="1:1" x14ac:dyDescent="0.25">
      <c r="A828729" s="242"/>
    </row>
    <row r="828730" spans="1:1" x14ac:dyDescent="0.25">
      <c r="A828730" s="242"/>
    </row>
    <row r="828731" spans="1:1" x14ac:dyDescent="0.25">
      <c r="A828731" s="242"/>
    </row>
    <row r="828732" spans="1:1" x14ac:dyDescent="0.25">
      <c r="A828732" s="242"/>
    </row>
    <row r="828733" spans="1:1" x14ac:dyDescent="0.25">
      <c r="A828733" s="242"/>
    </row>
    <row r="828734" spans="1:1" x14ac:dyDescent="0.25">
      <c r="A828734" s="242"/>
    </row>
    <row r="828735" spans="1:1" x14ac:dyDescent="0.25">
      <c r="A828735" s="242"/>
    </row>
    <row r="828736" spans="1:1" x14ac:dyDescent="0.25">
      <c r="A828736" s="242"/>
    </row>
    <row r="828737" spans="1:1" x14ac:dyDescent="0.25">
      <c r="A828737" s="242"/>
    </row>
    <row r="828738" spans="1:1" x14ac:dyDescent="0.25">
      <c r="A828738" s="242"/>
    </row>
    <row r="828739" spans="1:1" x14ac:dyDescent="0.25">
      <c r="A828739" s="242"/>
    </row>
    <row r="828740" spans="1:1" x14ac:dyDescent="0.25">
      <c r="A828740" s="242"/>
    </row>
    <row r="828741" spans="1:1" x14ac:dyDescent="0.25">
      <c r="A828741" s="242"/>
    </row>
    <row r="828742" spans="1:1" x14ac:dyDescent="0.25">
      <c r="A828742" s="242"/>
    </row>
    <row r="828743" spans="1:1" x14ac:dyDescent="0.25">
      <c r="A828743" s="242"/>
    </row>
    <row r="828744" spans="1:1" x14ac:dyDescent="0.25">
      <c r="A828744" s="242"/>
    </row>
    <row r="828745" spans="1:1" x14ac:dyDescent="0.25">
      <c r="A828745" s="242"/>
    </row>
    <row r="828746" spans="1:1" x14ac:dyDescent="0.25">
      <c r="A828746" s="242"/>
    </row>
    <row r="828747" spans="1:1" x14ac:dyDescent="0.25">
      <c r="A828747" s="242"/>
    </row>
    <row r="828748" spans="1:1" x14ac:dyDescent="0.25">
      <c r="A828748" s="242"/>
    </row>
    <row r="828749" spans="1:1" x14ac:dyDescent="0.25">
      <c r="A828749" s="242"/>
    </row>
    <row r="828750" spans="1:1" x14ac:dyDescent="0.25">
      <c r="A828750" s="242"/>
    </row>
    <row r="828751" spans="1:1" x14ac:dyDescent="0.25">
      <c r="A828751" s="242"/>
    </row>
    <row r="828752" spans="1:1" x14ac:dyDescent="0.25">
      <c r="A828752" s="242"/>
    </row>
    <row r="828753" spans="1:1" x14ac:dyDescent="0.25">
      <c r="A828753" s="242"/>
    </row>
    <row r="828754" spans="1:1" x14ac:dyDescent="0.25">
      <c r="A828754" s="242"/>
    </row>
    <row r="828755" spans="1:1" x14ac:dyDescent="0.25">
      <c r="A828755" s="242"/>
    </row>
    <row r="828756" spans="1:1" x14ac:dyDescent="0.25">
      <c r="A828756" s="242"/>
    </row>
    <row r="828757" spans="1:1" x14ac:dyDescent="0.25">
      <c r="A828757" s="242"/>
    </row>
    <row r="828758" spans="1:1" x14ac:dyDescent="0.25">
      <c r="A828758" s="242"/>
    </row>
    <row r="828759" spans="1:1" x14ac:dyDescent="0.25">
      <c r="A828759" s="242"/>
    </row>
    <row r="828760" spans="1:1" x14ac:dyDescent="0.25">
      <c r="A828760" s="242"/>
    </row>
    <row r="828761" spans="1:1" x14ac:dyDescent="0.25">
      <c r="A828761" s="242"/>
    </row>
    <row r="828762" spans="1:1" x14ac:dyDescent="0.25">
      <c r="A828762" s="242"/>
    </row>
    <row r="828763" spans="1:1" x14ac:dyDescent="0.25">
      <c r="A828763" s="242"/>
    </row>
    <row r="828764" spans="1:1" x14ac:dyDescent="0.25">
      <c r="A828764" s="242"/>
    </row>
    <row r="828765" spans="1:1" x14ac:dyDescent="0.25">
      <c r="A828765" s="242"/>
    </row>
    <row r="828766" spans="1:1" x14ac:dyDescent="0.25">
      <c r="A828766" s="242"/>
    </row>
    <row r="828767" spans="1:1" x14ac:dyDescent="0.25">
      <c r="A828767" s="242"/>
    </row>
    <row r="828768" spans="1:1" x14ac:dyDescent="0.25">
      <c r="A828768" s="242"/>
    </row>
    <row r="828769" spans="1:1" x14ac:dyDescent="0.25">
      <c r="A828769" s="242"/>
    </row>
    <row r="828770" spans="1:1" x14ac:dyDescent="0.25">
      <c r="A828770" s="242"/>
    </row>
    <row r="828771" spans="1:1" x14ac:dyDescent="0.25">
      <c r="A828771" s="242"/>
    </row>
    <row r="828772" spans="1:1" x14ac:dyDescent="0.25">
      <c r="A828772" s="242"/>
    </row>
    <row r="828773" spans="1:1" x14ac:dyDescent="0.25">
      <c r="A828773" s="242"/>
    </row>
    <row r="828774" spans="1:1" x14ac:dyDescent="0.25">
      <c r="A828774" s="242"/>
    </row>
    <row r="828775" spans="1:1" x14ac:dyDescent="0.25">
      <c r="A828775" s="242"/>
    </row>
    <row r="828776" spans="1:1" x14ac:dyDescent="0.25">
      <c r="A828776" s="242"/>
    </row>
    <row r="828777" spans="1:1" x14ac:dyDescent="0.25">
      <c r="A828777" s="242"/>
    </row>
    <row r="828778" spans="1:1" x14ac:dyDescent="0.25">
      <c r="A828778" s="242"/>
    </row>
    <row r="828779" spans="1:1" x14ac:dyDescent="0.25">
      <c r="A828779" s="242"/>
    </row>
    <row r="828780" spans="1:1" x14ac:dyDescent="0.25">
      <c r="A828780" s="242"/>
    </row>
    <row r="828781" spans="1:1" x14ac:dyDescent="0.25">
      <c r="A828781" s="242"/>
    </row>
    <row r="828782" spans="1:1" x14ac:dyDescent="0.25">
      <c r="A828782" s="242"/>
    </row>
    <row r="828783" spans="1:1" x14ac:dyDescent="0.25">
      <c r="A828783" s="242"/>
    </row>
    <row r="828784" spans="1:1" x14ac:dyDescent="0.25">
      <c r="A828784" s="242"/>
    </row>
    <row r="828785" spans="1:1" x14ac:dyDescent="0.25">
      <c r="A828785" s="242"/>
    </row>
    <row r="828786" spans="1:1" x14ac:dyDescent="0.25">
      <c r="A828786" s="242"/>
    </row>
    <row r="828787" spans="1:1" x14ac:dyDescent="0.25">
      <c r="A828787" s="242"/>
    </row>
    <row r="828788" spans="1:1" x14ac:dyDescent="0.25">
      <c r="A828788" s="242"/>
    </row>
    <row r="828789" spans="1:1" x14ac:dyDescent="0.25">
      <c r="A828789" s="242"/>
    </row>
    <row r="828790" spans="1:1" x14ac:dyDescent="0.25">
      <c r="A828790" s="242"/>
    </row>
    <row r="828791" spans="1:1" x14ac:dyDescent="0.25">
      <c r="A828791" s="242"/>
    </row>
    <row r="828792" spans="1:1" x14ac:dyDescent="0.25">
      <c r="A828792" s="242"/>
    </row>
    <row r="828793" spans="1:1" x14ac:dyDescent="0.25">
      <c r="A828793" s="242"/>
    </row>
    <row r="828794" spans="1:1" x14ac:dyDescent="0.25">
      <c r="A828794" s="242"/>
    </row>
    <row r="828795" spans="1:1" x14ac:dyDescent="0.25">
      <c r="A828795" s="242"/>
    </row>
    <row r="828796" spans="1:1" x14ac:dyDescent="0.25">
      <c r="A828796" s="242"/>
    </row>
    <row r="828797" spans="1:1" x14ac:dyDescent="0.25">
      <c r="A828797" s="242"/>
    </row>
    <row r="828798" spans="1:1" x14ac:dyDescent="0.25">
      <c r="A828798" s="242"/>
    </row>
    <row r="828799" spans="1:1" x14ac:dyDescent="0.25">
      <c r="A828799" s="242"/>
    </row>
    <row r="828800" spans="1:1" x14ac:dyDescent="0.25">
      <c r="A828800" s="242"/>
    </row>
    <row r="828801" spans="1:1" x14ac:dyDescent="0.25">
      <c r="A828801" s="242"/>
    </row>
    <row r="828802" spans="1:1" x14ac:dyDescent="0.25">
      <c r="A828802" s="242"/>
    </row>
    <row r="828803" spans="1:1" x14ac:dyDescent="0.25">
      <c r="A828803" s="242"/>
    </row>
    <row r="828804" spans="1:1" x14ac:dyDescent="0.25">
      <c r="A828804" s="242"/>
    </row>
    <row r="828805" spans="1:1" x14ac:dyDescent="0.25">
      <c r="A828805" s="242"/>
    </row>
    <row r="828806" spans="1:1" x14ac:dyDescent="0.25">
      <c r="A828806" s="242"/>
    </row>
    <row r="828807" spans="1:1" x14ac:dyDescent="0.25">
      <c r="A828807" s="242"/>
    </row>
    <row r="828808" spans="1:1" x14ac:dyDescent="0.25">
      <c r="A828808" s="242"/>
    </row>
    <row r="828809" spans="1:1" x14ac:dyDescent="0.25">
      <c r="A828809" s="242"/>
    </row>
    <row r="828810" spans="1:1" x14ac:dyDescent="0.25">
      <c r="A828810" s="242"/>
    </row>
    <row r="828811" spans="1:1" x14ac:dyDescent="0.25">
      <c r="A828811" s="242"/>
    </row>
    <row r="828812" spans="1:1" x14ac:dyDescent="0.25">
      <c r="A828812" s="242"/>
    </row>
    <row r="828813" spans="1:1" x14ac:dyDescent="0.25">
      <c r="A828813" s="242"/>
    </row>
    <row r="828814" spans="1:1" x14ac:dyDescent="0.25">
      <c r="A828814" s="242"/>
    </row>
    <row r="828815" spans="1:1" x14ac:dyDescent="0.25">
      <c r="A828815" s="242"/>
    </row>
    <row r="828816" spans="1:1" x14ac:dyDescent="0.25">
      <c r="A828816" s="242"/>
    </row>
    <row r="828817" spans="1:1" x14ac:dyDescent="0.25">
      <c r="A828817" s="242"/>
    </row>
    <row r="828818" spans="1:1" x14ac:dyDescent="0.25">
      <c r="A828818" s="242"/>
    </row>
    <row r="828819" spans="1:1" x14ac:dyDescent="0.25">
      <c r="A828819" s="242"/>
    </row>
    <row r="828820" spans="1:1" x14ac:dyDescent="0.25">
      <c r="A828820" s="242"/>
    </row>
    <row r="828821" spans="1:1" x14ac:dyDescent="0.25">
      <c r="A828821" s="242"/>
    </row>
    <row r="828822" spans="1:1" x14ac:dyDescent="0.25">
      <c r="A828822" s="242"/>
    </row>
    <row r="828823" spans="1:1" x14ac:dyDescent="0.25">
      <c r="A828823" s="242"/>
    </row>
    <row r="828824" spans="1:1" x14ac:dyDescent="0.25">
      <c r="A828824" s="242"/>
    </row>
    <row r="828825" spans="1:1" x14ac:dyDescent="0.25">
      <c r="A828825" s="242"/>
    </row>
    <row r="828826" spans="1:1" x14ac:dyDescent="0.25">
      <c r="A828826" s="242"/>
    </row>
    <row r="828827" spans="1:1" x14ac:dyDescent="0.25">
      <c r="A828827" s="242"/>
    </row>
    <row r="828828" spans="1:1" x14ac:dyDescent="0.25">
      <c r="A828828" s="242"/>
    </row>
    <row r="828829" spans="1:1" x14ac:dyDescent="0.25">
      <c r="A828829" s="242"/>
    </row>
    <row r="828830" spans="1:1" x14ac:dyDescent="0.25">
      <c r="A828830" s="242"/>
    </row>
    <row r="828831" spans="1:1" x14ac:dyDescent="0.25">
      <c r="A828831" s="242"/>
    </row>
    <row r="828832" spans="1:1" x14ac:dyDescent="0.25">
      <c r="A828832" s="242"/>
    </row>
    <row r="828833" spans="1:1" x14ac:dyDescent="0.25">
      <c r="A828833" s="242"/>
    </row>
    <row r="828834" spans="1:1" x14ac:dyDescent="0.25">
      <c r="A828834" s="242"/>
    </row>
    <row r="828835" spans="1:1" x14ac:dyDescent="0.25">
      <c r="A828835" s="242"/>
    </row>
    <row r="828836" spans="1:1" x14ac:dyDescent="0.25">
      <c r="A828836" s="242"/>
    </row>
    <row r="828837" spans="1:1" x14ac:dyDescent="0.25">
      <c r="A828837" s="242"/>
    </row>
    <row r="828838" spans="1:1" x14ac:dyDescent="0.25">
      <c r="A828838" s="242"/>
    </row>
    <row r="828839" spans="1:1" x14ac:dyDescent="0.25">
      <c r="A828839" s="242"/>
    </row>
    <row r="828840" spans="1:1" x14ac:dyDescent="0.25">
      <c r="A828840" s="242"/>
    </row>
    <row r="828841" spans="1:1" x14ac:dyDescent="0.25">
      <c r="A828841" s="242"/>
    </row>
    <row r="828842" spans="1:1" x14ac:dyDescent="0.25">
      <c r="A828842" s="242"/>
    </row>
    <row r="828843" spans="1:1" x14ac:dyDescent="0.25">
      <c r="A828843" s="242"/>
    </row>
    <row r="828844" spans="1:1" x14ac:dyDescent="0.25">
      <c r="A828844" s="242"/>
    </row>
    <row r="828845" spans="1:1" x14ac:dyDescent="0.25">
      <c r="A828845" s="242"/>
    </row>
    <row r="828846" spans="1:1" x14ac:dyDescent="0.25">
      <c r="A828846" s="242"/>
    </row>
    <row r="828847" spans="1:1" x14ac:dyDescent="0.25">
      <c r="A828847" s="242"/>
    </row>
    <row r="828848" spans="1:1" x14ac:dyDescent="0.25">
      <c r="A828848" s="242"/>
    </row>
    <row r="828849" spans="1:1" x14ac:dyDescent="0.25">
      <c r="A828849" s="242"/>
    </row>
    <row r="828850" spans="1:1" x14ac:dyDescent="0.25">
      <c r="A828850" s="242"/>
    </row>
    <row r="828851" spans="1:1" x14ac:dyDescent="0.25">
      <c r="A828851" s="242"/>
    </row>
    <row r="828852" spans="1:1" x14ac:dyDescent="0.25">
      <c r="A828852" s="242"/>
    </row>
    <row r="828853" spans="1:1" x14ac:dyDescent="0.25">
      <c r="A828853" s="242"/>
    </row>
    <row r="828854" spans="1:1" x14ac:dyDescent="0.25">
      <c r="A828854" s="242"/>
    </row>
    <row r="828855" spans="1:1" x14ac:dyDescent="0.25">
      <c r="A828855" s="242"/>
    </row>
    <row r="828856" spans="1:1" x14ac:dyDescent="0.25">
      <c r="A828856" s="242"/>
    </row>
    <row r="828857" spans="1:1" x14ac:dyDescent="0.25">
      <c r="A828857" s="242"/>
    </row>
    <row r="828858" spans="1:1" x14ac:dyDescent="0.25">
      <c r="A828858" s="242"/>
    </row>
    <row r="828859" spans="1:1" x14ac:dyDescent="0.25">
      <c r="A828859" s="242"/>
    </row>
    <row r="828860" spans="1:1" x14ac:dyDescent="0.25">
      <c r="A828860" s="242"/>
    </row>
    <row r="828861" spans="1:1" x14ac:dyDescent="0.25">
      <c r="A828861" s="242"/>
    </row>
    <row r="828862" spans="1:1" x14ac:dyDescent="0.25">
      <c r="A828862" s="242"/>
    </row>
    <row r="828863" spans="1:1" x14ac:dyDescent="0.25">
      <c r="A828863" s="242"/>
    </row>
    <row r="828864" spans="1:1" x14ac:dyDescent="0.25">
      <c r="A828864" s="242"/>
    </row>
    <row r="828865" spans="1:1" x14ac:dyDescent="0.25">
      <c r="A828865" s="242"/>
    </row>
    <row r="828866" spans="1:1" x14ac:dyDescent="0.25">
      <c r="A828866" s="242"/>
    </row>
    <row r="828867" spans="1:1" x14ac:dyDescent="0.25">
      <c r="A828867" s="242"/>
    </row>
    <row r="828868" spans="1:1" x14ac:dyDescent="0.25">
      <c r="A828868" s="242"/>
    </row>
    <row r="828869" spans="1:1" x14ac:dyDescent="0.25">
      <c r="A828869" s="242"/>
    </row>
    <row r="828870" spans="1:1" x14ac:dyDescent="0.25">
      <c r="A828870" s="242"/>
    </row>
    <row r="828871" spans="1:1" x14ac:dyDescent="0.25">
      <c r="A828871" s="242"/>
    </row>
    <row r="828872" spans="1:1" x14ac:dyDescent="0.25">
      <c r="A828872" s="242"/>
    </row>
    <row r="828873" spans="1:1" x14ac:dyDescent="0.25">
      <c r="A828873" s="242"/>
    </row>
    <row r="828874" spans="1:1" x14ac:dyDescent="0.25">
      <c r="A828874" s="242"/>
    </row>
    <row r="828875" spans="1:1" x14ac:dyDescent="0.25">
      <c r="A828875" s="242"/>
    </row>
    <row r="828876" spans="1:1" x14ac:dyDescent="0.25">
      <c r="A828876" s="242"/>
    </row>
    <row r="828877" spans="1:1" x14ac:dyDescent="0.25">
      <c r="A828877" s="242"/>
    </row>
    <row r="828878" spans="1:1" x14ac:dyDescent="0.25">
      <c r="A828878" s="242"/>
    </row>
    <row r="828879" spans="1:1" x14ac:dyDescent="0.25">
      <c r="A828879" s="242"/>
    </row>
    <row r="828880" spans="1:1" x14ac:dyDescent="0.25">
      <c r="A828880" s="242"/>
    </row>
    <row r="828881" spans="1:1" x14ac:dyDescent="0.25">
      <c r="A828881" s="242"/>
    </row>
    <row r="828882" spans="1:1" x14ac:dyDescent="0.25">
      <c r="A828882" s="242"/>
    </row>
    <row r="828883" spans="1:1" x14ac:dyDescent="0.25">
      <c r="A828883" s="242"/>
    </row>
    <row r="828884" spans="1:1" x14ac:dyDescent="0.25">
      <c r="A828884" s="242"/>
    </row>
    <row r="828885" spans="1:1" x14ac:dyDescent="0.25">
      <c r="A828885" s="242"/>
    </row>
    <row r="828886" spans="1:1" x14ac:dyDescent="0.25">
      <c r="A828886" s="242"/>
    </row>
    <row r="828887" spans="1:1" x14ac:dyDescent="0.25">
      <c r="A828887" s="242"/>
    </row>
    <row r="828888" spans="1:1" x14ac:dyDescent="0.25">
      <c r="A828888" s="242"/>
    </row>
    <row r="828889" spans="1:1" x14ac:dyDescent="0.25">
      <c r="A828889" s="242"/>
    </row>
    <row r="828890" spans="1:1" x14ac:dyDescent="0.25">
      <c r="A828890" s="242"/>
    </row>
    <row r="828891" spans="1:1" x14ac:dyDescent="0.25">
      <c r="A828891" s="242"/>
    </row>
    <row r="828892" spans="1:1" x14ac:dyDescent="0.25">
      <c r="A828892" s="242"/>
    </row>
    <row r="828893" spans="1:1" x14ac:dyDescent="0.25">
      <c r="A828893" s="242"/>
    </row>
    <row r="828894" spans="1:1" x14ac:dyDescent="0.25">
      <c r="A828894" s="242"/>
    </row>
    <row r="828895" spans="1:1" x14ac:dyDescent="0.25">
      <c r="A828895" s="242"/>
    </row>
    <row r="828896" spans="1:1" x14ac:dyDescent="0.25">
      <c r="A828896" s="242"/>
    </row>
    <row r="828897" spans="1:1" x14ac:dyDescent="0.25">
      <c r="A828897" s="242"/>
    </row>
    <row r="828898" spans="1:1" x14ac:dyDescent="0.25">
      <c r="A828898" s="242"/>
    </row>
    <row r="828899" spans="1:1" x14ac:dyDescent="0.25">
      <c r="A828899" s="242"/>
    </row>
    <row r="828900" spans="1:1" x14ac:dyDescent="0.25">
      <c r="A828900" s="242"/>
    </row>
    <row r="828901" spans="1:1" x14ac:dyDescent="0.25">
      <c r="A828901" s="242"/>
    </row>
    <row r="828902" spans="1:1" x14ac:dyDescent="0.25">
      <c r="A828902" s="242"/>
    </row>
    <row r="828903" spans="1:1" x14ac:dyDescent="0.25">
      <c r="A828903" s="242"/>
    </row>
    <row r="828904" spans="1:1" x14ac:dyDescent="0.25">
      <c r="A828904" s="242"/>
    </row>
    <row r="828905" spans="1:1" x14ac:dyDescent="0.25">
      <c r="A828905" s="242"/>
    </row>
    <row r="828906" spans="1:1" x14ac:dyDescent="0.25">
      <c r="A828906" s="242"/>
    </row>
    <row r="828907" spans="1:1" x14ac:dyDescent="0.25">
      <c r="A828907" s="242"/>
    </row>
    <row r="828908" spans="1:1" x14ac:dyDescent="0.25">
      <c r="A828908" s="242"/>
    </row>
    <row r="828909" spans="1:1" x14ac:dyDescent="0.25">
      <c r="A828909" s="242"/>
    </row>
    <row r="828910" spans="1:1" x14ac:dyDescent="0.25">
      <c r="A828910" s="242"/>
    </row>
    <row r="828911" spans="1:1" x14ac:dyDescent="0.25">
      <c r="A828911" s="242"/>
    </row>
    <row r="828912" spans="1:1" x14ac:dyDescent="0.25">
      <c r="A828912" s="242"/>
    </row>
    <row r="828913" spans="1:1" x14ac:dyDescent="0.25">
      <c r="A828913" s="242"/>
    </row>
    <row r="828914" spans="1:1" x14ac:dyDescent="0.25">
      <c r="A828914" s="242"/>
    </row>
    <row r="828915" spans="1:1" x14ac:dyDescent="0.25">
      <c r="A828915" s="242"/>
    </row>
    <row r="828916" spans="1:1" x14ac:dyDescent="0.25">
      <c r="A828916" s="242"/>
    </row>
    <row r="828917" spans="1:1" x14ac:dyDescent="0.25">
      <c r="A828917" s="242"/>
    </row>
    <row r="828918" spans="1:1" x14ac:dyDescent="0.25">
      <c r="A828918" s="242"/>
    </row>
    <row r="828919" spans="1:1" x14ac:dyDescent="0.25">
      <c r="A828919" s="242"/>
    </row>
    <row r="828920" spans="1:1" x14ac:dyDescent="0.25">
      <c r="A828920" s="242"/>
    </row>
    <row r="828921" spans="1:1" x14ac:dyDescent="0.25">
      <c r="A828921" s="242"/>
    </row>
    <row r="828922" spans="1:1" x14ac:dyDescent="0.25">
      <c r="A828922" s="242"/>
    </row>
    <row r="828923" spans="1:1" x14ac:dyDescent="0.25">
      <c r="A828923" s="242"/>
    </row>
    <row r="828924" spans="1:1" x14ac:dyDescent="0.25">
      <c r="A828924" s="242"/>
    </row>
    <row r="828925" spans="1:1" x14ac:dyDescent="0.25">
      <c r="A828925" s="242"/>
    </row>
    <row r="828926" spans="1:1" x14ac:dyDescent="0.25">
      <c r="A828926" s="242"/>
    </row>
    <row r="828927" spans="1:1" x14ac:dyDescent="0.25">
      <c r="A828927" s="242"/>
    </row>
    <row r="828928" spans="1:1" x14ac:dyDescent="0.25">
      <c r="A828928" s="242"/>
    </row>
    <row r="828929" spans="1:1" x14ac:dyDescent="0.25">
      <c r="A828929" s="242"/>
    </row>
    <row r="828930" spans="1:1" x14ac:dyDescent="0.25">
      <c r="A828930" s="242"/>
    </row>
    <row r="828931" spans="1:1" x14ac:dyDescent="0.25">
      <c r="A828931" s="242"/>
    </row>
    <row r="828932" spans="1:1" x14ac:dyDescent="0.25">
      <c r="A828932" s="242"/>
    </row>
    <row r="828933" spans="1:1" x14ac:dyDescent="0.25">
      <c r="A828933" s="242"/>
    </row>
    <row r="828934" spans="1:1" x14ac:dyDescent="0.25">
      <c r="A828934" s="242"/>
    </row>
    <row r="828935" spans="1:1" x14ac:dyDescent="0.25">
      <c r="A828935" s="242"/>
    </row>
    <row r="828936" spans="1:1" x14ac:dyDescent="0.25">
      <c r="A828936" s="242"/>
    </row>
    <row r="828937" spans="1:1" x14ac:dyDescent="0.25">
      <c r="A828937" s="242"/>
    </row>
    <row r="828938" spans="1:1" x14ac:dyDescent="0.25">
      <c r="A828938" s="242"/>
    </row>
    <row r="828939" spans="1:1" x14ac:dyDescent="0.25">
      <c r="A828939" s="242"/>
    </row>
    <row r="828940" spans="1:1" x14ac:dyDescent="0.25">
      <c r="A828940" s="242"/>
    </row>
    <row r="828941" spans="1:1" x14ac:dyDescent="0.25">
      <c r="A828941" s="242"/>
    </row>
    <row r="828942" spans="1:1" x14ac:dyDescent="0.25">
      <c r="A828942" s="242"/>
    </row>
    <row r="828943" spans="1:1" x14ac:dyDescent="0.25">
      <c r="A828943" s="242"/>
    </row>
    <row r="828944" spans="1:1" x14ac:dyDescent="0.25">
      <c r="A828944" s="242"/>
    </row>
    <row r="828945" spans="1:1" x14ac:dyDescent="0.25">
      <c r="A828945" s="242"/>
    </row>
    <row r="828946" spans="1:1" x14ac:dyDescent="0.25">
      <c r="A828946" s="242"/>
    </row>
    <row r="828947" spans="1:1" x14ac:dyDescent="0.25">
      <c r="A828947" s="242"/>
    </row>
    <row r="828948" spans="1:1" x14ac:dyDescent="0.25">
      <c r="A828948" s="242"/>
    </row>
    <row r="828949" spans="1:1" x14ac:dyDescent="0.25">
      <c r="A828949" s="242"/>
    </row>
    <row r="828950" spans="1:1" x14ac:dyDescent="0.25">
      <c r="A828950" s="242"/>
    </row>
    <row r="828951" spans="1:1" x14ac:dyDescent="0.25">
      <c r="A828951" s="242"/>
    </row>
    <row r="828952" spans="1:1" x14ac:dyDescent="0.25">
      <c r="A828952" s="242"/>
    </row>
    <row r="828953" spans="1:1" x14ac:dyDescent="0.25">
      <c r="A828953" s="242"/>
    </row>
    <row r="828954" spans="1:1" x14ac:dyDescent="0.25">
      <c r="A828954" s="242"/>
    </row>
    <row r="828955" spans="1:1" x14ac:dyDescent="0.25">
      <c r="A828955" s="242"/>
    </row>
    <row r="828956" spans="1:1" x14ac:dyDescent="0.25">
      <c r="A828956" s="242"/>
    </row>
    <row r="828957" spans="1:1" x14ac:dyDescent="0.25">
      <c r="A828957" s="242"/>
    </row>
    <row r="828958" spans="1:1" x14ac:dyDescent="0.25">
      <c r="A828958" s="242"/>
    </row>
    <row r="828959" spans="1:1" x14ac:dyDescent="0.25">
      <c r="A828959" s="242"/>
    </row>
    <row r="828960" spans="1:1" x14ac:dyDescent="0.25">
      <c r="A828960" s="242"/>
    </row>
    <row r="828961" spans="1:1" x14ac:dyDescent="0.25">
      <c r="A828961" s="242"/>
    </row>
    <row r="828962" spans="1:1" x14ac:dyDescent="0.25">
      <c r="A828962" s="242"/>
    </row>
    <row r="828963" spans="1:1" x14ac:dyDescent="0.25">
      <c r="A828963" s="242"/>
    </row>
    <row r="828964" spans="1:1" x14ac:dyDescent="0.25">
      <c r="A828964" s="242"/>
    </row>
    <row r="828965" spans="1:1" x14ac:dyDescent="0.25">
      <c r="A828965" s="242"/>
    </row>
    <row r="828966" spans="1:1" x14ac:dyDescent="0.25">
      <c r="A828966" s="242"/>
    </row>
    <row r="828967" spans="1:1" x14ac:dyDescent="0.25">
      <c r="A828967" s="242"/>
    </row>
    <row r="828968" spans="1:1" x14ac:dyDescent="0.25">
      <c r="A828968" s="242"/>
    </row>
    <row r="828969" spans="1:1" x14ac:dyDescent="0.25">
      <c r="A828969" s="242"/>
    </row>
    <row r="828970" spans="1:1" x14ac:dyDescent="0.25">
      <c r="A828970" s="242"/>
    </row>
    <row r="828971" spans="1:1" x14ac:dyDescent="0.25">
      <c r="A828971" s="242"/>
    </row>
    <row r="828972" spans="1:1" x14ac:dyDescent="0.25">
      <c r="A828972" s="242"/>
    </row>
    <row r="828973" spans="1:1" x14ac:dyDescent="0.25">
      <c r="A828973" s="242"/>
    </row>
    <row r="828974" spans="1:1" x14ac:dyDescent="0.25">
      <c r="A828974" s="242"/>
    </row>
    <row r="828975" spans="1:1" x14ac:dyDescent="0.25">
      <c r="A828975" s="242"/>
    </row>
    <row r="828976" spans="1:1" x14ac:dyDescent="0.25">
      <c r="A828976" s="242"/>
    </row>
    <row r="828977" spans="1:1" x14ac:dyDescent="0.25">
      <c r="A828977" s="242"/>
    </row>
    <row r="828978" spans="1:1" x14ac:dyDescent="0.25">
      <c r="A828978" s="242"/>
    </row>
    <row r="828979" spans="1:1" x14ac:dyDescent="0.25">
      <c r="A828979" s="242"/>
    </row>
    <row r="828980" spans="1:1" x14ac:dyDescent="0.25">
      <c r="A828980" s="242"/>
    </row>
    <row r="828981" spans="1:1" x14ac:dyDescent="0.25">
      <c r="A828981" s="242"/>
    </row>
    <row r="828982" spans="1:1" x14ac:dyDescent="0.25">
      <c r="A828982" s="242"/>
    </row>
    <row r="828983" spans="1:1" x14ac:dyDescent="0.25">
      <c r="A828983" s="242"/>
    </row>
    <row r="828984" spans="1:1" x14ac:dyDescent="0.25">
      <c r="A828984" s="242"/>
    </row>
    <row r="828985" spans="1:1" x14ac:dyDescent="0.25">
      <c r="A828985" s="242"/>
    </row>
    <row r="828986" spans="1:1" x14ac:dyDescent="0.25">
      <c r="A828986" s="242"/>
    </row>
    <row r="828987" spans="1:1" x14ac:dyDescent="0.25">
      <c r="A828987" s="242"/>
    </row>
    <row r="828988" spans="1:1" x14ac:dyDescent="0.25">
      <c r="A828988" s="242"/>
    </row>
    <row r="828989" spans="1:1" x14ac:dyDescent="0.25">
      <c r="A828989" s="242"/>
    </row>
    <row r="828990" spans="1:1" x14ac:dyDescent="0.25">
      <c r="A828990" s="242"/>
    </row>
    <row r="828991" spans="1:1" x14ac:dyDescent="0.25">
      <c r="A828991" s="242"/>
    </row>
    <row r="828992" spans="1:1" x14ac:dyDescent="0.25">
      <c r="A828992" s="242"/>
    </row>
    <row r="828993" spans="1:1" x14ac:dyDescent="0.25">
      <c r="A828993" s="242"/>
    </row>
    <row r="828994" spans="1:1" x14ac:dyDescent="0.25">
      <c r="A828994" s="242"/>
    </row>
    <row r="828995" spans="1:1" x14ac:dyDescent="0.25">
      <c r="A828995" s="242"/>
    </row>
    <row r="828996" spans="1:1" x14ac:dyDescent="0.25">
      <c r="A828996" s="242"/>
    </row>
    <row r="828997" spans="1:1" x14ac:dyDescent="0.25">
      <c r="A828997" s="242"/>
    </row>
    <row r="828998" spans="1:1" x14ac:dyDescent="0.25">
      <c r="A828998" s="242"/>
    </row>
    <row r="828999" spans="1:1" x14ac:dyDescent="0.25">
      <c r="A828999" s="242"/>
    </row>
    <row r="829000" spans="1:1" x14ac:dyDescent="0.25">
      <c r="A829000" s="242"/>
    </row>
    <row r="829001" spans="1:1" x14ac:dyDescent="0.25">
      <c r="A829001" s="242"/>
    </row>
    <row r="829002" spans="1:1" x14ac:dyDescent="0.25">
      <c r="A829002" s="242"/>
    </row>
    <row r="829003" spans="1:1" x14ac:dyDescent="0.25">
      <c r="A829003" s="242"/>
    </row>
    <row r="829004" spans="1:1" x14ac:dyDescent="0.25">
      <c r="A829004" s="242"/>
    </row>
    <row r="829005" spans="1:1" x14ac:dyDescent="0.25">
      <c r="A829005" s="242"/>
    </row>
    <row r="829006" spans="1:1" x14ac:dyDescent="0.25">
      <c r="A829006" s="242"/>
    </row>
    <row r="829007" spans="1:1" x14ac:dyDescent="0.25">
      <c r="A829007" s="242"/>
    </row>
    <row r="829008" spans="1:1" x14ac:dyDescent="0.25">
      <c r="A829008" s="242"/>
    </row>
  </sheetData>
  <mergeCells count="9">
    <mergeCell ref="AA1:AC1"/>
    <mergeCell ref="AG189:AI189"/>
    <mergeCell ref="AG192:AI192"/>
    <mergeCell ref="D1:F1"/>
    <mergeCell ref="G1:J1"/>
    <mergeCell ref="K1:N1"/>
    <mergeCell ref="O1:R1"/>
    <mergeCell ref="S1:V1"/>
    <mergeCell ref="W1:Z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829008"/>
  <sheetViews>
    <sheetView zoomScale="86" zoomScaleNormal="86" workbookViewId="0">
      <pane xSplit="6" ySplit="2" topLeftCell="AL188" activePane="bottomRight" state="frozen"/>
      <selection pane="topRight" activeCell="G1" sqref="G1"/>
      <selection pane="bottomLeft" activeCell="A3" sqref="A3"/>
      <selection pane="bottomRight" activeCell="AV200" sqref="AV200"/>
    </sheetView>
  </sheetViews>
  <sheetFormatPr baseColWidth="10" defaultRowHeight="15" x14ac:dyDescent="0.25"/>
  <cols>
    <col min="1" max="1" width="8.42578125" style="245" customWidth="1"/>
    <col min="2" max="2" width="27.85546875" style="245" customWidth="1"/>
    <col min="3" max="3" width="11.42578125" style="245"/>
    <col min="4" max="4" width="9.28515625" style="245" hidden="1" customWidth="1"/>
    <col min="5" max="5" width="9.42578125" style="245" hidden="1" customWidth="1"/>
    <col min="6" max="6" width="9.85546875" style="245" hidden="1" customWidth="1"/>
    <col min="7" max="7" width="11.5703125" style="245" customWidth="1"/>
    <col min="8" max="8" width="11.42578125" style="245"/>
    <col min="9" max="9" width="11.42578125" style="246"/>
    <col min="10" max="10" width="4.140625" style="245" customWidth="1"/>
    <col min="11" max="12" width="11.42578125" style="245"/>
    <col min="13" max="13" width="11.42578125" style="246"/>
    <col min="14" max="14" width="4.7109375" style="245" customWidth="1"/>
    <col min="15" max="16" width="11.42578125" style="245"/>
    <col min="17" max="17" width="11.42578125" style="246"/>
    <col min="18" max="18" width="4" style="245" customWidth="1"/>
    <col min="19" max="20" width="11.42578125" style="245"/>
    <col min="21" max="21" width="11.42578125" style="246"/>
    <col min="22" max="22" width="3.7109375" style="245" customWidth="1"/>
    <col min="23" max="24" width="10.5703125" style="245" customWidth="1"/>
    <col min="25" max="25" width="10.5703125" style="246" customWidth="1"/>
    <col min="26" max="26" width="4.7109375" style="245" customWidth="1"/>
    <col min="27" max="28" width="10.5703125" style="245" customWidth="1"/>
    <col min="29" max="29" width="10.5703125" style="246" customWidth="1"/>
    <col min="30" max="30" width="10.5703125" style="245" customWidth="1"/>
    <col min="31" max="31" width="11.42578125" style="245"/>
    <col min="32" max="32" width="7.85546875" style="245" customWidth="1"/>
    <col min="33" max="35" width="11.42578125" style="245"/>
    <col min="36" max="36" width="11.7109375" style="245" customWidth="1"/>
    <col min="37" max="37" width="9.28515625" style="245" customWidth="1"/>
    <col min="38" max="38" width="12.140625" style="245" bestFit="1" customWidth="1"/>
    <col min="39" max="39" width="9.7109375" style="245" customWidth="1"/>
    <col min="40" max="40" width="11.42578125" style="245"/>
    <col min="41" max="41" width="10.42578125" style="245" customWidth="1"/>
    <col min="42" max="42" width="11.42578125" style="245"/>
    <col min="43" max="43" width="9.140625" style="245" customWidth="1"/>
    <col min="44" max="44" width="11.42578125" style="245"/>
    <col min="45" max="45" width="10" style="245" customWidth="1"/>
    <col min="46" max="46" width="11.42578125" style="245"/>
    <col min="47" max="47" width="11" style="245" customWidth="1"/>
    <col min="48" max="16384" width="11.42578125" style="245"/>
  </cols>
  <sheetData>
    <row r="1" spans="1:52" ht="21.75" thickBot="1" x14ac:dyDescent="0.4">
      <c r="A1" s="245">
        <v>0</v>
      </c>
      <c r="D1" s="257" t="s">
        <v>0</v>
      </c>
      <c r="E1" s="258"/>
      <c r="F1" s="258"/>
      <c r="G1" s="259">
        <v>45359</v>
      </c>
      <c r="H1" s="260"/>
      <c r="I1" s="260"/>
      <c r="J1" s="261"/>
      <c r="K1" s="262">
        <v>45361</v>
      </c>
      <c r="L1" s="263"/>
      <c r="M1" s="263"/>
      <c r="N1" s="264"/>
      <c r="O1" s="262">
        <v>45727</v>
      </c>
      <c r="P1" s="263"/>
      <c r="Q1" s="263"/>
      <c r="R1" s="264"/>
      <c r="S1" s="265">
        <v>45728</v>
      </c>
      <c r="T1" s="265"/>
      <c r="U1" s="265"/>
      <c r="V1" s="265"/>
      <c r="W1" s="266">
        <v>45729</v>
      </c>
      <c r="X1" s="267"/>
      <c r="Y1" s="267"/>
      <c r="Z1" s="268"/>
      <c r="AA1" s="251">
        <v>45730</v>
      </c>
      <c r="AB1" s="252"/>
      <c r="AC1" s="252"/>
      <c r="AQ1" s="245">
        <f>11598.72/240</f>
        <v>48.327999999999996</v>
      </c>
      <c r="AR1" s="245">
        <f>598.4/105</f>
        <v>5.6990476190476187</v>
      </c>
      <c r="AS1" s="245">
        <f>4631.45/126</f>
        <v>36.757539682539679</v>
      </c>
      <c r="AT1" s="245">
        <f>43.5-36.76</f>
        <v>6.740000000000002</v>
      </c>
    </row>
    <row r="2" spans="1:52" ht="45.75" thickBot="1" x14ac:dyDescent="0.3">
      <c r="A2" s="1" t="s">
        <v>1</v>
      </c>
      <c r="B2" s="2" t="s">
        <v>2</v>
      </c>
      <c r="C2" s="3" t="s">
        <v>3</v>
      </c>
      <c r="D2" s="4" t="s">
        <v>4</v>
      </c>
      <c r="E2" s="5" t="s">
        <v>5</v>
      </c>
      <c r="F2" s="6" t="s">
        <v>6</v>
      </c>
      <c r="G2" s="7" t="s">
        <v>4</v>
      </c>
      <c r="H2" s="8" t="s">
        <v>6</v>
      </c>
      <c r="I2" s="9" t="s">
        <v>7</v>
      </c>
      <c r="J2" s="3"/>
      <c r="K2" s="8" t="s">
        <v>4</v>
      </c>
      <c r="L2" s="8" t="s">
        <v>6</v>
      </c>
      <c r="M2" s="9" t="s">
        <v>7</v>
      </c>
      <c r="N2" s="10"/>
      <c r="O2" s="8" t="s">
        <v>4</v>
      </c>
      <c r="P2" s="8" t="s">
        <v>6</v>
      </c>
      <c r="Q2" s="9" t="s">
        <v>7</v>
      </c>
      <c r="R2" s="10"/>
      <c r="S2" s="8" t="s">
        <v>4</v>
      </c>
      <c r="T2" s="8" t="s">
        <v>6</v>
      </c>
      <c r="U2" s="9" t="s">
        <v>7</v>
      </c>
      <c r="V2" s="10"/>
      <c r="W2" s="8" t="s">
        <v>4</v>
      </c>
      <c r="X2" s="8" t="s">
        <v>6</v>
      </c>
      <c r="Y2" s="9" t="s">
        <v>7</v>
      </c>
      <c r="Z2" s="11"/>
      <c r="AA2" s="8" t="s">
        <v>4</v>
      </c>
      <c r="AB2" s="8" t="s">
        <v>6</v>
      </c>
      <c r="AC2" s="9" t="s">
        <v>7</v>
      </c>
      <c r="AD2" s="10"/>
      <c r="AE2" s="12"/>
      <c r="AF2" s="13"/>
      <c r="AG2" s="14" t="s">
        <v>8</v>
      </c>
      <c r="AH2" s="15" t="s">
        <v>9</v>
      </c>
      <c r="AI2" s="13" t="s">
        <v>10</v>
      </c>
      <c r="AJ2" s="16"/>
      <c r="AK2" s="16" t="s">
        <v>11</v>
      </c>
      <c r="AL2" s="17" t="s">
        <v>12</v>
      </c>
      <c r="AM2" s="18" t="s">
        <v>13</v>
      </c>
      <c r="AN2" s="19" t="s">
        <v>14</v>
      </c>
      <c r="AO2" s="20" t="s">
        <v>15</v>
      </c>
      <c r="AP2" s="21"/>
      <c r="AQ2" s="22"/>
      <c r="AR2" s="23" t="s">
        <v>16</v>
      </c>
      <c r="AS2" s="15" t="s">
        <v>17</v>
      </c>
      <c r="AT2" s="15" t="s">
        <v>18</v>
      </c>
      <c r="AU2" s="24" t="s">
        <v>19</v>
      </c>
      <c r="AV2" s="15" t="s">
        <v>20</v>
      </c>
      <c r="AW2" s="15" t="s">
        <v>21</v>
      </c>
      <c r="AX2" s="15" t="s">
        <v>22</v>
      </c>
      <c r="AY2" s="15" t="s">
        <v>23</v>
      </c>
      <c r="AZ2" s="25" t="s">
        <v>24</v>
      </c>
    </row>
    <row r="3" spans="1:52" ht="16.5" thickBot="1" x14ac:dyDescent="0.3">
      <c r="A3" s="26">
        <v>3300</v>
      </c>
      <c r="B3" s="27" t="s">
        <v>25</v>
      </c>
      <c r="C3" s="28"/>
      <c r="D3" s="26">
        <f>C3/3</f>
        <v>0</v>
      </c>
      <c r="E3" s="27">
        <f>C3/3</f>
        <v>0</v>
      </c>
      <c r="F3" s="29">
        <f>C3/3</f>
        <v>0</v>
      </c>
      <c r="G3" s="30">
        <v>0</v>
      </c>
      <c r="H3" s="30">
        <v>0</v>
      </c>
      <c r="I3" s="32">
        <v>0</v>
      </c>
      <c r="J3" s="32"/>
      <c r="K3" s="33"/>
      <c r="L3" s="34">
        <v>0</v>
      </c>
      <c r="M3" s="34">
        <v>0</v>
      </c>
      <c r="N3" s="35"/>
      <c r="O3" s="36">
        <v>0</v>
      </c>
      <c r="P3" s="34">
        <v>0</v>
      </c>
      <c r="Q3" s="34">
        <v>0</v>
      </c>
      <c r="R3" s="35"/>
      <c r="S3" s="37">
        <v>0</v>
      </c>
      <c r="T3" s="34">
        <v>0</v>
      </c>
      <c r="U3" s="34">
        <v>0</v>
      </c>
      <c r="V3" s="35"/>
      <c r="W3" s="38">
        <v>0</v>
      </c>
      <c r="X3" s="31">
        <v>0</v>
      </c>
      <c r="Y3" s="31">
        <v>0</v>
      </c>
      <c r="Z3" s="39"/>
      <c r="AA3" s="37">
        <v>0</v>
      </c>
      <c r="AB3" s="34">
        <v>0</v>
      </c>
      <c r="AC3" s="34">
        <v>0</v>
      </c>
      <c r="AD3" s="40"/>
      <c r="AE3" s="41"/>
      <c r="AF3" s="42"/>
      <c r="AG3" s="43">
        <f t="shared" ref="AG3:AJ35" si="0">G3+K3+O3+S3+W3+AA3</f>
        <v>0</v>
      </c>
      <c r="AH3" s="44">
        <f>H3+L3+P3+T3+X3+AB3</f>
        <v>0</v>
      </c>
      <c r="AI3" s="44">
        <f>I3+M3+Q3+U3+Y3+AC3</f>
        <v>0</v>
      </c>
      <c r="AJ3" s="45">
        <f>J3+N3+R3+V3+Z3+AD3</f>
        <v>0</v>
      </c>
      <c r="AK3" s="46">
        <f t="shared" ref="AK3:AK67" si="1">AG3+AH3+AI3</f>
        <v>0</v>
      </c>
      <c r="AL3" s="47">
        <v>2</v>
      </c>
      <c r="AM3" s="48">
        <f>AG3*AL3</f>
        <v>0</v>
      </c>
      <c r="AN3" s="48">
        <f t="shared" ref="AN3:AN73" si="2">AH3*AL3</f>
        <v>0</v>
      </c>
      <c r="AO3" s="49">
        <f>AI3*AL3</f>
        <v>0</v>
      </c>
      <c r="AP3" s="49">
        <f t="shared" ref="AP3:AP67" si="3">AJ3*AL3</f>
        <v>0</v>
      </c>
      <c r="AQ3" s="50">
        <f>AK3*60</f>
        <v>0</v>
      </c>
      <c r="AR3" s="51">
        <v>51.6</v>
      </c>
      <c r="AS3" s="52">
        <v>8.3999999999999986</v>
      </c>
      <c r="AT3" s="53">
        <f>AK3*AS3</f>
        <v>0</v>
      </c>
      <c r="AU3" s="54">
        <f>AK3*AL3</f>
        <v>0</v>
      </c>
      <c r="AV3" s="55"/>
      <c r="AW3" s="56"/>
      <c r="AX3" s="56"/>
      <c r="AY3" s="52"/>
      <c r="AZ3" s="57">
        <f>AT3-AU3-AW3-AX3-AY3</f>
        <v>0</v>
      </c>
    </row>
    <row r="4" spans="1:52" ht="16.5" thickBot="1" x14ac:dyDescent="0.3">
      <c r="A4" s="58">
        <v>3.5</v>
      </c>
      <c r="B4" s="59" t="s">
        <v>26</v>
      </c>
      <c r="C4" s="60"/>
      <c r="D4" s="26">
        <f t="shared" ref="D4:D68" si="4">C4/3</f>
        <v>0</v>
      </c>
      <c r="E4" s="27">
        <f t="shared" ref="E4:E68" si="5">C4/3</f>
        <v>0</v>
      </c>
      <c r="F4" s="29">
        <f t="shared" ref="F4:F68" si="6">C4/3</f>
        <v>0</v>
      </c>
      <c r="G4" s="30">
        <v>0</v>
      </c>
      <c r="H4" s="31">
        <v>0</v>
      </c>
      <c r="I4" s="32">
        <v>0</v>
      </c>
      <c r="J4" s="61"/>
      <c r="K4" s="33"/>
      <c r="L4" s="34">
        <v>0</v>
      </c>
      <c r="M4" s="34">
        <v>0</v>
      </c>
      <c r="N4" s="62"/>
      <c r="O4" s="34">
        <v>0</v>
      </c>
      <c r="P4" s="34">
        <v>0</v>
      </c>
      <c r="Q4" s="34">
        <v>0</v>
      </c>
      <c r="R4" s="62"/>
      <c r="S4" s="37">
        <v>0</v>
      </c>
      <c r="T4" s="34">
        <v>0</v>
      </c>
      <c r="U4" s="34">
        <v>0</v>
      </c>
      <c r="V4" s="62"/>
      <c r="W4" s="38">
        <v>0</v>
      </c>
      <c r="X4" s="31">
        <v>0</v>
      </c>
      <c r="Y4" s="31">
        <v>0</v>
      </c>
      <c r="Z4" s="63"/>
      <c r="AA4" s="37">
        <v>0</v>
      </c>
      <c r="AB4" s="34">
        <v>0</v>
      </c>
      <c r="AC4" s="34">
        <v>0</v>
      </c>
      <c r="AD4" s="64"/>
      <c r="AE4" s="65"/>
      <c r="AF4" s="40"/>
      <c r="AG4" s="43">
        <f t="shared" si="0"/>
        <v>0</v>
      </c>
      <c r="AH4" s="44">
        <f t="shared" si="0"/>
        <v>0</v>
      </c>
      <c r="AI4" s="44">
        <f t="shared" si="0"/>
        <v>0</v>
      </c>
      <c r="AJ4" s="45">
        <f>J4+N4+R4+V4+Z4+AD4</f>
        <v>0</v>
      </c>
      <c r="AK4" s="46">
        <f t="shared" si="1"/>
        <v>0</v>
      </c>
      <c r="AL4" s="66">
        <v>1.75</v>
      </c>
      <c r="AM4" s="48">
        <f t="shared" ref="AM4:AM73" si="7">AG4*AL4</f>
        <v>0</v>
      </c>
      <c r="AN4" s="48">
        <f t="shared" si="2"/>
        <v>0</v>
      </c>
      <c r="AO4" s="49">
        <f t="shared" ref="AO4:AO68" si="8">AI4*AL4</f>
        <v>0</v>
      </c>
      <c r="AP4" s="49">
        <f t="shared" si="3"/>
        <v>0</v>
      </c>
      <c r="AQ4" s="50">
        <f t="shared" ref="AQ4:AQ67" si="9">AK4*60</f>
        <v>0</v>
      </c>
      <c r="AR4" s="67"/>
      <c r="AS4" s="68"/>
      <c r="AT4" s="69"/>
      <c r="AU4" s="70"/>
      <c r="AV4" s="71"/>
      <c r="AW4" s="72"/>
      <c r="AX4" s="72"/>
      <c r="AY4" s="68"/>
      <c r="AZ4" s="73"/>
    </row>
    <row r="5" spans="1:52" ht="16.5" thickBot="1" x14ac:dyDescent="0.3">
      <c r="A5" s="74">
        <v>3030</v>
      </c>
      <c r="B5" s="75" t="s">
        <v>26</v>
      </c>
      <c r="C5" s="76">
        <v>322</v>
      </c>
      <c r="D5" s="26">
        <f>C5/3</f>
        <v>107.33333333333333</v>
      </c>
      <c r="E5" s="27">
        <f t="shared" si="5"/>
        <v>107.33333333333333</v>
      </c>
      <c r="F5" s="29">
        <f t="shared" si="6"/>
        <v>107.33333333333333</v>
      </c>
      <c r="G5" s="30">
        <v>2</v>
      </c>
      <c r="H5" s="31">
        <v>3</v>
      </c>
      <c r="I5" s="32">
        <v>3</v>
      </c>
      <c r="J5" s="77"/>
      <c r="K5" s="33"/>
      <c r="L5" s="34">
        <v>6</v>
      </c>
      <c r="M5" s="34">
        <v>14</v>
      </c>
      <c r="N5" s="62"/>
      <c r="O5" s="34">
        <v>7</v>
      </c>
      <c r="P5" s="34">
        <v>2</v>
      </c>
      <c r="Q5" s="34">
        <v>5</v>
      </c>
      <c r="R5" s="62"/>
      <c r="S5" s="37">
        <v>4</v>
      </c>
      <c r="T5" s="34">
        <v>8</v>
      </c>
      <c r="U5" s="34">
        <v>5</v>
      </c>
      <c r="V5" s="62"/>
      <c r="W5" s="38">
        <v>4</v>
      </c>
      <c r="X5" s="31">
        <v>12</v>
      </c>
      <c r="Y5" s="31">
        <v>1</v>
      </c>
      <c r="Z5" s="78"/>
      <c r="AA5" s="37">
        <v>2</v>
      </c>
      <c r="AB5" s="34">
        <v>4</v>
      </c>
      <c r="AC5" s="34">
        <v>3</v>
      </c>
      <c r="AD5" s="64"/>
      <c r="AE5" s="79"/>
      <c r="AF5" s="64"/>
      <c r="AG5" s="43">
        <f t="shared" si="0"/>
        <v>19</v>
      </c>
      <c r="AH5" s="44">
        <f t="shared" si="0"/>
        <v>35</v>
      </c>
      <c r="AI5" s="44">
        <f t="shared" si="0"/>
        <v>31</v>
      </c>
      <c r="AJ5" s="45">
        <f t="shared" si="0"/>
        <v>0</v>
      </c>
      <c r="AK5" s="80">
        <f t="shared" si="1"/>
        <v>85</v>
      </c>
      <c r="AL5" s="66">
        <v>1.75</v>
      </c>
      <c r="AM5" s="48">
        <f t="shared" si="7"/>
        <v>33.25</v>
      </c>
      <c r="AN5" s="48">
        <f t="shared" si="2"/>
        <v>61.25</v>
      </c>
      <c r="AO5" s="49">
        <f t="shared" si="8"/>
        <v>54.25</v>
      </c>
      <c r="AP5" s="49">
        <f t="shared" si="3"/>
        <v>0</v>
      </c>
      <c r="AQ5" s="50">
        <f t="shared" si="9"/>
        <v>5100</v>
      </c>
      <c r="AR5" s="81">
        <v>42.35</v>
      </c>
      <c r="AS5" s="82">
        <v>7.6499999999999986</v>
      </c>
      <c r="AT5" s="83">
        <f t="shared" ref="AT5:AT17" si="10">AK5*AS5</f>
        <v>650.24999999999989</v>
      </c>
      <c r="AU5" s="84">
        <f t="shared" ref="AU5:AU19" si="11">AK5*AL5</f>
        <v>148.75</v>
      </c>
      <c r="AV5" s="85">
        <v>0</v>
      </c>
      <c r="AW5" s="86"/>
      <c r="AX5" s="86"/>
      <c r="AY5" s="82"/>
      <c r="AZ5" s="87">
        <f t="shared" ref="AZ5:AZ17" si="12">AT5-AU5-AW5-AX5-AY5</f>
        <v>501.49999999999989</v>
      </c>
    </row>
    <row r="6" spans="1:52" ht="16.5" thickBot="1" x14ac:dyDescent="0.3">
      <c r="A6" s="74">
        <v>3030</v>
      </c>
      <c r="B6" s="75" t="s">
        <v>27</v>
      </c>
      <c r="C6" s="76">
        <v>64</v>
      </c>
      <c r="D6" s="26">
        <f>C6/3</f>
        <v>21.333333333333332</v>
      </c>
      <c r="E6" s="27">
        <f t="shared" si="5"/>
        <v>21.333333333333332</v>
      </c>
      <c r="F6" s="29">
        <f t="shared" si="6"/>
        <v>21.333333333333332</v>
      </c>
      <c r="G6" s="30">
        <v>0</v>
      </c>
      <c r="H6" s="31">
        <v>0</v>
      </c>
      <c r="I6" s="32">
        <v>0</v>
      </c>
      <c r="J6" s="77"/>
      <c r="K6" s="33"/>
      <c r="L6" s="34">
        <v>0</v>
      </c>
      <c r="M6" s="34">
        <v>0</v>
      </c>
      <c r="N6" s="62"/>
      <c r="O6" s="34">
        <v>0</v>
      </c>
      <c r="P6" s="34">
        <v>0</v>
      </c>
      <c r="Q6" s="34">
        <v>0</v>
      </c>
      <c r="R6" s="62"/>
      <c r="S6" s="37">
        <v>3</v>
      </c>
      <c r="T6" s="34">
        <v>1</v>
      </c>
      <c r="U6" s="34">
        <v>6</v>
      </c>
      <c r="V6" s="62"/>
      <c r="W6" s="38">
        <v>5</v>
      </c>
      <c r="X6" s="31">
        <v>8</v>
      </c>
      <c r="Y6" s="31">
        <v>0</v>
      </c>
      <c r="Z6" s="78"/>
      <c r="AA6" s="37">
        <v>0</v>
      </c>
      <c r="AB6" s="34">
        <v>1</v>
      </c>
      <c r="AC6" s="34">
        <v>1</v>
      </c>
      <c r="AD6" s="64"/>
      <c r="AE6" s="79"/>
      <c r="AF6" s="64"/>
      <c r="AG6" s="43">
        <f t="shared" si="0"/>
        <v>8</v>
      </c>
      <c r="AH6" s="44">
        <f t="shared" si="0"/>
        <v>10</v>
      </c>
      <c r="AI6" s="44">
        <f t="shared" si="0"/>
        <v>7</v>
      </c>
      <c r="AJ6" s="45">
        <f t="shared" si="0"/>
        <v>0</v>
      </c>
      <c r="AK6" s="80">
        <f t="shared" si="1"/>
        <v>25</v>
      </c>
      <c r="AL6" s="66">
        <v>1.75</v>
      </c>
      <c r="AM6" s="48">
        <f t="shared" si="7"/>
        <v>14</v>
      </c>
      <c r="AN6" s="48">
        <f t="shared" si="2"/>
        <v>17.5</v>
      </c>
      <c r="AO6" s="49">
        <f t="shared" si="8"/>
        <v>12.25</v>
      </c>
      <c r="AP6" s="49">
        <f t="shared" si="3"/>
        <v>0</v>
      </c>
      <c r="AQ6" s="50">
        <f t="shared" si="9"/>
        <v>1500</v>
      </c>
      <c r="AR6" s="81">
        <v>42.5</v>
      </c>
      <c r="AS6" s="82">
        <v>7.5</v>
      </c>
      <c r="AT6" s="83">
        <f t="shared" si="10"/>
        <v>187.5</v>
      </c>
      <c r="AU6" s="84">
        <f t="shared" si="11"/>
        <v>43.75</v>
      </c>
      <c r="AV6" s="85">
        <v>0</v>
      </c>
      <c r="AW6" s="86"/>
      <c r="AX6" s="86"/>
      <c r="AY6" s="82"/>
      <c r="AZ6" s="87">
        <f t="shared" si="12"/>
        <v>143.75</v>
      </c>
    </row>
    <row r="7" spans="1:52" ht="16.5" thickBot="1" x14ac:dyDescent="0.3">
      <c r="A7" s="74">
        <v>3030</v>
      </c>
      <c r="B7" s="75" t="s">
        <v>25</v>
      </c>
      <c r="C7" s="76">
        <v>2776</v>
      </c>
      <c r="D7" s="26">
        <f t="shared" si="4"/>
        <v>925.33333333333337</v>
      </c>
      <c r="E7" s="27">
        <f t="shared" si="5"/>
        <v>925.33333333333337</v>
      </c>
      <c r="F7" s="29">
        <f t="shared" si="6"/>
        <v>925.33333333333337</v>
      </c>
      <c r="G7" s="30">
        <v>8</v>
      </c>
      <c r="H7" s="31">
        <v>7</v>
      </c>
      <c r="I7" s="32">
        <v>8</v>
      </c>
      <c r="J7" s="77"/>
      <c r="K7" s="33"/>
      <c r="L7" s="34">
        <v>67</v>
      </c>
      <c r="M7" s="34">
        <v>18</v>
      </c>
      <c r="N7" s="62"/>
      <c r="O7" s="34">
        <v>7</v>
      </c>
      <c r="P7" s="34">
        <v>7</v>
      </c>
      <c r="Q7" s="34">
        <v>24</v>
      </c>
      <c r="R7" s="62"/>
      <c r="S7" s="37">
        <v>25</v>
      </c>
      <c r="T7" s="34">
        <v>17</v>
      </c>
      <c r="U7" s="34">
        <v>1</v>
      </c>
      <c r="V7" s="62"/>
      <c r="W7" s="38">
        <v>36</v>
      </c>
      <c r="X7" s="31">
        <v>43</v>
      </c>
      <c r="Y7" s="31">
        <v>9</v>
      </c>
      <c r="Z7" s="78"/>
      <c r="AA7" s="37">
        <v>2</v>
      </c>
      <c r="AB7" s="34">
        <v>3</v>
      </c>
      <c r="AC7" s="34">
        <v>69</v>
      </c>
      <c r="AD7" s="64"/>
      <c r="AE7" s="79"/>
      <c r="AF7" s="64"/>
      <c r="AG7" s="43">
        <f t="shared" si="0"/>
        <v>78</v>
      </c>
      <c r="AH7" s="44">
        <f t="shared" si="0"/>
        <v>144</v>
      </c>
      <c r="AI7" s="44">
        <f t="shared" si="0"/>
        <v>129</v>
      </c>
      <c r="AJ7" s="45">
        <f t="shared" si="0"/>
        <v>0</v>
      </c>
      <c r="AK7" s="80">
        <f t="shared" si="1"/>
        <v>351</v>
      </c>
      <c r="AL7" s="47">
        <v>1.5</v>
      </c>
      <c r="AM7" s="48">
        <f t="shared" si="7"/>
        <v>117</v>
      </c>
      <c r="AN7" s="48">
        <f t="shared" si="2"/>
        <v>216</v>
      </c>
      <c r="AO7" s="49">
        <f t="shared" si="8"/>
        <v>193.5</v>
      </c>
      <c r="AP7" s="49">
        <f t="shared" si="3"/>
        <v>0</v>
      </c>
      <c r="AQ7" s="50">
        <f t="shared" si="9"/>
        <v>21060</v>
      </c>
      <c r="AR7" s="81">
        <v>48.33</v>
      </c>
      <c r="AS7" s="82">
        <f>56-AR7</f>
        <v>7.6700000000000017</v>
      </c>
      <c r="AT7" s="83">
        <f t="shared" si="10"/>
        <v>2692.1700000000005</v>
      </c>
      <c r="AU7" s="84">
        <f t="shared" si="11"/>
        <v>526.5</v>
      </c>
      <c r="AV7" s="85">
        <v>0</v>
      </c>
      <c r="AW7" s="86"/>
      <c r="AX7" s="86"/>
      <c r="AY7" s="82"/>
      <c r="AZ7" s="87">
        <f t="shared" si="12"/>
        <v>2165.6700000000005</v>
      </c>
    </row>
    <row r="8" spans="1:52" ht="16.5" thickBot="1" x14ac:dyDescent="0.3">
      <c r="A8" s="74">
        <v>3030</v>
      </c>
      <c r="B8" s="75" t="s">
        <v>28</v>
      </c>
      <c r="C8" s="76">
        <v>136</v>
      </c>
      <c r="D8" s="26">
        <f t="shared" si="4"/>
        <v>45.333333333333336</v>
      </c>
      <c r="E8" s="27">
        <f t="shared" si="5"/>
        <v>45.333333333333336</v>
      </c>
      <c r="F8" s="29">
        <f t="shared" si="6"/>
        <v>45.333333333333336</v>
      </c>
      <c r="G8" s="30">
        <v>0</v>
      </c>
      <c r="H8" s="31">
        <v>0</v>
      </c>
      <c r="I8" s="32">
        <v>0</v>
      </c>
      <c r="J8" s="77"/>
      <c r="K8" s="33"/>
      <c r="L8" s="34">
        <v>1</v>
      </c>
      <c r="M8" s="34">
        <v>0</v>
      </c>
      <c r="N8" s="62"/>
      <c r="O8" s="34">
        <v>0</v>
      </c>
      <c r="P8" s="34">
        <v>0</v>
      </c>
      <c r="Q8" s="34">
        <v>1</v>
      </c>
      <c r="R8" s="62"/>
      <c r="S8" s="37">
        <v>1</v>
      </c>
      <c r="T8" s="34">
        <v>0</v>
      </c>
      <c r="U8" s="34">
        <v>0</v>
      </c>
      <c r="V8" s="62"/>
      <c r="W8" s="38">
        <v>1</v>
      </c>
      <c r="X8" s="31">
        <v>2</v>
      </c>
      <c r="Y8" s="31">
        <v>0</v>
      </c>
      <c r="Z8" s="78"/>
      <c r="AA8" s="37">
        <v>0</v>
      </c>
      <c r="AB8" s="34">
        <v>0</v>
      </c>
      <c r="AC8" s="34">
        <v>0</v>
      </c>
      <c r="AD8" s="64"/>
      <c r="AE8" s="79"/>
      <c r="AF8" s="64"/>
      <c r="AG8" s="43">
        <f t="shared" si="0"/>
        <v>2</v>
      </c>
      <c r="AH8" s="44">
        <f t="shared" si="0"/>
        <v>3</v>
      </c>
      <c r="AI8" s="44">
        <f t="shared" si="0"/>
        <v>1</v>
      </c>
      <c r="AJ8" s="45">
        <f t="shared" si="0"/>
        <v>0</v>
      </c>
      <c r="AK8" s="80">
        <f t="shared" si="1"/>
        <v>6</v>
      </c>
      <c r="AL8" s="47">
        <v>1.5</v>
      </c>
      <c r="AM8" s="48">
        <f t="shared" si="7"/>
        <v>3</v>
      </c>
      <c r="AN8" s="48">
        <f t="shared" si="2"/>
        <v>4.5</v>
      </c>
      <c r="AO8" s="49">
        <f t="shared" si="8"/>
        <v>1.5</v>
      </c>
      <c r="AP8" s="49">
        <f t="shared" si="3"/>
        <v>0</v>
      </c>
      <c r="AQ8" s="50">
        <f t="shared" si="9"/>
        <v>360</v>
      </c>
      <c r="AR8" s="81">
        <v>43.2</v>
      </c>
      <c r="AS8" s="82">
        <v>6.7999999999999972</v>
      </c>
      <c r="AT8" s="83">
        <f t="shared" si="10"/>
        <v>40.799999999999983</v>
      </c>
      <c r="AU8" s="84">
        <f t="shared" si="11"/>
        <v>9</v>
      </c>
      <c r="AV8" s="85">
        <v>0</v>
      </c>
      <c r="AW8" s="86"/>
      <c r="AX8" s="86"/>
      <c r="AY8" s="82"/>
      <c r="AZ8" s="87">
        <f t="shared" si="12"/>
        <v>31.799999999999983</v>
      </c>
    </row>
    <row r="9" spans="1:52" ht="16.5" thickBot="1" x14ac:dyDescent="0.3">
      <c r="A9" s="74">
        <v>3030</v>
      </c>
      <c r="B9" s="75" t="s">
        <v>29</v>
      </c>
      <c r="C9" s="76">
        <v>67</v>
      </c>
      <c r="D9" s="26">
        <f t="shared" si="4"/>
        <v>22.333333333333332</v>
      </c>
      <c r="E9" s="27">
        <f t="shared" si="5"/>
        <v>22.333333333333332</v>
      </c>
      <c r="F9" s="29">
        <f t="shared" si="6"/>
        <v>22.333333333333332</v>
      </c>
      <c r="G9" s="30">
        <v>0</v>
      </c>
      <c r="H9" s="31">
        <v>0</v>
      </c>
      <c r="I9" s="32">
        <v>0</v>
      </c>
      <c r="J9" s="77"/>
      <c r="K9" s="33"/>
      <c r="L9" s="34">
        <v>0</v>
      </c>
      <c r="M9" s="34">
        <v>0</v>
      </c>
      <c r="N9" s="62"/>
      <c r="O9" s="34">
        <v>0</v>
      </c>
      <c r="P9" s="34">
        <v>0</v>
      </c>
      <c r="Q9" s="34">
        <v>0</v>
      </c>
      <c r="R9" s="62"/>
      <c r="S9" s="37">
        <v>0</v>
      </c>
      <c r="T9" s="34">
        <v>0</v>
      </c>
      <c r="U9" s="34">
        <v>0</v>
      </c>
      <c r="V9" s="62"/>
      <c r="W9" s="38">
        <v>0</v>
      </c>
      <c r="X9" s="31">
        <v>0</v>
      </c>
      <c r="Y9" s="31">
        <v>0</v>
      </c>
      <c r="Z9" s="78"/>
      <c r="AA9" s="37">
        <v>0</v>
      </c>
      <c r="AB9" s="34">
        <v>0</v>
      </c>
      <c r="AC9" s="34">
        <v>0</v>
      </c>
      <c r="AD9" s="64"/>
      <c r="AE9" s="79"/>
      <c r="AF9" s="64"/>
      <c r="AG9" s="43">
        <f t="shared" si="0"/>
        <v>0</v>
      </c>
      <c r="AH9" s="44">
        <f t="shared" si="0"/>
        <v>0</v>
      </c>
      <c r="AI9" s="44">
        <f t="shared" si="0"/>
        <v>0</v>
      </c>
      <c r="AJ9" s="45">
        <f t="shared" si="0"/>
        <v>0</v>
      </c>
      <c r="AK9" s="80">
        <f t="shared" si="1"/>
        <v>0</v>
      </c>
      <c r="AL9" s="47">
        <v>1.5</v>
      </c>
      <c r="AM9" s="48">
        <f t="shared" si="7"/>
        <v>0</v>
      </c>
      <c r="AN9" s="48">
        <f t="shared" si="2"/>
        <v>0</v>
      </c>
      <c r="AO9" s="49">
        <f t="shared" si="8"/>
        <v>0</v>
      </c>
      <c r="AP9" s="49">
        <f t="shared" si="3"/>
        <v>0</v>
      </c>
      <c r="AQ9" s="50">
        <f t="shared" si="9"/>
        <v>0</v>
      </c>
      <c r="AR9" s="81">
        <v>43.2</v>
      </c>
      <c r="AS9" s="82">
        <v>6.7999999999999972</v>
      </c>
      <c r="AT9" s="83">
        <f t="shared" si="10"/>
        <v>0</v>
      </c>
      <c r="AU9" s="84">
        <f t="shared" si="11"/>
        <v>0</v>
      </c>
      <c r="AV9" s="85">
        <v>0</v>
      </c>
      <c r="AW9" s="86"/>
      <c r="AX9" s="86"/>
      <c r="AY9" s="82"/>
      <c r="AZ9" s="87">
        <f t="shared" si="12"/>
        <v>0</v>
      </c>
    </row>
    <row r="10" spans="1:52" ht="16.5" thickBot="1" x14ac:dyDescent="0.3">
      <c r="A10" s="74">
        <v>3030</v>
      </c>
      <c r="B10" s="75" t="s">
        <v>30</v>
      </c>
      <c r="C10" s="76"/>
      <c r="D10" s="26">
        <f t="shared" si="4"/>
        <v>0</v>
      </c>
      <c r="E10" s="27">
        <f t="shared" si="5"/>
        <v>0</v>
      </c>
      <c r="F10" s="29">
        <f t="shared" si="6"/>
        <v>0</v>
      </c>
      <c r="G10" s="30">
        <v>0</v>
      </c>
      <c r="H10" s="31">
        <v>0</v>
      </c>
      <c r="I10" s="32">
        <v>0</v>
      </c>
      <c r="J10" s="77"/>
      <c r="K10" s="33"/>
      <c r="L10" s="34">
        <v>0</v>
      </c>
      <c r="M10" s="34">
        <v>0</v>
      </c>
      <c r="N10" s="62"/>
      <c r="O10" s="34">
        <v>0</v>
      </c>
      <c r="P10" s="34">
        <v>0</v>
      </c>
      <c r="Q10" s="34">
        <v>0</v>
      </c>
      <c r="R10" s="62"/>
      <c r="S10" s="37">
        <v>0</v>
      </c>
      <c r="T10" s="34">
        <v>0</v>
      </c>
      <c r="U10" s="34">
        <v>0</v>
      </c>
      <c r="V10" s="62"/>
      <c r="W10" s="38">
        <v>0</v>
      </c>
      <c r="X10" s="31">
        <v>0</v>
      </c>
      <c r="Y10" s="31">
        <v>0</v>
      </c>
      <c r="Z10" s="78"/>
      <c r="AA10" s="37">
        <v>0</v>
      </c>
      <c r="AB10" s="34">
        <v>0</v>
      </c>
      <c r="AC10" s="34">
        <v>0</v>
      </c>
      <c r="AD10" s="64"/>
      <c r="AE10" s="79"/>
      <c r="AF10" s="64"/>
      <c r="AG10" s="43">
        <f t="shared" si="0"/>
        <v>0</v>
      </c>
      <c r="AH10" s="44">
        <f t="shared" si="0"/>
        <v>0</v>
      </c>
      <c r="AI10" s="44">
        <f t="shared" si="0"/>
        <v>0</v>
      </c>
      <c r="AJ10" s="45">
        <f t="shared" si="0"/>
        <v>0</v>
      </c>
      <c r="AK10" s="80">
        <f t="shared" si="1"/>
        <v>0</v>
      </c>
      <c r="AL10" s="47">
        <v>1.5</v>
      </c>
      <c r="AM10" s="48">
        <f t="shared" si="7"/>
        <v>0</v>
      </c>
      <c r="AN10" s="48">
        <f t="shared" si="2"/>
        <v>0</v>
      </c>
      <c r="AO10" s="49">
        <f t="shared" si="8"/>
        <v>0</v>
      </c>
      <c r="AP10" s="49">
        <f t="shared" si="3"/>
        <v>0</v>
      </c>
      <c r="AQ10" s="50">
        <f t="shared" si="9"/>
        <v>0</v>
      </c>
      <c r="AR10" s="81">
        <v>43.2</v>
      </c>
      <c r="AS10" s="82">
        <v>6.7999999999999972</v>
      </c>
      <c r="AT10" s="83">
        <f t="shared" si="10"/>
        <v>0</v>
      </c>
      <c r="AU10" s="84">
        <f t="shared" si="11"/>
        <v>0</v>
      </c>
      <c r="AV10" s="85">
        <v>0</v>
      </c>
      <c r="AW10" s="86"/>
      <c r="AX10" s="86"/>
      <c r="AY10" s="82"/>
      <c r="AZ10" s="87">
        <f t="shared" si="12"/>
        <v>0</v>
      </c>
    </row>
    <row r="11" spans="1:52" ht="16.5" thickBot="1" x14ac:dyDescent="0.3">
      <c r="A11" s="74">
        <v>3030</v>
      </c>
      <c r="B11" s="75" t="s">
        <v>31</v>
      </c>
      <c r="C11" s="76">
        <v>67</v>
      </c>
      <c r="D11" s="26">
        <f t="shared" si="4"/>
        <v>22.333333333333332</v>
      </c>
      <c r="E11" s="27">
        <f t="shared" si="5"/>
        <v>22.333333333333332</v>
      </c>
      <c r="F11" s="29">
        <f t="shared" si="6"/>
        <v>22.333333333333332</v>
      </c>
      <c r="G11" s="30">
        <v>0</v>
      </c>
      <c r="H11" s="31">
        <v>0</v>
      </c>
      <c r="I11" s="32">
        <v>0</v>
      </c>
      <c r="J11" s="77"/>
      <c r="K11" s="33"/>
      <c r="L11" s="34">
        <v>2</v>
      </c>
      <c r="M11" s="34">
        <v>0</v>
      </c>
      <c r="N11" s="62"/>
      <c r="O11" s="34">
        <v>0</v>
      </c>
      <c r="P11" s="34">
        <v>0</v>
      </c>
      <c r="Q11" s="34">
        <v>0</v>
      </c>
      <c r="R11" s="62"/>
      <c r="S11" s="37">
        <v>0</v>
      </c>
      <c r="T11" s="34">
        <v>0</v>
      </c>
      <c r="U11" s="34">
        <v>0</v>
      </c>
      <c r="V11" s="62"/>
      <c r="W11" s="38">
        <v>0</v>
      </c>
      <c r="X11" s="31">
        <v>0</v>
      </c>
      <c r="Y11" s="31">
        <v>0</v>
      </c>
      <c r="Z11" s="78"/>
      <c r="AA11" s="37">
        <v>0</v>
      </c>
      <c r="AB11" s="34">
        <v>0</v>
      </c>
      <c r="AC11" s="34">
        <v>0</v>
      </c>
      <c r="AD11" s="64"/>
      <c r="AE11" s="79"/>
      <c r="AF11" s="64"/>
      <c r="AG11" s="43">
        <f t="shared" si="0"/>
        <v>0</v>
      </c>
      <c r="AH11" s="44">
        <f t="shared" si="0"/>
        <v>2</v>
      </c>
      <c r="AI11" s="44">
        <f t="shared" si="0"/>
        <v>0</v>
      </c>
      <c r="AJ11" s="45">
        <f t="shared" si="0"/>
        <v>0</v>
      </c>
      <c r="AK11" s="80">
        <f t="shared" si="1"/>
        <v>2</v>
      </c>
      <c r="AL11" s="47">
        <v>1.5</v>
      </c>
      <c r="AM11" s="48">
        <f t="shared" si="7"/>
        <v>0</v>
      </c>
      <c r="AN11" s="48">
        <f t="shared" si="2"/>
        <v>3</v>
      </c>
      <c r="AO11" s="49">
        <f t="shared" si="8"/>
        <v>0</v>
      </c>
      <c r="AP11" s="49">
        <f t="shared" si="3"/>
        <v>0</v>
      </c>
      <c r="AQ11" s="50">
        <f t="shared" si="9"/>
        <v>120</v>
      </c>
      <c r="AR11" s="81">
        <v>43.2</v>
      </c>
      <c r="AS11" s="82">
        <v>6.7999999999999972</v>
      </c>
      <c r="AT11" s="83">
        <f t="shared" si="10"/>
        <v>13.599999999999994</v>
      </c>
      <c r="AU11" s="84">
        <f t="shared" si="11"/>
        <v>3</v>
      </c>
      <c r="AV11" s="85">
        <v>0</v>
      </c>
      <c r="AW11" s="86"/>
      <c r="AX11" s="86"/>
      <c r="AY11" s="82"/>
      <c r="AZ11" s="87">
        <f t="shared" si="12"/>
        <v>10.599999999999994</v>
      </c>
    </row>
    <row r="12" spans="1:52" ht="16.5" thickBot="1" x14ac:dyDescent="0.3">
      <c r="A12" s="74">
        <v>3030</v>
      </c>
      <c r="B12" s="75" t="s">
        <v>32</v>
      </c>
      <c r="C12" s="88">
        <v>0</v>
      </c>
      <c r="D12" s="26">
        <f t="shared" si="4"/>
        <v>0</v>
      </c>
      <c r="E12" s="27">
        <f t="shared" si="5"/>
        <v>0</v>
      </c>
      <c r="F12" s="29">
        <f t="shared" si="6"/>
        <v>0</v>
      </c>
      <c r="G12" s="30">
        <v>0</v>
      </c>
      <c r="H12" s="31">
        <v>0</v>
      </c>
      <c r="I12" s="32">
        <v>0</v>
      </c>
      <c r="J12" s="77"/>
      <c r="K12" s="33"/>
      <c r="L12" s="34">
        <v>0</v>
      </c>
      <c r="M12" s="34">
        <v>0</v>
      </c>
      <c r="N12" s="62"/>
      <c r="O12" s="34">
        <v>0</v>
      </c>
      <c r="P12" s="34">
        <v>0</v>
      </c>
      <c r="Q12" s="34">
        <v>0</v>
      </c>
      <c r="R12" s="62"/>
      <c r="S12" s="37">
        <v>0</v>
      </c>
      <c r="T12" s="34">
        <v>0</v>
      </c>
      <c r="U12" s="34">
        <v>0</v>
      </c>
      <c r="V12" s="62"/>
      <c r="W12" s="38">
        <v>0</v>
      </c>
      <c r="X12" s="31">
        <v>0</v>
      </c>
      <c r="Y12" s="31">
        <v>0</v>
      </c>
      <c r="Z12" s="78"/>
      <c r="AA12" s="37">
        <v>0</v>
      </c>
      <c r="AB12" s="34">
        <v>0</v>
      </c>
      <c r="AC12" s="34">
        <v>0</v>
      </c>
      <c r="AD12" s="64"/>
      <c r="AE12" s="79"/>
      <c r="AF12" s="64"/>
      <c r="AG12" s="43">
        <f t="shared" si="0"/>
        <v>0</v>
      </c>
      <c r="AH12" s="44">
        <f t="shared" si="0"/>
        <v>0</v>
      </c>
      <c r="AI12" s="44">
        <f t="shared" si="0"/>
        <v>0</v>
      </c>
      <c r="AJ12" s="45">
        <f t="shared" si="0"/>
        <v>0</v>
      </c>
      <c r="AK12" s="80">
        <f t="shared" si="1"/>
        <v>0</v>
      </c>
      <c r="AL12" s="47">
        <v>2</v>
      </c>
      <c r="AM12" s="48">
        <f t="shared" si="7"/>
        <v>0</v>
      </c>
      <c r="AN12" s="48">
        <f t="shared" si="2"/>
        <v>0</v>
      </c>
      <c r="AO12" s="49">
        <f t="shared" si="8"/>
        <v>0</v>
      </c>
      <c r="AP12" s="49">
        <f t="shared" si="3"/>
        <v>0</v>
      </c>
      <c r="AQ12" s="50">
        <f t="shared" si="9"/>
        <v>0</v>
      </c>
      <c r="AR12" s="81">
        <v>42.35</v>
      </c>
      <c r="AS12" s="82">
        <v>7.6499999999999986</v>
      </c>
      <c r="AT12" s="83">
        <f t="shared" si="10"/>
        <v>0</v>
      </c>
      <c r="AU12" s="84">
        <f t="shared" si="11"/>
        <v>0</v>
      </c>
      <c r="AV12" s="85">
        <v>0</v>
      </c>
      <c r="AW12" s="86"/>
      <c r="AX12" s="86"/>
      <c r="AY12" s="82"/>
      <c r="AZ12" s="87">
        <f t="shared" si="12"/>
        <v>0</v>
      </c>
    </row>
    <row r="13" spans="1:52" ht="16.5" thickBot="1" x14ac:dyDescent="0.3">
      <c r="A13" s="74">
        <v>2250</v>
      </c>
      <c r="B13" s="75" t="s">
        <v>25</v>
      </c>
      <c r="C13" s="76"/>
      <c r="D13" s="26">
        <f t="shared" si="4"/>
        <v>0</v>
      </c>
      <c r="E13" s="27">
        <f t="shared" si="5"/>
        <v>0</v>
      </c>
      <c r="F13" s="29">
        <f t="shared" si="6"/>
        <v>0</v>
      </c>
      <c r="G13" s="30">
        <v>0</v>
      </c>
      <c r="H13" s="31">
        <v>0</v>
      </c>
      <c r="I13" s="32">
        <v>0</v>
      </c>
      <c r="J13" s="77"/>
      <c r="K13" s="33"/>
      <c r="L13" s="34">
        <v>0</v>
      </c>
      <c r="M13" s="34">
        <v>0</v>
      </c>
      <c r="N13" s="62"/>
      <c r="O13" s="34">
        <v>0</v>
      </c>
      <c r="P13" s="34">
        <v>0</v>
      </c>
      <c r="Q13" s="34">
        <v>0</v>
      </c>
      <c r="R13" s="62"/>
      <c r="S13" s="37">
        <v>0</v>
      </c>
      <c r="T13" s="34">
        <v>0</v>
      </c>
      <c r="U13" s="34">
        <v>0</v>
      </c>
      <c r="V13" s="62"/>
      <c r="W13" s="38">
        <v>0</v>
      </c>
      <c r="X13" s="31">
        <v>0</v>
      </c>
      <c r="Y13" s="31">
        <v>0</v>
      </c>
      <c r="Z13" s="78"/>
      <c r="AA13" s="37">
        <v>0</v>
      </c>
      <c r="AB13" s="34">
        <v>0</v>
      </c>
      <c r="AC13" s="34">
        <v>0</v>
      </c>
      <c r="AD13" s="64"/>
      <c r="AE13" s="79"/>
      <c r="AF13" s="64"/>
      <c r="AG13" s="43">
        <f t="shared" si="0"/>
        <v>0</v>
      </c>
      <c r="AH13" s="44">
        <f t="shared" si="0"/>
        <v>0</v>
      </c>
      <c r="AI13" s="44">
        <f t="shared" si="0"/>
        <v>0</v>
      </c>
      <c r="AJ13" s="45">
        <f>J13+N13+R13+V13+Z13+AD13</f>
        <v>0</v>
      </c>
      <c r="AK13" s="80">
        <f t="shared" si="1"/>
        <v>0</v>
      </c>
      <c r="AL13" s="47">
        <v>1.5</v>
      </c>
      <c r="AM13" s="48">
        <f t="shared" si="7"/>
        <v>0</v>
      </c>
      <c r="AN13" s="48">
        <f t="shared" si="2"/>
        <v>0</v>
      </c>
      <c r="AO13" s="49">
        <f t="shared" si="8"/>
        <v>0</v>
      </c>
      <c r="AP13" s="49">
        <f t="shared" si="3"/>
        <v>0</v>
      </c>
      <c r="AQ13" s="50">
        <f t="shared" si="9"/>
        <v>0</v>
      </c>
      <c r="AR13" s="81">
        <v>34.68</v>
      </c>
      <c r="AS13" s="82">
        <v>5.32</v>
      </c>
      <c r="AT13" s="83">
        <f t="shared" si="10"/>
        <v>0</v>
      </c>
      <c r="AU13" s="84">
        <f t="shared" si="11"/>
        <v>0</v>
      </c>
      <c r="AV13" s="85">
        <v>0</v>
      </c>
      <c r="AW13" s="86"/>
      <c r="AX13" s="86"/>
      <c r="AY13" s="82"/>
      <c r="AZ13" s="87">
        <f t="shared" si="12"/>
        <v>0</v>
      </c>
    </row>
    <row r="14" spans="1:52" ht="16.5" thickBot="1" x14ac:dyDescent="0.3">
      <c r="A14" s="74">
        <v>2250</v>
      </c>
      <c r="B14" s="75" t="s">
        <v>33</v>
      </c>
      <c r="C14" s="76"/>
      <c r="D14" s="26">
        <f t="shared" si="4"/>
        <v>0</v>
      </c>
      <c r="E14" s="27">
        <f t="shared" si="5"/>
        <v>0</v>
      </c>
      <c r="F14" s="29">
        <f t="shared" si="6"/>
        <v>0</v>
      </c>
      <c r="G14" s="30">
        <v>0</v>
      </c>
      <c r="H14" s="31">
        <v>0</v>
      </c>
      <c r="I14" s="32">
        <v>0</v>
      </c>
      <c r="J14" s="77"/>
      <c r="K14" s="33"/>
      <c r="L14" s="34">
        <v>0</v>
      </c>
      <c r="M14" s="34">
        <v>0</v>
      </c>
      <c r="N14" s="62"/>
      <c r="O14" s="34">
        <v>0</v>
      </c>
      <c r="P14" s="34">
        <v>0</v>
      </c>
      <c r="Q14" s="34">
        <v>0</v>
      </c>
      <c r="R14" s="62"/>
      <c r="S14" s="37">
        <v>0</v>
      </c>
      <c r="T14" s="34">
        <v>0</v>
      </c>
      <c r="U14" s="34">
        <v>0</v>
      </c>
      <c r="V14" s="62"/>
      <c r="W14" s="38">
        <v>0</v>
      </c>
      <c r="X14" s="31">
        <v>0</v>
      </c>
      <c r="Y14" s="31">
        <v>0</v>
      </c>
      <c r="Z14" s="78"/>
      <c r="AA14" s="37">
        <v>0</v>
      </c>
      <c r="AB14" s="34">
        <v>0</v>
      </c>
      <c r="AC14" s="34">
        <v>0</v>
      </c>
      <c r="AD14" s="64"/>
      <c r="AE14" s="79"/>
      <c r="AF14" s="64"/>
      <c r="AG14" s="43">
        <f t="shared" si="0"/>
        <v>0</v>
      </c>
      <c r="AH14" s="44">
        <f t="shared" si="0"/>
        <v>0</v>
      </c>
      <c r="AI14" s="44">
        <f t="shared" si="0"/>
        <v>0</v>
      </c>
      <c r="AJ14" s="45">
        <f t="shared" si="0"/>
        <v>0</v>
      </c>
      <c r="AK14" s="80">
        <f t="shared" si="1"/>
        <v>0</v>
      </c>
      <c r="AL14" s="47">
        <v>1.5</v>
      </c>
      <c r="AM14" s="48">
        <f t="shared" si="7"/>
        <v>0</v>
      </c>
      <c r="AN14" s="48">
        <f t="shared" si="2"/>
        <v>0</v>
      </c>
      <c r="AO14" s="49">
        <f t="shared" si="8"/>
        <v>0</v>
      </c>
      <c r="AP14" s="49">
        <f t="shared" si="3"/>
        <v>0</v>
      </c>
      <c r="AQ14" s="50">
        <f t="shared" si="9"/>
        <v>0</v>
      </c>
      <c r="AR14" s="81">
        <v>34.68</v>
      </c>
      <c r="AS14" s="82">
        <v>5.32</v>
      </c>
      <c r="AT14" s="83">
        <f t="shared" si="10"/>
        <v>0</v>
      </c>
      <c r="AU14" s="84">
        <f t="shared" si="11"/>
        <v>0</v>
      </c>
      <c r="AV14" s="85">
        <v>0</v>
      </c>
      <c r="AW14" s="86"/>
      <c r="AX14" s="86"/>
      <c r="AY14" s="82"/>
      <c r="AZ14" s="87">
        <f t="shared" si="12"/>
        <v>0</v>
      </c>
    </row>
    <row r="15" spans="1:52" ht="16.5" thickBot="1" x14ac:dyDescent="0.3">
      <c r="A15" s="74">
        <v>1800</v>
      </c>
      <c r="B15" s="75" t="s">
        <v>34</v>
      </c>
      <c r="C15" s="76"/>
      <c r="D15" s="26">
        <f t="shared" si="4"/>
        <v>0</v>
      </c>
      <c r="E15" s="27">
        <f t="shared" si="5"/>
        <v>0</v>
      </c>
      <c r="F15" s="29">
        <f t="shared" si="6"/>
        <v>0</v>
      </c>
      <c r="G15" s="30">
        <v>0</v>
      </c>
      <c r="H15" s="31">
        <v>0</v>
      </c>
      <c r="I15" s="32">
        <v>0</v>
      </c>
      <c r="J15" s="77"/>
      <c r="K15" s="33"/>
      <c r="L15" s="34">
        <v>0</v>
      </c>
      <c r="M15" s="34">
        <v>0</v>
      </c>
      <c r="N15" s="62"/>
      <c r="O15" s="34">
        <v>0</v>
      </c>
      <c r="P15" s="34">
        <v>0</v>
      </c>
      <c r="Q15" s="34">
        <v>0</v>
      </c>
      <c r="R15" s="62"/>
      <c r="S15" s="37">
        <v>0</v>
      </c>
      <c r="T15" s="34">
        <v>0</v>
      </c>
      <c r="U15" s="34">
        <v>0</v>
      </c>
      <c r="V15" s="62"/>
      <c r="W15" s="38">
        <v>0</v>
      </c>
      <c r="X15" s="31">
        <v>0</v>
      </c>
      <c r="Y15" s="31">
        <v>0</v>
      </c>
      <c r="Z15" s="78"/>
      <c r="AA15" s="37">
        <v>0</v>
      </c>
      <c r="AB15" s="34">
        <v>0</v>
      </c>
      <c r="AC15" s="34">
        <v>0</v>
      </c>
      <c r="AD15" s="64"/>
      <c r="AE15" s="79"/>
      <c r="AF15" s="64"/>
      <c r="AG15" s="43">
        <f t="shared" si="0"/>
        <v>0</v>
      </c>
      <c r="AH15" s="44">
        <f t="shared" si="0"/>
        <v>0</v>
      </c>
      <c r="AI15" s="44">
        <f t="shared" si="0"/>
        <v>0</v>
      </c>
      <c r="AJ15" s="45">
        <f t="shared" si="0"/>
        <v>0</v>
      </c>
      <c r="AK15" s="80">
        <f t="shared" si="1"/>
        <v>0</v>
      </c>
      <c r="AL15" s="47">
        <v>1.5</v>
      </c>
      <c r="AM15" s="48">
        <f t="shared" si="7"/>
        <v>0</v>
      </c>
      <c r="AN15" s="48">
        <f t="shared" si="2"/>
        <v>0</v>
      </c>
      <c r="AO15" s="49">
        <f t="shared" si="8"/>
        <v>0</v>
      </c>
      <c r="AP15" s="49">
        <f t="shared" si="3"/>
        <v>0</v>
      </c>
      <c r="AQ15" s="50">
        <f t="shared" si="9"/>
        <v>0</v>
      </c>
      <c r="AR15" s="81">
        <v>29.54</v>
      </c>
      <c r="AS15" s="82">
        <v>5.4600000000000009</v>
      </c>
      <c r="AT15" s="83">
        <f t="shared" si="10"/>
        <v>0</v>
      </c>
      <c r="AU15" s="84">
        <f t="shared" si="11"/>
        <v>0</v>
      </c>
      <c r="AV15" s="85">
        <v>0</v>
      </c>
      <c r="AW15" s="86"/>
      <c r="AX15" s="86"/>
      <c r="AY15" s="82"/>
      <c r="AZ15" s="87">
        <f t="shared" si="12"/>
        <v>0</v>
      </c>
    </row>
    <row r="16" spans="1:52" ht="16.5" thickBot="1" x14ac:dyDescent="0.3">
      <c r="A16" s="74">
        <v>1800</v>
      </c>
      <c r="B16" s="75" t="s">
        <v>25</v>
      </c>
      <c r="C16" s="88"/>
      <c r="D16" s="26">
        <f t="shared" si="4"/>
        <v>0</v>
      </c>
      <c r="E16" s="27">
        <f t="shared" si="5"/>
        <v>0</v>
      </c>
      <c r="F16" s="29">
        <f t="shared" si="6"/>
        <v>0</v>
      </c>
      <c r="G16" s="30">
        <v>0</v>
      </c>
      <c r="H16" s="31">
        <v>0</v>
      </c>
      <c r="I16" s="32">
        <v>0</v>
      </c>
      <c r="J16" s="77"/>
      <c r="K16" s="33"/>
      <c r="L16" s="34">
        <v>0</v>
      </c>
      <c r="M16" s="34">
        <v>0</v>
      </c>
      <c r="N16" s="62"/>
      <c r="O16" s="34">
        <v>0</v>
      </c>
      <c r="P16" s="34">
        <v>0</v>
      </c>
      <c r="Q16" s="34">
        <v>0</v>
      </c>
      <c r="R16" s="62"/>
      <c r="S16" s="37">
        <v>0</v>
      </c>
      <c r="T16" s="34">
        <v>0</v>
      </c>
      <c r="U16" s="34">
        <v>0</v>
      </c>
      <c r="V16" s="62"/>
      <c r="W16" s="38">
        <v>0</v>
      </c>
      <c r="X16" s="31">
        <v>0</v>
      </c>
      <c r="Y16" s="31">
        <v>0</v>
      </c>
      <c r="Z16" s="78"/>
      <c r="AA16" s="37">
        <v>0</v>
      </c>
      <c r="AB16" s="34">
        <v>0</v>
      </c>
      <c r="AC16" s="34">
        <v>0</v>
      </c>
      <c r="AD16" s="64"/>
      <c r="AE16" s="79"/>
      <c r="AF16" s="64"/>
      <c r="AG16" s="43">
        <f t="shared" si="0"/>
        <v>0</v>
      </c>
      <c r="AH16" s="44">
        <f t="shared" si="0"/>
        <v>0</v>
      </c>
      <c r="AI16" s="44">
        <f t="shared" si="0"/>
        <v>0</v>
      </c>
      <c r="AJ16" s="45">
        <f t="shared" si="0"/>
        <v>0</v>
      </c>
      <c r="AK16" s="80">
        <f t="shared" si="1"/>
        <v>0</v>
      </c>
      <c r="AL16" s="47">
        <v>1.5</v>
      </c>
      <c r="AM16" s="48">
        <f t="shared" si="7"/>
        <v>0</v>
      </c>
      <c r="AN16" s="48">
        <f t="shared" si="2"/>
        <v>0</v>
      </c>
      <c r="AO16" s="49">
        <f t="shared" si="8"/>
        <v>0</v>
      </c>
      <c r="AP16" s="49">
        <f t="shared" si="3"/>
        <v>0</v>
      </c>
      <c r="AQ16" s="50">
        <f t="shared" si="9"/>
        <v>0</v>
      </c>
      <c r="AR16" s="81">
        <v>28.05</v>
      </c>
      <c r="AS16" s="82">
        <v>6.9499999999999993</v>
      </c>
      <c r="AT16" s="83">
        <f t="shared" si="10"/>
        <v>0</v>
      </c>
      <c r="AU16" s="84">
        <f t="shared" si="11"/>
        <v>0</v>
      </c>
      <c r="AV16" s="85">
        <v>0</v>
      </c>
      <c r="AW16" s="86"/>
      <c r="AX16" s="86"/>
      <c r="AY16" s="82"/>
      <c r="AZ16" s="87">
        <f t="shared" si="12"/>
        <v>0</v>
      </c>
    </row>
    <row r="17" spans="1:52" ht="16.5" thickBot="1" x14ac:dyDescent="0.3">
      <c r="A17" s="74">
        <v>1.3</v>
      </c>
      <c r="B17" s="75" t="s">
        <v>35</v>
      </c>
      <c r="C17" s="76">
        <v>1302</v>
      </c>
      <c r="D17" s="26">
        <f t="shared" si="4"/>
        <v>434</v>
      </c>
      <c r="E17" s="27">
        <f t="shared" si="5"/>
        <v>434</v>
      </c>
      <c r="F17" s="29">
        <f t="shared" si="6"/>
        <v>434</v>
      </c>
      <c r="G17" s="30">
        <v>3</v>
      </c>
      <c r="H17" s="31">
        <v>0</v>
      </c>
      <c r="I17" s="32">
        <v>10</v>
      </c>
      <c r="J17" s="77"/>
      <c r="K17" s="33"/>
      <c r="L17" s="34">
        <v>37</v>
      </c>
      <c r="M17" s="34">
        <v>22</v>
      </c>
      <c r="N17" s="62"/>
      <c r="O17" s="34">
        <v>7</v>
      </c>
      <c r="P17" s="34">
        <v>6</v>
      </c>
      <c r="Q17" s="34">
        <v>26</v>
      </c>
      <c r="R17" s="62"/>
      <c r="S17" s="37">
        <v>22</v>
      </c>
      <c r="T17" s="34">
        <v>1</v>
      </c>
      <c r="U17" s="34">
        <v>7</v>
      </c>
      <c r="V17" s="62"/>
      <c r="W17" s="38">
        <v>22</v>
      </c>
      <c r="X17" s="31">
        <v>11</v>
      </c>
      <c r="Y17" s="31">
        <v>6</v>
      </c>
      <c r="Z17" s="78"/>
      <c r="AA17" s="37">
        <v>2</v>
      </c>
      <c r="AB17" s="34">
        <v>14</v>
      </c>
      <c r="AC17" s="34">
        <v>50</v>
      </c>
      <c r="AD17" s="64"/>
      <c r="AE17" s="79"/>
      <c r="AF17" s="89"/>
      <c r="AG17" s="43">
        <f t="shared" si="0"/>
        <v>56</v>
      </c>
      <c r="AH17" s="44">
        <f t="shared" si="0"/>
        <v>69</v>
      </c>
      <c r="AI17" s="44">
        <f t="shared" si="0"/>
        <v>121</v>
      </c>
      <c r="AJ17" s="45">
        <f t="shared" si="0"/>
        <v>0</v>
      </c>
      <c r="AK17" s="80">
        <f t="shared" si="1"/>
        <v>246</v>
      </c>
      <c r="AL17" s="66">
        <v>1</v>
      </c>
      <c r="AM17" s="48">
        <f t="shared" si="7"/>
        <v>56</v>
      </c>
      <c r="AN17" s="48">
        <f t="shared" si="2"/>
        <v>69</v>
      </c>
      <c r="AO17" s="49">
        <f t="shared" si="8"/>
        <v>121</v>
      </c>
      <c r="AP17" s="49">
        <f t="shared" si="3"/>
        <v>0</v>
      </c>
      <c r="AQ17" s="50">
        <f t="shared" si="9"/>
        <v>14760</v>
      </c>
      <c r="AR17" s="81"/>
      <c r="AS17" s="82">
        <v>5.7</v>
      </c>
      <c r="AT17" s="83">
        <f t="shared" si="10"/>
        <v>1402.2</v>
      </c>
      <c r="AU17" s="84">
        <f t="shared" si="11"/>
        <v>246</v>
      </c>
      <c r="AV17" s="85"/>
      <c r="AW17" s="86"/>
      <c r="AX17" s="86"/>
      <c r="AY17" s="82"/>
      <c r="AZ17" s="87">
        <f t="shared" si="12"/>
        <v>1156.2</v>
      </c>
    </row>
    <row r="18" spans="1:52" ht="16.5" thickBot="1" x14ac:dyDescent="0.3">
      <c r="A18" s="74">
        <v>1.3</v>
      </c>
      <c r="B18" s="75" t="s">
        <v>36</v>
      </c>
      <c r="C18" s="76"/>
      <c r="D18" s="26">
        <f t="shared" si="4"/>
        <v>0</v>
      </c>
      <c r="E18" s="27">
        <f t="shared" si="5"/>
        <v>0</v>
      </c>
      <c r="F18" s="29">
        <f t="shared" si="6"/>
        <v>0</v>
      </c>
      <c r="G18" s="30">
        <v>0</v>
      </c>
      <c r="H18" s="31">
        <v>0</v>
      </c>
      <c r="I18" s="32">
        <v>0</v>
      </c>
      <c r="J18" s="77"/>
      <c r="K18" s="33"/>
      <c r="L18" s="34">
        <v>0</v>
      </c>
      <c r="M18" s="34">
        <v>0</v>
      </c>
      <c r="N18" s="62"/>
      <c r="O18" s="34">
        <v>0</v>
      </c>
      <c r="P18" s="34">
        <v>0</v>
      </c>
      <c r="Q18" s="34">
        <v>0</v>
      </c>
      <c r="R18" s="62"/>
      <c r="S18" s="37">
        <v>0</v>
      </c>
      <c r="T18" s="34">
        <v>0</v>
      </c>
      <c r="U18" s="34">
        <v>0</v>
      </c>
      <c r="V18" s="62"/>
      <c r="W18" s="38">
        <v>0</v>
      </c>
      <c r="X18" s="31">
        <v>0</v>
      </c>
      <c r="Y18" s="31">
        <v>0</v>
      </c>
      <c r="Z18" s="78"/>
      <c r="AA18" s="37">
        <v>0</v>
      </c>
      <c r="AB18" s="34">
        <v>0</v>
      </c>
      <c r="AC18" s="34">
        <v>0</v>
      </c>
      <c r="AD18" s="64"/>
      <c r="AE18" s="79"/>
      <c r="AF18" s="64"/>
      <c r="AG18" s="43">
        <f t="shared" si="0"/>
        <v>0</v>
      </c>
      <c r="AH18" s="44">
        <f t="shared" si="0"/>
        <v>0</v>
      </c>
      <c r="AI18" s="44">
        <f t="shared" si="0"/>
        <v>0</v>
      </c>
      <c r="AJ18" s="45">
        <f t="shared" si="0"/>
        <v>0</v>
      </c>
      <c r="AK18" s="80">
        <f t="shared" si="1"/>
        <v>0</v>
      </c>
      <c r="AL18" s="47">
        <v>1</v>
      </c>
      <c r="AM18" s="48">
        <f t="shared" si="7"/>
        <v>0</v>
      </c>
      <c r="AN18" s="48">
        <f t="shared" si="2"/>
        <v>0</v>
      </c>
      <c r="AO18" s="49">
        <f t="shared" si="8"/>
        <v>0</v>
      </c>
      <c r="AP18" s="49">
        <f t="shared" si="3"/>
        <v>0</v>
      </c>
      <c r="AQ18" s="50">
        <f t="shared" si="9"/>
        <v>0</v>
      </c>
      <c r="AR18" s="81"/>
      <c r="AS18" s="82"/>
      <c r="AT18" s="83"/>
      <c r="AU18" s="84">
        <f t="shared" si="11"/>
        <v>0</v>
      </c>
      <c r="AV18" s="85"/>
      <c r="AW18" s="86"/>
      <c r="AX18" s="86"/>
      <c r="AY18" s="82"/>
      <c r="AZ18" s="87"/>
    </row>
    <row r="19" spans="1:52" ht="16.5" thickBot="1" x14ac:dyDescent="0.3">
      <c r="A19" s="74">
        <v>1.3</v>
      </c>
      <c r="B19" s="75" t="s">
        <v>37</v>
      </c>
      <c r="C19" s="76"/>
      <c r="D19" s="26">
        <f t="shared" si="4"/>
        <v>0</v>
      </c>
      <c r="E19" s="27">
        <f t="shared" si="5"/>
        <v>0</v>
      </c>
      <c r="F19" s="29">
        <f t="shared" si="6"/>
        <v>0</v>
      </c>
      <c r="G19" s="30">
        <v>0</v>
      </c>
      <c r="H19" s="31">
        <v>0</v>
      </c>
      <c r="I19" s="32">
        <v>0</v>
      </c>
      <c r="J19" s="77"/>
      <c r="K19" s="33"/>
      <c r="L19" s="34">
        <v>0</v>
      </c>
      <c r="M19" s="34">
        <v>0</v>
      </c>
      <c r="N19" s="62"/>
      <c r="O19" s="34">
        <v>0</v>
      </c>
      <c r="P19" s="34">
        <v>0</v>
      </c>
      <c r="Q19" s="34">
        <v>0</v>
      </c>
      <c r="R19" s="62"/>
      <c r="S19" s="37">
        <v>0</v>
      </c>
      <c r="T19" s="34">
        <v>0</v>
      </c>
      <c r="U19" s="34">
        <v>0</v>
      </c>
      <c r="V19" s="62"/>
      <c r="W19" s="38">
        <v>0</v>
      </c>
      <c r="X19" s="31">
        <v>0</v>
      </c>
      <c r="Y19" s="31">
        <v>0</v>
      </c>
      <c r="Z19" s="78"/>
      <c r="AA19" s="37">
        <v>0</v>
      </c>
      <c r="AB19" s="34">
        <v>0</v>
      </c>
      <c r="AC19" s="34">
        <v>0</v>
      </c>
      <c r="AD19" s="64"/>
      <c r="AE19" s="79"/>
      <c r="AF19" s="64"/>
      <c r="AG19" s="43">
        <f t="shared" si="0"/>
        <v>0</v>
      </c>
      <c r="AH19" s="44">
        <f t="shared" si="0"/>
        <v>0</v>
      </c>
      <c r="AI19" s="44">
        <f t="shared" si="0"/>
        <v>0</v>
      </c>
      <c r="AJ19" s="45">
        <f t="shared" si="0"/>
        <v>0</v>
      </c>
      <c r="AK19" s="80">
        <f t="shared" si="1"/>
        <v>0</v>
      </c>
      <c r="AL19" s="47">
        <v>1</v>
      </c>
      <c r="AM19" s="48">
        <f t="shared" si="7"/>
        <v>0</v>
      </c>
      <c r="AN19" s="48">
        <f t="shared" si="2"/>
        <v>0</v>
      </c>
      <c r="AO19" s="49">
        <f t="shared" si="8"/>
        <v>0</v>
      </c>
      <c r="AP19" s="49">
        <f t="shared" si="3"/>
        <v>0</v>
      </c>
      <c r="AQ19" s="50">
        <f t="shared" si="9"/>
        <v>0</v>
      </c>
      <c r="AR19" s="81"/>
      <c r="AS19" s="82"/>
      <c r="AT19" s="83"/>
      <c r="AU19" s="84">
        <f t="shared" si="11"/>
        <v>0</v>
      </c>
      <c r="AV19" s="85"/>
      <c r="AW19" s="86"/>
      <c r="AX19" s="86"/>
      <c r="AY19" s="82"/>
      <c r="AZ19" s="87"/>
    </row>
    <row r="20" spans="1:52" ht="16.5" thickBot="1" x14ac:dyDescent="0.3">
      <c r="A20" s="74">
        <v>1.3</v>
      </c>
      <c r="B20" s="75" t="s">
        <v>38</v>
      </c>
      <c r="C20" s="76">
        <v>90</v>
      </c>
      <c r="D20" s="26">
        <f t="shared" si="4"/>
        <v>30</v>
      </c>
      <c r="E20" s="27">
        <f t="shared" si="5"/>
        <v>30</v>
      </c>
      <c r="F20" s="29">
        <f t="shared" si="6"/>
        <v>30</v>
      </c>
      <c r="G20" s="30">
        <v>7</v>
      </c>
      <c r="H20" s="31">
        <v>4</v>
      </c>
      <c r="I20" s="32">
        <v>4</v>
      </c>
      <c r="J20" s="77"/>
      <c r="K20" s="33"/>
      <c r="L20" s="34">
        <v>10</v>
      </c>
      <c r="M20" s="34">
        <v>12</v>
      </c>
      <c r="N20" s="62"/>
      <c r="O20" s="34">
        <v>3</v>
      </c>
      <c r="P20" s="34">
        <v>4</v>
      </c>
      <c r="Q20" s="34">
        <v>6</v>
      </c>
      <c r="R20" s="62"/>
      <c r="S20" s="37">
        <v>3</v>
      </c>
      <c r="T20" s="34">
        <v>7</v>
      </c>
      <c r="U20" s="34">
        <v>8</v>
      </c>
      <c r="V20" s="62"/>
      <c r="W20" s="38">
        <v>9</v>
      </c>
      <c r="X20" s="31">
        <v>4</v>
      </c>
      <c r="Y20" s="31">
        <v>1</v>
      </c>
      <c r="Z20" s="78"/>
      <c r="AA20" s="37">
        <v>3</v>
      </c>
      <c r="AB20" s="34">
        <v>6</v>
      </c>
      <c r="AC20" s="34">
        <v>5</v>
      </c>
      <c r="AD20" s="64"/>
      <c r="AE20" s="79"/>
      <c r="AF20" s="64"/>
      <c r="AG20" s="43">
        <f t="shared" si="0"/>
        <v>25</v>
      </c>
      <c r="AH20" s="44">
        <f t="shared" si="0"/>
        <v>35</v>
      </c>
      <c r="AI20" s="44">
        <f t="shared" si="0"/>
        <v>36</v>
      </c>
      <c r="AJ20" s="45">
        <f t="shared" si="0"/>
        <v>0</v>
      </c>
      <c r="AK20" s="80">
        <f t="shared" si="1"/>
        <v>96</v>
      </c>
      <c r="AL20" s="66">
        <v>1.1499999999999999</v>
      </c>
      <c r="AM20" s="48">
        <f t="shared" si="7"/>
        <v>28.749999999999996</v>
      </c>
      <c r="AN20" s="48">
        <f t="shared" si="2"/>
        <v>40.25</v>
      </c>
      <c r="AO20" s="49">
        <f t="shared" si="8"/>
        <v>41.4</v>
      </c>
      <c r="AP20" s="49">
        <f t="shared" si="3"/>
        <v>0</v>
      </c>
      <c r="AQ20" s="50">
        <f t="shared" si="9"/>
        <v>5760</v>
      </c>
      <c r="AR20" s="81"/>
      <c r="AS20" s="82"/>
      <c r="AT20" s="83"/>
      <c r="AU20" s="84"/>
      <c r="AV20" s="85"/>
      <c r="AW20" s="86"/>
      <c r="AX20" s="86"/>
      <c r="AY20" s="82"/>
      <c r="AZ20" s="87"/>
    </row>
    <row r="21" spans="1:52" ht="16.5" thickBot="1" x14ac:dyDescent="0.3">
      <c r="A21" s="74">
        <v>1.3</v>
      </c>
      <c r="B21" s="75" t="s">
        <v>39</v>
      </c>
      <c r="C21" s="76">
        <v>90</v>
      </c>
      <c r="D21" s="26">
        <f t="shared" si="4"/>
        <v>30</v>
      </c>
      <c r="E21" s="27">
        <f t="shared" si="5"/>
        <v>30</v>
      </c>
      <c r="F21" s="29">
        <f t="shared" si="6"/>
        <v>30</v>
      </c>
      <c r="G21" s="30">
        <v>0</v>
      </c>
      <c r="H21" s="31">
        <v>0</v>
      </c>
      <c r="I21" s="32">
        <v>0</v>
      </c>
      <c r="J21" s="77"/>
      <c r="K21" s="33"/>
      <c r="L21" s="34">
        <v>0</v>
      </c>
      <c r="M21" s="34">
        <v>0</v>
      </c>
      <c r="N21" s="62"/>
      <c r="O21" s="34">
        <v>0</v>
      </c>
      <c r="P21" s="34">
        <v>0</v>
      </c>
      <c r="Q21" s="34">
        <v>0</v>
      </c>
      <c r="R21" s="62"/>
      <c r="S21" s="37">
        <v>0</v>
      </c>
      <c r="T21" s="34">
        <v>0</v>
      </c>
      <c r="U21" s="34">
        <v>0</v>
      </c>
      <c r="V21" s="62"/>
      <c r="W21" s="38">
        <v>0</v>
      </c>
      <c r="X21" s="31">
        <v>0</v>
      </c>
      <c r="Y21" s="31">
        <v>0</v>
      </c>
      <c r="Z21" s="78"/>
      <c r="AA21" s="37">
        <v>0</v>
      </c>
      <c r="AB21" s="34">
        <v>0</v>
      </c>
      <c r="AC21" s="34">
        <v>0</v>
      </c>
      <c r="AD21" s="64"/>
      <c r="AE21" s="79"/>
      <c r="AF21" s="64"/>
      <c r="AG21" s="43">
        <f t="shared" si="0"/>
        <v>0</v>
      </c>
      <c r="AH21" s="44">
        <f t="shared" si="0"/>
        <v>0</v>
      </c>
      <c r="AI21" s="44">
        <f t="shared" si="0"/>
        <v>0</v>
      </c>
      <c r="AJ21" s="45">
        <f t="shared" si="0"/>
        <v>0</v>
      </c>
      <c r="AK21" s="80">
        <f t="shared" si="1"/>
        <v>0</v>
      </c>
      <c r="AL21" s="66">
        <v>1.1499999999999999</v>
      </c>
      <c r="AM21" s="48">
        <f t="shared" si="7"/>
        <v>0</v>
      </c>
      <c r="AN21" s="48">
        <f t="shared" si="2"/>
        <v>0</v>
      </c>
      <c r="AO21" s="49">
        <f t="shared" si="8"/>
        <v>0</v>
      </c>
      <c r="AP21" s="49">
        <f t="shared" si="3"/>
        <v>0</v>
      </c>
      <c r="AQ21" s="50">
        <f t="shared" si="9"/>
        <v>0</v>
      </c>
      <c r="AR21" s="81"/>
      <c r="AS21" s="82"/>
      <c r="AT21" s="83"/>
      <c r="AU21" s="84"/>
      <c r="AV21" s="85"/>
      <c r="AW21" s="86"/>
      <c r="AX21" s="86"/>
      <c r="AY21" s="82"/>
      <c r="AZ21" s="87"/>
    </row>
    <row r="22" spans="1:52" ht="16.5" thickBot="1" x14ac:dyDescent="0.3">
      <c r="A22" s="74">
        <v>1300</v>
      </c>
      <c r="B22" s="75" t="s">
        <v>40</v>
      </c>
      <c r="C22" s="76"/>
      <c r="D22" s="26">
        <f t="shared" si="4"/>
        <v>0</v>
      </c>
      <c r="E22" s="27">
        <f t="shared" si="5"/>
        <v>0</v>
      </c>
      <c r="F22" s="29">
        <f t="shared" si="6"/>
        <v>0</v>
      </c>
      <c r="G22" s="30">
        <v>0</v>
      </c>
      <c r="H22" s="31">
        <v>0</v>
      </c>
      <c r="I22" s="32">
        <v>0</v>
      </c>
      <c r="J22" s="77"/>
      <c r="K22" s="33"/>
      <c r="L22" s="34">
        <v>0</v>
      </c>
      <c r="M22" s="34">
        <v>0</v>
      </c>
      <c r="N22" s="62"/>
      <c r="O22" s="34">
        <v>0</v>
      </c>
      <c r="P22" s="34">
        <v>0</v>
      </c>
      <c r="Q22" s="34">
        <v>0</v>
      </c>
      <c r="R22" s="62"/>
      <c r="S22" s="37">
        <v>0</v>
      </c>
      <c r="T22" s="34">
        <v>0</v>
      </c>
      <c r="U22" s="34">
        <v>0</v>
      </c>
      <c r="V22" s="62"/>
      <c r="W22" s="38">
        <v>0</v>
      </c>
      <c r="X22" s="31">
        <v>0</v>
      </c>
      <c r="Y22" s="31">
        <v>0</v>
      </c>
      <c r="Z22" s="78"/>
      <c r="AA22" s="37">
        <v>0</v>
      </c>
      <c r="AB22" s="34">
        <v>0</v>
      </c>
      <c r="AC22" s="34">
        <v>0</v>
      </c>
      <c r="AD22" s="64"/>
      <c r="AE22" s="79"/>
      <c r="AF22" s="64"/>
      <c r="AG22" s="43">
        <f t="shared" si="0"/>
        <v>0</v>
      </c>
      <c r="AH22" s="44">
        <f t="shared" si="0"/>
        <v>0</v>
      </c>
      <c r="AI22" s="44">
        <f t="shared" si="0"/>
        <v>0</v>
      </c>
      <c r="AJ22" s="45">
        <f t="shared" si="0"/>
        <v>0</v>
      </c>
      <c r="AK22" s="80">
        <f t="shared" si="1"/>
        <v>0</v>
      </c>
      <c r="AL22" s="47">
        <v>1.5</v>
      </c>
      <c r="AM22" s="48">
        <f t="shared" si="7"/>
        <v>0</v>
      </c>
      <c r="AN22" s="48">
        <f t="shared" si="2"/>
        <v>0</v>
      </c>
      <c r="AO22" s="49">
        <f t="shared" si="8"/>
        <v>0</v>
      </c>
      <c r="AP22" s="49">
        <f t="shared" si="3"/>
        <v>0</v>
      </c>
      <c r="AQ22" s="50">
        <f t="shared" si="9"/>
        <v>0</v>
      </c>
      <c r="AR22" s="81">
        <v>43.1</v>
      </c>
      <c r="AS22" s="82">
        <v>6.8999999999999986</v>
      </c>
      <c r="AT22" s="83">
        <f>AK22*AS22</f>
        <v>0</v>
      </c>
      <c r="AU22" s="84">
        <f>AK22*AL22</f>
        <v>0</v>
      </c>
      <c r="AV22" s="85">
        <v>0</v>
      </c>
      <c r="AW22" s="86"/>
      <c r="AX22" s="86"/>
      <c r="AY22" s="82"/>
      <c r="AZ22" s="87">
        <f>AT22-AU22-AW22-AX22-AY22</f>
        <v>0</v>
      </c>
    </row>
    <row r="23" spans="1:52" ht="16.5" thickBot="1" x14ac:dyDescent="0.3">
      <c r="A23" s="74">
        <v>911</v>
      </c>
      <c r="B23" s="75" t="s">
        <v>25</v>
      </c>
      <c r="C23" s="76"/>
      <c r="D23" s="26">
        <f t="shared" si="4"/>
        <v>0</v>
      </c>
      <c r="E23" s="27">
        <f t="shared" si="5"/>
        <v>0</v>
      </c>
      <c r="F23" s="29">
        <f t="shared" si="6"/>
        <v>0</v>
      </c>
      <c r="G23" s="30">
        <v>0</v>
      </c>
      <c r="H23" s="31">
        <v>0</v>
      </c>
      <c r="I23" s="32">
        <v>0</v>
      </c>
      <c r="J23" s="77"/>
      <c r="K23" s="33"/>
      <c r="L23" s="34">
        <v>0</v>
      </c>
      <c r="M23" s="34">
        <v>0</v>
      </c>
      <c r="N23" s="62"/>
      <c r="O23" s="34">
        <v>0</v>
      </c>
      <c r="P23" s="34">
        <v>0</v>
      </c>
      <c r="Q23" s="34">
        <v>0</v>
      </c>
      <c r="R23" s="62"/>
      <c r="S23" s="37">
        <v>0</v>
      </c>
      <c r="T23" s="34">
        <v>0</v>
      </c>
      <c r="U23" s="34">
        <v>0</v>
      </c>
      <c r="V23" s="62"/>
      <c r="W23" s="38">
        <v>0</v>
      </c>
      <c r="X23" s="31">
        <v>0</v>
      </c>
      <c r="Y23" s="31">
        <v>0</v>
      </c>
      <c r="Z23" s="78"/>
      <c r="AA23" s="37">
        <v>0</v>
      </c>
      <c r="AB23" s="34">
        <v>0</v>
      </c>
      <c r="AC23" s="34">
        <v>0</v>
      </c>
      <c r="AD23" s="64"/>
      <c r="AE23" s="79"/>
      <c r="AF23" s="64"/>
      <c r="AG23" s="43">
        <f t="shared" si="0"/>
        <v>0</v>
      </c>
      <c r="AH23" s="44">
        <f t="shared" si="0"/>
        <v>0</v>
      </c>
      <c r="AI23" s="44">
        <f t="shared" si="0"/>
        <v>0</v>
      </c>
      <c r="AJ23" s="45">
        <f t="shared" si="0"/>
        <v>0</v>
      </c>
      <c r="AK23" s="80">
        <f t="shared" si="1"/>
        <v>0</v>
      </c>
      <c r="AL23" s="66">
        <v>0.65</v>
      </c>
      <c r="AM23" s="48">
        <f t="shared" si="7"/>
        <v>0</v>
      </c>
      <c r="AN23" s="48">
        <f t="shared" si="2"/>
        <v>0</v>
      </c>
      <c r="AO23" s="49">
        <f t="shared" si="8"/>
        <v>0</v>
      </c>
      <c r="AP23" s="49">
        <f t="shared" si="3"/>
        <v>0</v>
      </c>
      <c r="AQ23" s="50">
        <f t="shared" si="9"/>
        <v>0</v>
      </c>
      <c r="AR23" s="81">
        <v>17.29</v>
      </c>
      <c r="AS23" s="82">
        <v>2.7100000000000009</v>
      </c>
      <c r="AT23" s="83">
        <f>AK23*AS23</f>
        <v>0</v>
      </c>
      <c r="AU23" s="84">
        <f>AK23*AL23</f>
        <v>0</v>
      </c>
      <c r="AV23" s="85"/>
      <c r="AW23" s="86"/>
      <c r="AX23" s="86"/>
      <c r="AY23" s="82"/>
      <c r="AZ23" s="87">
        <f>AT23-AU23-AW23-AX23-AY23</f>
        <v>0</v>
      </c>
    </row>
    <row r="24" spans="1:52" ht="16.5" thickBot="1" x14ac:dyDescent="0.3">
      <c r="A24" s="74">
        <v>625</v>
      </c>
      <c r="B24" s="75" t="s">
        <v>41</v>
      </c>
      <c r="C24" s="76">
        <v>570</v>
      </c>
      <c r="D24" s="26">
        <f t="shared" si="4"/>
        <v>190</v>
      </c>
      <c r="E24" s="27">
        <f t="shared" si="5"/>
        <v>190</v>
      </c>
      <c r="F24" s="29">
        <f t="shared" si="6"/>
        <v>190</v>
      </c>
      <c r="G24" s="30">
        <v>1</v>
      </c>
      <c r="H24" s="31">
        <v>2</v>
      </c>
      <c r="I24" s="32">
        <v>13</v>
      </c>
      <c r="J24" s="77"/>
      <c r="K24" s="33"/>
      <c r="L24" s="34">
        <v>11</v>
      </c>
      <c r="M24" s="34">
        <v>7</v>
      </c>
      <c r="N24" s="62"/>
      <c r="O24" s="34">
        <v>10</v>
      </c>
      <c r="P24" s="34">
        <v>3</v>
      </c>
      <c r="Q24" s="34">
        <v>7</v>
      </c>
      <c r="R24" s="62"/>
      <c r="S24" s="37">
        <v>8</v>
      </c>
      <c r="T24" s="34">
        <v>0</v>
      </c>
      <c r="U24" s="34">
        <v>0</v>
      </c>
      <c r="V24" s="62"/>
      <c r="W24" s="38">
        <v>4</v>
      </c>
      <c r="X24" s="31">
        <v>0</v>
      </c>
      <c r="Y24" s="31">
        <v>8</v>
      </c>
      <c r="Z24" s="78"/>
      <c r="AA24" s="37">
        <v>0</v>
      </c>
      <c r="AB24" s="34">
        <v>0</v>
      </c>
      <c r="AC24" s="34">
        <v>0</v>
      </c>
      <c r="AD24" s="64"/>
      <c r="AE24" s="79"/>
      <c r="AF24" s="64"/>
      <c r="AG24" s="43">
        <f t="shared" si="0"/>
        <v>23</v>
      </c>
      <c r="AH24" s="44">
        <f t="shared" si="0"/>
        <v>16</v>
      </c>
      <c r="AI24" s="44">
        <f t="shared" si="0"/>
        <v>35</v>
      </c>
      <c r="AJ24" s="45">
        <f t="shared" si="0"/>
        <v>0</v>
      </c>
      <c r="AK24" s="80">
        <f t="shared" si="1"/>
        <v>74</v>
      </c>
      <c r="AL24" s="66">
        <v>1</v>
      </c>
      <c r="AM24" s="48">
        <f t="shared" si="7"/>
        <v>23</v>
      </c>
      <c r="AN24" s="48">
        <f t="shared" si="2"/>
        <v>16</v>
      </c>
      <c r="AO24" s="49">
        <f t="shared" si="8"/>
        <v>35</v>
      </c>
      <c r="AP24" s="49">
        <f t="shared" si="3"/>
        <v>0</v>
      </c>
      <c r="AQ24" s="50">
        <f t="shared" si="9"/>
        <v>4440</v>
      </c>
      <c r="AR24" s="81"/>
      <c r="AS24" s="82">
        <v>6.74</v>
      </c>
      <c r="AT24" s="83">
        <f>AK24*AS24</f>
        <v>498.76</v>
      </c>
      <c r="AU24" s="84">
        <f>AK24*AL24</f>
        <v>74</v>
      </c>
      <c r="AV24" s="85">
        <v>0</v>
      </c>
      <c r="AW24" s="86"/>
      <c r="AX24" s="86"/>
      <c r="AY24" s="82"/>
      <c r="AZ24" s="87"/>
    </row>
    <row r="25" spans="1:52" ht="16.5" thickBot="1" x14ac:dyDescent="0.3">
      <c r="A25" s="74">
        <v>625</v>
      </c>
      <c r="B25" s="75" t="s">
        <v>42</v>
      </c>
      <c r="C25" s="76"/>
      <c r="D25" s="26"/>
      <c r="E25" s="27"/>
      <c r="F25" s="29"/>
      <c r="G25" s="30">
        <v>0</v>
      </c>
      <c r="H25" s="31">
        <v>0</v>
      </c>
      <c r="I25" s="32">
        <v>0</v>
      </c>
      <c r="J25" s="77"/>
      <c r="K25" s="33"/>
      <c r="L25" s="34">
        <v>0</v>
      </c>
      <c r="M25" s="34">
        <v>0</v>
      </c>
      <c r="N25" s="62"/>
      <c r="O25" s="34">
        <v>0</v>
      </c>
      <c r="P25" s="34">
        <v>0</v>
      </c>
      <c r="Q25" s="34">
        <v>0</v>
      </c>
      <c r="R25" s="62"/>
      <c r="S25" s="37">
        <v>0</v>
      </c>
      <c r="T25" s="34">
        <v>0</v>
      </c>
      <c r="U25" s="34">
        <v>0</v>
      </c>
      <c r="V25" s="62"/>
      <c r="W25" s="38">
        <v>11</v>
      </c>
      <c r="X25" s="31">
        <v>4</v>
      </c>
      <c r="Y25" s="31">
        <v>0</v>
      </c>
      <c r="Z25" s="78"/>
      <c r="AA25" s="37">
        <v>1</v>
      </c>
      <c r="AB25" s="34">
        <v>0</v>
      </c>
      <c r="AC25" s="34">
        <v>40</v>
      </c>
      <c r="AD25" s="64"/>
      <c r="AE25" s="79"/>
      <c r="AF25" s="64"/>
      <c r="AG25" s="43">
        <f t="shared" si="0"/>
        <v>12</v>
      </c>
      <c r="AH25" s="44">
        <f t="shared" si="0"/>
        <v>4</v>
      </c>
      <c r="AI25" s="44">
        <f t="shared" si="0"/>
        <v>40</v>
      </c>
      <c r="AJ25" s="45">
        <f t="shared" si="0"/>
        <v>0</v>
      </c>
      <c r="AK25" s="80">
        <f t="shared" si="1"/>
        <v>56</v>
      </c>
      <c r="AL25" s="66">
        <v>0.75</v>
      </c>
      <c r="AM25" s="48">
        <f t="shared" si="7"/>
        <v>9</v>
      </c>
      <c r="AN25" s="48">
        <f t="shared" si="2"/>
        <v>3</v>
      </c>
      <c r="AO25" s="49">
        <f t="shared" si="8"/>
        <v>30</v>
      </c>
      <c r="AP25" s="49">
        <f t="shared" si="3"/>
        <v>0</v>
      </c>
      <c r="AQ25" s="50">
        <f t="shared" si="9"/>
        <v>3360</v>
      </c>
      <c r="AR25" s="81"/>
      <c r="AS25" s="82"/>
      <c r="AT25" s="83"/>
      <c r="AU25" s="84"/>
      <c r="AV25" s="85"/>
      <c r="AW25" s="86"/>
      <c r="AX25" s="86"/>
      <c r="AY25" s="82"/>
      <c r="AZ25" s="87"/>
    </row>
    <row r="26" spans="1:52" ht="16.5" thickBot="1" x14ac:dyDescent="0.3">
      <c r="A26" s="74">
        <v>625</v>
      </c>
      <c r="B26" s="75" t="s">
        <v>36</v>
      </c>
      <c r="C26" s="76"/>
      <c r="D26" s="26">
        <f t="shared" si="4"/>
        <v>0</v>
      </c>
      <c r="E26" s="27">
        <f t="shared" si="5"/>
        <v>0</v>
      </c>
      <c r="F26" s="29">
        <f t="shared" si="6"/>
        <v>0</v>
      </c>
      <c r="G26" s="30">
        <v>0</v>
      </c>
      <c r="H26" s="31">
        <v>0</v>
      </c>
      <c r="I26" s="32">
        <v>0</v>
      </c>
      <c r="J26" s="77"/>
      <c r="K26" s="33"/>
      <c r="L26" s="34">
        <v>0</v>
      </c>
      <c r="M26" s="34">
        <v>0</v>
      </c>
      <c r="N26" s="62"/>
      <c r="O26" s="34">
        <v>0</v>
      </c>
      <c r="P26" s="34">
        <v>0</v>
      </c>
      <c r="Q26" s="34">
        <v>0</v>
      </c>
      <c r="R26" s="62"/>
      <c r="S26" s="37">
        <v>0</v>
      </c>
      <c r="T26" s="34">
        <v>0</v>
      </c>
      <c r="U26" s="34">
        <v>0</v>
      </c>
      <c r="V26" s="62"/>
      <c r="W26" s="38">
        <v>0</v>
      </c>
      <c r="X26" s="31">
        <v>0</v>
      </c>
      <c r="Y26" s="31">
        <v>0</v>
      </c>
      <c r="Z26" s="78"/>
      <c r="AA26" s="37">
        <v>0</v>
      </c>
      <c r="AB26" s="34">
        <v>0</v>
      </c>
      <c r="AC26" s="34">
        <v>0</v>
      </c>
      <c r="AD26" s="64"/>
      <c r="AE26" s="79"/>
      <c r="AF26" s="64"/>
      <c r="AG26" s="43">
        <f t="shared" si="0"/>
        <v>0</v>
      </c>
      <c r="AH26" s="44">
        <f t="shared" si="0"/>
        <v>0</v>
      </c>
      <c r="AI26" s="44">
        <f t="shared" si="0"/>
        <v>0</v>
      </c>
      <c r="AJ26" s="45">
        <f t="shared" si="0"/>
        <v>0</v>
      </c>
      <c r="AK26" s="80">
        <f t="shared" si="1"/>
        <v>0</v>
      </c>
      <c r="AL26" s="47">
        <v>1</v>
      </c>
      <c r="AM26" s="48">
        <f t="shared" si="7"/>
        <v>0</v>
      </c>
      <c r="AN26" s="48">
        <f t="shared" si="2"/>
        <v>0</v>
      </c>
      <c r="AO26" s="49">
        <f t="shared" si="8"/>
        <v>0</v>
      </c>
      <c r="AP26" s="49">
        <f t="shared" si="3"/>
        <v>0</v>
      </c>
      <c r="AQ26" s="50">
        <f t="shared" si="9"/>
        <v>0</v>
      </c>
      <c r="AR26" s="81"/>
      <c r="AS26" s="82"/>
      <c r="AT26" s="83"/>
      <c r="AU26" s="84"/>
      <c r="AV26" s="85"/>
      <c r="AW26" s="86"/>
      <c r="AX26" s="86"/>
      <c r="AY26" s="82"/>
      <c r="AZ26" s="87"/>
    </row>
    <row r="27" spans="1:52" ht="16.5" thickBot="1" x14ac:dyDescent="0.3">
      <c r="A27" s="74">
        <v>625</v>
      </c>
      <c r="B27" s="75" t="s">
        <v>37</v>
      </c>
      <c r="C27" s="76"/>
      <c r="D27" s="26">
        <f t="shared" si="4"/>
        <v>0</v>
      </c>
      <c r="E27" s="27">
        <f t="shared" si="5"/>
        <v>0</v>
      </c>
      <c r="F27" s="29">
        <f t="shared" si="6"/>
        <v>0</v>
      </c>
      <c r="G27" s="30">
        <v>0</v>
      </c>
      <c r="H27" s="31">
        <v>0</v>
      </c>
      <c r="I27" s="32">
        <v>0</v>
      </c>
      <c r="J27" s="77"/>
      <c r="K27" s="33"/>
      <c r="L27" s="34">
        <v>0</v>
      </c>
      <c r="M27" s="34">
        <v>0</v>
      </c>
      <c r="N27" s="62"/>
      <c r="O27" s="34">
        <v>0</v>
      </c>
      <c r="P27" s="34">
        <v>0</v>
      </c>
      <c r="Q27" s="34">
        <v>0</v>
      </c>
      <c r="R27" s="62"/>
      <c r="S27" s="37">
        <v>0</v>
      </c>
      <c r="T27" s="34">
        <v>0</v>
      </c>
      <c r="U27" s="34">
        <v>0</v>
      </c>
      <c r="V27" s="62"/>
      <c r="W27" s="38">
        <v>0</v>
      </c>
      <c r="X27" s="31">
        <v>0</v>
      </c>
      <c r="Y27" s="31">
        <v>0</v>
      </c>
      <c r="Z27" s="78"/>
      <c r="AA27" s="37">
        <v>0</v>
      </c>
      <c r="AB27" s="34">
        <v>0</v>
      </c>
      <c r="AC27" s="34">
        <v>0</v>
      </c>
      <c r="AD27" s="64"/>
      <c r="AE27" s="79"/>
      <c r="AF27" s="64"/>
      <c r="AG27" s="43">
        <f t="shared" si="0"/>
        <v>0</v>
      </c>
      <c r="AH27" s="44">
        <f t="shared" si="0"/>
        <v>0</v>
      </c>
      <c r="AI27" s="44">
        <f t="shared" si="0"/>
        <v>0</v>
      </c>
      <c r="AJ27" s="45">
        <f t="shared" si="0"/>
        <v>0</v>
      </c>
      <c r="AK27" s="80">
        <f t="shared" si="1"/>
        <v>0</v>
      </c>
      <c r="AL27" s="47">
        <v>1</v>
      </c>
      <c r="AM27" s="48">
        <f t="shared" si="7"/>
        <v>0</v>
      </c>
      <c r="AN27" s="48">
        <f t="shared" si="2"/>
        <v>0</v>
      </c>
      <c r="AO27" s="49">
        <f t="shared" si="8"/>
        <v>0</v>
      </c>
      <c r="AP27" s="49">
        <f t="shared" si="3"/>
        <v>0</v>
      </c>
      <c r="AQ27" s="50">
        <f t="shared" si="9"/>
        <v>0</v>
      </c>
      <c r="AR27" s="81"/>
      <c r="AS27" s="82"/>
      <c r="AT27" s="83"/>
      <c r="AU27" s="84"/>
      <c r="AV27" s="85"/>
      <c r="AW27" s="86"/>
      <c r="AX27" s="86"/>
      <c r="AY27" s="82"/>
      <c r="AZ27" s="87"/>
    </row>
    <row r="28" spans="1:52" ht="16.5" thickBot="1" x14ac:dyDescent="0.3">
      <c r="A28" s="74">
        <v>625</v>
      </c>
      <c r="B28" s="75" t="s">
        <v>43</v>
      </c>
      <c r="C28" s="76">
        <v>117</v>
      </c>
      <c r="D28" s="26">
        <f t="shared" si="4"/>
        <v>39</v>
      </c>
      <c r="E28" s="27">
        <f t="shared" si="5"/>
        <v>39</v>
      </c>
      <c r="F28" s="29">
        <f t="shared" si="6"/>
        <v>39</v>
      </c>
      <c r="G28" s="30">
        <v>5</v>
      </c>
      <c r="H28" s="31">
        <v>5</v>
      </c>
      <c r="I28" s="32">
        <v>10</v>
      </c>
      <c r="J28" s="77"/>
      <c r="K28" s="33"/>
      <c r="L28" s="34">
        <v>10</v>
      </c>
      <c r="M28" s="34">
        <v>15</v>
      </c>
      <c r="N28" s="62"/>
      <c r="O28" s="34">
        <v>4</v>
      </c>
      <c r="P28" s="34">
        <v>2</v>
      </c>
      <c r="Q28" s="34">
        <v>8</v>
      </c>
      <c r="R28" s="62"/>
      <c r="S28" s="37">
        <v>10</v>
      </c>
      <c r="T28" s="34">
        <v>5</v>
      </c>
      <c r="U28" s="34">
        <v>9</v>
      </c>
      <c r="V28" s="62"/>
      <c r="W28" s="38">
        <v>0</v>
      </c>
      <c r="X28" s="31">
        <v>7</v>
      </c>
      <c r="Y28" s="31">
        <v>8</v>
      </c>
      <c r="Z28" s="78"/>
      <c r="AA28" s="37">
        <v>0</v>
      </c>
      <c r="AB28" s="34">
        <v>1</v>
      </c>
      <c r="AC28" s="34">
        <v>3</v>
      </c>
      <c r="AD28" s="64"/>
      <c r="AE28" s="79"/>
      <c r="AF28" s="64"/>
      <c r="AG28" s="43">
        <f t="shared" si="0"/>
        <v>19</v>
      </c>
      <c r="AH28" s="44">
        <f t="shared" si="0"/>
        <v>30</v>
      </c>
      <c r="AI28" s="44">
        <f t="shared" si="0"/>
        <v>53</v>
      </c>
      <c r="AJ28" s="45">
        <f t="shared" si="0"/>
        <v>0</v>
      </c>
      <c r="AK28" s="80">
        <f t="shared" si="1"/>
        <v>102</v>
      </c>
      <c r="AL28" s="66">
        <v>1</v>
      </c>
      <c r="AM28" s="48">
        <f t="shared" si="7"/>
        <v>19</v>
      </c>
      <c r="AN28" s="48">
        <f t="shared" si="2"/>
        <v>30</v>
      </c>
      <c r="AO28" s="49">
        <f t="shared" si="8"/>
        <v>53</v>
      </c>
      <c r="AP28" s="49">
        <f t="shared" si="3"/>
        <v>0</v>
      </c>
      <c r="AQ28" s="50">
        <f t="shared" si="9"/>
        <v>6120</v>
      </c>
      <c r="AR28" s="81"/>
      <c r="AS28" s="82"/>
      <c r="AT28" s="83">
        <f>AK28*AS28</f>
        <v>0</v>
      </c>
      <c r="AU28" s="84">
        <f>AK28*AL28</f>
        <v>102</v>
      </c>
      <c r="AV28" s="85">
        <v>0</v>
      </c>
      <c r="AW28" s="86"/>
      <c r="AX28" s="86"/>
      <c r="AY28" s="82"/>
      <c r="AZ28" s="87"/>
    </row>
    <row r="29" spans="1:52" ht="16.5" thickBot="1" x14ac:dyDescent="0.3">
      <c r="A29" s="74">
        <v>625</v>
      </c>
      <c r="B29" s="75" t="s">
        <v>44</v>
      </c>
      <c r="C29" s="76"/>
      <c r="D29" s="26">
        <f t="shared" si="4"/>
        <v>0</v>
      </c>
      <c r="E29" s="27">
        <f t="shared" si="5"/>
        <v>0</v>
      </c>
      <c r="F29" s="29">
        <f t="shared" si="6"/>
        <v>0</v>
      </c>
      <c r="G29" s="30">
        <v>0</v>
      </c>
      <c r="H29" s="31">
        <v>0</v>
      </c>
      <c r="I29" s="32">
        <v>0</v>
      </c>
      <c r="J29" s="77"/>
      <c r="K29" s="33"/>
      <c r="L29" s="34">
        <v>0</v>
      </c>
      <c r="M29" s="34">
        <v>0</v>
      </c>
      <c r="N29" s="62"/>
      <c r="O29" s="34">
        <v>0</v>
      </c>
      <c r="P29" s="34">
        <v>0</v>
      </c>
      <c r="Q29" s="34">
        <v>0</v>
      </c>
      <c r="R29" s="62"/>
      <c r="S29" s="37">
        <v>0</v>
      </c>
      <c r="T29" s="34">
        <v>0</v>
      </c>
      <c r="U29" s="34">
        <v>0</v>
      </c>
      <c r="V29" s="62"/>
      <c r="W29" s="38">
        <v>0</v>
      </c>
      <c r="X29" s="31">
        <v>0</v>
      </c>
      <c r="Y29" s="31">
        <v>0</v>
      </c>
      <c r="Z29" s="78"/>
      <c r="AA29" s="37">
        <v>0</v>
      </c>
      <c r="AB29" s="34">
        <v>0</v>
      </c>
      <c r="AC29" s="34">
        <v>0</v>
      </c>
      <c r="AD29" s="64"/>
      <c r="AE29" s="79"/>
      <c r="AF29" s="64"/>
      <c r="AG29" s="43">
        <f t="shared" si="0"/>
        <v>0</v>
      </c>
      <c r="AH29" s="44">
        <f t="shared" si="0"/>
        <v>0</v>
      </c>
      <c r="AI29" s="44">
        <f t="shared" si="0"/>
        <v>0</v>
      </c>
      <c r="AJ29" s="45">
        <f t="shared" si="0"/>
        <v>0</v>
      </c>
      <c r="AK29" s="80">
        <f t="shared" si="1"/>
        <v>0</v>
      </c>
      <c r="AL29" s="47">
        <v>1</v>
      </c>
      <c r="AM29" s="48">
        <f t="shared" si="7"/>
        <v>0</v>
      </c>
      <c r="AN29" s="48">
        <f t="shared" si="2"/>
        <v>0</v>
      </c>
      <c r="AO29" s="49">
        <f t="shared" si="8"/>
        <v>0</v>
      </c>
      <c r="AP29" s="49">
        <f t="shared" si="3"/>
        <v>0</v>
      </c>
      <c r="AQ29" s="50">
        <f t="shared" si="9"/>
        <v>0</v>
      </c>
      <c r="AR29" s="81"/>
      <c r="AS29" s="82"/>
      <c r="AT29" s="83"/>
      <c r="AU29" s="84"/>
      <c r="AV29" s="85"/>
      <c r="AW29" s="86"/>
      <c r="AX29" s="86"/>
      <c r="AY29" s="82"/>
      <c r="AZ29" s="87"/>
    </row>
    <row r="30" spans="1:52" ht="16.5" thickBot="1" x14ac:dyDescent="0.3">
      <c r="A30" s="74">
        <v>625</v>
      </c>
      <c r="B30" s="75" t="s">
        <v>40</v>
      </c>
      <c r="C30" s="76"/>
      <c r="D30" s="26">
        <f t="shared" si="4"/>
        <v>0</v>
      </c>
      <c r="E30" s="27">
        <f t="shared" si="5"/>
        <v>0</v>
      </c>
      <c r="F30" s="29">
        <f t="shared" si="6"/>
        <v>0</v>
      </c>
      <c r="G30" s="30">
        <v>0</v>
      </c>
      <c r="H30" s="31">
        <v>0</v>
      </c>
      <c r="I30" s="32">
        <v>0</v>
      </c>
      <c r="J30" s="77"/>
      <c r="K30" s="33"/>
      <c r="L30" s="34">
        <v>0</v>
      </c>
      <c r="M30" s="34">
        <v>0</v>
      </c>
      <c r="N30" s="62"/>
      <c r="O30" s="34">
        <v>0</v>
      </c>
      <c r="P30" s="34">
        <v>0</v>
      </c>
      <c r="Q30" s="34">
        <v>0</v>
      </c>
      <c r="R30" s="62"/>
      <c r="S30" s="37">
        <v>0</v>
      </c>
      <c r="T30" s="34">
        <v>0</v>
      </c>
      <c r="U30" s="34">
        <v>0</v>
      </c>
      <c r="V30" s="62"/>
      <c r="W30" s="38">
        <v>0</v>
      </c>
      <c r="X30" s="31">
        <v>0</v>
      </c>
      <c r="Y30" s="31">
        <v>0</v>
      </c>
      <c r="Z30" s="78"/>
      <c r="AA30" s="37">
        <v>0</v>
      </c>
      <c r="AB30" s="34">
        <v>0</v>
      </c>
      <c r="AC30" s="34">
        <v>0</v>
      </c>
      <c r="AD30" s="64"/>
      <c r="AE30" s="79"/>
      <c r="AF30" s="64"/>
      <c r="AG30" s="43">
        <f t="shared" si="0"/>
        <v>0</v>
      </c>
      <c r="AH30" s="44">
        <f t="shared" si="0"/>
        <v>0</v>
      </c>
      <c r="AI30" s="44">
        <f t="shared" si="0"/>
        <v>0</v>
      </c>
      <c r="AJ30" s="45">
        <f t="shared" si="0"/>
        <v>0</v>
      </c>
      <c r="AK30" s="80">
        <f t="shared" si="1"/>
        <v>0</v>
      </c>
      <c r="AL30" s="47">
        <v>1</v>
      </c>
      <c r="AM30" s="48">
        <f t="shared" si="7"/>
        <v>0</v>
      </c>
      <c r="AN30" s="48">
        <f t="shared" si="2"/>
        <v>0</v>
      </c>
      <c r="AO30" s="49">
        <f t="shared" si="8"/>
        <v>0</v>
      </c>
      <c r="AP30" s="49">
        <f t="shared" si="3"/>
        <v>0</v>
      </c>
      <c r="AQ30" s="50">
        <f t="shared" si="9"/>
        <v>0</v>
      </c>
      <c r="AR30" s="81">
        <v>50.64</v>
      </c>
      <c r="AS30" s="82">
        <v>9.36</v>
      </c>
      <c r="AT30" s="83">
        <f t="shared" ref="AT30:AT48" si="13">AK30*AS30</f>
        <v>0</v>
      </c>
      <c r="AU30" s="84">
        <f t="shared" ref="AU30:AU53" si="14">AK30*AL30</f>
        <v>0</v>
      </c>
      <c r="AV30" s="85">
        <v>0</v>
      </c>
      <c r="AW30" s="86"/>
      <c r="AX30" s="86"/>
      <c r="AY30" s="82"/>
      <c r="AZ30" s="87">
        <f t="shared" ref="AZ30:AZ42" si="15">AT30-AU30-AW30-AX30-AY30</f>
        <v>0</v>
      </c>
    </row>
    <row r="31" spans="1:52" ht="16.5" thickBot="1" x14ac:dyDescent="0.3">
      <c r="A31" s="58">
        <v>400</v>
      </c>
      <c r="B31" s="59" t="s">
        <v>25</v>
      </c>
      <c r="C31" s="76"/>
      <c r="D31" s="26">
        <f t="shared" si="4"/>
        <v>0</v>
      </c>
      <c r="E31" s="27">
        <f t="shared" si="5"/>
        <v>0</v>
      </c>
      <c r="F31" s="29">
        <f t="shared" si="6"/>
        <v>0</v>
      </c>
      <c r="G31" s="30">
        <v>0</v>
      </c>
      <c r="H31" s="31">
        <v>0</v>
      </c>
      <c r="I31" s="32">
        <v>0</v>
      </c>
      <c r="J31" s="77"/>
      <c r="K31" s="33"/>
      <c r="L31" s="34">
        <v>0</v>
      </c>
      <c r="M31" s="34">
        <v>0</v>
      </c>
      <c r="N31" s="62"/>
      <c r="O31" s="34">
        <v>0</v>
      </c>
      <c r="P31" s="34">
        <v>0</v>
      </c>
      <c r="Q31" s="34">
        <v>0</v>
      </c>
      <c r="R31" s="62"/>
      <c r="S31" s="37">
        <v>0</v>
      </c>
      <c r="T31" s="34">
        <v>0</v>
      </c>
      <c r="U31" s="34">
        <v>0</v>
      </c>
      <c r="V31" s="62"/>
      <c r="W31" s="38">
        <v>0</v>
      </c>
      <c r="X31" s="31">
        <v>0</v>
      </c>
      <c r="Y31" s="31">
        <v>0</v>
      </c>
      <c r="Z31" s="78"/>
      <c r="AA31" s="37">
        <v>0</v>
      </c>
      <c r="AB31" s="34">
        <v>0</v>
      </c>
      <c r="AC31" s="34">
        <v>0</v>
      </c>
      <c r="AD31" s="64"/>
      <c r="AE31" s="79"/>
      <c r="AF31" s="64"/>
      <c r="AG31" s="43">
        <f t="shared" si="0"/>
        <v>0</v>
      </c>
      <c r="AH31" s="44">
        <f t="shared" si="0"/>
        <v>0</v>
      </c>
      <c r="AI31" s="44">
        <f t="shared" si="0"/>
        <v>0</v>
      </c>
      <c r="AJ31" s="45">
        <f t="shared" si="0"/>
        <v>0</v>
      </c>
      <c r="AK31" s="80">
        <f t="shared" si="1"/>
        <v>0</v>
      </c>
      <c r="AL31" s="66">
        <v>1.3</v>
      </c>
      <c r="AM31" s="48">
        <f t="shared" si="7"/>
        <v>0</v>
      </c>
      <c r="AN31" s="48">
        <f t="shared" si="2"/>
        <v>0</v>
      </c>
      <c r="AO31" s="49">
        <f t="shared" si="8"/>
        <v>0</v>
      </c>
      <c r="AP31" s="49">
        <f t="shared" si="3"/>
        <v>0</v>
      </c>
      <c r="AQ31" s="50">
        <f t="shared" si="9"/>
        <v>0</v>
      </c>
      <c r="AR31" s="81">
        <v>34.479999999999997</v>
      </c>
      <c r="AS31" s="82">
        <v>5.5200000000000031</v>
      </c>
      <c r="AT31" s="83">
        <f t="shared" si="13"/>
        <v>0</v>
      </c>
      <c r="AU31" s="84">
        <f t="shared" si="14"/>
        <v>0</v>
      </c>
      <c r="AV31" s="85">
        <v>0</v>
      </c>
      <c r="AW31" s="86"/>
      <c r="AX31" s="86"/>
      <c r="AY31" s="82"/>
      <c r="AZ31" s="87">
        <f t="shared" si="15"/>
        <v>0</v>
      </c>
    </row>
    <row r="32" spans="1:52" ht="16.5" thickBot="1" x14ac:dyDescent="0.3">
      <c r="A32" s="74">
        <v>400</v>
      </c>
      <c r="B32" s="75" t="s">
        <v>28</v>
      </c>
      <c r="C32" s="76"/>
      <c r="D32" s="26">
        <f t="shared" si="4"/>
        <v>0</v>
      </c>
      <c r="E32" s="27">
        <f t="shared" si="5"/>
        <v>0</v>
      </c>
      <c r="F32" s="29">
        <f t="shared" si="6"/>
        <v>0</v>
      </c>
      <c r="G32" s="30">
        <v>0</v>
      </c>
      <c r="H32" s="31">
        <v>0</v>
      </c>
      <c r="I32" s="32">
        <v>0</v>
      </c>
      <c r="J32" s="77"/>
      <c r="K32" s="33"/>
      <c r="L32" s="34">
        <v>0</v>
      </c>
      <c r="M32" s="34">
        <v>0</v>
      </c>
      <c r="N32" s="62"/>
      <c r="O32" s="34">
        <v>0</v>
      </c>
      <c r="P32" s="34">
        <v>0</v>
      </c>
      <c r="Q32" s="34">
        <v>0</v>
      </c>
      <c r="R32" s="62"/>
      <c r="S32" s="37">
        <v>0</v>
      </c>
      <c r="T32" s="34">
        <v>0</v>
      </c>
      <c r="U32" s="34">
        <v>0</v>
      </c>
      <c r="V32" s="62"/>
      <c r="W32" s="38">
        <v>0</v>
      </c>
      <c r="X32" s="31">
        <v>0</v>
      </c>
      <c r="Y32" s="31">
        <v>0</v>
      </c>
      <c r="Z32" s="78"/>
      <c r="AA32" s="37">
        <v>0</v>
      </c>
      <c r="AB32" s="34">
        <v>0</v>
      </c>
      <c r="AC32" s="34">
        <v>0</v>
      </c>
      <c r="AD32" s="64"/>
      <c r="AE32" s="79"/>
      <c r="AF32" s="64"/>
      <c r="AG32" s="43">
        <f t="shared" si="0"/>
        <v>0</v>
      </c>
      <c r="AH32" s="44">
        <f t="shared" si="0"/>
        <v>0</v>
      </c>
      <c r="AI32" s="44">
        <f t="shared" si="0"/>
        <v>0</v>
      </c>
      <c r="AJ32" s="45">
        <f t="shared" si="0"/>
        <v>0</v>
      </c>
      <c r="AK32" s="80">
        <f t="shared" si="1"/>
        <v>0</v>
      </c>
      <c r="AL32" s="66">
        <v>0.65</v>
      </c>
      <c r="AM32" s="48">
        <f t="shared" si="7"/>
        <v>0</v>
      </c>
      <c r="AN32" s="48">
        <f t="shared" si="2"/>
        <v>0</v>
      </c>
      <c r="AO32" s="49">
        <f t="shared" si="8"/>
        <v>0</v>
      </c>
      <c r="AP32" s="49">
        <f t="shared" si="3"/>
        <v>0</v>
      </c>
      <c r="AQ32" s="50">
        <f t="shared" si="9"/>
        <v>0</v>
      </c>
      <c r="AR32" s="81">
        <v>34.479999999999997</v>
      </c>
      <c r="AS32" s="82">
        <v>5.5200000000000031</v>
      </c>
      <c r="AT32" s="83">
        <f t="shared" si="13"/>
        <v>0</v>
      </c>
      <c r="AU32" s="84">
        <f t="shared" si="14"/>
        <v>0</v>
      </c>
      <c r="AV32" s="85">
        <v>0</v>
      </c>
      <c r="AW32" s="86"/>
      <c r="AX32" s="86"/>
      <c r="AY32" s="82"/>
      <c r="AZ32" s="87">
        <f t="shared" si="15"/>
        <v>0</v>
      </c>
    </row>
    <row r="33" spans="1:52" ht="16.5" thickBot="1" x14ac:dyDescent="0.3">
      <c r="A33" s="74">
        <v>400</v>
      </c>
      <c r="B33" s="75" t="s">
        <v>30</v>
      </c>
      <c r="C33" s="76"/>
      <c r="D33" s="26">
        <f t="shared" si="4"/>
        <v>0</v>
      </c>
      <c r="E33" s="27">
        <f t="shared" si="5"/>
        <v>0</v>
      </c>
      <c r="F33" s="29">
        <f t="shared" si="6"/>
        <v>0</v>
      </c>
      <c r="G33" s="30">
        <v>0</v>
      </c>
      <c r="H33" s="31">
        <v>0</v>
      </c>
      <c r="I33" s="32">
        <v>0</v>
      </c>
      <c r="J33" s="77"/>
      <c r="K33" s="33"/>
      <c r="L33" s="34">
        <v>0</v>
      </c>
      <c r="M33" s="34">
        <v>0</v>
      </c>
      <c r="N33" s="62"/>
      <c r="O33" s="34">
        <v>0</v>
      </c>
      <c r="P33" s="34">
        <v>0</v>
      </c>
      <c r="Q33" s="34">
        <v>0</v>
      </c>
      <c r="R33" s="62"/>
      <c r="S33" s="37">
        <v>0</v>
      </c>
      <c r="T33" s="34">
        <v>0</v>
      </c>
      <c r="U33" s="34">
        <v>0</v>
      </c>
      <c r="V33" s="62"/>
      <c r="W33" s="38">
        <v>0</v>
      </c>
      <c r="X33" s="31">
        <v>0</v>
      </c>
      <c r="Y33" s="31">
        <v>0</v>
      </c>
      <c r="Z33" s="78"/>
      <c r="AA33" s="37">
        <v>0</v>
      </c>
      <c r="AB33" s="34">
        <v>0</v>
      </c>
      <c r="AC33" s="34">
        <v>0</v>
      </c>
      <c r="AD33" s="64"/>
      <c r="AE33" s="79"/>
      <c r="AF33" s="64"/>
      <c r="AG33" s="43">
        <f t="shared" si="0"/>
        <v>0</v>
      </c>
      <c r="AH33" s="44">
        <f t="shared" si="0"/>
        <v>0</v>
      </c>
      <c r="AI33" s="44">
        <f t="shared" si="0"/>
        <v>0</v>
      </c>
      <c r="AJ33" s="45">
        <f t="shared" si="0"/>
        <v>0</v>
      </c>
      <c r="AK33" s="80">
        <f t="shared" si="1"/>
        <v>0</v>
      </c>
      <c r="AL33" s="66">
        <v>0.65</v>
      </c>
      <c r="AM33" s="48">
        <f t="shared" si="7"/>
        <v>0</v>
      </c>
      <c r="AN33" s="48">
        <f t="shared" si="2"/>
        <v>0</v>
      </c>
      <c r="AO33" s="49">
        <f t="shared" si="8"/>
        <v>0</v>
      </c>
      <c r="AP33" s="49">
        <f t="shared" si="3"/>
        <v>0</v>
      </c>
      <c r="AQ33" s="50">
        <f t="shared" si="9"/>
        <v>0</v>
      </c>
      <c r="AR33" s="81">
        <v>34.479999999999997</v>
      </c>
      <c r="AS33" s="82">
        <v>5.5200000000000031</v>
      </c>
      <c r="AT33" s="83">
        <f t="shared" si="13"/>
        <v>0</v>
      </c>
      <c r="AU33" s="84">
        <f t="shared" si="14"/>
        <v>0</v>
      </c>
      <c r="AV33" s="85">
        <v>0</v>
      </c>
      <c r="AW33" s="86"/>
      <c r="AX33" s="86"/>
      <c r="AY33" s="82"/>
      <c r="AZ33" s="87">
        <f t="shared" si="15"/>
        <v>0</v>
      </c>
    </row>
    <row r="34" spans="1:52" ht="16.5" thickBot="1" x14ac:dyDescent="0.3">
      <c r="A34" s="74">
        <v>360</v>
      </c>
      <c r="B34" s="75" t="s">
        <v>45</v>
      </c>
      <c r="C34" s="76"/>
      <c r="D34" s="26">
        <f t="shared" si="4"/>
        <v>0</v>
      </c>
      <c r="E34" s="27">
        <f t="shared" si="5"/>
        <v>0</v>
      </c>
      <c r="F34" s="29">
        <f t="shared" si="6"/>
        <v>0</v>
      </c>
      <c r="G34" s="30">
        <v>0</v>
      </c>
      <c r="H34" s="31">
        <v>0</v>
      </c>
      <c r="I34" s="32">
        <v>0</v>
      </c>
      <c r="J34" s="77"/>
      <c r="K34" s="33"/>
      <c r="L34" s="34">
        <v>0</v>
      </c>
      <c r="M34" s="34">
        <v>0</v>
      </c>
      <c r="N34" s="62"/>
      <c r="O34" s="34">
        <v>0</v>
      </c>
      <c r="P34" s="34">
        <v>0</v>
      </c>
      <c r="Q34" s="34">
        <v>0</v>
      </c>
      <c r="R34" s="62"/>
      <c r="S34" s="37">
        <v>0</v>
      </c>
      <c r="T34" s="34">
        <v>0</v>
      </c>
      <c r="U34" s="34">
        <v>0</v>
      </c>
      <c r="V34" s="62"/>
      <c r="W34" s="38">
        <v>0</v>
      </c>
      <c r="X34" s="31">
        <v>0</v>
      </c>
      <c r="Y34" s="31">
        <v>0</v>
      </c>
      <c r="Z34" s="78"/>
      <c r="AA34" s="37">
        <v>0</v>
      </c>
      <c r="AB34" s="34">
        <v>0</v>
      </c>
      <c r="AC34" s="34">
        <v>0</v>
      </c>
      <c r="AD34" s="64"/>
      <c r="AE34" s="79"/>
      <c r="AF34" s="64"/>
      <c r="AG34" s="43">
        <f t="shared" si="0"/>
        <v>0</v>
      </c>
      <c r="AH34" s="44">
        <f t="shared" si="0"/>
        <v>0</v>
      </c>
      <c r="AI34" s="44">
        <f t="shared" si="0"/>
        <v>0</v>
      </c>
      <c r="AJ34" s="45">
        <f t="shared" si="0"/>
        <v>0</v>
      </c>
      <c r="AK34" s="80">
        <f t="shared" si="1"/>
        <v>0</v>
      </c>
      <c r="AL34" s="66">
        <v>0.65</v>
      </c>
      <c r="AM34" s="48">
        <f t="shared" si="7"/>
        <v>0</v>
      </c>
      <c r="AN34" s="48">
        <f t="shared" si="2"/>
        <v>0</v>
      </c>
      <c r="AO34" s="49">
        <f t="shared" si="8"/>
        <v>0</v>
      </c>
      <c r="AP34" s="49">
        <f t="shared" si="3"/>
        <v>0</v>
      </c>
      <c r="AQ34" s="50">
        <f t="shared" si="9"/>
        <v>0</v>
      </c>
      <c r="AR34" s="81">
        <v>34.479999999999997</v>
      </c>
      <c r="AS34" s="82">
        <v>5.5200000000000031</v>
      </c>
      <c r="AT34" s="83">
        <f t="shared" si="13"/>
        <v>0</v>
      </c>
      <c r="AU34" s="84">
        <f t="shared" si="14"/>
        <v>0</v>
      </c>
      <c r="AV34" s="85">
        <v>0</v>
      </c>
      <c r="AW34" s="86"/>
      <c r="AX34" s="86"/>
      <c r="AY34" s="82"/>
      <c r="AZ34" s="87">
        <f t="shared" si="15"/>
        <v>0</v>
      </c>
    </row>
    <row r="35" spans="1:52" ht="16.5" thickBot="1" x14ac:dyDescent="0.3">
      <c r="A35" s="74">
        <v>360</v>
      </c>
      <c r="B35" s="75" t="s">
        <v>46</v>
      </c>
      <c r="C35" s="76"/>
      <c r="D35" s="26">
        <f t="shared" si="4"/>
        <v>0</v>
      </c>
      <c r="E35" s="27">
        <f t="shared" si="5"/>
        <v>0</v>
      </c>
      <c r="F35" s="29">
        <f t="shared" si="6"/>
        <v>0</v>
      </c>
      <c r="G35" s="30">
        <v>2</v>
      </c>
      <c r="H35" s="31">
        <v>5</v>
      </c>
      <c r="I35" s="32">
        <v>3</v>
      </c>
      <c r="J35" s="77"/>
      <c r="K35" s="33"/>
      <c r="L35" s="34">
        <v>1</v>
      </c>
      <c r="M35" s="34">
        <v>5</v>
      </c>
      <c r="N35" s="62"/>
      <c r="O35" s="34">
        <v>7</v>
      </c>
      <c r="P35" s="34">
        <v>0</v>
      </c>
      <c r="Q35" s="34">
        <v>5</v>
      </c>
      <c r="R35" s="62"/>
      <c r="S35" s="37">
        <v>2</v>
      </c>
      <c r="T35" s="34">
        <v>0</v>
      </c>
      <c r="U35" s="34">
        <v>12</v>
      </c>
      <c r="V35" s="62"/>
      <c r="W35" s="38">
        <v>0</v>
      </c>
      <c r="X35" s="31">
        <v>1</v>
      </c>
      <c r="Y35" s="31">
        <v>3</v>
      </c>
      <c r="Z35" s="78"/>
      <c r="AA35" s="37">
        <v>0</v>
      </c>
      <c r="AB35" s="34">
        <v>0</v>
      </c>
      <c r="AC35" s="34">
        <v>0</v>
      </c>
      <c r="AD35" s="64"/>
      <c r="AE35" s="79"/>
      <c r="AF35" s="64"/>
      <c r="AG35" s="43">
        <f t="shared" si="0"/>
        <v>11</v>
      </c>
      <c r="AH35" s="44">
        <f t="shared" si="0"/>
        <v>7</v>
      </c>
      <c r="AI35" s="44">
        <f t="shared" si="0"/>
        <v>28</v>
      </c>
      <c r="AJ35" s="45">
        <f t="shared" si="0"/>
        <v>0</v>
      </c>
      <c r="AK35" s="80">
        <f t="shared" si="1"/>
        <v>46</v>
      </c>
      <c r="AL35" s="47">
        <v>0.65</v>
      </c>
      <c r="AM35" s="48">
        <f t="shared" si="7"/>
        <v>7.15</v>
      </c>
      <c r="AN35" s="48">
        <f t="shared" si="2"/>
        <v>4.55</v>
      </c>
      <c r="AO35" s="49">
        <f t="shared" si="8"/>
        <v>18.2</v>
      </c>
      <c r="AP35" s="49">
        <f t="shared" si="3"/>
        <v>0</v>
      </c>
      <c r="AQ35" s="50">
        <f t="shared" si="9"/>
        <v>2760</v>
      </c>
      <c r="AR35" s="81">
        <v>34.479999999999997</v>
      </c>
      <c r="AS35" s="82">
        <v>5.5200000000000031</v>
      </c>
      <c r="AT35" s="83">
        <f t="shared" si="13"/>
        <v>253.92000000000013</v>
      </c>
      <c r="AU35" s="84">
        <f t="shared" si="14"/>
        <v>29.900000000000002</v>
      </c>
      <c r="AV35" s="85">
        <v>0</v>
      </c>
      <c r="AW35" s="86"/>
      <c r="AX35" s="86"/>
      <c r="AY35" s="82"/>
      <c r="AZ35" s="87">
        <f t="shared" si="15"/>
        <v>224.02000000000012</v>
      </c>
    </row>
    <row r="36" spans="1:52" ht="16.5" thickBot="1" x14ac:dyDescent="0.3">
      <c r="A36" s="74">
        <v>400</v>
      </c>
      <c r="B36" s="75" t="s">
        <v>47</v>
      </c>
      <c r="C36" s="76"/>
      <c r="D36" s="26">
        <f t="shared" si="4"/>
        <v>0</v>
      </c>
      <c r="E36" s="27">
        <f t="shared" si="5"/>
        <v>0</v>
      </c>
      <c r="F36" s="29">
        <f t="shared" si="6"/>
        <v>0</v>
      </c>
      <c r="G36" s="30">
        <v>0</v>
      </c>
      <c r="H36" s="31">
        <v>0</v>
      </c>
      <c r="I36" s="32">
        <v>0</v>
      </c>
      <c r="J36" s="77"/>
      <c r="K36" s="33"/>
      <c r="L36" s="34">
        <v>0</v>
      </c>
      <c r="M36" s="34">
        <v>0</v>
      </c>
      <c r="N36" s="62"/>
      <c r="O36" s="34">
        <v>0</v>
      </c>
      <c r="P36" s="34">
        <v>0</v>
      </c>
      <c r="Q36" s="34">
        <v>0</v>
      </c>
      <c r="R36" s="62"/>
      <c r="S36" s="37">
        <v>0</v>
      </c>
      <c r="T36" s="34">
        <v>0</v>
      </c>
      <c r="U36" s="34">
        <v>0</v>
      </c>
      <c r="V36" s="62"/>
      <c r="W36" s="38">
        <v>0</v>
      </c>
      <c r="X36" s="31">
        <v>0</v>
      </c>
      <c r="Y36" s="31">
        <v>0</v>
      </c>
      <c r="Z36" s="78"/>
      <c r="AA36" s="37">
        <v>0</v>
      </c>
      <c r="AB36" s="34">
        <v>0</v>
      </c>
      <c r="AC36" s="34">
        <v>0</v>
      </c>
      <c r="AD36" s="64"/>
      <c r="AE36" s="79"/>
      <c r="AF36" s="64"/>
      <c r="AG36" s="43">
        <f t="shared" ref="AG36:AJ99" si="16">G36+K36+O36+S36+W36+AA36</f>
        <v>0</v>
      </c>
      <c r="AH36" s="44">
        <f t="shared" si="16"/>
        <v>0</v>
      </c>
      <c r="AI36" s="44">
        <f t="shared" si="16"/>
        <v>0</v>
      </c>
      <c r="AJ36" s="45">
        <f t="shared" si="16"/>
        <v>0</v>
      </c>
      <c r="AK36" s="80">
        <f t="shared" si="1"/>
        <v>0</v>
      </c>
      <c r="AL36" s="47">
        <v>0.75</v>
      </c>
      <c r="AM36" s="48">
        <f t="shared" si="7"/>
        <v>0</v>
      </c>
      <c r="AN36" s="48">
        <f t="shared" si="2"/>
        <v>0</v>
      </c>
      <c r="AO36" s="49">
        <f t="shared" si="8"/>
        <v>0</v>
      </c>
      <c r="AP36" s="49">
        <f t="shared" si="3"/>
        <v>0</v>
      </c>
      <c r="AQ36" s="50">
        <f t="shared" si="9"/>
        <v>0</v>
      </c>
      <c r="AR36" s="81">
        <v>34.479999999999997</v>
      </c>
      <c r="AS36" s="82">
        <v>5.5200000000000031</v>
      </c>
      <c r="AT36" s="83">
        <f t="shared" si="13"/>
        <v>0</v>
      </c>
      <c r="AU36" s="84">
        <f t="shared" si="14"/>
        <v>0</v>
      </c>
      <c r="AV36" s="85">
        <v>0</v>
      </c>
      <c r="AW36" s="86"/>
      <c r="AX36" s="86"/>
      <c r="AY36" s="82"/>
      <c r="AZ36" s="87">
        <f t="shared" si="15"/>
        <v>0</v>
      </c>
    </row>
    <row r="37" spans="1:52" ht="16.5" thickBot="1" x14ac:dyDescent="0.3">
      <c r="A37" s="74">
        <v>400</v>
      </c>
      <c r="B37" s="75" t="s">
        <v>34</v>
      </c>
      <c r="C37" s="76">
        <v>516</v>
      </c>
      <c r="D37" s="26">
        <f t="shared" si="4"/>
        <v>172</v>
      </c>
      <c r="E37" s="27">
        <f t="shared" si="5"/>
        <v>172</v>
      </c>
      <c r="F37" s="29">
        <f t="shared" si="6"/>
        <v>172</v>
      </c>
      <c r="G37" s="30">
        <v>0</v>
      </c>
      <c r="H37" s="31">
        <v>0</v>
      </c>
      <c r="I37" s="32">
        <v>0</v>
      </c>
      <c r="J37" s="77"/>
      <c r="K37" s="33"/>
      <c r="L37" s="34">
        <v>0</v>
      </c>
      <c r="M37" s="34">
        <v>0</v>
      </c>
      <c r="N37" s="62"/>
      <c r="O37" s="34">
        <v>0</v>
      </c>
      <c r="P37" s="34">
        <v>0</v>
      </c>
      <c r="Q37" s="34">
        <v>0</v>
      </c>
      <c r="R37" s="62"/>
      <c r="S37" s="37">
        <v>0</v>
      </c>
      <c r="T37" s="34">
        <v>0</v>
      </c>
      <c r="U37" s="34">
        <v>0</v>
      </c>
      <c r="V37" s="62"/>
      <c r="W37" s="38">
        <v>0</v>
      </c>
      <c r="X37" s="31">
        <v>0</v>
      </c>
      <c r="Y37" s="31">
        <v>0</v>
      </c>
      <c r="Z37" s="78"/>
      <c r="AA37" s="37">
        <v>0</v>
      </c>
      <c r="AB37" s="34">
        <v>0</v>
      </c>
      <c r="AC37" s="34">
        <v>0</v>
      </c>
      <c r="AD37" s="64"/>
      <c r="AE37" s="79"/>
      <c r="AF37" s="64"/>
      <c r="AG37" s="43">
        <f t="shared" si="16"/>
        <v>0</v>
      </c>
      <c r="AH37" s="44">
        <f t="shared" si="16"/>
        <v>0</v>
      </c>
      <c r="AI37" s="44">
        <f t="shared" si="16"/>
        <v>0</v>
      </c>
      <c r="AJ37" s="45">
        <f t="shared" si="16"/>
        <v>0</v>
      </c>
      <c r="AK37" s="80">
        <f t="shared" si="1"/>
        <v>0</v>
      </c>
      <c r="AL37" s="66">
        <v>0.65</v>
      </c>
      <c r="AM37" s="48">
        <f t="shared" si="7"/>
        <v>0</v>
      </c>
      <c r="AN37" s="48">
        <f t="shared" si="2"/>
        <v>0</v>
      </c>
      <c r="AO37" s="49">
        <f t="shared" si="8"/>
        <v>0</v>
      </c>
      <c r="AP37" s="49">
        <f t="shared" si="3"/>
        <v>0</v>
      </c>
      <c r="AQ37" s="50">
        <f t="shared" si="9"/>
        <v>0</v>
      </c>
      <c r="AR37" s="81">
        <v>34.44</v>
      </c>
      <c r="AS37" s="82">
        <v>5.5600000000000023</v>
      </c>
      <c r="AT37" s="83">
        <f t="shared" si="13"/>
        <v>0</v>
      </c>
      <c r="AU37" s="84">
        <f t="shared" si="14"/>
        <v>0</v>
      </c>
      <c r="AV37" s="85">
        <v>0</v>
      </c>
      <c r="AW37" s="86"/>
      <c r="AX37" s="86"/>
      <c r="AY37" s="82"/>
      <c r="AZ37" s="87">
        <f t="shared" si="15"/>
        <v>0</v>
      </c>
    </row>
    <row r="38" spans="1:52" ht="16.5" thickBot="1" x14ac:dyDescent="0.3">
      <c r="A38" s="74">
        <v>400</v>
      </c>
      <c r="B38" s="75" t="s">
        <v>27</v>
      </c>
      <c r="C38" s="76">
        <v>770</v>
      </c>
      <c r="D38" s="26">
        <f t="shared" si="4"/>
        <v>256.66666666666669</v>
      </c>
      <c r="E38" s="27">
        <f t="shared" si="5"/>
        <v>256.66666666666669</v>
      </c>
      <c r="F38" s="29">
        <f t="shared" si="6"/>
        <v>256.66666666666669</v>
      </c>
      <c r="G38" s="30">
        <v>0</v>
      </c>
      <c r="H38" s="31">
        <v>0</v>
      </c>
      <c r="I38" s="32">
        <v>0</v>
      </c>
      <c r="J38" s="77"/>
      <c r="K38" s="33"/>
      <c r="L38" s="34">
        <v>0</v>
      </c>
      <c r="M38" s="34">
        <v>0</v>
      </c>
      <c r="N38" s="62"/>
      <c r="O38" s="34">
        <v>0</v>
      </c>
      <c r="P38" s="34">
        <v>0</v>
      </c>
      <c r="Q38" s="34">
        <v>0</v>
      </c>
      <c r="R38" s="62"/>
      <c r="S38" s="37">
        <v>85</v>
      </c>
      <c r="T38" s="34">
        <v>7</v>
      </c>
      <c r="U38" s="34">
        <v>30</v>
      </c>
      <c r="V38" s="62"/>
      <c r="W38" s="38">
        <v>57</v>
      </c>
      <c r="X38" s="31">
        <v>5</v>
      </c>
      <c r="Y38" s="31">
        <v>15</v>
      </c>
      <c r="Z38" s="78"/>
      <c r="AA38" s="37">
        <v>31</v>
      </c>
      <c r="AB38" s="34">
        <v>5</v>
      </c>
      <c r="AC38" s="34">
        <v>21</v>
      </c>
      <c r="AD38" s="64"/>
      <c r="AE38" s="79"/>
      <c r="AF38" s="64"/>
      <c r="AG38" s="43">
        <f t="shared" si="16"/>
        <v>173</v>
      </c>
      <c r="AH38" s="44">
        <f t="shared" si="16"/>
        <v>17</v>
      </c>
      <c r="AI38" s="44">
        <f t="shared" si="16"/>
        <v>66</v>
      </c>
      <c r="AJ38" s="45">
        <f t="shared" si="16"/>
        <v>0</v>
      </c>
      <c r="AK38" s="80">
        <f t="shared" si="1"/>
        <v>256</v>
      </c>
      <c r="AL38" s="66">
        <v>0.65</v>
      </c>
      <c r="AM38" s="48">
        <f t="shared" si="7"/>
        <v>112.45</v>
      </c>
      <c r="AN38" s="48">
        <f t="shared" si="2"/>
        <v>11.05</v>
      </c>
      <c r="AO38" s="49">
        <f t="shared" si="8"/>
        <v>42.9</v>
      </c>
      <c r="AP38" s="49">
        <f t="shared" si="3"/>
        <v>0</v>
      </c>
      <c r="AQ38" s="50">
        <f t="shared" si="9"/>
        <v>15360</v>
      </c>
      <c r="AR38" s="81">
        <v>34.479999999999997</v>
      </c>
      <c r="AS38" s="82">
        <v>5.5200000000000031</v>
      </c>
      <c r="AT38" s="83">
        <f t="shared" si="13"/>
        <v>1413.1200000000008</v>
      </c>
      <c r="AU38" s="84">
        <f t="shared" si="14"/>
        <v>166.4</v>
      </c>
      <c r="AV38" s="85">
        <v>0</v>
      </c>
      <c r="AW38" s="86"/>
      <c r="AX38" s="86"/>
      <c r="AY38" s="82"/>
      <c r="AZ38" s="87">
        <f t="shared" si="15"/>
        <v>1246.7200000000007</v>
      </c>
    </row>
    <row r="39" spans="1:52" ht="16.5" thickBot="1" x14ac:dyDescent="0.3">
      <c r="A39" s="74">
        <v>400</v>
      </c>
      <c r="B39" s="75" t="s">
        <v>40</v>
      </c>
      <c r="C39" s="76"/>
      <c r="D39" s="26">
        <f t="shared" si="4"/>
        <v>0</v>
      </c>
      <c r="E39" s="27">
        <f t="shared" si="5"/>
        <v>0</v>
      </c>
      <c r="F39" s="29">
        <f t="shared" si="6"/>
        <v>0</v>
      </c>
      <c r="G39" s="30">
        <v>0</v>
      </c>
      <c r="H39" s="31">
        <v>0</v>
      </c>
      <c r="I39" s="32">
        <v>0</v>
      </c>
      <c r="J39" s="77"/>
      <c r="K39" s="33"/>
      <c r="L39" s="34">
        <v>0</v>
      </c>
      <c r="M39" s="34">
        <v>0</v>
      </c>
      <c r="N39" s="62"/>
      <c r="O39" s="34">
        <v>0</v>
      </c>
      <c r="P39" s="34">
        <v>0</v>
      </c>
      <c r="Q39" s="34">
        <v>0</v>
      </c>
      <c r="R39" s="62"/>
      <c r="S39" s="37">
        <v>0</v>
      </c>
      <c r="T39" s="34">
        <v>0</v>
      </c>
      <c r="U39" s="34">
        <v>0</v>
      </c>
      <c r="V39" s="62"/>
      <c r="W39" s="38">
        <v>0</v>
      </c>
      <c r="X39" s="31">
        <v>0</v>
      </c>
      <c r="Y39" s="31">
        <v>0</v>
      </c>
      <c r="Z39" s="78"/>
      <c r="AA39" s="37">
        <v>0</v>
      </c>
      <c r="AB39" s="34">
        <v>0</v>
      </c>
      <c r="AC39" s="34">
        <v>0</v>
      </c>
      <c r="AD39" s="64"/>
      <c r="AE39" s="79"/>
      <c r="AF39" s="64"/>
      <c r="AG39" s="43">
        <f t="shared" si="16"/>
        <v>0</v>
      </c>
      <c r="AH39" s="44">
        <f t="shared" si="16"/>
        <v>0</v>
      </c>
      <c r="AI39" s="44">
        <f t="shared" si="16"/>
        <v>0</v>
      </c>
      <c r="AJ39" s="45">
        <f t="shared" si="16"/>
        <v>0</v>
      </c>
      <c r="AK39" s="80">
        <f t="shared" si="1"/>
        <v>0</v>
      </c>
      <c r="AL39" s="47">
        <v>0.75</v>
      </c>
      <c r="AM39" s="48">
        <f t="shared" si="7"/>
        <v>0</v>
      </c>
      <c r="AN39" s="48">
        <f t="shared" si="2"/>
        <v>0</v>
      </c>
      <c r="AO39" s="49">
        <f t="shared" si="8"/>
        <v>0</v>
      </c>
      <c r="AP39" s="49">
        <f t="shared" si="3"/>
        <v>0</v>
      </c>
      <c r="AQ39" s="50">
        <f t="shared" si="9"/>
        <v>0</v>
      </c>
      <c r="AR39" s="81">
        <v>34.520000000000003</v>
      </c>
      <c r="AS39" s="82">
        <v>5.4799999999999969</v>
      </c>
      <c r="AT39" s="83">
        <f t="shared" si="13"/>
        <v>0</v>
      </c>
      <c r="AU39" s="84">
        <f t="shared" si="14"/>
        <v>0</v>
      </c>
      <c r="AV39" s="85">
        <v>0</v>
      </c>
      <c r="AW39" s="86"/>
      <c r="AX39" s="86"/>
      <c r="AY39" s="82"/>
      <c r="AZ39" s="87">
        <f t="shared" si="15"/>
        <v>0</v>
      </c>
    </row>
    <row r="40" spans="1:52" ht="16.5" thickBot="1" x14ac:dyDescent="0.3">
      <c r="A40" s="74">
        <v>400</v>
      </c>
      <c r="B40" s="75" t="s">
        <v>48</v>
      </c>
      <c r="C40" s="76"/>
      <c r="D40" s="26">
        <f t="shared" si="4"/>
        <v>0</v>
      </c>
      <c r="E40" s="27">
        <f t="shared" si="5"/>
        <v>0</v>
      </c>
      <c r="F40" s="29">
        <f t="shared" si="6"/>
        <v>0</v>
      </c>
      <c r="G40" s="30">
        <v>0</v>
      </c>
      <c r="H40" s="31">
        <v>0</v>
      </c>
      <c r="I40" s="32">
        <v>0</v>
      </c>
      <c r="J40" s="77"/>
      <c r="K40" s="33"/>
      <c r="L40" s="34">
        <v>0</v>
      </c>
      <c r="M40" s="34">
        <v>0</v>
      </c>
      <c r="N40" s="62"/>
      <c r="O40" s="34">
        <v>0</v>
      </c>
      <c r="P40" s="34">
        <v>0</v>
      </c>
      <c r="Q40" s="34">
        <v>0</v>
      </c>
      <c r="R40" s="62"/>
      <c r="S40" s="37">
        <v>0</v>
      </c>
      <c r="T40" s="34">
        <v>0</v>
      </c>
      <c r="U40" s="34">
        <v>0</v>
      </c>
      <c r="V40" s="62"/>
      <c r="W40" s="38">
        <v>0</v>
      </c>
      <c r="X40" s="31">
        <v>0</v>
      </c>
      <c r="Y40" s="31">
        <v>0</v>
      </c>
      <c r="Z40" s="78"/>
      <c r="AA40" s="37">
        <v>0</v>
      </c>
      <c r="AB40" s="34">
        <v>0</v>
      </c>
      <c r="AC40" s="34">
        <v>0</v>
      </c>
      <c r="AD40" s="64"/>
      <c r="AE40" s="79"/>
      <c r="AF40" s="64"/>
      <c r="AG40" s="43">
        <f t="shared" si="16"/>
        <v>0</v>
      </c>
      <c r="AH40" s="44">
        <f t="shared" si="16"/>
        <v>0</v>
      </c>
      <c r="AI40" s="44">
        <f t="shared" si="16"/>
        <v>0</v>
      </c>
      <c r="AJ40" s="45">
        <f t="shared" si="16"/>
        <v>0</v>
      </c>
      <c r="AK40" s="80">
        <f t="shared" si="1"/>
        <v>0</v>
      </c>
      <c r="AL40" s="47">
        <v>0.75</v>
      </c>
      <c r="AM40" s="48">
        <f t="shared" si="7"/>
        <v>0</v>
      </c>
      <c r="AN40" s="48">
        <f t="shared" si="2"/>
        <v>0</v>
      </c>
      <c r="AO40" s="49">
        <f t="shared" si="8"/>
        <v>0</v>
      </c>
      <c r="AP40" s="49">
        <f t="shared" si="3"/>
        <v>0</v>
      </c>
      <c r="AQ40" s="50">
        <f t="shared" si="9"/>
        <v>0</v>
      </c>
      <c r="AR40" s="81">
        <v>34.520000000000003</v>
      </c>
      <c r="AS40" s="82">
        <v>5.4799999999999969</v>
      </c>
      <c r="AT40" s="83">
        <f t="shared" si="13"/>
        <v>0</v>
      </c>
      <c r="AU40" s="84">
        <f t="shared" si="14"/>
        <v>0</v>
      </c>
      <c r="AV40" s="85">
        <v>0</v>
      </c>
      <c r="AW40" s="86"/>
      <c r="AX40" s="86"/>
      <c r="AY40" s="82"/>
      <c r="AZ40" s="87">
        <f t="shared" si="15"/>
        <v>0</v>
      </c>
    </row>
    <row r="41" spans="1:52" ht="16.5" thickBot="1" x14ac:dyDescent="0.3">
      <c r="A41" s="74">
        <v>400</v>
      </c>
      <c r="B41" s="75" t="s">
        <v>49</v>
      </c>
      <c r="C41" s="76"/>
      <c r="D41" s="26">
        <f t="shared" si="4"/>
        <v>0</v>
      </c>
      <c r="E41" s="27">
        <f t="shared" si="5"/>
        <v>0</v>
      </c>
      <c r="F41" s="29">
        <f t="shared" si="6"/>
        <v>0</v>
      </c>
      <c r="G41" s="30">
        <v>0</v>
      </c>
      <c r="H41" s="31">
        <v>0</v>
      </c>
      <c r="I41" s="32">
        <v>0</v>
      </c>
      <c r="J41" s="77"/>
      <c r="K41" s="33"/>
      <c r="L41" s="34">
        <v>0</v>
      </c>
      <c r="M41" s="34">
        <v>0</v>
      </c>
      <c r="N41" s="62"/>
      <c r="O41" s="34">
        <v>0</v>
      </c>
      <c r="P41" s="34">
        <v>0</v>
      </c>
      <c r="Q41" s="34">
        <v>0</v>
      </c>
      <c r="R41" s="62"/>
      <c r="S41" s="37">
        <v>0</v>
      </c>
      <c r="T41" s="34">
        <v>0</v>
      </c>
      <c r="U41" s="34">
        <v>0</v>
      </c>
      <c r="V41" s="62"/>
      <c r="W41" s="38">
        <v>0</v>
      </c>
      <c r="X41" s="31">
        <v>0</v>
      </c>
      <c r="Y41" s="31">
        <v>0</v>
      </c>
      <c r="Z41" s="78"/>
      <c r="AA41" s="37">
        <v>0</v>
      </c>
      <c r="AB41" s="34">
        <v>0</v>
      </c>
      <c r="AC41" s="34">
        <v>0</v>
      </c>
      <c r="AD41" s="64"/>
      <c r="AE41" s="79"/>
      <c r="AF41" s="64"/>
      <c r="AG41" s="43">
        <f t="shared" si="16"/>
        <v>0</v>
      </c>
      <c r="AH41" s="44">
        <f t="shared" si="16"/>
        <v>0</v>
      </c>
      <c r="AI41" s="44">
        <f t="shared" si="16"/>
        <v>0</v>
      </c>
      <c r="AJ41" s="45">
        <f t="shared" si="16"/>
        <v>0</v>
      </c>
      <c r="AK41" s="80">
        <f t="shared" si="1"/>
        <v>0</v>
      </c>
      <c r="AL41" s="47">
        <v>0.75</v>
      </c>
      <c r="AM41" s="48">
        <f t="shared" si="7"/>
        <v>0</v>
      </c>
      <c r="AN41" s="48">
        <f t="shared" si="2"/>
        <v>0</v>
      </c>
      <c r="AO41" s="49">
        <f t="shared" si="8"/>
        <v>0</v>
      </c>
      <c r="AP41" s="49">
        <f t="shared" si="3"/>
        <v>0</v>
      </c>
      <c r="AQ41" s="50">
        <f t="shared" si="9"/>
        <v>0</v>
      </c>
      <c r="AR41" s="81">
        <v>34.479999999999997</v>
      </c>
      <c r="AS41" s="82">
        <v>5.5200000000000031</v>
      </c>
      <c r="AT41" s="83">
        <f t="shared" si="13"/>
        <v>0</v>
      </c>
      <c r="AU41" s="84">
        <f t="shared" si="14"/>
        <v>0</v>
      </c>
      <c r="AV41" s="85">
        <v>0</v>
      </c>
      <c r="AW41" s="86"/>
      <c r="AX41" s="86"/>
      <c r="AY41" s="82"/>
      <c r="AZ41" s="87">
        <f t="shared" si="15"/>
        <v>0</v>
      </c>
    </row>
    <row r="42" spans="1:52" ht="16.5" thickBot="1" x14ac:dyDescent="0.3">
      <c r="A42" s="74">
        <v>375</v>
      </c>
      <c r="B42" s="75" t="s">
        <v>50</v>
      </c>
      <c r="C42" s="76"/>
      <c r="D42" s="26">
        <f t="shared" si="4"/>
        <v>0</v>
      </c>
      <c r="E42" s="27">
        <f t="shared" si="5"/>
        <v>0</v>
      </c>
      <c r="F42" s="29">
        <f t="shared" si="6"/>
        <v>0</v>
      </c>
      <c r="G42" s="30">
        <v>0</v>
      </c>
      <c r="H42" s="31">
        <v>0</v>
      </c>
      <c r="I42" s="32">
        <v>0</v>
      </c>
      <c r="J42" s="77"/>
      <c r="K42" s="33"/>
      <c r="L42" s="34">
        <v>0</v>
      </c>
      <c r="M42" s="34">
        <v>0</v>
      </c>
      <c r="N42" s="62"/>
      <c r="O42" s="34">
        <v>0</v>
      </c>
      <c r="P42" s="34">
        <v>0</v>
      </c>
      <c r="Q42" s="34">
        <v>0</v>
      </c>
      <c r="R42" s="62"/>
      <c r="S42" s="37">
        <v>0</v>
      </c>
      <c r="T42" s="34">
        <v>0</v>
      </c>
      <c r="U42" s="34">
        <v>0</v>
      </c>
      <c r="V42" s="62"/>
      <c r="W42" s="38">
        <v>0</v>
      </c>
      <c r="X42" s="31">
        <v>0</v>
      </c>
      <c r="Y42" s="31">
        <v>0</v>
      </c>
      <c r="Z42" s="78"/>
      <c r="AA42" s="37">
        <v>0</v>
      </c>
      <c r="AB42" s="34">
        <v>0</v>
      </c>
      <c r="AC42" s="34">
        <v>0</v>
      </c>
      <c r="AD42" s="64"/>
      <c r="AE42" s="79"/>
      <c r="AF42" s="64"/>
      <c r="AG42" s="43">
        <f t="shared" si="16"/>
        <v>0</v>
      </c>
      <c r="AH42" s="44">
        <f t="shared" si="16"/>
        <v>0</v>
      </c>
      <c r="AI42" s="44">
        <f t="shared" si="16"/>
        <v>0</v>
      </c>
      <c r="AJ42" s="45">
        <f t="shared" si="16"/>
        <v>0</v>
      </c>
      <c r="AK42" s="80">
        <f t="shared" si="1"/>
        <v>0</v>
      </c>
      <c r="AL42" s="47">
        <v>0.75</v>
      </c>
      <c r="AM42" s="48">
        <f t="shared" si="7"/>
        <v>0</v>
      </c>
      <c r="AN42" s="48">
        <f t="shared" si="2"/>
        <v>0</v>
      </c>
      <c r="AO42" s="49">
        <f t="shared" si="8"/>
        <v>0</v>
      </c>
      <c r="AP42" s="49">
        <f t="shared" si="3"/>
        <v>0</v>
      </c>
      <c r="AQ42" s="50">
        <f t="shared" si="9"/>
        <v>0</v>
      </c>
      <c r="AR42" s="81">
        <v>34.520000000000003</v>
      </c>
      <c r="AS42" s="82">
        <v>5.4799999999999969</v>
      </c>
      <c r="AT42" s="83">
        <f t="shared" si="13"/>
        <v>0</v>
      </c>
      <c r="AU42" s="84">
        <f t="shared" si="14"/>
        <v>0</v>
      </c>
      <c r="AV42" s="85">
        <v>0</v>
      </c>
      <c r="AW42" s="86"/>
      <c r="AX42" s="86"/>
      <c r="AY42" s="82"/>
      <c r="AZ42" s="87">
        <f t="shared" si="15"/>
        <v>0</v>
      </c>
    </row>
    <row r="43" spans="1:52" ht="16.5" thickBot="1" x14ac:dyDescent="0.3">
      <c r="A43" s="74">
        <v>355</v>
      </c>
      <c r="B43" s="75" t="s">
        <v>51</v>
      </c>
      <c r="C43" s="76">
        <v>20</v>
      </c>
      <c r="D43" s="26">
        <f t="shared" si="4"/>
        <v>6.666666666666667</v>
      </c>
      <c r="E43" s="27">
        <f t="shared" si="5"/>
        <v>6.666666666666667</v>
      </c>
      <c r="F43" s="29">
        <f t="shared" si="6"/>
        <v>6.666666666666667</v>
      </c>
      <c r="G43" s="30">
        <v>0</v>
      </c>
      <c r="H43" s="31">
        <v>0</v>
      </c>
      <c r="I43" s="32">
        <v>0</v>
      </c>
      <c r="J43" s="77"/>
      <c r="K43" s="33"/>
      <c r="L43" s="34">
        <v>0</v>
      </c>
      <c r="M43" s="34">
        <v>0</v>
      </c>
      <c r="N43" s="62"/>
      <c r="O43" s="34">
        <v>0</v>
      </c>
      <c r="P43" s="34">
        <v>0</v>
      </c>
      <c r="Q43" s="34">
        <v>0</v>
      </c>
      <c r="R43" s="62"/>
      <c r="S43" s="37">
        <v>0</v>
      </c>
      <c r="T43" s="34">
        <v>0</v>
      </c>
      <c r="U43" s="34">
        <v>0</v>
      </c>
      <c r="V43" s="62"/>
      <c r="W43" s="38">
        <v>0</v>
      </c>
      <c r="X43" s="31">
        <v>0</v>
      </c>
      <c r="Y43" s="31">
        <v>0</v>
      </c>
      <c r="Z43" s="78"/>
      <c r="AA43" s="37">
        <v>0</v>
      </c>
      <c r="AB43" s="34">
        <v>0</v>
      </c>
      <c r="AC43" s="34">
        <v>0</v>
      </c>
      <c r="AD43" s="64"/>
      <c r="AE43" s="79"/>
      <c r="AF43" s="64"/>
      <c r="AG43" s="43">
        <f t="shared" si="16"/>
        <v>0</v>
      </c>
      <c r="AH43" s="44">
        <f t="shared" si="16"/>
        <v>0</v>
      </c>
      <c r="AI43" s="44">
        <f t="shared" si="16"/>
        <v>0</v>
      </c>
      <c r="AJ43" s="45">
        <f t="shared" si="16"/>
        <v>0</v>
      </c>
      <c r="AK43" s="80">
        <f t="shared" si="1"/>
        <v>0</v>
      </c>
      <c r="AL43" s="47">
        <v>0.5</v>
      </c>
      <c r="AM43" s="48">
        <f t="shared" si="7"/>
        <v>0</v>
      </c>
      <c r="AN43" s="48">
        <f t="shared" si="2"/>
        <v>0</v>
      </c>
      <c r="AO43" s="49">
        <f t="shared" si="8"/>
        <v>0</v>
      </c>
      <c r="AP43" s="49">
        <f t="shared" si="3"/>
        <v>0</v>
      </c>
      <c r="AQ43" s="50">
        <f t="shared" si="9"/>
        <v>0</v>
      </c>
      <c r="AR43" s="81"/>
      <c r="AS43" s="82"/>
      <c r="AT43" s="83">
        <f t="shared" si="13"/>
        <v>0</v>
      </c>
      <c r="AU43" s="84">
        <f t="shared" si="14"/>
        <v>0</v>
      </c>
      <c r="AV43" s="85"/>
      <c r="AW43" s="86"/>
      <c r="AX43" s="86"/>
      <c r="AY43" s="82"/>
      <c r="AZ43" s="87"/>
    </row>
    <row r="44" spans="1:52" ht="16.5" thickBot="1" x14ac:dyDescent="0.3">
      <c r="A44" s="74">
        <v>300</v>
      </c>
      <c r="B44" s="75" t="s">
        <v>52</v>
      </c>
      <c r="C44" s="76">
        <v>147</v>
      </c>
      <c r="D44" s="26">
        <f t="shared" si="4"/>
        <v>49</v>
      </c>
      <c r="E44" s="27">
        <f t="shared" si="5"/>
        <v>49</v>
      </c>
      <c r="F44" s="29">
        <f t="shared" si="6"/>
        <v>49</v>
      </c>
      <c r="G44" s="30">
        <v>0</v>
      </c>
      <c r="H44" s="31">
        <v>0</v>
      </c>
      <c r="I44" s="32">
        <v>1</v>
      </c>
      <c r="J44" s="77"/>
      <c r="K44" s="33"/>
      <c r="L44" s="34">
        <v>0</v>
      </c>
      <c r="M44" s="34">
        <v>1</v>
      </c>
      <c r="N44" s="62"/>
      <c r="O44" s="34">
        <v>0</v>
      </c>
      <c r="P44" s="34">
        <v>0</v>
      </c>
      <c r="Q44" s="34">
        <v>0</v>
      </c>
      <c r="R44" s="62"/>
      <c r="S44" s="37">
        <v>1</v>
      </c>
      <c r="T44" s="34">
        <v>0</v>
      </c>
      <c r="U44" s="34">
        <v>2</v>
      </c>
      <c r="V44" s="62"/>
      <c r="W44" s="38">
        <v>0</v>
      </c>
      <c r="X44" s="31">
        <v>8</v>
      </c>
      <c r="Y44" s="31">
        <v>3</v>
      </c>
      <c r="Z44" s="78"/>
      <c r="AA44" s="37">
        <v>0</v>
      </c>
      <c r="AB44" s="34">
        <v>2</v>
      </c>
      <c r="AC44" s="34">
        <v>2</v>
      </c>
      <c r="AD44" s="64"/>
      <c r="AE44" s="79"/>
      <c r="AF44" s="64"/>
      <c r="AG44" s="43">
        <f t="shared" si="16"/>
        <v>1</v>
      </c>
      <c r="AH44" s="44">
        <f t="shared" si="16"/>
        <v>10</v>
      </c>
      <c r="AI44" s="44">
        <f t="shared" si="16"/>
        <v>9</v>
      </c>
      <c r="AJ44" s="45">
        <f t="shared" si="16"/>
        <v>0</v>
      </c>
      <c r="AK44" s="80">
        <f t="shared" si="1"/>
        <v>20</v>
      </c>
      <c r="AL44" s="47">
        <v>1</v>
      </c>
      <c r="AM44" s="48">
        <f t="shared" si="7"/>
        <v>1</v>
      </c>
      <c r="AN44" s="48">
        <f t="shared" si="2"/>
        <v>10</v>
      </c>
      <c r="AO44" s="49">
        <f t="shared" si="8"/>
        <v>9</v>
      </c>
      <c r="AP44" s="49">
        <f t="shared" si="3"/>
        <v>0</v>
      </c>
      <c r="AQ44" s="50">
        <f t="shared" si="9"/>
        <v>1200</v>
      </c>
      <c r="AR44" s="81">
        <v>51.9</v>
      </c>
      <c r="AS44" s="82">
        <v>8.1000000000000014</v>
      </c>
      <c r="AT44" s="83">
        <f t="shared" si="13"/>
        <v>162.00000000000003</v>
      </c>
      <c r="AU44" s="84">
        <f t="shared" si="14"/>
        <v>20</v>
      </c>
      <c r="AV44" s="85">
        <v>0</v>
      </c>
      <c r="AW44" s="86"/>
      <c r="AX44" s="86"/>
      <c r="AY44" s="82"/>
      <c r="AZ44" s="87">
        <f>AT44-AU44-AW44-AX44-AY44</f>
        <v>142.00000000000003</v>
      </c>
    </row>
    <row r="45" spans="1:52" ht="16.5" thickBot="1" x14ac:dyDescent="0.3">
      <c r="A45" s="74">
        <v>355</v>
      </c>
      <c r="B45" s="75" t="s">
        <v>53</v>
      </c>
      <c r="C45" s="76"/>
      <c r="D45" s="26">
        <f t="shared" si="4"/>
        <v>0</v>
      </c>
      <c r="E45" s="27">
        <f t="shared" si="5"/>
        <v>0</v>
      </c>
      <c r="F45" s="29">
        <f t="shared" si="6"/>
        <v>0</v>
      </c>
      <c r="G45" s="30">
        <v>0</v>
      </c>
      <c r="H45" s="31">
        <v>0</v>
      </c>
      <c r="I45" s="32">
        <v>0</v>
      </c>
      <c r="J45" s="77"/>
      <c r="K45" s="33"/>
      <c r="L45" s="34">
        <v>0</v>
      </c>
      <c r="M45" s="34">
        <v>0</v>
      </c>
      <c r="N45" s="62"/>
      <c r="O45" s="34">
        <v>0</v>
      </c>
      <c r="P45" s="34">
        <v>0</v>
      </c>
      <c r="Q45" s="34">
        <v>0</v>
      </c>
      <c r="R45" s="62"/>
      <c r="S45" s="37">
        <v>0</v>
      </c>
      <c r="T45" s="34">
        <v>0</v>
      </c>
      <c r="U45" s="34">
        <v>0</v>
      </c>
      <c r="V45" s="62"/>
      <c r="W45" s="38">
        <v>0</v>
      </c>
      <c r="X45" s="31">
        <v>0</v>
      </c>
      <c r="Y45" s="31">
        <v>0</v>
      </c>
      <c r="Z45" s="78"/>
      <c r="AA45" s="37">
        <v>0</v>
      </c>
      <c r="AB45" s="34">
        <v>0</v>
      </c>
      <c r="AC45" s="34">
        <v>0</v>
      </c>
      <c r="AD45" s="64"/>
      <c r="AE45" s="79"/>
      <c r="AF45" s="64"/>
      <c r="AG45" s="43">
        <f t="shared" si="16"/>
        <v>0</v>
      </c>
      <c r="AH45" s="44">
        <f t="shared" si="16"/>
        <v>0</v>
      </c>
      <c r="AI45" s="44">
        <f t="shared" si="16"/>
        <v>0</v>
      </c>
      <c r="AJ45" s="45">
        <f t="shared" si="16"/>
        <v>0</v>
      </c>
      <c r="AK45" s="80">
        <f t="shared" si="1"/>
        <v>0</v>
      </c>
      <c r="AL45" s="47">
        <v>0.5</v>
      </c>
      <c r="AM45" s="48">
        <f t="shared" si="7"/>
        <v>0</v>
      </c>
      <c r="AN45" s="48">
        <f t="shared" si="2"/>
        <v>0</v>
      </c>
      <c r="AO45" s="49">
        <f t="shared" si="8"/>
        <v>0</v>
      </c>
      <c r="AP45" s="49">
        <f t="shared" si="3"/>
        <v>0</v>
      </c>
      <c r="AQ45" s="50">
        <f t="shared" si="9"/>
        <v>0</v>
      </c>
      <c r="AR45" s="81">
        <v>15.36</v>
      </c>
      <c r="AS45" s="82">
        <v>2.14</v>
      </c>
      <c r="AT45" s="83">
        <f t="shared" si="13"/>
        <v>0</v>
      </c>
      <c r="AU45" s="84">
        <f t="shared" si="14"/>
        <v>0</v>
      </c>
      <c r="AV45" s="85"/>
      <c r="AW45" s="86"/>
      <c r="AX45" s="86"/>
      <c r="AY45" s="82"/>
      <c r="AZ45" s="87"/>
    </row>
    <row r="46" spans="1:52" ht="16.5" thickBot="1" x14ac:dyDescent="0.3">
      <c r="A46" s="74">
        <v>355</v>
      </c>
      <c r="B46" s="75" t="s">
        <v>54</v>
      </c>
      <c r="C46" s="76"/>
      <c r="D46" s="26">
        <f t="shared" si="4"/>
        <v>0</v>
      </c>
      <c r="E46" s="27">
        <f t="shared" si="5"/>
        <v>0</v>
      </c>
      <c r="F46" s="29">
        <f t="shared" si="6"/>
        <v>0</v>
      </c>
      <c r="G46" s="30">
        <v>0</v>
      </c>
      <c r="H46" s="31">
        <v>0</v>
      </c>
      <c r="I46" s="32">
        <v>0</v>
      </c>
      <c r="J46" s="77"/>
      <c r="K46" s="33"/>
      <c r="L46" s="34">
        <v>0</v>
      </c>
      <c r="M46" s="34">
        <v>0</v>
      </c>
      <c r="N46" s="62"/>
      <c r="O46" s="34">
        <v>0</v>
      </c>
      <c r="P46" s="34">
        <v>0</v>
      </c>
      <c r="Q46" s="34">
        <v>0</v>
      </c>
      <c r="R46" s="62"/>
      <c r="S46" s="37">
        <v>0</v>
      </c>
      <c r="T46" s="34">
        <v>0</v>
      </c>
      <c r="U46" s="34">
        <v>0</v>
      </c>
      <c r="V46" s="62"/>
      <c r="W46" s="38">
        <v>0</v>
      </c>
      <c r="X46" s="31">
        <v>0</v>
      </c>
      <c r="Y46" s="31">
        <v>0</v>
      </c>
      <c r="Z46" s="78"/>
      <c r="AA46" s="37">
        <v>0</v>
      </c>
      <c r="AB46" s="34">
        <v>0</v>
      </c>
      <c r="AC46" s="34">
        <v>0</v>
      </c>
      <c r="AD46" s="64"/>
      <c r="AE46" s="79"/>
      <c r="AF46" s="64"/>
      <c r="AG46" s="43">
        <f t="shared" si="16"/>
        <v>0</v>
      </c>
      <c r="AH46" s="44">
        <f t="shared" si="16"/>
        <v>0</v>
      </c>
      <c r="AI46" s="44">
        <f t="shared" si="16"/>
        <v>0</v>
      </c>
      <c r="AJ46" s="45">
        <f t="shared" si="16"/>
        <v>0</v>
      </c>
      <c r="AK46" s="80">
        <f t="shared" si="1"/>
        <v>0</v>
      </c>
      <c r="AL46" s="47">
        <v>0.5</v>
      </c>
      <c r="AM46" s="48">
        <f t="shared" si="7"/>
        <v>0</v>
      </c>
      <c r="AN46" s="48">
        <f t="shared" si="2"/>
        <v>0</v>
      </c>
      <c r="AO46" s="49">
        <f t="shared" si="8"/>
        <v>0</v>
      </c>
      <c r="AP46" s="49">
        <f t="shared" si="3"/>
        <v>0</v>
      </c>
      <c r="AQ46" s="50">
        <f t="shared" si="9"/>
        <v>0</v>
      </c>
      <c r="AR46" s="81"/>
      <c r="AS46" s="82"/>
      <c r="AT46" s="83">
        <f t="shared" si="13"/>
        <v>0</v>
      </c>
      <c r="AU46" s="84">
        <f t="shared" si="14"/>
        <v>0</v>
      </c>
      <c r="AV46" s="85"/>
      <c r="AW46" s="86"/>
      <c r="AX46" s="86"/>
      <c r="AY46" s="82"/>
      <c r="AZ46" s="87"/>
    </row>
    <row r="47" spans="1:52" ht="16.5" thickBot="1" x14ac:dyDescent="0.3">
      <c r="A47" s="74">
        <v>355</v>
      </c>
      <c r="B47" s="75" t="s">
        <v>55</v>
      </c>
      <c r="C47" s="76"/>
      <c r="D47" s="26">
        <f t="shared" si="4"/>
        <v>0</v>
      </c>
      <c r="E47" s="27">
        <f t="shared" si="5"/>
        <v>0</v>
      </c>
      <c r="F47" s="29">
        <f t="shared" si="6"/>
        <v>0</v>
      </c>
      <c r="G47" s="30">
        <v>0</v>
      </c>
      <c r="H47" s="31">
        <v>0</v>
      </c>
      <c r="I47" s="32">
        <v>0</v>
      </c>
      <c r="J47" s="77"/>
      <c r="K47" s="33"/>
      <c r="L47" s="34">
        <v>0</v>
      </c>
      <c r="M47" s="34">
        <v>0</v>
      </c>
      <c r="N47" s="62"/>
      <c r="O47" s="34">
        <v>0</v>
      </c>
      <c r="P47" s="34">
        <v>0</v>
      </c>
      <c r="Q47" s="34">
        <v>0</v>
      </c>
      <c r="R47" s="62"/>
      <c r="S47" s="37">
        <v>0</v>
      </c>
      <c r="T47" s="34">
        <v>0</v>
      </c>
      <c r="U47" s="34">
        <v>0</v>
      </c>
      <c r="V47" s="62"/>
      <c r="W47" s="38">
        <v>0</v>
      </c>
      <c r="X47" s="31">
        <v>0</v>
      </c>
      <c r="Y47" s="31">
        <v>0</v>
      </c>
      <c r="Z47" s="78"/>
      <c r="AA47" s="37">
        <v>0</v>
      </c>
      <c r="AB47" s="34">
        <v>0</v>
      </c>
      <c r="AC47" s="34">
        <v>0</v>
      </c>
      <c r="AD47" s="64"/>
      <c r="AE47" s="79"/>
      <c r="AF47" s="64"/>
      <c r="AG47" s="43">
        <f t="shared" si="16"/>
        <v>0</v>
      </c>
      <c r="AH47" s="44">
        <f t="shared" si="16"/>
        <v>0</v>
      </c>
      <c r="AI47" s="44">
        <f t="shared" si="16"/>
        <v>0</v>
      </c>
      <c r="AJ47" s="45">
        <f t="shared" si="16"/>
        <v>0</v>
      </c>
      <c r="AK47" s="80">
        <f t="shared" si="1"/>
        <v>0</v>
      </c>
      <c r="AL47" s="47">
        <v>0.5</v>
      </c>
      <c r="AM47" s="48">
        <f t="shared" si="7"/>
        <v>0</v>
      </c>
      <c r="AN47" s="48">
        <f t="shared" si="2"/>
        <v>0</v>
      </c>
      <c r="AO47" s="49">
        <f t="shared" si="8"/>
        <v>0</v>
      </c>
      <c r="AP47" s="49">
        <f t="shared" si="3"/>
        <v>0</v>
      </c>
      <c r="AQ47" s="50">
        <f t="shared" si="9"/>
        <v>0</v>
      </c>
      <c r="AR47" s="81"/>
      <c r="AS47" s="82"/>
      <c r="AT47" s="83">
        <f t="shared" si="13"/>
        <v>0</v>
      </c>
      <c r="AU47" s="84">
        <f t="shared" si="14"/>
        <v>0</v>
      </c>
      <c r="AV47" s="85"/>
      <c r="AW47" s="86"/>
      <c r="AX47" s="86"/>
      <c r="AY47" s="82"/>
      <c r="AZ47" s="87"/>
    </row>
    <row r="48" spans="1:52" ht="16.5" thickBot="1" x14ac:dyDescent="0.3">
      <c r="A48" s="74">
        <v>355</v>
      </c>
      <c r="B48" s="75" t="s">
        <v>56</v>
      </c>
      <c r="C48" s="76"/>
      <c r="D48" s="26">
        <f t="shared" si="4"/>
        <v>0</v>
      </c>
      <c r="E48" s="27">
        <f t="shared" si="5"/>
        <v>0</v>
      </c>
      <c r="F48" s="29">
        <f t="shared" si="6"/>
        <v>0</v>
      </c>
      <c r="G48" s="30">
        <v>0</v>
      </c>
      <c r="H48" s="31">
        <v>0</v>
      </c>
      <c r="I48" s="32">
        <v>0</v>
      </c>
      <c r="J48" s="77"/>
      <c r="K48" s="33"/>
      <c r="L48" s="34">
        <v>0</v>
      </c>
      <c r="M48" s="34">
        <v>0</v>
      </c>
      <c r="N48" s="62"/>
      <c r="O48" s="34">
        <v>0</v>
      </c>
      <c r="P48" s="34">
        <v>0</v>
      </c>
      <c r="Q48" s="34">
        <v>0</v>
      </c>
      <c r="R48" s="62"/>
      <c r="S48" s="37">
        <v>0</v>
      </c>
      <c r="T48" s="34">
        <v>0</v>
      </c>
      <c r="U48" s="34">
        <v>0</v>
      </c>
      <c r="V48" s="62"/>
      <c r="W48" s="38">
        <v>0</v>
      </c>
      <c r="X48" s="31">
        <v>0</v>
      </c>
      <c r="Y48" s="31">
        <v>0</v>
      </c>
      <c r="Z48" s="78"/>
      <c r="AA48" s="37">
        <v>0</v>
      </c>
      <c r="AB48" s="34">
        <v>0</v>
      </c>
      <c r="AC48" s="34">
        <v>0</v>
      </c>
      <c r="AD48" s="64"/>
      <c r="AE48" s="79"/>
      <c r="AF48" s="64"/>
      <c r="AG48" s="43">
        <f t="shared" si="16"/>
        <v>0</v>
      </c>
      <c r="AH48" s="44">
        <f t="shared" si="16"/>
        <v>0</v>
      </c>
      <c r="AI48" s="44">
        <f t="shared" si="16"/>
        <v>0</v>
      </c>
      <c r="AJ48" s="45">
        <f t="shared" si="16"/>
        <v>0</v>
      </c>
      <c r="AK48" s="80">
        <f t="shared" si="1"/>
        <v>0</v>
      </c>
      <c r="AL48" s="47">
        <v>0.5</v>
      </c>
      <c r="AM48" s="48">
        <f t="shared" si="7"/>
        <v>0</v>
      </c>
      <c r="AN48" s="48">
        <f t="shared" si="2"/>
        <v>0</v>
      </c>
      <c r="AO48" s="49">
        <f t="shared" si="8"/>
        <v>0</v>
      </c>
      <c r="AP48" s="49">
        <f t="shared" si="3"/>
        <v>0</v>
      </c>
      <c r="AQ48" s="50">
        <f t="shared" si="9"/>
        <v>0</v>
      </c>
      <c r="AR48" s="81"/>
      <c r="AS48" s="82"/>
      <c r="AT48" s="83">
        <f t="shared" si="13"/>
        <v>0</v>
      </c>
      <c r="AU48" s="84">
        <f t="shared" si="14"/>
        <v>0</v>
      </c>
      <c r="AV48" s="85"/>
      <c r="AW48" s="86"/>
      <c r="AX48" s="86"/>
      <c r="AY48" s="82"/>
      <c r="AZ48" s="87"/>
    </row>
    <row r="49" spans="1:52" ht="16.5" thickBot="1" x14ac:dyDescent="0.3">
      <c r="A49" s="74">
        <v>355</v>
      </c>
      <c r="B49" s="75" t="s">
        <v>57</v>
      </c>
      <c r="C49" s="76"/>
      <c r="D49" s="26">
        <f t="shared" si="4"/>
        <v>0</v>
      </c>
      <c r="E49" s="27">
        <f t="shared" si="5"/>
        <v>0</v>
      </c>
      <c r="F49" s="29">
        <f t="shared" si="6"/>
        <v>0</v>
      </c>
      <c r="G49" s="30">
        <v>0</v>
      </c>
      <c r="H49" s="31">
        <v>0</v>
      </c>
      <c r="I49" s="32">
        <v>0</v>
      </c>
      <c r="J49" s="77"/>
      <c r="K49" s="33"/>
      <c r="L49" s="34">
        <v>0</v>
      </c>
      <c r="M49" s="34">
        <v>0</v>
      </c>
      <c r="N49" s="62"/>
      <c r="O49" s="34">
        <v>0</v>
      </c>
      <c r="P49" s="34">
        <v>0</v>
      </c>
      <c r="Q49" s="34">
        <v>0</v>
      </c>
      <c r="R49" s="62"/>
      <c r="S49" s="37">
        <v>0</v>
      </c>
      <c r="T49" s="34">
        <v>0</v>
      </c>
      <c r="U49" s="34">
        <v>0</v>
      </c>
      <c r="V49" s="62"/>
      <c r="W49" s="38">
        <v>0</v>
      </c>
      <c r="X49" s="31">
        <v>0</v>
      </c>
      <c r="Y49" s="31">
        <v>0</v>
      </c>
      <c r="Z49" s="78"/>
      <c r="AA49" s="37">
        <v>0</v>
      </c>
      <c r="AB49" s="34">
        <v>0</v>
      </c>
      <c r="AC49" s="34">
        <v>0</v>
      </c>
      <c r="AD49" s="64"/>
      <c r="AE49" s="79"/>
      <c r="AF49" s="64"/>
      <c r="AG49" s="43">
        <f t="shared" si="16"/>
        <v>0</v>
      </c>
      <c r="AH49" s="44">
        <f t="shared" si="16"/>
        <v>0</v>
      </c>
      <c r="AI49" s="44">
        <f t="shared" si="16"/>
        <v>0</v>
      </c>
      <c r="AJ49" s="45">
        <f t="shared" si="16"/>
        <v>0</v>
      </c>
      <c r="AK49" s="80">
        <f t="shared" si="1"/>
        <v>0</v>
      </c>
      <c r="AL49" s="47">
        <v>0.5</v>
      </c>
      <c r="AM49" s="48">
        <f t="shared" si="7"/>
        <v>0</v>
      </c>
      <c r="AN49" s="48">
        <f t="shared" si="2"/>
        <v>0</v>
      </c>
      <c r="AO49" s="49">
        <f t="shared" si="8"/>
        <v>0</v>
      </c>
      <c r="AP49" s="49">
        <f t="shared" si="3"/>
        <v>0</v>
      </c>
      <c r="AQ49" s="50">
        <f t="shared" si="9"/>
        <v>0</v>
      </c>
      <c r="AR49" s="81"/>
      <c r="AS49" s="82"/>
      <c r="AT49" s="83"/>
      <c r="AU49" s="84">
        <f t="shared" si="14"/>
        <v>0</v>
      </c>
      <c r="AV49" s="85"/>
      <c r="AW49" s="86"/>
      <c r="AX49" s="86"/>
      <c r="AY49" s="82"/>
      <c r="AZ49" s="87"/>
    </row>
    <row r="50" spans="1:52" ht="16.5" thickBot="1" x14ac:dyDescent="0.3">
      <c r="A50" s="74">
        <v>625</v>
      </c>
      <c r="B50" s="75" t="s">
        <v>52</v>
      </c>
      <c r="C50" s="76"/>
      <c r="D50" s="26">
        <f t="shared" si="4"/>
        <v>0</v>
      </c>
      <c r="E50" s="27">
        <f t="shared" si="5"/>
        <v>0</v>
      </c>
      <c r="F50" s="29">
        <f t="shared" si="6"/>
        <v>0</v>
      </c>
      <c r="G50" s="30">
        <v>0</v>
      </c>
      <c r="H50" s="31">
        <v>0</v>
      </c>
      <c r="I50" s="32">
        <v>0</v>
      </c>
      <c r="J50" s="77"/>
      <c r="K50" s="33"/>
      <c r="L50" s="34">
        <v>0</v>
      </c>
      <c r="M50" s="34">
        <v>0</v>
      </c>
      <c r="N50" s="62"/>
      <c r="O50" s="34">
        <v>0</v>
      </c>
      <c r="P50" s="34">
        <v>0</v>
      </c>
      <c r="Q50" s="34">
        <v>0</v>
      </c>
      <c r="R50" s="62"/>
      <c r="S50" s="37">
        <v>0</v>
      </c>
      <c r="T50" s="34">
        <v>0</v>
      </c>
      <c r="U50" s="34">
        <v>0</v>
      </c>
      <c r="V50" s="62"/>
      <c r="W50" s="38">
        <v>0</v>
      </c>
      <c r="X50" s="31">
        <v>0</v>
      </c>
      <c r="Y50" s="31">
        <v>0</v>
      </c>
      <c r="Z50" s="78"/>
      <c r="AA50" s="37">
        <v>0</v>
      </c>
      <c r="AB50" s="34">
        <v>0</v>
      </c>
      <c r="AC50" s="34">
        <v>0</v>
      </c>
      <c r="AD50" s="64"/>
      <c r="AE50" s="79"/>
      <c r="AF50" s="64"/>
      <c r="AG50" s="43">
        <f t="shared" si="16"/>
        <v>0</v>
      </c>
      <c r="AH50" s="44">
        <f t="shared" si="16"/>
        <v>0</v>
      </c>
      <c r="AI50" s="44">
        <f t="shared" si="16"/>
        <v>0</v>
      </c>
      <c r="AJ50" s="45">
        <f t="shared" si="16"/>
        <v>0</v>
      </c>
      <c r="AK50" s="80">
        <f t="shared" si="1"/>
        <v>0</v>
      </c>
      <c r="AL50" s="47">
        <v>2</v>
      </c>
      <c r="AM50" s="48">
        <f t="shared" si="7"/>
        <v>0</v>
      </c>
      <c r="AN50" s="48">
        <f t="shared" si="2"/>
        <v>0</v>
      </c>
      <c r="AO50" s="49">
        <f t="shared" si="8"/>
        <v>0</v>
      </c>
      <c r="AP50" s="49">
        <f t="shared" si="3"/>
        <v>0</v>
      </c>
      <c r="AQ50" s="50">
        <f t="shared" si="9"/>
        <v>0</v>
      </c>
      <c r="AR50" s="81">
        <v>80.959999999999994</v>
      </c>
      <c r="AS50" s="82">
        <v>19.040000000000006</v>
      </c>
      <c r="AT50" s="83">
        <f>AK50*AS50</f>
        <v>0</v>
      </c>
      <c r="AU50" s="84">
        <f t="shared" si="14"/>
        <v>0</v>
      </c>
      <c r="AV50" s="85">
        <v>0</v>
      </c>
      <c r="AW50" s="86"/>
      <c r="AX50" s="86"/>
      <c r="AY50" s="82"/>
      <c r="AZ50" s="87">
        <f>AT50-AU50-AW50-AX50-AY50</f>
        <v>0</v>
      </c>
    </row>
    <row r="51" spans="1:52" ht="16.5" thickBot="1" x14ac:dyDescent="0.3">
      <c r="A51" s="74">
        <v>625</v>
      </c>
      <c r="B51" s="75" t="s">
        <v>58</v>
      </c>
      <c r="C51" s="76"/>
      <c r="D51" s="26">
        <f t="shared" si="4"/>
        <v>0</v>
      </c>
      <c r="E51" s="27">
        <f t="shared" si="5"/>
        <v>0</v>
      </c>
      <c r="F51" s="29">
        <f t="shared" si="6"/>
        <v>0</v>
      </c>
      <c r="G51" s="30">
        <v>0</v>
      </c>
      <c r="H51" s="31">
        <v>0</v>
      </c>
      <c r="I51" s="32">
        <v>0</v>
      </c>
      <c r="J51" s="77"/>
      <c r="K51" s="33"/>
      <c r="L51" s="34">
        <v>0</v>
      </c>
      <c r="M51" s="34">
        <v>0</v>
      </c>
      <c r="N51" s="62"/>
      <c r="O51" s="34">
        <v>0</v>
      </c>
      <c r="P51" s="34">
        <v>0</v>
      </c>
      <c r="Q51" s="34">
        <v>0</v>
      </c>
      <c r="R51" s="62"/>
      <c r="S51" s="37">
        <v>0</v>
      </c>
      <c r="T51" s="34">
        <v>0</v>
      </c>
      <c r="U51" s="34">
        <v>0</v>
      </c>
      <c r="V51" s="62"/>
      <c r="W51" s="38">
        <v>0</v>
      </c>
      <c r="X51" s="31">
        <v>0</v>
      </c>
      <c r="Y51" s="31">
        <v>0</v>
      </c>
      <c r="Z51" s="78"/>
      <c r="AA51" s="37">
        <v>0</v>
      </c>
      <c r="AB51" s="34">
        <v>0</v>
      </c>
      <c r="AC51" s="34">
        <v>0</v>
      </c>
      <c r="AD51" s="64"/>
      <c r="AE51" s="79"/>
      <c r="AF51" s="64"/>
      <c r="AG51" s="43">
        <f t="shared" si="16"/>
        <v>0</v>
      </c>
      <c r="AH51" s="44">
        <f t="shared" si="16"/>
        <v>0</v>
      </c>
      <c r="AI51" s="44">
        <f t="shared" si="16"/>
        <v>0</v>
      </c>
      <c r="AJ51" s="45">
        <f t="shared" si="16"/>
        <v>0</v>
      </c>
      <c r="AK51" s="80">
        <f t="shared" si="1"/>
        <v>0</v>
      </c>
      <c r="AL51" s="47">
        <v>1.5</v>
      </c>
      <c r="AM51" s="48">
        <f t="shared" si="7"/>
        <v>0</v>
      </c>
      <c r="AN51" s="48">
        <f t="shared" si="2"/>
        <v>0</v>
      </c>
      <c r="AO51" s="49">
        <f t="shared" si="8"/>
        <v>0</v>
      </c>
      <c r="AP51" s="49">
        <f t="shared" si="3"/>
        <v>0</v>
      </c>
      <c r="AQ51" s="50">
        <f t="shared" si="9"/>
        <v>0</v>
      </c>
      <c r="AR51" s="81">
        <v>69.84</v>
      </c>
      <c r="AS51" s="82">
        <v>10.159999999999997</v>
      </c>
      <c r="AT51" s="83">
        <f>AK51*AS51</f>
        <v>0</v>
      </c>
      <c r="AU51" s="84">
        <f t="shared" si="14"/>
        <v>0</v>
      </c>
      <c r="AV51" s="85">
        <v>0</v>
      </c>
      <c r="AW51" s="86"/>
      <c r="AX51" s="86"/>
      <c r="AY51" s="82"/>
      <c r="AZ51" s="87">
        <f>AT51-AU51-AW51-AX51-AY51</f>
        <v>0</v>
      </c>
    </row>
    <row r="52" spans="1:52" ht="16.5" thickBot="1" x14ac:dyDescent="0.3">
      <c r="A52" s="74">
        <v>360</v>
      </c>
      <c r="B52" s="75" t="s">
        <v>58</v>
      </c>
      <c r="C52" s="76">
        <v>910</v>
      </c>
      <c r="D52" s="26">
        <f t="shared" si="4"/>
        <v>303.33333333333331</v>
      </c>
      <c r="E52" s="27">
        <f t="shared" si="5"/>
        <v>303.33333333333331</v>
      </c>
      <c r="F52" s="29">
        <f t="shared" si="6"/>
        <v>303.33333333333331</v>
      </c>
      <c r="G52" s="30">
        <v>3</v>
      </c>
      <c r="H52" s="31">
        <v>4</v>
      </c>
      <c r="I52" s="32">
        <v>11</v>
      </c>
      <c r="J52" s="77"/>
      <c r="K52" s="33"/>
      <c r="L52" s="34">
        <v>2</v>
      </c>
      <c r="M52" s="34">
        <v>6</v>
      </c>
      <c r="N52" s="62"/>
      <c r="O52" s="34">
        <v>13</v>
      </c>
      <c r="P52" s="34">
        <v>7</v>
      </c>
      <c r="Q52" s="34">
        <v>36</v>
      </c>
      <c r="R52" s="62"/>
      <c r="S52" s="37">
        <v>1</v>
      </c>
      <c r="T52" s="34">
        <v>0</v>
      </c>
      <c r="U52" s="34">
        <v>4</v>
      </c>
      <c r="V52" s="62"/>
      <c r="W52" s="38">
        <v>8</v>
      </c>
      <c r="X52" s="31">
        <v>2</v>
      </c>
      <c r="Y52" s="31">
        <v>50</v>
      </c>
      <c r="Z52" s="78"/>
      <c r="AA52" s="37">
        <v>0</v>
      </c>
      <c r="AB52" s="34">
        <v>1</v>
      </c>
      <c r="AC52" s="34">
        <v>30</v>
      </c>
      <c r="AD52" s="64"/>
      <c r="AE52" s="79"/>
      <c r="AF52" s="64"/>
      <c r="AG52" s="43">
        <f t="shared" si="16"/>
        <v>25</v>
      </c>
      <c r="AH52" s="44">
        <f t="shared" si="16"/>
        <v>16</v>
      </c>
      <c r="AI52" s="44">
        <f t="shared" si="16"/>
        <v>137</v>
      </c>
      <c r="AJ52" s="45">
        <f t="shared" si="16"/>
        <v>0</v>
      </c>
      <c r="AK52" s="80">
        <f t="shared" si="1"/>
        <v>178</v>
      </c>
      <c r="AL52" s="47">
        <v>0.75</v>
      </c>
      <c r="AM52" s="48">
        <f t="shared" si="7"/>
        <v>18.75</v>
      </c>
      <c r="AN52" s="48">
        <f t="shared" si="2"/>
        <v>12</v>
      </c>
      <c r="AO52" s="49">
        <f t="shared" si="8"/>
        <v>102.75</v>
      </c>
      <c r="AP52" s="49">
        <f t="shared" si="3"/>
        <v>0</v>
      </c>
      <c r="AQ52" s="50">
        <f t="shared" si="9"/>
        <v>10680</v>
      </c>
      <c r="AR52" s="81">
        <v>35.08</v>
      </c>
      <c r="AS52" s="82">
        <v>4.9200000000000017</v>
      </c>
      <c r="AT52" s="83">
        <f>AK52*AS52</f>
        <v>875.76000000000033</v>
      </c>
      <c r="AU52" s="84">
        <f t="shared" si="14"/>
        <v>133.5</v>
      </c>
      <c r="AV52" s="85">
        <v>0</v>
      </c>
      <c r="AW52" s="86"/>
      <c r="AX52" s="86"/>
      <c r="AY52" s="82"/>
      <c r="AZ52" s="87">
        <f>AT52-AU52-AW52-AX52-AY52</f>
        <v>742.26000000000033</v>
      </c>
    </row>
    <row r="53" spans="1:52" ht="16.5" thickBot="1" x14ac:dyDescent="0.3">
      <c r="A53" s="74">
        <v>625</v>
      </c>
      <c r="B53" s="75" t="s">
        <v>59</v>
      </c>
      <c r="C53" s="76"/>
      <c r="D53" s="26">
        <f t="shared" si="4"/>
        <v>0</v>
      </c>
      <c r="E53" s="27">
        <f t="shared" si="5"/>
        <v>0</v>
      </c>
      <c r="F53" s="29">
        <f t="shared" si="6"/>
        <v>0</v>
      </c>
      <c r="G53" s="30">
        <v>0</v>
      </c>
      <c r="H53" s="31">
        <v>0</v>
      </c>
      <c r="I53" s="32">
        <v>0</v>
      </c>
      <c r="J53" s="77"/>
      <c r="K53" s="33"/>
      <c r="L53" s="34">
        <v>0</v>
      </c>
      <c r="M53" s="34">
        <v>0</v>
      </c>
      <c r="N53" s="62"/>
      <c r="O53" s="34">
        <v>0</v>
      </c>
      <c r="P53" s="34">
        <v>0</v>
      </c>
      <c r="Q53" s="34">
        <v>0</v>
      </c>
      <c r="R53" s="62"/>
      <c r="S53" s="37">
        <v>0</v>
      </c>
      <c r="T53" s="34">
        <v>0</v>
      </c>
      <c r="U53" s="34">
        <v>0</v>
      </c>
      <c r="V53" s="62"/>
      <c r="W53" s="38">
        <v>0</v>
      </c>
      <c r="X53" s="31">
        <v>0</v>
      </c>
      <c r="Y53" s="31">
        <v>0</v>
      </c>
      <c r="Z53" s="78"/>
      <c r="AA53" s="37">
        <v>0</v>
      </c>
      <c r="AB53" s="34">
        <v>0</v>
      </c>
      <c r="AC53" s="34">
        <v>0</v>
      </c>
      <c r="AD53" s="64"/>
      <c r="AE53" s="79"/>
      <c r="AF53" s="64"/>
      <c r="AG53" s="43">
        <f t="shared" si="16"/>
        <v>0</v>
      </c>
      <c r="AH53" s="44">
        <f t="shared" si="16"/>
        <v>0</v>
      </c>
      <c r="AI53" s="44">
        <f t="shared" si="16"/>
        <v>0</v>
      </c>
      <c r="AJ53" s="45">
        <f t="shared" si="16"/>
        <v>0</v>
      </c>
      <c r="AK53" s="80">
        <f t="shared" si="1"/>
        <v>0</v>
      </c>
      <c r="AL53" s="47">
        <v>0.6</v>
      </c>
      <c r="AM53" s="48">
        <f t="shared" si="7"/>
        <v>0</v>
      </c>
      <c r="AN53" s="48">
        <f t="shared" si="2"/>
        <v>0</v>
      </c>
      <c r="AO53" s="49">
        <f t="shared" si="8"/>
        <v>0</v>
      </c>
      <c r="AP53" s="49">
        <f t="shared" si="3"/>
        <v>0</v>
      </c>
      <c r="AQ53" s="50">
        <f t="shared" si="9"/>
        <v>0</v>
      </c>
      <c r="AR53" s="81">
        <v>18.100000000000001</v>
      </c>
      <c r="AS53" s="82">
        <v>2.8999999999999986</v>
      </c>
      <c r="AT53" s="83">
        <f>AK53*AS53</f>
        <v>0</v>
      </c>
      <c r="AU53" s="84">
        <f t="shared" si="14"/>
        <v>0</v>
      </c>
      <c r="AV53" s="85">
        <v>0</v>
      </c>
      <c r="AW53" s="86"/>
      <c r="AX53" s="86"/>
      <c r="AY53" s="82"/>
      <c r="AZ53" s="87">
        <f>AT53-AU53-AW53-AX53-AY53</f>
        <v>0</v>
      </c>
    </row>
    <row r="54" spans="1:52" s="246" customFormat="1" ht="16.5" thickBot="1" x14ac:dyDescent="0.3">
      <c r="A54" s="90">
        <v>625</v>
      </c>
      <c r="B54" s="91" t="s">
        <v>60</v>
      </c>
      <c r="C54" s="92">
        <v>1383</v>
      </c>
      <c r="D54" s="26">
        <f t="shared" si="4"/>
        <v>461</v>
      </c>
      <c r="E54" s="27">
        <f t="shared" si="5"/>
        <v>461</v>
      </c>
      <c r="F54" s="29">
        <f t="shared" si="6"/>
        <v>461</v>
      </c>
      <c r="G54" s="30">
        <v>3</v>
      </c>
      <c r="H54" s="31">
        <v>26</v>
      </c>
      <c r="I54" s="32">
        <v>38</v>
      </c>
      <c r="J54" s="77"/>
      <c r="K54" s="33"/>
      <c r="L54" s="34">
        <v>10</v>
      </c>
      <c r="M54" s="34">
        <v>8</v>
      </c>
      <c r="N54" s="62"/>
      <c r="O54" s="34">
        <v>9</v>
      </c>
      <c r="P54" s="34">
        <v>12</v>
      </c>
      <c r="Q54" s="34">
        <v>4</v>
      </c>
      <c r="R54" s="62"/>
      <c r="S54" s="37">
        <v>11</v>
      </c>
      <c r="T54" s="34">
        <v>24</v>
      </c>
      <c r="U54" s="34">
        <v>3</v>
      </c>
      <c r="V54" s="62"/>
      <c r="W54" s="38">
        <v>2</v>
      </c>
      <c r="X54" s="31">
        <v>7</v>
      </c>
      <c r="Y54" s="31">
        <v>3</v>
      </c>
      <c r="Z54" s="78"/>
      <c r="AA54" s="37">
        <v>9</v>
      </c>
      <c r="AB54" s="34">
        <v>20</v>
      </c>
      <c r="AC54" s="34">
        <v>4</v>
      </c>
      <c r="AD54" s="78"/>
      <c r="AE54" s="93"/>
      <c r="AF54" s="78"/>
      <c r="AG54" s="43">
        <f t="shared" si="16"/>
        <v>34</v>
      </c>
      <c r="AH54" s="44">
        <f t="shared" si="16"/>
        <v>99</v>
      </c>
      <c r="AI54" s="44">
        <f t="shared" si="16"/>
        <v>60</v>
      </c>
      <c r="AJ54" s="94">
        <f t="shared" si="16"/>
        <v>0</v>
      </c>
      <c r="AK54" s="95">
        <f t="shared" si="1"/>
        <v>193</v>
      </c>
      <c r="AL54" s="246">
        <v>1</v>
      </c>
      <c r="AM54" s="48">
        <f t="shared" si="7"/>
        <v>34</v>
      </c>
      <c r="AN54" s="48">
        <f t="shared" si="2"/>
        <v>99</v>
      </c>
      <c r="AO54" s="49">
        <f t="shared" si="8"/>
        <v>60</v>
      </c>
      <c r="AP54" s="97">
        <f t="shared" si="3"/>
        <v>0</v>
      </c>
      <c r="AQ54" s="50">
        <f t="shared" si="9"/>
        <v>11580</v>
      </c>
      <c r="AR54" s="98"/>
      <c r="AS54" s="94"/>
      <c r="AT54" s="99"/>
      <c r="AU54" s="100"/>
      <c r="AV54" s="101"/>
      <c r="AW54" s="102"/>
      <c r="AX54" s="102"/>
      <c r="AY54" s="94"/>
      <c r="AZ54" s="95"/>
    </row>
    <row r="55" spans="1:52" s="246" customFormat="1" ht="16.5" thickBot="1" x14ac:dyDescent="0.3">
      <c r="A55" s="90">
        <v>375</v>
      </c>
      <c r="B55" s="91" t="s">
        <v>59</v>
      </c>
      <c r="C55" s="92">
        <v>1018</v>
      </c>
      <c r="D55" s="26">
        <f t="shared" si="4"/>
        <v>339.33333333333331</v>
      </c>
      <c r="E55" s="27">
        <f t="shared" si="5"/>
        <v>339.33333333333331</v>
      </c>
      <c r="F55" s="29">
        <f t="shared" si="6"/>
        <v>339.33333333333331</v>
      </c>
      <c r="G55" s="30">
        <v>14</v>
      </c>
      <c r="H55" s="31">
        <v>17</v>
      </c>
      <c r="I55" s="32">
        <v>11</v>
      </c>
      <c r="J55" s="77"/>
      <c r="K55" s="33"/>
      <c r="L55" s="34">
        <v>10</v>
      </c>
      <c r="M55" s="34">
        <v>3</v>
      </c>
      <c r="N55" s="62"/>
      <c r="O55" s="34">
        <v>2</v>
      </c>
      <c r="P55" s="34">
        <v>13</v>
      </c>
      <c r="Q55" s="34">
        <v>2</v>
      </c>
      <c r="R55" s="62"/>
      <c r="S55" s="37">
        <v>0</v>
      </c>
      <c r="T55" s="34">
        <v>32</v>
      </c>
      <c r="U55" s="34">
        <v>2</v>
      </c>
      <c r="V55" s="62"/>
      <c r="W55" s="38">
        <v>1</v>
      </c>
      <c r="X55" s="31">
        <v>3</v>
      </c>
      <c r="Y55" s="31">
        <v>6</v>
      </c>
      <c r="Z55" s="78"/>
      <c r="AA55" s="37">
        <v>6</v>
      </c>
      <c r="AB55" s="34">
        <v>19</v>
      </c>
      <c r="AC55" s="34">
        <v>7</v>
      </c>
      <c r="AD55" s="78"/>
      <c r="AE55" s="93"/>
      <c r="AF55" s="78"/>
      <c r="AG55" s="43">
        <f t="shared" si="16"/>
        <v>23</v>
      </c>
      <c r="AH55" s="44">
        <f t="shared" si="16"/>
        <v>94</v>
      </c>
      <c r="AI55" s="44">
        <f t="shared" si="16"/>
        <v>31</v>
      </c>
      <c r="AJ55" s="94">
        <f t="shared" si="16"/>
        <v>0</v>
      </c>
      <c r="AK55" s="95">
        <f t="shared" si="1"/>
        <v>148</v>
      </c>
      <c r="AL55" s="246">
        <v>0.75</v>
      </c>
      <c r="AM55" s="48">
        <f t="shared" si="7"/>
        <v>17.25</v>
      </c>
      <c r="AN55" s="48">
        <f t="shared" si="2"/>
        <v>70.5</v>
      </c>
      <c r="AO55" s="49">
        <f t="shared" si="8"/>
        <v>23.25</v>
      </c>
      <c r="AP55" s="97">
        <f t="shared" si="3"/>
        <v>0</v>
      </c>
      <c r="AQ55" s="50">
        <f t="shared" si="9"/>
        <v>8880</v>
      </c>
      <c r="AR55" s="98">
        <v>17.260000000000002</v>
      </c>
      <c r="AS55" s="94">
        <v>2.7399999999999984</v>
      </c>
      <c r="AT55" s="99">
        <f>AK55*AS55</f>
        <v>405.51999999999975</v>
      </c>
      <c r="AU55" s="100">
        <f>AK55*AL55</f>
        <v>111</v>
      </c>
      <c r="AV55" s="101">
        <v>0</v>
      </c>
      <c r="AW55" s="102"/>
      <c r="AX55" s="102"/>
      <c r="AY55" s="94"/>
      <c r="AZ55" s="95">
        <f>AT55-AU55-AW55-AX55-AY55</f>
        <v>294.51999999999975</v>
      </c>
    </row>
    <row r="56" spans="1:52" s="246" customFormat="1" ht="16.5" thickBot="1" x14ac:dyDescent="0.3">
      <c r="A56" s="103">
        <v>375</v>
      </c>
      <c r="B56" s="91" t="s">
        <v>61</v>
      </c>
      <c r="C56" s="92"/>
      <c r="D56" s="26">
        <f t="shared" si="4"/>
        <v>0</v>
      </c>
      <c r="E56" s="27">
        <f t="shared" si="5"/>
        <v>0</v>
      </c>
      <c r="F56" s="29">
        <f t="shared" si="6"/>
        <v>0</v>
      </c>
      <c r="G56" s="30">
        <v>0</v>
      </c>
      <c r="H56" s="31">
        <v>0</v>
      </c>
      <c r="I56" s="32">
        <v>0</v>
      </c>
      <c r="J56" s="77"/>
      <c r="K56" s="33"/>
      <c r="L56" s="34">
        <v>0</v>
      </c>
      <c r="M56" s="34">
        <v>0</v>
      </c>
      <c r="N56" s="62"/>
      <c r="O56" s="34">
        <v>0</v>
      </c>
      <c r="P56" s="34">
        <v>0</v>
      </c>
      <c r="Q56" s="34">
        <v>0</v>
      </c>
      <c r="R56" s="62"/>
      <c r="S56" s="37">
        <v>0</v>
      </c>
      <c r="T56" s="34">
        <v>0</v>
      </c>
      <c r="U56" s="34">
        <v>0</v>
      </c>
      <c r="V56" s="62"/>
      <c r="W56" s="38">
        <v>0</v>
      </c>
      <c r="X56" s="31">
        <v>0</v>
      </c>
      <c r="Y56" s="31">
        <v>0</v>
      </c>
      <c r="Z56" s="78"/>
      <c r="AA56" s="37">
        <v>0</v>
      </c>
      <c r="AB56" s="34">
        <v>0</v>
      </c>
      <c r="AC56" s="34">
        <v>0</v>
      </c>
      <c r="AD56" s="78"/>
      <c r="AE56" s="104"/>
      <c r="AF56" s="105"/>
      <c r="AG56" s="43">
        <f t="shared" si="16"/>
        <v>0</v>
      </c>
      <c r="AH56" s="44">
        <f t="shared" si="16"/>
        <v>0</v>
      </c>
      <c r="AI56" s="44">
        <f t="shared" si="16"/>
        <v>0</v>
      </c>
      <c r="AJ56" s="94">
        <f t="shared" si="16"/>
        <v>0</v>
      </c>
      <c r="AK56" s="95">
        <f t="shared" si="1"/>
        <v>0</v>
      </c>
      <c r="AL56" s="246">
        <v>0.75</v>
      </c>
      <c r="AM56" s="48">
        <f t="shared" si="7"/>
        <v>0</v>
      </c>
      <c r="AN56" s="48">
        <f t="shared" si="2"/>
        <v>0</v>
      </c>
      <c r="AO56" s="49">
        <f t="shared" si="8"/>
        <v>0</v>
      </c>
      <c r="AP56" s="97">
        <f t="shared" si="3"/>
        <v>0</v>
      </c>
      <c r="AQ56" s="50">
        <f t="shared" si="9"/>
        <v>0</v>
      </c>
      <c r="AR56" s="106"/>
      <c r="AS56" s="107"/>
      <c r="AT56" s="108"/>
      <c r="AU56" s="100"/>
      <c r="AV56" s="109"/>
      <c r="AW56" s="110"/>
      <c r="AX56" s="110"/>
      <c r="AY56" s="107"/>
      <c r="AZ56" s="111"/>
    </row>
    <row r="57" spans="1:52" s="246" customFormat="1" ht="16.5" thickBot="1" x14ac:dyDescent="0.3">
      <c r="A57" s="91">
        <v>1.3</v>
      </c>
      <c r="B57" s="91" t="s">
        <v>192</v>
      </c>
      <c r="C57" s="112">
        <v>1425</v>
      </c>
      <c r="D57" s="26">
        <f t="shared" si="4"/>
        <v>475</v>
      </c>
      <c r="E57" s="27">
        <f t="shared" si="5"/>
        <v>475</v>
      </c>
      <c r="F57" s="29">
        <f t="shared" si="6"/>
        <v>475</v>
      </c>
      <c r="G57" s="30">
        <v>0</v>
      </c>
      <c r="H57" s="31">
        <v>0</v>
      </c>
      <c r="I57" s="32">
        <v>0</v>
      </c>
      <c r="J57" s="113"/>
      <c r="K57" s="33"/>
      <c r="L57" s="34">
        <v>0</v>
      </c>
      <c r="M57" s="34">
        <v>0</v>
      </c>
      <c r="N57" s="114"/>
      <c r="O57" s="34">
        <v>0</v>
      </c>
      <c r="P57" s="34">
        <v>0</v>
      </c>
      <c r="Q57" s="34">
        <v>0</v>
      </c>
      <c r="R57" s="114"/>
      <c r="S57" s="37">
        <v>0</v>
      </c>
      <c r="T57" s="34">
        <v>0</v>
      </c>
      <c r="U57" s="34">
        <v>0</v>
      </c>
      <c r="V57" s="114"/>
      <c r="W57" s="38">
        <v>0</v>
      </c>
      <c r="X57" s="31">
        <v>0</v>
      </c>
      <c r="Y57" s="31">
        <v>0</v>
      </c>
      <c r="Z57" s="78"/>
      <c r="AA57" s="37">
        <v>0</v>
      </c>
      <c r="AB57" s="34">
        <v>0</v>
      </c>
      <c r="AC57" s="34">
        <v>0</v>
      </c>
      <c r="AD57" s="78"/>
      <c r="AE57" s="104"/>
      <c r="AF57" s="105"/>
      <c r="AG57" s="43">
        <f t="shared" si="16"/>
        <v>0</v>
      </c>
      <c r="AH57" s="44">
        <f t="shared" si="16"/>
        <v>0</v>
      </c>
      <c r="AI57" s="44">
        <f t="shared" si="16"/>
        <v>0</v>
      </c>
      <c r="AJ57" s="94">
        <f t="shared" si="16"/>
        <v>0</v>
      </c>
      <c r="AK57" s="95">
        <f t="shared" si="1"/>
        <v>0</v>
      </c>
      <c r="AL57" s="246">
        <v>0.75</v>
      </c>
      <c r="AM57" s="48">
        <f t="shared" si="7"/>
        <v>0</v>
      </c>
      <c r="AN57" s="48">
        <f t="shared" si="2"/>
        <v>0</v>
      </c>
      <c r="AO57" s="49">
        <f t="shared" si="8"/>
        <v>0</v>
      </c>
      <c r="AP57" s="97">
        <f t="shared" si="3"/>
        <v>0</v>
      </c>
      <c r="AQ57" s="50">
        <f t="shared" si="9"/>
        <v>0</v>
      </c>
      <c r="AR57" s="106"/>
      <c r="AS57" s="107"/>
      <c r="AT57" s="115"/>
      <c r="AU57" s="100">
        <f>AK57*AL57</f>
        <v>0</v>
      </c>
      <c r="AV57" s="109"/>
      <c r="AW57" s="110"/>
      <c r="AX57" s="110"/>
      <c r="AY57" s="107"/>
      <c r="AZ57" s="116"/>
    </row>
    <row r="58" spans="1:52" s="246" customFormat="1" ht="16.5" thickBot="1" x14ac:dyDescent="0.3">
      <c r="A58" s="90">
        <v>1000</v>
      </c>
      <c r="B58" s="91" t="s">
        <v>191</v>
      </c>
      <c r="C58" s="92"/>
      <c r="D58" s="26">
        <f t="shared" si="4"/>
        <v>0</v>
      </c>
      <c r="E58" s="27">
        <f t="shared" si="5"/>
        <v>0</v>
      </c>
      <c r="F58" s="29">
        <f t="shared" si="6"/>
        <v>0</v>
      </c>
      <c r="G58" s="30">
        <v>8</v>
      </c>
      <c r="H58" s="31">
        <v>30</v>
      </c>
      <c r="I58" s="32">
        <v>15</v>
      </c>
      <c r="J58" s="77"/>
      <c r="K58" s="33"/>
      <c r="L58" s="34">
        <v>10</v>
      </c>
      <c r="M58" s="34">
        <v>8</v>
      </c>
      <c r="N58" s="62"/>
      <c r="O58" s="34">
        <v>8</v>
      </c>
      <c r="P58" s="34">
        <v>20</v>
      </c>
      <c r="Q58" s="34">
        <v>6</v>
      </c>
      <c r="R58" s="62"/>
      <c r="S58" s="37">
        <v>15</v>
      </c>
      <c r="T58" s="34">
        <v>10</v>
      </c>
      <c r="U58" s="34">
        <v>8</v>
      </c>
      <c r="V58" s="62"/>
      <c r="W58" s="38">
        <v>5</v>
      </c>
      <c r="X58" s="31">
        <v>5</v>
      </c>
      <c r="Y58" s="31">
        <v>9</v>
      </c>
      <c r="Z58" s="78"/>
      <c r="AA58" s="37">
        <v>7</v>
      </c>
      <c r="AB58" s="34">
        <v>14</v>
      </c>
      <c r="AC58" s="34">
        <v>2</v>
      </c>
      <c r="AD58" s="78"/>
      <c r="AE58" s="93"/>
      <c r="AF58" s="78"/>
      <c r="AG58" s="43">
        <f t="shared" si="16"/>
        <v>43</v>
      </c>
      <c r="AH58" s="44">
        <f t="shared" si="16"/>
        <v>89</v>
      </c>
      <c r="AI58" s="44">
        <f t="shared" si="16"/>
        <v>48</v>
      </c>
      <c r="AJ58" s="94">
        <f t="shared" si="16"/>
        <v>0</v>
      </c>
      <c r="AK58" s="95">
        <f t="shared" si="1"/>
        <v>180</v>
      </c>
      <c r="AL58" s="246">
        <v>1</v>
      </c>
      <c r="AM58" s="48">
        <f t="shared" si="7"/>
        <v>43</v>
      </c>
      <c r="AN58" s="48">
        <f t="shared" si="2"/>
        <v>89</v>
      </c>
      <c r="AO58" s="49">
        <f t="shared" si="8"/>
        <v>48</v>
      </c>
      <c r="AP58" s="97">
        <f t="shared" si="3"/>
        <v>0</v>
      </c>
      <c r="AQ58" s="50">
        <f t="shared" si="9"/>
        <v>10800</v>
      </c>
      <c r="AR58" s="98">
        <v>20.59</v>
      </c>
      <c r="AS58" s="94">
        <v>3.41</v>
      </c>
      <c r="AT58" s="99">
        <f>AK58*AS58</f>
        <v>613.80000000000007</v>
      </c>
      <c r="AU58" s="100">
        <f>AK58*AL58</f>
        <v>180</v>
      </c>
      <c r="AV58" s="101">
        <v>0</v>
      </c>
      <c r="AW58" s="102"/>
      <c r="AX58" s="102"/>
      <c r="AY58" s="94"/>
      <c r="AZ58" s="95">
        <f>AT58-AU58-AW58-AX58-AY58</f>
        <v>433.80000000000007</v>
      </c>
    </row>
    <row r="59" spans="1:52" s="246" customFormat="1" ht="16.5" thickBot="1" x14ac:dyDescent="0.3">
      <c r="A59" s="90">
        <v>3300</v>
      </c>
      <c r="B59" s="91" t="s">
        <v>62</v>
      </c>
      <c r="C59" s="92"/>
      <c r="D59" s="26">
        <f t="shared" si="4"/>
        <v>0</v>
      </c>
      <c r="E59" s="27">
        <f t="shared" si="5"/>
        <v>0</v>
      </c>
      <c r="F59" s="29">
        <f t="shared" si="6"/>
        <v>0</v>
      </c>
      <c r="G59" s="30">
        <v>0</v>
      </c>
      <c r="H59" s="31">
        <v>0</v>
      </c>
      <c r="I59" s="32">
        <v>0</v>
      </c>
      <c r="J59" s="77"/>
      <c r="K59" s="33"/>
      <c r="L59" s="34">
        <v>0</v>
      </c>
      <c r="M59" s="34">
        <v>0</v>
      </c>
      <c r="N59" s="62"/>
      <c r="O59" s="34">
        <v>0</v>
      </c>
      <c r="P59" s="34">
        <v>0</v>
      </c>
      <c r="Q59" s="34">
        <v>0</v>
      </c>
      <c r="R59" s="62"/>
      <c r="S59" s="37">
        <v>0</v>
      </c>
      <c r="T59" s="34">
        <v>0</v>
      </c>
      <c r="U59" s="34">
        <v>0</v>
      </c>
      <c r="V59" s="62"/>
      <c r="W59" s="38">
        <v>0</v>
      </c>
      <c r="X59" s="31">
        <v>0</v>
      </c>
      <c r="Y59" s="31">
        <v>0</v>
      </c>
      <c r="Z59" s="78"/>
      <c r="AA59" s="37">
        <v>0</v>
      </c>
      <c r="AB59" s="34">
        <v>0</v>
      </c>
      <c r="AC59" s="34">
        <v>0</v>
      </c>
      <c r="AD59" s="78"/>
      <c r="AE59" s="93"/>
      <c r="AF59" s="78"/>
      <c r="AG59" s="43">
        <f t="shared" si="16"/>
        <v>0</v>
      </c>
      <c r="AH59" s="44">
        <f t="shared" si="16"/>
        <v>0</v>
      </c>
      <c r="AI59" s="44">
        <f t="shared" si="16"/>
        <v>0</v>
      </c>
      <c r="AJ59" s="94">
        <f t="shared" si="16"/>
        <v>0</v>
      </c>
      <c r="AK59" s="95">
        <f t="shared" si="1"/>
        <v>0</v>
      </c>
      <c r="AL59" s="246">
        <v>1</v>
      </c>
      <c r="AM59" s="48">
        <f t="shared" si="7"/>
        <v>0</v>
      </c>
      <c r="AN59" s="48">
        <f t="shared" si="2"/>
        <v>0</v>
      </c>
      <c r="AO59" s="49">
        <f t="shared" si="8"/>
        <v>0</v>
      </c>
      <c r="AP59" s="97">
        <f t="shared" si="3"/>
        <v>0</v>
      </c>
      <c r="AQ59" s="50">
        <f t="shared" si="9"/>
        <v>0</v>
      </c>
      <c r="AR59" s="98"/>
      <c r="AS59" s="94"/>
      <c r="AT59" s="99"/>
      <c r="AU59" s="100"/>
      <c r="AV59" s="101"/>
      <c r="AW59" s="102"/>
      <c r="AX59" s="102"/>
      <c r="AY59" s="94"/>
      <c r="AZ59" s="95"/>
    </row>
    <row r="60" spans="1:52" s="246" customFormat="1" ht="16.5" thickBot="1" x14ac:dyDescent="0.3">
      <c r="A60" s="90">
        <v>145</v>
      </c>
      <c r="B60" s="91" t="s">
        <v>63</v>
      </c>
      <c r="C60" s="92">
        <v>146</v>
      </c>
      <c r="D60" s="26">
        <f t="shared" si="4"/>
        <v>48.666666666666664</v>
      </c>
      <c r="E60" s="27">
        <f t="shared" si="5"/>
        <v>48.666666666666664</v>
      </c>
      <c r="F60" s="29">
        <f t="shared" si="6"/>
        <v>48.666666666666664</v>
      </c>
      <c r="G60" s="30">
        <v>11</v>
      </c>
      <c r="H60" s="31">
        <v>0</v>
      </c>
      <c r="I60" s="32">
        <v>0</v>
      </c>
      <c r="J60" s="77"/>
      <c r="K60" s="33"/>
      <c r="L60" s="34">
        <v>0</v>
      </c>
      <c r="M60" s="34">
        <v>0</v>
      </c>
      <c r="N60" s="62"/>
      <c r="O60" s="34">
        <v>0</v>
      </c>
      <c r="P60" s="34">
        <v>0</v>
      </c>
      <c r="Q60" s="34">
        <v>0</v>
      </c>
      <c r="R60" s="62"/>
      <c r="S60" s="37">
        <v>0</v>
      </c>
      <c r="T60" s="34">
        <v>0</v>
      </c>
      <c r="U60" s="34">
        <v>0</v>
      </c>
      <c r="V60" s="62"/>
      <c r="W60" s="38">
        <v>0</v>
      </c>
      <c r="X60" s="31">
        <v>0</v>
      </c>
      <c r="Y60" s="31">
        <v>0</v>
      </c>
      <c r="Z60" s="78"/>
      <c r="AA60" s="37">
        <v>0</v>
      </c>
      <c r="AB60" s="34">
        <v>0</v>
      </c>
      <c r="AC60" s="34">
        <v>0</v>
      </c>
      <c r="AD60" s="78"/>
      <c r="AE60" s="93"/>
      <c r="AF60" s="78"/>
      <c r="AG60" s="43">
        <f t="shared" si="16"/>
        <v>11</v>
      </c>
      <c r="AH60" s="44">
        <f t="shared" si="16"/>
        <v>0</v>
      </c>
      <c r="AI60" s="44">
        <f t="shared" si="16"/>
        <v>0</v>
      </c>
      <c r="AJ60" s="94">
        <f t="shared" si="16"/>
        <v>0</v>
      </c>
      <c r="AK60" s="95">
        <f t="shared" si="1"/>
        <v>11</v>
      </c>
      <c r="AL60" s="246">
        <v>0.75</v>
      </c>
      <c r="AM60" s="48">
        <f t="shared" si="7"/>
        <v>8.25</v>
      </c>
      <c r="AN60" s="48">
        <f t="shared" si="2"/>
        <v>0</v>
      </c>
      <c r="AO60" s="49">
        <f t="shared" si="8"/>
        <v>0</v>
      </c>
      <c r="AP60" s="97">
        <f t="shared" si="3"/>
        <v>0</v>
      </c>
      <c r="AQ60" s="50">
        <f t="shared" si="9"/>
        <v>660</v>
      </c>
      <c r="AR60" s="98">
        <v>26.4</v>
      </c>
      <c r="AS60" s="94">
        <v>3.6000000000000014</v>
      </c>
      <c r="AT60" s="99">
        <f>AK60*AS60</f>
        <v>39.600000000000016</v>
      </c>
      <c r="AU60" s="100">
        <f>AK60*AL60</f>
        <v>8.25</v>
      </c>
      <c r="AV60" s="101">
        <v>0</v>
      </c>
      <c r="AW60" s="102"/>
      <c r="AX60" s="102"/>
      <c r="AY60" s="94"/>
      <c r="AZ60" s="95">
        <f>AT60-AU60-AW60-AX60-AY60</f>
        <v>31.350000000000016</v>
      </c>
    </row>
    <row r="61" spans="1:52" s="246" customFormat="1" ht="16.5" thickBot="1" x14ac:dyDescent="0.3">
      <c r="A61" s="90"/>
      <c r="B61" s="91" t="s">
        <v>64</v>
      </c>
      <c r="C61" s="92">
        <v>146</v>
      </c>
      <c r="D61" s="26">
        <f t="shared" si="4"/>
        <v>48.666666666666664</v>
      </c>
      <c r="E61" s="27">
        <f t="shared" si="5"/>
        <v>48.666666666666664</v>
      </c>
      <c r="F61" s="29">
        <f t="shared" si="6"/>
        <v>48.666666666666664</v>
      </c>
      <c r="G61" s="30">
        <v>0</v>
      </c>
      <c r="H61" s="31">
        <v>3</v>
      </c>
      <c r="I61" s="32">
        <v>18</v>
      </c>
      <c r="J61" s="77"/>
      <c r="K61" s="33"/>
      <c r="L61" s="34">
        <v>24</v>
      </c>
      <c r="M61" s="34">
        <v>13</v>
      </c>
      <c r="N61" s="62"/>
      <c r="O61" s="34">
        <v>32</v>
      </c>
      <c r="P61" s="34">
        <v>5</v>
      </c>
      <c r="Q61" s="34">
        <v>31</v>
      </c>
      <c r="R61" s="62"/>
      <c r="S61" s="37">
        <v>5</v>
      </c>
      <c r="T61" s="34">
        <v>9</v>
      </c>
      <c r="U61" s="34">
        <v>7</v>
      </c>
      <c r="V61" s="62"/>
      <c r="W61" s="38">
        <v>19</v>
      </c>
      <c r="X61" s="31">
        <v>15</v>
      </c>
      <c r="Y61" s="31">
        <v>20</v>
      </c>
      <c r="Z61" s="78"/>
      <c r="AA61" s="37">
        <v>30</v>
      </c>
      <c r="AB61" s="34">
        <v>3</v>
      </c>
      <c r="AC61" s="34">
        <v>30</v>
      </c>
      <c r="AD61" s="78"/>
      <c r="AE61" s="93"/>
      <c r="AF61" s="78"/>
      <c r="AG61" s="43">
        <f t="shared" si="16"/>
        <v>86</v>
      </c>
      <c r="AH61" s="44">
        <f t="shared" si="16"/>
        <v>59</v>
      </c>
      <c r="AI61" s="44">
        <f t="shared" si="16"/>
        <v>119</v>
      </c>
      <c r="AJ61" s="94">
        <f t="shared" si="16"/>
        <v>0</v>
      </c>
      <c r="AK61" s="95">
        <f t="shared" si="1"/>
        <v>264</v>
      </c>
      <c r="AL61" s="246">
        <v>0.75</v>
      </c>
      <c r="AM61" s="48">
        <f t="shared" si="7"/>
        <v>64.5</v>
      </c>
      <c r="AN61" s="48">
        <f t="shared" si="2"/>
        <v>44.25</v>
      </c>
      <c r="AO61" s="49">
        <f t="shared" si="8"/>
        <v>89.25</v>
      </c>
      <c r="AP61" s="97">
        <f t="shared" si="3"/>
        <v>0</v>
      </c>
      <c r="AQ61" s="50">
        <f t="shared" si="9"/>
        <v>15840</v>
      </c>
      <c r="AR61" s="98"/>
      <c r="AS61" s="94"/>
      <c r="AT61" s="99"/>
      <c r="AU61" s="100"/>
      <c r="AV61" s="101"/>
      <c r="AW61" s="102"/>
      <c r="AX61" s="102"/>
      <c r="AY61" s="94"/>
      <c r="AZ61" s="95"/>
    </row>
    <row r="62" spans="1:52" s="246" customFormat="1" ht="16.5" thickBot="1" x14ac:dyDescent="0.3">
      <c r="A62" s="90"/>
      <c r="B62" s="91" t="s">
        <v>65</v>
      </c>
      <c r="C62" s="92"/>
      <c r="D62" s="26">
        <f t="shared" si="4"/>
        <v>0</v>
      </c>
      <c r="E62" s="27">
        <f t="shared" si="5"/>
        <v>0</v>
      </c>
      <c r="F62" s="29">
        <f t="shared" si="6"/>
        <v>0</v>
      </c>
      <c r="G62" s="30">
        <v>0</v>
      </c>
      <c r="H62" s="31">
        <v>0</v>
      </c>
      <c r="I62" s="32">
        <v>0</v>
      </c>
      <c r="J62" s="77"/>
      <c r="K62" s="33"/>
      <c r="L62" s="34">
        <v>0</v>
      </c>
      <c r="M62" s="34">
        <v>0</v>
      </c>
      <c r="N62" s="62"/>
      <c r="O62" s="34">
        <v>0</v>
      </c>
      <c r="P62" s="34">
        <v>0</v>
      </c>
      <c r="Q62" s="34">
        <v>0</v>
      </c>
      <c r="R62" s="62"/>
      <c r="S62" s="37">
        <v>0</v>
      </c>
      <c r="T62" s="34">
        <v>0</v>
      </c>
      <c r="U62" s="34">
        <v>0</v>
      </c>
      <c r="V62" s="62"/>
      <c r="W62" s="38">
        <v>0</v>
      </c>
      <c r="X62" s="31">
        <v>0</v>
      </c>
      <c r="Y62" s="31">
        <v>0</v>
      </c>
      <c r="Z62" s="78"/>
      <c r="AA62" s="37">
        <v>0</v>
      </c>
      <c r="AB62" s="34">
        <v>0</v>
      </c>
      <c r="AC62" s="34">
        <v>0</v>
      </c>
      <c r="AD62" s="78"/>
      <c r="AE62" s="93"/>
      <c r="AF62" s="78"/>
      <c r="AG62" s="43">
        <f t="shared" si="16"/>
        <v>0</v>
      </c>
      <c r="AH62" s="44">
        <f t="shared" si="16"/>
        <v>0</v>
      </c>
      <c r="AI62" s="44">
        <f t="shared" si="16"/>
        <v>0</v>
      </c>
      <c r="AJ62" s="94">
        <f t="shared" si="16"/>
        <v>0</v>
      </c>
      <c r="AK62" s="95">
        <f t="shared" si="1"/>
        <v>0</v>
      </c>
      <c r="AL62" s="246">
        <v>0.75</v>
      </c>
      <c r="AM62" s="48">
        <f t="shared" si="7"/>
        <v>0</v>
      </c>
      <c r="AN62" s="48">
        <f t="shared" si="2"/>
        <v>0</v>
      </c>
      <c r="AO62" s="49">
        <f t="shared" si="8"/>
        <v>0</v>
      </c>
      <c r="AP62" s="97">
        <f t="shared" si="3"/>
        <v>0</v>
      </c>
      <c r="AQ62" s="50">
        <f t="shared" si="9"/>
        <v>0</v>
      </c>
      <c r="AR62" s="98"/>
      <c r="AS62" s="94"/>
      <c r="AT62" s="99"/>
      <c r="AU62" s="100"/>
      <c r="AV62" s="101"/>
      <c r="AW62" s="102"/>
      <c r="AX62" s="102"/>
      <c r="AY62" s="94"/>
      <c r="AZ62" s="95"/>
    </row>
    <row r="63" spans="1:52" s="246" customFormat="1" ht="16.5" thickBot="1" x14ac:dyDescent="0.3">
      <c r="A63" s="90"/>
      <c r="B63" s="91" t="s">
        <v>66</v>
      </c>
      <c r="C63" s="92"/>
      <c r="D63" s="26">
        <f t="shared" si="4"/>
        <v>0</v>
      </c>
      <c r="E63" s="27">
        <f t="shared" si="5"/>
        <v>0</v>
      </c>
      <c r="F63" s="29">
        <f t="shared" si="6"/>
        <v>0</v>
      </c>
      <c r="G63" s="30">
        <v>0</v>
      </c>
      <c r="H63" s="31">
        <v>0</v>
      </c>
      <c r="I63" s="32">
        <v>0</v>
      </c>
      <c r="J63" s="77"/>
      <c r="K63" s="33"/>
      <c r="L63" s="34">
        <v>0</v>
      </c>
      <c r="M63" s="34">
        <v>0</v>
      </c>
      <c r="N63" s="62"/>
      <c r="O63" s="34">
        <v>0</v>
      </c>
      <c r="P63" s="34">
        <v>0</v>
      </c>
      <c r="Q63" s="34">
        <v>0</v>
      </c>
      <c r="R63" s="62"/>
      <c r="S63" s="37">
        <v>0</v>
      </c>
      <c r="T63" s="34">
        <v>0</v>
      </c>
      <c r="U63" s="34">
        <v>0</v>
      </c>
      <c r="V63" s="62"/>
      <c r="W63" s="38">
        <v>0</v>
      </c>
      <c r="X63" s="31">
        <v>0</v>
      </c>
      <c r="Y63" s="31">
        <v>0</v>
      </c>
      <c r="Z63" s="78"/>
      <c r="AA63" s="37">
        <v>0</v>
      </c>
      <c r="AB63" s="34">
        <v>0</v>
      </c>
      <c r="AC63" s="34">
        <v>0</v>
      </c>
      <c r="AD63" s="78"/>
      <c r="AE63" s="93"/>
      <c r="AF63" s="78"/>
      <c r="AG63" s="43">
        <f t="shared" si="16"/>
        <v>0</v>
      </c>
      <c r="AH63" s="44">
        <f t="shared" si="16"/>
        <v>0</v>
      </c>
      <c r="AI63" s="44">
        <f t="shared" si="16"/>
        <v>0</v>
      </c>
      <c r="AJ63" s="94">
        <f t="shared" si="16"/>
        <v>0</v>
      </c>
      <c r="AK63" s="95">
        <f t="shared" si="1"/>
        <v>0</v>
      </c>
      <c r="AL63" s="246">
        <v>0.75</v>
      </c>
      <c r="AM63" s="48">
        <f t="shared" si="7"/>
        <v>0</v>
      </c>
      <c r="AN63" s="48">
        <f t="shared" si="2"/>
        <v>0</v>
      </c>
      <c r="AO63" s="49">
        <f t="shared" si="8"/>
        <v>0</v>
      </c>
      <c r="AP63" s="97">
        <f t="shared" si="3"/>
        <v>0</v>
      </c>
      <c r="AQ63" s="50">
        <f t="shared" si="9"/>
        <v>0</v>
      </c>
      <c r="AR63" s="98"/>
      <c r="AS63" s="94"/>
      <c r="AT63" s="99"/>
      <c r="AU63" s="100"/>
      <c r="AV63" s="101"/>
      <c r="AW63" s="102"/>
      <c r="AX63" s="102"/>
      <c r="AY63" s="94"/>
      <c r="AZ63" s="95"/>
    </row>
    <row r="64" spans="1:52" s="246" customFormat="1" ht="16.5" thickBot="1" x14ac:dyDescent="0.3">
      <c r="A64" s="90">
        <v>145</v>
      </c>
      <c r="B64" s="91" t="s">
        <v>67</v>
      </c>
      <c r="C64" s="92"/>
      <c r="D64" s="26">
        <f t="shared" si="4"/>
        <v>0</v>
      </c>
      <c r="E64" s="27">
        <f t="shared" si="5"/>
        <v>0</v>
      </c>
      <c r="F64" s="29">
        <f t="shared" si="6"/>
        <v>0</v>
      </c>
      <c r="G64" s="30">
        <v>0</v>
      </c>
      <c r="H64" s="31">
        <v>0</v>
      </c>
      <c r="I64" s="32">
        <v>0</v>
      </c>
      <c r="J64" s="77"/>
      <c r="K64" s="33"/>
      <c r="L64" s="34">
        <v>0</v>
      </c>
      <c r="M64" s="34">
        <v>0</v>
      </c>
      <c r="N64" s="62"/>
      <c r="O64" s="34">
        <v>0</v>
      </c>
      <c r="P64" s="34">
        <v>0</v>
      </c>
      <c r="Q64" s="34">
        <v>0</v>
      </c>
      <c r="R64" s="62"/>
      <c r="S64" s="37">
        <v>0</v>
      </c>
      <c r="T64" s="34">
        <v>0</v>
      </c>
      <c r="U64" s="34">
        <v>0</v>
      </c>
      <c r="V64" s="62"/>
      <c r="W64" s="38">
        <v>0</v>
      </c>
      <c r="X64" s="31">
        <v>0</v>
      </c>
      <c r="Y64" s="31">
        <v>0</v>
      </c>
      <c r="Z64" s="78"/>
      <c r="AA64" s="37">
        <v>0</v>
      </c>
      <c r="AB64" s="34">
        <v>0</v>
      </c>
      <c r="AC64" s="34">
        <v>0</v>
      </c>
      <c r="AD64" s="78"/>
      <c r="AE64" s="93"/>
      <c r="AF64" s="78"/>
      <c r="AG64" s="43">
        <f t="shared" si="16"/>
        <v>0</v>
      </c>
      <c r="AH64" s="44">
        <f t="shared" si="16"/>
        <v>0</v>
      </c>
      <c r="AI64" s="44">
        <f t="shared" si="16"/>
        <v>0</v>
      </c>
      <c r="AJ64" s="94">
        <f t="shared" si="16"/>
        <v>0</v>
      </c>
      <c r="AK64" s="95">
        <f t="shared" si="1"/>
        <v>0</v>
      </c>
      <c r="AL64" s="246">
        <v>0.75</v>
      </c>
      <c r="AM64" s="48">
        <f t="shared" si="7"/>
        <v>0</v>
      </c>
      <c r="AN64" s="48">
        <f t="shared" si="2"/>
        <v>0</v>
      </c>
      <c r="AO64" s="49">
        <f t="shared" si="8"/>
        <v>0</v>
      </c>
      <c r="AP64" s="97">
        <f t="shared" si="3"/>
        <v>0</v>
      </c>
      <c r="AQ64" s="50">
        <f t="shared" si="9"/>
        <v>0</v>
      </c>
      <c r="AR64" s="98"/>
      <c r="AS64" s="94"/>
      <c r="AT64" s="99"/>
      <c r="AU64" s="100"/>
      <c r="AV64" s="101"/>
      <c r="AW64" s="102"/>
      <c r="AX64" s="102"/>
      <c r="AY64" s="94"/>
      <c r="AZ64" s="95"/>
    </row>
    <row r="65" spans="1:52" s="246" customFormat="1" ht="16.5" thickBot="1" x14ac:dyDescent="0.3">
      <c r="A65" s="90">
        <v>145</v>
      </c>
      <c r="B65" s="91" t="s">
        <v>68</v>
      </c>
      <c r="C65" s="92"/>
      <c r="D65" s="26">
        <f t="shared" si="4"/>
        <v>0</v>
      </c>
      <c r="E65" s="27">
        <f t="shared" si="5"/>
        <v>0</v>
      </c>
      <c r="F65" s="29">
        <f t="shared" si="6"/>
        <v>0</v>
      </c>
      <c r="G65" s="30">
        <v>0</v>
      </c>
      <c r="H65" s="31">
        <v>0</v>
      </c>
      <c r="I65" s="32">
        <v>0</v>
      </c>
      <c r="J65" s="77"/>
      <c r="K65" s="33"/>
      <c r="L65" s="34">
        <v>0</v>
      </c>
      <c r="M65" s="34">
        <v>0</v>
      </c>
      <c r="N65" s="62"/>
      <c r="O65" s="34">
        <v>0</v>
      </c>
      <c r="P65" s="34">
        <v>0</v>
      </c>
      <c r="Q65" s="34">
        <v>0</v>
      </c>
      <c r="R65" s="62"/>
      <c r="S65" s="37">
        <v>0</v>
      </c>
      <c r="T65" s="34">
        <v>0</v>
      </c>
      <c r="U65" s="34">
        <v>0</v>
      </c>
      <c r="V65" s="62"/>
      <c r="W65" s="38">
        <v>0</v>
      </c>
      <c r="X65" s="31">
        <v>0</v>
      </c>
      <c r="Y65" s="31">
        <v>0</v>
      </c>
      <c r="Z65" s="78"/>
      <c r="AA65" s="37">
        <v>0</v>
      </c>
      <c r="AB65" s="34">
        <v>0</v>
      </c>
      <c r="AC65" s="34">
        <v>0</v>
      </c>
      <c r="AD65" s="78"/>
      <c r="AE65" s="93"/>
      <c r="AF65" s="78"/>
      <c r="AG65" s="43">
        <f t="shared" si="16"/>
        <v>0</v>
      </c>
      <c r="AH65" s="44">
        <f t="shared" si="16"/>
        <v>0</v>
      </c>
      <c r="AI65" s="44">
        <f t="shared" si="16"/>
        <v>0</v>
      </c>
      <c r="AJ65" s="94">
        <f t="shared" si="16"/>
        <v>0</v>
      </c>
      <c r="AK65" s="95">
        <f t="shared" si="1"/>
        <v>0</v>
      </c>
      <c r="AL65" s="246">
        <v>0.75</v>
      </c>
      <c r="AM65" s="48">
        <f t="shared" si="7"/>
        <v>0</v>
      </c>
      <c r="AN65" s="48">
        <f t="shared" si="2"/>
        <v>0</v>
      </c>
      <c r="AO65" s="49">
        <f t="shared" si="8"/>
        <v>0</v>
      </c>
      <c r="AP65" s="97">
        <f t="shared" si="3"/>
        <v>0</v>
      </c>
      <c r="AQ65" s="50">
        <f t="shared" si="9"/>
        <v>0</v>
      </c>
      <c r="AR65" s="98"/>
      <c r="AS65" s="94"/>
      <c r="AT65" s="99"/>
      <c r="AU65" s="100"/>
      <c r="AV65" s="101"/>
      <c r="AW65" s="102"/>
      <c r="AX65" s="102"/>
      <c r="AY65" s="94"/>
      <c r="AZ65" s="95"/>
    </row>
    <row r="66" spans="1:52" s="246" customFormat="1" ht="16.5" thickBot="1" x14ac:dyDescent="0.3">
      <c r="A66" s="90">
        <v>145</v>
      </c>
      <c r="B66" s="91" t="s">
        <v>69</v>
      </c>
      <c r="C66" s="92"/>
      <c r="D66" s="26">
        <f t="shared" si="4"/>
        <v>0</v>
      </c>
      <c r="E66" s="27">
        <f t="shared" si="5"/>
        <v>0</v>
      </c>
      <c r="F66" s="29">
        <f t="shared" si="6"/>
        <v>0</v>
      </c>
      <c r="G66" s="30">
        <v>0</v>
      </c>
      <c r="H66" s="31">
        <v>0</v>
      </c>
      <c r="I66" s="32">
        <v>0</v>
      </c>
      <c r="J66" s="77"/>
      <c r="K66" s="33"/>
      <c r="L66" s="34">
        <v>0</v>
      </c>
      <c r="M66" s="34">
        <v>0</v>
      </c>
      <c r="N66" s="62"/>
      <c r="O66" s="34">
        <v>0</v>
      </c>
      <c r="P66" s="34">
        <v>0</v>
      </c>
      <c r="Q66" s="34">
        <v>0</v>
      </c>
      <c r="R66" s="62"/>
      <c r="S66" s="37">
        <v>0</v>
      </c>
      <c r="T66" s="34">
        <v>0</v>
      </c>
      <c r="U66" s="34">
        <v>0</v>
      </c>
      <c r="V66" s="62"/>
      <c r="W66" s="38">
        <v>0</v>
      </c>
      <c r="X66" s="31">
        <v>0</v>
      </c>
      <c r="Y66" s="31">
        <v>0</v>
      </c>
      <c r="Z66" s="78"/>
      <c r="AA66" s="37">
        <v>0</v>
      </c>
      <c r="AB66" s="34">
        <v>0</v>
      </c>
      <c r="AC66" s="34">
        <v>0</v>
      </c>
      <c r="AD66" s="78"/>
      <c r="AE66" s="93"/>
      <c r="AF66" s="78"/>
      <c r="AG66" s="43">
        <f t="shared" si="16"/>
        <v>0</v>
      </c>
      <c r="AH66" s="44">
        <f t="shared" si="16"/>
        <v>0</v>
      </c>
      <c r="AI66" s="44">
        <f t="shared" si="16"/>
        <v>0</v>
      </c>
      <c r="AJ66" s="94">
        <f t="shared" si="16"/>
        <v>0</v>
      </c>
      <c r="AK66" s="95">
        <f t="shared" si="1"/>
        <v>0</v>
      </c>
      <c r="AL66" s="246">
        <v>0.75</v>
      </c>
      <c r="AM66" s="48">
        <f t="shared" si="7"/>
        <v>0</v>
      </c>
      <c r="AN66" s="48">
        <f t="shared" si="2"/>
        <v>0</v>
      </c>
      <c r="AO66" s="49">
        <f t="shared" si="8"/>
        <v>0</v>
      </c>
      <c r="AP66" s="97">
        <f t="shared" si="3"/>
        <v>0</v>
      </c>
      <c r="AQ66" s="50">
        <f t="shared" si="9"/>
        <v>0</v>
      </c>
      <c r="AR66" s="98"/>
      <c r="AS66" s="94"/>
      <c r="AT66" s="99"/>
      <c r="AU66" s="100"/>
      <c r="AV66" s="101"/>
      <c r="AW66" s="102"/>
      <c r="AX66" s="102"/>
      <c r="AY66" s="94"/>
      <c r="AZ66" s="95"/>
    </row>
    <row r="67" spans="1:52" s="246" customFormat="1" ht="16.5" thickBot="1" x14ac:dyDescent="0.3">
      <c r="A67" s="90"/>
      <c r="B67" s="91" t="s">
        <v>70</v>
      </c>
      <c r="C67" s="92"/>
      <c r="D67" s="26">
        <f t="shared" si="4"/>
        <v>0</v>
      </c>
      <c r="E67" s="27">
        <f t="shared" si="5"/>
        <v>0</v>
      </c>
      <c r="F67" s="29">
        <f t="shared" si="6"/>
        <v>0</v>
      </c>
      <c r="G67" s="30">
        <v>0</v>
      </c>
      <c r="H67" s="31">
        <v>0</v>
      </c>
      <c r="I67" s="32">
        <v>0</v>
      </c>
      <c r="J67" s="77"/>
      <c r="K67" s="33"/>
      <c r="L67" s="34">
        <v>0</v>
      </c>
      <c r="M67" s="34">
        <v>0</v>
      </c>
      <c r="N67" s="62"/>
      <c r="O67" s="34">
        <v>0</v>
      </c>
      <c r="P67" s="34">
        <v>0</v>
      </c>
      <c r="Q67" s="34">
        <v>0</v>
      </c>
      <c r="R67" s="62"/>
      <c r="S67" s="37">
        <v>0</v>
      </c>
      <c r="T67" s="34">
        <v>0</v>
      </c>
      <c r="U67" s="34">
        <v>0</v>
      </c>
      <c r="V67" s="62"/>
      <c r="W67" s="38">
        <v>0</v>
      </c>
      <c r="X67" s="31">
        <v>0</v>
      </c>
      <c r="Y67" s="31">
        <v>0</v>
      </c>
      <c r="Z67" s="78"/>
      <c r="AA67" s="37">
        <v>0</v>
      </c>
      <c r="AB67" s="34">
        <v>0</v>
      </c>
      <c r="AC67" s="34">
        <v>0</v>
      </c>
      <c r="AD67" s="78"/>
      <c r="AE67" s="93"/>
      <c r="AF67" s="78"/>
      <c r="AG67" s="43">
        <f t="shared" si="16"/>
        <v>0</v>
      </c>
      <c r="AH67" s="44">
        <f t="shared" si="16"/>
        <v>0</v>
      </c>
      <c r="AI67" s="44">
        <f t="shared" si="16"/>
        <v>0</v>
      </c>
      <c r="AJ67" s="94">
        <f t="shared" si="16"/>
        <v>0</v>
      </c>
      <c r="AK67" s="95">
        <f t="shared" si="1"/>
        <v>0</v>
      </c>
      <c r="AL67" s="246">
        <v>0.75</v>
      </c>
      <c r="AM67" s="48">
        <f t="shared" si="7"/>
        <v>0</v>
      </c>
      <c r="AN67" s="48">
        <f t="shared" si="2"/>
        <v>0</v>
      </c>
      <c r="AO67" s="49">
        <f t="shared" si="8"/>
        <v>0</v>
      </c>
      <c r="AP67" s="97">
        <f t="shared" si="3"/>
        <v>0</v>
      </c>
      <c r="AQ67" s="50">
        <f t="shared" si="9"/>
        <v>0</v>
      </c>
      <c r="AR67" s="98"/>
      <c r="AS67" s="94"/>
      <c r="AT67" s="99"/>
      <c r="AU67" s="100"/>
      <c r="AV67" s="101"/>
      <c r="AW67" s="102"/>
      <c r="AX67" s="102"/>
      <c r="AY67" s="94"/>
      <c r="AZ67" s="95"/>
    </row>
    <row r="68" spans="1:52" s="246" customFormat="1" ht="16.5" thickBot="1" x14ac:dyDescent="0.3">
      <c r="A68" s="90"/>
      <c r="B68" s="91" t="s">
        <v>71</v>
      </c>
      <c r="C68" s="92"/>
      <c r="D68" s="26">
        <f t="shared" si="4"/>
        <v>0</v>
      </c>
      <c r="E68" s="27">
        <f t="shared" si="5"/>
        <v>0</v>
      </c>
      <c r="F68" s="29">
        <f t="shared" si="6"/>
        <v>0</v>
      </c>
      <c r="G68" s="30">
        <v>0</v>
      </c>
      <c r="H68" s="31">
        <v>0</v>
      </c>
      <c r="I68" s="32">
        <v>0</v>
      </c>
      <c r="J68" s="77"/>
      <c r="K68" s="33"/>
      <c r="L68" s="34">
        <v>0</v>
      </c>
      <c r="M68" s="34">
        <v>0</v>
      </c>
      <c r="N68" s="62"/>
      <c r="O68" s="34">
        <v>0</v>
      </c>
      <c r="P68" s="34">
        <v>0</v>
      </c>
      <c r="Q68" s="34">
        <v>0</v>
      </c>
      <c r="R68" s="62"/>
      <c r="S68" s="37">
        <v>0</v>
      </c>
      <c r="T68" s="34">
        <v>0</v>
      </c>
      <c r="U68" s="34">
        <v>0</v>
      </c>
      <c r="V68" s="62"/>
      <c r="W68" s="38">
        <v>0</v>
      </c>
      <c r="X68" s="31">
        <v>0</v>
      </c>
      <c r="Y68" s="31">
        <v>0</v>
      </c>
      <c r="Z68" s="78"/>
      <c r="AA68" s="37">
        <v>0</v>
      </c>
      <c r="AB68" s="34">
        <v>0</v>
      </c>
      <c r="AC68" s="34">
        <v>0</v>
      </c>
      <c r="AD68" s="78"/>
      <c r="AE68" s="93"/>
      <c r="AF68" s="78"/>
      <c r="AG68" s="43">
        <f t="shared" si="16"/>
        <v>0</v>
      </c>
      <c r="AH68" s="44">
        <f t="shared" si="16"/>
        <v>0</v>
      </c>
      <c r="AI68" s="44">
        <f t="shared" si="16"/>
        <v>0</v>
      </c>
      <c r="AJ68" s="94">
        <f t="shared" si="16"/>
        <v>0</v>
      </c>
      <c r="AK68" s="95">
        <f t="shared" ref="AK68:AK131" si="17">AG68+AH68+AI68</f>
        <v>0</v>
      </c>
      <c r="AL68" s="246">
        <v>0.75</v>
      </c>
      <c r="AM68" s="48">
        <f t="shared" si="7"/>
        <v>0</v>
      </c>
      <c r="AN68" s="48">
        <f t="shared" si="2"/>
        <v>0</v>
      </c>
      <c r="AO68" s="49">
        <f t="shared" si="8"/>
        <v>0</v>
      </c>
      <c r="AP68" s="97">
        <f t="shared" ref="AP68:AP131" si="18">AJ68*AL68</f>
        <v>0</v>
      </c>
      <c r="AQ68" s="50">
        <f t="shared" ref="AQ68:AQ131" si="19">AK68*60</f>
        <v>0</v>
      </c>
      <c r="AR68" s="98"/>
      <c r="AS68" s="94"/>
      <c r="AT68" s="99"/>
      <c r="AU68" s="100"/>
      <c r="AV68" s="101"/>
      <c r="AW68" s="102"/>
      <c r="AX68" s="102"/>
      <c r="AY68" s="94"/>
      <c r="AZ68" s="95"/>
    </row>
    <row r="69" spans="1:52" s="246" customFormat="1" ht="16.5" thickBot="1" x14ac:dyDescent="0.3">
      <c r="A69" s="90">
        <v>250</v>
      </c>
      <c r="B69" s="91" t="s">
        <v>63</v>
      </c>
      <c r="C69" s="92">
        <v>52</v>
      </c>
      <c r="D69" s="26">
        <f t="shared" ref="D69:D132" si="20">C69/3</f>
        <v>17.333333333333332</v>
      </c>
      <c r="E69" s="27">
        <f t="shared" ref="E69:E132" si="21">C69/3</f>
        <v>17.333333333333332</v>
      </c>
      <c r="F69" s="29">
        <f t="shared" ref="F69:F132" si="22">C69/3</f>
        <v>17.333333333333332</v>
      </c>
      <c r="G69" s="30">
        <v>0</v>
      </c>
      <c r="H69" s="31">
        <v>3</v>
      </c>
      <c r="I69" s="32">
        <v>0</v>
      </c>
      <c r="J69" s="77"/>
      <c r="K69" s="33"/>
      <c r="L69" s="34">
        <v>12</v>
      </c>
      <c r="M69" s="34">
        <v>0</v>
      </c>
      <c r="N69" s="62"/>
      <c r="O69" s="34">
        <v>0</v>
      </c>
      <c r="P69" s="34">
        <v>0</v>
      </c>
      <c r="Q69" s="34">
        <v>0</v>
      </c>
      <c r="R69" s="62"/>
      <c r="S69" s="37">
        <v>0</v>
      </c>
      <c r="T69" s="34">
        <v>0</v>
      </c>
      <c r="U69" s="34">
        <v>0</v>
      </c>
      <c r="V69" s="62"/>
      <c r="W69" s="38">
        <v>0</v>
      </c>
      <c r="X69" s="31">
        <v>0</v>
      </c>
      <c r="Y69" s="31">
        <v>0</v>
      </c>
      <c r="Z69" s="78"/>
      <c r="AA69" s="37">
        <v>0</v>
      </c>
      <c r="AB69" s="34">
        <v>0</v>
      </c>
      <c r="AC69" s="34">
        <v>0</v>
      </c>
      <c r="AD69" s="78"/>
      <c r="AE69" s="93"/>
      <c r="AF69" s="78"/>
      <c r="AG69" s="43">
        <f t="shared" si="16"/>
        <v>0</v>
      </c>
      <c r="AH69" s="44">
        <f t="shared" si="16"/>
        <v>15</v>
      </c>
      <c r="AI69" s="44">
        <f t="shared" si="16"/>
        <v>0</v>
      </c>
      <c r="AJ69" s="94">
        <f t="shared" si="16"/>
        <v>0</v>
      </c>
      <c r="AK69" s="95">
        <f t="shared" si="17"/>
        <v>15</v>
      </c>
      <c r="AL69" s="246">
        <v>1</v>
      </c>
      <c r="AM69" s="48">
        <f t="shared" si="7"/>
        <v>0</v>
      </c>
      <c r="AN69" s="48">
        <f t="shared" si="2"/>
        <v>15</v>
      </c>
      <c r="AO69" s="49">
        <f t="shared" ref="AO69:AO132" si="23">AI69*AL69</f>
        <v>0</v>
      </c>
      <c r="AP69" s="97">
        <f t="shared" si="18"/>
        <v>0</v>
      </c>
      <c r="AQ69" s="50">
        <f t="shared" si="19"/>
        <v>900</v>
      </c>
      <c r="AR69" s="98">
        <v>34.799999999999997</v>
      </c>
      <c r="AS69" s="94">
        <v>5.2000000000000028</v>
      </c>
      <c r="AT69" s="99">
        <f>AK69*AS69</f>
        <v>78.000000000000043</v>
      </c>
      <c r="AU69" s="100">
        <f>AK69*AL69</f>
        <v>15</v>
      </c>
      <c r="AV69" s="101">
        <v>0</v>
      </c>
      <c r="AW69" s="102"/>
      <c r="AX69" s="102"/>
      <c r="AY69" s="94"/>
      <c r="AZ69" s="95">
        <f>AT69-AU69-AW69-AX69-AY69</f>
        <v>63.000000000000043</v>
      </c>
    </row>
    <row r="70" spans="1:52" ht="16.5" thickBot="1" x14ac:dyDescent="0.3">
      <c r="A70" s="74"/>
      <c r="B70" s="75" t="s">
        <v>64</v>
      </c>
      <c r="C70" s="76"/>
      <c r="D70" s="26">
        <f t="shared" si="20"/>
        <v>0</v>
      </c>
      <c r="E70" s="27">
        <f t="shared" si="21"/>
        <v>0</v>
      </c>
      <c r="F70" s="29">
        <f t="shared" si="22"/>
        <v>0</v>
      </c>
      <c r="G70" s="30">
        <v>21</v>
      </c>
      <c r="H70" s="31">
        <v>0</v>
      </c>
      <c r="I70" s="32">
        <v>6</v>
      </c>
      <c r="J70" s="77"/>
      <c r="K70" s="33"/>
      <c r="L70" s="34">
        <v>0</v>
      </c>
      <c r="M70" s="34">
        <v>3</v>
      </c>
      <c r="N70" s="62"/>
      <c r="O70" s="34">
        <v>0</v>
      </c>
      <c r="P70" s="34">
        <v>3</v>
      </c>
      <c r="Q70" s="34">
        <v>0</v>
      </c>
      <c r="R70" s="62"/>
      <c r="S70" s="37">
        <v>0</v>
      </c>
      <c r="T70" s="34">
        <v>0</v>
      </c>
      <c r="U70" s="34">
        <v>0</v>
      </c>
      <c r="V70" s="62"/>
      <c r="W70" s="38">
        <v>0</v>
      </c>
      <c r="X70" s="31">
        <v>0</v>
      </c>
      <c r="Y70" s="31">
        <v>0</v>
      </c>
      <c r="Z70" s="78"/>
      <c r="AA70" s="37">
        <v>0</v>
      </c>
      <c r="AB70" s="34">
        <v>0</v>
      </c>
      <c r="AC70" s="34">
        <v>0</v>
      </c>
      <c r="AD70" s="64"/>
      <c r="AE70" s="79"/>
      <c r="AF70" s="64"/>
      <c r="AG70" s="43">
        <f t="shared" si="16"/>
        <v>21</v>
      </c>
      <c r="AH70" s="44">
        <f t="shared" si="16"/>
        <v>3</v>
      </c>
      <c r="AI70" s="44">
        <f t="shared" si="16"/>
        <v>9</v>
      </c>
      <c r="AJ70" s="45">
        <f t="shared" si="16"/>
        <v>0</v>
      </c>
      <c r="AK70" s="80">
        <f t="shared" si="17"/>
        <v>33</v>
      </c>
      <c r="AL70" s="47">
        <v>1</v>
      </c>
      <c r="AM70" s="48">
        <f t="shared" si="7"/>
        <v>21</v>
      </c>
      <c r="AN70" s="48">
        <f t="shared" si="2"/>
        <v>3</v>
      </c>
      <c r="AO70" s="49">
        <f t="shared" si="23"/>
        <v>9</v>
      </c>
      <c r="AP70" s="49">
        <f t="shared" si="18"/>
        <v>0</v>
      </c>
      <c r="AQ70" s="50">
        <f t="shared" si="19"/>
        <v>1980</v>
      </c>
      <c r="AR70" s="81"/>
      <c r="AS70" s="82"/>
      <c r="AT70" s="83"/>
      <c r="AU70" s="84"/>
      <c r="AV70" s="85"/>
      <c r="AW70" s="86"/>
      <c r="AX70" s="86"/>
      <c r="AY70" s="82"/>
      <c r="AZ70" s="87"/>
    </row>
    <row r="71" spans="1:52" ht="16.5" thickBot="1" x14ac:dyDescent="0.3">
      <c r="A71" s="74"/>
      <c r="B71" s="75" t="s">
        <v>65</v>
      </c>
      <c r="C71" s="76"/>
      <c r="D71" s="26">
        <f t="shared" si="20"/>
        <v>0</v>
      </c>
      <c r="E71" s="27">
        <f t="shared" si="21"/>
        <v>0</v>
      </c>
      <c r="F71" s="29">
        <f t="shared" si="22"/>
        <v>0</v>
      </c>
      <c r="G71" s="30">
        <v>0</v>
      </c>
      <c r="H71" s="31">
        <v>0</v>
      </c>
      <c r="I71" s="32">
        <v>0</v>
      </c>
      <c r="J71" s="77"/>
      <c r="K71" s="33"/>
      <c r="L71" s="34">
        <v>0</v>
      </c>
      <c r="M71" s="34">
        <v>0</v>
      </c>
      <c r="N71" s="62"/>
      <c r="O71" s="34">
        <v>0</v>
      </c>
      <c r="P71" s="34">
        <v>0</v>
      </c>
      <c r="Q71" s="34">
        <v>0</v>
      </c>
      <c r="R71" s="62"/>
      <c r="S71" s="37">
        <v>0</v>
      </c>
      <c r="T71" s="34">
        <v>0</v>
      </c>
      <c r="U71" s="34">
        <v>0</v>
      </c>
      <c r="V71" s="62"/>
      <c r="W71" s="38">
        <v>0</v>
      </c>
      <c r="X71" s="31">
        <v>0</v>
      </c>
      <c r="Y71" s="31">
        <v>0</v>
      </c>
      <c r="Z71" s="78"/>
      <c r="AA71" s="37">
        <v>0</v>
      </c>
      <c r="AB71" s="34">
        <v>0</v>
      </c>
      <c r="AC71" s="34">
        <v>0</v>
      </c>
      <c r="AD71" s="64"/>
      <c r="AE71" s="79"/>
      <c r="AF71" s="64"/>
      <c r="AG71" s="43">
        <f t="shared" si="16"/>
        <v>0</v>
      </c>
      <c r="AH71" s="44">
        <f t="shared" si="16"/>
        <v>0</v>
      </c>
      <c r="AI71" s="44">
        <f t="shared" si="16"/>
        <v>0</v>
      </c>
      <c r="AJ71" s="45">
        <f t="shared" si="16"/>
        <v>0</v>
      </c>
      <c r="AK71" s="80">
        <f t="shared" si="17"/>
        <v>0</v>
      </c>
      <c r="AL71" s="47">
        <v>1</v>
      </c>
      <c r="AM71" s="48">
        <f t="shared" si="7"/>
        <v>0</v>
      </c>
      <c r="AN71" s="48">
        <f t="shared" si="2"/>
        <v>0</v>
      </c>
      <c r="AO71" s="49">
        <f t="shared" si="23"/>
        <v>0</v>
      </c>
      <c r="AP71" s="49">
        <f t="shared" si="18"/>
        <v>0</v>
      </c>
      <c r="AQ71" s="50">
        <f t="shared" si="19"/>
        <v>0</v>
      </c>
      <c r="AR71" s="81"/>
      <c r="AS71" s="82"/>
      <c r="AT71" s="83"/>
      <c r="AU71" s="84"/>
      <c r="AV71" s="85"/>
      <c r="AW71" s="86"/>
      <c r="AX71" s="86"/>
      <c r="AY71" s="82"/>
      <c r="AZ71" s="87"/>
    </row>
    <row r="72" spans="1:52" ht="16.5" thickBot="1" x14ac:dyDescent="0.3">
      <c r="A72" s="74"/>
      <c r="B72" s="75" t="s">
        <v>66</v>
      </c>
      <c r="C72" s="76"/>
      <c r="D72" s="26">
        <f t="shared" si="20"/>
        <v>0</v>
      </c>
      <c r="E72" s="27">
        <f t="shared" si="21"/>
        <v>0</v>
      </c>
      <c r="F72" s="29">
        <f t="shared" si="22"/>
        <v>0</v>
      </c>
      <c r="G72" s="30">
        <v>0</v>
      </c>
      <c r="H72" s="31">
        <v>0</v>
      </c>
      <c r="I72" s="32">
        <v>0</v>
      </c>
      <c r="J72" s="77"/>
      <c r="K72" s="33"/>
      <c r="L72" s="34">
        <v>0</v>
      </c>
      <c r="M72" s="34">
        <v>0</v>
      </c>
      <c r="N72" s="62"/>
      <c r="O72" s="34">
        <v>0</v>
      </c>
      <c r="P72" s="34">
        <v>0</v>
      </c>
      <c r="Q72" s="34">
        <v>0</v>
      </c>
      <c r="R72" s="62"/>
      <c r="S72" s="37">
        <v>0</v>
      </c>
      <c r="T72" s="34">
        <v>0</v>
      </c>
      <c r="U72" s="34">
        <v>0</v>
      </c>
      <c r="V72" s="62"/>
      <c r="W72" s="38">
        <v>0</v>
      </c>
      <c r="X72" s="31">
        <v>0</v>
      </c>
      <c r="Y72" s="31">
        <v>0</v>
      </c>
      <c r="Z72" s="78"/>
      <c r="AA72" s="37">
        <v>0</v>
      </c>
      <c r="AB72" s="34">
        <v>0</v>
      </c>
      <c r="AC72" s="34">
        <v>0</v>
      </c>
      <c r="AD72" s="64"/>
      <c r="AE72" s="79"/>
      <c r="AF72" s="64"/>
      <c r="AG72" s="43">
        <f t="shared" si="16"/>
        <v>0</v>
      </c>
      <c r="AH72" s="44">
        <f t="shared" si="16"/>
        <v>0</v>
      </c>
      <c r="AI72" s="44">
        <f t="shared" si="16"/>
        <v>0</v>
      </c>
      <c r="AJ72" s="45">
        <f t="shared" si="16"/>
        <v>0</v>
      </c>
      <c r="AK72" s="80">
        <f t="shared" si="17"/>
        <v>0</v>
      </c>
      <c r="AL72" s="47">
        <v>1</v>
      </c>
      <c r="AM72" s="48">
        <f t="shared" si="7"/>
        <v>0</v>
      </c>
      <c r="AN72" s="48">
        <f t="shared" si="2"/>
        <v>0</v>
      </c>
      <c r="AO72" s="49">
        <f t="shared" si="23"/>
        <v>0</v>
      </c>
      <c r="AP72" s="49">
        <f t="shared" si="18"/>
        <v>0</v>
      </c>
      <c r="AQ72" s="50">
        <f t="shared" si="19"/>
        <v>0</v>
      </c>
      <c r="AR72" s="81"/>
      <c r="AS72" s="82"/>
      <c r="AT72" s="83"/>
      <c r="AU72" s="84"/>
      <c r="AV72" s="85"/>
      <c r="AW72" s="86"/>
      <c r="AX72" s="86"/>
      <c r="AY72" s="82"/>
      <c r="AZ72" s="87"/>
    </row>
    <row r="73" spans="1:52" ht="16.5" thickBot="1" x14ac:dyDescent="0.3">
      <c r="A73" s="74">
        <v>250</v>
      </c>
      <c r="B73" s="75" t="s">
        <v>67</v>
      </c>
      <c r="C73" s="76"/>
      <c r="D73" s="26">
        <f t="shared" si="20"/>
        <v>0</v>
      </c>
      <c r="E73" s="27">
        <f t="shared" si="21"/>
        <v>0</v>
      </c>
      <c r="F73" s="29">
        <f t="shared" si="22"/>
        <v>0</v>
      </c>
      <c r="G73" s="30">
        <v>0</v>
      </c>
      <c r="H73" s="31">
        <v>0</v>
      </c>
      <c r="I73" s="32">
        <v>0</v>
      </c>
      <c r="J73" s="77"/>
      <c r="K73" s="33"/>
      <c r="L73" s="34">
        <v>0</v>
      </c>
      <c r="M73" s="34">
        <v>0</v>
      </c>
      <c r="N73" s="62"/>
      <c r="O73" s="34">
        <v>0</v>
      </c>
      <c r="P73" s="34">
        <v>0</v>
      </c>
      <c r="Q73" s="34">
        <v>0</v>
      </c>
      <c r="R73" s="62"/>
      <c r="S73" s="37">
        <v>0</v>
      </c>
      <c r="T73" s="34">
        <v>0</v>
      </c>
      <c r="U73" s="34">
        <v>0</v>
      </c>
      <c r="V73" s="62"/>
      <c r="W73" s="38">
        <v>0</v>
      </c>
      <c r="X73" s="31">
        <v>0</v>
      </c>
      <c r="Y73" s="31">
        <v>0</v>
      </c>
      <c r="Z73" s="78"/>
      <c r="AA73" s="37">
        <v>0</v>
      </c>
      <c r="AB73" s="34">
        <v>0</v>
      </c>
      <c r="AC73" s="34">
        <v>0</v>
      </c>
      <c r="AD73" s="64"/>
      <c r="AE73" s="79"/>
      <c r="AF73" s="64"/>
      <c r="AG73" s="43">
        <f t="shared" si="16"/>
        <v>0</v>
      </c>
      <c r="AH73" s="44">
        <f t="shared" si="16"/>
        <v>0</v>
      </c>
      <c r="AI73" s="44">
        <f t="shared" si="16"/>
        <v>0</v>
      </c>
      <c r="AJ73" s="45">
        <f t="shared" si="16"/>
        <v>0</v>
      </c>
      <c r="AK73" s="80">
        <f t="shared" si="17"/>
        <v>0</v>
      </c>
      <c r="AL73" s="47">
        <v>1</v>
      </c>
      <c r="AM73" s="48">
        <f t="shared" si="7"/>
        <v>0</v>
      </c>
      <c r="AN73" s="48">
        <f t="shared" si="2"/>
        <v>0</v>
      </c>
      <c r="AO73" s="49">
        <f t="shared" si="23"/>
        <v>0</v>
      </c>
      <c r="AP73" s="49">
        <f t="shared" si="18"/>
        <v>0</v>
      </c>
      <c r="AQ73" s="50">
        <f t="shared" si="19"/>
        <v>0</v>
      </c>
      <c r="AR73" s="81"/>
      <c r="AS73" s="82"/>
      <c r="AT73" s="83"/>
      <c r="AU73" s="84"/>
      <c r="AV73" s="85"/>
      <c r="AW73" s="86"/>
      <c r="AX73" s="86"/>
      <c r="AY73" s="82"/>
      <c r="AZ73" s="87"/>
    </row>
    <row r="74" spans="1:52" ht="16.5" thickBot="1" x14ac:dyDescent="0.3">
      <c r="A74" s="74">
        <v>1000</v>
      </c>
      <c r="B74" s="75" t="s">
        <v>63</v>
      </c>
      <c r="C74" s="76">
        <v>24</v>
      </c>
      <c r="D74" s="26">
        <f t="shared" si="20"/>
        <v>8</v>
      </c>
      <c r="E74" s="27">
        <f t="shared" si="21"/>
        <v>8</v>
      </c>
      <c r="F74" s="29">
        <f t="shared" si="22"/>
        <v>8</v>
      </c>
      <c r="G74" s="30">
        <v>0</v>
      </c>
      <c r="H74" s="31">
        <v>0</v>
      </c>
      <c r="I74" s="32">
        <v>0</v>
      </c>
      <c r="J74" s="77"/>
      <c r="K74" s="33"/>
      <c r="L74" s="34">
        <v>0</v>
      </c>
      <c r="M74" s="34">
        <v>0</v>
      </c>
      <c r="N74" s="62"/>
      <c r="O74" s="34">
        <v>0</v>
      </c>
      <c r="P74" s="34">
        <v>0</v>
      </c>
      <c r="Q74" s="34">
        <v>0</v>
      </c>
      <c r="R74" s="62"/>
      <c r="S74" s="37">
        <v>0</v>
      </c>
      <c r="T74" s="34">
        <v>0</v>
      </c>
      <c r="U74" s="34">
        <v>0</v>
      </c>
      <c r="V74" s="62"/>
      <c r="W74" s="38">
        <v>0</v>
      </c>
      <c r="X74" s="31">
        <v>0</v>
      </c>
      <c r="Y74" s="31">
        <v>0</v>
      </c>
      <c r="Z74" s="78"/>
      <c r="AA74" s="37">
        <v>0</v>
      </c>
      <c r="AB74" s="34">
        <v>0</v>
      </c>
      <c r="AC74" s="34">
        <v>0</v>
      </c>
      <c r="AD74" s="64"/>
      <c r="AE74" s="79"/>
      <c r="AF74" s="64"/>
      <c r="AG74" s="43">
        <f t="shared" si="16"/>
        <v>0</v>
      </c>
      <c r="AH74" s="44">
        <f t="shared" si="16"/>
        <v>0</v>
      </c>
      <c r="AI74" s="44">
        <f t="shared" si="16"/>
        <v>0</v>
      </c>
      <c r="AJ74" s="45">
        <f t="shared" si="16"/>
        <v>0</v>
      </c>
      <c r="AK74" s="80">
        <f t="shared" si="17"/>
        <v>0</v>
      </c>
      <c r="AL74" s="47">
        <v>0.75</v>
      </c>
      <c r="AM74" s="48">
        <f t="shared" ref="AM74:AM137" si="24">AG74*AL74</f>
        <v>0</v>
      </c>
      <c r="AN74" s="48">
        <f t="shared" ref="AN74:AN137" si="25">AH74*AL74</f>
        <v>0</v>
      </c>
      <c r="AO74" s="49">
        <f t="shared" si="23"/>
        <v>0</v>
      </c>
      <c r="AP74" s="49">
        <f t="shared" si="18"/>
        <v>0</v>
      </c>
      <c r="AQ74" s="50">
        <f t="shared" si="19"/>
        <v>0</v>
      </c>
      <c r="AR74" s="117">
        <v>67.84</v>
      </c>
      <c r="AS74" s="82">
        <v>2.1599999999999966</v>
      </c>
      <c r="AT74" s="83">
        <f>AK74*AS74</f>
        <v>0</v>
      </c>
      <c r="AU74" s="84">
        <f>AK74*AL74</f>
        <v>0</v>
      </c>
      <c r="AV74" s="85">
        <v>0</v>
      </c>
      <c r="AW74" s="86"/>
      <c r="AX74" s="86"/>
      <c r="AY74" s="82"/>
      <c r="AZ74" s="87">
        <f>AT74-AU74-AW74-AX74-AY74</f>
        <v>0</v>
      </c>
    </row>
    <row r="75" spans="1:52" ht="16.5" thickBot="1" x14ac:dyDescent="0.3">
      <c r="A75" s="74">
        <v>1000</v>
      </c>
      <c r="B75" s="75" t="s">
        <v>64</v>
      </c>
      <c r="C75" s="76"/>
      <c r="D75" s="26">
        <f t="shared" si="20"/>
        <v>0</v>
      </c>
      <c r="E75" s="27">
        <f t="shared" si="21"/>
        <v>0</v>
      </c>
      <c r="F75" s="29">
        <f t="shared" si="22"/>
        <v>0</v>
      </c>
      <c r="G75" s="30">
        <v>0</v>
      </c>
      <c r="H75" s="31">
        <v>0</v>
      </c>
      <c r="I75" s="32">
        <v>0</v>
      </c>
      <c r="J75" s="77"/>
      <c r="K75" s="33"/>
      <c r="L75" s="34">
        <v>0</v>
      </c>
      <c r="M75" s="34">
        <v>0</v>
      </c>
      <c r="N75" s="62"/>
      <c r="O75" s="34">
        <v>0</v>
      </c>
      <c r="P75" s="34">
        <v>0</v>
      </c>
      <c r="Q75" s="34">
        <v>0</v>
      </c>
      <c r="R75" s="62"/>
      <c r="S75" s="37">
        <v>0</v>
      </c>
      <c r="T75" s="34">
        <v>0</v>
      </c>
      <c r="U75" s="34">
        <v>0</v>
      </c>
      <c r="V75" s="62"/>
      <c r="W75" s="38">
        <v>0</v>
      </c>
      <c r="X75" s="31">
        <v>0</v>
      </c>
      <c r="Y75" s="31">
        <v>0</v>
      </c>
      <c r="Z75" s="78"/>
      <c r="AA75" s="37">
        <v>0</v>
      </c>
      <c r="AB75" s="34">
        <v>0</v>
      </c>
      <c r="AC75" s="34">
        <v>0</v>
      </c>
      <c r="AD75" s="64"/>
      <c r="AE75" s="79"/>
      <c r="AF75" s="64"/>
      <c r="AG75" s="43">
        <f t="shared" si="16"/>
        <v>0</v>
      </c>
      <c r="AH75" s="44">
        <f t="shared" si="16"/>
        <v>0</v>
      </c>
      <c r="AI75" s="44">
        <f t="shared" si="16"/>
        <v>0</v>
      </c>
      <c r="AJ75" s="45">
        <f t="shared" si="16"/>
        <v>0</v>
      </c>
      <c r="AK75" s="80">
        <f t="shared" si="17"/>
        <v>0</v>
      </c>
      <c r="AL75" s="47">
        <v>0.75</v>
      </c>
      <c r="AM75" s="48">
        <f t="shared" si="24"/>
        <v>0</v>
      </c>
      <c r="AN75" s="48">
        <f t="shared" si="25"/>
        <v>0</v>
      </c>
      <c r="AO75" s="49">
        <f t="shared" si="23"/>
        <v>0</v>
      </c>
      <c r="AP75" s="49">
        <f t="shared" si="18"/>
        <v>0</v>
      </c>
      <c r="AQ75" s="50">
        <f t="shared" si="19"/>
        <v>0</v>
      </c>
      <c r="AR75" s="117"/>
      <c r="AS75" s="82"/>
      <c r="AT75" s="83"/>
      <c r="AU75" s="84"/>
      <c r="AV75" s="85"/>
      <c r="AW75" s="86"/>
      <c r="AX75" s="86"/>
      <c r="AY75" s="82"/>
      <c r="AZ75" s="87"/>
    </row>
    <row r="76" spans="1:52" ht="16.5" thickBot="1" x14ac:dyDescent="0.3">
      <c r="A76" s="74">
        <v>1000</v>
      </c>
      <c r="B76" s="75" t="s">
        <v>65</v>
      </c>
      <c r="C76" s="76"/>
      <c r="D76" s="26">
        <f t="shared" si="20"/>
        <v>0</v>
      </c>
      <c r="E76" s="27">
        <f t="shared" si="21"/>
        <v>0</v>
      </c>
      <c r="F76" s="29">
        <f t="shared" si="22"/>
        <v>0</v>
      </c>
      <c r="G76" s="30">
        <v>0</v>
      </c>
      <c r="H76" s="31">
        <v>0</v>
      </c>
      <c r="I76" s="32">
        <v>0</v>
      </c>
      <c r="J76" s="77"/>
      <c r="K76" s="33"/>
      <c r="L76" s="34">
        <v>0</v>
      </c>
      <c r="M76" s="34">
        <v>0</v>
      </c>
      <c r="N76" s="62"/>
      <c r="O76" s="34">
        <v>0</v>
      </c>
      <c r="P76" s="34">
        <v>0</v>
      </c>
      <c r="Q76" s="34">
        <v>0</v>
      </c>
      <c r="R76" s="62"/>
      <c r="S76" s="37">
        <v>0</v>
      </c>
      <c r="T76" s="34">
        <v>0</v>
      </c>
      <c r="U76" s="34">
        <v>0</v>
      </c>
      <c r="V76" s="62"/>
      <c r="W76" s="38">
        <v>0</v>
      </c>
      <c r="X76" s="31">
        <v>0</v>
      </c>
      <c r="Y76" s="31">
        <v>0</v>
      </c>
      <c r="Z76" s="78"/>
      <c r="AA76" s="37">
        <v>0</v>
      </c>
      <c r="AB76" s="34">
        <v>0</v>
      </c>
      <c r="AC76" s="34">
        <v>0</v>
      </c>
      <c r="AD76" s="64"/>
      <c r="AE76" s="79"/>
      <c r="AF76" s="64"/>
      <c r="AG76" s="43">
        <f t="shared" si="16"/>
        <v>0</v>
      </c>
      <c r="AH76" s="44">
        <f t="shared" si="16"/>
        <v>0</v>
      </c>
      <c r="AI76" s="44">
        <f t="shared" si="16"/>
        <v>0</v>
      </c>
      <c r="AJ76" s="45">
        <f t="shared" si="16"/>
        <v>0</v>
      </c>
      <c r="AK76" s="80">
        <f t="shared" si="17"/>
        <v>0</v>
      </c>
      <c r="AL76" s="47">
        <v>0.75</v>
      </c>
      <c r="AM76" s="48">
        <f t="shared" si="24"/>
        <v>0</v>
      </c>
      <c r="AN76" s="48">
        <f t="shared" si="25"/>
        <v>0</v>
      </c>
      <c r="AO76" s="49">
        <f t="shared" si="23"/>
        <v>0</v>
      </c>
      <c r="AP76" s="49">
        <f t="shared" si="18"/>
        <v>0</v>
      </c>
      <c r="AQ76" s="50">
        <f t="shared" si="19"/>
        <v>0</v>
      </c>
      <c r="AR76" s="117"/>
      <c r="AS76" s="82"/>
      <c r="AT76" s="83"/>
      <c r="AU76" s="84"/>
      <c r="AV76" s="85"/>
      <c r="AW76" s="86"/>
      <c r="AX76" s="86"/>
      <c r="AY76" s="82"/>
      <c r="AZ76" s="87"/>
    </row>
    <row r="77" spans="1:52" ht="16.5" thickBot="1" x14ac:dyDescent="0.3">
      <c r="A77" s="74">
        <v>1000</v>
      </c>
      <c r="B77" s="75" t="s">
        <v>66</v>
      </c>
      <c r="C77" s="76"/>
      <c r="D77" s="26">
        <f t="shared" si="20"/>
        <v>0</v>
      </c>
      <c r="E77" s="27">
        <f t="shared" si="21"/>
        <v>0</v>
      </c>
      <c r="F77" s="29">
        <f t="shared" si="22"/>
        <v>0</v>
      </c>
      <c r="G77" s="30">
        <v>0</v>
      </c>
      <c r="H77" s="31">
        <v>0</v>
      </c>
      <c r="I77" s="32">
        <v>0</v>
      </c>
      <c r="J77" s="77"/>
      <c r="K77" s="33"/>
      <c r="L77" s="34">
        <v>0</v>
      </c>
      <c r="M77" s="34">
        <v>0</v>
      </c>
      <c r="N77" s="62"/>
      <c r="O77" s="34">
        <v>0</v>
      </c>
      <c r="P77" s="34">
        <v>0</v>
      </c>
      <c r="Q77" s="34">
        <v>0</v>
      </c>
      <c r="R77" s="62"/>
      <c r="S77" s="37">
        <v>0</v>
      </c>
      <c r="T77" s="34">
        <v>0</v>
      </c>
      <c r="U77" s="34">
        <v>0</v>
      </c>
      <c r="V77" s="62"/>
      <c r="W77" s="38">
        <v>0</v>
      </c>
      <c r="X77" s="31">
        <v>0</v>
      </c>
      <c r="Y77" s="31">
        <v>0</v>
      </c>
      <c r="Z77" s="78"/>
      <c r="AA77" s="37">
        <v>0</v>
      </c>
      <c r="AB77" s="34">
        <v>0</v>
      </c>
      <c r="AC77" s="34">
        <v>0</v>
      </c>
      <c r="AD77" s="64"/>
      <c r="AE77" s="79"/>
      <c r="AF77" s="64"/>
      <c r="AG77" s="43">
        <f t="shared" si="16"/>
        <v>0</v>
      </c>
      <c r="AH77" s="44">
        <f t="shared" si="16"/>
        <v>0</v>
      </c>
      <c r="AI77" s="44">
        <f t="shared" si="16"/>
        <v>0</v>
      </c>
      <c r="AJ77" s="45">
        <f t="shared" si="16"/>
        <v>0</v>
      </c>
      <c r="AK77" s="80">
        <f t="shared" si="17"/>
        <v>0</v>
      </c>
      <c r="AL77" s="47">
        <v>0.75</v>
      </c>
      <c r="AM77" s="48">
        <f t="shared" si="24"/>
        <v>0</v>
      </c>
      <c r="AN77" s="48">
        <f t="shared" si="25"/>
        <v>0</v>
      </c>
      <c r="AO77" s="49">
        <f t="shared" si="23"/>
        <v>0</v>
      </c>
      <c r="AP77" s="49">
        <f t="shared" si="18"/>
        <v>0</v>
      </c>
      <c r="AQ77" s="50">
        <f t="shared" si="19"/>
        <v>0</v>
      </c>
      <c r="AR77" s="117"/>
      <c r="AS77" s="82"/>
      <c r="AT77" s="83"/>
      <c r="AU77" s="84"/>
      <c r="AV77" s="85"/>
      <c r="AW77" s="86"/>
      <c r="AX77" s="86"/>
      <c r="AY77" s="82"/>
      <c r="AZ77" s="87"/>
    </row>
    <row r="78" spans="1:52" ht="16.5" thickBot="1" x14ac:dyDescent="0.3">
      <c r="A78" s="74">
        <v>1000</v>
      </c>
      <c r="B78" s="75" t="s">
        <v>67</v>
      </c>
      <c r="C78" s="76"/>
      <c r="D78" s="26">
        <f t="shared" si="20"/>
        <v>0</v>
      </c>
      <c r="E78" s="27">
        <f t="shared" si="21"/>
        <v>0</v>
      </c>
      <c r="F78" s="29">
        <f t="shared" si="22"/>
        <v>0</v>
      </c>
      <c r="G78" s="30">
        <v>0</v>
      </c>
      <c r="H78" s="31">
        <v>0</v>
      </c>
      <c r="I78" s="32">
        <v>0</v>
      </c>
      <c r="J78" s="77"/>
      <c r="K78" s="33"/>
      <c r="L78" s="34">
        <v>0</v>
      </c>
      <c r="M78" s="34">
        <v>0</v>
      </c>
      <c r="N78" s="62"/>
      <c r="O78" s="34">
        <v>0</v>
      </c>
      <c r="P78" s="34">
        <v>0</v>
      </c>
      <c r="Q78" s="34">
        <v>0</v>
      </c>
      <c r="R78" s="62"/>
      <c r="S78" s="37">
        <v>0</v>
      </c>
      <c r="T78" s="34">
        <v>0</v>
      </c>
      <c r="U78" s="34">
        <v>0</v>
      </c>
      <c r="V78" s="62"/>
      <c r="W78" s="38">
        <v>0</v>
      </c>
      <c r="X78" s="31">
        <v>0</v>
      </c>
      <c r="Y78" s="31">
        <v>0</v>
      </c>
      <c r="Z78" s="78"/>
      <c r="AA78" s="37">
        <v>0</v>
      </c>
      <c r="AB78" s="34">
        <v>0</v>
      </c>
      <c r="AC78" s="34">
        <v>0</v>
      </c>
      <c r="AD78" s="64"/>
      <c r="AE78" s="79"/>
      <c r="AF78" s="64"/>
      <c r="AG78" s="43">
        <f t="shared" si="16"/>
        <v>0</v>
      </c>
      <c r="AH78" s="44">
        <f t="shared" si="16"/>
        <v>0</v>
      </c>
      <c r="AI78" s="44">
        <f t="shared" si="16"/>
        <v>0</v>
      </c>
      <c r="AJ78" s="45">
        <f t="shared" si="16"/>
        <v>0</v>
      </c>
      <c r="AK78" s="80">
        <f t="shared" si="17"/>
        <v>0</v>
      </c>
      <c r="AL78" s="47">
        <v>0.75</v>
      </c>
      <c r="AM78" s="48">
        <f t="shared" si="24"/>
        <v>0</v>
      </c>
      <c r="AN78" s="48">
        <f t="shared" si="25"/>
        <v>0</v>
      </c>
      <c r="AO78" s="49">
        <f t="shared" si="23"/>
        <v>0</v>
      </c>
      <c r="AP78" s="49">
        <f t="shared" si="18"/>
        <v>0</v>
      </c>
      <c r="AQ78" s="50">
        <f t="shared" si="19"/>
        <v>0</v>
      </c>
      <c r="AR78" s="117"/>
      <c r="AS78" s="82"/>
      <c r="AT78" s="83"/>
      <c r="AU78" s="84"/>
      <c r="AV78" s="85"/>
      <c r="AW78" s="86"/>
      <c r="AX78" s="86"/>
      <c r="AY78" s="82"/>
      <c r="AZ78" s="87"/>
    </row>
    <row r="79" spans="1:52" ht="16.5" thickBot="1" x14ac:dyDescent="0.3">
      <c r="A79" s="74">
        <v>145</v>
      </c>
      <c r="B79" s="75" t="s">
        <v>72</v>
      </c>
      <c r="C79" s="76">
        <v>684</v>
      </c>
      <c r="D79" s="26">
        <f t="shared" si="20"/>
        <v>228</v>
      </c>
      <c r="E79" s="27">
        <f t="shared" si="21"/>
        <v>228</v>
      </c>
      <c r="F79" s="29">
        <f t="shared" si="22"/>
        <v>228</v>
      </c>
      <c r="G79" s="30">
        <v>0</v>
      </c>
      <c r="H79" s="31">
        <v>0</v>
      </c>
      <c r="I79" s="32">
        <v>0</v>
      </c>
      <c r="J79" s="77"/>
      <c r="K79" s="33"/>
      <c r="L79" s="34">
        <v>0</v>
      </c>
      <c r="M79" s="34">
        <v>0</v>
      </c>
      <c r="N79" s="62"/>
      <c r="O79" s="34">
        <v>0</v>
      </c>
      <c r="P79" s="34">
        <v>0</v>
      </c>
      <c r="Q79" s="34">
        <v>0</v>
      </c>
      <c r="R79" s="62"/>
      <c r="S79" s="37">
        <v>0</v>
      </c>
      <c r="T79" s="34">
        <v>0</v>
      </c>
      <c r="U79" s="34">
        <v>0</v>
      </c>
      <c r="V79" s="62"/>
      <c r="W79" s="38">
        <v>0</v>
      </c>
      <c r="X79" s="31">
        <v>0</v>
      </c>
      <c r="Y79" s="31">
        <v>0</v>
      </c>
      <c r="Z79" s="78"/>
      <c r="AA79" s="37">
        <v>0</v>
      </c>
      <c r="AB79" s="34">
        <v>0</v>
      </c>
      <c r="AC79" s="34">
        <v>0</v>
      </c>
      <c r="AD79" s="64"/>
      <c r="AE79" s="79"/>
      <c r="AF79" s="64"/>
      <c r="AG79" s="43">
        <f t="shared" si="16"/>
        <v>0</v>
      </c>
      <c r="AH79" s="44">
        <f t="shared" si="16"/>
        <v>0</v>
      </c>
      <c r="AI79" s="44">
        <f t="shared" si="16"/>
        <v>0</v>
      </c>
      <c r="AJ79" s="45">
        <f t="shared" si="16"/>
        <v>0</v>
      </c>
      <c r="AK79" s="80">
        <f t="shared" si="17"/>
        <v>0</v>
      </c>
      <c r="AL79" s="47">
        <v>0.75</v>
      </c>
      <c r="AM79" s="48">
        <f t="shared" si="24"/>
        <v>0</v>
      </c>
      <c r="AN79" s="48">
        <f t="shared" si="25"/>
        <v>0</v>
      </c>
      <c r="AO79" s="49">
        <f t="shared" si="23"/>
        <v>0</v>
      </c>
      <c r="AP79" s="49">
        <f t="shared" si="18"/>
        <v>0</v>
      </c>
      <c r="AQ79" s="50">
        <f t="shared" si="19"/>
        <v>0</v>
      </c>
      <c r="AR79" s="81">
        <v>17.920000000000002</v>
      </c>
      <c r="AS79" s="82">
        <v>2.5799999999999983</v>
      </c>
      <c r="AT79" s="83">
        <f>AK79*AS79</f>
        <v>0</v>
      </c>
      <c r="AU79" s="84">
        <f>AK79*AL79</f>
        <v>0</v>
      </c>
      <c r="AV79" s="85">
        <v>0</v>
      </c>
      <c r="AW79" s="86"/>
      <c r="AX79" s="86"/>
      <c r="AY79" s="82"/>
      <c r="AZ79" s="87">
        <f>AT79-AU79-AW79-AX79-AY79</f>
        <v>0</v>
      </c>
    </row>
    <row r="80" spans="1:52" ht="16.5" thickBot="1" x14ac:dyDescent="0.3">
      <c r="A80" s="74"/>
      <c r="B80" s="75" t="s">
        <v>73</v>
      </c>
      <c r="C80" s="76"/>
      <c r="D80" s="26">
        <f t="shared" si="20"/>
        <v>0</v>
      </c>
      <c r="E80" s="27">
        <f t="shared" si="21"/>
        <v>0</v>
      </c>
      <c r="F80" s="29">
        <f t="shared" si="22"/>
        <v>0</v>
      </c>
      <c r="G80" s="30">
        <v>0</v>
      </c>
      <c r="H80" s="31">
        <v>0</v>
      </c>
      <c r="I80" s="32">
        <v>0</v>
      </c>
      <c r="J80" s="77"/>
      <c r="K80" s="33"/>
      <c r="L80" s="34">
        <v>0</v>
      </c>
      <c r="M80" s="34">
        <v>0</v>
      </c>
      <c r="N80" s="62"/>
      <c r="O80" s="34">
        <v>0</v>
      </c>
      <c r="P80" s="34">
        <v>0</v>
      </c>
      <c r="Q80" s="34">
        <v>0</v>
      </c>
      <c r="R80" s="62"/>
      <c r="S80" s="37">
        <v>0</v>
      </c>
      <c r="T80" s="34">
        <v>0</v>
      </c>
      <c r="U80" s="34">
        <v>0</v>
      </c>
      <c r="V80" s="62"/>
      <c r="W80" s="38">
        <v>0</v>
      </c>
      <c r="X80" s="31">
        <v>0</v>
      </c>
      <c r="Y80" s="31">
        <v>0</v>
      </c>
      <c r="Z80" s="78"/>
      <c r="AA80" s="37">
        <v>0</v>
      </c>
      <c r="AB80" s="34">
        <v>0</v>
      </c>
      <c r="AC80" s="34">
        <v>0</v>
      </c>
      <c r="AD80" s="64"/>
      <c r="AE80" s="79"/>
      <c r="AF80" s="64"/>
      <c r="AG80" s="43">
        <f t="shared" si="16"/>
        <v>0</v>
      </c>
      <c r="AH80" s="44">
        <f t="shared" si="16"/>
        <v>0</v>
      </c>
      <c r="AI80" s="44">
        <f t="shared" si="16"/>
        <v>0</v>
      </c>
      <c r="AJ80" s="45">
        <f t="shared" si="16"/>
        <v>0</v>
      </c>
      <c r="AK80" s="80">
        <f t="shared" si="17"/>
        <v>0</v>
      </c>
      <c r="AL80" s="47">
        <v>0.75</v>
      </c>
      <c r="AM80" s="48">
        <f t="shared" si="24"/>
        <v>0</v>
      </c>
      <c r="AN80" s="48">
        <f t="shared" si="25"/>
        <v>0</v>
      </c>
      <c r="AO80" s="49">
        <f t="shared" si="23"/>
        <v>0</v>
      </c>
      <c r="AP80" s="49">
        <f t="shared" si="18"/>
        <v>0</v>
      </c>
      <c r="AQ80" s="50">
        <f t="shared" si="19"/>
        <v>0</v>
      </c>
      <c r="AR80" s="81"/>
      <c r="AS80" s="82"/>
      <c r="AT80" s="83"/>
      <c r="AU80" s="84"/>
      <c r="AV80" s="85"/>
      <c r="AW80" s="86"/>
      <c r="AX80" s="86"/>
      <c r="AY80" s="82"/>
      <c r="AZ80" s="87"/>
    </row>
    <row r="81" spans="1:52" ht="16.5" thickBot="1" x14ac:dyDescent="0.3">
      <c r="A81" s="74"/>
      <c r="B81" s="75" t="s">
        <v>74</v>
      </c>
      <c r="C81" s="76"/>
      <c r="D81" s="26">
        <f t="shared" si="20"/>
        <v>0</v>
      </c>
      <c r="E81" s="27">
        <f t="shared" si="21"/>
        <v>0</v>
      </c>
      <c r="F81" s="29">
        <f t="shared" si="22"/>
        <v>0</v>
      </c>
      <c r="G81" s="30">
        <v>0</v>
      </c>
      <c r="H81" s="31">
        <v>0</v>
      </c>
      <c r="I81" s="32">
        <v>0</v>
      </c>
      <c r="J81" s="77"/>
      <c r="K81" s="33"/>
      <c r="L81" s="34">
        <v>0</v>
      </c>
      <c r="M81" s="34">
        <v>0</v>
      </c>
      <c r="N81" s="62"/>
      <c r="O81" s="34">
        <v>0</v>
      </c>
      <c r="P81" s="34">
        <v>0</v>
      </c>
      <c r="Q81" s="34">
        <v>0</v>
      </c>
      <c r="R81" s="62"/>
      <c r="S81" s="37">
        <v>0</v>
      </c>
      <c r="T81" s="34">
        <v>0</v>
      </c>
      <c r="U81" s="34">
        <v>0</v>
      </c>
      <c r="V81" s="62"/>
      <c r="W81" s="38">
        <v>0</v>
      </c>
      <c r="X81" s="31">
        <v>0</v>
      </c>
      <c r="Y81" s="31">
        <v>0</v>
      </c>
      <c r="Z81" s="78"/>
      <c r="AA81" s="37">
        <v>0</v>
      </c>
      <c r="AB81" s="34">
        <v>0</v>
      </c>
      <c r="AC81" s="34">
        <v>0</v>
      </c>
      <c r="AD81" s="64"/>
      <c r="AE81" s="79"/>
      <c r="AF81" s="64"/>
      <c r="AG81" s="43">
        <f t="shared" si="16"/>
        <v>0</v>
      </c>
      <c r="AH81" s="44">
        <f t="shared" si="16"/>
        <v>0</v>
      </c>
      <c r="AI81" s="44">
        <f t="shared" si="16"/>
        <v>0</v>
      </c>
      <c r="AJ81" s="45">
        <f t="shared" si="16"/>
        <v>0</v>
      </c>
      <c r="AK81" s="80">
        <f t="shared" si="17"/>
        <v>0</v>
      </c>
      <c r="AL81" s="47">
        <v>0.75</v>
      </c>
      <c r="AM81" s="48">
        <f t="shared" si="24"/>
        <v>0</v>
      </c>
      <c r="AN81" s="48">
        <f t="shared" si="25"/>
        <v>0</v>
      </c>
      <c r="AO81" s="49">
        <f t="shared" si="23"/>
        <v>0</v>
      </c>
      <c r="AP81" s="49">
        <f t="shared" si="18"/>
        <v>0</v>
      </c>
      <c r="AQ81" s="50">
        <f t="shared" si="19"/>
        <v>0</v>
      </c>
      <c r="AR81" s="81"/>
      <c r="AS81" s="82"/>
      <c r="AT81" s="83"/>
      <c r="AU81" s="84"/>
      <c r="AV81" s="85"/>
      <c r="AW81" s="86"/>
      <c r="AX81" s="86"/>
      <c r="AY81" s="82"/>
      <c r="AZ81" s="87"/>
    </row>
    <row r="82" spans="1:52" ht="16.5" thickBot="1" x14ac:dyDescent="0.3">
      <c r="A82" s="74">
        <v>360</v>
      </c>
      <c r="B82" s="118" t="s">
        <v>75</v>
      </c>
      <c r="C82" s="76"/>
      <c r="D82" s="26">
        <f t="shared" si="20"/>
        <v>0</v>
      </c>
      <c r="E82" s="27">
        <f t="shared" si="21"/>
        <v>0</v>
      </c>
      <c r="F82" s="29">
        <f t="shared" si="22"/>
        <v>0</v>
      </c>
      <c r="G82" s="30">
        <v>0</v>
      </c>
      <c r="H82" s="31">
        <v>0</v>
      </c>
      <c r="I82" s="32">
        <v>0</v>
      </c>
      <c r="J82" s="77"/>
      <c r="K82" s="33"/>
      <c r="L82" s="34">
        <v>0</v>
      </c>
      <c r="M82" s="34">
        <v>0</v>
      </c>
      <c r="N82" s="62"/>
      <c r="O82" s="34">
        <v>0</v>
      </c>
      <c r="P82" s="34">
        <v>0</v>
      </c>
      <c r="Q82" s="34">
        <v>0</v>
      </c>
      <c r="R82" s="62"/>
      <c r="S82" s="37">
        <v>0</v>
      </c>
      <c r="T82" s="34">
        <v>0</v>
      </c>
      <c r="U82" s="34">
        <v>0</v>
      </c>
      <c r="V82" s="62"/>
      <c r="W82" s="38">
        <v>0</v>
      </c>
      <c r="X82" s="31">
        <v>0</v>
      </c>
      <c r="Y82" s="31">
        <v>0</v>
      </c>
      <c r="Z82" s="78"/>
      <c r="AA82" s="37">
        <v>0</v>
      </c>
      <c r="AB82" s="34">
        <v>0</v>
      </c>
      <c r="AC82" s="34">
        <v>0</v>
      </c>
      <c r="AD82" s="64"/>
      <c r="AE82" s="79"/>
      <c r="AF82" s="64"/>
      <c r="AG82" s="43">
        <f t="shared" si="16"/>
        <v>0</v>
      </c>
      <c r="AH82" s="44">
        <f t="shared" si="16"/>
        <v>0</v>
      </c>
      <c r="AI82" s="44">
        <f t="shared" si="16"/>
        <v>0</v>
      </c>
      <c r="AJ82" s="45">
        <f t="shared" si="16"/>
        <v>0</v>
      </c>
      <c r="AK82" s="80">
        <f t="shared" si="17"/>
        <v>0</v>
      </c>
      <c r="AL82" s="47">
        <v>0.44</v>
      </c>
      <c r="AM82" s="48">
        <f t="shared" si="24"/>
        <v>0</v>
      </c>
      <c r="AN82" s="48">
        <f t="shared" si="25"/>
        <v>0</v>
      </c>
      <c r="AO82" s="49">
        <f t="shared" si="23"/>
        <v>0</v>
      </c>
      <c r="AP82" s="49">
        <f t="shared" si="18"/>
        <v>0</v>
      </c>
      <c r="AQ82" s="50">
        <f t="shared" si="19"/>
        <v>0</v>
      </c>
      <c r="AR82" s="81">
        <v>11.75</v>
      </c>
      <c r="AS82" s="82">
        <v>1.25</v>
      </c>
      <c r="AT82" s="83">
        <f>AK82*AS82</f>
        <v>0</v>
      </c>
      <c r="AU82" s="84">
        <f>AK82*AL82</f>
        <v>0</v>
      </c>
      <c r="AV82" s="85">
        <v>0</v>
      </c>
      <c r="AW82" s="86"/>
      <c r="AX82" s="86"/>
      <c r="AY82" s="82"/>
      <c r="AZ82" s="87">
        <f>AT82-AU82-AW82-AX82-AY82</f>
        <v>0</v>
      </c>
    </row>
    <row r="83" spans="1:52" ht="16.5" thickBot="1" x14ac:dyDescent="0.3">
      <c r="A83" s="74"/>
      <c r="B83" s="118" t="s">
        <v>76</v>
      </c>
      <c r="C83" s="76"/>
      <c r="D83" s="26">
        <f t="shared" si="20"/>
        <v>0</v>
      </c>
      <c r="E83" s="27">
        <f t="shared" si="21"/>
        <v>0</v>
      </c>
      <c r="F83" s="29">
        <f t="shared" si="22"/>
        <v>0</v>
      </c>
      <c r="G83" s="30">
        <v>0</v>
      </c>
      <c r="H83" s="31">
        <v>0</v>
      </c>
      <c r="I83" s="32">
        <v>0</v>
      </c>
      <c r="J83" s="77"/>
      <c r="K83" s="33"/>
      <c r="L83" s="34">
        <v>0</v>
      </c>
      <c r="M83" s="34">
        <v>0</v>
      </c>
      <c r="N83" s="62"/>
      <c r="O83" s="34">
        <v>0</v>
      </c>
      <c r="P83" s="34">
        <v>0</v>
      </c>
      <c r="Q83" s="34">
        <v>0</v>
      </c>
      <c r="R83" s="62"/>
      <c r="S83" s="37">
        <v>0</v>
      </c>
      <c r="T83" s="34">
        <v>0</v>
      </c>
      <c r="U83" s="34">
        <v>0</v>
      </c>
      <c r="V83" s="62"/>
      <c r="W83" s="38">
        <v>0</v>
      </c>
      <c r="X83" s="31">
        <v>0</v>
      </c>
      <c r="Y83" s="31">
        <v>0</v>
      </c>
      <c r="Z83" s="78"/>
      <c r="AA83" s="37">
        <v>0</v>
      </c>
      <c r="AB83" s="34">
        <v>0</v>
      </c>
      <c r="AC83" s="34">
        <v>0</v>
      </c>
      <c r="AD83" s="64"/>
      <c r="AE83" s="79"/>
      <c r="AF83" s="64"/>
      <c r="AG83" s="43">
        <f t="shared" si="16"/>
        <v>0</v>
      </c>
      <c r="AH83" s="44">
        <f t="shared" si="16"/>
        <v>0</v>
      </c>
      <c r="AI83" s="44">
        <f t="shared" si="16"/>
        <v>0</v>
      </c>
      <c r="AJ83" s="45">
        <f t="shared" si="16"/>
        <v>0</v>
      </c>
      <c r="AK83" s="80">
        <f t="shared" si="17"/>
        <v>0</v>
      </c>
      <c r="AL83" s="47">
        <v>0.44</v>
      </c>
      <c r="AM83" s="48">
        <f t="shared" si="24"/>
        <v>0</v>
      </c>
      <c r="AN83" s="48">
        <f t="shared" si="25"/>
        <v>0</v>
      </c>
      <c r="AO83" s="49">
        <f t="shared" si="23"/>
        <v>0</v>
      </c>
      <c r="AP83" s="49">
        <f t="shared" si="18"/>
        <v>0</v>
      </c>
      <c r="AQ83" s="50">
        <f t="shared" si="19"/>
        <v>0</v>
      </c>
      <c r="AR83" s="81"/>
      <c r="AS83" s="82"/>
      <c r="AT83" s="83"/>
      <c r="AU83" s="84"/>
      <c r="AV83" s="85"/>
      <c r="AW83" s="86"/>
      <c r="AX83" s="86"/>
      <c r="AY83" s="82"/>
      <c r="AZ83" s="87"/>
    </row>
    <row r="84" spans="1:52" ht="16.5" thickBot="1" x14ac:dyDescent="0.3">
      <c r="A84" s="74"/>
      <c r="B84" s="118" t="s">
        <v>77</v>
      </c>
      <c r="C84" s="76"/>
      <c r="D84" s="26">
        <f t="shared" si="20"/>
        <v>0</v>
      </c>
      <c r="E84" s="27">
        <f t="shared" si="21"/>
        <v>0</v>
      </c>
      <c r="F84" s="29">
        <f t="shared" si="22"/>
        <v>0</v>
      </c>
      <c r="G84" s="30">
        <v>0</v>
      </c>
      <c r="H84" s="31">
        <v>0</v>
      </c>
      <c r="I84" s="32">
        <v>0</v>
      </c>
      <c r="J84" s="77"/>
      <c r="K84" s="33"/>
      <c r="L84" s="34">
        <v>0</v>
      </c>
      <c r="M84" s="34">
        <v>0</v>
      </c>
      <c r="N84" s="62"/>
      <c r="O84" s="34">
        <v>0</v>
      </c>
      <c r="P84" s="34">
        <v>0</v>
      </c>
      <c r="Q84" s="34">
        <v>0</v>
      </c>
      <c r="R84" s="62"/>
      <c r="S84" s="37">
        <v>0</v>
      </c>
      <c r="T84" s="34">
        <v>0</v>
      </c>
      <c r="U84" s="34">
        <v>0</v>
      </c>
      <c r="V84" s="62"/>
      <c r="W84" s="38">
        <v>0</v>
      </c>
      <c r="X84" s="31">
        <v>0</v>
      </c>
      <c r="Y84" s="31">
        <v>0</v>
      </c>
      <c r="Z84" s="78"/>
      <c r="AA84" s="37">
        <v>0</v>
      </c>
      <c r="AB84" s="34">
        <v>0</v>
      </c>
      <c r="AC84" s="34">
        <v>0</v>
      </c>
      <c r="AD84" s="64"/>
      <c r="AE84" s="79"/>
      <c r="AF84" s="64"/>
      <c r="AG84" s="43">
        <f t="shared" si="16"/>
        <v>0</v>
      </c>
      <c r="AH84" s="44">
        <f t="shared" si="16"/>
        <v>0</v>
      </c>
      <c r="AI84" s="44">
        <f t="shared" si="16"/>
        <v>0</v>
      </c>
      <c r="AJ84" s="45">
        <f t="shared" si="16"/>
        <v>0</v>
      </c>
      <c r="AK84" s="80">
        <f t="shared" si="17"/>
        <v>0</v>
      </c>
      <c r="AL84" s="47">
        <v>0.44</v>
      </c>
      <c r="AM84" s="48">
        <f t="shared" si="24"/>
        <v>0</v>
      </c>
      <c r="AN84" s="48">
        <f t="shared" si="25"/>
        <v>0</v>
      </c>
      <c r="AO84" s="49">
        <f t="shared" si="23"/>
        <v>0</v>
      </c>
      <c r="AP84" s="49">
        <f t="shared" si="18"/>
        <v>0</v>
      </c>
      <c r="AQ84" s="50">
        <f t="shared" si="19"/>
        <v>0</v>
      </c>
      <c r="AR84" s="81"/>
      <c r="AS84" s="82"/>
      <c r="AT84" s="83"/>
      <c r="AU84" s="84"/>
      <c r="AV84" s="85"/>
      <c r="AW84" s="86"/>
      <c r="AX84" s="86"/>
      <c r="AY84" s="82"/>
      <c r="AZ84" s="87"/>
    </row>
    <row r="85" spans="1:52" ht="16.5" thickBot="1" x14ac:dyDescent="0.3">
      <c r="A85" s="74"/>
      <c r="B85" s="75" t="s">
        <v>78</v>
      </c>
      <c r="C85" s="76"/>
      <c r="D85" s="26">
        <f t="shared" si="20"/>
        <v>0</v>
      </c>
      <c r="E85" s="27">
        <f t="shared" si="21"/>
        <v>0</v>
      </c>
      <c r="F85" s="29">
        <f t="shared" si="22"/>
        <v>0</v>
      </c>
      <c r="G85" s="30">
        <v>0</v>
      </c>
      <c r="H85" s="31">
        <v>0</v>
      </c>
      <c r="I85" s="32">
        <v>0</v>
      </c>
      <c r="J85" s="77"/>
      <c r="K85" s="33"/>
      <c r="L85" s="34">
        <v>0</v>
      </c>
      <c r="M85" s="34">
        <v>0</v>
      </c>
      <c r="N85" s="62"/>
      <c r="O85" s="34">
        <v>0</v>
      </c>
      <c r="P85" s="34">
        <v>0</v>
      </c>
      <c r="Q85" s="34">
        <v>0</v>
      </c>
      <c r="R85" s="62"/>
      <c r="S85" s="37">
        <v>0</v>
      </c>
      <c r="T85" s="34">
        <v>0</v>
      </c>
      <c r="U85" s="34">
        <v>0</v>
      </c>
      <c r="V85" s="62"/>
      <c r="W85" s="38">
        <v>0</v>
      </c>
      <c r="X85" s="31">
        <v>0</v>
      </c>
      <c r="Y85" s="31">
        <v>0</v>
      </c>
      <c r="Z85" s="78"/>
      <c r="AA85" s="37">
        <v>0</v>
      </c>
      <c r="AB85" s="34">
        <v>0</v>
      </c>
      <c r="AC85" s="34">
        <v>0</v>
      </c>
      <c r="AD85" s="64"/>
      <c r="AE85" s="79"/>
      <c r="AF85" s="64"/>
      <c r="AG85" s="43">
        <f t="shared" si="16"/>
        <v>0</v>
      </c>
      <c r="AH85" s="44">
        <f t="shared" si="16"/>
        <v>0</v>
      </c>
      <c r="AI85" s="44">
        <f t="shared" si="16"/>
        <v>0</v>
      </c>
      <c r="AJ85" s="45">
        <f t="shared" si="16"/>
        <v>0</v>
      </c>
      <c r="AK85" s="80">
        <f t="shared" si="17"/>
        <v>0</v>
      </c>
      <c r="AL85" s="47">
        <v>0.44</v>
      </c>
      <c r="AM85" s="48">
        <f t="shared" si="24"/>
        <v>0</v>
      </c>
      <c r="AN85" s="48">
        <f t="shared" si="25"/>
        <v>0</v>
      </c>
      <c r="AO85" s="49">
        <f t="shared" si="23"/>
        <v>0</v>
      </c>
      <c r="AP85" s="49">
        <f t="shared" si="18"/>
        <v>0</v>
      </c>
      <c r="AQ85" s="50">
        <f t="shared" si="19"/>
        <v>0</v>
      </c>
      <c r="AR85" s="81"/>
      <c r="AS85" s="82"/>
      <c r="AT85" s="83"/>
      <c r="AU85" s="84"/>
      <c r="AV85" s="85"/>
      <c r="AW85" s="86"/>
      <c r="AX85" s="86"/>
      <c r="AY85" s="82"/>
      <c r="AZ85" s="87"/>
    </row>
    <row r="86" spans="1:52" ht="16.5" thickBot="1" x14ac:dyDescent="0.3">
      <c r="A86" s="74"/>
      <c r="B86" s="75" t="s">
        <v>79</v>
      </c>
      <c r="C86" s="76"/>
      <c r="D86" s="26">
        <f t="shared" si="20"/>
        <v>0</v>
      </c>
      <c r="E86" s="27">
        <f t="shared" si="21"/>
        <v>0</v>
      </c>
      <c r="F86" s="29">
        <f t="shared" si="22"/>
        <v>0</v>
      </c>
      <c r="G86" s="30">
        <v>0</v>
      </c>
      <c r="H86" s="31">
        <v>0</v>
      </c>
      <c r="I86" s="32">
        <v>0</v>
      </c>
      <c r="J86" s="77"/>
      <c r="K86" s="33"/>
      <c r="L86" s="34">
        <v>0</v>
      </c>
      <c r="M86" s="34">
        <v>0</v>
      </c>
      <c r="N86" s="62"/>
      <c r="O86" s="34">
        <v>0</v>
      </c>
      <c r="P86" s="34">
        <v>0</v>
      </c>
      <c r="Q86" s="34">
        <v>0</v>
      </c>
      <c r="R86" s="62"/>
      <c r="S86" s="37">
        <v>0</v>
      </c>
      <c r="T86" s="34">
        <v>0</v>
      </c>
      <c r="U86" s="34">
        <v>0</v>
      </c>
      <c r="V86" s="62"/>
      <c r="W86" s="38">
        <v>0</v>
      </c>
      <c r="X86" s="31">
        <v>0</v>
      </c>
      <c r="Y86" s="31">
        <v>0</v>
      </c>
      <c r="Z86" s="78"/>
      <c r="AA86" s="37">
        <v>0</v>
      </c>
      <c r="AB86" s="34">
        <v>0</v>
      </c>
      <c r="AC86" s="34">
        <v>0</v>
      </c>
      <c r="AD86" s="64"/>
      <c r="AE86" s="79"/>
      <c r="AF86" s="64"/>
      <c r="AG86" s="43">
        <f t="shared" si="16"/>
        <v>0</v>
      </c>
      <c r="AH86" s="44">
        <f t="shared" si="16"/>
        <v>0</v>
      </c>
      <c r="AI86" s="44">
        <f t="shared" si="16"/>
        <v>0</v>
      </c>
      <c r="AJ86" s="45">
        <f t="shared" si="16"/>
        <v>0</v>
      </c>
      <c r="AK86" s="80">
        <f t="shared" si="17"/>
        <v>0</v>
      </c>
      <c r="AL86" s="47">
        <v>0.44</v>
      </c>
      <c r="AM86" s="48">
        <f t="shared" si="24"/>
        <v>0</v>
      </c>
      <c r="AN86" s="48">
        <f t="shared" si="25"/>
        <v>0</v>
      </c>
      <c r="AO86" s="49">
        <f t="shared" si="23"/>
        <v>0</v>
      </c>
      <c r="AP86" s="49">
        <f t="shared" si="18"/>
        <v>0</v>
      </c>
      <c r="AQ86" s="50">
        <f t="shared" si="19"/>
        <v>0</v>
      </c>
      <c r="AR86" s="81"/>
      <c r="AS86" s="82"/>
      <c r="AT86" s="83"/>
      <c r="AU86" s="84"/>
      <c r="AV86" s="85"/>
      <c r="AW86" s="86"/>
      <c r="AX86" s="86"/>
      <c r="AY86" s="82"/>
      <c r="AZ86" s="87"/>
    </row>
    <row r="87" spans="1:52" ht="16.5" thickBot="1" x14ac:dyDescent="0.3">
      <c r="A87" s="74"/>
      <c r="B87" s="75" t="s">
        <v>80</v>
      </c>
      <c r="C87" s="76"/>
      <c r="D87" s="26">
        <f t="shared" si="20"/>
        <v>0</v>
      </c>
      <c r="E87" s="27">
        <f t="shared" si="21"/>
        <v>0</v>
      </c>
      <c r="F87" s="29">
        <f t="shared" si="22"/>
        <v>0</v>
      </c>
      <c r="G87" s="30">
        <v>0</v>
      </c>
      <c r="H87" s="31">
        <v>0</v>
      </c>
      <c r="I87" s="32">
        <v>0</v>
      </c>
      <c r="J87" s="77"/>
      <c r="K87" s="33"/>
      <c r="L87" s="34">
        <v>0</v>
      </c>
      <c r="M87" s="34">
        <v>0</v>
      </c>
      <c r="N87" s="62"/>
      <c r="O87" s="34">
        <v>0</v>
      </c>
      <c r="P87" s="34">
        <v>0</v>
      </c>
      <c r="Q87" s="34">
        <v>0</v>
      </c>
      <c r="R87" s="62"/>
      <c r="S87" s="37">
        <v>0</v>
      </c>
      <c r="T87" s="34">
        <v>0</v>
      </c>
      <c r="U87" s="34">
        <v>0</v>
      </c>
      <c r="V87" s="62"/>
      <c r="W87" s="38">
        <v>0</v>
      </c>
      <c r="X87" s="31">
        <v>0</v>
      </c>
      <c r="Y87" s="31">
        <v>0</v>
      </c>
      <c r="Z87" s="78"/>
      <c r="AA87" s="37">
        <v>0</v>
      </c>
      <c r="AB87" s="34">
        <v>0</v>
      </c>
      <c r="AC87" s="34">
        <v>0</v>
      </c>
      <c r="AD87" s="64"/>
      <c r="AE87" s="79"/>
      <c r="AF87" s="64"/>
      <c r="AG87" s="43">
        <f t="shared" si="16"/>
        <v>0</v>
      </c>
      <c r="AH87" s="44">
        <f t="shared" si="16"/>
        <v>0</v>
      </c>
      <c r="AI87" s="44">
        <f t="shared" si="16"/>
        <v>0</v>
      </c>
      <c r="AJ87" s="45">
        <f t="shared" si="16"/>
        <v>0</v>
      </c>
      <c r="AK87" s="80">
        <f t="shared" si="17"/>
        <v>0</v>
      </c>
      <c r="AL87" s="47">
        <v>0.44</v>
      </c>
      <c r="AM87" s="48">
        <f t="shared" si="24"/>
        <v>0</v>
      </c>
      <c r="AN87" s="48">
        <f t="shared" si="25"/>
        <v>0</v>
      </c>
      <c r="AO87" s="49">
        <f t="shared" si="23"/>
        <v>0</v>
      </c>
      <c r="AP87" s="49">
        <f t="shared" si="18"/>
        <v>0</v>
      </c>
      <c r="AQ87" s="50">
        <f t="shared" si="19"/>
        <v>0</v>
      </c>
      <c r="AR87" s="81"/>
      <c r="AS87" s="82"/>
      <c r="AT87" s="83"/>
      <c r="AU87" s="84"/>
      <c r="AV87" s="85"/>
      <c r="AW87" s="86"/>
      <c r="AX87" s="86"/>
      <c r="AY87" s="82"/>
      <c r="AZ87" s="87"/>
    </row>
    <row r="88" spans="1:52" ht="16.5" thickBot="1" x14ac:dyDescent="0.3">
      <c r="A88" s="74"/>
      <c r="B88" s="75" t="s">
        <v>81</v>
      </c>
      <c r="C88" s="76"/>
      <c r="D88" s="26">
        <f t="shared" si="20"/>
        <v>0</v>
      </c>
      <c r="E88" s="27">
        <f t="shared" si="21"/>
        <v>0</v>
      </c>
      <c r="F88" s="29">
        <f t="shared" si="22"/>
        <v>0</v>
      </c>
      <c r="G88" s="30">
        <v>0</v>
      </c>
      <c r="H88" s="31">
        <v>0</v>
      </c>
      <c r="I88" s="32">
        <v>0</v>
      </c>
      <c r="J88" s="77"/>
      <c r="K88" s="33"/>
      <c r="L88" s="34">
        <v>0</v>
      </c>
      <c r="M88" s="34">
        <v>0</v>
      </c>
      <c r="N88" s="62"/>
      <c r="O88" s="34">
        <v>0</v>
      </c>
      <c r="P88" s="34">
        <v>0</v>
      </c>
      <c r="Q88" s="34">
        <v>0</v>
      </c>
      <c r="R88" s="62"/>
      <c r="S88" s="37">
        <v>0</v>
      </c>
      <c r="T88" s="34">
        <v>0</v>
      </c>
      <c r="U88" s="34">
        <v>0</v>
      </c>
      <c r="V88" s="62"/>
      <c r="W88" s="38">
        <v>0</v>
      </c>
      <c r="X88" s="31">
        <v>0</v>
      </c>
      <c r="Y88" s="31">
        <v>0</v>
      </c>
      <c r="Z88" s="78"/>
      <c r="AA88" s="37">
        <v>0</v>
      </c>
      <c r="AB88" s="34">
        <v>0</v>
      </c>
      <c r="AC88" s="34">
        <v>0</v>
      </c>
      <c r="AD88" s="64"/>
      <c r="AE88" s="79"/>
      <c r="AF88" s="64"/>
      <c r="AG88" s="43">
        <f t="shared" si="16"/>
        <v>0</v>
      </c>
      <c r="AH88" s="44">
        <f t="shared" si="16"/>
        <v>0</v>
      </c>
      <c r="AI88" s="44">
        <f t="shared" si="16"/>
        <v>0</v>
      </c>
      <c r="AJ88" s="45">
        <f>J88+N88+R88+V88+Z88+AD88</f>
        <v>0</v>
      </c>
      <c r="AK88" s="80">
        <f t="shared" si="17"/>
        <v>0</v>
      </c>
      <c r="AL88" s="47">
        <v>0.44</v>
      </c>
      <c r="AM88" s="48">
        <f t="shared" si="24"/>
        <v>0</v>
      </c>
      <c r="AN88" s="48">
        <f t="shared" si="25"/>
        <v>0</v>
      </c>
      <c r="AO88" s="49">
        <f t="shared" si="23"/>
        <v>0</v>
      </c>
      <c r="AP88" s="49">
        <f t="shared" si="18"/>
        <v>0</v>
      </c>
      <c r="AQ88" s="50">
        <f t="shared" si="19"/>
        <v>0</v>
      </c>
      <c r="AR88" s="81"/>
      <c r="AS88" s="82"/>
      <c r="AT88" s="83"/>
      <c r="AU88" s="84"/>
      <c r="AV88" s="85"/>
      <c r="AW88" s="86"/>
      <c r="AX88" s="86"/>
      <c r="AY88" s="82"/>
      <c r="AZ88" s="87"/>
    </row>
    <row r="89" spans="1:52" ht="16.5" thickBot="1" x14ac:dyDescent="0.3">
      <c r="A89" s="74">
        <v>625</v>
      </c>
      <c r="B89" s="75" t="s">
        <v>75</v>
      </c>
      <c r="C89" s="76"/>
      <c r="D89" s="26">
        <f t="shared" si="20"/>
        <v>0</v>
      </c>
      <c r="E89" s="27">
        <f t="shared" si="21"/>
        <v>0</v>
      </c>
      <c r="F89" s="29">
        <f t="shared" si="22"/>
        <v>0</v>
      </c>
      <c r="G89" s="30">
        <v>20</v>
      </c>
      <c r="H89" s="31">
        <v>26</v>
      </c>
      <c r="I89" s="32">
        <v>19</v>
      </c>
      <c r="J89" s="77"/>
      <c r="K89" s="33"/>
      <c r="L89" s="34">
        <v>11</v>
      </c>
      <c r="M89" s="34">
        <v>22</v>
      </c>
      <c r="N89" s="62"/>
      <c r="O89" s="34">
        <v>9</v>
      </c>
      <c r="P89" s="34">
        <v>15</v>
      </c>
      <c r="Q89" s="34">
        <v>4</v>
      </c>
      <c r="R89" s="62"/>
      <c r="S89" s="37">
        <v>15</v>
      </c>
      <c r="T89" s="34">
        <v>21</v>
      </c>
      <c r="U89" s="34">
        <v>18</v>
      </c>
      <c r="V89" s="62"/>
      <c r="W89" s="38">
        <v>1</v>
      </c>
      <c r="X89" s="31">
        <v>9</v>
      </c>
      <c r="Y89" s="31">
        <v>15</v>
      </c>
      <c r="Z89" s="78"/>
      <c r="AA89" s="37">
        <v>14</v>
      </c>
      <c r="AB89" s="34">
        <v>21</v>
      </c>
      <c r="AC89" s="34">
        <v>16</v>
      </c>
      <c r="AD89" s="64"/>
      <c r="AE89" s="79"/>
      <c r="AF89" s="64"/>
      <c r="AG89" s="43">
        <f t="shared" si="16"/>
        <v>59</v>
      </c>
      <c r="AH89" s="44">
        <f t="shared" si="16"/>
        <v>103</v>
      </c>
      <c r="AI89" s="44">
        <f t="shared" si="16"/>
        <v>94</v>
      </c>
      <c r="AJ89" s="45">
        <f>J89+N89+R89+V89+Z89+AD89</f>
        <v>0</v>
      </c>
      <c r="AK89" s="80">
        <f t="shared" si="17"/>
        <v>256</v>
      </c>
      <c r="AL89" s="47">
        <v>0.75</v>
      </c>
      <c r="AM89" s="48">
        <f t="shared" si="24"/>
        <v>44.25</v>
      </c>
      <c r="AN89" s="48">
        <f t="shared" si="25"/>
        <v>77.25</v>
      </c>
      <c r="AO89" s="49">
        <f t="shared" si="23"/>
        <v>70.5</v>
      </c>
      <c r="AP89" s="49">
        <f t="shared" si="18"/>
        <v>0</v>
      </c>
      <c r="AQ89" s="50">
        <f t="shared" si="19"/>
        <v>15360</v>
      </c>
      <c r="AR89" s="81"/>
      <c r="AS89" s="82"/>
      <c r="AT89" s="83">
        <f>AK89*AS89</f>
        <v>0</v>
      </c>
      <c r="AU89" s="84">
        <f>AK89*AL89</f>
        <v>192</v>
      </c>
      <c r="AV89" s="85">
        <v>0</v>
      </c>
      <c r="AW89" s="86"/>
      <c r="AX89" s="86"/>
      <c r="AY89" s="82"/>
      <c r="AZ89" s="87"/>
    </row>
    <row r="90" spans="1:52" ht="16.5" thickBot="1" x14ac:dyDescent="0.3">
      <c r="A90" s="74"/>
      <c r="B90" s="75" t="s">
        <v>77</v>
      </c>
      <c r="C90" s="76"/>
      <c r="D90" s="26">
        <f t="shared" si="20"/>
        <v>0</v>
      </c>
      <c r="E90" s="27">
        <f t="shared" si="21"/>
        <v>0</v>
      </c>
      <c r="F90" s="29">
        <f t="shared" si="22"/>
        <v>0</v>
      </c>
      <c r="G90" s="30">
        <v>27</v>
      </c>
      <c r="H90" s="31">
        <v>38</v>
      </c>
      <c r="I90" s="32">
        <v>30</v>
      </c>
      <c r="J90" s="77"/>
      <c r="K90" s="33"/>
      <c r="L90" s="34">
        <v>12</v>
      </c>
      <c r="M90" s="34">
        <v>28</v>
      </c>
      <c r="N90" s="62"/>
      <c r="O90" s="34">
        <v>12</v>
      </c>
      <c r="P90" s="34">
        <v>14</v>
      </c>
      <c r="Q90" s="34">
        <v>9</v>
      </c>
      <c r="R90" s="62"/>
      <c r="S90" s="37">
        <v>15</v>
      </c>
      <c r="T90" s="34">
        <v>28</v>
      </c>
      <c r="U90" s="34">
        <v>29</v>
      </c>
      <c r="V90" s="62"/>
      <c r="W90" s="38">
        <v>5</v>
      </c>
      <c r="X90" s="31">
        <v>20</v>
      </c>
      <c r="Y90" s="31">
        <v>19</v>
      </c>
      <c r="Z90" s="78"/>
      <c r="AA90" s="37">
        <v>20</v>
      </c>
      <c r="AB90" s="34">
        <v>23</v>
      </c>
      <c r="AC90" s="34">
        <v>12</v>
      </c>
      <c r="AD90" s="64"/>
      <c r="AE90" s="79"/>
      <c r="AF90" s="64"/>
      <c r="AG90" s="43">
        <f t="shared" si="16"/>
        <v>79</v>
      </c>
      <c r="AH90" s="44">
        <f t="shared" si="16"/>
        <v>135</v>
      </c>
      <c r="AI90" s="44">
        <f t="shared" si="16"/>
        <v>127</v>
      </c>
      <c r="AJ90" s="45">
        <f>J90+N90+R90+V90+Z90+AD90</f>
        <v>0</v>
      </c>
      <c r="AK90" s="80">
        <f t="shared" si="17"/>
        <v>341</v>
      </c>
      <c r="AL90" s="47">
        <v>0.75</v>
      </c>
      <c r="AM90" s="48">
        <f t="shared" si="24"/>
        <v>59.25</v>
      </c>
      <c r="AN90" s="48">
        <f t="shared" si="25"/>
        <v>101.25</v>
      </c>
      <c r="AO90" s="49">
        <f t="shared" si="23"/>
        <v>95.25</v>
      </c>
      <c r="AP90" s="49">
        <f t="shared" si="18"/>
        <v>0</v>
      </c>
      <c r="AQ90" s="50">
        <f t="shared" si="19"/>
        <v>20460</v>
      </c>
      <c r="AR90" s="81"/>
      <c r="AS90" s="82"/>
      <c r="AT90" s="83"/>
      <c r="AU90" s="84"/>
      <c r="AV90" s="85"/>
      <c r="AW90" s="86"/>
      <c r="AX90" s="86"/>
      <c r="AY90" s="82"/>
      <c r="AZ90" s="87"/>
    </row>
    <row r="91" spans="1:52" ht="16.5" thickBot="1" x14ac:dyDescent="0.3">
      <c r="A91" s="74"/>
      <c r="B91" s="75" t="s">
        <v>82</v>
      </c>
      <c r="C91" s="76"/>
      <c r="D91" s="26">
        <f t="shared" si="20"/>
        <v>0</v>
      </c>
      <c r="E91" s="27">
        <f t="shared" si="21"/>
        <v>0</v>
      </c>
      <c r="F91" s="29">
        <f t="shared" si="22"/>
        <v>0</v>
      </c>
      <c r="G91" s="30">
        <v>0</v>
      </c>
      <c r="H91" s="31">
        <v>0</v>
      </c>
      <c r="I91" s="32">
        <v>0</v>
      </c>
      <c r="J91" s="77"/>
      <c r="K91" s="33"/>
      <c r="L91" s="34">
        <v>10</v>
      </c>
      <c r="M91" s="34">
        <v>25</v>
      </c>
      <c r="N91" s="62"/>
      <c r="O91" s="34">
        <v>4</v>
      </c>
      <c r="P91" s="34">
        <v>16</v>
      </c>
      <c r="Q91" s="34">
        <v>5</v>
      </c>
      <c r="R91" s="62"/>
      <c r="S91" s="37">
        <v>15</v>
      </c>
      <c r="T91" s="34">
        <v>30</v>
      </c>
      <c r="U91" s="34">
        <v>28</v>
      </c>
      <c r="V91" s="62"/>
      <c r="W91" s="38">
        <v>4</v>
      </c>
      <c r="X91" s="31">
        <v>16</v>
      </c>
      <c r="Y91" s="31">
        <v>19</v>
      </c>
      <c r="Z91" s="78"/>
      <c r="AA91" s="37">
        <v>30</v>
      </c>
      <c r="AB91" s="34">
        <v>36</v>
      </c>
      <c r="AC91" s="34">
        <v>16</v>
      </c>
      <c r="AD91" s="64"/>
      <c r="AE91" s="79"/>
      <c r="AF91" s="64"/>
      <c r="AG91" s="43">
        <f t="shared" si="16"/>
        <v>53</v>
      </c>
      <c r="AH91" s="44">
        <f t="shared" si="16"/>
        <v>108</v>
      </c>
      <c r="AI91" s="44">
        <f t="shared" si="16"/>
        <v>93</v>
      </c>
      <c r="AJ91" s="45">
        <f t="shared" si="16"/>
        <v>0</v>
      </c>
      <c r="AK91" s="80">
        <f t="shared" si="17"/>
        <v>254</v>
      </c>
      <c r="AL91" s="47">
        <v>0.75</v>
      </c>
      <c r="AM91" s="48">
        <f t="shared" si="24"/>
        <v>39.75</v>
      </c>
      <c r="AN91" s="48">
        <f t="shared" si="25"/>
        <v>81</v>
      </c>
      <c r="AO91" s="49">
        <f t="shared" si="23"/>
        <v>69.75</v>
      </c>
      <c r="AP91" s="49">
        <f t="shared" si="18"/>
        <v>0</v>
      </c>
      <c r="AQ91" s="50">
        <f t="shared" si="19"/>
        <v>15240</v>
      </c>
      <c r="AR91" s="81"/>
      <c r="AS91" s="82"/>
      <c r="AT91" s="83"/>
      <c r="AU91" s="84"/>
      <c r="AV91" s="85"/>
      <c r="AW91" s="86"/>
      <c r="AX91" s="86"/>
      <c r="AY91" s="82"/>
      <c r="AZ91" s="87"/>
    </row>
    <row r="92" spans="1:52" ht="16.5" thickBot="1" x14ac:dyDescent="0.3">
      <c r="A92" s="74"/>
      <c r="B92" s="75" t="s">
        <v>81</v>
      </c>
      <c r="C92" s="76"/>
      <c r="D92" s="26">
        <f t="shared" si="20"/>
        <v>0</v>
      </c>
      <c r="E92" s="27">
        <f t="shared" si="21"/>
        <v>0</v>
      </c>
      <c r="F92" s="29">
        <f t="shared" si="22"/>
        <v>0</v>
      </c>
      <c r="G92" s="30">
        <v>0</v>
      </c>
      <c r="H92" s="31">
        <v>15</v>
      </c>
      <c r="I92" s="32">
        <v>7</v>
      </c>
      <c r="J92" s="77"/>
      <c r="K92" s="33"/>
      <c r="L92" s="34">
        <v>3</v>
      </c>
      <c r="M92" s="34">
        <v>10</v>
      </c>
      <c r="N92" s="62"/>
      <c r="O92" s="34">
        <v>0</v>
      </c>
      <c r="P92" s="34">
        <v>2</v>
      </c>
      <c r="Q92" s="34">
        <v>0</v>
      </c>
      <c r="R92" s="62"/>
      <c r="S92" s="37">
        <v>2</v>
      </c>
      <c r="T92" s="34">
        <v>4</v>
      </c>
      <c r="U92" s="34">
        <v>10</v>
      </c>
      <c r="V92" s="62"/>
      <c r="W92" s="38">
        <v>2</v>
      </c>
      <c r="X92" s="31">
        <v>4</v>
      </c>
      <c r="Y92" s="31">
        <v>0</v>
      </c>
      <c r="Z92" s="78"/>
      <c r="AA92" s="37">
        <v>9</v>
      </c>
      <c r="AB92" s="34">
        <v>5</v>
      </c>
      <c r="AC92" s="34">
        <v>4</v>
      </c>
      <c r="AD92" s="64"/>
      <c r="AE92" s="79"/>
      <c r="AF92" s="64"/>
      <c r="AG92" s="43">
        <f t="shared" si="16"/>
        <v>13</v>
      </c>
      <c r="AH92" s="44">
        <f t="shared" si="16"/>
        <v>33</v>
      </c>
      <c r="AI92" s="44">
        <f t="shared" si="16"/>
        <v>31</v>
      </c>
      <c r="AJ92" s="45">
        <f t="shared" si="16"/>
        <v>0</v>
      </c>
      <c r="AK92" s="80">
        <f t="shared" si="17"/>
        <v>77</v>
      </c>
      <c r="AL92" s="47">
        <v>0.75</v>
      </c>
      <c r="AM92" s="48">
        <f t="shared" si="24"/>
        <v>9.75</v>
      </c>
      <c r="AN92" s="48">
        <f t="shared" si="25"/>
        <v>24.75</v>
      </c>
      <c r="AO92" s="49">
        <f t="shared" si="23"/>
        <v>23.25</v>
      </c>
      <c r="AP92" s="49">
        <f t="shared" si="18"/>
        <v>0</v>
      </c>
      <c r="AQ92" s="50">
        <f t="shared" si="19"/>
        <v>4620</v>
      </c>
      <c r="AR92" s="81"/>
      <c r="AS92" s="82"/>
      <c r="AT92" s="83"/>
      <c r="AU92" s="84"/>
      <c r="AV92" s="85"/>
      <c r="AW92" s="86"/>
      <c r="AX92" s="86"/>
      <c r="AY92" s="82"/>
      <c r="AZ92" s="87"/>
    </row>
    <row r="93" spans="1:52" ht="16.5" thickBot="1" x14ac:dyDescent="0.3">
      <c r="A93" s="74"/>
      <c r="B93" s="75" t="s">
        <v>79</v>
      </c>
      <c r="C93" s="76"/>
      <c r="D93" s="26">
        <f t="shared" si="20"/>
        <v>0</v>
      </c>
      <c r="E93" s="27">
        <f t="shared" si="21"/>
        <v>0</v>
      </c>
      <c r="F93" s="29">
        <f t="shared" si="22"/>
        <v>0</v>
      </c>
      <c r="G93" s="30">
        <v>4</v>
      </c>
      <c r="H93" s="31">
        <v>9</v>
      </c>
      <c r="I93" s="32">
        <v>9</v>
      </c>
      <c r="J93" s="77"/>
      <c r="K93" s="33"/>
      <c r="L93" s="34">
        <v>5</v>
      </c>
      <c r="M93" s="34">
        <v>12</v>
      </c>
      <c r="N93" s="62"/>
      <c r="O93" s="34">
        <v>0</v>
      </c>
      <c r="P93" s="34">
        <v>0</v>
      </c>
      <c r="Q93" s="34">
        <v>0</v>
      </c>
      <c r="R93" s="62"/>
      <c r="S93" s="37">
        <v>0</v>
      </c>
      <c r="T93" s="34">
        <v>10</v>
      </c>
      <c r="U93" s="34">
        <v>0</v>
      </c>
      <c r="V93" s="62"/>
      <c r="W93" s="38">
        <v>0</v>
      </c>
      <c r="X93" s="31">
        <v>0</v>
      </c>
      <c r="Y93" s="31">
        <v>0</v>
      </c>
      <c r="Z93" s="78"/>
      <c r="AA93" s="37">
        <v>0</v>
      </c>
      <c r="AB93" s="34">
        <v>0</v>
      </c>
      <c r="AC93" s="34">
        <v>0</v>
      </c>
      <c r="AD93" s="64"/>
      <c r="AE93" s="79"/>
      <c r="AF93" s="64"/>
      <c r="AG93" s="43">
        <f t="shared" si="16"/>
        <v>4</v>
      </c>
      <c r="AH93" s="44">
        <f t="shared" si="16"/>
        <v>24</v>
      </c>
      <c r="AI93" s="44">
        <f t="shared" si="16"/>
        <v>21</v>
      </c>
      <c r="AJ93" s="45">
        <f t="shared" si="16"/>
        <v>0</v>
      </c>
      <c r="AK93" s="80">
        <f t="shared" si="17"/>
        <v>49</v>
      </c>
      <c r="AL93" s="47">
        <v>0.75</v>
      </c>
      <c r="AM93" s="48">
        <f t="shared" si="24"/>
        <v>3</v>
      </c>
      <c r="AN93" s="48">
        <f t="shared" si="25"/>
        <v>18</v>
      </c>
      <c r="AO93" s="49">
        <f t="shared" si="23"/>
        <v>15.75</v>
      </c>
      <c r="AP93" s="49">
        <f t="shared" si="18"/>
        <v>0</v>
      </c>
      <c r="AQ93" s="50">
        <f t="shared" si="19"/>
        <v>2940</v>
      </c>
      <c r="AR93" s="81"/>
      <c r="AS93" s="82"/>
      <c r="AT93" s="83"/>
      <c r="AU93" s="84"/>
      <c r="AV93" s="85"/>
      <c r="AW93" s="86"/>
      <c r="AX93" s="86"/>
      <c r="AY93" s="82"/>
      <c r="AZ93" s="87"/>
    </row>
    <row r="94" spans="1:52" ht="16.5" thickBot="1" x14ac:dyDescent="0.3">
      <c r="A94" s="74"/>
      <c r="B94" s="75" t="s">
        <v>80</v>
      </c>
      <c r="C94" s="76"/>
      <c r="D94" s="26">
        <f t="shared" si="20"/>
        <v>0</v>
      </c>
      <c r="E94" s="27">
        <f t="shared" si="21"/>
        <v>0</v>
      </c>
      <c r="F94" s="29">
        <f t="shared" si="22"/>
        <v>0</v>
      </c>
      <c r="G94" s="30">
        <v>0</v>
      </c>
      <c r="H94" s="31">
        <v>0</v>
      </c>
      <c r="I94" s="32">
        <v>0</v>
      </c>
      <c r="J94" s="77"/>
      <c r="K94" s="33"/>
      <c r="L94" s="34">
        <v>0</v>
      </c>
      <c r="M94" s="34">
        <v>0</v>
      </c>
      <c r="N94" s="62"/>
      <c r="O94" s="34">
        <v>0</v>
      </c>
      <c r="P94" s="34">
        <v>0</v>
      </c>
      <c r="Q94" s="34">
        <v>0</v>
      </c>
      <c r="R94" s="62"/>
      <c r="S94" s="37">
        <v>0</v>
      </c>
      <c r="T94" s="34">
        <v>0</v>
      </c>
      <c r="U94" s="34">
        <v>0</v>
      </c>
      <c r="V94" s="62"/>
      <c r="W94" s="38">
        <v>0</v>
      </c>
      <c r="X94" s="31">
        <v>0</v>
      </c>
      <c r="Y94" s="31">
        <v>0</v>
      </c>
      <c r="Z94" s="78"/>
      <c r="AA94" s="37">
        <v>0</v>
      </c>
      <c r="AB94" s="34">
        <v>0</v>
      </c>
      <c r="AC94" s="34">
        <v>0</v>
      </c>
      <c r="AD94" s="64"/>
      <c r="AE94" s="79"/>
      <c r="AF94" s="64"/>
      <c r="AG94" s="43">
        <f t="shared" si="16"/>
        <v>0</v>
      </c>
      <c r="AH94" s="44">
        <f t="shared" si="16"/>
        <v>0</v>
      </c>
      <c r="AI94" s="44">
        <f t="shared" si="16"/>
        <v>0</v>
      </c>
      <c r="AJ94" s="45">
        <f t="shared" si="16"/>
        <v>0</v>
      </c>
      <c r="AK94" s="80">
        <f t="shared" si="17"/>
        <v>0</v>
      </c>
      <c r="AL94" s="47">
        <v>0.75</v>
      </c>
      <c r="AM94" s="48">
        <f t="shared" si="24"/>
        <v>0</v>
      </c>
      <c r="AN94" s="48">
        <f t="shared" si="25"/>
        <v>0</v>
      </c>
      <c r="AO94" s="49">
        <f t="shared" si="23"/>
        <v>0</v>
      </c>
      <c r="AP94" s="49">
        <f t="shared" si="18"/>
        <v>0</v>
      </c>
      <c r="AQ94" s="50">
        <f t="shared" si="19"/>
        <v>0</v>
      </c>
      <c r="AR94" s="81"/>
      <c r="AS94" s="82"/>
      <c r="AT94" s="83"/>
      <c r="AU94" s="84"/>
      <c r="AV94" s="85"/>
      <c r="AW94" s="86"/>
      <c r="AX94" s="86"/>
      <c r="AY94" s="82"/>
      <c r="AZ94" s="87"/>
    </row>
    <row r="95" spans="1:52" ht="16.5" thickBot="1" x14ac:dyDescent="0.3">
      <c r="A95" s="74"/>
      <c r="B95" s="75" t="s">
        <v>78</v>
      </c>
      <c r="C95" s="76"/>
      <c r="D95" s="26">
        <f t="shared" si="20"/>
        <v>0</v>
      </c>
      <c r="E95" s="27">
        <f t="shared" si="21"/>
        <v>0</v>
      </c>
      <c r="F95" s="29">
        <f t="shared" si="22"/>
        <v>0</v>
      </c>
      <c r="G95" s="30">
        <v>0</v>
      </c>
      <c r="H95" s="31">
        <v>0</v>
      </c>
      <c r="I95" s="32">
        <v>0</v>
      </c>
      <c r="J95" s="77"/>
      <c r="K95" s="33"/>
      <c r="L95" s="34">
        <v>0</v>
      </c>
      <c r="M95" s="34">
        <v>0</v>
      </c>
      <c r="N95" s="62"/>
      <c r="O95" s="34">
        <v>0</v>
      </c>
      <c r="P95" s="34">
        <v>0</v>
      </c>
      <c r="Q95" s="34">
        <v>0</v>
      </c>
      <c r="R95" s="62"/>
      <c r="S95" s="37">
        <v>0</v>
      </c>
      <c r="T95" s="34">
        <v>0</v>
      </c>
      <c r="U95" s="34">
        <v>0</v>
      </c>
      <c r="V95" s="62"/>
      <c r="W95" s="38">
        <v>0</v>
      </c>
      <c r="X95" s="31">
        <v>0</v>
      </c>
      <c r="Y95" s="31">
        <v>0</v>
      </c>
      <c r="Z95" s="78"/>
      <c r="AA95" s="37">
        <v>0</v>
      </c>
      <c r="AB95" s="34">
        <v>0</v>
      </c>
      <c r="AC95" s="34">
        <v>0</v>
      </c>
      <c r="AD95" s="64"/>
      <c r="AE95" s="79"/>
      <c r="AF95" s="64"/>
      <c r="AG95" s="43">
        <f t="shared" si="16"/>
        <v>0</v>
      </c>
      <c r="AH95" s="44">
        <f t="shared" si="16"/>
        <v>0</v>
      </c>
      <c r="AI95" s="44">
        <f t="shared" si="16"/>
        <v>0</v>
      </c>
      <c r="AJ95" s="45">
        <f t="shared" si="16"/>
        <v>0</v>
      </c>
      <c r="AK95" s="80">
        <f t="shared" si="17"/>
        <v>0</v>
      </c>
      <c r="AL95" s="47">
        <v>0.75</v>
      </c>
      <c r="AM95" s="48">
        <f t="shared" si="24"/>
        <v>0</v>
      </c>
      <c r="AN95" s="48">
        <f t="shared" si="25"/>
        <v>0</v>
      </c>
      <c r="AO95" s="49">
        <f t="shared" si="23"/>
        <v>0</v>
      </c>
      <c r="AP95" s="49">
        <f t="shared" si="18"/>
        <v>0</v>
      </c>
      <c r="AQ95" s="50">
        <f t="shared" si="19"/>
        <v>0</v>
      </c>
      <c r="AR95" s="81"/>
      <c r="AS95" s="82"/>
      <c r="AT95" s="83"/>
      <c r="AU95" s="84"/>
      <c r="AV95" s="85"/>
      <c r="AW95" s="86"/>
      <c r="AX95" s="86"/>
      <c r="AY95" s="82"/>
      <c r="AZ95" s="87"/>
    </row>
    <row r="96" spans="1:52" ht="16.5" thickBot="1" x14ac:dyDescent="0.3">
      <c r="A96" s="74">
        <v>500</v>
      </c>
      <c r="B96" s="75" t="s">
        <v>83</v>
      </c>
      <c r="C96" s="76">
        <v>100</v>
      </c>
      <c r="D96" s="26">
        <f t="shared" si="20"/>
        <v>33.333333333333336</v>
      </c>
      <c r="E96" s="27">
        <f t="shared" si="21"/>
        <v>33.333333333333336</v>
      </c>
      <c r="F96" s="29">
        <f t="shared" si="22"/>
        <v>33.333333333333336</v>
      </c>
      <c r="G96" s="30">
        <v>0</v>
      </c>
      <c r="H96" s="31">
        <v>0</v>
      </c>
      <c r="I96" s="32">
        <v>0</v>
      </c>
      <c r="J96" s="77"/>
      <c r="K96" s="33"/>
      <c r="L96" s="34">
        <v>0</v>
      </c>
      <c r="M96" s="34">
        <v>0</v>
      </c>
      <c r="N96" s="62"/>
      <c r="O96" s="34">
        <v>0</v>
      </c>
      <c r="P96" s="34">
        <v>0</v>
      </c>
      <c r="Q96" s="34">
        <v>0</v>
      </c>
      <c r="R96" s="62"/>
      <c r="S96" s="37">
        <v>0</v>
      </c>
      <c r="T96" s="34">
        <v>0</v>
      </c>
      <c r="U96" s="34">
        <v>0</v>
      </c>
      <c r="V96" s="62"/>
      <c r="W96" s="38">
        <v>10</v>
      </c>
      <c r="X96" s="31">
        <v>4</v>
      </c>
      <c r="Y96" s="31">
        <v>1</v>
      </c>
      <c r="Z96" s="78"/>
      <c r="AA96" s="37">
        <v>3</v>
      </c>
      <c r="AB96" s="34">
        <v>0</v>
      </c>
      <c r="AC96" s="34">
        <v>1</v>
      </c>
      <c r="AD96" s="64"/>
      <c r="AE96" s="79"/>
      <c r="AF96" s="64"/>
      <c r="AG96" s="43">
        <f t="shared" si="16"/>
        <v>13</v>
      </c>
      <c r="AH96" s="44">
        <f t="shared" si="16"/>
        <v>4</v>
      </c>
      <c r="AI96" s="44">
        <f t="shared" si="16"/>
        <v>2</v>
      </c>
      <c r="AJ96" s="45">
        <f t="shared" si="16"/>
        <v>0</v>
      </c>
      <c r="AK96" s="80">
        <f t="shared" si="17"/>
        <v>19</v>
      </c>
      <c r="AL96" s="47">
        <v>1</v>
      </c>
      <c r="AM96" s="48">
        <f t="shared" si="24"/>
        <v>13</v>
      </c>
      <c r="AN96" s="48">
        <f t="shared" si="25"/>
        <v>4</v>
      </c>
      <c r="AO96" s="49">
        <f t="shared" si="23"/>
        <v>2</v>
      </c>
      <c r="AP96" s="49">
        <f t="shared" si="18"/>
        <v>0</v>
      </c>
      <c r="AQ96" s="50">
        <f t="shared" si="19"/>
        <v>1140</v>
      </c>
      <c r="AR96" s="81">
        <v>26.12</v>
      </c>
      <c r="AS96" s="82">
        <v>3.879999999999999</v>
      </c>
      <c r="AT96" s="83">
        <f>AK96*AS96</f>
        <v>73.719999999999985</v>
      </c>
      <c r="AU96" s="84">
        <f t="shared" ref="AU96:AU110" si="26">AK96*AL96</f>
        <v>19</v>
      </c>
      <c r="AV96" s="85">
        <v>0</v>
      </c>
      <c r="AW96" s="86"/>
      <c r="AX96" s="86"/>
      <c r="AY96" s="82"/>
      <c r="AZ96" s="87">
        <f>AT96-AU96-AW96-AX96-AY96</f>
        <v>54.719999999999985</v>
      </c>
    </row>
    <row r="97" spans="1:52" ht="16.5" thickBot="1" x14ac:dyDescent="0.3">
      <c r="A97" s="74">
        <v>360</v>
      </c>
      <c r="B97" s="75" t="s">
        <v>83</v>
      </c>
      <c r="C97" s="76">
        <v>80</v>
      </c>
      <c r="D97" s="26">
        <f t="shared" si="20"/>
        <v>26.666666666666668</v>
      </c>
      <c r="E97" s="27">
        <f t="shared" si="21"/>
        <v>26.666666666666668</v>
      </c>
      <c r="F97" s="29">
        <f t="shared" si="22"/>
        <v>26.666666666666668</v>
      </c>
      <c r="G97" s="30">
        <v>0</v>
      </c>
      <c r="H97" s="31">
        <v>0</v>
      </c>
      <c r="I97" s="32">
        <v>0</v>
      </c>
      <c r="J97" s="77"/>
      <c r="K97" s="33"/>
      <c r="L97" s="34">
        <v>0</v>
      </c>
      <c r="M97" s="34">
        <v>0</v>
      </c>
      <c r="N97" s="62"/>
      <c r="O97" s="34">
        <v>0</v>
      </c>
      <c r="P97" s="34">
        <v>0</v>
      </c>
      <c r="Q97" s="34">
        <v>0</v>
      </c>
      <c r="R97" s="62"/>
      <c r="S97" s="37">
        <v>0</v>
      </c>
      <c r="T97" s="34">
        <v>0</v>
      </c>
      <c r="U97" s="34">
        <v>0</v>
      </c>
      <c r="V97" s="62"/>
      <c r="W97" s="38">
        <v>0</v>
      </c>
      <c r="X97" s="31">
        <v>0</v>
      </c>
      <c r="Y97" s="31">
        <v>0</v>
      </c>
      <c r="Z97" s="78"/>
      <c r="AA97" s="37">
        <v>0</v>
      </c>
      <c r="AB97" s="34">
        <v>0</v>
      </c>
      <c r="AC97" s="34">
        <v>0</v>
      </c>
      <c r="AD97" s="64"/>
      <c r="AE97" s="79"/>
      <c r="AF97" s="64"/>
      <c r="AG97" s="43">
        <f t="shared" si="16"/>
        <v>0</v>
      </c>
      <c r="AH97" s="44">
        <f t="shared" si="16"/>
        <v>0</v>
      </c>
      <c r="AI97" s="44">
        <f t="shared" si="16"/>
        <v>0</v>
      </c>
      <c r="AJ97" s="45">
        <f t="shared" si="16"/>
        <v>0</v>
      </c>
      <c r="AK97" s="80">
        <f t="shared" si="17"/>
        <v>0</v>
      </c>
      <c r="AL97" s="47">
        <v>0.5</v>
      </c>
      <c r="AM97" s="48">
        <f t="shared" si="24"/>
        <v>0</v>
      </c>
      <c r="AN97" s="48">
        <f t="shared" si="25"/>
        <v>0</v>
      </c>
      <c r="AO97" s="49">
        <f t="shared" si="23"/>
        <v>0</v>
      </c>
      <c r="AP97" s="49">
        <f t="shared" si="18"/>
        <v>0</v>
      </c>
      <c r="AQ97" s="50">
        <f t="shared" si="19"/>
        <v>0</v>
      </c>
      <c r="AR97" s="81"/>
      <c r="AS97" s="82"/>
      <c r="AT97" s="83"/>
      <c r="AU97" s="84">
        <f t="shared" si="26"/>
        <v>0</v>
      </c>
      <c r="AV97" s="85">
        <v>0</v>
      </c>
      <c r="AW97" s="86"/>
      <c r="AX97" s="86"/>
      <c r="AY97" s="82"/>
      <c r="AZ97" s="87"/>
    </row>
    <row r="98" spans="1:52" ht="16.5" thickBot="1" x14ac:dyDescent="0.3">
      <c r="A98" s="74">
        <v>625</v>
      </c>
      <c r="B98" s="75" t="s">
        <v>84</v>
      </c>
      <c r="C98" s="88"/>
      <c r="D98" s="26">
        <f t="shared" si="20"/>
        <v>0</v>
      </c>
      <c r="E98" s="27">
        <f t="shared" si="21"/>
        <v>0</v>
      </c>
      <c r="F98" s="29">
        <f t="shared" si="22"/>
        <v>0</v>
      </c>
      <c r="G98" s="30">
        <v>0</v>
      </c>
      <c r="H98" s="31">
        <v>0</v>
      </c>
      <c r="I98" s="32">
        <v>0</v>
      </c>
      <c r="J98" s="77"/>
      <c r="K98" s="33"/>
      <c r="L98" s="34">
        <v>0</v>
      </c>
      <c r="M98" s="34">
        <v>0</v>
      </c>
      <c r="N98" s="62"/>
      <c r="O98" s="34">
        <v>0</v>
      </c>
      <c r="P98" s="34">
        <v>0</v>
      </c>
      <c r="Q98" s="34">
        <v>0</v>
      </c>
      <c r="R98" s="62"/>
      <c r="S98" s="37">
        <v>0</v>
      </c>
      <c r="T98" s="34">
        <v>0</v>
      </c>
      <c r="U98" s="34">
        <v>0</v>
      </c>
      <c r="V98" s="62"/>
      <c r="W98" s="38">
        <v>0</v>
      </c>
      <c r="X98" s="31">
        <v>0</v>
      </c>
      <c r="Y98" s="31">
        <v>0</v>
      </c>
      <c r="Z98" s="78"/>
      <c r="AA98" s="37">
        <v>0</v>
      </c>
      <c r="AB98" s="34">
        <v>0</v>
      </c>
      <c r="AC98" s="34">
        <v>0</v>
      </c>
      <c r="AD98" s="64"/>
      <c r="AE98" s="79"/>
      <c r="AF98" s="64"/>
      <c r="AG98" s="43">
        <f t="shared" si="16"/>
        <v>0</v>
      </c>
      <c r="AH98" s="44">
        <f t="shared" si="16"/>
        <v>0</v>
      </c>
      <c r="AI98" s="44">
        <f t="shared" si="16"/>
        <v>0</v>
      </c>
      <c r="AJ98" s="45">
        <f t="shared" si="16"/>
        <v>0</v>
      </c>
      <c r="AK98" s="80">
        <f t="shared" si="17"/>
        <v>0</v>
      </c>
      <c r="AL98" s="47">
        <v>1</v>
      </c>
      <c r="AM98" s="48">
        <f t="shared" si="24"/>
        <v>0</v>
      </c>
      <c r="AN98" s="48">
        <f t="shared" si="25"/>
        <v>0</v>
      </c>
      <c r="AO98" s="49">
        <f t="shared" si="23"/>
        <v>0</v>
      </c>
      <c r="AP98" s="49">
        <f t="shared" si="18"/>
        <v>0</v>
      </c>
      <c r="AQ98" s="50">
        <f t="shared" si="19"/>
        <v>0</v>
      </c>
      <c r="AR98" s="81">
        <v>50.64</v>
      </c>
      <c r="AS98" s="82">
        <v>9.36</v>
      </c>
      <c r="AT98" s="83">
        <f>AK98*AS98</f>
        <v>0</v>
      </c>
      <c r="AU98" s="84">
        <f t="shared" si="26"/>
        <v>0</v>
      </c>
      <c r="AV98" s="85">
        <v>0</v>
      </c>
      <c r="AW98" s="86"/>
      <c r="AX98" s="86"/>
      <c r="AY98" s="82"/>
      <c r="AZ98" s="87">
        <f>AT98-AU98-AW98-AX98-AY98</f>
        <v>0</v>
      </c>
    </row>
    <row r="99" spans="1:52" ht="16.5" thickBot="1" x14ac:dyDescent="0.3">
      <c r="A99" s="74">
        <v>3030</v>
      </c>
      <c r="B99" s="75" t="s">
        <v>85</v>
      </c>
      <c r="C99" s="76"/>
      <c r="D99" s="26">
        <f t="shared" si="20"/>
        <v>0</v>
      </c>
      <c r="E99" s="27">
        <f t="shared" si="21"/>
        <v>0</v>
      </c>
      <c r="F99" s="29">
        <f t="shared" si="22"/>
        <v>0</v>
      </c>
      <c r="G99" s="30">
        <v>0</v>
      </c>
      <c r="H99" s="31">
        <v>0</v>
      </c>
      <c r="I99" s="32">
        <v>0</v>
      </c>
      <c r="J99" s="77"/>
      <c r="K99" s="33"/>
      <c r="L99" s="34">
        <v>0</v>
      </c>
      <c r="M99" s="34">
        <v>0</v>
      </c>
      <c r="N99" s="62"/>
      <c r="O99" s="34">
        <v>0</v>
      </c>
      <c r="P99" s="34">
        <v>0</v>
      </c>
      <c r="Q99" s="34">
        <v>0</v>
      </c>
      <c r="R99" s="62"/>
      <c r="S99" s="37">
        <v>0</v>
      </c>
      <c r="T99" s="34">
        <v>0</v>
      </c>
      <c r="U99" s="34">
        <v>0</v>
      </c>
      <c r="V99" s="62"/>
      <c r="W99" s="38">
        <v>0</v>
      </c>
      <c r="X99" s="31">
        <v>0</v>
      </c>
      <c r="Y99" s="31">
        <v>0</v>
      </c>
      <c r="Z99" s="78"/>
      <c r="AA99" s="37">
        <v>0</v>
      </c>
      <c r="AB99" s="34">
        <v>0</v>
      </c>
      <c r="AC99" s="34">
        <v>0</v>
      </c>
      <c r="AD99" s="64"/>
      <c r="AE99" s="79"/>
      <c r="AF99" s="64"/>
      <c r="AG99" s="43">
        <f t="shared" si="16"/>
        <v>0</v>
      </c>
      <c r="AH99" s="44">
        <f t="shared" si="16"/>
        <v>0</v>
      </c>
      <c r="AI99" s="44">
        <f t="shared" si="16"/>
        <v>0</v>
      </c>
      <c r="AJ99" s="45">
        <f t="shared" si="16"/>
        <v>0</v>
      </c>
      <c r="AK99" s="80">
        <f t="shared" si="17"/>
        <v>0</v>
      </c>
      <c r="AL99" s="47">
        <v>2</v>
      </c>
      <c r="AM99" s="48">
        <f t="shared" si="24"/>
        <v>0</v>
      </c>
      <c r="AN99" s="48">
        <f t="shared" si="25"/>
        <v>0</v>
      </c>
      <c r="AO99" s="49">
        <f t="shared" si="23"/>
        <v>0</v>
      </c>
      <c r="AP99" s="49">
        <f t="shared" si="18"/>
        <v>0</v>
      </c>
      <c r="AQ99" s="50">
        <f t="shared" si="19"/>
        <v>0</v>
      </c>
      <c r="AR99" s="81">
        <v>42.35</v>
      </c>
      <c r="AS99" s="82">
        <v>7.6499999999999986</v>
      </c>
      <c r="AT99" s="83">
        <f>AK99*AS99</f>
        <v>0</v>
      </c>
      <c r="AU99" s="84">
        <f t="shared" si="26"/>
        <v>0</v>
      </c>
      <c r="AV99" s="85">
        <v>0</v>
      </c>
      <c r="AW99" s="86"/>
      <c r="AX99" s="86"/>
      <c r="AY99" s="82"/>
      <c r="AZ99" s="87">
        <f>AT99-AU99-AW99-AX99-AY99</f>
        <v>0</v>
      </c>
    </row>
    <row r="100" spans="1:52" ht="16.5" thickBot="1" x14ac:dyDescent="0.3">
      <c r="A100" s="74">
        <v>625</v>
      </c>
      <c r="B100" s="75" t="s">
        <v>86</v>
      </c>
      <c r="C100" s="88"/>
      <c r="D100" s="26">
        <f t="shared" si="20"/>
        <v>0</v>
      </c>
      <c r="E100" s="27">
        <f t="shared" si="21"/>
        <v>0</v>
      </c>
      <c r="F100" s="29">
        <f t="shared" si="22"/>
        <v>0</v>
      </c>
      <c r="G100" s="30">
        <v>0</v>
      </c>
      <c r="H100" s="31">
        <v>0</v>
      </c>
      <c r="I100" s="32">
        <v>0</v>
      </c>
      <c r="J100" s="77"/>
      <c r="K100" s="33"/>
      <c r="L100" s="34">
        <v>0</v>
      </c>
      <c r="M100" s="34">
        <v>0</v>
      </c>
      <c r="N100" s="62"/>
      <c r="O100" s="34">
        <v>0</v>
      </c>
      <c r="P100" s="34">
        <v>0</v>
      </c>
      <c r="Q100" s="34">
        <v>0</v>
      </c>
      <c r="R100" s="62"/>
      <c r="S100" s="37">
        <v>0</v>
      </c>
      <c r="T100" s="34">
        <v>0</v>
      </c>
      <c r="U100" s="34">
        <v>0</v>
      </c>
      <c r="V100" s="62"/>
      <c r="W100" s="38">
        <v>0</v>
      </c>
      <c r="X100" s="31">
        <v>0</v>
      </c>
      <c r="Y100" s="31">
        <v>0</v>
      </c>
      <c r="Z100" s="78"/>
      <c r="AA100" s="37">
        <v>0</v>
      </c>
      <c r="AB100" s="34">
        <v>0</v>
      </c>
      <c r="AC100" s="34">
        <v>0</v>
      </c>
      <c r="AD100" s="64"/>
      <c r="AE100" s="79"/>
      <c r="AF100" s="64"/>
      <c r="AG100" s="43">
        <f t="shared" ref="AG100:AJ163" si="27">G100+K100+O100+S100+W100+AA100</f>
        <v>0</v>
      </c>
      <c r="AH100" s="44">
        <f t="shared" si="27"/>
        <v>0</v>
      </c>
      <c r="AI100" s="44">
        <f t="shared" si="27"/>
        <v>0</v>
      </c>
      <c r="AJ100" s="45">
        <f t="shared" si="27"/>
        <v>0</v>
      </c>
      <c r="AK100" s="80">
        <f t="shared" si="17"/>
        <v>0</v>
      </c>
      <c r="AL100" s="47">
        <v>1</v>
      </c>
      <c r="AM100" s="48">
        <f t="shared" si="24"/>
        <v>0</v>
      </c>
      <c r="AN100" s="48">
        <f t="shared" si="25"/>
        <v>0</v>
      </c>
      <c r="AO100" s="49">
        <f t="shared" si="23"/>
        <v>0</v>
      </c>
      <c r="AP100" s="49">
        <f t="shared" si="18"/>
        <v>0</v>
      </c>
      <c r="AQ100" s="50">
        <f t="shared" si="19"/>
        <v>0</v>
      </c>
      <c r="AR100" s="81">
        <v>50.64</v>
      </c>
      <c r="AS100" s="82">
        <v>9.36</v>
      </c>
      <c r="AT100" s="119">
        <f>AK100*AS100</f>
        <v>0</v>
      </c>
      <c r="AU100" s="84">
        <f t="shared" si="26"/>
        <v>0</v>
      </c>
      <c r="AV100" s="85">
        <v>0</v>
      </c>
      <c r="AW100" s="86"/>
      <c r="AX100" s="86"/>
      <c r="AY100" s="82"/>
      <c r="AZ100" s="120">
        <f>AT100-AU100-AW100-AX100-AY100</f>
        <v>0</v>
      </c>
    </row>
    <row r="101" spans="1:52" ht="16.5" thickBot="1" x14ac:dyDescent="0.3">
      <c r="A101" s="75">
        <v>911</v>
      </c>
      <c r="B101" s="75" t="s">
        <v>87</v>
      </c>
      <c r="C101" s="121"/>
      <c r="D101" s="26">
        <f t="shared" si="20"/>
        <v>0</v>
      </c>
      <c r="E101" s="27">
        <f t="shared" si="21"/>
        <v>0</v>
      </c>
      <c r="F101" s="29">
        <f t="shared" si="22"/>
        <v>0</v>
      </c>
      <c r="G101" s="30">
        <v>0</v>
      </c>
      <c r="H101" s="31">
        <v>0</v>
      </c>
      <c r="I101" s="32">
        <v>0</v>
      </c>
      <c r="J101" s="77"/>
      <c r="K101" s="33"/>
      <c r="L101" s="34">
        <v>0</v>
      </c>
      <c r="M101" s="34">
        <v>0</v>
      </c>
      <c r="N101" s="62"/>
      <c r="O101" s="34">
        <v>0</v>
      </c>
      <c r="P101" s="34">
        <v>0</v>
      </c>
      <c r="Q101" s="34">
        <v>0</v>
      </c>
      <c r="R101" s="62"/>
      <c r="S101" s="37">
        <v>0</v>
      </c>
      <c r="T101" s="34">
        <v>0</v>
      </c>
      <c r="U101" s="34">
        <v>0</v>
      </c>
      <c r="V101" s="62"/>
      <c r="W101" s="38">
        <v>0</v>
      </c>
      <c r="X101" s="31">
        <v>0</v>
      </c>
      <c r="Y101" s="31">
        <v>0</v>
      </c>
      <c r="Z101" s="78"/>
      <c r="AA101" s="37">
        <v>0</v>
      </c>
      <c r="AB101" s="34">
        <v>0</v>
      </c>
      <c r="AC101" s="34">
        <v>0</v>
      </c>
      <c r="AD101" s="64"/>
      <c r="AE101" s="122"/>
      <c r="AF101" s="123"/>
      <c r="AG101" s="43">
        <f t="shared" si="27"/>
        <v>0</v>
      </c>
      <c r="AH101" s="44">
        <f t="shared" si="27"/>
        <v>0</v>
      </c>
      <c r="AI101" s="44">
        <f t="shared" si="27"/>
        <v>0</v>
      </c>
      <c r="AJ101" s="45">
        <f t="shared" si="27"/>
        <v>0</v>
      </c>
      <c r="AK101" s="80">
        <f t="shared" si="17"/>
        <v>0</v>
      </c>
      <c r="AL101" s="47">
        <v>0.5</v>
      </c>
      <c r="AM101" s="48">
        <f t="shared" si="24"/>
        <v>0</v>
      </c>
      <c r="AN101" s="48">
        <f t="shared" si="25"/>
        <v>0</v>
      </c>
      <c r="AO101" s="49">
        <f t="shared" si="23"/>
        <v>0</v>
      </c>
      <c r="AP101" s="49">
        <f t="shared" si="18"/>
        <v>0</v>
      </c>
      <c r="AQ101" s="50">
        <f t="shared" si="19"/>
        <v>0</v>
      </c>
      <c r="AR101" s="124"/>
      <c r="AS101" s="125"/>
      <c r="AT101" s="126"/>
      <c r="AU101" s="84">
        <f t="shared" si="26"/>
        <v>0</v>
      </c>
      <c r="AV101" s="127"/>
      <c r="AW101" s="128"/>
      <c r="AX101" s="128"/>
      <c r="AY101" s="125"/>
      <c r="AZ101" s="129"/>
    </row>
    <row r="102" spans="1:52" ht="16.5" thickBot="1" x14ac:dyDescent="0.3">
      <c r="A102" s="75">
        <v>355</v>
      </c>
      <c r="B102" s="75" t="s">
        <v>88</v>
      </c>
      <c r="C102" s="121">
        <v>24</v>
      </c>
      <c r="D102" s="26">
        <f t="shared" si="20"/>
        <v>8</v>
      </c>
      <c r="E102" s="27">
        <f t="shared" si="21"/>
        <v>8</v>
      </c>
      <c r="F102" s="29">
        <f t="shared" si="22"/>
        <v>8</v>
      </c>
      <c r="G102" s="30">
        <v>0</v>
      </c>
      <c r="H102" s="31">
        <v>0</v>
      </c>
      <c r="I102" s="32">
        <v>0</v>
      </c>
      <c r="J102" s="77"/>
      <c r="K102" s="33"/>
      <c r="L102" s="34">
        <v>0</v>
      </c>
      <c r="M102" s="34">
        <v>0</v>
      </c>
      <c r="N102" s="62"/>
      <c r="O102" s="34">
        <v>0</v>
      </c>
      <c r="P102" s="34">
        <v>0</v>
      </c>
      <c r="Q102" s="34">
        <v>0</v>
      </c>
      <c r="R102" s="62"/>
      <c r="S102" s="37">
        <v>0</v>
      </c>
      <c r="T102" s="34">
        <v>0</v>
      </c>
      <c r="U102" s="34">
        <v>0</v>
      </c>
      <c r="V102" s="62"/>
      <c r="W102" s="38">
        <v>0</v>
      </c>
      <c r="X102" s="31">
        <v>0</v>
      </c>
      <c r="Y102" s="31">
        <v>0</v>
      </c>
      <c r="Z102" s="78"/>
      <c r="AA102" s="37">
        <v>0</v>
      </c>
      <c r="AB102" s="34">
        <v>0</v>
      </c>
      <c r="AC102" s="34">
        <v>0</v>
      </c>
      <c r="AD102" s="64"/>
      <c r="AE102" s="122"/>
      <c r="AF102" s="123"/>
      <c r="AG102" s="43">
        <f t="shared" si="27"/>
        <v>0</v>
      </c>
      <c r="AH102" s="44">
        <f t="shared" si="27"/>
        <v>0</v>
      </c>
      <c r="AI102" s="44">
        <f t="shared" si="27"/>
        <v>0</v>
      </c>
      <c r="AJ102" s="45">
        <f t="shared" si="27"/>
        <v>0</v>
      </c>
      <c r="AK102" s="80">
        <f t="shared" si="17"/>
        <v>0</v>
      </c>
      <c r="AL102" s="47">
        <v>0.45</v>
      </c>
      <c r="AM102" s="48">
        <f t="shared" si="24"/>
        <v>0</v>
      </c>
      <c r="AN102" s="48">
        <f t="shared" si="25"/>
        <v>0</v>
      </c>
      <c r="AO102" s="49">
        <f t="shared" si="23"/>
        <v>0</v>
      </c>
      <c r="AP102" s="49">
        <f t="shared" si="18"/>
        <v>0</v>
      </c>
      <c r="AQ102" s="50">
        <f t="shared" si="19"/>
        <v>0</v>
      </c>
      <c r="AR102" s="124"/>
      <c r="AS102" s="125"/>
      <c r="AT102" s="126"/>
      <c r="AU102" s="84">
        <f t="shared" si="26"/>
        <v>0</v>
      </c>
      <c r="AV102" s="127"/>
      <c r="AW102" s="128"/>
      <c r="AX102" s="128"/>
      <c r="AY102" s="125"/>
      <c r="AZ102" s="129"/>
    </row>
    <row r="103" spans="1:52" ht="16.5" thickBot="1" x14ac:dyDescent="0.3">
      <c r="A103" s="75">
        <v>355</v>
      </c>
      <c r="B103" s="75" t="s">
        <v>28</v>
      </c>
      <c r="C103" s="121">
        <v>34</v>
      </c>
      <c r="D103" s="26">
        <f t="shared" si="20"/>
        <v>11.333333333333334</v>
      </c>
      <c r="E103" s="27">
        <f t="shared" si="21"/>
        <v>11.333333333333334</v>
      </c>
      <c r="F103" s="29">
        <f t="shared" si="22"/>
        <v>11.333333333333334</v>
      </c>
      <c r="G103" s="30">
        <v>0</v>
      </c>
      <c r="H103" s="31">
        <v>0</v>
      </c>
      <c r="I103" s="32">
        <v>0</v>
      </c>
      <c r="J103" s="77"/>
      <c r="K103" s="33"/>
      <c r="L103" s="34">
        <v>0</v>
      </c>
      <c r="M103" s="34">
        <v>0</v>
      </c>
      <c r="N103" s="62"/>
      <c r="O103" s="34">
        <v>0</v>
      </c>
      <c r="P103" s="34">
        <v>0</v>
      </c>
      <c r="Q103" s="34">
        <v>0</v>
      </c>
      <c r="R103" s="62"/>
      <c r="S103" s="37">
        <v>0</v>
      </c>
      <c r="T103" s="34">
        <v>0</v>
      </c>
      <c r="U103" s="34">
        <v>0</v>
      </c>
      <c r="V103" s="62"/>
      <c r="W103" s="38">
        <v>0</v>
      </c>
      <c r="X103" s="31">
        <v>0</v>
      </c>
      <c r="Y103" s="31">
        <v>0</v>
      </c>
      <c r="Z103" s="78"/>
      <c r="AA103" s="37">
        <v>0</v>
      </c>
      <c r="AB103" s="34">
        <v>0</v>
      </c>
      <c r="AC103" s="34">
        <v>0</v>
      </c>
      <c r="AD103" s="64"/>
      <c r="AE103" s="122"/>
      <c r="AF103" s="123"/>
      <c r="AG103" s="43">
        <f t="shared" si="27"/>
        <v>0</v>
      </c>
      <c r="AH103" s="44">
        <f t="shared" si="27"/>
        <v>0</v>
      </c>
      <c r="AI103" s="44">
        <f t="shared" si="27"/>
        <v>0</v>
      </c>
      <c r="AJ103" s="45">
        <f t="shared" si="27"/>
        <v>0</v>
      </c>
      <c r="AK103" s="80">
        <f t="shared" si="17"/>
        <v>0</v>
      </c>
      <c r="AL103" s="47">
        <v>0.45</v>
      </c>
      <c r="AM103" s="48">
        <f t="shared" si="24"/>
        <v>0</v>
      </c>
      <c r="AN103" s="48">
        <f t="shared" si="25"/>
        <v>0</v>
      </c>
      <c r="AO103" s="49">
        <f t="shared" si="23"/>
        <v>0</v>
      </c>
      <c r="AP103" s="49">
        <f t="shared" si="18"/>
        <v>0</v>
      </c>
      <c r="AQ103" s="50">
        <f t="shared" si="19"/>
        <v>0</v>
      </c>
      <c r="AR103" s="124"/>
      <c r="AS103" s="125"/>
      <c r="AT103" s="126"/>
      <c r="AU103" s="84">
        <f t="shared" si="26"/>
        <v>0</v>
      </c>
      <c r="AV103" s="127"/>
      <c r="AW103" s="128"/>
      <c r="AX103" s="128"/>
      <c r="AY103" s="125"/>
      <c r="AZ103" s="129"/>
    </row>
    <row r="104" spans="1:52" ht="16.5" thickBot="1" x14ac:dyDescent="0.3">
      <c r="A104" s="75">
        <v>355</v>
      </c>
      <c r="B104" s="75" t="s">
        <v>30</v>
      </c>
      <c r="C104" s="121"/>
      <c r="D104" s="26">
        <f t="shared" si="20"/>
        <v>0</v>
      </c>
      <c r="E104" s="27">
        <f t="shared" si="21"/>
        <v>0</v>
      </c>
      <c r="F104" s="29">
        <f t="shared" si="22"/>
        <v>0</v>
      </c>
      <c r="G104" s="30">
        <v>0</v>
      </c>
      <c r="H104" s="31">
        <v>0</v>
      </c>
      <c r="I104" s="32">
        <v>0</v>
      </c>
      <c r="J104" s="77"/>
      <c r="K104" s="33"/>
      <c r="L104" s="34">
        <v>0</v>
      </c>
      <c r="M104" s="34">
        <v>0</v>
      </c>
      <c r="N104" s="62"/>
      <c r="O104" s="34">
        <v>0</v>
      </c>
      <c r="P104" s="34">
        <v>0</v>
      </c>
      <c r="Q104" s="34">
        <v>0</v>
      </c>
      <c r="R104" s="62"/>
      <c r="S104" s="37">
        <v>0</v>
      </c>
      <c r="T104" s="34">
        <v>0</v>
      </c>
      <c r="U104" s="34">
        <v>0</v>
      </c>
      <c r="V104" s="62"/>
      <c r="W104" s="38">
        <v>0</v>
      </c>
      <c r="X104" s="31">
        <v>0</v>
      </c>
      <c r="Y104" s="31">
        <v>0</v>
      </c>
      <c r="Z104" s="78"/>
      <c r="AA104" s="37">
        <v>0</v>
      </c>
      <c r="AB104" s="34">
        <v>0</v>
      </c>
      <c r="AC104" s="34">
        <v>0</v>
      </c>
      <c r="AD104" s="64"/>
      <c r="AE104" s="122"/>
      <c r="AF104" s="123"/>
      <c r="AG104" s="43">
        <f t="shared" si="27"/>
        <v>0</v>
      </c>
      <c r="AH104" s="44">
        <f t="shared" si="27"/>
        <v>0</v>
      </c>
      <c r="AI104" s="44">
        <f t="shared" si="27"/>
        <v>0</v>
      </c>
      <c r="AJ104" s="45">
        <f t="shared" si="27"/>
        <v>0</v>
      </c>
      <c r="AK104" s="80">
        <f t="shared" si="17"/>
        <v>0</v>
      </c>
      <c r="AL104" s="47">
        <v>0.45</v>
      </c>
      <c r="AM104" s="48">
        <f t="shared" si="24"/>
        <v>0</v>
      </c>
      <c r="AN104" s="48">
        <f t="shared" si="25"/>
        <v>0</v>
      </c>
      <c r="AO104" s="49">
        <f t="shared" si="23"/>
        <v>0</v>
      </c>
      <c r="AP104" s="49">
        <f t="shared" si="18"/>
        <v>0</v>
      </c>
      <c r="AQ104" s="50">
        <f t="shared" si="19"/>
        <v>0</v>
      </c>
      <c r="AR104" s="124"/>
      <c r="AS104" s="125"/>
      <c r="AT104" s="126"/>
      <c r="AU104" s="84">
        <f t="shared" si="26"/>
        <v>0</v>
      </c>
      <c r="AV104" s="127"/>
      <c r="AW104" s="128"/>
      <c r="AX104" s="128"/>
      <c r="AY104" s="125"/>
      <c r="AZ104" s="129"/>
    </row>
    <row r="105" spans="1:52" ht="16.5" thickBot="1" x14ac:dyDescent="0.3">
      <c r="A105" s="75">
        <v>355</v>
      </c>
      <c r="B105" s="75" t="s">
        <v>29</v>
      </c>
      <c r="C105" s="121">
        <v>34</v>
      </c>
      <c r="D105" s="26">
        <f t="shared" si="20"/>
        <v>11.333333333333334</v>
      </c>
      <c r="E105" s="27">
        <f t="shared" si="21"/>
        <v>11.333333333333334</v>
      </c>
      <c r="F105" s="29">
        <f t="shared" si="22"/>
        <v>11.333333333333334</v>
      </c>
      <c r="G105" s="30">
        <v>0</v>
      </c>
      <c r="H105" s="31">
        <v>0</v>
      </c>
      <c r="I105" s="32">
        <v>0</v>
      </c>
      <c r="J105" s="77"/>
      <c r="K105" s="33"/>
      <c r="L105" s="34">
        <v>0</v>
      </c>
      <c r="M105" s="34">
        <v>0</v>
      </c>
      <c r="N105" s="62"/>
      <c r="O105" s="34">
        <v>0</v>
      </c>
      <c r="P105" s="34">
        <v>0</v>
      </c>
      <c r="Q105" s="34">
        <v>0</v>
      </c>
      <c r="R105" s="62"/>
      <c r="S105" s="37">
        <v>0</v>
      </c>
      <c r="T105" s="34">
        <v>0</v>
      </c>
      <c r="U105" s="34">
        <v>0</v>
      </c>
      <c r="V105" s="62"/>
      <c r="W105" s="38">
        <v>0</v>
      </c>
      <c r="X105" s="31">
        <v>0</v>
      </c>
      <c r="Y105" s="31">
        <v>0</v>
      </c>
      <c r="Z105" s="78"/>
      <c r="AA105" s="37">
        <v>0</v>
      </c>
      <c r="AB105" s="34">
        <v>0</v>
      </c>
      <c r="AC105" s="34">
        <v>0</v>
      </c>
      <c r="AD105" s="64"/>
      <c r="AE105" s="122"/>
      <c r="AF105" s="123"/>
      <c r="AG105" s="43">
        <f t="shared" si="27"/>
        <v>0</v>
      </c>
      <c r="AH105" s="44">
        <f t="shared" si="27"/>
        <v>0</v>
      </c>
      <c r="AI105" s="44">
        <f t="shared" si="27"/>
        <v>0</v>
      </c>
      <c r="AJ105" s="45">
        <f t="shared" si="27"/>
        <v>0</v>
      </c>
      <c r="AK105" s="80">
        <f t="shared" si="17"/>
        <v>0</v>
      </c>
      <c r="AL105" s="47">
        <v>0.45</v>
      </c>
      <c r="AM105" s="48">
        <f t="shared" si="24"/>
        <v>0</v>
      </c>
      <c r="AN105" s="48">
        <f t="shared" si="25"/>
        <v>0</v>
      </c>
      <c r="AO105" s="49">
        <f t="shared" si="23"/>
        <v>0</v>
      </c>
      <c r="AP105" s="49">
        <f t="shared" si="18"/>
        <v>0</v>
      </c>
      <c r="AQ105" s="50">
        <f t="shared" si="19"/>
        <v>0</v>
      </c>
      <c r="AR105" s="124"/>
      <c r="AS105" s="125"/>
      <c r="AT105" s="126"/>
      <c r="AU105" s="84">
        <f t="shared" si="26"/>
        <v>0</v>
      </c>
      <c r="AV105" s="127"/>
      <c r="AW105" s="128"/>
      <c r="AX105" s="128"/>
      <c r="AY105" s="125"/>
      <c r="AZ105" s="129"/>
    </row>
    <row r="106" spans="1:52" ht="16.5" thickBot="1" x14ac:dyDescent="0.3">
      <c r="A106" s="75">
        <v>355</v>
      </c>
      <c r="B106" s="75" t="s">
        <v>31</v>
      </c>
      <c r="C106" s="121">
        <v>14</v>
      </c>
      <c r="D106" s="26">
        <f t="shared" si="20"/>
        <v>4.666666666666667</v>
      </c>
      <c r="E106" s="27">
        <f t="shared" si="21"/>
        <v>4.666666666666667</v>
      </c>
      <c r="F106" s="29">
        <f t="shared" si="22"/>
        <v>4.666666666666667</v>
      </c>
      <c r="G106" s="30">
        <v>0</v>
      </c>
      <c r="H106" s="31">
        <v>0</v>
      </c>
      <c r="I106" s="32">
        <v>0</v>
      </c>
      <c r="J106" s="77"/>
      <c r="K106" s="33"/>
      <c r="L106" s="34">
        <v>0</v>
      </c>
      <c r="M106" s="34">
        <v>0</v>
      </c>
      <c r="N106" s="62"/>
      <c r="O106" s="34">
        <v>0</v>
      </c>
      <c r="P106" s="34">
        <v>0</v>
      </c>
      <c r="Q106" s="34">
        <v>0</v>
      </c>
      <c r="R106" s="62"/>
      <c r="S106" s="37">
        <v>0</v>
      </c>
      <c r="T106" s="34">
        <v>0</v>
      </c>
      <c r="U106" s="34">
        <v>0</v>
      </c>
      <c r="V106" s="62"/>
      <c r="W106" s="38">
        <v>0</v>
      </c>
      <c r="X106" s="31">
        <v>0</v>
      </c>
      <c r="Y106" s="31">
        <v>0</v>
      </c>
      <c r="Z106" s="78"/>
      <c r="AA106" s="37">
        <v>0</v>
      </c>
      <c r="AB106" s="34">
        <v>0</v>
      </c>
      <c r="AC106" s="34">
        <v>0</v>
      </c>
      <c r="AD106" s="64"/>
      <c r="AE106" s="122"/>
      <c r="AF106" s="123"/>
      <c r="AG106" s="43">
        <f t="shared" si="27"/>
        <v>0</v>
      </c>
      <c r="AH106" s="44">
        <f t="shared" si="27"/>
        <v>0</v>
      </c>
      <c r="AI106" s="44">
        <f t="shared" si="27"/>
        <v>0</v>
      </c>
      <c r="AJ106" s="45">
        <f t="shared" si="27"/>
        <v>0</v>
      </c>
      <c r="AK106" s="80">
        <f t="shared" si="17"/>
        <v>0</v>
      </c>
      <c r="AL106" s="47">
        <v>0.45</v>
      </c>
      <c r="AM106" s="48">
        <f t="shared" si="24"/>
        <v>0</v>
      </c>
      <c r="AN106" s="48">
        <f t="shared" si="25"/>
        <v>0</v>
      </c>
      <c r="AO106" s="49">
        <f t="shared" si="23"/>
        <v>0</v>
      </c>
      <c r="AP106" s="49">
        <f t="shared" si="18"/>
        <v>0</v>
      </c>
      <c r="AQ106" s="50">
        <f t="shared" si="19"/>
        <v>0</v>
      </c>
      <c r="AR106" s="124"/>
      <c r="AS106" s="125"/>
      <c r="AT106" s="126"/>
      <c r="AU106" s="84">
        <f t="shared" si="26"/>
        <v>0</v>
      </c>
      <c r="AV106" s="127"/>
      <c r="AW106" s="128"/>
      <c r="AX106" s="128"/>
      <c r="AY106" s="125"/>
      <c r="AZ106" s="129"/>
    </row>
    <row r="107" spans="1:52" ht="16.5" thickBot="1" x14ac:dyDescent="0.3">
      <c r="A107" s="75">
        <v>355</v>
      </c>
      <c r="B107" s="75" t="s">
        <v>47</v>
      </c>
      <c r="C107" s="121"/>
      <c r="D107" s="26">
        <f t="shared" si="20"/>
        <v>0</v>
      </c>
      <c r="E107" s="27">
        <f t="shared" si="21"/>
        <v>0</v>
      </c>
      <c r="F107" s="29">
        <f t="shared" si="22"/>
        <v>0</v>
      </c>
      <c r="G107" s="30">
        <v>0</v>
      </c>
      <c r="H107" s="31">
        <v>0</v>
      </c>
      <c r="I107" s="32">
        <v>0</v>
      </c>
      <c r="J107" s="77"/>
      <c r="K107" s="33"/>
      <c r="L107" s="34">
        <v>0</v>
      </c>
      <c r="M107" s="34">
        <v>0</v>
      </c>
      <c r="N107" s="62"/>
      <c r="O107" s="34">
        <v>0</v>
      </c>
      <c r="P107" s="34">
        <v>0</v>
      </c>
      <c r="Q107" s="34">
        <v>0</v>
      </c>
      <c r="R107" s="62"/>
      <c r="S107" s="37">
        <v>0</v>
      </c>
      <c r="T107" s="34">
        <v>0</v>
      </c>
      <c r="U107" s="34">
        <v>0</v>
      </c>
      <c r="V107" s="62"/>
      <c r="W107" s="38">
        <v>0</v>
      </c>
      <c r="X107" s="31">
        <v>0</v>
      </c>
      <c r="Y107" s="31">
        <v>0</v>
      </c>
      <c r="Z107" s="78"/>
      <c r="AA107" s="37">
        <v>0</v>
      </c>
      <c r="AB107" s="34">
        <v>0</v>
      </c>
      <c r="AC107" s="34">
        <v>0</v>
      </c>
      <c r="AD107" s="64"/>
      <c r="AE107" s="122"/>
      <c r="AF107" s="123"/>
      <c r="AG107" s="43">
        <f t="shared" si="27"/>
        <v>0</v>
      </c>
      <c r="AH107" s="44">
        <f t="shared" si="27"/>
        <v>0</v>
      </c>
      <c r="AI107" s="44">
        <f t="shared" si="27"/>
        <v>0</v>
      </c>
      <c r="AJ107" s="45">
        <f t="shared" si="27"/>
        <v>0</v>
      </c>
      <c r="AK107" s="80">
        <f t="shared" si="17"/>
        <v>0</v>
      </c>
      <c r="AL107" s="47">
        <v>0.45</v>
      </c>
      <c r="AM107" s="48">
        <f t="shared" si="24"/>
        <v>0</v>
      </c>
      <c r="AN107" s="48">
        <f t="shared" si="25"/>
        <v>0</v>
      </c>
      <c r="AO107" s="49">
        <f t="shared" si="23"/>
        <v>0</v>
      </c>
      <c r="AP107" s="49">
        <f t="shared" si="18"/>
        <v>0</v>
      </c>
      <c r="AQ107" s="50">
        <f t="shared" si="19"/>
        <v>0</v>
      </c>
      <c r="AR107" s="124"/>
      <c r="AS107" s="125"/>
      <c r="AT107" s="126"/>
      <c r="AU107" s="84">
        <f t="shared" si="26"/>
        <v>0</v>
      </c>
      <c r="AV107" s="127"/>
      <c r="AW107" s="128"/>
      <c r="AX107" s="128"/>
      <c r="AY107" s="125"/>
      <c r="AZ107" s="129"/>
    </row>
    <row r="108" spans="1:52" ht="16.5" thickBot="1" x14ac:dyDescent="0.3">
      <c r="A108" s="75">
        <v>355</v>
      </c>
      <c r="B108" s="75" t="s">
        <v>85</v>
      </c>
      <c r="C108" s="121"/>
      <c r="D108" s="26">
        <f t="shared" si="20"/>
        <v>0</v>
      </c>
      <c r="E108" s="27">
        <f t="shared" si="21"/>
        <v>0</v>
      </c>
      <c r="F108" s="29">
        <f t="shared" si="22"/>
        <v>0</v>
      </c>
      <c r="G108" s="30">
        <v>0</v>
      </c>
      <c r="H108" s="31">
        <v>0</v>
      </c>
      <c r="I108" s="32">
        <v>0</v>
      </c>
      <c r="J108" s="77"/>
      <c r="K108" s="33"/>
      <c r="L108" s="34">
        <v>0</v>
      </c>
      <c r="M108" s="34">
        <v>0</v>
      </c>
      <c r="N108" s="62"/>
      <c r="O108" s="34">
        <v>0</v>
      </c>
      <c r="P108" s="34">
        <v>0</v>
      </c>
      <c r="Q108" s="34">
        <v>0</v>
      </c>
      <c r="R108" s="62"/>
      <c r="S108" s="37">
        <v>0</v>
      </c>
      <c r="T108" s="34">
        <v>0</v>
      </c>
      <c r="U108" s="34">
        <v>0</v>
      </c>
      <c r="V108" s="62"/>
      <c r="W108" s="38">
        <v>0</v>
      </c>
      <c r="X108" s="31">
        <v>0</v>
      </c>
      <c r="Y108" s="31">
        <v>0</v>
      </c>
      <c r="Z108" s="78"/>
      <c r="AA108" s="37">
        <v>0</v>
      </c>
      <c r="AB108" s="34">
        <v>0</v>
      </c>
      <c r="AC108" s="34">
        <v>0</v>
      </c>
      <c r="AD108" s="64"/>
      <c r="AE108" s="122"/>
      <c r="AF108" s="123"/>
      <c r="AG108" s="43">
        <f t="shared" si="27"/>
        <v>0</v>
      </c>
      <c r="AH108" s="44">
        <f t="shared" si="27"/>
        <v>0</v>
      </c>
      <c r="AI108" s="44">
        <f t="shared" si="27"/>
        <v>0</v>
      </c>
      <c r="AJ108" s="45">
        <f t="shared" si="27"/>
        <v>0</v>
      </c>
      <c r="AK108" s="80">
        <f t="shared" si="17"/>
        <v>0</v>
      </c>
      <c r="AL108" s="47">
        <v>0.45</v>
      </c>
      <c r="AM108" s="48">
        <f t="shared" si="24"/>
        <v>0</v>
      </c>
      <c r="AN108" s="48">
        <f t="shared" si="25"/>
        <v>0</v>
      </c>
      <c r="AO108" s="49">
        <f t="shared" si="23"/>
        <v>0</v>
      </c>
      <c r="AP108" s="49">
        <f t="shared" si="18"/>
        <v>0</v>
      </c>
      <c r="AQ108" s="50">
        <f t="shared" si="19"/>
        <v>0</v>
      </c>
      <c r="AR108" s="124"/>
      <c r="AS108" s="125"/>
      <c r="AT108" s="126"/>
      <c r="AU108" s="84">
        <f t="shared" si="26"/>
        <v>0</v>
      </c>
      <c r="AV108" s="127"/>
      <c r="AW108" s="128"/>
      <c r="AX108" s="128"/>
      <c r="AY108" s="125"/>
      <c r="AZ108" s="129"/>
    </row>
    <row r="109" spans="1:52" ht="16.5" thickBot="1" x14ac:dyDescent="0.3">
      <c r="A109" s="75">
        <v>355</v>
      </c>
      <c r="B109" s="75" t="s">
        <v>89</v>
      </c>
      <c r="C109" s="121"/>
      <c r="D109" s="26">
        <f t="shared" si="20"/>
        <v>0</v>
      </c>
      <c r="E109" s="27">
        <f t="shared" si="21"/>
        <v>0</v>
      </c>
      <c r="F109" s="29">
        <f t="shared" si="22"/>
        <v>0</v>
      </c>
      <c r="G109" s="30">
        <v>0</v>
      </c>
      <c r="H109" s="31">
        <v>0</v>
      </c>
      <c r="I109" s="32">
        <v>0</v>
      </c>
      <c r="J109" s="130"/>
      <c r="K109" s="33"/>
      <c r="L109" s="34">
        <v>0</v>
      </c>
      <c r="M109" s="34">
        <v>0</v>
      </c>
      <c r="N109" s="62"/>
      <c r="O109" s="34">
        <v>0</v>
      </c>
      <c r="P109" s="34">
        <v>0</v>
      </c>
      <c r="Q109" s="34">
        <v>0</v>
      </c>
      <c r="R109" s="62"/>
      <c r="S109" s="37">
        <v>0</v>
      </c>
      <c r="T109" s="34">
        <v>0</v>
      </c>
      <c r="U109" s="34">
        <v>0</v>
      </c>
      <c r="V109" s="62"/>
      <c r="W109" s="38">
        <v>0</v>
      </c>
      <c r="X109" s="31">
        <v>0</v>
      </c>
      <c r="Y109" s="31">
        <v>0</v>
      </c>
      <c r="Z109" s="78"/>
      <c r="AA109" s="37">
        <v>0</v>
      </c>
      <c r="AB109" s="34">
        <v>0</v>
      </c>
      <c r="AC109" s="34">
        <v>0</v>
      </c>
      <c r="AD109" s="64"/>
      <c r="AE109" s="122"/>
      <c r="AF109" s="123"/>
      <c r="AG109" s="43">
        <f t="shared" si="27"/>
        <v>0</v>
      </c>
      <c r="AH109" s="44">
        <f t="shared" si="27"/>
        <v>0</v>
      </c>
      <c r="AI109" s="44">
        <f t="shared" si="27"/>
        <v>0</v>
      </c>
      <c r="AJ109" s="45">
        <f t="shared" si="27"/>
        <v>0</v>
      </c>
      <c r="AK109" s="80">
        <f t="shared" si="17"/>
        <v>0</v>
      </c>
      <c r="AL109" s="47">
        <v>0.45</v>
      </c>
      <c r="AM109" s="48">
        <f t="shared" si="24"/>
        <v>0</v>
      </c>
      <c r="AN109" s="48">
        <f t="shared" si="25"/>
        <v>0</v>
      </c>
      <c r="AO109" s="49">
        <f t="shared" si="23"/>
        <v>0</v>
      </c>
      <c r="AP109" s="49">
        <f t="shared" si="18"/>
        <v>0</v>
      </c>
      <c r="AQ109" s="50">
        <f t="shared" si="19"/>
        <v>0</v>
      </c>
      <c r="AR109" s="124"/>
      <c r="AS109" s="125"/>
      <c r="AT109" s="126"/>
      <c r="AU109" s="84">
        <f t="shared" si="26"/>
        <v>0</v>
      </c>
      <c r="AV109" s="127"/>
      <c r="AW109" s="128"/>
      <c r="AX109" s="128"/>
      <c r="AY109" s="125"/>
      <c r="AZ109" s="129"/>
    </row>
    <row r="110" spans="1:52" ht="16.5" thickBot="1" x14ac:dyDescent="0.3">
      <c r="A110" s="75">
        <v>145</v>
      </c>
      <c r="B110" s="131" t="s">
        <v>79</v>
      </c>
      <c r="C110" s="132"/>
      <c r="D110" s="26">
        <f t="shared" si="20"/>
        <v>0</v>
      </c>
      <c r="E110" s="27">
        <f t="shared" si="21"/>
        <v>0</v>
      </c>
      <c r="F110" s="29">
        <f t="shared" si="22"/>
        <v>0</v>
      </c>
      <c r="G110" s="30">
        <v>0</v>
      </c>
      <c r="H110" s="31">
        <v>0</v>
      </c>
      <c r="I110" s="32">
        <v>0</v>
      </c>
      <c r="J110" s="130"/>
      <c r="K110" s="33"/>
      <c r="L110" s="34">
        <v>0</v>
      </c>
      <c r="M110" s="34">
        <v>0</v>
      </c>
      <c r="N110" s="62"/>
      <c r="O110" s="34">
        <v>0</v>
      </c>
      <c r="P110" s="34">
        <v>0</v>
      </c>
      <c r="Q110" s="34">
        <v>0</v>
      </c>
      <c r="R110" s="62"/>
      <c r="S110" s="37">
        <v>0</v>
      </c>
      <c r="T110" s="34">
        <v>0</v>
      </c>
      <c r="U110" s="34">
        <v>0</v>
      </c>
      <c r="V110" s="62"/>
      <c r="W110" s="38">
        <v>0</v>
      </c>
      <c r="X110" s="31">
        <v>0</v>
      </c>
      <c r="Y110" s="31">
        <v>0</v>
      </c>
      <c r="Z110" s="78"/>
      <c r="AA110" s="37">
        <v>0</v>
      </c>
      <c r="AB110" s="34">
        <v>0</v>
      </c>
      <c r="AC110" s="34">
        <v>0</v>
      </c>
      <c r="AD110" s="64"/>
      <c r="AE110" s="122"/>
      <c r="AF110" s="123"/>
      <c r="AG110" s="43">
        <f t="shared" si="27"/>
        <v>0</v>
      </c>
      <c r="AH110" s="44">
        <f t="shared" si="27"/>
        <v>0</v>
      </c>
      <c r="AI110" s="44">
        <f t="shared" si="27"/>
        <v>0</v>
      </c>
      <c r="AJ110" s="45">
        <f t="shared" si="27"/>
        <v>0</v>
      </c>
      <c r="AK110" s="80">
        <f t="shared" si="17"/>
        <v>0</v>
      </c>
      <c r="AL110" s="47">
        <v>0.25</v>
      </c>
      <c r="AM110" s="48">
        <f t="shared" si="24"/>
        <v>0</v>
      </c>
      <c r="AN110" s="48">
        <f t="shared" si="25"/>
        <v>0</v>
      </c>
      <c r="AO110" s="49">
        <f t="shared" si="23"/>
        <v>0</v>
      </c>
      <c r="AP110" s="49">
        <f t="shared" si="18"/>
        <v>0</v>
      </c>
      <c r="AQ110" s="50">
        <f t="shared" si="19"/>
        <v>0</v>
      </c>
      <c r="AR110" s="124"/>
      <c r="AS110" s="125"/>
      <c r="AT110" s="126"/>
      <c r="AU110" s="84">
        <f t="shared" si="26"/>
        <v>0</v>
      </c>
      <c r="AV110" s="127"/>
      <c r="AW110" s="128"/>
      <c r="AX110" s="128"/>
      <c r="AY110" s="125"/>
      <c r="AZ110" s="129"/>
    </row>
    <row r="111" spans="1:52" ht="16.5" thickBot="1" x14ac:dyDescent="0.3">
      <c r="A111" s="75"/>
      <c r="B111" s="131" t="s">
        <v>77</v>
      </c>
      <c r="C111" s="132"/>
      <c r="D111" s="26">
        <f t="shared" si="20"/>
        <v>0</v>
      </c>
      <c r="E111" s="27">
        <f t="shared" si="21"/>
        <v>0</v>
      </c>
      <c r="F111" s="29">
        <f t="shared" si="22"/>
        <v>0</v>
      </c>
      <c r="G111" s="30">
        <v>0</v>
      </c>
      <c r="H111" s="31">
        <v>0</v>
      </c>
      <c r="I111" s="32">
        <v>0</v>
      </c>
      <c r="J111" s="130"/>
      <c r="K111" s="33"/>
      <c r="L111" s="34">
        <v>0</v>
      </c>
      <c r="M111" s="34">
        <v>0</v>
      </c>
      <c r="N111" s="62"/>
      <c r="O111" s="34">
        <v>0</v>
      </c>
      <c r="P111" s="34">
        <v>0</v>
      </c>
      <c r="Q111" s="34">
        <v>0</v>
      </c>
      <c r="R111" s="62"/>
      <c r="S111" s="37">
        <v>0</v>
      </c>
      <c r="T111" s="34">
        <v>0</v>
      </c>
      <c r="U111" s="34">
        <v>0</v>
      </c>
      <c r="V111" s="62"/>
      <c r="W111" s="38">
        <v>0</v>
      </c>
      <c r="X111" s="31">
        <v>0</v>
      </c>
      <c r="Y111" s="31">
        <v>0</v>
      </c>
      <c r="Z111" s="78"/>
      <c r="AA111" s="37">
        <v>0</v>
      </c>
      <c r="AB111" s="34">
        <v>0</v>
      </c>
      <c r="AC111" s="34">
        <v>0</v>
      </c>
      <c r="AD111" s="64"/>
      <c r="AE111" s="122"/>
      <c r="AF111" s="123"/>
      <c r="AG111" s="43">
        <f t="shared" si="27"/>
        <v>0</v>
      </c>
      <c r="AH111" s="44">
        <f t="shared" si="27"/>
        <v>0</v>
      </c>
      <c r="AI111" s="44">
        <f t="shared" si="27"/>
        <v>0</v>
      </c>
      <c r="AJ111" s="45">
        <f t="shared" si="27"/>
        <v>0</v>
      </c>
      <c r="AK111" s="80">
        <f t="shared" si="17"/>
        <v>0</v>
      </c>
      <c r="AL111" s="47">
        <v>0.25</v>
      </c>
      <c r="AM111" s="48">
        <f t="shared" si="24"/>
        <v>0</v>
      </c>
      <c r="AN111" s="48">
        <f t="shared" si="25"/>
        <v>0</v>
      </c>
      <c r="AO111" s="49">
        <f t="shared" si="23"/>
        <v>0</v>
      </c>
      <c r="AP111" s="49">
        <f t="shared" si="18"/>
        <v>0</v>
      </c>
      <c r="AQ111" s="50">
        <f t="shared" si="19"/>
        <v>0</v>
      </c>
      <c r="AR111" s="124"/>
      <c r="AS111" s="125"/>
      <c r="AT111" s="126"/>
      <c r="AU111" s="84"/>
      <c r="AV111" s="127"/>
      <c r="AW111" s="128"/>
      <c r="AX111" s="128"/>
      <c r="AY111" s="125"/>
      <c r="AZ111" s="129"/>
    </row>
    <row r="112" spans="1:52" ht="16.5" thickBot="1" x14ac:dyDescent="0.3">
      <c r="A112" s="75"/>
      <c r="B112" s="131" t="s">
        <v>81</v>
      </c>
      <c r="C112" s="132"/>
      <c r="D112" s="26">
        <f t="shared" si="20"/>
        <v>0</v>
      </c>
      <c r="E112" s="27">
        <f t="shared" si="21"/>
        <v>0</v>
      </c>
      <c r="F112" s="29">
        <f t="shared" si="22"/>
        <v>0</v>
      </c>
      <c r="G112" s="30">
        <v>0</v>
      </c>
      <c r="H112" s="31">
        <v>0</v>
      </c>
      <c r="I112" s="32">
        <v>0</v>
      </c>
      <c r="J112" s="130"/>
      <c r="K112" s="33"/>
      <c r="L112" s="34">
        <v>0</v>
      </c>
      <c r="M112" s="34">
        <v>0</v>
      </c>
      <c r="N112" s="62"/>
      <c r="O112" s="34">
        <v>0</v>
      </c>
      <c r="P112" s="34">
        <v>0</v>
      </c>
      <c r="Q112" s="34">
        <v>0</v>
      </c>
      <c r="R112" s="62"/>
      <c r="S112" s="37">
        <v>0</v>
      </c>
      <c r="T112" s="34">
        <v>0</v>
      </c>
      <c r="U112" s="34">
        <v>0</v>
      </c>
      <c r="V112" s="62"/>
      <c r="W112" s="38">
        <v>0</v>
      </c>
      <c r="X112" s="31">
        <v>0</v>
      </c>
      <c r="Y112" s="31">
        <v>0</v>
      </c>
      <c r="Z112" s="78"/>
      <c r="AA112" s="37">
        <v>0</v>
      </c>
      <c r="AB112" s="34">
        <v>0</v>
      </c>
      <c r="AC112" s="34">
        <v>0</v>
      </c>
      <c r="AD112" s="64"/>
      <c r="AE112" s="122"/>
      <c r="AF112" s="123"/>
      <c r="AG112" s="43">
        <f t="shared" si="27"/>
        <v>0</v>
      </c>
      <c r="AH112" s="44">
        <f t="shared" si="27"/>
        <v>0</v>
      </c>
      <c r="AI112" s="44">
        <f t="shared" si="27"/>
        <v>0</v>
      </c>
      <c r="AJ112" s="45">
        <f t="shared" si="27"/>
        <v>0</v>
      </c>
      <c r="AK112" s="80">
        <f t="shared" si="17"/>
        <v>0</v>
      </c>
      <c r="AL112" s="47">
        <v>0.25</v>
      </c>
      <c r="AM112" s="48">
        <f t="shared" si="24"/>
        <v>0</v>
      </c>
      <c r="AN112" s="48">
        <f t="shared" si="25"/>
        <v>0</v>
      </c>
      <c r="AO112" s="49">
        <f t="shared" si="23"/>
        <v>0</v>
      </c>
      <c r="AP112" s="49">
        <f t="shared" si="18"/>
        <v>0</v>
      </c>
      <c r="AQ112" s="50">
        <f t="shared" si="19"/>
        <v>0</v>
      </c>
      <c r="AR112" s="124"/>
      <c r="AS112" s="125"/>
      <c r="AT112" s="126"/>
      <c r="AU112" s="84"/>
      <c r="AV112" s="127"/>
      <c r="AW112" s="128"/>
      <c r="AX112" s="128"/>
      <c r="AY112" s="125"/>
      <c r="AZ112" s="129"/>
    </row>
    <row r="113" spans="1:52" ht="16.5" thickBot="1" x14ac:dyDescent="0.3">
      <c r="A113" s="75"/>
      <c r="B113" s="131" t="s">
        <v>75</v>
      </c>
      <c r="C113" s="132"/>
      <c r="D113" s="26">
        <f t="shared" si="20"/>
        <v>0</v>
      </c>
      <c r="E113" s="27">
        <f t="shared" si="21"/>
        <v>0</v>
      </c>
      <c r="F113" s="29">
        <f t="shared" si="22"/>
        <v>0</v>
      </c>
      <c r="G113" s="30">
        <v>0</v>
      </c>
      <c r="H113" s="31">
        <v>0</v>
      </c>
      <c r="I113" s="32">
        <v>0</v>
      </c>
      <c r="J113" s="130"/>
      <c r="K113" s="33"/>
      <c r="L113" s="34">
        <v>0</v>
      </c>
      <c r="M113" s="34">
        <v>0</v>
      </c>
      <c r="N113" s="62"/>
      <c r="O113" s="34">
        <v>0</v>
      </c>
      <c r="P113" s="34">
        <v>0</v>
      </c>
      <c r="Q113" s="34">
        <v>0</v>
      </c>
      <c r="R113" s="62"/>
      <c r="S113" s="37">
        <v>0</v>
      </c>
      <c r="T113" s="34">
        <v>0</v>
      </c>
      <c r="U113" s="34">
        <v>0</v>
      </c>
      <c r="V113" s="62"/>
      <c r="W113" s="38">
        <v>0</v>
      </c>
      <c r="X113" s="31">
        <v>0</v>
      </c>
      <c r="Y113" s="31">
        <v>0</v>
      </c>
      <c r="Z113" s="78"/>
      <c r="AA113" s="37">
        <v>0</v>
      </c>
      <c r="AB113" s="34">
        <v>0</v>
      </c>
      <c r="AC113" s="34">
        <v>0</v>
      </c>
      <c r="AD113" s="64"/>
      <c r="AE113" s="122"/>
      <c r="AF113" s="123"/>
      <c r="AG113" s="43">
        <f t="shared" si="27"/>
        <v>0</v>
      </c>
      <c r="AH113" s="44">
        <f t="shared" si="27"/>
        <v>0</v>
      </c>
      <c r="AI113" s="44">
        <f t="shared" si="27"/>
        <v>0</v>
      </c>
      <c r="AJ113" s="45">
        <f t="shared" si="27"/>
        <v>0</v>
      </c>
      <c r="AK113" s="80">
        <f t="shared" si="17"/>
        <v>0</v>
      </c>
      <c r="AL113" s="47">
        <v>0.25</v>
      </c>
      <c r="AM113" s="48">
        <f t="shared" si="24"/>
        <v>0</v>
      </c>
      <c r="AN113" s="48">
        <f t="shared" si="25"/>
        <v>0</v>
      </c>
      <c r="AO113" s="49">
        <f t="shared" si="23"/>
        <v>0</v>
      </c>
      <c r="AP113" s="49">
        <f t="shared" si="18"/>
        <v>0</v>
      </c>
      <c r="AQ113" s="50">
        <f t="shared" si="19"/>
        <v>0</v>
      </c>
      <c r="AR113" s="124"/>
      <c r="AS113" s="125"/>
      <c r="AT113" s="126"/>
      <c r="AU113" s="84"/>
      <c r="AV113" s="127"/>
      <c r="AW113" s="128"/>
      <c r="AX113" s="128"/>
      <c r="AY113" s="125"/>
      <c r="AZ113" s="129"/>
    </row>
    <row r="114" spans="1:52" ht="16.5" thickBot="1" x14ac:dyDescent="0.3">
      <c r="A114" s="75"/>
      <c r="B114" s="131" t="s">
        <v>82</v>
      </c>
      <c r="C114" s="132"/>
      <c r="D114" s="26">
        <f t="shared" si="20"/>
        <v>0</v>
      </c>
      <c r="E114" s="27">
        <f t="shared" si="21"/>
        <v>0</v>
      </c>
      <c r="F114" s="29">
        <f t="shared" si="22"/>
        <v>0</v>
      </c>
      <c r="G114" s="30">
        <v>0</v>
      </c>
      <c r="H114" s="31">
        <v>0</v>
      </c>
      <c r="I114" s="32">
        <v>0</v>
      </c>
      <c r="J114" s="130"/>
      <c r="K114" s="33"/>
      <c r="L114" s="34">
        <v>0</v>
      </c>
      <c r="M114" s="34">
        <v>0</v>
      </c>
      <c r="N114" s="62"/>
      <c r="O114" s="34">
        <v>0</v>
      </c>
      <c r="P114" s="34">
        <v>0</v>
      </c>
      <c r="Q114" s="34">
        <v>0</v>
      </c>
      <c r="R114" s="62"/>
      <c r="S114" s="37">
        <v>0</v>
      </c>
      <c r="T114" s="34">
        <v>0</v>
      </c>
      <c r="U114" s="34">
        <v>0</v>
      </c>
      <c r="V114" s="62"/>
      <c r="W114" s="38">
        <v>0</v>
      </c>
      <c r="X114" s="31">
        <v>0</v>
      </c>
      <c r="Y114" s="31">
        <v>0</v>
      </c>
      <c r="Z114" s="78"/>
      <c r="AA114" s="37">
        <v>0</v>
      </c>
      <c r="AB114" s="34">
        <v>0</v>
      </c>
      <c r="AC114" s="34">
        <v>0</v>
      </c>
      <c r="AD114" s="64"/>
      <c r="AE114" s="122"/>
      <c r="AF114" s="123"/>
      <c r="AG114" s="43">
        <f t="shared" si="27"/>
        <v>0</v>
      </c>
      <c r="AH114" s="44">
        <f t="shared" si="27"/>
        <v>0</v>
      </c>
      <c r="AI114" s="44">
        <f t="shared" si="27"/>
        <v>0</v>
      </c>
      <c r="AJ114" s="45">
        <f t="shared" si="27"/>
        <v>0</v>
      </c>
      <c r="AK114" s="80">
        <f t="shared" si="17"/>
        <v>0</v>
      </c>
      <c r="AL114" s="47">
        <v>0.25</v>
      </c>
      <c r="AM114" s="48">
        <f t="shared" si="24"/>
        <v>0</v>
      </c>
      <c r="AN114" s="48">
        <f t="shared" si="25"/>
        <v>0</v>
      </c>
      <c r="AO114" s="49">
        <f t="shared" si="23"/>
        <v>0</v>
      </c>
      <c r="AP114" s="49">
        <f t="shared" si="18"/>
        <v>0</v>
      </c>
      <c r="AQ114" s="50">
        <f t="shared" si="19"/>
        <v>0</v>
      </c>
      <c r="AR114" s="124"/>
      <c r="AS114" s="125"/>
      <c r="AT114" s="126"/>
      <c r="AU114" s="84"/>
      <c r="AV114" s="127"/>
      <c r="AW114" s="128"/>
      <c r="AX114" s="128"/>
      <c r="AY114" s="125"/>
      <c r="AZ114" s="129"/>
    </row>
    <row r="115" spans="1:52" ht="16.5" thickBot="1" x14ac:dyDescent="0.3">
      <c r="A115" s="75"/>
      <c r="B115" s="131" t="s">
        <v>78</v>
      </c>
      <c r="C115" s="132"/>
      <c r="D115" s="26">
        <f t="shared" si="20"/>
        <v>0</v>
      </c>
      <c r="E115" s="27">
        <f t="shared" si="21"/>
        <v>0</v>
      </c>
      <c r="F115" s="29">
        <f t="shared" si="22"/>
        <v>0</v>
      </c>
      <c r="G115" s="30">
        <v>0</v>
      </c>
      <c r="H115" s="31">
        <v>0</v>
      </c>
      <c r="I115" s="32">
        <v>0</v>
      </c>
      <c r="J115" s="130"/>
      <c r="K115" s="33"/>
      <c r="L115" s="34">
        <v>0</v>
      </c>
      <c r="M115" s="34">
        <v>0</v>
      </c>
      <c r="N115" s="62"/>
      <c r="O115" s="34">
        <v>0</v>
      </c>
      <c r="P115" s="34">
        <v>0</v>
      </c>
      <c r="Q115" s="34">
        <v>0</v>
      </c>
      <c r="R115" s="62"/>
      <c r="S115" s="37">
        <v>0</v>
      </c>
      <c r="T115" s="34">
        <v>0</v>
      </c>
      <c r="U115" s="34">
        <v>0</v>
      </c>
      <c r="V115" s="62"/>
      <c r="W115" s="38">
        <v>0</v>
      </c>
      <c r="X115" s="31">
        <v>0</v>
      </c>
      <c r="Y115" s="31">
        <v>0</v>
      </c>
      <c r="Z115" s="78"/>
      <c r="AA115" s="37">
        <v>0</v>
      </c>
      <c r="AB115" s="34">
        <v>0</v>
      </c>
      <c r="AC115" s="34">
        <v>0</v>
      </c>
      <c r="AD115" s="64"/>
      <c r="AE115" s="122"/>
      <c r="AF115" s="123"/>
      <c r="AG115" s="43">
        <f t="shared" si="27"/>
        <v>0</v>
      </c>
      <c r="AH115" s="44">
        <f t="shared" si="27"/>
        <v>0</v>
      </c>
      <c r="AI115" s="44">
        <f t="shared" si="27"/>
        <v>0</v>
      </c>
      <c r="AJ115" s="45">
        <f t="shared" si="27"/>
        <v>0</v>
      </c>
      <c r="AK115" s="80">
        <f t="shared" si="17"/>
        <v>0</v>
      </c>
      <c r="AL115" s="47">
        <v>0.25</v>
      </c>
      <c r="AM115" s="48">
        <f t="shared" si="24"/>
        <v>0</v>
      </c>
      <c r="AN115" s="48">
        <f t="shared" si="25"/>
        <v>0</v>
      </c>
      <c r="AO115" s="49">
        <f t="shared" si="23"/>
        <v>0</v>
      </c>
      <c r="AP115" s="49">
        <f t="shared" si="18"/>
        <v>0</v>
      </c>
      <c r="AQ115" s="50">
        <f t="shared" si="19"/>
        <v>0</v>
      </c>
      <c r="AR115" s="124"/>
      <c r="AS115" s="125"/>
      <c r="AT115" s="126"/>
      <c r="AU115" s="84"/>
      <c r="AV115" s="127"/>
      <c r="AW115" s="128"/>
      <c r="AX115" s="128"/>
      <c r="AY115" s="125"/>
      <c r="AZ115" s="129"/>
    </row>
    <row r="116" spans="1:52" ht="16.5" thickBot="1" x14ac:dyDescent="0.3">
      <c r="A116" s="75"/>
      <c r="B116" s="131" t="s">
        <v>90</v>
      </c>
      <c r="C116" s="132"/>
      <c r="D116" s="26">
        <f t="shared" si="20"/>
        <v>0</v>
      </c>
      <c r="E116" s="27">
        <f t="shared" si="21"/>
        <v>0</v>
      </c>
      <c r="F116" s="29">
        <f t="shared" si="22"/>
        <v>0</v>
      </c>
      <c r="G116" s="30">
        <v>0</v>
      </c>
      <c r="H116" s="31">
        <v>0</v>
      </c>
      <c r="I116" s="32">
        <v>0</v>
      </c>
      <c r="J116" s="130"/>
      <c r="K116" s="33"/>
      <c r="L116" s="34">
        <v>0</v>
      </c>
      <c r="M116" s="34">
        <v>0</v>
      </c>
      <c r="N116" s="62"/>
      <c r="O116" s="34">
        <v>0</v>
      </c>
      <c r="P116" s="34">
        <v>0</v>
      </c>
      <c r="Q116" s="34">
        <v>0</v>
      </c>
      <c r="R116" s="62"/>
      <c r="S116" s="37">
        <v>0</v>
      </c>
      <c r="T116" s="34">
        <v>0</v>
      </c>
      <c r="U116" s="34">
        <v>0</v>
      </c>
      <c r="V116" s="62"/>
      <c r="W116" s="38">
        <v>0</v>
      </c>
      <c r="X116" s="31">
        <v>0</v>
      </c>
      <c r="Y116" s="31">
        <v>0</v>
      </c>
      <c r="Z116" s="78"/>
      <c r="AA116" s="37">
        <v>0</v>
      </c>
      <c r="AB116" s="34">
        <v>0</v>
      </c>
      <c r="AC116" s="34">
        <v>0</v>
      </c>
      <c r="AD116" s="64"/>
      <c r="AE116" s="122"/>
      <c r="AF116" s="123"/>
      <c r="AG116" s="43">
        <f t="shared" si="27"/>
        <v>0</v>
      </c>
      <c r="AH116" s="44">
        <f t="shared" si="27"/>
        <v>0</v>
      </c>
      <c r="AI116" s="44">
        <f t="shared" si="27"/>
        <v>0</v>
      </c>
      <c r="AJ116" s="45">
        <f t="shared" si="27"/>
        <v>0</v>
      </c>
      <c r="AK116" s="80">
        <f t="shared" si="17"/>
        <v>0</v>
      </c>
      <c r="AL116" s="47">
        <v>0.25</v>
      </c>
      <c r="AM116" s="48">
        <f t="shared" si="24"/>
        <v>0</v>
      </c>
      <c r="AN116" s="48">
        <f t="shared" si="25"/>
        <v>0</v>
      </c>
      <c r="AO116" s="49">
        <f t="shared" si="23"/>
        <v>0</v>
      </c>
      <c r="AP116" s="49">
        <f t="shared" si="18"/>
        <v>0</v>
      </c>
      <c r="AQ116" s="50">
        <f t="shared" si="19"/>
        <v>0</v>
      </c>
      <c r="AR116" s="124"/>
      <c r="AS116" s="125"/>
      <c r="AT116" s="126"/>
      <c r="AU116" s="84"/>
      <c r="AV116" s="127"/>
      <c r="AW116" s="128"/>
      <c r="AX116" s="128"/>
      <c r="AY116" s="125"/>
      <c r="AZ116" s="129"/>
    </row>
    <row r="117" spans="1:52" ht="16.5" thickBot="1" x14ac:dyDescent="0.3">
      <c r="A117" s="75">
        <v>250</v>
      </c>
      <c r="B117" s="75" t="s">
        <v>26</v>
      </c>
      <c r="C117" s="133"/>
      <c r="D117" s="26">
        <f t="shared" si="20"/>
        <v>0</v>
      </c>
      <c r="E117" s="27">
        <f t="shared" si="21"/>
        <v>0</v>
      </c>
      <c r="F117" s="29">
        <f t="shared" si="22"/>
        <v>0</v>
      </c>
      <c r="G117" s="30">
        <v>0</v>
      </c>
      <c r="H117" s="31">
        <v>0</v>
      </c>
      <c r="I117" s="32">
        <v>0</v>
      </c>
      <c r="J117" s="130"/>
      <c r="K117" s="33"/>
      <c r="L117" s="34">
        <v>0</v>
      </c>
      <c r="M117" s="34">
        <v>0</v>
      </c>
      <c r="N117" s="62"/>
      <c r="O117" s="34">
        <v>0</v>
      </c>
      <c r="P117" s="34">
        <v>0</v>
      </c>
      <c r="Q117" s="34">
        <v>0</v>
      </c>
      <c r="R117" s="62"/>
      <c r="S117" s="37">
        <v>0</v>
      </c>
      <c r="T117" s="34">
        <v>0</v>
      </c>
      <c r="U117" s="34">
        <v>0</v>
      </c>
      <c r="V117" s="62"/>
      <c r="W117" s="38">
        <v>0</v>
      </c>
      <c r="X117" s="31">
        <v>0</v>
      </c>
      <c r="Y117" s="31">
        <v>0</v>
      </c>
      <c r="Z117" s="78"/>
      <c r="AA117" s="37">
        <v>0</v>
      </c>
      <c r="AB117" s="34">
        <v>0</v>
      </c>
      <c r="AC117" s="34">
        <v>0</v>
      </c>
      <c r="AD117" s="64"/>
      <c r="AE117" s="122"/>
      <c r="AF117" s="123"/>
      <c r="AG117" s="43">
        <f t="shared" si="27"/>
        <v>0</v>
      </c>
      <c r="AH117" s="44">
        <f t="shared" si="27"/>
        <v>0</v>
      </c>
      <c r="AI117" s="44">
        <f t="shared" si="27"/>
        <v>0</v>
      </c>
      <c r="AJ117" s="45">
        <f t="shared" si="27"/>
        <v>0</v>
      </c>
      <c r="AK117" s="80">
        <f t="shared" si="17"/>
        <v>0</v>
      </c>
      <c r="AL117" s="47">
        <v>1</v>
      </c>
      <c r="AM117" s="48">
        <f t="shared" si="24"/>
        <v>0</v>
      </c>
      <c r="AN117" s="48">
        <f t="shared" si="25"/>
        <v>0</v>
      </c>
      <c r="AO117" s="49">
        <f t="shared" si="23"/>
        <v>0</v>
      </c>
      <c r="AP117" s="49">
        <f t="shared" si="18"/>
        <v>0</v>
      </c>
      <c r="AQ117" s="50">
        <f t="shared" si="19"/>
        <v>0</v>
      </c>
      <c r="AR117" s="124"/>
      <c r="AS117" s="125"/>
      <c r="AT117" s="126"/>
      <c r="AU117" s="84">
        <f>AK117*AL117</f>
        <v>0</v>
      </c>
      <c r="AV117" s="127"/>
      <c r="AW117" s="128"/>
      <c r="AX117" s="128"/>
      <c r="AY117" s="125"/>
      <c r="AZ117" s="129"/>
    </row>
    <row r="118" spans="1:52" ht="16.5" thickBot="1" x14ac:dyDescent="0.3">
      <c r="A118" s="75">
        <v>250</v>
      </c>
      <c r="B118" s="75" t="s">
        <v>91</v>
      </c>
      <c r="C118" s="133"/>
      <c r="D118" s="26">
        <f t="shared" si="20"/>
        <v>0</v>
      </c>
      <c r="E118" s="27">
        <f t="shared" si="21"/>
        <v>0</v>
      </c>
      <c r="F118" s="29">
        <f t="shared" si="22"/>
        <v>0</v>
      </c>
      <c r="G118" s="30">
        <v>0</v>
      </c>
      <c r="H118" s="31">
        <v>0</v>
      </c>
      <c r="I118" s="32">
        <v>0</v>
      </c>
      <c r="J118" s="130"/>
      <c r="K118" s="33"/>
      <c r="L118" s="34">
        <v>0</v>
      </c>
      <c r="M118" s="34">
        <v>0</v>
      </c>
      <c r="N118" s="62"/>
      <c r="O118" s="34">
        <v>0</v>
      </c>
      <c r="P118" s="34">
        <v>0</v>
      </c>
      <c r="Q118" s="34">
        <v>0</v>
      </c>
      <c r="R118" s="62"/>
      <c r="S118" s="37">
        <v>0</v>
      </c>
      <c r="T118" s="34">
        <v>0</v>
      </c>
      <c r="U118" s="34">
        <v>0</v>
      </c>
      <c r="V118" s="62"/>
      <c r="W118" s="38">
        <v>0</v>
      </c>
      <c r="X118" s="31">
        <v>0</v>
      </c>
      <c r="Y118" s="31">
        <v>0</v>
      </c>
      <c r="Z118" s="78"/>
      <c r="AA118" s="37">
        <v>0</v>
      </c>
      <c r="AB118" s="34">
        <v>0</v>
      </c>
      <c r="AC118" s="34">
        <v>0</v>
      </c>
      <c r="AD118" s="64"/>
      <c r="AE118" s="122"/>
      <c r="AF118" s="123"/>
      <c r="AG118" s="43">
        <f t="shared" si="27"/>
        <v>0</v>
      </c>
      <c r="AH118" s="44">
        <f t="shared" si="27"/>
        <v>0</v>
      </c>
      <c r="AI118" s="44">
        <f t="shared" si="27"/>
        <v>0</v>
      </c>
      <c r="AJ118" s="45">
        <f t="shared" si="27"/>
        <v>0</v>
      </c>
      <c r="AK118" s="80">
        <f t="shared" si="17"/>
        <v>0</v>
      </c>
      <c r="AL118" s="47">
        <v>0.5</v>
      </c>
      <c r="AM118" s="48">
        <f t="shared" si="24"/>
        <v>0</v>
      </c>
      <c r="AN118" s="48">
        <f t="shared" si="25"/>
        <v>0</v>
      </c>
      <c r="AO118" s="49">
        <f t="shared" si="23"/>
        <v>0</v>
      </c>
      <c r="AP118" s="49">
        <f t="shared" si="18"/>
        <v>0</v>
      </c>
      <c r="AQ118" s="50">
        <f t="shared" si="19"/>
        <v>0</v>
      </c>
      <c r="AR118" s="124"/>
      <c r="AS118" s="125"/>
      <c r="AT118" s="126"/>
      <c r="AU118" s="84"/>
      <c r="AV118" s="127"/>
      <c r="AW118" s="128"/>
      <c r="AX118" s="128"/>
      <c r="AY118" s="125"/>
      <c r="AZ118" s="129"/>
    </row>
    <row r="119" spans="1:52" ht="16.5" thickBot="1" x14ac:dyDescent="0.3">
      <c r="A119" s="75">
        <v>1000</v>
      </c>
      <c r="B119" s="75" t="s">
        <v>91</v>
      </c>
      <c r="C119" s="133"/>
      <c r="D119" s="26">
        <f t="shared" si="20"/>
        <v>0</v>
      </c>
      <c r="E119" s="27">
        <f t="shared" si="21"/>
        <v>0</v>
      </c>
      <c r="F119" s="29">
        <f t="shared" si="22"/>
        <v>0</v>
      </c>
      <c r="G119" s="30">
        <v>0</v>
      </c>
      <c r="H119" s="31">
        <v>0</v>
      </c>
      <c r="I119" s="32">
        <v>0</v>
      </c>
      <c r="J119" s="130"/>
      <c r="K119" s="33"/>
      <c r="L119" s="34">
        <v>0</v>
      </c>
      <c r="M119" s="34">
        <v>0</v>
      </c>
      <c r="N119" s="62"/>
      <c r="O119" s="34">
        <v>0</v>
      </c>
      <c r="P119" s="34">
        <v>0</v>
      </c>
      <c r="Q119" s="34">
        <v>0</v>
      </c>
      <c r="R119" s="62"/>
      <c r="S119" s="37">
        <v>0</v>
      </c>
      <c r="T119" s="34">
        <v>0</v>
      </c>
      <c r="U119" s="34">
        <v>0</v>
      </c>
      <c r="V119" s="62"/>
      <c r="W119" s="38">
        <v>0</v>
      </c>
      <c r="X119" s="31">
        <v>0</v>
      </c>
      <c r="Y119" s="31">
        <v>0</v>
      </c>
      <c r="Z119" s="78"/>
      <c r="AA119" s="37">
        <v>0</v>
      </c>
      <c r="AB119" s="34">
        <v>0</v>
      </c>
      <c r="AC119" s="34">
        <v>0</v>
      </c>
      <c r="AD119" s="64"/>
      <c r="AE119" s="122"/>
      <c r="AF119" s="123"/>
      <c r="AG119" s="43">
        <f t="shared" si="27"/>
        <v>0</v>
      </c>
      <c r="AH119" s="44">
        <f t="shared" si="27"/>
        <v>0</v>
      </c>
      <c r="AI119" s="44">
        <f t="shared" si="27"/>
        <v>0</v>
      </c>
      <c r="AJ119" s="45">
        <f t="shared" si="27"/>
        <v>0</v>
      </c>
      <c r="AK119" s="80">
        <f t="shared" si="17"/>
        <v>0</v>
      </c>
      <c r="AL119" s="47">
        <v>0.5</v>
      </c>
      <c r="AM119" s="48">
        <f t="shared" si="24"/>
        <v>0</v>
      </c>
      <c r="AN119" s="48">
        <f t="shared" si="25"/>
        <v>0</v>
      </c>
      <c r="AO119" s="49">
        <f t="shared" si="23"/>
        <v>0</v>
      </c>
      <c r="AP119" s="49">
        <f t="shared" si="18"/>
        <v>0</v>
      </c>
      <c r="AQ119" s="50">
        <f t="shared" si="19"/>
        <v>0</v>
      </c>
      <c r="AR119" s="124"/>
      <c r="AS119" s="125"/>
      <c r="AT119" s="126"/>
      <c r="AU119" s="84"/>
      <c r="AV119" s="127"/>
      <c r="AW119" s="128"/>
      <c r="AX119" s="128"/>
      <c r="AY119" s="125"/>
      <c r="AZ119" s="129"/>
    </row>
    <row r="120" spans="1:52" ht="16.5" thickBot="1" x14ac:dyDescent="0.3">
      <c r="A120" s="75">
        <v>250</v>
      </c>
      <c r="B120" s="75" t="s">
        <v>92</v>
      </c>
      <c r="C120" s="133"/>
      <c r="D120" s="26">
        <f t="shared" si="20"/>
        <v>0</v>
      </c>
      <c r="E120" s="27">
        <f t="shared" si="21"/>
        <v>0</v>
      </c>
      <c r="F120" s="29">
        <f t="shared" si="22"/>
        <v>0</v>
      </c>
      <c r="G120" s="30">
        <v>0</v>
      </c>
      <c r="H120" s="31">
        <v>0</v>
      </c>
      <c r="I120" s="32">
        <v>0</v>
      </c>
      <c r="J120" s="130"/>
      <c r="K120" s="33"/>
      <c r="L120" s="34">
        <v>0</v>
      </c>
      <c r="M120" s="34">
        <v>0</v>
      </c>
      <c r="N120" s="62"/>
      <c r="O120" s="34">
        <v>0</v>
      </c>
      <c r="P120" s="34">
        <v>0</v>
      </c>
      <c r="Q120" s="34">
        <v>0</v>
      </c>
      <c r="R120" s="62"/>
      <c r="S120" s="37">
        <v>0</v>
      </c>
      <c r="T120" s="34">
        <v>0</v>
      </c>
      <c r="U120" s="34">
        <v>0</v>
      </c>
      <c r="V120" s="62"/>
      <c r="W120" s="38">
        <v>0</v>
      </c>
      <c r="X120" s="31">
        <v>0</v>
      </c>
      <c r="Y120" s="31">
        <v>0</v>
      </c>
      <c r="Z120" s="78"/>
      <c r="AA120" s="37">
        <v>0</v>
      </c>
      <c r="AB120" s="34">
        <v>0</v>
      </c>
      <c r="AC120" s="34">
        <v>0</v>
      </c>
      <c r="AD120" s="64"/>
      <c r="AE120" s="122"/>
      <c r="AF120" s="123"/>
      <c r="AG120" s="43">
        <f t="shared" si="27"/>
        <v>0</v>
      </c>
      <c r="AH120" s="44">
        <f t="shared" si="27"/>
        <v>0</v>
      </c>
      <c r="AI120" s="44">
        <f t="shared" si="27"/>
        <v>0</v>
      </c>
      <c r="AJ120" s="45">
        <f t="shared" si="27"/>
        <v>0</v>
      </c>
      <c r="AK120" s="80">
        <f t="shared" si="17"/>
        <v>0</v>
      </c>
      <c r="AL120" s="47">
        <v>0.5</v>
      </c>
      <c r="AM120" s="48">
        <f t="shared" si="24"/>
        <v>0</v>
      </c>
      <c r="AN120" s="48">
        <f t="shared" si="25"/>
        <v>0</v>
      </c>
      <c r="AO120" s="49">
        <f t="shared" si="23"/>
        <v>0</v>
      </c>
      <c r="AP120" s="49">
        <f t="shared" si="18"/>
        <v>0</v>
      </c>
      <c r="AQ120" s="50">
        <f t="shared" si="19"/>
        <v>0</v>
      </c>
      <c r="AR120" s="124"/>
      <c r="AS120" s="125"/>
      <c r="AT120" s="126"/>
      <c r="AU120" s="84"/>
      <c r="AV120" s="127"/>
      <c r="AW120" s="128"/>
      <c r="AX120" s="128"/>
      <c r="AY120" s="125"/>
      <c r="AZ120" s="129"/>
    </row>
    <row r="121" spans="1:52" ht="16.5" thickBot="1" x14ac:dyDescent="0.3">
      <c r="A121" s="75">
        <v>1.5</v>
      </c>
      <c r="B121" s="75" t="s">
        <v>93</v>
      </c>
      <c r="C121" s="133"/>
      <c r="D121" s="26">
        <f t="shared" si="20"/>
        <v>0</v>
      </c>
      <c r="E121" s="27">
        <f t="shared" si="21"/>
        <v>0</v>
      </c>
      <c r="F121" s="29">
        <f t="shared" si="22"/>
        <v>0</v>
      </c>
      <c r="G121" s="30">
        <v>1</v>
      </c>
      <c r="H121" s="31">
        <v>9</v>
      </c>
      <c r="I121" s="32">
        <v>2</v>
      </c>
      <c r="J121" s="130"/>
      <c r="K121" s="33"/>
      <c r="L121" s="34">
        <v>0</v>
      </c>
      <c r="M121" s="34">
        <v>8</v>
      </c>
      <c r="N121" s="62"/>
      <c r="O121" s="34">
        <v>1</v>
      </c>
      <c r="P121" s="34">
        <v>0</v>
      </c>
      <c r="Q121" s="34">
        <v>0</v>
      </c>
      <c r="R121" s="62"/>
      <c r="S121" s="37">
        <v>5</v>
      </c>
      <c r="T121" s="34">
        <v>1</v>
      </c>
      <c r="U121" s="34">
        <v>0</v>
      </c>
      <c r="V121" s="62"/>
      <c r="W121" s="38">
        <v>0</v>
      </c>
      <c r="X121" s="31">
        <v>0</v>
      </c>
      <c r="Y121" s="31">
        <v>0</v>
      </c>
      <c r="Z121" s="78"/>
      <c r="AA121" s="37">
        <v>1</v>
      </c>
      <c r="AB121" s="34">
        <v>0</v>
      </c>
      <c r="AC121" s="34">
        <v>0</v>
      </c>
      <c r="AD121" s="64"/>
      <c r="AE121" s="122"/>
      <c r="AF121" s="123"/>
      <c r="AG121" s="43">
        <f t="shared" si="27"/>
        <v>8</v>
      </c>
      <c r="AH121" s="44">
        <f t="shared" si="27"/>
        <v>10</v>
      </c>
      <c r="AI121" s="44">
        <f t="shared" si="27"/>
        <v>10</v>
      </c>
      <c r="AJ121" s="45">
        <f t="shared" si="27"/>
        <v>0</v>
      </c>
      <c r="AK121" s="80">
        <f t="shared" si="17"/>
        <v>28</v>
      </c>
      <c r="AL121" s="47">
        <v>0.75</v>
      </c>
      <c r="AM121" s="48">
        <f t="shared" si="24"/>
        <v>6</v>
      </c>
      <c r="AN121" s="48">
        <f t="shared" si="25"/>
        <v>7.5</v>
      </c>
      <c r="AO121" s="49">
        <f t="shared" si="23"/>
        <v>7.5</v>
      </c>
      <c r="AP121" s="49">
        <f t="shared" si="18"/>
        <v>0</v>
      </c>
      <c r="AQ121" s="50">
        <f t="shared" si="19"/>
        <v>1680</v>
      </c>
      <c r="AR121" s="124"/>
      <c r="AS121" s="125"/>
      <c r="AT121" s="126"/>
      <c r="AU121" s="84">
        <f>AK121*AL121</f>
        <v>21</v>
      </c>
      <c r="AV121" s="127"/>
      <c r="AW121" s="128"/>
      <c r="AX121" s="128"/>
      <c r="AY121" s="125"/>
      <c r="AZ121" s="129"/>
    </row>
    <row r="122" spans="1:52" ht="16.5" thickBot="1" x14ac:dyDescent="0.3">
      <c r="A122" s="75">
        <v>1.5</v>
      </c>
      <c r="B122" s="75" t="s">
        <v>82</v>
      </c>
      <c r="C122" s="133"/>
      <c r="D122" s="26">
        <f t="shared" si="20"/>
        <v>0</v>
      </c>
      <c r="E122" s="27">
        <f t="shared" si="21"/>
        <v>0</v>
      </c>
      <c r="F122" s="29">
        <f t="shared" si="22"/>
        <v>0</v>
      </c>
      <c r="G122" s="30">
        <v>0</v>
      </c>
      <c r="H122" s="31">
        <v>0</v>
      </c>
      <c r="I122" s="32">
        <v>0</v>
      </c>
      <c r="J122" s="130"/>
      <c r="K122" s="33"/>
      <c r="L122" s="34">
        <v>0</v>
      </c>
      <c r="M122" s="34">
        <v>0</v>
      </c>
      <c r="N122" s="62"/>
      <c r="O122" s="34">
        <v>0</v>
      </c>
      <c r="P122" s="34">
        <v>0</v>
      </c>
      <c r="Q122" s="34">
        <v>0</v>
      </c>
      <c r="R122" s="62"/>
      <c r="S122" s="37">
        <v>0</v>
      </c>
      <c r="T122" s="34">
        <v>0</v>
      </c>
      <c r="U122" s="34">
        <v>0</v>
      </c>
      <c r="V122" s="62"/>
      <c r="W122" s="38">
        <v>0</v>
      </c>
      <c r="X122" s="31">
        <v>0</v>
      </c>
      <c r="Y122" s="31">
        <v>0</v>
      </c>
      <c r="Z122" s="78"/>
      <c r="AA122" s="37">
        <v>0</v>
      </c>
      <c r="AB122" s="34">
        <v>0</v>
      </c>
      <c r="AC122" s="34">
        <v>0</v>
      </c>
      <c r="AD122" s="64"/>
      <c r="AE122" s="122"/>
      <c r="AF122" s="123"/>
      <c r="AG122" s="43">
        <f t="shared" si="27"/>
        <v>0</v>
      </c>
      <c r="AH122" s="44">
        <f t="shared" si="27"/>
        <v>0</v>
      </c>
      <c r="AI122" s="44">
        <f t="shared" si="27"/>
        <v>0</v>
      </c>
      <c r="AJ122" s="45">
        <f t="shared" si="27"/>
        <v>0</v>
      </c>
      <c r="AK122" s="80">
        <f t="shared" si="17"/>
        <v>0</v>
      </c>
      <c r="AL122" s="47">
        <v>0.75</v>
      </c>
      <c r="AM122" s="48">
        <f t="shared" si="24"/>
        <v>0</v>
      </c>
      <c r="AN122" s="48">
        <f t="shared" si="25"/>
        <v>0</v>
      </c>
      <c r="AO122" s="49">
        <f t="shared" si="23"/>
        <v>0</v>
      </c>
      <c r="AP122" s="49">
        <f t="shared" si="18"/>
        <v>0</v>
      </c>
      <c r="AQ122" s="50">
        <f t="shared" si="19"/>
        <v>0</v>
      </c>
      <c r="AR122" s="124"/>
      <c r="AS122" s="125"/>
      <c r="AT122" s="126"/>
      <c r="AU122" s="84"/>
      <c r="AV122" s="127"/>
      <c r="AW122" s="128"/>
      <c r="AX122" s="128"/>
      <c r="AY122" s="125"/>
      <c r="AZ122" s="129"/>
    </row>
    <row r="123" spans="1:52" ht="16.5" thickBot="1" x14ac:dyDescent="0.3">
      <c r="A123" s="75">
        <v>250</v>
      </c>
      <c r="B123" s="75" t="s">
        <v>27</v>
      </c>
      <c r="C123" s="133"/>
      <c r="D123" s="26">
        <f t="shared" si="20"/>
        <v>0</v>
      </c>
      <c r="E123" s="27">
        <f t="shared" si="21"/>
        <v>0</v>
      </c>
      <c r="F123" s="29">
        <f t="shared" si="22"/>
        <v>0</v>
      </c>
      <c r="G123" s="30">
        <v>0</v>
      </c>
      <c r="H123" s="31">
        <v>0</v>
      </c>
      <c r="I123" s="32">
        <v>0</v>
      </c>
      <c r="J123" s="130"/>
      <c r="K123" s="33"/>
      <c r="L123" s="34">
        <v>0</v>
      </c>
      <c r="M123" s="34">
        <v>0</v>
      </c>
      <c r="N123" s="62"/>
      <c r="O123" s="34">
        <v>0</v>
      </c>
      <c r="P123" s="34">
        <v>0</v>
      </c>
      <c r="Q123" s="34">
        <v>0</v>
      </c>
      <c r="R123" s="62"/>
      <c r="S123" s="37">
        <v>0</v>
      </c>
      <c r="T123" s="34">
        <v>0</v>
      </c>
      <c r="U123" s="34">
        <v>0</v>
      </c>
      <c r="V123" s="62"/>
      <c r="W123" s="38">
        <v>0</v>
      </c>
      <c r="X123" s="31">
        <v>0</v>
      </c>
      <c r="Y123" s="31">
        <v>0</v>
      </c>
      <c r="Z123" s="78"/>
      <c r="AA123" s="37">
        <v>0</v>
      </c>
      <c r="AB123" s="34">
        <v>0</v>
      </c>
      <c r="AC123" s="34">
        <v>0</v>
      </c>
      <c r="AD123" s="64"/>
      <c r="AE123" s="122"/>
      <c r="AF123" s="123"/>
      <c r="AG123" s="43">
        <f t="shared" si="27"/>
        <v>0</v>
      </c>
      <c r="AH123" s="44">
        <f t="shared" si="27"/>
        <v>0</v>
      </c>
      <c r="AI123" s="44">
        <f t="shared" si="27"/>
        <v>0</v>
      </c>
      <c r="AJ123" s="45">
        <f t="shared" si="27"/>
        <v>0</v>
      </c>
      <c r="AK123" s="80">
        <f t="shared" si="17"/>
        <v>0</v>
      </c>
      <c r="AL123" s="47">
        <v>1</v>
      </c>
      <c r="AM123" s="48">
        <f t="shared" si="24"/>
        <v>0</v>
      </c>
      <c r="AN123" s="48">
        <f t="shared" si="25"/>
        <v>0</v>
      </c>
      <c r="AO123" s="49">
        <f t="shared" si="23"/>
        <v>0</v>
      </c>
      <c r="AP123" s="49">
        <f t="shared" si="18"/>
        <v>0</v>
      </c>
      <c r="AQ123" s="50">
        <f t="shared" si="19"/>
        <v>0</v>
      </c>
      <c r="AR123" s="124"/>
      <c r="AS123" s="125"/>
      <c r="AT123" s="126"/>
      <c r="AU123" s="84">
        <f t="shared" ref="AU123:AU132" si="28">AK123*AL123</f>
        <v>0</v>
      </c>
      <c r="AV123" s="127"/>
      <c r="AW123" s="128"/>
      <c r="AX123" s="128"/>
      <c r="AY123" s="125"/>
      <c r="AZ123" s="129"/>
    </row>
    <row r="124" spans="1:52" ht="16.5" thickBot="1" x14ac:dyDescent="0.3">
      <c r="A124" s="91">
        <v>400</v>
      </c>
      <c r="B124" s="91" t="s">
        <v>94</v>
      </c>
      <c r="C124" s="133"/>
      <c r="D124" s="26">
        <f t="shared" si="20"/>
        <v>0</v>
      </c>
      <c r="E124" s="27">
        <f t="shared" si="21"/>
        <v>0</v>
      </c>
      <c r="F124" s="29">
        <f t="shared" si="22"/>
        <v>0</v>
      </c>
      <c r="G124" s="30">
        <v>0</v>
      </c>
      <c r="H124" s="31">
        <v>0</v>
      </c>
      <c r="I124" s="32">
        <v>0</v>
      </c>
      <c r="J124" s="113"/>
      <c r="K124" s="33"/>
      <c r="L124" s="34">
        <v>0</v>
      </c>
      <c r="M124" s="34">
        <v>0</v>
      </c>
      <c r="N124" s="114"/>
      <c r="O124" s="34">
        <v>0</v>
      </c>
      <c r="P124" s="34">
        <v>0</v>
      </c>
      <c r="Q124" s="34">
        <v>0</v>
      </c>
      <c r="R124" s="114"/>
      <c r="S124" s="37">
        <v>0</v>
      </c>
      <c r="T124" s="34">
        <v>0</v>
      </c>
      <c r="U124" s="34">
        <v>0</v>
      </c>
      <c r="V124" s="114"/>
      <c r="W124" s="38">
        <v>0</v>
      </c>
      <c r="X124" s="31">
        <v>0</v>
      </c>
      <c r="Y124" s="31">
        <v>0</v>
      </c>
      <c r="Z124" s="78"/>
      <c r="AA124" s="37">
        <v>0</v>
      </c>
      <c r="AB124" s="34">
        <v>0</v>
      </c>
      <c r="AC124" s="34">
        <v>0</v>
      </c>
      <c r="AD124" s="64"/>
      <c r="AE124" s="122"/>
      <c r="AF124" s="123"/>
      <c r="AG124" s="43">
        <f t="shared" si="27"/>
        <v>0</v>
      </c>
      <c r="AH124" s="44">
        <f t="shared" si="27"/>
        <v>0</v>
      </c>
      <c r="AI124" s="44">
        <f t="shared" si="27"/>
        <v>0</v>
      </c>
      <c r="AJ124" s="45">
        <f t="shared" si="27"/>
        <v>0</v>
      </c>
      <c r="AK124" s="80">
        <f t="shared" si="17"/>
        <v>0</v>
      </c>
      <c r="AL124" s="47">
        <v>0.75</v>
      </c>
      <c r="AM124" s="48">
        <f t="shared" si="24"/>
        <v>0</v>
      </c>
      <c r="AN124" s="48">
        <f t="shared" si="25"/>
        <v>0</v>
      </c>
      <c r="AO124" s="49">
        <f t="shared" si="23"/>
        <v>0</v>
      </c>
      <c r="AP124" s="49">
        <f t="shared" si="18"/>
        <v>0</v>
      </c>
      <c r="AQ124" s="50">
        <f t="shared" si="19"/>
        <v>0</v>
      </c>
      <c r="AR124" s="124"/>
      <c r="AS124" s="125"/>
      <c r="AT124" s="126"/>
      <c r="AU124" s="84">
        <f t="shared" si="28"/>
        <v>0</v>
      </c>
      <c r="AV124" s="127"/>
      <c r="AW124" s="128"/>
      <c r="AX124" s="128"/>
      <c r="AY124" s="125"/>
      <c r="AZ124" s="129"/>
    </row>
    <row r="125" spans="1:52" ht="16.5" thickBot="1" x14ac:dyDescent="0.3">
      <c r="A125" s="91">
        <v>1000</v>
      </c>
      <c r="B125" s="91" t="s">
        <v>95</v>
      </c>
      <c r="C125" s="133"/>
      <c r="D125" s="26">
        <f t="shared" si="20"/>
        <v>0</v>
      </c>
      <c r="E125" s="27">
        <f t="shared" si="21"/>
        <v>0</v>
      </c>
      <c r="F125" s="29">
        <f t="shared" si="22"/>
        <v>0</v>
      </c>
      <c r="G125" s="30">
        <v>0</v>
      </c>
      <c r="H125" s="31">
        <v>0</v>
      </c>
      <c r="I125" s="32">
        <v>0</v>
      </c>
      <c r="J125" s="113"/>
      <c r="K125" s="33"/>
      <c r="L125" s="34">
        <v>0</v>
      </c>
      <c r="M125" s="34">
        <v>0</v>
      </c>
      <c r="N125" s="114"/>
      <c r="O125" s="34">
        <v>0</v>
      </c>
      <c r="P125" s="34">
        <v>0</v>
      </c>
      <c r="Q125" s="34">
        <v>0</v>
      </c>
      <c r="R125" s="114"/>
      <c r="S125" s="37">
        <v>0</v>
      </c>
      <c r="T125" s="34">
        <v>0</v>
      </c>
      <c r="U125" s="34">
        <v>0</v>
      </c>
      <c r="V125" s="114"/>
      <c r="W125" s="38">
        <v>0</v>
      </c>
      <c r="X125" s="31">
        <v>0</v>
      </c>
      <c r="Y125" s="31">
        <v>0</v>
      </c>
      <c r="Z125" s="78"/>
      <c r="AA125" s="37">
        <v>0</v>
      </c>
      <c r="AB125" s="34">
        <v>0</v>
      </c>
      <c r="AC125" s="34">
        <v>0</v>
      </c>
      <c r="AD125" s="64"/>
      <c r="AE125" s="122"/>
      <c r="AF125" s="123"/>
      <c r="AG125" s="43">
        <f t="shared" si="27"/>
        <v>0</v>
      </c>
      <c r="AH125" s="44">
        <f t="shared" si="27"/>
        <v>0</v>
      </c>
      <c r="AI125" s="44">
        <f t="shared" si="27"/>
        <v>0</v>
      </c>
      <c r="AJ125" s="45">
        <f t="shared" si="27"/>
        <v>0</v>
      </c>
      <c r="AK125" s="80">
        <f t="shared" si="17"/>
        <v>0</v>
      </c>
      <c r="AL125" s="47">
        <v>1</v>
      </c>
      <c r="AM125" s="48">
        <f t="shared" si="24"/>
        <v>0</v>
      </c>
      <c r="AN125" s="48">
        <f t="shared" si="25"/>
        <v>0</v>
      </c>
      <c r="AO125" s="49">
        <f t="shared" si="23"/>
        <v>0</v>
      </c>
      <c r="AP125" s="49">
        <f t="shared" si="18"/>
        <v>0</v>
      </c>
      <c r="AQ125" s="50">
        <f t="shared" si="19"/>
        <v>0</v>
      </c>
      <c r="AR125" s="124"/>
      <c r="AS125" s="125"/>
      <c r="AT125" s="126"/>
      <c r="AU125" s="84">
        <f t="shared" si="28"/>
        <v>0</v>
      </c>
      <c r="AV125" s="127"/>
      <c r="AW125" s="128"/>
      <c r="AX125" s="128"/>
      <c r="AY125" s="125"/>
      <c r="AZ125" s="129"/>
    </row>
    <row r="126" spans="1:52" ht="16.5" thickBot="1" x14ac:dyDescent="0.3">
      <c r="A126" s="134">
        <v>355</v>
      </c>
      <c r="B126" s="134" t="s">
        <v>96</v>
      </c>
      <c r="C126" s="135"/>
      <c r="D126" s="26">
        <f t="shared" si="20"/>
        <v>0</v>
      </c>
      <c r="E126" s="27">
        <f t="shared" si="21"/>
        <v>0</v>
      </c>
      <c r="F126" s="29">
        <f t="shared" si="22"/>
        <v>0</v>
      </c>
      <c r="G126" s="30">
        <v>0</v>
      </c>
      <c r="H126" s="31">
        <v>0</v>
      </c>
      <c r="I126" s="32">
        <v>0</v>
      </c>
      <c r="J126" s="136"/>
      <c r="K126" s="33"/>
      <c r="L126" s="34">
        <v>0</v>
      </c>
      <c r="M126" s="34">
        <v>0</v>
      </c>
      <c r="N126" s="114"/>
      <c r="O126" s="34">
        <v>0</v>
      </c>
      <c r="P126" s="34">
        <v>0</v>
      </c>
      <c r="Q126" s="34">
        <v>0</v>
      </c>
      <c r="R126" s="114"/>
      <c r="S126" s="37">
        <v>0</v>
      </c>
      <c r="T126" s="34">
        <v>0</v>
      </c>
      <c r="U126" s="34">
        <v>0</v>
      </c>
      <c r="V126" s="114"/>
      <c r="W126" s="38">
        <v>0</v>
      </c>
      <c r="X126" s="31">
        <v>0</v>
      </c>
      <c r="Y126" s="31">
        <v>0</v>
      </c>
      <c r="Z126" s="78"/>
      <c r="AA126" s="37">
        <v>0</v>
      </c>
      <c r="AB126" s="34">
        <v>0</v>
      </c>
      <c r="AC126" s="34">
        <v>0</v>
      </c>
      <c r="AD126" s="64"/>
      <c r="AE126" s="122"/>
      <c r="AF126" s="123"/>
      <c r="AG126" s="43">
        <f t="shared" si="27"/>
        <v>0</v>
      </c>
      <c r="AH126" s="44">
        <f t="shared" si="27"/>
        <v>0</v>
      </c>
      <c r="AI126" s="44">
        <f t="shared" si="27"/>
        <v>0</v>
      </c>
      <c r="AJ126" s="45">
        <f t="shared" si="27"/>
        <v>0</v>
      </c>
      <c r="AK126" s="137">
        <f t="shared" si="17"/>
        <v>0</v>
      </c>
      <c r="AL126" s="47">
        <v>0.45</v>
      </c>
      <c r="AM126" s="48">
        <f t="shared" si="24"/>
        <v>0</v>
      </c>
      <c r="AN126" s="48">
        <f t="shared" si="25"/>
        <v>0</v>
      </c>
      <c r="AO126" s="49">
        <f t="shared" si="23"/>
        <v>0</v>
      </c>
      <c r="AP126" s="49">
        <f t="shared" si="18"/>
        <v>0</v>
      </c>
      <c r="AQ126" s="50">
        <f t="shared" si="19"/>
        <v>0</v>
      </c>
      <c r="AR126" s="124"/>
      <c r="AS126" s="125"/>
      <c r="AT126" s="126"/>
      <c r="AU126" s="84">
        <f t="shared" si="28"/>
        <v>0</v>
      </c>
      <c r="AV126" s="127"/>
      <c r="AW126" s="128"/>
      <c r="AX126" s="128"/>
      <c r="AY126" s="125"/>
      <c r="AZ126" s="129"/>
    </row>
    <row r="127" spans="1:52" ht="16.5" thickBot="1" x14ac:dyDescent="0.3">
      <c r="A127" s="134">
        <v>330</v>
      </c>
      <c r="B127" s="134" t="s">
        <v>97</v>
      </c>
      <c r="C127" s="135"/>
      <c r="D127" s="26">
        <f t="shared" si="20"/>
        <v>0</v>
      </c>
      <c r="E127" s="27">
        <f t="shared" si="21"/>
        <v>0</v>
      </c>
      <c r="F127" s="29">
        <f t="shared" si="22"/>
        <v>0</v>
      </c>
      <c r="G127" s="30">
        <v>0</v>
      </c>
      <c r="H127" s="31">
        <v>0</v>
      </c>
      <c r="I127" s="32">
        <v>0</v>
      </c>
      <c r="J127" s="136"/>
      <c r="K127" s="33"/>
      <c r="L127" s="34">
        <v>0</v>
      </c>
      <c r="M127" s="34">
        <v>0</v>
      </c>
      <c r="N127" s="114"/>
      <c r="O127" s="34">
        <v>0</v>
      </c>
      <c r="P127" s="34">
        <v>0</v>
      </c>
      <c r="Q127" s="34">
        <v>0</v>
      </c>
      <c r="R127" s="114"/>
      <c r="S127" s="37">
        <v>0</v>
      </c>
      <c r="T127" s="34">
        <v>0</v>
      </c>
      <c r="U127" s="34">
        <v>0</v>
      </c>
      <c r="V127" s="114"/>
      <c r="W127" s="38">
        <v>0</v>
      </c>
      <c r="X127" s="31">
        <v>0</v>
      </c>
      <c r="Y127" s="31">
        <v>0</v>
      </c>
      <c r="Z127" s="78"/>
      <c r="AA127" s="37">
        <v>0</v>
      </c>
      <c r="AB127" s="34">
        <v>0</v>
      </c>
      <c r="AC127" s="34">
        <v>0</v>
      </c>
      <c r="AD127" s="64"/>
      <c r="AE127" s="122"/>
      <c r="AF127" s="123"/>
      <c r="AG127" s="43">
        <f t="shared" si="27"/>
        <v>0</v>
      </c>
      <c r="AH127" s="44">
        <f t="shared" si="27"/>
        <v>0</v>
      </c>
      <c r="AI127" s="44">
        <f t="shared" si="27"/>
        <v>0</v>
      </c>
      <c r="AJ127" s="45">
        <f t="shared" si="27"/>
        <v>0</v>
      </c>
      <c r="AK127" s="137">
        <f t="shared" si="17"/>
        <v>0</v>
      </c>
      <c r="AL127" s="47">
        <v>0.5</v>
      </c>
      <c r="AM127" s="48">
        <f t="shared" si="24"/>
        <v>0</v>
      </c>
      <c r="AN127" s="48">
        <f t="shared" si="25"/>
        <v>0</v>
      </c>
      <c r="AO127" s="49">
        <f t="shared" si="23"/>
        <v>0</v>
      </c>
      <c r="AP127" s="49">
        <f t="shared" si="18"/>
        <v>0</v>
      </c>
      <c r="AQ127" s="50">
        <f t="shared" si="19"/>
        <v>0</v>
      </c>
      <c r="AR127" s="124"/>
      <c r="AS127" s="125"/>
      <c r="AT127" s="126"/>
      <c r="AU127" s="84">
        <f t="shared" si="28"/>
        <v>0</v>
      </c>
      <c r="AV127" s="127"/>
      <c r="AW127" s="128"/>
      <c r="AX127" s="128"/>
      <c r="AY127" s="125"/>
      <c r="AZ127" s="129"/>
    </row>
    <row r="128" spans="1:52" ht="16.5" thickBot="1" x14ac:dyDescent="0.3">
      <c r="A128" s="134">
        <v>330</v>
      </c>
      <c r="B128" s="134" t="s">
        <v>98</v>
      </c>
      <c r="C128" s="135"/>
      <c r="D128" s="26">
        <f t="shared" si="20"/>
        <v>0</v>
      </c>
      <c r="E128" s="27">
        <f t="shared" si="21"/>
        <v>0</v>
      </c>
      <c r="F128" s="29">
        <f t="shared" si="22"/>
        <v>0</v>
      </c>
      <c r="G128" s="30">
        <v>0</v>
      </c>
      <c r="H128" s="31">
        <v>0</v>
      </c>
      <c r="I128" s="32">
        <v>0</v>
      </c>
      <c r="J128" s="136"/>
      <c r="K128" s="33"/>
      <c r="L128" s="34">
        <v>0</v>
      </c>
      <c r="M128" s="34">
        <v>0</v>
      </c>
      <c r="N128" s="114"/>
      <c r="O128" s="34">
        <v>0</v>
      </c>
      <c r="P128" s="34">
        <v>0</v>
      </c>
      <c r="Q128" s="34">
        <v>0</v>
      </c>
      <c r="R128" s="114"/>
      <c r="S128" s="37">
        <v>0</v>
      </c>
      <c r="T128" s="34">
        <v>0</v>
      </c>
      <c r="U128" s="34">
        <v>0</v>
      </c>
      <c r="V128" s="114"/>
      <c r="W128" s="38">
        <v>0</v>
      </c>
      <c r="X128" s="31">
        <v>0</v>
      </c>
      <c r="Y128" s="31">
        <v>0</v>
      </c>
      <c r="Z128" s="78"/>
      <c r="AA128" s="37">
        <v>0</v>
      </c>
      <c r="AB128" s="34">
        <v>0</v>
      </c>
      <c r="AC128" s="34">
        <v>0</v>
      </c>
      <c r="AD128" s="64"/>
      <c r="AE128" s="122"/>
      <c r="AF128" s="123"/>
      <c r="AG128" s="43">
        <f t="shared" si="27"/>
        <v>0</v>
      </c>
      <c r="AH128" s="44">
        <f t="shared" si="27"/>
        <v>0</v>
      </c>
      <c r="AI128" s="44">
        <f t="shared" si="27"/>
        <v>0</v>
      </c>
      <c r="AJ128" s="45">
        <f t="shared" si="27"/>
        <v>0</v>
      </c>
      <c r="AK128" s="137">
        <f t="shared" si="17"/>
        <v>0</v>
      </c>
      <c r="AL128" s="47">
        <v>0.5</v>
      </c>
      <c r="AM128" s="48">
        <f t="shared" si="24"/>
        <v>0</v>
      </c>
      <c r="AN128" s="48">
        <f t="shared" si="25"/>
        <v>0</v>
      </c>
      <c r="AO128" s="49">
        <f t="shared" si="23"/>
        <v>0</v>
      </c>
      <c r="AP128" s="49">
        <f t="shared" si="18"/>
        <v>0</v>
      </c>
      <c r="AQ128" s="50">
        <f t="shared" si="19"/>
        <v>0</v>
      </c>
      <c r="AR128" s="124"/>
      <c r="AS128" s="125"/>
      <c r="AT128" s="126"/>
      <c r="AU128" s="84">
        <f t="shared" si="28"/>
        <v>0</v>
      </c>
      <c r="AV128" s="127"/>
      <c r="AW128" s="128"/>
      <c r="AX128" s="128"/>
      <c r="AY128" s="125"/>
      <c r="AZ128" s="129"/>
    </row>
    <row r="129" spans="1:52" ht="16.5" thickBot="1" x14ac:dyDescent="0.3">
      <c r="A129" s="134">
        <v>330</v>
      </c>
      <c r="B129" s="134" t="s">
        <v>99</v>
      </c>
      <c r="C129" s="135"/>
      <c r="D129" s="26">
        <f t="shared" si="20"/>
        <v>0</v>
      </c>
      <c r="E129" s="27">
        <f t="shared" si="21"/>
        <v>0</v>
      </c>
      <c r="F129" s="29">
        <f t="shared" si="22"/>
        <v>0</v>
      </c>
      <c r="G129" s="30">
        <v>0</v>
      </c>
      <c r="H129" s="31">
        <v>0</v>
      </c>
      <c r="I129" s="32">
        <v>0</v>
      </c>
      <c r="J129" s="136"/>
      <c r="K129" s="33"/>
      <c r="L129" s="34">
        <v>0</v>
      </c>
      <c r="M129" s="34">
        <v>0</v>
      </c>
      <c r="N129" s="114"/>
      <c r="O129" s="34">
        <v>0</v>
      </c>
      <c r="P129" s="34">
        <v>0</v>
      </c>
      <c r="Q129" s="34">
        <v>0</v>
      </c>
      <c r="R129" s="114"/>
      <c r="S129" s="37">
        <v>0</v>
      </c>
      <c r="T129" s="34">
        <v>0</v>
      </c>
      <c r="U129" s="34">
        <v>0</v>
      </c>
      <c r="V129" s="114"/>
      <c r="W129" s="38">
        <v>0</v>
      </c>
      <c r="X129" s="31">
        <v>0</v>
      </c>
      <c r="Y129" s="31">
        <v>0</v>
      </c>
      <c r="Z129" s="78"/>
      <c r="AA129" s="37">
        <v>0</v>
      </c>
      <c r="AB129" s="34">
        <v>0</v>
      </c>
      <c r="AC129" s="34">
        <v>0</v>
      </c>
      <c r="AD129" s="64"/>
      <c r="AE129" s="122"/>
      <c r="AF129" s="123"/>
      <c r="AG129" s="43">
        <f t="shared" si="27"/>
        <v>0</v>
      </c>
      <c r="AH129" s="44">
        <f t="shared" si="27"/>
        <v>0</v>
      </c>
      <c r="AI129" s="44">
        <f t="shared" si="27"/>
        <v>0</v>
      </c>
      <c r="AJ129" s="45">
        <f t="shared" si="27"/>
        <v>0</v>
      </c>
      <c r="AK129" s="137">
        <f t="shared" si="17"/>
        <v>0</v>
      </c>
      <c r="AL129" s="47">
        <v>0.5</v>
      </c>
      <c r="AM129" s="48">
        <f t="shared" si="24"/>
        <v>0</v>
      </c>
      <c r="AN129" s="48">
        <f t="shared" si="25"/>
        <v>0</v>
      </c>
      <c r="AO129" s="49">
        <f t="shared" si="23"/>
        <v>0</v>
      </c>
      <c r="AP129" s="49">
        <f t="shared" si="18"/>
        <v>0</v>
      </c>
      <c r="AQ129" s="50">
        <f t="shared" si="19"/>
        <v>0</v>
      </c>
      <c r="AR129" s="124"/>
      <c r="AS129" s="125"/>
      <c r="AT129" s="126"/>
      <c r="AU129" s="84">
        <f t="shared" si="28"/>
        <v>0</v>
      </c>
      <c r="AV129" s="127"/>
      <c r="AW129" s="128"/>
      <c r="AX129" s="128"/>
      <c r="AY129" s="125"/>
      <c r="AZ129" s="129"/>
    </row>
    <row r="130" spans="1:52" ht="16.5" thickBot="1" x14ac:dyDescent="0.3">
      <c r="A130" s="134">
        <v>330</v>
      </c>
      <c r="B130" s="134" t="s">
        <v>100</v>
      </c>
      <c r="C130" s="135"/>
      <c r="D130" s="26">
        <f t="shared" si="20"/>
        <v>0</v>
      </c>
      <c r="E130" s="27">
        <f t="shared" si="21"/>
        <v>0</v>
      </c>
      <c r="F130" s="29">
        <f t="shared" si="22"/>
        <v>0</v>
      </c>
      <c r="G130" s="30">
        <v>0</v>
      </c>
      <c r="H130" s="31">
        <v>0</v>
      </c>
      <c r="I130" s="32">
        <v>0</v>
      </c>
      <c r="J130" s="136"/>
      <c r="K130" s="33"/>
      <c r="L130" s="34">
        <v>0</v>
      </c>
      <c r="M130" s="34">
        <v>0</v>
      </c>
      <c r="N130" s="114"/>
      <c r="O130" s="34">
        <v>0</v>
      </c>
      <c r="P130" s="34">
        <v>0</v>
      </c>
      <c r="Q130" s="34">
        <v>0</v>
      </c>
      <c r="R130" s="114"/>
      <c r="S130" s="37">
        <v>0</v>
      </c>
      <c r="T130" s="34">
        <v>0</v>
      </c>
      <c r="U130" s="34">
        <v>0</v>
      </c>
      <c r="V130" s="114"/>
      <c r="W130" s="38">
        <v>0</v>
      </c>
      <c r="X130" s="31">
        <v>0</v>
      </c>
      <c r="Y130" s="31">
        <v>0</v>
      </c>
      <c r="Z130" s="78"/>
      <c r="AA130" s="37">
        <v>0</v>
      </c>
      <c r="AB130" s="34">
        <v>0</v>
      </c>
      <c r="AC130" s="34">
        <v>0</v>
      </c>
      <c r="AD130" s="64"/>
      <c r="AE130" s="122"/>
      <c r="AF130" s="123"/>
      <c r="AG130" s="43">
        <f t="shared" si="27"/>
        <v>0</v>
      </c>
      <c r="AH130" s="44">
        <f t="shared" si="27"/>
        <v>0</v>
      </c>
      <c r="AI130" s="44">
        <f t="shared" si="27"/>
        <v>0</v>
      </c>
      <c r="AJ130" s="45">
        <f t="shared" si="27"/>
        <v>0</v>
      </c>
      <c r="AK130" s="137">
        <f t="shared" si="17"/>
        <v>0</v>
      </c>
      <c r="AL130" s="47">
        <v>0.5</v>
      </c>
      <c r="AM130" s="48">
        <f t="shared" si="24"/>
        <v>0</v>
      </c>
      <c r="AN130" s="48">
        <f t="shared" si="25"/>
        <v>0</v>
      </c>
      <c r="AO130" s="49">
        <f t="shared" si="23"/>
        <v>0</v>
      </c>
      <c r="AP130" s="49">
        <f t="shared" si="18"/>
        <v>0</v>
      </c>
      <c r="AQ130" s="50">
        <f t="shared" si="19"/>
        <v>0</v>
      </c>
      <c r="AR130" s="124"/>
      <c r="AS130" s="125"/>
      <c r="AT130" s="126"/>
      <c r="AU130" s="84">
        <f t="shared" si="28"/>
        <v>0</v>
      </c>
      <c r="AV130" s="127"/>
      <c r="AW130" s="128"/>
      <c r="AX130" s="128"/>
      <c r="AY130" s="125"/>
      <c r="AZ130" s="129"/>
    </row>
    <row r="131" spans="1:52" ht="16.5" thickBot="1" x14ac:dyDescent="0.3">
      <c r="A131" s="134">
        <v>330</v>
      </c>
      <c r="B131" s="134" t="s">
        <v>101</v>
      </c>
      <c r="C131" s="135"/>
      <c r="D131" s="26">
        <f t="shared" si="20"/>
        <v>0</v>
      </c>
      <c r="E131" s="27">
        <f t="shared" si="21"/>
        <v>0</v>
      </c>
      <c r="F131" s="29">
        <f t="shared" si="22"/>
        <v>0</v>
      </c>
      <c r="G131" s="30">
        <v>0</v>
      </c>
      <c r="H131" s="31">
        <v>0</v>
      </c>
      <c r="I131" s="32">
        <v>0</v>
      </c>
      <c r="J131" s="136"/>
      <c r="K131" s="33"/>
      <c r="L131" s="34">
        <v>0</v>
      </c>
      <c r="M131" s="34">
        <v>0</v>
      </c>
      <c r="N131" s="114"/>
      <c r="O131" s="34">
        <v>0</v>
      </c>
      <c r="P131" s="34">
        <v>0</v>
      </c>
      <c r="Q131" s="34">
        <v>0</v>
      </c>
      <c r="R131" s="114"/>
      <c r="S131" s="37">
        <v>0</v>
      </c>
      <c r="T131" s="34">
        <v>0</v>
      </c>
      <c r="U131" s="34">
        <v>0</v>
      </c>
      <c r="V131" s="114"/>
      <c r="W131" s="38">
        <v>0</v>
      </c>
      <c r="X131" s="31">
        <v>0</v>
      </c>
      <c r="Y131" s="31">
        <v>0</v>
      </c>
      <c r="Z131" s="78"/>
      <c r="AA131" s="37">
        <v>0</v>
      </c>
      <c r="AB131" s="34">
        <v>0</v>
      </c>
      <c r="AC131" s="34">
        <v>0</v>
      </c>
      <c r="AD131" s="64"/>
      <c r="AE131" s="122"/>
      <c r="AF131" s="123"/>
      <c r="AG131" s="43">
        <f t="shared" si="27"/>
        <v>0</v>
      </c>
      <c r="AH131" s="44">
        <f t="shared" si="27"/>
        <v>0</v>
      </c>
      <c r="AI131" s="44">
        <f t="shared" si="27"/>
        <v>0</v>
      </c>
      <c r="AJ131" s="45">
        <f t="shared" si="27"/>
        <v>0</v>
      </c>
      <c r="AK131" s="137">
        <f t="shared" si="17"/>
        <v>0</v>
      </c>
      <c r="AL131" s="47">
        <v>0.5</v>
      </c>
      <c r="AM131" s="48">
        <f t="shared" si="24"/>
        <v>0</v>
      </c>
      <c r="AN131" s="48">
        <f t="shared" si="25"/>
        <v>0</v>
      </c>
      <c r="AO131" s="49">
        <f t="shared" si="23"/>
        <v>0</v>
      </c>
      <c r="AP131" s="49">
        <f t="shared" si="18"/>
        <v>0</v>
      </c>
      <c r="AQ131" s="50">
        <f t="shared" si="19"/>
        <v>0</v>
      </c>
      <c r="AR131" s="124"/>
      <c r="AS131" s="125"/>
      <c r="AT131" s="126"/>
      <c r="AU131" s="84">
        <f t="shared" si="28"/>
        <v>0</v>
      </c>
      <c r="AV131" s="127"/>
      <c r="AW131" s="128"/>
      <c r="AX131" s="128"/>
      <c r="AY131" s="125"/>
      <c r="AZ131" s="129"/>
    </row>
    <row r="132" spans="1:52" ht="16.5" thickBot="1" x14ac:dyDescent="0.3">
      <c r="A132" s="134">
        <v>330</v>
      </c>
      <c r="B132" s="134" t="s">
        <v>102</v>
      </c>
      <c r="C132" s="135"/>
      <c r="D132" s="26">
        <f t="shared" si="20"/>
        <v>0</v>
      </c>
      <c r="E132" s="27">
        <f t="shared" si="21"/>
        <v>0</v>
      </c>
      <c r="F132" s="29">
        <f t="shared" si="22"/>
        <v>0</v>
      </c>
      <c r="G132" s="30">
        <v>0</v>
      </c>
      <c r="H132" s="31">
        <v>0</v>
      </c>
      <c r="I132" s="32">
        <v>0</v>
      </c>
      <c r="J132" s="136"/>
      <c r="K132" s="33"/>
      <c r="L132" s="34">
        <v>0</v>
      </c>
      <c r="M132" s="34">
        <v>0</v>
      </c>
      <c r="N132" s="138"/>
      <c r="O132" s="34">
        <v>0</v>
      </c>
      <c r="P132" s="34">
        <v>0</v>
      </c>
      <c r="Q132" s="34">
        <v>0</v>
      </c>
      <c r="R132" s="138"/>
      <c r="S132" s="37">
        <v>0</v>
      </c>
      <c r="T132" s="34">
        <v>0</v>
      </c>
      <c r="U132" s="34">
        <v>0</v>
      </c>
      <c r="V132" s="138"/>
      <c r="W132" s="38">
        <v>0</v>
      </c>
      <c r="X132" s="31">
        <v>0</v>
      </c>
      <c r="Y132" s="31">
        <v>0</v>
      </c>
      <c r="Z132" s="105"/>
      <c r="AA132" s="37">
        <v>0</v>
      </c>
      <c r="AB132" s="34">
        <v>0</v>
      </c>
      <c r="AC132" s="34">
        <v>0</v>
      </c>
      <c r="AD132" s="123"/>
      <c r="AE132" s="122"/>
      <c r="AF132" s="123"/>
      <c r="AG132" s="43">
        <f t="shared" si="27"/>
        <v>0</v>
      </c>
      <c r="AH132" s="44">
        <f t="shared" si="27"/>
        <v>0</v>
      </c>
      <c r="AI132" s="44">
        <f t="shared" si="27"/>
        <v>0</v>
      </c>
      <c r="AJ132" s="45">
        <f t="shared" si="27"/>
        <v>0</v>
      </c>
      <c r="AK132" s="137">
        <f t="shared" ref="AK132:AK184" si="29">AG132+AH132+AI132</f>
        <v>0</v>
      </c>
      <c r="AL132" s="47">
        <v>0.5</v>
      </c>
      <c r="AM132" s="48">
        <f t="shared" si="24"/>
        <v>0</v>
      </c>
      <c r="AN132" s="48">
        <f t="shared" si="25"/>
        <v>0</v>
      </c>
      <c r="AO132" s="49">
        <f t="shared" si="23"/>
        <v>0</v>
      </c>
      <c r="AP132" s="49">
        <f t="shared" ref="AP132:AP182" si="30">AJ132*AL132</f>
        <v>0</v>
      </c>
      <c r="AQ132" s="50">
        <f t="shared" ref="AQ132:AQ169" si="31">AK132*60</f>
        <v>0</v>
      </c>
      <c r="AR132" s="124"/>
      <c r="AS132" s="125"/>
      <c r="AT132" s="126"/>
      <c r="AU132" s="84">
        <f t="shared" si="28"/>
        <v>0</v>
      </c>
      <c r="AV132" s="127"/>
      <c r="AW132" s="128"/>
      <c r="AX132" s="128"/>
      <c r="AY132" s="125"/>
      <c r="AZ132" s="129"/>
    </row>
    <row r="133" spans="1:52" ht="16.5" thickBot="1" x14ac:dyDescent="0.3">
      <c r="A133" s="134">
        <v>330</v>
      </c>
      <c r="B133" s="134" t="s">
        <v>103</v>
      </c>
      <c r="C133" s="135"/>
      <c r="D133" s="26">
        <f t="shared" ref="D133:D183" si="32">C133/3</f>
        <v>0</v>
      </c>
      <c r="E133" s="27">
        <f t="shared" ref="E133:E183" si="33">C133/3</f>
        <v>0</v>
      </c>
      <c r="F133" s="29">
        <f t="shared" ref="F133:F183" si="34">C133/3</f>
        <v>0</v>
      </c>
      <c r="G133" s="30">
        <v>0</v>
      </c>
      <c r="H133" s="31">
        <v>0</v>
      </c>
      <c r="I133" s="32">
        <v>0</v>
      </c>
      <c r="J133" s="136"/>
      <c r="K133" s="33"/>
      <c r="L133" s="34">
        <v>0</v>
      </c>
      <c r="M133" s="34">
        <v>0</v>
      </c>
      <c r="N133" s="138"/>
      <c r="O133" s="34">
        <v>0</v>
      </c>
      <c r="P133" s="34">
        <v>0</v>
      </c>
      <c r="Q133" s="34">
        <v>0</v>
      </c>
      <c r="R133" s="138"/>
      <c r="S133" s="37">
        <v>0</v>
      </c>
      <c r="T133" s="34">
        <v>0</v>
      </c>
      <c r="U133" s="34">
        <v>0</v>
      </c>
      <c r="V133" s="138"/>
      <c r="W133" s="38">
        <v>0</v>
      </c>
      <c r="X133" s="31">
        <v>0</v>
      </c>
      <c r="Y133" s="31">
        <v>0</v>
      </c>
      <c r="Z133" s="105"/>
      <c r="AA133" s="37">
        <v>0</v>
      </c>
      <c r="AB133" s="34">
        <v>0</v>
      </c>
      <c r="AC133" s="34">
        <v>0</v>
      </c>
      <c r="AD133" s="123"/>
      <c r="AE133" s="122"/>
      <c r="AF133" s="123"/>
      <c r="AG133" s="43">
        <f t="shared" si="27"/>
        <v>0</v>
      </c>
      <c r="AH133" s="44">
        <f t="shared" si="27"/>
        <v>0</v>
      </c>
      <c r="AI133" s="44">
        <f t="shared" si="27"/>
        <v>0</v>
      </c>
      <c r="AJ133" s="45">
        <f t="shared" si="27"/>
        <v>0</v>
      </c>
      <c r="AK133" s="137">
        <f t="shared" si="29"/>
        <v>0</v>
      </c>
      <c r="AL133" s="47">
        <v>0.5</v>
      </c>
      <c r="AM133" s="48">
        <f t="shared" si="24"/>
        <v>0</v>
      </c>
      <c r="AN133" s="48">
        <f t="shared" si="25"/>
        <v>0</v>
      </c>
      <c r="AO133" s="49">
        <f t="shared" ref="AO133:AO184" si="35">AI133*AL133</f>
        <v>0</v>
      </c>
      <c r="AP133" s="49">
        <f t="shared" si="30"/>
        <v>0</v>
      </c>
      <c r="AQ133" s="50">
        <f t="shared" si="31"/>
        <v>0</v>
      </c>
      <c r="AR133" s="124"/>
      <c r="AS133" s="125"/>
      <c r="AT133" s="126"/>
      <c r="AU133" s="84"/>
      <c r="AV133" s="127"/>
      <c r="AW133" s="128"/>
      <c r="AX133" s="128"/>
      <c r="AY133" s="125"/>
      <c r="AZ133" s="129"/>
    </row>
    <row r="134" spans="1:52" ht="16.5" thickBot="1" x14ac:dyDescent="0.3">
      <c r="A134" s="134">
        <v>330</v>
      </c>
      <c r="B134" s="134" t="s">
        <v>104</v>
      </c>
      <c r="C134" s="135"/>
      <c r="D134" s="26">
        <f t="shared" si="32"/>
        <v>0</v>
      </c>
      <c r="E134" s="27">
        <f t="shared" si="33"/>
        <v>0</v>
      </c>
      <c r="F134" s="29">
        <f t="shared" si="34"/>
        <v>0</v>
      </c>
      <c r="G134" s="30">
        <v>0</v>
      </c>
      <c r="H134" s="31">
        <v>0</v>
      </c>
      <c r="I134" s="32">
        <v>0</v>
      </c>
      <c r="J134" s="136"/>
      <c r="K134" s="33"/>
      <c r="L134" s="34">
        <v>0</v>
      </c>
      <c r="M134" s="34">
        <v>0</v>
      </c>
      <c r="N134" s="138"/>
      <c r="O134" s="34">
        <v>0</v>
      </c>
      <c r="P134" s="34">
        <v>0</v>
      </c>
      <c r="Q134" s="34">
        <v>0</v>
      </c>
      <c r="R134" s="138"/>
      <c r="S134" s="37">
        <v>0</v>
      </c>
      <c r="T134" s="34">
        <v>0</v>
      </c>
      <c r="U134" s="34">
        <v>0</v>
      </c>
      <c r="V134" s="138"/>
      <c r="W134" s="38">
        <v>0</v>
      </c>
      <c r="X134" s="31">
        <v>0</v>
      </c>
      <c r="Y134" s="31">
        <v>0</v>
      </c>
      <c r="Z134" s="105"/>
      <c r="AA134" s="37">
        <v>0</v>
      </c>
      <c r="AB134" s="34">
        <v>0</v>
      </c>
      <c r="AC134" s="34">
        <v>0</v>
      </c>
      <c r="AD134" s="123"/>
      <c r="AE134" s="122"/>
      <c r="AF134" s="123"/>
      <c r="AG134" s="43">
        <f t="shared" si="27"/>
        <v>0</v>
      </c>
      <c r="AH134" s="44">
        <f t="shared" si="27"/>
        <v>0</v>
      </c>
      <c r="AI134" s="44">
        <f t="shared" si="27"/>
        <v>0</v>
      </c>
      <c r="AJ134" s="45">
        <f t="shared" si="27"/>
        <v>0</v>
      </c>
      <c r="AK134" s="137">
        <f t="shared" si="29"/>
        <v>0</v>
      </c>
      <c r="AL134" s="47">
        <v>0.5</v>
      </c>
      <c r="AM134" s="48">
        <f t="shared" si="24"/>
        <v>0</v>
      </c>
      <c r="AN134" s="48">
        <f t="shared" si="25"/>
        <v>0</v>
      </c>
      <c r="AO134" s="49">
        <f t="shared" si="35"/>
        <v>0</v>
      </c>
      <c r="AP134" s="49">
        <f t="shared" si="30"/>
        <v>0</v>
      </c>
      <c r="AQ134" s="50">
        <f t="shared" si="31"/>
        <v>0</v>
      </c>
      <c r="AR134" s="124"/>
      <c r="AS134" s="125"/>
      <c r="AT134" s="126"/>
      <c r="AU134" s="84"/>
      <c r="AV134" s="127"/>
      <c r="AW134" s="128"/>
      <c r="AX134" s="128"/>
      <c r="AY134" s="125"/>
      <c r="AZ134" s="129"/>
    </row>
    <row r="135" spans="1:52" ht="16.5" thickBot="1" x14ac:dyDescent="0.3">
      <c r="A135" s="134">
        <v>330</v>
      </c>
      <c r="B135" s="134" t="s">
        <v>105</v>
      </c>
      <c r="C135" s="135"/>
      <c r="D135" s="26">
        <f t="shared" si="32"/>
        <v>0</v>
      </c>
      <c r="E135" s="27">
        <f t="shared" si="33"/>
        <v>0</v>
      </c>
      <c r="F135" s="29">
        <f t="shared" si="34"/>
        <v>0</v>
      </c>
      <c r="G135" s="30">
        <v>0</v>
      </c>
      <c r="H135" s="31">
        <v>0</v>
      </c>
      <c r="I135" s="32">
        <v>0</v>
      </c>
      <c r="J135" s="136"/>
      <c r="K135" s="33"/>
      <c r="L135" s="34">
        <v>0</v>
      </c>
      <c r="M135" s="34">
        <v>0</v>
      </c>
      <c r="N135" s="138"/>
      <c r="O135" s="34">
        <v>0</v>
      </c>
      <c r="P135" s="34">
        <v>0</v>
      </c>
      <c r="Q135" s="34">
        <v>0</v>
      </c>
      <c r="R135" s="138"/>
      <c r="S135" s="37">
        <v>0</v>
      </c>
      <c r="T135" s="34">
        <v>0</v>
      </c>
      <c r="U135" s="34">
        <v>0</v>
      </c>
      <c r="V135" s="138"/>
      <c r="W135" s="38">
        <v>0</v>
      </c>
      <c r="X135" s="31">
        <v>0</v>
      </c>
      <c r="Y135" s="31">
        <v>0</v>
      </c>
      <c r="Z135" s="105"/>
      <c r="AA135" s="37">
        <v>0</v>
      </c>
      <c r="AB135" s="34">
        <v>0</v>
      </c>
      <c r="AC135" s="34">
        <v>0</v>
      </c>
      <c r="AD135" s="123"/>
      <c r="AE135" s="122"/>
      <c r="AF135" s="123"/>
      <c r="AG135" s="43">
        <f t="shared" si="27"/>
        <v>0</v>
      </c>
      <c r="AH135" s="44">
        <f t="shared" si="27"/>
        <v>0</v>
      </c>
      <c r="AI135" s="44">
        <f t="shared" si="27"/>
        <v>0</v>
      </c>
      <c r="AJ135" s="45">
        <f t="shared" si="27"/>
        <v>0</v>
      </c>
      <c r="AK135" s="137">
        <f t="shared" si="29"/>
        <v>0</v>
      </c>
      <c r="AL135" s="47">
        <v>0.5</v>
      </c>
      <c r="AM135" s="48">
        <f t="shared" si="24"/>
        <v>0</v>
      </c>
      <c r="AN135" s="48">
        <f t="shared" si="25"/>
        <v>0</v>
      </c>
      <c r="AO135" s="49">
        <f t="shared" si="35"/>
        <v>0</v>
      </c>
      <c r="AP135" s="49">
        <f t="shared" si="30"/>
        <v>0</v>
      </c>
      <c r="AQ135" s="50">
        <f t="shared" si="31"/>
        <v>0</v>
      </c>
      <c r="AR135" s="124"/>
      <c r="AS135" s="125"/>
      <c r="AT135" s="126"/>
      <c r="AU135" s="84"/>
      <c r="AV135" s="127"/>
      <c r="AW135" s="128"/>
      <c r="AX135" s="128"/>
      <c r="AY135" s="125"/>
      <c r="AZ135" s="129"/>
    </row>
    <row r="136" spans="1:52" ht="16.5" thickBot="1" x14ac:dyDescent="0.3">
      <c r="A136" s="134">
        <v>330</v>
      </c>
      <c r="B136" s="134" t="s">
        <v>106</v>
      </c>
      <c r="C136" s="135"/>
      <c r="D136" s="26">
        <f t="shared" si="32"/>
        <v>0</v>
      </c>
      <c r="E136" s="27">
        <f t="shared" si="33"/>
        <v>0</v>
      </c>
      <c r="F136" s="29">
        <f t="shared" si="34"/>
        <v>0</v>
      </c>
      <c r="G136" s="30">
        <v>0</v>
      </c>
      <c r="H136" s="31">
        <v>0</v>
      </c>
      <c r="I136" s="32">
        <v>0</v>
      </c>
      <c r="J136" s="136"/>
      <c r="K136" s="33"/>
      <c r="L136" s="34">
        <v>0</v>
      </c>
      <c r="M136" s="34">
        <v>0</v>
      </c>
      <c r="N136" s="138"/>
      <c r="O136" s="34">
        <v>0</v>
      </c>
      <c r="P136" s="34">
        <v>0</v>
      </c>
      <c r="Q136" s="34">
        <v>0</v>
      </c>
      <c r="R136" s="138"/>
      <c r="S136" s="37">
        <v>0</v>
      </c>
      <c r="T136" s="34">
        <v>0</v>
      </c>
      <c r="U136" s="34">
        <v>0</v>
      </c>
      <c r="V136" s="138"/>
      <c r="W136" s="38">
        <v>0</v>
      </c>
      <c r="X136" s="31">
        <v>0</v>
      </c>
      <c r="Y136" s="31">
        <v>0</v>
      </c>
      <c r="Z136" s="105"/>
      <c r="AA136" s="37">
        <v>0</v>
      </c>
      <c r="AB136" s="34">
        <v>0</v>
      </c>
      <c r="AC136" s="34">
        <v>0</v>
      </c>
      <c r="AD136" s="123"/>
      <c r="AE136" s="122"/>
      <c r="AF136" s="123"/>
      <c r="AG136" s="43">
        <f t="shared" si="27"/>
        <v>0</v>
      </c>
      <c r="AH136" s="44">
        <f t="shared" si="27"/>
        <v>0</v>
      </c>
      <c r="AI136" s="44">
        <f t="shared" si="27"/>
        <v>0</v>
      </c>
      <c r="AJ136" s="45">
        <f t="shared" si="27"/>
        <v>0</v>
      </c>
      <c r="AK136" s="137">
        <f t="shared" si="29"/>
        <v>0</v>
      </c>
      <c r="AL136" s="47">
        <v>0.5</v>
      </c>
      <c r="AM136" s="48">
        <f t="shared" si="24"/>
        <v>0</v>
      </c>
      <c r="AN136" s="48">
        <f t="shared" si="25"/>
        <v>0</v>
      </c>
      <c r="AO136" s="49">
        <f t="shared" si="35"/>
        <v>0</v>
      </c>
      <c r="AP136" s="49">
        <f t="shared" si="30"/>
        <v>0</v>
      </c>
      <c r="AQ136" s="50">
        <f t="shared" si="31"/>
        <v>0</v>
      </c>
      <c r="AR136" s="124"/>
      <c r="AS136" s="125"/>
      <c r="AT136" s="126"/>
      <c r="AU136" s="84"/>
      <c r="AV136" s="127"/>
      <c r="AW136" s="128"/>
      <c r="AX136" s="128"/>
      <c r="AY136" s="125"/>
      <c r="AZ136" s="129"/>
    </row>
    <row r="137" spans="1:52" ht="16.5" thickBot="1" x14ac:dyDescent="0.3">
      <c r="A137" s="134">
        <v>473</v>
      </c>
      <c r="B137" s="134" t="s">
        <v>54</v>
      </c>
      <c r="C137" s="135"/>
      <c r="D137" s="26">
        <f t="shared" si="32"/>
        <v>0</v>
      </c>
      <c r="E137" s="27">
        <f t="shared" si="33"/>
        <v>0</v>
      </c>
      <c r="F137" s="29">
        <f t="shared" si="34"/>
        <v>0</v>
      </c>
      <c r="G137" s="30">
        <v>0</v>
      </c>
      <c r="H137" s="31">
        <v>0</v>
      </c>
      <c r="I137" s="32">
        <v>0</v>
      </c>
      <c r="J137" s="136"/>
      <c r="K137" s="33"/>
      <c r="L137" s="34">
        <v>0</v>
      </c>
      <c r="M137" s="34">
        <v>0</v>
      </c>
      <c r="N137" s="138"/>
      <c r="O137" s="34">
        <v>0</v>
      </c>
      <c r="P137" s="34">
        <v>0</v>
      </c>
      <c r="Q137" s="34">
        <v>0</v>
      </c>
      <c r="R137" s="138"/>
      <c r="S137" s="37">
        <v>0</v>
      </c>
      <c r="T137" s="34">
        <v>0</v>
      </c>
      <c r="U137" s="34">
        <v>0</v>
      </c>
      <c r="V137" s="138"/>
      <c r="W137" s="38">
        <v>0</v>
      </c>
      <c r="X137" s="31">
        <v>0</v>
      </c>
      <c r="Y137" s="31">
        <v>0</v>
      </c>
      <c r="Z137" s="105"/>
      <c r="AA137" s="37">
        <v>0</v>
      </c>
      <c r="AB137" s="34">
        <v>0</v>
      </c>
      <c r="AC137" s="34">
        <v>0</v>
      </c>
      <c r="AD137" s="123"/>
      <c r="AE137" s="122"/>
      <c r="AF137" s="123"/>
      <c r="AG137" s="43">
        <f t="shared" si="27"/>
        <v>0</v>
      </c>
      <c r="AH137" s="44">
        <f t="shared" si="27"/>
        <v>0</v>
      </c>
      <c r="AI137" s="44">
        <f t="shared" si="27"/>
        <v>0</v>
      </c>
      <c r="AJ137" s="45">
        <f t="shared" si="27"/>
        <v>0</v>
      </c>
      <c r="AK137" s="137">
        <f t="shared" si="29"/>
        <v>0</v>
      </c>
      <c r="AL137" s="47">
        <v>0.5</v>
      </c>
      <c r="AM137" s="48">
        <f t="shared" si="24"/>
        <v>0</v>
      </c>
      <c r="AN137" s="48">
        <f t="shared" si="25"/>
        <v>0</v>
      </c>
      <c r="AO137" s="49">
        <f t="shared" si="35"/>
        <v>0</v>
      </c>
      <c r="AP137" s="49">
        <f t="shared" si="30"/>
        <v>0</v>
      </c>
      <c r="AQ137" s="50">
        <f t="shared" si="31"/>
        <v>0</v>
      </c>
      <c r="AR137" s="124"/>
      <c r="AS137" s="125"/>
      <c r="AT137" s="126"/>
      <c r="AU137" s="84"/>
      <c r="AV137" s="127"/>
      <c r="AW137" s="128"/>
      <c r="AX137" s="128"/>
      <c r="AY137" s="125"/>
      <c r="AZ137" s="129"/>
    </row>
    <row r="138" spans="1:52" ht="16.5" thickBot="1" x14ac:dyDescent="0.3">
      <c r="A138" s="134">
        <v>473</v>
      </c>
      <c r="B138" s="134" t="s">
        <v>56</v>
      </c>
      <c r="C138" s="135"/>
      <c r="D138" s="26">
        <f t="shared" si="32"/>
        <v>0</v>
      </c>
      <c r="E138" s="27">
        <f t="shared" si="33"/>
        <v>0</v>
      </c>
      <c r="F138" s="29">
        <f t="shared" si="34"/>
        <v>0</v>
      </c>
      <c r="G138" s="30">
        <v>0</v>
      </c>
      <c r="H138" s="31">
        <v>0</v>
      </c>
      <c r="I138" s="32">
        <v>0</v>
      </c>
      <c r="J138" s="136"/>
      <c r="K138" s="33"/>
      <c r="L138" s="34">
        <v>0</v>
      </c>
      <c r="M138" s="34">
        <v>0</v>
      </c>
      <c r="N138" s="138"/>
      <c r="O138" s="34">
        <v>0</v>
      </c>
      <c r="P138" s="34">
        <v>0</v>
      </c>
      <c r="Q138" s="34">
        <v>0</v>
      </c>
      <c r="R138" s="138"/>
      <c r="S138" s="37">
        <v>0</v>
      </c>
      <c r="T138" s="34">
        <v>0</v>
      </c>
      <c r="U138" s="34">
        <v>0</v>
      </c>
      <c r="V138" s="138"/>
      <c r="W138" s="38">
        <v>0</v>
      </c>
      <c r="X138" s="31">
        <v>0</v>
      </c>
      <c r="Y138" s="31">
        <v>0</v>
      </c>
      <c r="Z138" s="105"/>
      <c r="AA138" s="37">
        <v>0</v>
      </c>
      <c r="AB138" s="34">
        <v>0</v>
      </c>
      <c r="AC138" s="34">
        <v>0</v>
      </c>
      <c r="AD138" s="123"/>
      <c r="AE138" s="122"/>
      <c r="AF138" s="123"/>
      <c r="AG138" s="43">
        <f t="shared" si="27"/>
        <v>0</v>
      </c>
      <c r="AH138" s="44">
        <f t="shared" si="27"/>
        <v>0</v>
      </c>
      <c r="AI138" s="44">
        <f t="shared" si="27"/>
        <v>0</v>
      </c>
      <c r="AJ138" s="45">
        <f t="shared" si="27"/>
        <v>0</v>
      </c>
      <c r="AK138" s="137">
        <f t="shared" si="29"/>
        <v>0</v>
      </c>
      <c r="AL138" s="47">
        <v>0.5</v>
      </c>
      <c r="AM138" s="48">
        <f t="shared" ref="AM138:AM184" si="36">AG138*AL138</f>
        <v>0</v>
      </c>
      <c r="AN138" s="48">
        <f t="shared" ref="AN138:AN184" si="37">AH138*AL138</f>
        <v>0</v>
      </c>
      <c r="AO138" s="49">
        <f t="shared" si="35"/>
        <v>0</v>
      </c>
      <c r="AP138" s="49">
        <f t="shared" si="30"/>
        <v>0</v>
      </c>
      <c r="AQ138" s="50">
        <f t="shared" si="31"/>
        <v>0</v>
      </c>
      <c r="AR138" s="124"/>
      <c r="AS138" s="125"/>
      <c r="AT138" s="126"/>
      <c r="AU138" s="84"/>
      <c r="AV138" s="127"/>
      <c r="AW138" s="128"/>
      <c r="AX138" s="128"/>
      <c r="AY138" s="125"/>
      <c r="AZ138" s="129"/>
    </row>
    <row r="139" spans="1:52" ht="16.5" thickBot="1" x14ac:dyDescent="0.3">
      <c r="A139" s="134">
        <v>473</v>
      </c>
      <c r="B139" s="134" t="s">
        <v>107</v>
      </c>
      <c r="C139" s="135">
        <v>67</v>
      </c>
      <c r="D139" s="26">
        <f t="shared" si="32"/>
        <v>22.333333333333332</v>
      </c>
      <c r="E139" s="27">
        <f t="shared" si="33"/>
        <v>22.333333333333332</v>
      </c>
      <c r="F139" s="29">
        <f t="shared" si="34"/>
        <v>22.333333333333332</v>
      </c>
      <c r="G139" s="30">
        <v>0</v>
      </c>
      <c r="H139" s="31">
        <v>0</v>
      </c>
      <c r="I139" s="32">
        <v>0</v>
      </c>
      <c r="J139" s="136"/>
      <c r="K139" s="33"/>
      <c r="L139" s="34">
        <v>0</v>
      </c>
      <c r="M139" s="34">
        <v>0</v>
      </c>
      <c r="N139" s="138"/>
      <c r="O139" s="34">
        <v>0</v>
      </c>
      <c r="P139" s="34">
        <v>0</v>
      </c>
      <c r="Q139" s="34">
        <v>0</v>
      </c>
      <c r="R139" s="138"/>
      <c r="S139" s="37">
        <v>0</v>
      </c>
      <c r="T139" s="34">
        <v>0</v>
      </c>
      <c r="U139" s="34">
        <v>0</v>
      </c>
      <c r="V139" s="138"/>
      <c r="W139" s="38">
        <v>0</v>
      </c>
      <c r="X139" s="31">
        <v>0</v>
      </c>
      <c r="Y139" s="31">
        <v>0</v>
      </c>
      <c r="Z139" s="105"/>
      <c r="AA139" s="37">
        <v>0</v>
      </c>
      <c r="AB139" s="34">
        <v>0</v>
      </c>
      <c r="AC139" s="34">
        <v>0</v>
      </c>
      <c r="AD139" s="123"/>
      <c r="AE139" s="122"/>
      <c r="AF139" s="123"/>
      <c r="AG139" s="43">
        <f t="shared" si="27"/>
        <v>0</v>
      </c>
      <c r="AH139" s="44">
        <f t="shared" si="27"/>
        <v>0</v>
      </c>
      <c r="AI139" s="44">
        <f t="shared" si="27"/>
        <v>0</v>
      </c>
      <c r="AJ139" s="45">
        <f t="shared" si="27"/>
        <v>0</v>
      </c>
      <c r="AK139" s="137">
        <f t="shared" si="29"/>
        <v>0</v>
      </c>
      <c r="AL139" s="47">
        <v>0.5</v>
      </c>
      <c r="AM139" s="48">
        <f t="shared" si="36"/>
        <v>0</v>
      </c>
      <c r="AN139" s="48">
        <f t="shared" si="37"/>
        <v>0</v>
      </c>
      <c r="AO139" s="49">
        <f t="shared" si="35"/>
        <v>0</v>
      </c>
      <c r="AP139" s="49">
        <f t="shared" si="30"/>
        <v>0</v>
      </c>
      <c r="AQ139" s="50">
        <f t="shared" si="31"/>
        <v>0</v>
      </c>
      <c r="AR139" s="124"/>
      <c r="AS139" s="125"/>
      <c r="AT139" s="126"/>
      <c r="AU139" s="84"/>
      <c r="AV139" s="127"/>
      <c r="AW139" s="128"/>
      <c r="AX139" s="128"/>
      <c r="AY139" s="125"/>
      <c r="AZ139" s="129"/>
    </row>
    <row r="140" spans="1:52" ht="16.5" thickBot="1" x14ac:dyDescent="0.3">
      <c r="A140" s="134">
        <v>473</v>
      </c>
      <c r="B140" s="134" t="s">
        <v>57</v>
      </c>
      <c r="C140" s="135"/>
      <c r="D140" s="26">
        <f t="shared" si="32"/>
        <v>0</v>
      </c>
      <c r="E140" s="27">
        <f t="shared" si="33"/>
        <v>0</v>
      </c>
      <c r="F140" s="29">
        <f t="shared" si="34"/>
        <v>0</v>
      </c>
      <c r="G140" s="30">
        <v>0</v>
      </c>
      <c r="H140" s="31">
        <v>0</v>
      </c>
      <c r="I140" s="32">
        <v>0</v>
      </c>
      <c r="J140" s="136"/>
      <c r="K140" s="33"/>
      <c r="L140" s="34">
        <v>0</v>
      </c>
      <c r="M140" s="34">
        <v>0</v>
      </c>
      <c r="N140" s="138"/>
      <c r="O140" s="34">
        <v>0</v>
      </c>
      <c r="P140" s="34">
        <v>0</v>
      </c>
      <c r="Q140" s="34">
        <v>0</v>
      </c>
      <c r="R140" s="138"/>
      <c r="S140" s="37">
        <v>0</v>
      </c>
      <c r="T140" s="34">
        <v>0</v>
      </c>
      <c r="U140" s="34">
        <v>0</v>
      </c>
      <c r="V140" s="138"/>
      <c r="W140" s="38">
        <v>0</v>
      </c>
      <c r="X140" s="31">
        <v>0</v>
      </c>
      <c r="Y140" s="31">
        <v>0</v>
      </c>
      <c r="Z140" s="105"/>
      <c r="AA140" s="37">
        <v>0</v>
      </c>
      <c r="AB140" s="34">
        <v>0</v>
      </c>
      <c r="AC140" s="34">
        <v>0</v>
      </c>
      <c r="AD140" s="123"/>
      <c r="AE140" s="122"/>
      <c r="AF140" s="123"/>
      <c r="AG140" s="43">
        <f t="shared" si="27"/>
        <v>0</v>
      </c>
      <c r="AH140" s="44">
        <f t="shared" si="27"/>
        <v>0</v>
      </c>
      <c r="AI140" s="44">
        <f t="shared" si="27"/>
        <v>0</v>
      </c>
      <c r="AJ140" s="45">
        <f t="shared" si="27"/>
        <v>0</v>
      </c>
      <c r="AK140" s="137">
        <f t="shared" si="29"/>
        <v>0</v>
      </c>
      <c r="AL140" s="47">
        <v>0.5</v>
      </c>
      <c r="AM140" s="48">
        <f t="shared" si="36"/>
        <v>0</v>
      </c>
      <c r="AN140" s="48">
        <f t="shared" si="37"/>
        <v>0</v>
      </c>
      <c r="AO140" s="49">
        <f t="shared" si="35"/>
        <v>0</v>
      </c>
      <c r="AP140" s="49">
        <f t="shared" si="30"/>
        <v>0</v>
      </c>
      <c r="AQ140" s="50">
        <f t="shared" si="31"/>
        <v>0</v>
      </c>
      <c r="AR140" s="124"/>
      <c r="AS140" s="125"/>
      <c r="AT140" s="126"/>
      <c r="AU140" s="84"/>
      <c r="AV140" s="127"/>
      <c r="AW140" s="128"/>
      <c r="AX140" s="128"/>
      <c r="AY140" s="125"/>
      <c r="AZ140" s="129"/>
    </row>
    <row r="141" spans="1:52" ht="16.5" thickBot="1" x14ac:dyDescent="0.3">
      <c r="A141" s="134">
        <v>473</v>
      </c>
      <c r="B141" s="134" t="s">
        <v>108</v>
      </c>
      <c r="C141" s="135">
        <v>706</v>
      </c>
      <c r="D141" s="26">
        <f t="shared" si="32"/>
        <v>235.33333333333334</v>
      </c>
      <c r="E141" s="27">
        <f t="shared" si="33"/>
        <v>235.33333333333334</v>
      </c>
      <c r="F141" s="29">
        <f t="shared" si="34"/>
        <v>235.33333333333334</v>
      </c>
      <c r="G141" s="30">
        <v>0</v>
      </c>
      <c r="H141" s="31">
        <v>3</v>
      </c>
      <c r="I141" s="32">
        <v>0</v>
      </c>
      <c r="J141" s="136"/>
      <c r="K141" s="33"/>
      <c r="L141" s="34">
        <v>0</v>
      </c>
      <c r="M141" s="34">
        <v>0</v>
      </c>
      <c r="N141" s="138"/>
      <c r="O141" s="34">
        <v>0</v>
      </c>
      <c r="P141" s="34">
        <v>0</v>
      </c>
      <c r="Q141" s="34">
        <v>0</v>
      </c>
      <c r="R141" s="138"/>
      <c r="S141" s="37">
        <v>0</v>
      </c>
      <c r="T141" s="34">
        <v>0</v>
      </c>
      <c r="U141" s="34">
        <v>0</v>
      </c>
      <c r="V141" s="138"/>
      <c r="W141" s="38">
        <v>0</v>
      </c>
      <c r="X141" s="31">
        <v>0</v>
      </c>
      <c r="Y141" s="31">
        <v>0</v>
      </c>
      <c r="Z141" s="105"/>
      <c r="AA141" s="37">
        <v>0</v>
      </c>
      <c r="AB141" s="34">
        <v>0</v>
      </c>
      <c r="AC141" s="34">
        <v>0</v>
      </c>
      <c r="AD141" s="123"/>
      <c r="AE141" s="122"/>
      <c r="AF141" s="123"/>
      <c r="AG141" s="43">
        <f t="shared" si="27"/>
        <v>0</v>
      </c>
      <c r="AH141" s="44">
        <f t="shared" si="27"/>
        <v>3</v>
      </c>
      <c r="AI141" s="44">
        <f t="shared" si="27"/>
        <v>0</v>
      </c>
      <c r="AJ141" s="45">
        <f t="shared" si="27"/>
        <v>0</v>
      </c>
      <c r="AK141" s="137">
        <f t="shared" si="29"/>
        <v>3</v>
      </c>
      <c r="AL141" s="47">
        <v>1</v>
      </c>
      <c r="AM141" s="48">
        <f t="shared" si="36"/>
        <v>0</v>
      </c>
      <c r="AN141" s="48">
        <f t="shared" si="37"/>
        <v>3</v>
      </c>
      <c r="AO141" s="49">
        <f t="shared" si="35"/>
        <v>0</v>
      </c>
      <c r="AP141" s="49">
        <f t="shared" si="30"/>
        <v>0</v>
      </c>
      <c r="AQ141" s="50">
        <f t="shared" si="31"/>
        <v>180</v>
      </c>
      <c r="AR141" s="124"/>
      <c r="AS141" s="125"/>
      <c r="AT141" s="126"/>
      <c r="AU141" s="84"/>
      <c r="AV141" s="127"/>
      <c r="AW141" s="128"/>
      <c r="AX141" s="128"/>
      <c r="AY141" s="125"/>
      <c r="AZ141" s="129"/>
    </row>
    <row r="142" spans="1:52" ht="16.5" thickBot="1" x14ac:dyDescent="0.3">
      <c r="A142" s="134">
        <v>625</v>
      </c>
      <c r="B142" s="134" t="s">
        <v>108</v>
      </c>
      <c r="C142" s="135"/>
      <c r="D142" s="26">
        <f t="shared" si="32"/>
        <v>0</v>
      </c>
      <c r="E142" s="27">
        <f t="shared" si="33"/>
        <v>0</v>
      </c>
      <c r="F142" s="29">
        <f t="shared" si="34"/>
        <v>0</v>
      </c>
      <c r="G142" s="30">
        <v>0</v>
      </c>
      <c r="H142" s="31">
        <v>0</v>
      </c>
      <c r="I142" s="32">
        <v>0</v>
      </c>
      <c r="J142" s="136"/>
      <c r="K142" s="33"/>
      <c r="L142" s="34">
        <v>0</v>
      </c>
      <c r="M142" s="34">
        <v>0</v>
      </c>
      <c r="N142" s="138"/>
      <c r="O142" s="34">
        <v>0</v>
      </c>
      <c r="P142" s="34">
        <v>0</v>
      </c>
      <c r="Q142" s="34">
        <v>0</v>
      </c>
      <c r="R142" s="138"/>
      <c r="S142" s="37">
        <v>0</v>
      </c>
      <c r="T142" s="34">
        <v>0</v>
      </c>
      <c r="U142" s="34">
        <v>0</v>
      </c>
      <c r="V142" s="138"/>
      <c r="W142" s="38">
        <v>0</v>
      </c>
      <c r="X142" s="31">
        <v>0</v>
      </c>
      <c r="Y142" s="31">
        <v>0</v>
      </c>
      <c r="Z142" s="105"/>
      <c r="AA142" s="37">
        <v>0</v>
      </c>
      <c r="AB142" s="34">
        <v>0</v>
      </c>
      <c r="AC142" s="34">
        <v>0</v>
      </c>
      <c r="AD142" s="123"/>
      <c r="AE142" s="122"/>
      <c r="AF142" s="123"/>
      <c r="AG142" s="43">
        <f t="shared" si="27"/>
        <v>0</v>
      </c>
      <c r="AH142" s="44">
        <f t="shared" si="27"/>
        <v>0</v>
      </c>
      <c r="AI142" s="44">
        <f t="shared" si="27"/>
        <v>0</v>
      </c>
      <c r="AJ142" s="45">
        <f t="shared" si="27"/>
        <v>0</v>
      </c>
      <c r="AK142" s="137">
        <f t="shared" si="29"/>
        <v>0</v>
      </c>
      <c r="AL142" s="47">
        <v>0.5</v>
      </c>
      <c r="AM142" s="48">
        <f t="shared" si="36"/>
        <v>0</v>
      </c>
      <c r="AN142" s="48">
        <f t="shared" si="37"/>
        <v>0</v>
      </c>
      <c r="AO142" s="49">
        <f t="shared" si="35"/>
        <v>0</v>
      </c>
      <c r="AP142" s="49">
        <f t="shared" si="30"/>
        <v>0</v>
      </c>
      <c r="AQ142" s="50">
        <f t="shared" si="31"/>
        <v>0</v>
      </c>
      <c r="AR142" s="124"/>
      <c r="AS142" s="125"/>
      <c r="AT142" s="126"/>
      <c r="AU142" s="84"/>
      <c r="AV142" s="127"/>
      <c r="AW142" s="128"/>
      <c r="AX142" s="128"/>
      <c r="AY142" s="125"/>
      <c r="AZ142" s="129"/>
    </row>
    <row r="143" spans="1:52" ht="16.5" thickBot="1" x14ac:dyDescent="0.3">
      <c r="A143" s="134"/>
      <c r="B143" s="134" t="s">
        <v>109</v>
      </c>
      <c r="C143" s="135"/>
      <c r="D143" s="26">
        <f t="shared" si="32"/>
        <v>0</v>
      </c>
      <c r="E143" s="27">
        <f t="shared" si="33"/>
        <v>0</v>
      </c>
      <c r="F143" s="29">
        <f t="shared" si="34"/>
        <v>0</v>
      </c>
      <c r="G143" s="30">
        <v>0</v>
      </c>
      <c r="H143" s="31">
        <v>0</v>
      </c>
      <c r="I143" s="32">
        <v>0</v>
      </c>
      <c r="J143" s="136"/>
      <c r="K143" s="33"/>
      <c r="L143" s="34">
        <v>0</v>
      </c>
      <c r="M143" s="34">
        <v>0</v>
      </c>
      <c r="N143" s="138"/>
      <c r="O143" s="34">
        <v>0</v>
      </c>
      <c r="P143" s="34">
        <v>0</v>
      </c>
      <c r="Q143" s="34">
        <v>0</v>
      </c>
      <c r="R143" s="138"/>
      <c r="S143" s="37">
        <v>0</v>
      </c>
      <c r="T143" s="34">
        <v>0</v>
      </c>
      <c r="U143" s="34">
        <v>0</v>
      </c>
      <c r="V143" s="138"/>
      <c r="W143" s="38">
        <v>0</v>
      </c>
      <c r="X143" s="31">
        <v>0</v>
      </c>
      <c r="Y143" s="31">
        <v>0</v>
      </c>
      <c r="Z143" s="105"/>
      <c r="AA143" s="37">
        <v>0</v>
      </c>
      <c r="AB143" s="34">
        <v>0</v>
      </c>
      <c r="AC143" s="34">
        <v>0</v>
      </c>
      <c r="AD143" s="123"/>
      <c r="AE143" s="122"/>
      <c r="AF143" s="123"/>
      <c r="AG143" s="43">
        <f t="shared" si="27"/>
        <v>0</v>
      </c>
      <c r="AH143" s="44">
        <f t="shared" si="27"/>
        <v>0</v>
      </c>
      <c r="AI143" s="44">
        <f t="shared" si="27"/>
        <v>0</v>
      </c>
      <c r="AJ143" s="45">
        <f t="shared" si="27"/>
        <v>0</v>
      </c>
      <c r="AK143" s="137">
        <f t="shared" si="29"/>
        <v>0</v>
      </c>
      <c r="AL143" s="47">
        <v>1</v>
      </c>
      <c r="AM143" s="48">
        <f t="shared" si="36"/>
        <v>0</v>
      </c>
      <c r="AN143" s="48">
        <f t="shared" si="37"/>
        <v>0</v>
      </c>
      <c r="AO143" s="49">
        <f t="shared" si="35"/>
        <v>0</v>
      </c>
      <c r="AP143" s="49">
        <f t="shared" si="30"/>
        <v>0</v>
      </c>
      <c r="AQ143" s="50">
        <f t="shared" si="31"/>
        <v>0</v>
      </c>
      <c r="AR143" s="124"/>
      <c r="AS143" s="125"/>
      <c r="AT143" s="126"/>
      <c r="AU143" s="84"/>
      <c r="AV143" s="127"/>
      <c r="AW143" s="128"/>
      <c r="AX143" s="128"/>
      <c r="AY143" s="125"/>
      <c r="AZ143" s="129"/>
    </row>
    <row r="144" spans="1:52" ht="16.5" thickBot="1" x14ac:dyDescent="0.3">
      <c r="A144" s="134">
        <v>400</v>
      </c>
      <c r="B144" s="134" t="s">
        <v>110</v>
      </c>
      <c r="C144" s="135"/>
      <c r="D144" s="26">
        <f t="shared" si="32"/>
        <v>0</v>
      </c>
      <c r="E144" s="27">
        <f t="shared" si="33"/>
        <v>0</v>
      </c>
      <c r="F144" s="29">
        <f t="shared" si="34"/>
        <v>0</v>
      </c>
      <c r="G144" s="30">
        <v>0</v>
      </c>
      <c r="H144" s="31">
        <v>0</v>
      </c>
      <c r="I144" s="32">
        <v>0</v>
      </c>
      <c r="J144" s="136"/>
      <c r="K144" s="33"/>
      <c r="L144" s="34">
        <v>0</v>
      </c>
      <c r="M144" s="34">
        <v>0</v>
      </c>
      <c r="N144" s="138"/>
      <c r="O144" s="34">
        <v>0</v>
      </c>
      <c r="P144" s="34">
        <v>0</v>
      </c>
      <c r="Q144" s="34">
        <v>0</v>
      </c>
      <c r="R144" s="138"/>
      <c r="S144" s="37">
        <v>0</v>
      </c>
      <c r="T144" s="34">
        <v>0</v>
      </c>
      <c r="U144" s="34">
        <v>0</v>
      </c>
      <c r="V144" s="138"/>
      <c r="W144" s="38">
        <v>0</v>
      </c>
      <c r="X144" s="31">
        <v>0</v>
      </c>
      <c r="Y144" s="31">
        <v>0</v>
      </c>
      <c r="Z144" s="105"/>
      <c r="AA144" s="37">
        <v>0</v>
      </c>
      <c r="AB144" s="34">
        <v>0</v>
      </c>
      <c r="AC144" s="34">
        <v>0</v>
      </c>
      <c r="AD144" s="123"/>
      <c r="AE144" s="122"/>
      <c r="AF144" s="123"/>
      <c r="AG144" s="43">
        <f t="shared" si="27"/>
        <v>0</v>
      </c>
      <c r="AH144" s="44">
        <f t="shared" si="27"/>
        <v>0</v>
      </c>
      <c r="AI144" s="44">
        <f t="shared" si="27"/>
        <v>0</v>
      </c>
      <c r="AJ144" s="45">
        <f t="shared" si="27"/>
        <v>0</v>
      </c>
      <c r="AK144" s="137">
        <f t="shared" si="29"/>
        <v>0</v>
      </c>
      <c r="AL144" s="47">
        <v>0.75</v>
      </c>
      <c r="AM144" s="48">
        <f t="shared" si="36"/>
        <v>0</v>
      </c>
      <c r="AN144" s="48">
        <f t="shared" si="37"/>
        <v>0</v>
      </c>
      <c r="AO144" s="49">
        <f t="shared" si="35"/>
        <v>0</v>
      </c>
      <c r="AP144" s="49">
        <f t="shared" si="30"/>
        <v>0</v>
      </c>
      <c r="AQ144" s="50">
        <f t="shared" si="31"/>
        <v>0</v>
      </c>
      <c r="AR144" s="124"/>
      <c r="AS144" s="125"/>
      <c r="AT144" s="126"/>
      <c r="AU144" s="84"/>
      <c r="AV144" s="127"/>
      <c r="AW144" s="128"/>
      <c r="AX144" s="128"/>
      <c r="AY144" s="125"/>
      <c r="AZ144" s="129"/>
    </row>
    <row r="145" spans="1:52" ht="16.5" thickBot="1" x14ac:dyDescent="0.3">
      <c r="A145" s="134">
        <v>300</v>
      </c>
      <c r="B145" s="134" t="s">
        <v>54</v>
      </c>
      <c r="C145" s="135"/>
      <c r="D145" s="26">
        <f t="shared" si="32"/>
        <v>0</v>
      </c>
      <c r="E145" s="27">
        <f t="shared" si="33"/>
        <v>0</v>
      </c>
      <c r="F145" s="29">
        <f t="shared" si="34"/>
        <v>0</v>
      </c>
      <c r="G145" s="30">
        <v>0</v>
      </c>
      <c r="H145" s="31">
        <v>0</v>
      </c>
      <c r="I145" s="32">
        <v>0</v>
      </c>
      <c r="J145" s="136"/>
      <c r="K145" s="33"/>
      <c r="L145" s="34">
        <v>0</v>
      </c>
      <c r="M145" s="34">
        <v>0</v>
      </c>
      <c r="N145" s="138"/>
      <c r="O145" s="34">
        <v>0</v>
      </c>
      <c r="P145" s="34">
        <v>0</v>
      </c>
      <c r="Q145" s="34">
        <v>0</v>
      </c>
      <c r="R145" s="138"/>
      <c r="S145" s="37">
        <v>0</v>
      </c>
      <c r="T145" s="34">
        <v>0</v>
      </c>
      <c r="U145" s="34">
        <v>0</v>
      </c>
      <c r="V145" s="138"/>
      <c r="W145" s="38">
        <v>0</v>
      </c>
      <c r="X145" s="31">
        <v>0</v>
      </c>
      <c r="Y145" s="31">
        <v>0</v>
      </c>
      <c r="Z145" s="105"/>
      <c r="AA145" s="37">
        <v>0</v>
      </c>
      <c r="AB145" s="34">
        <v>0</v>
      </c>
      <c r="AC145" s="34">
        <v>0</v>
      </c>
      <c r="AD145" s="123"/>
      <c r="AE145" s="122"/>
      <c r="AF145" s="123"/>
      <c r="AG145" s="43">
        <f t="shared" si="27"/>
        <v>0</v>
      </c>
      <c r="AH145" s="44">
        <f t="shared" si="27"/>
        <v>0</v>
      </c>
      <c r="AI145" s="44">
        <f t="shared" si="27"/>
        <v>0</v>
      </c>
      <c r="AJ145" s="45">
        <f t="shared" si="27"/>
        <v>0</v>
      </c>
      <c r="AK145" s="137">
        <f t="shared" si="29"/>
        <v>0</v>
      </c>
      <c r="AL145" s="47">
        <v>1</v>
      </c>
      <c r="AM145" s="48">
        <f t="shared" si="36"/>
        <v>0</v>
      </c>
      <c r="AN145" s="48">
        <f t="shared" si="37"/>
        <v>0</v>
      </c>
      <c r="AO145" s="49">
        <f t="shared" si="35"/>
        <v>0</v>
      </c>
      <c r="AP145" s="49">
        <f t="shared" si="30"/>
        <v>0</v>
      </c>
      <c r="AQ145" s="50">
        <f t="shared" si="31"/>
        <v>0</v>
      </c>
      <c r="AR145" s="124"/>
      <c r="AS145" s="125"/>
      <c r="AT145" s="126"/>
      <c r="AU145" s="84"/>
      <c r="AV145" s="127"/>
      <c r="AW145" s="128"/>
      <c r="AX145" s="128"/>
      <c r="AY145" s="125"/>
      <c r="AZ145" s="129"/>
    </row>
    <row r="146" spans="1:52" ht="16.5" thickBot="1" x14ac:dyDescent="0.3">
      <c r="A146" s="134">
        <v>300</v>
      </c>
      <c r="B146" s="134" t="s">
        <v>56</v>
      </c>
      <c r="C146" s="135"/>
      <c r="D146" s="26">
        <f t="shared" si="32"/>
        <v>0</v>
      </c>
      <c r="E146" s="27">
        <f t="shared" si="33"/>
        <v>0</v>
      </c>
      <c r="F146" s="29">
        <f t="shared" si="34"/>
        <v>0</v>
      </c>
      <c r="G146" s="30">
        <v>0</v>
      </c>
      <c r="H146" s="31">
        <v>0</v>
      </c>
      <c r="I146" s="32">
        <v>0</v>
      </c>
      <c r="J146" s="136"/>
      <c r="K146" s="33"/>
      <c r="L146" s="34">
        <v>0</v>
      </c>
      <c r="M146" s="34">
        <v>0</v>
      </c>
      <c r="N146" s="138"/>
      <c r="O146" s="34">
        <v>0</v>
      </c>
      <c r="P146" s="34">
        <v>0</v>
      </c>
      <c r="Q146" s="34">
        <v>0</v>
      </c>
      <c r="R146" s="138"/>
      <c r="S146" s="37">
        <v>0</v>
      </c>
      <c r="T146" s="34">
        <v>0</v>
      </c>
      <c r="U146" s="34">
        <v>0</v>
      </c>
      <c r="V146" s="138"/>
      <c r="W146" s="38">
        <v>0</v>
      </c>
      <c r="X146" s="31">
        <v>0</v>
      </c>
      <c r="Y146" s="31">
        <v>0</v>
      </c>
      <c r="Z146" s="105"/>
      <c r="AA146" s="37">
        <v>0</v>
      </c>
      <c r="AB146" s="34">
        <v>0</v>
      </c>
      <c r="AC146" s="34">
        <v>0</v>
      </c>
      <c r="AD146" s="123"/>
      <c r="AE146" s="122"/>
      <c r="AF146" s="123"/>
      <c r="AG146" s="43">
        <f t="shared" si="27"/>
        <v>0</v>
      </c>
      <c r="AH146" s="44">
        <f t="shared" si="27"/>
        <v>0</v>
      </c>
      <c r="AI146" s="44">
        <f t="shared" si="27"/>
        <v>0</v>
      </c>
      <c r="AJ146" s="45">
        <f t="shared" si="27"/>
        <v>0</v>
      </c>
      <c r="AK146" s="137">
        <f t="shared" si="29"/>
        <v>0</v>
      </c>
      <c r="AL146" s="47">
        <v>1</v>
      </c>
      <c r="AM146" s="48">
        <f t="shared" si="36"/>
        <v>0</v>
      </c>
      <c r="AN146" s="48">
        <f t="shared" si="37"/>
        <v>0</v>
      </c>
      <c r="AO146" s="49">
        <f t="shared" si="35"/>
        <v>0</v>
      </c>
      <c r="AP146" s="49">
        <f t="shared" si="30"/>
        <v>0</v>
      </c>
      <c r="AQ146" s="50">
        <f t="shared" si="31"/>
        <v>0</v>
      </c>
      <c r="AR146" s="124"/>
      <c r="AS146" s="125"/>
      <c r="AT146" s="126"/>
      <c r="AU146" s="84"/>
      <c r="AV146" s="127"/>
      <c r="AW146" s="128"/>
      <c r="AX146" s="128"/>
      <c r="AY146" s="125"/>
      <c r="AZ146" s="129"/>
    </row>
    <row r="147" spans="1:52" ht="16.5" thickBot="1" x14ac:dyDescent="0.3">
      <c r="A147" s="134">
        <v>300</v>
      </c>
      <c r="B147" s="134" t="s">
        <v>55</v>
      </c>
      <c r="C147" s="135"/>
      <c r="D147" s="26">
        <f t="shared" si="32"/>
        <v>0</v>
      </c>
      <c r="E147" s="27">
        <f t="shared" si="33"/>
        <v>0</v>
      </c>
      <c r="F147" s="29">
        <f t="shared" si="34"/>
        <v>0</v>
      </c>
      <c r="G147" s="30">
        <v>0</v>
      </c>
      <c r="H147" s="31">
        <v>0</v>
      </c>
      <c r="I147" s="32">
        <v>0</v>
      </c>
      <c r="J147" s="136"/>
      <c r="K147" s="33"/>
      <c r="L147" s="34">
        <v>0</v>
      </c>
      <c r="M147" s="34">
        <v>0</v>
      </c>
      <c r="N147" s="138"/>
      <c r="O147" s="34">
        <v>0</v>
      </c>
      <c r="P147" s="34">
        <v>0</v>
      </c>
      <c r="Q147" s="34">
        <v>0</v>
      </c>
      <c r="R147" s="138"/>
      <c r="S147" s="37">
        <v>0</v>
      </c>
      <c r="T147" s="34">
        <v>0</v>
      </c>
      <c r="U147" s="34">
        <v>0</v>
      </c>
      <c r="V147" s="138"/>
      <c r="W147" s="38">
        <v>0</v>
      </c>
      <c r="X147" s="31">
        <v>0</v>
      </c>
      <c r="Y147" s="31">
        <v>0</v>
      </c>
      <c r="Z147" s="105"/>
      <c r="AA147" s="37">
        <v>0</v>
      </c>
      <c r="AB147" s="34">
        <v>0</v>
      </c>
      <c r="AC147" s="34">
        <v>0</v>
      </c>
      <c r="AD147" s="123"/>
      <c r="AE147" s="122"/>
      <c r="AF147" s="123"/>
      <c r="AG147" s="43">
        <f t="shared" si="27"/>
        <v>0</v>
      </c>
      <c r="AH147" s="44">
        <f t="shared" si="27"/>
        <v>0</v>
      </c>
      <c r="AI147" s="44">
        <f t="shared" si="27"/>
        <v>0</v>
      </c>
      <c r="AJ147" s="45">
        <f t="shared" si="27"/>
        <v>0</v>
      </c>
      <c r="AK147" s="137">
        <f t="shared" si="29"/>
        <v>0</v>
      </c>
      <c r="AL147" s="47">
        <v>1</v>
      </c>
      <c r="AM147" s="48">
        <f t="shared" si="36"/>
        <v>0</v>
      </c>
      <c r="AN147" s="48">
        <f t="shared" si="37"/>
        <v>0</v>
      </c>
      <c r="AO147" s="49">
        <f t="shared" si="35"/>
        <v>0</v>
      </c>
      <c r="AP147" s="49"/>
      <c r="AQ147" s="50">
        <f t="shared" si="31"/>
        <v>0</v>
      </c>
      <c r="AR147" s="124"/>
      <c r="AS147" s="125"/>
      <c r="AT147" s="126"/>
      <c r="AU147" s="84"/>
      <c r="AV147" s="127"/>
      <c r="AW147" s="128"/>
      <c r="AX147" s="128"/>
      <c r="AY147" s="125"/>
      <c r="AZ147" s="129"/>
    </row>
    <row r="148" spans="1:52" s="246" customFormat="1" ht="16.5" thickBot="1" x14ac:dyDescent="0.3">
      <c r="A148" s="134">
        <v>1090</v>
      </c>
      <c r="B148" s="134" t="s">
        <v>88</v>
      </c>
      <c r="C148" s="139"/>
      <c r="D148" s="26">
        <f t="shared" si="32"/>
        <v>0</v>
      </c>
      <c r="E148" s="27">
        <f t="shared" si="33"/>
        <v>0</v>
      </c>
      <c r="F148" s="29">
        <f t="shared" si="34"/>
        <v>0</v>
      </c>
      <c r="G148" s="30">
        <v>0</v>
      </c>
      <c r="H148" s="31">
        <v>0</v>
      </c>
      <c r="I148" s="32">
        <v>0</v>
      </c>
      <c r="J148" s="136"/>
      <c r="K148" s="33"/>
      <c r="L148" s="34">
        <v>0</v>
      </c>
      <c r="M148" s="34">
        <v>0</v>
      </c>
      <c r="N148" s="138"/>
      <c r="O148" s="34">
        <v>0</v>
      </c>
      <c r="P148" s="34">
        <v>0</v>
      </c>
      <c r="Q148" s="34">
        <v>0</v>
      </c>
      <c r="R148" s="138"/>
      <c r="S148" s="37">
        <v>0</v>
      </c>
      <c r="T148" s="34">
        <v>0</v>
      </c>
      <c r="U148" s="34">
        <v>0</v>
      </c>
      <c r="V148" s="138"/>
      <c r="W148" s="38">
        <v>0</v>
      </c>
      <c r="X148" s="31">
        <v>0</v>
      </c>
      <c r="Y148" s="31">
        <v>0</v>
      </c>
      <c r="Z148" s="105"/>
      <c r="AA148" s="37">
        <v>0</v>
      </c>
      <c r="AB148" s="34">
        <v>0</v>
      </c>
      <c r="AC148" s="34">
        <v>0</v>
      </c>
      <c r="AD148" s="105"/>
      <c r="AE148" s="104"/>
      <c r="AF148" s="105"/>
      <c r="AG148" s="43">
        <f t="shared" si="27"/>
        <v>0</v>
      </c>
      <c r="AH148" s="44">
        <f t="shared" si="27"/>
        <v>0</v>
      </c>
      <c r="AI148" s="44">
        <f t="shared" si="27"/>
        <v>0</v>
      </c>
      <c r="AJ148" s="94">
        <f t="shared" si="27"/>
        <v>0</v>
      </c>
      <c r="AK148" s="140">
        <f t="shared" si="29"/>
        <v>0</v>
      </c>
      <c r="AL148" s="246">
        <v>0.5</v>
      </c>
      <c r="AM148" s="48">
        <f t="shared" si="36"/>
        <v>0</v>
      </c>
      <c r="AN148" s="48">
        <f t="shared" si="37"/>
        <v>0</v>
      </c>
      <c r="AO148" s="49">
        <f t="shared" si="35"/>
        <v>0</v>
      </c>
      <c r="AP148" s="49">
        <f t="shared" si="30"/>
        <v>0</v>
      </c>
      <c r="AQ148" s="50">
        <f t="shared" si="31"/>
        <v>0</v>
      </c>
      <c r="AR148" s="106"/>
      <c r="AS148" s="107"/>
      <c r="AT148" s="115"/>
      <c r="AU148" s="100"/>
      <c r="AV148" s="109"/>
      <c r="AW148" s="110"/>
      <c r="AX148" s="110"/>
      <c r="AY148" s="107"/>
      <c r="AZ148" s="116"/>
    </row>
    <row r="149" spans="1:52" s="246" customFormat="1" ht="16.5" thickBot="1" x14ac:dyDescent="0.3">
      <c r="A149" s="134">
        <v>0</v>
      </c>
      <c r="B149" s="134">
        <v>0</v>
      </c>
      <c r="C149" s="139"/>
      <c r="D149" s="26">
        <f t="shared" si="32"/>
        <v>0</v>
      </c>
      <c r="E149" s="27">
        <f t="shared" si="33"/>
        <v>0</v>
      </c>
      <c r="F149" s="29">
        <f t="shared" si="34"/>
        <v>0</v>
      </c>
      <c r="G149" s="30">
        <v>0</v>
      </c>
      <c r="H149" s="31">
        <v>0</v>
      </c>
      <c r="I149" s="32">
        <v>0</v>
      </c>
      <c r="J149" s="136"/>
      <c r="K149" s="33"/>
      <c r="L149" s="34">
        <v>0</v>
      </c>
      <c r="M149" s="34">
        <v>0</v>
      </c>
      <c r="N149" s="138"/>
      <c r="O149" s="34">
        <v>0</v>
      </c>
      <c r="P149" s="34">
        <v>0</v>
      </c>
      <c r="Q149" s="34">
        <v>0</v>
      </c>
      <c r="R149" s="138"/>
      <c r="S149" s="37">
        <v>0</v>
      </c>
      <c r="T149" s="34">
        <v>0</v>
      </c>
      <c r="U149" s="34">
        <v>0</v>
      </c>
      <c r="V149" s="138"/>
      <c r="W149" s="38">
        <v>0</v>
      </c>
      <c r="X149" s="31">
        <v>0</v>
      </c>
      <c r="Y149" s="31">
        <v>0</v>
      </c>
      <c r="Z149" s="105"/>
      <c r="AA149" s="37">
        <v>0</v>
      </c>
      <c r="AB149" s="34">
        <v>0</v>
      </c>
      <c r="AC149" s="34">
        <v>0</v>
      </c>
      <c r="AD149" s="105"/>
      <c r="AE149" s="104"/>
      <c r="AF149" s="105"/>
      <c r="AG149" s="43">
        <f t="shared" si="27"/>
        <v>0</v>
      </c>
      <c r="AH149" s="44">
        <f t="shared" si="27"/>
        <v>0</v>
      </c>
      <c r="AI149" s="44">
        <f t="shared" si="27"/>
        <v>0</v>
      </c>
      <c r="AJ149" s="94">
        <f t="shared" si="27"/>
        <v>0</v>
      </c>
      <c r="AK149" s="140">
        <f t="shared" si="29"/>
        <v>0</v>
      </c>
      <c r="AL149" s="246">
        <v>0</v>
      </c>
      <c r="AM149" s="48">
        <f t="shared" si="36"/>
        <v>0</v>
      </c>
      <c r="AN149" s="48">
        <f t="shared" si="37"/>
        <v>0</v>
      </c>
      <c r="AO149" s="49">
        <f t="shared" si="35"/>
        <v>0</v>
      </c>
      <c r="AP149" s="49">
        <f t="shared" si="30"/>
        <v>0</v>
      </c>
      <c r="AQ149" s="50">
        <f t="shared" si="31"/>
        <v>0</v>
      </c>
      <c r="AR149" s="106"/>
      <c r="AS149" s="107"/>
      <c r="AT149" s="115"/>
      <c r="AU149" s="100"/>
      <c r="AV149" s="109"/>
      <c r="AW149" s="110"/>
      <c r="AX149" s="110"/>
      <c r="AY149" s="107"/>
      <c r="AZ149" s="116"/>
    </row>
    <row r="150" spans="1:52" s="246" customFormat="1" ht="16.5" thickBot="1" x14ac:dyDescent="0.3">
      <c r="A150" s="134">
        <v>250</v>
      </c>
      <c r="B150" s="134" t="s">
        <v>111</v>
      </c>
      <c r="C150" s="139"/>
      <c r="D150" s="26">
        <f t="shared" si="32"/>
        <v>0</v>
      </c>
      <c r="E150" s="27">
        <f t="shared" si="33"/>
        <v>0</v>
      </c>
      <c r="F150" s="29">
        <f t="shared" si="34"/>
        <v>0</v>
      </c>
      <c r="G150" s="30">
        <v>0</v>
      </c>
      <c r="H150" s="31">
        <v>0</v>
      </c>
      <c r="I150" s="32">
        <v>0</v>
      </c>
      <c r="J150" s="136"/>
      <c r="K150" s="33"/>
      <c r="L150" s="34">
        <v>0</v>
      </c>
      <c r="M150" s="34">
        <v>0</v>
      </c>
      <c r="N150" s="138"/>
      <c r="O150" s="34">
        <v>0</v>
      </c>
      <c r="P150" s="34">
        <v>0</v>
      </c>
      <c r="Q150" s="34">
        <v>0</v>
      </c>
      <c r="R150" s="138"/>
      <c r="S150" s="37">
        <v>0</v>
      </c>
      <c r="T150" s="34">
        <v>0</v>
      </c>
      <c r="U150" s="34">
        <v>0</v>
      </c>
      <c r="V150" s="138"/>
      <c r="W150" s="38">
        <v>0</v>
      </c>
      <c r="X150" s="31">
        <v>0</v>
      </c>
      <c r="Y150" s="31">
        <v>0</v>
      </c>
      <c r="Z150" s="105"/>
      <c r="AA150" s="37">
        <v>0</v>
      </c>
      <c r="AB150" s="34">
        <v>0</v>
      </c>
      <c r="AC150" s="34">
        <v>0</v>
      </c>
      <c r="AD150" s="105"/>
      <c r="AE150" s="104"/>
      <c r="AF150" s="105"/>
      <c r="AG150" s="43">
        <f t="shared" si="27"/>
        <v>0</v>
      </c>
      <c r="AH150" s="44">
        <f t="shared" si="27"/>
        <v>0</v>
      </c>
      <c r="AI150" s="44">
        <f t="shared" si="27"/>
        <v>0</v>
      </c>
      <c r="AJ150" s="94">
        <f t="shared" si="27"/>
        <v>0</v>
      </c>
      <c r="AK150" s="140">
        <f t="shared" si="29"/>
        <v>0</v>
      </c>
      <c r="AL150" s="47">
        <v>1</v>
      </c>
      <c r="AM150" s="48">
        <f t="shared" si="36"/>
        <v>0</v>
      </c>
      <c r="AN150" s="48">
        <f t="shared" si="37"/>
        <v>0</v>
      </c>
      <c r="AO150" s="49">
        <f t="shared" si="35"/>
        <v>0</v>
      </c>
      <c r="AP150" s="49">
        <f t="shared" si="30"/>
        <v>0</v>
      </c>
      <c r="AQ150" s="50">
        <f t="shared" si="31"/>
        <v>0</v>
      </c>
      <c r="AR150" s="106"/>
      <c r="AS150" s="107"/>
      <c r="AT150" s="115"/>
      <c r="AU150" s="100"/>
      <c r="AV150" s="109"/>
      <c r="AW150" s="110"/>
      <c r="AX150" s="110"/>
      <c r="AY150" s="107"/>
      <c r="AZ150" s="116"/>
    </row>
    <row r="151" spans="1:52" s="246" customFormat="1" ht="16.5" thickBot="1" x14ac:dyDescent="0.3">
      <c r="A151" s="134">
        <v>250</v>
      </c>
      <c r="B151" s="134" t="s">
        <v>112</v>
      </c>
      <c r="C151" s="139"/>
      <c r="D151" s="26">
        <f t="shared" si="32"/>
        <v>0</v>
      </c>
      <c r="E151" s="27">
        <f t="shared" si="33"/>
        <v>0</v>
      </c>
      <c r="F151" s="29">
        <f t="shared" si="34"/>
        <v>0</v>
      </c>
      <c r="G151" s="30">
        <v>0</v>
      </c>
      <c r="H151" s="31">
        <v>0</v>
      </c>
      <c r="I151" s="32">
        <v>0</v>
      </c>
      <c r="J151" s="136"/>
      <c r="K151" s="33"/>
      <c r="L151" s="34">
        <v>0</v>
      </c>
      <c r="M151" s="34">
        <v>0</v>
      </c>
      <c r="N151" s="138"/>
      <c r="O151" s="34">
        <v>0</v>
      </c>
      <c r="P151" s="34">
        <v>0</v>
      </c>
      <c r="Q151" s="34">
        <v>0</v>
      </c>
      <c r="R151" s="138"/>
      <c r="S151" s="37">
        <v>0</v>
      </c>
      <c r="T151" s="34">
        <v>0</v>
      </c>
      <c r="U151" s="34">
        <v>0</v>
      </c>
      <c r="V151" s="138"/>
      <c r="W151" s="38">
        <v>0</v>
      </c>
      <c r="X151" s="31">
        <v>0</v>
      </c>
      <c r="Y151" s="31">
        <v>0</v>
      </c>
      <c r="Z151" s="105"/>
      <c r="AA151" s="37">
        <v>0</v>
      </c>
      <c r="AB151" s="34">
        <v>0</v>
      </c>
      <c r="AC151" s="34">
        <v>0</v>
      </c>
      <c r="AD151" s="105"/>
      <c r="AE151" s="104"/>
      <c r="AF151" s="105"/>
      <c r="AG151" s="43">
        <f t="shared" si="27"/>
        <v>0</v>
      </c>
      <c r="AH151" s="44">
        <f t="shared" si="27"/>
        <v>0</v>
      </c>
      <c r="AI151" s="44">
        <f t="shared" si="27"/>
        <v>0</v>
      </c>
      <c r="AJ151" s="94">
        <f t="shared" si="27"/>
        <v>0</v>
      </c>
      <c r="AK151" s="140">
        <f t="shared" si="29"/>
        <v>0</v>
      </c>
      <c r="AL151" s="47">
        <v>1</v>
      </c>
      <c r="AM151" s="48">
        <f t="shared" si="36"/>
        <v>0</v>
      </c>
      <c r="AN151" s="48">
        <f t="shared" si="37"/>
        <v>0</v>
      </c>
      <c r="AO151" s="49">
        <f t="shared" si="35"/>
        <v>0</v>
      </c>
      <c r="AP151" s="49">
        <f t="shared" si="30"/>
        <v>0</v>
      </c>
      <c r="AQ151" s="50">
        <f t="shared" si="31"/>
        <v>0</v>
      </c>
      <c r="AR151" s="106"/>
      <c r="AS151" s="107"/>
      <c r="AT151" s="115"/>
      <c r="AU151" s="100"/>
      <c r="AV151" s="109"/>
      <c r="AW151" s="110"/>
      <c r="AX151" s="110"/>
      <c r="AY151" s="107"/>
      <c r="AZ151" s="116"/>
    </row>
    <row r="152" spans="1:52" s="246" customFormat="1" ht="16.5" thickBot="1" x14ac:dyDescent="0.3">
      <c r="A152" s="134"/>
      <c r="B152" s="134" t="s">
        <v>30</v>
      </c>
      <c r="C152" s="139"/>
      <c r="D152" s="26">
        <f t="shared" si="32"/>
        <v>0</v>
      </c>
      <c r="E152" s="27">
        <f t="shared" si="33"/>
        <v>0</v>
      </c>
      <c r="F152" s="29">
        <f t="shared" si="34"/>
        <v>0</v>
      </c>
      <c r="G152" s="30">
        <v>0</v>
      </c>
      <c r="H152" s="31">
        <v>0</v>
      </c>
      <c r="I152" s="32">
        <v>0</v>
      </c>
      <c r="J152" s="136"/>
      <c r="K152" s="33"/>
      <c r="L152" s="34">
        <v>0</v>
      </c>
      <c r="M152" s="34">
        <v>0</v>
      </c>
      <c r="N152" s="138"/>
      <c r="O152" s="34">
        <v>0</v>
      </c>
      <c r="P152" s="34">
        <v>0</v>
      </c>
      <c r="Q152" s="34">
        <v>0</v>
      </c>
      <c r="R152" s="138"/>
      <c r="S152" s="37">
        <v>0</v>
      </c>
      <c r="T152" s="34">
        <v>0</v>
      </c>
      <c r="U152" s="34">
        <v>0</v>
      </c>
      <c r="V152" s="138"/>
      <c r="W152" s="38">
        <v>0</v>
      </c>
      <c r="X152" s="31">
        <v>0</v>
      </c>
      <c r="Y152" s="31">
        <v>0</v>
      </c>
      <c r="Z152" s="105"/>
      <c r="AA152" s="37">
        <v>0</v>
      </c>
      <c r="AB152" s="34">
        <v>0</v>
      </c>
      <c r="AC152" s="34">
        <v>0</v>
      </c>
      <c r="AD152" s="105"/>
      <c r="AE152" s="104"/>
      <c r="AF152" s="105"/>
      <c r="AG152" s="43">
        <f t="shared" si="27"/>
        <v>0</v>
      </c>
      <c r="AH152" s="44">
        <f t="shared" si="27"/>
        <v>0</v>
      </c>
      <c r="AI152" s="44">
        <f t="shared" si="27"/>
        <v>0</v>
      </c>
      <c r="AJ152" s="94">
        <f t="shared" si="27"/>
        <v>0</v>
      </c>
      <c r="AK152" s="140">
        <f t="shared" si="29"/>
        <v>0</v>
      </c>
      <c r="AL152" s="47">
        <v>1</v>
      </c>
      <c r="AM152" s="48">
        <f t="shared" si="36"/>
        <v>0</v>
      </c>
      <c r="AN152" s="48">
        <f t="shared" si="37"/>
        <v>0</v>
      </c>
      <c r="AO152" s="49">
        <f t="shared" si="35"/>
        <v>0</v>
      </c>
      <c r="AP152" s="49">
        <f t="shared" si="30"/>
        <v>0</v>
      </c>
      <c r="AQ152" s="50">
        <f t="shared" si="31"/>
        <v>0</v>
      </c>
      <c r="AR152" s="106"/>
      <c r="AS152" s="107"/>
      <c r="AT152" s="115"/>
      <c r="AU152" s="100"/>
      <c r="AV152" s="109"/>
      <c r="AW152" s="110"/>
      <c r="AX152" s="110"/>
      <c r="AY152" s="107"/>
      <c r="AZ152" s="116"/>
    </row>
    <row r="153" spans="1:52" s="246" customFormat="1" ht="16.5" thickBot="1" x14ac:dyDescent="0.3">
      <c r="A153" s="134"/>
      <c r="B153" s="134" t="s">
        <v>113</v>
      </c>
      <c r="C153" s="139"/>
      <c r="D153" s="26">
        <f t="shared" si="32"/>
        <v>0</v>
      </c>
      <c r="E153" s="27">
        <f t="shared" si="33"/>
        <v>0</v>
      </c>
      <c r="F153" s="29">
        <f t="shared" si="34"/>
        <v>0</v>
      </c>
      <c r="G153" s="30">
        <v>0</v>
      </c>
      <c r="H153" s="31">
        <v>0</v>
      </c>
      <c r="I153" s="32">
        <v>0</v>
      </c>
      <c r="J153" s="136"/>
      <c r="K153" s="33"/>
      <c r="L153" s="34">
        <v>0</v>
      </c>
      <c r="M153" s="34">
        <v>0</v>
      </c>
      <c r="N153" s="138"/>
      <c r="O153" s="34">
        <v>0</v>
      </c>
      <c r="P153" s="34">
        <v>0</v>
      </c>
      <c r="Q153" s="34">
        <v>0</v>
      </c>
      <c r="R153" s="138"/>
      <c r="S153" s="37">
        <v>0</v>
      </c>
      <c r="T153" s="34">
        <v>0</v>
      </c>
      <c r="U153" s="34">
        <v>0</v>
      </c>
      <c r="V153" s="138"/>
      <c r="W153" s="38">
        <v>0</v>
      </c>
      <c r="X153" s="31">
        <v>0</v>
      </c>
      <c r="Y153" s="31">
        <v>0</v>
      </c>
      <c r="Z153" s="105"/>
      <c r="AA153" s="37">
        <v>0</v>
      </c>
      <c r="AB153" s="34">
        <v>0</v>
      </c>
      <c r="AC153" s="34">
        <v>0</v>
      </c>
      <c r="AD153" s="105"/>
      <c r="AE153" s="104"/>
      <c r="AF153" s="105"/>
      <c r="AG153" s="43">
        <f t="shared" si="27"/>
        <v>0</v>
      </c>
      <c r="AH153" s="44">
        <f t="shared" si="27"/>
        <v>0</v>
      </c>
      <c r="AI153" s="44">
        <f t="shared" si="27"/>
        <v>0</v>
      </c>
      <c r="AJ153" s="94">
        <f t="shared" si="27"/>
        <v>0</v>
      </c>
      <c r="AK153" s="140">
        <f t="shared" si="29"/>
        <v>0</v>
      </c>
      <c r="AL153" s="47">
        <v>1</v>
      </c>
      <c r="AM153" s="48">
        <f t="shared" si="36"/>
        <v>0</v>
      </c>
      <c r="AN153" s="48">
        <f t="shared" si="37"/>
        <v>0</v>
      </c>
      <c r="AO153" s="49">
        <f t="shared" si="35"/>
        <v>0</v>
      </c>
      <c r="AP153" s="49">
        <f t="shared" si="30"/>
        <v>0</v>
      </c>
      <c r="AQ153" s="50">
        <f t="shared" si="31"/>
        <v>0</v>
      </c>
      <c r="AR153" s="106"/>
      <c r="AS153" s="107"/>
      <c r="AT153" s="115"/>
      <c r="AU153" s="100"/>
      <c r="AV153" s="109"/>
      <c r="AW153" s="110"/>
      <c r="AX153" s="110"/>
      <c r="AY153" s="107"/>
      <c r="AZ153" s="116"/>
    </row>
    <row r="154" spans="1:52" s="246" customFormat="1" ht="16.5" thickBot="1" x14ac:dyDescent="0.3">
      <c r="A154" s="134"/>
      <c r="B154" s="134" t="s">
        <v>114</v>
      </c>
      <c r="C154" s="139"/>
      <c r="D154" s="26">
        <f t="shared" si="32"/>
        <v>0</v>
      </c>
      <c r="E154" s="27">
        <f t="shared" si="33"/>
        <v>0</v>
      </c>
      <c r="F154" s="29">
        <f t="shared" si="34"/>
        <v>0</v>
      </c>
      <c r="G154" s="30">
        <v>0</v>
      </c>
      <c r="H154" s="31">
        <v>0</v>
      </c>
      <c r="I154" s="32">
        <v>0</v>
      </c>
      <c r="J154" s="136"/>
      <c r="K154" s="33"/>
      <c r="L154" s="34">
        <v>0</v>
      </c>
      <c r="M154" s="34">
        <v>0</v>
      </c>
      <c r="N154" s="138"/>
      <c r="O154" s="34">
        <v>0</v>
      </c>
      <c r="P154" s="34">
        <v>0</v>
      </c>
      <c r="Q154" s="34">
        <v>0</v>
      </c>
      <c r="R154" s="138"/>
      <c r="S154" s="37">
        <v>0</v>
      </c>
      <c r="T154" s="34">
        <v>0</v>
      </c>
      <c r="U154" s="34">
        <v>0</v>
      </c>
      <c r="V154" s="138"/>
      <c r="W154" s="38">
        <v>0</v>
      </c>
      <c r="X154" s="31">
        <v>0</v>
      </c>
      <c r="Y154" s="31">
        <v>0</v>
      </c>
      <c r="Z154" s="105"/>
      <c r="AA154" s="37">
        <v>0</v>
      </c>
      <c r="AB154" s="34">
        <v>0</v>
      </c>
      <c r="AC154" s="34">
        <v>0</v>
      </c>
      <c r="AD154" s="105"/>
      <c r="AE154" s="104"/>
      <c r="AF154" s="105"/>
      <c r="AG154" s="43">
        <f t="shared" si="27"/>
        <v>0</v>
      </c>
      <c r="AH154" s="44">
        <f t="shared" si="27"/>
        <v>0</v>
      </c>
      <c r="AI154" s="44">
        <f t="shared" si="27"/>
        <v>0</v>
      </c>
      <c r="AJ154" s="94">
        <f t="shared" si="27"/>
        <v>0</v>
      </c>
      <c r="AK154" s="140">
        <f t="shared" si="29"/>
        <v>0</v>
      </c>
      <c r="AL154" s="47">
        <v>1</v>
      </c>
      <c r="AM154" s="48">
        <f t="shared" si="36"/>
        <v>0</v>
      </c>
      <c r="AN154" s="48">
        <f t="shared" si="37"/>
        <v>0</v>
      </c>
      <c r="AO154" s="49">
        <f t="shared" si="35"/>
        <v>0</v>
      </c>
      <c r="AP154" s="49">
        <f t="shared" si="30"/>
        <v>0</v>
      </c>
      <c r="AQ154" s="50">
        <f t="shared" si="31"/>
        <v>0</v>
      </c>
      <c r="AR154" s="106"/>
      <c r="AS154" s="107"/>
      <c r="AT154" s="115"/>
      <c r="AU154" s="100"/>
      <c r="AV154" s="109"/>
      <c r="AW154" s="110"/>
      <c r="AX154" s="110"/>
      <c r="AY154" s="107"/>
      <c r="AZ154" s="116"/>
    </row>
    <row r="155" spans="1:52" s="246" customFormat="1" ht="16.5" thickBot="1" x14ac:dyDescent="0.3">
      <c r="A155" s="134"/>
      <c r="B155" s="134" t="s">
        <v>47</v>
      </c>
      <c r="C155" s="139"/>
      <c r="D155" s="26">
        <f t="shared" si="32"/>
        <v>0</v>
      </c>
      <c r="E155" s="27">
        <f t="shared" si="33"/>
        <v>0</v>
      </c>
      <c r="F155" s="29">
        <f t="shared" si="34"/>
        <v>0</v>
      </c>
      <c r="G155" s="30">
        <v>0</v>
      </c>
      <c r="H155" s="31">
        <v>0</v>
      </c>
      <c r="I155" s="32">
        <v>0</v>
      </c>
      <c r="J155" s="136"/>
      <c r="K155" s="33"/>
      <c r="L155" s="34">
        <v>0</v>
      </c>
      <c r="M155" s="34">
        <v>0</v>
      </c>
      <c r="N155" s="138"/>
      <c r="O155" s="34">
        <v>0</v>
      </c>
      <c r="P155" s="34">
        <v>0</v>
      </c>
      <c r="Q155" s="34">
        <v>0</v>
      </c>
      <c r="R155" s="138"/>
      <c r="S155" s="37">
        <v>0</v>
      </c>
      <c r="T155" s="34">
        <v>0</v>
      </c>
      <c r="U155" s="34">
        <v>0</v>
      </c>
      <c r="V155" s="138"/>
      <c r="W155" s="38">
        <v>0</v>
      </c>
      <c r="X155" s="31">
        <v>0</v>
      </c>
      <c r="Y155" s="31">
        <v>0</v>
      </c>
      <c r="Z155" s="105"/>
      <c r="AA155" s="37">
        <v>0</v>
      </c>
      <c r="AB155" s="34">
        <v>0</v>
      </c>
      <c r="AC155" s="34">
        <v>0</v>
      </c>
      <c r="AD155" s="105"/>
      <c r="AE155" s="104"/>
      <c r="AF155" s="105"/>
      <c r="AG155" s="43">
        <f t="shared" si="27"/>
        <v>0</v>
      </c>
      <c r="AH155" s="44">
        <f t="shared" si="27"/>
        <v>0</v>
      </c>
      <c r="AI155" s="44">
        <f t="shared" si="27"/>
        <v>0</v>
      </c>
      <c r="AJ155" s="94">
        <f t="shared" si="27"/>
        <v>0</v>
      </c>
      <c r="AK155" s="140">
        <f t="shared" si="29"/>
        <v>0</v>
      </c>
      <c r="AL155" s="47">
        <v>1</v>
      </c>
      <c r="AM155" s="48">
        <f t="shared" si="36"/>
        <v>0</v>
      </c>
      <c r="AN155" s="48">
        <f t="shared" si="37"/>
        <v>0</v>
      </c>
      <c r="AO155" s="49">
        <f t="shared" si="35"/>
        <v>0</v>
      </c>
      <c r="AP155" s="49">
        <f t="shared" si="30"/>
        <v>0</v>
      </c>
      <c r="AQ155" s="50">
        <f t="shared" si="31"/>
        <v>0</v>
      </c>
      <c r="AR155" s="106"/>
      <c r="AS155" s="107"/>
      <c r="AT155" s="115"/>
      <c r="AU155" s="100"/>
      <c r="AV155" s="109"/>
      <c r="AW155" s="110"/>
      <c r="AX155" s="110"/>
      <c r="AY155" s="107"/>
      <c r="AZ155" s="116"/>
    </row>
    <row r="156" spans="1:52" s="246" customFormat="1" ht="16.5" thickBot="1" x14ac:dyDescent="0.3">
      <c r="A156" s="134"/>
      <c r="B156" s="134" t="s">
        <v>115</v>
      </c>
      <c r="C156" s="139">
        <v>52</v>
      </c>
      <c r="D156" s="26">
        <f t="shared" si="32"/>
        <v>17.333333333333332</v>
      </c>
      <c r="E156" s="27">
        <f t="shared" si="33"/>
        <v>17.333333333333332</v>
      </c>
      <c r="F156" s="29">
        <f t="shared" si="34"/>
        <v>17.333333333333332</v>
      </c>
      <c r="G156" s="30">
        <v>0</v>
      </c>
      <c r="H156" s="31">
        <v>0</v>
      </c>
      <c r="I156" s="32">
        <v>0</v>
      </c>
      <c r="J156" s="136"/>
      <c r="K156" s="33"/>
      <c r="L156" s="34">
        <v>0</v>
      </c>
      <c r="M156" s="34">
        <v>0</v>
      </c>
      <c r="N156" s="138"/>
      <c r="O156" s="34">
        <v>0</v>
      </c>
      <c r="P156" s="34">
        <v>0</v>
      </c>
      <c r="Q156" s="34">
        <v>0</v>
      </c>
      <c r="R156" s="138"/>
      <c r="S156" s="37">
        <v>0</v>
      </c>
      <c r="T156" s="34">
        <v>0</v>
      </c>
      <c r="U156" s="34">
        <v>0</v>
      </c>
      <c r="V156" s="138"/>
      <c r="W156" s="38">
        <v>0</v>
      </c>
      <c r="X156" s="31">
        <v>0</v>
      </c>
      <c r="Y156" s="31">
        <v>0</v>
      </c>
      <c r="Z156" s="105"/>
      <c r="AA156" s="37">
        <v>0</v>
      </c>
      <c r="AB156" s="34">
        <v>0</v>
      </c>
      <c r="AC156" s="34">
        <v>0</v>
      </c>
      <c r="AD156" s="105"/>
      <c r="AE156" s="104"/>
      <c r="AF156" s="105"/>
      <c r="AG156" s="43">
        <f t="shared" si="27"/>
        <v>0</v>
      </c>
      <c r="AH156" s="44">
        <f t="shared" si="27"/>
        <v>0</v>
      </c>
      <c r="AI156" s="44">
        <f t="shared" si="27"/>
        <v>0</v>
      </c>
      <c r="AJ156" s="94">
        <f t="shared" si="27"/>
        <v>0</v>
      </c>
      <c r="AK156" s="140">
        <f t="shared" si="29"/>
        <v>0</v>
      </c>
      <c r="AL156" s="47">
        <v>1</v>
      </c>
      <c r="AM156" s="48">
        <f t="shared" si="36"/>
        <v>0</v>
      </c>
      <c r="AN156" s="48">
        <f t="shared" si="37"/>
        <v>0</v>
      </c>
      <c r="AO156" s="49">
        <f t="shared" si="35"/>
        <v>0</v>
      </c>
      <c r="AP156" s="49">
        <f t="shared" si="30"/>
        <v>0</v>
      </c>
      <c r="AQ156" s="50">
        <f t="shared" si="31"/>
        <v>0</v>
      </c>
      <c r="AR156" s="106"/>
      <c r="AS156" s="107"/>
      <c r="AT156" s="115"/>
      <c r="AU156" s="100"/>
      <c r="AV156" s="109"/>
      <c r="AW156" s="110"/>
      <c r="AX156" s="110"/>
      <c r="AY156" s="107"/>
      <c r="AZ156" s="116"/>
    </row>
    <row r="157" spans="1:52" s="246" customFormat="1" ht="16.5" thickBot="1" x14ac:dyDescent="0.3">
      <c r="A157" s="134">
        <v>360</v>
      </c>
      <c r="B157" s="134" t="s">
        <v>28</v>
      </c>
      <c r="C157" s="139">
        <v>137</v>
      </c>
      <c r="D157" s="26">
        <f t="shared" si="32"/>
        <v>45.666666666666664</v>
      </c>
      <c r="E157" s="27">
        <f t="shared" si="33"/>
        <v>45.666666666666664</v>
      </c>
      <c r="F157" s="29">
        <f t="shared" si="34"/>
        <v>45.666666666666664</v>
      </c>
      <c r="G157" s="30">
        <v>1</v>
      </c>
      <c r="H157" s="31">
        <v>6</v>
      </c>
      <c r="I157" s="32">
        <v>1</v>
      </c>
      <c r="J157" s="136"/>
      <c r="K157" s="33"/>
      <c r="L157" s="34">
        <v>0</v>
      </c>
      <c r="M157" s="34">
        <v>5</v>
      </c>
      <c r="N157" s="138"/>
      <c r="O157" s="34">
        <v>7</v>
      </c>
      <c r="P157" s="34">
        <v>0</v>
      </c>
      <c r="Q157" s="34">
        <v>9</v>
      </c>
      <c r="R157" s="138"/>
      <c r="S157" s="37">
        <v>3</v>
      </c>
      <c r="T157" s="34">
        <v>0</v>
      </c>
      <c r="U157" s="34">
        <v>4</v>
      </c>
      <c r="V157" s="138"/>
      <c r="W157" s="38">
        <v>4</v>
      </c>
      <c r="X157" s="31">
        <v>3</v>
      </c>
      <c r="Y157" s="31">
        <v>1</v>
      </c>
      <c r="Z157" s="105"/>
      <c r="AA157" s="37">
        <v>0</v>
      </c>
      <c r="AB157" s="34">
        <v>0</v>
      </c>
      <c r="AC157" s="34">
        <v>1</v>
      </c>
      <c r="AD157" s="105"/>
      <c r="AE157" s="104"/>
      <c r="AF157" s="105"/>
      <c r="AG157" s="43">
        <f t="shared" si="27"/>
        <v>15</v>
      </c>
      <c r="AH157" s="44">
        <f t="shared" si="27"/>
        <v>9</v>
      </c>
      <c r="AI157" s="44">
        <f t="shared" si="27"/>
        <v>21</v>
      </c>
      <c r="AJ157" s="94">
        <f t="shared" si="27"/>
        <v>0</v>
      </c>
      <c r="AK157" s="140">
        <f t="shared" si="29"/>
        <v>45</v>
      </c>
      <c r="AL157" s="47">
        <v>1.3</v>
      </c>
      <c r="AM157" s="48">
        <f t="shared" si="36"/>
        <v>19.5</v>
      </c>
      <c r="AN157" s="48">
        <f t="shared" si="37"/>
        <v>11.700000000000001</v>
      </c>
      <c r="AO157" s="49">
        <f t="shared" si="35"/>
        <v>27.3</v>
      </c>
      <c r="AP157" s="49">
        <f t="shared" si="30"/>
        <v>0</v>
      </c>
      <c r="AQ157" s="50">
        <f t="shared" si="31"/>
        <v>2700</v>
      </c>
      <c r="AR157" s="106"/>
      <c r="AS157" s="107"/>
      <c r="AT157" s="115"/>
      <c r="AU157" s="100"/>
      <c r="AV157" s="109"/>
      <c r="AW157" s="110"/>
      <c r="AX157" s="110"/>
      <c r="AY157" s="107"/>
      <c r="AZ157" s="116"/>
    </row>
    <row r="158" spans="1:52" s="246" customFormat="1" ht="16.5" thickBot="1" x14ac:dyDescent="0.3">
      <c r="A158" s="134">
        <v>360</v>
      </c>
      <c r="B158" s="134" t="s">
        <v>31</v>
      </c>
      <c r="C158" s="139">
        <v>135</v>
      </c>
      <c r="D158" s="26">
        <f t="shared" si="32"/>
        <v>45</v>
      </c>
      <c r="E158" s="27">
        <f t="shared" si="33"/>
        <v>45</v>
      </c>
      <c r="F158" s="29">
        <f t="shared" si="34"/>
        <v>45</v>
      </c>
      <c r="G158" s="30">
        <v>0</v>
      </c>
      <c r="H158" s="31">
        <v>0</v>
      </c>
      <c r="I158" s="32">
        <v>0</v>
      </c>
      <c r="J158" s="136"/>
      <c r="K158" s="33"/>
      <c r="L158" s="34">
        <v>0</v>
      </c>
      <c r="M158" s="34">
        <v>0</v>
      </c>
      <c r="N158" s="138"/>
      <c r="O158" s="34">
        <v>0</v>
      </c>
      <c r="P158" s="34">
        <v>0</v>
      </c>
      <c r="Q158" s="34">
        <v>0</v>
      </c>
      <c r="R158" s="138"/>
      <c r="S158" s="37">
        <v>0</v>
      </c>
      <c r="T158" s="34">
        <v>0</v>
      </c>
      <c r="U158" s="34">
        <v>0</v>
      </c>
      <c r="V158" s="138"/>
      <c r="W158" s="38">
        <v>0</v>
      </c>
      <c r="X158" s="31">
        <v>0</v>
      </c>
      <c r="Y158" s="31">
        <v>0</v>
      </c>
      <c r="Z158" s="105"/>
      <c r="AA158" s="37">
        <v>0</v>
      </c>
      <c r="AB158" s="34">
        <v>0</v>
      </c>
      <c r="AC158" s="34">
        <v>0</v>
      </c>
      <c r="AD158" s="105"/>
      <c r="AE158" s="104"/>
      <c r="AF158" s="105"/>
      <c r="AG158" s="43">
        <f t="shared" si="27"/>
        <v>0</v>
      </c>
      <c r="AH158" s="44">
        <f t="shared" si="27"/>
        <v>0</v>
      </c>
      <c r="AI158" s="44">
        <f t="shared" si="27"/>
        <v>0</v>
      </c>
      <c r="AJ158" s="94">
        <f t="shared" si="27"/>
        <v>0</v>
      </c>
      <c r="AK158" s="140">
        <f t="shared" si="29"/>
        <v>0</v>
      </c>
      <c r="AL158" s="47">
        <v>1.3</v>
      </c>
      <c r="AM158" s="48">
        <f t="shared" si="36"/>
        <v>0</v>
      </c>
      <c r="AN158" s="48">
        <f t="shared" si="37"/>
        <v>0</v>
      </c>
      <c r="AO158" s="49">
        <f t="shared" si="35"/>
        <v>0</v>
      </c>
      <c r="AP158" s="49">
        <f t="shared" si="30"/>
        <v>0</v>
      </c>
      <c r="AQ158" s="50">
        <f t="shared" si="31"/>
        <v>0</v>
      </c>
      <c r="AR158" s="106"/>
      <c r="AS158" s="107"/>
      <c r="AT158" s="115"/>
      <c r="AU158" s="100"/>
      <c r="AV158" s="109"/>
      <c r="AW158" s="110"/>
      <c r="AX158" s="110"/>
      <c r="AY158" s="107"/>
      <c r="AZ158" s="116"/>
    </row>
    <row r="159" spans="1:52" s="246" customFormat="1" ht="16.5" thickBot="1" x14ac:dyDescent="0.3">
      <c r="A159" s="134">
        <v>250</v>
      </c>
      <c r="B159" s="134" t="s">
        <v>116</v>
      </c>
      <c r="C159" s="139"/>
      <c r="D159" s="26">
        <f t="shared" si="32"/>
        <v>0</v>
      </c>
      <c r="E159" s="27">
        <f t="shared" si="33"/>
        <v>0</v>
      </c>
      <c r="F159" s="29">
        <f t="shared" si="34"/>
        <v>0</v>
      </c>
      <c r="G159" s="30">
        <v>0</v>
      </c>
      <c r="H159" s="31">
        <v>0</v>
      </c>
      <c r="I159" s="32">
        <v>0</v>
      </c>
      <c r="J159" s="136"/>
      <c r="K159" s="33"/>
      <c r="L159" s="34">
        <v>0</v>
      </c>
      <c r="M159" s="34">
        <v>0</v>
      </c>
      <c r="N159" s="138"/>
      <c r="O159" s="34">
        <v>0</v>
      </c>
      <c r="P159" s="34">
        <v>0</v>
      </c>
      <c r="Q159" s="34">
        <v>0</v>
      </c>
      <c r="R159" s="138"/>
      <c r="S159" s="37">
        <v>0</v>
      </c>
      <c r="T159" s="34">
        <v>0</v>
      </c>
      <c r="U159" s="34">
        <v>0</v>
      </c>
      <c r="V159" s="138"/>
      <c r="W159" s="38">
        <v>0</v>
      </c>
      <c r="X159" s="31">
        <v>0</v>
      </c>
      <c r="Y159" s="31">
        <v>0</v>
      </c>
      <c r="Z159" s="105"/>
      <c r="AA159" s="37">
        <v>0</v>
      </c>
      <c r="AB159" s="34">
        <v>0</v>
      </c>
      <c r="AC159" s="34">
        <v>0</v>
      </c>
      <c r="AD159" s="105"/>
      <c r="AE159" s="104"/>
      <c r="AF159" s="105"/>
      <c r="AG159" s="43">
        <f t="shared" si="27"/>
        <v>0</v>
      </c>
      <c r="AH159" s="44">
        <f t="shared" si="27"/>
        <v>0</v>
      </c>
      <c r="AI159" s="44">
        <f t="shared" si="27"/>
        <v>0</v>
      </c>
      <c r="AJ159" s="94">
        <f t="shared" si="27"/>
        <v>0</v>
      </c>
      <c r="AK159" s="140">
        <f t="shared" si="29"/>
        <v>0</v>
      </c>
      <c r="AL159" s="47">
        <v>0.5</v>
      </c>
      <c r="AM159" s="48">
        <f t="shared" si="36"/>
        <v>0</v>
      </c>
      <c r="AN159" s="48">
        <f t="shared" si="37"/>
        <v>0</v>
      </c>
      <c r="AO159" s="49">
        <f t="shared" si="35"/>
        <v>0</v>
      </c>
      <c r="AP159" s="49">
        <f t="shared" si="30"/>
        <v>0</v>
      </c>
      <c r="AQ159" s="50">
        <f t="shared" si="31"/>
        <v>0</v>
      </c>
      <c r="AR159" s="106"/>
      <c r="AS159" s="107"/>
      <c r="AT159" s="115"/>
      <c r="AU159" s="100"/>
      <c r="AV159" s="109"/>
      <c r="AW159" s="110"/>
      <c r="AX159" s="110"/>
      <c r="AY159" s="107"/>
      <c r="AZ159" s="116"/>
    </row>
    <row r="160" spans="1:52" s="246" customFormat="1" ht="16.5" thickBot="1" x14ac:dyDescent="0.3">
      <c r="A160" s="134">
        <v>250</v>
      </c>
      <c r="B160" s="134" t="s">
        <v>117</v>
      </c>
      <c r="C160" s="139"/>
      <c r="D160" s="26">
        <f t="shared" si="32"/>
        <v>0</v>
      </c>
      <c r="E160" s="27">
        <f t="shared" si="33"/>
        <v>0</v>
      </c>
      <c r="F160" s="29">
        <f t="shared" si="34"/>
        <v>0</v>
      </c>
      <c r="G160" s="30">
        <v>0</v>
      </c>
      <c r="H160" s="31">
        <v>0</v>
      </c>
      <c r="I160" s="32">
        <v>0</v>
      </c>
      <c r="J160" s="136"/>
      <c r="K160" s="33"/>
      <c r="L160" s="34">
        <v>0</v>
      </c>
      <c r="M160" s="34">
        <v>0</v>
      </c>
      <c r="N160" s="138"/>
      <c r="O160" s="34">
        <v>0</v>
      </c>
      <c r="P160" s="34">
        <v>0</v>
      </c>
      <c r="Q160" s="34">
        <v>0</v>
      </c>
      <c r="R160" s="138"/>
      <c r="S160" s="37">
        <v>0</v>
      </c>
      <c r="T160" s="34">
        <v>0</v>
      </c>
      <c r="U160" s="34">
        <v>0</v>
      </c>
      <c r="V160" s="138"/>
      <c r="W160" s="38">
        <v>0</v>
      </c>
      <c r="X160" s="31">
        <v>0</v>
      </c>
      <c r="Y160" s="31">
        <v>0</v>
      </c>
      <c r="Z160" s="105"/>
      <c r="AA160" s="37">
        <v>0</v>
      </c>
      <c r="AB160" s="34">
        <v>0</v>
      </c>
      <c r="AC160" s="34">
        <v>0</v>
      </c>
      <c r="AD160" s="105"/>
      <c r="AE160" s="104"/>
      <c r="AF160" s="105"/>
      <c r="AG160" s="43">
        <f t="shared" si="27"/>
        <v>0</v>
      </c>
      <c r="AH160" s="44">
        <f t="shared" si="27"/>
        <v>0</v>
      </c>
      <c r="AI160" s="44">
        <f t="shared" si="27"/>
        <v>0</v>
      </c>
      <c r="AJ160" s="94">
        <f t="shared" si="27"/>
        <v>0</v>
      </c>
      <c r="AK160" s="140">
        <f t="shared" si="29"/>
        <v>0</v>
      </c>
      <c r="AL160" s="47">
        <v>0.5</v>
      </c>
      <c r="AM160" s="48">
        <f t="shared" si="36"/>
        <v>0</v>
      </c>
      <c r="AN160" s="48">
        <f t="shared" si="37"/>
        <v>0</v>
      </c>
      <c r="AO160" s="49">
        <f t="shared" si="35"/>
        <v>0</v>
      </c>
      <c r="AP160" s="49">
        <f t="shared" si="30"/>
        <v>0</v>
      </c>
      <c r="AQ160" s="50">
        <f t="shared" si="31"/>
        <v>0</v>
      </c>
      <c r="AR160" s="106"/>
      <c r="AS160" s="107"/>
      <c r="AT160" s="115"/>
      <c r="AU160" s="100"/>
      <c r="AV160" s="109"/>
      <c r="AW160" s="110"/>
      <c r="AX160" s="110"/>
      <c r="AY160" s="107"/>
      <c r="AZ160" s="116"/>
    </row>
    <row r="161" spans="1:52" s="246" customFormat="1" ht="16.5" thickBot="1" x14ac:dyDescent="0.3">
      <c r="A161" s="134">
        <v>360</v>
      </c>
      <c r="B161" s="134" t="s">
        <v>29</v>
      </c>
      <c r="C161" s="139">
        <v>137</v>
      </c>
      <c r="D161" s="26">
        <f t="shared" si="32"/>
        <v>45.666666666666664</v>
      </c>
      <c r="E161" s="27">
        <f t="shared" si="33"/>
        <v>45.666666666666664</v>
      </c>
      <c r="F161" s="29">
        <f t="shared" si="34"/>
        <v>45.666666666666664</v>
      </c>
      <c r="G161" s="30">
        <v>0</v>
      </c>
      <c r="H161" s="31">
        <v>0</v>
      </c>
      <c r="I161" s="32">
        <v>0</v>
      </c>
      <c r="J161" s="136"/>
      <c r="K161" s="33"/>
      <c r="L161" s="34">
        <v>0</v>
      </c>
      <c r="M161" s="34">
        <v>0</v>
      </c>
      <c r="N161" s="138"/>
      <c r="O161" s="34">
        <v>0</v>
      </c>
      <c r="P161" s="34">
        <v>0</v>
      </c>
      <c r="Q161" s="34">
        <v>0</v>
      </c>
      <c r="R161" s="138"/>
      <c r="S161" s="37">
        <v>0</v>
      </c>
      <c r="T161" s="34">
        <v>0</v>
      </c>
      <c r="U161" s="34">
        <v>0</v>
      </c>
      <c r="V161" s="138"/>
      <c r="W161" s="38">
        <v>0</v>
      </c>
      <c r="X161" s="31">
        <v>0</v>
      </c>
      <c r="Y161" s="31">
        <v>0</v>
      </c>
      <c r="Z161" s="105"/>
      <c r="AA161" s="37">
        <v>0</v>
      </c>
      <c r="AB161" s="34">
        <v>0</v>
      </c>
      <c r="AC161" s="34">
        <v>0</v>
      </c>
      <c r="AD161" s="105"/>
      <c r="AE161" s="104"/>
      <c r="AF161" s="105"/>
      <c r="AG161" s="43">
        <f t="shared" si="27"/>
        <v>0</v>
      </c>
      <c r="AH161" s="44">
        <f t="shared" si="27"/>
        <v>0</v>
      </c>
      <c r="AI161" s="44">
        <f t="shared" si="27"/>
        <v>0</v>
      </c>
      <c r="AJ161" s="94">
        <f t="shared" si="27"/>
        <v>0</v>
      </c>
      <c r="AK161" s="140">
        <f t="shared" si="29"/>
        <v>0</v>
      </c>
      <c r="AL161" s="47">
        <v>1.3</v>
      </c>
      <c r="AM161" s="48">
        <f t="shared" si="36"/>
        <v>0</v>
      </c>
      <c r="AN161" s="48">
        <f t="shared" si="37"/>
        <v>0</v>
      </c>
      <c r="AO161" s="49">
        <f t="shared" si="35"/>
        <v>0</v>
      </c>
      <c r="AP161" s="49">
        <f t="shared" si="30"/>
        <v>0</v>
      </c>
      <c r="AQ161" s="50">
        <f t="shared" si="31"/>
        <v>0</v>
      </c>
      <c r="AR161" s="106"/>
      <c r="AS161" s="107"/>
      <c r="AT161" s="115"/>
      <c r="AU161" s="100"/>
      <c r="AV161" s="109"/>
      <c r="AW161" s="110"/>
      <c r="AX161" s="110"/>
      <c r="AY161" s="107"/>
      <c r="AZ161" s="116"/>
    </row>
    <row r="162" spans="1:52" s="246" customFormat="1" ht="16.5" thickBot="1" x14ac:dyDescent="0.3">
      <c r="A162" s="134"/>
      <c r="B162" s="134" t="s">
        <v>118</v>
      </c>
      <c r="C162" s="139">
        <v>78</v>
      </c>
      <c r="D162" s="26">
        <f t="shared" si="32"/>
        <v>26</v>
      </c>
      <c r="E162" s="27">
        <f t="shared" si="33"/>
        <v>26</v>
      </c>
      <c r="F162" s="29">
        <f t="shared" si="34"/>
        <v>26</v>
      </c>
      <c r="G162" s="30">
        <v>0</v>
      </c>
      <c r="H162" s="31">
        <v>0</v>
      </c>
      <c r="I162" s="32">
        <v>0</v>
      </c>
      <c r="J162" s="136"/>
      <c r="K162" s="33"/>
      <c r="L162" s="34">
        <v>0</v>
      </c>
      <c r="M162" s="34">
        <v>0</v>
      </c>
      <c r="N162" s="138"/>
      <c r="O162" s="34">
        <v>0</v>
      </c>
      <c r="P162" s="34">
        <v>0</v>
      </c>
      <c r="Q162" s="34">
        <v>0</v>
      </c>
      <c r="R162" s="138"/>
      <c r="S162" s="37">
        <v>0</v>
      </c>
      <c r="T162" s="34">
        <v>0</v>
      </c>
      <c r="U162" s="34">
        <v>0</v>
      </c>
      <c r="V162" s="138"/>
      <c r="W162" s="38">
        <v>0</v>
      </c>
      <c r="X162" s="31">
        <v>0</v>
      </c>
      <c r="Y162" s="31">
        <v>0</v>
      </c>
      <c r="Z162" s="105"/>
      <c r="AA162" s="37">
        <v>0</v>
      </c>
      <c r="AB162" s="34">
        <v>0</v>
      </c>
      <c r="AC162" s="34">
        <v>0</v>
      </c>
      <c r="AD162" s="105"/>
      <c r="AE162" s="104"/>
      <c r="AF162" s="105"/>
      <c r="AG162" s="43">
        <f t="shared" si="27"/>
        <v>0</v>
      </c>
      <c r="AH162" s="44">
        <f t="shared" si="27"/>
        <v>0</v>
      </c>
      <c r="AI162" s="44">
        <f t="shared" si="27"/>
        <v>0</v>
      </c>
      <c r="AJ162" s="94">
        <f t="shared" si="27"/>
        <v>0</v>
      </c>
      <c r="AK162" s="140">
        <f t="shared" si="29"/>
        <v>0</v>
      </c>
      <c r="AL162" s="47">
        <v>1.5</v>
      </c>
      <c r="AM162" s="48">
        <f t="shared" si="36"/>
        <v>0</v>
      </c>
      <c r="AN162" s="48">
        <f t="shared" si="37"/>
        <v>0</v>
      </c>
      <c r="AO162" s="49">
        <f t="shared" si="35"/>
        <v>0</v>
      </c>
      <c r="AP162" s="49">
        <f t="shared" si="30"/>
        <v>0</v>
      </c>
      <c r="AQ162" s="50">
        <f t="shared" si="31"/>
        <v>0</v>
      </c>
      <c r="AR162" s="106"/>
      <c r="AS162" s="107"/>
      <c r="AT162" s="115"/>
      <c r="AU162" s="100"/>
      <c r="AV162" s="109"/>
      <c r="AW162" s="110"/>
      <c r="AX162" s="110"/>
      <c r="AY162" s="107"/>
      <c r="AZ162" s="116"/>
    </row>
    <row r="163" spans="1:52" s="246" customFormat="1" ht="16.5" thickBot="1" x14ac:dyDescent="0.3">
      <c r="A163" s="134"/>
      <c r="B163" s="134" t="s">
        <v>119</v>
      </c>
      <c r="C163" s="139">
        <v>77</v>
      </c>
      <c r="D163" s="26">
        <f t="shared" si="32"/>
        <v>25.666666666666668</v>
      </c>
      <c r="E163" s="27">
        <f t="shared" si="33"/>
        <v>25.666666666666668</v>
      </c>
      <c r="F163" s="29">
        <f t="shared" si="34"/>
        <v>25.666666666666668</v>
      </c>
      <c r="G163" s="30">
        <v>0</v>
      </c>
      <c r="H163" s="31">
        <v>0</v>
      </c>
      <c r="I163" s="32">
        <v>0</v>
      </c>
      <c r="J163" s="136"/>
      <c r="K163" s="33"/>
      <c r="L163" s="34">
        <v>0</v>
      </c>
      <c r="M163" s="34">
        <v>0</v>
      </c>
      <c r="N163" s="138"/>
      <c r="O163" s="34">
        <v>0</v>
      </c>
      <c r="P163" s="34">
        <v>0</v>
      </c>
      <c r="Q163" s="34">
        <v>0</v>
      </c>
      <c r="R163" s="138"/>
      <c r="S163" s="37">
        <v>0</v>
      </c>
      <c r="T163" s="34">
        <v>0</v>
      </c>
      <c r="U163" s="34">
        <v>0</v>
      </c>
      <c r="V163" s="138"/>
      <c r="W163" s="38">
        <v>0</v>
      </c>
      <c r="X163" s="31">
        <v>0</v>
      </c>
      <c r="Y163" s="31">
        <v>0</v>
      </c>
      <c r="Z163" s="105"/>
      <c r="AA163" s="37">
        <v>0</v>
      </c>
      <c r="AB163" s="34">
        <v>0</v>
      </c>
      <c r="AC163" s="34">
        <v>0</v>
      </c>
      <c r="AD163" s="105"/>
      <c r="AE163" s="104"/>
      <c r="AF163" s="105"/>
      <c r="AG163" s="43">
        <f t="shared" si="27"/>
        <v>0</v>
      </c>
      <c r="AH163" s="44">
        <f t="shared" si="27"/>
        <v>0</v>
      </c>
      <c r="AI163" s="44">
        <f t="shared" si="27"/>
        <v>0</v>
      </c>
      <c r="AJ163" s="94">
        <f t="shared" ref="AJ163:AJ181" si="38">J163+N163+R163+V163+Z163+AD163</f>
        <v>0</v>
      </c>
      <c r="AK163" s="140">
        <f t="shared" si="29"/>
        <v>0</v>
      </c>
      <c r="AL163" s="47">
        <v>1.5</v>
      </c>
      <c r="AM163" s="48">
        <f t="shared" si="36"/>
        <v>0</v>
      </c>
      <c r="AN163" s="48">
        <f t="shared" si="37"/>
        <v>0</v>
      </c>
      <c r="AO163" s="49">
        <f t="shared" si="35"/>
        <v>0</v>
      </c>
      <c r="AP163" s="49">
        <f t="shared" si="30"/>
        <v>0</v>
      </c>
      <c r="AQ163" s="50">
        <f t="shared" si="31"/>
        <v>0</v>
      </c>
      <c r="AR163" s="106"/>
      <c r="AS163" s="107"/>
      <c r="AT163" s="115"/>
      <c r="AU163" s="100"/>
      <c r="AV163" s="109"/>
      <c r="AW163" s="110"/>
      <c r="AX163" s="110"/>
      <c r="AY163" s="107"/>
      <c r="AZ163" s="116"/>
    </row>
    <row r="164" spans="1:52" s="246" customFormat="1" ht="16.5" thickBot="1" x14ac:dyDescent="0.3">
      <c r="A164" s="134"/>
      <c r="B164" s="134" t="s">
        <v>120</v>
      </c>
      <c r="C164" s="139">
        <v>103</v>
      </c>
      <c r="D164" s="26">
        <f t="shared" si="32"/>
        <v>34.333333333333336</v>
      </c>
      <c r="E164" s="27">
        <f t="shared" si="33"/>
        <v>34.333333333333336</v>
      </c>
      <c r="F164" s="29">
        <f t="shared" si="34"/>
        <v>34.333333333333336</v>
      </c>
      <c r="G164" s="30">
        <v>0</v>
      </c>
      <c r="H164" s="31">
        <v>0</v>
      </c>
      <c r="I164" s="32">
        <v>0</v>
      </c>
      <c r="J164" s="136"/>
      <c r="K164" s="33"/>
      <c r="L164" s="34">
        <v>0</v>
      </c>
      <c r="M164" s="34">
        <v>0</v>
      </c>
      <c r="N164" s="138"/>
      <c r="O164" s="34">
        <v>0</v>
      </c>
      <c r="P164" s="34">
        <v>0</v>
      </c>
      <c r="Q164" s="34">
        <v>0</v>
      </c>
      <c r="R164" s="138"/>
      <c r="S164" s="37">
        <v>0</v>
      </c>
      <c r="T164" s="34">
        <v>0</v>
      </c>
      <c r="U164" s="34">
        <v>0</v>
      </c>
      <c r="V164" s="138"/>
      <c r="W164" s="38">
        <v>0</v>
      </c>
      <c r="X164" s="31">
        <v>0</v>
      </c>
      <c r="Y164" s="31">
        <v>0</v>
      </c>
      <c r="Z164" s="105"/>
      <c r="AA164" s="37">
        <v>0</v>
      </c>
      <c r="AB164" s="34">
        <v>0</v>
      </c>
      <c r="AC164" s="34">
        <v>0</v>
      </c>
      <c r="AD164" s="105"/>
      <c r="AE164" s="104"/>
      <c r="AF164" s="105"/>
      <c r="AG164" s="43">
        <f t="shared" ref="AG164:AI183" si="39">G164+K164+O164+S164+W164+AA164</f>
        <v>0</v>
      </c>
      <c r="AH164" s="44">
        <f t="shared" si="39"/>
        <v>0</v>
      </c>
      <c r="AI164" s="44">
        <f t="shared" si="39"/>
        <v>0</v>
      </c>
      <c r="AJ164" s="94">
        <f t="shared" si="38"/>
        <v>0</v>
      </c>
      <c r="AK164" s="140">
        <f t="shared" si="29"/>
        <v>0</v>
      </c>
      <c r="AL164" s="47">
        <v>0.4</v>
      </c>
      <c r="AM164" s="48">
        <f t="shared" si="36"/>
        <v>0</v>
      </c>
      <c r="AN164" s="48">
        <f t="shared" si="37"/>
        <v>0</v>
      </c>
      <c r="AO164" s="49">
        <f t="shared" si="35"/>
        <v>0</v>
      </c>
      <c r="AP164" s="49">
        <f t="shared" si="30"/>
        <v>0</v>
      </c>
      <c r="AQ164" s="50">
        <f t="shared" si="31"/>
        <v>0</v>
      </c>
      <c r="AR164" s="106"/>
      <c r="AS164" s="107"/>
      <c r="AT164" s="115"/>
      <c r="AU164" s="100"/>
      <c r="AV164" s="109"/>
      <c r="AW164" s="110"/>
      <c r="AX164" s="110"/>
      <c r="AY164" s="107"/>
      <c r="AZ164" s="116"/>
    </row>
    <row r="165" spans="1:52" s="246" customFormat="1" ht="16.5" thickBot="1" x14ac:dyDescent="0.3">
      <c r="A165" s="134"/>
      <c r="B165" s="134" t="s">
        <v>121</v>
      </c>
      <c r="C165" s="139">
        <v>155</v>
      </c>
      <c r="D165" s="26">
        <f t="shared" si="32"/>
        <v>51.666666666666664</v>
      </c>
      <c r="E165" s="27">
        <f t="shared" si="33"/>
        <v>51.666666666666664</v>
      </c>
      <c r="F165" s="29">
        <f t="shared" si="34"/>
        <v>51.666666666666664</v>
      </c>
      <c r="G165" s="30">
        <v>1</v>
      </c>
      <c r="H165" s="31">
        <v>0</v>
      </c>
      <c r="I165" s="32">
        <v>0</v>
      </c>
      <c r="J165" s="136"/>
      <c r="K165" s="33"/>
      <c r="L165" s="34">
        <v>0</v>
      </c>
      <c r="M165" s="34">
        <v>0</v>
      </c>
      <c r="N165" s="138"/>
      <c r="O165" s="34">
        <v>0</v>
      </c>
      <c r="P165" s="34">
        <v>0</v>
      </c>
      <c r="Q165" s="34">
        <v>0</v>
      </c>
      <c r="R165" s="138"/>
      <c r="S165" s="37">
        <v>0</v>
      </c>
      <c r="T165" s="34">
        <v>0</v>
      </c>
      <c r="U165" s="34">
        <v>1</v>
      </c>
      <c r="V165" s="138"/>
      <c r="W165" s="38">
        <v>0</v>
      </c>
      <c r="X165" s="31">
        <v>0</v>
      </c>
      <c r="Y165" s="31">
        <v>0</v>
      </c>
      <c r="Z165" s="105"/>
      <c r="AA165" s="37">
        <v>0</v>
      </c>
      <c r="AB165" s="34">
        <v>0</v>
      </c>
      <c r="AC165" s="34">
        <v>1</v>
      </c>
      <c r="AD165" s="105"/>
      <c r="AE165" s="104"/>
      <c r="AF165" s="105"/>
      <c r="AG165" s="43">
        <f t="shared" si="39"/>
        <v>1</v>
      </c>
      <c r="AH165" s="44">
        <f t="shared" si="39"/>
        <v>0</v>
      </c>
      <c r="AI165" s="44">
        <f t="shared" si="39"/>
        <v>2</v>
      </c>
      <c r="AJ165" s="94">
        <f t="shared" si="38"/>
        <v>0</v>
      </c>
      <c r="AK165" s="140">
        <f t="shared" si="29"/>
        <v>3</v>
      </c>
      <c r="AL165" s="47">
        <v>1.5</v>
      </c>
      <c r="AM165" s="48">
        <f t="shared" si="36"/>
        <v>1.5</v>
      </c>
      <c r="AN165" s="48">
        <f t="shared" si="37"/>
        <v>0</v>
      </c>
      <c r="AO165" s="49">
        <f t="shared" si="35"/>
        <v>3</v>
      </c>
      <c r="AP165" s="49">
        <f t="shared" si="30"/>
        <v>0</v>
      </c>
      <c r="AQ165" s="50">
        <f t="shared" si="31"/>
        <v>180</v>
      </c>
      <c r="AR165" s="106"/>
      <c r="AS165" s="107"/>
      <c r="AT165" s="115"/>
      <c r="AU165" s="100"/>
      <c r="AV165" s="109"/>
      <c r="AW165" s="110"/>
      <c r="AX165" s="110"/>
      <c r="AY165" s="107"/>
      <c r="AZ165" s="116"/>
    </row>
    <row r="166" spans="1:52" s="246" customFormat="1" ht="16.5" thickBot="1" x14ac:dyDescent="0.3">
      <c r="A166" s="134">
        <v>300</v>
      </c>
      <c r="B166" s="134" t="s">
        <v>25</v>
      </c>
      <c r="C166" s="139"/>
      <c r="D166" s="26">
        <f t="shared" si="32"/>
        <v>0</v>
      </c>
      <c r="E166" s="27">
        <f t="shared" si="33"/>
        <v>0</v>
      </c>
      <c r="F166" s="29">
        <f t="shared" si="34"/>
        <v>0</v>
      </c>
      <c r="G166" s="30">
        <v>0</v>
      </c>
      <c r="H166" s="31">
        <v>0</v>
      </c>
      <c r="I166" s="32">
        <v>0</v>
      </c>
      <c r="J166" s="136"/>
      <c r="K166" s="33"/>
      <c r="L166" s="34">
        <v>0</v>
      </c>
      <c r="M166" s="34">
        <v>0</v>
      </c>
      <c r="N166" s="138"/>
      <c r="O166" s="34">
        <v>0</v>
      </c>
      <c r="P166" s="34">
        <v>0</v>
      </c>
      <c r="Q166" s="34">
        <v>0</v>
      </c>
      <c r="R166" s="138"/>
      <c r="S166" s="37">
        <v>0</v>
      </c>
      <c r="T166" s="34">
        <v>0</v>
      </c>
      <c r="U166" s="34">
        <v>0</v>
      </c>
      <c r="V166" s="138"/>
      <c r="W166" s="38">
        <v>0</v>
      </c>
      <c r="X166" s="31">
        <v>0</v>
      </c>
      <c r="Y166" s="31">
        <v>0</v>
      </c>
      <c r="Z166" s="105"/>
      <c r="AA166" s="37">
        <v>0</v>
      </c>
      <c r="AB166" s="34">
        <v>0</v>
      </c>
      <c r="AC166" s="34">
        <v>0</v>
      </c>
      <c r="AD166" s="105"/>
      <c r="AE166" s="104"/>
      <c r="AF166" s="105"/>
      <c r="AG166" s="43">
        <f t="shared" si="39"/>
        <v>0</v>
      </c>
      <c r="AH166" s="44">
        <f t="shared" si="39"/>
        <v>0</v>
      </c>
      <c r="AI166" s="44">
        <f t="shared" si="39"/>
        <v>0</v>
      </c>
      <c r="AJ166" s="94">
        <f t="shared" si="38"/>
        <v>0</v>
      </c>
      <c r="AK166" s="140">
        <f t="shared" si="29"/>
        <v>0</v>
      </c>
      <c r="AL166" s="47">
        <v>1.3</v>
      </c>
      <c r="AM166" s="48">
        <f t="shared" si="36"/>
        <v>0</v>
      </c>
      <c r="AN166" s="48">
        <f t="shared" si="37"/>
        <v>0</v>
      </c>
      <c r="AO166" s="49">
        <f t="shared" si="35"/>
        <v>0</v>
      </c>
      <c r="AP166" s="49">
        <f t="shared" si="30"/>
        <v>0</v>
      </c>
      <c r="AQ166" s="50">
        <f t="shared" si="31"/>
        <v>0</v>
      </c>
      <c r="AR166" s="106"/>
      <c r="AS166" s="107"/>
      <c r="AT166" s="115"/>
      <c r="AU166" s="100"/>
      <c r="AV166" s="109"/>
      <c r="AW166" s="110"/>
      <c r="AX166" s="110"/>
      <c r="AY166" s="107"/>
      <c r="AZ166" s="116"/>
    </row>
    <row r="167" spans="1:52" s="246" customFormat="1" ht="16.5" thickBot="1" x14ac:dyDescent="0.3">
      <c r="A167" s="134"/>
      <c r="B167" s="134" t="s">
        <v>188</v>
      </c>
      <c r="C167" s="139">
        <v>155</v>
      </c>
      <c r="D167" s="26">
        <f t="shared" si="32"/>
        <v>51.666666666666664</v>
      </c>
      <c r="E167" s="27">
        <f t="shared" si="33"/>
        <v>51.666666666666664</v>
      </c>
      <c r="F167" s="29">
        <f t="shared" si="34"/>
        <v>51.666666666666664</v>
      </c>
      <c r="G167" s="30">
        <v>0</v>
      </c>
      <c r="H167" s="31">
        <v>0</v>
      </c>
      <c r="I167" s="32">
        <v>0</v>
      </c>
      <c r="J167" s="136"/>
      <c r="K167" s="33"/>
      <c r="L167" s="34">
        <v>0</v>
      </c>
      <c r="M167" s="34">
        <v>0</v>
      </c>
      <c r="N167" s="138"/>
      <c r="O167" s="34">
        <v>0</v>
      </c>
      <c r="P167" s="34">
        <v>0</v>
      </c>
      <c r="Q167" s="34">
        <v>0</v>
      </c>
      <c r="R167" s="138"/>
      <c r="S167" s="37">
        <v>0</v>
      </c>
      <c r="T167" s="34">
        <v>0</v>
      </c>
      <c r="U167" s="34">
        <v>0</v>
      </c>
      <c r="V167" s="138"/>
      <c r="W167" s="38">
        <v>0</v>
      </c>
      <c r="X167" s="31">
        <v>0</v>
      </c>
      <c r="Y167" s="31">
        <v>0</v>
      </c>
      <c r="Z167" s="105"/>
      <c r="AA167" s="37">
        <v>0</v>
      </c>
      <c r="AB167" s="34">
        <v>0</v>
      </c>
      <c r="AC167" s="34">
        <v>0</v>
      </c>
      <c r="AD167" s="105"/>
      <c r="AE167" s="104"/>
      <c r="AF167" s="105"/>
      <c r="AG167" s="43">
        <f t="shared" si="39"/>
        <v>0</v>
      </c>
      <c r="AH167" s="44">
        <f t="shared" si="39"/>
        <v>0</v>
      </c>
      <c r="AI167" s="44">
        <f t="shared" si="39"/>
        <v>0</v>
      </c>
      <c r="AJ167" s="94">
        <f t="shared" si="38"/>
        <v>0</v>
      </c>
      <c r="AK167" s="140">
        <f t="shared" si="29"/>
        <v>0</v>
      </c>
      <c r="AL167" s="47">
        <v>0.5</v>
      </c>
      <c r="AM167" s="48">
        <f t="shared" si="36"/>
        <v>0</v>
      </c>
      <c r="AN167" s="48">
        <f t="shared" si="37"/>
        <v>0</v>
      </c>
      <c r="AO167" s="49">
        <f t="shared" si="35"/>
        <v>0</v>
      </c>
      <c r="AP167" s="49">
        <f t="shared" si="30"/>
        <v>0</v>
      </c>
      <c r="AQ167" s="50">
        <f t="shared" si="31"/>
        <v>0</v>
      </c>
      <c r="AR167" s="106"/>
      <c r="AS167" s="107"/>
      <c r="AT167" s="115"/>
      <c r="AU167" s="100"/>
      <c r="AV167" s="109"/>
      <c r="AW167" s="110"/>
      <c r="AX167" s="110"/>
      <c r="AY167" s="107"/>
      <c r="AZ167" s="116"/>
    </row>
    <row r="168" spans="1:52" s="246" customFormat="1" ht="16.5" thickBot="1" x14ac:dyDescent="0.3">
      <c r="A168" s="134"/>
      <c r="B168" s="134" t="s">
        <v>187</v>
      </c>
      <c r="C168" s="139"/>
      <c r="D168" s="26"/>
      <c r="E168" s="27"/>
      <c r="F168" s="29"/>
      <c r="G168" s="30">
        <v>0</v>
      </c>
      <c r="H168" s="31">
        <v>0</v>
      </c>
      <c r="I168" s="32">
        <v>0</v>
      </c>
      <c r="J168" s="136"/>
      <c r="K168" s="33"/>
      <c r="L168" s="34">
        <v>0</v>
      </c>
      <c r="M168" s="34">
        <v>0</v>
      </c>
      <c r="N168" s="138"/>
      <c r="O168" s="34">
        <v>0</v>
      </c>
      <c r="P168" s="34">
        <v>0</v>
      </c>
      <c r="Q168" s="34">
        <v>0</v>
      </c>
      <c r="R168" s="138"/>
      <c r="S168" s="37">
        <v>0</v>
      </c>
      <c r="T168" s="34">
        <v>0</v>
      </c>
      <c r="U168" s="34">
        <v>1</v>
      </c>
      <c r="V168" s="138"/>
      <c r="W168" s="38">
        <v>1</v>
      </c>
      <c r="X168" s="31">
        <v>0</v>
      </c>
      <c r="Y168" s="31">
        <v>0</v>
      </c>
      <c r="Z168" s="105"/>
      <c r="AA168" s="37">
        <v>0</v>
      </c>
      <c r="AB168" s="34">
        <v>0</v>
      </c>
      <c r="AC168" s="34">
        <v>0</v>
      </c>
      <c r="AD168" s="105"/>
      <c r="AE168" s="104"/>
      <c r="AF168" s="105"/>
      <c r="AG168" s="43"/>
      <c r="AH168" s="44"/>
      <c r="AI168" s="44"/>
      <c r="AJ168" s="94"/>
      <c r="AK168" s="140"/>
      <c r="AL168" s="47"/>
      <c r="AM168" s="48"/>
      <c r="AN168" s="48"/>
      <c r="AO168" s="49"/>
      <c r="AP168" s="49"/>
      <c r="AQ168" s="50"/>
      <c r="AR168" s="106"/>
      <c r="AS168" s="107"/>
      <c r="AT168" s="115"/>
      <c r="AU168" s="100"/>
      <c r="AV168" s="109"/>
      <c r="AW168" s="110"/>
      <c r="AX168" s="110"/>
      <c r="AY168" s="107"/>
      <c r="AZ168" s="116"/>
    </row>
    <row r="169" spans="1:52" s="246" customFormat="1" ht="16.5" thickBot="1" x14ac:dyDescent="0.3">
      <c r="A169" s="134">
        <v>360</v>
      </c>
      <c r="B169" s="134" t="s">
        <v>88</v>
      </c>
      <c r="C169" s="139">
        <v>948</v>
      </c>
      <c r="D169" s="26">
        <f t="shared" si="32"/>
        <v>316</v>
      </c>
      <c r="E169" s="27">
        <f t="shared" si="33"/>
        <v>316</v>
      </c>
      <c r="F169" s="29">
        <f t="shared" si="34"/>
        <v>316</v>
      </c>
      <c r="G169" s="30">
        <v>1</v>
      </c>
      <c r="H169" s="31">
        <v>15</v>
      </c>
      <c r="I169" s="32">
        <v>30</v>
      </c>
      <c r="J169" s="136"/>
      <c r="K169" s="33"/>
      <c r="L169" s="34">
        <v>5</v>
      </c>
      <c r="M169" s="34">
        <v>10</v>
      </c>
      <c r="N169" s="138"/>
      <c r="O169" s="34">
        <v>4</v>
      </c>
      <c r="P169" s="34">
        <v>5</v>
      </c>
      <c r="Q169" s="34">
        <v>11</v>
      </c>
      <c r="R169" s="138"/>
      <c r="S169" s="37">
        <v>3</v>
      </c>
      <c r="T169" s="34">
        <v>2</v>
      </c>
      <c r="U169" s="34">
        <v>2</v>
      </c>
      <c r="V169" s="138"/>
      <c r="W169" s="38">
        <v>23</v>
      </c>
      <c r="X169" s="31">
        <v>10</v>
      </c>
      <c r="Y169" s="31">
        <v>11</v>
      </c>
      <c r="Z169" s="105"/>
      <c r="AA169" s="37">
        <v>0</v>
      </c>
      <c r="AB169" s="34">
        <v>0</v>
      </c>
      <c r="AC169" s="34">
        <v>17</v>
      </c>
      <c r="AD169" s="105"/>
      <c r="AE169" s="104"/>
      <c r="AF169" s="105"/>
      <c r="AG169" s="43">
        <f t="shared" si="39"/>
        <v>31</v>
      </c>
      <c r="AH169" s="44">
        <f t="shared" si="39"/>
        <v>37</v>
      </c>
      <c r="AI169" s="44">
        <f t="shared" si="39"/>
        <v>81</v>
      </c>
      <c r="AJ169" s="94">
        <f t="shared" si="38"/>
        <v>0</v>
      </c>
      <c r="AK169" s="140">
        <f t="shared" si="29"/>
        <v>149</v>
      </c>
      <c r="AL169" s="47">
        <v>1.3</v>
      </c>
      <c r="AM169" s="48">
        <f t="shared" si="36"/>
        <v>40.300000000000004</v>
      </c>
      <c r="AN169" s="48">
        <f t="shared" si="37"/>
        <v>48.1</v>
      </c>
      <c r="AO169" s="49">
        <f t="shared" si="35"/>
        <v>105.3</v>
      </c>
      <c r="AP169" s="49">
        <f t="shared" si="30"/>
        <v>0</v>
      </c>
      <c r="AQ169" s="50">
        <f t="shared" si="31"/>
        <v>8940</v>
      </c>
      <c r="AR169" s="106"/>
      <c r="AS169" s="107"/>
      <c r="AT169" s="115"/>
      <c r="AU169" s="100"/>
      <c r="AV169" s="109"/>
      <c r="AW169" s="110"/>
      <c r="AX169" s="110"/>
      <c r="AY169" s="107"/>
      <c r="AZ169" s="116"/>
    </row>
    <row r="170" spans="1:52" s="246" customFormat="1" ht="16.5" thickBot="1" x14ac:dyDescent="0.3">
      <c r="A170" s="134">
        <v>360</v>
      </c>
      <c r="B170" s="134" t="s">
        <v>122</v>
      </c>
      <c r="C170" s="139">
        <v>655</v>
      </c>
      <c r="D170" s="26">
        <f t="shared" si="32"/>
        <v>218.33333333333334</v>
      </c>
      <c r="E170" s="27">
        <f t="shared" si="33"/>
        <v>218.33333333333334</v>
      </c>
      <c r="F170" s="29">
        <f t="shared" si="34"/>
        <v>218.33333333333334</v>
      </c>
      <c r="G170" s="30">
        <v>16</v>
      </c>
      <c r="H170" s="31">
        <v>13</v>
      </c>
      <c r="I170" s="32">
        <v>29</v>
      </c>
      <c r="J170" s="136"/>
      <c r="K170" s="33"/>
      <c r="L170" s="34">
        <v>10</v>
      </c>
      <c r="M170" s="34">
        <v>6</v>
      </c>
      <c r="N170" s="138"/>
      <c r="O170" s="34">
        <v>23</v>
      </c>
      <c r="P170" s="34">
        <v>12</v>
      </c>
      <c r="Q170" s="34">
        <v>9</v>
      </c>
      <c r="R170" s="138"/>
      <c r="S170" s="37">
        <v>13</v>
      </c>
      <c r="T170" s="34">
        <v>27</v>
      </c>
      <c r="U170" s="34">
        <v>25</v>
      </c>
      <c r="V170" s="138"/>
      <c r="W170" s="38">
        <v>7</v>
      </c>
      <c r="X170" s="31">
        <v>3</v>
      </c>
      <c r="Y170" s="31">
        <v>12</v>
      </c>
      <c r="Z170" s="105"/>
      <c r="AA170" s="37">
        <v>30</v>
      </c>
      <c r="AB170" s="34">
        <v>8</v>
      </c>
      <c r="AC170" s="34">
        <v>20</v>
      </c>
      <c r="AD170" s="105"/>
      <c r="AE170" s="104"/>
      <c r="AF170" s="105"/>
      <c r="AG170" s="43">
        <f t="shared" si="39"/>
        <v>89</v>
      </c>
      <c r="AH170" s="44">
        <f t="shared" si="39"/>
        <v>73</v>
      </c>
      <c r="AI170" s="44">
        <f t="shared" si="39"/>
        <v>101</v>
      </c>
      <c r="AJ170" s="94">
        <f t="shared" si="38"/>
        <v>0</v>
      </c>
      <c r="AK170" s="140">
        <f t="shared" si="29"/>
        <v>263</v>
      </c>
      <c r="AL170" s="47">
        <v>0.75</v>
      </c>
      <c r="AM170" s="48">
        <f t="shared" si="36"/>
        <v>66.75</v>
      </c>
      <c r="AN170" s="48">
        <f t="shared" si="37"/>
        <v>54.75</v>
      </c>
      <c r="AO170" s="49">
        <f t="shared" si="35"/>
        <v>75.75</v>
      </c>
      <c r="AP170" s="49">
        <f t="shared" si="30"/>
        <v>0</v>
      </c>
      <c r="AQ170" s="71"/>
      <c r="AR170" s="106"/>
      <c r="AS170" s="107"/>
      <c r="AT170" s="115"/>
      <c r="AU170" s="100"/>
      <c r="AV170" s="109"/>
      <c r="AW170" s="110"/>
      <c r="AX170" s="110"/>
      <c r="AY170" s="107"/>
      <c r="AZ170" s="116"/>
    </row>
    <row r="171" spans="1:52" s="246" customFormat="1" ht="16.5" thickBot="1" x14ac:dyDescent="0.3">
      <c r="A171" s="134">
        <v>360</v>
      </c>
      <c r="B171" s="134" t="s">
        <v>123</v>
      </c>
      <c r="C171" s="139">
        <v>330</v>
      </c>
      <c r="D171" s="26">
        <f t="shared" si="32"/>
        <v>110</v>
      </c>
      <c r="E171" s="27">
        <f t="shared" si="33"/>
        <v>110</v>
      </c>
      <c r="F171" s="29">
        <f t="shared" si="34"/>
        <v>110</v>
      </c>
      <c r="G171" s="30">
        <v>18</v>
      </c>
      <c r="H171" s="31">
        <v>20</v>
      </c>
      <c r="I171" s="32">
        <v>24</v>
      </c>
      <c r="J171" s="136"/>
      <c r="K171" s="33"/>
      <c r="L171" s="34">
        <v>10</v>
      </c>
      <c r="M171" s="34">
        <v>12</v>
      </c>
      <c r="N171" s="138"/>
      <c r="O171" s="34">
        <v>17</v>
      </c>
      <c r="P171" s="34">
        <v>5</v>
      </c>
      <c r="Q171" s="34">
        <v>9</v>
      </c>
      <c r="R171" s="138"/>
      <c r="S171" s="37">
        <v>7</v>
      </c>
      <c r="T171" s="34">
        <v>26</v>
      </c>
      <c r="U171" s="34">
        <v>25</v>
      </c>
      <c r="V171" s="138"/>
      <c r="W171" s="38">
        <v>8</v>
      </c>
      <c r="X171" s="31">
        <v>3</v>
      </c>
      <c r="Y171" s="31">
        <v>10</v>
      </c>
      <c r="Z171" s="105"/>
      <c r="AA171" s="37">
        <v>35</v>
      </c>
      <c r="AB171" s="34">
        <v>16</v>
      </c>
      <c r="AC171" s="34">
        <v>16</v>
      </c>
      <c r="AD171" s="105"/>
      <c r="AE171" s="104"/>
      <c r="AF171" s="105"/>
      <c r="AG171" s="43">
        <f t="shared" si="39"/>
        <v>85</v>
      </c>
      <c r="AH171" s="44">
        <f t="shared" si="39"/>
        <v>80</v>
      </c>
      <c r="AI171" s="44">
        <f t="shared" si="39"/>
        <v>96</v>
      </c>
      <c r="AJ171" s="94">
        <f t="shared" si="38"/>
        <v>0</v>
      </c>
      <c r="AK171" s="140">
        <f t="shared" si="29"/>
        <v>261</v>
      </c>
      <c r="AL171" s="47">
        <v>0.75</v>
      </c>
      <c r="AM171" s="48">
        <f t="shared" si="36"/>
        <v>63.75</v>
      </c>
      <c r="AN171" s="48">
        <f t="shared" si="37"/>
        <v>60</v>
      </c>
      <c r="AO171" s="49">
        <f t="shared" si="35"/>
        <v>72</v>
      </c>
      <c r="AP171" s="49">
        <f t="shared" si="30"/>
        <v>0</v>
      </c>
      <c r="AQ171" s="71"/>
      <c r="AR171" s="106"/>
      <c r="AS171" s="107"/>
      <c r="AT171" s="115"/>
      <c r="AU171" s="100"/>
      <c r="AV171" s="109"/>
      <c r="AW171" s="110"/>
      <c r="AX171" s="110"/>
      <c r="AY171" s="107"/>
      <c r="AZ171" s="116"/>
    </row>
    <row r="172" spans="1:52" s="246" customFormat="1" ht="16.5" thickBot="1" x14ac:dyDescent="0.3">
      <c r="A172" s="134">
        <v>360</v>
      </c>
      <c r="B172" s="134" t="s">
        <v>124</v>
      </c>
      <c r="C172" s="139">
        <v>2313</v>
      </c>
      <c r="D172" s="26">
        <f t="shared" si="32"/>
        <v>771</v>
      </c>
      <c r="E172" s="27">
        <f t="shared" si="33"/>
        <v>771</v>
      </c>
      <c r="F172" s="29">
        <f t="shared" si="34"/>
        <v>771</v>
      </c>
      <c r="G172" s="30">
        <v>25</v>
      </c>
      <c r="H172" s="31">
        <v>19</v>
      </c>
      <c r="I172" s="32">
        <v>27</v>
      </c>
      <c r="J172" s="136"/>
      <c r="K172" s="33"/>
      <c r="L172" s="34">
        <v>10</v>
      </c>
      <c r="M172" s="34">
        <v>19</v>
      </c>
      <c r="N172" s="138"/>
      <c r="O172" s="34">
        <v>18</v>
      </c>
      <c r="P172" s="34">
        <v>17</v>
      </c>
      <c r="Q172" s="34">
        <v>6</v>
      </c>
      <c r="R172" s="138"/>
      <c r="S172" s="37">
        <v>14</v>
      </c>
      <c r="T172" s="34">
        <v>18</v>
      </c>
      <c r="U172" s="34">
        <v>25</v>
      </c>
      <c r="V172" s="138"/>
      <c r="W172" s="38">
        <v>4</v>
      </c>
      <c r="X172" s="31">
        <v>7</v>
      </c>
      <c r="Y172" s="31">
        <v>18</v>
      </c>
      <c r="Z172" s="105"/>
      <c r="AA172" s="37">
        <v>39</v>
      </c>
      <c r="AB172" s="34">
        <v>20</v>
      </c>
      <c r="AC172" s="34">
        <v>15</v>
      </c>
      <c r="AD172" s="105"/>
      <c r="AE172" s="104"/>
      <c r="AF172" s="105"/>
      <c r="AG172" s="43">
        <f t="shared" si="39"/>
        <v>100</v>
      </c>
      <c r="AH172" s="44">
        <f t="shared" si="39"/>
        <v>91</v>
      </c>
      <c r="AI172" s="44">
        <f t="shared" si="39"/>
        <v>110</v>
      </c>
      <c r="AJ172" s="94">
        <f t="shared" si="38"/>
        <v>0</v>
      </c>
      <c r="AK172" s="140">
        <f t="shared" si="29"/>
        <v>301</v>
      </c>
      <c r="AL172" s="47">
        <v>0.75</v>
      </c>
      <c r="AM172" s="48">
        <f t="shared" si="36"/>
        <v>75</v>
      </c>
      <c r="AN172" s="48">
        <f t="shared" si="37"/>
        <v>68.25</v>
      </c>
      <c r="AO172" s="49">
        <f t="shared" si="35"/>
        <v>82.5</v>
      </c>
      <c r="AP172" s="49">
        <f t="shared" si="30"/>
        <v>0</v>
      </c>
      <c r="AQ172" s="71"/>
      <c r="AR172" s="106"/>
      <c r="AS172" s="107"/>
      <c r="AT172" s="115"/>
      <c r="AU172" s="100"/>
      <c r="AV172" s="109"/>
      <c r="AW172" s="110"/>
      <c r="AX172" s="110"/>
      <c r="AY172" s="107"/>
      <c r="AZ172" s="116"/>
    </row>
    <row r="173" spans="1:52" s="246" customFormat="1" ht="16.5" thickBot="1" x14ac:dyDescent="0.3">
      <c r="A173" s="134">
        <v>360</v>
      </c>
      <c r="B173" s="134" t="s">
        <v>125</v>
      </c>
      <c r="C173" s="139">
        <v>330</v>
      </c>
      <c r="D173" s="26">
        <f t="shared" si="32"/>
        <v>110</v>
      </c>
      <c r="E173" s="27">
        <f t="shared" si="33"/>
        <v>110</v>
      </c>
      <c r="F173" s="29">
        <f t="shared" si="34"/>
        <v>110</v>
      </c>
      <c r="G173" s="30">
        <v>0</v>
      </c>
      <c r="H173" s="31">
        <v>0</v>
      </c>
      <c r="I173" s="32">
        <v>0</v>
      </c>
      <c r="J173" s="136"/>
      <c r="K173" s="33"/>
      <c r="L173" s="34">
        <v>0</v>
      </c>
      <c r="M173" s="34">
        <v>0</v>
      </c>
      <c r="N173" s="138"/>
      <c r="O173" s="34">
        <v>0</v>
      </c>
      <c r="P173" s="34">
        <v>0</v>
      </c>
      <c r="Q173" s="34">
        <v>0</v>
      </c>
      <c r="R173" s="138"/>
      <c r="S173" s="37">
        <v>0</v>
      </c>
      <c r="T173" s="34">
        <v>0</v>
      </c>
      <c r="U173" s="34">
        <v>0</v>
      </c>
      <c r="V173" s="138"/>
      <c r="W173" s="38">
        <v>0</v>
      </c>
      <c r="X173" s="31">
        <v>0</v>
      </c>
      <c r="Y173" s="31">
        <v>0</v>
      </c>
      <c r="Z173" s="105"/>
      <c r="AA173" s="37">
        <v>0</v>
      </c>
      <c r="AB173" s="34">
        <v>0</v>
      </c>
      <c r="AC173" s="34">
        <v>0</v>
      </c>
      <c r="AD173" s="105"/>
      <c r="AE173" s="104"/>
      <c r="AF173" s="105"/>
      <c r="AG173" s="43">
        <f t="shared" si="39"/>
        <v>0</v>
      </c>
      <c r="AH173" s="44">
        <f t="shared" si="39"/>
        <v>0</v>
      </c>
      <c r="AI173" s="44">
        <f t="shared" si="39"/>
        <v>0</v>
      </c>
      <c r="AJ173" s="94">
        <f t="shared" si="38"/>
        <v>0</v>
      </c>
      <c r="AK173" s="140">
        <f t="shared" si="29"/>
        <v>0</v>
      </c>
      <c r="AL173" s="47">
        <v>0.75</v>
      </c>
      <c r="AM173" s="48">
        <f t="shared" si="36"/>
        <v>0</v>
      </c>
      <c r="AN173" s="48">
        <f t="shared" si="37"/>
        <v>0</v>
      </c>
      <c r="AO173" s="49">
        <f t="shared" si="35"/>
        <v>0</v>
      </c>
      <c r="AP173" s="49">
        <f t="shared" si="30"/>
        <v>0</v>
      </c>
      <c r="AQ173" s="71"/>
      <c r="AR173" s="106"/>
      <c r="AS173" s="107"/>
      <c r="AT173" s="115"/>
      <c r="AU173" s="100"/>
      <c r="AV173" s="109"/>
      <c r="AW173" s="110"/>
      <c r="AX173" s="110"/>
      <c r="AY173" s="107"/>
      <c r="AZ173" s="116"/>
    </row>
    <row r="174" spans="1:52" s="246" customFormat="1" ht="16.5" thickBot="1" x14ac:dyDescent="0.3">
      <c r="A174" s="134">
        <v>360</v>
      </c>
      <c r="B174" s="134" t="s">
        <v>126</v>
      </c>
      <c r="C174" s="139">
        <v>328</v>
      </c>
      <c r="D174" s="26">
        <f t="shared" si="32"/>
        <v>109.33333333333333</v>
      </c>
      <c r="E174" s="27">
        <f t="shared" si="33"/>
        <v>109.33333333333333</v>
      </c>
      <c r="F174" s="29">
        <f t="shared" si="34"/>
        <v>109.33333333333333</v>
      </c>
      <c r="G174" s="30">
        <v>0</v>
      </c>
      <c r="H174" s="31">
        <v>0</v>
      </c>
      <c r="I174" s="32">
        <v>0</v>
      </c>
      <c r="J174" s="136"/>
      <c r="K174" s="33"/>
      <c r="L174" s="34">
        <v>0</v>
      </c>
      <c r="M174" s="34">
        <v>0</v>
      </c>
      <c r="N174" s="138"/>
      <c r="O174" s="34">
        <v>0</v>
      </c>
      <c r="P174" s="34">
        <v>0</v>
      </c>
      <c r="Q174" s="34">
        <v>0</v>
      </c>
      <c r="R174" s="138"/>
      <c r="S174" s="37">
        <v>0</v>
      </c>
      <c r="T174" s="34">
        <v>0</v>
      </c>
      <c r="U174" s="34">
        <v>0</v>
      </c>
      <c r="V174" s="138"/>
      <c r="W174" s="38">
        <v>0</v>
      </c>
      <c r="X174" s="31">
        <v>0</v>
      </c>
      <c r="Y174" s="31">
        <v>0</v>
      </c>
      <c r="Z174" s="105"/>
      <c r="AA174" s="37">
        <v>0</v>
      </c>
      <c r="AB174" s="34">
        <v>0</v>
      </c>
      <c r="AC174" s="34">
        <v>0</v>
      </c>
      <c r="AD174" s="105"/>
      <c r="AE174" s="104"/>
      <c r="AF174" s="105"/>
      <c r="AG174" s="43">
        <f t="shared" si="39"/>
        <v>0</v>
      </c>
      <c r="AH174" s="44">
        <f t="shared" si="39"/>
        <v>0</v>
      </c>
      <c r="AI174" s="44">
        <f t="shared" si="39"/>
        <v>0</v>
      </c>
      <c r="AJ174" s="94">
        <f t="shared" si="38"/>
        <v>0</v>
      </c>
      <c r="AK174" s="140">
        <f t="shared" si="29"/>
        <v>0</v>
      </c>
      <c r="AL174" s="47">
        <v>0.75</v>
      </c>
      <c r="AM174" s="48">
        <f t="shared" si="36"/>
        <v>0</v>
      </c>
      <c r="AN174" s="48">
        <f t="shared" si="37"/>
        <v>0</v>
      </c>
      <c r="AO174" s="49">
        <f t="shared" si="35"/>
        <v>0</v>
      </c>
      <c r="AP174" s="49"/>
      <c r="AQ174" s="71"/>
      <c r="AR174" s="106"/>
      <c r="AS174" s="107"/>
      <c r="AT174" s="115"/>
      <c r="AU174" s="100"/>
      <c r="AV174" s="109"/>
      <c r="AW174" s="110"/>
      <c r="AX174" s="110"/>
      <c r="AY174" s="107"/>
      <c r="AZ174" s="116"/>
    </row>
    <row r="175" spans="1:52" s="246" customFormat="1" ht="16.5" thickBot="1" x14ac:dyDescent="0.3">
      <c r="A175" s="134">
        <v>360</v>
      </c>
      <c r="B175" s="134" t="s">
        <v>127</v>
      </c>
      <c r="C175" s="139">
        <v>655</v>
      </c>
      <c r="D175" s="26">
        <f t="shared" si="32"/>
        <v>218.33333333333334</v>
      </c>
      <c r="E175" s="27">
        <f t="shared" si="33"/>
        <v>218.33333333333334</v>
      </c>
      <c r="F175" s="29">
        <f t="shared" si="34"/>
        <v>218.33333333333334</v>
      </c>
      <c r="G175" s="30">
        <v>0</v>
      </c>
      <c r="H175" s="31">
        <v>0</v>
      </c>
      <c r="I175" s="32">
        <v>0</v>
      </c>
      <c r="J175" s="136"/>
      <c r="K175" s="33"/>
      <c r="L175" s="34">
        <v>0</v>
      </c>
      <c r="M175" s="34">
        <v>0</v>
      </c>
      <c r="N175" s="138"/>
      <c r="O175" s="34">
        <v>0</v>
      </c>
      <c r="P175" s="34">
        <v>0</v>
      </c>
      <c r="Q175" s="34">
        <v>0</v>
      </c>
      <c r="R175" s="138"/>
      <c r="S175" s="37">
        <v>0</v>
      </c>
      <c r="T175" s="34">
        <v>0</v>
      </c>
      <c r="U175" s="34">
        <v>0</v>
      </c>
      <c r="V175" s="138"/>
      <c r="W175" s="38">
        <v>0</v>
      </c>
      <c r="X175" s="31">
        <v>0</v>
      </c>
      <c r="Y175" s="31">
        <v>0</v>
      </c>
      <c r="Z175" s="105"/>
      <c r="AA175" s="37">
        <v>0</v>
      </c>
      <c r="AB175" s="34">
        <v>0</v>
      </c>
      <c r="AC175" s="34">
        <v>0</v>
      </c>
      <c r="AD175" s="105"/>
      <c r="AE175" s="104"/>
      <c r="AF175" s="105"/>
      <c r="AG175" s="43">
        <f t="shared" si="39"/>
        <v>0</v>
      </c>
      <c r="AH175" s="44">
        <f t="shared" si="39"/>
        <v>0</v>
      </c>
      <c r="AI175" s="44">
        <f t="shared" si="39"/>
        <v>0</v>
      </c>
      <c r="AJ175" s="94">
        <f t="shared" si="38"/>
        <v>0</v>
      </c>
      <c r="AK175" s="140">
        <f t="shared" si="29"/>
        <v>0</v>
      </c>
      <c r="AL175" s="47">
        <v>0.75</v>
      </c>
      <c r="AM175" s="48">
        <f t="shared" si="36"/>
        <v>0</v>
      </c>
      <c r="AN175" s="48">
        <f t="shared" si="37"/>
        <v>0</v>
      </c>
      <c r="AO175" s="49">
        <f t="shared" si="35"/>
        <v>0</v>
      </c>
      <c r="AP175" s="49"/>
      <c r="AQ175" s="71"/>
      <c r="AR175" s="106"/>
      <c r="AS175" s="107"/>
      <c r="AT175" s="115"/>
      <c r="AU175" s="100"/>
      <c r="AV175" s="109"/>
      <c r="AW175" s="110"/>
      <c r="AX175" s="110"/>
      <c r="AY175" s="107"/>
      <c r="AZ175" s="116"/>
    </row>
    <row r="176" spans="1:52" s="246" customFormat="1" ht="16.5" thickBot="1" x14ac:dyDescent="0.3">
      <c r="A176" s="134">
        <v>360</v>
      </c>
      <c r="B176" s="134" t="s">
        <v>128</v>
      </c>
      <c r="C176" s="139">
        <v>330</v>
      </c>
      <c r="D176" s="26">
        <f t="shared" si="32"/>
        <v>110</v>
      </c>
      <c r="E176" s="27">
        <f t="shared" si="33"/>
        <v>110</v>
      </c>
      <c r="F176" s="29">
        <f t="shared" si="34"/>
        <v>110</v>
      </c>
      <c r="G176" s="30">
        <v>0</v>
      </c>
      <c r="H176" s="31">
        <v>0</v>
      </c>
      <c r="I176" s="32">
        <v>0</v>
      </c>
      <c r="J176" s="136"/>
      <c r="K176" s="33"/>
      <c r="L176" s="34">
        <v>0</v>
      </c>
      <c r="M176" s="34">
        <v>0</v>
      </c>
      <c r="N176" s="138"/>
      <c r="O176" s="34">
        <v>0</v>
      </c>
      <c r="P176" s="34">
        <v>0</v>
      </c>
      <c r="Q176" s="34">
        <v>0</v>
      </c>
      <c r="R176" s="138"/>
      <c r="S176" s="37">
        <v>0</v>
      </c>
      <c r="T176" s="34">
        <v>0</v>
      </c>
      <c r="U176" s="34">
        <v>0</v>
      </c>
      <c r="V176" s="138"/>
      <c r="W176" s="38">
        <v>0</v>
      </c>
      <c r="X176" s="31">
        <v>0</v>
      </c>
      <c r="Y176" s="31">
        <v>0</v>
      </c>
      <c r="Z176" s="105"/>
      <c r="AA176" s="37">
        <v>0</v>
      </c>
      <c r="AB176" s="34">
        <v>0</v>
      </c>
      <c r="AC176" s="34">
        <v>0</v>
      </c>
      <c r="AD176" s="105"/>
      <c r="AE176" s="104"/>
      <c r="AF176" s="105"/>
      <c r="AG176" s="43">
        <f t="shared" si="39"/>
        <v>0</v>
      </c>
      <c r="AH176" s="44">
        <f t="shared" si="39"/>
        <v>0</v>
      </c>
      <c r="AI176" s="44">
        <f t="shared" si="39"/>
        <v>0</v>
      </c>
      <c r="AJ176" s="94">
        <f t="shared" si="38"/>
        <v>0</v>
      </c>
      <c r="AK176" s="140">
        <f t="shared" si="29"/>
        <v>0</v>
      </c>
      <c r="AL176" s="47">
        <v>0.75</v>
      </c>
      <c r="AM176" s="48">
        <f t="shared" si="36"/>
        <v>0</v>
      </c>
      <c r="AN176" s="48">
        <f t="shared" si="37"/>
        <v>0</v>
      </c>
      <c r="AO176" s="49">
        <f t="shared" si="35"/>
        <v>0</v>
      </c>
      <c r="AP176" s="49"/>
      <c r="AQ176" s="71"/>
      <c r="AR176" s="106"/>
      <c r="AS176" s="107"/>
      <c r="AT176" s="115"/>
      <c r="AU176" s="100"/>
      <c r="AV176" s="109"/>
      <c r="AW176" s="110"/>
      <c r="AX176" s="110"/>
      <c r="AY176" s="107"/>
      <c r="AZ176" s="116"/>
    </row>
    <row r="177" spans="1:52" s="246" customFormat="1" ht="16.5" thickBot="1" x14ac:dyDescent="0.3">
      <c r="A177" s="134">
        <v>600</v>
      </c>
      <c r="B177" s="134" t="s">
        <v>129</v>
      </c>
      <c r="C177" s="139">
        <v>693</v>
      </c>
      <c r="D177" s="26">
        <f t="shared" si="32"/>
        <v>231</v>
      </c>
      <c r="E177" s="27">
        <f t="shared" si="33"/>
        <v>231</v>
      </c>
      <c r="F177" s="29">
        <f t="shared" si="34"/>
        <v>231</v>
      </c>
      <c r="G177" s="30">
        <v>0</v>
      </c>
      <c r="H177" s="31">
        <v>0</v>
      </c>
      <c r="I177" s="32">
        <v>0</v>
      </c>
      <c r="J177" s="136"/>
      <c r="K177" s="33"/>
      <c r="L177" s="34">
        <v>0</v>
      </c>
      <c r="M177" s="34">
        <v>0</v>
      </c>
      <c r="N177" s="138"/>
      <c r="O177" s="34">
        <v>0</v>
      </c>
      <c r="P177" s="34">
        <v>0</v>
      </c>
      <c r="Q177" s="34">
        <v>0</v>
      </c>
      <c r="R177" s="138"/>
      <c r="S177" s="37">
        <v>0</v>
      </c>
      <c r="T177" s="34">
        <v>0</v>
      </c>
      <c r="U177" s="34">
        <v>0</v>
      </c>
      <c r="V177" s="138"/>
      <c r="W177" s="38">
        <v>0</v>
      </c>
      <c r="X177" s="31">
        <v>0</v>
      </c>
      <c r="Y177" s="31">
        <v>0</v>
      </c>
      <c r="Z177" s="105"/>
      <c r="AA177" s="37">
        <v>0</v>
      </c>
      <c r="AB177" s="34">
        <v>0</v>
      </c>
      <c r="AC177" s="34">
        <v>0</v>
      </c>
      <c r="AD177" s="105"/>
      <c r="AE177" s="104"/>
      <c r="AF177" s="105"/>
      <c r="AG177" s="43">
        <f t="shared" si="39"/>
        <v>0</v>
      </c>
      <c r="AH177" s="44">
        <f t="shared" si="39"/>
        <v>0</v>
      </c>
      <c r="AI177" s="44">
        <f t="shared" si="39"/>
        <v>0</v>
      </c>
      <c r="AJ177" s="94">
        <f t="shared" si="38"/>
        <v>0</v>
      </c>
      <c r="AK177" s="140">
        <f t="shared" si="29"/>
        <v>0</v>
      </c>
      <c r="AL177" s="47">
        <v>0.75</v>
      </c>
      <c r="AM177" s="48">
        <f t="shared" si="36"/>
        <v>0</v>
      </c>
      <c r="AN177" s="48">
        <f t="shared" si="37"/>
        <v>0</v>
      </c>
      <c r="AO177" s="49">
        <f t="shared" si="35"/>
        <v>0</v>
      </c>
      <c r="AP177" s="49"/>
      <c r="AQ177" s="71"/>
      <c r="AR177" s="106"/>
      <c r="AS177" s="107"/>
      <c r="AT177" s="115"/>
      <c r="AU177" s="100"/>
      <c r="AV177" s="109"/>
      <c r="AW177" s="110"/>
      <c r="AX177" s="110"/>
      <c r="AY177" s="107"/>
      <c r="AZ177" s="116"/>
    </row>
    <row r="178" spans="1:52" s="246" customFormat="1" ht="16.5" thickBot="1" x14ac:dyDescent="0.3">
      <c r="A178" s="134">
        <v>600</v>
      </c>
      <c r="B178" s="134" t="s">
        <v>124</v>
      </c>
      <c r="C178" s="139">
        <v>3463</v>
      </c>
      <c r="D178" s="26">
        <f t="shared" si="32"/>
        <v>1154.3333333333333</v>
      </c>
      <c r="E178" s="27">
        <f t="shared" si="33"/>
        <v>1154.3333333333333</v>
      </c>
      <c r="F178" s="29">
        <f t="shared" si="34"/>
        <v>1154.3333333333333</v>
      </c>
      <c r="G178" s="30">
        <v>0</v>
      </c>
      <c r="H178" s="31">
        <v>0</v>
      </c>
      <c r="I178" s="32">
        <v>0</v>
      </c>
      <c r="J178" s="136"/>
      <c r="K178" s="33"/>
      <c r="L178" s="34">
        <v>0</v>
      </c>
      <c r="M178" s="34">
        <v>0</v>
      </c>
      <c r="N178" s="138"/>
      <c r="O178" s="34">
        <v>0</v>
      </c>
      <c r="P178" s="34">
        <v>0</v>
      </c>
      <c r="Q178" s="34">
        <v>0</v>
      </c>
      <c r="R178" s="138"/>
      <c r="S178" s="37">
        <v>0</v>
      </c>
      <c r="T178" s="34">
        <v>0</v>
      </c>
      <c r="U178" s="34">
        <v>0</v>
      </c>
      <c r="V178" s="138"/>
      <c r="W178" s="38">
        <v>0</v>
      </c>
      <c r="X178" s="31">
        <v>0</v>
      </c>
      <c r="Y178" s="31">
        <v>0</v>
      </c>
      <c r="Z178" s="105"/>
      <c r="AA178" s="37">
        <v>0</v>
      </c>
      <c r="AB178" s="34">
        <v>0</v>
      </c>
      <c r="AC178" s="34">
        <v>0</v>
      </c>
      <c r="AD178" s="105"/>
      <c r="AE178" s="104"/>
      <c r="AF178" s="105"/>
      <c r="AG178" s="43">
        <f t="shared" si="39"/>
        <v>0</v>
      </c>
      <c r="AH178" s="44">
        <f t="shared" si="39"/>
        <v>0</v>
      </c>
      <c r="AI178" s="44">
        <f t="shared" si="39"/>
        <v>0</v>
      </c>
      <c r="AJ178" s="94">
        <f t="shared" si="38"/>
        <v>0</v>
      </c>
      <c r="AK178" s="140">
        <f t="shared" si="29"/>
        <v>0</v>
      </c>
      <c r="AL178" s="47">
        <v>0.75</v>
      </c>
      <c r="AM178" s="48">
        <f t="shared" si="36"/>
        <v>0</v>
      </c>
      <c r="AN178" s="48">
        <f t="shared" si="37"/>
        <v>0</v>
      </c>
      <c r="AO178" s="49">
        <f t="shared" si="35"/>
        <v>0</v>
      </c>
      <c r="AP178" s="49">
        <f>AJ178*AL178</f>
        <v>0</v>
      </c>
      <c r="AQ178" s="71"/>
      <c r="AR178" s="106"/>
      <c r="AS178" s="107"/>
      <c r="AT178" s="115"/>
      <c r="AU178" s="100"/>
      <c r="AV178" s="109"/>
      <c r="AW178" s="110"/>
      <c r="AX178" s="110"/>
      <c r="AY178" s="107"/>
      <c r="AZ178" s="116"/>
    </row>
    <row r="179" spans="1:52" s="246" customFormat="1" ht="16.5" thickBot="1" x14ac:dyDescent="0.3">
      <c r="A179" s="134">
        <v>600</v>
      </c>
      <c r="B179" s="134" t="s">
        <v>123</v>
      </c>
      <c r="C179" s="139">
        <v>922</v>
      </c>
      <c r="D179" s="26">
        <f t="shared" si="32"/>
        <v>307.33333333333331</v>
      </c>
      <c r="E179" s="27">
        <f t="shared" si="33"/>
        <v>307.33333333333331</v>
      </c>
      <c r="F179" s="29">
        <f t="shared" si="34"/>
        <v>307.33333333333331</v>
      </c>
      <c r="G179" s="30">
        <v>0</v>
      </c>
      <c r="H179" s="31">
        <v>0</v>
      </c>
      <c r="I179" s="32">
        <v>0</v>
      </c>
      <c r="J179" s="136"/>
      <c r="K179" s="33"/>
      <c r="L179" s="34">
        <v>0</v>
      </c>
      <c r="M179" s="34">
        <v>0</v>
      </c>
      <c r="N179" s="138"/>
      <c r="O179" s="34">
        <v>0</v>
      </c>
      <c r="P179" s="34">
        <v>0</v>
      </c>
      <c r="Q179" s="34">
        <v>0</v>
      </c>
      <c r="R179" s="138"/>
      <c r="S179" s="37">
        <v>0</v>
      </c>
      <c r="T179" s="34">
        <v>0</v>
      </c>
      <c r="U179" s="34">
        <v>0</v>
      </c>
      <c r="V179" s="138"/>
      <c r="W179" s="38">
        <v>0</v>
      </c>
      <c r="X179" s="31">
        <v>0</v>
      </c>
      <c r="Y179" s="31">
        <v>0</v>
      </c>
      <c r="Z179" s="105"/>
      <c r="AA179" s="37">
        <v>0</v>
      </c>
      <c r="AB179" s="34">
        <v>0</v>
      </c>
      <c r="AC179" s="34">
        <v>0</v>
      </c>
      <c r="AD179" s="105"/>
      <c r="AE179" s="104"/>
      <c r="AF179" s="105"/>
      <c r="AG179" s="43">
        <f t="shared" si="39"/>
        <v>0</v>
      </c>
      <c r="AH179" s="44">
        <f t="shared" si="39"/>
        <v>0</v>
      </c>
      <c r="AI179" s="44">
        <f t="shared" si="39"/>
        <v>0</v>
      </c>
      <c r="AJ179" s="94">
        <f t="shared" si="38"/>
        <v>0</v>
      </c>
      <c r="AK179" s="140">
        <f t="shared" si="29"/>
        <v>0</v>
      </c>
      <c r="AL179" s="47">
        <v>0.75</v>
      </c>
      <c r="AM179" s="48">
        <f t="shared" si="36"/>
        <v>0</v>
      </c>
      <c r="AN179" s="48">
        <f t="shared" si="37"/>
        <v>0</v>
      </c>
      <c r="AO179" s="49">
        <f t="shared" si="35"/>
        <v>0</v>
      </c>
      <c r="AP179" s="49"/>
      <c r="AQ179" s="71"/>
      <c r="AR179" s="106"/>
      <c r="AS179" s="107"/>
      <c r="AT179" s="115"/>
      <c r="AU179" s="100"/>
      <c r="AV179" s="109"/>
      <c r="AW179" s="110"/>
      <c r="AX179" s="110"/>
      <c r="AY179" s="107"/>
      <c r="AZ179" s="116"/>
    </row>
    <row r="180" spans="1:52" s="246" customFormat="1" ht="16.5" thickBot="1" x14ac:dyDescent="0.3">
      <c r="A180" s="134">
        <v>625</v>
      </c>
      <c r="B180" s="134" t="s">
        <v>128</v>
      </c>
      <c r="C180" s="139">
        <v>220</v>
      </c>
      <c r="D180" s="26">
        <f t="shared" si="32"/>
        <v>73.333333333333329</v>
      </c>
      <c r="E180" s="27">
        <f t="shared" si="33"/>
        <v>73.333333333333329</v>
      </c>
      <c r="F180" s="29">
        <f t="shared" si="34"/>
        <v>73.333333333333329</v>
      </c>
      <c r="G180" s="30">
        <v>0</v>
      </c>
      <c r="H180" s="31">
        <v>0</v>
      </c>
      <c r="I180" s="32">
        <v>0</v>
      </c>
      <c r="J180" s="136"/>
      <c r="K180" s="33"/>
      <c r="L180" s="34">
        <v>0</v>
      </c>
      <c r="M180" s="34">
        <v>0</v>
      </c>
      <c r="N180" s="138"/>
      <c r="O180" s="34">
        <v>0</v>
      </c>
      <c r="P180" s="34">
        <v>0</v>
      </c>
      <c r="Q180" s="34">
        <v>0</v>
      </c>
      <c r="R180" s="138"/>
      <c r="S180" s="37">
        <v>0</v>
      </c>
      <c r="T180" s="34">
        <v>0</v>
      </c>
      <c r="U180" s="34">
        <v>0</v>
      </c>
      <c r="V180" s="138"/>
      <c r="W180" s="38">
        <v>0</v>
      </c>
      <c r="X180" s="31">
        <v>0</v>
      </c>
      <c r="Y180" s="31">
        <v>0</v>
      </c>
      <c r="Z180" s="105"/>
      <c r="AA180" s="37">
        <v>0</v>
      </c>
      <c r="AB180" s="34">
        <v>0</v>
      </c>
      <c r="AC180" s="34">
        <v>0</v>
      </c>
      <c r="AD180" s="105"/>
      <c r="AE180" s="104"/>
      <c r="AF180" s="105"/>
      <c r="AG180" s="43">
        <f t="shared" si="39"/>
        <v>0</v>
      </c>
      <c r="AH180" s="44">
        <f t="shared" si="39"/>
        <v>0</v>
      </c>
      <c r="AI180" s="44">
        <f t="shared" si="39"/>
        <v>0</v>
      </c>
      <c r="AJ180" s="94"/>
      <c r="AK180" s="140">
        <f t="shared" si="29"/>
        <v>0</v>
      </c>
      <c r="AL180" s="47">
        <v>0.75</v>
      </c>
      <c r="AM180" s="48">
        <f t="shared" si="36"/>
        <v>0</v>
      </c>
      <c r="AN180" s="48">
        <f t="shared" si="37"/>
        <v>0</v>
      </c>
      <c r="AO180" s="49">
        <f t="shared" si="35"/>
        <v>0</v>
      </c>
      <c r="AP180" s="49"/>
      <c r="AQ180" s="71"/>
      <c r="AR180" s="106"/>
      <c r="AS180" s="107"/>
      <c r="AT180" s="115"/>
      <c r="AU180" s="100"/>
      <c r="AV180" s="109"/>
      <c r="AW180" s="110"/>
      <c r="AX180" s="110"/>
      <c r="AY180" s="107"/>
      <c r="AZ180" s="116"/>
    </row>
    <row r="181" spans="1:52" s="246" customFormat="1" ht="16.5" thickBot="1" x14ac:dyDescent="0.3">
      <c r="A181" s="134">
        <v>625</v>
      </c>
      <c r="B181" s="134" t="s">
        <v>127</v>
      </c>
      <c r="C181" s="139">
        <v>660</v>
      </c>
      <c r="D181" s="26">
        <f t="shared" si="32"/>
        <v>220</v>
      </c>
      <c r="E181" s="27">
        <f t="shared" si="33"/>
        <v>220</v>
      </c>
      <c r="F181" s="29">
        <f t="shared" si="34"/>
        <v>220</v>
      </c>
      <c r="G181" s="30">
        <v>0</v>
      </c>
      <c r="H181" s="31">
        <v>0</v>
      </c>
      <c r="I181" s="32">
        <v>0</v>
      </c>
      <c r="J181" s="136"/>
      <c r="K181" s="33"/>
      <c r="L181" s="34">
        <v>0</v>
      </c>
      <c r="M181" s="34">
        <v>0</v>
      </c>
      <c r="N181" s="138"/>
      <c r="O181" s="34">
        <v>0</v>
      </c>
      <c r="P181" s="34">
        <v>0</v>
      </c>
      <c r="Q181" s="34">
        <v>0</v>
      </c>
      <c r="R181" s="138"/>
      <c r="S181" s="37">
        <v>0</v>
      </c>
      <c r="T181" s="34">
        <v>0</v>
      </c>
      <c r="U181" s="34">
        <v>0</v>
      </c>
      <c r="V181" s="138"/>
      <c r="W181" s="38">
        <v>0</v>
      </c>
      <c r="X181" s="31">
        <v>0</v>
      </c>
      <c r="Y181" s="31">
        <v>0</v>
      </c>
      <c r="Z181" s="105"/>
      <c r="AA181" s="37">
        <v>0</v>
      </c>
      <c r="AB181" s="34">
        <v>0</v>
      </c>
      <c r="AC181" s="34">
        <v>0</v>
      </c>
      <c r="AD181" s="105"/>
      <c r="AE181" s="104"/>
      <c r="AF181" s="105"/>
      <c r="AG181" s="43">
        <f t="shared" si="39"/>
        <v>0</v>
      </c>
      <c r="AH181" s="44">
        <f t="shared" si="39"/>
        <v>0</v>
      </c>
      <c r="AI181" s="44">
        <f t="shared" si="39"/>
        <v>0</v>
      </c>
      <c r="AJ181" s="94">
        <f t="shared" si="38"/>
        <v>0</v>
      </c>
      <c r="AK181" s="140">
        <f t="shared" si="29"/>
        <v>0</v>
      </c>
      <c r="AL181" s="47">
        <v>0.75</v>
      </c>
      <c r="AM181" s="48">
        <f t="shared" si="36"/>
        <v>0</v>
      </c>
      <c r="AN181" s="48">
        <f t="shared" si="37"/>
        <v>0</v>
      </c>
      <c r="AO181" s="49">
        <f t="shared" si="35"/>
        <v>0</v>
      </c>
      <c r="AP181" s="49">
        <f t="shared" si="30"/>
        <v>0</v>
      </c>
      <c r="AQ181" s="71"/>
      <c r="AR181" s="106"/>
      <c r="AS181" s="107"/>
      <c r="AT181" s="115"/>
      <c r="AU181" s="100"/>
      <c r="AV181" s="109"/>
      <c r="AW181" s="110"/>
      <c r="AX181" s="110"/>
      <c r="AY181" s="107"/>
      <c r="AZ181" s="116"/>
    </row>
    <row r="182" spans="1:52" s="246" customFormat="1" ht="16.5" thickBot="1" x14ac:dyDescent="0.3">
      <c r="A182" s="134">
        <v>625</v>
      </c>
      <c r="B182" s="134" t="s">
        <v>130</v>
      </c>
      <c r="C182" s="139">
        <v>440</v>
      </c>
      <c r="D182" s="26">
        <f t="shared" si="32"/>
        <v>146.66666666666666</v>
      </c>
      <c r="E182" s="27">
        <f t="shared" si="33"/>
        <v>146.66666666666666</v>
      </c>
      <c r="F182" s="29">
        <f t="shared" si="34"/>
        <v>146.66666666666666</v>
      </c>
      <c r="G182" s="30">
        <v>0</v>
      </c>
      <c r="H182" s="31">
        <v>0</v>
      </c>
      <c r="I182" s="32">
        <v>0</v>
      </c>
      <c r="J182" s="136"/>
      <c r="K182" s="33"/>
      <c r="L182" s="34">
        <v>0</v>
      </c>
      <c r="M182" s="34">
        <v>0</v>
      </c>
      <c r="N182" s="138"/>
      <c r="O182" s="34">
        <v>0</v>
      </c>
      <c r="P182" s="34">
        <v>0</v>
      </c>
      <c r="Q182" s="34">
        <v>0</v>
      </c>
      <c r="R182" s="138"/>
      <c r="S182" s="37">
        <v>0</v>
      </c>
      <c r="T182" s="34">
        <v>0</v>
      </c>
      <c r="U182" s="34">
        <v>0</v>
      </c>
      <c r="V182" s="138"/>
      <c r="W182" s="38">
        <v>0</v>
      </c>
      <c r="X182" s="31">
        <v>0</v>
      </c>
      <c r="Y182" s="31">
        <v>0</v>
      </c>
      <c r="Z182" s="105"/>
      <c r="AA182" s="37">
        <v>0</v>
      </c>
      <c r="AB182" s="34">
        <v>0</v>
      </c>
      <c r="AC182" s="34">
        <v>0</v>
      </c>
      <c r="AD182" s="105"/>
      <c r="AE182" s="104"/>
      <c r="AF182" s="105"/>
      <c r="AG182" s="43">
        <f t="shared" si="39"/>
        <v>0</v>
      </c>
      <c r="AH182" s="44">
        <f t="shared" si="39"/>
        <v>0</v>
      </c>
      <c r="AI182" s="44">
        <f t="shared" si="39"/>
        <v>0</v>
      </c>
      <c r="AJ182" s="94">
        <f>J182+N182+R182+V182+Z182+AD182</f>
        <v>0</v>
      </c>
      <c r="AK182" s="140">
        <f t="shared" si="29"/>
        <v>0</v>
      </c>
      <c r="AL182" s="47">
        <v>0.75</v>
      </c>
      <c r="AM182" s="48">
        <f t="shared" si="36"/>
        <v>0</v>
      </c>
      <c r="AN182" s="48">
        <f t="shared" si="37"/>
        <v>0</v>
      </c>
      <c r="AO182" s="49">
        <f t="shared" si="35"/>
        <v>0</v>
      </c>
      <c r="AP182" s="49">
        <f t="shared" si="30"/>
        <v>0</v>
      </c>
      <c r="AQ182" s="71"/>
      <c r="AR182" s="106"/>
      <c r="AS182" s="107"/>
      <c r="AT182" s="115"/>
      <c r="AU182" s="100"/>
      <c r="AV182" s="109"/>
      <c r="AW182" s="110"/>
      <c r="AX182" s="110"/>
      <c r="AY182" s="107"/>
      <c r="AZ182" s="116"/>
    </row>
    <row r="183" spans="1:52" s="246" customFormat="1" ht="16.5" thickBot="1" x14ac:dyDescent="0.3">
      <c r="A183" s="134">
        <v>625</v>
      </c>
      <c r="B183" s="134" t="s">
        <v>131</v>
      </c>
      <c r="C183" s="139">
        <v>220</v>
      </c>
      <c r="D183" s="26">
        <f t="shared" si="32"/>
        <v>73.333333333333329</v>
      </c>
      <c r="E183" s="27">
        <f t="shared" si="33"/>
        <v>73.333333333333329</v>
      </c>
      <c r="F183" s="29">
        <f t="shared" si="34"/>
        <v>73.333333333333329</v>
      </c>
      <c r="G183" s="30">
        <v>0</v>
      </c>
      <c r="H183" s="31">
        <v>0</v>
      </c>
      <c r="I183" s="32">
        <v>0</v>
      </c>
      <c r="J183" s="136"/>
      <c r="K183" s="33"/>
      <c r="L183" s="34">
        <v>0</v>
      </c>
      <c r="M183" s="34">
        <v>0</v>
      </c>
      <c r="N183" s="138"/>
      <c r="O183" s="34">
        <v>0</v>
      </c>
      <c r="P183" s="34">
        <v>0</v>
      </c>
      <c r="Q183" s="34">
        <v>0</v>
      </c>
      <c r="R183" s="138"/>
      <c r="S183" s="37">
        <v>0</v>
      </c>
      <c r="T183" s="34">
        <v>0</v>
      </c>
      <c r="U183" s="34">
        <v>0</v>
      </c>
      <c r="V183" s="138"/>
      <c r="W183" s="38">
        <v>0</v>
      </c>
      <c r="X183" s="31">
        <v>0</v>
      </c>
      <c r="Y183" s="31">
        <v>0</v>
      </c>
      <c r="Z183" s="105"/>
      <c r="AA183" s="37">
        <v>0</v>
      </c>
      <c r="AB183" s="34">
        <v>0</v>
      </c>
      <c r="AC183" s="34">
        <v>0</v>
      </c>
      <c r="AD183" s="105"/>
      <c r="AE183" s="104"/>
      <c r="AF183" s="105"/>
      <c r="AG183" s="43">
        <f t="shared" si="39"/>
        <v>0</v>
      </c>
      <c r="AH183" s="44">
        <f t="shared" si="39"/>
        <v>0</v>
      </c>
      <c r="AI183" s="44">
        <f t="shared" si="39"/>
        <v>0</v>
      </c>
      <c r="AJ183" s="94"/>
      <c r="AK183" s="140">
        <f t="shared" si="29"/>
        <v>0</v>
      </c>
      <c r="AL183" s="47">
        <v>0.75</v>
      </c>
      <c r="AM183" s="48">
        <f t="shared" si="36"/>
        <v>0</v>
      </c>
      <c r="AN183" s="48">
        <f t="shared" si="37"/>
        <v>0</v>
      </c>
      <c r="AO183" s="49">
        <f t="shared" si="35"/>
        <v>0</v>
      </c>
      <c r="AP183" s="49"/>
      <c r="AQ183" s="71"/>
      <c r="AR183" s="106"/>
      <c r="AS183" s="107"/>
      <c r="AT183" s="115"/>
      <c r="AU183" s="100"/>
      <c r="AV183" s="109"/>
      <c r="AW183" s="110"/>
      <c r="AX183" s="110"/>
      <c r="AY183" s="107"/>
      <c r="AZ183" s="116"/>
    </row>
    <row r="184" spans="1:52" s="246" customFormat="1" ht="16.5" thickBot="1" x14ac:dyDescent="0.3">
      <c r="A184" s="134"/>
      <c r="B184" s="134" t="s">
        <v>132</v>
      </c>
      <c r="C184" s="139"/>
      <c r="D184" s="141"/>
      <c r="E184" s="142"/>
      <c r="F184" s="143"/>
      <c r="G184" s="144">
        <v>0</v>
      </c>
      <c r="H184" s="145">
        <v>0</v>
      </c>
      <c r="I184" s="146">
        <v>0</v>
      </c>
      <c r="J184" s="136"/>
      <c r="K184" s="144"/>
      <c r="L184" s="34">
        <v>0</v>
      </c>
      <c r="M184" s="34">
        <v>0</v>
      </c>
      <c r="N184" s="138"/>
      <c r="O184" s="34">
        <v>0</v>
      </c>
      <c r="P184" s="34">
        <v>0</v>
      </c>
      <c r="Q184" s="34">
        <v>2</v>
      </c>
      <c r="R184" s="138"/>
      <c r="S184" s="37">
        <v>0</v>
      </c>
      <c r="T184" s="34">
        <v>0</v>
      </c>
      <c r="U184" s="34">
        <v>2</v>
      </c>
      <c r="V184" s="138"/>
      <c r="W184" s="38">
        <v>0</v>
      </c>
      <c r="X184" s="31">
        <v>0</v>
      </c>
      <c r="Y184" s="31">
        <v>1</v>
      </c>
      <c r="Z184" s="105"/>
      <c r="AA184" s="37">
        <v>0</v>
      </c>
      <c r="AB184" s="145">
        <v>0</v>
      </c>
      <c r="AC184" s="145">
        <v>0</v>
      </c>
      <c r="AD184" s="105"/>
      <c r="AE184" s="104"/>
      <c r="AF184" s="105"/>
      <c r="AG184" s="43">
        <f>G184+K184+O184+S184+W184+AA184</f>
        <v>0</v>
      </c>
      <c r="AH184" s="44">
        <f>H184+L184+P184+T184+X184+AB184</f>
        <v>0</v>
      </c>
      <c r="AI184" s="44">
        <f>I184+M184+Q184+U184+Y184+AC184</f>
        <v>5</v>
      </c>
      <c r="AJ184" s="94"/>
      <c r="AK184" s="140">
        <f t="shared" si="29"/>
        <v>5</v>
      </c>
      <c r="AL184" s="47">
        <v>0.25</v>
      </c>
      <c r="AM184" s="48">
        <f t="shared" si="36"/>
        <v>0</v>
      </c>
      <c r="AN184" s="48">
        <f t="shared" si="37"/>
        <v>0</v>
      </c>
      <c r="AO184" s="49">
        <f t="shared" si="35"/>
        <v>1.25</v>
      </c>
      <c r="AP184" s="49"/>
      <c r="AQ184" s="71"/>
      <c r="AR184" s="106"/>
      <c r="AS184" s="107"/>
      <c r="AT184" s="115"/>
      <c r="AU184" s="100"/>
      <c r="AV184" s="109"/>
      <c r="AW184" s="110"/>
      <c r="AX184" s="110"/>
      <c r="AY184" s="107"/>
      <c r="AZ184" s="116"/>
    </row>
    <row r="185" spans="1:52" ht="16.5" thickBot="1" x14ac:dyDescent="0.3">
      <c r="A185" s="147"/>
      <c r="B185" s="147" t="s">
        <v>133</v>
      </c>
      <c r="C185" s="148"/>
      <c r="D185" s="148"/>
      <c r="E185" s="148"/>
      <c r="F185" s="149"/>
      <c r="G185" s="150">
        <f>SUM(G3:G184)</f>
        <v>202</v>
      </c>
      <c r="H185" s="151">
        <f>SUM(H3:H184)</f>
        <v>282</v>
      </c>
      <c r="I185" s="152">
        <f>SUM(I3:I184)</f>
        <v>329</v>
      </c>
      <c r="J185" s="152"/>
      <c r="K185" s="150"/>
      <c r="L185" s="34">
        <f>SUM(L3:L184)</f>
        <v>289</v>
      </c>
      <c r="M185" s="34">
        <f>SUM(M3:M184)</f>
        <v>292</v>
      </c>
      <c r="N185" s="153"/>
      <c r="O185" s="34">
        <f>SUM(O3:O184)</f>
        <v>204</v>
      </c>
      <c r="P185" s="34">
        <f>SUM(P3:P184)</f>
        <v>170</v>
      </c>
      <c r="Q185" s="34">
        <f>SUM(Q3:Q184)</f>
        <v>225</v>
      </c>
      <c r="R185" s="153"/>
      <c r="S185" s="37">
        <f>SUM(S3:S184)</f>
        <v>288</v>
      </c>
      <c r="T185" s="34">
        <f>SUM(T3:T184)</f>
        <v>288</v>
      </c>
      <c r="U185" s="34">
        <f>SUM(U3:U184)</f>
        <v>274</v>
      </c>
      <c r="V185" s="153"/>
      <c r="W185" s="38">
        <f>SUM(W3:W184)</f>
        <v>253</v>
      </c>
      <c r="X185" s="31">
        <f>SUM(X3:X184)</f>
        <v>216</v>
      </c>
      <c r="Y185" s="31">
        <f>SUM(Y3:Y184)</f>
        <v>249</v>
      </c>
      <c r="Z185" s="153"/>
      <c r="AA185" s="37">
        <f>SUM(AA3:AA184)</f>
        <v>274</v>
      </c>
      <c r="AB185" s="151">
        <f>SUM(AB3:AB184)</f>
        <v>222</v>
      </c>
      <c r="AC185" s="151">
        <f>SUM(AC3:AC184)</f>
        <v>386</v>
      </c>
      <c r="AD185" s="154"/>
      <c r="AE185" s="155"/>
      <c r="AF185" s="154"/>
      <c r="AG185" s="43">
        <f>SUM(AG3:AG183)</f>
        <v>1220</v>
      </c>
      <c r="AH185" s="44">
        <f>SUM(AH3:AH183)</f>
        <v>1467</v>
      </c>
      <c r="AI185" s="44">
        <f>SUM(AI3:AI183)</f>
        <v>1749</v>
      </c>
      <c r="AJ185" s="44">
        <f>SUM(AJ3:AJ182)</f>
        <v>0</v>
      </c>
      <c r="AK185" s="156">
        <f>SUM(AK4:AK182)</f>
        <v>4436</v>
      </c>
      <c r="AL185" s="47"/>
      <c r="AM185" s="48">
        <f>SUM(AM3:AM183)</f>
        <v>1072.1499999999999</v>
      </c>
      <c r="AN185" s="48">
        <f>SUM(AN3:AN183)</f>
        <v>1378.3999999999999</v>
      </c>
      <c r="AO185" s="49">
        <f>SUM(AO3:AO183)</f>
        <v>1594.1</v>
      </c>
      <c r="AP185" s="49">
        <f>AJ185*AL185</f>
        <v>0</v>
      </c>
      <c r="AQ185" s="71">
        <f>SUM(AQ3:AQ162)</f>
        <v>207540</v>
      </c>
      <c r="AR185" s="157"/>
      <c r="AS185" s="158"/>
      <c r="AT185" s="159">
        <v>21225.76500000001</v>
      </c>
      <c r="AU185" s="84">
        <f>SUM(AU3:AU132)</f>
        <v>2049.0500000000002</v>
      </c>
      <c r="AV185" s="160"/>
      <c r="AW185" s="161">
        <v>2700</v>
      </c>
      <c r="AX185" s="161">
        <v>1500</v>
      </c>
      <c r="AY185" s="161"/>
      <c r="AZ185" s="162">
        <f>SUM(AZ3:AZ108)</f>
        <v>7241.9100000000026</v>
      </c>
    </row>
    <row r="186" spans="1:52" ht="15.75" x14ac:dyDescent="0.25">
      <c r="C186" s="245" t="s">
        <v>134</v>
      </c>
      <c r="F186" s="163" t="s">
        <v>135</v>
      </c>
      <c r="G186" s="164"/>
      <c r="H186" s="165"/>
      <c r="I186" s="166"/>
      <c r="J186" s="166"/>
      <c r="K186" s="164"/>
      <c r="L186" s="165"/>
      <c r="M186" s="34"/>
      <c r="N186" s="167"/>
      <c r="O186" s="168"/>
      <c r="P186" s="34"/>
      <c r="Q186" s="165"/>
      <c r="R186" s="167"/>
      <c r="S186" s="168"/>
      <c r="T186" s="165"/>
      <c r="U186" s="165"/>
      <c r="V186" s="167"/>
      <c r="W186" s="168"/>
      <c r="X186" s="165"/>
      <c r="Y186" s="165"/>
      <c r="Z186" s="167"/>
      <c r="AA186" s="168"/>
      <c r="AB186" s="165"/>
      <c r="AC186" s="165"/>
      <c r="AD186" s="40"/>
      <c r="AE186" s="169"/>
      <c r="AF186" s="169"/>
      <c r="AG186" s="170"/>
      <c r="AH186" s="170"/>
      <c r="AI186" s="170"/>
      <c r="AJ186" s="170"/>
      <c r="AK186" s="171"/>
      <c r="AL186" s="172"/>
      <c r="AM186" s="172"/>
      <c r="AN186" s="172"/>
      <c r="AO186" s="72"/>
      <c r="AP186" s="49"/>
      <c r="AQ186" s="173"/>
      <c r="AR186" s="172"/>
      <c r="AS186" s="174"/>
      <c r="AT186" s="173"/>
      <c r="AU186" s="173" t="s">
        <v>136</v>
      </c>
      <c r="AV186" s="173"/>
      <c r="AW186" s="173"/>
      <c r="AX186" s="173"/>
    </row>
    <row r="187" spans="1:52" ht="16.5" thickBot="1" x14ac:dyDescent="0.3">
      <c r="F187" s="175" t="s">
        <v>137</v>
      </c>
      <c r="G187" s="176"/>
      <c r="H187" s="177"/>
      <c r="I187" s="178"/>
      <c r="J187" s="178"/>
      <c r="K187" s="176"/>
      <c r="L187" s="177"/>
      <c r="M187" s="34"/>
      <c r="N187" s="179"/>
      <c r="O187" s="180"/>
      <c r="P187" s="34"/>
      <c r="Q187" s="177"/>
      <c r="R187" s="179"/>
      <c r="S187" s="180">
        <v>40</v>
      </c>
      <c r="T187" s="177"/>
      <c r="U187" s="177"/>
      <c r="V187" s="179"/>
      <c r="W187" s="180"/>
      <c r="X187" s="177"/>
      <c r="Y187" s="177"/>
      <c r="Z187" s="179"/>
      <c r="AA187" s="180"/>
      <c r="AB187" s="177"/>
      <c r="AC187" s="177"/>
      <c r="AD187" s="154"/>
      <c r="AE187" s="181"/>
      <c r="AJ187" s="170"/>
      <c r="AK187" s="171"/>
      <c r="AN187" s="50"/>
      <c r="AO187" s="182"/>
      <c r="AP187" s="49"/>
      <c r="AS187" s="171"/>
      <c r="AX187" s="183">
        <f>AZ185-AW185-AX185</f>
        <v>3041.9100000000026</v>
      </c>
    </row>
    <row r="188" spans="1:52" ht="15.75" thickBot="1" x14ac:dyDescent="0.3">
      <c r="F188" s="184"/>
      <c r="G188" s="185">
        <f t="shared" ref="G188:AD188" si="40">G186/50</f>
        <v>0</v>
      </c>
      <c r="H188" s="185">
        <f t="shared" si="40"/>
        <v>0</v>
      </c>
      <c r="I188" s="248">
        <f t="shared" si="40"/>
        <v>0</v>
      </c>
      <c r="J188" s="185"/>
      <c r="K188" s="185">
        <f>K186/50</f>
        <v>0</v>
      </c>
      <c r="L188" s="185">
        <f>L186/50</f>
        <v>0</v>
      </c>
      <c r="M188" s="185">
        <f t="shared" si="40"/>
        <v>0</v>
      </c>
      <c r="N188" s="185">
        <f t="shared" si="40"/>
        <v>0</v>
      </c>
      <c r="O188" s="185">
        <f>O186/50</f>
        <v>0</v>
      </c>
      <c r="P188" s="185">
        <f t="shared" si="40"/>
        <v>0</v>
      </c>
      <c r="Q188" s="185">
        <f t="shared" si="40"/>
        <v>0</v>
      </c>
      <c r="R188" s="185">
        <f t="shared" si="40"/>
        <v>0</v>
      </c>
      <c r="S188" s="185">
        <f>S186/50</f>
        <v>0</v>
      </c>
      <c r="T188" s="185">
        <f t="shared" si="40"/>
        <v>0</v>
      </c>
      <c r="U188" s="185">
        <f t="shared" si="40"/>
        <v>0</v>
      </c>
      <c r="V188" s="185">
        <f t="shared" si="40"/>
        <v>0</v>
      </c>
      <c r="W188" s="185">
        <f>W186/50</f>
        <v>0</v>
      </c>
      <c r="X188" s="185">
        <f t="shared" si="40"/>
        <v>0</v>
      </c>
      <c r="Y188" s="185">
        <f t="shared" si="40"/>
        <v>0</v>
      </c>
      <c r="Z188" s="185">
        <f t="shared" si="40"/>
        <v>0</v>
      </c>
      <c r="AA188" s="185">
        <f>AA186/50</f>
        <v>0</v>
      </c>
      <c r="AB188" s="185">
        <f t="shared" si="40"/>
        <v>0</v>
      </c>
      <c r="AC188" s="185">
        <f t="shared" si="40"/>
        <v>0</v>
      </c>
      <c r="AD188" s="185">
        <f t="shared" si="40"/>
        <v>0</v>
      </c>
      <c r="AJ188" s="170"/>
      <c r="AK188" s="171"/>
      <c r="AN188" s="187" t="s">
        <v>138</v>
      </c>
      <c r="AO188" s="182" t="s">
        <v>139</v>
      </c>
      <c r="AP188" s="188" t="s">
        <v>140</v>
      </c>
      <c r="AQ188" s="189" t="s">
        <v>134</v>
      </c>
      <c r="AR188" s="189" t="s">
        <v>141</v>
      </c>
      <c r="AS188" s="190" t="s">
        <v>142</v>
      </c>
    </row>
    <row r="189" spans="1:52" ht="15.75" thickBot="1" x14ac:dyDescent="0.3">
      <c r="F189" s="191"/>
      <c r="G189" s="191">
        <f t="shared" ref="G189:AD189" si="41">G187+G188</f>
        <v>0</v>
      </c>
      <c r="H189" s="192">
        <f t="shared" si="41"/>
        <v>0</v>
      </c>
      <c r="I189" s="249">
        <f t="shared" si="41"/>
        <v>0</v>
      </c>
      <c r="J189" s="192" t="s">
        <v>196</v>
      </c>
      <c r="K189" s="194">
        <f t="shared" si="41"/>
        <v>0</v>
      </c>
      <c r="L189" s="148">
        <f t="shared" si="41"/>
        <v>0</v>
      </c>
      <c r="M189" s="243">
        <f>M187+M188</f>
        <v>0</v>
      </c>
      <c r="N189" s="148">
        <f t="shared" si="41"/>
        <v>0</v>
      </c>
      <c r="O189" s="155"/>
      <c r="P189" s="148">
        <f t="shared" si="41"/>
        <v>0</v>
      </c>
      <c r="Q189" s="195">
        <f t="shared" si="41"/>
        <v>0</v>
      </c>
      <c r="R189" s="148">
        <f t="shared" si="41"/>
        <v>0</v>
      </c>
      <c r="S189" s="155">
        <f>S187+S188</f>
        <v>40</v>
      </c>
      <c r="T189" s="148">
        <f t="shared" si="41"/>
        <v>0</v>
      </c>
      <c r="U189" s="195">
        <f t="shared" si="41"/>
        <v>0</v>
      </c>
      <c r="V189" s="148">
        <f t="shared" si="41"/>
        <v>0</v>
      </c>
      <c r="W189" s="155">
        <f>W187+W188</f>
        <v>0</v>
      </c>
      <c r="X189" s="148">
        <f t="shared" si="41"/>
        <v>0</v>
      </c>
      <c r="Y189" s="195">
        <f t="shared" si="41"/>
        <v>0</v>
      </c>
      <c r="Z189" s="148">
        <f t="shared" si="41"/>
        <v>0</v>
      </c>
      <c r="AA189" s="155">
        <f>AA187+AA188</f>
        <v>0</v>
      </c>
      <c r="AB189" s="148">
        <f t="shared" si="41"/>
        <v>0</v>
      </c>
      <c r="AC189" s="195">
        <f t="shared" si="41"/>
        <v>0</v>
      </c>
      <c r="AD189" s="148">
        <f t="shared" si="41"/>
        <v>0</v>
      </c>
      <c r="AG189" s="253" t="s">
        <v>143</v>
      </c>
      <c r="AH189" s="253"/>
      <c r="AI189" s="253"/>
      <c r="AJ189" s="196"/>
      <c r="AK189" s="171"/>
      <c r="AL189" s="197" t="s">
        <v>4</v>
      </c>
      <c r="AM189" s="133" t="s">
        <v>144</v>
      </c>
      <c r="AN189" s="198">
        <v>400</v>
      </c>
      <c r="AO189" s="72">
        <f>AM185*0.5</f>
        <v>536.07499999999993</v>
      </c>
      <c r="AP189" s="199">
        <f>AN189+AO189</f>
        <v>936.07499999999993</v>
      </c>
      <c r="AQ189" s="86">
        <f>AG190*0.5</f>
        <v>10</v>
      </c>
      <c r="AR189" s="200">
        <f>AP189-AQ189</f>
        <v>926.07499999999993</v>
      </c>
      <c r="AS189" s="44"/>
      <c r="AT189" s="86">
        <f>AR189-AS189</f>
        <v>926.07499999999993</v>
      </c>
      <c r="AU189" s="201">
        <v>925</v>
      </c>
    </row>
    <row r="190" spans="1:52" ht="15.75" thickBot="1" x14ac:dyDescent="0.3">
      <c r="B190" s="245" t="s">
        <v>145</v>
      </c>
      <c r="F190" s="202"/>
      <c r="G190" s="247">
        <f>G189*0.5</f>
        <v>0</v>
      </c>
      <c r="H190" s="247">
        <f t="shared" ref="H190:AC190" si="42">H189*0.5</f>
        <v>0</v>
      </c>
      <c r="I190" s="247">
        <f t="shared" si="42"/>
        <v>0</v>
      </c>
      <c r="J190" s="247"/>
      <c r="K190" s="247">
        <f t="shared" si="42"/>
        <v>0</v>
      </c>
      <c r="L190" s="247">
        <f t="shared" si="42"/>
        <v>0</v>
      </c>
      <c r="M190" s="247">
        <f t="shared" si="42"/>
        <v>0</v>
      </c>
      <c r="N190" s="247">
        <f t="shared" si="42"/>
        <v>0</v>
      </c>
      <c r="O190" s="247">
        <f t="shared" si="42"/>
        <v>0</v>
      </c>
      <c r="P190" s="247">
        <f t="shared" si="42"/>
        <v>0</v>
      </c>
      <c r="Q190" s="247">
        <f t="shared" si="42"/>
        <v>0</v>
      </c>
      <c r="R190" s="247">
        <f t="shared" si="42"/>
        <v>0</v>
      </c>
      <c r="S190" s="247">
        <f t="shared" si="42"/>
        <v>20</v>
      </c>
      <c r="T190" s="247">
        <f t="shared" si="42"/>
        <v>0</v>
      </c>
      <c r="U190" s="247">
        <f t="shared" si="42"/>
        <v>0</v>
      </c>
      <c r="V190" s="247">
        <f t="shared" si="42"/>
        <v>0</v>
      </c>
      <c r="W190" s="247">
        <f t="shared" si="42"/>
        <v>0</v>
      </c>
      <c r="X190" s="247">
        <f t="shared" si="42"/>
        <v>0</v>
      </c>
      <c r="Y190" s="247">
        <f t="shared" si="42"/>
        <v>0</v>
      </c>
      <c r="Z190" s="247">
        <f t="shared" si="42"/>
        <v>0</v>
      </c>
      <c r="AA190" s="247">
        <f t="shared" si="42"/>
        <v>0</v>
      </c>
      <c r="AB190" s="247">
        <f t="shared" si="42"/>
        <v>0</v>
      </c>
      <c r="AC190" s="247">
        <f t="shared" si="42"/>
        <v>0</v>
      </c>
      <c r="AD190" s="204">
        <f>AD189*25</f>
        <v>0</v>
      </c>
      <c r="AG190" s="205">
        <f>G190+K190+O190+S190+W190+AA190</f>
        <v>20</v>
      </c>
      <c r="AH190" s="205">
        <f>H190+L190+P190+T190+X190+AB190</f>
        <v>0</v>
      </c>
      <c r="AI190" s="205">
        <f>I190+M190+Q190+U190+Y190+AC190</f>
        <v>0</v>
      </c>
      <c r="AJ190" s="205">
        <f>J190+N190+R190+V190+Z190+AD190</f>
        <v>0</v>
      </c>
      <c r="AK190" s="171"/>
      <c r="AL190" s="197" t="s">
        <v>189</v>
      </c>
      <c r="AM190" s="133" t="s">
        <v>146</v>
      </c>
      <c r="AN190" s="206">
        <v>400</v>
      </c>
      <c r="AO190" s="72">
        <f>AM185*0.5</f>
        <v>536.07499999999993</v>
      </c>
      <c r="AP190" s="199">
        <f>AN190+AO190</f>
        <v>936.07499999999993</v>
      </c>
      <c r="AQ190" s="86">
        <f>AG190*0.5</f>
        <v>10</v>
      </c>
      <c r="AR190" s="200">
        <f>AP190-AQ190</f>
        <v>926.07499999999993</v>
      </c>
      <c r="AS190" s="44"/>
      <c r="AT190" s="86">
        <f>AR190-AS190</f>
        <v>926.07499999999993</v>
      </c>
      <c r="AU190" s="207">
        <v>925</v>
      </c>
    </row>
    <row r="191" spans="1:52" ht="15.75" thickBot="1" x14ac:dyDescent="0.3">
      <c r="B191" s="245" t="s">
        <v>147</v>
      </c>
      <c r="C191" s="245">
        <v>110203550</v>
      </c>
      <c r="AF191" s="171"/>
      <c r="AG191" s="171"/>
      <c r="AH191" s="171"/>
      <c r="AI191" s="171"/>
      <c r="AJ191" s="171"/>
      <c r="AK191" s="171"/>
      <c r="AL191" s="197" t="s">
        <v>190</v>
      </c>
      <c r="AM191" s="133" t="s">
        <v>148</v>
      </c>
      <c r="AN191" s="208"/>
      <c r="AO191" s="72"/>
      <c r="AP191" s="199">
        <f>AN191+AO191</f>
        <v>0</v>
      </c>
      <c r="AQ191" s="86"/>
      <c r="AR191" s="200">
        <f t="shared" ref="AR191:AR196" si="43">AP191-AQ191</f>
        <v>0</v>
      </c>
      <c r="AS191" s="209"/>
      <c r="AT191" s="86">
        <f>AR191-AS191</f>
        <v>0</v>
      </c>
      <c r="AU191" s="201"/>
    </row>
    <row r="192" spans="1:52" ht="19.5" thickBot="1" x14ac:dyDescent="0.35">
      <c r="A192" s="246"/>
      <c r="B192" s="246" t="s">
        <v>149</v>
      </c>
      <c r="C192" s="246">
        <v>110203550</v>
      </c>
      <c r="D192" s="246"/>
      <c r="E192" s="246"/>
      <c r="F192" s="246"/>
      <c r="G192" s="246"/>
      <c r="H192" s="246"/>
      <c r="J192" s="246"/>
      <c r="K192" s="246"/>
      <c r="L192" s="246"/>
      <c r="M192" s="210"/>
      <c r="N192" s="210"/>
      <c r="O192" s="210"/>
      <c r="P192" s="210"/>
      <c r="Q192" s="210"/>
      <c r="R192" s="246"/>
      <c r="S192" s="246"/>
      <c r="T192" s="246"/>
      <c r="V192" s="246"/>
      <c r="W192" s="246"/>
      <c r="X192" s="246"/>
      <c r="AF192" s="171"/>
      <c r="AG192" s="254">
        <f>AG190+AH190+AI190</f>
        <v>20</v>
      </c>
      <c r="AH192" s="255"/>
      <c r="AI192" s="256"/>
      <c r="AJ192" s="50">
        <f>AG192/2</f>
        <v>10</v>
      </c>
      <c r="AK192" s="171"/>
      <c r="AO192" s="44"/>
      <c r="AQ192" s="133"/>
      <c r="AR192" s="200">
        <f t="shared" si="43"/>
        <v>0</v>
      </c>
      <c r="AS192" s="209"/>
      <c r="AT192" s="133"/>
      <c r="AU192" s="201"/>
    </row>
    <row r="193" spans="1:49 16384:16384" x14ac:dyDescent="0.25">
      <c r="B193" s="246" t="s">
        <v>150</v>
      </c>
      <c r="C193" s="245" t="s">
        <v>151</v>
      </c>
      <c r="F193" s="246"/>
      <c r="G193" s="246"/>
      <c r="H193" s="246"/>
      <c r="J193" s="246"/>
      <c r="K193" s="246"/>
      <c r="L193" s="246"/>
      <c r="N193" s="246"/>
      <c r="O193" s="246"/>
      <c r="P193" s="246"/>
      <c r="R193" s="246"/>
      <c r="S193" s="246"/>
      <c r="T193" s="246"/>
      <c r="V193" s="246"/>
      <c r="W193" s="246"/>
      <c r="X193" s="246"/>
      <c r="AF193" s="171"/>
      <c r="AG193" s="181"/>
      <c r="AH193" s="210"/>
      <c r="AI193" s="211"/>
      <c r="AJ193" s="212"/>
      <c r="AK193" s="213"/>
      <c r="AL193" s="197" t="s">
        <v>6</v>
      </c>
      <c r="AM193" s="79" t="s">
        <v>144</v>
      </c>
      <c r="AN193" s="198">
        <v>400</v>
      </c>
      <c r="AO193" s="72">
        <f>AN185*0.55</f>
        <v>758.12</v>
      </c>
      <c r="AP193" s="214">
        <f>AN193+AO193</f>
        <v>1158.1199999999999</v>
      </c>
      <c r="AQ193" s="86">
        <f>AH190*0.5</f>
        <v>0</v>
      </c>
      <c r="AR193" s="200">
        <f>AP193-AQ193</f>
        <v>1158.1199999999999</v>
      </c>
      <c r="AS193" s="215">
        <v>20</v>
      </c>
      <c r="AT193" s="86">
        <f>AR193-AS193</f>
        <v>1138.1199999999999</v>
      </c>
      <c r="AU193" s="207">
        <v>1140</v>
      </c>
      <c r="XFD193" s="245" t="s">
        <v>152</v>
      </c>
    </row>
    <row r="194" spans="1:49 16384:16384" x14ac:dyDescent="0.25">
      <c r="F194" s="246"/>
      <c r="G194" s="246"/>
      <c r="H194" s="246"/>
      <c r="J194" s="246"/>
      <c r="K194" s="246"/>
      <c r="L194" s="246"/>
      <c r="N194" s="246"/>
      <c r="O194" s="246"/>
      <c r="P194" s="246"/>
      <c r="R194" s="246"/>
      <c r="S194" s="246"/>
      <c r="T194" s="246"/>
      <c r="V194" s="246"/>
      <c r="W194" s="246"/>
      <c r="X194" s="246"/>
      <c r="AF194" s="171"/>
      <c r="AG194" s="181"/>
      <c r="AH194" s="210"/>
      <c r="AI194" s="216"/>
      <c r="AJ194" s="212"/>
      <c r="AK194" s="213"/>
      <c r="AL194" s="197"/>
      <c r="AM194" s="79" t="s">
        <v>186</v>
      </c>
      <c r="AN194" s="208">
        <v>0</v>
      </c>
      <c r="AO194" s="72"/>
      <c r="AP194" s="214">
        <f>AN194+AO194</f>
        <v>0</v>
      </c>
      <c r="AQ194" s="86"/>
      <c r="AR194" s="200">
        <f>AP194-AQ194</f>
        <v>0</v>
      </c>
      <c r="AS194" s="215"/>
      <c r="AT194" s="86">
        <f>AR194-AS194</f>
        <v>0</v>
      </c>
      <c r="AU194" s="207"/>
    </row>
    <row r="195" spans="1:49 16384:16384" x14ac:dyDescent="0.25">
      <c r="B195" s="245" t="s">
        <v>153</v>
      </c>
      <c r="F195" s="246"/>
      <c r="G195" s="246"/>
      <c r="H195" s="246"/>
      <c r="J195" s="246"/>
      <c r="K195" s="246"/>
      <c r="L195" s="246"/>
      <c r="N195" s="246"/>
      <c r="O195" s="246"/>
      <c r="P195" s="246"/>
      <c r="R195" s="246"/>
      <c r="S195" s="246"/>
      <c r="T195" s="246"/>
      <c r="V195" s="246"/>
      <c r="W195" s="246"/>
      <c r="X195" s="246"/>
      <c r="AF195" s="171"/>
      <c r="AG195" s="181"/>
      <c r="AH195" s="210"/>
      <c r="AI195" s="216"/>
      <c r="AJ195" s="212"/>
      <c r="AK195" s="213"/>
      <c r="AL195" s="197" t="s">
        <v>195</v>
      </c>
      <c r="AM195" s="93" t="s">
        <v>146</v>
      </c>
      <c r="AN195" s="206">
        <v>400</v>
      </c>
      <c r="AO195" s="72">
        <f>AN185*0.45</f>
        <v>620.28</v>
      </c>
      <c r="AP195" s="217">
        <f>AN195+AO195</f>
        <v>1020.28</v>
      </c>
      <c r="AQ195" s="86">
        <f>AH190*0.5</f>
        <v>0</v>
      </c>
      <c r="AR195" s="200">
        <f>AP195-AQ195</f>
        <v>1020.28</v>
      </c>
      <c r="AS195" s="215">
        <v>20</v>
      </c>
      <c r="AT195" s="86">
        <f>AR195-AS195</f>
        <v>1000.28</v>
      </c>
      <c r="AU195" s="201">
        <v>1000</v>
      </c>
    </row>
    <row r="196" spans="1:49 16384:16384" x14ac:dyDescent="0.25">
      <c r="X196" s="246"/>
      <c r="AB196" s="218"/>
      <c r="AC196" s="218"/>
      <c r="AD196" s="218"/>
      <c r="AF196" s="171"/>
      <c r="AG196" s="210"/>
      <c r="AH196" s="210"/>
      <c r="AI196" s="210"/>
      <c r="AJ196" s="210"/>
      <c r="AK196" s="210"/>
      <c r="AL196" s="133"/>
      <c r="AO196" s="219"/>
      <c r="AQ196" s="133"/>
      <c r="AR196" s="200">
        <f t="shared" si="43"/>
        <v>0</v>
      </c>
      <c r="AS196" s="209"/>
      <c r="AT196" s="133"/>
      <c r="AU196" s="201"/>
    </row>
    <row r="197" spans="1:49 16384:16384" x14ac:dyDescent="0.25">
      <c r="B197" s="245" t="s">
        <v>154</v>
      </c>
      <c r="X197" s="246"/>
      <c r="AF197" s="171"/>
      <c r="AG197" s="181"/>
      <c r="AH197" s="210"/>
      <c r="AI197" s="211"/>
      <c r="AJ197" s="212"/>
      <c r="AK197" s="213"/>
      <c r="AL197" s="197" t="s">
        <v>7</v>
      </c>
      <c r="AM197" s="79" t="s">
        <v>144</v>
      </c>
      <c r="AN197" s="198">
        <v>400</v>
      </c>
      <c r="AO197" s="72">
        <f>AO185*0.35</f>
        <v>557.93499999999995</v>
      </c>
      <c r="AP197" s="214">
        <f>AN197+AO197</f>
        <v>957.93499999999995</v>
      </c>
      <c r="AQ197" s="86">
        <f>AI190*0.5</f>
        <v>0</v>
      </c>
      <c r="AR197" s="200">
        <f>AP197-AQ197</f>
        <v>957.93499999999995</v>
      </c>
      <c r="AS197" s="220"/>
      <c r="AT197" s="86">
        <f>AR197-AS197</f>
        <v>957.93499999999995</v>
      </c>
      <c r="AU197" s="201">
        <v>955</v>
      </c>
    </row>
    <row r="198" spans="1:49 16384:16384" ht="15.75" thickBot="1" x14ac:dyDescent="0.3">
      <c r="B198" s="245" t="s">
        <v>155</v>
      </c>
      <c r="C198" s="245" t="s">
        <v>156</v>
      </c>
      <c r="X198" s="246"/>
      <c r="AI198" s="221">
        <f>25*AG192/15</f>
        <v>33.333333333333336</v>
      </c>
      <c r="AJ198" s="50"/>
      <c r="AK198" s="213"/>
      <c r="AL198" s="197" t="s">
        <v>157</v>
      </c>
      <c r="AM198" s="79" t="s">
        <v>146</v>
      </c>
      <c r="AN198" s="198">
        <v>400</v>
      </c>
      <c r="AO198" s="72">
        <f>AO185*0.33</f>
        <v>526.053</v>
      </c>
      <c r="AP198" s="214">
        <f>AN198+AO198</f>
        <v>926.053</v>
      </c>
      <c r="AQ198" s="86">
        <f>AI190*0.5</f>
        <v>0</v>
      </c>
      <c r="AR198" s="200">
        <f>AP198-AQ198</f>
        <v>926.053</v>
      </c>
      <c r="AS198" s="44"/>
      <c r="AT198" s="86">
        <f>AR198-AS198</f>
        <v>926.053</v>
      </c>
      <c r="AU198" s="201">
        <v>925</v>
      </c>
    </row>
    <row r="199" spans="1:49 16384:16384" ht="15.75" thickBot="1" x14ac:dyDescent="0.3">
      <c r="B199" s="245" t="s">
        <v>158</v>
      </c>
      <c r="X199" s="246"/>
      <c r="AG199" s="222" t="s">
        <v>13</v>
      </c>
      <c r="AH199" s="222" t="s">
        <v>14</v>
      </c>
      <c r="AI199" s="222" t="s">
        <v>15</v>
      </c>
      <c r="AK199" s="213"/>
      <c r="AL199" s="197" t="s">
        <v>159</v>
      </c>
      <c r="AM199" s="79" t="s">
        <v>148</v>
      </c>
      <c r="AN199" s="244">
        <v>400</v>
      </c>
      <c r="AO199" s="72">
        <f>AO185*0.32</f>
        <v>510.11199999999997</v>
      </c>
      <c r="AP199" s="214">
        <f>AN199+AO199</f>
        <v>910.11199999999997</v>
      </c>
      <c r="AQ199" s="86">
        <v>0</v>
      </c>
      <c r="AR199" s="223">
        <f>AP199-AQ199</f>
        <v>910.11199999999997</v>
      </c>
      <c r="AS199" s="44">
        <v>0</v>
      </c>
      <c r="AT199" s="86">
        <f>AR199-AS199</f>
        <v>910.11199999999997</v>
      </c>
      <c r="AU199" s="201">
        <v>910</v>
      </c>
    </row>
    <row r="200" spans="1:49 16384:16384" ht="15.75" thickBot="1" x14ac:dyDescent="0.3">
      <c r="A200" s="245" t="s">
        <v>160</v>
      </c>
      <c r="AG200" s="224">
        <f>AG190/23.5</f>
        <v>0.85106382978723405</v>
      </c>
      <c r="AH200" s="225">
        <f>AH190/47</f>
        <v>0</v>
      </c>
      <c r="AI200" s="226">
        <f>AI190/23.5</f>
        <v>0</v>
      </c>
      <c r="AK200" s="212"/>
      <c r="AO200" s="227"/>
      <c r="AP200" s="50"/>
      <c r="AQ200" s="50"/>
      <c r="AR200" s="213"/>
      <c r="AS200" s="213"/>
      <c r="AT200" s="50"/>
      <c r="AU200" s="213">
        <f>SUM(AU189:AU199)</f>
        <v>6780</v>
      </c>
      <c r="AV200" s="210"/>
      <c r="AW200" s="213"/>
    </row>
    <row r="201" spans="1:49 16384:16384" x14ac:dyDescent="0.25">
      <c r="B201" s="245" t="s">
        <v>161</v>
      </c>
      <c r="AL201" s="181"/>
      <c r="AS201" s="212"/>
      <c r="AT201" s="212" t="s">
        <v>162</v>
      </c>
      <c r="AU201" s="228">
        <v>1200</v>
      </c>
    </row>
    <row r="202" spans="1:49 16384:16384" x14ac:dyDescent="0.25">
      <c r="B202" s="245" t="s">
        <v>163</v>
      </c>
      <c r="AG202" s="171"/>
      <c r="AJ202" s="210"/>
      <c r="AK202" s="216"/>
      <c r="AL202" s="216"/>
      <c r="AT202" s="245" t="s">
        <v>164</v>
      </c>
      <c r="AU202" s="210">
        <v>375</v>
      </c>
      <c r="AV202" s="242"/>
    </row>
    <row r="203" spans="1:49 16384:16384" x14ac:dyDescent="0.25">
      <c r="B203" s="245" t="s">
        <v>165</v>
      </c>
      <c r="AJ203" s="181"/>
      <c r="AK203" s="229"/>
      <c r="AL203" s="229"/>
      <c r="AP203" s="245" t="s">
        <v>197</v>
      </c>
      <c r="AT203" s="245" t="s">
        <v>166</v>
      </c>
      <c r="AU203" s="210">
        <v>100</v>
      </c>
      <c r="AV203" s="242"/>
    </row>
    <row r="204" spans="1:49 16384:16384" x14ac:dyDescent="0.25">
      <c r="C204" s="245">
        <v>100</v>
      </c>
      <c r="D204" s="245">
        <v>100</v>
      </c>
      <c r="AJ204" s="181"/>
      <c r="AK204" s="229"/>
      <c r="AL204" s="229"/>
      <c r="AT204" s="212" t="s">
        <v>167</v>
      </c>
      <c r="AU204" s="210">
        <v>200</v>
      </c>
    </row>
    <row r="205" spans="1:49 16384:16384" x14ac:dyDescent="0.25">
      <c r="A205" s="230" t="s">
        <v>168</v>
      </c>
      <c r="B205" s="230" t="s">
        <v>169</v>
      </c>
      <c r="C205" s="231">
        <v>44891</v>
      </c>
      <c r="D205" s="232">
        <v>44922</v>
      </c>
      <c r="AJ205" s="181"/>
      <c r="AK205" s="229"/>
      <c r="AL205" s="229"/>
      <c r="AR205" s="213"/>
      <c r="AU205" s="233">
        <f>SUM(AU200:AU204)</f>
        <v>8655</v>
      </c>
    </row>
    <row r="206" spans="1:49 16384:16384" x14ac:dyDescent="0.25">
      <c r="AG206" s="201" t="s">
        <v>170</v>
      </c>
      <c r="AH206" s="201" t="s">
        <v>171</v>
      </c>
      <c r="AU206" s="210"/>
    </row>
    <row r="207" spans="1:49 16384:16384" x14ac:dyDescent="0.25">
      <c r="B207" s="245" t="s">
        <v>172</v>
      </c>
      <c r="I207" s="245"/>
      <c r="J207" s="246"/>
      <c r="M207" s="245"/>
      <c r="N207" s="246"/>
      <c r="Q207" s="245"/>
      <c r="R207" s="246"/>
      <c r="U207" s="245"/>
      <c r="V207" s="246"/>
      <c r="Y207" s="245"/>
      <c r="Z207" s="246"/>
      <c r="AC207" s="245"/>
      <c r="AD207" s="246"/>
      <c r="AG207" s="234"/>
      <c r="AH207" s="133">
        <f>2844.55/22050</f>
        <v>0.1290045351473923</v>
      </c>
      <c r="AM207" s="210"/>
      <c r="AU207" s="235">
        <f>+AU205+AU206</f>
        <v>8655</v>
      </c>
      <c r="AV207" s="210"/>
      <c r="AW207" s="50"/>
    </row>
    <row r="208" spans="1:49 16384:16384" x14ac:dyDescent="0.25">
      <c r="B208" s="245" t="s">
        <v>173</v>
      </c>
      <c r="I208" s="245"/>
      <c r="J208" s="246"/>
      <c r="M208" s="245"/>
      <c r="N208" s="246"/>
      <c r="Q208" s="245"/>
      <c r="R208" s="246"/>
      <c r="U208" s="245"/>
      <c r="V208" s="246"/>
      <c r="Y208" s="245"/>
      <c r="Z208" s="246"/>
      <c r="AC208" s="245"/>
      <c r="AD208" s="246"/>
      <c r="AF208" s="210"/>
      <c r="AG208" s="201" t="s">
        <v>174</v>
      </c>
      <c r="AH208" s="112">
        <f>19205.55/441</f>
        <v>43.55</v>
      </c>
      <c r="AI208" s="210"/>
      <c r="AJ208" s="210"/>
      <c r="AK208" s="210"/>
      <c r="AL208" s="210"/>
      <c r="AM208" s="210"/>
      <c r="AN208" s="236"/>
      <c r="AU208" s="50">
        <f>AU207</f>
        <v>8655</v>
      </c>
    </row>
    <row r="209" spans="2:47" x14ac:dyDescent="0.25">
      <c r="B209" s="245" t="s">
        <v>175</v>
      </c>
      <c r="I209" s="245"/>
      <c r="J209" s="246"/>
      <c r="M209" s="245"/>
      <c r="N209" s="246"/>
      <c r="Q209" s="245"/>
      <c r="R209" s="246"/>
      <c r="U209" s="245"/>
      <c r="V209" s="246"/>
      <c r="Y209" s="245"/>
      <c r="Z209" s="246"/>
      <c r="AC209" s="245"/>
      <c r="AD209" s="246"/>
      <c r="AF209" s="181"/>
      <c r="AG209" s="237"/>
      <c r="AH209" s="237"/>
      <c r="AI209" s="237"/>
      <c r="AJ209" s="237"/>
      <c r="AK209" s="210"/>
      <c r="AL209" s="210"/>
      <c r="AN209" s="181"/>
      <c r="AO209" s="229"/>
      <c r="AP209" s="229"/>
      <c r="AQ209" s="210"/>
    </row>
    <row r="210" spans="2:47" x14ac:dyDescent="0.25">
      <c r="B210" s="245" t="s">
        <v>176</v>
      </c>
      <c r="I210" s="245"/>
      <c r="J210" s="246"/>
      <c r="M210" s="245"/>
      <c r="N210" s="246"/>
      <c r="Q210" s="245"/>
      <c r="R210" s="246"/>
      <c r="U210" s="245"/>
      <c r="V210" s="246"/>
      <c r="Y210" s="245"/>
      <c r="Z210" s="246"/>
      <c r="AC210" s="245"/>
      <c r="AD210" s="246"/>
      <c r="AF210" s="181"/>
      <c r="AG210" s="237"/>
      <c r="AH210" s="237"/>
      <c r="AI210" s="237"/>
      <c r="AJ210" s="237"/>
      <c r="AK210" s="210"/>
      <c r="AL210" s="210"/>
      <c r="AN210" s="181"/>
      <c r="AO210" s="229"/>
      <c r="AP210" s="229"/>
      <c r="AQ210" s="210"/>
      <c r="AS210" s="50"/>
      <c r="AU210" s="238"/>
    </row>
    <row r="211" spans="2:47" x14ac:dyDescent="0.25">
      <c r="B211" s="245" t="s">
        <v>177</v>
      </c>
      <c r="I211" s="245"/>
      <c r="J211" s="246"/>
      <c r="M211" s="245"/>
      <c r="N211" s="246"/>
      <c r="Q211" s="245"/>
      <c r="R211" s="246"/>
      <c r="U211" s="245"/>
      <c r="V211" s="246"/>
      <c r="Y211" s="245"/>
      <c r="Z211" s="246"/>
      <c r="AC211" s="245"/>
      <c r="AD211" s="246"/>
      <c r="AF211" s="181"/>
      <c r="AG211" s="237"/>
      <c r="AH211" s="237"/>
      <c r="AI211" s="237"/>
      <c r="AJ211" s="237"/>
      <c r="AK211" s="210"/>
      <c r="AL211" s="210"/>
      <c r="AN211" s="181"/>
      <c r="AO211" s="229"/>
      <c r="AP211" s="229"/>
      <c r="AQ211" s="210"/>
      <c r="AR211" s="50"/>
    </row>
    <row r="212" spans="2:47" x14ac:dyDescent="0.25">
      <c r="B212" s="245">
        <v>123456</v>
      </c>
      <c r="I212" s="245"/>
      <c r="J212" s="246"/>
      <c r="M212" s="245"/>
      <c r="N212" s="246"/>
      <c r="Q212" s="245"/>
      <c r="R212" s="246"/>
      <c r="U212" s="245"/>
      <c r="V212" s="246"/>
      <c r="Y212" s="245"/>
      <c r="Z212" s="246"/>
      <c r="AC212" s="245"/>
      <c r="AD212" s="246"/>
      <c r="AF212" s="181"/>
      <c r="AG212" s="237"/>
      <c r="AH212" s="237"/>
      <c r="AI212" s="237"/>
      <c r="AJ212" s="237"/>
      <c r="AK212" s="210"/>
      <c r="AL212" s="210"/>
      <c r="AN212" s="181"/>
      <c r="AO212" s="229"/>
      <c r="AP212" s="229"/>
      <c r="AQ212" s="210"/>
    </row>
    <row r="213" spans="2:47" x14ac:dyDescent="0.25">
      <c r="I213" s="245"/>
      <c r="J213" s="246"/>
      <c r="M213" s="245"/>
      <c r="N213" s="246"/>
      <c r="Q213" s="245"/>
      <c r="R213" s="246"/>
      <c r="U213" s="245"/>
      <c r="V213" s="246"/>
      <c r="Y213" s="245"/>
      <c r="Z213" s="246"/>
      <c r="AC213" s="245"/>
      <c r="AD213" s="246"/>
      <c r="AF213" s="181"/>
      <c r="AG213" s="237"/>
      <c r="AH213" s="237"/>
      <c r="AI213" s="237"/>
      <c r="AJ213" s="237"/>
      <c r="AK213" s="210"/>
      <c r="AL213" s="210"/>
      <c r="AN213" s="181"/>
      <c r="AO213" s="229"/>
      <c r="AP213" s="239"/>
      <c r="AQ213" s="210"/>
    </row>
    <row r="214" spans="2:47" x14ac:dyDescent="0.25">
      <c r="I214" s="245"/>
      <c r="J214" s="246"/>
      <c r="M214" s="245"/>
      <c r="N214" s="246"/>
      <c r="Q214" s="245"/>
      <c r="R214" s="246"/>
      <c r="U214" s="245"/>
      <c r="V214" s="246"/>
      <c r="Y214" s="245"/>
      <c r="Z214" s="246"/>
      <c r="AC214" s="245"/>
      <c r="AD214" s="246"/>
      <c r="AF214" s="181"/>
      <c r="AG214" s="237"/>
      <c r="AH214" s="237"/>
      <c r="AI214" s="237"/>
      <c r="AJ214" s="237"/>
      <c r="AK214" s="210"/>
      <c r="AL214" s="210"/>
      <c r="AN214" s="181"/>
      <c r="AO214" s="229"/>
      <c r="AP214" s="210"/>
      <c r="AQ214" s="210"/>
    </row>
    <row r="215" spans="2:47" x14ac:dyDescent="0.25">
      <c r="AF215" s="210"/>
      <c r="AG215" s="239"/>
      <c r="AH215" s="239"/>
      <c r="AI215" s="239"/>
      <c r="AJ215" s="239"/>
      <c r="AK215" s="210"/>
      <c r="AL215" s="210"/>
      <c r="AN215" s="210"/>
      <c r="AO215" s="239"/>
      <c r="AP215" s="246"/>
      <c r="AQ215" s="210"/>
    </row>
    <row r="216" spans="2:47" x14ac:dyDescent="0.25">
      <c r="AH216" s="210"/>
      <c r="AN216" s="210"/>
    </row>
    <row r="217" spans="2:47" x14ac:dyDescent="0.25">
      <c r="AH217" s="210"/>
    </row>
    <row r="218" spans="2:47" x14ac:dyDescent="0.25">
      <c r="AH218" s="210"/>
    </row>
    <row r="219" spans="2:47" x14ac:dyDescent="0.25">
      <c r="AM219" s="210"/>
    </row>
    <row r="220" spans="2:47" x14ac:dyDescent="0.25">
      <c r="AK220" s="240">
        <v>45283</v>
      </c>
      <c r="AM220" s="210"/>
    </row>
    <row r="221" spans="2:47" x14ac:dyDescent="0.25">
      <c r="AK221" s="133"/>
      <c r="AL221" s="133" t="s">
        <v>178</v>
      </c>
      <c r="AM221" s="112" t="s">
        <v>179</v>
      </c>
      <c r="AN221" s="133" t="s">
        <v>180</v>
      </c>
    </row>
    <row r="222" spans="2:47" x14ac:dyDescent="0.25">
      <c r="AK222" s="133" t="s">
        <v>181</v>
      </c>
      <c r="AL222" s="133">
        <v>225</v>
      </c>
      <c r="AM222" s="112">
        <v>5</v>
      </c>
      <c r="AN222" s="133">
        <f>AL222*AM222</f>
        <v>1125</v>
      </c>
      <c r="AQ222" s="245">
        <f>200*12</f>
        <v>2400</v>
      </c>
    </row>
    <row r="223" spans="2:47" x14ac:dyDescent="0.25">
      <c r="AK223" s="133" t="s">
        <v>182</v>
      </c>
      <c r="AL223" s="133">
        <v>200</v>
      </c>
      <c r="AM223" s="112">
        <v>5</v>
      </c>
      <c r="AN223" s="133">
        <f>AL223*AM223</f>
        <v>1000</v>
      </c>
      <c r="AQ223" s="245">
        <f>2400*4</f>
        <v>9600</v>
      </c>
    </row>
    <row r="224" spans="2:47" x14ac:dyDescent="0.25">
      <c r="AK224" s="133" t="s">
        <v>183</v>
      </c>
      <c r="AL224" s="133">
        <v>150</v>
      </c>
      <c r="AM224" s="112">
        <v>7</v>
      </c>
      <c r="AN224" s="133">
        <f>AL224*AM224</f>
        <v>1050</v>
      </c>
      <c r="AQ224" s="245">
        <f>600*12</f>
        <v>7200</v>
      </c>
    </row>
    <row r="225" spans="37:40" x14ac:dyDescent="0.25">
      <c r="AK225" s="133" t="s">
        <v>184</v>
      </c>
      <c r="AL225" s="133">
        <v>185</v>
      </c>
      <c r="AM225" s="112">
        <v>5</v>
      </c>
      <c r="AN225" s="133">
        <f>AL225*AM225</f>
        <v>925</v>
      </c>
    </row>
    <row r="226" spans="37:40" x14ac:dyDescent="0.25">
      <c r="AM226" s="210"/>
      <c r="AN226" s="241">
        <f>SUM(AN222:AN225)</f>
        <v>4100</v>
      </c>
    </row>
    <row r="227" spans="37:40" x14ac:dyDescent="0.25">
      <c r="AM227" s="210"/>
    </row>
    <row r="228" spans="37:40" x14ac:dyDescent="0.25">
      <c r="AK228" s="210" t="s">
        <v>185</v>
      </c>
      <c r="AM228" s="210"/>
      <c r="AN228" s="241">
        <v>16000</v>
      </c>
    </row>
    <row r="229" spans="37:40" x14ac:dyDescent="0.25">
      <c r="AM229" s="210"/>
    </row>
    <row r="230" spans="37:40" x14ac:dyDescent="0.25">
      <c r="AM230" s="210"/>
    </row>
    <row r="231" spans="37:40" x14ac:dyDescent="0.25">
      <c r="AM231" s="210"/>
    </row>
    <row r="232" spans="37:40" x14ac:dyDescent="0.25">
      <c r="AM232" s="210"/>
    </row>
    <row r="233" spans="37:40" x14ac:dyDescent="0.25">
      <c r="AM233" s="210"/>
    </row>
    <row r="234" spans="37:40" x14ac:dyDescent="0.25">
      <c r="AM234" s="210"/>
    </row>
    <row r="235" spans="37:40" x14ac:dyDescent="0.25">
      <c r="AM235" s="210"/>
    </row>
    <row r="236" spans="37:40" x14ac:dyDescent="0.25">
      <c r="AM236" s="210"/>
    </row>
    <row r="237" spans="37:40" x14ac:dyDescent="0.25">
      <c r="AM237" s="210"/>
    </row>
    <row r="238" spans="37:40" x14ac:dyDescent="0.25">
      <c r="AM238" s="210"/>
    </row>
    <row r="239" spans="37:40" x14ac:dyDescent="0.25">
      <c r="AM239" s="210"/>
    </row>
    <row r="240" spans="37:40" x14ac:dyDescent="0.25">
      <c r="AM240" s="210"/>
    </row>
    <row r="241" spans="39:39" x14ac:dyDescent="0.25">
      <c r="AM241" s="210"/>
    </row>
    <row r="242" spans="39:39" x14ac:dyDescent="0.25">
      <c r="AM242" s="210"/>
    </row>
    <row r="243" spans="39:39" x14ac:dyDescent="0.25">
      <c r="AM243" s="210"/>
    </row>
    <row r="244" spans="39:39" x14ac:dyDescent="0.25">
      <c r="AM244" s="210"/>
    </row>
    <row r="245" spans="39:39" x14ac:dyDescent="0.25">
      <c r="AM245" s="210"/>
    </row>
    <row r="246" spans="39:39" x14ac:dyDescent="0.25">
      <c r="AM246" s="210"/>
    </row>
    <row r="247" spans="39:39" x14ac:dyDescent="0.25">
      <c r="AM247" s="210"/>
    </row>
    <row r="248" spans="39:39" x14ac:dyDescent="0.25">
      <c r="AM248" s="210"/>
    </row>
    <row r="249" spans="39:39" x14ac:dyDescent="0.25">
      <c r="AM249" s="210"/>
    </row>
    <row r="250" spans="39:39" x14ac:dyDescent="0.25">
      <c r="AM250" s="210"/>
    </row>
    <row r="251" spans="39:39" x14ac:dyDescent="0.25">
      <c r="AM251" s="210"/>
    </row>
    <row r="252" spans="39:39" x14ac:dyDescent="0.25">
      <c r="AM252" s="210"/>
    </row>
    <row r="253" spans="39:39" x14ac:dyDescent="0.25">
      <c r="AM253" s="210"/>
    </row>
    <row r="254" spans="39:39" x14ac:dyDescent="0.25">
      <c r="AM254" s="210"/>
    </row>
    <row r="255" spans="39:39" x14ac:dyDescent="0.25">
      <c r="AM255" s="210"/>
    </row>
    <row r="256" spans="39:39" x14ac:dyDescent="0.25">
      <c r="AM256" s="210"/>
    </row>
    <row r="257" spans="39:39" x14ac:dyDescent="0.25">
      <c r="AM257" s="210"/>
    </row>
    <row r="258" spans="39:39" x14ac:dyDescent="0.25">
      <c r="AM258" s="210"/>
    </row>
    <row r="259" spans="39:39" x14ac:dyDescent="0.25">
      <c r="AM259" s="210"/>
    </row>
    <row r="260" spans="39:39" x14ac:dyDescent="0.25">
      <c r="AM260" s="210"/>
    </row>
    <row r="261" spans="39:39" x14ac:dyDescent="0.25">
      <c r="AM261" s="210"/>
    </row>
    <row r="262" spans="39:39" x14ac:dyDescent="0.25">
      <c r="AM262" s="210"/>
    </row>
    <row r="263" spans="39:39" x14ac:dyDescent="0.25">
      <c r="AM263" s="210"/>
    </row>
    <row r="264" spans="39:39" x14ac:dyDescent="0.25">
      <c r="AM264" s="210"/>
    </row>
    <row r="265" spans="39:39" x14ac:dyDescent="0.25">
      <c r="AM265" s="210"/>
    </row>
    <row r="266" spans="39:39" x14ac:dyDescent="0.25">
      <c r="AM266" s="210"/>
    </row>
    <row r="267" spans="39:39" x14ac:dyDescent="0.25">
      <c r="AM267" s="210"/>
    </row>
    <row r="268" spans="39:39" x14ac:dyDescent="0.25">
      <c r="AM268" s="210"/>
    </row>
    <row r="269" spans="39:39" x14ac:dyDescent="0.25">
      <c r="AM269" s="210"/>
    </row>
    <row r="270" spans="39:39" x14ac:dyDescent="0.25">
      <c r="AM270" s="210"/>
    </row>
    <row r="271" spans="39:39" x14ac:dyDescent="0.25">
      <c r="AM271" s="210"/>
    </row>
    <row r="272" spans="39:39" x14ac:dyDescent="0.25">
      <c r="AM272" s="210"/>
    </row>
    <row r="273" spans="39:39" x14ac:dyDescent="0.25">
      <c r="AM273" s="210"/>
    </row>
    <row r="274" spans="39:39" x14ac:dyDescent="0.25">
      <c r="AM274" s="210"/>
    </row>
    <row r="275" spans="39:39" x14ac:dyDescent="0.25">
      <c r="AM275" s="210"/>
    </row>
    <row r="276" spans="39:39" x14ac:dyDescent="0.25">
      <c r="AM276" s="210"/>
    </row>
    <row r="277" spans="39:39" x14ac:dyDescent="0.25">
      <c r="AM277" s="210"/>
    </row>
    <row r="278" spans="39:39" x14ac:dyDescent="0.25">
      <c r="AM278" s="210"/>
    </row>
    <row r="279" spans="39:39" x14ac:dyDescent="0.25">
      <c r="AM279" s="210"/>
    </row>
    <row r="280" spans="39:39" x14ac:dyDescent="0.25">
      <c r="AM280" s="210"/>
    </row>
    <row r="281" spans="39:39" x14ac:dyDescent="0.25">
      <c r="AM281" s="210"/>
    </row>
    <row r="282" spans="39:39" x14ac:dyDescent="0.25">
      <c r="AM282" s="210"/>
    </row>
    <row r="283" spans="39:39" x14ac:dyDescent="0.25">
      <c r="AM283" s="210"/>
    </row>
    <row r="284" spans="39:39" x14ac:dyDescent="0.25">
      <c r="AM284" s="210"/>
    </row>
    <row r="285" spans="39:39" x14ac:dyDescent="0.25">
      <c r="AM285" s="210"/>
    </row>
    <row r="286" spans="39:39" x14ac:dyDescent="0.25">
      <c r="AM286" s="210"/>
    </row>
    <row r="287" spans="39:39" x14ac:dyDescent="0.25">
      <c r="AM287" s="210"/>
    </row>
    <row r="288" spans="39:39" x14ac:dyDescent="0.25">
      <c r="AM288" s="210"/>
    </row>
    <row r="289" spans="39:39" x14ac:dyDescent="0.25">
      <c r="AM289" s="210"/>
    </row>
    <row r="290" spans="39:39" x14ac:dyDescent="0.25">
      <c r="AM290" s="210"/>
    </row>
    <row r="291" spans="39:39" x14ac:dyDescent="0.25">
      <c r="AM291" s="210"/>
    </row>
    <row r="292" spans="39:39" x14ac:dyDescent="0.25">
      <c r="AM292" s="210"/>
    </row>
    <row r="293" spans="39:39" x14ac:dyDescent="0.25">
      <c r="AM293" s="210"/>
    </row>
    <row r="294" spans="39:39" x14ac:dyDescent="0.25">
      <c r="AM294" s="210"/>
    </row>
    <row r="295" spans="39:39" x14ac:dyDescent="0.25">
      <c r="AM295" s="210"/>
    </row>
    <row r="296" spans="39:39" x14ac:dyDescent="0.25">
      <c r="AM296" s="210"/>
    </row>
    <row r="297" spans="39:39" x14ac:dyDescent="0.25">
      <c r="AM297" s="210"/>
    </row>
    <row r="298" spans="39:39" x14ac:dyDescent="0.25">
      <c r="AM298" s="210"/>
    </row>
    <row r="299" spans="39:39" x14ac:dyDescent="0.25">
      <c r="AM299" s="210"/>
    </row>
    <row r="300" spans="39:39" x14ac:dyDescent="0.25">
      <c r="AM300" s="210"/>
    </row>
    <row r="301" spans="39:39" x14ac:dyDescent="0.25">
      <c r="AM301" s="210"/>
    </row>
    <row r="302" spans="39:39" x14ac:dyDescent="0.25">
      <c r="AM302" s="210"/>
    </row>
    <row r="303" spans="39:39" x14ac:dyDescent="0.25">
      <c r="AM303" s="210"/>
    </row>
    <row r="304" spans="39:39" x14ac:dyDescent="0.25">
      <c r="AM304" s="210"/>
    </row>
    <row r="305" spans="39:39" x14ac:dyDescent="0.25">
      <c r="AM305" s="210"/>
    </row>
    <row r="306" spans="39:39" x14ac:dyDescent="0.25">
      <c r="AM306" s="210"/>
    </row>
    <row r="307" spans="39:39" x14ac:dyDescent="0.25">
      <c r="AM307" s="210"/>
    </row>
    <row r="308" spans="39:39" x14ac:dyDescent="0.25">
      <c r="AM308" s="210"/>
    </row>
    <row r="309" spans="39:39" x14ac:dyDescent="0.25">
      <c r="AM309" s="210"/>
    </row>
    <row r="310" spans="39:39" x14ac:dyDescent="0.25">
      <c r="AM310" s="210"/>
    </row>
    <row r="311" spans="39:39" x14ac:dyDescent="0.25">
      <c r="AM311" s="210"/>
    </row>
    <row r="312" spans="39:39" x14ac:dyDescent="0.25">
      <c r="AM312" s="210"/>
    </row>
    <row r="313" spans="39:39" x14ac:dyDescent="0.25">
      <c r="AM313" s="210"/>
    </row>
    <row r="314" spans="39:39" x14ac:dyDescent="0.25">
      <c r="AM314" s="210"/>
    </row>
    <row r="315" spans="39:39" x14ac:dyDescent="0.25">
      <c r="AM315" s="210"/>
    </row>
    <row r="316" spans="39:39" x14ac:dyDescent="0.25">
      <c r="AM316" s="210"/>
    </row>
    <row r="317" spans="39:39" x14ac:dyDescent="0.25">
      <c r="AM317" s="210"/>
    </row>
    <row r="318" spans="39:39" x14ac:dyDescent="0.25">
      <c r="AM318" s="210"/>
    </row>
    <row r="319" spans="39:39" x14ac:dyDescent="0.25">
      <c r="AM319" s="210"/>
    </row>
    <row r="320" spans="39:39" x14ac:dyDescent="0.25">
      <c r="AM320" s="210"/>
    </row>
    <row r="321" spans="39:39" x14ac:dyDescent="0.25">
      <c r="AM321" s="210"/>
    </row>
    <row r="322" spans="39:39" x14ac:dyDescent="0.25">
      <c r="AM322" s="210"/>
    </row>
    <row r="323" spans="39:39" x14ac:dyDescent="0.25">
      <c r="AM323" s="210"/>
    </row>
    <row r="324" spans="39:39" x14ac:dyDescent="0.25">
      <c r="AM324" s="210"/>
    </row>
    <row r="325" spans="39:39" x14ac:dyDescent="0.25">
      <c r="AM325" s="210"/>
    </row>
    <row r="326" spans="39:39" x14ac:dyDescent="0.25">
      <c r="AM326" s="210"/>
    </row>
    <row r="327" spans="39:39" x14ac:dyDescent="0.25">
      <c r="AM327" s="210"/>
    </row>
    <row r="328" spans="39:39" x14ac:dyDescent="0.25">
      <c r="AM328" s="210"/>
    </row>
    <row r="329" spans="39:39" x14ac:dyDescent="0.25">
      <c r="AM329" s="210"/>
    </row>
    <row r="330" spans="39:39" x14ac:dyDescent="0.25">
      <c r="AM330" s="210"/>
    </row>
    <row r="331" spans="39:39" x14ac:dyDescent="0.25">
      <c r="AM331" s="210"/>
    </row>
    <row r="332" spans="39:39" x14ac:dyDescent="0.25">
      <c r="AM332" s="210"/>
    </row>
    <row r="333" spans="39:39" x14ac:dyDescent="0.25">
      <c r="AM333" s="210"/>
    </row>
    <row r="334" spans="39:39" x14ac:dyDescent="0.25">
      <c r="AM334" s="210"/>
    </row>
    <row r="819064" spans="1:1" x14ac:dyDescent="0.25">
      <c r="A819064" s="242"/>
    </row>
    <row r="819065" spans="1:1" x14ac:dyDescent="0.25">
      <c r="A819065" s="242"/>
    </row>
    <row r="819066" spans="1:1" x14ac:dyDescent="0.25">
      <c r="A819066" s="242"/>
    </row>
    <row r="819067" spans="1:1" x14ac:dyDescent="0.25">
      <c r="A819067" s="242"/>
    </row>
    <row r="819068" spans="1:1" x14ac:dyDescent="0.25">
      <c r="A819068" s="242"/>
    </row>
    <row r="819069" spans="1:1" x14ac:dyDescent="0.25">
      <c r="A819069" s="242"/>
    </row>
    <row r="819070" spans="1:1" x14ac:dyDescent="0.25">
      <c r="A819070" s="242"/>
    </row>
    <row r="819071" spans="1:1" x14ac:dyDescent="0.25">
      <c r="A819071" s="242"/>
    </row>
    <row r="819072" spans="1:1" x14ac:dyDescent="0.25">
      <c r="A819072" s="242"/>
    </row>
    <row r="819073" spans="1:1" x14ac:dyDescent="0.25">
      <c r="A819073" s="242"/>
    </row>
    <row r="819074" spans="1:1" x14ac:dyDescent="0.25">
      <c r="A819074" s="242"/>
    </row>
    <row r="819075" spans="1:1" x14ac:dyDescent="0.25">
      <c r="A819075" s="242"/>
    </row>
    <row r="819076" spans="1:1" x14ac:dyDescent="0.25">
      <c r="A819076" s="242"/>
    </row>
    <row r="819077" spans="1:1" x14ac:dyDescent="0.25">
      <c r="A819077" s="242"/>
    </row>
    <row r="819078" spans="1:1" x14ac:dyDescent="0.25">
      <c r="A819078" s="242"/>
    </row>
    <row r="819079" spans="1:1" x14ac:dyDescent="0.25">
      <c r="A819079" s="242"/>
    </row>
    <row r="819080" spans="1:1" x14ac:dyDescent="0.25">
      <c r="A819080" s="242"/>
    </row>
    <row r="819081" spans="1:1" x14ac:dyDescent="0.25">
      <c r="A819081" s="242"/>
    </row>
    <row r="819082" spans="1:1" x14ac:dyDescent="0.25">
      <c r="A819082" s="242"/>
    </row>
    <row r="819083" spans="1:1" x14ac:dyDescent="0.25">
      <c r="A819083" s="242"/>
    </row>
    <row r="819084" spans="1:1" x14ac:dyDescent="0.25">
      <c r="A819084" s="242"/>
    </row>
    <row r="819085" spans="1:1" x14ac:dyDescent="0.25">
      <c r="A819085" s="242"/>
    </row>
    <row r="819086" spans="1:1" x14ac:dyDescent="0.25">
      <c r="A819086" s="242"/>
    </row>
    <row r="819087" spans="1:1" x14ac:dyDescent="0.25">
      <c r="A819087" s="242"/>
    </row>
    <row r="819088" spans="1:1" x14ac:dyDescent="0.25">
      <c r="A819088" s="242"/>
    </row>
    <row r="819089" spans="1:1" x14ac:dyDescent="0.25">
      <c r="A819089" s="242"/>
    </row>
    <row r="819090" spans="1:1" x14ac:dyDescent="0.25">
      <c r="A819090" s="242"/>
    </row>
    <row r="819091" spans="1:1" x14ac:dyDescent="0.25">
      <c r="A819091" s="242"/>
    </row>
    <row r="819092" spans="1:1" x14ac:dyDescent="0.25">
      <c r="A819092" s="242"/>
    </row>
    <row r="819093" spans="1:1" x14ac:dyDescent="0.25">
      <c r="A819093" s="242"/>
    </row>
    <row r="819094" spans="1:1" x14ac:dyDescent="0.25">
      <c r="A819094" s="242"/>
    </row>
    <row r="819095" spans="1:1" x14ac:dyDescent="0.25">
      <c r="A819095" s="242"/>
    </row>
    <row r="819096" spans="1:1" x14ac:dyDescent="0.25">
      <c r="A819096" s="242"/>
    </row>
    <row r="819097" spans="1:1" x14ac:dyDescent="0.25">
      <c r="A819097" s="242"/>
    </row>
    <row r="819098" spans="1:1" x14ac:dyDescent="0.25">
      <c r="A819098" s="242"/>
    </row>
    <row r="819099" spans="1:1" x14ac:dyDescent="0.25">
      <c r="A819099" s="242"/>
    </row>
    <row r="819100" spans="1:1" x14ac:dyDescent="0.25">
      <c r="A819100" s="242"/>
    </row>
    <row r="819101" spans="1:1" x14ac:dyDescent="0.25">
      <c r="A819101" s="242"/>
    </row>
    <row r="819102" spans="1:1" x14ac:dyDescent="0.25">
      <c r="A819102" s="242"/>
    </row>
    <row r="819103" spans="1:1" x14ac:dyDescent="0.25">
      <c r="A819103" s="242"/>
    </row>
    <row r="819104" spans="1:1" x14ac:dyDescent="0.25">
      <c r="A819104" s="242"/>
    </row>
    <row r="819105" spans="1:1" x14ac:dyDescent="0.25">
      <c r="A819105" s="242"/>
    </row>
    <row r="819106" spans="1:1" x14ac:dyDescent="0.25">
      <c r="A819106" s="242"/>
    </row>
    <row r="819107" spans="1:1" x14ac:dyDescent="0.25">
      <c r="A819107" s="242"/>
    </row>
    <row r="819108" spans="1:1" x14ac:dyDescent="0.25">
      <c r="A819108" s="242"/>
    </row>
    <row r="819109" spans="1:1" x14ac:dyDescent="0.25">
      <c r="A819109" s="242"/>
    </row>
    <row r="819110" spans="1:1" x14ac:dyDescent="0.25">
      <c r="A819110" s="242"/>
    </row>
    <row r="819111" spans="1:1" x14ac:dyDescent="0.25">
      <c r="A819111" s="242"/>
    </row>
    <row r="819112" spans="1:1" x14ac:dyDescent="0.25">
      <c r="A819112" s="242"/>
    </row>
    <row r="819113" spans="1:1" x14ac:dyDescent="0.25">
      <c r="A819113" s="242"/>
    </row>
    <row r="819114" spans="1:1" x14ac:dyDescent="0.25">
      <c r="A819114" s="242"/>
    </row>
    <row r="819115" spans="1:1" x14ac:dyDescent="0.25">
      <c r="A819115" s="242"/>
    </row>
    <row r="819116" spans="1:1" x14ac:dyDescent="0.25">
      <c r="A819116" s="242"/>
    </row>
    <row r="819117" spans="1:1" x14ac:dyDescent="0.25">
      <c r="A819117" s="242"/>
    </row>
    <row r="819118" spans="1:1" x14ac:dyDescent="0.25">
      <c r="A819118" s="242"/>
    </row>
    <row r="819119" spans="1:1" x14ac:dyDescent="0.25">
      <c r="A819119" s="242"/>
    </row>
    <row r="819120" spans="1:1" x14ac:dyDescent="0.25">
      <c r="A819120" s="242"/>
    </row>
    <row r="819121" spans="1:1" x14ac:dyDescent="0.25">
      <c r="A819121" s="242"/>
    </row>
    <row r="819122" spans="1:1" x14ac:dyDescent="0.25">
      <c r="A819122" s="242"/>
    </row>
    <row r="819123" spans="1:1" x14ac:dyDescent="0.25">
      <c r="A819123" s="242"/>
    </row>
    <row r="819124" spans="1:1" x14ac:dyDescent="0.25">
      <c r="A819124" s="242"/>
    </row>
    <row r="819125" spans="1:1" x14ac:dyDescent="0.25">
      <c r="A819125" s="242"/>
    </row>
    <row r="819126" spans="1:1" x14ac:dyDescent="0.25">
      <c r="A819126" s="242"/>
    </row>
    <row r="819127" spans="1:1" x14ac:dyDescent="0.25">
      <c r="A819127" s="242"/>
    </row>
    <row r="819128" spans="1:1" x14ac:dyDescent="0.25">
      <c r="A819128" s="242"/>
    </row>
    <row r="819129" spans="1:1" x14ac:dyDescent="0.25">
      <c r="A819129" s="242"/>
    </row>
    <row r="819130" spans="1:1" x14ac:dyDescent="0.25">
      <c r="A819130" s="242"/>
    </row>
    <row r="819131" spans="1:1" x14ac:dyDescent="0.25">
      <c r="A819131" s="242"/>
    </row>
    <row r="819132" spans="1:1" x14ac:dyDescent="0.25">
      <c r="A819132" s="242"/>
    </row>
    <row r="819133" spans="1:1" x14ac:dyDescent="0.25">
      <c r="A819133" s="242"/>
    </row>
    <row r="819134" spans="1:1" x14ac:dyDescent="0.25">
      <c r="A819134" s="242"/>
    </row>
    <row r="819135" spans="1:1" x14ac:dyDescent="0.25">
      <c r="A819135" s="242"/>
    </row>
    <row r="819136" spans="1:1" x14ac:dyDescent="0.25">
      <c r="A819136" s="242"/>
    </row>
    <row r="819137" spans="1:1" x14ac:dyDescent="0.25">
      <c r="A819137" s="242"/>
    </row>
    <row r="819138" spans="1:1" x14ac:dyDescent="0.25">
      <c r="A819138" s="242"/>
    </row>
    <row r="819139" spans="1:1" x14ac:dyDescent="0.25">
      <c r="A819139" s="242"/>
    </row>
    <row r="819140" spans="1:1" x14ac:dyDescent="0.25">
      <c r="A819140" s="242"/>
    </row>
    <row r="819141" spans="1:1" x14ac:dyDescent="0.25">
      <c r="A819141" s="242"/>
    </row>
    <row r="819142" spans="1:1" x14ac:dyDescent="0.25">
      <c r="A819142" s="242"/>
    </row>
    <row r="819143" spans="1:1" x14ac:dyDescent="0.25">
      <c r="A819143" s="242"/>
    </row>
    <row r="819144" spans="1:1" x14ac:dyDescent="0.25">
      <c r="A819144" s="242"/>
    </row>
    <row r="819145" spans="1:1" x14ac:dyDescent="0.25">
      <c r="A819145" s="242"/>
    </row>
    <row r="819146" spans="1:1" x14ac:dyDescent="0.25">
      <c r="A819146" s="242"/>
    </row>
    <row r="819147" spans="1:1" x14ac:dyDescent="0.25">
      <c r="A819147" s="242"/>
    </row>
    <row r="819148" spans="1:1" x14ac:dyDescent="0.25">
      <c r="A819148" s="242"/>
    </row>
    <row r="819149" spans="1:1" x14ac:dyDescent="0.25">
      <c r="A819149" s="242"/>
    </row>
    <row r="819150" spans="1:1" x14ac:dyDescent="0.25">
      <c r="A819150" s="242"/>
    </row>
    <row r="819151" spans="1:1" x14ac:dyDescent="0.25">
      <c r="A819151" s="242"/>
    </row>
    <row r="819152" spans="1:1" x14ac:dyDescent="0.25">
      <c r="A819152" s="242"/>
    </row>
    <row r="819153" spans="1:1" x14ac:dyDescent="0.25">
      <c r="A819153" s="242"/>
    </row>
    <row r="819154" spans="1:1" x14ac:dyDescent="0.25">
      <c r="A819154" s="242"/>
    </row>
    <row r="819155" spans="1:1" x14ac:dyDescent="0.25">
      <c r="A819155" s="242"/>
    </row>
    <row r="819156" spans="1:1" x14ac:dyDescent="0.25">
      <c r="A819156" s="242"/>
    </row>
    <row r="819157" spans="1:1" x14ac:dyDescent="0.25">
      <c r="A819157" s="242"/>
    </row>
    <row r="819158" spans="1:1" x14ac:dyDescent="0.25">
      <c r="A819158" s="242"/>
    </row>
    <row r="819159" spans="1:1" x14ac:dyDescent="0.25">
      <c r="A819159" s="242"/>
    </row>
    <row r="819160" spans="1:1" x14ac:dyDescent="0.25">
      <c r="A819160" s="242"/>
    </row>
    <row r="819161" spans="1:1" x14ac:dyDescent="0.25">
      <c r="A819161" s="242"/>
    </row>
    <row r="819162" spans="1:1" x14ac:dyDescent="0.25">
      <c r="A819162" s="242"/>
    </row>
    <row r="819163" spans="1:1" x14ac:dyDescent="0.25">
      <c r="A819163" s="242"/>
    </row>
    <row r="819164" spans="1:1" x14ac:dyDescent="0.25">
      <c r="A819164" s="242"/>
    </row>
    <row r="819165" spans="1:1" x14ac:dyDescent="0.25">
      <c r="A819165" s="242"/>
    </row>
    <row r="819166" spans="1:1" x14ac:dyDescent="0.25">
      <c r="A819166" s="242"/>
    </row>
    <row r="819167" spans="1:1" x14ac:dyDescent="0.25">
      <c r="A819167" s="242"/>
    </row>
    <row r="819168" spans="1:1" x14ac:dyDescent="0.25">
      <c r="A819168" s="242"/>
    </row>
    <row r="819169" spans="1:1" x14ac:dyDescent="0.25">
      <c r="A819169" s="242"/>
    </row>
    <row r="819170" spans="1:1" x14ac:dyDescent="0.25">
      <c r="A819170" s="242"/>
    </row>
    <row r="819171" spans="1:1" x14ac:dyDescent="0.25">
      <c r="A819171" s="242"/>
    </row>
    <row r="819172" spans="1:1" x14ac:dyDescent="0.25">
      <c r="A819172" s="242"/>
    </row>
    <row r="819173" spans="1:1" x14ac:dyDescent="0.25">
      <c r="A819173" s="242"/>
    </row>
    <row r="819174" spans="1:1" x14ac:dyDescent="0.25">
      <c r="A819174" s="242"/>
    </row>
    <row r="819175" spans="1:1" x14ac:dyDescent="0.25">
      <c r="A819175" s="242"/>
    </row>
    <row r="819176" spans="1:1" x14ac:dyDescent="0.25">
      <c r="A819176" s="242"/>
    </row>
    <row r="819177" spans="1:1" x14ac:dyDescent="0.25">
      <c r="A819177" s="242"/>
    </row>
    <row r="819178" spans="1:1" x14ac:dyDescent="0.25">
      <c r="A819178" s="242"/>
    </row>
    <row r="819179" spans="1:1" x14ac:dyDescent="0.25">
      <c r="A819179" s="242"/>
    </row>
    <row r="819180" spans="1:1" x14ac:dyDescent="0.25">
      <c r="A819180" s="242"/>
    </row>
    <row r="819181" spans="1:1" x14ac:dyDescent="0.25">
      <c r="A819181" s="242"/>
    </row>
    <row r="819182" spans="1:1" x14ac:dyDescent="0.25">
      <c r="A819182" s="242"/>
    </row>
    <row r="819183" spans="1:1" x14ac:dyDescent="0.25">
      <c r="A819183" s="242"/>
    </row>
    <row r="819184" spans="1:1" x14ac:dyDescent="0.25">
      <c r="A819184" s="242"/>
    </row>
    <row r="819185" spans="1:1" x14ac:dyDescent="0.25">
      <c r="A819185" s="242"/>
    </row>
    <row r="819186" spans="1:1" x14ac:dyDescent="0.25">
      <c r="A819186" s="242"/>
    </row>
    <row r="819187" spans="1:1" x14ac:dyDescent="0.25">
      <c r="A819187" s="242"/>
    </row>
    <row r="819188" spans="1:1" x14ac:dyDescent="0.25">
      <c r="A819188" s="242"/>
    </row>
    <row r="819189" spans="1:1" x14ac:dyDescent="0.25">
      <c r="A819189" s="242"/>
    </row>
    <row r="819190" spans="1:1" x14ac:dyDescent="0.25">
      <c r="A819190" s="242"/>
    </row>
    <row r="819191" spans="1:1" x14ac:dyDescent="0.25">
      <c r="A819191" s="242"/>
    </row>
    <row r="819192" spans="1:1" x14ac:dyDescent="0.25">
      <c r="A819192" s="242"/>
    </row>
    <row r="819193" spans="1:1" x14ac:dyDescent="0.25">
      <c r="A819193" s="242"/>
    </row>
    <row r="819194" spans="1:1" x14ac:dyDescent="0.25">
      <c r="A819194" s="242"/>
    </row>
    <row r="819195" spans="1:1" x14ac:dyDescent="0.25">
      <c r="A819195" s="242"/>
    </row>
    <row r="819196" spans="1:1" x14ac:dyDescent="0.25">
      <c r="A819196" s="242"/>
    </row>
    <row r="819197" spans="1:1" x14ac:dyDescent="0.25">
      <c r="A819197" s="242"/>
    </row>
    <row r="819198" spans="1:1" x14ac:dyDescent="0.25">
      <c r="A819198" s="242"/>
    </row>
    <row r="819199" spans="1:1" x14ac:dyDescent="0.25">
      <c r="A819199" s="242"/>
    </row>
    <row r="819200" spans="1:1" x14ac:dyDescent="0.25">
      <c r="A819200" s="242"/>
    </row>
    <row r="819201" spans="1:1" x14ac:dyDescent="0.25">
      <c r="A819201" s="242"/>
    </row>
    <row r="819202" spans="1:1" x14ac:dyDescent="0.25">
      <c r="A819202" s="242"/>
    </row>
    <row r="819203" spans="1:1" x14ac:dyDescent="0.25">
      <c r="A819203" s="242"/>
    </row>
    <row r="819204" spans="1:1" x14ac:dyDescent="0.25">
      <c r="A819204" s="242"/>
    </row>
    <row r="819205" spans="1:1" x14ac:dyDescent="0.25">
      <c r="A819205" s="242"/>
    </row>
    <row r="819206" spans="1:1" x14ac:dyDescent="0.25">
      <c r="A819206" s="242"/>
    </row>
    <row r="819207" spans="1:1" x14ac:dyDescent="0.25">
      <c r="A819207" s="242"/>
    </row>
    <row r="819208" spans="1:1" x14ac:dyDescent="0.25">
      <c r="A819208" s="242"/>
    </row>
    <row r="819209" spans="1:1" x14ac:dyDescent="0.25">
      <c r="A819209" s="242"/>
    </row>
    <row r="819210" spans="1:1" x14ac:dyDescent="0.25">
      <c r="A819210" s="242"/>
    </row>
    <row r="819211" spans="1:1" x14ac:dyDescent="0.25">
      <c r="A819211" s="242"/>
    </row>
    <row r="819212" spans="1:1" x14ac:dyDescent="0.25">
      <c r="A819212" s="242"/>
    </row>
    <row r="819213" spans="1:1" x14ac:dyDescent="0.25">
      <c r="A819213" s="242"/>
    </row>
    <row r="819214" spans="1:1" x14ac:dyDescent="0.25">
      <c r="A819214" s="242"/>
    </row>
    <row r="819215" spans="1:1" x14ac:dyDescent="0.25">
      <c r="A819215" s="242"/>
    </row>
    <row r="819216" spans="1:1" x14ac:dyDescent="0.25">
      <c r="A819216" s="242"/>
    </row>
    <row r="819217" spans="1:1" x14ac:dyDescent="0.25">
      <c r="A819217" s="242"/>
    </row>
    <row r="819218" spans="1:1" x14ac:dyDescent="0.25">
      <c r="A819218" s="242"/>
    </row>
    <row r="819219" spans="1:1" x14ac:dyDescent="0.25">
      <c r="A819219" s="242"/>
    </row>
    <row r="819220" spans="1:1" x14ac:dyDescent="0.25">
      <c r="A819220" s="242"/>
    </row>
    <row r="819221" spans="1:1" x14ac:dyDescent="0.25">
      <c r="A819221" s="242"/>
    </row>
    <row r="819222" spans="1:1" x14ac:dyDescent="0.25">
      <c r="A819222" s="242"/>
    </row>
    <row r="819223" spans="1:1" x14ac:dyDescent="0.25">
      <c r="A819223" s="242"/>
    </row>
    <row r="819224" spans="1:1" x14ac:dyDescent="0.25">
      <c r="A819224" s="242"/>
    </row>
    <row r="819225" spans="1:1" x14ac:dyDescent="0.25">
      <c r="A819225" s="242"/>
    </row>
    <row r="819226" spans="1:1" x14ac:dyDescent="0.25">
      <c r="A819226" s="242"/>
    </row>
    <row r="819227" spans="1:1" x14ac:dyDescent="0.25">
      <c r="A819227" s="242"/>
    </row>
    <row r="819228" spans="1:1" x14ac:dyDescent="0.25">
      <c r="A819228" s="242"/>
    </row>
    <row r="819229" spans="1:1" x14ac:dyDescent="0.25">
      <c r="A819229" s="242"/>
    </row>
    <row r="819230" spans="1:1" x14ac:dyDescent="0.25">
      <c r="A819230" s="242"/>
    </row>
    <row r="819231" spans="1:1" x14ac:dyDescent="0.25">
      <c r="A819231" s="242"/>
    </row>
    <row r="819232" spans="1:1" x14ac:dyDescent="0.25">
      <c r="A819232" s="242"/>
    </row>
    <row r="819233" spans="1:1" x14ac:dyDescent="0.25">
      <c r="A819233" s="242"/>
    </row>
    <row r="819234" spans="1:1" x14ac:dyDescent="0.25">
      <c r="A819234" s="242"/>
    </row>
    <row r="819235" spans="1:1" x14ac:dyDescent="0.25">
      <c r="A819235" s="242"/>
    </row>
    <row r="819236" spans="1:1" x14ac:dyDescent="0.25">
      <c r="A819236" s="242"/>
    </row>
    <row r="819237" spans="1:1" x14ac:dyDescent="0.25">
      <c r="A819237" s="242"/>
    </row>
    <row r="819238" spans="1:1" x14ac:dyDescent="0.25">
      <c r="A819238" s="242"/>
    </row>
    <row r="819239" spans="1:1" x14ac:dyDescent="0.25">
      <c r="A819239" s="242"/>
    </row>
    <row r="819240" spans="1:1" x14ac:dyDescent="0.25">
      <c r="A819240" s="242"/>
    </row>
    <row r="819241" spans="1:1" x14ac:dyDescent="0.25">
      <c r="A819241" s="242"/>
    </row>
    <row r="819242" spans="1:1" x14ac:dyDescent="0.25">
      <c r="A819242" s="242"/>
    </row>
    <row r="819243" spans="1:1" x14ac:dyDescent="0.25">
      <c r="A819243" s="242"/>
    </row>
    <row r="819244" spans="1:1" x14ac:dyDescent="0.25">
      <c r="A819244" s="242"/>
    </row>
    <row r="819245" spans="1:1" x14ac:dyDescent="0.25">
      <c r="A819245" s="242"/>
    </row>
    <row r="819246" spans="1:1" x14ac:dyDescent="0.25">
      <c r="A819246" s="242"/>
    </row>
    <row r="819247" spans="1:1" x14ac:dyDescent="0.25">
      <c r="A819247" s="242"/>
    </row>
    <row r="819248" spans="1:1" x14ac:dyDescent="0.25">
      <c r="A819248" s="242"/>
    </row>
    <row r="819249" spans="1:1" x14ac:dyDescent="0.25">
      <c r="A819249" s="242"/>
    </row>
    <row r="819250" spans="1:1" x14ac:dyDescent="0.25">
      <c r="A819250" s="242"/>
    </row>
    <row r="819251" spans="1:1" x14ac:dyDescent="0.25">
      <c r="A819251" s="242"/>
    </row>
    <row r="819252" spans="1:1" x14ac:dyDescent="0.25">
      <c r="A819252" s="242"/>
    </row>
    <row r="819253" spans="1:1" x14ac:dyDescent="0.25">
      <c r="A819253" s="242"/>
    </row>
    <row r="819254" spans="1:1" x14ac:dyDescent="0.25">
      <c r="A819254" s="242"/>
    </row>
    <row r="819255" spans="1:1" x14ac:dyDescent="0.25">
      <c r="A819255" s="242"/>
    </row>
    <row r="819256" spans="1:1" x14ac:dyDescent="0.25">
      <c r="A819256" s="242"/>
    </row>
    <row r="819257" spans="1:1" x14ac:dyDescent="0.25">
      <c r="A819257" s="242"/>
    </row>
    <row r="819258" spans="1:1" x14ac:dyDescent="0.25">
      <c r="A819258" s="242"/>
    </row>
    <row r="819259" spans="1:1" x14ac:dyDescent="0.25">
      <c r="A819259" s="242"/>
    </row>
    <row r="819260" spans="1:1" x14ac:dyDescent="0.25">
      <c r="A819260" s="242"/>
    </row>
    <row r="819261" spans="1:1" x14ac:dyDescent="0.25">
      <c r="A819261" s="242"/>
    </row>
    <row r="819262" spans="1:1" x14ac:dyDescent="0.25">
      <c r="A819262" s="242"/>
    </row>
    <row r="819263" spans="1:1" x14ac:dyDescent="0.25">
      <c r="A819263" s="242"/>
    </row>
    <row r="819264" spans="1:1" x14ac:dyDescent="0.25">
      <c r="A819264" s="242"/>
    </row>
    <row r="819265" spans="1:1" x14ac:dyDescent="0.25">
      <c r="A819265" s="242"/>
    </row>
    <row r="819266" spans="1:1" x14ac:dyDescent="0.25">
      <c r="A819266" s="242"/>
    </row>
    <row r="819267" spans="1:1" x14ac:dyDescent="0.25">
      <c r="A819267" s="242"/>
    </row>
    <row r="819268" spans="1:1" x14ac:dyDescent="0.25">
      <c r="A819268" s="242"/>
    </row>
    <row r="819269" spans="1:1" x14ac:dyDescent="0.25">
      <c r="A819269" s="242"/>
    </row>
    <row r="819270" spans="1:1" x14ac:dyDescent="0.25">
      <c r="A819270" s="242"/>
    </row>
    <row r="819271" spans="1:1" x14ac:dyDescent="0.25">
      <c r="A819271" s="242"/>
    </row>
    <row r="819272" spans="1:1" x14ac:dyDescent="0.25">
      <c r="A819272" s="242"/>
    </row>
    <row r="819273" spans="1:1" x14ac:dyDescent="0.25">
      <c r="A819273" s="242"/>
    </row>
    <row r="819274" spans="1:1" x14ac:dyDescent="0.25">
      <c r="A819274" s="242"/>
    </row>
    <row r="819275" spans="1:1" x14ac:dyDescent="0.25">
      <c r="A819275" s="242"/>
    </row>
    <row r="819276" spans="1:1" x14ac:dyDescent="0.25">
      <c r="A819276" s="242"/>
    </row>
    <row r="819277" spans="1:1" x14ac:dyDescent="0.25">
      <c r="A819277" s="242"/>
    </row>
    <row r="819278" spans="1:1" x14ac:dyDescent="0.25">
      <c r="A819278" s="242"/>
    </row>
    <row r="819279" spans="1:1" x14ac:dyDescent="0.25">
      <c r="A819279" s="242"/>
    </row>
    <row r="819280" spans="1:1" x14ac:dyDescent="0.25">
      <c r="A819280" s="242"/>
    </row>
    <row r="819281" spans="1:1" x14ac:dyDescent="0.25">
      <c r="A819281" s="242"/>
    </row>
    <row r="819282" spans="1:1" x14ac:dyDescent="0.25">
      <c r="A819282" s="242"/>
    </row>
    <row r="819283" spans="1:1" x14ac:dyDescent="0.25">
      <c r="A819283" s="242"/>
    </row>
    <row r="819284" spans="1:1" x14ac:dyDescent="0.25">
      <c r="A819284" s="242"/>
    </row>
    <row r="819285" spans="1:1" x14ac:dyDescent="0.25">
      <c r="A819285" s="242"/>
    </row>
    <row r="819286" spans="1:1" x14ac:dyDescent="0.25">
      <c r="A819286" s="242"/>
    </row>
    <row r="819287" spans="1:1" x14ac:dyDescent="0.25">
      <c r="A819287" s="242"/>
    </row>
    <row r="819288" spans="1:1" x14ac:dyDescent="0.25">
      <c r="A819288" s="242"/>
    </row>
    <row r="819289" spans="1:1" x14ac:dyDescent="0.25">
      <c r="A819289" s="242"/>
    </row>
    <row r="819290" spans="1:1" x14ac:dyDescent="0.25">
      <c r="A819290" s="242"/>
    </row>
    <row r="819291" spans="1:1" x14ac:dyDescent="0.25">
      <c r="A819291" s="242"/>
    </row>
    <row r="819292" spans="1:1" x14ac:dyDescent="0.25">
      <c r="A819292" s="242"/>
    </row>
    <row r="819293" spans="1:1" x14ac:dyDescent="0.25">
      <c r="A819293" s="242"/>
    </row>
    <row r="819294" spans="1:1" x14ac:dyDescent="0.25">
      <c r="A819294" s="242"/>
    </row>
    <row r="819295" spans="1:1" x14ac:dyDescent="0.25">
      <c r="A819295" s="242"/>
    </row>
    <row r="819296" spans="1:1" x14ac:dyDescent="0.25">
      <c r="A819296" s="242"/>
    </row>
    <row r="819297" spans="1:1" x14ac:dyDescent="0.25">
      <c r="A819297" s="242"/>
    </row>
    <row r="819298" spans="1:1" x14ac:dyDescent="0.25">
      <c r="A819298" s="242"/>
    </row>
    <row r="819299" spans="1:1" x14ac:dyDescent="0.25">
      <c r="A819299" s="242"/>
    </row>
    <row r="819300" spans="1:1" x14ac:dyDescent="0.25">
      <c r="A819300" s="242"/>
    </row>
    <row r="819301" spans="1:1" x14ac:dyDescent="0.25">
      <c r="A819301" s="242"/>
    </row>
    <row r="819302" spans="1:1" x14ac:dyDescent="0.25">
      <c r="A819302" s="242"/>
    </row>
    <row r="819303" spans="1:1" x14ac:dyDescent="0.25">
      <c r="A819303" s="242"/>
    </row>
    <row r="819304" spans="1:1" x14ac:dyDescent="0.25">
      <c r="A819304" s="242"/>
    </row>
    <row r="819305" spans="1:1" x14ac:dyDescent="0.25">
      <c r="A819305" s="242"/>
    </row>
    <row r="819306" spans="1:1" x14ac:dyDescent="0.25">
      <c r="A819306" s="242"/>
    </row>
    <row r="819307" spans="1:1" x14ac:dyDescent="0.25">
      <c r="A819307" s="242"/>
    </row>
    <row r="819308" spans="1:1" x14ac:dyDescent="0.25">
      <c r="A819308" s="242"/>
    </row>
    <row r="819309" spans="1:1" x14ac:dyDescent="0.25">
      <c r="A819309" s="242"/>
    </row>
    <row r="819310" spans="1:1" x14ac:dyDescent="0.25">
      <c r="A819310" s="242"/>
    </row>
    <row r="819311" spans="1:1" x14ac:dyDescent="0.25">
      <c r="A819311" s="242"/>
    </row>
    <row r="819312" spans="1:1" x14ac:dyDescent="0.25">
      <c r="A819312" s="242"/>
    </row>
    <row r="819313" spans="1:1" x14ac:dyDescent="0.25">
      <c r="A819313" s="242"/>
    </row>
    <row r="819314" spans="1:1" x14ac:dyDescent="0.25">
      <c r="A819314" s="242"/>
    </row>
    <row r="819315" spans="1:1" x14ac:dyDescent="0.25">
      <c r="A819315" s="242"/>
    </row>
    <row r="819316" spans="1:1" x14ac:dyDescent="0.25">
      <c r="A819316" s="242"/>
    </row>
    <row r="819317" spans="1:1" x14ac:dyDescent="0.25">
      <c r="A819317" s="242"/>
    </row>
    <row r="819318" spans="1:1" x14ac:dyDescent="0.25">
      <c r="A819318" s="242"/>
    </row>
    <row r="819319" spans="1:1" x14ac:dyDescent="0.25">
      <c r="A819319" s="242"/>
    </row>
    <row r="819320" spans="1:1" x14ac:dyDescent="0.25">
      <c r="A819320" s="242"/>
    </row>
    <row r="819321" spans="1:1" x14ac:dyDescent="0.25">
      <c r="A819321" s="242"/>
    </row>
    <row r="819322" spans="1:1" x14ac:dyDescent="0.25">
      <c r="A819322" s="242"/>
    </row>
    <row r="819323" spans="1:1" x14ac:dyDescent="0.25">
      <c r="A819323" s="242"/>
    </row>
    <row r="819324" spans="1:1" x14ac:dyDescent="0.25">
      <c r="A819324" s="242"/>
    </row>
    <row r="819325" spans="1:1" x14ac:dyDescent="0.25">
      <c r="A819325" s="242"/>
    </row>
    <row r="819326" spans="1:1" x14ac:dyDescent="0.25">
      <c r="A819326" s="242"/>
    </row>
    <row r="819327" spans="1:1" x14ac:dyDescent="0.25">
      <c r="A819327" s="242"/>
    </row>
    <row r="819328" spans="1:1" x14ac:dyDescent="0.25">
      <c r="A819328" s="242"/>
    </row>
    <row r="819329" spans="1:1" x14ac:dyDescent="0.25">
      <c r="A819329" s="242"/>
    </row>
    <row r="819330" spans="1:1" x14ac:dyDescent="0.25">
      <c r="A819330" s="242"/>
    </row>
    <row r="819331" spans="1:1" x14ac:dyDescent="0.25">
      <c r="A819331" s="242"/>
    </row>
    <row r="819332" spans="1:1" x14ac:dyDescent="0.25">
      <c r="A819332" s="242"/>
    </row>
    <row r="819333" spans="1:1" x14ac:dyDescent="0.25">
      <c r="A819333" s="242"/>
    </row>
    <row r="819334" spans="1:1" x14ac:dyDescent="0.25">
      <c r="A819334" s="242"/>
    </row>
    <row r="819335" spans="1:1" x14ac:dyDescent="0.25">
      <c r="A819335" s="242"/>
    </row>
    <row r="819336" spans="1:1" x14ac:dyDescent="0.25">
      <c r="A819336" s="242"/>
    </row>
    <row r="819337" spans="1:1" x14ac:dyDescent="0.25">
      <c r="A819337" s="242"/>
    </row>
    <row r="819338" spans="1:1" x14ac:dyDescent="0.25">
      <c r="A819338" s="242"/>
    </row>
    <row r="819339" spans="1:1" x14ac:dyDescent="0.25">
      <c r="A819339" s="242"/>
    </row>
    <row r="819340" spans="1:1" x14ac:dyDescent="0.25">
      <c r="A819340" s="242"/>
    </row>
    <row r="819341" spans="1:1" x14ac:dyDescent="0.25">
      <c r="A819341" s="242"/>
    </row>
    <row r="819342" spans="1:1" x14ac:dyDescent="0.25">
      <c r="A819342" s="242"/>
    </row>
    <row r="819343" spans="1:1" x14ac:dyDescent="0.25">
      <c r="A819343" s="242"/>
    </row>
    <row r="819344" spans="1:1" x14ac:dyDescent="0.25">
      <c r="A819344" s="242"/>
    </row>
    <row r="819345" spans="1:1" x14ac:dyDescent="0.25">
      <c r="A819345" s="242"/>
    </row>
    <row r="819346" spans="1:1" x14ac:dyDescent="0.25">
      <c r="A819346" s="242"/>
    </row>
    <row r="819347" spans="1:1" x14ac:dyDescent="0.25">
      <c r="A819347" s="242"/>
    </row>
    <row r="819348" spans="1:1" x14ac:dyDescent="0.25">
      <c r="A819348" s="242"/>
    </row>
    <row r="819349" spans="1:1" x14ac:dyDescent="0.25">
      <c r="A819349" s="242"/>
    </row>
    <row r="819350" spans="1:1" x14ac:dyDescent="0.25">
      <c r="A819350" s="242"/>
    </row>
    <row r="819351" spans="1:1" x14ac:dyDescent="0.25">
      <c r="A819351" s="242"/>
    </row>
    <row r="819352" spans="1:1" x14ac:dyDescent="0.25">
      <c r="A819352" s="242"/>
    </row>
    <row r="819353" spans="1:1" x14ac:dyDescent="0.25">
      <c r="A819353" s="242"/>
    </row>
    <row r="819354" spans="1:1" x14ac:dyDescent="0.25">
      <c r="A819354" s="242"/>
    </row>
    <row r="819355" spans="1:1" x14ac:dyDescent="0.25">
      <c r="A819355" s="242"/>
    </row>
    <row r="819356" spans="1:1" x14ac:dyDescent="0.25">
      <c r="A819356" s="242"/>
    </row>
    <row r="819357" spans="1:1" x14ac:dyDescent="0.25">
      <c r="A819357" s="242"/>
    </row>
    <row r="819358" spans="1:1" x14ac:dyDescent="0.25">
      <c r="A819358" s="242"/>
    </row>
    <row r="819359" spans="1:1" x14ac:dyDescent="0.25">
      <c r="A819359" s="242"/>
    </row>
    <row r="819360" spans="1:1" x14ac:dyDescent="0.25">
      <c r="A819360" s="242"/>
    </row>
    <row r="819361" spans="1:1" x14ac:dyDescent="0.25">
      <c r="A819361" s="242"/>
    </row>
    <row r="819362" spans="1:1" x14ac:dyDescent="0.25">
      <c r="A819362" s="242"/>
    </row>
    <row r="819363" spans="1:1" x14ac:dyDescent="0.25">
      <c r="A819363" s="242"/>
    </row>
    <row r="819364" spans="1:1" x14ac:dyDescent="0.25">
      <c r="A819364" s="242"/>
    </row>
    <row r="819365" spans="1:1" x14ac:dyDescent="0.25">
      <c r="A819365" s="242"/>
    </row>
    <row r="819366" spans="1:1" x14ac:dyDescent="0.25">
      <c r="A819366" s="242"/>
    </row>
    <row r="819367" spans="1:1" x14ac:dyDescent="0.25">
      <c r="A819367" s="242"/>
    </row>
    <row r="819368" spans="1:1" x14ac:dyDescent="0.25">
      <c r="A819368" s="242"/>
    </row>
    <row r="819369" spans="1:1" x14ac:dyDescent="0.25">
      <c r="A819369" s="242"/>
    </row>
    <row r="819370" spans="1:1" x14ac:dyDescent="0.25">
      <c r="A819370" s="242"/>
    </row>
    <row r="819371" spans="1:1" x14ac:dyDescent="0.25">
      <c r="A819371" s="242"/>
    </row>
    <row r="819372" spans="1:1" x14ac:dyDescent="0.25">
      <c r="A819372" s="242"/>
    </row>
    <row r="819373" spans="1:1" x14ac:dyDescent="0.25">
      <c r="A819373" s="242"/>
    </row>
    <row r="819374" spans="1:1" x14ac:dyDescent="0.25">
      <c r="A819374" s="242"/>
    </row>
    <row r="819375" spans="1:1" x14ac:dyDescent="0.25">
      <c r="A819375" s="242"/>
    </row>
    <row r="819376" spans="1:1" x14ac:dyDescent="0.25">
      <c r="A819376" s="242"/>
    </row>
    <row r="819377" spans="1:1" x14ac:dyDescent="0.25">
      <c r="A819377" s="242"/>
    </row>
    <row r="819378" spans="1:1" x14ac:dyDescent="0.25">
      <c r="A819378" s="242"/>
    </row>
    <row r="819379" spans="1:1" x14ac:dyDescent="0.25">
      <c r="A819379" s="242"/>
    </row>
    <row r="819380" spans="1:1" x14ac:dyDescent="0.25">
      <c r="A819380" s="242"/>
    </row>
    <row r="819381" spans="1:1" x14ac:dyDescent="0.25">
      <c r="A819381" s="242"/>
    </row>
    <row r="819382" spans="1:1" x14ac:dyDescent="0.25">
      <c r="A819382" s="242"/>
    </row>
    <row r="819383" spans="1:1" x14ac:dyDescent="0.25">
      <c r="A819383" s="242"/>
    </row>
    <row r="819384" spans="1:1" x14ac:dyDescent="0.25">
      <c r="A819384" s="242"/>
    </row>
    <row r="819385" spans="1:1" x14ac:dyDescent="0.25">
      <c r="A819385" s="242"/>
    </row>
    <row r="819386" spans="1:1" x14ac:dyDescent="0.25">
      <c r="A819386" s="242"/>
    </row>
    <row r="819387" spans="1:1" x14ac:dyDescent="0.25">
      <c r="A819387" s="242"/>
    </row>
    <row r="819388" spans="1:1" x14ac:dyDescent="0.25">
      <c r="A819388" s="242"/>
    </row>
    <row r="819389" spans="1:1" x14ac:dyDescent="0.25">
      <c r="A819389" s="242"/>
    </row>
    <row r="819390" spans="1:1" x14ac:dyDescent="0.25">
      <c r="A819390" s="242"/>
    </row>
    <row r="819391" spans="1:1" x14ac:dyDescent="0.25">
      <c r="A819391" s="242"/>
    </row>
    <row r="819392" spans="1:1" x14ac:dyDescent="0.25">
      <c r="A819392" s="242"/>
    </row>
    <row r="819393" spans="1:1" x14ac:dyDescent="0.25">
      <c r="A819393" s="242"/>
    </row>
    <row r="819394" spans="1:1" x14ac:dyDescent="0.25">
      <c r="A819394" s="242"/>
    </row>
    <row r="819395" spans="1:1" x14ac:dyDescent="0.25">
      <c r="A819395" s="242"/>
    </row>
    <row r="819396" spans="1:1" x14ac:dyDescent="0.25">
      <c r="A819396" s="242"/>
    </row>
    <row r="819397" spans="1:1" x14ac:dyDescent="0.25">
      <c r="A819397" s="242"/>
    </row>
    <row r="819398" spans="1:1" x14ac:dyDescent="0.25">
      <c r="A819398" s="242"/>
    </row>
    <row r="819399" spans="1:1" x14ac:dyDescent="0.25">
      <c r="A819399" s="242"/>
    </row>
    <row r="819400" spans="1:1" x14ac:dyDescent="0.25">
      <c r="A819400" s="242"/>
    </row>
    <row r="819401" spans="1:1" x14ac:dyDescent="0.25">
      <c r="A819401" s="242"/>
    </row>
    <row r="819402" spans="1:1" x14ac:dyDescent="0.25">
      <c r="A819402" s="242"/>
    </row>
    <row r="819403" spans="1:1" x14ac:dyDescent="0.25">
      <c r="A819403" s="242"/>
    </row>
    <row r="819404" spans="1:1" x14ac:dyDescent="0.25">
      <c r="A819404" s="242"/>
    </row>
    <row r="819405" spans="1:1" x14ac:dyDescent="0.25">
      <c r="A819405" s="242"/>
    </row>
    <row r="819406" spans="1:1" x14ac:dyDescent="0.25">
      <c r="A819406" s="242"/>
    </row>
    <row r="819407" spans="1:1" x14ac:dyDescent="0.25">
      <c r="A819407" s="242"/>
    </row>
    <row r="819408" spans="1:1" x14ac:dyDescent="0.25">
      <c r="A819408" s="242"/>
    </row>
    <row r="819409" spans="1:1" x14ac:dyDescent="0.25">
      <c r="A819409" s="242"/>
    </row>
    <row r="819410" spans="1:1" x14ac:dyDescent="0.25">
      <c r="A819410" s="242"/>
    </row>
    <row r="819411" spans="1:1" x14ac:dyDescent="0.25">
      <c r="A819411" s="242"/>
    </row>
    <row r="819412" spans="1:1" x14ac:dyDescent="0.25">
      <c r="A819412" s="242"/>
    </row>
    <row r="819413" spans="1:1" x14ac:dyDescent="0.25">
      <c r="A819413" s="242"/>
    </row>
    <row r="819414" spans="1:1" x14ac:dyDescent="0.25">
      <c r="A819414" s="242"/>
    </row>
    <row r="819415" spans="1:1" x14ac:dyDescent="0.25">
      <c r="A819415" s="242"/>
    </row>
    <row r="819416" spans="1:1" x14ac:dyDescent="0.25">
      <c r="A819416" s="242"/>
    </row>
    <row r="819417" spans="1:1" x14ac:dyDescent="0.25">
      <c r="A819417" s="242"/>
    </row>
    <row r="819418" spans="1:1" x14ac:dyDescent="0.25">
      <c r="A819418" s="242"/>
    </row>
    <row r="819419" spans="1:1" x14ac:dyDescent="0.25">
      <c r="A819419" s="242"/>
    </row>
    <row r="819420" spans="1:1" x14ac:dyDescent="0.25">
      <c r="A819420" s="242"/>
    </row>
    <row r="819421" spans="1:1" x14ac:dyDescent="0.25">
      <c r="A819421" s="242"/>
    </row>
    <row r="819422" spans="1:1" x14ac:dyDescent="0.25">
      <c r="A819422" s="242"/>
    </row>
    <row r="819423" spans="1:1" x14ac:dyDescent="0.25">
      <c r="A819423" s="242"/>
    </row>
    <row r="819424" spans="1:1" x14ac:dyDescent="0.25">
      <c r="A819424" s="242"/>
    </row>
    <row r="819425" spans="1:1" x14ac:dyDescent="0.25">
      <c r="A819425" s="242"/>
    </row>
    <row r="819426" spans="1:1" x14ac:dyDescent="0.25">
      <c r="A819426" s="242"/>
    </row>
    <row r="819427" spans="1:1" x14ac:dyDescent="0.25">
      <c r="A819427" s="242"/>
    </row>
    <row r="819428" spans="1:1" x14ac:dyDescent="0.25">
      <c r="A819428" s="242"/>
    </row>
    <row r="819429" spans="1:1" x14ac:dyDescent="0.25">
      <c r="A819429" s="242"/>
    </row>
    <row r="819430" spans="1:1" x14ac:dyDescent="0.25">
      <c r="A819430" s="242"/>
    </row>
    <row r="819431" spans="1:1" x14ac:dyDescent="0.25">
      <c r="A819431" s="242"/>
    </row>
    <row r="819432" spans="1:1" x14ac:dyDescent="0.25">
      <c r="A819432" s="242"/>
    </row>
    <row r="819433" spans="1:1" x14ac:dyDescent="0.25">
      <c r="A819433" s="242"/>
    </row>
    <row r="819434" spans="1:1" x14ac:dyDescent="0.25">
      <c r="A819434" s="242"/>
    </row>
    <row r="819435" spans="1:1" x14ac:dyDescent="0.25">
      <c r="A819435" s="242"/>
    </row>
    <row r="819436" spans="1:1" x14ac:dyDescent="0.25">
      <c r="A819436" s="242"/>
    </row>
    <row r="819437" spans="1:1" x14ac:dyDescent="0.25">
      <c r="A819437" s="242"/>
    </row>
    <row r="819438" spans="1:1" x14ac:dyDescent="0.25">
      <c r="A819438" s="242"/>
    </row>
    <row r="819439" spans="1:1" x14ac:dyDescent="0.25">
      <c r="A819439" s="242"/>
    </row>
    <row r="819440" spans="1:1" x14ac:dyDescent="0.25">
      <c r="A819440" s="242"/>
    </row>
    <row r="819441" spans="1:1" x14ac:dyDescent="0.25">
      <c r="A819441" s="242"/>
    </row>
    <row r="819442" spans="1:1" x14ac:dyDescent="0.25">
      <c r="A819442" s="242"/>
    </row>
    <row r="819443" spans="1:1" x14ac:dyDescent="0.25">
      <c r="A819443" s="242"/>
    </row>
    <row r="819444" spans="1:1" x14ac:dyDescent="0.25">
      <c r="A819444" s="242"/>
    </row>
    <row r="819445" spans="1:1" x14ac:dyDescent="0.25">
      <c r="A819445" s="242"/>
    </row>
    <row r="819446" spans="1:1" x14ac:dyDescent="0.25">
      <c r="A819446" s="242"/>
    </row>
    <row r="819447" spans="1:1" x14ac:dyDescent="0.25">
      <c r="A819447" s="242"/>
    </row>
    <row r="819448" spans="1:1" x14ac:dyDescent="0.25">
      <c r="A819448" s="242"/>
    </row>
    <row r="819449" spans="1:1" x14ac:dyDescent="0.25">
      <c r="A819449" s="242"/>
    </row>
    <row r="819450" spans="1:1" x14ac:dyDescent="0.25">
      <c r="A819450" s="242"/>
    </row>
    <row r="819451" spans="1:1" x14ac:dyDescent="0.25">
      <c r="A819451" s="242"/>
    </row>
    <row r="819452" spans="1:1" x14ac:dyDescent="0.25">
      <c r="A819452" s="242"/>
    </row>
    <row r="819453" spans="1:1" x14ac:dyDescent="0.25">
      <c r="A819453" s="242"/>
    </row>
    <row r="819454" spans="1:1" x14ac:dyDescent="0.25">
      <c r="A819454" s="242"/>
    </row>
    <row r="819455" spans="1:1" x14ac:dyDescent="0.25">
      <c r="A819455" s="242"/>
    </row>
    <row r="819456" spans="1:1" x14ac:dyDescent="0.25">
      <c r="A819456" s="242"/>
    </row>
    <row r="819457" spans="1:1" x14ac:dyDescent="0.25">
      <c r="A819457" s="242"/>
    </row>
    <row r="819458" spans="1:1" x14ac:dyDescent="0.25">
      <c r="A819458" s="242"/>
    </row>
    <row r="819459" spans="1:1" x14ac:dyDescent="0.25">
      <c r="A819459" s="242"/>
    </row>
    <row r="819460" spans="1:1" x14ac:dyDescent="0.25">
      <c r="A819460" s="242"/>
    </row>
    <row r="819461" spans="1:1" x14ac:dyDescent="0.25">
      <c r="A819461" s="242"/>
    </row>
    <row r="819462" spans="1:1" x14ac:dyDescent="0.25">
      <c r="A819462" s="242"/>
    </row>
    <row r="819463" spans="1:1" x14ac:dyDescent="0.25">
      <c r="A819463" s="242"/>
    </row>
    <row r="819464" spans="1:1" x14ac:dyDescent="0.25">
      <c r="A819464" s="242"/>
    </row>
    <row r="819465" spans="1:1" x14ac:dyDescent="0.25">
      <c r="A819465" s="242"/>
    </row>
    <row r="819466" spans="1:1" x14ac:dyDescent="0.25">
      <c r="A819466" s="242"/>
    </row>
    <row r="819467" spans="1:1" x14ac:dyDescent="0.25">
      <c r="A819467" s="242"/>
    </row>
    <row r="819468" spans="1:1" x14ac:dyDescent="0.25">
      <c r="A819468" s="242"/>
    </row>
    <row r="819469" spans="1:1" x14ac:dyDescent="0.25">
      <c r="A819469" s="242"/>
    </row>
    <row r="819470" spans="1:1" x14ac:dyDescent="0.25">
      <c r="A819470" s="242"/>
    </row>
    <row r="819471" spans="1:1" x14ac:dyDescent="0.25">
      <c r="A819471" s="242"/>
    </row>
    <row r="819472" spans="1:1" x14ac:dyDescent="0.25">
      <c r="A819472" s="242"/>
    </row>
    <row r="819473" spans="1:1" x14ac:dyDescent="0.25">
      <c r="A819473" s="242"/>
    </row>
    <row r="819474" spans="1:1" x14ac:dyDescent="0.25">
      <c r="A819474" s="242"/>
    </row>
    <row r="819475" spans="1:1" x14ac:dyDescent="0.25">
      <c r="A819475" s="242"/>
    </row>
    <row r="819476" spans="1:1" x14ac:dyDescent="0.25">
      <c r="A819476" s="242"/>
    </row>
    <row r="819477" spans="1:1" x14ac:dyDescent="0.25">
      <c r="A819477" s="242"/>
    </row>
    <row r="819478" spans="1:1" x14ac:dyDescent="0.25">
      <c r="A819478" s="242"/>
    </row>
    <row r="819479" spans="1:1" x14ac:dyDescent="0.25">
      <c r="A819479" s="242"/>
    </row>
    <row r="819480" spans="1:1" x14ac:dyDescent="0.25">
      <c r="A819480" s="242"/>
    </row>
    <row r="819481" spans="1:1" x14ac:dyDescent="0.25">
      <c r="A819481" s="242"/>
    </row>
    <row r="819482" spans="1:1" x14ac:dyDescent="0.25">
      <c r="A819482" s="242"/>
    </row>
    <row r="819483" spans="1:1" x14ac:dyDescent="0.25">
      <c r="A819483" s="242"/>
    </row>
    <row r="819484" spans="1:1" x14ac:dyDescent="0.25">
      <c r="A819484" s="242"/>
    </row>
    <row r="819485" spans="1:1" x14ac:dyDescent="0.25">
      <c r="A819485" s="242"/>
    </row>
    <row r="819486" spans="1:1" x14ac:dyDescent="0.25">
      <c r="A819486" s="242"/>
    </row>
    <row r="819487" spans="1:1" x14ac:dyDescent="0.25">
      <c r="A819487" s="242"/>
    </row>
    <row r="819488" spans="1:1" x14ac:dyDescent="0.25">
      <c r="A819488" s="242"/>
    </row>
    <row r="819489" spans="1:1" x14ac:dyDescent="0.25">
      <c r="A819489" s="242"/>
    </row>
    <row r="819490" spans="1:1" x14ac:dyDescent="0.25">
      <c r="A819490" s="242"/>
    </row>
    <row r="819491" spans="1:1" x14ac:dyDescent="0.25">
      <c r="A819491" s="242"/>
    </row>
    <row r="819492" spans="1:1" x14ac:dyDescent="0.25">
      <c r="A819492" s="242"/>
    </row>
    <row r="819493" spans="1:1" x14ac:dyDescent="0.25">
      <c r="A819493" s="242"/>
    </row>
    <row r="819494" spans="1:1" x14ac:dyDescent="0.25">
      <c r="A819494" s="242"/>
    </row>
    <row r="819495" spans="1:1" x14ac:dyDescent="0.25">
      <c r="A819495" s="242"/>
    </row>
    <row r="819496" spans="1:1" x14ac:dyDescent="0.25">
      <c r="A819496" s="242"/>
    </row>
    <row r="819497" spans="1:1" x14ac:dyDescent="0.25">
      <c r="A819497" s="242"/>
    </row>
    <row r="819498" spans="1:1" x14ac:dyDescent="0.25">
      <c r="A819498" s="242"/>
    </row>
    <row r="819499" spans="1:1" x14ac:dyDescent="0.25">
      <c r="A819499" s="242"/>
    </row>
    <row r="819500" spans="1:1" x14ac:dyDescent="0.25">
      <c r="A819500" s="242"/>
    </row>
    <row r="819501" spans="1:1" x14ac:dyDescent="0.25">
      <c r="A819501" s="242"/>
    </row>
    <row r="819502" spans="1:1" x14ac:dyDescent="0.25">
      <c r="A819502" s="242"/>
    </row>
    <row r="819503" spans="1:1" x14ac:dyDescent="0.25">
      <c r="A819503" s="242"/>
    </row>
    <row r="819504" spans="1:1" x14ac:dyDescent="0.25">
      <c r="A819504" s="242"/>
    </row>
    <row r="819505" spans="1:1" x14ac:dyDescent="0.25">
      <c r="A819505" s="242"/>
    </row>
    <row r="819506" spans="1:1" x14ac:dyDescent="0.25">
      <c r="A819506" s="242"/>
    </row>
    <row r="819507" spans="1:1" x14ac:dyDescent="0.25">
      <c r="A819507" s="242"/>
    </row>
    <row r="819508" spans="1:1" x14ac:dyDescent="0.25">
      <c r="A819508" s="242"/>
    </row>
    <row r="819509" spans="1:1" x14ac:dyDescent="0.25">
      <c r="A819509" s="242"/>
    </row>
    <row r="819510" spans="1:1" x14ac:dyDescent="0.25">
      <c r="A819510" s="242"/>
    </row>
    <row r="819511" spans="1:1" x14ac:dyDescent="0.25">
      <c r="A819511" s="242"/>
    </row>
    <row r="819512" spans="1:1" x14ac:dyDescent="0.25">
      <c r="A819512" s="242"/>
    </row>
    <row r="819513" spans="1:1" x14ac:dyDescent="0.25">
      <c r="A819513" s="242"/>
    </row>
    <row r="819514" spans="1:1" x14ac:dyDescent="0.25">
      <c r="A819514" s="242"/>
    </row>
    <row r="819515" spans="1:1" x14ac:dyDescent="0.25">
      <c r="A819515" s="242"/>
    </row>
    <row r="819516" spans="1:1" x14ac:dyDescent="0.25">
      <c r="A819516" s="242"/>
    </row>
    <row r="819517" spans="1:1" x14ac:dyDescent="0.25">
      <c r="A819517" s="242"/>
    </row>
    <row r="819518" spans="1:1" x14ac:dyDescent="0.25">
      <c r="A819518" s="242"/>
    </row>
    <row r="819519" spans="1:1" x14ac:dyDescent="0.25">
      <c r="A819519" s="242"/>
    </row>
    <row r="819520" spans="1:1" x14ac:dyDescent="0.25">
      <c r="A819520" s="242"/>
    </row>
    <row r="819521" spans="1:1" x14ac:dyDescent="0.25">
      <c r="A819521" s="242"/>
    </row>
    <row r="819522" spans="1:1" x14ac:dyDescent="0.25">
      <c r="A819522" s="242"/>
    </row>
    <row r="819523" spans="1:1" x14ac:dyDescent="0.25">
      <c r="A819523" s="242"/>
    </row>
    <row r="819524" spans="1:1" x14ac:dyDescent="0.25">
      <c r="A819524" s="242"/>
    </row>
    <row r="819525" spans="1:1" x14ac:dyDescent="0.25">
      <c r="A819525" s="242"/>
    </row>
    <row r="819526" spans="1:1" x14ac:dyDescent="0.25">
      <c r="A819526" s="242"/>
    </row>
    <row r="819527" spans="1:1" x14ac:dyDescent="0.25">
      <c r="A819527" s="242"/>
    </row>
    <row r="819528" spans="1:1" x14ac:dyDescent="0.25">
      <c r="A819528" s="242"/>
    </row>
    <row r="819529" spans="1:1" x14ac:dyDescent="0.25">
      <c r="A819529" s="242"/>
    </row>
    <row r="819530" spans="1:1" x14ac:dyDescent="0.25">
      <c r="A819530" s="242"/>
    </row>
    <row r="819531" spans="1:1" x14ac:dyDescent="0.25">
      <c r="A819531" s="242"/>
    </row>
    <row r="819532" spans="1:1" x14ac:dyDescent="0.25">
      <c r="A819532" s="242"/>
    </row>
    <row r="819533" spans="1:1" x14ac:dyDescent="0.25">
      <c r="A819533" s="242"/>
    </row>
    <row r="819534" spans="1:1" x14ac:dyDescent="0.25">
      <c r="A819534" s="242"/>
    </row>
    <row r="819535" spans="1:1" x14ac:dyDescent="0.25">
      <c r="A819535" s="242"/>
    </row>
    <row r="819536" spans="1:1" x14ac:dyDescent="0.25">
      <c r="A819536" s="242"/>
    </row>
    <row r="819537" spans="1:1" x14ac:dyDescent="0.25">
      <c r="A819537" s="242"/>
    </row>
    <row r="819538" spans="1:1" x14ac:dyDescent="0.25">
      <c r="A819538" s="242"/>
    </row>
    <row r="819539" spans="1:1" x14ac:dyDescent="0.25">
      <c r="A819539" s="242"/>
    </row>
    <row r="819540" spans="1:1" x14ac:dyDescent="0.25">
      <c r="A819540" s="242"/>
    </row>
    <row r="819541" spans="1:1" x14ac:dyDescent="0.25">
      <c r="A819541" s="242"/>
    </row>
    <row r="819542" spans="1:1" x14ac:dyDescent="0.25">
      <c r="A819542" s="242"/>
    </row>
    <row r="819543" spans="1:1" x14ac:dyDescent="0.25">
      <c r="A819543" s="242"/>
    </row>
    <row r="819544" spans="1:1" x14ac:dyDescent="0.25">
      <c r="A819544" s="242"/>
    </row>
    <row r="819545" spans="1:1" x14ac:dyDescent="0.25">
      <c r="A819545" s="242"/>
    </row>
    <row r="819546" spans="1:1" x14ac:dyDescent="0.25">
      <c r="A819546" s="242"/>
    </row>
    <row r="819547" spans="1:1" x14ac:dyDescent="0.25">
      <c r="A819547" s="242"/>
    </row>
    <row r="819548" spans="1:1" x14ac:dyDescent="0.25">
      <c r="A819548" s="242"/>
    </row>
    <row r="819549" spans="1:1" x14ac:dyDescent="0.25">
      <c r="A819549" s="242"/>
    </row>
    <row r="819550" spans="1:1" x14ac:dyDescent="0.25">
      <c r="A819550" s="242"/>
    </row>
    <row r="819551" spans="1:1" x14ac:dyDescent="0.25">
      <c r="A819551" s="242"/>
    </row>
    <row r="819552" spans="1:1" x14ac:dyDescent="0.25">
      <c r="A819552" s="242"/>
    </row>
    <row r="819553" spans="1:1" x14ac:dyDescent="0.25">
      <c r="A819553" s="242"/>
    </row>
    <row r="819554" spans="1:1" x14ac:dyDescent="0.25">
      <c r="A819554" s="242"/>
    </row>
    <row r="819555" spans="1:1" x14ac:dyDescent="0.25">
      <c r="A819555" s="242"/>
    </row>
    <row r="819556" spans="1:1" x14ac:dyDescent="0.25">
      <c r="A819556" s="242"/>
    </row>
    <row r="819557" spans="1:1" x14ac:dyDescent="0.25">
      <c r="A819557" s="242"/>
    </row>
    <row r="819558" spans="1:1" x14ac:dyDescent="0.25">
      <c r="A819558" s="242"/>
    </row>
    <row r="819559" spans="1:1" x14ac:dyDescent="0.25">
      <c r="A819559" s="242"/>
    </row>
    <row r="819560" spans="1:1" x14ac:dyDescent="0.25">
      <c r="A819560" s="242"/>
    </row>
    <row r="819561" spans="1:1" x14ac:dyDescent="0.25">
      <c r="A819561" s="242"/>
    </row>
    <row r="819562" spans="1:1" x14ac:dyDescent="0.25">
      <c r="A819562" s="242"/>
    </row>
    <row r="819563" spans="1:1" x14ac:dyDescent="0.25">
      <c r="A819563" s="242"/>
    </row>
    <row r="819564" spans="1:1" x14ac:dyDescent="0.25">
      <c r="A819564" s="242"/>
    </row>
    <row r="819565" spans="1:1" x14ac:dyDescent="0.25">
      <c r="A819565" s="242"/>
    </row>
    <row r="819566" spans="1:1" x14ac:dyDescent="0.25">
      <c r="A819566" s="242"/>
    </row>
    <row r="819567" spans="1:1" x14ac:dyDescent="0.25">
      <c r="A819567" s="242"/>
    </row>
    <row r="819568" spans="1:1" x14ac:dyDescent="0.25">
      <c r="A819568" s="242"/>
    </row>
    <row r="819569" spans="1:1" x14ac:dyDescent="0.25">
      <c r="A819569" s="242"/>
    </row>
    <row r="819570" spans="1:1" x14ac:dyDescent="0.25">
      <c r="A819570" s="242"/>
    </row>
    <row r="819571" spans="1:1" x14ac:dyDescent="0.25">
      <c r="A819571" s="242"/>
    </row>
    <row r="819572" spans="1:1" x14ac:dyDescent="0.25">
      <c r="A819572" s="242"/>
    </row>
    <row r="819573" spans="1:1" x14ac:dyDescent="0.25">
      <c r="A819573" s="242"/>
    </row>
    <row r="819574" spans="1:1" x14ac:dyDescent="0.25">
      <c r="A819574" s="242"/>
    </row>
    <row r="819575" spans="1:1" x14ac:dyDescent="0.25">
      <c r="A819575" s="242"/>
    </row>
    <row r="819576" spans="1:1" x14ac:dyDescent="0.25">
      <c r="A819576" s="242"/>
    </row>
    <row r="819577" spans="1:1" x14ac:dyDescent="0.25">
      <c r="A819577" s="242"/>
    </row>
    <row r="819578" spans="1:1" x14ac:dyDescent="0.25">
      <c r="A819578" s="242"/>
    </row>
    <row r="819579" spans="1:1" x14ac:dyDescent="0.25">
      <c r="A819579" s="242"/>
    </row>
    <row r="819580" spans="1:1" x14ac:dyDescent="0.25">
      <c r="A819580" s="242"/>
    </row>
    <row r="819581" spans="1:1" x14ac:dyDescent="0.25">
      <c r="A819581" s="242"/>
    </row>
    <row r="819582" spans="1:1" x14ac:dyDescent="0.25">
      <c r="A819582" s="242"/>
    </row>
    <row r="819583" spans="1:1" x14ac:dyDescent="0.25">
      <c r="A819583" s="242"/>
    </row>
    <row r="819584" spans="1:1" x14ac:dyDescent="0.25">
      <c r="A819584" s="242"/>
    </row>
    <row r="819585" spans="1:1" x14ac:dyDescent="0.25">
      <c r="A819585" s="242"/>
    </row>
    <row r="819586" spans="1:1" x14ac:dyDescent="0.25">
      <c r="A819586" s="242"/>
    </row>
    <row r="819587" spans="1:1" x14ac:dyDescent="0.25">
      <c r="A819587" s="242"/>
    </row>
    <row r="819588" spans="1:1" x14ac:dyDescent="0.25">
      <c r="A819588" s="242"/>
    </row>
    <row r="819589" spans="1:1" x14ac:dyDescent="0.25">
      <c r="A819589" s="242"/>
    </row>
    <row r="819590" spans="1:1" x14ac:dyDescent="0.25">
      <c r="A819590" s="242"/>
    </row>
    <row r="819591" spans="1:1" x14ac:dyDescent="0.25">
      <c r="A819591" s="242"/>
    </row>
    <row r="819592" spans="1:1" x14ac:dyDescent="0.25">
      <c r="A819592" s="242"/>
    </row>
    <row r="819593" spans="1:1" x14ac:dyDescent="0.25">
      <c r="A819593" s="242"/>
    </row>
    <row r="819594" spans="1:1" x14ac:dyDescent="0.25">
      <c r="A819594" s="242"/>
    </row>
    <row r="819595" spans="1:1" x14ac:dyDescent="0.25">
      <c r="A819595" s="242"/>
    </row>
    <row r="819596" spans="1:1" x14ac:dyDescent="0.25">
      <c r="A819596" s="242"/>
    </row>
    <row r="819597" spans="1:1" x14ac:dyDescent="0.25">
      <c r="A819597" s="242"/>
    </row>
    <row r="819598" spans="1:1" x14ac:dyDescent="0.25">
      <c r="A819598" s="242"/>
    </row>
    <row r="819599" spans="1:1" x14ac:dyDescent="0.25">
      <c r="A819599" s="242"/>
    </row>
    <row r="819600" spans="1:1" x14ac:dyDescent="0.25">
      <c r="A819600" s="242"/>
    </row>
    <row r="819601" spans="1:1" x14ac:dyDescent="0.25">
      <c r="A819601" s="242"/>
    </row>
    <row r="819602" spans="1:1" x14ac:dyDescent="0.25">
      <c r="A819602" s="242"/>
    </row>
    <row r="819603" spans="1:1" x14ac:dyDescent="0.25">
      <c r="A819603" s="242"/>
    </row>
    <row r="819604" spans="1:1" x14ac:dyDescent="0.25">
      <c r="A819604" s="242"/>
    </row>
    <row r="819605" spans="1:1" x14ac:dyDescent="0.25">
      <c r="A819605" s="242"/>
    </row>
    <row r="819606" spans="1:1" x14ac:dyDescent="0.25">
      <c r="A819606" s="242"/>
    </row>
    <row r="819607" spans="1:1" x14ac:dyDescent="0.25">
      <c r="A819607" s="242"/>
    </row>
    <row r="819608" spans="1:1" x14ac:dyDescent="0.25">
      <c r="A819608" s="242"/>
    </row>
    <row r="819609" spans="1:1" x14ac:dyDescent="0.25">
      <c r="A819609" s="242"/>
    </row>
    <row r="819610" spans="1:1" x14ac:dyDescent="0.25">
      <c r="A819610" s="242"/>
    </row>
    <row r="819611" spans="1:1" x14ac:dyDescent="0.25">
      <c r="A819611" s="242"/>
    </row>
    <row r="819612" spans="1:1" x14ac:dyDescent="0.25">
      <c r="A819612" s="242"/>
    </row>
    <row r="819613" spans="1:1" x14ac:dyDescent="0.25">
      <c r="A819613" s="242"/>
    </row>
    <row r="819614" spans="1:1" x14ac:dyDescent="0.25">
      <c r="A819614" s="242"/>
    </row>
    <row r="819615" spans="1:1" x14ac:dyDescent="0.25">
      <c r="A819615" s="242"/>
    </row>
    <row r="819616" spans="1:1" x14ac:dyDescent="0.25">
      <c r="A819616" s="242"/>
    </row>
    <row r="819617" spans="1:1" x14ac:dyDescent="0.25">
      <c r="A819617" s="242"/>
    </row>
    <row r="819618" spans="1:1" x14ac:dyDescent="0.25">
      <c r="A819618" s="242"/>
    </row>
    <row r="819619" spans="1:1" x14ac:dyDescent="0.25">
      <c r="A819619" s="242"/>
    </row>
    <row r="819620" spans="1:1" x14ac:dyDescent="0.25">
      <c r="A819620" s="242"/>
    </row>
    <row r="819621" spans="1:1" x14ac:dyDescent="0.25">
      <c r="A819621" s="242"/>
    </row>
    <row r="819622" spans="1:1" x14ac:dyDescent="0.25">
      <c r="A819622" s="242"/>
    </row>
    <row r="819623" spans="1:1" x14ac:dyDescent="0.25">
      <c r="A819623" s="242"/>
    </row>
    <row r="819624" spans="1:1" x14ac:dyDescent="0.25">
      <c r="A819624" s="242"/>
    </row>
    <row r="819625" spans="1:1" x14ac:dyDescent="0.25">
      <c r="A819625" s="242"/>
    </row>
    <row r="819626" spans="1:1" x14ac:dyDescent="0.25">
      <c r="A819626" s="242"/>
    </row>
    <row r="819627" spans="1:1" x14ac:dyDescent="0.25">
      <c r="A819627" s="242"/>
    </row>
    <row r="819628" spans="1:1" x14ac:dyDescent="0.25">
      <c r="A819628" s="242"/>
    </row>
    <row r="819629" spans="1:1" x14ac:dyDescent="0.25">
      <c r="A819629" s="242"/>
    </row>
    <row r="819630" spans="1:1" x14ac:dyDescent="0.25">
      <c r="A819630" s="242"/>
    </row>
    <row r="819631" spans="1:1" x14ac:dyDescent="0.25">
      <c r="A819631" s="242"/>
    </row>
    <row r="819632" spans="1:1" x14ac:dyDescent="0.25">
      <c r="A819632" s="242"/>
    </row>
    <row r="819633" spans="1:1" x14ac:dyDescent="0.25">
      <c r="A819633" s="242"/>
    </row>
    <row r="819634" spans="1:1" x14ac:dyDescent="0.25">
      <c r="A819634" s="242"/>
    </row>
    <row r="819635" spans="1:1" x14ac:dyDescent="0.25">
      <c r="A819635" s="242"/>
    </row>
    <row r="819636" spans="1:1" x14ac:dyDescent="0.25">
      <c r="A819636" s="242"/>
    </row>
    <row r="819637" spans="1:1" x14ac:dyDescent="0.25">
      <c r="A819637" s="242"/>
    </row>
    <row r="819638" spans="1:1" x14ac:dyDescent="0.25">
      <c r="A819638" s="242"/>
    </row>
    <row r="819639" spans="1:1" x14ac:dyDescent="0.25">
      <c r="A819639" s="242"/>
    </row>
    <row r="819640" spans="1:1" x14ac:dyDescent="0.25">
      <c r="A819640" s="242"/>
    </row>
    <row r="819641" spans="1:1" x14ac:dyDescent="0.25">
      <c r="A819641" s="242"/>
    </row>
    <row r="819642" spans="1:1" x14ac:dyDescent="0.25">
      <c r="A819642" s="242"/>
    </row>
    <row r="819643" spans="1:1" x14ac:dyDescent="0.25">
      <c r="A819643" s="242"/>
    </row>
    <row r="819644" spans="1:1" x14ac:dyDescent="0.25">
      <c r="A819644" s="242"/>
    </row>
    <row r="819645" spans="1:1" x14ac:dyDescent="0.25">
      <c r="A819645" s="242"/>
    </row>
    <row r="819646" spans="1:1" x14ac:dyDescent="0.25">
      <c r="A819646" s="242"/>
    </row>
    <row r="819647" spans="1:1" x14ac:dyDescent="0.25">
      <c r="A819647" s="242"/>
    </row>
    <row r="819648" spans="1:1" x14ac:dyDescent="0.25">
      <c r="A819648" s="242"/>
    </row>
    <row r="819649" spans="1:1" x14ac:dyDescent="0.25">
      <c r="A819649" s="242"/>
    </row>
    <row r="819650" spans="1:1" x14ac:dyDescent="0.25">
      <c r="A819650" s="242"/>
    </row>
    <row r="819651" spans="1:1" x14ac:dyDescent="0.25">
      <c r="A819651" s="242"/>
    </row>
    <row r="819652" spans="1:1" x14ac:dyDescent="0.25">
      <c r="A819652" s="242"/>
    </row>
    <row r="819653" spans="1:1" x14ac:dyDescent="0.25">
      <c r="A819653" s="242"/>
    </row>
    <row r="819654" spans="1:1" x14ac:dyDescent="0.25">
      <c r="A819654" s="242"/>
    </row>
    <row r="819655" spans="1:1" x14ac:dyDescent="0.25">
      <c r="A819655" s="242"/>
    </row>
    <row r="819656" spans="1:1" x14ac:dyDescent="0.25">
      <c r="A819656" s="242"/>
    </row>
    <row r="819657" spans="1:1" x14ac:dyDescent="0.25">
      <c r="A819657" s="242"/>
    </row>
    <row r="819658" spans="1:1" x14ac:dyDescent="0.25">
      <c r="A819658" s="242"/>
    </row>
    <row r="819659" spans="1:1" x14ac:dyDescent="0.25">
      <c r="A819659" s="242"/>
    </row>
    <row r="819660" spans="1:1" x14ac:dyDescent="0.25">
      <c r="A819660" s="242"/>
    </row>
    <row r="819661" spans="1:1" x14ac:dyDescent="0.25">
      <c r="A819661" s="242"/>
    </row>
    <row r="819662" spans="1:1" x14ac:dyDescent="0.25">
      <c r="A819662" s="242"/>
    </row>
    <row r="819663" spans="1:1" x14ac:dyDescent="0.25">
      <c r="A819663" s="242"/>
    </row>
    <row r="819664" spans="1:1" x14ac:dyDescent="0.25">
      <c r="A819664" s="242"/>
    </row>
    <row r="819665" spans="1:1" x14ac:dyDescent="0.25">
      <c r="A819665" s="242"/>
    </row>
    <row r="819666" spans="1:1" x14ac:dyDescent="0.25">
      <c r="A819666" s="242"/>
    </row>
    <row r="819667" spans="1:1" x14ac:dyDescent="0.25">
      <c r="A819667" s="242"/>
    </row>
    <row r="819668" spans="1:1" x14ac:dyDescent="0.25">
      <c r="A819668" s="242"/>
    </row>
    <row r="819669" spans="1:1" x14ac:dyDescent="0.25">
      <c r="A819669" s="242"/>
    </row>
    <row r="819670" spans="1:1" x14ac:dyDescent="0.25">
      <c r="A819670" s="242"/>
    </row>
    <row r="819671" spans="1:1" x14ac:dyDescent="0.25">
      <c r="A819671" s="242"/>
    </row>
    <row r="819672" spans="1:1" x14ac:dyDescent="0.25">
      <c r="A819672" s="242"/>
    </row>
    <row r="819673" spans="1:1" x14ac:dyDescent="0.25">
      <c r="A819673" s="242"/>
    </row>
    <row r="819674" spans="1:1" x14ac:dyDescent="0.25">
      <c r="A819674" s="242"/>
    </row>
    <row r="819675" spans="1:1" x14ac:dyDescent="0.25">
      <c r="A819675" s="242"/>
    </row>
    <row r="819676" spans="1:1" x14ac:dyDescent="0.25">
      <c r="A819676" s="242"/>
    </row>
    <row r="819677" spans="1:1" x14ac:dyDescent="0.25">
      <c r="A819677" s="242"/>
    </row>
    <row r="819678" spans="1:1" x14ac:dyDescent="0.25">
      <c r="A819678" s="242"/>
    </row>
    <row r="819679" spans="1:1" x14ac:dyDescent="0.25">
      <c r="A819679" s="242"/>
    </row>
    <row r="819680" spans="1:1" x14ac:dyDescent="0.25">
      <c r="A819680" s="242"/>
    </row>
    <row r="819681" spans="1:1" x14ac:dyDescent="0.25">
      <c r="A819681" s="242"/>
    </row>
    <row r="819682" spans="1:1" x14ac:dyDescent="0.25">
      <c r="A819682" s="242"/>
    </row>
    <row r="819683" spans="1:1" x14ac:dyDescent="0.25">
      <c r="A819683" s="242"/>
    </row>
    <row r="819684" spans="1:1" x14ac:dyDescent="0.25">
      <c r="A819684" s="242"/>
    </row>
    <row r="819685" spans="1:1" x14ac:dyDescent="0.25">
      <c r="A819685" s="242"/>
    </row>
    <row r="819686" spans="1:1" x14ac:dyDescent="0.25">
      <c r="A819686" s="242"/>
    </row>
    <row r="819687" spans="1:1" x14ac:dyDescent="0.25">
      <c r="A819687" s="242"/>
    </row>
    <row r="819688" spans="1:1" x14ac:dyDescent="0.25">
      <c r="A819688" s="242"/>
    </row>
    <row r="819689" spans="1:1" x14ac:dyDescent="0.25">
      <c r="A819689" s="242"/>
    </row>
    <row r="819690" spans="1:1" x14ac:dyDescent="0.25">
      <c r="A819690" s="242"/>
    </row>
    <row r="819691" spans="1:1" x14ac:dyDescent="0.25">
      <c r="A819691" s="242"/>
    </row>
    <row r="819692" spans="1:1" x14ac:dyDescent="0.25">
      <c r="A819692" s="242"/>
    </row>
    <row r="819693" spans="1:1" x14ac:dyDescent="0.25">
      <c r="A819693" s="242"/>
    </row>
    <row r="819694" spans="1:1" x14ac:dyDescent="0.25">
      <c r="A819694" s="242"/>
    </row>
    <row r="819695" spans="1:1" x14ac:dyDescent="0.25">
      <c r="A819695" s="242"/>
    </row>
    <row r="819696" spans="1:1" x14ac:dyDescent="0.25">
      <c r="A819696" s="242"/>
    </row>
    <row r="819697" spans="1:1" x14ac:dyDescent="0.25">
      <c r="A819697" s="242"/>
    </row>
    <row r="819698" spans="1:1" x14ac:dyDescent="0.25">
      <c r="A819698" s="242"/>
    </row>
    <row r="819699" spans="1:1" x14ac:dyDescent="0.25">
      <c r="A819699" s="242"/>
    </row>
    <row r="819700" spans="1:1" x14ac:dyDescent="0.25">
      <c r="A819700" s="242"/>
    </row>
    <row r="819701" spans="1:1" x14ac:dyDescent="0.25">
      <c r="A819701" s="242"/>
    </row>
    <row r="819702" spans="1:1" x14ac:dyDescent="0.25">
      <c r="A819702" s="242"/>
    </row>
    <row r="819703" spans="1:1" x14ac:dyDescent="0.25">
      <c r="A819703" s="242"/>
    </row>
    <row r="819704" spans="1:1" x14ac:dyDescent="0.25">
      <c r="A819704" s="242"/>
    </row>
    <row r="819705" spans="1:1" x14ac:dyDescent="0.25">
      <c r="A819705" s="242"/>
    </row>
    <row r="819706" spans="1:1" x14ac:dyDescent="0.25">
      <c r="A819706" s="242"/>
    </row>
    <row r="819707" spans="1:1" x14ac:dyDescent="0.25">
      <c r="A819707" s="242"/>
    </row>
    <row r="819708" spans="1:1" x14ac:dyDescent="0.25">
      <c r="A819708" s="242"/>
    </row>
    <row r="819709" spans="1:1" x14ac:dyDescent="0.25">
      <c r="A819709" s="242"/>
    </row>
    <row r="819710" spans="1:1" x14ac:dyDescent="0.25">
      <c r="A819710" s="242"/>
    </row>
    <row r="819711" spans="1:1" x14ac:dyDescent="0.25">
      <c r="A819711" s="242"/>
    </row>
    <row r="819712" spans="1:1" x14ac:dyDescent="0.25">
      <c r="A819712" s="242"/>
    </row>
    <row r="819713" spans="1:1" x14ac:dyDescent="0.25">
      <c r="A819713" s="242"/>
    </row>
    <row r="819714" spans="1:1" x14ac:dyDescent="0.25">
      <c r="A819714" s="242"/>
    </row>
    <row r="819715" spans="1:1" x14ac:dyDescent="0.25">
      <c r="A819715" s="242"/>
    </row>
    <row r="819716" spans="1:1" x14ac:dyDescent="0.25">
      <c r="A819716" s="242"/>
    </row>
    <row r="819717" spans="1:1" x14ac:dyDescent="0.25">
      <c r="A819717" s="242"/>
    </row>
    <row r="819718" spans="1:1" x14ac:dyDescent="0.25">
      <c r="A819718" s="242"/>
    </row>
    <row r="819719" spans="1:1" x14ac:dyDescent="0.25">
      <c r="A819719" s="242"/>
    </row>
    <row r="819720" spans="1:1" x14ac:dyDescent="0.25">
      <c r="A819720" s="242"/>
    </row>
    <row r="819721" spans="1:1" x14ac:dyDescent="0.25">
      <c r="A819721" s="242"/>
    </row>
    <row r="819722" spans="1:1" x14ac:dyDescent="0.25">
      <c r="A819722" s="242"/>
    </row>
    <row r="819723" spans="1:1" x14ac:dyDescent="0.25">
      <c r="A819723" s="242"/>
    </row>
    <row r="819724" spans="1:1" x14ac:dyDescent="0.25">
      <c r="A819724" s="242"/>
    </row>
    <row r="819725" spans="1:1" x14ac:dyDescent="0.25">
      <c r="A819725" s="242"/>
    </row>
    <row r="819726" spans="1:1" x14ac:dyDescent="0.25">
      <c r="A819726" s="242"/>
    </row>
    <row r="819727" spans="1:1" x14ac:dyDescent="0.25">
      <c r="A819727" s="242"/>
    </row>
    <row r="819728" spans="1:1" x14ac:dyDescent="0.25">
      <c r="A819728" s="242"/>
    </row>
    <row r="819729" spans="1:1" x14ac:dyDescent="0.25">
      <c r="A819729" s="242"/>
    </row>
    <row r="819730" spans="1:1" x14ac:dyDescent="0.25">
      <c r="A819730" s="242"/>
    </row>
    <row r="819731" spans="1:1" x14ac:dyDescent="0.25">
      <c r="A819731" s="242"/>
    </row>
    <row r="819732" spans="1:1" x14ac:dyDescent="0.25">
      <c r="A819732" s="242"/>
    </row>
    <row r="819733" spans="1:1" x14ac:dyDescent="0.25">
      <c r="A819733" s="242"/>
    </row>
    <row r="819734" spans="1:1" x14ac:dyDescent="0.25">
      <c r="A819734" s="242"/>
    </row>
    <row r="819735" spans="1:1" x14ac:dyDescent="0.25">
      <c r="A819735" s="242"/>
    </row>
    <row r="819736" spans="1:1" x14ac:dyDescent="0.25">
      <c r="A819736" s="242"/>
    </row>
    <row r="819737" spans="1:1" x14ac:dyDescent="0.25">
      <c r="A819737" s="242"/>
    </row>
    <row r="819738" spans="1:1" x14ac:dyDescent="0.25">
      <c r="A819738" s="242"/>
    </row>
    <row r="819739" spans="1:1" x14ac:dyDescent="0.25">
      <c r="A819739" s="242"/>
    </row>
    <row r="819740" spans="1:1" x14ac:dyDescent="0.25">
      <c r="A819740" s="242"/>
    </row>
    <row r="819741" spans="1:1" x14ac:dyDescent="0.25">
      <c r="A819741" s="242"/>
    </row>
    <row r="819742" spans="1:1" x14ac:dyDescent="0.25">
      <c r="A819742" s="242"/>
    </row>
    <row r="819743" spans="1:1" x14ac:dyDescent="0.25">
      <c r="A819743" s="242"/>
    </row>
    <row r="819744" spans="1:1" x14ac:dyDescent="0.25">
      <c r="A819744" s="242"/>
    </row>
    <row r="819745" spans="1:1" x14ac:dyDescent="0.25">
      <c r="A819745" s="242"/>
    </row>
    <row r="819746" spans="1:1" x14ac:dyDescent="0.25">
      <c r="A819746" s="242"/>
    </row>
    <row r="819747" spans="1:1" x14ac:dyDescent="0.25">
      <c r="A819747" s="242"/>
    </row>
    <row r="819748" spans="1:1" x14ac:dyDescent="0.25">
      <c r="A819748" s="242"/>
    </row>
    <row r="819749" spans="1:1" x14ac:dyDescent="0.25">
      <c r="A819749" s="242"/>
    </row>
    <row r="819750" spans="1:1" x14ac:dyDescent="0.25">
      <c r="A819750" s="242"/>
    </row>
    <row r="819751" spans="1:1" x14ac:dyDescent="0.25">
      <c r="A819751" s="242"/>
    </row>
    <row r="819752" spans="1:1" x14ac:dyDescent="0.25">
      <c r="A819752" s="242"/>
    </row>
    <row r="819753" spans="1:1" x14ac:dyDescent="0.25">
      <c r="A819753" s="242"/>
    </row>
    <row r="819754" spans="1:1" x14ac:dyDescent="0.25">
      <c r="A819754" s="242"/>
    </row>
    <row r="819755" spans="1:1" x14ac:dyDescent="0.25">
      <c r="A819755" s="242"/>
    </row>
    <row r="819756" spans="1:1" x14ac:dyDescent="0.25">
      <c r="A819756" s="242"/>
    </row>
    <row r="819757" spans="1:1" x14ac:dyDescent="0.25">
      <c r="A819757" s="242"/>
    </row>
    <row r="819758" spans="1:1" x14ac:dyDescent="0.25">
      <c r="A819758" s="242"/>
    </row>
    <row r="819759" spans="1:1" x14ac:dyDescent="0.25">
      <c r="A819759" s="242"/>
    </row>
    <row r="819760" spans="1:1" x14ac:dyDescent="0.25">
      <c r="A819760" s="242"/>
    </row>
    <row r="819761" spans="1:1" x14ac:dyDescent="0.25">
      <c r="A819761" s="242"/>
    </row>
    <row r="819762" spans="1:1" x14ac:dyDescent="0.25">
      <c r="A819762" s="242"/>
    </row>
    <row r="819763" spans="1:1" x14ac:dyDescent="0.25">
      <c r="A819763" s="242"/>
    </row>
    <row r="819764" spans="1:1" x14ac:dyDescent="0.25">
      <c r="A819764" s="242"/>
    </row>
    <row r="819765" spans="1:1" x14ac:dyDescent="0.25">
      <c r="A819765" s="242"/>
    </row>
    <row r="819766" spans="1:1" x14ac:dyDescent="0.25">
      <c r="A819766" s="242"/>
    </row>
    <row r="819767" spans="1:1" x14ac:dyDescent="0.25">
      <c r="A819767" s="242"/>
    </row>
    <row r="819768" spans="1:1" x14ac:dyDescent="0.25">
      <c r="A819768" s="242"/>
    </row>
    <row r="819769" spans="1:1" x14ac:dyDescent="0.25">
      <c r="A819769" s="242"/>
    </row>
    <row r="819770" spans="1:1" x14ac:dyDescent="0.25">
      <c r="A819770" s="242"/>
    </row>
    <row r="819771" spans="1:1" x14ac:dyDescent="0.25">
      <c r="A819771" s="242"/>
    </row>
    <row r="819772" spans="1:1" x14ac:dyDescent="0.25">
      <c r="A819772" s="242"/>
    </row>
    <row r="819773" spans="1:1" x14ac:dyDescent="0.25">
      <c r="A819773" s="242"/>
    </row>
    <row r="819774" spans="1:1" x14ac:dyDescent="0.25">
      <c r="A819774" s="242"/>
    </row>
    <row r="819775" spans="1:1" x14ac:dyDescent="0.25">
      <c r="A819775" s="242"/>
    </row>
    <row r="819776" spans="1:1" x14ac:dyDescent="0.25">
      <c r="A819776" s="242"/>
    </row>
    <row r="819777" spans="1:1" x14ac:dyDescent="0.25">
      <c r="A819777" s="242"/>
    </row>
    <row r="819778" spans="1:1" x14ac:dyDescent="0.25">
      <c r="A819778" s="242"/>
    </row>
    <row r="819779" spans="1:1" x14ac:dyDescent="0.25">
      <c r="A819779" s="242"/>
    </row>
    <row r="819780" spans="1:1" x14ac:dyDescent="0.25">
      <c r="A819780" s="242"/>
    </row>
    <row r="819781" spans="1:1" x14ac:dyDescent="0.25">
      <c r="A819781" s="242"/>
    </row>
    <row r="819782" spans="1:1" x14ac:dyDescent="0.25">
      <c r="A819782" s="242"/>
    </row>
    <row r="819783" spans="1:1" x14ac:dyDescent="0.25">
      <c r="A819783" s="242"/>
    </row>
    <row r="819784" spans="1:1" x14ac:dyDescent="0.25">
      <c r="A819784" s="242"/>
    </row>
    <row r="819785" spans="1:1" x14ac:dyDescent="0.25">
      <c r="A819785" s="242"/>
    </row>
    <row r="819786" spans="1:1" x14ac:dyDescent="0.25">
      <c r="A819786" s="242"/>
    </row>
    <row r="819787" spans="1:1" x14ac:dyDescent="0.25">
      <c r="A819787" s="242"/>
    </row>
    <row r="819788" spans="1:1" x14ac:dyDescent="0.25">
      <c r="A819788" s="242"/>
    </row>
    <row r="819789" spans="1:1" x14ac:dyDescent="0.25">
      <c r="A819789" s="242"/>
    </row>
    <row r="819790" spans="1:1" x14ac:dyDescent="0.25">
      <c r="A819790" s="242"/>
    </row>
    <row r="819791" spans="1:1" x14ac:dyDescent="0.25">
      <c r="A819791" s="242"/>
    </row>
    <row r="819792" spans="1:1" x14ac:dyDescent="0.25">
      <c r="A819792" s="242"/>
    </row>
    <row r="819793" spans="1:1" x14ac:dyDescent="0.25">
      <c r="A819793" s="242"/>
    </row>
    <row r="819794" spans="1:1" x14ac:dyDescent="0.25">
      <c r="A819794" s="242"/>
    </row>
    <row r="819795" spans="1:1" x14ac:dyDescent="0.25">
      <c r="A819795" s="242"/>
    </row>
    <row r="819796" spans="1:1" x14ac:dyDescent="0.25">
      <c r="A819796" s="242"/>
    </row>
    <row r="819797" spans="1:1" x14ac:dyDescent="0.25">
      <c r="A819797" s="242"/>
    </row>
    <row r="819798" spans="1:1" x14ac:dyDescent="0.25">
      <c r="A819798" s="242"/>
    </row>
    <row r="819799" spans="1:1" x14ac:dyDescent="0.25">
      <c r="A819799" s="242"/>
    </row>
    <row r="819800" spans="1:1" x14ac:dyDescent="0.25">
      <c r="A819800" s="242"/>
    </row>
    <row r="819801" spans="1:1" x14ac:dyDescent="0.25">
      <c r="A819801" s="242"/>
    </row>
    <row r="819802" spans="1:1" x14ac:dyDescent="0.25">
      <c r="A819802" s="242"/>
    </row>
    <row r="819803" spans="1:1" x14ac:dyDescent="0.25">
      <c r="A819803" s="242"/>
    </row>
    <row r="819804" spans="1:1" x14ac:dyDescent="0.25">
      <c r="A819804" s="242"/>
    </row>
    <row r="819805" spans="1:1" x14ac:dyDescent="0.25">
      <c r="A819805" s="242"/>
    </row>
    <row r="819806" spans="1:1" x14ac:dyDescent="0.25">
      <c r="A819806" s="242"/>
    </row>
    <row r="819807" spans="1:1" x14ac:dyDescent="0.25">
      <c r="A819807" s="242"/>
    </row>
    <row r="819808" spans="1:1" x14ac:dyDescent="0.25">
      <c r="A819808" s="242"/>
    </row>
    <row r="819809" spans="1:1" x14ac:dyDescent="0.25">
      <c r="A819809" s="242"/>
    </row>
    <row r="819810" spans="1:1" x14ac:dyDescent="0.25">
      <c r="A819810" s="242"/>
    </row>
    <row r="819811" spans="1:1" x14ac:dyDescent="0.25">
      <c r="A819811" s="242"/>
    </row>
    <row r="819812" spans="1:1" x14ac:dyDescent="0.25">
      <c r="A819812" s="242"/>
    </row>
    <row r="819813" spans="1:1" x14ac:dyDescent="0.25">
      <c r="A819813" s="242"/>
    </row>
    <row r="819814" spans="1:1" x14ac:dyDescent="0.25">
      <c r="A819814" s="242"/>
    </row>
    <row r="819815" spans="1:1" x14ac:dyDescent="0.25">
      <c r="A819815" s="242"/>
    </row>
    <row r="819816" spans="1:1" x14ac:dyDescent="0.25">
      <c r="A819816" s="242"/>
    </row>
    <row r="819817" spans="1:1" x14ac:dyDescent="0.25">
      <c r="A819817" s="242"/>
    </row>
    <row r="819818" spans="1:1" x14ac:dyDescent="0.25">
      <c r="A819818" s="242"/>
    </row>
    <row r="819819" spans="1:1" x14ac:dyDescent="0.25">
      <c r="A819819" s="242"/>
    </row>
    <row r="819820" spans="1:1" x14ac:dyDescent="0.25">
      <c r="A819820" s="242"/>
    </row>
    <row r="819821" spans="1:1" x14ac:dyDescent="0.25">
      <c r="A819821" s="242"/>
    </row>
    <row r="819822" spans="1:1" x14ac:dyDescent="0.25">
      <c r="A819822" s="242"/>
    </row>
    <row r="819823" spans="1:1" x14ac:dyDescent="0.25">
      <c r="A819823" s="242"/>
    </row>
    <row r="819824" spans="1:1" x14ac:dyDescent="0.25">
      <c r="A819824" s="242"/>
    </row>
    <row r="819825" spans="1:1" x14ac:dyDescent="0.25">
      <c r="A819825" s="242"/>
    </row>
    <row r="819826" spans="1:1" x14ac:dyDescent="0.25">
      <c r="A819826" s="242"/>
    </row>
    <row r="819827" spans="1:1" x14ac:dyDescent="0.25">
      <c r="A819827" s="242"/>
    </row>
    <row r="819828" spans="1:1" x14ac:dyDescent="0.25">
      <c r="A819828" s="242"/>
    </row>
    <row r="819829" spans="1:1" x14ac:dyDescent="0.25">
      <c r="A819829" s="242"/>
    </row>
    <row r="819830" spans="1:1" x14ac:dyDescent="0.25">
      <c r="A819830" s="242"/>
    </row>
    <row r="819831" spans="1:1" x14ac:dyDescent="0.25">
      <c r="A819831" s="242"/>
    </row>
    <row r="819832" spans="1:1" x14ac:dyDescent="0.25">
      <c r="A819832" s="242"/>
    </row>
    <row r="819833" spans="1:1" x14ac:dyDescent="0.25">
      <c r="A819833" s="242"/>
    </row>
    <row r="819834" spans="1:1" x14ac:dyDescent="0.25">
      <c r="A819834" s="242"/>
    </row>
    <row r="819835" spans="1:1" x14ac:dyDescent="0.25">
      <c r="A819835" s="242"/>
    </row>
    <row r="819836" spans="1:1" x14ac:dyDescent="0.25">
      <c r="A819836" s="242"/>
    </row>
    <row r="819837" spans="1:1" x14ac:dyDescent="0.25">
      <c r="A819837" s="242"/>
    </row>
    <row r="819838" spans="1:1" x14ac:dyDescent="0.25">
      <c r="A819838" s="242"/>
    </row>
    <row r="819839" spans="1:1" x14ac:dyDescent="0.25">
      <c r="A819839" s="242"/>
    </row>
    <row r="819840" spans="1:1" x14ac:dyDescent="0.25">
      <c r="A819840" s="242"/>
    </row>
    <row r="819841" spans="1:1" x14ac:dyDescent="0.25">
      <c r="A819841" s="242"/>
    </row>
    <row r="819842" spans="1:1" x14ac:dyDescent="0.25">
      <c r="A819842" s="242"/>
    </row>
    <row r="819843" spans="1:1" x14ac:dyDescent="0.25">
      <c r="A819843" s="242"/>
    </row>
    <row r="819844" spans="1:1" x14ac:dyDescent="0.25">
      <c r="A819844" s="242"/>
    </row>
    <row r="819845" spans="1:1" x14ac:dyDescent="0.25">
      <c r="A819845" s="242"/>
    </row>
    <row r="819846" spans="1:1" x14ac:dyDescent="0.25">
      <c r="A819846" s="242"/>
    </row>
    <row r="819847" spans="1:1" x14ac:dyDescent="0.25">
      <c r="A819847" s="242"/>
    </row>
    <row r="819848" spans="1:1" x14ac:dyDescent="0.25">
      <c r="A819848" s="242"/>
    </row>
    <row r="819849" spans="1:1" x14ac:dyDescent="0.25">
      <c r="A819849" s="242"/>
    </row>
    <row r="819850" spans="1:1" x14ac:dyDescent="0.25">
      <c r="A819850" s="242"/>
    </row>
    <row r="819851" spans="1:1" x14ac:dyDescent="0.25">
      <c r="A819851" s="242"/>
    </row>
    <row r="819852" spans="1:1" x14ac:dyDescent="0.25">
      <c r="A819852" s="242"/>
    </row>
    <row r="819853" spans="1:1" x14ac:dyDescent="0.25">
      <c r="A819853" s="242"/>
    </row>
    <row r="819854" spans="1:1" x14ac:dyDescent="0.25">
      <c r="A819854" s="242"/>
    </row>
    <row r="819855" spans="1:1" x14ac:dyDescent="0.25">
      <c r="A819855" s="242"/>
    </row>
    <row r="819856" spans="1:1" x14ac:dyDescent="0.25">
      <c r="A819856" s="242"/>
    </row>
    <row r="819857" spans="1:1" x14ac:dyDescent="0.25">
      <c r="A819857" s="242"/>
    </row>
    <row r="819858" spans="1:1" x14ac:dyDescent="0.25">
      <c r="A819858" s="242"/>
    </row>
    <row r="819859" spans="1:1" x14ac:dyDescent="0.25">
      <c r="A819859" s="242"/>
    </row>
    <row r="819860" spans="1:1" x14ac:dyDescent="0.25">
      <c r="A819860" s="242"/>
    </row>
    <row r="819861" spans="1:1" x14ac:dyDescent="0.25">
      <c r="A819861" s="242"/>
    </row>
    <row r="819862" spans="1:1" x14ac:dyDescent="0.25">
      <c r="A819862" s="242"/>
    </row>
    <row r="819863" spans="1:1" x14ac:dyDescent="0.25">
      <c r="A819863" s="242"/>
    </row>
    <row r="819864" spans="1:1" x14ac:dyDescent="0.25">
      <c r="A819864" s="242"/>
    </row>
    <row r="819865" spans="1:1" x14ac:dyDescent="0.25">
      <c r="A819865" s="242"/>
    </row>
    <row r="819866" spans="1:1" x14ac:dyDescent="0.25">
      <c r="A819866" s="242"/>
    </row>
    <row r="819867" spans="1:1" x14ac:dyDescent="0.25">
      <c r="A819867" s="242"/>
    </row>
    <row r="819868" spans="1:1" x14ac:dyDescent="0.25">
      <c r="A819868" s="242"/>
    </row>
    <row r="819869" spans="1:1" x14ac:dyDescent="0.25">
      <c r="A819869" s="242"/>
    </row>
    <row r="819870" spans="1:1" x14ac:dyDescent="0.25">
      <c r="A819870" s="242"/>
    </row>
    <row r="819871" spans="1:1" x14ac:dyDescent="0.25">
      <c r="A819871" s="242"/>
    </row>
    <row r="819872" spans="1:1" x14ac:dyDescent="0.25">
      <c r="A819872" s="242"/>
    </row>
    <row r="819873" spans="1:1" x14ac:dyDescent="0.25">
      <c r="A819873" s="242"/>
    </row>
    <row r="819874" spans="1:1" x14ac:dyDescent="0.25">
      <c r="A819874" s="242"/>
    </row>
    <row r="819875" spans="1:1" x14ac:dyDescent="0.25">
      <c r="A819875" s="242"/>
    </row>
    <row r="819876" spans="1:1" x14ac:dyDescent="0.25">
      <c r="A819876" s="242"/>
    </row>
    <row r="819877" spans="1:1" x14ac:dyDescent="0.25">
      <c r="A819877" s="242"/>
    </row>
    <row r="819878" spans="1:1" x14ac:dyDescent="0.25">
      <c r="A819878" s="242"/>
    </row>
    <row r="819879" spans="1:1" x14ac:dyDescent="0.25">
      <c r="A819879" s="242"/>
    </row>
    <row r="819880" spans="1:1" x14ac:dyDescent="0.25">
      <c r="A819880" s="242"/>
    </row>
    <row r="819881" spans="1:1" x14ac:dyDescent="0.25">
      <c r="A819881" s="242"/>
    </row>
    <row r="819882" spans="1:1" x14ac:dyDescent="0.25">
      <c r="A819882" s="242"/>
    </row>
    <row r="819883" spans="1:1" x14ac:dyDescent="0.25">
      <c r="A819883" s="242"/>
    </row>
    <row r="819884" spans="1:1" x14ac:dyDescent="0.25">
      <c r="A819884" s="242"/>
    </row>
    <row r="819885" spans="1:1" x14ac:dyDescent="0.25">
      <c r="A819885" s="242"/>
    </row>
    <row r="819886" spans="1:1" x14ac:dyDescent="0.25">
      <c r="A819886" s="242"/>
    </row>
    <row r="819887" spans="1:1" x14ac:dyDescent="0.25">
      <c r="A819887" s="242"/>
    </row>
    <row r="819888" spans="1:1" x14ac:dyDescent="0.25">
      <c r="A819888" s="242"/>
    </row>
    <row r="819889" spans="1:1" x14ac:dyDescent="0.25">
      <c r="A819889" s="242"/>
    </row>
    <row r="819890" spans="1:1" x14ac:dyDescent="0.25">
      <c r="A819890" s="242"/>
    </row>
    <row r="819891" spans="1:1" x14ac:dyDescent="0.25">
      <c r="A819891" s="242"/>
    </row>
    <row r="819892" spans="1:1" x14ac:dyDescent="0.25">
      <c r="A819892" s="242"/>
    </row>
    <row r="819893" spans="1:1" x14ac:dyDescent="0.25">
      <c r="A819893" s="242"/>
    </row>
    <row r="819894" spans="1:1" x14ac:dyDescent="0.25">
      <c r="A819894" s="242"/>
    </row>
    <row r="819895" spans="1:1" x14ac:dyDescent="0.25">
      <c r="A819895" s="242"/>
    </row>
    <row r="819896" spans="1:1" x14ac:dyDescent="0.25">
      <c r="A819896" s="242"/>
    </row>
    <row r="819897" spans="1:1" x14ac:dyDescent="0.25">
      <c r="A819897" s="242"/>
    </row>
    <row r="819898" spans="1:1" x14ac:dyDescent="0.25">
      <c r="A819898" s="242"/>
    </row>
    <row r="819899" spans="1:1" x14ac:dyDescent="0.25">
      <c r="A819899" s="242"/>
    </row>
    <row r="819900" spans="1:1" x14ac:dyDescent="0.25">
      <c r="A819900" s="242"/>
    </row>
    <row r="819901" spans="1:1" x14ac:dyDescent="0.25">
      <c r="A819901" s="242"/>
    </row>
    <row r="819902" spans="1:1" x14ac:dyDescent="0.25">
      <c r="A819902" s="242"/>
    </row>
    <row r="819903" spans="1:1" x14ac:dyDescent="0.25">
      <c r="A819903" s="242"/>
    </row>
    <row r="819904" spans="1:1" x14ac:dyDescent="0.25">
      <c r="A819904" s="242"/>
    </row>
    <row r="819905" spans="1:1" x14ac:dyDescent="0.25">
      <c r="A819905" s="242"/>
    </row>
    <row r="819906" spans="1:1" x14ac:dyDescent="0.25">
      <c r="A819906" s="242"/>
    </row>
    <row r="819907" spans="1:1" x14ac:dyDescent="0.25">
      <c r="A819907" s="242"/>
    </row>
    <row r="819908" spans="1:1" x14ac:dyDescent="0.25">
      <c r="A819908" s="242"/>
    </row>
    <row r="819909" spans="1:1" x14ac:dyDescent="0.25">
      <c r="A819909" s="242"/>
    </row>
    <row r="819910" spans="1:1" x14ac:dyDescent="0.25">
      <c r="A819910" s="242"/>
    </row>
    <row r="819911" spans="1:1" x14ac:dyDescent="0.25">
      <c r="A819911" s="242"/>
    </row>
    <row r="819912" spans="1:1" x14ac:dyDescent="0.25">
      <c r="A819912" s="242"/>
    </row>
    <row r="819913" spans="1:1" x14ac:dyDescent="0.25">
      <c r="A819913" s="242"/>
    </row>
    <row r="819914" spans="1:1" x14ac:dyDescent="0.25">
      <c r="A819914" s="242"/>
    </row>
    <row r="819915" spans="1:1" x14ac:dyDescent="0.25">
      <c r="A819915" s="242"/>
    </row>
    <row r="819916" spans="1:1" x14ac:dyDescent="0.25">
      <c r="A819916" s="242"/>
    </row>
    <row r="819917" spans="1:1" x14ac:dyDescent="0.25">
      <c r="A819917" s="242"/>
    </row>
    <row r="819918" spans="1:1" x14ac:dyDescent="0.25">
      <c r="A819918" s="242"/>
    </row>
    <row r="819919" spans="1:1" x14ac:dyDescent="0.25">
      <c r="A819919" s="242"/>
    </row>
    <row r="819920" spans="1:1" x14ac:dyDescent="0.25">
      <c r="A819920" s="242"/>
    </row>
    <row r="819921" spans="1:1" x14ac:dyDescent="0.25">
      <c r="A819921" s="242"/>
    </row>
    <row r="819922" spans="1:1" x14ac:dyDescent="0.25">
      <c r="A819922" s="242"/>
    </row>
    <row r="819923" spans="1:1" x14ac:dyDescent="0.25">
      <c r="A819923" s="242"/>
    </row>
    <row r="819924" spans="1:1" x14ac:dyDescent="0.25">
      <c r="A819924" s="242"/>
    </row>
    <row r="819925" spans="1:1" x14ac:dyDescent="0.25">
      <c r="A819925" s="242"/>
    </row>
    <row r="819926" spans="1:1" x14ac:dyDescent="0.25">
      <c r="A819926" s="242"/>
    </row>
    <row r="819927" spans="1:1" x14ac:dyDescent="0.25">
      <c r="A819927" s="242"/>
    </row>
    <row r="819928" spans="1:1" x14ac:dyDescent="0.25">
      <c r="A819928" s="242"/>
    </row>
    <row r="819929" spans="1:1" x14ac:dyDescent="0.25">
      <c r="A819929" s="242"/>
    </row>
    <row r="819930" spans="1:1" x14ac:dyDescent="0.25">
      <c r="A819930" s="242"/>
    </row>
    <row r="819931" spans="1:1" x14ac:dyDescent="0.25">
      <c r="A819931" s="242"/>
    </row>
    <row r="819932" spans="1:1" x14ac:dyDescent="0.25">
      <c r="A819932" s="242"/>
    </row>
    <row r="819933" spans="1:1" x14ac:dyDescent="0.25">
      <c r="A819933" s="242"/>
    </row>
    <row r="819934" spans="1:1" x14ac:dyDescent="0.25">
      <c r="A819934" s="242"/>
    </row>
    <row r="819935" spans="1:1" x14ac:dyDescent="0.25">
      <c r="A819935" s="242"/>
    </row>
    <row r="819936" spans="1:1" x14ac:dyDescent="0.25">
      <c r="A819936" s="242"/>
    </row>
    <row r="819937" spans="1:1" x14ac:dyDescent="0.25">
      <c r="A819937" s="242"/>
    </row>
    <row r="819938" spans="1:1" x14ac:dyDescent="0.25">
      <c r="A819938" s="242"/>
    </row>
    <row r="819939" spans="1:1" x14ac:dyDescent="0.25">
      <c r="A819939" s="242"/>
    </row>
    <row r="819940" spans="1:1" x14ac:dyDescent="0.25">
      <c r="A819940" s="242"/>
    </row>
    <row r="819941" spans="1:1" x14ac:dyDescent="0.25">
      <c r="A819941" s="242"/>
    </row>
    <row r="819942" spans="1:1" x14ac:dyDescent="0.25">
      <c r="A819942" s="242"/>
    </row>
    <row r="819943" spans="1:1" x14ac:dyDescent="0.25">
      <c r="A819943" s="242"/>
    </row>
    <row r="819944" spans="1:1" x14ac:dyDescent="0.25">
      <c r="A819944" s="242"/>
    </row>
    <row r="819945" spans="1:1" x14ac:dyDescent="0.25">
      <c r="A819945" s="242"/>
    </row>
    <row r="819946" spans="1:1" x14ac:dyDescent="0.25">
      <c r="A819946" s="242"/>
    </row>
    <row r="819947" spans="1:1" x14ac:dyDescent="0.25">
      <c r="A819947" s="242"/>
    </row>
    <row r="819948" spans="1:1" x14ac:dyDescent="0.25">
      <c r="A819948" s="242"/>
    </row>
    <row r="819949" spans="1:1" x14ac:dyDescent="0.25">
      <c r="A819949" s="242"/>
    </row>
    <row r="819950" spans="1:1" x14ac:dyDescent="0.25">
      <c r="A819950" s="242"/>
    </row>
    <row r="819951" spans="1:1" x14ac:dyDescent="0.25">
      <c r="A819951" s="242"/>
    </row>
    <row r="819952" spans="1:1" x14ac:dyDescent="0.25">
      <c r="A819952" s="242"/>
    </row>
    <row r="819953" spans="1:1" x14ac:dyDescent="0.25">
      <c r="A819953" s="242"/>
    </row>
    <row r="819954" spans="1:1" x14ac:dyDescent="0.25">
      <c r="A819954" s="242"/>
    </row>
    <row r="819955" spans="1:1" x14ac:dyDescent="0.25">
      <c r="A819955" s="242"/>
    </row>
    <row r="819956" spans="1:1" x14ac:dyDescent="0.25">
      <c r="A819956" s="242"/>
    </row>
    <row r="819957" spans="1:1" x14ac:dyDescent="0.25">
      <c r="A819957" s="242"/>
    </row>
    <row r="819958" spans="1:1" x14ac:dyDescent="0.25">
      <c r="A819958" s="242"/>
    </row>
    <row r="819959" spans="1:1" x14ac:dyDescent="0.25">
      <c r="A819959" s="242"/>
    </row>
    <row r="819960" spans="1:1" x14ac:dyDescent="0.25">
      <c r="A819960" s="242"/>
    </row>
    <row r="819961" spans="1:1" x14ac:dyDescent="0.25">
      <c r="A819961" s="242"/>
    </row>
    <row r="819962" spans="1:1" x14ac:dyDescent="0.25">
      <c r="A819962" s="242"/>
    </row>
    <row r="819963" spans="1:1" x14ac:dyDescent="0.25">
      <c r="A819963" s="242"/>
    </row>
    <row r="819964" spans="1:1" x14ac:dyDescent="0.25">
      <c r="A819964" s="242"/>
    </row>
    <row r="819965" spans="1:1" x14ac:dyDescent="0.25">
      <c r="A819965" s="242"/>
    </row>
    <row r="819966" spans="1:1" x14ac:dyDescent="0.25">
      <c r="A819966" s="242"/>
    </row>
    <row r="819967" spans="1:1" x14ac:dyDescent="0.25">
      <c r="A819967" s="242"/>
    </row>
    <row r="819968" spans="1:1" x14ac:dyDescent="0.25">
      <c r="A819968" s="242"/>
    </row>
    <row r="819969" spans="1:1" x14ac:dyDescent="0.25">
      <c r="A819969" s="242"/>
    </row>
    <row r="819970" spans="1:1" x14ac:dyDescent="0.25">
      <c r="A819970" s="242"/>
    </row>
    <row r="819971" spans="1:1" x14ac:dyDescent="0.25">
      <c r="A819971" s="242"/>
    </row>
    <row r="819972" spans="1:1" x14ac:dyDescent="0.25">
      <c r="A819972" s="242"/>
    </row>
    <row r="819973" spans="1:1" x14ac:dyDescent="0.25">
      <c r="A819973" s="242"/>
    </row>
    <row r="819974" spans="1:1" x14ac:dyDescent="0.25">
      <c r="A819974" s="242"/>
    </row>
    <row r="819975" spans="1:1" x14ac:dyDescent="0.25">
      <c r="A819975" s="242"/>
    </row>
    <row r="819976" spans="1:1" x14ac:dyDescent="0.25">
      <c r="A819976" s="242"/>
    </row>
    <row r="819977" spans="1:1" x14ac:dyDescent="0.25">
      <c r="A819977" s="242"/>
    </row>
    <row r="819978" spans="1:1" x14ac:dyDescent="0.25">
      <c r="A819978" s="242"/>
    </row>
    <row r="819979" spans="1:1" x14ac:dyDescent="0.25">
      <c r="A819979" s="242"/>
    </row>
    <row r="819980" spans="1:1" x14ac:dyDescent="0.25">
      <c r="A819980" s="242"/>
    </row>
    <row r="819981" spans="1:1" x14ac:dyDescent="0.25">
      <c r="A819981" s="242"/>
    </row>
    <row r="819982" spans="1:1" x14ac:dyDescent="0.25">
      <c r="A819982" s="242"/>
    </row>
    <row r="819983" spans="1:1" x14ac:dyDescent="0.25">
      <c r="A819983" s="242"/>
    </row>
    <row r="819984" spans="1:1" x14ac:dyDescent="0.25">
      <c r="A819984" s="242"/>
    </row>
    <row r="819985" spans="1:1" x14ac:dyDescent="0.25">
      <c r="A819985" s="242"/>
    </row>
    <row r="819986" spans="1:1" x14ac:dyDescent="0.25">
      <c r="A819986" s="242"/>
    </row>
    <row r="819987" spans="1:1" x14ac:dyDescent="0.25">
      <c r="A819987" s="242"/>
    </row>
    <row r="819988" spans="1:1" x14ac:dyDescent="0.25">
      <c r="A819988" s="242"/>
    </row>
    <row r="819989" spans="1:1" x14ac:dyDescent="0.25">
      <c r="A819989" s="242"/>
    </row>
    <row r="819990" spans="1:1" x14ac:dyDescent="0.25">
      <c r="A819990" s="242"/>
    </row>
    <row r="819991" spans="1:1" x14ac:dyDescent="0.25">
      <c r="A819991" s="242"/>
    </row>
    <row r="819992" spans="1:1" x14ac:dyDescent="0.25">
      <c r="A819992" s="242"/>
    </row>
    <row r="819993" spans="1:1" x14ac:dyDescent="0.25">
      <c r="A819993" s="242"/>
    </row>
    <row r="819994" spans="1:1" x14ac:dyDescent="0.25">
      <c r="A819994" s="242"/>
    </row>
    <row r="819995" spans="1:1" x14ac:dyDescent="0.25">
      <c r="A819995" s="242"/>
    </row>
    <row r="819996" spans="1:1" x14ac:dyDescent="0.25">
      <c r="A819996" s="242"/>
    </row>
    <row r="819997" spans="1:1" x14ac:dyDescent="0.25">
      <c r="A819997" s="242"/>
    </row>
    <row r="819998" spans="1:1" x14ac:dyDescent="0.25">
      <c r="A819998" s="242"/>
    </row>
    <row r="819999" spans="1:1" x14ac:dyDescent="0.25">
      <c r="A819999" s="242"/>
    </row>
    <row r="820000" spans="1:1" x14ac:dyDescent="0.25">
      <c r="A820000" s="242"/>
    </row>
    <row r="820001" spans="1:1" x14ac:dyDescent="0.25">
      <c r="A820001" s="242"/>
    </row>
    <row r="820002" spans="1:1" x14ac:dyDescent="0.25">
      <c r="A820002" s="242"/>
    </row>
    <row r="820003" spans="1:1" x14ac:dyDescent="0.25">
      <c r="A820003" s="242"/>
    </row>
    <row r="820004" spans="1:1" x14ac:dyDescent="0.25">
      <c r="A820004" s="242"/>
    </row>
    <row r="820005" spans="1:1" x14ac:dyDescent="0.25">
      <c r="A820005" s="242"/>
    </row>
    <row r="820006" spans="1:1" x14ac:dyDescent="0.25">
      <c r="A820006" s="242"/>
    </row>
    <row r="820007" spans="1:1" x14ac:dyDescent="0.25">
      <c r="A820007" s="242"/>
    </row>
    <row r="820008" spans="1:1" x14ac:dyDescent="0.25">
      <c r="A820008" s="242"/>
    </row>
    <row r="820009" spans="1:1" x14ac:dyDescent="0.25">
      <c r="A820009" s="242"/>
    </row>
    <row r="820010" spans="1:1" x14ac:dyDescent="0.25">
      <c r="A820010" s="242"/>
    </row>
    <row r="820011" spans="1:1" x14ac:dyDescent="0.25">
      <c r="A820011" s="242"/>
    </row>
    <row r="820012" spans="1:1" x14ac:dyDescent="0.25">
      <c r="A820012" s="242"/>
    </row>
    <row r="820013" spans="1:1" x14ac:dyDescent="0.25">
      <c r="A820013" s="242"/>
    </row>
    <row r="820014" spans="1:1" x14ac:dyDescent="0.25">
      <c r="A820014" s="242"/>
    </row>
    <row r="820015" spans="1:1" x14ac:dyDescent="0.25">
      <c r="A820015" s="242"/>
    </row>
    <row r="820016" spans="1:1" x14ac:dyDescent="0.25">
      <c r="A820016" s="242"/>
    </row>
    <row r="820017" spans="1:1" x14ac:dyDescent="0.25">
      <c r="A820017" s="242"/>
    </row>
    <row r="820018" spans="1:1" x14ac:dyDescent="0.25">
      <c r="A820018" s="242"/>
    </row>
    <row r="820019" spans="1:1" x14ac:dyDescent="0.25">
      <c r="A820019" s="242"/>
    </row>
    <row r="820020" spans="1:1" x14ac:dyDescent="0.25">
      <c r="A820020" s="242"/>
    </row>
    <row r="820021" spans="1:1" x14ac:dyDescent="0.25">
      <c r="A820021" s="242"/>
    </row>
    <row r="820022" spans="1:1" x14ac:dyDescent="0.25">
      <c r="A820022" s="242"/>
    </row>
    <row r="820023" spans="1:1" x14ac:dyDescent="0.25">
      <c r="A820023" s="242"/>
    </row>
    <row r="820024" spans="1:1" x14ac:dyDescent="0.25">
      <c r="A820024" s="242"/>
    </row>
    <row r="820025" spans="1:1" x14ac:dyDescent="0.25">
      <c r="A820025" s="242"/>
    </row>
    <row r="820026" spans="1:1" x14ac:dyDescent="0.25">
      <c r="A820026" s="242"/>
    </row>
    <row r="820027" spans="1:1" x14ac:dyDescent="0.25">
      <c r="A820027" s="242"/>
    </row>
    <row r="820028" spans="1:1" x14ac:dyDescent="0.25">
      <c r="A820028" s="242"/>
    </row>
    <row r="820029" spans="1:1" x14ac:dyDescent="0.25">
      <c r="A820029" s="242"/>
    </row>
    <row r="820030" spans="1:1" x14ac:dyDescent="0.25">
      <c r="A820030" s="242"/>
    </row>
    <row r="820031" spans="1:1" x14ac:dyDescent="0.25">
      <c r="A820031" s="242"/>
    </row>
    <row r="820032" spans="1:1" x14ac:dyDescent="0.25">
      <c r="A820032" s="242"/>
    </row>
    <row r="820033" spans="1:1" x14ac:dyDescent="0.25">
      <c r="A820033" s="242"/>
    </row>
    <row r="820034" spans="1:1" x14ac:dyDescent="0.25">
      <c r="A820034" s="242"/>
    </row>
    <row r="820035" spans="1:1" x14ac:dyDescent="0.25">
      <c r="A820035" s="242"/>
    </row>
    <row r="820036" spans="1:1" x14ac:dyDescent="0.25">
      <c r="A820036" s="242"/>
    </row>
    <row r="820037" spans="1:1" x14ac:dyDescent="0.25">
      <c r="A820037" s="242"/>
    </row>
    <row r="820038" spans="1:1" x14ac:dyDescent="0.25">
      <c r="A820038" s="242"/>
    </row>
    <row r="820039" spans="1:1" x14ac:dyDescent="0.25">
      <c r="A820039" s="242"/>
    </row>
    <row r="820040" spans="1:1" x14ac:dyDescent="0.25">
      <c r="A820040" s="242"/>
    </row>
    <row r="820041" spans="1:1" x14ac:dyDescent="0.25">
      <c r="A820041" s="242"/>
    </row>
    <row r="820042" spans="1:1" x14ac:dyDescent="0.25">
      <c r="A820042" s="242"/>
    </row>
    <row r="820043" spans="1:1" x14ac:dyDescent="0.25">
      <c r="A820043" s="242"/>
    </row>
    <row r="820044" spans="1:1" x14ac:dyDescent="0.25">
      <c r="A820044" s="242"/>
    </row>
    <row r="820045" spans="1:1" x14ac:dyDescent="0.25">
      <c r="A820045" s="242"/>
    </row>
    <row r="820046" spans="1:1" x14ac:dyDescent="0.25">
      <c r="A820046" s="242"/>
    </row>
    <row r="820047" spans="1:1" x14ac:dyDescent="0.25">
      <c r="A820047" s="242"/>
    </row>
    <row r="820048" spans="1:1" x14ac:dyDescent="0.25">
      <c r="A820048" s="242"/>
    </row>
    <row r="820049" spans="1:1" x14ac:dyDescent="0.25">
      <c r="A820049" s="242"/>
    </row>
    <row r="820050" spans="1:1" x14ac:dyDescent="0.25">
      <c r="A820050" s="242"/>
    </row>
    <row r="820051" spans="1:1" x14ac:dyDescent="0.25">
      <c r="A820051" s="242"/>
    </row>
    <row r="820052" spans="1:1" x14ac:dyDescent="0.25">
      <c r="A820052" s="242"/>
    </row>
    <row r="820053" spans="1:1" x14ac:dyDescent="0.25">
      <c r="A820053" s="242"/>
    </row>
    <row r="820054" spans="1:1" x14ac:dyDescent="0.25">
      <c r="A820054" s="242"/>
    </row>
    <row r="820055" spans="1:1" x14ac:dyDescent="0.25">
      <c r="A820055" s="242"/>
    </row>
    <row r="820056" spans="1:1" x14ac:dyDescent="0.25">
      <c r="A820056" s="242"/>
    </row>
    <row r="820057" spans="1:1" x14ac:dyDescent="0.25">
      <c r="A820057" s="242"/>
    </row>
    <row r="820058" spans="1:1" x14ac:dyDescent="0.25">
      <c r="A820058" s="242"/>
    </row>
    <row r="820059" spans="1:1" x14ac:dyDescent="0.25">
      <c r="A820059" s="242"/>
    </row>
    <row r="820060" spans="1:1" x14ac:dyDescent="0.25">
      <c r="A820060" s="242"/>
    </row>
    <row r="820061" spans="1:1" x14ac:dyDescent="0.25">
      <c r="A820061" s="242"/>
    </row>
    <row r="820062" spans="1:1" x14ac:dyDescent="0.25">
      <c r="A820062" s="242"/>
    </row>
    <row r="820063" spans="1:1" x14ac:dyDescent="0.25">
      <c r="A820063" s="242"/>
    </row>
    <row r="820064" spans="1:1" x14ac:dyDescent="0.25">
      <c r="A820064" s="242"/>
    </row>
    <row r="820065" spans="1:1" x14ac:dyDescent="0.25">
      <c r="A820065" s="242"/>
    </row>
    <row r="820066" spans="1:1" x14ac:dyDescent="0.25">
      <c r="A820066" s="242"/>
    </row>
    <row r="820067" spans="1:1" x14ac:dyDescent="0.25">
      <c r="A820067" s="242"/>
    </row>
    <row r="820068" spans="1:1" x14ac:dyDescent="0.25">
      <c r="A820068" s="242"/>
    </row>
    <row r="820069" spans="1:1" x14ac:dyDescent="0.25">
      <c r="A820069" s="242"/>
    </row>
    <row r="820070" spans="1:1" x14ac:dyDescent="0.25">
      <c r="A820070" s="242"/>
    </row>
    <row r="820071" spans="1:1" x14ac:dyDescent="0.25">
      <c r="A820071" s="242"/>
    </row>
    <row r="820072" spans="1:1" x14ac:dyDescent="0.25">
      <c r="A820072" s="242"/>
    </row>
    <row r="820073" spans="1:1" x14ac:dyDescent="0.25">
      <c r="A820073" s="242"/>
    </row>
    <row r="820074" spans="1:1" x14ac:dyDescent="0.25">
      <c r="A820074" s="242"/>
    </row>
    <row r="820075" spans="1:1" x14ac:dyDescent="0.25">
      <c r="A820075" s="242"/>
    </row>
    <row r="820076" spans="1:1" x14ac:dyDescent="0.25">
      <c r="A820076" s="242"/>
    </row>
    <row r="820077" spans="1:1" x14ac:dyDescent="0.25">
      <c r="A820077" s="242"/>
    </row>
    <row r="820078" spans="1:1" x14ac:dyDescent="0.25">
      <c r="A820078" s="242"/>
    </row>
    <row r="820079" spans="1:1" x14ac:dyDescent="0.25">
      <c r="A820079" s="242"/>
    </row>
    <row r="820080" spans="1:1" x14ac:dyDescent="0.25">
      <c r="A820080" s="242"/>
    </row>
    <row r="820081" spans="1:1" x14ac:dyDescent="0.25">
      <c r="A820081" s="242"/>
    </row>
    <row r="820082" spans="1:1" x14ac:dyDescent="0.25">
      <c r="A820082" s="242"/>
    </row>
    <row r="820083" spans="1:1" x14ac:dyDescent="0.25">
      <c r="A820083" s="242"/>
    </row>
    <row r="820084" spans="1:1" x14ac:dyDescent="0.25">
      <c r="A820084" s="242"/>
    </row>
    <row r="820085" spans="1:1" x14ac:dyDescent="0.25">
      <c r="A820085" s="242"/>
    </row>
    <row r="820086" spans="1:1" x14ac:dyDescent="0.25">
      <c r="A820086" s="242"/>
    </row>
    <row r="820087" spans="1:1" x14ac:dyDescent="0.25">
      <c r="A820087" s="242"/>
    </row>
    <row r="820088" spans="1:1" x14ac:dyDescent="0.25">
      <c r="A820088" s="242"/>
    </row>
    <row r="820089" spans="1:1" x14ac:dyDescent="0.25">
      <c r="A820089" s="242"/>
    </row>
    <row r="820090" spans="1:1" x14ac:dyDescent="0.25">
      <c r="A820090" s="242"/>
    </row>
    <row r="820091" spans="1:1" x14ac:dyDescent="0.25">
      <c r="A820091" s="242"/>
    </row>
    <row r="820092" spans="1:1" x14ac:dyDescent="0.25">
      <c r="A820092" s="242"/>
    </row>
    <row r="820093" spans="1:1" x14ac:dyDescent="0.25">
      <c r="A820093" s="242"/>
    </row>
    <row r="820094" spans="1:1" x14ac:dyDescent="0.25">
      <c r="A820094" s="242"/>
    </row>
    <row r="820095" spans="1:1" x14ac:dyDescent="0.25">
      <c r="A820095" s="242"/>
    </row>
    <row r="820096" spans="1:1" x14ac:dyDescent="0.25">
      <c r="A820096" s="242"/>
    </row>
    <row r="820097" spans="1:1" x14ac:dyDescent="0.25">
      <c r="A820097" s="242"/>
    </row>
    <row r="820098" spans="1:1" x14ac:dyDescent="0.25">
      <c r="A820098" s="242"/>
    </row>
    <row r="820099" spans="1:1" x14ac:dyDescent="0.25">
      <c r="A820099" s="242"/>
    </row>
    <row r="820100" spans="1:1" x14ac:dyDescent="0.25">
      <c r="A820100" s="242"/>
    </row>
    <row r="820101" spans="1:1" x14ac:dyDescent="0.25">
      <c r="A820101" s="242"/>
    </row>
    <row r="820102" spans="1:1" x14ac:dyDescent="0.25">
      <c r="A820102" s="242"/>
    </row>
    <row r="820103" spans="1:1" x14ac:dyDescent="0.25">
      <c r="A820103" s="242"/>
    </row>
    <row r="820104" spans="1:1" x14ac:dyDescent="0.25">
      <c r="A820104" s="242"/>
    </row>
    <row r="820105" spans="1:1" x14ac:dyDescent="0.25">
      <c r="A820105" s="242"/>
    </row>
    <row r="820106" spans="1:1" x14ac:dyDescent="0.25">
      <c r="A820106" s="242"/>
    </row>
    <row r="820107" spans="1:1" x14ac:dyDescent="0.25">
      <c r="A820107" s="242"/>
    </row>
    <row r="820108" spans="1:1" x14ac:dyDescent="0.25">
      <c r="A820108" s="242"/>
    </row>
    <row r="820109" spans="1:1" x14ac:dyDescent="0.25">
      <c r="A820109" s="242"/>
    </row>
    <row r="820110" spans="1:1" x14ac:dyDescent="0.25">
      <c r="A820110" s="242"/>
    </row>
    <row r="820111" spans="1:1" x14ac:dyDescent="0.25">
      <c r="A820111" s="242"/>
    </row>
    <row r="820112" spans="1:1" x14ac:dyDescent="0.25">
      <c r="A820112" s="242"/>
    </row>
    <row r="820113" spans="1:1" x14ac:dyDescent="0.25">
      <c r="A820113" s="242"/>
    </row>
    <row r="820114" spans="1:1" x14ac:dyDescent="0.25">
      <c r="A820114" s="242"/>
    </row>
    <row r="820115" spans="1:1" x14ac:dyDescent="0.25">
      <c r="A820115" s="242"/>
    </row>
    <row r="820116" spans="1:1" x14ac:dyDescent="0.25">
      <c r="A820116" s="242"/>
    </row>
    <row r="820117" spans="1:1" x14ac:dyDescent="0.25">
      <c r="A820117" s="242"/>
    </row>
    <row r="820118" spans="1:1" x14ac:dyDescent="0.25">
      <c r="A820118" s="242"/>
    </row>
    <row r="820119" spans="1:1" x14ac:dyDescent="0.25">
      <c r="A820119" s="242"/>
    </row>
    <row r="820120" spans="1:1" x14ac:dyDescent="0.25">
      <c r="A820120" s="242"/>
    </row>
    <row r="820121" spans="1:1" x14ac:dyDescent="0.25">
      <c r="A820121" s="242"/>
    </row>
    <row r="820122" spans="1:1" x14ac:dyDescent="0.25">
      <c r="A820122" s="242"/>
    </row>
    <row r="820123" spans="1:1" x14ac:dyDescent="0.25">
      <c r="A820123" s="242"/>
    </row>
    <row r="820124" spans="1:1" x14ac:dyDescent="0.25">
      <c r="A820124" s="242"/>
    </row>
    <row r="820125" spans="1:1" x14ac:dyDescent="0.25">
      <c r="A820125" s="242"/>
    </row>
    <row r="820126" spans="1:1" x14ac:dyDescent="0.25">
      <c r="A820126" s="242"/>
    </row>
    <row r="820127" spans="1:1" x14ac:dyDescent="0.25">
      <c r="A820127" s="242"/>
    </row>
    <row r="820128" spans="1:1" x14ac:dyDescent="0.25">
      <c r="A820128" s="242"/>
    </row>
    <row r="820129" spans="1:1" x14ac:dyDescent="0.25">
      <c r="A820129" s="242"/>
    </row>
    <row r="820130" spans="1:1" x14ac:dyDescent="0.25">
      <c r="A820130" s="242"/>
    </row>
    <row r="820131" spans="1:1" x14ac:dyDescent="0.25">
      <c r="A820131" s="242"/>
    </row>
    <row r="820132" spans="1:1" x14ac:dyDescent="0.25">
      <c r="A820132" s="242"/>
    </row>
    <row r="820133" spans="1:1" x14ac:dyDescent="0.25">
      <c r="A820133" s="242"/>
    </row>
    <row r="820134" spans="1:1" x14ac:dyDescent="0.25">
      <c r="A820134" s="242"/>
    </row>
    <row r="820135" spans="1:1" x14ac:dyDescent="0.25">
      <c r="A820135" s="242"/>
    </row>
    <row r="820136" spans="1:1" x14ac:dyDescent="0.25">
      <c r="A820136" s="242"/>
    </row>
    <row r="820137" spans="1:1" x14ac:dyDescent="0.25">
      <c r="A820137" s="242"/>
    </row>
    <row r="820138" spans="1:1" x14ac:dyDescent="0.25">
      <c r="A820138" s="242"/>
    </row>
    <row r="820139" spans="1:1" x14ac:dyDescent="0.25">
      <c r="A820139" s="242"/>
    </row>
    <row r="820140" spans="1:1" x14ac:dyDescent="0.25">
      <c r="A820140" s="242"/>
    </row>
    <row r="820141" spans="1:1" x14ac:dyDescent="0.25">
      <c r="A820141" s="242"/>
    </row>
    <row r="820142" spans="1:1" x14ac:dyDescent="0.25">
      <c r="A820142" s="242"/>
    </row>
    <row r="820143" spans="1:1" x14ac:dyDescent="0.25">
      <c r="A820143" s="242"/>
    </row>
    <row r="820144" spans="1:1" x14ac:dyDescent="0.25">
      <c r="A820144" s="242"/>
    </row>
    <row r="820145" spans="1:1" x14ac:dyDescent="0.25">
      <c r="A820145" s="242"/>
    </row>
    <row r="820146" spans="1:1" x14ac:dyDescent="0.25">
      <c r="A820146" s="242"/>
    </row>
    <row r="820147" spans="1:1" x14ac:dyDescent="0.25">
      <c r="A820147" s="242"/>
    </row>
    <row r="820148" spans="1:1" x14ac:dyDescent="0.25">
      <c r="A820148" s="242"/>
    </row>
    <row r="820149" spans="1:1" x14ac:dyDescent="0.25">
      <c r="A820149" s="242"/>
    </row>
    <row r="820150" spans="1:1" x14ac:dyDescent="0.25">
      <c r="A820150" s="242"/>
    </row>
    <row r="820151" spans="1:1" x14ac:dyDescent="0.25">
      <c r="A820151" s="242"/>
    </row>
    <row r="820152" spans="1:1" x14ac:dyDescent="0.25">
      <c r="A820152" s="242"/>
    </row>
    <row r="820153" spans="1:1" x14ac:dyDescent="0.25">
      <c r="A820153" s="242"/>
    </row>
    <row r="820154" spans="1:1" x14ac:dyDescent="0.25">
      <c r="A820154" s="242"/>
    </row>
    <row r="820155" spans="1:1" x14ac:dyDescent="0.25">
      <c r="A820155" s="242"/>
    </row>
    <row r="820156" spans="1:1" x14ac:dyDescent="0.25">
      <c r="A820156" s="242"/>
    </row>
    <row r="820157" spans="1:1" x14ac:dyDescent="0.25">
      <c r="A820157" s="242"/>
    </row>
    <row r="820158" spans="1:1" x14ac:dyDescent="0.25">
      <c r="A820158" s="242"/>
    </row>
    <row r="820159" spans="1:1" x14ac:dyDescent="0.25">
      <c r="A820159" s="242"/>
    </row>
    <row r="820160" spans="1:1" x14ac:dyDescent="0.25">
      <c r="A820160" s="242"/>
    </row>
    <row r="820161" spans="1:1" x14ac:dyDescent="0.25">
      <c r="A820161" s="242"/>
    </row>
    <row r="820162" spans="1:1" x14ac:dyDescent="0.25">
      <c r="A820162" s="242"/>
    </row>
    <row r="820163" spans="1:1" x14ac:dyDescent="0.25">
      <c r="A820163" s="242"/>
    </row>
    <row r="820164" spans="1:1" x14ac:dyDescent="0.25">
      <c r="A820164" s="242"/>
    </row>
    <row r="820165" spans="1:1" x14ac:dyDescent="0.25">
      <c r="A820165" s="242"/>
    </row>
    <row r="820166" spans="1:1" x14ac:dyDescent="0.25">
      <c r="A820166" s="242"/>
    </row>
    <row r="820167" spans="1:1" x14ac:dyDescent="0.25">
      <c r="A820167" s="242"/>
    </row>
    <row r="820168" spans="1:1" x14ac:dyDescent="0.25">
      <c r="A820168" s="242"/>
    </row>
    <row r="820169" spans="1:1" x14ac:dyDescent="0.25">
      <c r="A820169" s="242"/>
    </row>
    <row r="820170" spans="1:1" x14ac:dyDescent="0.25">
      <c r="A820170" s="242"/>
    </row>
    <row r="820171" spans="1:1" x14ac:dyDescent="0.25">
      <c r="A820171" s="242"/>
    </row>
    <row r="820172" spans="1:1" x14ac:dyDescent="0.25">
      <c r="A820172" s="242"/>
    </row>
    <row r="820173" spans="1:1" x14ac:dyDescent="0.25">
      <c r="A820173" s="242"/>
    </row>
    <row r="820174" spans="1:1" x14ac:dyDescent="0.25">
      <c r="A820174" s="242"/>
    </row>
    <row r="820175" spans="1:1" x14ac:dyDescent="0.25">
      <c r="A820175" s="242"/>
    </row>
    <row r="820176" spans="1:1" x14ac:dyDescent="0.25">
      <c r="A820176" s="242"/>
    </row>
    <row r="820177" spans="1:1" x14ac:dyDescent="0.25">
      <c r="A820177" s="242"/>
    </row>
    <row r="820178" spans="1:1" x14ac:dyDescent="0.25">
      <c r="A820178" s="242"/>
    </row>
    <row r="820179" spans="1:1" x14ac:dyDescent="0.25">
      <c r="A820179" s="242"/>
    </row>
    <row r="820180" spans="1:1" x14ac:dyDescent="0.25">
      <c r="A820180" s="242"/>
    </row>
    <row r="820181" spans="1:1" x14ac:dyDescent="0.25">
      <c r="A820181" s="242"/>
    </row>
    <row r="820182" spans="1:1" x14ac:dyDescent="0.25">
      <c r="A820182" s="242"/>
    </row>
    <row r="820183" spans="1:1" x14ac:dyDescent="0.25">
      <c r="A820183" s="242"/>
    </row>
    <row r="820184" spans="1:1" x14ac:dyDescent="0.25">
      <c r="A820184" s="242"/>
    </row>
    <row r="820185" spans="1:1" x14ac:dyDescent="0.25">
      <c r="A820185" s="242"/>
    </row>
    <row r="820186" spans="1:1" x14ac:dyDescent="0.25">
      <c r="A820186" s="242"/>
    </row>
    <row r="820187" spans="1:1" x14ac:dyDescent="0.25">
      <c r="A820187" s="242"/>
    </row>
    <row r="820188" spans="1:1" x14ac:dyDescent="0.25">
      <c r="A820188" s="242"/>
    </row>
    <row r="820189" spans="1:1" x14ac:dyDescent="0.25">
      <c r="A820189" s="242"/>
    </row>
    <row r="820190" spans="1:1" x14ac:dyDescent="0.25">
      <c r="A820190" s="242"/>
    </row>
    <row r="820191" spans="1:1" x14ac:dyDescent="0.25">
      <c r="A820191" s="242"/>
    </row>
    <row r="820192" spans="1:1" x14ac:dyDescent="0.25">
      <c r="A820192" s="242"/>
    </row>
    <row r="820193" spans="1:1" x14ac:dyDescent="0.25">
      <c r="A820193" s="242"/>
    </row>
    <row r="820194" spans="1:1" x14ac:dyDescent="0.25">
      <c r="A820194" s="242"/>
    </row>
    <row r="820195" spans="1:1" x14ac:dyDescent="0.25">
      <c r="A820195" s="242"/>
    </row>
    <row r="820196" spans="1:1" x14ac:dyDescent="0.25">
      <c r="A820196" s="242"/>
    </row>
    <row r="820197" spans="1:1" x14ac:dyDescent="0.25">
      <c r="A820197" s="242"/>
    </row>
    <row r="820198" spans="1:1" x14ac:dyDescent="0.25">
      <c r="A820198" s="242"/>
    </row>
    <row r="820199" spans="1:1" x14ac:dyDescent="0.25">
      <c r="A820199" s="242"/>
    </row>
    <row r="820200" spans="1:1" x14ac:dyDescent="0.25">
      <c r="A820200" s="242"/>
    </row>
    <row r="820201" spans="1:1" x14ac:dyDescent="0.25">
      <c r="A820201" s="242"/>
    </row>
    <row r="820202" spans="1:1" x14ac:dyDescent="0.25">
      <c r="A820202" s="242"/>
    </row>
    <row r="820203" spans="1:1" x14ac:dyDescent="0.25">
      <c r="A820203" s="242"/>
    </row>
    <row r="820204" spans="1:1" x14ac:dyDescent="0.25">
      <c r="A820204" s="242"/>
    </row>
    <row r="820205" spans="1:1" x14ac:dyDescent="0.25">
      <c r="A820205" s="242"/>
    </row>
    <row r="820206" spans="1:1" x14ac:dyDescent="0.25">
      <c r="A820206" s="242"/>
    </row>
    <row r="820207" spans="1:1" x14ac:dyDescent="0.25">
      <c r="A820207" s="242"/>
    </row>
    <row r="820208" spans="1:1" x14ac:dyDescent="0.25">
      <c r="A820208" s="242"/>
    </row>
    <row r="820209" spans="1:1" x14ac:dyDescent="0.25">
      <c r="A820209" s="242"/>
    </row>
    <row r="820210" spans="1:1" x14ac:dyDescent="0.25">
      <c r="A820210" s="242"/>
    </row>
    <row r="820211" spans="1:1" x14ac:dyDescent="0.25">
      <c r="A820211" s="242"/>
    </row>
    <row r="820212" spans="1:1" x14ac:dyDescent="0.25">
      <c r="A820212" s="242"/>
    </row>
    <row r="820213" spans="1:1" x14ac:dyDescent="0.25">
      <c r="A820213" s="242"/>
    </row>
    <row r="820214" spans="1:1" x14ac:dyDescent="0.25">
      <c r="A820214" s="242"/>
    </row>
    <row r="820215" spans="1:1" x14ac:dyDescent="0.25">
      <c r="A820215" s="242"/>
    </row>
    <row r="820216" spans="1:1" x14ac:dyDescent="0.25">
      <c r="A820216" s="242"/>
    </row>
    <row r="820217" spans="1:1" x14ac:dyDescent="0.25">
      <c r="A820217" s="242"/>
    </row>
    <row r="820218" spans="1:1" x14ac:dyDescent="0.25">
      <c r="A820218" s="242"/>
    </row>
    <row r="820219" spans="1:1" x14ac:dyDescent="0.25">
      <c r="A820219" s="242"/>
    </row>
    <row r="820220" spans="1:1" x14ac:dyDescent="0.25">
      <c r="A820220" s="242"/>
    </row>
    <row r="820221" spans="1:1" x14ac:dyDescent="0.25">
      <c r="A820221" s="242"/>
    </row>
    <row r="820222" spans="1:1" x14ac:dyDescent="0.25">
      <c r="A820222" s="242"/>
    </row>
    <row r="820223" spans="1:1" x14ac:dyDescent="0.25">
      <c r="A820223" s="242"/>
    </row>
    <row r="820224" spans="1:1" x14ac:dyDescent="0.25">
      <c r="A820224" s="242"/>
    </row>
    <row r="820225" spans="1:1" x14ac:dyDescent="0.25">
      <c r="A820225" s="242"/>
    </row>
    <row r="820226" spans="1:1" x14ac:dyDescent="0.25">
      <c r="A820226" s="242"/>
    </row>
    <row r="820227" spans="1:1" x14ac:dyDescent="0.25">
      <c r="A820227" s="242"/>
    </row>
    <row r="820228" spans="1:1" x14ac:dyDescent="0.25">
      <c r="A820228" s="242"/>
    </row>
    <row r="820229" spans="1:1" x14ac:dyDescent="0.25">
      <c r="A820229" s="242"/>
    </row>
    <row r="820230" spans="1:1" x14ac:dyDescent="0.25">
      <c r="A820230" s="242"/>
    </row>
    <row r="820231" spans="1:1" x14ac:dyDescent="0.25">
      <c r="A820231" s="242"/>
    </row>
    <row r="820232" spans="1:1" x14ac:dyDescent="0.25">
      <c r="A820232" s="242"/>
    </row>
    <row r="820233" spans="1:1" x14ac:dyDescent="0.25">
      <c r="A820233" s="242"/>
    </row>
    <row r="820234" spans="1:1" x14ac:dyDescent="0.25">
      <c r="A820234" s="242"/>
    </row>
    <row r="820235" spans="1:1" x14ac:dyDescent="0.25">
      <c r="A820235" s="242"/>
    </row>
    <row r="820236" spans="1:1" x14ac:dyDescent="0.25">
      <c r="A820236" s="242"/>
    </row>
    <row r="820237" spans="1:1" x14ac:dyDescent="0.25">
      <c r="A820237" s="242"/>
    </row>
    <row r="820238" spans="1:1" x14ac:dyDescent="0.25">
      <c r="A820238" s="242"/>
    </row>
    <row r="820239" spans="1:1" x14ac:dyDescent="0.25">
      <c r="A820239" s="242"/>
    </row>
    <row r="820240" spans="1:1" x14ac:dyDescent="0.25">
      <c r="A820240" s="242"/>
    </row>
    <row r="820241" spans="1:1" x14ac:dyDescent="0.25">
      <c r="A820241" s="242"/>
    </row>
    <row r="820242" spans="1:1" x14ac:dyDescent="0.25">
      <c r="A820242" s="242"/>
    </row>
    <row r="820243" spans="1:1" x14ac:dyDescent="0.25">
      <c r="A820243" s="242"/>
    </row>
    <row r="820244" spans="1:1" x14ac:dyDescent="0.25">
      <c r="A820244" s="242"/>
    </row>
    <row r="820245" spans="1:1" x14ac:dyDescent="0.25">
      <c r="A820245" s="242"/>
    </row>
    <row r="820246" spans="1:1" x14ac:dyDescent="0.25">
      <c r="A820246" s="242"/>
    </row>
    <row r="820247" spans="1:1" x14ac:dyDescent="0.25">
      <c r="A820247" s="242"/>
    </row>
    <row r="820248" spans="1:1" x14ac:dyDescent="0.25">
      <c r="A820248" s="242"/>
    </row>
    <row r="820249" spans="1:1" x14ac:dyDescent="0.25">
      <c r="A820249" s="242"/>
    </row>
    <row r="820250" spans="1:1" x14ac:dyDescent="0.25">
      <c r="A820250" s="242"/>
    </row>
    <row r="820251" spans="1:1" x14ac:dyDescent="0.25">
      <c r="A820251" s="242"/>
    </row>
    <row r="820252" spans="1:1" x14ac:dyDescent="0.25">
      <c r="A820252" s="242"/>
    </row>
    <row r="820253" spans="1:1" x14ac:dyDescent="0.25">
      <c r="A820253" s="242"/>
    </row>
    <row r="820254" spans="1:1" x14ac:dyDescent="0.25">
      <c r="A820254" s="242"/>
    </row>
    <row r="820255" spans="1:1" x14ac:dyDescent="0.25">
      <c r="A820255" s="242"/>
    </row>
    <row r="820256" spans="1:1" x14ac:dyDescent="0.25">
      <c r="A820256" s="242"/>
    </row>
    <row r="820257" spans="1:1" x14ac:dyDescent="0.25">
      <c r="A820257" s="242"/>
    </row>
    <row r="820258" spans="1:1" x14ac:dyDescent="0.25">
      <c r="A820258" s="242"/>
    </row>
    <row r="820259" spans="1:1" x14ac:dyDescent="0.25">
      <c r="A820259" s="242"/>
    </row>
    <row r="820260" spans="1:1" x14ac:dyDescent="0.25">
      <c r="A820260" s="242"/>
    </row>
    <row r="820261" spans="1:1" x14ac:dyDescent="0.25">
      <c r="A820261" s="242"/>
    </row>
    <row r="820262" spans="1:1" x14ac:dyDescent="0.25">
      <c r="A820262" s="242"/>
    </row>
    <row r="820263" spans="1:1" x14ac:dyDescent="0.25">
      <c r="A820263" s="242"/>
    </row>
    <row r="820264" spans="1:1" x14ac:dyDescent="0.25">
      <c r="A820264" s="242"/>
    </row>
    <row r="820265" spans="1:1" x14ac:dyDescent="0.25">
      <c r="A820265" s="242"/>
    </row>
    <row r="820266" spans="1:1" x14ac:dyDescent="0.25">
      <c r="A820266" s="242"/>
    </row>
    <row r="820267" spans="1:1" x14ac:dyDescent="0.25">
      <c r="A820267" s="242"/>
    </row>
    <row r="820268" spans="1:1" x14ac:dyDescent="0.25">
      <c r="A820268" s="242"/>
    </row>
    <row r="820269" spans="1:1" x14ac:dyDescent="0.25">
      <c r="A820269" s="242"/>
    </row>
    <row r="820270" spans="1:1" x14ac:dyDescent="0.25">
      <c r="A820270" s="242"/>
    </row>
    <row r="820271" spans="1:1" x14ac:dyDescent="0.25">
      <c r="A820271" s="242"/>
    </row>
    <row r="820272" spans="1:1" x14ac:dyDescent="0.25">
      <c r="A820272" s="242"/>
    </row>
    <row r="820273" spans="1:1" x14ac:dyDescent="0.25">
      <c r="A820273" s="242"/>
    </row>
    <row r="820274" spans="1:1" x14ac:dyDescent="0.25">
      <c r="A820274" s="242"/>
    </row>
    <row r="820275" spans="1:1" x14ac:dyDescent="0.25">
      <c r="A820275" s="242"/>
    </row>
    <row r="820276" spans="1:1" x14ac:dyDescent="0.25">
      <c r="A820276" s="242"/>
    </row>
    <row r="820277" spans="1:1" x14ac:dyDescent="0.25">
      <c r="A820277" s="242"/>
    </row>
    <row r="820278" spans="1:1" x14ac:dyDescent="0.25">
      <c r="A820278" s="242"/>
    </row>
    <row r="820279" spans="1:1" x14ac:dyDescent="0.25">
      <c r="A820279" s="242"/>
    </row>
    <row r="820280" spans="1:1" x14ac:dyDescent="0.25">
      <c r="A820280" s="242"/>
    </row>
    <row r="820281" spans="1:1" x14ac:dyDescent="0.25">
      <c r="A820281" s="242"/>
    </row>
    <row r="820282" spans="1:1" x14ac:dyDescent="0.25">
      <c r="A820282" s="242"/>
    </row>
    <row r="820283" spans="1:1" x14ac:dyDescent="0.25">
      <c r="A820283" s="242"/>
    </row>
    <row r="820284" spans="1:1" x14ac:dyDescent="0.25">
      <c r="A820284" s="242"/>
    </row>
    <row r="820285" spans="1:1" x14ac:dyDescent="0.25">
      <c r="A820285" s="242"/>
    </row>
    <row r="820286" spans="1:1" x14ac:dyDescent="0.25">
      <c r="A820286" s="242"/>
    </row>
    <row r="820287" spans="1:1" x14ac:dyDescent="0.25">
      <c r="A820287" s="242"/>
    </row>
    <row r="820288" spans="1:1" x14ac:dyDescent="0.25">
      <c r="A820288" s="242"/>
    </row>
    <row r="820289" spans="1:1" x14ac:dyDescent="0.25">
      <c r="A820289" s="242"/>
    </row>
    <row r="820290" spans="1:1" x14ac:dyDescent="0.25">
      <c r="A820290" s="242"/>
    </row>
    <row r="820291" spans="1:1" x14ac:dyDescent="0.25">
      <c r="A820291" s="242"/>
    </row>
    <row r="820292" spans="1:1" x14ac:dyDescent="0.25">
      <c r="A820292" s="242"/>
    </row>
    <row r="820293" spans="1:1" x14ac:dyDescent="0.25">
      <c r="A820293" s="242"/>
    </row>
    <row r="820294" spans="1:1" x14ac:dyDescent="0.25">
      <c r="A820294" s="242"/>
    </row>
    <row r="820295" spans="1:1" x14ac:dyDescent="0.25">
      <c r="A820295" s="242"/>
    </row>
    <row r="820296" spans="1:1" x14ac:dyDescent="0.25">
      <c r="A820296" s="242"/>
    </row>
    <row r="820297" spans="1:1" x14ac:dyDescent="0.25">
      <c r="A820297" s="242"/>
    </row>
    <row r="820298" spans="1:1" x14ac:dyDescent="0.25">
      <c r="A820298" s="242"/>
    </row>
    <row r="820299" spans="1:1" x14ac:dyDescent="0.25">
      <c r="A820299" s="242"/>
    </row>
    <row r="820300" spans="1:1" x14ac:dyDescent="0.25">
      <c r="A820300" s="242"/>
    </row>
    <row r="820301" spans="1:1" x14ac:dyDescent="0.25">
      <c r="A820301" s="242"/>
    </row>
    <row r="820302" spans="1:1" x14ac:dyDescent="0.25">
      <c r="A820302" s="242"/>
    </row>
    <row r="820303" spans="1:1" x14ac:dyDescent="0.25">
      <c r="A820303" s="242"/>
    </row>
    <row r="820304" spans="1:1" x14ac:dyDescent="0.25">
      <c r="A820304" s="242"/>
    </row>
    <row r="820305" spans="1:1" x14ac:dyDescent="0.25">
      <c r="A820305" s="242"/>
    </row>
    <row r="820306" spans="1:1" x14ac:dyDescent="0.25">
      <c r="A820306" s="242"/>
    </row>
    <row r="820307" spans="1:1" x14ac:dyDescent="0.25">
      <c r="A820307" s="242"/>
    </row>
    <row r="820308" spans="1:1" x14ac:dyDescent="0.25">
      <c r="A820308" s="242"/>
    </row>
    <row r="820309" spans="1:1" x14ac:dyDescent="0.25">
      <c r="A820309" s="242"/>
    </row>
    <row r="820310" spans="1:1" x14ac:dyDescent="0.25">
      <c r="A820310" s="242"/>
    </row>
    <row r="820311" spans="1:1" x14ac:dyDescent="0.25">
      <c r="A820311" s="242"/>
    </row>
    <row r="820312" spans="1:1" x14ac:dyDescent="0.25">
      <c r="A820312" s="242"/>
    </row>
    <row r="820313" spans="1:1" x14ac:dyDescent="0.25">
      <c r="A820313" s="242"/>
    </row>
    <row r="820314" spans="1:1" x14ac:dyDescent="0.25">
      <c r="A820314" s="242"/>
    </row>
    <row r="820315" spans="1:1" x14ac:dyDescent="0.25">
      <c r="A820315" s="242"/>
    </row>
    <row r="820316" spans="1:1" x14ac:dyDescent="0.25">
      <c r="A820316" s="242"/>
    </row>
    <row r="820317" spans="1:1" x14ac:dyDescent="0.25">
      <c r="A820317" s="242"/>
    </row>
    <row r="820318" spans="1:1" x14ac:dyDescent="0.25">
      <c r="A820318" s="242"/>
    </row>
    <row r="820319" spans="1:1" x14ac:dyDescent="0.25">
      <c r="A820319" s="242"/>
    </row>
    <row r="820320" spans="1:1" x14ac:dyDescent="0.25">
      <c r="A820320" s="242"/>
    </row>
    <row r="820321" spans="1:1" x14ac:dyDescent="0.25">
      <c r="A820321" s="242"/>
    </row>
    <row r="820322" spans="1:1" x14ac:dyDescent="0.25">
      <c r="A820322" s="242"/>
    </row>
    <row r="820323" spans="1:1" x14ac:dyDescent="0.25">
      <c r="A820323" s="242"/>
    </row>
    <row r="820324" spans="1:1" x14ac:dyDescent="0.25">
      <c r="A820324" s="242"/>
    </row>
    <row r="820325" spans="1:1" x14ac:dyDescent="0.25">
      <c r="A820325" s="242"/>
    </row>
    <row r="820326" spans="1:1" x14ac:dyDescent="0.25">
      <c r="A820326" s="242"/>
    </row>
    <row r="820327" spans="1:1" x14ac:dyDescent="0.25">
      <c r="A820327" s="242"/>
    </row>
    <row r="820328" spans="1:1" x14ac:dyDescent="0.25">
      <c r="A820328" s="242"/>
    </row>
    <row r="820329" spans="1:1" x14ac:dyDescent="0.25">
      <c r="A820329" s="242"/>
    </row>
    <row r="820330" spans="1:1" x14ac:dyDescent="0.25">
      <c r="A820330" s="242"/>
    </row>
    <row r="820331" spans="1:1" x14ac:dyDescent="0.25">
      <c r="A820331" s="242"/>
    </row>
    <row r="820332" spans="1:1" x14ac:dyDescent="0.25">
      <c r="A820332" s="242"/>
    </row>
    <row r="820333" spans="1:1" x14ac:dyDescent="0.25">
      <c r="A820333" s="242"/>
    </row>
    <row r="820334" spans="1:1" x14ac:dyDescent="0.25">
      <c r="A820334" s="242"/>
    </row>
    <row r="820335" spans="1:1" x14ac:dyDescent="0.25">
      <c r="A820335" s="242"/>
    </row>
    <row r="820336" spans="1:1" x14ac:dyDescent="0.25">
      <c r="A820336" s="242"/>
    </row>
    <row r="820337" spans="1:1" x14ac:dyDescent="0.25">
      <c r="A820337" s="242"/>
    </row>
    <row r="820338" spans="1:1" x14ac:dyDescent="0.25">
      <c r="A820338" s="242"/>
    </row>
    <row r="820339" spans="1:1" x14ac:dyDescent="0.25">
      <c r="A820339" s="242"/>
    </row>
    <row r="820340" spans="1:1" x14ac:dyDescent="0.25">
      <c r="A820340" s="242"/>
    </row>
    <row r="820341" spans="1:1" x14ac:dyDescent="0.25">
      <c r="A820341" s="242"/>
    </row>
    <row r="820342" spans="1:1" x14ac:dyDescent="0.25">
      <c r="A820342" s="242"/>
    </row>
    <row r="820343" spans="1:1" x14ac:dyDescent="0.25">
      <c r="A820343" s="242"/>
    </row>
    <row r="820344" spans="1:1" x14ac:dyDescent="0.25">
      <c r="A820344" s="242"/>
    </row>
    <row r="820345" spans="1:1" x14ac:dyDescent="0.25">
      <c r="A820345" s="242"/>
    </row>
    <row r="820346" spans="1:1" x14ac:dyDescent="0.25">
      <c r="A820346" s="242"/>
    </row>
    <row r="820347" spans="1:1" x14ac:dyDescent="0.25">
      <c r="A820347" s="242"/>
    </row>
    <row r="820348" spans="1:1" x14ac:dyDescent="0.25">
      <c r="A820348" s="242"/>
    </row>
    <row r="820349" spans="1:1" x14ac:dyDescent="0.25">
      <c r="A820349" s="242"/>
    </row>
    <row r="820350" spans="1:1" x14ac:dyDescent="0.25">
      <c r="A820350" s="242"/>
    </row>
    <row r="820351" spans="1:1" x14ac:dyDescent="0.25">
      <c r="A820351" s="242"/>
    </row>
    <row r="820352" spans="1:1" x14ac:dyDescent="0.25">
      <c r="A820352" s="242"/>
    </row>
    <row r="820353" spans="1:1" x14ac:dyDescent="0.25">
      <c r="A820353" s="242"/>
    </row>
    <row r="820354" spans="1:1" x14ac:dyDescent="0.25">
      <c r="A820354" s="242"/>
    </row>
    <row r="820355" spans="1:1" x14ac:dyDescent="0.25">
      <c r="A820355" s="242"/>
    </row>
    <row r="820356" spans="1:1" x14ac:dyDescent="0.25">
      <c r="A820356" s="242"/>
    </row>
    <row r="820357" spans="1:1" x14ac:dyDescent="0.25">
      <c r="A820357" s="242"/>
    </row>
    <row r="820358" spans="1:1" x14ac:dyDescent="0.25">
      <c r="A820358" s="242"/>
    </row>
    <row r="820359" spans="1:1" x14ac:dyDescent="0.25">
      <c r="A820359" s="242"/>
    </row>
    <row r="820360" spans="1:1" x14ac:dyDescent="0.25">
      <c r="A820360" s="242"/>
    </row>
    <row r="820361" spans="1:1" x14ac:dyDescent="0.25">
      <c r="A820361" s="242"/>
    </row>
    <row r="820362" spans="1:1" x14ac:dyDescent="0.25">
      <c r="A820362" s="242"/>
    </row>
    <row r="820363" spans="1:1" x14ac:dyDescent="0.25">
      <c r="A820363" s="242"/>
    </row>
    <row r="820364" spans="1:1" x14ac:dyDescent="0.25">
      <c r="A820364" s="242"/>
    </row>
    <row r="820365" spans="1:1" x14ac:dyDescent="0.25">
      <c r="A820365" s="242"/>
    </row>
    <row r="820366" spans="1:1" x14ac:dyDescent="0.25">
      <c r="A820366" s="242"/>
    </row>
    <row r="820367" spans="1:1" x14ac:dyDescent="0.25">
      <c r="A820367" s="242"/>
    </row>
    <row r="820368" spans="1:1" x14ac:dyDescent="0.25">
      <c r="A820368" s="242"/>
    </row>
    <row r="820369" spans="1:1" x14ac:dyDescent="0.25">
      <c r="A820369" s="242"/>
    </row>
    <row r="820370" spans="1:1" x14ac:dyDescent="0.25">
      <c r="A820370" s="242"/>
    </row>
    <row r="820371" spans="1:1" x14ac:dyDescent="0.25">
      <c r="A820371" s="242"/>
    </row>
    <row r="820372" spans="1:1" x14ac:dyDescent="0.25">
      <c r="A820372" s="242"/>
    </row>
    <row r="820373" spans="1:1" x14ac:dyDescent="0.25">
      <c r="A820373" s="242"/>
    </row>
    <row r="820374" spans="1:1" x14ac:dyDescent="0.25">
      <c r="A820374" s="242"/>
    </row>
    <row r="820375" spans="1:1" x14ac:dyDescent="0.25">
      <c r="A820375" s="242"/>
    </row>
    <row r="820376" spans="1:1" x14ac:dyDescent="0.25">
      <c r="A820376" s="242"/>
    </row>
    <row r="820377" spans="1:1" x14ac:dyDescent="0.25">
      <c r="A820377" s="242"/>
    </row>
    <row r="820378" spans="1:1" x14ac:dyDescent="0.25">
      <c r="A820378" s="242"/>
    </row>
    <row r="820379" spans="1:1" x14ac:dyDescent="0.25">
      <c r="A820379" s="242"/>
    </row>
    <row r="820380" spans="1:1" x14ac:dyDescent="0.25">
      <c r="A820380" s="242"/>
    </row>
    <row r="820381" spans="1:1" x14ac:dyDescent="0.25">
      <c r="A820381" s="242"/>
    </row>
    <row r="820382" spans="1:1" x14ac:dyDescent="0.25">
      <c r="A820382" s="242"/>
    </row>
    <row r="820383" spans="1:1" x14ac:dyDescent="0.25">
      <c r="A820383" s="242"/>
    </row>
    <row r="820384" spans="1:1" x14ac:dyDescent="0.25">
      <c r="A820384" s="242"/>
    </row>
    <row r="820385" spans="1:1" x14ac:dyDescent="0.25">
      <c r="A820385" s="242"/>
    </row>
    <row r="820386" spans="1:1" x14ac:dyDescent="0.25">
      <c r="A820386" s="242"/>
    </row>
    <row r="820387" spans="1:1" x14ac:dyDescent="0.25">
      <c r="A820387" s="242"/>
    </row>
    <row r="820388" spans="1:1" x14ac:dyDescent="0.25">
      <c r="A820388" s="242"/>
    </row>
    <row r="820389" spans="1:1" x14ac:dyDescent="0.25">
      <c r="A820389" s="242"/>
    </row>
    <row r="820390" spans="1:1" x14ac:dyDescent="0.25">
      <c r="A820390" s="242"/>
    </row>
    <row r="820391" spans="1:1" x14ac:dyDescent="0.25">
      <c r="A820391" s="242"/>
    </row>
    <row r="820392" spans="1:1" x14ac:dyDescent="0.25">
      <c r="A820392" s="242"/>
    </row>
    <row r="820393" spans="1:1" x14ac:dyDescent="0.25">
      <c r="A820393" s="242"/>
    </row>
    <row r="820394" spans="1:1" x14ac:dyDescent="0.25">
      <c r="A820394" s="242"/>
    </row>
    <row r="820395" spans="1:1" x14ac:dyDescent="0.25">
      <c r="A820395" s="242"/>
    </row>
    <row r="820396" spans="1:1" x14ac:dyDescent="0.25">
      <c r="A820396" s="242"/>
    </row>
    <row r="820397" spans="1:1" x14ac:dyDescent="0.25">
      <c r="A820397" s="242"/>
    </row>
    <row r="820398" spans="1:1" x14ac:dyDescent="0.25">
      <c r="A820398" s="242"/>
    </row>
    <row r="820399" spans="1:1" x14ac:dyDescent="0.25">
      <c r="A820399" s="242"/>
    </row>
    <row r="820400" spans="1:1" x14ac:dyDescent="0.25">
      <c r="A820400" s="242"/>
    </row>
    <row r="820401" spans="1:1" x14ac:dyDescent="0.25">
      <c r="A820401" s="242"/>
    </row>
    <row r="820402" spans="1:1" x14ac:dyDescent="0.25">
      <c r="A820402" s="242"/>
    </row>
    <row r="820403" spans="1:1" x14ac:dyDescent="0.25">
      <c r="A820403" s="242"/>
    </row>
    <row r="820404" spans="1:1" x14ac:dyDescent="0.25">
      <c r="A820404" s="242"/>
    </row>
    <row r="820405" spans="1:1" x14ac:dyDescent="0.25">
      <c r="A820405" s="242"/>
    </row>
    <row r="820406" spans="1:1" x14ac:dyDescent="0.25">
      <c r="A820406" s="242"/>
    </row>
    <row r="820407" spans="1:1" x14ac:dyDescent="0.25">
      <c r="A820407" s="242"/>
    </row>
    <row r="820408" spans="1:1" x14ac:dyDescent="0.25">
      <c r="A820408" s="242"/>
    </row>
    <row r="820409" spans="1:1" x14ac:dyDescent="0.25">
      <c r="A820409" s="242"/>
    </row>
    <row r="820410" spans="1:1" x14ac:dyDescent="0.25">
      <c r="A820410" s="242"/>
    </row>
    <row r="820411" spans="1:1" x14ac:dyDescent="0.25">
      <c r="A820411" s="242"/>
    </row>
    <row r="820412" spans="1:1" x14ac:dyDescent="0.25">
      <c r="A820412" s="242"/>
    </row>
    <row r="820413" spans="1:1" x14ac:dyDescent="0.25">
      <c r="A820413" s="242"/>
    </row>
    <row r="820414" spans="1:1" x14ac:dyDescent="0.25">
      <c r="A820414" s="242"/>
    </row>
    <row r="820415" spans="1:1" x14ac:dyDescent="0.25">
      <c r="A820415" s="242"/>
    </row>
    <row r="820416" spans="1:1" x14ac:dyDescent="0.25">
      <c r="A820416" s="242"/>
    </row>
    <row r="820417" spans="1:1" x14ac:dyDescent="0.25">
      <c r="A820417" s="242"/>
    </row>
    <row r="820418" spans="1:1" x14ac:dyDescent="0.25">
      <c r="A820418" s="242"/>
    </row>
    <row r="820419" spans="1:1" x14ac:dyDescent="0.25">
      <c r="A820419" s="242"/>
    </row>
    <row r="820420" spans="1:1" x14ac:dyDescent="0.25">
      <c r="A820420" s="242"/>
    </row>
    <row r="820421" spans="1:1" x14ac:dyDescent="0.25">
      <c r="A820421" s="242"/>
    </row>
    <row r="820422" spans="1:1" x14ac:dyDescent="0.25">
      <c r="A820422" s="242"/>
    </row>
    <row r="820423" spans="1:1" x14ac:dyDescent="0.25">
      <c r="A820423" s="242"/>
    </row>
    <row r="820424" spans="1:1" x14ac:dyDescent="0.25">
      <c r="A820424" s="242"/>
    </row>
    <row r="820425" spans="1:1" x14ac:dyDescent="0.25">
      <c r="A820425" s="242"/>
    </row>
    <row r="820426" spans="1:1" x14ac:dyDescent="0.25">
      <c r="A820426" s="242"/>
    </row>
    <row r="820427" spans="1:1" x14ac:dyDescent="0.25">
      <c r="A820427" s="242"/>
    </row>
    <row r="820428" spans="1:1" x14ac:dyDescent="0.25">
      <c r="A820428" s="242"/>
    </row>
    <row r="820429" spans="1:1" x14ac:dyDescent="0.25">
      <c r="A820429" s="242"/>
    </row>
    <row r="820430" spans="1:1" x14ac:dyDescent="0.25">
      <c r="A820430" s="242"/>
    </row>
    <row r="820431" spans="1:1" x14ac:dyDescent="0.25">
      <c r="A820431" s="242"/>
    </row>
    <row r="820432" spans="1:1" x14ac:dyDescent="0.25">
      <c r="A820432" s="242"/>
    </row>
    <row r="820433" spans="1:1" x14ac:dyDescent="0.25">
      <c r="A820433" s="242"/>
    </row>
    <row r="820434" spans="1:1" x14ac:dyDescent="0.25">
      <c r="A820434" s="242"/>
    </row>
    <row r="820435" spans="1:1" x14ac:dyDescent="0.25">
      <c r="A820435" s="242"/>
    </row>
    <row r="820436" spans="1:1" x14ac:dyDescent="0.25">
      <c r="A820436" s="242"/>
    </row>
    <row r="820437" spans="1:1" x14ac:dyDescent="0.25">
      <c r="A820437" s="242"/>
    </row>
    <row r="820438" spans="1:1" x14ac:dyDescent="0.25">
      <c r="A820438" s="242"/>
    </row>
    <row r="820439" spans="1:1" x14ac:dyDescent="0.25">
      <c r="A820439" s="242"/>
    </row>
    <row r="820440" spans="1:1" x14ac:dyDescent="0.25">
      <c r="A820440" s="242"/>
    </row>
    <row r="820441" spans="1:1" x14ac:dyDescent="0.25">
      <c r="A820441" s="242"/>
    </row>
    <row r="820442" spans="1:1" x14ac:dyDescent="0.25">
      <c r="A820442" s="242"/>
    </row>
    <row r="820443" spans="1:1" x14ac:dyDescent="0.25">
      <c r="A820443" s="242"/>
    </row>
    <row r="820444" spans="1:1" x14ac:dyDescent="0.25">
      <c r="A820444" s="242"/>
    </row>
    <row r="820445" spans="1:1" x14ac:dyDescent="0.25">
      <c r="A820445" s="242"/>
    </row>
    <row r="820446" spans="1:1" x14ac:dyDescent="0.25">
      <c r="A820446" s="242"/>
    </row>
    <row r="820447" spans="1:1" x14ac:dyDescent="0.25">
      <c r="A820447" s="242"/>
    </row>
    <row r="820448" spans="1:1" x14ac:dyDescent="0.25">
      <c r="A820448" s="242"/>
    </row>
    <row r="820449" spans="1:1" x14ac:dyDescent="0.25">
      <c r="A820449" s="242"/>
    </row>
    <row r="820450" spans="1:1" x14ac:dyDescent="0.25">
      <c r="A820450" s="242"/>
    </row>
    <row r="820451" spans="1:1" x14ac:dyDescent="0.25">
      <c r="A820451" s="242"/>
    </row>
    <row r="820452" spans="1:1" x14ac:dyDescent="0.25">
      <c r="A820452" s="242"/>
    </row>
    <row r="820453" spans="1:1" x14ac:dyDescent="0.25">
      <c r="A820453" s="242"/>
    </row>
    <row r="820454" spans="1:1" x14ac:dyDescent="0.25">
      <c r="A820454" s="242"/>
    </row>
    <row r="820455" spans="1:1" x14ac:dyDescent="0.25">
      <c r="A820455" s="242"/>
    </row>
    <row r="820456" spans="1:1" x14ac:dyDescent="0.25">
      <c r="A820456" s="242"/>
    </row>
    <row r="820457" spans="1:1" x14ac:dyDescent="0.25">
      <c r="A820457" s="242"/>
    </row>
    <row r="820458" spans="1:1" x14ac:dyDescent="0.25">
      <c r="A820458" s="242"/>
    </row>
    <row r="820459" spans="1:1" x14ac:dyDescent="0.25">
      <c r="A820459" s="242"/>
    </row>
    <row r="820460" spans="1:1" x14ac:dyDescent="0.25">
      <c r="A820460" s="242"/>
    </row>
    <row r="820461" spans="1:1" x14ac:dyDescent="0.25">
      <c r="A820461" s="242"/>
    </row>
    <row r="820462" spans="1:1" x14ac:dyDescent="0.25">
      <c r="A820462" s="242"/>
    </row>
    <row r="820463" spans="1:1" x14ac:dyDescent="0.25">
      <c r="A820463" s="242"/>
    </row>
    <row r="820464" spans="1:1" x14ac:dyDescent="0.25">
      <c r="A820464" s="242"/>
    </row>
    <row r="820465" spans="1:1" x14ac:dyDescent="0.25">
      <c r="A820465" s="242"/>
    </row>
    <row r="820466" spans="1:1" x14ac:dyDescent="0.25">
      <c r="A820466" s="242"/>
    </row>
    <row r="820467" spans="1:1" x14ac:dyDescent="0.25">
      <c r="A820467" s="242"/>
    </row>
    <row r="820468" spans="1:1" x14ac:dyDescent="0.25">
      <c r="A820468" s="242"/>
    </row>
    <row r="820469" spans="1:1" x14ac:dyDescent="0.25">
      <c r="A820469" s="242"/>
    </row>
    <row r="820470" spans="1:1" x14ac:dyDescent="0.25">
      <c r="A820470" s="242"/>
    </row>
    <row r="820471" spans="1:1" x14ac:dyDescent="0.25">
      <c r="A820471" s="242"/>
    </row>
    <row r="820472" spans="1:1" x14ac:dyDescent="0.25">
      <c r="A820472" s="242"/>
    </row>
    <row r="820473" spans="1:1" x14ac:dyDescent="0.25">
      <c r="A820473" s="242"/>
    </row>
    <row r="820474" spans="1:1" x14ac:dyDescent="0.25">
      <c r="A820474" s="242"/>
    </row>
    <row r="820475" spans="1:1" x14ac:dyDescent="0.25">
      <c r="A820475" s="242"/>
    </row>
    <row r="820476" spans="1:1" x14ac:dyDescent="0.25">
      <c r="A820476" s="242"/>
    </row>
    <row r="820477" spans="1:1" x14ac:dyDescent="0.25">
      <c r="A820477" s="242"/>
    </row>
    <row r="820478" spans="1:1" x14ac:dyDescent="0.25">
      <c r="A820478" s="242"/>
    </row>
    <row r="820479" spans="1:1" x14ac:dyDescent="0.25">
      <c r="A820479" s="242"/>
    </row>
    <row r="820480" spans="1:1" x14ac:dyDescent="0.25">
      <c r="A820480" s="242"/>
    </row>
    <row r="820481" spans="1:1" x14ac:dyDescent="0.25">
      <c r="A820481" s="242"/>
    </row>
    <row r="820482" spans="1:1" x14ac:dyDescent="0.25">
      <c r="A820482" s="242"/>
    </row>
    <row r="820483" spans="1:1" x14ac:dyDescent="0.25">
      <c r="A820483" s="242"/>
    </row>
    <row r="820484" spans="1:1" x14ac:dyDescent="0.25">
      <c r="A820484" s="242"/>
    </row>
    <row r="820485" spans="1:1" x14ac:dyDescent="0.25">
      <c r="A820485" s="242"/>
    </row>
    <row r="820486" spans="1:1" x14ac:dyDescent="0.25">
      <c r="A820486" s="242"/>
    </row>
    <row r="820487" spans="1:1" x14ac:dyDescent="0.25">
      <c r="A820487" s="242"/>
    </row>
    <row r="820488" spans="1:1" x14ac:dyDescent="0.25">
      <c r="A820488" s="242"/>
    </row>
    <row r="820489" spans="1:1" x14ac:dyDescent="0.25">
      <c r="A820489" s="242"/>
    </row>
    <row r="820490" spans="1:1" x14ac:dyDescent="0.25">
      <c r="A820490" s="242"/>
    </row>
    <row r="820491" spans="1:1" x14ac:dyDescent="0.25">
      <c r="A820491" s="242"/>
    </row>
    <row r="820492" spans="1:1" x14ac:dyDescent="0.25">
      <c r="A820492" s="242"/>
    </row>
    <row r="820493" spans="1:1" x14ac:dyDescent="0.25">
      <c r="A820493" s="242"/>
    </row>
    <row r="820494" spans="1:1" x14ac:dyDescent="0.25">
      <c r="A820494" s="242"/>
    </row>
    <row r="820495" spans="1:1" x14ac:dyDescent="0.25">
      <c r="A820495" s="242"/>
    </row>
    <row r="820496" spans="1:1" x14ac:dyDescent="0.25">
      <c r="A820496" s="242"/>
    </row>
    <row r="820497" spans="1:1" x14ac:dyDescent="0.25">
      <c r="A820497" s="242"/>
    </row>
    <row r="820498" spans="1:1" x14ac:dyDescent="0.25">
      <c r="A820498" s="242"/>
    </row>
    <row r="820499" spans="1:1" x14ac:dyDescent="0.25">
      <c r="A820499" s="242"/>
    </row>
    <row r="820500" spans="1:1" x14ac:dyDescent="0.25">
      <c r="A820500" s="242"/>
    </row>
    <row r="820501" spans="1:1" x14ac:dyDescent="0.25">
      <c r="A820501" s="242"/>
    </row>
    <row r="820502" spans="1:1" x14ac:dyDescent="0.25">
      <c r="A820502" s="242"/>
    </row>
    <row r="820503" spans="1:1" x14ac:dyDescent="0.25">
      <c r="A820503" s="242"/>
    </row>
    <row r="820504" spans="1:1" x14ac:dyDescent="0.25">
      <c r="A820504" s="242"/>
    </row>
    <row r="820505" spans="1:1" x14ac:dyDescent="0.25">
      <c r="A820505" s="242"/>
    </row>
    <row r="820506" spans="1:1" x14ac:dyDescent="0.25">
      <c r="A820506" s="242"/>
    </row>
    <row r="820507" spans="1:1" x14ac:dyDescent="0.25">
      <c r="A820507" s="242"/>
    </row>
    <row r="820508" spans="1:1" x14ac:dyDescent="0.25">
      <c r="A820508" s="242"/>
    </row>
    <row r="820509" spans="1:1" x14ac:dyDescent="0.25">
      <c r="A820509" s="242"/>
    </row>
    <row r="820510" spans="1:1" x14ac:dyDescent="0.25">
      <c r="A820510" s="242"/>
    </row>
    <row r="820511" spans="1:1" x14ac:dyDescent="0.25">
      <c r="A820511" s="242"/>
    </row>
    <row r="820512" spans="1:1" x14ac:dyDescent="0.25">
      <c r="A820512" s="242"/>
    </row>
    <row r="820513" spans="1:1" x14ac:dyDescent="0.25">
      <c r="A820513" s="242"/>
    </row>
    <row r="820514" spans="1:1" x14ac:dyDescent="0.25">
      <c r="A820514" s="242"/>
    </row>
    <row r="820515" spans="1:1" x14ac:dyDescent="0.25">
      <c r="A820515" s="242"/>
    </row>
    <row r="820516" spans="1:1" x14ac:dyDescent="0.25">
      <c r="A820516" s="242"/>
    </row>
    <row r="820517" spans="1:1" x14ac:dyDescent="0.25">
      <c r="A820517" s="242"/>
    </row>
    <row r="820518" spans="1:1" x14ac:dyDescent="0.25">
      <c r="A820518" s="242"/>
    </row>
    <row r="820519" spans="1:1" x14ac:dyDescent="0.25">
      <c r="A820519" s="242"/>
    </row>
    <row r="820520" spans="1:1" x14ac:dyDescent="0.25">
      <c r="A820520" s="242"/>
    </row>
    <row r="820521" spans="1:1" x14ac:dyDescent="0.25">
      <c r="A820521" s="242"/>
    </row>
    <row r="820522" spans="1:1" x14ac:dyDescent="0.25">
      <c r="A820522" s="242"/>
    </row>
    <row r="820523" spans="1:1" x14ac:dyDescent="0.25">
      <c r="A820523" s="242"/>
    </row>
    <row r="820524" spans="1:1" x14ac:dyDescent="0.25">
      <c r="A820524" s="242"/>
    </row>
    <row r="820525" spans="1:1" x14ac:dyDescent="0.25">
      <c r="A820525" s="242"/>
    </row>
    <row r="820526" spans="1:1" x14ac:dyDescent="0.25">
      <c r="A820526" s="242"/>
    </row>
    <row r="820527" spans="1:1" x14ac:dyDescent="0.25">
      <c r="A820527" s="242"/>
    </row>
    <row r="820528" spans="1:1" x14ac:dyDescent="0.25">
      <c r="A820528" s="242"/>
    </row>
    <row r="820529" spans="1:1" x14ac:dyDescent="0.25">
      <c r="A820529" s="242"/>
    </row>
    <row r="820530" spans="1:1" x14ac:dyDescent="0.25">
      <c r="A820530" s="242"/>
    </row>
    <row r="820531" spans="1:1" x14ac:dyDescent="0.25">
      <c r="A820531" s="242"/>
    </row>
    <row r="820532" spans="1:1" x14ac:dyDescent="0.25">
      <c r="A820532" s="242"/>
    </row>
    <row r="820533" spans="1:1" x14ac:dyDescent="0.25">
      <c r="A820533" s="242"/>
    </row>
    <row r="820534" spans="1:1" x14ac:dyDescent="0.25">
      <c r="A820534" s="242"/>
    </row>
    <row r="820535" spans="1:1" x14ac:dyDescent="0.25">
      <c r="A820535" s="242"/>
    </row>
    <row r="820536" spans="1:1" x14ac:dyDescent="0.25">
      <c r="A820536" s="242"/>
    </row>
    <row r="820537" spans="1:1" x14ac:dyDescent="0.25">
      <c r="A820537" s="242"/>
    </row>
    <row r="820538" spans="1:1" x14ac:dyDescent="0.25">
      <c r="A820538" s="242"/>
    </row>
    <row r="820539" spans="1:1" x14ac:dyDescent="0.25">
      <c r="A820539" s="242"/>
    </row>
    <row r="820540" spans="1:1" x14ac:dyDescent="0.25">
      <c r="A820540" s="242"/>
    </row>
    <row r="820541" spans="1:1" x14ac:dyDescent="0.25">
      <c r="A820541" s="242"/>
    </row>
    <row r="820542" spans="1:1" x14ac:dyDescent="0.25">
      <c r="A820542" s="242"/>
    </row>
    <row r="820543" spans="1:1" x14ac:dyDescent="0.25">
      <c r="A820543" s="242"/>
    </row>
    <row r="820544" spans="1:1" x14ac:dyDescent="0.25">
      <c r="A820544" s="242"/>
    </row>
    <row r="820545" spans="1:1" x14ac:dyDescent="0.25">
      <c r="A820545" s="242"/>
    </row>
    <row r="820546" spans="1:1" x14ac:dyDescent="0.25">
      <c r="A820546" s="242"/>
    </row>
    <row r="820547" spans="1:1" x14ac:dyDescent="0.25">
      <c r="A820547" s="242"/>
    </row>
    <row r="820548" spans="1:1" x14ac:dyDescent="0.25">
      <c r="A820548" s="242"/>
    </row>
    <row r="820549" spans="1:1" x14ac:dyDescent="0.25">
      <c r="A820549" s="242"/>
    </row>
    <row r="820550" spans="1:1" x14ac:dyDescent="0.25">
      <c r="A820550" s="242"/>
    </row>
    <row r="820551" spans="1:1" x14ac:dyDescent="0.25">
      <c r="A820551" s="242"/>
    </row>
    <row r="820552" spans="1:1" x14ac:dyDescent="0.25">
      <c r="A820552" s="242"/>
    </row>
    <row r="820553" spans="1:1" x14ac:dyDescent="0.25">
      <c r="A820553" s="242"/>
    </row>
    <row r="820554" spans="1:1" x14ac:dyDescent="0.25">
      <c r="A820554" s="242"/>
    </row>
    <row r="820555" spans="1:1" x14ac:dyDescent="0.25">
      <c r="A820555" s="242"/>
    </row>
    <row r="820556" spans="1:1" x14ac:dyDescent="0.25">
      <c r="A820556" s="242"/>
    </row>
    <row r="820557" spans="1:1" x14ac:dyDescent="0.25">
      <c r="A820557" s="242"/>
    </row>
    <row r="820558" spans="1:1" x14ac:dyDescent="0.25">
      <c r="A820558" s="242"/>
    </row>
    <row r="820559" spans="1:1" x14ac:dyDescent="0.25">
      <c r="A820559" s="242"/>
    </row>
    <row r="820560" spans="1:1" x14ac:dyDescent="0.25">
      <c r="A820560" s="242"/>
    </row>
    <row r="820561" spans="1:1" x14ac:dyDescent="0.25">
      <c r="A820561" s="242"/>
    </row>
    <row r="820562" spans="1:1" x14ac:dyDescent="0.25">
      <c r="A820562" s="242"/>
    </row>
    <row r="820563" spans="1:1" x14ac:dyDescent="0.25">
      <c r="A820563" s="242"/>
    </row>
    <row r="820564" spans="1:1" x14ac:dyDescent="0.25">
      <c r="A820564" s="242"/>
    </row>
    <row r="820565" spans="1:1" x14ac:dyDescent="0.25">
      <c r="A820565" s="242"/>
    </row>
    <row r="820566" spans="1:1" x14ac:dyDescent="0.25">
      <c r="A820566" s="242"/>
    </row>
    <row r="820567" spans="1:1" x14ac:dyDescent="0.25">
      <c r="A820567" s="242"/>
    </row>
    <row r="820568" spans="1:1" x14ac:dyDescent="0.25">
      <c r="A820568" s="242"/>
    </row>
    <row r="820569" spans="1:1" x14ac:dyDescent="0.25">
      <c r="A820569" s="242"/>
    </row>
    <row r="820570" spans="1:1" x14ac:dyDescent="0.25">
      <c r="A820570" s="242"/>
    </row>
    <row r="820571" spans="1:1" x14ac:dyDescent="0.25">
      <c r="A820571" s="242"/>
    </row>
    <row r="820572" spans="1:1" x14ac:dyDescent="0.25">
      <c r="A820572" s="242"/>
    </row>
    <row r="820573" spans="1:1" x14ac:dyDescent="0.25">
      <c r="A820573" s="242"/>
    </row>
    <row r="820574" spans="1:1" x14ac:dyDescent="0.25">
      <c r="A820574" s="242"/>
    </row>
    <row r="820575" spans="1:1" x14ac:dyDescent="0.25">
      <c r="A820575" s="242"/>
    </row>
    <row r="820576" spans="1:1" x14ac:dyDescent="0.25">
      <c r="A820576" s="242"/>
    </row>
    <row r="820577" spans="1:1" x14ac:dyDescent="0.25">
      <c r="A820577" s="242"/>
    </row>
    <row r="820578" spans="1:1" x14ac:dyDescent="0.25">
      <c r="A820578" s="242"/>
    </row>
    <row r="820579" spans="1:1" x14ac:dyDescent="0.25">
      <c r="A820579" s="242"/>
    </row>
    <row r="820580" spans="1:1" x14ac:dyDescent="0.25">
      <c r="A820580" s="242"/>
    </row>
    <row r="820581" spans="1:1" x14ac:dyDescent="0.25">
      <c r="A820581" s="242"/>
    </row>
    <row r="820582" spans="1:1" x14ac:dyDescent="0.25">
      <c r="A820582" s="242"/>
    </row>
    <row r="820583" spans="1:1" x14ac:dyDescent="0.25">
      <c r="A820583" s="242"/>
    </row>
    <row r="820584" spans="1:1" x14ac:dyDescent="0.25">
      <c r="A820584" s="242"/>
    </row>
    <row r="820585" spans="1:1" x14ac:dyDescent="0.25">
      <c r="A820585" s="242"/>
    </row>
    <row r="820586" spans="1:1" x14ac:dyDescent="0.25">
      <c r="A820586" s="242"/>
    </row>
    <row r="820587" spans="1:1" x14ac:dyDescent="0.25">
      <c r="A820587" s="242"/>
    </row>
    <row r="820588" spans="1:1" x14ac:dyDescent="0.25">
      <c r="A820588" s="242"/>
    </row>
    <row r="820589" spans="1:1" x14ac:dyDescent="0.25">
      <c r="A820589" s="242"/>
    </row>
    <row r="820590" spans="1:1" x14ac:dyDescent="0.25">
      <c r="A820590" s="242"/>
    </row>
    <row r="820591" spans="1:1" x14ac:dyDescent="0.25">
      <c r="A820591" s="242"/>
    </row>
    <row r="820592" spans="1:1" x14ac:dyDescent="0.25">
      <c r="A820592" s="242"/>
    </row>
    <row r="820593" spans="1:1" x14ac:dyDescent="0.25">
      <c r="A820593" s="242"/>
    </row>
    <row r="820594" spans="1:1" x14ac:dyDescent="0.25">
      <c r="A820594" s="242"/>
    </row>
    <row r="820595" spans="1:1" x14ac:dyDescent="0.25">
      <c r="A820595" s="242"/>
    </row>
    <row r="820596" spans="1:1" x14ac:dyDescent="0.25">
      <c r="A820596" s="242"/>
    </row>
    <row r="820597" spans="1:1" x14ac:dyDescent="0.25">
      <c r="A820597" s="242"/>
    </row>
    <row r="820598" spans="1:1" x14ac:dyDescent="0.25">
      <c r="A820598" s="242"/>
    </row>
    <row r="820599" spans="1:1" x14ac:dyDescent="0.25">
      <c r="A820599" s="242"/>
    </row>
    <row r="820600" spans="1:1" x14ac:dyDescent="0.25">
      <c r="A820600" s="242"/>
    </row>
    <row r="820601" spans="1:1" x14ac:dyDescent="0.25">
      <c r="A820601" s="242"/>
    </row>
    <row r="820602" spans="1:1" x14ac:dyDescent="0.25">
      <c r="A820602" s="242"/>
    </row>
    <row r="820603" spans="1:1" x14ac:dyDescent="0.25">
      <c r="A820603" s="242"/>
    </row>
    <row r="820604" spans="1:1" x14ac:dyDescent="0.25">
      <c r="A820604" s="242"/>
    </row>
    <row r="820605" spans="1:1" x14ac:dyDescent="0.25">
      <c r="A820605" s="242"/>
    </row>
    <row r="820606" spans="1:1" x14ac:dyDescent="0.25">
      <c r="A820606" s="242"/>
    </row>
    <row r="820607" spans="1:1" x14ac:dyDescent="0.25">
      <c r="A820607" s="242"/>
    </row>
    <row r="820608" spans="1:1" x14ac:dyDescent="0.25">
      <c r="A820608" s="242"/>
    </row>
    <row r="820609" spans="1:1" x14ac:dyDescent="0.25">
      <c r="A820609" s="242"/>
    </row>
    <row r="820610" spans="1:1" x14ac:dyDescent="0.25">
      <c r="A820610" s="242"/>
    </row>
    <row r="820611" spans="1:1" x14ac:dyDescent="0.25">
      <c r="A820611" s="242"/>
    </row>
    <row r="820612" spans="1:1" x14ac:dyDescent="0.25">
      <c r="A820612" s="242"/>
    </row>
    <row r="820613" spans="1:1" x14ac:dyDescent="0.25">
      <c r="A820613" s="242"/>
    </row>
    <row r="820614" spans="1:1" x14ac:dyDescent="0.25">
      <c r="A820614" s="242"/>
    </row>
    <row r="820615" spans="1:1" x14ac:dyDescent="0.25">
      <c r="A820615" s="242"/>
    </row>
    <row r="820616" spans="1:1" x14ac:dyDescent="0.25">
      <c r="A820616" s="242"/>
    </row>
    <row r="820617" spans="1:1" x14ac:dyDescent="0.25">
      <c r="A820617" s="242"/>
    </row>
    <row r="820618" spans="1:1" x14ac:dyDescent="0.25">
      <c r="A820618" s="242"/>
    </row>
    <row r="820619" spans="1:1" x14ac:dyDescent="0.25">
      <c r="A820619" s="242"/>
    </row>
    <row r="820620" spans="1:1" x14ac:dyDescent="0.25">
      <c r="A820620" s="242"/>
    </row>
    <row r="820621" spans="1:1" x14ac:dyDescent="0.25">
      <c r="A820621" s="242"/>
    </row>
    <row r="820622" spans="1:1" x14ac:dyDescent="0.25">
      <c r="A820622" s="242"/>
    </row>
    <row r="820623" spans="1:1" x14ac:dyDescent="0.25">
      <c r="A820623" s="242"/>
    </row>
    <row r="820624" spans="1:1" x14ac:dyDescent="0.25">
      <c r="A820624" s="242"/>
    </row>
    <row r="820625" spans="1:1" x14ac:dyDescent="0.25">
      <c r="A820625" s="242"/>
    </row>
    <row r="820626" spans="1:1" x14ac:dyDescent="0.25">
      <c r="A820626" s="242"/>
    </row>
    <row r="820627" spans="1:1" x14ac:dyDescent="0.25">
      <c r="A820627" s="242"/>
    </row>
    <row r="820628" spans="1:1" x14ac:dyDescent="0.25">
      <c r="A820628" s="242"/>
    </row>
    <row r="820629" spans="1:1" x14ac:dyDescent="0.25">
      <c r="A820629" s="242"/>
    </row>
    <row r="820630" spans="1:1" x14ac:dyDescent="0.25">
      <c r="A820630" s="242"/>
    </row>
    <row r="820631" spans="1:1" x14ac:dyDescent="0.25">
      <c r="A820631" s="242"/>
    </row>
    <row r="820632" spans="1:1" x14ac:dyDescent="0.25">
      <c r="A820632" s="242"/>
    </row>
    <row r="820633" spans="1:1" x14ac:dyDescent="0.25">
      <c r="A820633" s="242"/>
    </row>
    <row r="820634" spans="1:1" x14ac:dyDescent="0.25">
      <c r="A820634" s="242"/>
    </row>
    <row r="820635" spans="1:1" x14ac:dyDescent="0.25">
      <c r="A820635" s="242"/>
    </row>
    <row r="820636" spans="1:1" x14ac:dyDescent="0.25">
      <c r="A820636" s="242"/>
    </row>
    <row r="820637" spans="1:1" x14ac:dyDescent="0.25">
      <c r="A820637" s="242"/>
    </row>
    <row r="820638" spans="1:1" x14ac:dyDescent="0.25">
      <c r="A820638" s="242"/>
    </row>
    <row r="820639" spans="1:1" x14ac:dyDescent="0.25">
      <c r="A820639" s="242"/>
    </row>
    <row r="820640" spans="1:1" x14ac:dyDescent="0.25">
      <c r="A820640" s="242"/>
    </row>
    <row r="820641" spans="1:1" x14ac:dyDescent="0.25">
      <c r="A820641" s="242"/>
    </row>
    <row r="820642" spans="1:1" x14ac:dyDescent="0.25">
      <c r="A820642" s="242"/>
    </row>
    <row r="820643" spans="1:1" x14ac:dyDescent="0.25">
      <c r="A820643" s="242"/>
    </row>
    <row r="820644" spans="1:1" x14ac:dyDescent="0.25">
      <c r="A820644" s="242"/>
    </row>
    <row r="820645" spans="1:1" x14ac:dyDescent="0.25">
      <c r="A820645" s="242"/>
    </row>
    <row r="820646" spans="1:1" x14ac:dyDescent="0.25">
      <c r="A820646" s="242"/>
    </row>
    <row r="820647" spans="1:1" x14ac:dyDescent="0.25">
      <c r="A820647" s="242"/>
    </row>
    <row r="820648" spans="1:1" x14ac:dyDescent="0.25">
      <c r="A820648" s="242"/>
    </row>
    <row r="820649" spans="1:1" x14ac:dyDescent="0.25">
      <c r="A820649" s="242"/>
    </row>
    <row r="820650" spans="1:1" x14ac:dyDescent="0.25">
      <c r="A820650" s="242"/>
    </row>
    <row r="820651" spans="1:1" x14ac:dyDescent="0.25">
      <c r="A820651" s="242"/>
    </row>
    <row r="820652" spans="1:1" x14ac:dyDescent="0.25">
      <c r="A820652" s="242"/>
    </row>
    <row r="820653" spans="1:1" x14ac:dyDescent="0.25">
      <c r="A820653" s="242"/>
    </row>
    <row r="820654" spans="1:1" x14ac:dyDescent="0.25">
      <c r="A820654" s="242"/>
    </row>
    <row r="820655" spans="1:1" x14ac:dyDescent="0.25">
      <c r="A820655" s="242"/>
    </row>
    <row r="820656" spans="1:1" x14ac:dyDescent="0.25">
      <c r="A820656" s="242"/>
    </row>
    <row r="820657" spans="1:1" x14ac:dyDescent="0.25">
      <c r="A820657" s="242"/>
    </row>
    <row r="820658" spans="1:1" x14ac:dyDescent="0.25">
      <c r="A820658" s="242"/>
    </row>
    <row r="820659" spans="1:1" x14ac:dyDescent="0.25">
      <c r="A820659" s="242"/>
    </row>
    <row r="820660" spans="1:1" x14ac:dyDescent="0.25">
      <c r="A820660" s="242"/>
    </row>
    <row r="820661" spans="1:1" x14ac:dyDescent="0.25">
      <c r="A820661" s="242"/>
    </row>
    <row r="820662" spans="1:1" x14ac:dyDescent="0.25">
      <c r="A820662" s="242"/>
    </row>
    <row r="820663" spans="1:1" x14ac:dyDescent="0.25">
      <c r="A820663" s="242"/>
    </row>
    <row r="820664" spans="1:1" x14ac:dyDescent="0.25">
      <c r="A820664" s="242"/>
    </row>
    <row r="820665" spans="1:1" x14ac:dyDescent="0.25">
      <c r="A820665" s="242"/>
    </row>
    <row r="820666" spans="1:1" x14ac:dyDescent="0.25">
      <c r="A820666" s="242"/>
    </row>
    <row r="820667" spans="1:1" x14ac:dyDescent="0.25">
      <c r="A820667" s="242"/>
    </row>
    <row r="820668" spans="1:1" x14ac:dyDescent="0.25">
      <c r="A820668" s="242"/>
    </row>
    <row r="820669" spans="1:1" x14ac:dyDescent="0.25">
      <c r="A820669" s="242"/>
    </row>
    <row r="820670" spans="1:1" x14ac:dyDescent="0.25">
      <c r="A820670" s="242"/>
    </row>
    <row r="820671" spans="1:1" x14ac:dyDescent="0.25">
      <c r="A820671" s="242"/>
    </row>
    <row r="820672" spans="1:1" x14ac:dyDescent="0.25">
      <c r="A820672" s="242"/>
    </row>
    <row r="820673" spans="1:1" x14ac:dyDescent="0.25">
      <c r="A820673" s="242"/>
    </row>
    <row r="820674" spans="1:1" x14ac:dyDescent="0.25">
      <c r="A820674" s="242"/>
    </row>
    <row r="820675" spans="1:1" x14ac:dyDescent="0.25">
      <c r="A820675" s="242"/>
    </row>
    <row r="820676" spans="1:1" x14ac:dyDescent="0.25">
      <c r="A820676" s="242"/>
    </row>
    <row r="820677" spans="1:1" x14ac:dyDescent="0.25">
      <c r="A820677" s="242"/>
    </row>
    <row r="820678" spans="1:1" x14ac:dyDescent="0.25">
      <c r="A820678" s="242"/>
    </row>
    <row r="820679" spans="1:1" x14ac:dyDescent="0.25">
      <c r="A820679" s="242"/>
    </row>
    <row r="820680" spans="1:1" x14ac:dyDescent="0.25">
      <c r="A820680" s="242"/>
    </row>
    <row r="820681" spans="1:1" x14ac:dyDescent="0.25">
      <c r="A820681" s="242"/>
    </row>
    <row r="820682" spans="1:1" x14ac:dyDescent="0.25">
      <c r="A820682" s="242"/>
    </row>
    <row r="820683" spans="1:1" x14ac:dyDescent="0.25">
      <c r="A820683" s="242"/>
    </row>
    <row r="820684" spans="1:1" x14ac:dyDescent="0.25">
      <c r="A820684" s="242"/>
    </row>
    <row r="820685" spans="1:1" x14ac:dyDescent="0.25">
      <c r="A820685" s="242"/>
    </row>
    <row r="820686" spans="1:1" x14ac:dyDescent="0.25">
      <c r="A820686" s="242"/>
    </row>
    <row r="820687" spans="1:1" x14ac:dyDescent="0.25">
      <c r="A820687" s="242"/>
    </row>
    <row r="820688" spans="1:1" x14ac:dyDescent="0.25">
      <c r="A820688" s="242"/>
    </row>
    <row r="820689" spans="1:1" x14ac:dyDescent="0.25">
      <c r="A820689" s="242"/>
    </row>
    <row r="820690" spans="1:1" x14ac:dyDescent="0.25">
      <c r="A820690" s="242"/>
    </row>
    <row r="820691" spans="1:1" x14ac:dyDescent="0.25">
      <c r="A820691" s="242"/>
    </row>
    <row r="820692" spans="1:1" x14ac:dyDescent="0.25">
      <c r="A820692" s="242"/>
    </row>
    <row r="820693" spans="1:1" x14ac:dyDescent="0.25">
      <c r="A820693" s="242"/>
    </row>
    <row r="820694" spans="1:1" x14ac:dyDescent="0.25">
      <c r="A820694" s="242"/>
    </row>
    <row r="820695" spans="1:1" x14ac:dyDescent="0.25">
      <c r="A820695" s="242"/>
    </row>
    <row r="820696" spans="1:1" x14ac:dyDescent="0.25">
      <c r="A820696" s="242"/>
    </row>
    <row r="820697" spans="1:1" x14ac:dyDescent="0.25">
      <c r="A820697" s="242"/>
    </row>
    <row r="820698" spans="1:1" x14ac:dyDescent="0.25">
      <c r="A820698" s="242"/>
    </row>
    <row r="820699" spans="1:1" x14ac:dyDescent="0.25">
      <c r="A820699" s="242"/>
    </row>
    <row r="820700" spans="1:1" x14ac:dyDescent="0.25">
      <c r="A820700" s="242"/>
    </row>
    <row r="820701" spans="1:1" x14ac:dyDescent="0.25">
      <c r="A820701" s="242"/>
    </row>
    <row r="820702" spans="1:1" x14ac:dyDescent="0.25">
      <c r="A820702" s="242"/>
    </row>
    <row r="820703" spans="1:1" x14ac:dyDescent="0.25">
      <c r="A820703" s="242"/>
    </row>
    <row r="820704" spans="1:1" x14ac:dyDescent="0.25">
      <c r="A820704" s="242"/>
    </row>
    <row r="820705" spans="1:1" x14ac:dyDescent="0.25">
      <c r="A820705" s="242"/>
    </row>
    <row r="820706" spans="1:1" x14ac:dyDescent="0.25">
      <c r="A820706" s="242"/>
    </row>
    <row r="820707" spans="1:1" x14ac:dyDescent="0.25">
      <c r="A820707" s="242"/>
    </row>
    <row r="820708" spans="1:1" x14ac:dyDescent="0.25">
      <c r="A820708" s="242"/>
    </row>
    <row r="820709" spans="1:1" x14ac:dyDescent="0.25">
      <c r="A820709" s="242"/>
    </row>
    <row r="820710" spans="1:1" x14ac:dyDescent="0.25">
      <c r="A820710" s="242"/>
    </row>
    <row r="820711" spans="1:1" x14ac:dyDescent="0.25">
      <c r="A820711" s="242"/>
    </row>
    <row r="820712" spans="1:1" x14ac:dyDescent="0.25">
      <c r="A820712" s="242"/>
    </row>
    <row r="820713" spans="1:1" x14ac:dyDescent="0.25">
      <c r="A820713" s="242"/>
    </row>
    <row r="820714" spans="1:1" x14ac:dyDescent="0.25">
      <c r="A820714" s="242"/>
    </row>
    <row r="820715" spans="1:1" x14ac:dyDescent="0.25">
      <c r="A820715" s="242"/>
    </row>
    <row r="820716" spans="1:1" x14ac:dyDescent="0.25">
      <c r="A820716" s="242"/>
    </row>
    <row r="820717" spans="1:1" x14ac:dyDescent="0.25">
      <c r="A820717" s="242"/>
    </row>
    <row r="820718" spans="1:1" x14ac:dyDescent="0.25">
      <c r="A820718" s="242"/>
    </row>
    <row r="820719" spans="1:1" x14ac:dyDescent="0.25">
      <c r="A820719" s="242"/>
    </row>
    <row r="820720" spans="1:1" x14ac:dyDescent="0.25">
      <c r="A820720" s="242"/>
    </row>
    <row r="820721" spans="1:1" x14ac:dyDescent="0.25">
      <c r="A820721" s="242"/>
    </row>
    <row r="820722" spans="1:1" x14ac:dyDescent="0.25">
      <c r="A820722" s="242"/>
    </row>
    <row r="820723" spans="1:1" x14ac:dyDescent="0.25">
      <c r="A820723" s="242"/>
    </row>
    <row r="820724" spans="1:1" x14ac:dyDescent="0.25">
      <c r="A820724" s="242"/>
    </row>
    <row r="820725" spans="1:1" x14ac:dyDescent="0.25">
      <c r="A820725" s="242"/>
    </row>
    <row r="820726" spans="1:1" x14ac:dyDescent="0.25">
      <c r="A820726" s="242"/>
    </row>
    <row r="820727" spans="1:1" x14ac:dyDescent="0.25">
      <c r="A820727" s="242"/>
    </row>
    <row r="820728" spans="1:1" x14ac:dyDescent="0.25">
      <c r="A820728" s="242"/>
    </row>
    <row r="820729" spans="1:1" x14ac:dyDescent="0.25">
      <c r="A820729" s="242"/>
    </row>
    <row r="820730" spans="1:1" x14ac:dyDescent="0.25">
      <c r="A820730" s="242"/>
    </row>
    <row r="820731" spans="1:1" x14ac:dyDescent="0.25">
      <c r="A820731" s="242"/>
    </row>
    <row r="820732" spans="1:1" x14ac:dyDescent="0.25">
      <c r="A820732" s="242"/>
    </row>
    <row r="820733" spans="1:1" x14ac:dyDescent="0.25">
      <c r="A820733" s="242"/>
    </row>
    <row r="820734" spans="1:1" x14ac:dyDescent="0.25">
      <c r="A820734" s="242"/>
    </row>
    <row r="820735" spans="1:1" x14ac:dyDescent="0.25">
      <c r="A820735" s="242"/>
    </row>
    <row r="820736" spans="1:1" x14ac:dyDescent="0.25">
      <c r="A820736" s="242"/>
    </row>
    <row r="820737" spans="1:1" x14ac:dyDescent="0.25">
      <c r="A820737" s="242"/>
    </row>
    <row r="820738" spans="1:1" x14ac:dyDescent="0.25">
      <c r="A820738" s="242"/>
    </row>
    <row r="820739" spans="1:1" x14ac:dyDescent="0.25">
      <c r="A820739" s="242"/>
    </row>
    <row r="820740" spans="1:1" x14ac:dyDescent="0.25">
      <c r="A820740" s="242"/>
    </row>
    <row r="820741" spans="1:1" x14ac:dyDescent="0.25">
      <c r="A820741" s="242"/>
    </row>
    <row r="820742" spans="1:1" x14ac:dyDescent="0.25">
      <c r="A820742" s="242"/>
    </row>
    <row r="820743" spans="1:1" x14ac:dyDescent="0.25">
      <c r="A820743" s="242"/>
    </row>
    <row r="820744" spans="1:1" x14ac:dyDescent="0.25">
      <c r="A820744" s="242"/>
    </row>
    <row r="820745" spans="1:1" x14ac:dyDescent="0.25">
      <c r="A820745" s="242"/>
    </row>
    <row r="820746" spans="1:1" x14ac:dyDescent="0.25">
      <c r="A820746" s="242"/>
    </row>
    <row r="820747" spans="1:1" x14ac:dyDescent="0.25">
      <c r="A820747" s="242"/>
    </row>
    <row r="820748" spans="1:1" x14ac:dyDescent="0.25">
      <c r="A820748" s="242"/>
    </row>
    <row r="820749" spans="1:1" x14ac:dyDescent="0.25">
      <c r="A820749" s="242"/>
    </row>
    <row r="820750" spans="1:1" x14ac:dyDescent="0.25">
      <c r="A820750" s="242"/>
    </row>
    <row r="820751" spans="1:1" x14ac:dyDescent="0.25">
      <c r="A820751" s="242"/>
    </row>
    <row r="820752" spans="1:1" x14ac:dyDescent="0.25">
      <c r="A820752" s="242"/>
    </row>
    <row r="820753" spans="1:1" x14ac:dyDescent="0.25">
      <c r="A820753" s="242"/>
    </row>
    <row r="820754" spans="1:1" x14ac:dyDescent="0.25">
      <c r="A820754" s="242"/>
    </row>
    <row r="820755" spans="1:1" x14ac:dyDescent="0.25">
      <c r="A820755" s="242"/>
    </row>
    <row r="820756" spans="1:1" x14ac:dyDescent="0.25">
      <c r="A820756" s="242"/>
    </row>
    <row r="820757" spans="1:1" x14ac:dyDescent="0.25">
      <c r="A820757" s="242"/>
    </row>
    <row r="820758" spans="1:1" x14ac:dyDescent="0.25">
      <c r="A820758" s="242"/>
    </row>
    <row r="820759" spans="1:1" x14ac:dyDescent="0.25">
      <c r="A820759" s="242"/>
    </row>
    <row r="820760" spans="1:1" x14ac:dyDescent="0.25">
      <c r="A820760" s="242"/>
    </row>
    <row r="820761" spans="1:1" x14ac:dyDescent="0.25">
      <c r="A820761" s="242"/>
    </row>
    <row r="820762" spans="1:1" x14ac:dyDescent="0.25">
      <c r="A820762" s="242"/>
    </row>
    <row r="820763" spans="1:1" x14ac:dyDescent="0.25">
      <c r="A820763" s="242"/>
    </row>
    <row r="820764" spans="1:1" x14ac:dyDescent="0.25">
      <c r="A820764" s="242"/>
    </row>
    <row r="820765" spans="1:1" x14ac:dyDescent="0.25">
      <c r="A820765" s="242"/>
    </row>
    <row r="820766" spans="1:1" x14ac:dyDescent="0.25">
      <c r="A820766" s="242"/>
    </row>
    <row r="820767" spans="1:1" x14ac:dyDescent="0.25">
      <c r="A820767" s="242"/>
    </row>
    <row r="820768" spans="1:1" x14ac:dyDescent="0.25">
      <c r="A820768" s="242"/>
    </row>
    <row r="820769" spans="1:1" x14ac:dyDescent="0.25">
      <c r="A820769" s="242"/>
    </row>
    <row r="820770" spans="1:1" x14ac:dyDescent="0.25">
      <c r="A820770" s="242"/>
    </row>
    <row r="820771" spans="1:1" x14ac:dyDescent="0.25">
      <c r="A820771" s="242"/>
    </row>
    <row r="820772" spans="1:1" x14ac:dyDescent="0.25">
      <c r="A820772" s="242"/>
    </row>
    <row r="820773" spans="1:1" x14ac:dyDescent="0.25">
      <c r="A820773" s="242"/>
    </row>
    <row r="820774" spans="1:1" x14ac:dyDescent="0.25">
      <c r="A820774" s="242"/>
    </row>
    <row r="820775" spans="1:1" x14ac:dyDescent="0.25">
      <c r="A820775" s="242"/>
    </row>
    <row r="820776" spans="1:1" x14ac:dyDescent="0.25">
      <c r="A820776" s="242"/>
    </row>
    <row r="820777" spans="1:1" x14ac:dyDescent="0.25">
      <c r="A820777" s="242"/>
    </row>
    <row r="820778" spans="1:1" x14ac:dyDescent="0.25">
      <c r="A820778" s="242"/>
    </row>
    <row r="820779" spans="1:1" x14ac:dyDescent="0.25">
      <c r="A820779" s="242"/>
    </row>
    <row r="820780" spans="1:1" x14ac:dyDescent="0.25">
      <c r="A820780" s="242"/>
    </row>
    <row r="820781" spans="1:1" x14ac:dyDescent="0.25">
      <c r="A820781" s="242"/>
    </row>
    <row r="820782" spans="1:1" x14ac:dyDescent="0.25">
      <c r="A820782" s="242"/>
    </row>
    <row r="820783" spans="1:1" x14ac:dyDescent="0.25">
      <c r="A820783" s="242"/>
    </row>
    <row r="820784" spans="1:1" x14ac:dyDescent="0.25">
      <c r="A820784" s="242"/>
    </row>
    <row r="820785" spans="1:1" x14ac:dyDescent="0.25">
      <c r="A820785" s="242"/>
    </row>
    <row r="820786" spans="1:1" x14ac:dyDescent="0.25">
      <c r="A820786" s="242"/>
    </row>
    <row r="820787" spans="1:1" x14ac:dyDescent="0.25">
      <c r="A820787" s="242"/>
    </row>
    <row r="820788" spans="1:1" x14ac:dyDescent="0.25">
      <c r="A820788" s="242"/>
    </row>
    <row r="820789" spans="1:1" x14ac:dyDescent="0.25">
      <c r="A820789" s="242"/>
    </row>
    <row r="820790" spans="1:1" x14ac:dyDescent="0.25">
      <c r="A820790" s="242"/>
    </row>
    <row r="820791" spans="1:1" x14ac:dyDescent="0.25">
      <c r="A820791" s="242"/>
    </row>
    <row r="820792" spans="1:1" x14ac:dyDescent="0.25">
      <c r="A820792" s="242"/>
    </row>
    <row r="820793" spans="1:1" x14ac:dyDescent="0.25">
      <c r="A820793" s="242"/>
    </row>
    <row r="820794" spans="1:1" x14ac:dyDescent="0.25">
      <c r="A820794" s="242"/>
    </row>
    <row r="820795" spans="1:1" x14ac:dyDescent="0.25">
      <c r="A820795" s="242"/>
    </row>
    <row r="820796" spans="1:1" x14ac:dyDescent="0.25">
      <c r="A820796" s="242"/>
    </row>
    <row r="820797" spans="1:1" x14ac:dyDescent="0.25">
      <c r="A820797" s="242"/>
    </row>
    <row r="820798" spans="1:1" x14ac:dyDescent="0.25">
      <c r="A820798" s="242"/>
    </row>
    <row r="820799" spans="1:1" x14ac:dyDescent="0.25">
      <c r="A820799" s="242"/>
    </row>
    <row r="820800" spans="1:1" x14ac:dyDescent="0.25">
      <c r="A820800" s="242"/>
    </row>
    <row r="820801" spans="1:1" x14ac:dyDescent="0.25">
      <c r="A820801" s="242"/>
    </row>
    <row r="820802" spans="1:1" x14ac:dyDescent="0.25">
      <c r="A820802" s="242"/>
    </row>
    <row r="820803" spans="1:1" x14ac:dyDescent="0.25">
      <c r="A820803" s="242"/>
    </row>
    <row r="820804" spans="1:1" x14ac:dyDescent="0.25">
      <c r="A820804" s="242"/>
    </row>
    <row r="820805" spans="1:1" x14ac:dyDescent="0.25">
      <c r="A820805" s="242"/>
    </row>
    <row r="820806" spans="1:1" x14ac:dyDescent="0.25">
      <c r="A820806" s="242"/>
    </row>
    <row r="820807" spans="1:1" x14ac:dyDescent="0.25">
      <c r="A820807" s="242"/>
    </row>
    <row r="820808" spans="1:1" x14ac:dyDescent="0.25">
      <c r="A820808" s="242"/>
    </row>
    <row r="820809" spans="1:1" x14ac:dyDescent="0.25">
      <c r="A820809" s="242"/>
    </row>
    <row r="820810" spans="1:1" x14ac:dyDescent="0.25">
      <c r="A820810" s="242"/>
    </row>
    <row r="820811" spans="1:1" x14ac:dyDescent="0.25">
      <c r="A820811" s="242"/>
    </row>
    <row r="820812" spans="1:1" x14ac:dyDescent="0.25">
      <c r="A820812" s="242"/>
    </row>
    <row r="820813" spans="1:1" x14ac:dyDescent="0.25">
      <c r="A820813" s="242"/>
    </row>
    <row r="820814" spans="1:1" x14ac:dyDescent="0.25">
      <c r="A820814" s="242"/>
    </row>
    <row r="820815" spans="1:1" x14ac:dyDescent="0.25">
      <c r="A820815" s="242"/>
    </row>
    <row r="820816" spans="1:1" x14ac:dyDescent="0.25">
      <c r="A820816" s="242"/>
    </row>
    <row r="820817" spans="1:1" x14ac:dyDescent="0.25">
      <c r="A820817" s="242"/>
    </row>
    <row r="820818" spans="1:1" x14ac:dyDescent="0.25">
      <c r="A820818" s="242"/>
    </row>
    <row r="820819" spans="1:1" x14ac:dyDescent="0.25">
      <c r="A820819" s="242"/>
    </row>
    <row r="820820" spans="1:1" x14ac:dyDescent="0.25">
      <c r="A820820" s="242"/>
    </row>
    <row r="820821" spans="1:1" x14ac:dyDescent="0.25">
      <c r="A820821" s="242"/>
    </row>
    <row r="820822" spans="1:1" x14ac:dyDescent="0.25">
      <c r="A820822" s="242"/>
    </row>
    <row r="820823" spans="1:1" x14ac:dyDescent="0.25">
      <c r="A820823" s="242"/>
    </row>
    <row r="820824" spans="1:1" x14ac:dyDescent="0.25">
      <c r="A820824" s="242"/>
    </row>
    <row r="820825" spans="1:1" x14ac:dyDescent="0.25">
      <c r="A820825" s="242"/>
    </row>
    <row r="820826" spans="1:1" x14ac:dyDescent="0.25">
      <c r="A820826" s="242"/>
    </row>
    <row r="820827" spans="1:1" x14ac:dyDescent="0.25">
      <c r="A820827" s="242"/>
    </row>
    <row r="820828" spans="1:1" x14ac:dyDescent="0.25">
      <c r="A820828" s="242"/>
    </row>
    <row r="820829" spans="1:1" x14ac:dyDescent="0.25">
      <c r="A820829" s="242"/>
    </row>
    <row r="820830" spans="1:1" x14ac:dyDescent="0.25">
      <c r="A820830" s="242"/>
    </row>
    <row r="820831" spans="1:1" x14ac:dyDescent="0.25">
      <c r="A820831" s="242"/>
    </row>
    <row r="820832" spans="1:1" x14ac:dyDescent="0.25">
      <c r="A820832" s="242"/>
    </row>
    <row r="820833" spans="1:1" x14ac:dyDescent="0.25">
      <c r="A820833" s="242"/>
    </row>
    <row r="820834" spans="1:1" x14ac:dyDescent="0.25">
      <c r="A820834" s="242"/>
    </row>
    <row r="820835" spans="1:1" x14ac:dyDescent="0.25">
      <c r="A820835" s="242"/>
    </row>
    <row r="820836" spans="1:1" x14ac:dyDescent="0.25">
      <c r="A820836" s="242"/>
    </row>
    <row r="820837" spans="1:1" x14ac:dyDescent="0.25">
      <c r="A820837" s="242"/>
    </row>
    <row r="820838" spans="1:1" x14ac:dyDescent="0.25">
      <c r="A820838" s="242"/>
    </row>
    <row r="820839" spans="1:1" x14ac:dyDescent="0.25">
      <c r="A820839" s="242"/>
    </row>
    <row r="820840" spans="1:1" x14ac:dyDescent="0.25">
      <c r="A820840" s="242"/>
    </row>
    <row r="820841" spans="1:1" x14ac:dyDescent="0.25">
      <c r="A820841" s="242"/>
    </row>
    <row r="820842" spans="1:1" x14ac:dyDescent="0.25">
      <c r="A820842" s="242"/>
    </row>
    <row r="820843" spans="1:1" x14ac:dyDescent="0.25">
      <c r="A820843" s="242"/>
    </row>
    <row r="820844" spans="1:1" x14ac:dyDescent="0.25">
      <c r="A820844" s="242"/>
    </row>
    <row r="820845" spans="1:1" x14ac:dyDescent="0.25">
      <c r="A820845" s="242"/>
    </row>
    <row r="820846" spans="1:1" x14ac:dyDescent="0.25">
      <c r="A820846" s="242"/>
    </row>
    <row r="820847" spans="1:1" x14ac:dyDescent="0.25">
      <c r="A820847" s="242"/>
    </row>
    <row r="820848" spans="1:1" x14ac:dyDescent="0.25">
      <c r="A820848" s="242"/>
    </row>
    <row r="820849" spans="1:1" x14ac:dyDescent="0.25">
      <c r="A820849" s="242"/>
    </row>
    <row r="820850" spans="1:1" x14ac:dyDescent="0.25">
      <c r="A820850" s="242"/>
    </row>
    <row r="820851" spans="1:1" x14ac:dyDescent="0.25">
      <c r="A820851" s="242"/>
    </row>
    <row r="820852" spans="1:1" x14ac:dyDescent="0.25">
      <c r="A820852" s="242"/>
    </row>
    <row r="820853" spans="1:1" x14ac:dyDescent="0.25">
      <c r="A820853" s="242"/>
    </row>
    <row r="820854" spans="1:1" x14ac:dyDescent="0.25">
      <c r="A820854" s="242"/>
    </row>
    <row r="820855" spans="1:1" x14ac:dyDescent="0.25">
      <c r="A820855" s="242"/>
    </row>
    <row r="820856" spans="1:1" x14ac:dyDescent="0.25">
      <c r="A820856" s="242"/>
    </row>
    <row r="820857" spans="1:1" x14ac:dyDescent="0.25">
      <c r="A820857" s="242"/>
    </row>
    <row r="820858" spans="1:1" x14ac:dyDescent="0.25">
      <c r="A820858" s="242"/>
    </row>
    <row r="820859" spans="1:1" x14ac:dyDescent="0.25">
      <c r="A820859" s="242"/>
    </row>
    <row r="820860" spans="1:1" x14ac:dyDescent="0.25">
      <c r="A820860" s="242"/>
    </row>
    <row r="820861" spans="1:1" x14ac:dyDescent="0.25">
      <c r="A820861" s="242"/>
    </row>
    <row r="820862" spans="1:1" x14ac:dyDescent="0.25">
      <c r="A820862" s="242"/>
    </row>
    <row r="820863" spans="1:1" x14ac:dyDescent="0.25">
      <c r="A820863" s="242"/>
    </row>
    <row r="820864" spans="1:1" x14ac:dyDescent="0.25">
      <c r="A820864" s="242"/>
    </row>
    <row r="820865" spans="1:1" x14ac:dyDescent="0.25">
      <c r="A820865" s="242"/>
    </row>
    <row r="820866" spans="1:1" x14ac:dyDescent="0.25">
      <c r="A820866" s="242"/>
    </row>
    <row r="820867" spans="1:1" x14ac:dyDescent="0.25">
      <c r="A820867" s="242"/>
    </row>
    <row r="820868" spans="1:1" x14ac:dyDescent="0.25">
      <c r="A820868" s="242"/>
    </row>
    <row r="820869" spans="1:1" x14ac:dyDescent="0.25">
      <c r="A820869" s="242"/>
    </row>
    <row r="820870" spans="1:1" x14ac:dyDescent="0.25">
      <c r="A820870" s="242"/>
    </row>
    <row r="820871" spans="1:1" x14ac:dyDescent="0.25">
      <c r="A820871" s="242"/>
    </row>
    <row r="820872" spans="1:1" x14ac:dyDescent="0.25">
      <c r="A820872" s="242"/>
    </row>
    <row r="820873" spans="1:1" x14ac:dyDescent="0.25">
      <c r="A820873" s="242"/>
    </row>
    <row r="820874" spans="1:1" x14ac:dyDescent="0.25">
      <c r="A820874" s="242"/>
    </row>
    <row r="820875" spans="1:1" x14ac:dyDescent="0.25">
      <c r="A820875" s="242"/>
    </row>
    <row r="820876" spans="1:1" x14ac:dyDescent="0.25">
      <c r="A820876" s="242"/>
    </row>
    <row r="820877" spans="1:1" x14ac:dyDescent="0.25">
      <c r="A820877" s="242"/>
    </row>
    <row r="820878" spans="1:1" x14ac:dyDescent="0.25">
      <c r="A820878" s="242"/>
    </row>
    <row r="820879" spans="1:1" x14ac:dyDescent="0.25">
      <c r="A820879" s="242"/>
    </row>
    <row r="820880" spans="1:1" x14ac:dyDescent="0.25">
      <c r="A820880" s="242"/>
    </row>
    <row r="820881" spans="1:1" x14ac:dyDescent="0.25">
      <c r="A820881" s="242"/>
    </row>
    <row r="820882" spans="1:1" x14ac:dyDescent="0.25">
      <c r="A820882" s="242"/>
    </row>
    <row r="820883" spans="1:1" x14ac:dyDescent="0.25">
      <c r="A820883" s="242"/>
    </row>
    <row r="820884" spans="1:1" x14ac:dyDescent="0.25">
      <c r="A820884" s="242"/>
    </row>
    <row r="820885" spans="1:1" x14ac:dyDescent="0.25">
      <c r="A820885" s="242"/>
    </row>
    <row r="820886" spans="1:1" x14ac:dyDescent="0.25">
      <c r="A820886" s="242"/>
    </row>
    <row r="820887" spans="1:1" x14ac:dyDescent="0.25">
      <c r="A820887" s="242"/>
    </row>
    <row r="820888" spans="1:1" x14ac:dyDescent="0.25">
      <c r="A820888" s="242"/>
    </row>
    <row r="820889" spans="1:1" x14ac:dyDescent="0.25">
      <c r="A820889" s="242"/>
    </row>
    <row r="820890" spans="1:1" x14ac:dyDescent="0.25">
      <c r="A820890" s="242"/>
    </row>
    <row r="820891" spans="1:1" x14ac:dyDescent="0.25">
      <c r="A820891" s="242"/>
    </row>
    <row r="820892" spans="1:1" x14ac:dyDescent="0.25">
      <c r="A820892" s="242"/>
    </row>
    <row r="820893" spans="1:1" x14ac:dyDescent="0.25">
      <c r="A820893" s="242"/>
    </row>
    <row r="820894" spans="1:1" x14ac:dyDescent="0.25">
      <c r="A820894" s="242"/>
    </row>
    <row r="820895" spans="1:1" x14ac:dyDescent="0.25">
      <c r="A820895" s="242"/>
    </row>
    <row r="820896" spans="1:1" x14ac:dyDescent="0.25">
      <c r="A820896" s="242"/>
    </row>
    <row r="820897" spans="1:1" x14ac:dyDescent="0.25">
      <c r="A820897" s="242"/>
    </row>
    <row r="820898" spans="1:1" x14ac:dyDescent="0.25">
      <c r="A820898" s="242"/>
    </row>
    <row r="820899" spans="1:1" x14ac:dyDescent="0.25">
      <c r="A820899" s="242"/>
    </row>
    <row r="820900" spans="1:1" x14ac:dyDescent="0.25">
      <c r="A820900" s="242"/>
    </row>
    <row r="820901" spans="1:1" x14ac:dyDescent="0.25">
      <c r="A820901" s="242"/>
    </row>
    <row r="820902" spans="1:1" x14ac:dyDescent="0.25">
      <c r="A820902" s="242"/>
    </row>
    <row r="820903" spans="1:1" x14ac:dyDescent="0.25">
      <c r="A820903" s="242"/>
    </row>
    <row r="820904" spans="1:1" x14ac:dyDescent="0.25">
      <c r="A820904" s="242"/>
    </row>
    <row r="820905" spans="1:1" x14ac:dyDescent="0.25">
      <c r="A820905" s="242"/>
    </row>
    <row r="820906" spans="1:1" x14ac:dyDescent="0.25">
      <c r="A820906" s="242"/>
    </row>
    <row r="820907" spans="1:1" x14ac:dyDescent="0.25">
      <c r="A820907" s="242"/>
    </row>
    <row r="820908" spans="1:1" x14ac:dyDescent="0.25">
      <c r="A820908" s="242"/>
    </row>
    <row r="820909" spans="1:1" x14ac:dyDescent="0.25">
      <c r="A820909" s="242"/>
    </row>
    <row r="820910" spans="1:1" x14ac:dyDescent="0.25">
      <c r="A820910" s="242"/>
    </row>
    <row r="820911" spans="1:1" x14ac:dyDescent="0.25">
      <c r="A820911" s="242"/>
    </row>
    <row r="820912" spans="1:1" x14ac:dyDescent="0.25">
      <c r="A820912" s="242"/>
    </row>
    <row r="820913" spans="1:1" x14ac:dyDescent="0.25">
      <c r="A820913" s="242"/>
    </row>
    <row r="820914" spans="1:1" x14ac:dyDescent="0.25">
      <c r="A820914" s="242"/>
    </row>
    <row r="820915" spans="1:1" x14ac:dyDescent="0.25">
      <c r="A820915" s="242"/>
    </row>
    <row r="820916" spans="1:1" x14ac:dyDescent="0.25">
      <c r="A820916" s="242"/>
    </row>
    <row r="820917" spans="1:1" x14ac:dyDescent="0.25">
      <c r="A820917" s="242"/>
    </row>
    <row r="820918" spans="1:1" x14ac:dyDescent="0.25">
      <c r="A820918" s="242"/>
    </row>
    <row r="820919" spans="1:1" x14ac:dyDescent="0.25">
      <c r="A820919" s="242"/>
    </row>
    <row r="820920" spans="1:1" x14ac:dyDescent="0.25">
      <c r="A820920" s="242"/>
    </row>
    <row r="820921" spans="1:1" x14ac:dyDescent="0.25">
      <c r="A820921" s="242"/>
    </row>
    <row r="820922" spans="1:1" x14ac:dyDescent="0.25">
      <c r="A820922" s="242"/>
    </row>
    <row r="820923" spans="1:1" x14ac:dyDescent="0.25">
      <c r="A820923" s="242"/>
    </row>
    <row r="820924" spans="1:1" x14ac:dyDescent="0.25">
      <c r="A820924" s="242"/>
    </row>
    <row r="820925" spans="1:1" x14ac:dyDescent="0.25">
      <c r="A820925" s="242"/>
    </row>
    <row r="820926" spans="1:1" x14ac:dyDescent="0.25">
      <c r="A820926" s="242"/>
    </row>
    <row r="820927" spans="1:1" x14ac:dyDescent="0.25">
      <c r="A820927" s="242"/>
    </row>
    <row r="820928" spans="1:1" x14ac:dyDescent="0.25">
      <c r="A820928" s="242"/>
    </row>
    <row r="820929" spans="1:1" x14ac:dyDescent="0.25">
      <c r="A820929" s="242"/>
    </row>
    <row r="820930" spans="1:1" x14ac:dyDescent="0.25">
      <c r="A820930" s="242"/>
    </row>
    <row r="820931" spans="1:1" x14ac:dyDescent="0.25">
      <c r="A820931" s="242"/>
    </row>
    <row r="820932" spans="1:1" x14ac:dyDescent="0.25">
      <c r="A820932" s="242"/>
    </row>
    <row r="820933" spans="1:1" x14ac:dyDescent="0.25">
      <c r="A820933" s="242"/>
    </row>
    <row r="820934" spans="1:1" x14ac:dyDescent="0.25">
      <c r="A820934" s="242"/>
    </row>
    <row r="820935" spans="1:1" x14ac:dyDescent="0.25">
      <c r="A820935" s="242"/>
    </row>
    <row r="820936" spans="1:1" x14ac:dyDescent="0.25">
      <c r="A820936" s="242"/>
    </row>
    <row r="820937" spans="1:1" x14ac:dyDescent="0.25">
      <c r="A820937" s="242"/>
    </row>
    <row r="820938" spans="1:1" x14ac:dyDescent="0.25">
      <c r="A820938" s="242"/>
    </row>
    <row r="820939" spans="1:1" x14ac:dyDescent="0.25">
      <c r="A820939" s="242"/>
    </row>
    <row r="820940" spans="1:1" x14ac:dyDescent="0.25">
      <c r="A820940" s="242"/>
    </row>
    <row r="820941" spans="1:1" x14ac:dyDescent="0.25">
      <c r="A820941" s="242"/>
    </row>
    <row r="820942" spans="1:1" x14ac:dyDescent="0.25">
      <c r="A820942" s="242"/>
    </row>
    <row r="820943" spans="1:1" x14ac:dyDescent="0.25">
      <c r="A820943" s="242"/>
    </row>
    <row r="820944" spans="1:1" x14ac:dyDescent="0.25">
      <c r="A820944" s="242"/>
    </row>
    <row r="820945" spans="1:1" x14ac:dyDescent="0.25">
      <c r="A820945" s="242"/>
    </row>
    <row r="820946" spans="1:1" x14ac:dyDescent="0.25">
      <c r="A820946" s="242"/>
    </row>
    <row r="820947" spans="1:1" x14ac:dyDescent="0.25">
      <c r="A820947" s="242"/>
    </row>
    <row r="820948" spans="1:1" x14ac:dyDescent="0.25">
      <c r="A820948" s="242"/>
    </row>
    <row r="820949" spans="1:1" x14ac:dyDescent="0.25">
      <c r="A820949" s="242"/>
    </row>
    <row r="820950" spans="1:1" x14ac:dyDescent="0.25">
      <c r="A820950" s="242"/>
    </row>
    <row r="820951" spans="1:1" x14ac:dyDescent="0.25">
      <c r="A820951" s="242"/>
    </row>
    <row r="820952" spans="1:1" x14ac:dyDescent="0.25">
      <c r="A820952" s="242"/>
    </row>
    <row r="820953" spans="1:1" x14ac:dyDescent="0.25">
      <c r="A820953" s="242"/>
    </row>
    <row r="820954" spans="1:1" x14ac:dyDescent="0.25">
      <c r="A820954" s="242"/>
    </row>
    <row r="820955" spans="1:1" x14ac:dyDescent="0.25">
      <c r="A820955" s="242"/>
    </row>
    <row r="820956" spans="1:1" x14ac:dyDescent="0.25">
      <c r="A820956" s="242"/>
    </row>
    <row r="820957" spans="1:1" x14ac:dyDescent="0.25">
      <c r="A820957" s="242"/>
    </row>
    <row r="820958" spans="1:1" x14ac:dyDescent="0.25">
      <c r="A820958" s="242"/>
    </row>
    <row r="820959" spans="1:1" x14ac:dyDescent="0.25">
      <c r="A820959" s="242"/>
    </row>
    <row r="820960" spans="1:1" x14ac:dyDescent="0.25">
      <c r="A820960" s="242"/>
    </row>
    <row r="820961" spans="1:1" x14ac:dyDescent="0.25">
      <c r="A820961" s="242"/>
    </row>
    <row r="820962" spans="1:1" x14ac:dyDescent="0.25">
      <c r="A820962" s="242"/>
    </row>
    <row r="820963" spans="1:1" x14ac:dyDescent="0.25">
      <c r="A820963" s="242"/>
    </row>
    <row r="820964" spans="1:1" x14ac:dyDescent="0.25">
      <c r="A820964" s="242"/>
    </row>
    <row r="820965" spans="1:1" x14ac:dyDescent="0.25">
      <c r="A820965" s="242"/>
    </row>
    <row r="820966" spans="1:1" x14ac:dyDescent="0.25">
      <c r="A820966" s="242"/>
    </row>
    <row r="820967" spans="1:1" x14ac:dyDescent="0.25">
      <c r="A820967" s="242"/>
    </row>
    <row r="820968" spans="1:1" x14ac:dyDescent="0.25">
      <c r="A820968" s="242"/>
    </row>
    <row r="820969" spans="1:1" x14ac:dyDescent="0.25">
      <c r="A820969" s="242"/>
    </row>
    <row r="820970" spans="1:1" x14ac:dyDescent="0.25">
      <c r="A820970" s="242"/>
    </row>
    <row r="820971" spans="1:1" x14ac:dyDescent="0.25">
      <c r="A820971" s="242"/>
    </row>
    <row r="820972" spans="1:1" x14ac:dyDescent="0.25">
      <c r="A820972" s="242"/>
    </row>
    <row r="820973" spans="1:1" x14ac:dyDescent="0.25">
      <c r="A820973" s="242"/>
    </row>
    <row r="820974" spans="1:1" x14ac:dyDescent="0.25">
      <c r="A820974" s="242"/>
    </row>
    <row r="820975" spans="1:1" x14ac:dyDescent="0.25">
      <c r="A820975" s="242"/>
    </row>
    <row r="820976" spans="1:1" x14ac:dyDescent="0.25">
      <c r="A820976" s="242"/>
    </row>
    <row r="820977" spans="1:1" x14ac:dyDescent="0.25">
      <c r="A820977" s="242"/>
    </row>
    <row r="820978" spans="1:1" x14ac:dyDescent="0.25">
      <c r="A820978" s="242"/>
    </row>
    <row r="820979" spans="1:1" x14ac:dyDescent="0.25">
      <c r="A820979" s="242"/>
    </row>
    <row r="820980" spans="1:1" x14ac:dyDescent="0.25">
      <c r="A820980" s="242"/>
    </row>
    <row r="820981" spans="1:1" x14ac:dyDescent="0.25">
      <c r="A820981" s="242"/>
    </row>
    <row r="820982" spans="1:1" x14ac:dyDescent="0.25">
      <c r="A820982" s="242"/>
    </row>
    <row r="820983" spans="1:1" x14ac:dyDescent="0.25">
      <c r="A820983" s="242"/>
    </row>
    <row r="820984" spans="1:1" x14ac:dyDescent="0.25">
      <c r="A820984" s="242"/>
    </row>
    <row r="820985" spans="1:1" x14ac:dyDescent="0.25">
      <c r="A820985" s="242"/>
    </row>
    <row r="820986" spans="1:1" x14ac:dyDescent="0.25">
      <c r="A820986" s="242"/>
    </row>
    <row r="820987" spans="1:1" x14ac:dyDescent="0.25">
      <c r="A820987" s="242"/>
    </row>
    <row r="820988" spans="1:1" x14ac:dyDescent="0.25">
      <c r="A820988" s="242"/>
    </row>
    <row r="820989" spans="1:1" x14ac:dyDescent="0.25">
      <c r="A820989" s="242"/>
    </row>
    <row r="820990" spans="1:1" x14ac:dyDescent="0.25">
      <c r="A820990" s="242"/>
    </row>
    <row r="820991" spans="1:1" x14ac:dyDescent="0.25">
      <c r="A820991" s="242"/>
    </row>
    <row r="820992" spans="1:1" x14ac:dyDescent="0.25">
      <c r="A820992" s="242"/>
    </row>
    <row r="820993" spans="1:1" x14ac:dyDescent="0.25">
      <c r="A820993" s="242"/>
    </row>
    <row r="820994" spans="1:1" x14ac:dyDescent="0.25">
      <c r="A820994" s="242"/>
    </row>
    <row r="820995" spans="1:1" x14ac:dyDescent="0.25">
      <c r="A820995" s="242"/>
    </row>
    <row r="820996" spans="1:1" x14ac:dyDescent="0.25">
      <c r="A820996" s="242"/>
    </row>
    <row r="820997" spans="1:1" x14ac:dyDescent="0.25">
      <c r="A820997" s="242"/>
    </row>
    <row r="820998" spans="1:1" x14ac:dyDescent="0.25">
      <c r="A820998" s="242"/>
    </row>
    <row r="820999" spans="1:1" x14ac:dyDescent="0.25">
      <c r="A820999" s="242"/>
    </row>
    <row r="821000" spans="1:1" x14ac:dyDescent="0.25">
      <c r="A821000" s="242"/>
    </row>
    <row r="821001" spans="1:1" x14ac:dyDescent="0.25">
      <c r="A821001" s="242"/>
    </row>
    <row r="821002" spans="1:1" x14ac:dyDescent="0.25">
      <c r="A821002" s="242"/>
    </row>
    <row r="821003" spans="1:1" x14ac:dyDescent="0.25">
      <c r="A821003" s="242"/>
    </row>
    <row r="821004" spans="1:1" x14ac:dyDescent="0.25">
      <c r="A821004" s="242"/>
    </row>
    <row r="821005" spans="1:1" x14ac:dyDescent="0.25">
      <c r="A821005" s="242"/>
    </row>
    <row r="821006" spans="1:1" x14ac:dyDescent="0.25">
      <c r="A821006" s="242"/>
    </row>
    <row r="821007" spans="1:1" x14ac:dyDescent="0.25">
      <c r="A821007" s="242"/>
    </row>
    <row r="821008" spans="1:1" x14ac:dyDescent="0.25">
      <c r="A821008" s="242"/>
    </row>
    <row r="821009" spans="1:1" x14ac:dyDescent="0.25">
      <c r="A821009" s="242"/>
    </row>
    <row r="821010" spans="1:1" x14ac:dyDescent="0.25">
      <c r="A821010" s="242"/>
    </row>
    <row r="821011" spans="1:1" x14ac:dyDescent="0.25">
      <c r="A821011" s="242"/>
    </row>
    <row r="821012" spans="1:1" x14ac:dyDescent="0.25">
      <c r="A821012" s="242"/>
    </row>
    <row r="821013" spans="1:1" x14ac:dyDescent="0.25">
      <c r="A821013" s="242"/>
    </row>
    <row r="821014" spans="1:1" x14ac:dyDescent="0.25">
      <c r="A821014" s="242"/>
    </row>
    <row r="821015" spans="1:1" x14ac:dyDescent="0.25">
      <c r="A821015" s="242"/>
    </row>
    <row r="821016" spans="1:1" x14ac:dyDescent="0.25">
      <c r="A821016" s="242"/>
    </row>
    <row r="821017" spans="1:1" x14ac:dyDescent="0.25">
      <c r="A821017" s="242"/>
    </row>
    <row r="821018" spans="1:1" x14ac:dyDescent="0.25">
      <c r="A821018" s="242"/>
    </row>
    <row r="821019" spans="1:1" x14ac:dyDescent="0.25">
      <c r="A821019" s="242"/>
    </row>
    <row r="821020" spans="1:1" x14ac:dyDescent="0.25">
      <c r="A821020" s="242"/>
    </row>
    <row r="821021" spans="1:1" x14ac:dyDescent="0.25">
      <c r="A821021" s="242"/>
    </row>
    <row r="821022" spans="1:1" x14ac:dyDescent="0.25">
      <c r="A821022" s="242"/>
    </row>
    <row r="821023" spans="1:1" x14ac:dyDescent="0.25">
      <c r="A821023" s="242"/>
    </row>
    <row r="821024" spans="1:1" x14ac:dyDescent="0.25">
      <c r="A821024" s="242"/>
    </row>
    <row r="821025" spans="1:1" x14ac:dyDescent="0.25">
      <c r="A821025" s="242"/>
    </row>
    <row r="821026" spans="1:1" x14ac:dyDescent="0.25">
      <c r="A821026" s="242"/>
    </row>
    <row r="821027" spans="1:1" x14ac:dyDescent="0.25">
      <c r="A821027" s="242"/>
    </row>
    <row r="821028" spans="1:1" x14ac:dyDescent="0.25">
      <c r="A821028" s="242"/>
    </row>
    <row r="821029" spans="1:1" x14ac:dyDescent="0.25">
      <c r="A821029" s="242"/>
    </row>
    <row r="821030" spans="1:1" x14ac:dyDescent="0.25">
      <c r="A821030" s="242"/>
    </row>
    <row r="821031" spans="1:1" x14ac:dyDescent="0.25">
      <c r="A821031" s="242"/>
    </row>
    <row r="821032" spans="1:1" x14ac:dyDescent="0.25">
      <c r="A821032" s="242"/>
    </row>
    <row r="821033" spans="1:1" x14ac:dyDescent="0.25">
      <c r="A821033" s="242"/>
    </row>
    <row r="821034" spans="1:1" x14ac:dyDescent="0.25">
      <c r="A821034" s="242"/>
    </row>
    <row r="821035" spans="1:1" x14ac:dyDescent="0.25">
      <c r="A821035" s="242"/>
    </row>
    <row r="821036" spans="1:1" x14ac:dyDescent="0.25">
      <c r="A821036" s="242"/>
    </row>
    <row r="821037" spans="1:1" x14ac:dyDescent="0.25">
      <c r="A821037" s="242"/>
    </row>
    <row r="821038" spans="1:1" x14ac:dyDescent="0.25">
      <c r="A821038" s="242"/>
    </row>
    <row r="821039" spans="1:1" x14ac:dyDescent="0.25">
      <c r="A821039" s="242"/>
    </row>
    <row r="821040" spans="1:1" x14ac:dyDescent="0.25">
      <c r="A821040" s="242"/>
    </row>
    <row r="821041" spans="1:1" x14ac:dyDescent="0.25">
      <c r="A821041" s="242"/>
    </row>
    <row r="821042" spans="1:1" x14ac:dyDescent="0.25">
      <c r="A821042" s="242"/>
    </row>
    <row r="821043" spans="1:1" x14ac:dyDescent="0.25">
      <c r="A821043" s="242"/>
    </row>
    <row r="821044" spans="1:1" x14ac:dyDescent="0.25">
      <c r="A821044" s="242"/>
    </row>
    <row r="821045" spans="1:1" x14ac:dyDescent="0.25">
      <c r="A821045" s="242"/>
    </row>
    <row r="821046" spans="1:1" x14ac:dyDescent="0.25">
      <c r="A821046" s="242"/>
    </row>
    <row r="821047" spans="1:1" x14ac:dyDescent="0.25">
      <c r="A821047" s="242"/>
    </row>
    <row r="821048" spans="1:1" x14ac:dyDescent="0.25">
      <c r="A821048" s="242"/>
    </row>
    <row r="821049" spans="1:1" x14ac:dyDescent="0.25">
      <c r="A821049" s="242"/>
    </row>
    <row r="821050" spans="1:1" x14ac:dyDescent="0.25">
      <c r="A821050" s="242"/>
    </row>
    <row r="821051" spans="1:1" x14ac:dyDescent="0.25">
      <c r="A821051" s="242"/>
    </row>
    <row r="821052" spans="1:1" x14ac:dyDescent="0.25">
      <c r="A821052" s="242"/>
    </row>
    <row r="821053" spans="1:1" x14ac:dyDescent="0.25">
      <c r="A821053" s="242"/>
    </row>
    <row r="821054" spans="1:1" x14ac:dyDescent="0.25">
      <c r="A821054" s="242"/>
    </row>
    <row r="821055" spans="1:1" x14ac:dyDescent="0.25">
      <c r="A821055" s="242"/>
    </row>
    <row r="821056" spans="1:1" x14ac:dyDescent="0.25">
      <c r="A821056" s="242"/>
    </row>
    <row r="821057" spans="1:1" x14ac:dyDescent="0.25">
      <c r="A821057" s="242"/>
    </row>
    <row r="821058" spans="1:1" x14ac:dyDescent="0.25">
      <c r="A821058" s="242"/>
    </row>
    <row r="821059" spans="1:1" x14ac:dyDescent="0.25">
      <c r="A821059" s="242"/>
    </row>
    <row r="821060" spans="1:1" x14ac:dyDescent="0.25">
      <c r="A821060" s="242"/>
    </row>
    <row r="821061" spans="1:1" x14ac:dyDescent="0.25">
      <c r="A821061" s="242"/>
    </row>
    <row r="821062" spans="1:1" x14ac:dyDescent="0.25">
      <c r="A821062" s="242"/>
    </row>
    <row r="821063" spans="1:1" x14ac:dyDescent="0.25">
      <c r="A821063" s="242"/>
    </row>
    <row r="821064" spans="1:1" x14ac:dyDescent="0.25">
      <c r="A821064" s="242"/>
    </row>
    <row r="821065" spans="1:1" x14ac:dyDescent="0.25">
      <c r="A821065" s="242"/>
    </row>
    <row r="821066" spans="1:1" x14ac:dyDescent="0.25">
      <c r="A821066" s="242"/>
    </row>
    <row r="821067" spans="1:1" x14ac:dyDescent="0.25">
      <c r="A821067" s="242"/>
    </row>
    <row r="821068" spans="1:1" x14ac:dyDescent="0.25">
      <c r="A821068" s="242"/>
    </row>
    <row r="821069" spans="1:1" x14ac:dyDescent="0.25">
      <c r="A821069" s="242"/>
    </row>
    <row r="821070" spans="1:1" x14ac:dyDescent="0.25">
      <c r="A821070" s="242"/>
    </row>
    <row r="821071" spans="1:1" x14ac:dyDescent="0.25">
      <c r="A821071" s="242"/>
    </row>
    <row r="821072" spans="1:1" x14ac:dyDescent="0.25">
      <c r="A821072" s="242"/>
    </row>
    <row r="821073" spans="1:1" x14ac:dyDescent="0.25">
      <c r="A821073" s="242"/>
    </row>
    <row r="821074" spans="1:1" x14ac:dyDescent="0.25">
      <c r="A821074" s="242"/>
    </row>
    <row r="821075" spans="1:1" x14ac:dyDescent="0.25">
      <c r="A821075" s="242"/>
    </row>
    <row r="821076" spans="1:1" x14ac:dyDescent="0.25">
      <c r="A821076" s="242"/>
    </row>
    <row r="821077" spans="1:1" x14ac:dyDescent="0.25">
      <c r="A821077" s="242"/>
    </row>
    <row r="821078" spans="1:1" x14ac:dyDescent="0.25">
      <c r="A821078" s="242"/>
    </row>
    <row r="821079" spans="1:1" x14ac:dyDescent="0.25">
      <c r="A821079" s="242"/>
    </row>
    <row r="821080" spans="1:1" x14ac:dyDescent="0.25">
      <c r="A821080" s="242"/>
    </row>
    <row r="821081" spans="1:1" x14ac:dyDescent="0.25">
      <c r="A821081" s="242"/>
    </row>
    <row r="821082" spans="1:1" x14ac:dyDescent="0.25">
      <c r="A821082" s="242"/>
    </row>
    <row r="821083" spans="1:1" x14ac:dyDescent="0.25">
      <c r="A821083" s="242"/>
    </row>
    <row r="821084" spans="1:1" x14ac:dyDescent="0.25">
      <c r="A821084" s="242"/>
    </row>
    <row r="821085" spans="1:1" x14ac:dyDescent="0.25">
      <c r="A821085" s="242"/>
    </row>
    <row r="821086" spans="1:1" x14ac:dyDescent="0.25">
      <c r="A821086" s="242"/>
    </row>
    <row r="821087" spans="1:1" x14ac:dyDescent="0.25">
      <c r="A821087" s="242"/>
    </row>
    <row r="821088" spans="1:1" x14ac:dyDescent="0.25">
      <c r="A821088" s="242"/>
    </row>
    <row r="821089" spans="1:1" x14ac:dyDescent="0.25">
      <c r="A821089" s="242"/>
    </row>
    <row r="821090" spans="1:1" x14ac:dyDescent="0.25">
      <c r="A821090" s="242"/>
    </row>
    <row r="821091" spans="1:1" x14ac:dyDescent="0.25">
      <c r="A821091" s="242"/>
    </row>
    <row r="821092" spans="1:1" x14ac:dyDescent="0.25">
      <c r="A821092" s="242"/>
    </row>
    <row r="821093" spans="1:1" x14ac:dyDescent="0.25">
      <c r="A821093" s="242"/>
    </row>
    <row r="821094" spans="1:1" x14ac:dyDescent="0.25">
      <c r="A821094" s="242"/>
    </row>
    <row r="821095" spans="1:1" x14ac:dyDescent="0.25">
      <c r="A821095" s="242"/>
    </row>
    <row r="821096" spans="1:1" x14ac:dyDescent="0.25">
      <c r="A821096" s="242"/>
    </row>
    <row r="821097" spans="1:1" x14ac:dyDescent="0.25">
      <c r="A821097" s="242"/>
    </row>
    <row r="821098" spans="1:1" x14ac:dyDescent="0.25">
      <c r="A821098" s="242"/>
    </row>
    <row r="821099" spans="1:1" x14ac:dyDescent="0.25">
      <c r="A821099" s="242"/>
    </row>
    <row r="821100" spans="1:1" x14ac:dyDescent="0.25">
      <c r="A821100" s="242"/>
    </row>
    <row r="821101" spans="1:1" x14ac:dyDescent="0.25">
      <c r="A821101" s="242"/>
    </row>
    <row r="821102" spans="1:1" x14ac:dyDescent="0.25">
      <c r="A821102" s="242"/>
    </row>
    <row r="821103" spans="1:1" x14ac:dyDescent="0.25">
      <c r="A821103" s="242"/>
    </row>
    <row r="821104" spans="1:1" x14ac:dyDescent="0.25">
      <c r="A821104" s="242"/>
    </row>
    <row r="821105" spans="1:1" x14ac:dyDescent="0.25">
      <c r="A821105" s="242"/>
    </row>
    <row r="821106" spans="1:1" x14ac:dyDescent="0.25">
      <c r="A821106" s="242"/>
    </row>
    <row r="821107" spans="1:1" x14ac:dyDescent="0.25">
      <c r="A821107" s="242"/>
    </row>
    <row r="821108" spans="1:1" x14ac:dyDescent="0.25">
      <c r="A821108" s="242"/>
    </row>
    <row r="821109" spans="1:1" x14ac:dyDescent="0.25">
      <c r="A821109" s="242"/>
    </row>
    <row r="821110" spans="1:1" x14ac:dyDescent="0.25">
      <c r="A821110" s="242"/>
    </row>
    <row r="821111" spans="1:1" x14ac:dyDescent="0.25">
      <c r="A821111" s="242"/>
    </row>
    <row r="821112" spans="1:1" x14ac:dyDescent="0.25">
      <c r="A821112" s="242"/>
    </row>
    <row r="821113" spans="1:1" x14ac:dyDescent="0.25">
      <c r="A821113" s="242"/>
    </row>
    <row r="821114" spans="1:1" x14ac:dyDescent="0.25">
      <c r="A821114" s="242"/>
    </row>
    <row r="821115" spans="1:1" x14ac:dyDescent="0.25">
      <c r="A821115" s="242"/>
    </row>
    <row r="821116" spans="1:1" x14ac:dyDescent="0.25">
      <c r="A821116" s="242"/>
    </row>
    <row r="821117" spans="1:1" x14ac:dyDescent="0.25">
      <c r="A821117" s="242"/>
    </row>
    <row r="821118" spans="1:1" x14ac:dyDescent="0.25">
      <c r="A821118" s="242"/>
    </row>
    <row r="821119" spans="1:1" x14ac:dyDescent="0.25">
      <c r="A821119" s="242"/>
    </row>
    <row r="821120" spans="1:1" x14ac:dyDescent="0.25">
      <c r="A821120" s="242"/>
    </row>
    <row r="821121" spans="1:1" x14ac:dyDescent="0.25">
      <c r="A821121" s="242"/>
    </row>
    <row r="821122" spans="1:1" x14ac:dyDescent="0.25">
      <c r="A821122" s="242"/>
    </row>
    <row r="821123" spans="1:1" x14ac:dyDescent="0.25">
      <c r="A821123" s="242"/>
    </row>
    <row r="821124" spans="1:1" x14ac:dyDescent="0.25">
      <c r="A821124" s="242"/>
    </row>
    <row r="821125" spans="1:1" x14ac:dyDescent="0.25">
      <c r="A821125" s="242"/>
    </row>
    <row r="821126" spans="1:1" x14ac:dyDescent="0.25">
      <c r="A821126" s="242"/>
    </row>
    <row r="821127" spans="1:1" x14ac:dyDescent="0.25">
      <c r="A821127" s="242"/>
    </row>
    <row r="821128" spans="1:1" x14ac:dyDescent="0.25">
      <c r="A821128" s="242"/>
    </row>
    <row r="821129" spans="1:1" x14ac:dyDescent="0.25">
      <c r="A821129" s="242"/>
    </row>
    <row r="821130" spans="1:1" x14ac:dyDescent="0.25">
      <c r="A821130" s="242"/>
    </row>
    <row r="821131" spans="1:1" x14ac:dyDescent="0.25">
      <c r="A821131" s="242"/>
    </row>
    <row r="821132" spans="1:1" x14ac:dyDescent="0.25">
      <c r="A821132" s="242"/>
    </row>
    <row r="821133" spans="1:1" x14ac:dyDescent="0.25">
      <c r="A821133" s="242"/>
    </row>
    <row r="821134" spans="1:1" x14ac:dyDescent="0.25">
      <c r="A821134" s="242"/>
    </row>
    <row r="821135" spans="1:1" x14ac:dyDescent="0.25">
      <c r="A821135" s="242"/>
    </row>
    <row r="821136" spans="1:1" x14ac:dyDescent="0.25">
      <c r="A821136" s="242"/>
    </row>
    <row r="821137" spans="1:1" x14ac:dyDescent="0.25">
      <c r="A821137" s="242"/>
    </row>
    <row r="821138" spans="1:1" x14ac:dyDescent="0.25">
      <c r="A821138" s="242"/>
    </row>
    <row r="821139" spans="1:1" x14ac:dyDescent="0.25">
      <c r="A821139" s="242"/>
    </row>
    <row r="821140" spans="1:1" x14ac:dyDescent="0.25">
      <c r="A821140" s="242"/>
    </row>
    <row r="821141" spans="1:1" x14ac:dyDescent="0.25">
      <c r="A821141" s="242"/>
    </row>
    <row r="821142" spans="1:1" x14ac:dyDescent="0.25">
      <c r="A821142" s="242"/>
    </row>
    <row r="821143" spans="1:1" x14ac:dyDescent="0.25">
      <c r="A821143" s="242"/>
    </row>
    <row r="821144" spans="1:1" x14ac:dyDescent="0.25">
      <c r="A821144" s="242"/>
    </row>
    <row r="821145" spans="1:1" x14ac:dyDescent="0.25">
      <c r="A821145" s="242"/>
    </row>
    <row r="821146" spans="1:1" x14ac:dyDescent="0.25">
      <c r="A821146" s="242"/>
    </row>
    <row r="821147" spans="1:1" x14ac:dyDescent="0.25">
      <c r="A821147" s="242"/>
    </row>
    <row r="821148" spans="1:1" x14ac:dyDescent="0.25">
      <c r="A821148" s="242"/>
    </row>
    <row r="821149" spans="1:1" x14ac:dyDescent="0.25">
      <c r="A821149" s="242"/>
    </row>
    <row r="821150" spans="1:1" x14ac:dyDescent="0.25">
      <c r="A821150" s="242"/>
    </row>
    <row r="821151" spans="1:1" x14ac:dyDescent="0.25">
      <c r="A821151" s="242"/>
    </row>
    <row r="821152" spans="1:1" x14ac:dyDescent="0.25">
      <c r="A821152" s="242"/>
    </row>
    <row r="821153" spans="1:1" x14ac:dyDescent="0.25">
      <c r="A821153" s="242"/>
    </row>
    <row r="821154" spans="1:1" x14ac:dyDescent="0.25">
      <c r="A821154" s="242"/>
    </row>
    <row r="821155" spans="1:1" x14ac:dyDescent="0.25">
      <c r="A821155" s="242"/>
    </row>
    <row r="821156" spans="1:1" x14ac:dyDescent="0.25">
      <c r="A821156" s="242"/>
    </row>
    <row r="821157" spans="1:1" x14ac:dyDescent="0.25">
      <c r="A821157" s="242"/>
    </row>
    <row r="821158" spans="1:1" x14ac:dyDescent="0.25">
      <c r="A821158" s="242"/>
    </row>
    <row r="821159" spans="1:1" x14ac:dyDescent="0.25">
      <c r="A821159" s="242"/>
    </row>
    <row r="821160" spans="1:1" x14ac:dyDescent="0.25">
      <c r="A821160" s="242"/>
    </row>
    <row r="821161" spans="1:1" x14ac:dyDescent="0.25">
      <c r="A821161" s="242"/>
    </row>
    <row r="821162" spans="1:1" x14ac:dyDescent="0.25">
      <c r="A821162" s="242"/>
    </row>
    <row r="821163" spans="1:1" x14ac:dyDescent="0.25">
      <c r="A821163" s="242"/>
    </row>
    <row r="821164" spans="1:1" x14ac:dyDescent="0.25">
      <c r="A821164" s="242"/>
    </row>
    <row r="821165" spans="1:1" x14ac:dyDescent="0.25">
      <c r="A821165" s="242"/>
    </row>
    <row r="821166" spans="1:1" x14ac:dyDescent="0.25">
      <c r="A821166" s="242"/>
    </row>
    <row r="821167" spans="1:1" x14ac:dyDescent="0.25">
      <c r="A821167" s="242"/>
    </row>
    <row r="821168" spans="1:1" x14ac:dyDescent="0.25">
      <c r="A821168" s="242"/>
    </row>
    <row r="821169" spans="1:1" x14ac:dyDescent="0.25">
      <c r="A821169" s="242"/>
    </row>
    <row r="821170" spans="1:1" x14ac:dyDescent="0.25">
      <c r="A821170" s="242"/>
    </row>
    <row r="821171" spans="1:1" x14ac:dyDescent="0.25">
      <c r="A821171" s="242"/>
    </row>
    <row r="821172" spans="1:1" x14ac:dyDescent="0.25">
      <c r="A821172" s="242"/>
    </row>
    <row r="821173" spans="1:1" x14ac:dyDescent="0.25">
      <c r="A821173" s="242"/>
    </row>
    <row r="821174" spans="1:1" x14ac:dyDescent="0.25">
      <c r="A821174" s="242"/>
    </row>
    <row r="821175" spans="1:1" x14ac:dyDescent="0.25">
      <c r="A821175" s="242"/>
    </row>
    <row r="821176" spans="1:1" x14ac:dyDescent="0.25">
      <c r="A821176" s="242"/>
    </row>
    <row r="821177" spans="1:1" x14ac:dyDescent="0.25">
      <c r="A821177" s="242"/>
    </row>
    <row r="821178" spans="1:1" x14ac:dyDescent="0.25">
      <c r="A821178" s="242"/>
    </row>
    <row r="821179" spans="1:1" x14ac:dyDescent="0.25">
      <c r="A821179" s="242"/>
    </row>
    <row r="821180" spans="1:1" x14ac:dyDescent="0.25">
      <c r="A821180" s="242"/>
    </row>
    <row r="821181" spans="1:1" x14ac:dyDescent="0.25">
      <c r="A821181" s="242"/>
    </row>
    <row r="821182" spans="1:1" x14ac:dyDescent="0.25">
      <c r="A821182" s="242"/>
    </row>
    <row r="821183" spans="1:1" x14ac:dyDescent="0.25">
      <c r="A821183" s="242"/>
    </row>
    <row r="821184" spans="1:1" x14ac:dyDescent="0.25">
      <c r="A821184" s="242"/>
    </row>
    <row r="821185" spans="1:1" x14ac:dyDescent="0.25">
      <c r="A821185" s="242"/>
    </row>
    <row r="821186" spans="1:1" x14ac:dyDescent="0.25">
      <c r="A821186" s="242"/>
    </row>
    <row r="821187" spans="1:1" x14ac:dyDescent="0.25">
      <c r="A821187" s="242"/>
    </row>
    <row r="821188" spans="1:1" x14ac:dyDescent="0.25">
      <c r="A821188" s="242"/>
    </row>
    <row r="821189" spans="1:1" x14ac:dyDescent="0.25">
      <c r="A821189" s="242"/>
    </row>
    <row r="821190" spans="1:1" x14ac:dyDescent="0.25">
      <c r="A821190" s="242"/>
    </row>
    <row r="821191" spans="1:1" x14ac:dyDescent="0.25">
      <c r="A821191" s="242"/>
    </row>
    <row r="821192" spans="1:1" x14ac:dyDescent="0.25">
      <c r="A821192" s="242"/>
    </row>
    <row r="821193" spans="1:1" x14ac:dyDescent="0.25">
      <c r="A821193" s="242"/>
    </row>
    <row r="821194" spans="1:1" x14ac:dyDescent="0.25">
      <c r="A821194" s="242"/>
    </row>
    <row r="821195" spans="1:1" x14ac:dyDescent="0.25">
      <c r="A821195" s="242"/>
    </row>
    <row r="821196" spans="1:1" x14ac:dyDescent="0.25">
      <c r="A821196" s="242"/>
    </row>
    <row r="821197" spans="1:1" x14ac:dyDescent="0.25">
      <c r="A821197" s="242"/>
    </row>
    <row r="821198" spans="1:1" x14ac:dyDescent="0.25">
      <c r="A821198" s="242"/>
    </row>
    <row r="821199" spans="1:1" x14ac:dyDescent="0.25">
      <c r="A821199" s="242"/>
    </row>
    <row r="821200" spans="1:1" x14ac:dyDescent="0.25">
      <c r="A821200" s="242"/>
    </row>
    <row r="821201" spans="1:1" x14ac:dyDescent="0.25">
      <c r="A821201" s="242"/>
    </row>
    <row r="821202" spans="1:1" x14ac:dyDescent="0.25">
      <c r="A821202" s="242"/>
    </row>
    <row r="821203" spans="1:1" x14ac:dyDescent="0.25">
      <c r="A821203" s="242"/>
    </row>
    <row r="821204" spans="1:1" x14ac:dyDescent="0.25">
      <c r="A821204" s="242"/>
    </row>
    <row r="821205" spans="1:1" x14ac:dyDescent="0.25">
      <c r="A821205" s="242"/>
    </row>
    <row r="821206" spans="1:1" x14ac:dyDescent="0.25">
      <c r="A821206" s="242"/>
    </row>
    <row r="821207" spans="1:1" x14ac:dyDescent="0.25">
      <c r="A821207" s="242"/>
    </row>
    <row r="821208" spans="1:1" x14ac:dyDescent="0.25">
      <c r="A821208" s="242"/>
    </row>
    <row r="821209" spans="1:1" x14ac:dyDescent="0.25">
      <c r="A821209" s="242"/>
    </row>
    <row r="821210" spans="1:1" x14ac:dyDescent="0.25">
      <c r="A821210" s="242"/>
    </row>
    <row r="821211" spans="1:1" x14ac:dyDescent="0.25">
      <c r="A821211" s="242"/>
    </row>
    <row r="821212" spans="1:1" x14ac:dyDescent="0.25">
      <c r="A821212" s="242"/>
    </row>
    <row r="821213" spans="1:1" x14ac:dyDescent="0.25">
      <c r="A821213" s="242"/>
    </row>
    <row r="821214" spans="1:1" x14ac:dyDescent="0.25">
      <c r="A821214" s="242"/>
    </row>
    <row r="821215" spans="1:1" x14ac:dyDescent="0.25">
      <c r="A821215" s="242"/>
    </row>
    <row r="821216" spans="1:1" x14ac:dyDescent="0.25">
      <c r="A821216" s="242"/>
    </row>
    <row r="821217" spans="1:1" x14ac:dyDescent="0.25">
      <c r="A821217" s="242"/>
    </row>
    <row r="821218" spans="1:1" x14ac:dyDescent="0.25">
      <c r="A821218" s="242"/>
    </row>
    <row r="821219" spans="1:1" x14ac:dyDescent="0.25">
      <c r="A821219" s="242"/>
    </row>
    <row r="821220" spans="1:1" x14ac:dyDescent="0.25">
      <c r="A821220" s="242"/>
    </row>
    <row r="821221" spans="1:1" x14ac:dyDescent="0.25">
      <c r="A821221" s="242"/>
    </row>
    <row r="821222" spans="1:1" x14ac:dyDescent="0.25">
      <c r="A821222" s="242"/>
    </row>
    <row r="821223" spans="1:1" x14ac:dyDescent="0.25">
      <c r="A821223" s="242"/>
    </row>
    <row r="821224" spans="1:1" x14ac:dyDescent="0.25">
      <c r="A821224" s="242"/>
    </row>
    <row r="821225" spans="1:1" x14ac:dyDescent="0.25">
      <c r="A821225" s="242"/>
    </row>
    <row r="821226" spans="1:1" x14ac:dyDescent="0.25">
      <c r="A821226" s="242"/>
    </row>
    <row r="821227" spans="1:1" x14ac:dyDescent="0.25">
      <c r="A821227" s="242"/>
    </row>
    <row r="821228" spans="1:1" x14ac:dyDescent="0.25">
      <c r="A821228" s="242"/>
    </row>
    <row r="821229" spans="1:1" x14ac:dyDescent="0.25">
      <c r="A821229" s="242"/>
    </row>
    <row r="821230" spans="1:1" x14ac:dyDescent="0.25">
      <c r="A821230" s="242"/>
    </row>
    <row r="821231" spans="1:1" x14ac:dyDescent="0.25">
      <c r="A821231" s="242"/>
    </row>
    <row r="821232" spans="1:1" x14ac:dyDescent="0.25">
      <c r="A821232" s="242"/>
    </row>
    <row r="821233" spans="1:1" x14ac:dyDescent="0.25">
      <c r="A821233" s="242"/>
    </row>
    <row r="821234" spans="1:1" x14ac:dyDescent="0.25">
      <c r="A821234" s="242"/>
    </row>
    <row r="821235" spans="1:1" x14ac:dyDescent="0.25">
      <c r="A821235" s="242"/>
    </row>
    <row r="821236" spans="1:1" x14ac:dyDescent="0.25">
      <c r="A821236" s="242"/>
    </row>
    <row r="821237" spans="1:1" x14ac:dyDescent="0.25">
      <c r="A821237" s="242"/>
    </row>
    <row r="821238" spans="1:1" x14ac:dyDescent="0.25">
      <c r="A821238" s="242"/>
    </row>
    <row r="821239" spans="1:1" x14ac:dyDescent="0.25">
      <c r="A821239" s="242"/>
    </row>
    <row r="821240" spans="1:1" x14ac:dyDescent="0.25">
      <c r="A821240" s="242"/>
    </row>
    <row r="821241" spans="1:1" x14ac:dyDescent="0.25">
      <c r="A821241" s="242"/>
    </row>
    <row r="821242" spans="1:1" x14ac:dyDescent="0.25">
      <c r="A821242" s="242"/>
    </row>
    <row r="821243" spans="1:1" x14ac:dyDescent="0.25">
      <c r="A821243" s="242"/>
    </row>
    <row r="821244" spans="1:1" x14ac:dyDescent="0.25">
      <c r="A821244" s="242"/>
    </row>
    <row r="821245" spans="1:1" x14ac:dyDescent="0.25">
      <c r="A821245" s="242"/>
    </row>
    <row r="821246" spans="1:1" x14ac:dyDescent="0.25">
      <c r="A821246" s="242"/>
    </row>
    <row r="821247" spans="1:1" x14ac:dyDescent="0.25">
      <c r="A821247" s="242"/>
    </row>
    <row r="821248" spans="1:1" x14ac:dyDescent="0.25">
      <c r="A821248" s="242"/>
    </row>
    <row r="821249" spans="1:1" x14ac:dyDescent="0.25">
      <c r="A821249" s="242"/>
    </row>
    <row r="821250" spans="1:1" x14ac:dyDescent="0.25">
      <c r="A821250" s="242"/>
    </row>
    <row r="821251" spans="1:1" x14ac:dyDescent="0.25">
      <c r="A821251" s="242"/>
    </row>
    <row r="821252" spans="1:1" x14ac:dyDescent="0.25">
      <c r="A821252" s="242"/>
    </row>
    <row r="821253" spans="1:1" x14ac:dyDescent="0.25">
      <c r="A821253" s="242"/>
    </row>
    <row r="821254" spans="1:1" x14ac:dyDescent="0.25">
      <c r="A821254" s="242"/>
    </row>
    <row r="821255" spans="1:1" x14ac:dyDescent="0.25">
      <c r="A821255" s="242"/>
    </row>
    <row r="821256" spans="1:1" x14ac:dyDescent="0.25">
      <c r="A821256" s="242"/>
    </row>
    <row r="821257" spans="1:1" x14ac:dyDescent="0.25">
      <c r="A821257" s="242"/>
    </row>
    <row r="821258" spans="1:1" x14ac:dyDescent="0.25">
      <c r="A821258" s="242"/>
    </row>
    <row r="821259" spans="1:1" x14ac:dyDescent="0.25">
      <c r="A821259" s="242"/>
    </row>
    <row r="821260" spans="1:1" x14ac:dyDescent="0.25">
      <c r="A821260" s="242"/>
    </row>
    <row r="821261" spans="1:1" x14ac:dyDescent="0.25">
      <c r="A821261" s="242"/>
    </row>
    <row r="821262" spans="1:1" x14ac:dyDescent="0.25">
      <c r="A821262" s="242"/>
    </row>
    <row r="821263" spans="1:1" x14ac:dyDescent="0.25">
      <c r="A821263" s="242"/>
    </row>
    <row r="821264" spans="1:1" x14ac:dyDescent="0.25">
      <c r="A821264" s="242"/>
    </row>
    <row r="821265" spans="1:1" x14ac:dyDescent="0.25">
      <c r="A821265" s="242"/>
    </row>
    <row r="821266" spans="1:1" x14ac:dyDescent="0.25">
      <c r="A821266" s="242"/>
    </row>
    <row r="821267" spans="1:1" x14ac:dyDescent="0.25">
      <c r="A821267" s="242"/>
    </row>
    <row r="821268" spans="1:1" x14ac:dyDescent="0.25">
      <c r="A821268" s="242"/>
    </row>
    <row r="821269" spans="1:1" x14ac:dyDescent="0.25">
      <c r="A821269" s="242"/>
    </row>
    <row r="821270" spans="1:1" x14ac:dyDescent="0.25">
      <c r="A821270" s="242"/>
    </row>
    <row r="821271" spans="1:1" x14ac:dyDescent="0.25">
      <c r="A821271" s="242"/>
    </row>
    <row r="821272" spans="1:1" x14ac:dyDescent="0.25">
      <c r="A821272" s="242"/>
    </row>
    <row r="821273" spans="1:1" x14ac:dyDescent="0.25">
      <c r="A821273" s="242"/>
    </row>
    <row r="821274" spans="1:1" x14ac:dyDescent="0.25">
      <c r="A821274" s="242"/>
    </row>
    <row r="821275" spans="1:1" x14ac:dyDescent="0.25">
      <c r="A821275" s="242"/>
    </row>
    <row r="821276" spans="1:1" x14ac:dyDescent="0.25">
      <c r="A821276" s="242"/>
    </row>
    <row r="821277" spans="1:1" x14ac:dyDescent="0.25">
      <c r="A821277" s="242"/>
    </row>
    <row r="821278" spans="1:1" x14ac:dyDescent="0.25">
      <c r="A821278" s="242"/>
    </row>
    <row r="821279" spans="1:1" x14ac:dyDescent="0.25">
      <c r="A821279" s="242"/>
    </row>
    <row r="821280" spans="1:1" x14ac:dyDescent="0.25">
      <c r="A821280" s="242"/>
    </row>
    <row r="821281" spans="1:1" x14ac:dyDescent="0.25">
      <c r="A821281" s="242"/>
    </row>
    <row r="821282" spans="1:1" x14ac:dyDescent="0.25">
      <c r="A821282" s="242"/>
    </row>
    <row r="821283" spans="1:1" x14ac:dyDescent="0.25">
      <c r="A821283" s="242"/>
    </row>
    <row r="821284" spans="1:1" x14ac:dyDescent="0.25">
      <c r="A821284" s="242"/>
    </row>
    <row r="821285" spans="1:1" x14ac:dyDescent="0.25">
      <c r="A821285" s="242"/>
    </row>
    <row r="821286" spans="1:1" x14ac:dyDescent="0.25">
      <c r="A821286" s="242"/>
    </row>
    <row r="821287" spans="1:1" x14ac:dyDescent="0.25">
      <c r="A821287" s="242"/>
    </row>
    <row r="821288" spans="1:1" x14ac:dyDescent="0.25">
      <c r="A821288" s="242"/>
    </row>
    <row r="821289" spans="1:1" x14ac:dyDescent="0.25">
      <c r="A821289" s="242"/>
    </row>
    <row r="821290" spans="1:1" x14ac:dyDescent="0.25">
      <c r="A821290" s="242"/>
    </row>
    <row r="821291" spans="1:1" x14ac:dyDescent="0.25">
      <c r="A821291" s="242"/>
    </row>
    <row r="821292" spans="1:1" x14ac:dyDescent="0.25">
      <c r="A821292" s="242"/>
    </row>
    <row r="821293" spans="1:1" x14ac:dyDescent="0.25">
      <c r="A821293" s="242"/>
    </row>
    <row r="821294" spans="1:1" x14ac:dyDescent="0.25">
      <c r="A821294" s="242"/>
    </row>
    <row r="821295" spans="1:1" x14ac:dyDescent="0.25">
      <c r="A821295" s="242"/>
    </row>
    <row r="821296" spans="1:1" x14ac:dyDescent="0.25">
      <c r="A821296" s="242"/>
    </row>
    <row r="821297" spans="1:1" x14ac:dyDescent="0.25">
      <c r="A821297" s="242"/>
    </row>
    <row r="821298" spans="1:1" x14ac:dyDescent="0.25">
      <c r="A821298" s="242"/>
    </row>
    <row r="821299" spans="1:1" x14ac:dyDescent="0.25">
      <c r="A821299" s="242"/>
    </row>
    <row r="821300" spans="1:1" x14ac:dyDescent="0.25">
      <c r="A821300" s="242"/>
    </row>
    <row r="821301" spans="1:1" x14ac:dyDescent="0.25">
      <c r="A821301" s="242"/>
    </row>
    <row r="821302" spans="1:1" x14ac:dyDescent="0.25">
      <c r="A821302" s="242"/>
    </row>
    <row r="821303" spans="1:1" x14ac:dyDescent="0.25">
      <c r="A821303" s="242"/>
    </row>
    <row r="821304" spans="1:1" x14ac:dyDescent="0.25">
      <c r="A821304" s="242"/>
    </row>
    <row r="821305" spans="1:1" x14ac:dyDescent="0.25">
      <c r="A821305" s="242"/>
    </row>
    <row r="821306" spans="1:1" x14ac:dyDescent="0.25">
      <c r="A821306" s="242"/>
    </row>
    <row r="821307" spans="1:1" x14ac:dyDescent="0.25">
      <c r="A821307" s="242"/>
    </row>
    <row r="821308" spans="1:1" x14ac:dyDescent="0.25">
      <c r="A821308" s="242"/>
    </row>
    <row r="821309" spans="1:1" x14ac:dyDescent="0.25">
      <c r="A821309" s="242"/>
    </row>
    <row r="821310" spans="1:1" x14ac:dyDescent="0.25">
      <c r="A821310" s="242"/>
    </row>
    <row r="821311" spans="1:1" x14ac:dyDescent="0.25">
      <c r="A821311" s="242"/>
    </row>
    <row r="821312" spans="1:1" x14ac:dyDescent="0.25">
      <c r="A821312" s="242"/>
    </row>
    <row r="821313" spans="1:1" x14ac:dyDescent="0.25">
      <c r="A821313" s="242"/>
    </row>
    <row r="821314" spans="1:1" x14ac:dyDescent="0.25">
      <c r="A821314" s="242"/>
    </row>
    <row r="821315" spans="1:1" x14ac:dyDescent="0.25">
      <c r="A821315" s="242"/>
    </row>
    <row r="821316" spans="1:1" x14ac:dyDescent="0.25">
      <c r="A821316" s="242"/>
    </row>
    <row r="821317" spans="1:1" x14ac:dyDescent="0.25">
      <c r="A821317" s="242"/>
    </row>
    <row r="821318" spans="1:1" x14ac:dyDescent="0.25">
      <c r="A821318" s="242"/>
    </row>
    <row r="821319" spans="1:1" x14ac:dyDescent="0.25">
      <c r="A821319" s="242"/>
    </row>
    <row r="821320" spans="1:1" x14ac:dyDescent="0.25">
      <c r="A821320" s="242"/>
    </row>
    <row r="821321" spans="1:1" x14ac:dyDescent="0.25">
      <c r="A821321" s="242"/>
    </row>
    <row r="821322" spans="1:1" x14ac:dyDescent="0.25">
      <c r="A821322" s="242"/>
    </row>
    <row r="821323" spans="1:1" x14ac:dyDescent="0.25">
      <c r="A821323" s="242"/>
    </row>
    <row r="821324" spans="1:1" x14ac:dyDescent="0.25">
      <c r="A821324" s="242"/>
    </row>
    <row r="821325" spans="1:1" x14ac:dyDescent="0.25">
      <c r="A821325" s="242"/>
    </row>
    <row r="821326" spans="1:1" x14ac:dyDescent="0.25">
      <c r="A821326" s="242"/>
    </row>
    <row r="821327" spans="1:1" x14ac:dyDescent="0.25">
      <c r="A821327" s="242"/>
    </row>
    <row r="821328" spans="1:1" x14ac:dyDescent="0.25">
      <c r="A821328" s="242"/>
    </row>
    <row r="821329" spans="1:1" x14ac:dyDescent="0.25">
      <c r="A821329" s="242"/>
    </row>
    <row r="821330" spans="1:1" x14ac:dyDescent="0.25">
      <c r="A821330" s="242"/>
    </row>
    <row r="821331" spans="1:1" x14ac:dyDescent="0.25">
      <c r="A821331" s="242"/>
    </row>
    <row r="821332" spans="1:1" x14ac:dyDescent="0.25">
      <c r="A821332" s="242"/>
    </row>
    <row r="821333" spans="1:1" x14ac:dyDescent="0.25">
      <c r="A821333" s="242"/>
    </row>
    <row r="821334" spans="1:1" x14ac:dyDescent="0.25">
      <c r="A821334" s="242"/>
    </row>
    <row r="821335" spans="1:1" x14ac:dyDescent="0.25">
      <c r="A821335" s="242"/>
    </row>
    <row r="821336" spans="1:1" x14ac:dyDescent="0.25">
      <c r="A821336" s="242"/>
    </row>
    <row r="821337" spans="1:1" x14ac:dyDescent="0.25">
      <c r="A821337" s="242"/>
    </row>
    <row r="821338" spans="1:1" x14ac:dyDescent="0.25">
      <c r="A821338" s="242"/>
    </row>
    <row r="821339" spans="1:1" x14ac:dyDescent="0.25">
      <c r="A821339" s="242"/>
    </row>
    <row r="821340" spans="1:1" x14ac:dyDescent="0.25">
      <c r="A821340" s="242"/>
    </row>
    <row r="821341" spans="1:1" x14ac:dyDescent="0.25">
      <c r="A821341" s="242"/>
    </row>
    <row r="821342" spans="1:1" x14ac:dyDescent="0.25">
      <c r="A821342" s="242"/>
    </row>
    <row r="821343" spans="1:1" x14ac:dyDescent="0.25">
      <c r="A821343" s="242"/>
    </row>
    <row r="821344" spans="1:1" x14ac:dyDescent="0.25">
      <c r="A821344" s="242"/>
    </row>
    <row r="821345" spans="1:1" x14ac:dyDescent="0.25">
      <c r="A821345" s="242"/>
    </row>
    <row r="821346" spans="1:1" x14ac:dyDescent="0.25">
      <c r="A821346" s="242"/>
    </row>
    <row r="821347" spans="1:1" x14ac:dyDescent="0.25">
      <c r="A821347" s="242"/>
    </row>
    <row r="821348" spans="1:1" x14ac:dyDescent="0.25">
      <c r="A821348" s="242"/>
    </row>
    <row r="821349" spans="1:1" x14ac:dyDescent="0.25">
      <c r="A821349" s="242"/>
    </row>
    <row r="821350" spans="1:1" x14ac:dyDescent="0.25">
      <c r="A821350" s="242"/>
    </row>
    <row r="821351" spans="1:1" x14ac:dyDescent="0.25">
      <c r="A821351" s="242"/>
    </row>
    <row r="821352" spans="1:1" x14ac:dyDescent="0.25">
      <c r="A821352" s="242"/>
    </row>
    <row r="821353" spans="1:1" x14ac:dyDescent="0.25">
      <c r="A821353" s="242"/>
    </row>
    <row r="821354" spans="1:1" x14ac:dyDescent="0.25">
      <c r="A821354" s="242"/>
    </row>
    <row r="821355" spans="1:1" x14ac:dyDescent="0.25">
      <c r="A821355" s="242"/>
    </row>
    <row r="821356" spans="1:1" x14ac:dyDescent="0.25">
      <c r="A821356" s="242"/>
    </row>
    <row r="821357" spans="1:1" x14ac:dyDescent="0.25">
      <c r="A821357" s="242"/>
    </row>
    <row r="821358" spans="1:1" x14ac:dyDescent="0.25">
      <c r="A821358" s="242"/>
    </row>
    <row r="821359" spans="1:1" x14ac:dyDescent="0.25">
      <c r="A821359" s="242"/>
    </row>
    <row r="821360" spans="1:1" x14ac:dyDescent="0.25">
      <c r="A821360" s="242"/>
    </row>
    <row r="821361" spans="1:1" x14ac:dyDescent="0.25">
      <c r="A821361" s="242"/>
    </row>
    <row r="821362" spans="1:1" x14ac:dyDescent="0.25">
      <c r="A821362" s="242"/>
    </row>
    <row r="821363" spans="1:1" x14ac:dyDescent="0.25">
      <c r="A821363" s="242"/>
    </row>
    <row r="821364" spans="1:1" x14ac:dyDescent="0.25">
      <c r="A821364" s="242"/>
    </row>
    <row r="821365" spans="1:1" x14ac:dyDescent="0.25">
      <c r="A821365" s="242"/>
    </row>
    <row r="821366" spans="1:1" x14ac:dyDescent="0.25">
      <c r="A821366" s="242"/>
    </row>
    <row r="821367" spans="1:1" x14ac:dyDescent="0.25">
      <c r="A821367" s="242"/>
    </row>
    <row r="821368" spans="1:1" x14ac:dyDescent="0.25">
      <c r="A821368" s="242"/>
    </row>
    <row r="821369" spans="1:1" x14ac:dyDescent="0.25">
      <c r="A821369" s="242"/>
    </row>
    <row r="821370" spans="1:1" x14ac:dyDescent="0.25">
      <c r="A821370" s="242"/>
    </row>
    <row r="821371" spans="1:1" x14ac:dyDescent="0.25">
      <c r="A821371" s="242"/>
    </row>
    <row r="821372" spans="1:1" x14ac:dyDescent="0.25">
      <c r="A821372" s="242"/>
    </row>
    <row r="821373" spans="1:1" x14ac:dyDescent="0.25">
      <c r="A821373" s="242"/>
    </row>
    <row r="821374" spans="1:1" x14ac:dyDescent="0.25">
      <c r="A821374" s="242"/>
    </row>
    <row r="821375" spans="1:1" x14ac:dyDescent="0.25">
      <c r="A821375" s="242"/>
    </row>
    <row r="821376" spans="1:1" x14ac:dyDescent="0.25">
      <c r="A821376" s="242"/>
    </row>
    <row r="821377" spans="1:1" x14ac:dyDescent="0.25">
      <c r="A821377" s="242"/>
    </row>
    <row r="821378" spans="1:1" x14ac:dyDescent="0.25">
      <c r="A821378" s="242"/>
    </row>
    <row r="821379" spans="1:1" x14ac:dyDescent="0.25">
      <c r="A821379" s="242"/>
    </row>
    <row r="821380" spans="1:1" x14ac:dyDescent="0.25">
      <c r="A821380" s="242"/>
    </row>
    <row r="821381" spans="1:1" x14ac:dyDescent="0.25">
      <c r="A821381" s="242"/>
    </row>
    <row r="821382" spans="1:1" x14ac:dyDescent="0.25">
      <c r="A821382" s="242"/>
    </row>
    <row r="821383" spans="1:1" x14ac:dyDescent="0.25">
      <c r="A821383" s="242"/>
    </row>
    <row r="821384" spans="1:1" x14ac:dyDescent="0.25">
      <c r="A821384" s="242"/>
    </row>
    <row r="821385" spans="1:1" x14ac:dyDescent="0.25">
      <c r="A821385" s="242"/>
    </row>
    <row r="821386" spans="1:1" x14ac:dyDescent="0.25">
      <c r="A821386" s="242"/>
    </row>
    <row r="821387" spans="1:1" x14ac:dyDescent="0.25">
      <c r="A821387" s="242"/>
    </row>
    <row r="821388" spans="1:1" x14ac:dyDescent="0.25">
      <c r="A821388" s="242"/>
    </row>
    <row r="821389" spans="1:1" x14ac:dyDescent="0.25">
      <c r="A821389" s="242"/>
    </row>
    <row r="821390" spans="1:1" x14ac:dyDescent="0.25">
      <c r="A821390" s="242"/>
    </row>
    <row r="821391" spans="1:1" x14ac:dyDescent="0.25">
      <c r="A821391" s="242"/>
    </row>
    <row r="821392" spans="1:1" x14ac:dyDescent="0.25">
      <c r="A821392" s="242"/>
    </row>
    <row r="821393" spans="1:1" x14ac:dyDescent="0.25">
      <c r="A821393" s="242"/>
    </row>
    <row r="821394" spans="1:1" x14ac:dyDescent="0.25">
      <c r="A821394" s="242"/>
    </row>
    <row r="821395" spans="1:1" x14ac:dyDescent="0.25">
      <c r="A821395" s="242"/>
    </row>
    <row r="821396" spans="1:1" x14ac:dyDescent="0.25">
      <c r="A821396" s="242"/>
    </row>
    <row r="821397" spans="1:1" x14ac:dyDescent="0.25">
      <c r="A821397" s="242"/>
    </row>
    <row r="821398" spans="1:1" x14ac:dyDescent="0.25">
      <c r="A821398" s="242"/>
    </row>
    <row r="821399" spans="1:1" x14ac:dyDescent="0.25">
      <c r="A821399" s="242"/>
    </row>
    <row r="821400" spans="1:1" x14ac:dyDescent="0.25">
      <c r="A821400" s="242"/>
    </row>
    <row r="821401" spans="1:1" x14ac:dyDescent="0.25">
      <c r="A821401" s="242"/>
    </row>
    <row r="821402" spans="1:1" x14ac:dyDescent="0.25">
      <c r="A821402" s="242"/>
    </row>
    <row r="821403" spans="1:1" x14ac:dyDescent="0.25">
      <c r="A821403" s="242"/>
    </row>
    <row r="821404" spans="1:1" x14ac:dyDescent="0.25">
      <c r="A821404" s="242"/>
    </row>
    <row r="821405" spans="1:1" x14ac:dyDescent="0.25">
      <c r="A821405" s="242"/>
    </row>
    <row r="821406" spans="1:1" x14ac:dyDescent="0.25">
      <c r="A821406" s="242"/>
    </row>
    <row r="821407" spans="1:1" x14ac:dyDescent="0.25">
      <c r="A821407" s="242"/>
    </row>
    <row r="821408" spans="1:1" x14ac:dyDescent="0.25">
      <c r="A821408" s="242"/>
    </row>
    <row r="821409" spans="1:1" x14ac:dyDescent="0.25">
      <c r="A821409" s="242"/>
    </row>
    <row r="821410" spans="1:1" x14ac:dyDescent="0.25">
      <c r="A821410" s="242"/>
    </row>
    <row r="821411" spans="1:1" x14ac:dyDescent="0.25">
      <c r="A821411" s="242"/>
    </row>
    <row r="821412" spans="1:1" x14ac:dyDescent="0.25">
      <c r="A821412" s="242"/>
    </row>
    <row r="821413" spans="1:1" x14ac:dyDescent="0.25">
      <c r="A821413" s="242"/>
    </row>
    <row r="821414" spans="1:1" x14ac:dyDescent="0.25">
      <c r="A821414" s="242"/>
    </row>
    <row r="821415" spans="1:1" x14ac:dyDescent="0.25">
      <c r="A821415" s="242"/>
    </row>
    <row r="821416" spans="1:1" x14ac:dyDescent="0.25">
      <c r="A821416" s="242"/>
    </row>
    <row r="821417" spans="1:1" x14ac:dyDescent="0.25">
      <c r="A821417" s="242"/>
    </row>
    <row r="821418" spans="1:1" x14ac:dyDescent="0.25">
      <c r="A821418" s="242"/>
    </row>
    <row r="821419" spans="1:1" x14ac:dyDescent="0.25">
      <c r="A821419" s="242"/>
    </row>
    <row r="821420" spans="1:1" x14ac:dyDescent="0.25">
      <c r="A821420" s="242"/>
    </row>
    <row r="821421" spans="1:1" x14ac:dyDescent="0.25">
      <c r="A821421" s="242"/>
    </row>
    <row r="821422" spans="1:1" x14ac:dyDescent="0.25">
      <c r="A821422" s="242"/>
    </row>
    <row r="821423" spans="1:1" x14ac:dyDescent="0.25">
      <c r="A821423" s="242"/>
    </row>
    <row r="821424" spans="1:1" x14ac:dyDescent="0.25">
      <c r="A821424" s="242"/>
    </row>
    <row r="821425" spans="1:1" x14ac:dyDescent="0.25">
      <c r="A821425" s="242"/>
    </row>
    <row r="821426" spans="1:1" x14ac:dyDescent="0.25">
      <c r="A821426" s="242"/>
    </row>
    <row r="821427" spans="1:1" x14ac:dyDescent="0.25">
      <c r="A821427" s="242"/>
    </row>
    <row r="821428" spans="1:1" x14ac:dyDescent="0.25">
      <c r="A821428" s="242"/>
    </row>
    <row r="821429" spans="1:1" x14ac:dyDescent="0.25">
      <c r="A821429" s="242"/>
    </row>
    <row r="821430" spans="1:1" x14ac:dyDescent="0.25">
      <c r="A821430" s="242"/>
    </row>
    <row r="821431" spans="1:1" x14ac:dyDescent="0.25">
      <c r="A821431" s="242"/>
    </row>
    <row r="821432" spans="1:1" x14ac:dyDescent="0.25">
      <c r="A821432" s="242"/>
    </row>
    <row r="821433" spans="1:1" x14ac:dyDescent="0.25">
      <c r="A821433" s="242"/>
    </row>
    <row r="821434" spans="1:1" x14ac:dyDescent="0.25">
      <c r="A821434" s="242"/>
    </row>
    <row r="821435" spans="1:1" x14ac:dyDescent="0.25">
      <c r="A821435" s="242"/>
    </row>
    <row r="821436" spans="1:1" x14ac:dyDescent="0.25">
      <c r="A821436" s="242"/>
    </row>
    <row r="821437" spans="1:1" x14ac:dyDescent="0.25">
      <c r="A821437" s="242"/>
    </row>
    <row r="821438" spans="1:1" x14ac:dyDescent="0.25">
      <c r="A821438" s="242"/>
    </row>
    <row r="821439" spans="1:1" x14ac:dyDescent="0.25">
      <c r="A821439" s="242"/>
    </row>
    <row r="821440" spans="1:1" x14ac:dyDescent="0.25">
      <c r="A821440" s="242"/>
    </row>
    <row r="821441" spans="1:1" x14ac:dyDescent="0.25">
      <c r="A821441" s="242"/>
    </row>
    <row r="821442" spans="1:1" x14ac:dyDescent="0.25">
      <c r="A821442" s="242"/>
    </row>
    <row r="821443" spans="1:1" x14ac:dyDescent="0.25">
      <c r="A821443" s="242"/>
    </row>
    <row r="821444" spans="1:1" x14ac:dyDescent="0.25">
      <c r="A821444" s="242"/>
    </row>
    <row r="821445" spans="1:1" x14ac:dyDescent="0.25">
      <c r="A821445" s="242"/>
    </row>
    <row r="821446" spans="1:1" x14ac:dyDescent="0.25">
      <c r="A821446" s="242"/>
    </row>
    <row r="821447" spans="1:1" x14ac:dyDescent="0.25">
      <c r="A821447" s="242"/>
    </row>
    <row r="821448" spans="1:1" x14ac:dyDescent="0.25">
      <c r="A821448" s="242"/>
    </row>
    <row r="821449" spans="1:1" x14ac:dyDescent="0.25">
      <c r="A821449" s="242"/>
    </row>
    <row r="821450" spans="1:1" x14ac:dyDescent="0.25">
      <c r="A821450" s="242"/>
    </row>
    <row r="821451" spans="1:1" x14ac:dyDescent="0.25">
      <c r="A821451" s="242"/>
    </row>
    <row r="821452" spans="1:1" x14ac:dyDescent="0.25">
      <c r="A821452" s="242"/>
    </row>
    <row r="821453" spans="1:1" x14ac:dyDescent="0.25">
      <c r="A821453" s="242"/>
    </row>
    <row r="821454" spans="1:1" x14ac:dyDescent="0.25">
      <c r="A821454" s="242"/>
    </row>
    <row r="821455" spans="1:1" x14ac:dyDescent="0.25">
      <c r="A821455" s="242"/>
    </row>
    <row r="821456" spans="1:1" x14ac:dyDescent="0.25">
      <c r="A821456" s="242"/>
    </row>
    <row r="821457" spans="1:1" x14ac:dyDescent="0.25">
      <c r="A821457" s="242"/>
    </row>
    <row r="821458" spans="1:1" x14ac:dyDescent="0.25">
      <c r="A821458" s="242"/>
    </row>
    <row r="821459" spans="1:1" x14ac:dyDescent="0.25">
      <c r="A821459" s="242"/>
    </row>
    <row r="821460" spans="1:1" x14ac:dyDescent="0.25">
      <c r="A821460" s="242"/>
    </row>
    <row r="821461" spans="1:1" x14ac:dyDescent="0.25">
      <c r="A821461" s="242"/>
    </row>
    <row r="821462" spans="1:1" x14ac:dyDescent="0.25">
      <c r="A821462" s="242"/>
    </row>
    <row r="821463" spans="1:1" x14ac:dyDescent="0.25">
      <c r="A821463" s="242"/>
    </row>
    <row r="821464" spans="1:1" x14ac:dyDescent="0.25">
      <c r="A821464" s="242"/>
    </row>
    <row r="821465" spans="1:1" x14ac:dyDescent="0.25">
      <c r="A821465" s="242"/>
    </row>
    <row r="821466" spans="1:1" x14ac:dyDescent="0.25">
      <c r="A821466" s="242"/>
    </row>
    <row r="821467" spans="1:1" x14ac:dyDescent="0.25">
      <c r="A821467" s="242"/>
    </row>
    <row r="821468" spans="1:1" x14ac:dyDescent="0.25">
      <c r="A821468" s="242"/>
    </row>
    <row r="821469" spans="1:1" x14ac:dyDescent="0.25">
      <c r="A821469" s="242"/>
    </row>
    <row r="821470" spans="1:1" x14ac:dyDescent="0.25">
      <c r="A821470" s="242"/>
    </row>
    <row r="821471" spans="1:1" x14ac:dyDescent="0.25">
      <c r="A821471" s="242"/>
    </row>
    <row r="821472" spans="1:1" x14ac:dyDescent="0.25">
      <c r="A821472" s="242"/>
    </row>
    <row r="821473" spans="1:1" x14ac:dyDescent="0.25">
      <c r="A821473" s="242"/>
    </row>
    <row r="821474" spans="1:1" x14ac:dyDescent="0.25">
      <c r="A821474" s="242"/>
    </row>
    <row r="821475" spans="1:1" x14ac:dyDescent="0.25">
      <c r="A821475" s="242"/>
    </row>
    <row r="821476" spans="1:1" x14ac:dyDescent="0.25">
      <c r="A821476" s="242"/>
    </row>
    <row r="821477" spans="1:1" x14ac:dyDescent="0.25">
      <c r="A821477" s="242"/>
    </row>
    <row r="821478" spans="1:1" x14ac:dyDescent="0.25">
      <c r="A821478" s="242"/>
    </row>
    <row r="821479" spans="1:1" x14ac:dyDescent="0.25">
      <c r="A821479" s="242"/>
    </row>
    <row r="821480" spans="1:1" x14ac:dyDescent="0.25">
      <c r="A821480" s="242"/>
    </row>
    <row r="821481" spans="1:1" x14ac:dyDescent="0.25">
      <c r="A821481" s="242"/>
    </row>
    <row r="821482" spans="1:1" x14ac:dyDescent="0.25">
      <c r="A821482" s="242"/>
    </row>
    <row r="821483" spans="1:1" x14ac:dyDescent="0.25">
      <c r="A821483" s="242"/>
    </row>
    <row r="821484" spans="1:1" x14ac:dyDescent="0.25">
      <c r="A821484" s="242"/>
    </row>
    <row r="821485" spans="1:1" x14ac:dyDescent="0.25">
      <c r="A821485" s="242"/>
    </row>
    <row r="821486" spans="1:1" x14ac:dyDescent="0.25">
      <c r="A821486" s="242"/>
    </row>
    <row r="821487" spans="1:1" x14ac:dyDescent="0.25">
      <c r="A821487" s="242"/>
    </row>
    <row r="821488" spans="1:1" x14ac:dyDescent="0.25">
      <c r="A821488" s="242"/>
    </row>
    <row r="821489" spans="1:1" x14ac:dyDescent="0.25">
      <c r="A821489" s="242"/>
    </row>
    <row r="821490" spans="1:1" x14ac:dyDescent="0.25">
      <c r="A821490" s="242"/>
    </row>
    <row r="821491" spans="1:1" x14ac:dyDescent="0.25">
      <c r="A821491" s="242"/>
    </row>
    <row r="821492" spans="1:1" x14ac:dyDescent="0.25">
      <c r="A821492" s="242"/>
    </row>
    <row r="821493" spans="1:1" x14ac:dyDescent="0.25">
      <c r="A821493" s="242"/>
    </row>
    <row r="821494" spans="1:1" x14ac:dyDescent="0.25">
      <c r="A821494" s="242"/>
    </row>
    <row r="821495" spans="1:1" x14ac:dyDescent="0.25">
      <c r="A821495" s="242"/>
    </row>
    <row r="821496" spans="1:1" x14ac:dyDescent="0.25">
      <c r="A821496" s="242"/>
    </row>
    <row r="821497" spans="1:1" x14ac:dyDescent="0.25">
      <c r="A821497" s="242"/>
    </row>
    <row r="821498" spans="1:1" x14ac:dyDescent="0.25">
      <c r="A821498" s="242"/>
    </row>
    <row r="821499" spans="1:1" x14ac:dyDescent="0.25">
      <c r="A821499" s="242"/>
    </row>
    <row r="821500" spans="1:1" x14ac:dyDescent="0.25">
      <c r="A821500" s="242"/>
    </row>
    <row r="821501" spans="1:1" x14ac:dyDescent="0.25">
      <c r="A821501" s="242"/>
    </row>
    <row r="821502" spans="1:1" x14ac:dyDescent="0.25">
      <c r="A821502" s="242"/>
    </row>
    <row r="821503" spans="1:1" x14ac:dyDescent="0.25">
      <c r="A821503" s="242"/>
    </row>
    <row r="821504" spans="1:1" x14ac:dyDescent="0.25">
      <c r="A821504" s="242"/>
    </row>
    <row r="821505" spans="1:1" x14ac:dyDescent="0.25">
      <c r="A821505" s="242"/>
    </row>
    <row r="821506" spans="1:1" x14ac:dyDescent="0.25">
      <c r="A821506" s="242"/>
    </row>
    <row r="821507" spans="1:1" x14ac:dyDescent="0.25">
      <c r="A821507" s="242"/>
    </row>
    <row r="821508" spans="1:1" x14ac:dyDescent="0.25">
      <c r="A821508" s="242"/>
    </row>
    <row r="821509" spans="1:1" x14ac:dyDescent="0.25">
      <c r="A821509" s="242"/>
    </row>
    <row r="821510" spans="1:1" x14ac:dyDescent="0.25">
      <c r="A821510" s="242"/>
    </row>
    <row r="821511" spans="1:1" x14ac:dyDescent="0.25">
      <c r="A821511" s="242"/>
    </row>
    <row r="821512" spans="1:1" x14ac:dyDescent="0.25">
      <c r="A821512" s="242"/>
    </row>
    <row r="821513" spans="1:1" x14ac:dyDescent="0.25">
      <c r="A821513" s="242"/>
    </row>
    <row r="821514" spans="1:1" x14ac:dyDescent="0.25">
      <c r="A821514" s="242"/>
    </row>
    <row r="821515" spans="1:1" x14ac:dyDescent="0.25">
      <c r="A821515" s="242"/>
    </row>
    <row r="821516" spans="1:1" x14ac:dyDescent="0.25">
      <c r="A821516" s="242"/>
    </row>
    <row r="821517" spans="1:1" x14ac:dyDescent="0.25">
      <c r="A821517" s="242"/>
    </row>
    <row r="821518" spans="1:1" x14ac:dyDescent="0.25">
      <c r="A821518" s="242"/>
    </row>
    <row r="821519" spans="1:1" x14ac:dyDescent="0.25">
      <c r="A821519" s="242"/>
    </row>
    <row r="821520" spans="1:1" x14ac:dyDescent="0.25">
      <c r="A821520" s="242"/>
    </row>
    <row r="821521" spans="1:1" x14ac:dyDescent="0.25">
      <c r="A821521" s="242"/>
    </row>
    <row r="821522" spans="1:1" x14ac:dyDescent="0.25">
      <c r="A821522" s="242"/>
    </row>
    <row r="821523" spans="1:1" x14ac:dyDescent="0.25">
      <c r="A821523" s="242"/>
    </row>
    <row r="821524" spans="1:1" x14ac:dyDescent="0.25">
      <c r="A821524" s="242"/>
    </row>
    <row r="821525" spans="1:1" x14ac:dyDescent="0.25">
      <c r="A821525" s="242"/>
    </row>
    <row r="821526" spans="1:1" x14ac:dyDescent="0.25">
      <c r="A821526" s="242"/>
    </row>
    <row r="821527" spans="1:1" x14ac:dyDescent="0.25">
      <c r="A821527" s="242"/>
    </row>
    <row r="821528" spans="1:1" x14ac:dyDescent="0.25">
      <c r="A821528" s="242"/>
    </row>
    <row r="821529" spans="1:1" x14ac:dyDescent="0.25">
      <c r="A821529" s="242"/>
    </row>
    <row r="821530" spans="1:1" x14ac:dyDescent="0.25">
      <c r="A821530" s="242"/>
    </row>
    <row r="821531" spans="1:1" x14ac:dyDescent="0.25">
      <c r="A821531" s="242"/>
    </row>
    <row r="821532" spans="1:1" x14ac:dyDescent="0.25">
      <c r="A821532" s="242"/>
    </row>
    <row r="821533" spans="1:1" x14ac:dyDescent="0.25">
      <c r="A821533" s="242"/>
    </row>
    <row r="821534" spans="1:1" x14ac:dyDescent="0.25">
      <c r="A821534" s="242"/>
    </row>
    <row r="821535" spans="1:1" x14ac:dyDescent="0.25">
      <c r="A821535" s="242"/>
    </row>
    <row r="821536" spans="1:1" x14ac:dyDescent="0.25">
      <c r="A821536" s="242"/>
    </row>
    <row r="821537" spans="1:1" x14ac:dyDescent="0.25">
      <c r="A821537" s="242"/>
    </row>
    <row r="821538" spans="1:1" x14ac:dyDescent="0.25">
      <c r="A821538" s="242"/>
    </row>
    <row r="821539" spans="1:1" x14ac:dyDescent="0.25">
      <c r="A821539" s="242"/>
    </row>
    <row r="821540" spans="1:1" x14ac:dyDescent="0.25">
      <c r="A821540" s="242"/>
    </row>
    <row r="821541" spans="1:1" x14ac:dyDescent="0.25">
      <c r="A821541" s="242"/>
    </row>
    <row r="821542" spans="1:1" x14ac:dyDescent="0.25">
      <c r="A821542" s="242"/>
    </row>
    <row r="821543" spans="1:1" x14ac:dyDescent="0.25">
      <c r="A821543" s="242"/>
    </row>
    <row r="821544" spans="1:1" x14ac:dyDescent="0.25">
      <c r="A821544" s="242"/>
    </row>
    <row r="821545" spans="1:1" x14ac:dyDescent="0.25">
      <c r="A821545" s="242"/>
    </row>
    <row r="821546" spans="1:1" x14ac:dyDescent="0.25">
      <c r="A821546" s="242"/>
    </row>
    <row r="821547" spans="1:1" x14ac:dyDescent="0.25">
      <c r="A821547" s="242"/>
    </row>
    <row r="821548" spans="1:1" x14ac:dyDescent="0.25">
      <c r="A821548" s="242"/>
    </row>
    <row r="821549" spans="1:1" x14ac:dyDescent="0.25">
      <c r="A821549" s="242"/>
    </row>
    <row r="821550" spans="1:1" x14ac:dyDescent="0.25">
      <c r="A821550" s="242"/>
    </row>
    <row r="821551" spans="1:1" x14ac:dyDescent="0.25">
      <c r="A821551" s="242"/>
    </row>
    <row r="821552" spans="1:1" x14ac:dyDescent="0.25">
      <c r="A821552" s="242"/>
    </row>
    <row r="821553" spans="1:1" x14ac:dyDescent="0.25">
      <c r="A821553" s="242"/>
    </row>
    <row r="821554" spans="1:1" x14ac:dyDescent="0.25">
      <c r="A821554" s="242"/>
    </row>
    <row r="821555" spans="1:1" x14ac:dyDescent="0.25">
      <c r="A821555" s="242"/>
    </row>
    <row r="821556" spans="1:1" x14ac:dyDescent="0.25">
      <c r="A821556" s="242"/>
    </row>
    <row r="821557" spans="1:1" x14ac:dyDescent="0.25">
      <c r="A821557" s="242"/>
    </row>
    <row r="821558" spans="1:1" x14ac:dyDescent="0.25">
      <c r="A821558" s="242"/>
    </row>
    <row r="821559" spans="1:1" x14ac:dyDescent="0.25">
      <c r="A821559" s="242"/>
    </row>
    <row r="821560" spans="1:1" x14ac:dyDescent="0.25">
      <c r="A821560" s="242"/>
    </row>
    <row r="821561" spans="1:1" x14ac:dyDescent="0.25">
      <c r="A821561" s="242"/>
    </row>
    <row r="821562" spans="1:1" x14ac:dyDescent="0.25">
      <c r="A821562" s="242"/>
    </row>
    <row r="821563" spans="1:1" x14ac:dyDescent="0.25">
      <c r="A821563" s="242"/>
    </row>
    <row r="821564" spans="1:1" x14ac:dyDescent="0.25">
      <c r="A821564" s="242"/>
    </row>
    <row r="821565" spans="1:1" x14ac:dyDescent="0.25">
      <c r="A821565" s="242"/>
    </row>
    <row r="821566" spans="1:1" x14ac:dyDescent="0.25">
      <c r="A821566" s="242"/>
    </row>
    <row r="821567" spans="1:1" x14ac:dyDescent="0.25">
      <c r="A821567" s="242"/>
    </row>
    <row r="821568" spans="1:1" x14ac:dyDescent="0.25">
      <c r="A821568" s="242"/>
    </row>
    <row r="821569" spans="1:1" x14ac:dyDescent="0.25">
      <c r="A821569" s="242"/>
    </row>
    <row r="821570" spans="1:1" x14ac:dyDescent="0.25">
      <c r="A821570" s="242"/>
    </row>
    <row r="821571" spans="1:1" x14ac:dyDescent="0.25">
      <c r="A821571" s="242"/>
    </row>
    <row r="821572" spans="1:1" x14ac:dyDescent="0.25">
      <c r="A821572" s="242"/>
    </row>
    <row r="821573" spans="1:1" x14ac:dyDescent="0.25">
      <c r="A821573" s="242"/>
    </row>
    <row r="821574" spans="1:1" x14ac:dyDescent="0.25">
      <c r="A821574" s="242"/>
    </row>
    <row r="821575" spans="1:1" x14ac:dyDescent="0.25">
      <c r="A821575" s="242"/>
    </row>
    <row r="821576" spans="1:1" x14ac:dyDescent="0.25">
      <c r="A821576" s="242"/>
    </row>
    <row r="821577" spans="1:1" x14ac:dyDescent="0.25">
      <c r="A821577" s="242"/>
    </row>
    <row r="821578" spans="1:1" x14ac:dyDescent="0.25">
      <c r="A821578" s="242"/>
    </row>
    <row r="821579" spans="1:1" x14ac:dyDescent="0.25">
      <c r="A821579" s="242"/>
    </row>
    <row r="821580" spans="1:1" x14ac:dyDescent="0.25">
      <c r="A821580" s="242"/>
    </row>
    <row r="821581" spans="1:1" x14ac:dyDescent="0.25">
      <c r="A821581" s="242"/>
    </row>
    <row r="821582" spans="1:1" x14ac:dyDescent="0.25">
      <c r="A821582" s="242"/>
    </row>
    <row r="821583" spans="1:1" x14ac:dyDescent="0.25">
      <c r="A821583" s="242"/>
    </row>
    <row r="821584" spans="1:1" x14ac:dyDescent="0.25">
      <c r="A821584" s="242"/>
    </row>
    <row r="821585" spans="1:1" x14ac:dyDescent="0.25">
      <c r="A821585" s="242"/>
    </row>
    <row r="821586" spans="1:1" x14ac:dyDescent="0.25">
      <c r="A821586" s="242"/>
    </row>
    <row r="821587" spans="1:1" x14ac:dyDescent="0.25">
      <c r="A821587" s="242"/>
    </row>
    <row r="821588" spans="1:1" x14ac:dyDescent="0.25">
      <c r="A821588" s="242"/>
    </row>
    <row r="821589" spans="1:1" x14ac:dyDescent="0.25">
      <c r="A821589" s="242"/>
    </row>
    <row r="821590" spans="1:1" x14ac:dyDescent="0.25">
      <c r="A821590" s="242"/>
    </row>
    <row r="821591" spans="1:1" x14ac:dyDescent="0.25">
      <c r="A821591" s="242"/>
    </row>
    <row r="821592" spans="1:1" x14ac:dyDescent="0.25">
      <c r="A821592" s="242"/>
    </row>
    <row r="821593" spans="1:1" x14ac:dyDescent="0.25">
      <c r="A821593" s="242"/>
    </row>
    <row r="821594" spans="1:1" x14ac:dyDescent="0.25">
      <c r="A821594" s="242"/>
    </row>
    <row r="821595" spans="1:1" x14ac:dyDescent="0.25">
      <c r="A821595" s="242"/>
    </row>
    <row r="821596" spans="1:1" x14ac:dyDescent="0.25">
      <c r="A821596" s="242"/>
    </row>
    <row r="821597" spans="1:1" x14ac:dyDescent="0.25">
      <c r="A821597" s="242"/>
    </row>
    <row r="821598" spans="1:1" x14ac:dyDescent="0.25">
      <c r="A821598" s="242"/>
    </row>
    <row r="821599" spans="1:1" x14ac:dyDescent="0.25">
      <c r="A821599" s="242"/>
    </row>
    <row r="821600" spans="1:1" x14ac:dyDescent="0.25">
      <c r="A821600" s="242"/>
    </row>
    <row r="821601" spans="1:1" x14ac:dyDescent="0.25">
      <c r="A821601" s="242"/>
    </row>
    <row r="821602" spans="1:1" x14ac:dyDescent="0.25">
      <c r="A821602" s="242"/>
    </row>
    <row r="821603" spans="1:1" x14ac:dyDescent="0.25">
      <c r="A821603" s="242"/>
    </row>
    <row r="821604" spans="1:1" x14ac:dyDescent="0.25">
      <c r="A821604" s="242"/>
    </row>
    <row r="821605" spans="1:1" x14ac:dyDescent="0.25">
      <c r="A821605" s="242"/>
    </row>
    <row r="821606" spans="1:1" x14ac:dyDescent="0.25">
      <c r="A821606" s="242"/>
    </row>
    <row r="821607" spans="1:1" x14ac:dyDescent="0.25">
      <c r="A821607" s="242"/>
    </row>
    <row r="821608" spans="1:1" x14ac:dyDescent="0.25">
      <c r="A821608" s="242"/>
    </row>
    <row r="821609" spans="1:1" x14ac:dyDescent="0.25">
      <c r="A821609" s="242"/>
    </row>
    <row r="821610" spans="1:1" x14ac:dyDescent="0.25">
      <c r="A821610" s="242"/>
    </row>
    <row r="821611" spans="1:1" x14ac:dyDescent="0.25">
      <c r="A821611" s="242"/>
    </row>
    <row r="821612" spans="1:1" x14ac:dyDescent="0.25">
      <c r="A821612" s="242"/>
    </row>
    <row r="821613" spans="1:1" x14ac:dyDescent="0.25">
      <c r="A821613" s="242"/>
    </row>
    <row r="821614" spans="1:1" x14ac:dyDescent="0.25">
      <c r="A821614" s="242"/>
    </row>
    <row r="821615" spans="1:1" x14ac:dyDescent="0.25">
      <c r="A821615" s="242"/>
    </row>
    <row r="821616" spans="1:1" x14ac:dyDescent="0.25">
      <c r="A821616" s="242"/>
    </row>
    <row r="821617" spans="1:1" x14ac:dyDescent="0.25">
      <c r="A821617" s="242"/>
    </row>
    <row r="821618" spans="1:1" x14ac:dyDescent="0.25">
      <c r="A821618" s="242"/>
    </row>
    <row r="821619" spans="1:1" x14ac:dyDescent="0.25">
      <c r="A821619" s="242"/>
    </row>
    <row r="821620" spans="1:1" x14ac:dyDescent="0.25">
      <c r="A821620" s="242"/>
    </row>
    <row r="821621" spans="1:1" x14ac:dyDescent="0.25">
      <c r="A821621" s="242"/>
    </row>
    <row r="821622" spans="1:1" x14ac:dyDescent="0.25">
      <c r="A821622" s="242"/>
    </row>
    <row r="821623" spans="1:1" x14ac:dyDescent="0.25">
      <c r="A821623" s="242"/>
    </row>
    <row r="821624" spans="1:1" x14ac:dyDescent="0.25">
      <c r="A821624" s="242"/>
    </row>
    <row r="821625" spans="1:1" x14ac:dyDescent="0.25">
      <c r="A821625" s="242"/>
    </row>
    <row r="821626" spans="1:1" x14ac:dyDescent="0.25">
      <c r="A821626" s="242"/>
    </row>
    <row r="821627" spans="1:1" x14ac:dyDescent="0.25">
      <c r="A821627" s="242"/>
    </row>
    <row r="821628" spans="1:1" x14ac:dyDescent="0.25">
      <c r="A821628" s="242"/>
    </row>
    <row r="821629" spans="1:1" x14ac:dyDescent="0.25">
      <c r="A821629" s="242"/>
    </row>
    <row r="821630" spans="1:1" x14ac:dyDescent="0.25">
      <c r="A821630" s="242"/>
    </row>
    <row r="821631" spans="1:1" x14ac:dyDescent="0.25">
      <c r="A821631" s="242"/>
    </row>
    <row r="821632" spans="1:1" x14ac:dyDescent="0.25">
      <c r="A821632" s="242"/>
    </row>
    <row r="821633" spans="1:1" x14ac:dyDescent="0.25">
      <c r="A821633" s="242"/>
    </row>
    <row r="821634" spans="1:1" x14ac:dyDescent="0.25">
      <c r="A821634" s="242"/>
    </row>
    <row r="821635" spans="1:1" x14ac:dyDescent="0.25">
      <c r="A821635" s="242"/>
    </row>
    <row r="821636" spans="1:1" x14ac:dyDescent="0.25">
      <c r="A821636" s="242"/>
    </row>
    <row r="821637" spans="1:1" x14ac:dyDescent="0.25">
      <c r="A821637" s="242"/>
    </row>
    <row r="821638" spans="1:1" x14ac:dyDescent="0.25">
      <c r="A821638" s="242"/>
    </row>
    <row r="821639" spans="1:1" x14ac:dyDescent="0.25">
      <c r="A821639" s="242"/>
    </row>
    <row r="821640" spans="1:1" x14ac:dyDescent="0.25">
      <c r="A821640" s="242"/>
    </row>
    <row r="821641" spans="1:1" x14ac:dyDescent="0.25">
      <c r="A821641" s="242"/>
    </row>
    <row r="821642" spans="1:1" x14ac:dyDescent="0.25">
      <c r="A821642" s="242"/>
    </row>
    <row r="821643" spans="1:1" x14ac:dyDescent="0.25">
      <c r="A821643" s="242"/>
    </row>
    <row r="821644" spans="1:1" x14ac:dyDescent="0.25">
      <c r="A821644" s="242"/>
    </row>
    <row r="821645" spans="1:1" x14ac:dyDescent="0.25">
      <c r="A821645" s="242"/>
    </row>
    <row r="821646" spans="1:1" x14ac:dyDescent="0.25">
      <c r="A821646" s="242"/>
    </row>
    <row r="821647" spans="1:1" x14ac:dyDescent="0.25">
      <c r="A821647" s="242"/>
    </row>
    <row r="821648" spans="1:1" x14ac:dyDescent="0.25">
      <c r="A821648" s="242"/>
    </row>
    <row r="821649" spans="1:1" x14ac:dyDescent="0.25">
      <c r="A821649" s="242"/>
    </row>
    <row r="821650" spans="1:1" x14ac:dyDescent="0.25">
      <c r="A821650" s="242"/>
    </row>
    <row r="821651" spans="1:1" x14ac:dyDescent="0.25">
      <c r="A821651" s="242"/>
    </row>
    <row r="821652" spans="1:1" x14ac:dyDescent="0.25">
      <c r="A821652" s="242"/>
    </row>
    <row r="821653" spans="1:1" x14ac:dyDescent="0.25">
      <c r="A821653" s="242"/>
    </row>
    <row r="821654" spans="1:1" x14ac:dyDescent="0.25">
      <c r="A821654" s="242"/>
    </row>
    <row r="821655" spans="1:1" x14ac:dyDescent="0.25">
      <c r="A821655" s="242"/>
    </row>
    <row r="821656" spans="1:1" x14ac:dyDescent="0.25">
      <c r="A821656" s="242"/>
    </row>
    <row r="821657" spans="1:1" x14ac:dyDescent="0.25">
      <c r="A821657" s="242"/>
    </row>
    <row r="821658" spans="1:1" x14ac:dyDescent="0.25">
      <c r="A821658" s="242"/>
    </row>
    <row r="821659" spans="1:1" x14ac:dyDescent="0.25">
      <c r="A821659" s="242"/>
    </row>
    <row r="821660" spans="1:1" x14ac:dyDescent="0.25">
      <c r="A821660" s="242"/>
    </row>
    <row r="821661" spans="1:1" x14ac:dyDescent="0.25">
      <c r="A821661" s="242"/>
    </row>
    <row r="821662" spans="1:1" x14ac:dyDescent="0.25">
      <c r="A821662" s="242"/>
    </row>
    <row r="821663" spans="1:1" x14ac:dyDescent="0.25">
      <c r="A821663" s="242"/>
    </row>
    <row r="821664" spans="1:1" x14ac:dyDescent="0.25">
      <c r="A821664" s="242"/>
    </row>
    <row r="821665" spans="1:1" x14ac:dyDescent="0.25">
      <c r="A821665" s="242"/>
    </row>
    <row r="821666" spans="1:1" x14ac:dyDescent="0.25">
      <c r="A821666" s="242"/>
    </row>
    <row r="821667" spans="1:1" x14ac:dyDescent="0.25">
      <c r="A821667" s="242"/>
    </row>
    <row r="821668" spans="1:1" x14ac:dyDescent="0.25">
      <c r="A821668" s="242"/>
    </row>
    <row r="821669" spans="1:1" x14ac:dyDescent="0.25">
      <c r="A821669" s="242"/>
    </row>
    <row r="821670" spans="1:1" x14ac:dyDescent="0.25">
      <c r="A821670" s="242"/>
    </row>
    <row r="821671" spans="1:1" x14ac:dyDescent="0.25">
      <c r="A821671" s="242"/>
    </row>
    <row r="821672" spans="1:1" x14ac:dyDescent="0.25">
      <c r="A821672" s="242"/>
    </row>
    <row r="821673" spans="1:1" x14ac:dyDescent="0.25">
      <c r="A821673" s="242"/>
    </row>
    <row r="821674" spans="1:1" x14ac:dyDescent="0.25">
      <c r="A821674" s="242"/>
    </row>
    <row r="821675" spans="1:1" x14ac:dyDescent="0.25">
      <c r="A821675" s="242"/>
    </row>
    <row r="821676" spans="1:1" x14ac:dyDescent="0.25">
      <c r="A821676" s="242"/>
    </row>
    <row r="821677" spans="1:1" x14ac:dyDescent="0.25">
      <c r="A821677" s="242"/>
    </row>
    <row r="821678" spans="1:1" x14ac:dyDescent="0.25">
      <c r="A821678" s="242"/>
    </row>
    <row r="821679" spans="1:1" x14ac:dyDescent="0.25">
      <c r="A821679" s="242"/>
    </row>
    <row r="821680" spans="1:1" x14ac:dyDescent="0.25">
      <c r="A821680" s="242"/>
    </row>
    <row r="821681" spans="1:1" x14ac:dyDescent="0.25">
      <c r="A821681" s="242"/>
    </row>
    <row r="821682" spans="1:1" x14ac:dyDescent="0.25">
      <c r="A821682" s="242"/>
    </row>
    <row r="821683" spans="1:1" x14ac:dyDescent="0.25">
      <c r="A821683" s="242"/>
    </row>
    <row r="821684" spans="1:1" x14ac:dyDescent="0.25">
      <c r="A821684" s="242"/>
    </row>
    <row r="821685" spans="1:1" x14ac:dyDescent="0.25">
      <c r="A821685" s="242"/>
    </row>
    <row r="821686" spans="1:1" x14ac:dyDescent="0.25">
      <c r="A821686" s="242"/>
    </row>
    <row r="821687" spans="1:1" x14ac:dyDescent="0.25">
      <c r="A821687" s="242"/>
    </row>
    <row r="821688" spans="1:1" x14ac:dyDescent="0.25">
      <c r="A821688" s="242"/>
    </row>
    <row r="821689" spans="1:1" x14ac:dyDescent="0.25">
      <c r="A821689" s="242"/>
    </row>
    <row r="821690" spans="1:1" x14ac:dyDescent="0.25">
      <c r="A821690" s="242"/>
    </row>
    <row r="821691" spans="1:1" x14ac:dyDescent="0.25">
      <c r="A821691" s="242"/>
    </row>
    <row r="821692" spans="1:1" x14ac:dyDescent="0.25">
      <c r="A821692" s="242"/>
    </row>
    <row r="821693" spans="1:1" x14ac:dyDescent="0.25">
      <c r="A821693" s="242"/>
    </row>
    <row r="821694" spans="1:1" x14ac:dyDescent="0.25">
      <c r="A821694" s="242"/>
    </row>
    <row r="821695" spans="1:1" x14ac:dyDescent="0.25">
      <c r="A821695" s="242"/>
    </row>
    <row r="821696" spans="1:1" x14ac:dyDescent="0.25">
      <c r="A821696" s="242"/>
    </row>
    <row r="821697" spans="1:1" x14ac:dyDescent="0.25">
      <c r="A821697" s="242"/>
    </row>
    <row r="821698" spans="1:1" x14ac:dyDescent="0.25">
      <c r="A821698" s="242"/>
    </row>
    <row r="821699" spans="1:1" x14ac:dyDescent="0.25">
      <c r="A821699" s="242"/>
    </row>
    <row r="821700" spans="1:1" x14ac:dyDescent="0.25">
      <c r="A821700" s="242"/>
    </row>
    <row r="821701" spans="1:1" x14ac:dyDescent="0.25">
      <c r="A821701" s="242"/>
    </row>
    <row r="821702" spans="1:1" x14ac:dyDescent="0.25">
      <c r="A821702" s="242"/>
    </row>
    <row r="821703" spans="1:1" x14ac:dyDescent="0.25">
      <c r="A821703" s="242"/>
    </row>
    <row r="821704" spans="1:1" x14ac:dyDescent="0.25">
      <c r="A821704" s="242"/>
    </row>
    <row r="821705" spans="1:1" x14ac:dyDescent="0.25">
      <c r="A821705" s="242"/>
    </row>
    <row r="821706" spans="1:1" x14ac:dyDescent="0.25">
      <c r="A821706" s="242"/>
    </row>
    <row r="821707" spans="1:1" x14ac:dyDescent="0.25">
      <c r="A821707" s="242"/>
    </row>
    <row r="821708" spans="1:1" x14ac:dyDescent="0.25">
      <c r="A821708" s="242"/>
    </row>
    <row r="821709" spans="1:1" x14ac:dyDescent="0.25">
      <c r="A821709" s="242"/>
    </row>
    <row r="821710" spans="1:1" x14ac:dyDescent="0.25">
      <c r="A821710" s="242"/>
    </row>
    <row r="821711" spans="1:1" x14ac:dyDescent="0.25">
      <c r="A821711" s="242"/>
    </row>
    <row r="821712" spans="1:1" x14ac:dyDescent="0.25">
      <c r="A821712" s="242"/>
    </row>
    <row r="821713" spans="1:1" x14ac:dyDescent="0.25">
      <c r="A821713" s="242"/>
    </row>
    <row r="821714" spans="1:1" x14ac:dyDescent="0.25">
      <c r="A821714" s="242"/>
    </row>
    <row r="821715" spans="1:1" x14ac:dyDescent="0.25">
      <c r="A821715" s="242"/>
    </row>
    <row r="821716" spans="1:1" x14ac:dyDescent="0.25">
      <c r="A821716" s="242"/>
    </row>
    <row r="821717" spans="1:1" x14ac:dyDescent="0.25">
      <c r="A821717" s="242"/>
    </row>
    <row r="821718" spans="1:1" x14ac:dyDescent="0.25">
      <c r="A821718" s="242"/>
    </row>
    <row r="821719" spans="1:1" x14ac:dyDescent="0.25">
      <c r="A821719" s="242"/>
    </row>
    <row r="821720" spans="1:1" x14ac:dyDescent="0.25">
      <c r="A821720" s="242"/>
    </row>
    <row r="821721" spans="1:1" x14ac:dyDescent="0.25">
      <c r="A821721" s="242"/>
    </row>
    <row r="821722" spans="1:1" x14ac:dyDescent="0.25">
      <c r="A821722" s="242"/>
    </row>
    <row r="821723" spans="1:1" x14ac:dyDescent="0.25">
      <c r="A821723" s="242"/>
    </row>
    <row r="821724" spans="1:1" x14ac:dyDescent="0.25">
      <c r="A821724" s="242"/>
    </row>
    <row r="821725" spans="1:1" x14ac:dyDescent="0.25">
      <c r="A821725" s="242"/>
    </row>
    <row r="821726" spans="1:1" x14ac:dyDescent="0.25">
      <c r="A821726" s="242"/>
    </row>
    <row r="821727" spans="1:1" x14ac:dyDescent="0.25">
      <c r="A821727" s="242"/>
    </row>
    <row r="821728" spans="1:1" x14ac:dyDescent="0.25">
      <c r="A821728" s="242"/>
    </row>
    <row r="821729" spans="1:1" x14ac:dyDescent="0.25">
      <c r="A821729" s="242"/>
    </row>
    <row r="821730" spans="1:1" x14ac:dyDescent="0.25">
      <c r="A821730" s="242"/>
    </row>
    <row r="821731" spans="1:1" x14ac:dyDescent="0.25">
      <c r="A821731" s="242"/>
    </row>
    <row r="821732" spans="1:1" x14ac:dyDescent="0.25">
      <c r="A821732" s="242"/>
    </row>
    <row r="821733" spans="1:1" x14ac:dyDescent="0.25">
      <c r="A821733" s="242"/>
    </row>
    <row r="821734" spans="1:1" x14ac:dyDescent="0.25">
      <c r="A821734" s="242"/>
    </row>
    <row r="821735" spans="1:1" x14ac:dyDescent="0.25">
      <c r="A821735" s="242"/>
    </row>
    <row r="821736" spans="1:1" x14ac:dyDescent="0.25">
      <c r="A821736" s="242"/>
    </row>
    <row r="821737" spans="1:1" x14ac:dyDescent="0.25">
      <c r="A821737" s="242"/>
    </row>
    <row r="821738" spans="1:1" x14ac:dyDescent="0.25">
      <c r="A821738" s="242"/>
    </row>
    <row r="821739" spans="1:1" x14ac:dyDescent="0.25">
      <c r="A821739" s="242"/>
    </row>
    <row r="821740" spans="1:1" x14ac:dyDescent="0.25">
      <c r="A821740" s="242"/>
    </row>
    <row r="821741" spans="1:1" x14ac:dyDescent="0.25">
      <c r="A821741" s="242"/>
    </row>
    <row r="821742" spans="1:1" x14ac:dyDescent="0.25">
      <c r="A821742" s="242"/>
    </row>
    <row r="821743" spans="1:1" x14ac:dyDescent="0.25">
      <c r="A821743" s="242"/>
    </row>
    <row r="821744" spans="1:1" x14ac:dyDescent="0.25">
      <c r="A821744" s="242"/>
    </row>
    <row r="821745" spans="1:1" x14ac:dyDescent="0.25">
      <c r="A821745" s="242"/>
    </row>
    <row r="821746" spans="1:1" x14ac:dyDescent="0.25">
      <c r="A821746" s="242"/>
    </row>
    <row r="821747" spans="1:1" x14ac:dyDescent="0.25">
      <c r="A821747" s="242"/>
    </row>
    <row r="821748" spans="1:1" x14ac:dyDescent="0.25">
      <c r="A821748" s="242"/>
    </row>
    <row r="821749" spans="1:1" x14ac:dyDescent="0.25">
      <c r="A821749" s="242"/>
    </row>
    <row r="821750" spans="1:1" x14ac:dyDescent="0.25">
      <c r="A821750" s="242"/>
    </row>
    <row r="821751" spans="1:1" x14ac:dyDescent="0.25">
      <c r="A821751" s="242"/>
    </row>
    <row r="821752" spans="1:1" x14ac:dyDescent="0.25">
      <c r="A821752" s="242"/>
    </row>
    <row r="821753" spans="1:1" x14ac:dyDescent="0.25">
      <c r="A821753" s="242"/>
    </row>
    <row r="821754" spans="1:1" x14ac:dyDescent="0.25">
      <c r="A821754" s="242"/>
    </row>
    <row r="821755" spans="1:1" x14ac:dyDescent="0.25">
      <c r="A821755" s="242"/>
    </row>
    <row r="821756" spans="1:1" x14ac:dyDescent="0.25">
      <c r="A821756" s="242"/>
    </row>
    <row r="821757" spans="1:1" x14ac:dyDescent="0.25">
      <c r="A821757" s="242"/>
    </row>
    <row r="821758" spans="1:1" x14ac:dyDescent="0.25">
      <c r="A821758" s="242"/>
    </row>
    <row r="821759" spans="1:1" x14ac:dyDescent="0.25">
      <c r="A821759" s="242"/>
    </row>
    <row r="821760" spans="1:1" x14ac:dyDescent="0.25">
      <c r="A821760" s="242"/>
    </row>
    <row r="821761" spans="1:1" x14ac:dyDescent="0.25">
      <c r="A821761" s="242"/>
    </row>
    <row r="821762" spans="1:1" x14ac:dyDescent="0.25">
      <c r="A821762" s="242"/>
    </row>
    <row r="821763" spans="1:1" x14ac:dyDescent="0.25">
      <c r="A821763" s="242"/>
    </row>
    <row r="821764" spans="1:1" x14ac:dyDescent="0.25">
      <c r="A821764" s="242"/>
    </row>
    <row r="821765" spans="1:1" x14ac:dyDescent="0.25">
      <c r="A821765" s="242"/>
    </row>
    <row r="821766" spans="1:1" x14ac:dyDescent="0.25">
      <c r="A821766" s="242"/>
    </row>
    <row r="821767" spans="1:1" x14ac:dyDescent="0.25">
      <c r="A821767" s="242"/>
    </row>
    <row r="821768" spans="1:1" x14ac:dyDescent="0.25">
      <c r="A821768" s="242"/>
    </row>
    <row r="821769" spans="1:1" x14ac:dyDescent="0.25">
      <c r="A821769" s="242"/>
    </row>
    <row r="821770" spans="1:1" x14ac:dyDescent="0.25">
      <c r="A821770" s="242"/>
    </row>
    <row r="821771" spans="1:1" x14ac:dyDescent="0.25">
      <c r="A821771" s="242"/>
    </row>
    <row r="821772" spans="1:1" x14ac:dyDescent="0.25">
      <c r="A821772" s="242"/>
    </row>
    <row r="821773" spans="1:1" x14ac:dyDescent="0.25">
      <c r="A821773" s="242"/>
    </row>
    <row r="821774" spans="1:1" x14ac:dyDescent="0.25">
      <c r="A821774" s="242"/>
    </row>
    <row r="821775" spans="1:1" x14ac:dyDescent="0.25">
      <c r="A821775" s="242"/>
    </row>
    <row r="821776" spans="1:1" x14ac:dyDescent="0.25">
      <c r="A821776" s="242"/>
    </row>
    <row r="821777" spans="1:1" x14ac:dyDescent="0.25">
      <c r="A821777" s="242"/>
    </row>
    <row r="821778" spans="1:1" x14ac:dyDescent="0.25">
      <c r="A821778" s="242"/>
    </row>
    <row r="821779" spans="1:1" x14ac:dyDescent="0.25">
      <c r="A821779" s="242"/>
    </row>
    <row r="821780" spans="1:1" x14ac:dyDescent="0.25">
      <c r="A821780" s="242"/>
    </row>
    <row r="821781" spans="1:1" x14ac:dyDescent="0.25">
      <c r="A821781" s="242"/>
    </row>
    <row r="821782" spans="1:1" x14ac:dyDescent="0.25">
      <c r="A821782" s="242"/>
    </row>
    <row r="821783" spans="1:1" x14ac:dyDescent="0.25">
      <c r="A821783" s="242"/>
    </row>
    <row r="821784" spans="1:1" x14ac:dyDescent="0.25">
      <c r="A821784" s="242"/>
    </row>
    <row r="821785" spans="1:1" x14ac:dyDescent="0.25">
      <c r="A821785" s="242"/>
    </row>
    <row r="821786" spans="1:1" x14ac:dyDescent="0.25">
      <c r="A821786" s="242"/>
    </row>
    <row r="821787" spans="1:1" x14ac:dyDescent="0.25">
      <c r="A821787" s="242"/>
    </row>
    <row r="821788" spans="1:1" x14ac:dyDescent="0.25">
      <c r="A821788" s="242"/>
    </row>
    <row r="821789" spans="1:1" x14ac:dyDescent="0.25">
      <c r="A821789" s="242"/>
    </row>
    <row r="821790" spans="1:1" x14ac:dyDescent="0.25">
      <c r="A821790" s="242"/>
    </row>
    <row r="821791" spans="1:1" x14ac:dyDescent="0.25">
      <c r="A821791" s="242"/>
    </row>
    <row r="821792" spans="1:1" x14ac:dyDescent="0.25">
      <c r="A821792" s="242"/>
    </row>
    <row r="821793" spans="1:1" x14ac:dyDescent="0.25">
      <c r="A821793" s="242"/>
    </row>
    <row r="821794" spans="1:1" x14ac:dyDescent="0.25">
      <c r="A821794" s="242"/>
    </row>
    <row r="821795" spans="1:1" x14ac:dyDescent="0.25">
      <c r="A821795" s="242"/>
    </row>
    <row r="821796" spans="1:1" x14ac:dyDescent="0.25">
      <c r="A821796" s="242"/>
    </row>
    <row r="821797" spans="1:1" x14ac:dyDescent="0.25">
      <c r="A821797" s="242"/>
    </row>
    <row r="821798" spans="1:1" x14ac:dyDescent="0.25">
      <c r="A821798" s="242"/>
    </row>
    <row r="821799" spans="1:1" x14ac:dyDescent="0.25">
      <c r="A821799" s="242"/>
    </row>
    <row r="821800" spans="1:1" x14ac:dyDescent="0.25">
      <c r="A821800" s="242"/>
    </row>
    <row r="821801" spans="1:1" x14ac:dyDescent="0.25">
      <c r="A821801" s="242"/>
    </row>
    <row r="821802" spans="1:1" x14ac:dyDescent="0.25">
      <c r="A821802" s="242"/>
    </row>
    <row r="821803" spans="1:1" x14ac:dyDescent="0.25">
      <c r="A821803" s="242"/>
    </row>
    <row r="821804" spans="1:1" x14ac:dyDescent="0.25">
      <c r="A821804" s="242"/>
    </row>
    <row r="821805" spans="1:1" x14ac:dyDescent="0.25">
      <c r="A821805" s="242"/>
    </row>
    <row r="821806" spans="1:1" x14ac:dyDescent="0.25">
      <c r="A821806" s="242"/>
    </row>
    <row r="821807" spans="1:1" x14ac:dyDescent="0.25">
      <c r="A821807" s="242"/>
    </row>
    <row r="821808" spans="1:1" x14ac:dyDescent="0.25">
      <c r="A821808" s="242"/>
    </row>
    <row r="821809" spans="1:1" x14ac:dyDescent="0.25">
      <c r="A821809" s="242"/>
    </row>
    <row r="821810" spans="1:1" x14ac:dyDescent="0.25">
      <c r="A821810" s="242"/>
    </row>
    <row r="821811" spans="1:1" x14ac:dyDescent="0.25">
      <c r="A821811" s="242"/>
    </row>
    <row r="821812" spans="1:1" x14ac:dyDescent="0.25">
      <c r="A821812" s="242"/>
    </row>
    <row r="821813" spans="1:1" x14ac:dyDescent="0.25">
      <c r="A821813" s="242"/>
    </row>
    <row r="821814" spans="1:1" x14ac:dyDescent="0.25">
      <c r="A821814" s="242"/>
    </row>
    <row r="821815" spans="1:1" x14ac:dyDescent="0.25">
      <c r="A821815" s="242"/>
    </row>
    <row r="821816" spans="1:1" x14ac:dyDescent="0.25">
      <c r="A821816" s="242"/>
    </row>
    <row r="821817" spans="1:1" x14ac:dyDescent="0.25">
      <c r="A821817" s="242"/>
    </row>
    <row r="821818" spans="1:1" x14ac:dyDescent="0.25">
      <c r="A821818" s="242"/>
    </row>
    <row r="821819" spans="1:1" x14ac:dyDescent="0.25">
      <c r="A821819" s="242"/>
    </row>
    <row r="821820" spans="1:1" x14ac:dyDescent="0.25">
      <c r="A821820" s="242"/>
    </row>
    <row r="821821" spans="1:1" x14ac:dyDescent="0.25">
      <c r="A821821" s="242"/>
    </row>
    <row r="821822" spans="1:1" x14ac:dyDescent="0.25">
      <c r="A821822" s="242"/>
    </row>
    <row r="821823" spans="1:1" x14ac:dyDescent="0.25">
      <c r="A821823" s="242"/>
    </row>
    <row r="821824" spans="1:1" x14ac:dyDescent="0.25">
      <c r="A821824" s="242"/>
    </row>
    <row r="821825" spans="1:1" x14ac:dyDescent="0.25">
      <c r="A821825" s="242"/>
    </row>
    <row r="821826" spans="1:1" x14ac:dyDescent="0.25">
      <c r="A821826" s="242"/>
    </row>
    <row r="821827" spans="1:1" x14ac:dyDescent="0.25">
      <c r="A821827" s="242"/>
    </row>
    <row r="821828" spans="1:1" x14ac:dyDescent="0.25">
      <c r="A821828" s="242"/>
    </row>
    <row r="821829" spans="1:1" x14ac:dyDescent="0.25">
      <c r="A821829" s="242"/>
    </row>
    <row r="821830" spans="1:1" x14ac:dyDescent="0.25">
      <c r="A821830" s="242"/>
    </row>
    <row r="821831" spans="1:1" x14ac:dyDescent="0.25">
      <c r="A821831" s="242"/>
    </row>
    <row r="821832" spans="1:1" x14ac:dyDescent="0.25">
      <c r="A821832" s="242"/>
    </row>
    <row r="821833" spans="1:1" x14ac:dyDescent="0.25">
      <c r="A821833" s="242"/>
    </row>
    <row r="821834" spans="1:1" x14ac:dyDescent="0.25">
      <c r="A821834" s="242"/>
    </row>
    <row r="821835" spans="1:1" x14ac:dyDescent="0.25">
      <c r="A821835" s="242"/>
    </row>
    <row r="821836" spans="1:1" x14ac:dyDescent="0.25">
      <c r="A821836" s="242"/>
    </row>
    <row r="821837" spans="1:1" x14ac:dyDescent="0.25">
      <c r="A821837" s="242"/>
    </row>
    <row r="821838" spans="1:1" x14ac:dyDescent="0.25">
      <c r="A821838" s="242"/>
    </row>
    <row r="821839" spans="1:1" x14ac:dyDescent="0.25">
      <c r="A821839" s="242"/>
    </row>
    <row r="821840" spans="1:1" x14ac:dyDescent="0.25">
      <c r="A821840" s="242"/>
    </row>
    <row r="821841" spans="1:1" x14ac:dyDescent="0.25">
      <c r="A821841" s="242"/>
    </row>
    <row r="821842" spans="1:1" x14ac:dyDescent="0.25">
      <c r="A821842" s="242"/>
    </row>
    <row r="821843" spans="1:1" x14ac:dyDescent="0.25">
      <c r="A821843" s="242"/>
    </row>
    <row r="821844" spans="1:1" x14ac:dyDescent="0.25">
      <c r="A821844" s="242"/>
    </row>
    <row r="821845" spans="1:1" x14ac:dyDescent="0.25">
      <c r="A821845" s="242"/>
    </row>
    <row r="821846" spans="1:1" x14ac:dyDescent="0.25">
      <c r="A821846" s="242"/>
    </row>
    <row r="821847" spans="1:1" x14ac:dyDescent="0.25">
      <c r="A821847" s="242"/>
    </row>
    <row r="821848" spans="1:1" x14ac:dyDescent="0.25">
      <c r="A821848" s="242"/>
    </row>
    <row r="821849" spans="1:1" x14ac:dyDescent="0.25">
      <c r="A821849" s="242"/>
    </row>
    <row r="821850" spans="1:1" x14ac:dyDescent="0.25">
      <c r="A821850" s="242"/>
    </row>
    <row r="821851" spans="1:1" x14ac:dyDescent="0.25">
      <c r="A821851" s="242"/>
    </row>
    <row r="821852" spans="1:1" x14ac:dyDescent="0.25">
      <c r="A821852" s="242"/>
    </row>
    <row r="821853" spans="1:1" x14ac:dyDescent="0.25">
      <c r="A821853" s="242"/>
    </row>
    <row r="821854" spans="1:1" x14ac:dyDescent="0.25">
      <c r="A821854" s="242"/>
    </row>
    <row r="821855" spans="1:1" x14ac:dyDescent="0.25">
      <c r="A821855" s="242"/>
    </row>
    <row r="821856" spans="1:1" x14ac:dyDescent="0.25">
      <c r="A821856" s="242"/>
    </row>
    <row r="821857" spans="1:1" x14ac:dyDescent="0.25">
      <c r="A821857" s="242"/>
    </row>
    <row r="821858" spans="1:1" x14ac:dyDescent="0.25">
      <c r="A821858" s="242"/>
    </row>
    <row r="821859" spans="1:1" x14ac:dyDescent="0.25">
      <c r="A821859" s="242"/>
    </row>
    <row r="821860" spans="1:1" x14ac:dyDescent="0.25">
      <c r="A821860" s="242"/>
    </row>
    <row r="821861" spans="1:1" x14ac:dyDescent="0.25">
      <c r="A821861" s="242"/>
    </row>
    <row r="821862" spans="1:1" x14ac:dyDescent="0.25">
      <c r="A821862" s="242"/>
    </row>
    <row r="821863" spans="1:1" x14ac:dyDescent="0.25">
      <c r="A821863" s="242"/>
    </row>
    <row r="821864" spans="1:1" x14ac:dyDescent="0.25">
      <c r="A821864" s="242"/>
    </row>
    <row r="821865" spans="1:1" x14ac:dyDescent="0.25">
      <c r="A821865" s="242"/>
    </row>
    <row r="821866" spans="1:1" x14ac:dyDescent="0.25">
      <c r="A821866" s="242"/>
    </row>
    <row r="821867" spans="1:1" x14ac:dyDescent="0.25">
      <c r="A821867" s="242"/>
    </row>
    <row r="821868" spans="1:1" x14ac:dyDescent="0.25">
      <c r="A821868" s="242"/>
    </row>
    <row r="821869" spans="1:1" x14ac:dyDescent="0.25">
      <c r="A821869" s="242"/>
    </row>
    <row r="821870" spans="1:1" x14ac:dyDescent="0.25">
      <c r="A821870" s="242"/>
    </row>
    <row r="821871" spans="1:1" x14ac:dyDescent="0.25">
      <c r="A821871" s="242"/>
    </row>
    <row r="821872" spans="1:1" x14ac:dyDescent="0.25">
      <c r="A821872" s="242"/>
    </row>
    <row r="821873" spans="1:1" x14ac:dyDescent="0.25">
      <c r="A821873" s="242"/>
    </row>
    <row r="821874" spans="1:1" x14ac:dyDescent="0.25">
      <c r="A821874" s="242"/>
    </row>
    <row r="821875" spans="1:1" x14ac:dyDescent="0.25">
      <c r="A821875" s="242"/>
    </row>
    <row r="821876" spans="1:1" x14ac:dyDescent="0.25">
      <c r="A821876" s="242"/>
    </row>
    <row r="821877" spans="1:1" x14ac:dyDescent="0.25">
      <c r="A821877" s="242"/>
    </row>
    <row r="821878" spans="1:1" x14ac:dyDescent="0.25">
      <c r="A821878" s="242"/>
    </row>
    <row r="821879" spans="1:1" x14ac:dyDescent="0.25">
      <c r="A821879" s="242"/>
    </row>
    <row r="821880" spans="1:1" x14ac:dyDescent="0.25">
      <c r="A821880" s="242"/>
    </row>
    <row r="821881" spans="1:1" x14ac:dyDescent="0.25">
      <c r="A821881" s="242"/>
    </row>
    <row r="821882" spans="1:1" x14ac:dyDescent="0.25">
      <c r="A821882" s="242"/>
    </row>
    <row r="821883" spans="1:1" x14ac:dyDescent="0.25">
      <c r="A821883" s="242"/>
    </row>
    <row r="821884" spans="1:1" x14ac:dyDescent="0.25">
      <c r="A821884" s="242"/>
    </row>
    <row r="821885" spans="1:1" x14ac:dyDescent="0.25">
      <c r="A821885" s="242"/>
    </row>
    <row r="821886" spans="1:1" x14ac:dyDescent="0.25">
      <c r="A821886" s="242"/>
    </row>
    <row r="821887" spans="1:1" x14ac:dyDescent="0.25">
      <c r="A821887" s="242"/>
    </row>
    <row r="821888" spans="1:1" x14ac:dyDescent="0.25">
      <c r="A821888" s="242"/>
    </row>
    <row r="821889" spans="1:1" x14ac:dyDescent="0.25">
      <c r="A821889" s="242"/>
    </row>
    <row r="821890" spans="1:1" x14ac:dyDescent="0.25">
      <c r="A821890" s="242"/>
    </row>
    <row r="821891" spans="1:1" x14ac:dyDescent="0.25">
      <c r="A821891" s="242"/>
    </row>
    <row r="821892" spans="1:1" x14ac:dyDescent="0.25">
      <c r="A821892" s="242"/>
    </row>
    <row r="821893" spans="1:1" x14ac:dyDescent="0.25">
      <c r="A821893" s="242"/>
    </row>
    <row r="821894" spans="1:1" x14ac:dyDescent="0.25">
      <c r="A821894" s="242"/>
    </row>
    <row r="821895" spans="1:1" x14ac:dyDescent="0.25">
      <c r="A821895" s="242"/>
    </row>
    <row r="821896" spans="1:1" x14ac:dyDescent="0.25">
      <c r="A821896" s="242"/>
    </row>
    <row r="821897" spans="1:1" x14ac:dyDescent="0.25">
      <c r="A821897" s="242"/>
    </row>
    <row r="821898" spans="1:1" x14ac:dyDescent="0.25">
      <c r="A821898" s="242"/>
    </row>
    <row r="821899" spans="1:1" x14ac:dyDescent="0.25">
      <c r="A821899" s="242"/>
    </row>
    <row r="821900" spans="1:1" x14ac:dyDescent="0.25">
      <c r="A821900" s="242"/>
    </row>
    <row r="821901" spans="1:1" x14ac:dyDescent="0.25">
      <c r="A821901" s="242"/>
    </row>
    <row r="821902" spans="1:1" x14ac:dyDescent="0.25">
      <c r="A821902" s="242"/>
    </row>
    <row r="821903" spans="1:1" x14ac:dyDescent="0.25">
      <c r="A821903" s="242"/>
    </row>
    <row r="821904" spans="1:1" x14ac:dyDescent="0.25">
      <c r="A821904" s="242"/>
    </row>
    <row r="821905" spans="1:1" x14ac:dyDescent="0.25">
      <c r="A821905" s="242"/>
    </row>
    <row r="821906" spans="1:1" x14ac:dyDescent="0.25">
      <c r="A821906" s="242"/>
    </row>
    <row r="821907" spans="1:1" x14ac:dyDescent="0.25">
      <c r="A821907" s="242"/>
    </row>
    <row r="821908" spans="1:1" x14ac:dyDescent="0.25">
      <c r="A821908" s="242"/>
    </row>
    <row r="821909" spans="1:1" x14ac:dyDescent="0.25">
      <c r="A821909" s="242"/>
    </row>
    <row r="821910" spans="1:1" x14ac:dyDescent="0.25">
      <c r="A821910" s="242"/>
    </row>
    <row r="821911" spans="1:1" x14ac:dyDescent="0.25">
      <c r="A821911" s="242"/>
    </row>
    <row r="821912" spans="1:1" x14ac:dyDescent="0.25">
      <c r="A821912" s="242"/>
    </row>
    <row r="821913" spans="1:1" x14ac:dyDescent="0.25">
      <c r="A821913" s="242"/>
    </row>
    <row r="821914" spans="1:1" x14ac:dyDescent="0.25">
      <c r="A821914" s="242"/>
    </row>
    <row r="821915" spans="1:1" x14ac:dyDescent="0.25">
      <c r="A821915" s="242"/>
    </row>
    <row r="821916" spans="1:1" x14ac:dyDescent="0.25">
      <c r="A821916" s="242"/>
    </row>
    <row r="821917" spans="1:1" x14ac:dyDescent="0.25">
      <c r="A821917" s="242"/>
    </row>
    <row r="821918" spans="1:1" x14ac:dyDescent="0.25">
      <c r="A821918" s="242"/>
    </row>
    <row r="821919" spans="1:1" x14ac:dyDescent="0.25">
      <c r="A821919" s="242"/>
    </row>
    <row r="821920" spans="1:1" x14ac:dyDescent="0.25">
      <c r="A821920" s="242"/>
    </row>
    <row r="821921" spans="1:1" x14ac:dyDescent="0.25">
      <c r="A821921" s="242"/>
    </row>
    <row r="821922" spans="1:1" x14ac:dyDescent="0.25">
      <c r="A821922" s="242"/>
    </row>
    <row r="821923" spans="1:1" x14ac:dyDescent="0.25">
      <c r="A821923" s="242"/>
    </row>
    <row r="821924" spans="1:1" x14ac:dyDescent="0.25">
      <c r="A821924" s="242"/>
    </row>
    <row r="821925" spans="1:1" x14ac:dyDescent="0.25">
      <c r="A821925" s="242"/>
    </row>
    <row r="821926" spans="1:1" x14ac:dyDescent="0.25">
      <c r="A821926" s="242"/>
    </row>
    <row r="821927" spans="1:1" x14ac:dyDescent="0.25">
      <c r="A821927" s="242"/>
    </row>
    <row r="821928" spans="1:1" x14ac:dyDescent="0.25">
      <c r="A821928" s="242"/>
    </row>
    <row r="821929" spans="1:1" x14ac:dyDescent="0.25">
      <c r="A821929" s="242"/>
    </row>
    <row r="821930" spans="1:1" x14ac:dyDescent="0.25">
      <c r="A821930" s="242"/>
    </row>
    <row r="821931" spans="1:1" x14ac:dyDescent="0.25">
      <c r="A821931" s="242"/>
    </row>
    <row r="821932" spans="1:1" x14ac:dyDescent="0.25">
      <c r="A821932" s="242"/>
    </row>
    <row r="821933" spans="1:1" x14ac:dyDescent="0.25">
      <c r="A821933" s="242"/>
    </row>
    <row r="821934" spans="1:1" x14ac:dyDescent="0.25">
      <c r="A821934" s="242"/>
    </row>
    <row r="821935" spans="1:1" x14ac:dyDescent="0.25">
      <c r="A821935" s="242"/>
    </row>
    <row r="821936" spans="1:1" x14ac:dyDescent="0.25">
      <c r="A821936" s="242"/>
    </row>
    <row r="821937" spans="1:1" x14ac:dyDescent="0.25">
      <c r="A821937" s="242"/>
    </row>
    <row r="821938" spans="1:1" x14ac:dyDescent="0.25">
      <c r="A821938" s="242"/>
    </row>
    <row r="821939" spans="1:1" x14ac:dyDescent="0.25">
      <c r="A821939" s="242"/>
    </row>
    <row r="821940" spans="1:1" x14ac:dyDescent="0.25">
      <c r="A821940" s="242"/>
    </row>
    <row r="821941" spans="1:1" x14ac:dyDescent="0.25">
      <c r="A821941" s="242"/>
    </row>
    <row r="821942" spans="1:1" x14ac:dyDescent="0.25">
      <c r="A821942" s="242"/>
    </row>
    <row r="821943" spans="1:1" x14ac:dyDescent="0.25">
      <c r="A821943" s="242"/>
    </row>
    <row r="821944" spans="1:1" x14ac:dyDescent="0.25">
      <c r="A821944" s="242"/>
    </row>
    <row r="821945" spans="1:1" x14ac:dyDescent="0.25">
      <c r="A821945" s="242"/>
    </row>
    <row r="821946" spans="1:1" x14ac:dyDescent="0.25">
      <c r="A821946" s="242"/>
    </row>
    <row r="821947" spans="1:1" x14ac:dyDescent="0.25">
      <c r="A821947" s="242"/>
    </row>
    <row r="821948" spans="1:1" x14ac:dyDescent="0.25">
      <c r="A821948" s="242"/>
    </row>
    <row r="821949" spans="1:1" x14ac:dyDescent="0.25">
      <c r="A821949" s="242"/>
    </row>
    <row r="821950" spans="1:1" x14ac:dyDescent="0.25">
      <c r="A821950" s="242"/>
    </row>
    <row r="821951" spans="1:1" x14ac:dyDescent="0.25">
      <c r="A821951" s="242"/>
    </row>
    <row r="821952" spans="1:1" x14ac:dyDescent="0.25">
      <c r="A821952" s="242"/>
    </row>
    <row r="821953" spans="1:1" x14ac:dyDescent="0.25">
      <c r="A821953" s="242"/>
    </row>
    <row r="821954" spans="1:1" x14ac:dyDescent="0.25">
      <c r="A821954" s="242"/>
    </row>
    <row r="821955" spans="1:1" x14ac:dyDescent="0.25">
      <c r="A821955" s="242"/>
    </row>
    <row r="821956" spans="1:1" x14ac:dyDescent="0.25">
      <c r="A821956" s="242"/>
    </row>
    <row r="821957" spans="1:1" x14ac:dyDescent="0.25">
      <c r="A821957" s="242"/>
    </row>
    <row r="821958" spans="1:1" x14ac:dyDescent="0.25">
      <c r="A821958" s="242"/>
    </row>
    <row r="821959" spans="1:1" x14ac:dyDescent="0.25">
      <c r="A821959" s="242"/>
    </row>
    <row r="821960" spans="1:1" x14ac:dyDescent="0.25">
      <c r="A821960" s="242"/>
    </row>
    <row r="821961" spans="1:1" x14ac:dyDescent="0.25">
      <c r="A821961" s="242"/>
    </row>
    <row r="821962" spans="1:1" x14ac:dyDescent="0.25">
      <c r="A821962" s="242"/>
    </row>
    <row r="821963" spans="1:1" x14ac:dyDescent="0.25">
      <c r="A821963" s="242"/>
    </row>
    <row r="821964" spans="1:1" x14ac:dyDescent="0.25">
      <c r="A821964" s="242"/>
    </row>
    <row r="821965" spans="1:1" x14ac:dyDescent="0.25">
      <c r="A821965" s="242"/>
    </row>
    <row r="821966" spans="1:1" x14ac:dyDescent="0.25">
      <c r="A821966" s="242"/>
    </row>
    <row r="821967" spans="1:1" x14ac:dyDescent="0.25">
      <c r="A821967" s="242"/>
    </row>
    <row r="821968" spans="1:1" x14ac:dyDescent="0.25">
      <c r="A821968" s="242"/>
    </row>
    <row r="821969" spans="1:1" x14ac:dyDescent="0.25">
      <c r="A821969" s="242"/>
    </row>
    <row r="821970" spans="1:1" x14ac:dyDescent="0.25">
      <c r="A821970" s="242"/>
    </row>
    <row r="821971" spans="1:1" x14ac:dyDescent="0.25">
      <c r="A821971" s="242"/>
    </row>
    <row r="821972" spans="1:1" x14ac:dyDescent="0.25">
      <c r="A821972" s="242"/>
    </row>
    <row r="821973" spans="1:1" x14ac:dyDescent="0.25">
      <c r="A821973" s="242"/>
    </row>
    <row r="821974" spans="1:1" x14ac:dyDescent="0.25">
      <c r="A821974" s="242"/>
    </row>
    <row r="821975" spans="1:1" x14ac:dyDescent="0.25">
      <c r="A821975" s="242"/>
    </row>
    <row r="821976" spans="1:1" x14ac:dyDescent="0.25">
      <c r="A821976" s="242"/>
    </row>
    <row r="821977" spans="1:1" x14ac:dyDescent="0.25">
      <c r="A821977" s="242"/>
    </row>
    <row r="821978" spans="1:1" x14ac:dyDescent="0.25">
      <c r="A821978" s="242"/>
    </row>
    <row r="821979" spans="1:1" x14ac:dyDescent="0.25">
      <c r="A821979" s="242"/>
    </row>
    <row r="821980" spans="1:1" x14ac:dyDescent="0.25">
      <c r="A821980" s="242"/>
    </row>
    <row r="821981" spans="1:1" x14ac:dyDescent="0.25">
      <c r="A821981" s="242"/>
    </row>
    <row r="821982" spans="1:1" x14ac:dyDescent="0.25">
      <c r="A821982" s="242"/>
    </row>
    <row r="821983" spans="1:1" x14ac:dyDescent="0.25">
      <c r="A821983" s="242"/>
    </row>
    <row r="821984" spans="1:1" x14ac:dyDescent="0.25">
      <c r="A821984" s="242"/>
    </row>
    <row r="821985" spans="1:1" x14ac:dyDescent="0.25">
      <c r="A821985" s="242"/>
    </row>
    <row r="821986" spans="1:1" x14ac:dyDescent="0.25">
      <c r="A821986" s="242"/>
    </row>
    <row r="821987" spans="1:1" x14ac:dyDescent="0.25">
      <c r="A821987" s="242"/>
    </row>
    <row r="821988" spans="1:1" x14ac:dyDescent="0.25">
      <c r="A821988" s="242"/>
    </row>
    <row r="821989" spans="1:1" x14ac:dyDescent="0.25">
      <c r="A821989" s="242"/>
    </row>
    <row r="821990" spans="1:1" x14ac:dyDescent="0.25">
      <c r="A821990" s="242"/>
    </row>
    <row r="821991" spans="1:1" x14ac:dyDescent="0.25">
      <c r="A821991" s="242"/>
    </row>
    <row r="821992" spans="1:1" x14ac:dyDescent="0.25">
      <c r="A821992" s="242"/>
    </row>
    <row r="821993" spans="1:1" x14ac:dyDescent="0.25">
      <c r="A821993" s="242"/>
    </row>
    <row r="821994" spans="1:1" x14ac:dyDescent="0.25">
      <c r="A821994" s="242"/>
    </row>
    <row r="821995" spans="1:1" x14ac:dyDescent="0.25">
      <c r="A821995" s="242"/>
    </row>
    <row r="821996" spans="1:1" x14ac:dyDescent="0.25">
      <c r="A821996" s="242"/>
    </row>
    <row r="821997" spans="1:1" x14ac:dyDescent="0.25">
      <c r="A821997" s="242"/>
    </row>
    <row r="821998" spans="1:1" x14ac:dyDescent="0.25">
      <c r="A821998" s="242"/>
    </row>
    <row r="821999" spans="1:1" x14ac:dyDescent="0.25">
      <c r="A821999" s="242"/>
    </row>
    <row r="822000" spans="1:1" x14ac:dyDescent="0.25">
      <c r="A822000" s="242"/>
    </row>
    <row r="822001" spans="1:1" x14ac:dyDescent="0.25">
      <c r="A822001" s="242"/>
    </row>
    <row r="822002" spans="1:1" x14ac:dyDescent="0.25">
      <c r="A822002" s="242"/>
    </row>
    <row r="822003" spans="1:1" x14ac:dyDescent="0.25">
      <c r="A822003" s="242"/>
    </row>
    <row r="822004" spans="1:1" x14ac:dyDescent="0.25">
      <c r="A822004" s="242"/>
    </row>
    <row r="822005" spans="1:1" x14ac:dyDescent="0.25">
      <c r="A822005" s="242"/>
    </row>
    <row r="822006" spans="1:1" x14ac:dyDescent="0.25">
      <c r="A822006" s="242"/>
    </row>
    <row r="822007" spans="1:1" x14ac:dyDescent="0.25">
      <c r="A822007" s="242"/>
    </row>
    <row r="822008" spans="1:1" x14ac:dyDescent="0.25">
      <c r="A822008" s="242"/>
    </row>
    <row r="822009" spans="1:1" x14ac:dyDescent="0.25">
      <c r="A822009" s="242"/>
    </row>
    <row r="822010" spans="1:1" x14ac:dyDescent="0.25">
      <c r="A822010" s="242"/>
    </row>
    <row r="822011" spans="1:1" x14ac:dyDescent="0.25">
      <c r="A822011" s="242"/>
    </row>
    <row r="822012" spans="1:1" x14ac:dyDescent="0.25">
      <c r="A822012" s="242"/>
    </row>
    <row r="822013" spans="1:1" x14ac:dyDescent="0.25">
      <c r="A822013" s="242"/>
    </row>
    <row r="822014" spans="1:1" x14ac:dyDescent="0.25">
      <c r="A822014" s="242"/>
    </row>
    <row r="822015" spans="1:1" x14ac:dyDescent="0.25">
      <c r="A822015" s="242"/>
    </row>
    <row r="822016" spans="1:1" x14ac:dyDescent="0.25">
      <c r="A822016" s="242"/>
    </row>
    <row r="822017" spans="1:1" x14ac:dyDescent="0.25">
      <c r="A822017" s="242"/>
    </row>
    <row r="822018" spans="1:1" x14ac:dyDescent="0.25">
      <c r="A822018" s="242"/>
    </row>
    <row r="822019" spans="1:1" x14ac:dyDescent="0.25">
      <c r="A822019" s="242"/>
    </row>
    <row r="822020" spans="1:1" x14ac:dyDescent="0.25">
      <c r="A822020" s="242"/>
    </row>
    <row r="822021" spans="1:1" x14ac:dyDescent="0.25">
      <c r="A822021" s="242"/>
    </row>
    <row r="822022" spans="1:1" x14ac:dyDescent="0.25">
      <c r="A822022" s="242"/>
    </row>
    <row r="822023" spans="1:1" x14ac:dyDescent="0.25">
      <c r="A822023" s="242"/>
    </row>
    <row r="822024" spans="1:1" x14ac:dyDescent="0.25">
      <c r="A822024" s="242"/>
    </row>
    <row r="822025" spans="1:1" x14ac:dyDescent="0.25">
      <c r="A822025" s="242"/>
    </row>
    <row r="822026" spans="1:1" x14ac:dyDescent="0.25">
      <c r="A822026" s="242"/>
    </row>
    <row r="822027" spans="1:1" x14ac:dyDescent="0.25">
      <c r="A822027" s="242"/>
    </row>
    <row r="822028" spans="1:1" x14ac:dyDescent="0.25">
      <c r="A822028" s="242"/>
    </row>
    <row r="822029" spans="1:1" x14ac:dyDescent="0.25">
      <c r="A822029" s="242"/>
    </row>
    <row r="822030" spans="1:1" x14ac:dyDescent="0.25">
      <c r="A822030" s="242"/>
    </row>
    <row r="822031" spans="1:1" x14ac:dyDescent="0.25">
      <c r="A822031" s="242"/>
    </row>
    <row r="822032" spans="1:1" x14ac:dyDescent="0.25">
      <c r="A822032" s="242"/>
    </row>
    <row r="822033" spans="1:1" x14ac:dyDescent="0.25">
      <c r="A822033" s="242"/>
    </row>
    <row r="822034" spans="1:1" x14ac:dyDescent="0.25">
      <c r="A822034" s="242"/>
    </row>
    <row r="822035" spans="1:1" x14ac:dyDescent="0.25">
      <c r="A822035" s="242"/>
    </row>
    <row r="822036" spans="1:1" x14ac:dyDescent="0.25">
      <c r="A822036" s="242"/>
    </row>
    <row r="822037" spans="1:1" x14ac:dyDescent="0.25">
      <c r="A822037" s="242"/>
    </row>
    <row r="822038" spans="1:1" x14ac:dyDescent="0.25">
      <c r="A822038" s="242"/>
    </row>
    <row r="822039" spans="1:1" x14ac:dyDescent="0.25">
      <c r="A822039" s="242"/>
    </row>
    <row r="822040" spans="1:1" x14ac:dyDescent="0.25">
      <c r="A822040" s="242"/>
    </row>
    <row r="822041" spans="1:1" x14ac:dyDescent="0.25">
      <c r="A822041" s="242"/>
    </row>
    <row r="822042" spans="1:1" x14ac:dyDescent="0.25">
      <c r="A822042" s="242"/>
    </row>
    <row r="822043" spans="1:1" x14ac:dyDescent="0.25">
      <c r="A822043" s="242"/>
    </row>
    <row r="822044" spans="1:1" x14ac:dyDescent="0.25">
      <c r="A822044" s="242"/>
    </row>
    <row r="822045" spans="1:1" x14ac:dyDescent="0.25">
      <c r="A822045" s="242"/>
    </row>
    <row r="822046" spans="1:1" x14ac:dyDescent="0.25">
      <c r="A822046" s="242"/>
    </row>
    <row r="822047" spans="1:1" x14ac:dyDescent="0.25">
      <c r="A822047" s="242"/>
    </row>
    <row r="822048" spans="1:1" x14ac:dyDescent="0.25">
      <c r="A822048" s="242"/>
    </row>
    <row r="822049" spans="1:1" x14ac:dyDescent="0.25">
      <c r="A822049" s="242"/>
    </row>
    <row r="822050" spans="1:1" x14ac:dyDescent="0.25">
      <c r="A822050" s="242"/>
    </row>
    <row r="822051" spans="1:1" x14ac:dyDescent="0.25">
      <c r="A822051" s="242"/>
    </row>
    <row r="822052" spans="1:1" x14ac:dyDescent="0.25">
      <c r="A822052" s="242"/>
    </row>
    <row r="822053" spans="1:1" x14ac:dyDescent="0.25">
      <c r="A822053" s="242"/>
    </row>
    <row r="822054" spans="1:1" x14ac:dyDescent="0.25">
      <c r="A822054" s="242"/>
    </row>
    <row r="822055" spans="1:1" x14ac:dyDescent="0.25">
      <c r="A822055" s="242"/>
    </row>
    <row r="822056" spans="1:1" x14ac:dyDescent="0.25">
      <c r="A822056" s="242"/>
    </row>
    <row r="822057" spans="1:1" x14ac:dyDescent="0.25">
      <c r="A822057" s="242"/>
    </row>
    <row r="822058" spans="1:1" x14ac:dyDescent="0.25">
      <c r="A822058" s="242"/>
    </row>
    <row r="822059" spans="1:1" x14ac:dyDescent="0.25">
      <c r="A822059" s="242"/>
    </row>
    <row r="822060" spans="1:1" x14ac:dyDescent="0.25">
      <c r="A822060" s="242"/>
    </row>
    <row r="822061" spans="1:1" x14ac:dyDescent="0.25">
      <c r="A822061" s="242"/>
    </row>
    <row r="822062" spans="1:1" x14ac:dyDescent="0.25">
      <c r="A822062" s="242"/>
    </row>
    <row r="822063" spans="1:1" x14ac:dyDescent="0.25">
      <c r="A822063" s="242"/>
    </row>
    <row r="822064" spans="1:1" x14ac:dyDescent="0.25">
      <c r="A822064" s="242"/>
    </row>
    <row r="822065" spans="1:1" x14ac:dyDescent="0.25">
      <c r="A822065" s="242"/>
    </row>
    <row r="822066" spans="1:1" x14ac:dyDescent="0.25">
      <c r="A822066" s="242"/>
    </row>
    <row r="822067" spans="1:1" x14ac:dyDescent="0.25">
      <c r="A822067" s="242"/>
    </row>
    <row r="822068" spans="1:1" x14ac:dyDescent="0.25">
      <c r="A822068" s="242"/>
    </row>
    <row r="822069" spans="1:1" x14ac:dyDescent="0.25">
      <c r="A822069" s="242"/>
    </row>
    <row r="822070" spans="1:1" x14ac:dyDescent="0.25">
      <c r="A822070" s="242"/>
    </row>
    <row r="822071" spans="1:1" x14ac:dyDescent="0.25">
      <c r="A822071" s="242"/>
    </row>
    <row r="822072" spans="1:1" x14ac:dyDescent="0.25">
      <c r="A822072" s="242"/>
    </row>
    <row r="822073" spans="1:1" x14ac:dyDescent="0.25">
      <c r="A822073" s="242"/>
    </row>
    <row r="822074" spans="1:1" x14ac:dyDescent="0.25">
      <c r="A822074" s="242"/>
    </row>
    <row r="822075" spans="1:1" x14ac:dyDescent="0.25">
      <c r="A822075" s="242"/>
    </row>
    <row r="822076" spans="1:1" x14ac:dyDescent="0.25">
      <c r="A822076" s="242"/>
    </row>
    <row r="822077" spans="1:1" x14ac:dyDescent="0.25">
      <c r="A822077" s="242"/>
    </row>
    <row r="822078" spans="1:1" x14ac:dyDescent="0.25">
      <c r="A822078" s="242"/>
    </row>
    <row r="822079" spans="1:1" x14ac:dyDescent="0.25">
      <c r="A822079" s="242"/>
    </row>
    <row r="822080" spans="1:1" x14ac:dyDescent="0.25">
      <c r="A822080" s="242"/>
    </row>
    <row r="822081" spans="1:1" x14ac:dyDescent="0.25">
      <c r="A822081" s="242"/>
    </row>
    <row r="822082" spans="1:1" x14ac:dyDescent="0.25">
      <c r="A822082" s="242"/>
    </row>
    <row r="822083" spans="1:1" x14ac:dyDescent="0.25">
      <c r="A822083" s="242"/>
    </row>
    <row r="822084" spans="1:1" x14ac:dyDescent="0.25">
      <c r="A822084" s="242"/>
    </row>
    <row r="822085" spans="1:1" x14ac:dyDescent="0.25">
      <c r="A822085" s="242"/>
    </row>
    <row r="822086" spans="1:1" x14ac:dyDescent="0.25">
      <c r="A822086" s="242"/>
    </row>
    <row r="822087" spans="1:1" x14ac:dyDescent="0.25">
      <c r="A822087" s="242"/>
    </row>
    <row r="822088" spans="1:1" x14ac:dyDescent="0.25">
      <c r="A822088" s="242"/>
    </row>
    <row r="822089" spans="1:1" x14ac:dyDescent="0.25">
      <c r="A822089" s="242"/>
    </row>
    <row r="822090" spans="1:1" x14ac:dyDescent="0.25">
      <c r="A822090" s="242"/>
    </row>
    <row r="822091" spans="1:1" x14ac:dyDescent="0.25">
      <c r="A822091" s="242"/>
    </row>
    <row r="822092" spans="1:1" x14ac:dyDescent="0.25">
      <c r="A822092" s="242"/>
    </row>
    <row r="822093" spans="1:1" x14ac:dyDescent="0.25">
      <c r="A822093" s="242"/>
    </row>
    <row r="822094" spans="1:1" x14ac:dyDescent="0.25">
      <c r="A822094" s="242"/>
    </row>
    <row r="822095" spans="1:1" x14ac:dyDescent="0.25">
      <c r="A822095" s="242"/>
    </row>
    <row r="822096" spans="1:1" x14ac:dyDescent="0.25">
      <c r="A822096" s="242"/>
    </row>
    <row r="822097" spans="1:1" x14ac:dyDescent="0.25">
      <c r="A822097" s="242"/>
    </row>
    <row r="822098" spans="1:1" x14ac:dyDescent="0.25">
      <c r="A822098" s="242"/>
    </row>
    <row r="822099" spans="1:1" x14ac:dyDescent="0.25">
      <c r="A822099" s="242"/>
    </row>
    <row r="822100" spans="1:1" x14ac:dyDescent="0.25">
      <c r="A822100" s="242"/>
    </row>
    <row r="822101" spans="1:1" x14ac:dyDescent="0.25">
      <c r="A822101" s="242"/>
    </row>
    <row r="822102" spans="1:1" x14ac:dyDescent="0.25">
      <c r="A822102" s="242"/>
    </row>
    <row r="822103" spans="1:1" x14ac:dyDescent="0.25">
      <c r="A822103" s="242"/>
    </row>
    <row r="822104" spans="1:1" x14ac:dyDescent="0.25">
      <c r="A822104" s="242"/>
    </row>
    <row r="822105" spans="1:1" x14ac:dyDescent="0.25">
      <c r="A822105" s="242"/>
    </row>
    <row r="822106" spans="1:1" x14ac:dyDescent="0.25">
      <c r="A822106" s="242"/>
    </row>
    <row r="822107" spans="1:1" x14ac:dyDescent="0.25">
      <c r="A822107" s="242"/>
    </row>
    <row r="822108" spans="1:1" x14ac:dyDescent="0.25">
      <c r="A822108" s="242"/>
    </row>
    <row r="822109" spans="1:1" x14ac:dyDescent="0.25">
      <c r="A822109" s="242"/>
    </row>
    <row r="822110" spans="1:1" x14ac:dyDescent="0.25">
      <c r="A822110" s="242"/>
    </row>
    <row r="822111" spans="1:1" x14ac:dyDescent="0.25">
      <c r="A822111" s="242"/>
    </row>
    <row r="822112" spans="1:1" x14ac:dyDescent="0.25">
      <c r="A822112" s="242"/>
    </row>
    <row r="822113" spans="1:1" x14ac:dyDescent="0.25">
      <c r="A822113" s="242"/>
    </row>
    <row r="822114" spans="1:1" x14ac:dyDescent="0.25">
      <c r="A822114" s="242"/>
    </row>
    <row r="822115" spans="1:1" x14ac:dyDescent="0.25">
      <c r="A822115" s="242"/>
    </row>
    <row r="822116" spans="1:1" x14ac:dyDescent="0.25">
      <c r="A822116" s="242"/>
    </row>
    <row r="822117" spans="1:1" x14ac:dyDescent="0.25">
      <c r="A822117" s="242"/>
    </row>
    <row r="822118" spans="1:1" x14ac:dyDescent="0.25">
      <c r="A822118" s="242"/>
    </row>
    <row r="822119" spans="1:1" x14ac:dyDescent="0.25">
      <c r="A822119" s="242"/>
    </row>
    <row r="822120" spans="1:1" x14ac:dyDescent="0.25">
      <c r="A822120" s="242"/>
    </row>
    <row r="822121" spans="1:1" x14ac:dyDescent="0.25">
      <c r="A822121" s="242"/>
    </row>
    <row r="822122" spans="1:1" x14ac:dyDescent="0.25">
      <c r="A822122" s="242"/>
    </row>
    <row r="822123" spans="1:1" x14ac:dyDescent="0.25">
      <c r="A822123" s="242"/>
    </row>
    <row r="822124" spans="1:1" x14ac:dyDescent="0.25">
      <c r="A822124" s="242"/>
    </row>
    <row r="822125" spans="1:1" x14ac:dyDescent="0.25">
      <c r="A822125" s="242"/>
    </row>
    <row r="822126" spans="1:1" x14ac:dyDescent="0.25">
      <c r="A822126" s="242"/>
    </row>
    <row r="822127" spans="1:1" x14ac:dyDescent="0.25">
      <c r="A822127" s="242"/>
    </row>
    <row r="822128" spans="1:1" x14ac:dyDescent="0.25">
      <c r="A822128" s="242"/>
    </row>
    <row r="822129" spans="1:1" x14ac:dyDescent="0.25">
      <c r="A822129" s="242"/>
    </row>
    <row r="822130" spans="1:1" x14ac:dyDescent="0.25">
      <c r="A822130" s="242"/>
    </row>
    <row r="822131" spans="1:1" x14ac:dyDescent="0.25">
      <c r="A822131" s="242"/>
    </row>
    <row r="822132" spans="1:1" x14ac:dyDescent="0.25">
      <c r="A822132" s="242"/>
    </row>
    <row r="822133" spans="1:1" x14ac:dyDescent="0.25">
      <c r="A822133" s="242"/>
    </row>
    <row r="822134" spans="1:1" x14ac:dyDescent="0.25">
      <c r="A822134" s="242"/>
    </row>
    <row r="822135" spans="1:1" x14ac:dyDescent="0.25">
      <c r="A822135" s="242"/>
    </row>
    <row r="822136" spans="1:1" x14ac:dyDescent="0.25">
      <c r="A822136" s="242"/>
    </row>
    <row r="822137" spans="1:1" x14ac:dyDescent="0.25">
      <c r="A822137" s="242"/>
    </row>
    <row r="822138" spans="1:1" x14ac:dyDescent="0.25">
      <c r="A822138" s="242"/>
    </row>
    <row r="822139" spans="1:1" x14ac:dyDescent="0.25">
      <c r="A822139" s="242"/>
    </row>
    <row r="822140" spans="1:1" x14ac:dyDescent="0.25">
      <c r="A822140" s="242"/>
    </row>
    <row r="822141" spans="1:1" x14ac:dyDescent="0.25">
      <c r="A822141" s="242"/>
    </row>
    <row r="822142" spans="1:1" x14ac:dyDescent="0.25">
      <c r="A822142" s="242"/>
    </row>
    <row r="822143" spans="1:1" x14ac:dyDescent="0.25">
      <c r="A822143" s="242"/>
    </row>
    <row r="822144" spans="1:1" x14ac:dyDescent="0.25">
      <c r="A822144" s="242"/>
    </row>
    <row r="822145" spans="1:1" x14ac:dyDescent="0.25">
      <c r="A822145" s="242"/>
    </row>
    <row r="822146" spans="1:1" x14ac:dyDescent="0.25">
      <c r="A822146" s="242"/>
    </row>
    <row r="822147" spans="1:1" x14ac:dyDescent="0.25">
      <c r="A822147" s="242"/>
    </row>
    <row r="822148" spans="1:1" x14ac:dyDescent="0.25">
      <c r="A822148" s="242"/>
    </row>
    <row r="822149" spans="1:1" x14ac:dyDescent="0.25">
      <c r="A822149" s="242"/>
    </row>
    <row r="822150" spans="1:1" x14ac:dyDescent="0.25">
      <c r="A822150" s="242"/>
    </row>
    <row r="822151" spans="1:1" x14ac:dyDescent="0.25">
      <c r="A822151" s="242"/>
    </row>
    <row r="822152" spans="1:1" x14ac:dyDescent="0.25">
      <c r="A822152" s="242"/>
    </row>
    <row r="822153" spans="1:1" x14ac:dyDescent="0.25">
      <c r="A822153" s="242"/>
    </row>
    <row r="822154" spans="1:1" x14ac:dyDescent="0.25">
      <c r="A822154" s="242"/>
    </row>
    <row r="822155" spans="1:1" x14ac:dyDescent="0.25">
      <c r="A822155" s="242"/>
    </row>
    <row r="822156" spans="1:1" x14ac:dyDescent="0.25">
      <c r="A822156" s="242"/>
    </row>
    <row r="822157" spans="1:1" x14ac:dyDescent="0.25">
      <c r="A822157" s="242"/>
    </row>
    <row r="822158" spans="1:1" x14ac:dyDescent="0.25">
      <c r="A822158" s="242"/>
    </row>
    <row r="822159" spans="1:1" x14ac:dyDescent="0.25">
      <c r="A822159" s="242"/>
    </row>
    <row r="822160" spans="1:1" x14ac:dyDescent="0.25">
      <c r="A822160" s="242"/>
    </row>
    <row r="822161" spans="1:1" x14ac:dyDescent="0.25">
      <c r="A822161" s="242"/>
    </row>
    <row r="822162" spans="1:1" x14ac:dyDescent="0.25">
      <c r="A822162" s="242"/>
    </row>
    <row r="822163" spans="1:1" x14ac:dyDescent="0.25">
      <c r="A822163" s="242"/>
    </row>
    <row r="822164" spans="1:1" x14ac:dyDescent="0.25">
      <c r="A822164" s="242"/>
    </row>
    <row r="822165" spans="1:1" x14ac:dyDescent="0.25">
      <c r="A822165" s="242"/>
    </row>
    <row r="822166" spans="1:1" x14ac:dyDescent="0.25">
      <c r="A822166" s="242"/>
    </row>
    <row r="822167" spans="1:1" x14ac:dyDescent="0.25">
      <c r="A822167" s="242"/>
    </row>
    <row r="822168" spans="1:1" x14ac:dyDescent="0.25">
      <c r="A822168" s="242"/>
    </row>
    <row r="822169" spans="1:1" x14ac:dyDescent="0.25">
      <c r="A822169" s="242"/>
    </row>
    <row r="822170" spans="1:1" x14ac:dyDescent="0.25">
      <c r="A822170" s="242"/>
    </row>
    <row r="822171" spans="1:1" x14ac:dyDescent="0.25">
      <c r="A822171" s="242"/>
    </row>
    <row r="822172" spans="1:1" x14ac:dyDescent="0.25">
      <c r="A822172" s="242"/>
    </row>
    <row r="822173" spans="1:1" x14ac:dyDescent="0.25">
      <c r="A822173" s="242"/>
    </row>
    <row r="822174" spans="1:1" x14ac:dyDescent="0.25">
      <c r="A822174" s="242"/>
    </row>
    <row r="822175" spans="1:1" x14ac:dyDescent="0.25">
      <c r="A822175" s="242"/>
    </row>
    <row r="822176" spans="1:1" x14ac:dyDescent="0.25">
      <c r="A822176" s="242"/>
    </row>
    <row r="822177" spans="1:1" x14ac:dyDescent="0.25">
      <c r="A822177" s="242"/>
    </row>
    <row r="822178" spans="1:1" x14ac:dyDescent="0.25">
      <c r="A822178" s="242"/>
    </row>
    <row r="822179" spans="1:1" x14ac:dyDescent="0.25">
      <c r="A822179" s="242"/>
    </row>
    <row r="822180" spans="1:1" x14ac:dyDescent="0.25">
      <c r="A822180" s="242"/>
    </row>
    <row r="822181" spans="1:1" x14ac:dyDescent="0.25">
      <c r="A822181" s="242"/>
    </row>
    <row r="822182" spans="1:1" x14ac:dyDescent="0.25">
      <c r="A822182" s="242"/>
    </row>
    <row r="822183" spans="1:1" x14ac:dyDescent="0.25">
      <c r="A822183" s="242"/>
    </row>
    <row r="822184" spans="1:1" x14ac:dyDescent="0.25">
      <c r="A822184" s="242"/>
    </row>
    <row r="822185" spans="1:1" x14ac:dyDescent="0.25">
      <c r="A822185" s="242"/>
    </row>
    <row r="822186" spans="1:1" x14ac:dyDescent="0.25">
      <c r="A822186" s="242"/>
    </row>
    <row r="822187" spans="1:1" x14ac:dyDescent="0.25">
      <c r="A822187" s="242"/>
    </row>
    <row r="822188" spans="1:1" x14ac:dyDescent="0.25">
      <c r="A822188" s="242"/>
    </row>
    <row r="822189" spans="1:1" x14ac:dyDescent="0.25">
      <c r="A822189" s="242"/>
    </row>
    <row r="822190" spans="1:1" x14ac:dyDescent="0.25">
      <c r="A822190" s="242"/>
    </row>
    <row r="822191" spans="1:1" x14ac:dyDescent="0.25">
      <c r="A822191" s="242"/>
    </row>
    <row r="822192" spans="1:1" x14ac:dyDescent="0.25">
      <c r="A822192" s="242"/>
    </row>
    <row r="822193" spans="1:1" x14ac:dyDescent="0.25">
      <c r="A822193" s="242"/>
    </row>
    <row r="822194" spans="1:1" x14ac:dyDescent="0.25">
      <c r="A822194" s="242"/>
    </row>
    <row r="822195" spans="1:1" x14ac:dyDescent="0.25">
      <c r="A822195" s="242"/>
    </row>
    <row r="822196" spans="1:1" x14ac:dyDescent="0.25">
      <c r="A822196" s="242"/>
    </row>
    <row r="822197" spans="1:1" x14ac:dyDescent="0.25">
      <c r="A822197" s="242"/>
    </row>
    <row r="822198" spans="1:1" x14ac:dyDescent="0.25">
      <c r="A822198" s="242"/>
    </row>
    <row r="822199" spans="1:1" x14ac:dyDescent="0.25">
      <c r="A822199" s="242"/>
    </row>
    <row r="822200" spans="1:1" x14ac:dyDescent="0.25">
      <c r="A822200" s="242"/>
    </row>
    <row r="822201" spans="1:1" x14ac:dyDescent="0.25">
      <c r="A822201" s="242"/>
    </row>
    <row r="822202" spans="1:1" x14ac:dyDescent="0.25">
      <c r="A822202" s="242"/>
    </row>
    <row r="822203" spans="1:1" x14ac:dyDescent="0.25">
      <c r="A822203" s="242"/>
    </row>
    <row r="822204" spans="1:1" x14ac:dyDescent="0.25">
      <c r="A822204" s="242"/>
    </row>
    <row r="822205" spans="1:1" x14ac:dyDescent="0.25">
      <c r="A822205" s="242"/>
    </row>
    <row r="822206" spans="1:1" x14ac:dyDescent="0.25">
      <c r="A822206" s="242"/>
    </row>
    <row r="822207" spans="1:1" x14ac:dyDescent="0.25">
      <c r="A822207" s="242"/>
    </row>
    <row r="822208" spans="1:1" x14ac:dyDescent="0.25">
      <c r="A822208" s="242"/>
    </row>
    <row r="822209" spans="1:1" x14ac:dyDescent="0.25">
      <c r="A822209" s="242"/>
    </row>
    <row r="822210" spans="1:1" x14ac:dyDescent="0.25">
      <c r="A822210" s="242"/>
    </row>
    <row r="822211" spans="1:1" x14ac:dyDescent="0.25">
      <c r="A822211" s="242"/>
    </row>
    <row r="822212" spans="1:1" x14ac:dyDescent="0.25">
      <c r="A822212" s="242"/>
    </row>
    <row r="822213" spans="1:1" x14ac:dyDescent="0.25">
      <c r="A822213" s="242"/>
    </row>
    <row r="822214" spans="1:1" x14ac:dyDescent="0.25">
      <c r="A822214" s="242"/>
    </row>
    <row r="822215" spans="1:1" x14ac:dyDescent="0.25">
      <c r="A822215" s="242"/>
    </row>
    <row r="822216" spans="1:1" x14ac:dyDescent="0.25">
      <c r="A822216" s="242"/>
    </row>
    <row r="822217" spans="1:1" x14ac:dyDescent="0.25">
      <c r="A822217" s="242"/>
    </row>
    <row r="822218" spans="1:1" x14ac:dyDescent="0.25">
      <c r="A822218" s="242"/>
    </row>
    <row r="822219" spans="1:1" x14ac:dyDescent="0.25">
      <c r="A822219" s="242"/>
    </row>
    <row r="822220" spans="1:1" x14ac:dyDescent="0.25">
      <c r="A822220" s="242"/>
    </row>
    <row r="822221" spans="1:1" x14ac:dyDescent="0.25">
      <c r="A822221" s="242"/>
    </row>
    <row r="822222" spans="1:1" x14ac:dyDescent="0.25">
      <c r="A822222" s="242"/>
    </row>
    <row r="822223" spans="1:1" x14ac:dyDescent="0.25">
      <c r="A822223" s="242"/>
    </row>
    <row r="822224" spans="1:1" x14ac:dyDescent="0.25">
      <c r="A822224" s="242"/>
    </row>
    <row r="822225" spans="1:1" x14ac:dyDescent="0.25">
      <c r="A822225" s="242"/>
    </row>
    <row r="822226" spans="1:1" x14ac:dyDescent="0.25">
      <c r="A822226" s="242"/>
    </row>
    <row r="822227" spans="1:1" x14ac:dyDescent="0.25">
      <c r="A822227" s="242"/>
    </row>
    <row r="822228" spans="1:1" x14ac:dyDescent="0.25">
      <c r="A822228" s="242"/>
    </row>
    <row r="822229" spans="1:1" x14ac:dyDescent="0.25">
      <c r="A822229" s="242"/>
    </row>
    <row r="822230" spans="1:1" x14ac:dyDescent="0.25">
      <c r="A822230" s="242"/>
    </row>
    <row r="822231" spans="1:1" x14ac:dyDescent="0.25">
      <c r="A822231" s="242"/>
    </row>
    <row r="822232" spans="1:1" x14ac:dyDescent="0.25">
      <c r="A822232" s="242"/>
    </row>
    <row r="822233" spans="1:1" x14ac:dyDescent="0.25">
      <c r="A822233" s="242"/>
    </row>
    <row r="822234" spans="1:1" x14ac:dyDescent="0.25">
      <c r="A822234" s="242"/>
    </row>
    <row r="822235" spans="1:1" x14ac:dyDescent="0.25">
      <c r="A822235" s="242"/>
    </row>
    <row r="822236" spans="1:1" x14ac:dyDescent="0.25">
      <c r="A822236" s="242"/>
    </row>
    <row r="822237" spans="1:1" x14ac:dyDescent="0.25">
      <c r="A822237" s="242"/>
    </row>
    <row r="822238" spans="1:1" x14ac:dyDescent="0.25">
      <c r="A822238" s="242"/>
    </row>
    <row r="822239" spans="1:1" x14ac:dyDescent="0.25">
      <c r="A822239" s="242"/>
    </row>
    <row r="822240" spans="1:1" x14ac:dyDescent="0.25">
      <c r="A822240" s="242"/>
    </row>
    <row r="822241" spans="1:1" x14ac:dyDescent="0.25">
      <c r="A822241" s="242"/>
    </row>
    <row r="822242" spans="1:1" x14ac:dyDescent="0.25">
      <c r="A822242" s="242"/>
    </row>
    <row r="822243" spans="1:1" x14ac:dyDescent="0.25">
      <c r="A822243" s="242"/>
    </row>
    <row r="822244" spans="1:1" x14ac:dyDescent="0.25">
      <c r="A822244" s="242"/>
    </row>
    <row r="822245" spans="1:1" x14ac:dyDescent="0.25">
      <c r="A822245" s="242"/>
    </row>
    <row r="822246" spans="1:1" x14ac:dyDescent="0.25">
      <c r="A822246" s="242"/>
    </row>
    <row r="822247" spans="1:1" x14ac:dyDescent="0.25">
      <c r="A822247" s="242"/>
    </row>
    <row r="822248" spans="1:1" x14ac:dyDescent="0.25">
      <c r="A822248" s="242"/>
    </row>
    <row r="822249" spans="1:1" x14ac:dyDescent="0.25">
      <c r="A822249" s="242"/>
    </row>
    <row r="822250" spans="1:1" x14ac:dyDescent="0.25">
      <c r="A822250" s="242"/>
    </row>
    <row r="822251" spans="1:1" x14ac:dyDescent="0.25">
      <c r="A822251" s="242"/>
    </row>
    <row r="822252" spans="1:1" x14ac:dyDescent="0.25">
      <c r="A822252" s="242"/>
    </row>
    <row r="822253" spans="1:1" x14ac:dyDescent="0.25">
      <c r="A822253" s="242"/>
    </row>
    <row r="822254" spans="1:1" x14ac:dyDescent="0.25">
      <c r="A822254" s="242"/>
    </row>
    <row r="822255" spans="1:1" x14ac:dyDescent="0.25">
      <c r="A822255" s="242"/>
    </row>
    <row r="822256" spans="1:1" x14ac:dyDescent="0.25">
      <c r="A822256" s="242"/>
    </row>
    <row r="822257" spans="1:1" x14ac:dyDescent="0.25">
      <c r="A822257" s="242"/>
    </row>
    <row r="822258" spans="1:1" x14ac:dyDescent="0.25">
      <c r="A822258" s="242"/>
    </row>
    <row r="822259" spans="1:1" x14ac:dyDescent="0.25">
      <c r="A822259" s="242"/>
    </row>
    <row r="822260" spans="1:1" x14ac:dyDescent="0.25">
      <c r="A822260" s="242"/>
    </row>
    <row r="822261" spans="1:1" x14ac:dyDescent="0.25">
      <c r="A822261" s="242"/>
    </row>
    <row r="822262" spans="1:1" x14ac:dyDescent="0.25">
      <c r="A822262" s="242"/>
    </row>
    <row r="822263" spans="1:1" x14ac:dyDescent="0.25">
      <c r="A822263" s="242"/>
    </row>
    <row r="822264" spans="1:1" x14ac:dyDescent="0.25">
      <c r="A822264" s="242"/>
    </row>
    <row r="822265" spans="1:1" x14ac:dyDescent="0.25">
      <c r="A822265" s="242"/>
    </row>
    <row r="822266" spans="1:1" x14ac:dyDescent="0.25">
      <c r="A822266" s="242"/>
    </row>
    <row r="822267" spans="1:1" x14ac:dyDescent="0.25">
      <c r="A822267" s="242"/>
    </row>
    <row r="822268" spans="1:1" x14ac:dyDescent="0.25">
      <c r="A822268" s="242"/>
    </row>
    <row r="822269" spans="1:1" x14ac:dyDescent="0.25">
      <c r="A822269" s="242"/>
    </row>
    <row r="822270" spans="1:1" x14ac:dyDescent="0.25">
      <c r="A822270" s="242"/>
    </row>
    <row r="822271" spans="1:1" x14ac:dyDescent="0.25">
      <c r="A822271" s="242"/>
    </row>
    <row r="822272" spans="1:1" x14ac:dyDescent="0.25">
      <c r="A822272" s="242"/>
    </row>
    <row r="822273" spans="1:1" x14ac:dyDescent="0.25">
      <c r="A822273" s="242"/>
    </row>
    <row r="822274" spans="1:1" x14ac:dyDescent="0.25">
      <c r="A822274" s="242"/>
    </row>
    <row r="822275" spans="1:1" x14ac:dyDescent="0.25">
      <c r="A822275" s="242"/>
    </row>
    <row r="822276" spans="1:1" x14ac:dyDescent="0.25">
      <c r="A822276" s="242"/>
    </row>
    <row r="822277" spans="1:1" x14ac:dyDescent="0.25">
      <c r="A822277" s="242"/>
    </row>
    <row r="822278" spans="1:1" x14ac:dyDescent="0.25">
      <c r="A822278" s="242"/>
    </row>
    <row r="822279" spans="1:1" x14ac:dyDescent="0.25">
      <c r="A822279" s="242"/>
    </row>
    <row r="822280" spans="1:1" x14ac:dyDescent="0.25">
      <c r="A822280" s="242"/>
    </row>
    <row r="822281" spans="1:1" x14ac:dyDescent="0.25">
      <c r="A822281" s="242"/>
    </row>
    <row r="822282" spans="1:1" x14ac:dyDescent="0.25">
      <c r="A822282" s="242"/>
    </row>
    <row r="822283" spans="1:1" x14ac:dyDescent="0.25">
      <c r="A822283" s="242"/>
    </row>
    <row r="822284" spans="1:1" x14ac:dyDescent="0.25">
      <c r="A822284" s="242"/>
    </row>
    <row r="822285" spans="1:1" x14ac:dyDescent="0.25">
      <c r="A822285" s="242"/>
    </row>
    <row r="822286" spans="1:1" x14ac:dyDescent="0.25">
      <c r="A822286" s="242"/>
    </row>
    <row r="822287" spans="1:1" x14ac:dyDescent="0.25">
      <c r="A822287" s="242"/>
    </row>
    <row r="822288" spans="1:1" x14ac:dyDescent="0.25">
      <c r="A822288" s="242"/>
    </row>
    <row r="822289" spans="1:1" x14ac:dyDescent="0.25">
      <c r="A822289" s="242"/>
    </row>
    <row r="822290" spans="1:1" x14ac:dyDescent="0.25">
      <c r="A822290" s="242"/>
    </row>
    <row r="822291" spans="1:1" x14ac:dyDescent="0.25">
      <c r="A822291" s="242"/>
    </row>
    <row r="822292" spans="1:1" x14ac:dyDescent="0.25">
      <c r="A822292" s="242"/>
    </row>
    <row r="822293" spans="1:1" x14ac:dyDescent="0.25">
      <c r="A822293" s="242"/>
    </row>
    <row r="822294" spans="1:1" x14ac:dyDescent="0.25">
      <c r="A822294" s="242"/>
    </row>
    <row r="822295" spans="1:1" x14ac:dyDescent="0.25">
      <c r="A822295" s="242"/>
    </row>
    <row r="822296" spans="1:1" x14ac:dyDescent="0.25">
      <c r="A822296" s="242"/>
    </row>
    <row r="822297" spans="1:1" x14ac:dyDescent="0.25">
      <c r="A822297" s="242"/>
    </row>
    <row r="822298" spans="1:1" x14ac:dyDescent="0.25">
      <c r="A822298" s="242"/>
    </row>
    <row r="822299" spans="1:1" x14ac:dyDescent="0.25">
      <c r="A822299" s="242"/>
    </row>
    <row r="822300" spans="1:1" x14ac:dyDescent="0.25">
      <c r="A822300" s="242"/>
    </row>
    <row r="822301" spans="1:1" x14ac:dyDescent="0.25">
      <c r="A822301" s="242"/>
    </row>
    <row r="822302" spans="1:1" x14ac:dyDescent="0.25">
      <c r="A822302" s="242"/>
    </row>
    <row r="822303" spans="1:1" x14ac:dyDescent="0.25">
      <c r="A822303" s="242"/>
    </row>
    <row r="822304" spans="1:1" x14ac:dyDescent="0.25">
      <c r="A822304" s="242"/>
    </row>
    <row r="822305" spans="1:1" x14ac:dyDescent="0.25">
      <c r="A822305" s="242"/>
    </row>
    <row r="822306" spans="1:1" x14ac:dyDescent="0.25">
      <c r="A822306" s="242"/>
    </row>
    <row r="822307" spans="1:1" x14ac:dyDescent="0.25">
      <c r="A822307" s="242"/>
    </row>
    <row r="822308" spans="1:1" x14ac:dyDescent="0.25">
      <c r="A822308" s="242"/>
    </row>
    <row r="822309" spans="1:1" x14ac:dyDescent="0.25">
      <c r="A822309" s="242"/>
    </row>
    <row r="822310" spans="1:1" x14ac:dyDescent="0.25">
      <c r="A822310" s="242"/>
    </row>
    <row r="822311" spans="1:1" x14ac:dyDescent="0.25">
      <c r="A822311" s="242"/>
    </row>
    <row r="822312" spans="1:1" x14ac:dyDescent="0.25">
      <c r="A822312" s="242"/>
    </row>
    <row r="822313" spans="1:1" x14ac:dyDescent="0.25">
      <c r="A822313" s="242"/>
    </row>
    <row r="822314" spans="1:1" x14ac:dyDescent="0.25">
      <c r="A822314" s="242"/>
    </row>
    <row r="822315" spans="1:1" x14ac:dyDescent="0.25">
      <c r="A822315" s="242"/>
    </row>
    <row r="822316" spans="1:1" x14ac:dyDescent="0.25">
      <c r="A822316" s="242"/>
    </row>
    <row r="822317" spans="1:1" x14ac:dyDescent="0.25">
      <c r="A822317" s="242"/>
    </row>
    <row r="822318" spans="1:1" x14ac:dyDescent="0.25">
      <c r="A822318" s="242"/>
    </row>
    <row r="822319" spans="1:1" x14ac:dyDescent="0.25">
      <c r="A822319" s="242"/>
    </row>
    <row r="822320" spans="1:1" x14ac:dyDescent="0.25">
      <c r="A822320" s="242"/>
    </row>
    <row r="822321" spans="1:1" x14ac:dyDescent="0.25">
      <c r="A822321" s="242"/>
    </row>
    <row r="822322" spans="1:1" x14ac:dyDescent="0.25">
      <c r="A822322" s="242"/>
    </row>
    <row r="822323" spans="1:1" x14ac:dyDescent="0.25">
      <c r="A822323" s="242"/>
    </row>
    <row r="822324" spans="1:1" x14ac:dyDescent="0.25">
      <c r="A822324" s="242"/>
    </row>
    <row r="822325" spans="1:1" x14ac:dyDescent="0.25">
      <c r="A822325" s="242"/>
    </row>
    <row r="822326" spans="1:1" x14ac:dyDescent="0.25">
      <c r="A822326" s="242"/>
    </row>
    <row r="822327" spans="1:1" x14ac:dyDescent="0.25">
      <c r="A822327" s="242"/>
    </row>
    <row r="822328" spans="1:1" x14ac:dyDescent="0.25">
      <c r="A822328" s="242"/>
    </row>
    <row r="822329" spans="1:1" x14ac:dyDescent="0.25">
      <c r="A822329" s="242"/>
    </row>
    <row r="822330" spans="1:1" x14ac:dyDescent="0.25">
      <c r="A822330" s="242"/>
    </row>
    <row r="822331" spans="1:1" x14ac:dyDescent="0.25">
      <c r="A822331" s="242"/>
    </row>
    <row r="822332" spans="1:1" x14ac:dyDescent="0.25">
      <c r="A822332" s="242"/>
    </row>
    <row r="822333" spans="1:1" x14ac:dyDescent="0.25">
      <c r="A822333" s="242"/>
    </row>
    <row r="822334" spans="1:1" x14ac:dyDescent="0.25">
      <c r="A822334" s="242"/>
    </row>
    <row r="822335" spans="1:1" x14ac:dyDescent="0.25">
      <c r="A822335" s="242"/>
    </row>
    <row r="822336" spans="1:1" x14ac:dyDescent="0.25">
      <c r="A822336" s="242"/>
    </row>
    <row r="822337" spans="1:1" x14ac:dyDescent="0.25">
      <c r="A822337" s="242"/>
    </row>
    <row r="822338" spans="1:1" x14ac:dyDescent="0.25">
      <c r="A822338" s="242"/>
    </row>
    <row r="822339" spans="1:1" x14ac:dyDescent="0.25">
      <c r="A822339" s="242"/>
    </row>
    <row r="822340" spans="1:1" x14ac:dyDescent="0.25">
      <c r="A822340" s="242"/>
    </row>
    <row r="822341" spans="1:1" x14ac:dyDescent="0.25">
      <c r="A822341" s="242"/>
    </row>
    <row r="822342" spans="1:1" x14ac:dyDescent="0.25">
      <c r="A822342" s="242"/>
    </row>
    <row r="822343" spans="1:1" x14ac:dyDescent="0.25">
      <c r="A822343" s="242"/>
    </row>
    <row r="822344" spans="1:1" x14ac:dyDescent="0.25">
      <c r="A822344" s="242"/>
    </row>
    <row r="822345" spans="1:1" x14ac:dyDescent="0.25">
      <c r="A822345" s="242"/>
    </row>
    <row r="822346" spans="1:1" x14ac:dyDescent="0.25">
      <c r="A822346" s="242"/>
    </row>
    <row r="822347" spans="1:1" x14ac:dyDescent="0.25">
      <c r="A822347" s="242"/>
    </row>
    <row r="822348" spans="1:1" x14ac:dyDescent="0.25">
      <c r="A822348" s="242"/>
    </row>
    <row r="822349" spans="1:1" x14ac:dyDescent="0.25">
      <c r="A822349" s="242"/>
    </row>
    <row r="822350" spans="1:1" x14ac:dyDescent="0.25">
      <c r="A822350" s="242"/>
    </row>
    <row r="822351" spans="1:1" x14ac:dyDescent="0.25">
      <c r="A822351" s="242"/>
    </row>
    <row r="822352" spans="1:1" x14ac:dyDescent="0.25">
      <c r="A822352" s="242"/>
    </row>
    <row r="822353" spans="1:1" x14ac:dyDescent="0.25">
      <c r="A822353" s="242"/>
    </row>
    <row r="822354" spans="1:1" x14ac:dyDescent="0.25">
      <c r="A822354" s="242"/>
    </row>
    <row r="822355" spans="1:1" x14ac:dyDescent="0.25">
      <c r="A822355" s="242"/>
    </row>
    <row r="822356" spans="1:1" x14ac:dyDescent="0.25">
      <c r="A822356" s="242"/>
    </row>
    <row r="822357" spans="1:1" x14ac:dyDescent="0.25">
      <c r="A822357" s="242"/>
    </row>
    <row r="822358" spans="1:1" x14ac:dyDescent="0.25">
      <c r="A822358" s="242"/>
    </row>
    <row r="822359" spans="1:1" x14ac:dyDescent="0.25">
      <c r="A822359" s="242"/>
    </row>
    <row r="822360" spans="1:1" x14ac:dyDescent="0.25">
      <c r="A822360" s="242"/>
    </row>
    <row r="822361" spans="1:1" x14ac:dyDescent="0.25">
      <c r="A822361" s="242"/>
    </row>
    <row r="822362" spans="1:1" x14ac:dyDescent="0.25">
      <c r="A822362" s="242"/>
    </row>
    <row r="822363" spans="1:1" x14ac:dyDescent="0.25">
      <c r="A822363" s="242"/>
    </row>
    <row r="822364" spans="1:1" x14ac:dyDescent="0.25">
      <c r="A822364" s="242"/>
    </row>
    <row r="822365" spans="1:1" x14ac:dyDescent="0.25">
      <c r="A822365" s="242"/>
    </row>
    <row r="822366" spans="1:1" x14ac:dyDescent="0.25">
      <c r="A822366" s="242"/>
    </row>
    <row r="822367" spans="1:1" x14ac:dyDescent="0.25">
      <c r="A822367" s="242"/>
    </row>
    <row r="822368" spans="1:1" x14ac:dyDescent="0.25">
      <c r="A822368" s="242"/>
    </row>
    <row r="822369" spans="1:1" x14ac:dyDescent="0.25">
      <c r="A822369" s="242"/>
    </row>
    <row r="822370" spans="1:1" x14ac:dyDescent="0.25">
      <c r="A822370" s="242"/>
    </row>
    <row r="822371" spans="1:1" x14ac:dyDescent="0.25">
      <c r="A822371" s="242"/>
    </row>
    <row r="822372" spans="1:1" x14ac:dyDescent="0.25">
      <c r="A822372" s="242"/>
    </row>
    <row r="822373" spans="1:1" x14ac:dyDescent="0.25">
      <c r="A822373" s="242"/>
    </row>
    <row r="822374" spans="1:1" x14ac:dyDescent="0.25">
      <c r="A822374" s="242"/>
    </row>
    <row r="822375" spans="1:1" x14ac:dyDescent="0.25">
      <c r="A822375" s="242"/>
    </row>
    <row r="822376" spans="1:1" x14ac:dyDescent="0.25">
      <c r="A822376" s="242"/>
    </row>
    <row r="822377" spans="1:1" x14ac:dyDescent="0.25">
      <c r="A822377" s="242"/>
    </row>
    <row r="822378" spans="1:1" x14ac:dyDescent="0.25">
      <c r="A822378" s="242"/>
    </row>
    <row r="822379" spans="1:1" x14ac:dyDescent="0.25">
      <c r="A822379" s="242"/>
    </row>
    <row r="822380" spans="1:1" x14ac:dyDescent="0.25">
      <c r="A822380" s="242"/>
    </row>
    <row r="822381" spans="1:1" x14ac:dyDescent="0.25">
      <c r="A822381" s="242"/>
    </row>
    <row r="822382" spans="1:1" x14ac:dyDescent="0.25">
      <c r="A822382" s="242"/>
    </row>
    <row r="822383" spans="1:1" x14ac:dyDescent="0.25">
      <c r="A822383" s="242"/>
    </row>
    <row r="822384" spans="1:1" x14ac:dyDescent="0.25">
      <c r="A822384" s="242"/>
    </row>
    <row r="822385" spans="1:1" x14ac:dyDescent="0.25">
      <c r="A822385" s="242"/>
    </row>
    <row r="822386" spans="1:1" x14ac:dyDescent="0.25">
      <c r="A822386" s="242"/>
    </row>
    <row r="822387" spans="1:1" x14ac:dyDescent="0.25">
      <c r="A822387" s="242"/>
    </row>
    <row r="822388" spans="1:1" x14ac:dyDescent="0.25">
      <c r="A822388" s="242"/>
    </row>
    <row r="822389" spans="1:1" x14ac:dyDescent="0.25">
      <c r="A822389" s="242"/>
    </row>
    <row r="822390" spans="1:1" x14ac:dyDescent="0.25">
      <c r="A822390" s="242"/>
    </row>
    <row r="822391" spans="1:1" x14ac:dyDescent="0.25">
      <c r="A822391" s="242"/>
    </row>
    <row r="822392" spans="1:1" x14ac:dyDescent="0.25">
      <c r="A822392" s="242"/>
    </row>
    <row r="822393" spans="1:1" x14ac:dyDescent="0.25">
      <c r="A822393" s="242"/>
    </row>
    <row r="822394" spans="1:1" x14ac:dyDescent="0.25">
      <c r="A822394" s="242"/>
    </row>
    <row r="822395" spans="1:1" x14ac:dyDescent="0.25">
      <c r="A822395" s="242"/>
    </row>
    <row r="822396" spans="1:1" x14ac:dyDescent="0.25">
      <c r="A822396" s="242"/>
    </row>
    <row r="822397" spans="1:1" x14ac:dyDescent="0.25">
      <c r="A822397" s="242"/>
    </row>
    <row r="822398" spans="1:1" x14ac:dyDescent="0.25">
      <c r="A822398" s="242"/>
    </row>
    <row r="822399" spans="1:1" x14ac:dyDescent="0.25">
      <c r="A822399" s="242"/>
    </row>
    <row r="822400" spans="1:1" x14ac:dyDescent="0.25">
      <c r="A822400" s="242"/>
    </row>
    <row r="822401" spans="1:1" x14ac:dyDescent="0.25">
      <c r="A822401" s="242"/>
    </row>
    <row r="822402" spans="1:1" x14ac:dyDescent="0.25">
      <c r="A822402" s="242"/>
    </row>
    <row r="822403" spans="1:1" x14ac:dyDescent="0.25">
      <c r="A822403" s="242"/>
    </row>
    <row r="822404" spans="1:1" x14ac:dyDescent="0.25">
      <c r="A822404" s="242"/>
    </row>
    <row r="822405" spans="1:1" x14ac:dyDescent="0.25">
      <c r="A822405" s="242"/>
    </row>
    <row r="822406" spans="1:1" x14ac:dyDescent="0.25">
      <c r="A822406" s="242"/>
    </row>
    <row r="822407" spans="1:1" x14ac:dyDescent="0.25">
      <c r="A822407" s="242"/>
    </row>
    <row r="822408" spans="1:1" x14ac:dyDescent="0.25">
      <c r="A822408" s="242"/>
    </row>
    <row r="822409" spans="1:1" x14ac:dyDescent="0.25">
      <c r="A822409" s="242"/>
    </row>
    <row r="822410" spans="1:1" x14ac:dyDescent="0.25">
      <c r="A822410" s="242"/>
    </row>
    <row r="822411" spans="1:1" x14ac:dyDescent="0.25">
      <c r="A822411" s="242"/>
    </row>
    <row r="822412" spans="1:1" x14ac:dyDescent="0.25">
      <c r="A822412" s="242"/>
    </row>
    <row r="822413" spans="1:1" x14ac:dyDescent="0.25">
      <c r="A822413" s="242"/>
    </row>
    <row r="822414" spans="1:1" x14ac:dyDescent="0.25">
      <c r="A822414" s="242"/>
    </row>
    <row r="822415" spans="1:1" x14ac:dyDescent="0.25">
      <c r="A822415" s="242"/>
    </row>
    <row r="822416" spans="1:1" x14ac:dyDescent="0.25">
      <c r="A822416" s="242"/>
    </row>
    <row r="822417" spans="1:1" x14ac:dyDescent="0.25">
      <c r="A822417" s="242"/>
    </row>
    <row r="822418" spans="1:1" x14ac:dyDescent="0.25">
      <c r="A822418" s="242"/>
    </row>
    <row r="822419" spans="1:1" x14ac:dyDescent="0.25">
      <c r="A822419" s="242"/>
    </row>
    <row r="822420" spans="1:1" x14ac:dyDescent="0.25">
      <c r="A822420" s="242"/>
    </row>
    <row r="822421" spans="1:1" x14ac:dyDescent="0.25">
      <c r="A822421" s="242"/>
    </row>
    <row r="822422" spans="1:1" x14ac:dyDescent="0.25">
      <c r="A822422" s="242"/>
    </row>
    <row r="822423" spans="1:1" x14ac:dyDescent="0.25">
      <c r="A822423" s="242"/>
    </row>
    <row r="822424" spans="1:1" x14ac:dyDescent="0.25">
      <c r="A822424" s="242"/>
    </row>
    <row r="822425" spans="1:1" x14ac:dyDescent="0.25">
      <c r="A822425" s="242"/>
    </row>
    <row r="822426" spans="1:1" x14ac:dyDescent="0.25">
      <c r="A822426" s="242"/>
    </row>
    <row r="822427" spans="1:1" x14ac:dyDescent="0.25">
      <c r="A822427" s="242"/>
    </row>
    <row r="822428" spans="1:1" x14ac:dyDescent="0.25">
      <c r="A822428" s="242"/>
    </row>
    <row r="822429" spans="1:1" x14ac:dyDescent="0.25">
      <c r="A822429" s="242"/>
    </row>
    <row r="822430" spans="1:1" x14ac:dyDescent="0.25">
      <c r="A822430" s="242"/>
    </row>
    <row r="822431" spans="1:1" x14ac:dyDescent="0.25">
      <c r="A822431" s="242"/>
    </row>
    <row r="822432" spans="1:1" x14ac:dyDescent="0.25">
      <c r="A822432" s="242"/>
    </row>
    <row r="822433" spans="1:1" x14ac:dyDescent="0.25">
      <c r="A822433" s="242"/>
    </row>
    <row r="822434" spans="1:1" x14ac:dyDescent="0.25">
      <c r="A822434" s="242"/>
    </row>
    <row r="822435" spans="1:1" x14ac:dyDescent="0.25">
      <c r="A822435" s="242"/>
    </row>
    <row r="822436" spans="1:1" x14ac:dyDescent="0.25">
      <c r="A822436" s="242"/>
    </row>
    <row r="822437" spans="1:1" x14ac:dyDescent="0.25">
      <c r="A822437" s="242"/>
    </row>
    <row r="822438" spans="1:1" x14ac:dyDescent="0.25">
      <c r="A822438" s="242"/>
    </row>
    <row r="822439" spans="1:1" x14ac:dyDescent="0.25">
      <c r="A822439" s="242"/>
    </row>
    <row r="822440" spans="1:1" x14ac:dyDescent="0.25">
      <c r="A822440" s="242"/>
    </row>
    <row r="822441" spans="1:1" x14ac:dyDescent="0.25">
      <c r="A822441" s="242"/>
    </row>
    <row r="822442" spans="1:1" x14ac:dyDescent="0.25">
      <c r="A822442" s="242"/>
    </row>
    <row r="822443" spans="1:1" x14ac:dyDescent="0.25">
      <c r="A822443" s="242"/>
    </row>
    <row r="822444" spans="1:1" x14ac:dyDescent="0.25">
      <c r="A822444" s="242"/>
    </row>
    <row r="822445" spans="1:1" x14ac:dyDescent="0.25">
      <c r="A822445" s="242"/>
    </row>
    <row r="822446" spans="1:1" x14ac:dyDescent="0.25">
      <c r="A822446" s="242"/>
    </row>
    <row r="822447" spans="1:1" x14ac:dyDescent="0.25">
      <c r="A822447" s="242"/>
    </row>
    <row r="822448" spans="1:1" x14ac:dyDescent="0.25">
      <c r="A822448" s="242"/>
    </row>
    <row r="822449" spans="1:1" x14ac:dyDescent="0.25">
      <c r="A822449" s="242"/>
    </row>
    <row r="822450" spans="1:1" x14ac:dyDescent="0.25">
      <c r="A822450" s="242"/>
    </row>
    <row r="822451" spans="1:1" x14ac:dyDescent="0.25">
      <c r="A822451" s="242"/>
    </row>
    <row r="822452" spans="1:1" x14ac:dyDescent="0.25">
      <c r="A822452" s="242"/>
    </row>
    <row r="822453" spans="1:1" x14ac:dyDescent="0.25">
      <c r="A822453" s="242"/>
    </row>
    <row r="822454" spans="1:1" x14ac:dyDescent="0.25">
      <c r="A822454" s="242"/>
    </row>
    <row r="822455" spans="1:1" x14ac:dyDescent="0.25">
      <c r="A822455" s="242"/>
    </row>
    <row r="822456" spans="1:1" x14ac:dyDescent="0.25">
      <c r="A822456" s="242"/>
    </row>
    <row r="822457" spans="1:1" x14ac:dyDescent="0.25">
      <c r="A822457" s="242"/>
    </row>
    <row r="822458" spans="1:1" x14ac:dyDescent="0.25">
      <c r="A822458" s="242"/>
    </row>
    <row r="822459" spans="1:1" x14ac:dyDescent="0.25">
      <c r="A822459" s="242"/>
    </row>
    <row r="822460" spans="1:1" x14ac:dyDescent="0.25">
      <c r="A822460" s="242"/>
    </row>
    <row r="822461" spans="1:1" x14ac:dyDescent="0.25">
      <c r="A822461" s="242"/>
    </row>
    <row r="822462" spans="1:1" x14ac:dyDescent="0.25">
      <c r="A822462" s="242"/>
    </row>
    <row r="822463" spans="1:1" x14ac:dyDescent="0.25">
      <c r="A822463" s="242"/>
    </row>
    <row r="822464" spans="1:1" x14ac:dyDescent="0.25">
      <c r="A822464" s="242"/>
    </row>
    <row r="822465" spans="1:1" x14ac:dyDescent="0.25">
      <c r="A822465" s="242"/>
    </row>
    <row r="822466" spans="1:1" x14ac:dyDescent="0.25">
      <c r="A822466" s="242"/>
    </row>
    <row r="822467" spans="1:1" x14ac:dyDescent="0.25">
      <c r="A822467" s="242"/>
    </row>
    <row r="822468" spans="1:1" x14ac:dyDescent="0.25">
      <c r="A822468" s="242"/>
    </row>
    <row r="822469" spans="1:1" x14ac:dyDescent="0.25">
      <c r="A822469" s="242"/>
    </row>
    <row r="822470" spans="1:1" x14ac:dyDescent="0.25">
      <c r="A822470" s="242"/>
    </row>
    <row r="822471" spans="1:1" x14ac:dyDescent="0.25">
      <c r="A822471" s="242"/>
    </row>
    <row r="822472" spans="1:1" x14ac:dyDescent="0.25">
      <c r="A822472" s="242"/>
    </row>
    <row r="822473" spans="1:1" x14ac:dyDescent="0.25">
      <c r="A822473" s="242"/>
    </row>
    <row r="822474" spans="1:1" x14ac:dyDescent="0.25">
      <c r="A822474" s="242"/>
    </row>
    <row r="822475" spans="1:1" x14ac:dyDescent="0.25">
      <c r="A822475" s="242"/>
    </row>
    <row r="822476" spans="1:1" x14ac:dyDescent="0.25">
      <c r="A822476" s="242"/>
    </row>
    <row r="822477" spans="1:1" x14ac:dyDescent="0.25">
      <c r="A822477" s="242"/>
    </row>
    <row r="822478" spans="1:1" x14ac:dyDescent="0.25">
      <c r="A822478" s="242"/>
    </row>
    <row r="822479" spans="1:1" x14ac:dyDescent="0.25">
      <c r="A822479" s="242"/>
    </row>
    <row r="822480" spans="1:1" x14ac:dyDescent="0.25">
      <c r="A822480" s="242"/>
    </row>
    <row r="822481" spans="1:1" x14ac:dyDescent="0.25">
      <c r="A822481" s="242"/>
    </row>
    <row r="822482" spans="1:1" x14ac:dyDescent="0.25">
      <c r="A822482" s="242"/>
    </row>
    <row r="822483" spans="1:1" x14ac:dyDescent="0.25">
      <c r="A822483" s="242"/>
    </row>
    <row r="822484" spans="1:1" x14ac:dyDescent="0.25">
      <c r="A822484" s="242"/>
    </row>
    <row r="822485" spans="1:1" x14ac:dyDescent="0.25">
      <c r="A822485" s="242"/>
    </row>
    <row r="822486" spans="1:1" x14ac:dyDescent="0.25">
      <c r="A822486" s="242"/>
    </row>
    <row r="822487" spans="1:1" x14ac:dyDescent="0.25">
      <c r="A822487" s="242"/>
    </row>
    <row r="822488" spans="1:1" x14ac:dyDescent="0.25">
      <c r="A822488" s="242"/>
    </row>
    <row r="822489" spans="1:1" x14ac:dyDescent="0.25">
      <c r="A822489" s="242"/>
    </row>
    <row r="822490" spans="1:1" x14ac:dyDescent="0.25">
      <c r="A822490" s="242"/>
    </row>
    <row r="822491" spans="1:1" x14ac:dyDescent="0.25">
      <c r="A822491" s="242"/>
    </row>
    <row r="822492" spans="1:1" x14ac:dyDescent="0.25">
      <c r="A822492" s="242"/>
    </row>
    <row r="822493" spans="1:1" x14ac:dyDescent="0.25">
      <c r="A822493" s="242"/>
    </row>
    <row r="822494" spans="1:1" x14ac:dyDescent="0.25">
      <c r="A822494" s="242"/>
    </row>
    <row r="822495" spans="1:1" x14ac:dyDescent="0.25">
      <c r="A822495" s="242"/>
    </row>
    <row r="822496" spans="1:1" x14ac:dyDescent="0.25">
      <c r="A822496" s="242"/>
    </row>
    <row r="822497" spans="1:1" x14ac:dyDescent="0.25">
      <c r="A822497" s="242"/>
    </row>
    <row r="822498" spans="1:1" x14ac:dyDescent="0.25">
      <c r="A822498" s="242"/>
    </row>
    <row r="822499" spans="1:1" x14ac:dyDescent="0.25">
      <c r="A822499" s="242"/>
    </row>
    <row r="822500" spans="1:1" x14ac:dyDescent="0.25">
      <c r="A822500" s="242"/>
    </row>
    <row r="822501" spans="1:1" x14ac:dyDescent="0.25">
      <c r="A822501" s="242"/>
    </row>
    <row r="822502" spans="1:1" x14ac:dyDescent="0.25">
      <c r="A822502" s="242"/>
    </row>
    <row r="822503" spans="1:1" x14ac:dyDescent="0.25">
      <c r="A822503" s="242"/>
    </row>
    <row r="822504" spans="1:1" x14ac:dyDescent="0.25">
      <c r="A822504" s="242"/>
    </row>
    <row r="822505" spans="1:1" x14ac:dyDescent="0.25">
      <c r="A822505" s="242"/>
    </row>
    <row r="822506" spans="1:1" x14ac:dyDescent="0.25">
      <c r="A822506" s="242"/>
    </row>
    <row r="822507" spans="1:1" x14ac:dyDescent="0.25">
      <c r="A822507" s="242"/>
    </row>
    <row r="822508" spans="1:1" x14ac:dyDescent="0.25">
      <c r="A822508" s="242"/>
    </row>
    <row r="822509" spans="1:1" x14ac:dyDescent="0.25">
      <c r="A822509" s="242"/>
    </row>
    <row r="822510" spans="1:1" x14ac:dyDescent="0.25">
      <c r="A822510" s="242"/>
    </row>
    <row r="822511" spans="1:1" x14ac:dyDescent="0.25">
      <c r="A822511" s="242"/>
    </row>
    <row r="822512" spans="1:1" x14ac:dyDescent="0.25">
      <c r="A822512" s="242"/>
    </row>
    <row r="822513" spans="1:1" x14ac:dyDescent="0.25">
      <c r="A822513" s="242"/>
    </row>
    <row r="822514" spans="1:1" x14ac:dyDescent="0.25">
      <c r="A822514" s="242"/>
    </row>
    <row r="822515" spans="1:1" x14ac:dyDescent="0.25">
      <c r="A822515" s="242"/>
    </row>
    <row r="822516" spans="1:1" x14ac:dyDescent="0.25">
      <c r="A822516" s="242"/>
    </row>
    <row r="822517" spans="1:1" x14ac:dyDescent="0.25">
      <c r="A822517" s="242"/>
    </row>
    <row r="822518" spans="1:1" x14ac:dyDescent="0.25">
      <c r="A822518" s="242"/>
    </row>
    <row r="822519" spans="1:1" x14ac:dyDescent="0.25">
      <c r="A822519" s="242"/>
    </row>
    <row r="822520" spans="1:1" x14ac:dyDescent="0.25">
      <c r="A822520" s="242"/>
    </row>
    <row r="822521" spans="1:1" x14ac:dyDescent="0.25">
      <c r="A822521" s="242"/>
    </row>
    <row r="822522" spans="1:1" x14ac:dyDescent="0.25">
      <c r="A822522" s="242"/>
    </row>
    <row r="822523" spans="1:1" x14ac:dyDescent="0.25">
      <c r="A822523" s="242"/>
    </row>
    <row r="822524" spans="1:1" x14ac:dyDescent="0.25">
      <c r="A822524" s="242"/>
    </row>
    <row r="822525" spans="1:1" x14ac:dyDescent="0.25">
      <c r="A822525" s="242"/>
    </row>
    <row r="822526" spans="1:1" x14ac:dyDescent="0.25">
      <c r="A822526" s="242"/>
    </row>
    <row r="822527" spans="1:1" x14ac:dyDescent="0.25">
      <c r="A822527" s="242"/>
    </row>
    <row r="822528" spans="1:1" x14ac:dyDescent="0.25">
      <c r="A822528" s="242"/>
    </row>
    <row r="822529" spans="1:1" x14ac:dyDescent="0.25">
      <c r="A822529" s="242"/>
    </row>
    <row r="822530" spans="1:1" x14ac:dyDescent="0.25">
      <c r="A822530" s="242"/>
    </row>
    <row r="822531" spans="1:1" x14ac:dyDescent="0.25">
      <c r="A822531" s="242"/>
    </row>
    <row r="822532" spans="1:1" x14ac:dyDescent="0.25">
      <c r="A822532" s="242"/>
    </row>
    <row r="822533" spans="1:1" x14ac:dyDescent="0.25">
      <c r="A822533" s="242"/>
    </row>
    <row r="822534" spans="1:1" x14ac:dyDescent="0.25">
      <c r="A822534" s="242"/>
    </row>
    <row r="822535" spans="1:1" x14ac:dyDescent="0.25">
      <c r="A822535" s="242"/>
    </row>
    <row r="822536" spans="1:1" x14ac:dyDescent="0.25">
      <c r="A822536" s="242"/>
    </row>
    <row r="822537" spans="1:1" x14ac:dyDescent="0.25">
      <c r="A822537" s="242"/>
    </row>
    <row r="822538" spans="1:1" x14ac:dyDescent="0.25">
      <c r="A822538" s="242"/>
    </row>
    <row r="822539" spans="1:1" x14ac:dyDescent="0.25">
      <c r="A822539" s="242"/>
    </row>
    <row r="822540" spans="1:1" x14ac:dyDescent="0.25">
      <c r="A822540" s="242"/>
    </row>
    <row r="822541" spans="1:1" x14ac:dyDescent="0.25">
      <c r="A822541" s="242"/>
    </row>
    <row r="822542" spans="1:1" x14ac:dyDescent="0.25">
      <c r="A822542" s="242"/>
    </row>
    <row r="822543" spans="1:1" x14ac:dyDescent="0.25">
      <c r="A822543" s="242"/>
    </row>
    <row r="822544" spans="1:1" x14ac:dyDescent="0.25">
      <c r="A822544" s="242"/>
    </row>
    <row r="822545" spans="1:1" x14ac:dyDescent="0.25">
      <c r="A822545" s="242"/>
    </row>
    <row r="822546" spans="1:1" x14ac:dyDescent="0.25">
      <c r="A822546" s="242"/>
    </row>
    <row r="822547" spans="1:1" x14ac:dyDescent="0.25">
      <c r="A822547" s="242"/>
    </row>
    <row r="822548" spans="1:1" x14ac:dyDescent="0.25">
      <c r="A822548" s="242"/>
    </row>
    <row r="822549" spans="1:1" x14ac:dyDescent="0.25">
      <c r="A822549" s="242"/>
    </row>
    <row r="822550" spans="1:1" x14ac:dyDescent="0.25">
      <c r="A822550" s="242"/>
    </row>
    <row r="822551" spans="1:1" x14ac:dyDescent="0.25">
      <c r="A822551" s="242"/>
    </row>
    <row r="822552" spans="1:1" x14ac:dyDescent="0.25">
      <c r="A822552" s="242"/>
    </row>
    <row r="822553" spans="1:1" x14ac:dyDescent="0.25">
      <c r="A822553" s="242"/>
    </row>
    <row r="822554" spans="1:1" x14ac:dyDescent="0.25">
      <c r="A822554" s="242"/>
    </row>
    <row r="822555" spans="1:1" x14ac:dyDescent="0.25">
      <c r="A822555" s="242"/>
    </row>
    <row r="822556" spans="1:1" x14ac:dyDescent="0.25">
      <c r="A822556" s="242"/>
    </row>
    <row r="822557" spans="1:1" x14ac:dyDescent="0.25">
      <c r="A822557" s="242"/>
    </row>
    <row r="822558" spans="1:1" x14ac:dyDescent="0.25">
      <c r="A822558" s="242"/>
    </row>
    <row r="822559" spans="1:1" x14ac:dyDescent="0.25">
      <c r="A822559" s="242"/>
    </row>
    <row r="822560" spans="1:1" x14ac:dyDescent="0.25">
      <c r="A822560" s="242"/>
    </row>
    <row r="822561" spans="1:1" x14ac:dyDescent="0.25">
      <c r="A822561" s="242"/>
    </row>
    <row r="822562" spans="1:1" x14ac:dyDescent="0.25">
      <c r="A822562" s="242"/>
    </row>
    <row r="822563" spans="1:1" x14ac:dyDescent="0.25">
      <c r="A822563" s="242"/>
    </row>
    <row r="822564" spans="1:1" x14ac:dyDescent="0.25">
      <c r="A822564" s="242"/>
    </row>
    <row r="822565" spans="1:1" x14ac:dyDescent="0.25">
      <c r="A822565" s="242"/>
    </row>
    <row r="822566" spans="1:1" x14ac:dyDescent="0.25">
      <c r="A822566" s="242"/>
    </row>
    <row r="822567" spans="1:1" x14ac:dyDescent="0.25">
      <c r="A822567" s="242"/>
    </row>
    <row r="822568" spans="1:1" x14ac:dyDescent="0.25">
      <c r="A822568" s="242"/>
    </row>
    <row r="822569" spans="1:1" x14ac:dyDescent="0.25">
      <c r="A822569" s="242"/>
    </row>
    <row r="822570" spans="1:1" x14ac:dyDescent="0.25">
      <c r="A822570" s="242"/>
    </row>
    <row r="822571" spans="1:1" x14ac:dyDescent="0.25">
      <c r="A822571" s="242"/>
    </row>
    <row r="822572" spans="1:1" x14ac:dyDescent="0.25">
      <c r="A822572" s="242"/>
    </row>
    <row r="822573" spans="1:1" x14ac:dyDescent="0.25">
      <c r="A822573" s="242"/>
    </row>
    <row r="822574" spans="1:1" x14ac:dyDescent="0.25">
      <c r="A822574" s="242"/>
    </row>
    <row r="822575" spans="1:1" x14ac:dyDescent="0.25">
      <c r="A822575" s="242"/>
    </row>
    <row r="822576" spans="1:1" x14ac:dyDescent="0.25">
      <c r="A822576" s="242"/>
    </row>
    <row r="822577" spans="1:1" x14ac:dyDescent="0.25">
      <c r="A822577" s="242"/>
    </row>
    <row r="822578" spans="1:1" x14ac:dyDescent="0.25">
      <c r="A822578" s="242"/>
    </row>
    <row r="822579" spans="1:1" x14ac:dyDescent="0.25">
      <c r="A822579" s="242"/>
    </row>
    <row r="822580" spans="1:1" x14ac:dyDescent="0.25">
      <c r="A822580" s="242"/>
    </row>
    <row r="822581" spans="1:1" x14ac:dyDescent="0.25">
      <c r="A822581" s="242"/>
    </row>
    <row r="822582" spans="1:1" x14ac:dyDescent="0.25">
      <c r="A822582" s="242"/>
    </row>
    <row r="822583" spans="1:1" x14ac:dyDescent="0.25">
      <c r="A822583" s="242"/>
    </row>
    <row r="822584" spans="1:1" x14ac:dyDescent="0.25">
      <c r="A822584" s="242"/>
    </row>
    <row r="822585" spans="1:1" x14ac:dyDescent="0.25">
      <c r="A822585" s="242"/>
    </row>
    <row r="822586" spans="1:1" x14ac:dyDescent="0.25">
      <c r="A822586" s="242"/>
    </row>
    <row r="822587" spans="1:1" x14ac:dyDescent="0.25">
      <c r="A822587" s="242"/>
    </row>
    <row r="822588" spans="1:1" x14ac:dyDescent="0.25">
      <c r="A822588" s="242"/>
    </row>
    <row r="822589" spans="1:1" x14ac:dyDescent="0.25">
      <c r="A822589" s="242"/>
    </row>
    <row r="822590" spans="1:1" x14ac:dyDescent="0.25">
      <c r="A822590" s="242"/>
    </row>
    <row r="822591" spans="1:1" x14ac:dyDescent="0.25">
      <c r="A822591" s="242"/>
    </row>
    <row r="822592" spans="1:1" x14ac:dyDescent="0.25">
      <c r="A822592" s="242"/>
    </row>
    <row r="822593" spans="1:1" x14ac:dyDescent="0.25">
      <c r="A822593" s="242"/>
    </row>
    <row r="822594" spans="1:1" x14ac:dyDescent="0.25">
      <c r="A822594" s="242"/>
    </row>
    <row r="822595" spans="1:1" x14ac:dyDescent="0.25">
      <c r="A822595" s="242"/>
    </row>
    <row r="822596" spans="1:1" x14ac:dyDescent="0.25">
      <c r="A822596" s="242"/>
    </row>
    <row r="822597" spans="1:1" x14ac:dyDescent="0.25">
      <c r="A822597" s="242"/>
    </row>
    <row r="822598" spans="1:1" x14ac:dyDescent="0.25">
      <c r="A822598" s="242"/>
    </row>
    <row r="822599" spans="1:1" x14ac:dyDescent="0.25">
      <c r="A822599" s="242"/>
    </row>
    <row r="822600" spans="1:1" x14ac:dyDescent="0.25">
      <c r="A822600" s="242"/>
    </row>
    <row r="822601" spans="1:1" x14ac:dyDescent="0.25">
      <c r="A822601" s="242"/>
    </row>
    <row r="822602" spans="1:1" x14ac:dyDescent="0.25">
      <c r="A822602" s="242"/>
    </row>
    <row r="822603" spans="1:1" x14ac:dyDescent="0.25">
      <c r="A822603" s="242"/>
    </row>
    <row r="822604" spans="1:1" x14ac:dyDescent="0.25">
      <c r="A822604" s="242"/>
    </row>
    <row r="822605" spans="1:1" x14ac:dyDescent="0.25">
      <c r="A822605" s="242"/>
    </row>
    <row r="822606" spans="1:1" x14ac:dyDescent="0.25">
      <c r="A822606" s="242"/>
    </row>
    <row r="822607" spans="1:1" x14ac:dyDescent="0.25">
      <c r="A822607" s="242"/>
    </row>
    <row r="822608" spans="1:1" x14ac:dyDescent="0.25">
      <c r="A822608" s="242"/>
    </row>
    <row r="822609" spans="1:1" x14ac:dyDescent="0.25">
      <c r="A822609" s="242"/>
    </row>
    <row r="822610" spans="1:1" x14ac:dyDescent="0.25">
      <c r="A822610" s="242"/>
    </row>
    <row r="822611" spans="1:1" x14ac:dyDescent="0.25">
      <c r="A822611" s="242"/>
    </row>
    <row r="822612" spans="1:1" x14ac:dyDescent="0.25">
      <c r="A822612" s="242"/>
    </row>
    <row r="822613" spans="1:1" x14ac:dyDescent="0.25">
      <c r="A822613" s="242"/>
    </row>
    <row r="822614" spans="1:1" x14ac:dyDescent="0.25">
      <c r="A822614" s="242"/>
    </row>
    <row r="822615" spans="1:1" x14ac:dyDescent="0.25">
      <c r="A822615" s="242"/>
    </row>
    <row r="822616" spans="1:1" x14ac:dyDescent="0.25">
      <c r="A822616" s="242"/>
    </row>
    <row r="822617" spans="1:1" x14ac:dyDescent="0.25">
      <c r="A822617" s="242"/>
    </row>
    <row r="822618" spans="1:1" x14ac:dyDescent="0.25">
      <c r="A822618" s="242"/>
    </row>
    <row r="822619" spans="1:1" x14ac:dyDescent="0.25">
      <c r="A822619" s="242"/>
    </row>
    <row r="822620" spans="1:1" x14ac:dyDescent="0.25">
      <c r="A822620" s="242"/>
    </row>
    <row r="822621" spans="1:1" x14ac:dyDescent="0.25">
      <c r="A822621" s="242"/>
    </row>
    <row r="822622" spans="1:1" x14ac:dyDescent="0.25">
      <c r="A822622" s="242"/>
    </row>
    <row r="822623" spans="1:1" x14ac:dyDescent="0.25">
      <c r="A822623" s="242"/>
    </row>
    <row r="822624" spans="1:1" x14ac:dyDescent="0.25">
      <c r="A822624" s="242"/>
    </row>
    <row r="822625" spans="1:1" x14ac:dyDescent="0.25">
      <c r="A822625" s="242"/>
    </row>
    <row r="822626" spans="1:1" x14ac:dyDescent="0.25">
      <c r="A822626" s="242"/>
    </row>
    <row r="822627" spans="1:1" x14ac:dyDescent="0.25">
      <c r="A822627" s="242"/>
    </row>
    <row r="822628" spans="1:1" x14ac:dyDescent="0.25">
      <c r="A822628" s="242"/>
    </row>
    <row r="822629" spans="1:1" x14ac:dyDescent="0.25">
      <c r="A822629" s="242"/>
    </row>
    <row r="822630" spans="1:1" x14ac:dyDescent="0.25">
      <c r="A822630" s="242"/>
    </row>
    <row r="822631" spans="1:1" x14ac:dyDescent="0.25">
      <c r="A822631" s="242"/>
    </row>
    <row r="822632" spans="1:1" x14ac:dyDescent="0.25">
      <c r="A822632" s="242"/>
    </row>
    <row r="822633" spans="1:1" x14ac:dyDescent="0.25">
      <c r="A822633" s="242"/>
    </row>
    <row r="822634" spans="1:1" x14ac:dyDescent="0.25">
      <c r="A822634" s="242"/>
    </row>
    <row r="822635" spans="1:1" x14ac:dyDescent="0.25">
      <c r="A822635" s="242"/>
    </row>
    <row r="822636" spans="1:1" x14ac:dyDescent="0.25">
      <c r="A822636" s="242"/>
    </row>
    <row r="822637" spans="1:1" x14ac:dyDescent="0.25">
      <c r="A822637" s="242"/>
    </row>
    <row r="822638" spans="1:1" x14ac:dyDescent="0.25">
      <c r="A822638" s="242"/>
    </row>
    <row r="822639" spans="1:1" x14ac:dyDescent="0.25">
      <c r="A822639" s="242"/>
    </row>
    <row r="822640" spans="1:1" x14ac:dyDescent="0.25">
      <c r="A822640" s="242"/>
    </row>
    <row r="822641" spans="1:1" x14ac:dyDescent="0.25">
      <c r="A822641" s="242"/>
    </row>
    <row r="822642" spans="1:1" x14ac:dyDescent="0.25">
      <c r="A822642" s="242"/>
    </row>
    <row r="822643" spans="1:1" x14ac:dyDescent="0.25">
      <c r="A822643" s="242"/>
    </row>
    <row r="822644" spans="1:1" x14ac:dyDescent="0.25">
      <c r="A822644" s="242"/>
    </row>
    <row r="822645" spans="1:1" x14ac:dyDescent="0.25">
      <c r="A822645" s="242"/>
    </row>
    <row r="822646" spans="1:1" x14ac:dyDescent="0.25">
      <c r="A822646" s="242"/>
    </row>
    <row r="822647" spans="1:1" x14ac:dyDescent="0.25">
      <c r="A822647" s="242"/>
    </row>
    <row r="822648" spans="1:1" x14ac:dyDescent="0.25">
      <c r="A822648" s="242"/>
    </row>
    <row r="822649" spans="1:1" x14ac:dyDescent="0.25">
      <c r="A822649" s="242"/>
    </row>
    <row r="822650" spans="1:1" x14ac:dyDescent="0.25">
      <c r="A822650" s="242"/>
    </row>
    <row r="822651" spans="1:1" x14ac:dyDescent="0.25">
      <c r="A822651" s="242"/>
    </row>
    <row r="822652" spans="1:1" x14ac:dyDescent="0.25">
      <c r="A822652" s="242"/>
    </row>
    <row r="822653" spans="1:1" x14ac:dyDescent="0.25">
      <c r="A822653" s="242"/>
    </row>
    <row r="822654" spans="1:1" x14ac:dyDescent="0.25">
      <c r="A822654" s="242"/>
    </row>
    <row r="822655" spans="1:1" x14ac:dyDescent="0.25">
      <c r="A822655" s="242"/>
    </row>
    <row r="822656" spans="1:1" x14ac:dyDescent="0.25">
      <c r="A822656" s="242"/>
    </row>
    <row r="822657" spans="1:1" x14ac:dyDescent="0.25">
      <c r="A822657" s="242"/>
    </row>
    <row r="822658" spans="1:1" x14ac:dyDescent="0.25">
      <c r="A822658" s="242"/>
    </row>
    <row r="822659" spans="1:1" x14ac:dyDescent="0.25">
      <c r="A822659" s="242"/>
    </row>
    <row r="822660" spans="1:1" x14ac:dyDescent="0.25">
      <c r="A822660" s="242"/>
    </row>
    <row r="822661" spans="1:1" x14ac:dyDescent="0.25">
      <c r="A822661" s="242"/>
    </row>
    <row r="822662" spans="1:1" x14ac:dyDescent="0.25">
      <c r="A822662" s="242"/>
    </row>
    <row r="822663" spans="1:1" x14ac:dyDescent="0.25">
      <c r="A822663" s="242"/>
    </row>
    <row r="822664" spans="1:1" x14ac:dyDescent="0.25">
      <c r="A822664" s="242"/>
    </row>
    <row r="822665" spans="1:1" x14ac:dyDescent="0.25">
      <c r="A822665" s="242"/>
    </row>
    <row r="822666" spans="1:1" x14ac:dyDescent="0.25">
      <c r="A822666" s="242"/>
    </row>
    <row r="822667" spans="1:1" x14ac:dyDescent="0.25">
      <c r="A822667" s="242"/>
    </row>
    <row r="822668" spans="1:1" x14ac:dyDescent="0.25">
      <c r="A822668" s="242"/>
    </row>
    <row r="822669" spans="1:1" x14ac:dyDescent="0.25">
      <c r="A822669" s="242"/>
    </row>
    <row r="822670" spans="1:1" x14ac:dyDescent="0.25">
      <c r="A822670" s="242"/>
    </row>
    <row r="822671" spans="1:1" x14ac:dyDescent="0.25">
      <c r="A822671" s="242"/>
    </row>
    <row r="822672" spans="1:1" x14ac:dyDescent="0.25">
      <c r="A822672" s="242"/>
    </row>
    <row r="822673" spans="1:1" x14ac:dyDescent="0.25">
      <c r="A822673" s="242"/>
    </row>
    <row r="822674" spans="1:1" x14ac:dyDescent="0.25">
      <c r="A822674" s="242"/>
    </row>
    <row r="822675" spans="1:1" x14ac:dyDescent="0.25">
      <c r="A822675" s="242"/>
    </row>
    <row r="822676" spans="1:1" x14ac:dyDescent="0.25">
      <c r="A822676" s="242"/>
    </row>
    <row r="822677" spans="1:1" x14ac:dyDescent="0.25">
      <c r="A822677" s="242"/>
    </row>
    <row r="822678" spans="1:1" x14ac:dyDescent="0.25">
      <c r="A822678" s="242"/>
    </row>
    <row r="822679" spans="1:1" x14ac:dyDescent="0.25">
      <c r="A822679" s="242"/>
    </row>
    <row r="822680" spans="1:1" x14ac:dyDescent="0.25">
      <c r="A822680" s="242"/>
    </row>
    <row r="822681" spans="1:1" x14ac:dyDescent="0.25">
      <c r="A822681" s="242"/>
    </row>
    <row r="822682" spans="1:1" x14ac:dyDescent="0.25">
      <c r="A822682" s="242"/>
    </row>
    <row r="822683" spans="1:1" x14ac:dyDescent="0.25">
      <c r="A822683" s="242"/>
    </row>
    <row r="822684" spans="1:1" x14ac:dyDescent="0.25">
      <c r="A822684" s="242"/>
    </row>
    <row r="822685" spans="1:1" x14ac:dyDescent="0.25">
      <c r="A822685" s="242"/>
    </row>
    <row r="822686" spans="1:1" x14ac:dyDescent="0.25">
      <c r="A822686" s="242"/>
    </row>
    <row r="822687" spans="1:1" x14ac:dyDescent="0.25">
      <c r="A822687" s="242"/>
    </row>
    <row r="822688" spans="1:1" x14ac:dyDescent="0.25">
      <c r="A822688" s="242"/>
    </row>
    <row r="822689" spans="1:1" x14ac:dyDescent="0.25">
      <c r="A822689" s="242"/>
    </row>
    <row r="822690" spans="1:1" x14ac:dyDescent="0.25">
      <c r="A822690" s="242"/>
    </row>
    <row r="822691" spans="1:1" x14ac:dyDescent="0.25">
      <c r="A822691" s="242"/>
    </row>
    <row r="822692" spans="1:1" x14ac:dyDescent="0.25">
      <c r="A822692" s="242"/>
    </row>
    <row r="822693" spans="1:1" x14ac:dyDescent="0.25">
      <c r="A822693" s="242"/>
    </row>
    <row r="822694" spans="1:1" x14ac:dyDescent="0.25">
      <c r="A822694" s="242"/>
    </row>
    <row r="822695" spans="1:1" x14ac:dyDescent="0.25">
      <c r="A822695" s="242"/>
    </row>
    <row r="822696" spans="1:1" x14ac:dyDescent="0.25">
      <c r="A822696" s="242"/>
    </row>
    <row r="822697" spans="1:1" x14ac:dyDescent="0.25">
      <c r="A822697" s="242"/>
    </row>
    <row r="822698" spans="1:1" x14ac:dyDescent="0.25">
      <c r="A822698" s="242"/>
    </row>
    <row r="822699" spans="1:1" x14ac:dyDescent="0.25">
      <c r="A822699" s="242"/>
    </row>
    <row r="822700" spans="1:1" x14ac:dyDescent="0.25">
      <c r="A822700" s="242"/>
    </row>
    <row r="822701" spans="1:1" x14ac:dyDescent="0.25">
      <c r="A822701" s="242"/>
    </row>
    <row r="822702" spans="1:1" x14ac:dyDescent="0.25">
      <c r="A822702" s="242"/>
    </row>
    <row r="822703" spans="1:1" x14ac:dyDescent="0.25">
      <c r="A822703" s="242"/>
    </row>
    <row r="822704" spans="1:1" x14ac:dyDescent="0.25">
      <c r="A822704" s="242"/>
    </row>
    <row r="822705" spans="1:1" x14ac:dyDescent="0.25">
      <c r="A822705" s="242"/>
    </row>
    <row r="822706" spans="1:1" x14ac:dyDescent="0.25">
      <c r="A822706" s="242"/>
    </row>
    <row r="822707" spans="1:1" x14ac:dyDescent="0.25">
      <c r="A822707" s="242"/>
    </row>
    <row r="822708" spans="1:1" x14ac:dyDescent="0.25">
      <c r="A822708" s="242"/>
    </row>
    <row r="822709" spans="1:1" x14ac:dyDescent="0.25">
      <c r="A822709" s="242"/>
    </row>
    <row r="822710" spans="1:1" x14ac:dyDescent="0.25">
      <c r="A822710" s="242"/>
    </row>
    <row r="822711" spans="1:1" x14ac:dyDescent="0.25">
      <c r="A822711" s="242"/>
    </row>
    <row r="822712" spans="1:1" x14ac:dyDescent="0.25">
      <c r="A822712" s="242"/>
    </row>
    <row r="822713" spans="1:1" x14ac:dyDescent="0.25">
      <c r="A822713" s="242"/>
    </row>
    <row r="822714" spans="1:1" x14ac:dyDescent="0.25">
      <c r="A822714" s="242"/>
    </row>
    <row r="822715" spans="1:1" x14ac:dyDescent="0.25">
      <c r="A822715" s="242"/>
    </row>
    <row r="822716" spans="1:1" x14ac:dyDescent="0.25">
      <c r="A822716" s="242"/>
    </row>
    <row r="822717" spans="1:1" x14ac:dyDescent="0.25">
      <c r="A822717" s="242"/>
    </row>
    <row r="822718" spans="1:1" x14ac:dyDescent="0.25">
      <c r="A822718" s="242"/>
    </row>
    <row r="822719" spans="1:1" x14ac:dyDescent="0.25">
      <c r="A822719" s="242"/>
    </row>
    <row r="822720" spans="1:1" x14ac:dyDescent="0.25">
      <c r="A822720" s="242"/>
    </row>
    <row r="822721" spans="1:1" x14ac:dyDescent="0.25">
      <c r="A822721" s="242"/>
    </row>
    <row r="822722" spans="1:1" x14ac:dyDescent="0.25">
      <c r="A822722" s="242"/>
    </row>
    <row r="822723" spans="1:1" x14ac:dyDescent="0.25">
      <c r="A822723" s="242"/>
    </row>
    <row r="822724" spans="1:1" x14ac:dyDescent="0.25">
      <c r="A822724" s="242"/>
    </row>
    <row r="822725" spans="1:1" x14ac:dyDescent="0.25">
      <c r="A822725" s="242"/>
    </row>
    <row r="822726" spans="1:1" x14ac:dyDescent="0.25">
      <c r="A822726" s="242"/>
    </row>
    <row r="822727" spans="1:1" x14ac:dyDescent="0.25">
      <c r="A822727" s="242"/>
    </row>
    <row r="822728" spans="1:1" x14ac:dyDescent="0.25">
      <c r="A822728" s="242"/>
    </row>
    <row r="822729" spans="1:1" x14ac:dyDescent="0.25">
      <c r="A822729" s="242"/>
    </row>
    <row r="822730" spans="1:1" x14ac:dyDescent="0.25">
      <c r="A822730" s="242"/>
    </row>
    <row r="822731" spans="1:1" x14ac:dyDescent="0.25">
      <c r="A822731" s="242"/>
    </row>
    <row r="822732" spans="1:1" x14ac:dyDescent="0.25">
      <c r="A822732" s="242"/>
    </row>
    <row r="822733" spans="1:1" x14ac:dyDescent="0.25">
      <c r="A822733" s="242"/>
    </row>
    <row r="822734" spans="1:1" x14ac:dyDescent="0.25">
      <c r="A822734" s="242"/>
    </row>
    <row r="822735" spans="1:1" x14ac:dyDescent="0.25">
      <c r="A822735" s="242"/>
    </row>
    <row r="822736" spans="1:1" x14ac:dyDescent="0.25">
      <c r="A822736" s="242"/>
    </row>
    <row r="822737" spans="1:1" x14ac:dyDescent="0.25">
      <c r="A822737" s="242"/>
    </row>
    <row r="822738" spans="1:1" x14ac:dyDescent="0.25">
      <c r="A822738" s="242"/>
    </row>
    <row r="822739" spans="1:1" x14ac:dyDescent="0.25">
      <c r="A822739" s="242"/>
    </row>
    <row r="822740" spans="1:1" x14ac:dyDescent="0.25">
      <c r="A822740" s="242"/>
    </row>
    <row r="822741" spans="1:1" x14ac:dyDescent="0.25">
      <c r="A822741" s="242"/>
    </row>
    <row r="822742" spans="1:1" x14ac:dyDescent="0.25">
      <c r="A822742" s="242"/>
    </row>
    <row r="822743" spans="1:1" x14ac:dyDescent="0.25">
      <c r="A822743" s="242"/>
    </row>
    <row r="822744" spans="1:1" x14ac:dyDescent="0.25">
      <c r="A822744" s="242"/>
    </row>
    <row r="822745" spans="1:1" x14ac:dyDescent="0.25">
      <c r="A822745" s="242"/>
    </row>
    <row r="822746" spans="1:1" x14ac:dyDescent="0.25">
      <c r="A822746" s="242"/>
    </row>
    <row r="822747" spans="1:1" x14ac:dyDescent="0.25">
      <c r="A822747" s="242"/>
    </row>
    <row r="822748" spans="1:1" x14ac:dyDescent="0.25">
      <c r="A822748" s="242"/>
    </row>
    <row r="822749" spans="1:1" x14ac:dyDescent="0.25">
      <c r="A822749" s="242"/>
    </row>
    <row r="822750" spans="1:1" x14ac:dyDescent="0.25">
      <c r="A822750" s="242"/>
    </row>
    <row r="822751" spans="1:1" x14ac:dyDescent="0.25">
      <c r="A822751" s="242"/>
    </row>
    <row r="822752" spans="1:1" x14ac:dyDescent="0.25">
      <c r="A822752" s="242"/>
    </row>
    <row r="822753" spans="1:1" x14ac:dyDescent="0.25">
      <c r="A822753" s="242"/>
    </row>
    <row r="822754" spans="1:1" x14ac:dyDescent="0.25">
      <c r="A822754" s="242"/>
    </row>
    <row r="822755" spans="1:1" x14ac:dyDescent="0.25">
      <c r="A822755" s="242"/>
    </row>
    <row r="822756" spans="1:1" x14ac:dyDescent="0.25">
      <c r="A822756" s="242"/>
    </row>
    <row r="822757" spans="1:1" x14ac:dyDescent="0.25">
      <c r="A822757" s="242"/>
    </row>
    <row r="822758" spans="1:1" x14ac:dyDescent="0.25">
      <c r="A822758" s="242"/>
    </row>
    <row r="822759" spans="1:1" x14ac:dyDescent="0.25">
      <c r="A822759" s="242"/>
    </row>
    <row r="822760" spans="1:1" x14ac:dyDescent="0.25">
      <c r="A822760" s="242"/>
    </row>
    <row r="822761" spans="1:1" x14ac:dyDescent="0.25">
      <c r="A822761" s="242"/>
    </row>
    <row r="822762" spans="1:1" x14ac:dyDescent="0.25">
      <c r="A822762" s="242"/>
    </row>
    <row r="822763" spans="1:1" x14ac:dyDescent="0.25">
      <c r="A822763" s="242"/>
    </row>
    <row r="822764" spans="1:1" x14ac:dyDescent="0.25">
      <c r="A822764" s="242"/>
    </row>
    <row r="822765" spans="1:1" x14ac:dyDescent="0.25">
      <c r="A822765" s="242"/>
    </row>
    <row r="822766" spans="1:1" x14ac:dyDescent="0.25">
      <c r="A822766" s="242"/>
    </row>
    <row r="822767" spans="1:1" x14ac:dyDescent="0.25">
      <c r="A822767" s="242"/>
    </row>
    <row r="822768" spans="1:1" x14ac:dyDescent="0.25">
      <c r="A822768" s="242"/>
    </row>
    <row r="822769" spans="1:1" x14ac:dyDescent="0.25">
      <c r="A822769" s="242"/>
    </row>
    <row r="822770" spans="1:1" x14ac:dyDescent="0.25">
      <c r="A822770" s="242"/>
    </row>
    <row r="822771" spans="1:1" x14ac:dyDescent="0.25">
      <c r="A822771" s="242"/>
    </row>
    <row r="822772" spans="1:1" x14ac:dyDescent="0.25">
      <c r="A822772" s="242"/>
    </row>
    <row r="822773" spans="1:1" x14ac:dyDescent="0.25">
      <c r="A822773" s="242"/>
    </row>
    <row r="822774" spans="1:1" x14ac:dyDescent="0.25">
      <c r="A822774" s="242"/>
    </row>
    <row r="822775" spans="1:1" x14ac:dyDescent="0.25">
      <c r="A822775" s="242"/>
    </row>
    <row r="822776" spans="1:1" x14ac:dyDescent="0.25">
      <c r="A822776" s="242"/>
    </row>
    <row r="822777" spans="1:1" x14ac:dyDescent="0.25">
      <c r="A822777" s="242"/>
    </row>
    <row r="822778" spans="1:1" x14ac:dyDescent="0.25">
      <c r="A822778" s="242"/>
    </row>
    <row r="822779" spans="1:1" x14ac:dyDescent="0.25">
      <c r="A822779" s="242"/>
    </row>
    <row r="822780" spans="1:1" x14ac:dyDescent="0.25">
      <c r="A822780" s="242"/>
    </row>
    <row r="822781" spans="1:1" x14ac:dyDescent="0.25">
      <c r="A822781" s="242"/>
    </row>
    <row r="822782" spans="1:1" x14ac:dyDescent="0.25">
      <c r="A822782" s="242"/>
    </row>
    <row r="822783" spans="1:1" x14ac:dyDescent="0.25">
      <c r="A822783" s="242"/>
    </row>
    <row r="822784" spans="1:1" x14ac:dyDescent="0.25">
      <c r="A822784" s="242"/>
    </row>
    <row r="822785" spans="1:1" x14ac:dyDescent="0.25">
      <c r="A822785" s="242"/>
    </row>
    <row r="822786" spans="1:1" x14ac:dyDescent="0.25">
      <c r="A822786" s="242"/>
    </row>
    <row r="822787" spans="1:1" x14ac:dyDescent="0.25">
      <c r="A822787" s="242"/>
    </row>
    <row r="822788" spans="1:1" x14ac:dyDescent="0.25">
      <c r="A822788" s="242"/>
    </row>
    <row r="822789" spans="1:1" x14ac:dyDescent="0.25">
      <c r="A822789" s="242"/>
    </row>
    <row r="822790" spans="1:1" x14ac:dyDescent="0.25">
      <c r="A822790" s="242"/>
    </row>
    <row r="822791" spans="1:1" x14ac:dyDescent="0.25">
      <c r="A822791" s="242"/>
    </row>
    <row r="822792" spans="1:1" x14ac:dyDescent="0.25">
      <c r="A822792" s="242"/>
    </row>
    <row r="822793" spans="1:1" x14ac:dyDescent="0.25">
      <c r="A822793" s="242"/>
    </row>
    <row r="822794" spans="1:1" x14ac:dyDescent="0.25">
      <c r="A822794" s="242"/>
    </row>
    <row r="822795" spans="1:1" x14ac:dyDescent="0.25">
      <c r="A822795" s="242"/>
    </row>
    <row r="822796" spans="1:1" x14ac:dyDescent="0.25">
      <c r="A822796" s="242"/>
    </row>
    <row r="822797" spans="1:1" x14ac:dyDescent="0.25">
      <c r="A822797" s="242"/>
    </row>
    <row r="822798" spans="1:1" x14ac:dyDescent="0.25">
      <c r="A822798" s="242"/>
    </row>
    <row r="822799" spans="1:1" x14ac:dyDescent="0.25">
      <c r="A822799" s="242"/>
    </row>
    <row r="822800" spans="1:1" x14ac:dyDescent="0.25">
      <c r="A822800" s="242"/>
    </row>
    <row r="822801" spans="1:1" x14ac:dyDescent="0.25">
      <c r="A822801" s="242"/>
    </row>
    <row r="822802" spans="1:1" x14ac:dyDescent="0.25">
      <c r="A822802" s="242"/>
    </row>
    <row r="822803" spans="1:1" x14ac:dyDescent="0.25">
      <c r="A822803" s="242"/>
    </row>
    <row r="822804" spans="1:1" x14ac:dyDescent="0.25">
      <c r="A822804" s="242"/>
    </row>
    <row r="822805" spans="1:1" x14ac:dyDescent="0.25">
      <c r="A822805" s="242"/>
    </row>
    <row r="822806" spans="1:1" x14ac:dyDescent="0.25">
      <c r="A822806" s="242"/>
    </row>
    <row r="822807" spans="1:1" x14ac:dyDescent="0.25">
      <c r="A822807" s="242"/>
    </row>
    <row r="822808" spans="1:1" x14ac:dyDescent="0.25">
      <c r="A822808" s="242"/>
    </row>
    <row r="822809" spans="1:1" x14ac:dyDescent="0.25">
      <c r="A822809" s="242"/>
    </row>
    <row r="822810" spans="1:1" x14ac:dyDescent="0.25">
      <c r="A822810" s="242"/>
    </row>
    <row r="822811" spans="1:1" x14ac:dyDescent="0.25">
      <c r="A822811" s="242"/>
    </row>
    <row r="822812" spans="1:1" x14ac:dyDescent="0.25">
      <c r="A822812" s="242"/>
    </row>
    <row r="822813" spans="1:1" x14ac:dyDescent="0.25">
      <c r="A822813" s="242"/>
    </row>
    <row r="822814" spans="1:1" x14ac:dyDescent="0.25">
      <c r="A822814" s="242"/>
    </row>
    <row r="822815" spans="1:1" x14ac:dyDescent="0.25">
      <c r="A822815" s="242"/>
    </row>
    <row r="822816" spans="1:1" x14ac:dyDescent="0.25">
      <c r="A822816" s="242"/>
    </row>
    <row r="822817" spans="1:1" x14ac:dyDescent="0.25">
      <c r="A822817" s="242"/>
    </row>
    <row r="822818" spans="1:1" x14ac:dyDescent="0.25">
      <c r="A822818" s="242"/>
    </row>
    <row r="822819" spans="1:1" x14ac:dyDescent="0.25">
      <c r="A822819" s="242"/>
    </row>
    <row r="822820" spans="1:1" x14ac:dyDescent="0.25">
      <c r="A822820" s="242"/>
    </row>
    <row r="822821" spans="1:1" x14ac:dyDescent="0.25">
      <c r="A822821" s="242"/>
    </row>
    <row r="822822" spans="1:1" x14ac:dyDescent="0.25">
      <c r="A822822" s="242"/>
    </row>
    <row r="822823" spans="1:1" x14ac:dyDescent="0.25">
      <c r="A822823" s="242"/>
    </row>
    <row r="822824" spans="1:1" x14ac:dyDescent="0.25">
      <c r="A822824" s="242"/>
    </row>
    <row r="822825" spans="1:1" x14ac:dyDescent="0.25">
      <c r="A822825" s="242"/>
    </row>
    <row r="822826" spans="1:1" x14ac:dyDescent="0.25">
      <c r="A822826" s="242"/>
    </row>
    <row r="822827" spans="1:1" x14ac:dyDescent="0.25">
      <c r="A822827" s="242"/>
    </row>
    <row r="822828" spans="1:1" x14ac:dyDescent="0.25">
      <c r="A822828" s="242"/>
    </row>
    <row r="822829" spans="1:1" x14ac:dyDescent="0.25">
      <c r="A822829" s="242"/>
    </row>
    <row r="822830" spans="1:1" x14ac:dyDescent="0.25">
      <c r="A822830" s="242"/>
    </row>
    <row r="822831" spans="1:1" x14ac:dyDescent="0.25">
      <c r="A822831" s="242"/>
    </row>
    <row r="822832" spans="1:1" x14ac:dyDescent="0.25">
      <c r="A822832" s="242"/>
    </row>
    <row r="822833" spans="1:1" x14ac:dyDescent="0.25">
      <c r="A822833" s="242"/>
    </row>
    <row r="822834" spans="1:1" x14ac:dyDescent="0.25">
      <c r="A822834" s="242"/>
    </row>
    <row r="822835" spans="1:1" x14ac:dyDescent="0.25">
      <c r="A822835" s="242"/>
    </row>
    <row r="822836" spans="1:1" x14ac:dyDescent="0.25">
      <c r="A822836" s="242"/>
    </row>
    <row r="822837" spans="1:1" x14ac:dyDescent="0.25">
      <c r="A822837" s="242"/>
    </row>
    <row r="822838" spans="1:1" x14ac:dyDescent="0.25">
      <c r="A822838" s="242"/>
    </row>
    <row r="822839" spans="1:1" x14ac:dyDescent="0.25">
      <c r="A822839" s="242"/>
    </row>
    <row r="822840" spans="1:1" x14ac:dyDescent="0.25">
      <c r="A822840" s="242"/>
    </row>
    <row r="822841" spans="1:1" x14ac:dyDescent="0.25">
      <c r="A822841" s="242"/>
    </row>
    <row r="822842" spans="1:1" x14ac:dyDescent="0.25">
      <c r="A822842" s="242"/>
    </row>
    <row r="822843" spans="1:1" x14ac:dyDescent="0.25">
      <c r="A822843" s="242"/>
    </row>
    <row r="822844" spans="1:1" x14ac:dyDescent="0.25">
      <c r="A822844" s="242"/>
    </row>
    <row r="822845" spans="1:1" x14ac:dyDescent="0.25">
      <c r="A822845" s="242"/>
    </row>
    <row r="822846" spans="1:1" x14ac:dyDescent="0.25">
      <c r="A822846" s="242"/>
    </row>
    <row r="822847" spans="1:1" x14ac:dyDescent="0.25">
      <c r="A822847" s="242"/>
    </row>
    <row r="822848" spans="1:1" x14ac:dyDescent="0.25">
      <c r="A822848" s="242"/>
    </row>
    <row r="822849" spans="1:1" x14ac:dyDescent="0.25">
      <c r="A822849" s="242"/>
    </row>
    <row r="822850" spans="1:1" x14ac:dyDescent="0.25">
      <c r="A822850" s="242"/>
    </row>
    <row r="822851" spans="1:1" x14ac:dyDescent="0.25">
      <c r="A822851" s="242"/>
    </row>
    <row r="822852" spans="1:1" x14ac:dyDescent="0.25">
      <c r="A822852" s="242"/>
    </row>
    <row r="822853" spans="1:1" x14ac:dyDescent="0.25">
      <c r="A822853" s="242"/>
    </row>
    <row r="822854" spans="1:1" x14ac:dyDescent="0.25">
      <c r="A822854" s="242"/>
    </row>
    <row r="822855" spans="1:1" x14ac:dyDescent="0.25">
      <c r="A822855" s="242"/>
    </row>
    <row r="822856" spans="1:1" x14ac:dyDescent="0.25">
      <c r="A822856" s="242"/>
    </row>
    <row r="822857" spans="1:1" x14ac:dyDescent="0.25">
      <c r="A822857" s="242"/>
    </row>
    <row r="822858" spans="1:1" x14ac:dyDescent="0.25">
      <c r="A822858" s="242"/>
    </row>
    <row r="822859" spans="1:1" x14ac:dyDescent="0.25">
      <c r="A822859" s="242"/>
    </row>
    <row r="822860" spans="1:1" x14ac:dyDescent="0.25">
      <c r="A822860" s="242"/>
    </row>
    <row r="822861" spans="1:1" x14ac:dyDescent="0.25">
      <c r="A822861" s="242"/>
    </row>
    <row r="822862" spans="1:1" x14ac:dyDescent="0.25">
      <c r="A822862" s="242"/>
    </row>
    <row r="822863" spans="1:1" x14ac:dyDescent="0.25">
      <c r="A822863" s="242"/>
    </row>
    <row r="822864" spans="1:1" x14ac:dyDescent="0.25">
      <c r="A822864" s="242"/>
    </row>
    <row r="822865" spans="1:1" x14ac:dyDescent="0.25">
      <c r="A822865" s="242"/>
    </row>
    <row r="822866" spans="1:1" x14ac:dyDescent="0.25">
      <c r="A822866" s="242"/>
    </row>
    <row r="822867" spans="1:1" x14ac:dyDescent="0.25">
      <c r="A822867" s="242"/>
    </row>
    <row r="822868" spans="1:1" x14ac:dyDescent="0.25">
      <c r="A822868" s="242"/>
    </row>
    <row r="822869" spans="1:1" x14ac:dyDescent="0.25">
      <c r="A822869" s="242"/>
    </row>
    <row r="822870" spans="1:1" x14ac:dyDescent="0.25">
      <c r="A822870" s="242"/>
    </row>
    <row r="822871" spans="1:1" x14ac:dyDescent="0.25">
      <c r="A822871" s="242"/>
    </row>
    <row r="822872" spans="1:1" x14ac:dyDescent="0.25">
      <c r="A822872" s="242"/>
    </row>
    <row r="822873" spans="1:1" x14ac:dyDescent="0.25">
      <c r="A822873" s="242"/>
    </row>
    <row r="822874" spans="1:1" x14ac:dyDescent="0.25">
      <c r="A822874" s="242"/>
    </row>
    <row r="822875" spans="1:1" x14ac:dyDescent="0.25">
      <c r="A822875" s="242"/>
    </row>
    <row r="822876" spans="1:1" x14ac:dyDescent="0.25">
      <c r="A822876" s="242"/>
    </row>
    <row r="822877" spans="1:1" x14ac:dyDescent="0.25">
      <c r="A822877" s="242"/>
    </row>
    <row r="822878" spans="1:1" x14ac:dyDescent="0.25">
      <c r="A822878" s="242"/>
    </row>
    <row r="822879" spans="1:1" x14ac:dyDescent="0.25">
      <c r="A822879" s="242"/>
    </row>
    <row r="822880" spans="1:1" x14ac:dyDescent="0.25">
      <c r="A822880" s="242"/>
    </row>
    <row r="822881" spans="1:1" x14ac:dyDescent="0.25">
      <c r="A822881" s="242"/>
    </row>
    <row r="822882" spans="1:1" x14ac:dyDescent="0.25">
      <c r="A822882" s="242"/>
    </row>
    <row r="822883" spans="1:1" x14ac:dyDescent="0.25">
      <c r="A822883" s="242"/>
    </row>
    <row r="822884" spans="1:1" x14ac:dyDescent="0.25">
      <c r="A822884" s="242"/>
    </row>
    <row r="822885" spans="1:1" x14ac:dyDescent="0.25">
      <c r="A822885" s="242"/>
    </row>
    <row r="822886" spans="1:1" x14ac:dyDescent="0.25">
      <c r="A822886" s="242"/>
    </row>
    <row r="822887" spans="1:1" x14ac:dyDescent="0.25">
      <c r="A822887" s="242"/>
    </row>
    <row r="822888" spans="1:1" x14ac:dyDescent="0.25">
      <c r="A822888" s="242"/>
    </row>
    <row r="822889" spans="1:1" x14ac:dyDescent="0.25">
      <c r="A822889" s="242"/>
    </row>
    <row r="822890" spans="1:1" x14ac:dyDescent="0.25">
      <c r="A822890" s="242"/>
    </row>
    <row r="822891" spans="1:1" x14ac:dyDescent="0.25">
      <c r="A822891" s="242"/>
    </row>
    <row r="822892" spans="1:1" x14ac:dyDescent="0.25">
      <c r="A822892" s="242"/>
    </row>
    <row r="822893" spans="1:1" x14ac:dyDescent="0.25">
      <c r="A822893" s="242"/>
    </row>
    <row r="822894" spans="1:1" x14ac:dyDescent="0.25">
      <c r="A822894" s="242"/>
    </row>
    <row r="822895" spans="1:1" x14ac:dyDescent="0.25">
      <c r="A822895" s="242"/>
    </row>
    <row r="822896" spans="1:1" x14ac:dyDescent="0.25">
      <c r="A822896" s="242"/>
    </row>
    <row r="822897" spans="1:1" x14ac:dyDescent="0.25">
      <c r="A822897" s="242"/>
    </row>
    <row r="822898" spans="1:1" x14ac:dyDescent="0.25">
      <c r="A822898" s="242"/>
    </row>
    <row r="822899" spans="1:1" x14ac:dyDescent="0.25">
      <c r="A822899" s="242"/>
    </row>
    <row r="822900" spans="1:1" x14ac:dyDescent="0.25">
      <c r="A822900" s="242"/>
    </row>
    <row r="822901" spans="1:1" x14ac:dyDescent="0.25">
      <c r="A822901" s="242"/>
    </row>
    <row r="822902" spans="1:1" x14ac:dyDescent="0.25">
      <c r="A822902" s="242"/>
    </row>
    <row r="822903" spans="1:1" x14ac:dyDescent="0.25">
      <c r="A822903" s="242"/>
    </row>
    <row r="822904" spans="1:1" x14ac:dyDescent="0.25">
      <c r="A822904" s="242"/>
    </row>
    <row r="822905" spans="1:1" x14ac:dyDescent="0.25">
      <c r="A822905" s="242"/>
    </row>
    <row r="822906" spans="1:1" x14ac:dyDescent="0.25">
      <c r="A822906" s="242"/>
    </row>
    <row r="822907" spans="1:1" x14ac:dyDescent="0.25">
      <c r="A822907" s="242"/>
    </row>
    <row r="822908" spans="1:1" x14ac:dyDescent="0.25">
      <c r="A822908" s="242"/>
    </row>
    <row r="822909" spans="1:1" x14ac:dyDescent="0.25">
      <c r="A822909" s="242"/>
    </row>
    <row r="822910" spans="1:1" x14ac:dyDescent="0.25">
      <c r="A822910" s="242"/>
    </row>
    <row r="822911" spans="1:1" x14ac:dyDescent="0.25">
      <c r="A822911" s="242"/>
    </row>
    <row r="822912" spans="1:1" x14ac:dyDescent="0.25">
      <c r="A822912" s="242"/>
    </row>
    <row r="822913" spans="1:1" x14ac:dyDescent="0.25">
      <c r="A822913" s="242"/>
    </row>
    <row r="822914" spans="1:1" x14ac:dyDescent="0.25">
      <c r="A822914" s="242"/>
    </row>
    <row r="822915" spans="1:1" x14ac:dyDescent="0.25">
      <c r="A822915" s="242"/>
    </row>
    <row r="822916" spans="1:1" x14ac:dyDescent="0.25">
      <c r="A822916" s="242"/>
    </row>
    <row r="822917" spans="1:1" x14ac:dyDescent="0.25">
      <c r="A822917" s="242"/>
    </row>
    <row r="822918" spans="1:1" x14ac:dyDescent="0.25">
      <c r="A822918" s="242"/>
    </row>
    <row r="822919" spans="1:1" x14ac:dyDescent="0.25">
      <c r="A822919" s="242"/>
    </row>
    <row r="822920" spans="1:1" x14ac:dyDescent="0.25">
      <c r="A822920" s="242"/>
    </row>
    <row r="822921" spans="1:1" x14ac:dyDescent="0.25">
      <c r="A822921" s="242"/>
    </row>
    <row r="822922" spans="1:1" x14ac:dyDescent="0.25">
      <c r="A822922" s="242"/>
    </row>
    <row r="822923" spans="1:1" x14ac:dyDescent="0.25">
      <c r="A822923" s="242"/>
    </row>
    <row r="822924" spans="1:1" x14ac:dyDescent="0.25">
      <c r="A822924" s="242"/>
    </row>
    <row r="822925" spans="1:1" x14ac:dyDescent="0.25">
      <c r="A822925" s="242"/>
    </row>
    <row r="822926" spans="1:1" x14ac:dyDescent="0.25">
      <c r="A822926" s="242"/>
    </row>
    <row r="822927" spans="1:1" x14ac:dyDescent="0.25">
      <c r="A822927" s="242"/>
    </row>
    <row r="822928" spans="1:1" x14ac:dyDescent="0.25">
      <c r="A822928" s="242"/>
    </row>
    <row r="822929" spans="1:1" x14ac:dyDescent="0.25">
      <c r="A822929" s="242"/>
    </row>
    <row r="822930" spans="1:1" x14ac:dyDescent="0.25">
      <c r="A822930" s="242"/>
    </row>
    <row r="822931" spans="1:1" x14ac:dyDescent="0.25">
      <c r="A822931" s="242"/>
    </row>
    <row r="822932" spans="1:1" x14ac:dyDescent="0.25">
      <c r="A822932" s="242"/>
    </row>
    <row r="822933" spans="1:1" x14ac:dyDescent="0.25">
      <c r="A822933" s="242"/>
    </row>
    <row r="822934" spans="1:1" x14ac:dyDescent="0.25">
      <c r="A822934" s="242"/>
    </row>
    <row r="822935" spans="1:1" x14ac:dyDescent="0.25">
      <c r="A822935" s="242"/>
    </row>
    <row r="822936" spans="1:1" x14ac:dyDescent="0.25">
      <c r="A822936" s="242"/>
    </row>
    <row r="822937" spans="1:1" x14ac:dyDescent="0.25">
      <c r="A822937" s="242"/>
    </row>
    <row r="822938" spans="1:1" x14ac:dyDescent="0.25">
      <c r="A822938" s="242"/>
    </row>
    <row r="822939" spans="1:1" x14ac:dyDescent="0.25">
      <c r="A822939" s="242"/>
    </row>
    <row r="822940" spans="1:1" x14ac:dyDescent="0.25">
      <c r="A822940" s="242"/>
    </row>
    <row r="822941" spans="1:1" x14ac:dyDescent="0.25">
      <c r="A822941" s="242"/>
    </row>
    <row r="822942" spans="1:1" x14ac:dyDescent="0.25">
      <c r="A822942" s="242"/>
    </row>
    <row r="822943" spans="1:1" x14ac:dyDescent="0.25">
      <c r="A822943" s="242"/>
    </row>
    <row r="822944" spans="1:1" x14ac:dyDescent="0.25">
      <c r="A822944" s="242"/>
    </row>
    <row r="822945" spans="1:1" x14ac:dyDescent="0.25">
      <c r="A822945" s="242"/>
    </row>
    <row r="822946" spans="1:1" x14ac:dyDescent="0.25">
      <c r="A822946" s="242"/>
    </row>
    <row r="822947" spans="1:1" x14ac:dyDescent="0.25">
      <c r="A822947" s="242"/>
    </row>
    <row r="822948" spans="1:1" x14ac:dyDescent="0.25">
      <c r="A822948" s="242"/>
    </row>
    <row r="822949" spans="1:1" x14ac:dyDescent="0.25">
      <c r="A822949" s="242"/>
    </row>
    <row r="822950" spans="1:1" x14ac:dyDescent="0.25">
      <c r="A822950" s="242"/>
    </row>
    <row r="822951" spans="1:1" x14ac:dyDescent="0.25">
      <c r="A822951" s="242"/>
    </row>
    <row r="822952" spans="1:1" x14ac:dyDescent="0.25">
      <c r="A822952" s="242"/>
    </row>
    <row r="822953" spans="1:1" x14ac:dyDescent="0.25">
      <c r="A822953" s="242"/>
    </row>
    <row r="822954" spans="1:1" x14ac:dyDescent="0.25">
      <c r="A822954" s="242"/>
    </row>
    <row r="822955" spans="1:1" x14ac:dyDescent="0.25">
      <c r="A822955" s="242"/>
    </row>
    <row r="822956" spans="1:1" x14ac:dyDescent="0.25">
      <c r="A822956" s="242"/>
    </row>
    <row r="822957" spans="1:1" x14ac:dyDescent="0.25">
      <c r="A822957" s="242"/>
    </row>
    <row r="822958" spans="1:1" x14ac:dyDescent="0.25">
      <c r="A822958" s="242"/>
    </row>
    <row r="822959" spans="1:1" x14ac:dyDescent="0.25">
      <c r="A822959" s="242"/>
    </row>
    <row r="822960" spans="1:1" x14ac:dyDescent="0.25">
      <c r="A822960" s="242"/>
    </row>
    <row r="822961" spans="1:1" x14ac:dyDescent="0.25">
      <c r="A822961" s="242"/>
    </row>
    <row r="822962" spans="1:1" x14ac:dyDescent="0.25">
      <c r="A822962" s="242"/>
    </row>
    <row r="822963" spans="1:1" x14ac:dyDescent="0.25">
      <c r="A822963" s="242"/>
    </row>
    <row r="822964" spans="1:1" x14ac:dyDescent="0.25">
      <c r="A822964" s="242"/>
    </row>
    <row r="822965" spans="1:1" x14ac:dyDescent="0.25">
      <c r="A822965" s="242"/>
    </row>
    <row r="822966" spans="1:1" x14ac:dyDescent="0.25">
      <c r="A822966" s="242"/>
    </row>
    <row r="822967" spans="1:1" x14ac:dyDescent="0.25">
      <c r="A822967" s="242"/>
    </row>
    <row r="822968" spans="1:1" x14ac:dyDescent="0.25">
      <c r="A822968" s="242"/>
    </row>
    <row r="822969" spans="1:1" x14ac:dyDescent="0.25">
      <c r="A822969" s="242"/>
    </row>
    <row r="822970" spans="1:1" x14ac:dyDescent="0.25">
      <c r="A822970" s="242"/>
    </row>
    <row r="822971" spans="1:1" x14ac:dyDescent="0.25">
      <c r="A822971" s="242"/>
    </row>
    <row r="822972" spans="1:1" x14ac:dyDescent="0.25">
      <c r="A822972" s="242"/>
    </row>
    <row r="822973" spans="1:1" x14ac:dyDescent="0.25">
      <c r="A822973" s="242"/>
    </row>
    <row r="822974" spans="1:1" x14ac:dyDescent="0.25">
      <c r="A822974" s="242"/>
    </row>
    <row r="822975" spans="1:1" x14ac:dyDescent="0.25">
      <c r="A822975" s="242"/>
    </row>
    <row r="822976" spans="1:1" x14ac:dyDescent="0.25">
      <c r="A822976" s="242"/>
    </row>
    <row r="822977" spans="1:1" x14ac:dyDescent="0.25">
      <c r="A822977" s="242"/>
    </row>
    <row r="822978" spans="1:1" x14ac:dyDescent="0.25">
      <c r="A822978" s="242"/>
    </row>
    <row r="822979" spans="1:1" x14ac:dyDescent="0.25">
      <c r="A822979" s="242"/>
    </row>
    <row r="822980" spans="1:1" x14ac:dyDescent="0.25">
      <c r="A822980" s="242"/>
    </row>
    <row r="822981" spans="1:1" x14ac:dyDescent="0.25">
      <c r="A822981" s="242"/>
    </row>
    <row r="822982" spans="1:1" x14ac:dyDescent="0.25">
      <c r="A822982" s="242"/>
    </row>
    <row r="822983" spans="1:1" x14ac:dyDescent="0.25">
      <c r="A822983" s="242"/>
    </row>
    <row r="822984" spans="1:1" x14ac:dyDescent="0.25">
      <c r="A822984" s="242"/>
    </row>
    <row r="822985" spans="1:1" x14ac:dyDescent="0.25">
      <c r="A822985" s="242"/>
    </row>
    <row r="822986" spans="1:1" x14ac:dyDescent="0.25">
      <c r="A822986" s="242"/>
    </row>
    <row r="822987" spans="1:1" x14ac:dyDescent="0.25">
      <c r="A822987" s="242"/>
    </row>
    <row r="822988" spans="1:1" x14ac:dyDescent="0.25">
      <c r="A822988" s="242"/>
    </row>
    <row r="822989" spans="1:1" x14ac:dyDescent="0.25">
      <c r="A822989" s="242"/>
    </row>
    <row r="822990" spans="1:1" x14ac:dyDescent="0.25">
      <c r="A822990" s="242"/>
    </row>
    <row r="822991" spans="1:1" x14ac:dyDescent="0.25">
      <c r="A822991" s="242"/>
    </row>
    <row r="822992" spans="1:1" x14ac:dyDescent="0.25">
      <c r="A822992" s="242"/>
    </row>
    <row r="822993" spans="1:1" x14ac:dyDescent="0.25">
      <c r="A822993" s="242"/>
    </row>
    <row r="822994" spans="1:1" x14ac:dyDescent="0.25">
      <c r="A822994" s="242"/>
    </row>
    <row r="822995" spans="1:1" x14ac:dyDescent="0.25">
      <c r="A822995" s="242"/>
    </row>
    <row r="822996" spans="1:1" x14ac:dyDescent="0.25">
      <c r="A822996" s="242"/>
    </row>
    <row r="822997" spans="1:1" x14ac:dyDescent="0.25">
      <c r="A822997" s="242"/>
    </row>
    <row r="822998" spans="1:1" x14ac:dyDescent="0.25">
      <c r="A822998" s="242"/>
    </row>
    <row r="822999" spans="1:1" x14ac:dyDescent="0.25">
      <c r="A822999" s="242"/>
    </row>
    <row r="823000" spans="1:1" x14ac:dyDescent="0.25">
      <c r="A823000" s="242"/>
    </row>
    <row r="823001" spans="1:1" x14ac:dyDescent="0.25">
      <c r="A823001" s="242"/>
    </row>
    <row r="823002" spans="1:1" x14ac:dyDescent="0.25">
      <c r="A823002" s="242"/>
    </row>
    <row r="823003" spans="1:1" x14ac:dyDescent="0.25">
      <c r="A823003" s="242"/>
    </row>
    <row r="823004" spans="1:1" x14ac:dyDescent="0.25">
      <c r="A823004" s="242"/>
    </row>
    <row r="823005" spans="1:1" x14ac:dyDescent="0.25">
      <c r="A823005" s="242"/>
    </row>
    <row r="823006" spans="1:1" x14ac:dyDescent="0.25">
      <c r="A823006" s="242"/>
    </row>
    <row r="823007" spans="1:1" x14ac:dyDescent="0.25">
      <c r="A823007" s="242"/>
    </row>
    <row r="823008" spans="1:1" x14ac:dyDescent="0.25">
      <c r="A823008" s="242"/>
    </row>
    <row r="823009" spans="1:1" x14ac:dyDescent="0.25">
      <c r="A823009" s="242"/>
    </row>
    <row r="823010" spans="1:1" x14ac:dyDescent="0.25">
      <c r="A823010" s="242"/>
    </row>
    <row r="823011" spans="1:1" x14ac:dyDescent="0.25">
      <c r="A823011" s="242"/>
    </row>
    <row r="823012" spans="1:1" x14ac:dyDescent="0.25">
      <c r="A823012" s="242"/>
    </row>
    <row r="823013" spans="1:1" x14ac:dyDescent="0.25">
      <c r="A823013" s="242"/>
    </row>
    <row r="823014" spans="1:1" x14ac:dyDescent="0.25">
      <c r="A823014" s="242"/>
    </row>
    <row r="823015" spans="1:1" x14ac:dyDescent="0.25">
      <c r="A823015" s="242"/>
    </row>
    <row r="823016" spans="1:1" x14ac:dyDescent="0.25">
      <c r="A823016" s="242"/>
    </row>
    <row r="823017" spans="1:1" x14ac:dyDescent="0.25">
      <c r="A823017" s="242"/>
    </row>
    <row r="823018" spans="1:1" x14ac:dyDescent="0.25">
      <c r="A823018" s="242"/>
    </row>
    <row r="823019" spans="1:1" x14ac:dyDescent="0.25">
      <c r="A823019" s="242"/>
    </row>
    <row r="823020" spans="1:1" x14ac:dyDescent="0.25">
      <c r="A823020" s="242"/>
    </row>
    <row r="823021" spans="1:1" x14ac:dyDescent="0.25">
      <c r="A823021" s="242"/>
    </row>
    <row r="823022" spans="1:1" x14ac:dyDescent="0.25">
      <c r="A823022" s="242"/>
    </row>
    <row r="823023" spans="1:1" x14ac:dyDescent="0.25">
      <c r="A823023" s="242"/>
    </row>
    <row r="823024" spans="1:1" x14ac:dyDescent="0.25">
      <c r="A823024" s="242"/>
    </row>
    <row r="823025" spans="1:1" x14ac:dyDescent="0.25">
      <c r="A823025" s="242"/>
    </row>
    <row r="823026" spans="1:1" x14ac:dyDescent="0.25">
      <c r="A823026" s="242"/>
    </row>
    <row r="823027" spans="1:1" x14ac:dyDescent="0.25">
      <c r="A823027" s="242"/>
    </row>
    <row r="823028" spans="1:1" x14ac:dyDescent="0.25">
      <c r="A823028" s="242"/>
    </row>
    <row r="823029" spans="1:1" x14ac:dyDescent="0.25">
      <c r="A823029" s="242"/>
    </row>
    <row r="823030" spans="1:1" x14ac:dyDescent="0.25">
      <c r="A823030" s="242"/>
    </row>
    <row r="823031" spans="1:1" x14ac:dyDescent="0.25">
      <c r="A823031" s="242"/>
    </row>
    <row r="823032" spans="1:1" x14ac:dyDescent="0.25">
      <c r="A823032" s="242"/>
    </row>
    <row r="823033" spans="1:1" x14ac:dyDescent="0.25">
      <c r="A823033" s="242"/>
    </row>
    <row r="823034" spans="1:1" x14ac:dyDescent="0.25">
      <c r="A823034" s="242"/>
    </row>
    <row r="823035" spans="1:1" x14ac:dyDescent="0.25">
      <c r="A823035" s="242"/>
    </row>
    <row r="823036" spans="1:1" x14ac:dyDescent="0.25">
      <c r="A823036" s="242"/>
    </row>
    <row r="823037" spans="1:1" x14ac:dyDescent="0.25">
      <c r="A823037" s="242"/>
    </row>
    <row r="823038" spans="1:1" x14ac:dyDescent="0.25">
      <c r="A823038" s="242"/>
    </row>
    <row r="823039" spans="1:1" x14ac:dyDescent="0.25">
      <c r="A823039" s="242"/>
    </row>
    <row r="823040" spans="1:1" x14ac:dyDescent="0.25">
      <c r="A823040" s="242"/>
    </row>
    <row r="823041" spans="1:1" x14ac:dyDescent="0.25">
      <c r="A823041" s="242"/>
    </row>
    <row r="823042" spans="1:1" x14ac:dyDescent="0.25">
      <c r="A823042" s="242"/>
    </row>
    <row r="823043" spans="1:1" x14ac:dyDescent="0.25">
      <c r="A823043" s="242"/>
    </row>
    <row r="823044" spans="1:1" x14ac:dyDescent="0.25">
      <c r="A823044" s="242"/>
    </row>
    <row r="823045" spans="1:1" x14ac:dyDescent="0.25">
      <c r="A823045" s="242"/>
    </row>
    <row r="823046" spans="1:1" x14ac:dyDescent="0.25">
      <c r="A823046" s="242"/>
    </row>
    <row r="823047" spans="1:1" x14ac:dyDescent="0.25">
      <c r="A823047" s="242"/>
    </row>
    <row r="823048" spans="1:1" x14ac:dyDescent="0.25">
      <c r="A823048" s="242"/>
    </row>
    <row r="823049" spans="1:1" x14ac:dyDescent="0.25">
      <c r="A823049" s="242"/>
    </row>
    <row r="823050" spans="1:1" x14ac:dyDescent="0.25">
      <c r="A823050" s="242"/>
    </row>
    <row r="823051" spans="1:1" x14ac:dyDescent="0.25">
      <c r="A823051" s="242"/>
    </row>
    <row r="823052" spans="1:1" x14ac:dyDescent="0.25">
      <c r="A823052" s="242"/>
    </row>
    <row r="823053" spans="1:1" x14ac:dyDescent="0.25">
      <c r="A823053" s="242"/>
    </row>
    <row r="823054" spans="1:1" x14ac:dyDescent="0.25">
      <c r="A823054" s="242"/>
    </row>
    <row r="823055" spans="1:1" x14ac:dyDescent="0.25">
      <c r="A823055" s="242"/>
    </row>
    <row r="823056" spans="1:1" x14ac:dyDescent="0.25">
      <c r="A823056" s="242"/>
    </row>
    <row r="823057" spans="1:1" x14ac:dyDescent="0.25">
      <c r="A823057" s="242"/>
    </row>
    <row r="823058" spans="1:1" x14ac:dyDescent="0.25">
      <c r="A823058" s="242"/>
    </row>
    <row r="823059" spans="1:1" x14ac:dyDescent="0.25">
      <c r="A823059" s="242"/>
    </row>
    <row r="823060" spans="1:1" x14ac:dyDescent="0.25">
      <c r="A823060" s="242"/>
    </row>
    <row r="823061" spans="1:1" x14ac:dyDescent="0.25">
      <c r="A823061" s="242"/>
    </row>
    <row r="823062" spans="1:1" x14ac:dyDescent="0.25">
      <c r="A823062" s="242"/>
    </row>
    <row r="823063" spans="1:1" x14ac:dyDescent="0.25">
      <c r="A823063" s="242"/>
    </row>
    <row r="823064" spans="1:1" x14ac:dyDescent="0.25">
      <c r="A823064" s="242"/>
    </row>
    <row r="823065" spans="1:1" x14ac:dyDescent="0.25">
      <c r="A823065" s="242"/>
    </row>
    <row r="823066" spans="1:1" x14ac:dyDescent="0.25">
      <c r="A823066" s="242"/>
    </row>
    <row r="823067" spans="1:1" x14ac:dyDescent="0.25">
      <c r="A823067" s="242"/>
    </row>
    <row r="823068" spans="1:1" x14ac:dyDescent="0.25">
      <c r="A823068" s="242"/>
    </row>
    <row r="823069" spans="1:1" x14ac:dyDescent="0.25">
      <c r="A823069" s="242"/>
    </row>
    <row r="823070" spans="1:1" x14ac:dyDescent="0.25">
      <c r="A823070" s="242"/>
    </row>
    <row r="823071" spans="1:1" x14ac:dyDescent="0.25">
      <c r="A823071" s="242"/>
    </row>
    <row r="823072" spans="1:1" x14ac:dyDescent="0.25">
      <c r="A823072" s="242"/>
    </row>
    <row r="823073" spans="1:1" x14ac:dyDescent="0.25">
      <c r="A823073" s="242"/>
    </row>
    <row r="823074" spans="1:1" x14ac:dyDescent="0.25">
      <c r="A823074" s="242"/>
    </row>
    <row r="823075" spans="1:1" x14ac:dyDescent="0.25">
      <c r="A823075" s="242"/>
    </row>
    <row r="823076" spans="1:1" x14ac:dyDescent="0.25">
      <c r="A823076" s="242"/>
    </row>
    <row r="823077" spans="1:1" x14ac:dyDescent="0.25">
      <c r="A823077" s="242"/>
    </row>
    <row r="823078" spans="1:1" x14ac:dyDescent="0.25">
      <c r="A823078" s="242"/>
    </row>
    <row r="823079" spans="1:1" x14ac:dyDescent="0.25">
      <c r="A823079" s="242"/>
    </row>
    <row r="823080" spans="1:1" x14ac:dyDescent="0.25">
      <c r="A823080" s="242"/>
    </row>
    <row r="823081" spans="1:1" x14ac:dyDescent="0.25">
      <c r="A823081" s="242"/>
    </row>
    <row r="823082" spans="1:1" x14ac:dyDescent="0.25">
      <c r="A823082" s="242"/>
    </row>
    <row r="823083" spans="1:1" x14ac:dyDescent="0.25">
      <c r="A823083" s="242"/>
    </row>
    <row r="823084" spans="1:1" x14ac:dyDescent="0.25">
      <c r="A823084" s="242"/>
    </row>
    <row r="823085" spans="1:1" x14ac:dyDescent="0.25">
      <c r="A823085" s="242"/>
    </row>
    <row r="823086" spans="1:1" x14ac:dyDescent="0.25">
      <c r="A823086" s="242"/>
    </row>
    <row r="823087" spans="1:1" x14ac:dyDescent="0.25">
      <c r="A823087" s="242"/>
    </row>
    <row r="823088" spans="1:1" x14ac:dyDescent="0.25">
      <c r="A823088" s="242"/>
    </row>
    <row r="823089" spans="1:1" x14ac:dyDescent="0.25">
      <c r="A823089" s="242"/>
    </row>
    <row r="823090" spans="1:1" x14ac:dyDescent="0.25">
      <c r="A823090" s="242"/>
    </row>
    <row r="823091" spans="1:1" x14ac:dyDescent="0.25">
      <c r="A823091" s="242"/>
    </row>
    <row r="823092" spans="1:1" x14ac:dyDescent="0.25">
      <c r="A823092" s="242"/>
    </row>
    <row r="823093" spans="1:1" x14ac:dyDescent="0.25">
      <c r="A823093" s="242"/>
    </row>
    <row r="823094" spans="1:1" x14ac:dyDescent="0.25">
      <c r="A823094" s="242"/>
    </row>
    <row r="823095" spans="1:1" x14ac:dyDescent="0.25">
      <c r="A823095" s="242"/>
    </row>
    <row r="823096" spans="1:1" x14ac:dyDescent="0.25">
      <c r="A823096" s="242"/>
    </row>
    <row r="823097" spans="1:1" x14ac:dyDescent="0.25">
      <c r="A823097" s="242"/>
    </row>
    <row r="823098" spans="1:1" x14ac:dyDescent="0.25">
      <c r="A823098" s="242"/>
    </row>
    <row r="823099" spans="1:1" x14ac:dyDescent="0.25">
      <c r="A823099" s="242"/>
    </row>
    <row r="823100" spans="1:1" x14ac:dyDescent="0.25">
      <c r="A823100" s="242"/>
    </row>
    <row r="823101" spans="1:1" x14ac:dyDescent="0.25">
      <c r="A823101" s="242"/>
    </row>
    <row r="823102" spans="1:1" x14ac:dyDescent="0.25">
      <c r="A823102" s="242"/>
    </row>
    <row r="823103" spans="1:1" x14ac:dyDescent="0.25">
      <c r="A823103" s="242"/>
    </row>
    <row r="823104" spans="1:1" x14ac:dyDescent="0.25">
      <c r="A823104" s="242"/>
    </row>
    <row r="823105" spans="1:1" x14ac:dyDescent="0.25">
      <c r="A823105" s="242"/>
    </row>
    <row r="823106" spans="1:1" x14ac:dyDescent="0.25">
      <c r="A823106" s="242"/>
    </row>
    <row r="823107" spans="1:1" x14ac:dyDescent="0.25">
      <c r="A823107" s="242"/>
    </row>
    <row r="823108" spans="1:1" x14ac:dyDescent="0.25">
      <c r="A823108" s="242"/>
    </row>
    <row r="823109" spans="1:1" x14ac:dyDescent="0.25">
      <c r="A823109" s="242"/>
    </row>
    <row r="823110" spans="1:1" x14ac:dyDescent="0.25">
      <c r="A823110" s="242"/>
    </row>
    <row r="823111" spans="1:1" x14ac:dyDescent="0.25">
      <c r="A823111" s="242"/>
    </row>
    <row r="823112" spans="1:1" x14ac:dyDescent="0.25">
      <c r="A823112" s="242"/>
    </row>
    <row r="823113" spans="1:1" x14ac:dyDescent="0.25">
      <c r="A823113" s="242"/>
    </row>
    <row r="823114" spans="1:1" x14ac:dyDescent="0.25">
      <c r="A823114" s="242"/>
    </row>
    <row r="823115" spans="1:1" x14ac:dyDescent="0.25">
      <c r="A823115" s="242"/>
    </row>
    <row r="823116" spans="1:1" x14ac:dyDescent="0.25">
      <c r="A823116" s="242"/>
    </row>
    <row r="823117" spans="1:1" x14ac:dyDescent="0.25">
      <c r="A823117" s="242"/>
    </row>
    <row r="823118" spans="1:1" x14ac:dyDescent="0.25">
      <c r="A823118" s="242"/>
    </row>
    <row r="823119" spans="1:1" x14ac:dyDescent="0.25">
      <c r="A823119" s="242"/>
    </row>
    <row r="823120" spans="1:1" x14ac:dyDescent="0.25">
      <c r="A823120" s="242"/>
    </row>
    <row r="823121" spans="1:1" x14ac:dyDescent="0.25">
      <c r="A823121" s="242"/>
    </row>
    <row r="823122" spans="1:1" x14ac:dyDescent="0.25">
      <c r="A823122" s="242"/>
    </row>
    <row r="823123" spans="1:1" x14ac:dyDescent="0.25">
      <c r="A823123" s="242"/>
    </row>
    <row r="823124" spans="1:1" x14ac:dyDescent="0.25">
      <c r="A823124" s="242"/>
    </row>
    <row r="823125" spans="1:1" x14ac:dyDescent="0.25">
      <c r="A823125" s="242"/>
    </row>
    <row r="823126" spans="1:1" x14ac:dyDescent="0.25">
      <c r="A823126" s="242"/>
    </row>
    <row r="823127" spans="1:1" x14ac:dyDescent="0.25">
      <c r="A823127" s="242"/>
    </row>
    <row r="823128" spans="1:1" x14ac:dyDescent="0.25">
      <c r="A823128" s="242"/>
    </row>
    <row r="823129" spans="1:1" x14ac:dyDescent="0.25">
      <c r="A823129" s="242"/>
    </row>
    <row r="823130" spans="1:1" x14ac:dyDescent="0.25">
      <c r="A823130" s="242"/>
    </row>
    <row r="823131" spans="1:1" x14ac:dyDescent="0.25">
      <c r="A823131" s="242"/>
    </row>
    <row r="823132" spans="1:1" x14ac:dyDescent="0.25">
      <c r="A823132" s="242"/>
    </row>
    <row r="823133" spans="1:1" x14ac:dyDescent="0.25">
      <c r="A823133" s="242"/>
    </row>
    <row r="823134" spans="1:1" x14ac:dyDescent="0.25">
      <c r="A823134" s="242"/>
    </row>
    <row r="823135" spans="1:1" x14ac:dyDescent="0.25">
      <c r="A823135" s="242"/>
    </row>
    <row r="823136" spans="1:1" x14ac:dyDescent="0.25">
      <c r="A823136" s="242"/>
    </row>
    <row r="823137" spans="1:1" x14ac:dyDescent="0.25">
      <c r="A823137" s="242"/>
    </row>
    <row r="823138" spans="1:1" x14ac:dyDescent="0.25">
      <c r="A823138" s="242"/>
    </row>
    <row r="823139" spans="1:1" x14ac:dyDescent="0.25">
      <c r="A823139" s="242"/>
    </row>
    <row r="823140" spans="1:1" x14ac:dyDescent="0.25">
      <c r="A823140" s="242"/>
    </row>
    <row r="823141" spans="1:1" x14ac:dyDescent="0.25">
      <c r="A823141" s="242"/>
    </row>
    <row r="823142" spans="1:1" x14ac:dyDescent="0.25">
      <c r="A823142" s="242"/>
    </row>
    <row r="823143" spans="1:1" x14ac:dyDescent="0.25">
      <c r="A823143" s="242"/>
    </row>
    <row r="823144" spans="1:1" x14ac:dyDescent="0.25">
      <c r="A823144" s="242"/>
    </row>
    <row r="823145" spans="1:1" x14ac:dyDescent="0.25">
      <c r="A823145" s="242"/>
    </row>
    <row r="823146" spans="1:1" x14ac:dyDescent="0.25">
      <c r="A823146" s="242"/>
    </row>
    <row r="823147" spans="1:1" x14ac:dyDescent="0.25">
      <c r="A823147" s="242"/>
    </row>
    <row r="823148" spans="1:1" x14ac:dyDescent="0.25">
      <c r="A823148" s="242"/>
    </row>
    <row r="823149" spans="1:1" x14ac:dyDescent="0.25">
      <c r="A823149" s="242"/>
    </row>
    <row r="823150" spans="1:1" x14ac:dyDescent="0.25">
      <c r="A823150" s="242"/>
    </row>
    <row r="823151" spans="1:1" x14ac:dyDescent="0.25">
      <c r="A823151" s="242"/>
    </row>
    <row r="823152" spans="1:1" x14ac:dyDescent="0.25">
      <c r="A823152" s="242"/>
    </row>
    <row r="823153" spans="1:1" x14ac:dyDescent="0.25">
      <c r="A823153" s="242"/>
    </row>
    <row r="823154" spans="1:1" x14ac:dyDescent="0.25">
      <c r="A823154" s="242"/>
    </row>
    <row r="823155" spans="1:1" x14ac:dyDescent="0.25">
      <c r="A823155" s="242"/>
    </row>
    <row r="823156" spans="1:1" x14ac:dyDescent="0.25">
      <c r="A823156" s="242"/>
    </row>
    <row r="823157" spans="1:1" x14ac:dyDescent="0.25">
      <c r="A823157" s="242"/>
    </row>
    <row r="823158" spans="1:1" x14ac:dyDescent="0.25">
      <c r="A823158" s="242"/>
    </row>
    <row r="823159" spans="1:1" x14ac:dyDescent="0.25">
      <c r="A823159" s="242"/>
    </row>
    <row r="823160" spans="1:1" x14ac:dyDescent="0.25">
      <c r="A823160" s="242"/>
    </row>
    <row r="823161" spans="1:1" x14ac:dyDescent="0.25">
      <c r="A823161" s="242"/>
    </row>
    <row r="823162" spans="1:1" x14ac:dyDescent="0.25">
      <c r="A823162" s="242"/>
    </row>
    <row r="823163" spans="1:1" x14ac:dyDescent="0.25">
      <c r="A823163" s="242"/>
    </row>
    <row r="823164" spans="1:1" x14ac:dyDescent="0.25">
      <c r="A823164" s="242"/>
    </row>
    <row r="823165" spans="1:1" x14ac:dyDescent="0.25">
      <c r="A823165" s="242"/>
    </row>
    <row r="823166" spans="1:1" x14ac:dyDescent="0.25">
      <c r="A823166" s="242"/>
    </row>
    <row r="823167" spans="1:1" x14ac:dyDescent="0.25">
      <c r="A823167" s="242"/>
    </row>
    <row r="823168" spans="1:1" x14ac:dyDescent="0.25">
      <c r="A823168" s="242"/>
    </row>
    <row r="823169" spans="1:1" x14ac:dyDescent="0.25">
      <c r="A823169" s="242"/>
    </row>
    <row r="823170" spans="1:1" x14ac:dyDescent="0.25">
      <c r="A823170" s="242"/>
    </row>
    <row r="823171" spans="1:1" x14ac:dyDescent="0.25">
      <c r="A823171" s="242"/>
    </row>
    <row r="823172" spans="1:1" x14ac:dyDescent="0.25">
      <c r="A823172" s="242"/>
    </row>
    <row r="823173" spans="1:1" x14ac:dyDescent="0.25">
      <c r="A823173" s="242"/>
    </row>
    <row r="823174" spans="1:1" x14ac:dyDescent="0.25">
      <c r="A823174" s="242"/>
    </row>
    <row r="823175" spans="1:1" x14ac:dyDescent="0.25">
      <c r="A823175" s="242"/>
    </row>
    <row r="823176" spans="1:1" x14ac:dyDescent="0.25">
      <c r="A823176" s="242"/>
    </row>
    <row r="823177" spans="1:1" x14ac:dyDescent="0.25">
      <c r="A823177" s="242"/>
    </row>
    <row r="823178" spans="1:1" x14ac:dyDescent="0.25">
      <c r="A823178" s="242"/>
    </row>
    <row r="823179" spans="1:1" x14ac:dyDescent="0.25">
      <c r="A823179" s="242"/>
    </row>
    <row r="823180" spans="1:1" x14ac:dyDescent="0.25">
      <c r="A823180" s="242"/>
    </row>
    <row r="823181" spans="1:1" x14ac:dyDescent="0.25">
      <c r="A823181" s="242"/>
    </row>
    <row r="823182" spans="1:1" x14ac:dyDescent="0.25">
      <c r="A823182" s="242"/>
    </row>
    <row r="823183" spans="1:1" x14ac:dyDescent="0.25">
      <c r="A823183" s="242"/>
    </row>
    <row r="823184" spans="1:1" x14ac:dyDescent="0.25">
      <c r="A823184" s="242"/>
    </row>
    <row r="823185" spans="1:1" x14ac:dyDescent="0.25">
      <c r="A823185" s="242"/>
    </row>
    <row r="823186" spans="1:1" x14ac:dyDescent="0.25">
      <c r="A823186" s="242"/>
    </row>
    <row r="823187" spans="1:1" x14ac:dyDescent="0.25">
      <c r="A823187" s="242"/>
    </row>
    <row r="823188" spans="1:1" x14ac:dyDescent="0.25">
      <c r="A823188" s="242"/>
    </row>
    <row r="823189" spans="1:1" x14ac:dyDescent="0.25">
      <c r="A823189" s="242"/>
    </row>
    <row r="823190" spans="1:1" x14ac:dyDescent="0.25">
      <c r="A823190" s="242"/>
    </row>
    <row r="823191" spans="1:1" x14ac:dyDescent="0.25">
      <c r="A823191" s="242"/>
    </row>
    <row r="823192" spans="1:1" x14ac:dyDescent="0.25">
      <c r="A823192" s="242"/>
    </row>
    <row r="823193" spans="1:1" x14ac:dyDescent="0.25">
      <c r="A823193" s="242"/>
    </row>
    <row r="823194" spans="1:1" x14ac:dyDescent="0.25">
      <c r="A823194" s="242"/>
    </row>
    <row r="823195" spans="1:1" x14ac:dyDescent="0.25">
      <c r="A823195" s="242"/>
    </row>
    <row r="823196" spans="1:1" x14ac:dyDescent="0.25">
      <c r="A823196" s="242"/>
    </row>
    <row r="823197" spans="1:1" x14ac:dyDescent="0.25">
      <c r="A823197" s="242"/>
    </row>
    <row r="823198" spans="1:1" x14ac:dyDescent="0.25">
      <c r="A823198" s="242"/>
    </row>
    <row r="823199" spans="1:1" x14ac:dyDescent="0.25">
      <c r="A823199" s="242"/>
    </row>
    <row r="823200" spans="1:1" x14ac:dyDescent="0.25">
      <c r="A823200" s="242"/>
    </row>
    <row r="823201" spans="1:1" x14ac:dyDescent="0.25">
      <c r="A823201" s="242"/>
    </row>
    <row r="823202" spans="1:1" x14ac:dyDescent="0.25">
      <c r="A823202" s="242"/>
    </row>
    <row r="823203" spans="1:1" x14ac:dyDescent="0.25">
      <c r="A823203" s="242"/>
    </row>
    <row r="823204" spans="1:1" x14ac:dyDescent="0.25">
      <c r="A823204" s="242"/>
    </row>
    <row r="823205" spans="1:1" x14ac:dyDescent="0.25">
      <c r="A823205" s="242"/>
    </row>
    <row r="823206" spans="1:1" x14ac:dyDescent="0.25">
      <c r="A823206" s="242"/>
    </row>
    <row r="823207" spans="1:1" x14ac:dyDescent="0.25">
      <c r="A823207" s="242"/>
    </row>
    <row r="823208" spans="1:1" x14ac:dyDescent="0.25">
      <c r="A823208" s="242"/>
    </row>
    <row r="823209" spans="1:1" x14ac:dyDescent="0.25">
      <c r="A823209" s="242"/>
    </row>
    <row r="823210" spans="1:1" x14ac:dyDescent="0.25">
      <c r="A823210" s="242"/>
    </row>
    <row r="823211" spans="1:1" x14ac:dyDescent="0.25">
      <c r="A823211" s="242"/>
    </row>
    <row r="823212" spans="1:1" x14ac:dyDescent="0.25">
      <c r="A823212" s="242"/>
    </row>
    <row r="823213" spans="1:1" x14ac:dyDescent="0.25">
      <c r="A823213" s="242"/>
    </row>
    <row r="823214" spans="1:1" x14ac:dyDescent="0.25">
      <c r="A823214" s="242"/>
    </row>
    <row r="823215" spans="1:1" x14ac:dyDescent="0.25">
      <c r="A823215" s="242"/>
    </row>
    <row r="823216" spans="1:1" x14ac:dyDescent="0.25">
      <c r="A823216" s="242"/>
    </row>
    <row r="823217" spans="1:1" x14ac:dyDescent="0.25">
      <c r="A823217" s="242"/>
    </row>
    <row r="823218" spans="1:1" x14ac:dyDescent="0.25">
      <c r="A823218" s="242"/>
    </row>
    <row r="823219" spans="1:1" x14ac:dyDescent="0.25">
      <c r="A823219" s="242"/>
    </row>
    <row r="823220" spans="1:1" x14ac:dyDescent="0.25">
      <c r="A823220" s="242"/>
    </row>
    <row r="823221" spans="1:1" x14ac:dyDescent="0.25">
      <c r="A823221" s="242"/>
    </row>
    <row r="823222" spans="1:1" x14ac:dyDescent="0.25">
      <c r="A823222" s="242"/>
    </row>
    <row r="823223" spans="1:1" x14ac:dyDescent="0.25">
      <c r="A823223" s="242"/>
    </row>
    <row r="823224" spans="1:1" x14ac:dyDescent="0.25">
      <c r="A823224" s="242"/>
    </row>
    <row r="823225" spans="1:1" x14ac:dyDescent="0.25">
      <c r="A823225" s="242"/>
    </row>
    <row r="823226" spans="1:1" x14ac:dyDescent="0.25">
      <c r="A823226" s="242"/>
    </row>
    <row r="823227" spans="1:1" x14ac:dyDescent="0.25">
      <c r="A823227" s="242"/>
    </row>
    <row r="823228" spans="1:1" x14ac:dyDescent="0.25">
      <c r="A823228" s="242"/>
    </row>
    <row r="823229" spans="1:1" x14ac:dyDescent="0.25">
      <c r="A823229" s="242"/>
    </row>
    <row r="823230" spans="1:1" x14ac:dyDescent="0.25">
      <c r="A823230" s="242"/>
    </row>
    <row r="823231" spans="1:1" x14ac:dyDescent="0.25">
      <c r="A823231" s="242"/>
    </row>
    <row r="823232" spans="1:1" x14ac:dyDescent="0.25">
      <c r="A823232" s="242"/>
    </row>
    <row r="823233" spans="1:1" x14ac:dyDescent="0.25">
      <c r="A823233" s="242"/>
    </row>
    <row r="823234" spans="1:1" x14ac:dyDescent="0.25">
      <c r="A823234" s="242"/>
    </row>
    <row r="823235" spans="1:1" x14ac:dyDescent="0.25">
      <c r="A823235" s="242"/>
    </row>
    <row r="823236" spans="1:1" x14ac:dyDescent="0.25">
      <c r="A823236" s="242"/>
    </row>
    <row r="823237" spans="1:1" x14ac:dyDescent="0.25">
      <c r="A823237" s="242"/>
    </row>
    <row r="823238" spans="1:1" x14ac:dyDescent="0.25">
      <c r="A823238" s="242"/>
    </row>
    <row r="823239" spans="1:1" x14ac:dyDescent="0.25">
      <c r="A823239" s="242"/>
    </row>
    <row r="823240" spans="1:1" x14ac:dyDescent="0.25">
      <c r="A823240" s="242"/>
    </row>
    <row r="823241" spans="1:1" x14ac:dyDescent="0.25">
      <c r="A823241" s="242"/>
    </row>
    <row r="823242" spans="1:1" x14ac:dyDescent="0.25">
      <c r="A823242" s="242"/>
    </row>
    <row r="823243" spans="1:1" x14ac:dyDescent="0.25">
      <c r="A823243" s="242"/>
    </row>
    <row r="823244" spans="1:1" x14ac:dyDescent="0.25">
      <c r="A823244" s="242"/>
    </row>
    <row r="823245" spans="1:1" x14ac:dyDescent="0.25">
      <c r="A823245" s="242"/>
    </row>
    <row r="823246" spans="1:1" x14ac:dyDescent="0.25">
      <c r="A823246" s="242"/>
    </row>
    <row r="823247" spans="1:1" x14ac:dyDescent="0.25">
      <c r="A823247" s="242"/>
    </row>
    <row r="823248" spans="1:1" x14ac:dyDescent="0.25">
      <c r="A823248" s="242"/>
    </row>
    <row r="823249" spans="1:1" x14ac:dyDescent="0.25">
      <c r="A823249" s="242"/>
    </row>
    <row r="823250" spans="1:1" x14ac:dyDescent="0.25">
      <c r="A823250" s="242"/>
    </row>
    <row r="823251" spans="1:1" x14ac:dyDescent="0.25">
      <c r="A823251" s="242"/>
    </row>
    <row r="823252" spans="1:1" x14ac:dyDescent="0.25">
      <c r="A823252" s="242"/>
    </row>
    <row r="823253" spans="1:1" x14ac:dyDescent="0.25">
      <c r="A823253" s="242"/>
    </row>
    <row r="823254" spans="1:1" x14ac:dyDescent="0.25">
      <c r="A823254" s="242"/>
    </row>
    <row r="823255" spans="1:1" x14ac:dyDescent="0.25">
      <c r="A823255" s="242"/>
    </row>
    <row r="823256" spans="1:1" x14ac:dyDescent="0.25">
      <c r="A823256" s="242"/>
    </row>
    <row r="823257" spans="1:1" x14ac:dyDescent="0.25">
      <c r="A823257" s="242"/>
    </row>
    <row r="823258" spans="1:1" x14ac:dyDescent="0.25">
      <c r="A823258" s="242"/>
    </row>
    <row r="823259" spans="1:1" x14ac:dyDescent="0.25">
      <c r="A823259" s="242"/>
    </row>
    <row r="823260" spans="1:1" x14ac:dyDescent="0.25">
      <c r="A823260" s="242"/>
    </row>
    <row r="823261" spans="1:1" x14ac:dyDescent="0.25">
      <c r="A823261" s="242"/>
    </row>
    <row r="823262" spans="1:1" x14ac:dyDescent="0.25">
      <c r="A823262" s="242"/>
    </row>
    <row r="823263" spans="1:1" x14ac:dyDescent="0.25">
      <c r="A823263" s="242"/>
    </row>
    <row r="823264" spans="1:1" x14ac:dyDescent="0.25">
      <c r="A823264" s="242"/>
    </row>
    <row r="823265" spans="1:1" x14ac:dyDescent="0.25">
      <c r="A823265" s="242"/>
    </row>
    <row r="823266" spans="1:1" x14ac:dyDescent="0.25">
      <c r="A823266" s="242"/>
    </row>
    <row r="823267" spans="1:1" x14ac:dyDescent="0.25">
      <c r="A823267" s="242"/>
    </row>
    <row r="823268" spans="1:1" x14ac:dyDescent="0.25">
      <c r="A823268" s="242"/>
    </row>
    <row r="823269" spans="1:1" x14ac:dyDescent="0.25">
      <c r="A823269" s="242"/>
    </row>
    <row r="823270" spans="1:1" x14ac:dyDescent="0.25">
      <c r="A823270" s="242"/>
    </row>
    <row r="823271" spans="1:1" x14ac:dyDescent="0.25">
      <c r="A823271" s="242"/>
    </row>
    <row r="823272" spans="1:1" x14ac:dyDescent="0.25">
      <c r="A823272" s="242"/>
    </row>
    <row r="823273" spans="1:1" x14ac:dyDescent="0.25">
      <c r="A823273" s="242"/>
    </row>
    <row r="823274" spans="1:1" x14ac:dyDescent="0.25">
      <c r="A823274" s="242"/>
    </row>
    <row r="823275" spans="1:1" x14ac:dyDescent="0.25">
      <c r="A823275" s="242"/>
    </row>
    <row r="823276" spans="1:1" x14ac:dyDescent="0.25">
      <c r="A823276" s="242"/>
    </row>
    <row r="823277" spans="1:1" x14ac:dyDescent="0.25">
      <c r="A823277" s="242"/>
    </row>
    <row r="823278" spans="1:1" x14ac:dyDescent="0.25">
      <c r="A823278" s="242"/>
    </row>
    <row r="823279" spans="1:1" x14ac:dyDescent="0.25">
      <c r="A823279" s="242"/>
    </row>
    <row r="823280" spans="1:1" x14ac:dyDescent="0.25">
      <c r="A823280" s="242"/>
    </row>
    <row r="823281" spans="1:1" x14ac:dyDescent="0.25">
      <c r="A823281" s="242"/>
    </row>
    <row r="823282" spans="1:1" x14ac:dyDescent="0.25">
      <c r="A823282" s="242"/>
    </row>
    <row r="823283" spans="1:1" x14ac:dyDescent="0.25">
      <c r="A823283" s="242"/>
    </row>
    <row r="823284" spans="1:1" x14ac:dyDescent="0.25">
      <c r="A823284" s="242"/>
    </row>
    <row r="823285" spans="1:1" x14ac:dyDescent="0.25">
      <c r="A823285" s="242"/>
    </row>
    <row r="823286" spans="1:1" x14ac:dyDescent="0.25">
      <c r="A823286" s="242"/>
    </row>
    <row r="823287" spans="1:1" x14ac:dyDescent="0.25">
      <c r="A823287" s="242"/>
    </row>
    <row r="823288" spans="1:1" x14ac:dyDescent="0.25">
      <c r="A823288" s="242"/>
    </row>
    <row r="823289" spans="1:1" x14ac:dyDescent="0.25">
      <c r="A823289" s="242"/>
    </row>
    <row r="823290" spans="1:1" x14ac:dyDescent="0.25">
      <c r="A823290" s="242"/>
    </row>
    <row r="823291" spans="1:1" x14ac:dyDescent="0.25">
      <c r="A823291" s="242"/>
    </row>
    <row r="823292" spans="1:1" x14ac:dyDescent="0.25">
      <c r="A823292" s="242"/>
    </row>
    <row r="823293" spans="1:1" x14ac:dyDescent="0.25">
      <c r="A823293" s="242"/>
    </row>
    <row r="823294" spans="1:1" x14ac:dyDescent="0.25">
      <c r="A823294" s="242"/>
    </row>
    <row r="823295" spans="1:1" x14ac:dyDescent="0.25">
      <c r="A823295" s="242"/>
    </row>
    <row r="823296" spans="1:1" x14ac:dyDescent="0.25">
      <c r="A823296" s="242"/>
    </row>
    <row r="823297" spans="1:1" x14ac:dyDescent="0.25">
      <c r="A823297" s="242"/>
    </row>
    <row r="823298" spans="1:1" x14ac:dyDescent="0.25">
      <c r="A823298" s="242"/>
    </row>
    <row r="823299" spans="1:1" x14ac:dyDescent="0.25">
      <c r="A823299" s="242"/>
    </row>
    <row r="823300" spans="1:1" x14ac:dyDescent="0.25">
      <c r="A823300" s="242"/>
    </row>
    <row r="823301" spans="1:1" x14ac:dyDescent="0.25">
      <c r="A823301" s="242"/>
    </row>
    <row r="823302" spans="1:1" x14ac:dyDescent="0.25">
      <c r="A823302" s="242"/>
    </row>
    <row r="823303" spans="1:1" x14ac:dyDescent="0.25">
      <c r="A823303" s="242"/>
    </row>
    <row r="823304" spans="1:1" x14ac:dyDescent="0.25">
      <c r="A823304" s="242"/>
    </row>
    <row r="823305" spans="1:1" x14ac:dyDescent="0.25">
      <c r="A823305" s="242"/>
    </row>
    <row r="823306" spans="1:1" x14ac:dyDescent="0.25">
      <c r="A823306" s="242"/>
    </row>
    <row r="823307" spans="1:1" x14ac:dyDescent="0.25">
      <c r="A823307" s="242"/>
    </row>
    <row r="823308" spans="1:1" x14ac:dyDescent="0.25">
      <c r="A823308" s="242"/>
    </row>
    <row r="823309" spans="1:1" x14ac:dyDescent="0.25">
      <c r="A823309" s="242"/>
    </row>
    <row r="823310" spans="1:1" x14ac:dyDescent="0.25">
      <c r="A823310" s="242"/>
    </row>
    <row r="823311" spans="1:1" x14ac:dyDescent="0.25">
      <c r="A823311" s="242"/>
    </row>
    <row r="823312" spans="1:1" x14ac:dyDescent="0.25">
      <c r="A823312" s="242"/>
    </row>
    <row r="823313" spans="1:1" x14ac:dyDescent="0.25">
      <c r="A823313" s="242"/>
    </row>
    <row r="823314" spans="1:1" x14ac:dyDescent="0.25">
      <c r="A823314" s="242"/>
    </row>
    <row r="823315" spans="1:1" x14ac:dyDescent="0.25">
      <c r="A823315" s="242"/>
    </row>
    <row r="823316" spans="1:1" x14ac:dyDescent="0.25">
      <c r="A823316" s="242"/>
    </row>
    <row r="823317" spans="1:1" x14ac:dyDescent="0.25">
      <c r="A823317" s="242"/>
    </row>
    <row r="823318" spans="1:1" x14ac:dyDescent="0.25">
      <c r="A823318" s="242"/>
    </row>
    <row r="823319" spans="1:1" x14ac:dyDescent="0.25">
      <c r="A823319" s="242"/>
    </row>
    <row r="823320" spans="1:1" x14ac:dyDescent="0.25">
      <c r="A823320" s="242"/>
    </row>
    <row r="823321" spans="1:1" x14ac:dyDescent="0.25">
      <c r="A823321" s="242"/>
    </row>
    <row r="823322" spans="1:1" x14ac:dyDescent="0.25">
      <c r="A823322" s="242"/>
    </row>
    <row r="823323" spans="1:1" x14ac:dyDescent="0.25">
      <c r="A823323" s="242"/>
    </row>
    <row r="823324" spans="1:1" x14ac:dyDescent="0.25">
      <c r="A823324" s="242"/>
    </row>
    <row r="823325" spans="1:1" x14ac:dyDescent="0.25">
      <c r="A823325" s="242"/>
    </row>
    <row r="823326" spans="1:1" x14ac:dyDescent="0.25">
      <c r="A823326" s="242"/>
    </row>
    <row r="823327" spans="1:1" x14ac:dyDescent="0.25">
      <c r="A823327" s="242"/>
    </row>
    <row r="823328" spans="1:1" x14ac:dyDescent="0.25">
      <c r="A823328" s="242"/>
    </row>
    <row r="823329" spans="1:1" x14ac:dyDescent="0.25">
      <c r="A823329" s="242"/>
    </row>
    <row r="823330" spans="1:1" x14ac:dyDescent="0.25">
      <c r="A823330" s="242"/>
    </row>
    <row r="823331" spans="1:1" x14ac:dyDescent="0.25">
      <c r="A823331" s="242"/>
    </row>
    <row r="823332" spans="1:1" x14ac:dyDescent="0.25">
      <c r="A823332" s="242"/>
    </row>
    <row r="823333" spans="1:1" x14ac:dyDescent="0.25">
      <c r="A823333" s="242"/>
    </row>
    <row r="823334" spans="1:1" x14ac:dyDescent="0.25">
      <c r="A823334" s="242"/>
    </row>
    <row r="823335" spans="1:1" x14ac:dyDescent="0.25">
      <c r="A823335" s="242"/>
    </row>
    <row r="823336" spans="1:1" x14ac:dyDescent="0.25">
      <c r="A823336" s="242"/>
    </row>
    <row r="823337" spans="1:1" x14ac:dyDescent="0.25">
      <c r="A823337" s="242"/>
    </row>
    <row r="823338" spans="1:1" x14ac:dyDescent="0.25">
      <c r="A823338" s="242"/>
    </row>
    <row r="823339" spans="1:1" x14ac:dyDescent="0.25">
      <c r="A823339" s="242"/>
    </row>
    <row r="823340" spans="1:1" x14ac:dyDescent="0.25">
      <c r="A823340" s="242"/>
    </row>
    <row r="823341" spans="1:1" x14ac:dyDescent="0.25">
      <c r="A823341" s="242"/>
    </row>
    <row r="823342" spans="1:1" x14ac:dyDescent="0.25">
      <c r="A823342" s="242"/>
    </row>
    <row r="823343" spans="1:1" x14ac:dyDescent="0.25">
      <c r="A823343" s="242"/>
    </row>
    <row r="823344" spans="1:1" x14ac:dyDescent="0.25">
      <c r="A823344" s="242"/>
    </row>
    <row r="823345" spans="1:1" x14ac:dyDescent="0.25">
      <c r="A823345" s="242"/>
    </row>
    <row r="823346" spans="1:1" x14ac:dyDescent="0.25">
      <c r="A823346" s="242"/>
    </row>
    <row r="823347" spans="1:1" x14ac:dyDescent="0.25">
      <c r="A823347" s="242"/>
    </row>
    <row r="823348" spans="1:1" x14ac:dyDescent="0.25">
      <c r="A823348" s="242"/>
    </row>
    <row r="823349" spans="1:1" x14ac:dyDescent="0.25">
      <c r="A823349" s="242"/>
    </row>
    <row r="823350" spans="1:1" x14ac:dyDescent="0.25">
      <c r="A823350" s="242"/>
    </row>
    <row r="823351" spans="1:1" x14ac:dyDescent="0.25">
      <c r="A823351" s="242"/>
    </row>
    <row r="823352" spans="1:1" x14ac:dyDescent="0.25">
      <c r="A823352" s="242"/>
    </row>
    <row r="823353" spans="1:1" x14ac:dyDescent="0.25">
      <c r="A823353" s="242"/>
    </row>
    <row r="823354" spans="1:1" x14ac:dyDescent="0.25">
      <c r="A823354" s="242"/>
    </row>
    <row r="823355" spans="1:1" x14ac:dyDescent="0.25">
      <c r="A823355" s="242"/>
    </row>
    <row r="823356" spans="1:1" x14ac:dyDescent="0.25">
      <c r="A823356" s="242"/>
    </row>
    <row r="823357" spans="1:1" x14ac:dyDescent="0.25">
      <c r="A823357" s="242"/>
    </row>
    <row r="823358" spans="1:1" x14ac:dyDescent="0.25">
      <c r="A823358" s="242"/>
    </row>
    <row r="823359" spans="1:1" x14ac:dyDescent="0.25">
      <c r="A823359" s="242"/>
    </row>
    <row r="823360" spans="1:1" x14ac:dyDescent="0.25">
      <c r="A823360" s="242"/>
    </row>
    <row r="823361" spans="1:1" x14ac:dyDescent="0.25">
      <c r="A823361" s="242"/>
    </row>
    <row r="823362" spans="1:1" x14ac:dyDescent="0.25">
      <c r="A823362" s="242"/>
    </row>
    <row r="823363" spans="1:1" x14ac:dyDescent="0.25">
      <c r="A823363" s="242"/>
    </row>
    <row r="823364" spans="1:1" x14ac:dyDescent="0.25">
      <c r="A823364" s="242"/>
    </row>
    <row r="823365" spans="1:1" x14ac:dyDescent="0.25">
      <c r="A823365" s="242"/>
    </row>
    <row r="823366" spans="1:1" x14ac:dyDescent="0.25">
      <c r="A823366" s="242"/>
    </row>
    <row r="823367" spans="1:1" x14ac:dyDescent="0.25">
      <c r="A823367" s="242"/>
    </row>
    <row r="823368" spans="1:1" x14ac:dyDescent="0.25">
      <c r="A823368" s="242"/>
    </row>
    <row r="823369" spans="1:1" x14ac:dyDescent="0.25">
      <c r="A823369" s="242"/>
    </row>
    <row r="823370" spans="1:1" x14ac:dyDescent="0.25">
      <c r="A823370" s="242"/>
    </row>
    <row r="823371" spans="1:1" x14ac:dyDescent="0.25">
      <c r="A823371" s="242"/>
    </row>
    <row r="823372" spans="1:1" x14ac:dyDescent="0.25">
      <c r="A823372" s="242"/>
    </row>
    <row r="823373" spans="1:1" x14ac:dyDescent="0.25">
      <c r="A823373" s="242"/>
    </row>
    <row r="823374" spans="1:1" x14ac:dyDescent="0.25">
      <c r="A823374" s="242"/>
    </row>
    <row r="823375" spans="1:1" x14ac:dyDescent="0.25">
      <c r="A823375" s="242"/>
    </row>
    <row r="823376" spans="1:1" x14ac:dyDescent="0.25">
      <c r="A823376" s="242"/>
    </row>
    <row r="823377" spans="1:1" x14ac:dyDescent="0.25">
      <c r="A823377" s="242"/>
    </row>
    <row r="823378" spans="1:1" x14ac:dyDescent="0.25">
      <c r="A823378" s="242"/>
    </row>
    <row r="823379" spans="1:1" x14ac:dyDescent="0.25">
      <c r="A823379" s="242"/>
    </row>
    <row r="823380" spans="1:1" x14ac:dyDescent="0.25">
      <c r="A823380" s="242"/>
    </row>
    <row r="823381" spans="1:1" x14ac:dyDescent="0.25">
      <c r="A823381" s="242"/>
    </row>
    <row r="823382" spans="1:1" x14ac:dyDescent="0.25">
      <c r="A823382" s="242"/>
    </row>
    <row r="823383" spans="1:1" x14ac:dyDescent="0.25">
      <c r="A823383" s="242"/>
    </row>
    <row r="823384" spans="1:1" x14ac:dyDescent="0.25">
      <c r="A823384" s="242"/>
    </row>
    <row r="823385" spans="1:1" x14ac:dyDescent="0.25">
      <c r="A823385" s="242"/>
    </row>
    <row r="823386" spans="1:1" x14ac:dyDescent="0.25">
      <c r="A823386" s="242"/>
    </row>
    <row r="823387" spans="1:1" x14ac:dyDescent="0.25">
      <c r="A823387" s="242"/>
    </row>
    <row r="823388" spans="1:1" x14ac:dyDescent="0.25">
      <c r="A823388" s="242"/>
    </row>
    <row r="823389" spans="1:1" x14ac:dyDescent="0.25">
      <c r="A823389" s="242"/>
    </row>
    <row r="823390" spans="1:1" x14ac:dyDescent="0.25">
      <c r="A823390" s="242"/>
    </row>
    <row r="823391" spans="1:1" x14ac:dyDescent="0.25">
      <c r="A823391" s="242"/>
    </row>
    <row r="823392" spans="1:1" x14ac:dyDescent="0.25">
      <c r="A823392" s="242"/>
    </row>
    <row r="823393" spans="1:1" x14ac:dyDescent="0.25">
      <c r="A823393" s="242"/>
    </row>
    <row r="823394" spans="1:1" x14ac:dyDescent="0.25">
      <c r="A823394" s="242"/>
    </row>
    <row r="823395" spans="1:1" x14ac:dyDescent="0.25">
      <c r="A823395" s="242"/>
    </row>
    <row r="823396" spans="1:1" x14ac:dyDescent="0.25">
      <c r="A823396" s="242"/>
    </row>
    <row r="823397" spans="1:1" x14ac:dyDescent="0.25">
      <c r="A823397" s="242"/>
    </row>
    <row r="823398" spans="1:1" x14ac:dyDescent="0.25">
      <c r="A823398" s="242"/>
    </row>
    <row r="823399" spans="1:1" x14ac:dyDescent="0.25">
      <c r="A823399" s="242"/>
    </row>
    <row r="823400" spans="1:1" x14ac:dyDescent="0.25">
      <c r="A823400" s="242"/>
    </row>
    <row r="823401" spans="1:1" x14ac:dyDescent="0.25">
      <c r="A823401" s="242"/>
    </row>
    <row r="823402" spans="1:1" x14ac:dyDescent="0.25">
      <c r="A823402" s="242"/>
    </row>
    <row r="823403" spans="1:1" x14ac:dyDescent="0.25">
      <c r="A823403" s="242"/>
    </row>
    <row r="823404" spans="1:1" x14ac:dyDescent="0.25">
      <c r="A823404" s="242"/>
    </row>
    <row r="823405" spans="1:1" x14ac:dyDescent="0.25">
      <c r="A823405" s="242"/>
    </row>
    <row r="823406" spans="1:1" x14ac:dyDescent="0.25">
      <c r="A823406" s="242"/>
    </row>
    <row r="823407" spans="1:1" x14ac:dyDescent="0.25">
      <c r="A823407" s="242"/>
    </row>
    <row r="823408" spans="1:1" x14ac:dyDescent="0.25">
      <c r="A823408" s="242"/>
    </row>
    <row r="823409" spans="1:1" x14ac:dyDescent="0.25">
      <c r="A823409" s="242"/>
    </row>
    <row r="823410" spans="1:1" x14ac:dyDescent="0.25">
      <c r="A823410" s="242"/>
    </row>
    <row r="823411" spans="1:1" x14ac:dyDescent="0.25">
      <c r="A823411" s="242"/>
    </row>
    <row r="823412" spans="1:1" x14ac:dyDescent="0.25">
      <c r="A823412" s="242"/>
    </row>
    <row r="823413" spans="1:1" x14ac:dyDescent="0.25">
      <c r="A823413" s="242"/>
    </row>
    <row r="823414" spans="1:1" x14ac:dyDescent="0.25">
      <c r="A823414" s="242"/>
    </row>
    <row r="823415" spans="1:1" x14ac:dyDescent="0.25">
      <c r="A823415" s="242"/>
    </row>
    <row r="823416" spans="1:1" x14ac:dyDescent="0.25">
      <c r="A823416" s="242"/>
    </row>
    <row r="823417" spans="1:1" x14ac:dyDescent="0.25">
      <c r="A823417" s="242"/>
    </row>
    <row r="823418" spans="1:1" x14ac:dyDescent="0.25">
      <c r="A823418" s="242"/>
    </row>
    <row r="823419" spans="1:1" x14ac:dyDescent="0.25">
      <c r="A823419" s="242"/>
    </row>
    <row r="823420" spans="1:1" x14ac:dyDescent="0.25">
      <c r="A823420" s="242"/>
    </row>
    <row r="823421" spans="1:1" x14ac:dyDescent="0.25">
      <c r="A823421" s="242"/>
    </row>
    <row r="823422" spans="1:1" x14ac:dyDescent="0.25">
      <c r="A823422" s="242"/>
    </row>
    <row r="823423" spans="1:1" x14ac:dyDescent="0.25">
      <c r="A823423" s="242"/>
    </row>
    <row r="823424" spans="1:1" x14ac:dyDescent="0.25">
      <c r="A823424" s="242"/>
    </row>
    <row r="823425" spans="1:1" x14ac:dyDescent="0.25">
      <c r="A823425" s="242"/>
    </row>
    <row r="823426" spans="1:1" x14ac:dyDescent="0.25">
      <c r="A823426" s="242"/>
    </row>
    <row r="823427" spans="1:1" x14ac:dyDescent="0.25">
      <c r="A823427" s="242"/>
    </row>
    <row r="823428" spans="1:1" x14ac:dyDescent="0.25">
      <c r="A823428" s="242"/>
    </row>
    <row r="823429" spans="1:1" x14ac:dyDescent="0.25">
      <c r="A823429" s="242"/>
    </row>
    <row r="823430" spans="1:1" x14ac:dyDescent="0.25">
      <c r="A823430" s="242"/>
    </row>
    <row r="823431" spans="1:1" x14ac:dyDescent="0.25">
      <c r="A823431" s="242"/>
    </row>
    <row r="823432" spans="1:1" x14ac:dyDescent="0.25">
      <c r="A823432" s="242"/>
    </row>
    <row r="823433" spans="1:1" x14ac:dyDescent="0.25">
      <c r="A823433" s="242"/>
    </row>
    <row r="823434" spans="1:1" x14ac:dyDescent="0.25">
      <c r="A823434" s="242"/>
    </row>
    <row r="823435" spans="1:1" x14ac:dyDescent="0.25">
      <c r="A823435" s="242"/>
    </row>
    <row r="823436" spans="1:1" x14ac:dyDescent="0.25">
      <c r="A823436" s="242"/>
    </row>
    <row r="823437" spans="1:1" x14ac:dyDescent="0.25">
      <c r="A823437" s="242"/>
    </row>
    <row r="823438" spans="1:1" x14ac:dyDescent="0.25">
      <c r="A823438" s="242"/>
    </row>
    <row r="823439" spans="1:1" x14ac:dyDescent="0.25">
      <c r="A823439" s="242"/>
    </row>
    <row r="823440" spans="1:1" x14ac:dyDescent="0.25">
      <c r="A823440" s="242"/>
    </row>
    <row r="823441" spans="1:1" x14ac:dyDescent="0.25">
      <c r="A823441" s="242"/>
    </row>
    <row r="823442" spans="1:1" x14ac:dyDescent="0.25">
      <c r="A823442" s="242"/>
    </row>
    <row r="823443" spans="1:1" x14ac:dyDescent="0.25">
      <c r="A823443" s="242"/>
    </row>
    <row r="823444" spans="1:1" x14ac:dyDescent="0.25">
      <c r="A823444" s="242"/>
    </row>
    <row r="823445" spans="1:1" x14ac:dyDescent="0.25">
      <c r="A823445" s="242"/>
    </row>
    <row r="823446" spans="1:1" x14ac:dyDescent="0.25">
      <c r="A823446" s="242"/>
    </row>
    <row r="823447" spans="1:1" x14ac:dyDescent="0.25">
      <c r="A823447" s="242"/>
    </row>
    <row r="823448" spans="1:1" x14ac:dyDescent="0.25">
      <c r="A823448" s="242"/>
    </row>
    <row r="823449" spans="1:1" x14ac:dyDescent="0.25">
      <c r="A823449" s="242"/>
    </row>
    <row r="823450" spans="1:1" x14ac:dyDescent="0.25">
      <c r="A823450" s="242"/>
    </row>
    <row r="823451" spans="1:1" x14ac:dyDescent="0.25">
      <c r="A823451" s="242"/>
    </row>
    <row r="823452" spans="1:1" x14ac:dyDescent="0.25">
      <c r="A823452" s="242"/>
    </row>
    <row r="823453" spans="1:1" x14ac:dyDescent="0.25">
      <c r="A823453" s="242"/>
    </row>
    <row r="823454" spans="1:1" x14ac:dyDescent="0.25">
      <c r="A823454" s="242"/>
    </row>
    <row r="823455" spans="1:1" x14ac:dyDescent="0.25">
      <c r="A823455" s="242"/>
    </row>
    <row r="823456" spans="1:1" x14ac:dyDescent="0.25">
      <c r="A823456" s="242"/>
    </row>
    <row r="823457" spans="1:1" x14ac:dyDescent="0.25">
      <c r="A823457" s="242"/>
    </row>
    <row r="823458" spans="1:1" x14ac:dyDescent="0.25">
      <c r="A823458" s="242"/>
    </row>
    <row r="823459" spans="1:1" x14ac:dyDescent="0.25">
      <c r="A823459" s="242"/>
    </row>
    <row r="823460" spans="1:1" x14ac:dyDescent="0.25">
      <c r="A823460" s="242"/>
    </row>
    <row r="823461" spans="1:1" x14ac:dyDescent="0.25">
      <c r="A823461" s="242"/>
    </row>
    <row r="823462" spans="1:1" x14ac:dyDescent="0.25">
      <c r="A823462" s="242"/>
    </row>
    <row r="823463" spans="1:1" x14ac:dyDescent="0.25">
      <c r="A823463" s="242"/>
    </row>
    <row r="823464" spans="1:1" x14ac:dyDescent="0.25">
      <c r="A823464" s="242"/>
    </row>
    <row r="823465" spans="1:1" x14ac:dyDescent="0.25">
      <c r="A823465" s="242"/>
    </row>
    <row r="823466" spans="1:1" x14ac:dyDescent="0.25">
      <c r="A823466" s="242"/>
    </row>
    <row r="823467" spans="1:1" x14ac:dyDescent="0.25">
      <c r="A823467" s="242"/>
    </row>
    <row r="823468" spans="1:1" x14ac:dyDescent="0.25">
      <c r="A823468" s="242"/>
    </row>
    <row r="823469" spans="1:1" x14ac:dyDescent="0.25">
      <c r="A823469" s="242"/>
    </row>
    <row r="823470" spans="1:1" x14ac:dyDescent="0.25">
      <c r="A823470" s="242"/>
    </row>
    <row r="823471" spans="1:1" x14ac:dyDescent="0.25">
      <c r="A823471" s="242"/>
    </row>
    <row r="823472" spans="1:1" x14ac:dyDescent="0.25">
      <c r="A823472" s="242"/>
    </row>
    <row r="823473" spans="1:1" x14ac:dyDescent="0.25">
      <c r="A823473" s="242"/>
    </row>
    <row r="823474" spans="1:1" x14ac:dyDescent="0.25">
      <c r="A823474" s="242"/>
    </row>
    <row r="823475" spans="1:1" x14ac:dyDescent="0.25">
      <c r="A823475" s="242"/>
    </row>
    <row r="823476" spans="1:1" x14ac:dyDescent="0.25">
      <c r="A823476" s="242"/>
    </row>
    <row r="823477" spans="1:1" x14ac:dyDescent="0.25">
      <c r="A823477" s="242"/>
    </row>
    <row r="823478" spans="1:1" x14ac:dyDescent="0.25">
      <c r="A823478" s="242"/>
    </row>
    <row r="823479" spans="1:1" x14ac:dyDescent="0.25">
      <c r="A823479" s="242"/>
    </row>
    <row r="823480" spans="1:1" x14ac:dyDescent="0.25">
      <c r="A823480" s="242"/>
    </row>
    <row r="823481" spans="1:1" x14ac:dyDescent="0.25">
      <c r="A823481" s="242"/>
    </row>
    <row r="823482" spans="1:1" x14ac:dyDescent="0.25">
      <c r="A823482" s="242"/>
    </row>
    <row r="823483" spans="1:1" x14ac:dyDescent="0.25">
      <c r="A823483" s="242"/>
    </row>
    <row r="823484" spans="1:1" x14ac:dyDescent="0.25">
      <c r="A823484" s="242"/>
    </row>
    <row r="823485" spans="1:1" x14ac:dyDescent="0.25">
      <c r="A823485" s="242"/>
    </row>
    <row r="823486" spans="1:1" x14ac:dyDescent="0.25">
      <c r="A823486" s="242"/>
    </row>
    <row r="823487" spans="1:1" x14ac:dyDescent="0.25">
      <c r="A823487" s="242"/>
    </row>
    <row r="823488" spans="1:1" x14ac:dyDescent="0.25">
      <c r="A823488" s="242"/>
    </row>
    <row r="823489" spans="1:1" x14ac:dyDescent="0.25">
      <c r="A823489" s="242"/>
    </row>
    <row r="823490" spans="1:1" x14ac:dyDescent="0.25">
      <c r="A823490" s="242"/>
    </row>
    <row r="823491" spans="1:1" x14ac:dyDescent="0.25">
      <c r="A823491" s="242"/>
    </row>
    <row r="823492" spans="1:1" x14ac:dyDescent="0.25">
      <c r="A823492" s="242"/>
    </row>
    <row r="823493" spans="1:1" x14ac:dyDescent="0.25">
      <c r="A823493" s="242"/>
    </row>
    <row r="823494" spans="1:1" x14ac:dyDescent="0.25">
      <c r="A823494" s="242"/>
    </row>
    <row r="823495" spans="1:1" x14ac:dyDescent="0.25">
      <c r="A823495" s="242"/>
    </row>
    <row r="823496" spans="1:1" x14ac:dyDescent="0.25">
      <c r="A823496" s="242"/>
    </row>
    <row r="823497" spans="1:1" x14ac:dyDescent="0.25">
      <c r="A823497" s="242"/>
    </row>
    <row r="823498" spans="1:1" x14ac:dyDescent="0.25">
      <c r="A823498" s="242"/>
    </row>
    <row r="823499" spans="1:1" x14ac:dyDescent="0.25">
      <c r="A823499" s="242"/>
    </row>
    <row r="823500" spans="1:1" x14ac:dyDescent="0.25">
      <c r="A823500" s="242"/>
    </row>
    <row r="823501" spans="1:1" x14ac:dyDescent="0.25">
      <c r="A823501" s="242"/>
    </row>
    <row r="823502" spans="1:1" x14ac:dyDescent="0.25">
      <c r="A823502" s="242"/>
    </row>
    <row r="823503" spans="1:1" x14ac:dyDescent="0.25">
      <c r="A823503" s="242"/>
    </row>
    <row r="823504" spans="1:1" x14ac:dyDescent="0.25">
      <c r="A823504" s="242"/>
    </row>
    <row r="823505" spans="1:1" x14ac:dyDescent="0.25">
      <c r="A823505" s="242"/>
    </row>
    <row r="823506" spans="1:1" x14ac:dyDescent="0.25">
      <c r="A823506" s="242"/>
    </row>
    <row r="823507" spans="1:1" x14ac:dyDescent="0.25">
      <c r="A823507" s="242"/>
    </row>
    <row r="823508" spans="1:1" x14ac:dyDescent="0.25">
      <c r="A823508" s="242"/>
    </row>
    <row r="823509" spans="1:1" x14ac:dyDescent="0.25">
      <c r="A823509" s="242"/>
    </row>
    <row r="823510" spans="1:1" x14ac:dyDescent="0.25">
      <c r="A823510" s="242"/>
    </row>
    <row r="823511" spans="1:1" x14ac:dyDescent="0.25">
      <c r="A823511" s="242"/>
    </row>
    <row r="823512" spans="1:1" x14ac:dyDescent="0.25">
      <c r="A823512" s="242"/>
    </row>
    <row r="823513" spans="1:1" x14ac:dyDescent="0.25">
      <c r="A823513" s="242"/>
    </row>
    <row r="823514" spans="1:1" x14ac:dyDescent="0.25">
      <c r="A823514" s="242"/>
    </row>
    <row r="823515" spans="1:1" x14ac:dyDescent="0.25">
      <c r="A823515" s="242"/>
    </row>
    <row r="823516" spans="1:1" x14ac:dyDescent="0.25">
      <c r="A823516" s="242"/>
    </row>
    <row r="823517" spans="1:1" x14ac:dyDescent="0.25">
      <c r="A823517" s="242"/>
    </row>
    <row r="823518" spans="1:1" x14ac:dyDescent="0.25">
      <c r="A823518" s="242"/>
    </row>
    <row r="823519" spans="1:1" x14ac:dyDescent="0.25">
      <c r="A823519" s="242"/>
    </row>
    <row r="823520" spans="1:1" x14ac:dyDescent="0.25">
      <c r="A823520" s="242"/>
    </row>
    <row r="823521" spans="1:1" x14ac:dyDescent="0.25">
      <c r="A823521" s="242"/>
    </row>
    <row r="823522" spans="1:1" x14ac:dyDescent="0.25">
      <c r="A823522" s="242"/>
    </row>
    <row r="823523" spans="1:1" x14ac:dyDescent="0.25">
      <c r="A823523" s="242"/>
    </row>
    <row r="823524" spans="1:1" x14ac:dyDescent="0.25">
      <c r="A823524" s="242"/>
    </row>
    <row r="823525" spans="1:1" x14ac:dyDescent="0.25">
      <c r="A823525" s="242"/>
    </row>
    <row r="823526" spans="1:1" x14ac:dyDescent="0.25">
      <c r="A823526" s="242"/>
    </row>
    <row r="823527" spans="1:1" x14ac:dyDescent="0.25">
      <c r="A823527" s="242"/>
    </row>
    <row r="823528" spans="1:1" x14ac:dyDescent="0.25">
      <c r="A823528" s="242"/>
    </row>
    <row r="823529" spans="1:1" x14ac:dyDescent="0.25">
      <c r="A823529" s="242"/>
    </row>
    <row r="823530" spans="1:1" x14ac:dyDescent="0.25">
      <c r="A823530" s="242"/>
    </row>
    <row r="823531" spans="1:1" x14ac:dyDescent="0.25">
      <c r="A823531" s="242"/>
    </row>
    <row r="823532" spans="1:1" x14ac:dyDescent="0.25">
      <c r="A823532" s="242"/>
    </row>
    <row r="823533" spans="1:1" x14ac:dyDescent="0.25">
      <c r="A823533" s="242"/>
    </row>
    <row r="823534" spans="1:1" x14ac:dyDescent="0.25">
      <c r="A823534" s="242"/>
    </row>
    <row r="823535" spans="1:1" x14ac:dyDescent="0.25">
      <c r="A823535" s="242"/>
    </row>
    <row r="823536" spans="1:1" x14ac:dyDescent="0.25">
      <c r="A823536" s="242"/>
    </row>
    <row r="823537" spans="1:1" x14ac:dyDescent="0.25">
      <c r="A823537" s="242"/>
    </row>
    <row r="823538" spans="1:1" x14ac:dyDescent="0.25">
      <c r="A823538" s="242"/>
    </row>
    <row r="823539" spans="1:1" x14ac:dyDescent="0.25">
      <c r="A823539" s="242"/>
    </row>
    <row r="823540" spans="1:1" x14ac:dyDescent="0.25">
      <c r="A823540" s="242"/>
    </row>
    <row r="823541" spans="1:1" x14ac:dyDescent="0.25">
      <c r="A823541" s="242"/>
    </row>
    <row r="823542" spans="1:1" x14ac:dyDescent="0.25">
      <c r="A823542" s="242"/>
    </row>
    <row r="823543" spans="1:1" x14ac:dyDescent="0.25">
      <c r="A823543" s="242"/>
    </row>
    <row r="823544" spans="1:1" x14ac:dyDescent="0.25">
      <c r="A823544" s="242"/>
    </row>
    <row r="823545" spans="1:1" x14ac:dyDescent="0.25">
      <c r="A823545" s="242"/>
    </row>
    <row r="823546" spans="1:1" x14ac:dyDescent="0.25">
      <c r="A823546" s="242"/>
    </row>
    <row r="823547" spans="1:1" x14ac:dyDescent="0.25">
      <c r="A823547" s="242"/>
    </row>
    <row r="823548" spans="1:1" x14ac:dyDescent="0.25">
      <c r="A823548" s="242"/>
    </row>
    <row r="823549" spans="1:1" x14ac:dyDescent="0.25">
      <c r="A823549" s="242"/>
    </row>
    <row r="823550" spans="1:1" x14ac:dyDescent="0.25">
      <c r="A823550" s="242"/>
    </row>
    <row r="823551" spans="1:1" x14ac:dyDescent="0.25">
      <c r="A823551" s="242"/>
    </row>
    <row r="823552" spans="1:1" x14ac:dyDescent="0.25">
      <c r="A823552" s="242"/>
    </row>
    <row r="823553" spans="1:1" x14ac:dyDescent="0.25">
      <c r="A823553" s="242"/>
    </row>
    <row r="823554" spans="1:1" x14ac:dyDescent="0.25">
      <c r="A823554" s="242"/>
    </row>
    <row r="823555" spans="1:1" x14ac:dyDescent="0.25">
      <c r="A823555" s="242"/>
    </row>
    <row r="823556" spans="1:1" x14ac:dyDescent="0.25">
      <c r="A823556" s="242"/>
    </row>
    <row r="823557" spans="1:1" x14ac:dyDescent="0.25">
      <c r="A823557" s="242"/>
    </row>
    <row r="823558" spans="1:1" x14ac:dyDescent="0.25">
      <c r="A823558" s="242"/>
    </row>
    <row r="823559" spans="1:1" x14ac:dyDescent="0.25">
      <c r="A823559" s="242"/>
    </row>
    <row r="823560" spans="1:1" x14ac:dyDescent="0.25">
      <c r="A823560" s="242"/>
    </row>
    <row r="823561" spans="1:1" x14ac:dyDescent="0.25">
      <c r="A823561" s="242"/>
    </row>
    <row r="823562" spans="1:1" x14ac:dyDescent="0.25">
      <c r="A823562" s="242"/>
    </row>
    <row r="823563" spans="1:1" x14ac:dyDescent="0.25">
      <c r="A823563" s="242"/>
    </row>
    <row r="823564" spans="1:1" x14ac:dyDescent="0.25">
      <c r="A823564" s="242"/>
    </row>
    <row r="823565" spans="1:1" x14ac:dyDescent="0.25">
      <c r="A823565" s="242"/>
    </row>
    <row r="823566" spans="1:1" x14ac:dyDescent="0.25">
      <c r="A823566" s="242"/>
    </row>
    <row r="823567" spans="1:1" x14ac:dyDescent="0.25">
      <c r="A823567" s="242"/>
    </row>
    <row r="823568" spans="1:1" x14ac:dyDescent="0.25">
      <c r="A823568" s="242"/>
    </row>
    <row r="823569" spans="1:1" x14ac:dyDescent="0.25">
      <c r="A823569" s="242"/>
    </row>
    <row r="823570" spans="1:1" x14ac:dyDescent="0.25">
      <c r="A823570" s="242"/>
    </row>
    <row r="823571" spans="1:1" x14ac:dyDescent="0.25">
      <c r="A823571" s="242"/>
    </row>
    <row r="823572" spans="1:1" x14ac:dyDescent="0.25">
      <c r="A823572" s="242"/>
    </row>
    <row r="823573" spans="1:1" x14ac:dyDescent="0.25">
      <c r="A823573" s="242"/>
    </row>
    <row r="823574" spans="1:1" x14ac:dyDescent="0.25">
      <c r="A823574" s="242"/>
    </row>
    <row r="823575" spans="1:1" x14ac:dyDescent="0.25">
      <c r="A823575" s="242"/>
    </row>
    <row r="823576" spans="1:1" x14ac:dyDescent="0.25">
      <c r="A823576" s="242"/>
    </row>
    <row r="823577" spans="1:1" x14ac:dyDescent="0.25">
      <c r="A823577" s="242"/>
    </row>
    <row r="823578" spans="1:1" x14ac:dyDescent="0.25">
      <c r="A823578" s="242"/>
    </row>
    <row r="823579" spans="1:1" x14ac:dyDescent="0.25">
      <c r="A823579" s="242"/>
    </row>
    <row r="823580" spans="1:1" x14ac:dyDescent="0.25">
      <c r="A823580" s="242"/>
    </row>
    <row r="823581" spans="1:1" x14ac:dyDescent="0.25">
      <c r="A823581" s="242"/>
    </row>
    <row r="823582" spans="1:1" x14ac:dyDescent="0.25">
      <c r="A823582" s="242"/>
    </row>
    <row r="823583" spans="1:1" x14ac:dyDescent="0.25">
      <c r="A823583" s="242"/>
    </row>
    <row r="823584" spans="1:1" x14ac:dyDescent="0.25">
      <c r="A823584" s="242"/>
    </row>
    <row r="823585" spans="1:1" x14ac:dyDescent="0.25">
      <c r="A823585" s="242"/>
    </row>
    <row r="823586" spans="1:1" x14ac:dyDescent="0.25">
      <c r="A823586" s="242"/>
    </row>
    <row r="823587" spans="1:1" x14ac:dyDescent="0.25">
      <c r="A823587" s="242"/>
    </row>
    <row r="823588" spans="1:1" x14ac:dyDescent="0.25">
      <c r="A823588" s="242"/>
    </row>
    <row r="823589" spans="1:1" x14ac:dyDescent="0.25">
      <c r="A823589" s="242"/>
    </row>
    <row r="823590" spans="1:1" x14ac:dyDescent="0.25">
      <c r="A823590" s="242"/>
    </row>
    <row r="823591" spans="1:1" x14ac:dyDescent="0.25">
      <c r="A823591" s="242"/>
    </row>
    <row r="823592" spans="1:1" x14ac:dyDescent="0.25">
      <c r="A823592" s="242"/>
    </row>
    <row r="823593" spans="1:1" x14ac:dyDescent="0.25">
      <c r="A823593" s="242"/>
    </row>
    <row r="823594" spans="1:1" x14ac:dyDescent="0.25">
      <c r="A823594" s="242"/>
    </row>
    <row r="823595" spans="1:1" x14ac:dyDescent="0.25">
      <c r="A823595" s="242"/>
    </row>
    <row r="823596" spans="1:1" x14ac:dyDescent="0.25">
      <c r="A823596" s="242"/>
    </row>
    <row r="823597" spans="1:1" x14ac:dyDescent="0.25">
      <c r="A823597" s="242"/>
    </row>
    <row r="823598" spans="1:1" x14ac:dyDescent="0.25">
      <c r="A823598" s="242"/>
    </row>
    <row r="823599" spans="1:1" x14ac:dyDescent="0.25">
      <c r="A823599" s="242"/>
    </row>
    <row r="823600" spans="1:1" x14ac:dyDescent="0.25">
      <c r="A823600" s="242"/>
    </row>
    <row r="823601" spans="1:1" x14ac:dyDescent="0.25">
      <c r="A823601" s="242"/>
    </row>
    <row r="823602" spans="1:1" x14ac:dyDescent="0.25">
      <c r="A823602" s="242"/>
    </row>
    <row r="823603" spans="1:1" x14ac:dyDescent="0.25">
      <c r="A823603" s="242"/>
    </row>
    <row r="823604" spans="1:1" x14ac:dyDescent="0.25">
      <c r="A823604" s="242"/>
    </row>
    <row r="823605" spans="1:1" x14ac:dyDescent="0.25">
      <c r="A823605" s="242"/>
    </row>
    <row r="823606" spans="1:1" x14ac:dyDescent="0.25">
      <c r="A823606" s="242"/>
    </row>
    <row r="823607" spans="1:1" x14ac:dyDescent="0.25">
      <c r="A823607" s="242"/>
    </row>
    <row r="823608" spans="1:1" x14ac:dyDescent="0.25">
      <c r="A823608" s="242"/>
    </row>
    <row r="823609" spans="1:1" x14ac:dyDescent="0.25">
      <c r="A823609" s="242"/>
    </row>
    <row r="823610" spans="1:1" x14ac:dyDescent="0.25">
      <c r="A823610" s="242"/>
    </row>
    <row r="823611" spans="1:1" x14ac:dyDescent="0.25">
      <c r="A823611" s="242"/>
    </row>
    <row r="823612" spans="1:1" x14ac:dyDescent="0.25">
      <c r="A823612" s="242"/>
    </row>
    <row r="823613" spans="1:1" x14ac:dyDescent="0.25">
      <c r="A823613" s="242"/>
    </row>
    <row r="823614" spans="1:1" x14ac:dyDescent="0.25">
      <c r="A823614" s="242"/>
    </row>
    <row r="823615" spans="1:1" x14ac:dyDescent="0.25">
      <c r="A823615" s="242"/>
    </row>
    <row r="823616" spans="1:1" x14ac:dyDescent="0.25">
      <c r="A823616" s="242"/>
    </row>
    <row r="823617" spans="1:1" x14ac:dyDescent="0.25">
      <c r="A823617" s="242"/>
    </row>
    <row r="823618" spans="1:1" x14ac:dyDescent="0.25">
      <c r="A823618" s="242"/>
    </row>
    <row r="823619" spans="1:1" x14ac:dyDescent="0.25">
      <c r="A823619" s="242"/>
    </row>
    <row r="823620" spans="1:1" x14ac:dyDescent="0.25">
      <c r="A823620" s="242"/>
    </row>
    <row r="823621" spans="1:1" x14ac:dyDescent="0.25">
      <c r="A823621" s="242"/>
    </row>
    <row r="823622" spans="1:1" x14ac:dyDescent="0.25">
      <c r="A823622" s="242"/>
    </row>
    <row r="823623" spans="1:1" x14ac:dyDescent="0.25">
      <c r="A823623" s="242"/>
    </row>
    <row r="823624" spans="1:1" x14ac:dyDescent="0.25">
      <c r="A823624" s="242"/>
    </row>
    <row r="823625" spans="1:1" x14ac:dyDescent="0.25">
      <c r="A823625" s="242"/>
    </row>
    <row r="823626" spans="1:1" x14ac:dyDescent="0.25">
      <c r="A823626" s="242"/>
    </row>
    <row r="823627" spans="1:1" x14ac:dyDescent="0.25">
      <c r="A823627" s="242"/>
    </row>
    <row r="823628" spans="1:1" x14ac:dyDescent="0.25">
      <c r="A823628" s="242"/>
    </row>
    <row r="823629" spans="1:1" x14ac:dyDescent="0.25">
      <c r="A823629" s="242"/>
    </row>
    <row r="823630" spans="1:1" x14ac:dyDescent="0.25">
      <c r="A823630" s="242"/>
    </row>
    <row r="823631" spans="1:1" x14ac:dyDescent="0.25">
      <c r="A823631" s="242"/>
    </row>
    <row r="823632" spans="1:1" x14ac:dyDescent="0.25">
      <c r="A823632" s="242"/>
    </row>
    <row r="823633" spans="1:1" x14ac:dyDescent="0.25">
      <c r="A823633" s="242"/>
    </row>
    <row r="823634" spans="1:1" x14ac:dyDescent="0.25">
      <c r="A823634" s="242"/>
    </row>
    <row r="823635" spans="1:1" x14ac:dyDescent="0.25">
      <c r="A823635" s="242"/>
    </row>
    <row r="823636" spans="1:1" x14ac:dyDescent="0.25">
      <c r="A823636" s="242"/>
    </row>
    <row r="823637" spans="1:1" x14ac:dyDescent="0.25">
      <c r="A823637" s="242"/>
    </row>
    <row r="823638" spans="1:1" x14ac:dyDescent="0.25">
      <c r="A823638" s="242"/>
    </row>
    <row r="823639" spans="1:1" x14ac:dyDescent="0.25">
      <c r="A823639" s="242"/>
    </row>
    <row r="823640" spans="1:1" x14ac:dyDescent="0.25">
      <c r="A823640" s="242"/>
    </row>
    <row r="823641" spans="1:1" x14ac:dyDescent="0.25">
      <c r="A823641" s="242"/>
    </row>
    <row r="823642" spans="1:1" x14ac:dyDescent="0.25">
      <c r="A823642" s="242"/>
    </row>
    <row r="823643" spans="1:1" x14ac:dyDescent="0.25">
      <c r="A823643" s="242"/>
    </row>
    <row r="823644" spans="1:1" x14ac:dyDescent="0.25">
      <c r="A823644" s="242"/>
    </row>
    <row r="823645" spans="1:1" x14ac:dyDescent="0.25">
      <c r="A823645" s="242"/>
    </row>
    <row r="823646" spans="1:1" x14ac:dyDescent="0.25">
      <c r="A823646" s="242"/>
    </row>
    <row r="823647" spans="1:1" x14ac:dyDescent="0.25">
      <c r="A823647" s="242"/>
    </row>
    <row r="823648" spans="1:1" x14ac:dyDescent="0.25">
      <c r="A823648" s="242"/>
    </row>
    <row r="823649" spans="1:1" x14ac:dyDescent="0.25">
      <c r="A823649" s="242"/>
    </row>
    <row r="823650" spans="1:1" x14ac:dyDescent="0.25">
      <c r="A823650" s="242"/>
    </row>
    <row r="823651" spans="1:1" x14ac:dyDescent="0.25">
      <c r="A823651" s="242"/>
    </row>
    <row r="823652" spans="1:1" x14ac:dyDescent="0.25">
      <c r="A823652" s="242"/>
    </row>
    <row r="823653" spans="1:1" x14ac:dyDescent="0.25">
      <c r="A823653" s="242"/>
    </row>
    <row r="823654" spans="1:1" x14ac:dyDescent="0.25">
      <c r="A823654" s="242"/>
    </row>
    <row r="823655" spans="1:1" x14ac:dyDescent="0.25">
      <c r="A823655" s="242"/>
    </row>
    <row r="823656" spans="1:1" x14ac:dyDescent="0.25">
      <c r="A823656" s="242"/>
    </row>
    <row r="823657" spans="1:1" x14ac:dyDescent="0.25">
      <c r="A823657" s="242"/>
    </row>
    <row r="823658" spans="1:1" x14ac:dyDescent="0.25">
      <c r="A823658" s="242"/>
    </row>
    <row r="823659" spans="1:1" x14ac:dyDescent="0.25">
      <c r="A823659" s="242"/>
    </row>
    <row r="823660" spans="1:1" x14ac:dyDescent="0.25">
      <c r="A823660" s="242"/>
    </row>
    <row r="823661" spans="1:1" x14ac:dyDescent="0.25">
      <c r="A823661" s="242"/>
    </row>
    <row r="823662" spans="1:1" x14ac:dyDescent="0.25">
      <c r="A823662" s="242"/>
    </row>
    <row r="823663" spans="1:1" x14ac:dyDescent="0.25">
      <c r="A823663" s="242"/>
    </row>
    <row r="823664" spans="1:1" x14ac:dyDescent="0.25">
      <c r="A823664" s="242"/>
    </row>
    <row r="823665" spans="1:1" x14ac:dyDescent="0.25">
      <c r="A823665" s="242"/>
    </row>
    <row r="823666" spans="1:1" x14ac:dyDescent="0.25">
      <c r="A823666" s="242"/>
    </row>
    <row r="823667" spans="1:1" x14ac:dyDescent="0.25">
      <c r="A823667" s="242"/>
    </row>
    <row r="823668" spans="1:1" x14ac:dyDescent="0.25">
      <c r="A823668" s="242"/>
    </row>
    <row r="823669" spans="1:1" x14ac:dyDescent="0.25">
      <c r="A823669" s="242"/>
    </row>
    <row r="823670" spans="1:1" x14ac:dyDescent="0.25">
      <c r="A823670" s="242"/>
    </row>
    <row r="823671" spans="1:1" x14ac:dyDescent="0.25">
      <c r="A823671" s="242"/>
    </row>
    <row r="823672" spans="1:1" x14ac:dyDescent="0.25">
      <c r="A823672" s="242"/>
    </row>
    <row r="823673" spans="1:1" x14ac:dyDescent="0.25">
      <c r="A823673" s="242"/>
    </row>
    <row r="823674" spans="1:1" x14ac:dyDescent="0.25">
      <c r="A823674" s="242"/>
    </row>
    <row r="823675" spans="1:1" x14ac:dyDescent="0.25">
      <c r="A823675" s="242"/>
    </row>
    <row r="823676" spans="1:1" x14ac:dyDescent="0.25">
      <c r="A823676" s="242"/>
    </row>
    <row r="823677" spans="1:1" x14ac:dyDescent="0.25">
      <c r="A823677" s="242"/>
    </row>
    <row r="823678" spans="1:1" x14ac:dyDescent="0.25">
      <c r="A823678" s="242"/>
    </row>
    <row r="823679" spans="1:1" x14ac:dyDescent="0.25">
      <c r="A823679" s="242"/>
    </row>
    <row r="823680" spans="1:1" x14ac:dyDescent="0.25">
      <c r="A823680" s="242"/>
    </row>
    <row r="823681" spans="1:1" x14ac:dyDescent="0.25">
      <c r="A823681" s="242"/>
    </row>
    <row r="823682" spans="1:1" x14ac:dyDescent="0.25">
      <c r="A823682" s="242"/>
    </row>
    <row r="823683" spans="1:1" x14ac:dyDescent="0.25">
      <c r="A823683" s="242"/>
    </row>
    <row r="823684" spans="1:1" x14ac:dyDescent="0.25">
      <c r="A823684" s="242"/>
    </row>
    <row r="823685" spans="1:1" x14ac:dyDescent="0.25">
      <c r="A823685" s="242"/>
    </row>
    <row r="823686" spans="1:1" x14ac:dyDescent="0.25">
      <c r="A823686" s="242"/>
    </row>
    <row r="823687" spans="1:1" x14ac:dyDescent="0.25">
      <c r="A823687" s="242"/>
    </row>
    <row r="823688" spans="1:1" x14ac:dyDescent="0.25">
      <c r="A823688" s="242"/>
    </row>
    <row r="823689" spans="1:1" x14ac:dyDescent="0.25">
      <c r="A823689" s="242"/>
    </row>
    <row r="823690" spans="1:1" x14ac:dyDescent="0.25">
      <c r="A823690" s="242"/>
    </row>
    <row r="823691" spans="1:1" x14ac:dyDescent="0.25">
      <c r="A823691" s="242"/>
    </row>
    <row r="823692" spans="1:1" x14ac:dyDescent="0.25">
      <c r="A823692" s="242"/>
    </row>
    <row r="823693" spans="1:1" x14ac:dyDescent="0.25">
      <c r="A823693" s="242"/>
    </row>
    <row r="823694" spans="1:1" x14ac:dyDescent="0.25">
      <c r="A823694" s="242"/>
    </row>
    <row r="823695" spans="1:1" x14ac:dyDescent="0.25">
      <c r="A823695" s="242"/>
    </row>
    <row r="823696" spans="1:1" x14ac:dyDescent="0.25">
      <c r="A823696" s="242"/>
    </row>
    <row r="823697" spans="1:1" x14ac:dyDescent="0.25">
      <c r="A823697" s="242"/>
    </row>
    <row r="823698" spans="1:1" x14ac:dyDescent="0.25">
      <c r="A823698" s="242"/>
    </row>
    <row r="823699" spans="1:1" x14ac:dyDescent="0.25">
      <c r="A823699" s="242"/>
    </row>
    <row r="823700" spans="1:1" x14ac:dyDescent="0.25">
      <c r="A823700" s="242"/>
    </row>
    <row r="823701" spans="1:1" x14ac:dyDescent="0.25">
      <c r="A823701" s="242"/>
    </row>
    <row r="823702" spans="1:1" x14ac:dyDescent="0.25">
      <c r="A823702" s="242"/>
    </row>
    <row r="823703" spans="1:1" x14ac:dyDescent="0.25">
      <c r="A823703" s="242"/>
    </row>
    <row r="823704" spans="1:1" x14ac:dyDescent="0.25">
      <c r="A823704" s="242"/>
    </row>
    <row r="823705" spans="1:1" x14ac:dyDescent="0.25">
      <c r="A823705" s="242"/>
    </row>
    <row r="823706" spans="1:1" x14ac:dyDescent="0.25">
      <c r="A823706" s="242"/>
    </row>
    <row r="823707" spans="1:1" x14ac:dyDescent="0.25">
      <c r="A823707" s="242"/>
    </row>
    <row r="823708" spans="1:1" x14ac:dyDescent="0.25">
      <c r="A823708" s="242"/>
    </row>
    <row r="823709" spans="1:1" x14ac:dyDescent="0.25">
      <c r="A823709" s="242"/>
    </row>
    <row r="823710" spans="1:1" x14ac:dyDescent="0.25">
      <c r="A823710" s="242"/>
    </row>
    <row r="823711" spans="1:1" x14ac:dyDescent="0.25">
      <c r="A823711" s="242"/>
    </row>
    <row r="823712" spans="1:1" x14ac:dyDescent="0.25">
      <c r="A823712" s="242"/>
    </row>
    <row r="823713" spans="1:1" x14ac:dyDescent="0.25">
      <c r="A823713" s="242"/>
    </row>
    <row r="823714" spans="1:1" x14ac:dyDescent="0.25">
      <c r="A823714" s="242"/>
    </row>
    <row r="823715" spans="1:1" x14ac:dyDescent="0.25">
      <c r="A823715" s="242"/>
    </row>
    <row r="823716" spans="1:1" x14ac:dyDescent="0.25">
      <c r="A823716" s="242"/>
    </row>
    <row r="823717" spans="1:1" x14ac:dyDescent="0.25">
      <c r="A823717" s="242"/>
    </row>
    <row r="823718" spans="1:1" x14ac:dyDescent="0.25">
      <c r="A823718" s="242"/>
    </row>
    <row r="823719" spans="1:1" x14ac:dyDescent="0.25">
      <c r="A823719" s="242"/>
    </row>
    <row r="823720" spans="1:1" x14ac:dyDescent="0.25">
      <c r="A823720" s="242"/>
    </row>
    <row r="823721" spans="1:1" x14ac:dyDescent="0.25">
      <c r="A823721" s="242"/>
    </row>
    <row r="823722" spans="1:1" x14ac:dyDescent="0.25">
      <c r="A823722" s="242"/>
    </row>
    <row r="823723" spans="1:1" x14ac:dyDescent="0.25">
      <c r="A823723" s="242"/>
    </row>
    <row r="823724" spans="1:1" x14ac:dyDescent="0.25">
      <c r="A823724" s="242"/>
    </row>
    <row r="823725" spans="1:1" x14ac:dyDescent="0.25">
      <c r="A823725" s="242"/>
    </row>
    <row r="823726" spans="1:1" x14ac:dyDescent="0.25">
      <c r="A823726" s="242"/>
    </row>
    <row r="823727" spans="1:1" x14ac:dyDescent="0.25">
      <c r="A823727" s="242"/>
    </row>
    <row r="823728" spans="1:1" x14ac:dyDescent="0.25">
      <c r="A823728" s="242"/>
    </row>
    <row r="823729" spans="1:1" x14ac:dyDescent="0.25">
      <c r="A823729" s="242"/>
    </row>
    <row r="823730" spans="1:1" x14ac:dyDescent="0.25">
      <c r="A823730" s="242"/>
    </row>
    <row r="823731" spans="1:1" x14ac:dyDescent="0.25">
      <c r="A823731" s="242"/>
    </row>
    <row r="823732" spans="1:1" x14ac:dyDescent="0.25">
      <c r="A823732" s="242"/>
    </row>
    <row r="823733" spans="1:1" x14ac:dyDescent="0.25">
      <c r="A823733" s="242"/>
    </row>
    <row r="823734" spans="1:1" x14ac:dyDescent="0.25">
      <c r="A823734" s="242"/>
    </row>
    <row r="823735" spans="1:1" x14ac:dyDescent="0.25">
      <c r="A823735" s="242"/>
    </row>
    <row r="823736" spans="1:1" x14ac:dyDescent="0.25">
      <c r="A823736" s="242"/>
    </row>
    <row r="823737" spans="1:1" x14ac:dyDescent="0.25">
      <c r="A823737" s="242"/>
    </row>
    <row r="823738" spans="1:1" x14ac:dyDescent="0.25">
      <c r="A823738" s="242"/>
    </row>
    <row r="823739" spans="1:1" x14ac:dyDescent="0.25">
      <c r="A823739" s="242"/>
    </row>
    <row r="823740" spans="1:1" x14ac:dyDescent="0.25">
      <c r="A823740" s="242"/>
    </row>
    <row r="823741" spans="1:1" x14ac:dyDescent="0.25">
      <c r="A823741" s="242"/>
    </row>
    <row r="823742" spans="1:1" x14ac:dyDescent="0.25">
      <c r="A823742" s="242"/>
    </row>
    <row r="823743" spans="1:1" x14ac:dyDescent="0.25">
      <c r="A823743" s="242"/>
    </row>
    <row r="823744" spans="1:1" x14ac:dyDescent="0.25">
      <c r="A823744" s="242"/>
    </row>
    <row r="823745" spans="1:1" x14ac:dyDescent="0.25">
      <c r="A823745" s="242"/>
    </row>
    <row r="823746" spans="1:1" x14ac:dyDescent="0.25">
      <c r="A823746" s="242"/>
    </row>
    <row r="823747" spans="1:1" x14ac:dyDescent="0.25">
      <c r="A823747" s="242"/>
    </row>
    <row r="823748" spans="1:1" x14ac:dyDescent="0.25">
      <c r="A823748" s="242"/>
    </row>
    <row r="823749" spans="1:1" x14ac:dyDescent="0.25">
      <c r="A823749" s="242"/>
    </row>
    <row r="823750" spans="1:1" x14ac:dyDescent="0.25">
      <c r="A823750" s="242"/>
    </row>
    <row r="823751" spans="1:1" x14ac:dyDescent="0.25">
      <c r="A823751" s="242"/>
    </row>
    <row r="823752" spans="1:1" x14ac:dyDescent="0.25">
      <c r="A823752" s="242"/>
    </row>
    <row r="823753" spans="1:1" x14ac:dyDescent="0.25">
      <c r="A823753" s="242"/>
    </row>
    <row r="823754" spans="1:1" x14ac:dyDescent="0.25">
      <c r="A823754" s="242"/>
    </row>
    <row r="823755" spans="1:1" x14ac:dyDescent="0.25">
      <c r="A823755" s="242"/>
    </row>
    <row r="823756" spans="1:1" x14ac:dyDescent="0.25">
      <c r="A823756" s="242"/>
    </row>
    <row r="823757" spans="1:1" x14ac:dyDescent="0.25">
      <c r="A823757" s="242"/>
    </row>
    <row r="823758" spans="1:1" x14ac:dyDescent="0.25">
      <c r="A823758" s="242"/>
    </row>
    <row r="823759" spans="1:1" x14ac:dyDescent="0.25">
      <c r="A823759" s="242"/>
    </row>
    <row r="823760" spans="1:1" x14ac:dyDescent="0.25">
      <c r="A823760" s="242"/>
    </row>
    <row r="823761" spans="1:1" x14ac:dyDescent="0.25">
      <c r="A823761" s="242"/>
    </row>
    <row r="823762" spans="1:1" x14ac:dyDescent="0.25">
      <c r="A823762" s="242"/>
    </row>
    <row r="823763" spans="1:1" x14ac:dyDescent="0.25">
      <c r="A823763" s="242"/>
    </row>
    <row r="823764" spans="1:1" x14ac:dyDescent="0.25">
      <c r="A823764" s="242"/>
    </row>
    <row r="823765" spans="1:1" x14ac:dyDescent="0.25">
      <c r="A823765" s="242"/>
    </row>
    <row r="823766" spans="1:1" x14ac:dyDescent="0.25">
      <c r="A823766" s="242"/>
    </row>
    <row r="823767" spans="1:1" x14ac:dyDescent="0.25">
      <c r="A823767" s="242"/>
    </row>
    <row r="823768" spans="1:1" x14ac:dyDescent="0.25">
      <c r="A823768" s="242"/>
    </row>
    <row r="823769" spans="1:1" x14ac:dyDescent="0.25">
      <c r="A823769" s="242"/>
    </row>
    <row r="823770" spans="1:1" x14ac:dyDescent="0.25">
      <c r="A823770" s="242"/>
    </row>
    <row r="823771" spans="1:1" x14ac:dyDescent="0.25">
      <c r="A823771" s="242"/>
    </row>
    <row r="823772" spans="1:1" x14ac:dyDescent="0.25">
      <c r="A823772" s="242"/>
    </row>
    <row r="823773" spans="1:1" x14ac:dyDescent="0.25">
      <c r="A823773" s="242"/>
    </row>
    <row r="823774" spans="1:1" x14ac:dyDescent="0.25">
      <c r="A823774" s="242"/>
    </row>
    <row r="823775" spans="1:1" x14ac:dyDescent="0.25">
      <c r="A823775" s="242"/>
    </row>
    <row r="823776" spans="1:1" x14ac:dyDescent="0.25">
      <c r="A823776" s="242"/>
    </row>
    <row r="823777" spans="1:1" x14ac:dyDescent="0.25">
      <c r="A823777" s="242"/>
    </row>
    <row r="823778" spans="1:1" x14ac:dyDescent="0.25">
      <c r="A823778" s="242"/>
    </row>
    <row r="823779" spans="1:1" x14ac:dyDescent="0.25">
      <c r="A823779" s="242"/>
    </row>
    <row r="823780" spans="1:1" x14ac:dyDescent="0.25">
      <c r="A823780" s="242"/>
    </row>
    <row r="823781" spans="1:1" x14ac:dyDescent="0.25">
      <c r="A823781" s="242"/>
    </row>
    <row r="823782" spans="1:1" x14ac:dyDescent="0.25">
      <c r="A823782" s="242"/>
    </row>
    <row r="823783" spans="1:1" x14ac:dyDescent="0.25">
      <c r="A823783" s="242"/>
    </row>
    <row r="823784" spans="1:1" x14ac:dyDescent="0.25">
      <c r="A823784" s="242"/>
    </row>
    <row r="823785" spans="1:1" x14ac:dyDescent="0.25">
      <c r="A823785" s="242"/>
    </row>
    <row r="823786" spans="1:1" x14ac:dyDescent="0.25">
      <c r="A823786" s="242"/>
    </row>
    <row r="823787" spans="1:1" x14ac:dyDescent="0.25">
      <c r="A823787" s="242"/>
    </row>
    <row r="823788" spans="1:1" x14ac:dyDescent="0.25">
      <c r="A823788" s="242"/>
    </row>
    <row r="823789" spans="1:1" x14ac:dyDescent="0.25">
      <c r="A823789" s="242"/>
    </row>
    <row r="823790" spans="1:1" x14ac:dyDescent="0.25">
      <c r="A823790" s="242"/>
    </row>
    <row r="823791" spans="1:1" x14ac:dyDescent="0.25">
      <c r="A823791" s="242"/>
    </row>
    <row r="823792" spans="1:1" x14ac:dyDescent="0.25">
      <c r="A823792" s="242"/>
    </row>
    <row r="823793" spans="1:1" x14ac:dyDescent="0.25">
      <c r="A823793" s="242"/>
    </row>
    <row r="823794" spans="1:1" x14ac:dyDescent="0.25">
      <c r="A823794" s="242"/>
    </row>
    <row r="823795" spans="1:1" x14ac:dyDescent="0.25">
      <c r="A823795" s="242"/>
    </row>
    <row r="823796" spans="1:1" x14ac:dyDescent="0.25">
      <c r="A823796" s="242"/>
    </row>
    <row r="823797" spans="1:1" x14ac:dyDescent="0.25">
      <c r="A823797" s="242"/>
    </row>
    <row r="823798" spans="1:1" x14ac:dyDescent="0.25">
      <c r="A823798" s="242"/>
    </row>
    <row r="823799" spans="1:1" x14ac:dyDescent="0.25">
      <c r="A823799" s="242"/>
    </row>
    <row r="823800" spans="1:1" x14ac:dyDescent="0.25">
      <c r="A823800" s="242"/>
    </row>
    <row r="823801" spans="1:1" x14ac:dyDescent="0.25">
      <c r="A823801" s="242"/>
    </row>
    <row r="823802" spans="1:1" x14ac:dyDescent="0.25">
      <c r="A823802" s="242"/>
    </row>
    <row r="823803" spans="1:1" x14ac:dyDescent="0.25">
      <c r="A823803" s="242"/>
    </row>
    <row r="823804" spans="1:1" x14ac:dyDescent="0.25">
      <c r="A823804" s="242"/>
    </row>
    <row r="823805" spans="1:1" x14ac:dyDescent="0.25">
      <c r="A823805" s="242"/>
    </row>
    <row r="823806" spans="1:1" x14ac:dyDescent="0.25">
      <c r="A823806" s="242"/>
    </row>
    <row r="823807" spans="1:1" x14ac:dyDescent="0.25">
      <c r="A823807" s="242"/>
    </row>
    <row r="823808" spans="1:1" x14ac:dyDescent="0.25">
      <c r="A823808" s="242"/>
    </row>
    <row r="823809" spans="1:1" x14ac:dyDescent="0.25">
      <c r="A823809" s="242"/>
    </row>
    <row r="823810" spans="1:1" x14ac:dyDescent="0.25">
      <c r="A823810" s="242"/>
    </row>
    <row r="823811" spans="1:1" x14ac:dyDescent="0.25">
      <c r="A823811" s="242"/>
    </row>
    <row r="823812" spans="1:1" x14ac:dyDescent="0.25">
      <c r="A823812" s="242"/>
    </row>
    <row r="823813" spans="1:1" x14ac:dyDescent="0.25">
      <c r="A823813" s="242"/>
    </row>
    <row r="823814" spans="1:1" x14ac:dyDescent="0.25">
      <c r="A823814" s="242"/>
    </row>
    <row r="823815" spans="1:1" x14ac:dyDescent="0.25">
      <c r="A823815" s="242"/>
    </row>
    <row r="823816" spans="1:1" x14ac:dyDescent="0.25">
      <c r="A823816" s="242"/>
    </row>
    <row r="823817" spans="1:1" x14ac:dyDescent="0.25">
      <c r="A823817" s="242"/>
    </row>
    <row r="823818" spans="1:1" x14ac:dyDescent="0.25">
      <c r="A823818" s="242"/>
    </row>
    <row r="823819" spans="1:1" x14ac:dyDescent="0.25">
      <c r="A823819" s="242"/>
    </row>
    <row r="823820" spans="1:1" x14ac:dyDescent="0.25">
      <c r="A823820" s="242"/>
    </row>
    <row r="823821" spans="1:1" x14ac:dyDescent="0.25">
      <c r="A823821" s="242"/>
    </row>
    <row r="823822" spans="1:1" x14ac:dyDescent="0.25">
      <c r="A823822" s="242"/>
    </row>
    <row r="823823" spans="1:1" x14ac:dyDescent="0.25">
      <c r="A823823" s="242"/>
    </row>
    <row r="823824" spans="1:1" x14ac:dyDescent="0.25">
      <c r="A823824" s="242"/>
    </row>
    <row r="823825" spans="1:1" x14ac:dyDescent="0.25">
      <c r="A823825" s="242"/>
    </row>
    <row r="823826" spans="1:1" x14ac:dyDescent="0.25">
      <c r="A823826" s="242"/>
    </row>
    <row r="823827" spans="1:1" x14ac:dyDescent="0.25">
      <c r="A823827" s="242"/>
    </row>
    <row r="823828" spans="1:1" x14ac:dyDescent="0.25">
      <c r="A823828" s="242"/>
    </row>
    <row r="823829" spans="1:1" x14ac:dyDescent="0.25">
      <c r="A823829" s="242"/>
    </row>
    <row r="823830" spans="1:1" x14ac:dyDescent="0.25">
      <c r="A823830" s="242"/>
    </row>
    <row r="823831" spans="1:1" x14ac:dyDescent="0.25">
      <c r="A823831" s="242"/>
    </row>
    <row r="823832" spans="1:1" x14ac:dyDescent="0.25">
      <c r="A823832" s="242"/>
    </row>
    <row r="823833" spans="1:1" x14ac:dyDescent="0.25">
      <c r="A823833" s="242"/>
    </row>
    <row r="823834" spans="1:1" x14ac:dyDescent="0.25">
      <c r="A823834" s="242"/>
    </row>
    <row r="823835" spans="1:1" x14ac:dyDescent="0.25">
      <c r="A823835" s="242"/>
    </row>
    <row r="823836" spans="1:1" x14ac:dyDescent="0.25">
      <c r="A823836" s="242"/>
    </row>
    <row r="823837" spans="1:1" x14ac:dyDescent="0.25">
      <c r="A823837" s="242"/>
    </row>
    <row r="823838" spans="1:1" x14ac:dyDescent="0.25">
      <c r="A823838" s="242"/>
    </row>
    <row r="823839" spans="1:1" x14ac:dyDescent="0.25">
      <c r="A823839" s="242"/>
    </row>
    <row r="823840" spans="1:1" x14ac:dyDescent="0.25">
      <c r="A823840" s="242"/>
    </row>
    <row r="823841" spans="1:1" x14ac:dyDescent="0.25">
      <c r="A823841" s="242"/>
    </row>
    <row r="823842" spans="1:1" x14ac:dyDescent="0.25">
      <c r="A823842" s="242"/>
    </row>
    <row r="823843" spans="1:1" x14ac:dyDescent="0.25">
      <c r="A823843" s="242"/>
    </row>
    <row r="823844" spans="1:1" x14ac:dyDescent="0.25">
      <c r="A823844" s="242"/>
    </row>
    <row r="823845" spans="1:1" x14ac:dyDescent="0.25">
      <c r="A823845" s="242"/>
    </row>
    <row r="823846" spans="1:1" x14ac:dyDescent="0.25">
      <c r="A823846" s="242"/>
    </row>
    <row r="823847" spans="1:1" x14ac:dyDescent="0.25">
      <c r="A823847" s="242"/>
    </row>
    <row r="823848" spans="1:1" x14ac:dyDescent="0.25">
      <c r="A823848" s="242"/>
    </row>
    <row r="823849" spans="1:1" x14ac:dyDescent="0.25">
      <c r="A823849" s="242"/>
    </row>
    <row r="823850" spans="1:1" x14ac:dyDescent="0.25">
      <c r="A823850" s="242"/>
    </row>
    <row r="823851" spans="1:1" x14ac:dyDescent="0.25">
      <c r="A823851" s="242"/>
    </row>
    <row r="823852" spans="1:1" x14ac:dyDescent="0.25">
      <c r="A823852" s="242"/>
    </row>
    <row r="823853" spans="1:1" x14ac:dyDescent="0.25">
      <c r="A823853" s="242"/>
    </row>
    <row r="823854" spans="1:1" x14ac:dyDescent="0.25">
      <c r="A823854" s="242"/>
    </row>
    <row r="823855" spans="1:1" x14ac:dyDescent="0.25">
      <c r="A823855" s="242"/>
    </row>
    <row r="823856" spans="1:1" x14ac:dyDescent="0.25">
      <c r="A823856" s="242"/>
    </row>
    <row r="823857" spans="1:1" x14ac:dyDescent="0.25">
      <c r="A823857" s="242"/>
    </row>
    <row r="823858" spans="1:1" x14ac:dyDescent="0.25">
      <c r="A823858" s="242"/>
    </row>
    <row r="823859" spans="1:1" x14ac:dyDescent="0.25">
      <c r="A823859" s="242"/>
    </row>
    <row r="823860" spans="1:1" x14ac:dyDescent="0.25">
      <c r="A823860" s="242"/>
    </row>
    <row r="823861" spans="1:1" x14ac:dyDescent="0.25">
      <c r="A823861" s="242"/>
    </row>
    <row r="823862" spans="1:1" x14ac:dyDescent="0.25">
      <c r="A823862" s="242"/>
    </row>
    <row r="823863" spans="1:1" x14ac:dyDescent="0.25">
      <c r="A823863" s="242"/>
    </row>
    <row r="823864" spans="1:1" x14ac:dyDescent="0.25">
      <c r="A823864" s="242"/>
    </row>
    <row r="823865" spans="1:1" x14ac:dyDescent="0.25">
      <c r="A823865" s="242"/>
    </row>
    <row r="823866" spans="1:1" x14ac:dyDescent="0.25">
      <c r="A823866" s="242"/>
    </row>
    <row r="823867" spans="1:1" x14ac:dyDescent="0.25">
      <c r="A823867" s="242"/>
    </row>
    <row r="823868" spans="1:1" x14ac:dyDescent="0.25">
      <c r="A823868" s="242"/>
    </row>
    <row r="823869" spans="1:1" x14ac:dyDescent="0.25">
      <c r="A823869" s="242"/>
    </row>
    <row r="823870" spans="1:1" x14ac:dyDescent="0.25">
      <c r="A823870" s="242"/>
    </row>
    <row r="823871" spans="1:1" x14ac:dyDescent="0.25">
      <c r="A823871" s="242"/>
    </row>
    <row r="823872" spans="1:1" x14ac:dyDescent="0.25">
      <c r="A823872" s="242"/>
    </row>
    <row r="823873" spans="1:1" x14ac:dyDescent="0.25">
      <c r="A823873" s="242"/>
    </row>
    <row r="823874" spans="1:1" x14ac:dyDescent="0.25">
      <c r="A823874" s="242"/>
    </row>
    <row r="823875" spans="1:1" x14ac:dyDescent="0.25">
      <c r="A823875" s="242"/>
    </row>
    <row r="823876" spans="1:1" x14ac:dyDescent="0.25">
      <c r="A823876" s="242"/>
    </row>
    <row r="823877" spans="1:1" x14ac:dyDescent="0.25">
      <c r="A823877" s="242"/>
    </row>
    <row r="823878" spans="1:1" x14ac:dyDescent="0.25">
      <c r="A823878" s="242"/>
    </row>
    <row r="823879" spans="1:1" x14ac:dyDescent="0.25">
      <c r="A823879" s="242"/>
    </row>
    <row r="823880" spans="1:1" x14ac:dyDescent="0.25">
      <c r="A823880" s="242"/>
    </row>
    <row r="823881" spans="1:1" x14ac:dyDescent="0.25">
      <c r="A823881" s="242"/>
    </row>
    <row r="823882" spans="1:1" x14ac:dyDescent="0.25">
      <c r="A823882" s="242"/>
    </row>
    <row r="823883" spans="1:1" x14ac:dyDescent="0.25">
      <c r="A823883" s="242"/>
    </row>
    <row r="823884" spans="1:1" x14ac:dyDescent="0.25">
      <c r="A823884" s="242"/>
    </row>
    <row r="823885" spans="1:1" x14ac:dyDescent="0.25">
      <c r="A823885" s="242"/>
    </row>
    <row r="823886" spans="1:1" x14ac:dyDescent="0.25">
      <c r="A823886" s="242"/>
    </row>
    <row r="823887" spans="1:1" x14ac:dyDescent="0.25">
      <c r="A823887" s="242"/>
    </row>
    <row r="823888" spans="1:1" x14ac:dyDescent="0.25">
      <c r="A823888" s="242"/>
    </row>
    <row r="823889" spans="1:1" x14ac:dyDescent="0.25">
      <c r="A823889" s="242"/>
    </row>
    <row r="823890" spans="1:1" x14ac:dyDescent="0.25">
      <c r="A823890" s="242"/>
    </row>
    <row r="823891" spans="1:1" x14ac:dyDescent="0.25">
      <c r="A823891" s="242"/>
    </row>
    <row r="823892" spans="1:1" x14ac:dyDescent="0.25">
      <c r="A823892" s="242"/>
    </row>
    <row r="823893" spans="1:1" x14ac:dyDescent="0.25">
      <c r="A823893" s="242"/>
    </row>
    <row r="823894" spans="1:1" x14ac:dyDescent="0.25">
      <c r="A823894" s="242"/>
    </row>
    <row r="823895" spans="1:1" x14ac:dyDescent="0.25">
      <c r="A823895" s="242"/>
    </row>
    <row r="823896" spans="1:1" x14ac:dyDescent="0.25">
      <c r="A823896" s="242"/>
    </row>
    <row r="823897" spans="1:1" x14ac:dyDescent="0.25">
      <c r="A823897" s="242"/>
    </row>
    <row r="823898" spans="1:1" x14ac:dyDescent="0.25">
      <c r="A823898" s="242"/>
    </row>
    <row r="823899" spans="1:1" x14ac:dyDescent="0.25">
      <c r="A823899" s="242"/>
    </row>
    <row r="823900" spans="1:1" x14ac:dyDescent="0.25">
      <c r="A823900" s="242"/>
    </row>
    <row r="823901" spans="1:1" x14ac:dyDescent="0.25">
      <c r="A823901" s="242"/>
    </row>
    <row r="823902" spans="1:1" x14ac:dyDescent="0.25">
      <c r="A823902" s="242"/>
    </row>
    <row r="823903" spans="1:1" x14ac:dyDescent="0.25">
      <c r="A823903" s="242"/>
    </row>
    <row r="823904" spans="1:1" x14ac:dyDescent="0.25">
      <c r="A823904" s="242"/>
    </row>
    <row r="823905" spans="1:1" x14ac:dyDescent="0.25">
      <c r="A823905" s="242"/>
    </row>
    <row r="823906" spans="1:1" x14ac:dyDescent="0.25">
      <c r="A823906" s="242"/>
    </row>
    <row r="823907" spans="1:1" x14ac:dyDescent="0.25">
      <c r="A823907" s="242"/>
    </row>
    <row r="823908" spans="1:1" x14ac:dyDescent="0.25">
      <c r="A823908" s="242"/>
    </row>
    <row r="823909" spans="1:1" x14ac:dyDescent="0.25">
      <c r="A823909" s="242"/>
    </row>
    <row r="823910" spans="1:1" x14ac:dyDescent="0.25">
      <c r="A823910" s="242"/>
    </row>
    <row r="823911" spans="1:1" x14ac:dyDescent="0.25">
      <c r="A823911" s="242"/>
    </row>
    <row r="823912" spans="1:1" x14ac:dyDescent="0.25">
      <c r="A823912" s="242"/>
    </row>
    <row r="823913" spans="1:1" x14ac:dyDescent="0.25">
      <c r="A823913" s="242"/>
    </row>
    <row r="823914" spans="1:1" x14ac:dyDescent="0.25">
      <c r="A823914" s="242"/>
    </row>
    <row r="823915" spans="1:1" x14ac:dyDescent="0.25">
      <c r="A823915" s="242"/>
    </row>
    <row r="823916" spans="1:1" x14ac:dyDescent="0.25">
      <c r="A823916" s="242"/>
    </row>
    <row r="823917" spans="1:1" x14ac:dyDescent="0.25">
      <c r="A823917" s="242"/>
    </row>
    <row r="823918" spans="1:1" x14ac:dyDescent="0.25">
      <c r="A823918" s="242"/>
    </row>
    <row r="823919" spans="1:1" x14ac:dyDescent="0.25">
      <c r="A823919" s="242"/>
    </row>
    <row r="823920" spans="1:1" x14ac:dyDescent="0.25">
      <c r="A823920" s="242"/>
    </row>
    <row r="823921" spans="1:1" x14ac:dyDescent="0.25">
      <c r="A823921" s="242"/>
    </row>
    <row r="823922" spans="1:1" x14ac:dyDescent="0.25">
      <c r="A823922" s="242"/>
    </row>
    <row r="823923" spans="1:1" x14ac:dyDescent="0.25">
      <c r="A823923" s="242"/>
    </row>
    <row r="823924" spans="1:1" x14ac:dyDescent="0.25">
      <c r="A823924" s="242"/>
    </row>
    <row r="823925" spans="1:1" x14ac:dyDescent="0.25">
      <c r="A823925" s="242"/>
    </row>
    <row r="823926" spans="1:1" x14ac:dyDescent="0.25">
      <c r="A823926" s="242"/>
    </row>
    <row r="823927" spans="1:1" x14ac:dyDescent="0.25">
      <c r="A823927" s="242"/>
    </row>
    <row r="823928" spans="1:1" x14ac:dyDescent="0.25">
      <c r="A823928" s="242"/>
    </row>
    <row r="823929" spans="1:1" x14ac:dyDescent="0.25">
      <c r="A823929" s="242"/>
    </row>
    <row r="823930" spans="1:1" x14ac:dyDescent="0.25">
      <c r="A823930" s="242"/>
    </row>
    <row r="823931" spans="1:1" x14ac:dyDescent="0.25">
      <c r="A823931" s="242"/>
    </row>
    <row r="823932" spans="1:1" x14ac:dyDescent="0.25">
      <c r="A823932" s="242"/>
    </row>
    <row r="823933" spans="1:1" x14ac:dyDescent="0.25">
      <c r="A823933" s="242"/>
    </row>
    <row r="823934" spans="1:1" x14ac:dyDescent="0.25">
      <c r="A823934" s="242"/>
    </row>
    <row r="823935" spans="1:1" x14ac:dyDescent="0.25">
      <c r="A823935" s="242"/>
    </row>
    <row r="823936" spans="1:1" x14ac:dyDescent="0.25">
      <c r="A823936" s="242"/>
    </row>
    <row r="823937" spans="1:1" x14ac:dyDescent="0.25">
      <c r="A823937" s="242"/>
    </row>
    <row r="823938" spans="1:1" x14ac:dyDescent="0.25">
      <c r="A823938" s="242"/>
    </row>
    <row r="823939" spans="1:1" x14ac:dyDescent="0.25">
      <c r="A823939" s="242"/>
    </row>
    <row r="823940" spans="1:1" x14ac:dyDescent="0.25">
      <c r="A823940" s="242"/>
    </row>
    <row r="823941" spans="1:1" x14ac:dyDescent="0.25">
      <c r="A823941" s="242"/>
    </row>
    <row r="823942" spans="1:1" x14ac:dyDescent="0.25">
      <c r="A823942" s="242"/>
    </row>
    <row r="823943" spans="1:1" x14ac:dyDescent="0.25">
      <c r="A823943" s="242"/>
    </row>
    <row r="823944" spans="1:1" x14ac:dyDescent="0.25">
      <c r="A823944" s="242"/>
    </row>
    <row r="823945" spans="1:1" x14ac:dyDescent="0.25">
      <c r="A823945" s="242"/>
    </row>
    <row r="823946" spans="1:1" x14ac:dyDescent="0.25">
      <c r="A823946" s="242"/>
    </row>
    <row r="823947" spans="1:1" x14ac:dyDescent="0.25">
      <c r="A823947" s="242"/>
    </row>
    <row r="823948" spans="1:1" x14ac:dyDescent="0.25">
      <c r="A823948" s="242"/>
    </row>
    <row r="823949" spans="1:1" x14ac:dyDescent="0.25">
      <c r="A823949" s="242"/>
    </row>
    <row r="823950" spans="1:1" x14ac:dyDescent="0.25">
      <c r="A823950" s="242"/>
    </row>
    <row r="823951" spans="1:1" x14ac:dyDescent="0.25">
      <c r="A823951" s="242"/>
    </row>
    <row r="823952" spans="1:1" x14ac:dyDescent="0.25">
      <c r="A823952" s="242"/>
    </row>
    <row r="823953" spans="1:1" x14ac:dyDescent="0.25">
      <c r="A823953" s="242"/>
    </row>
    <row r="823954" spans="1:1" x14ac:dyDescent="0.25">
      <c r="A823954" s="242"/>
    </row>
    <row r="823955" spans="1:1" x14ac:dyDescent="0.25">
      <c r="A823955" s="242"/>
    </row>
    <row r="823956" spans="1:1" x14ac:dyDescent="0.25">
      <c r="A823956" s="242"/>
    </row>
    <row r="823957" spans="1:1" x14ac:dyDescent="0.25">
      <c r="A823957" s="242"/>
    </row>
    <row r="823958" spans="1:1" x14ac:dyDescent="0.25">
      <c r="A823958" s="242"/>
    </row>
    <row r="823959" spans="1:1" x14ac:dyDescent="0.25">
      <c r="A823959" s="242"/>
    </row>
    <row r="823960" spans="1:1" x14ac:dyDescent="0.25">
      <c r="A823960" s="242"/>
    </row>
    <row r="823961" spans="1:1" x14ac:dyDescent="0.25">
      <c r="A823961" s="242"/>
    </row>
    <row r="823962" spans="1:1" x14ac:dyDescent="0.25">
      <c r="A823962" s="242"/>
    </row>
    <row r="823963" spans="1:1" x14ac:dyDescent="0.25">
      <c r="A823963" s="242"/>
    </row>
    <row r="823964" spans="1:1" x14ac:dyDescent="0.25">
      <c r="A823964" s="242"/>
    </row>
    <row r="823965" spans="1:1" x14ac:dyDescent="0.25">
      <c r="A823965" s="242"/>
    </row>
    <row r="823966" spans="1:1" x14ac:dyDescent="0.25">
      <c r="A823966" s="242"/>
    </row>
    <row r="823967" spans="1:1" x14ac:dyDescent="0.25">
      <c r="A823967" s="242"/>
    </row>
    <row r="823968" spans="1:1" x14ac:dyDescent="0.25">
      <c r="A823968" s="242"/>
    </row>
    <row r="823969" spans="1:1" x14ac:dyDescent="0.25">
      <c r="A823969" s="242"/>
    </row>
    <row r="823970" spans="1:1" x14ac:dyDescent="0.25">
      <c r="A823970" s="242"/>
    </row>
    <row r="823971" spans="1:1" x14ac:dyDescent="0.25">
      <c r="A823971" s="242"/>
    </row>
    <row r="823972" spans="1:1" x14ac:dyDescent="0.25">
      <c r="A823972" s="242"/>
    </row>
    <row r="823973" spans="1:1" x14ac:dyDescent="0.25">
      <c r="A823973" s="242"/>
    </row>
    <row r="823974" spans="1:1" x14ac:dyDescent="0.25">
      <c r="A823974" s="242"/>
    </row>
    <row r="823975" spans="1:1" x14ac:dyDescent="0.25">
      <c r="A823975" s="242"/>
    </row>
    <row r="823976" spans="1:1" x14ac:dyDescent="0.25">
      <c r="A823976" s="242"/>
    </row>
    <row r="823977" spans="1:1" x14ac:dyDescent="0.25">
      <c r="A823977" s="242"/>
    </row>
    <row r="823978" spans="1:1" x14ac:dyDescent="0.25">
      <c r="A823978" s="242"/>
    </row>
    <row r="823979" spans="1:1" x14ac:dyDescent="0.25">
      <c r="A823979" s="242"/>
    </row>
    <row r="823980" spans="1:1" x14ac:dyDescent="0.25">
      <c r="A823980" s="242"/>
    </row>
    <row r="823981" spans="1:1" x14ac:dyDescent="0.25">
      <c r="A823981" s="242"/>
    </row>
    <row r="823982" spans="1:1" x14ac:dyDescent="0.25">
      <c r="A823982" s="242"/>
    </row>
    <row r="823983" spans="1:1" x14ac:dyDescent="0.25">
      <c r="A823983" s="242"/>
    </row>
    <row r="823984" spans="1:1" x14ac:dyDescent="0.25">
      <c r="A823984" s="242"/>
    </row>
    <row r="823985" spans="1:1" x14ac:dyDescent="0.25">
      <c r="A823985" s="242"/>
    </row>
    <row r="823986" spans="1:1" x14ac:dyDescent="0.25">
      <c r="A823986" s="242"/>
    </row>
    <row r="823987" spans="1:1" x14ac:dyDescent="0.25">
      <c r="A823987" s="242"/>
    </row>
    <row r="823988" spans="1:1" x14ac:dyDescent="0.25">
      <c r="A823988" s="242"/>
    </row>
    <row r="823989" spans="1:1" x14ac:dyDescent="0.25">
      <c r="A823989" s="242"/>
    </row>
    <row r="823990" spans="1:1" x14ac:dyDescent="0.25">
      <c r="A823990" s="242"/>
    </row>
    <row r="823991" spans="1:1" x14ac:dyDescent="0.25">
      <c r="A823991" s="242"/>
    </row>
    <row r="823992" spans="1:1" x14ac:dyDescent="0.25">
      <c r="A823992" s="242"/>
    </row>
    <row r="823993" spans="1:1" x14ac:dyDescent="0.25">
      <c r="A823993" s="242"/>
    </row>
    <row r="823994" spans="1:1" x14ac:dyDescent="0.25">
      <c r="A823994" s="242"/>
    </row>
    <row r="823995" spans="1:1" x14ac:dyDescent="0.25">
      <c r="A823995" s="242"/>
    </row>
    <row r="823996" spans="1:1" x14ac:dyDescent="0.25">
      <c r="A823996" s="242"/>
    </row>
    <row r="823997" spans="1:1" x14ac:dyDescent="0.25">
      <c r="A823997" s="242"/>
    </row>
    <row r="823998" spans="1:1" x14ac:dyDescent="0.25">
      <c r="A823998" s="242"/>
    </row>
    <row r="823999" spans="1:1" x14ac:dyDescent="0.25">
      <c r="A823999" s="242"/>
    </row>
    <row r="824000" spans="1:1" x14ac:dyDescent="0.25">
      <c r="A824000" s="242"/>
    </row>
    <row r="824001" spans="1:1" x14ac:dyDescent="0.25">
      <c r="A824001" s="242"/>
    </row>
    <row r="824002" spans="1:1" x14ac:dyDescent="0.25">
      <c r="A824002" s="242"/>
    </row>
    <row r="824003" spans="1:1" x14ac:dyDescent="0.25">
      <c r="A824003" s="242"/>
    </row>
    <row r="824004" spans="1:1" x14ac:dyDescent="0.25">
      <c r="A824004" s="242"/>
    </row>
    <row r="824005" spans="1:1" x14ac:dyDescent="0.25">
      <c r="A824005" s="242"/>
    </row>
    <row r="824006" spans="1:1" x14ac:dyDescent="0.25">
      <c r="A824006" s="242"/>
    </row>
    <row r="824007" spans="1:1" x14ac:dyDescent="0.25">
      <c r="A824007" s="242"/>
    </row>
    <row r="824008" spans="1:1" x14ac:dyDescent="0.25">
      <c r="A824008" s="242"/>
    </row>
    <row r="824009" spans="1:1" x14ac:dyDescent="0.25">
      <c r="A824009" s="242"/>
    </row>
    <row r="824010" spans="1:1" x14ac:dyDescent="0.25">
      <c r="A824010" s="242"/>
    </row>
    <row r="824011" spans="1:1" x14ac:dyDescent="0.25">
      <c r="A824011" s="242"/>
    </row>
    <row r="824012" spans="1:1" x14ac:dyDescent="0.25">
      <c r="A824012" s="242"/>
    </row>
    <row r="824013" spans="1:1" x14ac:dyDescent="0.25">
      <c r="A824013" s="242"/>
    </row>
    <row r="824014" spans="1:1" x14ac:dyDescent="0.25">
      <c r="A824014" s="242"/>
    </row>
    <row r="824015" spans="1:1" x14ac:dyDescent="0.25">
      <c r="A824015" s="242"/>
    </row>
    <row r="824016" spans="1:1" x14ac:dyDescent="0.25">
      <c r="A824016" s="242"/>
    </row>
    <row r="824017" spans="1:1" x14ac:dyDescent="0.25">
      <c r="A824017" s="242"/>
    </row>
    <row r="824018" spans="1:1" x14ac:dyDescent="0.25">
      <c r="A824018" s="242"/>
    </row>
    <row r="824019" spans="1:1" x14ac:dyDescent="0.25">
      <c r="A824019" s="242"/>
    </row>
    <row r="824020" spans="1:1" x14ac:dyDescent="0.25">
      <c r="A824020" s="242"/>
    </row>
    <row r="824021" spans="1:1" x14ac:dyDescent="0.25">
      <c r="A824021" s="242"/>
    </row>
    <row r="824022" spans="1:1" x14ac:dyDescent="0.25">
      <c r="A824022" s="242"/>
    </row>
    <row r="824023" spans="1:1" x14ac:dyDescent="0.25">
      <c r="A824023" s="242"/>
    </row>
    <row r="824024" spans="1:1" x14ac:dyDescent="0.25">
      <c r="A824024" s="242"/>
    </row>
    <row r="824025" spans="1:1" x14ac:dyDescent="0.25">
      <c r="A824025" s="242"/>
    </row>
    <row r="824026" spans="1:1" x14ac:dyDescent="0.25">
      <c r="A824026" s="242"/>
    </row>
    <row r="824027" spans="1:1" x14ac:dyDescent="0.25">
      <c r="A824027" s="242"/>
    </row>
    <row r="824028" spans="1:1" x14ac:dyDescent="0.25">
      <c r="A824028" s="242"/>
    </row>
    <row r="824029" spans="1:1" x14ac:dyDescent="0.25">
      <c r="A824029" s="242"/>
    </row>
    <row r="824030" spans="1:1" x14ac:dyDescent="0.25">
      <c r="A824030" s="242"/>
    </row>
    <row r="824031" spans="1:1" x14ac:dyDescent="0.25">
      <c r="A824031" s="242"/>
    </row>
    <row r="824032" spans="1:1" x14ac:dyDescent="0.25">
      <c r="A824032" s="242"/>
    </row>
    <row r="824033" spans="1:1" x14ac:dyDescent="0.25">
      <c r="A824033" s="242"/>
    </row>
    <row r="824034" spans="1:1" x14ac:dyDescent="0.25">
      <c r="A824034" s="242"/>
    </row>
    <row r="824035" spans="1:1" x14ac:dyDescent="0.25">
      <c r="A824035" s="242"/>
    </row>
    <row r="824036" spans="1:1" x14ac:dyDescent="0.25">
      <c r="A824036" s="242"/>
    </row>
    <row r="824037" spans="1:1" x14ac:dyDescent="0.25">
      <c r="A824037" s="242"/>
    </row>
    <row r="824038" spans="1:1" x14ac:dyDescent="0.25">
      <c r="A824038" s="242"/>
    </row>
    <row r="824039" spans="1:1" x14ac:dyDescent="0.25">
      <c r="A824039" s="242"/>
    </row>
    <row r="824040" spans="1:1" x14ac:dyDescent="0.25">
      <c r="A824040" s="242"/>
    </row>
    <row r="824041" spans="1:1" x14ac:dyDescent="0.25">
      <c r="A824041" s="242"/>
    </row>
    <row r="824042" spans="1:1" x14ac:dyDescent="0.25">
      <c r="A824042" s="242"/>
    </row>
    <row r="824043" spans="1:1" x14ac:dyDescent="0.25">
      <c r="A824043" s="242"/>
    </row>
    <row r="824044" spans="1:1" x14ac:dyDescent="0.25">
      <c r="A824044" s="242"/>
    </row>
    <row r="824045" spans="1:1" x14ac:dyDescent="0.25">
      <c r="A824045" s="242"/>
    </row>
    <row r="824046" spans="1:1" x14ac:dyDescent="0.25">
      <c r="A824046" s="242"/>
    </row>
    <row r="824047" spans="1:1" x14ac:dyDescent="0.25">
      <c r="A824047" s="242"/>
    </row>
    <row r="824048" spans="1:1" x14ac:dyDescent="0.25">
      <c r="A824048" s="242"/>
    </row>
    <row r="824049" spans="1:1" x14ac:dyDescent="0.25">
      <c r="A824049" s="242"/>
    </row>
    <row r="824050" spans="1:1" x14ac:dyDescent="0.25">
      <c r="A824050" s="242"/>
    </row>
    <row r="824051" spans="1:1" x14ac:dyDescent="0.25">
      <c r="A824051" s="242"/>
    </row>
    <row r="824052" spans="1:1" x14ac:dyDescent="0.25">
      <c r="A824052" s="242"/>
    </row>
    <row r="824053" spans="1:1" x14ac:dyDescent="0.25">
      <c r="A824053" s="242"/>
    </row>
    <row r="824054" spans="1:1" x14ac:dyDescent="0.25">
      <c r="A824054" s="242"/>
    </row>
    <row r="824055" spans="1:1" x14ac:dyDescent="0.25">
      <c r="A824055" s="242"/>
    </row>
    <row r="824056" spans="1:1" x14ac:dyDescent="0.25">
      <c r="A824056" s="242"/>
    </row>
    <row r="824057" spans="1:1" x14ac:dyDescent="0.25">
      <c r="A824057" s="242"/>
    </row>
    <row r="824058" spans="1:1" x14ac:dyDescent="0.25">
      <c r="A824058" s="242"/>
    </row>
    <row r="824059" spans="1:1" x14ac:dyDescent="0.25">
      <c r="A824059" s="242"/>
    </row>
    <row r="824060" spans="1:1" x14ac:dyDescent="0.25">
      <c r="A824060" s="242"/>
    </row>
    <row r="824061" spans="1:1" x14ac:dyDescent="0.25">
      <c r="A824061" s="242"/>
    </row>
    <row r="824062" spans="1:1" x14ac:dyDescent="0.25">
      <c r="A824062" s="242"/>
    </row>
    <row r="824063" spans="1:1" x14ac:dyDescent="0.25">
      <c r="A824063" s="242"/>
    </row>
    <row r="824064" spans="1:1" x14ac:dyDescent="0.25">
      <c r="A824064" s="242"/>
    </row>
    <row r="824065" spans="1:1" x14ac:dyDescent="0.25">
      <c r="A824065" s="242"/>
    </row>
    <row r="824066" spans="1:1" x14ac:dyDescent="0.25">
      <c r="A824066" s="242"/>
    </row>
    <row r="824067" spans="1:1" x14ac:dyDescent="0.25">
      <c r="A824067" s="242"/>
    </row>
    <row r="824068" spans="1:1" x14ac:dyDescent="0.25">
      <c r="A824068" s="242"/>
    </row>
    <row r="824069" spans="1:1" x14ac:dyDescent="0.25">
      <c r="A824069" s="242"/>
    </row>
    <row r="824070" spans="1:1" x14ac:dyDescent="0.25">
      <c r="A824070" s="242"/>
    </row>
    <row r="824071" spans="1:1" x14ac:dyDescent="0.25">
      <c r="A824071" s="242"/>
    </row>
    <row r="824072" spans="1:1" x14ac:dyDescent="0.25">
      <c r="A824072" s="242"/>
    </row>
    <row r="824073" spans="1:1" x14ac:dyDescent="0.25">
      <c r="A824073" s="242"/>
    </row>
    <row r="824074" spans="1:1" x14ac:dyDescent="0.25">
      <c r="A824074" s="242"/>
    </row>
    <row r="824075" spans="1:1" x14ac:dyDescent="0.25">
      <c r="A824075" s="242"/>
    </row>
    <row r="824076" spans="1:1" x14ac:dyDescent="0.25">
      <c r="A824076" s="242"/>
    </row>
    <row r="824077" spans="1:1" x14ac:dyDescent="0.25">
      <c r="A824077" s="242"/>
    </row>
    <row r="824078" spans="1:1" x14ac:dyDescent="0.25">
      <c r="A824078" s="242"/>
    </row>
    <row r="824079" spans="1:1" x14ac:dyDescent="0.25">
      <c r="A824079" s="242"/>
    </row>
    <row r="824080" spans="1:1" x14ac:dyDescent="0.25">
      <c r="A824080" s="242"/>
    </row>
    <row r="824081" spans="1:1" x14ac:dyDescent="0.25">
      <c r="A824081" s="242"/>
    </row>
    <row r="824082" spans="1:1" x14ac:dyDescent="0.25">
      <c r="A824082" s="242"/>
    </row>
    <row r="824083" spans="1:1" x14ac:dyDescent="0.25">
      <c r="A824083" s="242"/>
    </row>
    <row r="824084" spans="1:1" x14ac:dyDescent="0.25">
      <c r="A824084" s="242"/>
    </row>
    <row r="824085" spans="1:1" x14ac:dyDescent="0.25">
      <c r="A824085" s="242"/>
    </row>
    <row r="824086" spans="1:1" x14ac:dyDescent="0.25">
      <c r="A824086" s="242"/>
    </row>
    <row r="824087" spans="1:1" x14ac:dyDescent="0.25">
      <c r="A824087" s="242"/>
    </row>
    <row r="824088" spans="1:1" x14ac:dyDescent="0.25">
      <c r="A824088" s="242"/>
    </row>
    <row r="824089" spans="1:1" x14ac:dyDescent="0.25">
      <c r="A824089" s="242"/>
    </row>
    <row r="824090" spans="1:1" x14ac:dyDescent="0.25">
      <c r="A824090" s="242"/>
    </row>
    <row r="824091" spans="1:1" x14ac:dyDescent="0.25">
      <c r="A824091" s="242"/>
    </row>
    <row r="824092" spans="1:1" x14ac:dyDescent="0.25">
      <c r="A824092" s="242"/>
    </row>
    <row r="824093" spans="1:1" x14ac:dyDescent="0.25">
      <c r="A824093" s="242"/>
    </row>
    <row r="824094" spans="1:1" x14ac:dyDescent="0.25">
      <c r="A824094" s="242"/>
    </row>
    <row r="824095" spans="1:1" x14ac:dyDescent="0.25">
      <c r="A824095" s="242"/>
    </row>
    <row r="824096" spans="1:1" x14ac:dyDescent="0.25">
      <c r="A824096" s="242"/>
    </row>
    <row r="824097" spans="1:1" x14ac:dyDescent="0.25">
      <c r="A824097" s="242"/>
    </row>
    <row r="824098" spans="1:1" x14ac:dyDescent="0.25">
      <c r="A824098" s="242"/>
    </row>
    <row r="824099" spans="1:1" x14ac:dyDescent="0.25">
      <c r="A824099" s="242"/>
    </row>
    <row r="824100" spans="1:1" x14ac:dyDescent="0.25">
      <c r="A824100" s="242"/>
    </row>
    <row r="824101" spans="1:1" x14ac:dyDescent="0.25">
      <c r="A824101" s="242"/>
    </row>
    <row r="824102" spans="1:1" x14ac:dyDescent="0.25">
      <c r="A824102" s="242"/>
    </row>
    <row r="824103" spans="1:1" x14ac:dyDescent="0.25">
      <c r="A824103" s="242"/>
    </row>
    <row r="824104" spans="1:1" x14ac:dyDescent="0.25">
      <c r="A824104" s="242"/>
    </row>
    <row r="824105" spans="1:1" x14ac:dyDescent="0.25">
      <c r="A824105" s="242"/>
    </row>
    <row r="824106" spans="1:1" x14ac:dyDescent="0.25">
      <c r="A824106" s="242"/>
    </row>
    <row r="824107" spans="1:1" x14ac:dyDescent="0.25">
      <c r="A824107" s="242"/>
    </row>
    <row r="824108" spans="1:1" x14ac:dyDescent="0.25">
      <c r="A824108" s="242"/>
    </row>
    <row r="824109" spans="1:1" x14ac:dyDescent="0.25">
      <c r="A824109" s="242"/>
    </row>
    <row r="824110" spans="1:1" x14ac:dyDescent="0.25">
      <c r="A824110" s="242"/>
    </row>
    <row r="824111" spans="1:1" x14ac:dyDescent="0.25">
      <c r="A824111" s="242"/>
    </row>
    <row r="824112" spans="1:1" x14ac:dyDescent="0.25">
      <c r="A824112" s="242"/>
    </row>
    <row r="824113" spans="1:1" x14ac:dyDescent="0.25">
      <c r="A824113" s="242"/>
    </row>
    <row r="824114" spans="1:1" x14ac:dyDescent="0.25">
      <c r="A824114" s="242"/>
    </row>
    <row r="824115" spans="1:1" x14ac:dyDescent="0.25">
      <c r="A824115" s="242"/>
    </row>
    <row r="824116" spans="1:1" x14ac:dyDescent="0.25">
      <c r="A824116" s="242"/>
    </row>
    <row r="824117" spans="1:1" x14ac:dyDescent="0.25">
      <c r="A824117" s="242"/>
    </row>
    <row r="824118" spans="1:1" x14ac:dyDescent="0.25">
      <c r="A824118" s="242"/>
    </row>
    <row r="824119" spans="1:1" x14ac:dyDescent="0.25">
      <c r="A824119" s="242"/>
    </row>
    <row r="824120" spans="1:1" x14ac:dyDescent="0.25">
      <c r="A824120" s="242"/>
    </row>
    <row r="824121" spans="1:1" x14ac:dyDescent="0.25">
      <c r="A824121" s="242"/>
    </row>
    <row r="824122" spans="1:1" x14ac:dyDescent="0.25">
      <c r="A824122" s="242"/>
    </row>
    <row r="824123" spans="1:1" x14ac:dyDescent="0.25">
      <c r="A824123" s="242"/>
    </row>
    <row r="824124" spans="1:1" x14ac:dyDescent="0.25">
      <c r="A824124" s="242"/>
    </row>
    <row r="824125" spans="1:1" x14ac:dyDescent="0.25">
      <c r="A824125" s="242"/>
    </row>
    <row r="824126" spans="1:1" x14ac:dyDescent="0.25">
      <c r="A824126" s="242"/>
    </row>
    <row r="824127" spans="1:1" x14ac:dyDescent="0.25">
      <c r="A824127" s="242"/>
    </row>
    <row r="824128" spans="1:1" x14ac:dyDescent="0.25">
      <c r="A824128" s="242"/>
    </row>
    <row r="824129" spans="1:1" x14ac:dyDescent="0.25">
      <c r="A824129" s="242"/>
    </row>
    <row r="824130" spans="1:1" x14ac:dyDescent="0.25">
      <c r="A824130" s="242"/>
    </row>
    <row r="824131" spans="1:1" x14ac:dyDescent="0.25">
      <c r="A824131" s="242"/>
    </row>
    <row r="824132" spans="1:1" x14ac:dyDescent="0.25">
      <c r="A824132" s="242"/>
    </row>
    <row r="824133" spans="1:1" x14ac:dyDescent="0.25">
      <c r="A824133" s="242"/>
    </row>
    <row r="824134" spans="1:1" x14ac:dyDescent="0.25">
      <c r="A824134" s="242"/>
    </row>
    <row r="824135" spans="1:1" x14ac:dyDescent="0.25">
      <c r="A824135" s="242"/>
    </row>
    <row r="824136" spans="1:1" x14ac:dyDescent="0.25">
      <c r="A824136" s="242"/>
    </row>
    <row r="824137" spans="1:1" x14ac:dyDescent="0.25">
      <c r="A824137" s="242"/>
    </row>
    <row r="824138" spans="1:1" x14ac:dyDescent="0.25">
      <c r="A824138" s="242"/>
    </row>
    <row r="824139" spans="1:1" x14ac:dyDescent="0.25">
      <c r="A824139" s="242"/>
    </row>
    <row r="824140" spans="1:1" x14ac:dyDescent="0.25">
      <c r="A824140" s="242"/>
    </row>
    <row r="824141" spans="1:1" x14ac:dyDescent="0.25">
      <c r="A824141" s="242"/>
    </row>
    <row r="824142" spans="1:1" x14ac:dyDescent="0.25">
      <c r="A824142" s="242"/>
    </row>
    <row r="824143" spans="1:1" x14ac:dyDescent="0.25">
      <c r="A824143" s="242"/>
    </row>
    <row r="824144" spans="1:1" x14ac:dyDescent="0.25">
      <c r="A824144" s="242"/>
    </row>
    <row r="824145" spans="1:1" x14ac:dyDescent="0.25">
      <c r="A824145" s="242"/>
    </row>
    <row r="824146" spans="1:1" x14ac:dyDescent="0.25">
      <c r="A824146" s="242"/>
    </row>
    <row r="824147" spans="1:1" x14ac:dyDescent="0.25">
      <c r="A824147" s="242"/>
    </row>
    <row r="824148" spans="1:1" x14ac:dyDescent="0.25">
      <c r="A824148" s="242"/>
    </row>
    <row r="824149" spans="1:1" x14ac:dyDescent="0.25">
      <c r="A824149" s="242"/>
    </row>
    <row r="824150" spans="1:1" x14ac:dyDescent="0.25">
      <c r="A824150" s="242"/>
    </row>
    <row r="824151" spans="1:1" x14ac:dyDescent="0.25">
      <c r="A824151" s="242"/>
    </row>
    <row r="824152" spans="1:1" x14ac:dyDescent="0.25">
      <c r="A824152" s="242"/>
    </row>
    <row r="824153" spans="1:1" x14ac:dyDescent="0.25">
      <c r="A824153" s="242"/>
    </row>
    <row r="824154" spans="1:1" x14ac:dyDescent="0.25">
      <c r="A824154" s="242"/>
    </row>
    <row r="824155" spans="1:1" x14ac:dyDescent="0.25">
      <c r="A824155" s="242"/>
    </row>
    <row r="824156" spans="1:1" x14ac:dyDescent="0.25">
      <c r="A824156" s="242"/>
    </row>
    <row r="824157" spans="1:1" x14ac:dyDescent="0.25">
      <c r="A824157" s="242"/>
    </row>
    <row r="824158" spans="1:1" x14ac:dyDescent="0.25">
      <c r="A824158" s="242"/>
    </row>
    <row r="824159" spans="1:1" x14ac:dyDescent="0.25">
      <c r="A824159" s="242"/>
    </row>
    <row r="824160" spans="1:1" x14ac:dyDescent="0.25">
      <c r="A824160" s="242"/>
    </row>
    <row r="824161" spans="1:1" x14ac:dyDescent="0.25">
      <c r="A824161" s="242"/>
    </row>
    <row r="824162" spans="1:1" x14ac:dyDescent="0.25">
      <c r="A824162" s="242"/>
    </row>
    <row r="824163" spans="1:1" x14ac:dyDescent="0.25">
      <c r="A824163" s="242"/>
    </row>
    <row r="824164" spans="1:1" x14ac:dyDescent="0.25">
      <c r="A824164" s="242"/>
    </row>
    <row r="824165" spans="1:1" x14ac:dyDescent="0.25">
      <c r="A824165" s="242"/>
    </row>
    <row r="824166" spans="1:1" x14ac:dyDescent="0.25">
      <c r="A824166" s="242"/>
    </row>
    <row r="824167" spans="1:1" x14ac:dyDescent="0.25">
      <c r="A824167" s="242"/>
    </row>
    <row r="824168" spans="1:1" x14ac:dyDescent="0.25">
      <c r="A824168" s="242"/>
    </row>
    <row r="824169" spans="1:1" x14ac:dyDescent="0.25">
      <c r="A824169" s="242"/>
    </row>
    <row r="824170" spans="1:1" x14ac:dyDescent="0.25">
      <c r="A824170" s="242"/>
    </row>
    <row r="824171" spans="1:1" x14ac:dyDescent="0.25">
      <c r="A824171" s="242"/>
    </row>
    <row r="824172" spans="1:1" x14ac:dyDescent="0.25">
      <c r="A824172" s="242"/>
    </row>
    <row r="824173" spans="1:1" x14ac:dyDescent="0.25">
      <c r="A824173" s="242"/>
    </row>
    <row r="824174" spans="1:1" x14ac:dyDescent="0.25">
      <c r="A824174" s="242"/>
    </row>
    <row r="824175" spans="1:1" x14ac:dyDescent="0.25">
      <c r="A824175" s="242"/>
    </row>
    <row r="824176" spans="1:1" x14ac:dyDescent="0.25">
      <c r="A824176" s="242"/>
    </row>
    <row r="824177" spans="1:1" x14ac:dyDescent="0.25">
      <c r="A824177" s="242"/>
    </row>
    <row r="824178" spans="1:1" x14ac:dyDescent="0.25">
      <c r="A824178" s="242"/>
    </row>
    <row r="824179" spans="1:1" x14ac:dyDescent="0.25">
      <c r="A824179" s="242"/>
    </row>
    <row r="824180" spans="1:1" x14ac:dyDescent="0.25">
      <c r="A824180" s="242"/>
    </row>
    <row r="824181" spans="1:1" x14ac:dyDescent="0.25">
      <c r="A824181" s="242"/>
    </row>
    <row r="824182" spans="1:1" x14ac:dyDescent="0.25">
      <c r="A824182" s="242"/>
    </row>
    <row r="824183" spans="1:1" x14ac:dyDescent="0.25">
      <c r="A824183" s="242"/>
    </row>
    <row r="824184" spans="1:1" x14ac:dyDescent="0.25">
      <c r="A824184" s="242"/>
    </row>
    <row r="824185" spans="1:1" x14ac:dyDescent="0.25">
      <c r="A824185" s="242"/>
    </row>
    <row r="824186" spans="1:1" x14ac:dyDescent="0.25">
      <c r="A824186" s="242"/>
    </row>
    <row r="824187" spans="1:1" x14ac:dyDescent="0.25">
      <c r="A824187" s="242"/>
    </row>
    <row r="824188" spans="1:1" x14ac:dyDescent="0.25">
      <c r="A824188" s="242"/>
    </row>
    <row r="824189" spans="1:1" x14ac:dyDescent="0.25">
      <c r="A824189" s="242"/>
    </row>
    <row r="824190" spans="1:1" x14ac:dyDescent="0.25">
      <c r="A824190" s="242"/>
    </row>
    <row r="824191" spans="1:1" x14ac:dyDescent="0.25">
      <c r="A824191" s="242"/>
    </row>
    <row r="824192" spans="1:1" x14ac:dyDescent="0.25">
      <c r="A824192" s="242"/>
    </row>
    <row r="824193" spans="1:1" x14ac:dyDescent="0.25">
      <c r="A824193" s="242"/>
    </row>
    <row r="824194" spans="1:1" x14ac:dyDescent="0.25">
      <c r="A824194" s="242"/>
    </row>
    <row r="824195" spans="1:1" x14ac:dyDescent="0.25">
      <c r="A824195" s="242"/>
    </row>
    <row r="824196" spans="1:1" x14ac:dyDescent="0.25">
      <c r="A824196" s="242"/>
    </row>
    <row r="824197" spans="1:1" x14ac:dyDescent="0.25">
      <c r="A824197" s="242"/>
    </row>
    <row r="824198" spans="1:1" x14ac:dyDescent="0.25">
      <c r="A824198" s="242"/>
    </row>
    <row r="824199" spans="1:1" x14ac:dyDescent="0.25">
      <c r="A824199" s="242"/>
    </row>
    <row r="824200" spans="1:1" x14ac:dyDescent="0.25">
      <c r="A824200" s="242"/>
    </row>
    <row r="824201" spans="1:1" x14ac:dyDescent="0.25">
      <c r="A824201" s="242"/>
    </row>
    <row r="824202" spans="1:1" x14ac:dyDescent="0.25">
      <c r="A824202" s="242"/>
    </row>
    <row r="824203" spans="1:1" x14ac:dyDescent="0.25">
      <c r="A824203" s="242"/>
    </row>
    <row r="824204" spans="1:1" x14ac:dyDescent="0.25">
      <c r="A824204" s="242"/>
    </row>
    <row r="824205" spans="1:1" x14ac:dyDescent="0.25">
      <c r="A824205" s="242"/>
    </row>
    <row r="824206" spans="1:1" x14ac:dyDescent="0.25">
      <c r="A824206" s="242"/>
    </row>
    <row r="824207" spans="1:1" x14ac:dyDescent="0.25">
      <c r="A824207" s="242"/>
    </row>
    <row r="824208" spans="1:1" x14ac:dyDescent="0.25">
      <c r="A824208" s="242"/>
    </row>
    <row r="824209" spans="1:1" x14ac:dyDescent="0.25">
      <c r="A824209" s="242"/>
    </row>
    <row r="824210" spans="1:1" x14ac:dyDescent="0.25">
      <c r="A824210" s="242"/>
    </row>
    <row r="824211" spans="1:1" x14ac:dyDescent="0.25">
      <c r="A824211" s="242"/>
    </row>
    <row r="824212" spans="1:1" x14ac:dyDescent="0.25">
      <c r="A824212" s="242"/>
    </row>
    <row r="824213" spans="1:1" x14ac:dyDescent="0.25">
      <c r="A824213" s="242"/>
    </row>
    <row r="824214" spans="1:1" x14ac:dyDescent="0.25">
      <c r="A824214" s="242"/>
    </row>
    <row r="824215" spans="1:1" x14ac:dyDescent="0.25">
      <c r="A824215" s="242"/>
    </row>
    <row r="824216" spans="1:1" x14ac:dyDescent="0.25">
      <c r="A824216" s="242"/>
    </row>
    <row r="824217" spans="1:1" x14ac:dyDescent="0.25">
      <c r="A824217" s="242"/>
    </row>
    <row r="824218" spans="1:1" x14ac:dyDescent="0.25">
      <c r="A824218" s="242"/>
    </row>
    <row r="824219" spans="1:1" x14ac:dyDescent="0.25">
      <c r="A824219" s="242"/>
    </row>
    <row r="824220" spans="1:1" x14ac:dyDescent="0.25">
      <c r="A824220" s="242"/>
    </row>
    <row r="824221" spans="1:1" x14ac:dyDescent="0.25">
      <c r="A824221" s="242"/>
    </row>
    <row r="824222" spans="1:1" x14ac:dyDescent="0.25">
      <c r="A824222" s="242"/>
    </row>
    <row r="824223" spans="1:1" x14ac:dyDescent="0.25">
      <c r="A824223" s="242"/>
    </row>
    <row r="824224" spans="1:1" x14ac:dyDescent="0.25">
      <c r="A824224" s="242"/>
    </row>
    <row r="824225" spans="1:1" x14ac:dyDescent="0.25">
      <c r="A824225" s="242"/>
    </row>
    <row r="824226" spans="1:1" x14ac:dyDescent="0.25">
      <c r="A824226" s="242"/>
    </row>
    <row r="824227" spans="1:1" x14ac:dyDescent="0.25">
      <c r="A824227" s="242"/>
    </row>
    <row r="824228" spans="1:1" x14ac:dyDescent="0.25">
      <c r="A824228" s="242"/>
    </row>
    <row r="824229" spans="1:1" x14ac:dyDescent="0.25">
      <c r="A824229" s="242"/>
    </row>
    <row r="824230" spans="1:1" x14ac:dyDescent="0.25">
      <c r="A824230" s="242"/>
    </row>
    <row r="824231" spans="1:1" x14ac:dyDescent="0.25">
      <c r="A824231" s="242"/>
    </row>
    <row r="824232" spans="1:1" x14ac:dyDescent="0.25">
      <c r="A824232" s="242"/>
    </row>
    <row r="824233" spans="1:1" x14ac:dyDescent="0.25">
      <c r="A824233" s="242"/>
    </row>
    <row r="824234" spans="1:1" x14ac:dyDescent="0.25">
      <c r="A824234" s="242"/>
    </row>
    <row r="824235" spans="1:1" x14ac:dyDescent="0.25">
      <c r="A824235" s="242"/>
    </row>
    <row r="824236" spans="1:1" x14ac:dyDescent="0.25">
      <c r="A824236" s="242"/>
    </row>
    <row r="824237" spans="1:1" x14ac:dyDescent="0.25">
      <c r="A824237" s="242"/>
    </row>
    <row r="824238" spans="1:1" x14ac:dyDescent="0.25">
      <c r="A824238" s="242"/>
    </row>
    <row r="824239" spans="1:1" x14ac:dyDescent="0.25">
      <c r="A824239" s="242"/>
    </row>
    <row r="824240" spans="1:1" x14ac:dyDescent="0.25">
      <c r="A824240" s="242"/>
    </row>
    <row r="824241" spans="1:1" x14ac:dyDescent="0.25">
      <c r="A824241" s="242"/>
    </row>
    <row r="824242" spans="1:1" x14ac:dyDescent="0.25">
      <c r="A824242" s="242"/>
    </row>
    <row r="824243" spans="1:1" x14ac:dyDescent="0.25">
      <c r="A824243" s="242"/>
    </row>
    <row r="824244" spans="1:1" x14ac:dyDescent="0.25">
      <c r="A824244" s="242"/>
    </row>
    <row r="824245" spans="1:1" x14ac:dyDescent="0.25">
      <c r="A824245" s="242"/>
    </row>
    <row r="824246" spans="1:1" x14ac:dyDescent="0.25">
      <c r="A824246" s="242"/>
    </row>
    <row r="824247" spans="1:1" x14ac:dyDescent="0.25">
      <c r="A824247" s="242"/>
    </row>
    <row r="824248" spans="1:1" x14ac:dyDescent="0.25">
      <c r="A824248" s="242"/>
    </row>
    <row r="824249" spans="1:1" x14ac:dyDescent="0.25">
      <c r="A824249" s="242"/>
    </row>
    <row r="824250" spans="1:1" x14ac:dyDescent="0.25">
      <c r="A824250" s="242"/>
    </row>
    <row r="824251" spans="1:1" x14ac:dyDescent="0.25">
      <c r="A824251" s="242"/>
    </row>
    <row r="824252" spans="1:1" x14ac:dyDescent="0.25">
      <c r="A824252" s="242"/>
    </row>
    <row r="824253" spans="1:1" x14ac:dyDescent="0.25">
      <c r="A824253" s="242"/>
    </row>
    <row r="824254" spans="1:1" x14ac:dyDescent="0.25">
      <c r="A824254" s="242"/>
    </row>
    <row r="824255" spans="1:1" x14ac:dyDescent="0.25">
      <c r="A824255" s="242"/>
    </row>
    <row r="824256" spans="1:1" x14ac:dyDescent="0.25">
      <c r="A824256" s="242"/>
    </row>
    <row r="824257" spans="1:1" x14ac:dyDescent="0.25">
      <c r="A824257" s="242"/>
    </row>
    <row r="824258" spans="1:1" x14ac:dyDescent="0.25">
      <c r="A824258" s="242"/>
    </row>
    <row r="824259" spans="1:1" x14ac:dyDescent="0.25">
      <c r="A824259" s="242"/>
    </row>
    <row r="824260" spans="1:1" x14ac:dyDescent="0.25">
      <c r="A824260" s="242"/>
    </row>
    <row r="824261" spans="1:1" x14ac:dyDescent="0.25">
      <c r="A824261" s="242"/>
    </row>
    <row r="824262" spans="1:1" x14ac:dyDescent="0.25">
      <c r="A824262" s="242"/>
    </row>
    <row r="824263" spans="1:1" x14ac:dyDescent="0.25">
      <c r="A824263" s="242"/>
    </row>
    <row r="824264" spans="1:1" x14ac:dyDescent="0.25">
      <c r="A824264" s="242"/>
    </row>
    <row r="824265" spans="1:1" x14ac:dyDescent="0.25">
      <c r="A824265" s="242"/>
    </row>
    <row r="824266" spans="1:1" x14ac:dyDescent="0.25">
      <c r="A824266" s="242"/>
    </row>
    <row r="824267" spans="1:1" x14ac:dyDescent="0.25">
      <c r="A824267" s="242"/>
    </row>
    <row r="824268" spans="1:1" x14ac:dyDescent="0.25">
      <c r="A824268" s="242"/>
    </row>
    <row r="824269" spans="1:1" x14ac:dyDescent="0.25">
      <c r="A824269" s="242"/>
    </row>
    <row r="824270" spans="1:1" x14ac:dyDescent="0.25">
      <c r="A824270" s="242"/>
    </row>
    <row r="824271" spans="1:1" x14ac:dyDescent="0.25">
      <c r="A824271" s="242"/>
    </row>
    <row r="824272" spans="1:1" x14ac:dyDescent="0.25">
      <c r="A824272" s="242"/>
    </row>
    <row r="824273" spans="1:1" x14ac:dyDescent="0.25">
      <c r="A824273" s="242"/>
    </row>
    <row r="824274" spans="1:1" x14ac:dyDescent="0.25">
      <c r="A824274" s="242"/>
    </row>
    <row r="824275" spans="1:1" x14ac:dyDescent="0.25">
      <c r="A824275" s="242"/>
    </row>
    <row r="824276" spans="1:1" x14ac:dyDescent="0.25">
      <c r="A824276" s="242"/>
    </row>
    <row r="824277" spans="1:1" x14ac:dyDescent="0.25">
      <c r="A824277" s="242"/>
    </row>
    <row r="824278" spans="1:1" x14ac:dyDescent="0.25">
      <c r="A824278" s="242"/>
    </row>
    <row r="824279" spans="1:1" x14ac:dyDescent="0.25">
      <c r="A824279" s="242"/>
    </row>
    <row r="824280" spans="1:1" x14ac:dyDescent="0.25">
      <c r="A824280" s="242"/>
    </row>
    <row r="824281" spans="1:1" x14ac:dyDescent="0.25">
      <c r="A824281" s="242"/>
    </row>
    <row r="824282" spans="1:1" x14ac:dyDescent="0.25">
      <c r="A824282" s="242"/>
    </row>
    <row r="824283" spans="1:1" x14ac:dyDescent="0.25">
      <c r="A824283" s="242"/>
    </row>
    <row r="824284" spans="1:1" x14ac:dyDescent="0.25">
      <c r="A824284" s="242"/>
    </row>
    <row r="824285" spans="1:1" x14ac:dyDescent="0.25">
      <c r="A824285" s="242"/>
    </row>
    <row r="824286" spans="1:1" x14ac:dyDescent="0.25">
      <c r="A824286" s="242"/>
    </row>
    <row r="824287" spans="1:1" x14ac:dyDescent="0.25">
      <c r="A824287" s="242"/>
    </row>
    <row r="824288" spans="1:1" x14ac:dyDescent="0.25">
      <c r="A824288" s="242"/>
    </row>
    <row r="824289" spans="1:1" x14ac:dyDescent="0.25">
      <c r="A824289" s="242"/>
    </row>
    <row r="824290" spans="1:1" x14ac:dyDescent="0.25">
      <c r="A824290" s="242"/>
    </row>
    <row r="824291" spans="1:1" x14ac:dyDescent="0.25">
      <c r="A824291" s="242"/>
    </row>
    <row r="824292" spans="1:1" x14ac:dyDescent="0.25">
      <c r="A824292" s="242"/>
    </row>
    <row r="824293" spans="1:1" x14ac:dyDescent="0.25">
      <c r="A824293" s="242"/>
    </row>
    <row r="824294" spans="1:1" x14ac:dyDescent="0.25">
      <c r="A824294" s="242"/>
    </row>
    <row r="824295" spans="1:1" x14ac:dyDescent="0.25">
      <c r="A824295" s="242"/>
    </row>
    <row r="824296" spans="1:1" x14ac:dyDescent="0.25">
      <c r="A824296" s="242"/>
    </row>
    <row r="824297" spans="1:1" x14ac:dyDescent="0.25">
      <c r="A824297" s="242"/>
    </row>
    <row r="824298" spans="1:1" x14ac:dyDescent="0.25">
      <c r="A824298" s="242"/>
    </row>
    <row r="824299" spans="1:1" x14ac:dyDescent="0.25">
      <c r="A824299" s="242"/>
    </row>
    <row r="824300" spans="1:1" x14ac:dyDescent="0.25">
      <c r="A824300" s="242"/>
    </row>
    <row r="824301" spans="1:1" x14ac:dyDescent="0.25">
      <c r="A824301" s="242"/>
    </row>
    <row r="824302" spans="1:1" x14ac:dyDescent="0.25">
      <c r="A824302" s="242"/>
    </row>
    <row r="824303" spans="1:1" x14ac:dyDescent="0.25">
      <c r="A824303" s="242"/>
    </row>
    <row r="824304" spans="1:1" x14ac:dyDescent="0.25">
      <c r="A824304" s="242"/>
    </row>
    <row r="824305" spans="1:1" x14ac:dyDescent="0.25">
      <c r="A824305" s="242"/>
    </row>
    <row r="824306" spans="1:1" x14ac:dyDescent="0.25">
      <c r="A824306" s="242"/>
    </row>
    <row r="824307" spans="1:1" x14ac:dyDescent="0.25">
      <c r="A824307" s="242"/>
    </row>
    <row r="824308" spans="1:1" x14ac:dyDescent="0.25">
      <c r="A824308" s="242"/>
    </row>
    <row r="824309" spans="1:1" x14ac:dyDescent="0.25">
      <c r="A824309" s="242"/>
    </row>
    <row r="824310" spans="1:1" x14ac:dyDescent="0.25">
      <c r="A824310" s="242"/>
    </row>
    <row r="824311" spans="1:1" x14ac:dyDescent="0.25">
      <c r="A824311" s="242"/>
    </row>
    <row r="824312" spans="1:1" x14ac:dyDescent="0.25">
      <c r="A824312" s="242"/>
    </row>
    <row r="824313" spans="1:1" x14ac:dyDescent="0.25">
      <c r="A824313" s="242"/>
    </row>
    <row r="824314" spans="1:1" x14ac:dyDescent="0.25">
      <c r="A824314" s="242"/>
    </row>
    <row r="824315" spans="1:1" x14ac:dyDescent="0.25">
      <c r="A824315" s="242"/>
    </row>
    <row r="824316" spans="1:1" x14ac:dyDescent="0.25">
      <c r="A824316" s="242"/>
    </row>
    <row r="824317" spans="1:1" x14ac:dyDescent="0.25">
      <c r="A824317" s="242"/>
    </row>
    <row r="824318" spans="1:1" x14ac:dyDescent="0.25">
      <c r="A824318" s="242"/>
    </row>
    <row r="824319" spans="1:1" x14ac:dyDescent="0.25">
      <c r="A824319" s="242"/>
    </row>
    <row r="824320" spans="1:1" x14ac:dyDescent="0.25">
      <c r="A824320" s="242"/>
    </row>
    <row r="824321" spans="1:1" x14ac:dyDescent="0.25">
      <c r="A824321" s="242"/>
    </row>
    <row r="824322" spans="1:1" x14ac:dyDescent="0.25">
      <c r="A824322" s="242"/>
    </row>
    <row r="824323" spans="1:1" x14ac:dyDescent="0.25">
      <c r="A824323" s="242"/>
    </row>
    <row r="824324" spans="1:1" x14ac:dyDescent="0.25">
      <c r="A824324" s="242"/>
    </row>
    <row r="824325" spans="1:1" x14ac:dyDescent="0.25">
      <c r="A824325" s="242"/>
    </row>
    <row r="824326" spans="1:1" x14ac:dyDescent="0.25">
      <c r="A824326" s="242"/>
    </row>
    <row r="824327" spans="1:1" x14ac:dyDescent="0.25">
      <c r="A824327" s="242"/>
    </row>
    <row r="824328" spans="1:1" x14ac:dyDescent="0.25">
      <c r="A824328" s="242"/>
    </row>
    <row r="824329" spans="1:1" x14ac:dyDescent="0.25">
      <c r="A824329" s="242"/>
    </row>
    <row r="824330" spans="1:1" x14ac:dyDescent="0.25">
      <c r="A824330" s="242"/>
    </row>
    <row r="824331" spans="1:1" x14ac:dyDescent="0.25">
      <c r="A824331" s="242"/>
    </row>
    <row r="824332" spans="1:1" x14ac:dyDescent="0.25">
      <c r="A824332" s="242"/>
    </row>
    <row r="824333" spans="1:1" x14ac:dyDescent="0.25">
      <c r="A824333" s="242"/>
    </row>
    <row r="824334" spans="1:1" x14ac:dyDescent="0.25">
      <c r="A824334" s="242"/>
    </row>
    <row r="824335" spans="1:1" x14ac:dyDescent="0.25">
      <c r="A824335" s="242"/>
    </row>
    <row r="824336" spans="1:1" x14ac:dyDescent="0.25">
      <c r="A824336" s="242"/>
    </row>
    <row r="824337" spans="1:1" x14ac:dyDescent="0.25">
      <c r="A824337" s="242"/>
    </row>
    <row r="824338" spans="1:1" x14ac:dyDescent="0.25">
      <c r="A824338" s="242"/>
    </row>
    <row r="824339" spans="1:1" x14ac:dyDescent="0.25">
      <c r="A824339" s="242"/>
    </row>
    <row r="824340" spans="1:1" x14ac:dyDescent="0.25">
      <c r="A824340" s="242"/>
    </row>
    <row r="824341" spans="1:1" x14ac:dyDescent="0.25">
      <c r="A824341" s="242"/>
    </row>
    <row r="824342" spans="1:1" x14ac:dyDescent="0.25">
      <c r="A824342" s="242"/>
    </row>
    <row r="824343" spans="1:1" x14ac:dyDescent="0.25">
      <c r="A824343" s="242"/>
    </row>
    <row r="824344" spans="1:1" x14ac:dyDescent="0.25">
      <c r="A824344" s="242"/>
    </row>
    <row r="824345" spans="1:1" x14ac:dyDescent="0.25">
      <c r="A824345" s="242"/>
    </row>
    <row r="824346" spans="1:1" x14ac:dyDescent="0.25">
      <c r="A824346" s="242"/>
    </row>
    <row r="824347" spans="1:1" x14ac:dyDescent="0.25">
      <c r="A824347" s="242"/>
    </row>
    <row r="824348" spans="1:1" x14ac:dyDescent="0.25">
      <c r="A824348" s="242"/>
    </row>
    <row r="824349" spans="1:1" x14ac:dyDescent="0.25">
      <c r="A824349" s="242"/>
    </row>
    <row r="824350" spans="1:1" x14ac:dyDescent="0.25">
      <c r="A824350" s="242"/>
    </row>
    <row r="824351" spans="1:1" x14ac:dyDescent="0.25">
      <c r="A824351" s="242"/>
    </row>
    <row r="824352" spans="1:1" x14ac:dyDescent="0.25">
      <c r="A824352" s="242"/>
    </row>
    <row r="824353" spans="1:1" x14ac:dyDescent="0.25">
      <c r="A824353" s="242"/>
    </row>
    <row r="824354" spans="1:1" x14ac:dyDescent="0.25">
      <c r="A824354" s="242"/>
    </row>
    <row r="824355" spans="1:1" x14ac:dyDescent="0.25">
      <c r="A824355" s="242"/>
    </row>
    <row r="824356" spans="1:1" x14ac:dyDescent="0.25">
      <c r="A824356" s="242"/>
    </row>
    <row r="824357" spans="1:1" x14ac:dyDescent="0.25">
      <c r="A824357" s="242"/>
    </row>
    <row r="824358" spans="1:1" x14ac:dyDescent="0.25">
      <c r="A824358" s="242"/>
    </row>
    <row r="824359" spans="1:1" x14ac:dyDescent="0.25">
      <c r="A824359" s="242"/>
    </row>
    <row r="824360" spans="1:1" x14ac:dyDescent="0.25">
      <c r="A824360" s="242"/>
    </row>
    <row r="824361" spans="1:1" x14ac:dyDescent="0.25">
      <c r="A824361" s="242"/>
    </row>
    <row r="824362" spans="1:1" x14ac:dyDescent="0.25">
      <c r="A824362" s="242"/>
    </row>
    <row r="824363" spans="1:1" x14ac:dyDescent="0.25">
      <c r="A824363" s="242"/>
    </row>
    <row r="824364" spans="1:1" x14ac:dyDescent="0.25">
      <c r="A824364" s="242"/>
    </row>
    <row r="824365" spans="1:1" x14ac:dyDescent="0.25">
      <c r="A824365" s="242"/>
    </row>
    <row r="824366" spans="1:1" x14ac:dyDescent="0.25">
      <c r="A824366" s="242"/>
    </row>
    <row r="824367" spans="1:1" x14ac:dyDescent="0.25">
      <c r="A824367" s="242"/>
    </row>
    <row r="824368" spans="1:1" x14ac:dyDescent="0.25">
      <c r="A824368" s="242"/>
    </row>
    <row r="824369" spans="1:1" x14ac:dyDescent="0.25">
      <c r="A824369" s="242"/>
    </row>
    <row r="824370" spans="1:1" x14ac:dyDescent="0.25">
      <c r="A824370" s="242"/>
    </row>
    <row r="824371" spans="1:1" x14ac:dyDescent="0.25">
      <c r="A824371" s="242"/>
    </row>
    <row r="824372" spans="1:1" x14ac:dyDescent="0.25">
      <c r="A824372" s="242"/>
    </row>
    <row r="824373" spans="1:1" x14ac:dyDescent="0.25">
      <c r="A824373" s="242"/>
    </row>
    <row r="824374" spans="1:1" x14ac:dyDescent="0.25">
      <c r="A824374" s="242"/>
    </row>
    <row r="824375" spans="1:1" x14ac:dyDescent="0.25">
      <c r="A824375" s="242"/>
    </row>
    <row r="824376" spans="1:1" x14ac:dyDescent="0.25">
      <c r="A824376" s="242"/>
    </row>
    <row r="824377" spans="1:1" x14ac:dyDescent="0.25">
      <c r="A824377" s="242"/>
    </row>
    <row r="824378" spans="1:1" x14ac:dyDescent="0.25">
      <c r="A824378" s="242"/>
    </row>
    <row r="824379" spans="1:1" x14ac:dyDescent="0.25">
      <c r="A824379" s="242"/>
    </row>
    <row r="824380" spans="1:1" x14ac:dyDescent="0.25">
      <c r="A824380" s="242"/>
    </row>
    <row r="824381" spans="1:1" x14ac:dyDescent="0.25">
      <c r="A824381" s="242"/>
    </row>
    <row r="824382" spans="1:1" x14ac:dyDescent="0.25">
      <c r="A824382" s="242"/>
    </row>
    <row r="824383" spans="1:1" x14ac:dyDescent="0.25">
      <c r="A824383" s="242"/>
    </row>
    <row r="824384" spans="1:1" x14ac:dyDescent="0.25">
      <c r="A824384" s="242"/>
    </row>
    <row r="824385" spans="1:1" x14ac:dyDescent="0.25">
      <c r="A824385" s="242"/>
    </row>
    <row r="824386" spans="1:1" x14ac:dyDescent="0.25">
      <c r="A824386" s="242"/>
    </row>
    <row r="824387" spans="1:1" x14ac:dyDescent="0.25">
      <c r="A824387" s="242"/>
    </row>
    <row r="824388" spans="1:1" x14ac:dyDescent="0.25">
      <c r="A824388" s="242"/>
    </row>
    <row r="824389" spans="1:1" x14ac:dyDescent="0.25">
      <c r="A824389" s="242"/>
    </row>
    <row r="824390" spans="1:1" x14ac:dyDescent="0.25">
      <c r="A824390" s="242"/>
    </row>
    <row r="824391" spans="1:1" x14ac:dyDescent="0.25">
      <c r="A824391" s="242"/>
    </row>
    <row r="824392" spans="1:1" x14ac:dyDescent="0.25">
      <c r="A824392" s="242"/>
    </row>
    <row r="824393" spans="1:1" x14ac:dyDescent="0.25">
      <c r="A824393" s="242"/>
    </row>
    <row r="824394" spans="1:1" x14ac:dyDescent="0.25">
      <c r="A824394" s="242"/>
    </row>
    <row r="824395" spans="1:1" x14ac:dyDescent="0.25">
      <c r="A824395" s="242"/>
    </row>
    <row r="824396" spans="1:1" x14ac:dyDescent="0.25">
      <c r="A824396" s="242"/>
    </row>
    <row r="824397" spans="1:1" x14ac:dyDescent="0.25">
      <c r="A824397" s="242"/>
    </row>
    <row r="824398" spans="1:1" x14ac:dyDescent="0.25">
      <c r="A824398" s="242"/>
    </row>
    <row r="824399" spans="1:1" x14ac:dyDescent="0.25">
      <c r="A824399" s="242"/>
    </row>
    <row r="824400" spans="1:1" x14ac:dyDescent="0.25">
      <c r="A824400" s="242"/>
    </row>
    <row r="824401" spans="1:1" x14ac:dyDescent="0.25">
      <c r="A824401" s="242"/>
    </row>
    <row r="824402" spans="1:1" x14ac:dyDescent="0.25">
      <c r="A824402" s="242"/>
    </row>
    <row r="824403" spans="1:1" x14ac:dyDescent="0.25">
      <c r="A824403" s="242"/>
    </row>
    <row r="824404" spans="1:1" x14ac:dyDescent="0.25">
      <c r="A824404" s="242"/>
    </row>
    <row r="824405" spans="1:1" x14ac:dyDescent="0.25">
      <c r="A824405" s="242"/>
    </row>
    <row r="824406" spans="1:1" x14ac:dyDescent="0.25">
      <c r="A824406" s="242"/>
    </row>
    <row r="824407" spans="1:1" x14ac:dyDescent="0.25">
      <c r="A824407" s="242"/>
    </row>
    <row r="824408" spans="1:1" x14ac:dyDescent="0.25">
      <c r="A824408" s="242"/>
    </row>
    <row r="824409" spans="1:1" x14ac:dyDescent="0.25">
      <c r="A824409" s="242"/>
    </row>
    <row r="824410" spans="1:1" x14ac:dyDescent="0.25">
      <c r="A824410" s="242"/>
    </row>
    <row r="824411" spans="1:1" x14ac:dyDescent="0.25">
      <c r="A824411" s="242"/>
    </row>
    <row r="824412" spans="1:1" x14ac:dyDescent="0.25">
      <c r="A824412" s="242"/>
    </row>
    <row r="824413" spans="1:1" x14ac:dyDescent="0.25">
      <c r="A824413" s="242"/>
    </row>
    <row r="824414" spans="1:1" x14ac:dyDescent="0.25">
      <c r="A824414" s="242"/>
    </row>
    <row r="824415" spans="1:1" x14ac:dyDescent="0.25">
      <c r="A824415" s="242"/>
    </row>
    <row r="824416" spans="1:1" x14ac:dyDescent="0.25">
      <c r="A824416" s="242"/>
    </row>
    <row r="824417" spans="1:1" x14ac:dyDescent="0.25">
      <c r="A824417" s="242"/>
    </row>
    <row r="824418" spans="1:1" x14ac:dyDescent="0.25">
      <c r="A824418" s="242"/>
    </row>
    <row r="824419" spans="1:1" x14ac:dyDescent="0.25">
      <c r="A824419" s="242"/>
    </row>
    <row r="824420" spans="1:1" x14ac:dyDescent="0.25">
      <c r="A824420" s="242"/>
    </row>
    <row r="824421" spans="1:1" x14ac:dyDescent="0.25">
      <c r="A824421" s="242"/>
    </row>
    <row r="824422" spans="1:1" x14ac:dyDescent="0.25">
      <c r="A824422" s="242"/>
    </row>
    <row r="824423" spans="1:1" x14ac:dyDescent="0.25">
      <c r="A824423" s="242"/>
    </row>
    <row r="824424" spans="1:1" x14ac:dyDescent="0.25">
      <c r="A824424" s="242"/>
    </row>
    <row r="824425" spans="1:1" x14ac:dyDescent="0.25">
      <c r="A824425" s="242"/>
    </row>
    <row r="824426" spans="1:1" x14ac:dyDescent="0.25">
      <c r="A824426" s="242"/>
    </row>
    <row r="824427" spans="1:1" x14ac:dyDescent="0.25">
      <c r="A824427" s="242"/>
    </row>
    <row r="824428" spans="1:1" x14ac:dyDescent="0.25">
      <c r="A824428" s="242"/>
    </row>
    <row r="824429" spans="1:1" x14ac:dyDescent="0.25">
      <c r="A824429" s="242"/>
    </row>
    <row r="824430" spans="1:1" x14ac:dyDescent="0.25">
      <c r="A824430" s="242"/>
    </row>
    <row r="824431" spans="1:1" x14ac:dyDescent="0.25">
      <c r="A824431" s="242"/>
    </row>
    <row r="824432" spans="1:1" x14ac:dyDescent="0.25">
      <c r="A824432" s="242"/>
    </row>
    <row r="824433" spans="1:1" x14ac:dyDescent="0.25">
      <c r="A824433" s="242"/>
    </row>
    <row r="824434" spans="1:1" x14ac:dyDescent="0.25">
      <c r="A824434" s="242"/>
    </row>
    <row r="824435" spans="1:1" x14ac:dyDescent="0.25">
      <c r="A824435" s="242"/>
    </row>
    <row r="824436" spans="1:1" x14ac:dyDescent="0.25">
      <c r="A824436" s="242"/>
    </row>
    <row r="824437" spans="1:1" x14ac:dyDescent="0.25">
      <c r="A824437" s="242"/>
    </row>
    <row r="824438" spans="1:1" x14ac:dyDescent="0.25">
      <c r="A824438" s="242"/>
    </row>
    <row r="824439" spans="1:1" x14ac:dyDescent="0.25">
      <c r="A824439" s="242"/>
    </row>
    <row r="824440" spans="1:1" x14ac:dyDescent="0.25">
      <c r="A824440" s="242"/>
    </row>
    <row r="824441" spans="1:1" x14ac:dyDescent="0.25">
      <c r="A824441" s="242"/>
    </row>
    <row r="824442" spans="1:1" x14ac:dyDescent="0.25">
      <c r="A824442" s="242"/>
    </row>
    <row r="824443" spans="1:1" x14ac:dyDescent="0.25">
      <c r="A824443" s="242"/>
    </row>
    <row r="824444" spans="1:1" x14ac:dyDescent="0.25">
      <c r="A824444" s="242"/>
    </row>
    <row r="824445" spans="1:1" x14ac:dyDescent="0.25">
      <c r="A824445" s="242"/>
    </row>
    <row r="824446" spans="1:1" x14ac:dyDescent="0.25">
      <c r="A824446" s="242"/>
    </row>
    <row r="824447" spans="1:1" x14ac:dyDescent="0.25">
      <c r="A824447" s="242"/>
    </row>
    <row r="824448" spans="1:1" x14ac:dyDescent="0.25">
      <c r="A824448" s="242"/>
    </row>
    <row r="824449" spans="1:1" x14ac:dyDescent="0.25">
      <c r="A824449" s="242"/>
    </row>
    <row r="824450" spans="1:1" x14ac:dyDescent="0.25">
      <c r="A824450" s="242"/>
    </row>
    <row r="824451" spans="1:1" x14ac:dyDescent="0.25">
      <c r="A824451" s="242"/>
    </row>
    <row r="824452" spans="1:1" x14ac:dyDescent="0.25">
      <c r="A824452" s="242"/>
    </row>
    <row r="824453" spans="1:1" x14ac:dyDescent="0.25">
      <c r="A824453" s="242"/>
    </row>
    <row r="824454" spans="1:1" x14ac:dyDescent="0.25">
      <c r="A824454" s="242"/>
    </row>
    <row r="824455" spans="1:1" x14ac:dyDescent="0.25">
      <c r="A824455" s="242"/>
    </row>
    <row r="824456" spans="1:1" x14ac:dyDescent="0.25">
      <c r="A824456" s="242"/>
    </row>
    <row r="824457" spans="1:1" x14ac:dyDescent="0.25">
      <c r="A824457" s="242"/>
    </row>
    <row r="824458" spans="1:1" x14ac:dyDescent="0.25">
      <c r="A824458" s="242"/>
    </row>
    <row r="824459" spans="1:1" x14ac:dyDescent="0.25">
      <c r="A824459" s="242"/>
    </row>
    <row r="824460" spans="1:1" x14ac:dyDescent="0.25">
      <c r="A824460" s="242"/>
    </row>
    <row r="824461" spans="1:1" x14ac:dyDescent="0.25">
      <c r="A824461" s="242"/>
    </row>
    <row r="824462" spans="1:1" x14ac:dyDescent="0.25">
      <c r="A824462" s="242"/>
    </row>
    <row r="824463" spans="1:1" x14ac:dyDescent="0.25">
      <c r="A824463" s="242"/>
    </row>
    <row r="824464" spans="1:1" x14ac:dyDescent="0.25">
      <c r="A824464" s="242"/>
    </row>
    <row r="824465" spans="1:1" x14ac:dyDescent="0.25">
      <c r="A824465" s="242"/>
    </row>
    <row r="824466" spans="1:1" x14ac:dyDescent="0.25">
      <c r="A824466" s="242"/>
    </row>
    <row r="824467" spans="1:1" x14ac:dyDescent="0.25">
      <c r="A824467" s="242"/>
    </row>
    <row r="824468" spans="1:1" x14ac:dyDescent="0.25">
      <c r="A824468" s="242"/>
    </row>
    <row r="824469" spans="1:1" x14ac:dyDescent="0.25">
      <c r="A824469" s="242"/>
    </row>
    <row r="824470" spans="1:1" x14ac:dyDescent="0.25">
      <c r="A824470" s="242"/>
    </row>
    <row r="824471" spans="1:1" x14ac:dyDescent="0.25">
      <c r="A824471" s="242"/>
    </row>
    <row r="824472" spans="1:1" x14ac:dyDescent="0.25">
      <c r="A824472" s="242"/>
    </row>
    <row r="824473" spans="1:1" x14ac:dyDescent="0.25">
      <c r="A824473" s="242"/>
    </row>
    <row r="824474" spans="1:1" x14ac:dyDescent="0.25">
      <c r="A824474" s="242"/>
    </row>
    <row r="824475" spans="1:1" x14ac:dyDescent="0.25">
      <c r="A824475" s="242"/>
    </row>
    <row r="824476" spans="1:1" x14ac:dyDescent="0.25">
      <c r="A824476" s="242"/>
    </row>
    <row r="824477" spans="1:1" x14ac:dyDescent="0.25">
      <c r="A824477" s="242"/>
    </row>
    <row r="824478" spans="1:1" x14ac:dyDescent="0.25">
      <c r="A824478" s="242"/>
    </row>
    <row r="824479" spans="1:1" x14ac:dyDescent="0.25">
      <c r="A824479" s="242"/>
    </row>
    <row r="824480" spans="1:1" x14ac:dyDescent="0.25">
      <c r="A824480" s="242"/>
    </row>
    <row r="824481" spans="1:1" x14ac:dyDescent="0.25">
      <c r="A824481" s="242"/>
    </row>
    <row r="824482" spans="1:1" x14ac:dyDescent="0.25">
      <c r="A824482" s="242"/>
    </row>
    <row r="824483" spans="1:1" x14ac:dyDescent="0.25">
      <c r="A824483" s="242"/>
    </row>
    <row r="824484" spans="1:1" x14ac:dyDescent="0.25">
      <c r="A824484" s="242"/>
    </row>
    <row r="824485" spans="1:1" x14ac:dyDescent="0.25">
      <c r="A824485" s="242"/>
    </row>
    <row r="824486" spans="1:1" x14ac:dyDescent="0.25">
      <c r="A824486" s="242"/>
    </row>
    <row r="824487" spans="1:1" x14ac:dyDescent="0.25">
      <c r="A824487" s="242"/>
    </row>
    <row r="824488" spans="1:1" x14ac:dyDescent="0.25">
      <c r="A824488" s="242"/>
    </row>
    <row r="824489" spans="1:1" x14ac:dyDescent="0.25">
      <c r="A824489" s="242"/>
    </row>
    <row r="824490" spans="1:1" x14ac:dyDescent="0.25">
      <c r="A824490" s="242"/>
    </row>
    <row r="824491" spans="1:1" x14ac:dyDescent="0.25">
      <c r="A824491" s="242"/>
    </row>
    <row r="824492" spans="1:1" x14ac:dyDescent="0.25">
      <c r="A824492" s="242"/>
    </row>
    <row r="824493" spans="1:1" x14ac:dyDescent="0.25">
      <c r="A824493" s="242"/>
    </row>
    <row r="824494" spans="1:1" x14ac:dyDescent="0.25">
      <c r="A824494" s="242"/>
    </row>
    <row r="824495" spans="1:1" x14ac:dyDescent="0.25">
      <c r="A824495" s="242"/>
    </row>
    <row r="824496" spans="1:1" x14ac:dyDescent="0.25">
      <c r="A824496" s="242"/>
    </row>
    <row r="824497" spans="1:1" x14ac:dyDescent="0.25">
      <c r="A824497" s="242"/>
    </row>
    <row r="824498" spans="1:1" x14ac:dyDescent="0.25">
      <c r="A824498" s="242"/>
    </row>
    <row r="824499" spans="1:1" x14ac:dyDescent="0.25">
      <c r="A824499" s="242"/>
    </row>
    <row r="824500" spans="1:1" x14ac:dyDescent="0.25">
      <c r="A824500" s="242"/>
    </row>
    <row r="824501" spans="1:1" x14ac:dyDescent="0.25">
      <c r="A824501" s="242"/>
    </row>
    <row r="824502" spans="1:1" x14ac:dyDescent="0.25">
      <c r="A824502" s="242"/>
    </row>
    <row r="824503" spans="1:1" x14ac:dyDescent="0.25">
      <c r="A824503" s="242"/>
    </row>
    <row r="824504" spans="1:1" x14ac:dyDescent="0.25">
      <c r="A824504" s="242"/>
    </row>
    <row r="824505" spans="1:1" x14ac:dyDescent="0.25">
      <c r="A824505" s="242"/>
    </row>
    <row r="824506" spans="1:1" x14ac:dyDescent="0.25">
      <c r="A824506" s="242"/>
    </row>
    <row r="824507" spans="1:1" x14ac:dyDescent="0.25">
      <c r="A824507" s="242"/>
    </row>
    <row r="824508" spans="1:1" x14ac:dyDescent="0.25">
      <c r="A824508" s="242"/>
    </row>
    <row r="824509" spans="1:1" x14ac:dyDescent="0.25">
      <c r="A824509" s="242"/>
    </row>
    <row r="824510" spans="1:1" x14ac:dyDescent="0.25">
      <c r="A824510" s="242"/>
    </row>
    <row r="824511" spans="1:1" x14ac:dyDescent="0.25">
      <c r="A824511" s="242"/>
    </row>
    <row r="824512" spans="1:1" x14ac:dyDescent="0.25">
      <c r="A824512" s="242"/>
    </row>
    <row r="824513" spans="1:1" x14ac:dyDescent="0.25">
      <c r="A824513" s="242"/>
    </row>
    <row r="824514" spans="1:1" x14ac:dyDescent="0.25">
      <c r="A824514" s="242"/>
    </row>
    <row r="824515" spans="1:1" x14ac:dyDescent="0.25">
      <c r="A824515" s="242"/>
    </row>
    <row r="824516" spans="1:1" x14ac:dyDescent="0.25">
      <c r="A824516" s="242"/>
    </row>
    <row r="824517" spans="1:1" x14ac:dyDescent="0.25">
      <c r="A824517" s="242"/>
    </row>
    <row r="824518" spans="1:1" x14ac:dyDescent="0.25">
      <c r="A824518" s="242"/>
    </row>
    <row r="824519" spans="1:1" x14ac:dyDescent="0.25">
      <c r="A824519" s="242"/>
    </row>
    <row r="824520" spans="1:1" x14ac:dyDescent="0.25">
      <c r="A824520" s="242"/>
    </row>
    <row r="824521" spans="1:1" x14ac:dyDescent="0.25">
      <c r="A824521" s="242"/>
    </row>
    <row r="824522" spans="1:1" x14ac:dyDescent="0.25">
      <c r="A824522" s="242"/>
    </row>
    <row r="824523" spans="1:1" x14ac:dyDescent="0.25">
      <c r="A824523" s="242"/>
    </row>
    <row r="824524" spans="1:1" x14ac:dyDescent="0.25">
      <c r="A824524" s="242"/>
    </row>
    <row r="824525" spans="1:1" x14ac:dyDescent="0.25">
      <c r="A824525" s="242"/>
    </row>
    <row r="824526" spans="1:1" x14ac:dyDescent="0.25">
      <c r="A824526" s="242"/>
    </row>
    <row r="824527" spans="1:1" x14ac:dyDescent="0.25">
      <c r="A824527" s="242"/>
    </row>
    <row r="824528" spans="1:1" x14ac:dyDescent="0.25">
      <c r="A824528" s="242"/>
    </row>
    <row r="824529" spans="1:1" x14ac:dyDescent="0.25">
      <c r="A824529" s="242"/>
    </row>
    <row r="824530" spans="1:1" x14ac:dyDescent="0.25">
      <c r="A824530" s="242"/>
    </row>
    <row r="824531" spans="1:1" x14ac:dyDescent="0.25">
      <c r="A824531" s="242"/>
    </row>
    <row r="824532" spans="1:1" x14ac:dyDescent="0.25">
      <c r="A824532" s="242"/>
    </row>
    <row r="824533" spans="1:1" x14ac:dyDescent="0.25">
      <c r="A824533" s="242"/>
    </row>
    <row r="824534" spans="1:1" x14ac:dyDescent="0.25">
      <c r="A824534" s="242"/>
    </row>
    <row r="824535" spans="1:1" x14ac:dyDescent="0.25">
      <c r="A824535" s="242"/>
    </row>
    <row r="824536" spans="1:1" x14ac:dyDescent="0.25">
      <c r="A824536" s="242"/>
    </row>
    <row r="824537" spans="1:1" x14ac:dyDescent="0.25">
      <c r="A824537" s="242"/>
    </row>
    <row r="824538" spans="1:1" x14ac:dyDescent="0.25">
      <c r="A824538" s="242"/>
    </row>
    <row r="824539" spans="1:1" x14ac:dyDescent="0.25">
      <c r="A824539" s="242"/>
    </row>
    <row r="824540" spans="1:1" x14ac:dyDescent="0.25">
      <c r="A824540" s="242"/>
    </row>
    <row r="824541" spans="1:1" x14ac:dyDescent="0.25">
      <c r="A824541" s="242"/>
    </row>
    <row r="824542" spans="1:1" x14ac:dyDescent="0.25">
      <c r="A824542" s="242"/>
    </row>
    <row r="824543" spans="1:1" x14ac:dyDescent="0.25">
      <c r="A824543" s="242"/>
    </row>
    <row r="824544" spans="1:1" x14ac:dyDescent="0.25">
      <c r="A824544" s="242"/>
    </row>
    <row r="824545" spans="1:1" x14ac:dyDescent="0.25">
      <c r="A824545" s="242"/>
    </row>
    <row r="824546" spans="1:1" x14ac:dyDescent="0.25">
      <c r="A824546" s="242"/>
    </row>
    <row r="824547" spans="1:1" x14ac:dyDescent="0.25">
      <c r="A824547" s="242"/>
    </row>
    <row r="824548" spans="1:1" x14ac:dyDescent="0.25">
      <c r="A824548" s="242"/>
    </row>
    <row r="824549" spans="1:1" x14ac:dyDescent="0.25">
      <c r="A824549" s="242"/>
    </row>
    <row r="824550" spans="1:1" x14ac:dyDescent="0.25">
      <c r="A824550" s="242"/>
    </row>
    <row r="824551" spans="1:1" x14ac:dyDescent="0.25">
      <c r="A824551" s="242"/>
    </row>
    <row r="824552" spans="1:1" x14ac:dyDescent="0.25">
      <c r="A824552" s="242"/>
    </row>
    <row r="824553" spans="1:1" x14ac:dyDescent="0.25">
      <c r="A824553" s="242"/>
    </row>
    <row r="824554" spans="1:1" x14ac:dyDescent="0.25">
      <c r="A824554" s="242"/>
    </row>
    <row r="824555" spans="1:1" x14ac:dyDescent="0.25">
      <c r="A824555" s="242"/>
    </row>
    <row r="824556" spans="1:1" x14ac:dyDescent="0.25">
      <c r="A824556" s="242"/>
    </row>
    <row r="824557" spans="1:1" x14ac:dyDescent="0.25">
      <c r="A824557" s="242"/>
    </row>
    <row r="824558" spans="1:1" x14ac:dyDescent="0.25">
      <c r="A824558" s="242"/>
    </row>
    <row r="824559" spans="1:1" x14ac:dyDescent="0.25">
      <c r="A824559" s="242"/>
    </row>
    <row r="824560" spans="1:1" x14ac:dyDescent="0.25">
      <c r="A824560" s="242"/>
    </row>
    <row r="824561" spans="1:1" x14ac:dyDescent="0.25">
      <c r="A824561" s="242"/>
    </row>
    <row r="824562" spans="1:1" x14ac:dyDescent="0.25">
      <c r="A824562" s="242"/>
    </row>
    <row r="824563" spans="1:1" x14ac:dyDescent="0.25">
      <c r="A824563" s="242"/>
    </row>
    <row r="824564" spans="1:1" x14ac:dyDescent="0.25">
      <c r="A824564" s="242"/>
    </row>
    <row r="824565" spans="1:1" x14ac:dyDescent="0.25">
      <c r="A824565" s="242"/>
    </row>
    <row r="824566" spans="1:1" x14ac:dyDescent="0.25">
      <c r="A824566" s="242"/>
    </row>
    <row r="824567" spans="1:1" x14ac:dyDescent="0.25">
      <c r="A824567" s="242"/>
    </row>
    <row r="824568" spans="1:1" x14ac:dyDescent="0.25">
      <c r="A824568" s="242"/>
    </row>
    <row r="824569" spans="1:1" x14ac:dyDescent="0.25">
      <c r="A824569" s="242"/>
    </row>
    <row r="824570" spans="1:1" x14ac:dyDescent="0.25">
      <c r="A824570" s="242"/>
    </row>
    <row r="824571" spans="1:1" x14ac:dyDescent="0.25">
      <c r="A824571" s="242"/>
    </row>
    <row r="824572" spans="1:1" x14ac:dyDescent="0.25">
      <c r="A824572" s="242"/>
    </row>
    <row r="824573" spans="1:1" x14ac:dyDescent="0.25">
      <c r="A824573" s="242"/>
    </row>
    <row r="824574" spans="1:1" x14ac:dyDescent="0.25">
      <c r="A824574" s="242"/>
    </row>
    <row r="824575" spans="1:1" x14ac:dyDescent="0.25">
      <c r="A824575" s="242"/>
    </row>
    <row r="824576" spans="1:1" x14ac:dyDescent="0.25">
      <c r="A824576" s="242"/>
    </row>
    <row r="824577" spans="1:1" x14ac:dyDescent="0.25">
      <c r="A824577" s="242"/>
    </row>
    <row r="824578" spans="1:1" x14ac:dyDescent="0.25">
      <c r="A824578" s="242"/>
    </row>
    <row r="824579" spans="1:1" x14ac:dyDescent="0.25">
      <c r="A824579" s="242"/>
    </row>
    <row r="824580" spans="1:1" x14ac:dyDescent="0.25">
      <c r="A824580" s="242"/>
    </row>
    <row r="824581" spans="1:1" x14ac:dyDescent="0.25">
      <c r="A824581" s="242"/>
    </row>
    <row r="824582" spans="1:1" x14ac:dyDescent="0.25">
      <c r="A824582" s="242"/>
    </row>
    <row r="824583" spans="1:1" x14ac:dyDescent="0.25">
      <c r="A824583" s="242"/>
    </row>
    <row r="824584" spans="1:1" x14ac:dyDescent="0.25">
      <c r="A824584" s="242"/>
    </row>
    <row r="824585" spans="1:1" x14ac:dyDescent="0.25">
      <c r="A824585" s="242"/>
    </row>
    <row r="824586" spans="1:1" x14ac:dyDescent="0.25">
      <c r="A824586" s="242"/>
    </row>
    <row r="824587" spans="1:1" x14ac:dyDescent="0.25">
      <c r="A824587" s="242"/>
    </row>
    <row r="824588" spans="1:1" x14ac:dyDescent="0.25">
      <c r="A824588" s="242"/>
    </row>
    <row r="824589" spans="1:1" x14ac:dyDescent="0.25">
      <c r="A824589" s="242"/>
    </row>
    <row r="824590" spans="1:1" x14ac:dyDescent="0.25">
      <c r="A824590" s="242"/>
    </row>
    <row r="824591" spans="1:1" x14ac:dyDescent="0.25">
      <c r="A824591" s="242"/>
    </row>
    <row r="824592" spans="1:1" x14ac:dyDescent="0.25">
      <c r="A824592" s="242"/>
    </row>
    <row r="824593" spans="1:1" x14ac:dyDescent="0.25">
      <c r="A824593" s="242"/>
    </row>
    <row r="824594" spans="1:1" x14ac:dyDescent="0.25">
      <c r="A824594" s="242"/>
    </row>
    <row r="824595" spans="1:1" x14ac:dyDescent="0.25">
      <c r="A824595" s="242"/>
    </row>
    <row r="824596" spans="1:1" x14ac:dyDescent="0.25">
      <c r="A824596" s="242"/>
    </row>
    <row r="824597" spans="1:1" x14ac:dyDescent="0.25">
      <c r="A824597" s="242"/>
    </row>
    <row r="824598" spans="1:1" x14ac:dyDescent="0.25">
      <c r="A824598" s="242"/>
    </row>
    <row r="824599" spans="1:1" x14ac:dyDescent="0.25">
      <c r="A824599" s="242"/>
    </row>
    <row r="824600" spans="1:1" x14ac:dyDescent="0.25">
      <c r="A824600" s="242"/>
    </row>
    <row r="824601" spans="1:1" x14ac:dyDescent="0.25">
      <c r="A824601" s="242"/>
    </row>
    <row r="824602" spans="1:1" x14ac:dyDescent="0.25">
      <c r="A824602" s="242"/>
    </row>
    <row r="824603" spans="1:1" x14ac:dyDescent="0.25">
      <c r="A824603" s="242"/>
    </row>
    <row r="824604" spans="1:1" x14ac:dyDescent="0.25">
      <c r="A824604" s="242"/>
    </row>
    <row r="824605" spans="1:1" x14ac:dyDescent="0.25">
      <c r="A824605" s="242"/>
    </row>
    <row r="824606" spans="1:1" x14ac:dyDescent="0.25">
      <c r="A824606" s="242"/>
    </row>
    <row r="824607" spans="1:1" x14ac:dyDescent="0.25">
      <c r="A824607" s="242"/>
    </row>
    <row r="824608" spans="1:1" x14ac:dyDescent="0.25">
      <c r="A824608" s="242"/>
    </row>
    <row r="824609" spans="1:1" x14ac:dyDescent="0.25">
      <c r="A824609" s="242"/>
    </row>
    <row r="824610" spans="1:1" x14ac:dyDescent="0.25">
      <c r="A824610" s="242"/>
    </row>
    <row r="824611" spans="1:1" x14ac:dyDescent="0.25">
      <c r="A824611" s="242"/>
    </row>
    <row r="824612" spans="1:1" x14ac:dyDescent="0.25">
      <c r="A824612" s="242"/>
    </row>
    <row r="824613" spans="1:1" x14ac:dyDescent="0.25">
      <c r="A824613" s="242"/>
    </row>
    <row r="824614" spans="1:1" x14ac:dyDescent="0.25">
      <c r="A824614" s="242"/>
    </row>
    <row r="824615" spans="1:1" x14ac:dyDescent="0.25">
      <c r="A824615" s="242"/>
    </row>
    <row r="824616" spans="1:1" x14ac:dyDescent="0.25">
      <c r="A824616" s="242"/>
    </row>
    <row r="824617" spans="1:1" x14ac:dyDescent="0.25">
      <c r="A824617" s="242"/>
    </row>
    <row r="824618" spans="1:1" x14ac:dyDescent="0.25">
      <c r="A824618" s="242"/>
    </row>
    <row r="824619" spans="1:1" x14ac:dyDescent="0.25">
      <c r="A824619" s="242"/>
    </row>
    <row r="824620" spans="1:1" x14ac:dyDescent="0.25">
      <c r="A824620" s="242"/>
    </row>
    <row r="824621" spans="1:1" x14ac:dyDescent="0.25">
      <c r="A824621" s="242"/>
    </row>
    <row r="824622" spans="1:1" x14ac:dyDescent="0.25">
      <c r="A824622" s="242"/>
    </row>
    <row r="824623" spans="1:1" x14ac:dyDescent="0.25">
      <c r="A824623" s="242"/>
    </row>
    <row r="824624" spans="1:1" x14ac:dyDescent="0.25">
      <c r="A824624" s="242"/>
    </row>
    <row r="824625" spans="1:1" x14ac:dyDescent="0.25">
      <c r="A824625" s="242"/>
    </row>
    <row r="824626" spans="1:1" x14ac:dyDescent="0.25">
      <c r="A824626" s="242"/>
    </row>
    <row r="824627" spans="1:1" x14ac:dyDescent="0.25">
      <c r="A824627" s="242"/>
    </row>
    <row r="824628" spans="1:1" x14ac:dyDescent="0.25">
      <c r="A824628" s="242"/>
    </row>
    <row r="824629" spans="1:1" x14ac:dyDescent="0.25">
      <c r="A824629" s="242"/>
    </row>
    <row r="824630" spans="1:1" x14ac:dyDescent="0.25">
      <c r="A824630" s="242"/>
    </row>
    <row r="824631" spans="1:1" x14ac:dyDescent="0.25">
      <c r="A824631" s="242"/>
    </row>
    <row r="824632" spans="1:1" x14ac:dyDescent="0.25">
      <c r="A824632" s="242"/>
    </row>
    <row r="824633" spans="1:1" x14ac:dyDescent="0.25">
      <c r="A824633" s="242"/>
    </row>
    <row r="824634" spans="1:1" x14ac:dyDescent="0.25">
      <c r="A824634" s="242"/>
    </row>
    <row r="824635" spans="1:1" x14ac:dyDescent="0.25">
      <c r="A824635" s="242"/>
    </row>
    <row r="824636" spans="1:1" x14ac:dyDescent="0.25">
      <c r="A824636" s="242"/>
    </row>
    <row r="824637" spans="1:1" x14ac:dyDescent="0.25">
      <c r="A824637" s="242"/>
    </row>
    <row r="824638" spans="1:1" x14ac:dyDescent="0.25">
      <c r="A824638" s="242"/>
    </row>
    <row r="824639" spans="1:1" x14ac:dyDescent="0.25">
      <c r="A824639" s="242"/>
    </row>
    <row r="824640" spans="1:1" x14ac:dyDescent="0.25">
      <c r="A824640" s="242"/>
    </row>
    <row r="824641" spans="1:1" x14ac:dyDescent="0.25">
      <c r="A824641" s="242"/>
    </row>
    <row r="824642" spans="1:1" x14ac:dyDescent="0.25">
      <c r="A824642" s="242"/>
    </row>
    <row r="824643" spans="1:1" x14ac:dyDescent="0.25">
      <c r="A824643" s="242"/>
    </row>
    <row r="824644" spans="1:1" x14ac:dyDescent="0.25">
      <c r="A824644" s="242"/>
    </row>
    <row r="824645" spans="1:1" x14ac:dyDescent="0.25">
      <c r="A824645" s="242"/>
    </row>
    <row r="824646" spans="1:1" x14ac:dyDescent="0.25">
      <c r="A824646" s="242"/>
    </row>
    <row r="824647" spans="1:1" x14ac:dyDescent="0.25">
      <c r="A824647" s="242"/>
    </row>
    <row r="824648" spans="1:1" x14ac:dyDescent="0.25">
      <c r="A824648" s="242"/>
    </row>
    <row r="824649" spans="1:1" x14ac:dyDescent="0.25">
      <c r="A824649" s="242"/>
    </row>
    <row r="824650" spans="1:1" x14ac:dyDescent="0.25">
      <c r="A824650" s="242"/>
    </row>
    <row r="824651" spans="1:1" x14ac:dyDescent="0.25">
      <c r="A824651" s="242"/>
    </row>
    <row r="824652" spans="1:1" x14ac:dyDescent="0.25">
      <c r="A824652" s="242"/>
    </row>
    <row r="824653" spans="1:1" x14ac:dyDescent="0.25">
      <c r="A824653" s="242"/>
    </row>
    <row r="824654" spans="1:1" x14ac:dyDescent="0.25">
      <c r="A824654" s="242"/>
    </row>
    <row r="824655" spans="1:1" x14ac:dyDescent="0.25">
      <c r="A824655" s="242"/>
    </row>
    <row r="824656" spans="1:1" x14ac:dyDescent="0.25">
      <c r="A824656" s="242"/>
    </row>
    <row r="824657" spans="1:1" x14ac:dyDescent="0.25">
      <c r="A824657" s="242"/>
    </row>
    <row r="824658" spans="1:1" x14ac:dyDescent="0.25">
      <c r="A824658" s="242"/>
    </row>
    <row r="824659" spans="1:1" x14ac:dyDescent="0.25">
      <c r="A824659" s="242"/>
    </row>
    <row r="824660" spans="1:1" x14ac:dyDescent="0.25">
      <c r="A824660" s="242"/>
    </row>
    <row r="824661" spans="1:1" x14ac:dyDescent="0.25">
      <c r="A824661" s="242"/>
    </row>
    <row r="824662" spans="1:1" x14ac:dyDescent="0.25">
      <c r="A824662" s="242"/>
    </row>
    <row r="824663" spans="1:1" x14ac:dyDescent="0.25">
      <c r="A824663" s="242"/>
    </row>
    <row r="824664" spans="1:1" x14ac:dyDescent="0.25">
      <c r="A824664" s="242"/>
    </row>
    <row r="824665" spans="1:1" x14ac:dyDescent="0.25">
      <c r="A824665" s="242"/>
    </row>
    <row r="824666" spans="1:1" x14ac:dyDescent="0.25">
      <c r="A824666" s="242"/>
    </row>
    <row r="824667" spans="1:1" x14ac:dyDescent="0.25">
      <c r="A824667" s="242"/>
    </row>
    <row r="824668" spans="1:1" x14ac:dyDescent="0.25">
      <c r="A824668" s="242"/>
    </row>
    <row r="824669" spans="1:1" x14ac:dyDescent="0.25">
      <c r="A824669" s="242"/>
    </row>
    <row r="824670" spans="1:1" x14ac:dyDescent="0.25">
      <c r="A824670" s="242"/>
    </row>
    <row r="824671" spans="1:1" x14ac:dyDescent="0.25">
      <c r="A824671" s="242"/>
    </row>
    <row r="824672" spans="1:1" x14ac:dyDescent="0.25">
      <c r="A824672" s="242"/>
    </row>
    <row r="824673" spans="1:1" x14ac:dyDescent="0.25">
      <c r="A824673" s="242"/>
    </row>
    <row r="824674" spans="1:1" x14ac:dyDescent="0.25">
      <c r="A824674" s="242"/>
    </row>
    <row r="824675" spans="1:1" x14ac:dyDescent="0.25">
      <c r="A824675" s="242"/>
    </row>
    <row r="824676" spans="1:1" x14ac:dyDescent="0.25">
      <c r="A824676" s="242"/>
    </row>
    <row r="824677" spans="1:1" x14ac:dyDescent="0.25">
      <c r="A824677" s="242"/>
    </row>
    <row r="824678" spans="1:1" x14ac:dyDescent="0.25">
      <c r="A824678" s="242"/>
    </row>
    <row r="824679" spans="1:1" x14ac:dyDescent="0.25">
      <c r="A824679" s="242"/>
    </row>
    <row r="824680" spans="1:1" x14ac:dyDescent="0.25">
      <c r="A824680" s="242"/>
    </row>
    <row r="824681" spans="1:1" x14ac:dyDescent="0.25">
      <c r="A824681" s="242"/>
    </row>
    <row r="824682" spans="1:1" x14ac:dyDescent="0.25">
      <c r="A824682" s="242"/>
    </row>
    <row r="824683" spans="1:1" x14ac:dyDescent="0.25">
      <c r="A824683" s="242"/>
    </row>
    <row r="824684" spans="1:1" x14ac:dyDescent="0.25">
      <c r="A824684" s="242"/>
    </row>
    <row r="824685" spans="1:1" x14ac:dyDescent="0.25">
      <c r="A824685" s="242"/>
    </row>
    <row r="824686" spans="1:1" x14ac:dyDescent="0.25">
      <c r="A824686" s="242"/>
    </row>
    <row r="824687" spans="1:1" x14ac:dyDescent="0.25">
      <c r="A824687" s="242"/>
    </row>
    <row r="824688" spans="1:1" x14ac:dyDescent="0.25">
      <c r="A824688" s="242"/>
    </row>
    <row r="824689" spans="1:1" x14ac:dyDescent="0.25">
      <c r="A824689" s="242"/>
    </row>
    <row r="824690" spans="1:1" x14ac:dyDescent="0.25">
      <c r="A824690" s="242"/>
    </row>
    <row r="824691" spans="1:1" x14ac:dyDescent="0.25">
      <c r="A824691" s="242"/>
    </row>
    <row r="824692" spans="1:1" x14ac:dyDescent="0.25">
      <c r="A824692" s="242"/>
    </row>
    <row r="824693" spans="1:1" x14ac:dyDescent="0.25">
      <c r="A824693" s="242"/>
    </row>
    <row r="824694" spans="1:1" x14ac:dyDescent="0.25">
      <c r="A824694" s="242"/>
    </row>
    <row r="824695" spans="1:1" x14ac:dyDescent="0.25">
      <c r="A824695" s="242"/>
    </row>
    <row r="824696" spans="1:1" x14ac:dyDescent="0.25">
      <c r="A824696" s="242"/>
    </row>
    <row r="824697" spans="1:1" x14ac:dyDescent="0.25">
      <c r="A824697" s="242"/>
    </row>
    <row r="824698" spans="1:1" x14ac:dyDescent="0.25">
      <c r="A824698" s="242"/>
    </row>
    <row r="824699" spans="1:1" x14ac:dyDescent="0.25">
      <c r="A824699" s="242"/>
    </row>
    <row r="824700" spans="1:1" x14ac:dyDescent="0.25">
      <c r="A824700" s="242"/>
    </row>
    <row r="824701" spans="1:1" x14ac:dyDescent="0.25">
      <c r="A824701" s="242"/>
    </row>
    <row r="824702" spans="1:1" x14ac:dyDescent="0.25">
      <c r="A824702" s="242"/>
    </row>
    <row r="824703" spans="1:1" x14ac:dyDescent="0.25">
      <c r="A824703" s="242"/>
    </row>
    <row r="824704" spans="1:1" x14ac:dyDescent="0.25">
      <c r="A824704" s="242"/>
    </row>
    <row r="824705" spans="1:1" x14ac:dyDescent="0.25">
      <c r="A824705" s="242"/>
    </row>
    <row r="824706" spans="1:1" x14ac:dyDescent="0.25">
      <c r="A824706" s="242"/>
    </row>
    <row r="824707" spans="1:1" x14ac:dyDescent="0.25">
      <c r="A824707" s="242"/>
    </row>
    <row r="824708" spans="1:1" x14ac:dyDescent="0.25">
      <c r="A824708" s="242"/>
    </row>
    <row r="824709" spans="1:1" x14ac:dyDescent="0.25">
      <c r="A824709" s="242"/>
    </row>
    <row r="824710" spans="1:1" x14ac:dyDescent="0.25">
      <c r="A824710" s="242"/>
    </row>
    <row r="824711" spans="1:1" x14ac:dyDescent="0.25">
      <c r="A824711" s="242"/>
    </row>
    <row r="824712" spans="1:1" x14ac:dyDescent="0.25">
      <c r="A824712" s="242"/>
    </row>
    <row r="824713" spans="1:1" x14ac:dyDescent="0.25">
      <c r="A824713" s="242"/>
    </row>
    <row r="824714" spans="1:1" x14ac:dyDescent="0.25">
      <c r="A824714" s="242"/>
    </row>
    <row r="824715" spans="1:1" x14ac:dyDescent="0.25">
      <c r="A824715" s="242"/>
    </row>
    <row r="824716" spans="1:1" x14ac:dyDescent="0.25">
      <c r="A824716" s="242"/>
    </row>
    <row r="824717" spans="1:1" x14ac:dyDescent="0.25">
      <c r="A824717" s="242"/>
    </row>
    <row r="824718" spans="1:1" x14ac:dyDescent="0.25">
      <c r="A824718" s="242"/>
    </row>
    <row r="824719" spans="1:1" x14ac:dyDescent="0.25">
      <c r="A824719" s="242"/>
    </row>
    <row r="824720" spans="1:1" x14ac:dyDescent="0.25">
      <c r="A824720" s="242"/>
    </row>
    <row r="824721" spans="1:1" x14ac:dyDescent="0.25">
      <c r="A824721" s="242"/>
    </row>
    <row r="824722" spans="1:1" x14ac:dyDescent="0.25">
      <c r="A824722" s="242"/>
    </row>
    <row r="824723" spans="1:1" x14ac:dyDescent="0.25">
      <c r="A824723" s="242"/>
    </row>
    <row r="824724" spans="1:1" x14ac:dyDescent="0.25">
      <c r="A824724" s="242"/>
    </row>
    <row r="824725" spans="1:1" x14ac:dyDescent="0.25">
      <c r="A824725" s="242"/>
    </row>
    <row r="824726" spans="1:1" x14ac:dyDescent="0.25">
      <c r="A824726" s="242"/>
    </row>
    <row r="824727" spans="1:1" x14ac:dyDescent="0.25">
      <c r="A824727" s="242"/>
    </row>
    <row r="824728" spans="1:1" x14ac:dyDescent="0.25">
      <c r="A824728" s="242"/>
    </row>
    <row r="824729" spans="1:1" x14ac:dyDescent="0.25">
      <c r="A824729" s="242"/>
    </row>
    <row r="824730" spans="1:1" x14ac:dyDescent="0.25">
      <c r="A824730" s="242"/>
    </row>
    <row r="824731" spans="1:1" x14ac:dyDescent="0.25">
      <c r="A824731" s="242"/>
    </row>
    <row r="824732" spans="1:1" x14ac:dyDescent="0.25">
      <c r="A824732" s="242"/>
    </row>
    <row r="824733" spans="1:1" x14ac:dyDescent="0.25">
      <c r="A824733" s="242"/>
    </row>
    <row r="824734" spans="1:1" x14ac:dyDescent="0.25">
      <c r="A824734" s="242"/>
    </row>
    <row r="824735" spans="1:1" x14ac:dyDescent="0.25">
      <c r="A824735" s="242"/>
    </row>
    <row r="824736" spans="1:1" x14ac:dyDescent="0.25">
      <c r="A824736" s="242"/>
    </row>
    <row r="824737" spans="1:1" x14ac:dyDescent="0.25">
      <c r="A824737" s="242"/>
    </row>
    <row r="824738" spans="1:1" x14ac:dyDescent="0.25">
      <c r="A824738" s="242"/>
    </row>
    <row r="824739" spans="1:1" x14ac:dyDescent="0.25">
      <c r="A824739" s="242"/>
    </row>
    <row r="824740" spans="1:1" x14ac:dyDescent="0.25">
      <c r="A824740" s="242"/>
    </row>
    <row r="824741" spans="1:1" x14ac:dyDescent="0.25">
      <c r="A824741" s="242"/>
    </row>
    <row r="824742" spans="1:1" x14ac:dyDescent="0.25">
      <c r="A824742" s="242"/>
    </row>
    <row r="824743" spans="1:1" x14ac:dyDescent="0.25">
      <c r="A824743" s="242"/>
    </row>
    <row r="824744" spans="1:1" x14ac:dyDescent="0.25">
      <c r="A824744" s="242"/>
    </row>
    <row r="824745" spans="1:1" x14ac:dyDescent="0.25">
      <c r="A824745" s="242"/>
    </row>
    <row r="824746" spans="1:1" x14ac:dyDescent="0.25">
      <c r="A824746" s="242"/>
    </row>
    <row r="824747" spans="1:1" x14ac:dyDescent="0.25">
      <c r="A824747" s="242"/>
    </row>
    <row r="824748" spans="1:1" x14ac:dyDescent="0.25">
      <c r="A824748" s="242"/>
    </row>
    <row r="824749" spans="1:1" x14ac:dyDescent="0.25">
      <c r="A824749" s="242"/>
    </row>
    <row r="824750" spans="1:1" x14ac:dyDescent="0.25">
      <c r="A824750" s="242"/>
    </row>
    <row r="824751" spans="1:1" x14ac:dyDescent="0.25">
      <c r="A824751" s="242"/>
    </row>
    <row r="824752" spans="1:1" x14ac:dyDescent="0.25">
      <c r="A824752" s="242"/>
    </row>
    <row r="824753" spans="1:1" x14ac:dyDescent="0.25">
      <c r="A824753" s="242"/>
    </row>
    <row r="824754" spans="1:1" x14ac:dyDescent="0.25">
      <c r="A824754" s="242"/>
    </row>
    <row r="824755" spans="1:1" x14ac:dyDescent="0.25">
      <c r="A824755" s="242"/>
    </row>
    <row r="824756" spans="1:1" x14ac:dyDescent="0.25">
      <c r="A824756" s="242"/>
    </row>
    <row r="824757" spans="1:1" x14ac:dyDescent="0.25">
      <c r="A824757" s="242"/>
    </row>
    <row r="824758" spans="1:1" x14ac:dyDescent="0.25">
      <c r="A824758" s="242"/>
    </row>
    <row r="824759" spans="1:1" x14ac:dyDescent="0.25">
      <c r="A824759" s="242"/>
    </row>
    <row r="824760" spans="1:1" x14ac:dyDescent="0.25">
      <c r="A824760" s="242"/>
    </row>
    <row r="824761" spans="1:1" x14ac:dyDescent="0.25">
      <c r="A824761" s="242"/>
    </row>
    <row r="824762" spans="1:1" x14ac:dyDescent="0.25">
      <c r="A824762" s="242"/>
    </row>
    <row r="824763" spans="1:1" x14ac:dyDescent="0.25">
      <c r="A824763" s="242"/>
    </row>
    <row r="824764" spans="1:1" x14ac:dyDescent="0.25">
      <c r="A824764" s="242"/>
    </row>
    <row r="824765" spans="1:1" x14ac:dyDescent="0.25">
      <c r="A824765" s="242"/>
    </row>
    <row r="824766" spans="1:1" x14ac:dyDescent="0.25">
      <c r="A824766" s="242"/>
    </row>
    <row r="824767" spans="1:1" x14ac:dyDescent="0.25">
      <c r="A824767" s="242"/>
    </row>
    <row r="824768" spans="1:1" x14ac:dyDescent="0.25">
      <c r="A824768" s="242"/>
    </row>
    <row r="824769" spans="1:1" x14ac:dyDescent="0.25">
      <c r="A824769" s="242"/>
    </row>
    <row r="824770" spans="1:1" x14ac:dyDescent="0.25">
      <c r="A824770" s="242"/>
    </row>
    <row r="824771" spans="1:1" x14ac:dyDescent="0.25">
      <c r="A824771" s="242"/>
    </row>
    <row r="824772" spans="1:1" x14ac:dyDescent="0.25">
      <c r="A824772" s="242"/>
    </row>
    <row r="824773" spans="1:1" x14ac:dyDescent="0.25">
      <c r="A824773" s="242"/>
    </row>
    <row r="824774" spans="1:1" x14ac:dyDescent="0.25">
      <c r="A824774" s="242"/>
    </row>
    <row r="824775" spans="1:1" x14ac:dyDescent="0.25">
      <c r="A824775" s="242"/>
    </row>
    <row r="824776" spans="1:1" x14ac:dyDescent="0.25">
      <c r="A824776" s="242"/>
    </row>
    <row r="824777" spans="1:1" x14ac:dyDescent="0.25">
      <c r="A824777" s="242"/>
    </row>
    <row r="824778" spans="1:1" x14ac:dyDescent="0.25">
      <c r="A824778" s="242"/>
    </row>
    <row r="824779" spans="1:1" x14ac:dyDescent="0.25">
      <c r="A824779" s="242"/>
    </row>
    <row r="824780" spans="1:1" x14ac:dyDescent="0.25">
      <c r="A824780" s="242"/>
    </row>
    <row r="824781" spans="1:1" x14ac:dyDescent="0.25">
      <c r="A824781" s="242"/>
    </row>
    <row r="824782" spans="1:1" x14ac:dyDescent="0.25">
      <c r="A824782" s="242"/>
    </row>
    <row r="824783" spans="1:1" x14ac:dyDescent="0.25">
      <c r="A824783" s="242"/>
    </row>
    <row r="824784" spans="1:1" x14ac:dyDescent="0.25">
      <c r="A824784" s="242"/>
    </row>
    <row r="824785" spans="1:1" x14ac:dyDescent="0.25">
      <c r="A824785" s="242"/>
    </row>
    <row r="824786" spans="1:1" x14ac:dyDescent="0.25">
      <c r="A824786" s="242"/>
    </row>
    <row r="824787" spans="1:1" x14ac:dyDescent="0.25">
      <c r="A824787" s="242"/>
    </row>
    <row r="824788" spans="1:1" x14ac:dyDescent="0.25">
      <c r="A824788" s="242"/>
    </row>
    <row r="824789" spans="1:1" x14ac:dyDescent="0.25">
      <c r="A824789" s="242"/>
    </row>
    <row r="824790" spans="1:1" x14ac:dyDescent="0.25">
      <c r="A824790" s="242"/>
    </row>
    <row r="824791" spans="1:1" x14ac:dyDescent="0.25">
      <c r="A824791" s="242"/>
    </row>
    <row r="824792" spans="1:1" x14ac:dyDescent="0.25">
      <c r="A824792" s="242"/>
    </row>
    <row r="824793" spans="1:1" x14ac:dyDescent="0.25">
      <c r="A824793" s="242"/>
    </row>
    <row r="824794" spans="1:1" x14ac:dyDescent="0.25">
      <c r="A824794" s="242"/>
    </row>
    <row r="824795" spans="1:1" x14ac:dyDescent="0.25">
      <c r="A824795" s="242"/>
    </row>
    <row r="824796" spans="1:1" x14ac:dyDescent="0.25">
      <c r="A824796" s="242"/>
    </row>
    <row r="824797" spans="1:1" x14ac:dyDescent="0.25">
      <c r="A824797" s="242"/>
    </row>
    <row r="824798" spans="1:1" x14ac:dyDescent="0.25">
      <c r="A824798" s="242"/>
    </row>
    <row r="824799" spans="1:1" x14ac:dyDescent="0.25">
      <c r="A824799" s="242"/>
    </row>
    <row r="824800" spans="1:1" x14ac:dyDescent="0.25">
      <c r="A824800" s="242"/>
    </row>
    <row r="824801" spans="1:1" x14ac:dyDescent="0.25">
      <c r="A824801" s="242"/>
    </row>
    <row r="824802" spans="1:1" x14ac:dyDescent="0.25">
      <c r="A824802" s="242"/>
    </row>
    <row r="824803" spans="1:1" x14ac:dyDescent="0.25">
      <c r="A824803" s="242"/>
    </row>
    <row r="824804" spans="1:1" x14ac:dyDescent="0.25">
      <c r="A824804" s="242"/>
    </row>
    <row r="824805" spans="1:1" x14ac:dyDescent="0.25">
      <c r="A824805" s="242"/>
    </row>
    <row r="824806" spans="1:1" x14ac:dyDescent="0.25">
      <c r="A824806" s="242"/>
    </row>
    <row r="824807" spans="1:1" x14ac:dyDescent="0.25">
      <c r="A824807" s="242"/>
    </row>
    <row r="824808" spans="1:1" x14ac:dyDescent="0.25">
      <c r="A824808" s="242"/>
    </row>
    <row r="824809" spans="1:1" x14ac:dyDescent="0.25">
      <c r="A824809" s="242"/>
    </row>
    <row r="824810" spans="1:1" x14ac:dyDescent="0.25">
      <c r="A824810" s="242"/>
    </row>
    <row r="824811" spans="1:1" x14ac:dyDescent="0.25">
      <c r="A824811" s="242"/>
    </row>
    <row r="824812" spans="1:1" x14ac:dyDescent="0.25">
      <c r="A824812" s="242"/>
    </row>
    <row r="824813" spans="1:1" x14ac:dyDescent="0.25">
      <c r="A824813" s="242"/>
    </row>
    <row r="824814" spans="1:1" x14ac:dyDescent="0.25">
      <c r="A824814" s="242"/>
    </row>
    <row r="824815" spans="1:1" x14ac:dyDescent="0.25">
      <c r="A824815" s="242"/>
    </row>
    <row r="824816" spans="1:1" x14ac:dyDescent="0.25">
      <c r="A824816" s="242"/>
    </row>
    <row r="824817" spans="1:1" x14ac:dyDescent="0.25">
      <c r="A824817" s="242"/>
    </row>
    <row r="824818" spans="1:1" x14ac:dyDescent="0.25">
      <c r="A824818" s="242"/>
    </row>
    <row r="824819" spans="1:1" x14ac:dyDescent="0.25">
      <c r="A824819" s="242"/>
    </row>
    <row r="824820" spans="1:1" x14ac:dyDescent="0.25">
      <c r="A824820" s="242"/>
    </row>
    <row r="824821" spans="1:1" x14ac:dyDescent="0.25">
      <c r="A824821" s="242"/>
    </row>
    <row r="824822" spans="1:1" x14ac:dyDescent="0.25">
      <c r="A824822" s="242"/>
    </row>
    <row r="824823" spans="1:1" x14ac:dyDescent="0.25">
      <c r="A824823" s="242"/>
    </row>
    <row r="824824" spans="1:1" x14ac:dyDescent="0.25">
      <c r="A824824" s="242"/>
    </row>
    <row r="824825" spans="1:1" x14ac:dyDescent="0.25">
      <c r="A824825" s="242"/>
    </row>
    <row r="824826" spans="1:1" x14ac:dyDescent="0.25">
      <c r="A824826" s="242"/>
    </row>
    <row r="824827" spans="1:1" x14ac:dyDescent="0.25">
      <c r="A824827" s="242"/>
    </row>
    <row r="824828" spans="1:1" x14ac:dyDescent="0.25">
      <c r="A824828" s="242"/>
    </row>
    <row r="824829" spans="1:1" x14ac:dyDescent="0.25">
      <c r="A824829" s="242"/>
    </row>
    <row r="824830" spans="1:1" x14ac:dyDescent="0.25">
      <c r="A824830" s="242"/>
    </row>
    <row r="824831" spans="1:1" x14ac:dyDescent="0.25">
      <c r="A824831" s="242"/>
    </row>
    <row r="824832" spans="1:1" x14ac:dyDescent="0.25">
      <c r="A824832" s="242"/>
    </row>
    <row r="824833" spans="1:1" x14ac:dyDescent="0.25">
      <c r="A824833" s="242"/>
    </row>
    <row r="824834" spans="1:1" x14ac:dyDescent="0.25">
      <c r="A824834" s="242"/>
    </row>
    <row r="824835" spans="1:1" x14ac:dyDescent="0.25">
      <c r="A824835" s="242"/>
    </row>
    <row r="824836" spans="1:1" x14ac:dyDescent="0.25">
      <c r="A824836" s="242"/>
    </row>
    <row r="824837" spans="1:1" x14ac:dyDescent="0.25">
      <c r="A824837" s="242"/>
    </row>
    <row r="824838" spans="1:1" x14ac:dyDescent="0.25">
      <c r="A824838" s="242"/>
    </row>
    <row r="824839" spans="1:1" x14ac:dyDescent="0.25">
      <c r="A824839" s="242"/>
    </row>
    <row r="824840" spans="1:1" x14ac:dyDescent="0.25">
      <c r="A824840" s="242"/>
    </row>
    <row r="824841" spans="1:1" x14ac:dyDescent="0.25">
      <c r="A824841" s="242"/>
    </row>
    <row r="824842" spans="1:1" x14ac:dyDescent="0.25">
      <c r="A824842" s="242"/>
    </row>
    <row r="824843" spans="1:1" x14ac:dyDescent="0.25">
      <c r="A824843" s="242"/>
    </row>
    <row r="824844" spans="1:1" x14ac:dyDescent="0.25">
      <c r="A824844" s="242"/>
    </row>
    <row r="824845" spans="1:1" x14ac:dyDescent="0.25">
      <c r="A824845" s="242"/>
    </row>
    <row r="824846" spans="1:1" x14ac:dyDescent="0.25">
      <c r="A824846" s="242"/>
    </row>
    <row r="824847" spans="1:1" x14ac:dyDescent="0.25">
      <c r="A824847" s="242"/>
    </row>
    <row r="824848" spans="1:1" x14ac:dyDescent="0.25">
      <c r="A824848" s="242"/>
    </row>
    <row r="824849" spans="1:1" x14ac:dyDescent="0.25">
      <c r="A824849" s="242"/>
    </row>
    <row r="824850" spans="1:1" x14ac:dyDescent="0.25">
      <c r="A824850" s="242"/>
    </row>
    <row r="824851" spans="1:1" x14ac:dyDescent="0.25">
      <c r="A824851" s="242"/>
    </row>
    <row r="824852" spans="1:1" x14ac:dyDescent="0.25">
      <c r="A824852" s="242"/>
    </row>
    <row r="824853" spans="1:1" x14ac:dyDescent="0.25">
      <c r="A824853" s="242"/>
    </row>
    <row r="824854" spans="1:1" x14ac:dyDescent="0.25">
      <c r="A824854" s="242"/>
    </row>
    <row r="824855" spans="1:1" x14ac:dyDescent="0.25">
      <c r="A824855" s="242"/>
    </row>
    <row r="824856" spans="1:1" x14ac:dyDescent="0.25">
      <c r="A824856" s="242"/>
    </row>
    <row r="824857" spans="1:1" x14ac:dyDescent="0.25">
      <c r="A824857" s="242"/>
    </row>
    <row r="824858" spans="1:1" x14ac:dyDescent="0.25">
      <c r="A824858" s="242"/>
    </row>
    <row r="824859" spans="1:1" x14ac:dyDescent="0.25">
      <c r="A824859" s="242"/>
    </row>
    <row r="824860" spans="1:1" x14ac:dyDescent="0.25">
      <c r="A824860" s="242"/>
    </row>
    <row r="824861" spans="1:1" x14ac:dyDescent="0.25">
      <c r="A824861" s="242"/>
    </row>
    <row r="824862" spans="1:1" x14ac:dyDescent="0.25">
      <c r="A824862" s="242"/>
    </row>
    <row r="824863" spans="1:1" x14ac:dyDescent="0.25">
      <c r="A824863" s="242"/>
    </row>
    <row r="824864" spans="1:1" x14ac:dyDescent="0.25">
      <c r="A824864" s="242"/>
    </row>
    <row r="824865" spans="1:1" x14ac:dyDescent="0.25">
      <c r="A824865" s="242"/>
    </row>
    <row r="824866" spans="1:1" x14ac:dyDescent="0.25">
      <c r="A824866" s="242"/>
    </row>
    <row r="824867" spans="1:1" x14ac:dyDescent="0.25">
      <c r="A824867" s="242"/>
    </row>
    <row r="824868" spans="1:1" x14ac:dyDescent="0.25">
      <c r="A824868" s="242"/>
    </row>
    <row r="824869" spans="1:1" x14ac:dyDescent="0.25">
      <c r="A824869" s="242"/>
    </row>
    <row r="824870" spans="1:1" x14ac:dyDescent="0.25">
      <c r="A824870" s="242"/>
    </row>
    <row r="824871" spans="1:1" x14ac:dyDescent="0.25">
      <c r="A824871" s="242"/>
    </row>
    <row r="824872" spans="1:1" x14ac:dyDescent="0.25">
      <c r="A824872" s="242"/>
    </row>
    <row r="824873" spans="1:1" x14ac:dyDescent="0.25">
      <c r="A824873" s="242"/>
    </row>
    <row r="824874" spans="1:1" x14ac:dyDescent="0.25">
      <c r="A824874" s="242"/>
    </row>
    <row r="824875" spans="1:1" x14ac:dyDescent="0.25">
      <c r="A824875" s="242"/>
    </row>
    <row r="824876" spans="1:1" x14ac:dyDescent="0.25">
      <c r="A824876" s="242"/>
    </row>
    <row r="824877" spans="1:1" x14ac:dyDescent="0.25">
      <c r="A824877" s="242"/>
    </row>
    <row r="824878" spans="1:1" x14ac:dyDescent="0.25">
      <c r="A824878" s="242"/>
    </row>
    <row r="824879" spans="1:1" x14ac:dyDescent="0.25">
      <c r="A824879" s="242"/>
    </row>
    <row r="824880" spans="1:1" x14ac:dyDescent="0.25">
      <c r="A824880" s="242"/>
    </row>
    <row r="824881" spans="1:1" x14ac:dyDescent="0.25">
      <c r="A824881" s="242"/>
    </row>
    <row r="824882" spans="1:1" x14ac:dyDescent="0.25">
      <c r="A824882" s="242"/>
    </row>
    <row r="824883" spans="1:1" x14ac:dyDescent="0.25">
      <c r="A824883" s="242"/>
    </row>
    <row r="824884" spans="1:1" x14ac:dyDescent="0.25">
      <c r="A824884" s="242"/>
    </row>
    <row r="824885" spans="1:1" x14ac:dyDescent="0.25">
      <c r="A824885" s="242"/>
    </row>
    <row r="824886" spans="1:1" x14ac:dyDescent="0.25">
      <c r="A824886" s="242"/>
    </row>
    <row r="824887" spans="1:1" x14ac:dyDescent="0.25">
      <c r="A824887" s="242"/>
    </row>
    <row r="824888" spans="1:1" x14ac:dyDescent="0.25">
      <c r="A824888" s="242"/>
    </row>
    <row r="824889" spans="1:1" x14ac:dyDescent="0.25">
      <c r="A824889" s="242"/>
    </row>
    <row r="824890" spans="1:1" x14ac:dyDescent="0.25">
      <c r="A824890" s="242"/>
    </row>
    <row r="824891" spans="1:1" x14ac:dyDescent="0.25">
      <c r="A824891" s="242"/>
    </row>
    <row r="824892" spans="1:1" x14ac:dyDescent="0.25">
      <c r="A824892" s="242"/>
    </row>
    <row r="824893" spans="1:1" x14ac:dyDescent="0.25">
      <c r="A824893" s="242"/>
    </row>
    <row r="824894" spans="1:1" x14ac:dyDescent="0.25">
      <c r="A824894" s="242"/>
    </row>
    <row r="824895" spans="1:1" x14ac:dyDescent="0.25">
      <c r="A824895" s="242"/>
    </row>
    <row r="824896" spans="1:1" x14ac:dyDescent="0.25">
      <c r="A824896" s="242"/>
    </row>
    <row r="824897" spans="1:1" x14ac:dyDescent="0.25">
      <c r="A824897" s="242"/>
    </row>
    <row r="824898" spans="1:1" x14ac:dyDescent="0.25">
      <c r="A824898" s="242"/>
    </row>
    <row r="824899" spans="1:1" x14ac:dyDescent="0.25">
      <c r="A824899" s="242"/>
    </row>
    <row r="824900" spans="1:1" x14ac:dyDescent="0.25">
      <c r="A824900" s="242"/>
    </row>
    <row r="824901" spans="1:1" x14ac:dyDescent="0.25">
      <c r="A824901" s="242"/>
    </row>
    <row r="824902" spans="1:1" x14ac:dyDescent="0.25">
      <c r="A824902" s="242"/>
    </row>
    <row r="824903" spans="1:1" x14ac:dyDescent="0.25">
      <c r="A824903" s="242"/>
    </row>
    <row r="824904" spans="1:1" x14ac:dyDescent="0.25">
      <c r="A824904" s="242"/>
    </row>
    <row r="824905" spans="1:1" x14ac:dyDescent="0.25">
      <c r="A824905" s="242"/>
    </row>
    <row r="824906" spans="1:1" x14ac:dyDescent="0.25">
      <c r="A824906" s="242"/>
    </row>
    <row r="824907" spans="1:1" x14ac:dyDescent="0.25">
      <c r="A824907" s="242"/>
    </row>
    <row r="824908" spans="1:1" x14ac:dyDescent="0.25">
      <c r="A824908" s="242"/>
    </row>
    <row r="824909" spans="1:1" x14ac:dyDescent="0.25">
      <c r="A824909" s="242"/>
    </row>
    <row r="824910" spans="1:1" x14ac:dyDescent="0.25">
      <c r="A824910" s="242"/>
    </row>
    <row r="824911" spans="1:1" x14ac:dyDescent="0.25">
      <c r="A824911" s="242"/>
    </row>
    <row r="824912" spans="1:1" x14ac:dyDescent="0.25">
      <c r="A824912" s="242"/>
    </row>
    <row r="824913" spans="1:1" x14ac:dyDescent="0.25">
      <c r="A824913" s="242"/>
    </row>
    <row r="824914" spans="1:1" x14ac:dyDescent="0.25">
      <c r="A824914" s="242"/>
    </row>
    <row r="824915" spans="1:1" x14ac:dyDescent="0.25">
      <c r="A824915" s="242"/>
    </row>
    <row r="824916" spans="1:1" x14ac:dyDescent="0.25">
      <c r="A824916" s="242"/>
    </row>
    <row r="824917" spans="1:1" x14ac:dyDescent="0.25">
      <c r="A824917" s="242"/>
    </row>
    <row r="824918" spans="1:1" x14ac:dyDescent="0.25">
      <c r="A824918" s="242"/>
    </row>
    <row r="824919" spans="1:1" x14ac:dyDescent="0.25">
      <c r="A824919" s="242"/>
    </row>
    <row r="824920" spans="1:1" x14ac:dyDescent="0.25">
      <c r="A824920" s="242"/>
    </row>
    <row r="824921" spans="1:1" x14ac:dyDescent="0.25">
      <c r="A824921" s="242"/>
    </row>
    <row r="824922" spans="1:1" x14ac:dyDescent="0.25">
      <c r="A824922" s="242"/>
    </row>
    <row r="824923" spans="1:1" x14ac:dyDescent="0.25">
      <c r="A824923" s="242"/>
    </row>
    <row r="824924" spans="1:1" x14ac:dyDescent="0.25">
      <c r="A824924" s="242"/>
    </row>
    <row r="824925" spans="1:1" x14ac:dyDescent="0.25">
      <c r="A824925" s="242"/>
    </row>
    <row r="824926" spans="1:1" x14ac:dyDescent="0.25">
      <c r="A824926" s="242"/>
    </row>
    <row r="824927" spans="1:1" x14ac:dyDescent="0.25">
      <c r="A824927" s="242"/>
    </row>
    <row r="824928" spans="1:1" x14ac:dyDescent="0.25">
      <c r="A824928" s="242"/>
    </row>
    <row r="824929" spans="1:1" x14ac:dyDescent="0.25">
      <c r="A824929" s="242"/>
    </row>
    <row r="824930" spans="1:1" x14ac:dyDescent="0.25">
      <c r="A824930" s="242"/>
    </row>
    <row r="824931" spans="1:1" x14ac:dyDescent="0.25">
      <c r="A824931" s="242"/>
    </row>
    <row r="824932" spans="1:1" x14ac:dyDescent="0.25">
      <c r="A824932" s="242"/>
    </row>
    <row r="824933" spans="1:1" x14ac:dyDescent="0.25">
      <c r="A824933" s="242"/>
    </row>
    <row r="824934" spans="1:1" x14ac:dyDescent="0.25">
      <c r="A824934" s="242"/>
    </row>
    <row r="824935" spans="1:1" x14ac:dyDescent="0.25">
      <c r="A824935" s="242"/>
    </row>
    <row r="824936" spans="1:1" x14ac:dyDescent="0.25">
      <c r="A824936" s="242"/>
    </row>
    <row r="824937" spans="1:1" x14ac:dyDescent="0.25">
      <c r="A824937" s="242"/>
    </row>
    <row r="824938" spans="1:1" x14ac:dyDescent="0.25">
      <c r="A824938" s="242"/>
    </row>
    <row r="824939" spans="1:1" x14ac:dyDescent="0.25">
      <c r="A824939" s="242"/>
    </row>
    <row r="824940" spans="1:1" x14ac:dyDescent="0.25">
      <c r="A824940" s="242"/>
    </row>
    <row r="824941" spans="1:1" x14ac:dyDescent="0.25">
      <c r="A824941" s="242"/>
    </row>
    <row r="824942" spans="1:1" x14ac:dyDescent="0.25">
      <c r="A824942" s="242"/>
    </row>
    <row r="824943" spans="1:1" x14ac:dyDescent="0.25">
      <c r="A824943" s="242"/>
    </row>
    <row r="824944" spans="1:1" x14ac:dyDescent="0.25">
      <c r="A824944" s="242"/>
    </row>
    <row r="824945" spans="1:1" x14ac:dyDescent="0.25">
      <c r="A824945" s="242"/>
    </row>
    <row r="824946" spans="1:1" x14ac:dyDescent="0.25">
      <c r="A824946" s="242"/>
    </row>
    <row r="824947" spans="1:1" x14ac:dyDescent="0.25">
      <c r="A824947" s="242"/>
    </row>
    <row r="824948" spans="1:1" x14ac:dyDescent="0.25">
      <c r="A824948" s="242"/>
    </row>
    <row r="824949" spans="1:1" x14ac:dyDescent="0.25">
      <c r="A824949" s="242"/>
    </row>
    <row r="824950" spans="1:1" x14ac:dyDescent="0.25">
      <c r="A824950" s="242"/>
    </row>
    <row r="824951" spans="1:1" x14ac:dyDescent="0.25">
      <c r="A824951" s="242"/>
    </row>
    <row r="824952" spans="1:1" x14ac:dyDescent="0.25">
      <c r="A824952" s="242"/>
    </row>
    <row r="824953" spans="1:1" x14ac:dyDescent="0.25">
      <c r="A824953" s="242"/>
    </row>
    <row r="824954" spans="1:1" x14ac:dyDescent="0.25">
      <c r="A824954" s="242"/>
    </row>
    <row r="824955" spans="1:1" x14ac:dyDescent="0.25">
      <c r="A824955" s="242"/>
    </row>
    <row r="824956" spans="1:1" x14ac:dyDescent="0.25">
      <c r="A824956" s="242"/>
    </row>
    <row r="824957" spans="1:1" x14ac:dyDescent="0.25">
      <c r="A824957" s="242"/>
    </row>
    <row r="824958" spans="1:1" x14ac:dyDescent="0.25">
      <c r="A824958" s="242"/>
    </row>
    <row r="824959" spans="1:1" x14ac:dyDescent="0.25">
      <c r="A824959" s="242"/>
    </row>
    <row r="824960" spans="1:1" x14ac:dyDescent="0.25">
      <c r="A824960" s="242"/>
    </row>
    <row r="824961" spans="1:1" x14ac:dyDescent="0.25">
      <c r="A824961" s="242"/>
    </row>
    <row r="824962" spans="1:1" x14ac:dyDescent="0.25">
      <c r="A824962" s="242"/>
    </row>
    <row r="824963" spans="1:1" x14ac:dyDescent="0.25">
      <c r="A824963" s="242"/>
    </row>
    <row r="824964" spans="1:1" x14ac:dyDescent="0.25">
      <c r="A824964" s="242"/>
    </row>
    <row r="824965" spans="1:1" x14ac:dyDescent="0.25">
      <c r="A824965" s="242"/>
    </row>
    <row r="824966" spans="1:1" x14ac:dyDescent="0.25">
      <c r="A824966" s="242"/>
    </row>
    <row r="824967" spans="1:1" x14ac:dyDescent="0.25">
      <c r="A824967" s="242"/>
    </row>
    <row r="824968" spans="1:1" x14ac:dyDescent="0.25">
      <c r="A824968" s="242"/>
    </row>
    <row r="824969" spans="1:1" x14ac:dyDescent="0.25">
      <c r="A824969" s="242"/>
    </row>
    <row r="824970" spans="1:1" x14ac:dyDescent="0.25">
      <c r="A824970" s="242"/>
    </row>
    <row r="824971" spans="1:1" x14ac:dyDescent="0.25">
      <c r="A824971" s="242"/>
    </row>
    <row r="824972" spans="1:1" x14ac:dyDescent="0.25">
      <c r="A824972" s="242"/>
    </row>
    <row r="824973" spans="1:1" x14ac:dyDescent="0.25">
      <c r="A824973" s="242"/>
    </row>
    <row r="824974" spans="1:1" x14ac:dyDescent="0.25">
      <c r="A824974" s="242"/>
    </row>
    <row r="824975" spans="1:1" x14ac:dyDescent="0.25">
      <c r="A824975" s="242"/>
    </row>
    <row r="824976" spans="1:1" x14ac:dyDescent="0.25">
      <c r="A824976" s="242"/>
    </row>
    <row r="824977" spans="1:1" x14ac:dyDescent="0.25">
      <c r="A824977" s="242"/>
    </row>
    <row r="824978" spans="1:1" x14ac:dyDescent="0.25">
      <c r="A824978" s="242"/>
    </row>
    <row r="824979" spans="1:1" x14ac:dyDescent="0.25">
      <c r="A824979" s="242"/>
    </row>
    <row r="824980" spans="1:1" x14ac:dyDescent="0.25">
      <c r="A824980" s="242"/>
    </row>
    <row r="824981" spans="1:1" x14ac:dyDescent="0.25">
      <c r="A824981" s="242"/>
    </row>
    <row r="824982" spans="1:1" x14ac:dyDescent="0.25">
      <c r="A824982" s="242"/>
    </row>
    <row r="824983" spans="1:1" x14ac:dyDescent="0.25">
      <c r="A824983" s="242"/>
    </row>
    <row r="824984" spans="1:1" x14ac:dyDescent="0.25">
      <c r="A824984" s="242"/>
    </row>
    <row r="824985" spans="1:1" x14ac:dyDescent="0.25">
      <c r="A824985" s="242"/>
    </row>
    <row r="824986" spans="1:1" x14ac:dyDescent="0.25">
      <c r="A824986" s="242"/>
    </row>
    <row r="824987" spans="1:1" x14ac:dyDescent="0.25">
      <c r="A824987" s="242"/>
    </row>
    <row r="824988" spans="1:1" x14ac:dyDescent="0.25">
      <c r="A824988" s="242"/>
    </row>
    <row r="824989" spans="1:1" x14ac:dyDescent="0.25">
      <c r="A824989" s="242"/>
    </row>
    <row r="824990" spans="1:1" x14ac:dyDescent="0.25">
      <c r="A824990" s="242"/>
    </row>
    <row r="824991" spans="1:1" x14ac:dyDescent="0.25">
      <c r="A824991" s="242"/>
    </row>
    <row r="824992" spans="1:1" x14ac:dyDescent="0.25">
      <c r="A824992" s="242"/>
    </row>
    <row r="824993" spans="1:1" x14ac:dyDescent="0.25">
      <c r="A824993" s="242"/>
    </row>
    <row r="824994" spans="1:1" x14ac:dyDescent="0.25">
      <c r="A824994" s="242"/>
    </row>
    <row r="824995" spans="1:1" x14ac:dyDescent="0.25">
      <c r="A824995" s="242"/>
    </row>
    <row r="824996" spans="1:1" x14ac:dyDescent="0.25">
      <c r="A824996" s="242"/>
    </row>
    <row r="824997" spans="1:1" x14ac:dyDescent="0.25">
      <c r="A824997" s="242"/>
    </row>
    <row r="824998" spans="1:1" x14ac:dyDescent="0.25">
      <c r="A824998" s="242"/>
    </row>
    <row r="824999" spans="1:1" x14ac:dyDescent="0.25">
      <c r="A824999" s="242"/>
    </row>
    <row r="825000" spans="1:1" x14ac:dyDescent="0.25">
      <c r="A825000" s="242"/>
    </row>
    <row r="825001" spans="1:1" x14ac:dyDescent="0.25">
      <c r="A825001" s="242"/>
    </row>
    <row r="825002" spans="1:1" x14ac:dyDescent="0.25">
      <c r="A825002" s="242"/>
    </row>
    <row r="825003" spans="1:1" x14ac:dyDescent="0.25">
      <c r="A825003" s="242"/>
    </row>
    <row r="825004" spans="1:1" x14ac:dyDescent="0.25">
      <c r="A825004" s="242"/>
    </row>
    <row r="825005" spans="1:1" x14ac:dyDescent="0.25">
      <c r="A825005" s="242"/>
    </row>
    <row r="825006" spans="1:1" x14ac:dyDescent="0.25">
      <c r="A825006" s="242"/>
    </row>
    <row r="825007" spans="1:1" x14ac:dyDescent="0.25">
      <c r="A825007" s="242"/>
    </row>
    <row r="825008" spans="1:1" x14ac:dyDescent="0.25">
      <c r="A825008" s="242"/>
    </row>
    <row r="825009" spans="1:1" x14ac:dyDescent="0.25">
      <c r="A825009" s="242"/>
    </row>
    <row r="825010" spans="1:1" x14ac:dyDescent="0.25">
      <c r="A825010" s="242"/>
    </row>
    <row r="825011" spans="1:1" x14ac:dyDescent="0.25">
      <c r="A825011" s="242"/>
    </row>
    <row r="825012" spans="1:1" x14ac:dyDescent="0.25">
      <c r="A825012" s="242"/>
    </row>
    <row r="825013" spans="1:1" x14ac:dyDescent="0.25">
      <c r="A825013" s="242"/>
    </row>
    <row r="825014" spans="1:1" x14ac:dyDescent="0.25">
      <c r="A825014" s="242"/>
    </row>
    <row r="825015" spans="1:1" x14ac:dyDescent="0.25">
      <c r="A825015" s="242"/>
    </row>
    <row r="825016" spans="1:1" x14ac:dyDescent="0.25">
      <c r="A825016" s="242"/>
    </row>
    <row r="825017" spans="1:1" x14ac:dyDescent="0.25">
      <c r="A825017" s="242"/>
    </row>
    <row r="825018" spans="1:1" x14ac:dyDescent="0.25">
      <c r="A825018" s="242"/>
    </row>
    <row r="825019" spans="1:1" x14ac:dyDescent="0.25">
      <c r="A825019" s="242"/>
    </row>
    <row r="825020" spans="1:1" x14ac:dyDescent="0.25">
      <c r="A825020" s="242"/>
    </row>
    <row r="825021" spans="1:1" x14ac:dyDescent="0.25">
      <c r="A825021" s="242"/>
    </row>
    <row r="825022" spans="1:1" x14ac:dyDescent="0.25">
      <c r="A825022" s="242"/>
    </row>
    <row r="825023" spans="1:1" x14ac:dyDescent="0.25">
      <c r="A825023" s="242"/>
    </row>
    <row r="825024" spans="1:1" x14ac:dyDescent="0.25">
      <c r="A825024" s="242"/>
    </row>
    <row r="825025" spans="1:1" x14ac:dyDescent="0.25">
      <c r="A825025" s="242"/>
    </row>
    <row r="825026" spans="1:1" x14ac:dyDescent="0.25">
      <c r="A825026" s="242"/>
    </row>
    <row r="825027" spans="1:1" x14ac:dyDescent="0.25">
      <c r="A825027" s="242"/>
    </row>
    <row r="825028" spans="1:1" x14ac:dyDescent="0.25">
      <c r="A825028" s="242"/>
    </row>
    <row r="825029" spans="1:1" x14ac:dyDescent="0.25">
      <c r="A825029" s="242"/>
    </row>
    <row r="825030" spans="1:1" x14ac:dyDescent="0.25">
      <c r="A825030" s="242"/>
    </row>
    <row r="825031" spans="1:1" x14ac:dyDescent="0.25">
      <c r="A825031" s="242"/>
    </row>
    <row r="825032" spans="1:1" x14ac:dyDescent="0.25">
      <c r="A825032" s="242"/>
    </row>
    <row r="825033" spans="1:1" x14ac:dyDescent="0.25">
      <c r="A825033" s="242"/>
    </row>
    <row r="825034" spans="1:1" x14ac:dyDescent="0.25">
      <c r="A825034" s="242"/>
    </row>
    <row r="825035" spans="1:1" x14ac:dyDescent="0.25">
      <c r="A825035" s="242"/>
    </row>
    <row r="825036" spans="1:1" x14ac:dyDescent="0.25">
      <c r="A825036" s="242"/>
    </row>
    <row r="825037" spans="1:1" x14ac:dyDescent="0.25">
      <c r="A825037" s="242"/>
    </row>
    <row r="825038" spans="1:1" x14ac:dyDescent="0.25">
      <c r="A825038" s="242"/>
    </row>
    <row r="825039" spans="1:1" x14ac:dyDescent="0.25">
      <c r="A825039" s="242"/>
    </row>
    <row r="825040" spans="1:1" x14ac:dyDescent="0.25">
      <c r="A825040" s="242"/>
    </row>
    <row r="825041" spans="1:1" x14ac:dyDescent="0.25">
      <c r="A825041" s="242"/>
    </row>
    <row r="825042" spans="1:1" x14ac:dyDescent="0.25">
      <c r="A825042" s="242"/>
    </row>
    <row r="825043" spans="1:1" x14ac:dyDescent="0.25">
      <c r="A825043" s="242"/>
    </row>
    <row r="825044" spans="1:1" x14ac:dyDescent="0.25">
      <c r="A825044" s="242"/>
    </row>
    <row r="825045" spans="1:1" x14ac:dyDescent="0.25">
      <c r="A825045" s="242"/>
    </row>
    <row r="825046" spans="1:1" x14ac:dyDescent="0.25">
      <c r="A825046" s="242"/>
    </row>
    <row r="825047" spans="1:1" x14ac:dyDescent="0.25">
      <c r="A825047" s="242"/>
    </row>
    <row r="825048" spans="1:1" x14ac:dyDescent="0.25">
      <c r="A825048" s="242"/>
    </row>
    <row r="825049" spans="1:1" x14ac:dyDescent="0.25">
      <c r="A825049" s="242"/>
    </row>
    <row r="825050" spans="1:1" x14ac:dyDescent="0.25">
      <c r="A825050" s="242"/>
    </row>
    <row r="825051" spans="1:1" x14ac:dyDescent="0.25">
      <c r="A825051" s="242"/>
    </row>
    <row r="825052" spans="1:1" x14ac:dyDescent="0.25">
      <c r="A825052" s="242"/>
    </row>
    <row r="825053" spans="1:1" x14ac:dyDescent="0.25">
      <c r="A825053" s="242"/>
    </row>
    <row r="825054" spans="1:1" x14ac:dyDescent="0.25">
      <c r="A825054" s="242"/>
    </row>
    <row r="825055" spans="1:1" x14ac:dyDescent="0.25">
      <c r="A825055" s="242"/>
    </row>
    <row r="825056" spans="1:1" x14ac:dyDescent="0.25">
      <c r="A825056" s="242"/>
    </row>
    <row r="825057" spans="1:1" x14ac:dyDescent="0.25">
      <c r="A825057" s="242"/>
    </row>
    <row r="825058" spans="1:1" x14ac:dyDescent="0.25">
      <c r="A825058" s="242"/>
    </row>
    <row r="825059" spans="1:1" x14ac:dyDescent="0.25">
      <c r="A825059" s="242"/>
    </row>
    <row r="825060" spans="1:1" x14ac:dyDescent="0.25">
      <c r="A825060" s="242"/>
    </row>
    <row r="825061" spans="1:1" x14ac:dyDescent="0.25">
      <c r="A825061" s="242"/>
    </row>
    <row r="825062" spans="1:1" x14ac:dyDescent="0.25">
      <c r="A825062" s="242"/>
    </row>
    <row r="825063" spans="1:1" x14ac:dyDescent="0.25">
      <c r="A825063" s="242"/>
    </row>
    <row r="825064" spans="1:1" x14ac:dyDescent="0.25">
      <c r="A825064" s="242"/>
    </row>
    <row r="825065" spans="1:1" x14ac:dyDescent="0.25">
      <c r="A825065" s="242"/>
    </row>
    <row r="825066" spans="1:1" x14ac:dyDescent="0.25">
      <c r="A825066" s="242"/>
    </row>
    <row r="825067" spans="1:1" x14ac:dyDescent="0.25">
      <c r="A825067" s="242"/>
    </row>
    <row r="825068" spans="1:1" x14ac:dyDescent="0.25">
      <c r="A825068" s="242"/>
    </row>
    <row r="825069" spans="1:1" x14ac:dyDescent="0.25">
      <c r="A825069" s="242"/>
    </row>
    <row r="825070" spans="1:1" x14ac:dyDescent="0.25">
      <c r="A825070" s="242"/>
    </row>
    <row r="825071" spans="1:1" x14ac:dyDescent="0.25">
      <c r="A825071" s="242"/>
    </row>
    <row r="825072" spans="1:1" x14ac:dyDescent="0.25">
      <c r="A825072" s="242"/>
    </row>
    <row r="825073" spans="1:1" x14ac:dyDescent="0.25">
      <c r="A825073" s="242"/>
    </row>
    <row r="825074" spans="1:1" x14ac:dyDescent="0.25">
      <c r="A825074" s="242"/>
    </row>
    <row r="825075" spans="1:1" x14ac:dyDescent="0.25">
      <c r="A825075" s="242"/>
    </row>
    <row r="825076" spans="1:1" x14ac:dyDescent="0.25">
      <c r="A825076" s="242"/>
    </row>
    <row r="825077" spans="1:1" x14ac:dyDescent="0.25">
      <c r="A825077" s="242"/>
    </row>
    <row r="825078" spans="1:1" x14ac:dyDescent="0.25">
      <c r="A825078" s="242"/>
    </row>
    <row r="825079" spans="1:1" x14ac:dyDescent="0.25">
      <c r="A825079" s="242"/>
    </row>
    <row r="825080" spans="1:1" x14ac:dyDescent="0.25">
      <c r="A825080" s="242"/>
    </row>
    <row r="825081" spans="1:1" x14ac:dyDescent="0.25">
      <c r="A825081" s="242"/>
    </row>
    <row r="825082" spans="1:1" x14ac:dyDescent="0.25">
      <c r="A825082" s="242"/>
    </row>
    <row r="825083" spans="1:1" x14ac:dyDescent="0.25">
      <c r="A825083" s="242"/>
    </row>
    <row r="825084" spans="1:1" x14ac:dyDescent="0.25">
      <c r="A825084" s="242"/>
    </row>
    <row r="825085" spans="1:1" x14ac:dyDescent="0.25">
      <c r="A825085" s="242"/>
    </row>
    <row r="825086" spans="1:1" x14ac:dyDescent="0.25">
      <c r="A825086" s="242"/>
    </row>
    <row r="825087" spans="1:1" x14ac:dyDescent="0.25">
      <c r="A825087" s="242"/>
    </row>
    <row r="825088" spans="1:1" x14ac:dyDescent="0.25">
      <c r="A825088" s="242"/>
    </row>
    <row r="825089" spans="1:1" x14ac:dyDescent="0.25">
      <c r="A825089" s="242"/>
    </row>
    <row r="825090" spans="1:1" x14ac:dyDescent="0.25">
      <c r="A825090" s="242"/>
    </row>
    <row r="825091" spans="1:1" x14ac:dyDescent="0.25">
      <c r="A825091" s="242"/>
    </row>
    <row r="825092" spans="1:1" x14ac:dyDescent="0.25">
      <c r="A825092" s="242"/>
    </row>
    <row r="825093" spans="1:1" x14ac:dyDescent="0.25">
      <c r="A825093" s="242"/>
    </row>
    <row r="825094" spans="1:1" x14ac:dyDescent="0.25">
      <c r="A825094" s="242"/>
    </row>
    <row r="825095" spans="1:1" x14ac:dyDescent="0.25">
      <c r="A825095" s="242"/>
    </row>
    <row r="825096" spans="1:1" x14ac:dyDescent="0.25">
      <c r="A825096" s="242"/>
    </row>
    <row r="825097" spans="1:1" x14ac:dyDescent="0.25">
      <c r="A825097" s="242"/>
    </row>
    <row r="825098" spans="1:1" x14ac:dyDescent="0.25">
      <c r="A825098" s="242"/>
    </row>
    <row r="825099" spans="1:1" x14ac:dyDescent="0.25">
      <c r="A825099" s="242"/>
    </row>
    <row r="825100" spans="1:1" x14ac:dyDescent="0.25">
      <c r="A825100" s="242"/>
    </row>
    <row r="825101" spans="1:1" x14ac:dyDescent="0.25">
      <c r="A825101" s="242"/>
    </row>
    <row r="825102" spans="1:1" x14ac:dyDescent="0.25">
      <c r="A825102" s="242"/>
    </row>
    <row r="825103" spans="1:1" x14ac:dyDescent="0.25">
      <c r="A825103" s="242"/>
    </row>
    <row r="825104" spans="1:1" x14ac:dyDescent="0.25">
      <c r="A825104" s="242"/>
    </row>
    <row r="825105" spans="1:1" x14ac:dyDescent="0.25">
      <c r="A825105" s="242"/>
    </row>
    <row r="825106" spans="1:1" x14ac:dyDescent="0.25">
      <c r="A825106" s="242"/>
    </row>
    <row r="825107" spans="1:1" x14ac:dyDescent="0.25">
      <c r="A825107" s="242"/>
    </row>
    <row r="825108" spans="1:1" x14ac:dyDescent="0.25">
      <c r="A825108" s="242"/>
    </row>
    <row r="825109" spans="1:1" x14ac:dyDescent="0.25">
      <c r="A825109" s="242"/>
    </row>
    <row r="825110" spans="1:1" x14ac:dyDescent="0.25">
      <c r="A825110" s="242"/>
    </row>
    <row r="825111" spans="1:1" x14ac:dyDescent="0.25">
      <c r="A825111" s="242"/>
    </row>
    <row r="825112" spans="1:1" x14ac:dyDescent="0.25">
      <c r="A825112" s="242"/>
    </row>
    <row r="825113" spans="1:1" x14ac:dyDescent="0.25">
      <c r="A825113" s="242"/>
    </row>
    <row r="825114" spans="1:1" x14ac:dyDescent="0.25">
      <c r="A825114" s="242"/>
    </row>
    <row r="825115" spans="1:1" x14ac:dyDescent="0.25">
      <c r="A825115" s="242"/>
    </row>
    <row r="825116" spans="1:1" x14ac:dyDescent="0.25">
      <c r="A825116" s="242"/>
    </row>
    <row r="825117" spans="1:1" x14ac:dyDescent="0.25">
      <c r="A825117" s="242"/>
    </row>
    <row r="825118" spans="1:1" x14ac:dyDescent="0.25">
      <c r="A825118" s="242"/>
    </row>
    <row r="825119" spans="1:1" x14ac:dyDescent="0.25">
      <c r="A825119" s="242"/>
    </row>
    <row r="825120" spans="1:1" x14ac:dyDescent="0.25">
      <c r="A825120" s="242"/>
    </row>
    <row r="825121" spans="1:1" x14ac:dyDescent="0.25">
      <c r="A825121" s="242"/>
    </row>
    <row r="825122" spans="1:1" x14ac:dyDescent="0.25">
      <c r="A825122" s="242"/>
    </row>
    <row r="825123" spans="1:1" x14ac:dyDescent="0.25">
      <c r="A825123" s="242"/>
    </row>
    <row r="825124" spans="1:1" x14ac:dyDescent="0.25">
      <c r="A825124" s="242"/>
    </row>
    <row r="825125" spans="1:1" x14ac:dyDescent="0.25">
      <c r="A825125" s="242"/>
    </row>
    <row r="825126" spans="1:1" x14ac:dyDescent="0.25">
      <c r="A825126" s="242"/>
    </row>
    <row r="825127" spans="1:1" x14ac:dyDescent="0.25">
      <c r="A825127" s="242"/>
    </row>
    <row r="825128" spans="1:1" x14ac:dyDescent="0.25">
      <c r="A825128" s="242"/>
    </row>
    <row r="825129" spans="1:1" x14ac:dyDescent="0.25">
      <c r="A825129" s="242"/>
    </row>
    <row r="825130" spans="1:1" x14ac:dyDescent="0.25">
      <c r="A825130" s="242"/>
    </row>
    <row r="825131" spans="1:1" x14ac:dyDescent="0.25">
      <c r="A825131" s="242"/>
    </row>
    <row r="825132" spans="1:1" x14ac:dyDescent="0.25">
      <c r="A825132" s="242"/>
    </row>
    <row r="825133" spans="1:1" x14ac:dyDescent="0.25">
      <c r="A825133" s="242"/>
    </row>
    <row r="825134" spans="1:1" x14ac:dyDescent="0.25">
      <c r="A825134" s="242"/>
    </row>
    <row r="825135" spans="1:1" x14ac:dyDescent="0.25">
      <c r="A825135" s="242"/>
    </row>
    <row r="825136" spans="1:1" x14ac:dyDescent="0.25">
      <c r="A825136" s="242"/>
    </row>
    <row r="825137" spans="1:1" x14ac:dyDescent="0.25">
      <c r="A825137" s="242"/>
    </row>
    <row r="825138" spans="1:1" x14ac:dyDescent="0.25">
      <c r="A825138" s="242"/>
    </row>
    <row r="825139" spans="1:1" x14ac:dyDescent="0.25">
      <c r="A825139" s="242"/>
    </row>
    <row r="825140" spans="1:1" x14ac:dyDescent="0.25">
      <c r="A825140" s="242"/>
    </row>
    <row r="825141" spans="1:1" x14ac:dyDescent="0.25">
      <c r="A825141" s="242"/>
    </row>
    <row r="825142" spans="1:1" x14ac:dyDescent="0.25">
      <c r="A825142" s="242"/>
    </row>
    <row r="825143" spans="1:1" x14ac:dyDescent="0.25">
      <c r="A825143" s="242"/>
    </row>
    <row r="825144" spans="1:1" x14ac:dyDescent="0.25">
      <c r="A825144" s="242"/>
    </row>
    <row r="825145" spans="1:1" x14ac:dyDescent="0.25">
      <c r="A825145" s="242"/>
    </row>
    <row r="825146" spans="1:1" x14ac:dyDescent="0.25">
      <c r="A825146" s="242"/>
    </row>
    <row r="825147" spans="1:1" x14ac:dyDescent="0.25">
      <c r="A825147" s="242"/>
    </row>
    <row r="825148" spans="1:1" x14ac:dyDescent="0.25">
      <c r="A825148" s="242"/>
    </row>
    <row r="825149" spans="1:1" x14ac:dyDescent="0.25">
      <c r="A825149" s="242"/>
    </row>
    <row r="825150" spans="1:1" x14ac:dyDescent="0.25">
      <c r="A825150" s="242"/>
    </row>
    <row r="825151" spans="1:1" x14ac:dyDescent="0.25">
      <c r="A825151" s="242"/>
    </row>
    <row r="825152" spans="1:1" x14ac:dyDescent="0.25">
      <c r="A825152" s="242"/>
    </row>
    <row r="825153" spans="1:1" x14ac:dyDescent="0.25">
      <c r="A825153" s="242"/>
    </row>
    <row r="825154" spans="1:1" x14ac:dyDescent="0.25">
      <c r="A825154" s="242"/>
    </row>
    <row r="825155" spans="1:1" x14ac:dyDescent="0.25">
      <c r="A825155" s="242"/>
    </row>
    <row r="825156" spans="1:1" x14ac:dyDescent="0.25">
      <c r="A825156" s="242"/>
    </row>
    <row r="825157" spans="1:1" x14ac:dyDescent="0.25">
      <c r="A825157" s="242"/>
    </row>
    <row r="825158" spans="1:1" x14ac:dyDescent="0.25">
      <c r="A825158" s="242"/>
    </row>
    <row r="825159" spans="1:1" x14ac:dyDescent="0.25">
      <c r="A825159" s="242"/>
    </row>
    <row r="825160" spans="1:1" x14ac:dyDescent="0.25">
      <c r="A825160" s="242"/>
    </row>
    <row r="825161" spans="1:1" x14ac:dyDescent="0.25">
      <c r="A825161" s="242"/>
    </row>
    <row r="825162" spans="1:1" x14ac:dyDescent="0.25">
      <c r="A825162" s="242"/>
    </row>
    <row r="825163" spans="1:1" x14ac:dyDescent="0.25">
      <c r="A825163" s="242"/>
    </row>
    <row r="825164" spans="1:1" x14ac:dyDescent="0.25">
      <c r="A825164" s="242"/>
    </row>
    <row r="825165" spans="1:1" x14ac:dyDescent="0.25">
      <c r="A825165" s="242"/>
    </row>
    <row r="825166" spans="1:1" x14ac:dyDescent="0.25">
      <c r="A825166" s="242"/>
    </row>
    <row r="825167" spans="1:1" x14ac:dyDescent="0.25">
      <c r="A825167" s="242"/>
    </row>
    <row r="825168" spans="1:1" x14ac:dyDescent="0.25">
      <c r="A825168" s="242"/>
    </row>
    <row r="825169" spans="1:1" x14ac:dyDescent="0.25">
      <c r="A825169" s="242"/>
    </row>
    <row r="825170" spans="1:1" x14ac:dyDescent="0.25">
      <c r="A825170" s="242"/>
    </row>
    <row r="825171" spans="1:1" x14ac:dyDescent="0.25">
      <c r="A825171" s="242"/>
    </row>
    <row r="825172" spans="1:1" x14ac:dyDescent="0.25">
      <c r="A825172" s="242"/>
    </row>
    <row r="825173" spans="1:1" x14ac:dyDescent="0.25">
      <c r="A825173" s="242"/>
    </row>
    <row r="825174" spans="1:1" x14ac:dyDescent="0.25">
      <c r="A825174" s="242"/>
    </row>
    <row r="825175" spans="1:1" x14ac:dyDescent="0.25">
      <c r="A825175" s="242"/>
    </row>
    <row r="825176" spans="1:1" x14ac:dyDescent="0.25">
      <c r="A825176" s="242"/>
    </row>
    <row r="825177" spans="1:1" x14ac:dyDescent="0.25">
      <c r="A825177" s="242"/>
    </row>
    <row r="825178" spans="1:1" x14ac:dyDescent="0.25">
      <c r="A825178" s="242"/>
    </row>
    <row r="825179" spans="1:1" x14ac:dyDescent="0.25">
      <c r="A825179" s="242"/>
    </row>
    <row r="825180" spans="1:1" x14ac:dyDescent="0.25">
      <c r="A825180" s="242"/>
    </row>
    <row r="825181" spans="1:1" x14ac:dyDescent="0.25">
      <c r="A825181" s="242"/>
    </row>
    <row r="825182" spans="1:1" x14ac:dyDescent="0.25">
      <c r="A825182" s="242"/>
    </row>
    <row r="825183" spans="1:1" x14ac:dyDescent="0.25">
      <c r="A825183" s="242"/>
    </row>
    <row r="825184" spans="1:1" x14ac:dyDescent="0.25">
      <c r="A825184" s="242"/>
    </row>
    <row r="825185" spans="1:1" x14ac:dyDescent="0.25">
      <c r="A825185" s="242"/>
    </row>
    <row r="825186" spans="1:1" x14ac:dyDescent="0.25">
      <c r="A825186" s="242"/>
    </row>
    <row r="825187" spans="1:1" x14ac:dyDescent="0.25">
      <c r="A825187" s="242"/>
    </row>
    <row r="825188" spans="1:1" x14ac:dyDescent="0.25">
      <c r="A825188" s="242"/>
    </row>
    <row r="825189" spans="1:1" x14ac:dyDescent="0.25">
      <c r="A825189" s="242"/>
    </row>
    <row r="825190" spans="1:1" x14ac:dyDescent="0.25">
      <c r="A825190" s="242"/>
    </row>
    <row r="825191" spans="1:1" x14ac:dyDescent="0.25">
      <c r="A825191" s="242"/>
    </row>
    <row r="825192" spans="1:1" x14ac:dyDescent="0.25">
      <c r="A825192" s="242"/>
    </row>
    <row r="825193" spans="1:1" x14ac:dyDescent="0.25">
      <c r="A825193" s="242"/>
    </row>
    <row r="825194" spans="1:1" x14ac:dyDescent="0.25">
      <c r="A825194" s="242"/>
    </row>
    <row r="825195" spans="1:1" x14ac:dyDescent="0.25">
      <c r="A825195" s="242"/>
    </row>
    <row r="825196" spans="1:1" x14ac:dyDescent="0.25">
      <c r="A825196" s="242"/>
    </row>
    <row r="825197" spans="1:1" x14ac:dyDescent="0.25">
      <c r="A825197" s="242"/>
    </row>
    <row r="825198" spans="1:1" x14ac:dyDescent="0.25">
      <c r="A825198" s="242"/>
    </row>
    <row r="825199" spans="1:1" x14ac:dyDescent="0.25">
      <c r="A825199" s="242"/>
    </row>
    <row r="825200" spans="1:1" x14ac:dyDescent="0.25">
      <c r="A825200" s="242"/>
    </row>
    <row r="825201" spans="1:1" x14ac:dyDescent="0.25">
      <c r="A825201" s="242"/>
    </row>
    <row r="825202" spans="1:1" x14ac:dyDescent="0.25">
      <c r="A825202" s="242"/>
    </row>
    <row r="825203" spans="1:1" x14ac:dyDescent="0.25">
      <c r="A825203" s="242"/>
    </row>
    <row r="825204" spans="1:1" x14ac:dyDescent="0.25">
      <c r="A825204" s="242"/>
    </row>
    <row r="825205" spans="1:1" x14ac:dyDescent="0.25">
      <c r="A825205" s="242"/>
    </row>
    <row r="825206" spans="1:1" x14ac:dyDescent="0.25">
      <c r="A825206" s="242"/>
    </row>
    <row r="825207" spans="1:1" x14ac:dyDescent="0.25">
      <c r="A825207" s="242"/>
    </row>
    <row r="825208" spans="1:1" x14ac:dyDescent="0.25">
      <c r="A825208" s="242"/>
    </row>
    <row r="825209" spans="1:1" x14ac:dyDescent="0.25">
      <c r="A825209" s="242"/>
    </row>
    <row r="825210" spans="1:1" x14ac:dyDescent="0.25">
      <c r="A825210" s="242"/>
    </row>
    <row r="825211" spans="1:1" x14ac:dyDescent="0.25">
      <c r="A825211" s="242"/>
    </row>
    <row r="825212" spans="1:1" x14ac:dyDescent="0.25">
      <c r="A825212" s="242"/>
    </row>
    <row r="825213" spans="1:1" x14ac:dyDescent="0.25">
      <c r="A825213" s="242"/>
    </row>
    <row r="825214" spans="1:1" x14ac:dyDescent="0.25">
      <c r="A825214" s="242"/>
    </row>
    <row r="825215" spans="1:1" x14ac:dyDescent="0.25">
      <c r="A825215" s="242"/>
    </row>
    <row r="825216" spans="1:1" x14ac:dyDescent="0.25">
      <c r="A825216" s="242"/>
    </row>
    <row r="825217" spans="1:1" x14ac:dyDescent="0.25">
      <c r="A825217" s="242"/>
    </row>
    <row r="825218" spans="1:1" x14ac:dyDescent="0.25">
      <c r="A825218" s="242"/>
    </row>
    <row r="825219" spans="1:1" x14ac:dyDescent="0.25">
      <c r="A825219" s="242"/>
    </row>
    <row r="825220" spans="1:1" x14ac:dyDescent="0.25">
      <c r="A825220" s="242"/>
    </row>
    <row r="825221" spans="1:1" x14ac:dyDescent="0.25">
      <c r="A825221" s="242"/>
    </row>
    <row r="825222" spans="1:1" x14ac:dyDescent="0.25">
      <c r="A825222" s="242"/>
    </row>
    <row r="825223" spans="1:1" x14ac:dyDescent="0.25">
      <c r="A825223" s="242"/>
    </row>
    <row r="825224" spans="1:1" x14ac:dyDescent="0.25">
      <c r="A825224" s="242"/>
    </row>
    <row r="825225" spans="1:1" x14ac:dyDescent="0.25">
      <c r="A825225" s="242"/>
    </row>
    <row r="825226" spans="1:1" x14ac:dyDescent="0.25">
      <c r="A825226" s="242"/>
    </row>
    <row r="825227" spans="1:1" x14ac:dyDescent="0.25">
      <c r="A825227" s="242"/>
    </row>
    <row r="825228" spans="1:1" x14ac:dyDescent="0.25">
      <c r="A825228" s="242"/>
    </row>
    <row r="825229" spans="1:1" x14ac:dyDescent="0.25">
      <c r="A825229" s="242"/>
    </row>
    <row r="825230" spans="1:1" x14ac:dyDescent="0.25">
      <c r="A825230" s="242"/>
    </row>
    <row r="825231" spans="1:1" x14ac:dyDescent="0.25">
      <c r="A825231" s="242"/>
    </row>
    <row r="825232" spans="1:1" x14ac:dyDescent="0.25">
      <c r="A825232" s="242"/>
    </row>
    <row r="825233" spans="1:1" x14ac:dyDescent="0.25">
      <c r="A825233" s="242"/>
    </row>
    <row r="825234" spans="1:1" x14ac:dyDescent="0.25">
      <c r="A825234" s="242"/>
    </row>
    <row r="825235" spans="1:1" x14ac:dyDescent="0.25">
      <c r="A825235" s="242"/>
    </row>
    <row r="825236" spans="1:1" x14ac:dyDescent="0.25">
      <c r="A825236" s="242"/>
    </row>
    <row r="825237" spans="1:1" x14ac:dyDescent="0.25">
      <c r="A825237" s="242"/>
    </row>
    <row r="825238" spans="1:1" x14ac:dyDescent="0.25">
      <c r="A825238" s="242"/>
    </row>
    <row r="825239" spans="1:1" x14ac:dyDescent="0.25">
      <c r="A825239" s="242"/>
    </row>
    <row r="825240" spans="1:1" x14ac:dyDescent="0.25">
      <c r="A825240" s="242"/>
    </row>
    <row r="825241" spans="1:1" x14ac:dyDescent="0.25">
      <c r="A825241" s="242"/>
    </row>
    <row r="825242" spans="1:1" x14ac:dyDescent="0.25">
      <c r="A825242" s="242"/>
    </row>
    <row r="825243" spans="1:1" x14ac:dyDescent="0.25">
      <c r="A825243" s="242"/>
    </row>
    <row r="825244" spans="1:1" x14ac:dyDescent="0.25">
      <c r="A825244" s="242"/>
    </row>
    <row r="825245" spans="1:1" x14ac:dyDescent="0.25">
      <c r="A825245" s="242"/>
    </row>
    <row r="825246" spans="1:1" x14ac:dyDescent="0.25">
      <c r="A825246" s="242"/>
    </row>
    <row r="825247" spans="1:1" x14ac:dyDescent="0.25">
      <c r="A825247" s="242"/>
    </row>
    <row r="825248" spans="1:1" x14ac:dyDescent="0.25">
      <c r="A825248" s="242"/>
    </row>
    <row r="825249" spans="1:1" x14ac:dyDescent="0.25">
      <c r="A825249" s="242"/>
    </row>
    <row r="825250" spans="1:1" x14ac:dyDescent="0.25">
      <c r="A825250" s="242"/>
    </row>
    <row r="825251" spans="1:1" x14ac:dyDescent="0.25">
      <c r="A825251" s="242"/>
    </row>
    <row r="825252" spans="1:1" x14ac:dyDescent="0.25">
      <c r="A825252" s="242"/>
    </row>
    <row r="825253" spans="1:1" x14ac:dyDescent="0.25">
      <c r="A825253" s="242"/>
    </row>
    <row r="825254" spans="1:1" x14ac:dyDescent="0.25">
      <c r="A825254" s="242"/>
    </row>
    <row r="825255" spans="1:1" x14ac:dyDescent="0.25">
      <c r="A825255" s="242"/>
    </row>
    <row r="825256" spans="1:1" x14ac:dyDescent="0.25">
      <c r="A825256" s="242"/>
    </row>
    <row r="825257" spans="1:1" x14ac:dyDescent="0.25">
      <c r="A825257" s="242"/>
    </row>
    <row r="825258" spans="1:1" x14ac:dyDescent="0.25">
      <c r="A825258" s="242"/>
    </row>
    <row r="825259" spans="1:1" x14ac:dyDescent="0.25">
      <c r="A825259" s="242"/>
    </row>
    <row r="825260" spans="1:1" x14ac:dyDescent="0.25">
      <c r="A825260" s="242"/>
    </row>
    <row r="825261" spans="1:1" x14ac:dyDescent="0.25">
      <c r="A825261" s="242"/>
    </row>
    <row r="825262" spans="1:1" x14ac:dyDescent="0.25">
      <c r="A825262" s="242"/>
    </row>
    <row r="825263" spans="1:1" x14ac:dyDescent="0.25">
      <c r="A825263" s="242"/>
    </row>
    <row r="825264" spans="1:1" x14ac:dyDescent="0.25">
      <c r="A825264" s="242"/>
    </row>
    <row r="825265" spans="1:1" x14ac:dyDescent="0.25">
      <c r="A825265" s="242"/>
    </row>
    <row r="825266" spans="1:1" x14ac:dyDescent="0.25">
      <c r="A825266" s="242"/>
    </row>
    <row r="825267" spans="1:1" x14ac:dyDescent="0.25">
      <c r="A825267" s="242"/>
    </row>
    <row r="825268" spans="1:1" x14ac:dyDescent="0.25">
      <c r="A825268" s="242"/>
    </row>
    <row r="825269" spans="1:1" x14ac:dyDescent="0.25">
      <c r="A825269" s="242"/>
    </row>
    <row r="825270" spans="1:1" x14ac:dyDescent="0.25">
      <c r="A825270" s="242"/>
    </row>
    <row r="825271" spans="1:1" x14ac:dyDescent="0.25">
      <c r="A825271" s="242"/>
    </row>
    <row r="825272" spans="1:1" x14ac:dyDescent="0.25">
      <c r="A825272" s="242"/>
    </row>
    <row r="825273" spans="1:1" x14ac:dyDescent="0.25">
      <c r="A825273" s="242"/>
    </row>
    <row r="825274" spans="1:1" x14ac:dyDescent="0.25">
      <c r="A825274" s="242"/>
    </row>
    <row r="825275" spans="1:1" x14ac:dyDescent="0.25">
      <c r="A825275" s="242"/>
    </row>
    <row r="825276" spans="1:1" x14ac:dyDescent="0.25">
      <c r="A825276" s="242"/>
    </row>
    <row r="825277" spans="1:1" x14ac:dyDescent="0.25">
      <c r="A825277" s="242"/>
    </row>
    <row r="825278" spans="1:1" x14ac:dyDescent="0.25">
      <c r="A825278" s="242"/>
    </row>
    <row r="825279" spans="1:1" x14ac:dyDescent="0.25">
      <c r="A825279" s="242"/>
    </row>
    <row r="825280" spans="1:1" x14ac:dyDescent="0.25">
      <c r="A825280" s="242"/>
    </row>
    <row r="825281" spans="1:1" x14ac:dyDescent="0.25">
      <c r="A825281" s="242"/>
    </row>
    <row r="825282" spans="1:1" x14ac:dyDescent="0.25">
      <c r="A825282" s="242"/>
    </row>
    <row r="825283" spans="1:1" x14ac:dyDescent="0.25">
      <c r="A825283" s="242"/>
    </row>
    <row r="825284" spans="1:1" x14ac:dyDescent="0.25">
      <c r="A825284" s="242"/>
    </row>
    <row r="825285" spans="1:1" x14ac:dyDescent="0.25">
      <c r="A825285" s="242"/>
    </row>
    <row r="825286" spans="1:1" x14ac:dyDescent="0.25">
      <c r="A825286" s="242"/>
    </row>
    <row r="825287" spans="1:1" x14ac:dyDescent="0.25">
      <c r="A825287" s="242"/>
    </row>
    <row r="825288" spans="1:1" x14ac:dyDescent="0.25">
      <c r="A825288" s="242"/>
    </row>
    <row r="825289" spans="1:1" x14ac:dyDescent="0.25">
      <c r="A825289" s="242"/>
    </row>
    <row r="825290" spans="1:1" x14ac:dyDescent="0.25">
      <c r="A825290" s="242"/>
    </row>
    <row r="825291" spans="1:1" x14ac:dyDescent="0.25">
      <c r="A825291" s="242"/>
    </row>
    <row r="825292" spans="1:1" x14ac:dyDescent="0.25">
      <c r="A825292" s="242"/>
    </row>
    <row r="825293" spans="1:1" x14ac:dyDescent="0.25">
      <c r="A825293" s="242"/>
    </row>
    <row r="825294" spans="1:1" x14ac:dyDescent="0.25">
      <c r="A825294" s="242"/>
    </row>
    <row r="825295" spans="1:1" x14ac:dyDescent="0.25">
      <c r="A825295" s="242"/>
    </row>
    <row r="825296" spans="1:1" x14ac:dyDescent="0.25">
      <c r="A825296" s="242"/>
    </row>
    <row r="825297" spans="1:1" x14ac:dyDescent="0.25">
      <c r="A825297" s="242"/>
    </row>
    <row r="825298" spans="1:1" x14ac:dyDescent="0.25">
      <c r="A825298" s="242"/>
    </row>
    <row r="825299" spans="1:1" x14ac:dyDescent="0.25">
      <c r="A825299" s="242"/>
    </row>
    <row r="825300" spans="1:1" x14ac:dyDescent="0.25">
      <c r="A825300" s="242"/>
    </row>
    <row r="825301" spans="1:1" x14ac:dyDescent="0.25">
      <c r="A825301" s="242"/>
    </row>
    <row r="825302" spans="1:1" x14ac:dyDescent="0.25">
      <c r="A825302" s="242"/>
    </row>
    <row r="825303" spans="1:1" x14ac:dyDescent="0.25">
      <c r="A825303" s="242"/>
    </row>
    <row r="825304" spans="1:1" x14ac:dyDescent="0.25">
      <c r="A825304" s="242"/>
    </row>
    <row r="825305" spans="1:1" x14ac:dyDescent="0.25">
      <c r="A825305" s="242"/>
    </row>
    <row r="825306" spans="1:1" x14ac:dyDescent="0.25">
      <c r="A825306" s="242"/>
    </row>
    <row r="825307" spans="1:1" x14ac:dyDescent="0.25">
      <c r="A825307" s="242"/>
    </row>
    <row r="825308" spans="1:1" x14ac:dyDescent="0.25">
      <c r="A825308" s="242"/>
    </row>
    <row r="825309" spans="1:1" x14ac:dyDescent="0.25">
      <c r="A825309" s="242"/>
    </row>
    <row r="825310" spans="1:1" x14ac:dyDescent="0.25">
      <c r="A825310" s="242"/>
    </row>
    <row r="825311" spans="1:1" x14ac:dyDescent="0.25">
      <c r="A825311" s="242"/>
    </row>
    <row r="825312" spans="1:1" x14ac:dyDescent="0.25">
      <c r="A825312" s="242"/>
    </row>
    <row r="825313" spans="1:1" x14ac:dyDescent="0.25">
      <c r="A825313" s="242"/>
    </row>
    <row r="825314" spans="1:1" x14ac:dyDescent="0.25">
      <c r="A825314" s="242"/>
    </row>
    <row r="825315" spans="1:1" x14ac:dyDescent="0.25">
      <c r="A825315" s="242"/>
    </row>
    <row r="825316" spans="1:1" x14ac:dyDescent="0.25">
      <c r="A825316" s="242"/>
    </row>
    <row r="825317" spans="1:1" x14ac:dyDescent="0.25">
      <c r="A825317" s="242"/>
    </row>
    <row r="825318" spans="1:1" x14ac:dyDescent="0.25">
      <c r="A825318" s="242"/>
    </row>
    <row r="825319" spans="1:1" x14ac:dyDescent="0.25">
      <c r="A825319" s="242"/>
    </row>
    <row r="825320" spans="1:1" x14ac:dyDescent="0.25">
      <c r="A825320" s="242"/>
    </row>
    <row r="825321" spans="1:1" x14ac:dyDescent="0.25">
      <c r="A825321" s="242"/>
    </row>
    <row r="825322" spans="1:1" x14ac:dyDescent="0.25">
      <c r="A825322" s="242"/>
    </row>
    <row r="825323" spans="1:1" x14ac:dyDescent="0.25">
      <c r="A825323" s="242"/>
    </row>
    <row r="825324" spans="1:1" x14ac:dyDescent="0.25">
      <c r="A825324" s="242"/>
    </row>
    <row r="825325" spans="1:1" x14ac:dyDescent="0.25">
      <c r="A825325" s="242"/>
    </row>
    <row r="825326" spans="1:1" x14ac:dyDescent="0.25">
      <c r="A825326" s="242"/>
    </row>
    <row r="825327" spans="1:1" x14ac:dyDescent="0.25">
      <c r="A825327" s="242"/>
    </row>
    <row r="825328" spans="1:1" x14ac:dyDescent="0.25">
      <c r="A825328" s="242"/>
    </row>
    <row r="825329" spans="1:1" x14ac:dyDescent="0.25">
      <c r="A825329" s="242"/>
    </row>
    <row r="825330" spans="1:1" x14ac:dyDescent="0.25">
      <c r="A825330" s="242"/>
    </row>
    <row r="825331" spans="1:1" x14ac:dyDescent="0.25">
      <c r="A825331" s="242"/>
    </row>
    <row r="825332" spans="1:1" x14ac:dyDescent="0.25">
      <c r="A825332" s="242"/>
    </row>
    <row r="825333" spans="1:1" x14ac:dyDescent="0.25">
      <c r="A825333" s="242"/>
    </row>
    <row r="825334" spans="1:1" x14ac:dyDescent="0.25">
      <c r="A825334" s="242"/>
    </row>
    <row r="825335" spans="1:1" x14ac:dyDescent="0.25">
      <c r="A825335" s="242"/>
    </row>
    <row r="825336" spans="1:1" x14ac:dyDescent="0.25">
      <c r="A825336" s="242"/>
    </row>
    <row r="825337" spans="1:1" x14ac:dyDescent="0.25">
      <c r="A825337" s="242"/>
    </row>
    <row r="825338" spans="1:1" x14ac:dyDescent="0.25">
      <c r="A825338" s="242"/>
    </row>
    <row r="825339" spans="1:1" x14ac:dyDescent="0.25">
      <c r="A825339" s="242"/>
    </row>
    <row r="825340" spans="1:1" x14ac:dyDescent="0.25">
      <c r="A825340" s="242"/>
    </row>
    <row r="825341" spans="1:1" x14ac:dyDescent="0.25">
      <c r="A825341" s="242"/>
    </row>
    <row r="825342" spans="1:1" x14ac:dyDescent="0.25">
      <c r="A825342" s="242"/>
    </row>
    <row r="825343" spans="1:1" x14ac:dyDescent="0.25">
      <c r="A825343" s="242"/>
    </row>
    <row r="825344" spans="1:1" x14ac:dyDescent="0.25">
      <c r="A825344" s="242"/>
    </row>
    <row r="825345" spans="1:1" x14ac:dyDescent="0.25">
      <c r="A825345" s="242"/>
    </row>
    <row r="825346" spans="1:1" x14ac:dyDescent="0.25">
      <c r="A825346" s="242"/>
    </row>
    <row r="825347" spans="1:1" x14ac:dyDescent="0.25">
      <c r="A825347" s="242"/>
    </row>
    <row r="825348" spans="1:1" x14ac:dyDescent="0.25">
      <c r="A825348" s="242"/>
    </row>
    <row r="825349" spans="1:1" x14ac:dyDescent="0.25">
      <c r="A825349" s="242"/>
    </row>
    <row r="825350" spans="1:1" x14ac:dyDescent="0.25">
      <c r="A825350" s="242"/>
    </row>
    <row r="825351" spans="1:1" x14ac:dyDescent="0.25">
      <c r="A825351" s="242"/>
    </row>
    <row r="825352" spans="1:1" x14ac:dyDescent="0.25">
      <c r="A825352" s="242"/>
    </row>
    <row r="825353" spans="1:1" x14ac:dyDescent="0.25">
      <c r="A825353" s="242"/>
    </row>
    <row r="825354" spans="1:1" x14ac:dyDescent="0.25">
      <c r="A825354" s="242"/>
    </row>
    <row r="825355" spans="1:1" x14ac:dyDescent="0.25">
      <c r="A825355" s="242"/>
    </row>
    <row r="825356" spans="1:1" x14ac:dyDescent="0.25">
      <c r="A825356" s="242"/>
    </row>
    <row r="825357" spans="1:1" x14ac:dyDescent="0.25">
      <c r="A825357" s="242"/>
    </row>
    <row r="825358" spans="1:1" x14ac:dyDescent="0.25">
      <c r="A825358" s="242"/>
    </row>
    <row r="825359" spans="1:1" x14ac:dyDescent="0.25">
      <c r="A825359" s="242"/>
    </row>
    <row r="825360" spans="1:1" x14ac:dyDescent="0.25">
      <c r="A825360" s="242"/>
    </row>
    <row r="825361" spans="1:1" x14ac:dyDescent="0.25">
      <c r="A825361" s="242"/>
    </row>
    <row r="825362" spans="1:1" x14ac:dyDescent="0.25">
      <c r="A825362" s="242"/>
    </row>
    <row r="825363" spans="1:1" x14ac:dyDescent="0.25">
      <c r="A825363" s="242"/>
    </row>
    <row r="825364" spans="1:1" x14ac:dyDescent="0.25">
      <c r="A825364" s="242"/>
    </row>
    <row r="825365" spans="1:1" x14ac:dyDescent="0.25">
      <c r="A825365" s="242"/>
    </row>
    <row r="825366" spans="1:1" x14ac:dyDescent="0.25">
      <c r="A825366" s="242"/>
    </row>
    <row r="825367" spans="1:1" x14ac:dyDescent="0.25">
      <c r="A825367" s="242"/>
    </row>
    <row r="825368" spans="1:1" x14ac:dyDescent="0.25">
      <c r="A825368" s="242"/>
    </row>
    <row r="825369" spans="1:1" x14ac:dyDescent="0.25">
      <c r="A825369" s="242"/>
    </row>
    <row r="825370" spans="1:1" x14ac:dyDescent="0.25">
      <c r="A825370" s="242"/>
    </row>
    <row r="825371" spans="1:1" x14ac:dyDescent="0.25">
      <c r="A825371" s="242"/>
    </row>
    <row r="825372" spans="1:1" x14ac:dyDescent="0.25">
      <c r="A825372" s="242"/>
    </row>
    <row r="825373" spans="1:1" x14ac:dyDescent="0.25">
      <c r="A825373" s="242"/>
    </row>
    <row r="825374" spans="1:1" x14ac:dyDescent="0.25">
      <c r="A825374" s="242"/>
    </row>
    <row r="825375" spans="1:1" x14ac:dyDescent="0.25">
      <c r="A825375" s="242"/>
    </row>
    <row r="825376" spans="1:1" x14ac:dyDescent="0.25">
      <c r="A825376" s="242"/>
    </row>
    <row r="825377" spans="1:1" x14ac:dyDescent="0.25">
      <c r="A825377" s="242"/>
    </row>
    <row r="825378" spans="1:1" x14ac:dyDescent="0.25">
      <c r="A825378" s="242"/>
    </row>
    <row r="825379" spans="1:1" x14ac:dyDescent="0.25">
      <c r="A825379" s="242"/>
    </row>
    <row r="825380" spans="1:1" x14ac:dyDescent="0.25">
      <c r="A825380" s="242"/>
    </row>
    <row r="825381" spans="1:1" x14ac:dyDescent="0.25">
      <c r="A825381" s="242"/>
    </row>
    <row r="825382" spans="1:1" x14ac:dyDescent="0.25">
      <c r="A825382" s="242"/>
    </row>
    <row r="825383" spans="1:1" x14ac:dyDescent="0.25">
      <c r="A825383" s="242"/>
    </row>
    <row r="825384" spans="1:1" x14ac:dyDescent="0.25">
      <c r="A825384" s="242"/>
    </row>
    <row r="825385" spans="1:1" x14ac:dyDescent="0.25">
      <c r="A825385" s="242"/>
    </row>
    <row r="825386" spans="1:1" x14ac:dyDescent="0.25">
      <c r="A825386" s="242"/>
    </row>
    <row r="825387" spans="1:1" x14ac:dyDescent="0.25">
      <c r="A825387" s="242"/>
    </row>
    <row r="825388" spans="1:1" x14ac:dyDescent="0.25">
      <c r="A825388" s="242"/>
    </row>
    <row r="825389" spans="1:1" x14ac:dyDescent="0.25">
      <c r="A825389" s="242"/>
    </row>
    <row r="825390" spans="1:1" x14ac:dyDescent="0.25">
      <c r="A825390" s="242"/>
    </row>
    <row r="825391" spans="1:1" x14ac:dyDescent="0.25">
      <c r="A825391" s="242"/>
    </row>
    <row r="825392" spans="1:1" x14ac:dyDescent="0.25">
      <c r="A825392" s="242"/>
    </row>
    <row r="825393" spans="1:1" x14ac:dyDescent="0.25">
      <c r="A825393" s="242"/>
    </row>
    <row r="825394" spans="1:1" x14ac:dyDescent="0.25">
      <c r="A825394" s="242"/>
    </row>
    <row r="825395" spans="1:1" x14ac:dyDescent="0.25">
      <c r="A825395" s="242"/>
    </row>
    <row r="825396" spans="1:1" x14ac:dyDescent="0.25">
      <c r="A825396" s="242"/>
    </row>
    <row r="825397" spans="1:1" x14ac:dyDescent="0.25">
      <c r="A825397" s="242"/>
    </row>
    <row r="825398" spans="1:1" x14ac:dyDescent="0.25">
      <c r="A825398" s="242"/>
    </row>
    <row r="825399" spans="1:1" x14ac:dyDescent="0.25">
      <c r="A825399" s="242"/>
    </row>
    <row r="825400" spans="1:1" x14ac:dyDescent="0.25">
      <c r="A825400" s="242"/>
    </row>
    <row r="825401" spans="1:1" x14ac:dyDescent="0.25">
      <c r="A825401" s="242"/>
    </row>
    <row r="825402" spans="1:1" x14ac:dyDescent="0.25">
      <c r="A825402" s="242"/>
    </row>
    <row r="825403" spans="1:1" x14ac:dyDescent="0.25">
      <c r="A825403" s="242"/>
    </row>
    <row r="825404" spans="1:1" x14ac:dyDescent="0.25">
      <c r="A825404" s="242"/>
    </row>
    <row r="825405" spans="1:1" x14ac:dyDescent="0.25">
      <c r="A825405" s="242"/>
    </row>
    <row r="825406" spans="1:1" x14ac:dyDescent="0.25">
      <c r="A825406" s="242"/>
    </row>
    <row r="825407" spans="1:1" x14ac:dyDescent="0.25">
      <c r="A825407" s="242"/>
    </row>
    <row r="825408" spans="1:1" x14ac:dyDescent="0.25">
      <c r="A825408" s="242"/>
    </row>
    <row r="825409" spans="1:1" x14ac:dyDescent="0.25">
      <c r="A825409" s="242"/>
    </row>
    <row r="825410" spans="1:1" x14ac:dyDescent="0.25">
      <c r="A825410" s="242"/>
    </row>
    <row r="825411" spans="1:1" x14ac:dyDescent="0.25">
      <c r="A825411" s="242"/>
    </row>
    <row r="825412" spans="1:1" x14ac:dyDescent="0.25">
      <c r="A825412" s="242"/>
    </row>
    <row r="825413" spans="1:1" x14ac:dyDescent="0.25">
      <c r="A825413" s="242"/>
    </row>
    <row r="825414" spans="1:1" x14ac:dyDescent="0.25">
      <c r="A825414" s="242"/>
    </row>
    <row r="825415" spans="1:1" x14ac:dyDescent="0.25">
      <c r="A825415" s="242"/>
    </row>
    <row r="825416" spans="1:1" x14ac:dyDescent="0.25">
      <c r="A825416" s="242"/>
    </row>
    <row r="825417" spans="1:1" x14ac:dyDescent="0.25">
      <c r="A825417" s="242"/>
    </row>
    <row r="825418" spans="1:1" x14ac:dyDescent="0.25">
      <c r="A825418" s="242"/>
    </row>
    <row r="825419" spans="1:1" x14ac:dyDescent="0.25">
      <c r="A825419" s="242"/>
    </row>
    <row r="825420" spans="1:1" x14ac:dyDescent="0.25">
      <c r="A825420" s="242"/>
    </row>
    <row r="825421" spans="1:1" x14ac:dyDescent="0.25">
      <c r="A825421" s="242"/>
    </row>
    <row r="825422" spans="1:1" x14ac:dyDescent="0.25">
      <c r="A825422" s="242"/>
    </row>
    <row r="825423" spans="1:1" x14ac:dyDescent="0.25">
      <c r="A825423" s="242"/>
    </row>
    <row r="825424" spans="1:1" x14ac:dyDescent="0.25">
      <c r="A825424" s="242"/>
    </row>
    <row r="825425" spans="1:1" x14ac:dyDescent="0.25">
      <c r="A825425" s="242"/>
    </row>
    <row r="825426" spans="1:1" x14ac:dyDescent="0.25">
      <c r="A825426" s="242"/>
    </row>
    <row r="825427" spans="1:1" x14ac:dyDescent="0.25">
      <c r="A825427" s="242"/>
    </row>
    <row r="825428" spans="1:1" x14ac:dyDescent="0.25">
      <c r="A825428" s="242"/>
    </row>
    <row r="825429" spans="1:1" x14ac:dyDescent="0.25">
      <c r="A825429" s="242"/>
    </row>
    <row r="825430" spans="1:1" x14ac:dyDescent="0.25">
      <c r="A825430" s="242"/>
    </row>
    <row r="825431" spans="1:1" x14ac:dyDescent="0.25">
      <c r="A825431" s="242"/>
    </row>
    <row r="825432" spans="1:1" x14ac:dyDescent="0.25">
      <c r="A825432" s="242"/>
    </row>
    <row r="825433" spans="1:1" x14ac:dyDescent="0.25">
      <c r="A825433" s="242"/>
    </row>
    <row r="825434" spans="1:1" x14ac:dyDescent="0.25">
      <c r="A825434" s="242"/>
    </row>
    <row r="825435" spans="1:1" x14ac:dyDescent="0.25">
      <c r="A825435" s="242"/>
    </row>
    <row r="825436" spans="1:1" x14ac:dyDescent="0.25">
      <c r="A825436" s="242"/>
    </row>
    <row r="825437" spans="1:1" x14ac:dyDescent="0.25">
      <c r="A825437" s="242"/>
    </row>
    <row r="825438" spans="1:1" x14ac:dyDescent="0.25">
      <c r="A825438" s="242"/>
    </row>
    <row r="825439" spans="1:1" x14ac:dyDescent="0.25">
      <c r="A825439" s="242"/>
    </row>
    <row r="825440" spans="1:1" x14ac:dyDescent="0.25">
      <c r="A825440" s="242"/>
    </row>
    <row r="825441" spans="1:1" x14ac:dyDescent="0.25">
      <c r="A825441" s="242"/>
    </row>
    <row r="825442" spans="1:1" x14ac:dyDescent="0.25">
      <c r="A825442" s="242"/>
    </row>
    <row r="825443" spans="1:1" x14ac:dyDescent="0.25">
      <c r="A825443" s="242"/>
    </row>
    <row r="825444" spans="1:1" x14ac:dyDescent="0.25">
      <c r="A825444" s="242"/>
    </row>
    <row r="825445" spans="1:1" x14ac:dyDescent="0.25">
      <c r="A825445" s="242"/>
    </row>
    <row r="825446" spans="1:1" x14ac:dyDescent="0.25">
      <c r="A825446" s="242"/>
    </row>
    <row r="825447" spans="1:1" x14ac:dyDescent="0.25">
      <c r="A825447" s="242"/>
    </row>
    <row r="825448" spans="1:1" x14ac:dyDescent="0.25">
      <c r="A825448" s="242"/>
    </row>
    <row r="825449" spans="1:1" x14ac:dyDescent="0.25">
      <c r="A825449" s="242"/>
    </row>
    <row r="825450" spans="1:1" x14ac:dyDescent="0.25">
      <c r="A825450" s="242"/>
    </row>
    <row r="825451" spans="1:1" x14ac:dyDescent="0.25">
      <c r="A825451" s="242"/>
    </row>
    <row r="825452" spans="1:1" x14ac:dyDescent="0.25">
      <c r="A825452" s="242"/>
    </row>
    <row r="825453" spans="1:1" x14ac:dyDescent="0.25">
      <c r="A825453" s="242"/>
    </row>
    <row r="825454" spans="1:1" x14ac:dyDescent="0.25">
      <c r="A825454" s="242"/>
    </row>
    <row r="825455" spans="1:1" x14ac:dyDescent="0.25">
      <c r="A825455" s="242"/>
    </row>
    <row r="825456" spans="1:1" x14ac:dyDescent="0.25">
      <c r="A825456" s="242"/>
    </row>
    <row r="825457" spans="1:1" x14ac:dyDescent="0.25">
      <c r="A825457" s="242"/>
    </row>
    <row r="825458" spans="1:1" x14ac:dyDescent="0.25">
      <c r="A825458" s="242"/>
    </row>
    <row r="825459" spans="1:1" x14ac:dyDescent="0.25">
      <c r="A825459" s="242"/>
    </row>
    <row r="825460" spans="1:1" x14ac:dyDescent="0.25">
      <c r="A825460" s="242"/>
    </row>
    <row r="825461" spans="1:1" x14ac:dyDescent="0.25">
      <c r="A825461" s="242"/>
    </row>
    <row r="825462" spans="1:1" x14ac:dyDescent="0.25">
      <c r="A825462" s="242"/>
    </row>
    <row r="825463" spans="1:1" x14ac:dyDescent="0.25">
      <c r="A825463" s="242"/>
    </row>
    <row r="825464" spans="1:1" x14ac:dyDescent="0.25">
      <c r="A825464" s="242"/>
    </row>
    <row r="825465" spans="1:1" x14ac:dyDescent="0.25">
      <c r="A825465" s="242"/>
    </row>
    <row r="825466" spans="1:1" x14ac:dyDescent="0.25">
      <c r="A825466" s="242"/>
    </row>
    <row r="825467" spans="1:1" x14ac:dyDescent="0.25">
      <c r="A825467" s="242"/>
    </row>
    <row r="825468" spans="1:1" x14ac:dyDescent="0.25">
      <c r="A825468" s="242"/>
    </row>
    <row r="825469" spans="1:1" x14ac:dyDescent="0.25">
      <c r="A825469" s="242"/>
    </row>
    <row r="825470" spans="1:1" x14ac:dyDescent="0.25">
      <c r="A825470" s="242"/>
    </row>
    <row r="825471" spans="1:1" x14ac:dyDescent="0.25">
      <c r="A825471" s="242"/>
    </row>
    <row r="825472" spans="1:1" x14ac:dyDescent="0.25">
      <c r="A825472" s="242"/>
    </row>
    <row r="825473" spans="1:1" x14ac:dyDescent="0.25">
      <c r="A825473" s="242"/>
    </row>
    <row r="825474" spans="1:1" x14ac:dyDescent="0.25">
      <c r="A825474" s="242"/>
    </row>
    <row r="825475" spans="1:1" x14ac:dyDescent="0.25">
      <c r="A825475" s="242"/>
    </row>
    <row r="825476" spans="1:1" x14ac:dyDescent="0.25">
      <c r="A825476" s="242"/>
    </row>
    <row r="825477" spans="1:1" x14ac:dyDescent="0.25">
      <c r="A825477" s="242"/>
    </row>
    <row r="825478" spans="1:1" x14ac:dyDescent="0.25">
      <c r="A825478" s="242"/>
    </row>
    <row r="825479" spans="1:1" x14ac:dyDescent="0.25">
      <c r="A825479" s="242"/>
    </row>
    <row r="825480" spans="1:1" x14ac:dyDescent="0.25">
      <c r="A825480" s="242"/>
    </row>
    <row r="825481" spans="1:1" x14ac:dyDescent="0.25">
      <c r="A825481" s="242"/>
    </row>
    <row r="825482" spans="1:1" x14ac:dyDescent="0.25">
      <c r="A825482" s="242"/>
    </row>
    <row r="825483" spans="1:1" x14ac:dyDescent="0.25">
      <c r="A825483" s="242"/>
    </row>
    <row r="825484" spans="1:1" x14ac:dyDescent="0.25">
      <c r="A825484" s="242"/>
    </row>
    <row r="825485" spans="1:1" x14ac:dyDescent="0.25">
      <c r="A825485" s="242"/>
    </row>
    <row r="825486" spans="1:1" x14ac:dyDescent="0.25">
      <c r="A825486" s="242"/>
    </row>
    <row r="825487" spans="1:1" x14ac:dyDescent="0.25">
      <c r="A825487" s="242"/>
    </row>
    <row r="825488" spans="1:1" x14ac:dyDescent="0.25">
      <c r="A825488" s="242"/>
    </row>
    <row r="825489" spans="1:1" x14ac:dyDescent="0.25">
      <c r="A825489" s="242"/>
    </row>
    <row r="825490" spans="1:1" x14ac:dyDescent="0.25">
      <c r="A825490" s="242"/>
    </row>
    <row r="825491" spans="1:1" x14ac:dyDescent="0.25">
      <c r="A825491" s="242"/>
    </row>
    <row r="825492" spans="1:1" x14ac:dyDescent="0.25">
      <c r="A825492" s="242"/>
    </row>
    <row r="825493" spans="1:1" x14ac:dyDescent="0.25">
      <c r="A825493" s="242"/>
    </row>
    <row r="825494" spans="1:1" x14ac:dyDescent="0.25">
      <c r="A825494" s="242"/>
    </row>
    <row r="825495" spans="1:1" x14ac:dyDescent="0.25">
      <c r="A825495" s="242"/>
    </row>
    <row r="825496" spans="1:1" x14ac:dyDescent="0.25">
      <c r="A825496" s="242"/>
    </row>
    <row r="825497" spans="1:1" x14ac:dyDescent="0.25">
      <c r="A825497" s="242"/>
    </row>
    <row r="825498" spans="1:1" x14ac:dyDescent="0.25">
      <c r="A825498" s="242"/>
    </row>
    <row r="825499" spans="1:1" x14ac:dyDescent="0.25">
      <c r="A825499" s="242"/>
    </row>
    <row r="825500" spans="1:1" x14ac:dyDescent="0.25">
      <c r="A825500" s="242"/>
    </row>
    <row r="825501" spans="1:1" x14ac:dyDescent="0.25">
      <c r="A825501" s="242"/>
    </row>
    <row r="825502" spans="1:1" x14ac:dyDescent="0.25">
      <c r="A825502" s="242"/>
    </row>
    <row r="825503" spans="1:1" x14ac:dyDescent="0.25">
      <c r="A825503" s="242"/>
    </row>
    <row r="825504" spans="1:1" x14ac:dyDescent="0.25">
      <c r="A825504" s="242"/>
    </row>
    <row r="825505" spans="1:1" x14ac:dyDescent="0.25">
      <c r="A825505" s="242"/>
    </row>
    <row r="825506" spans="1:1" x14ac:dyDescent="0.25">
      <c r="A825506" s="242"/>
    </row>
    <row r="825507" spans="1:1" x14ac:dyDescent="0.25">
      <c r="A825507" s="242"/>
    </row>
    <row r="825508" spans="1:1" x14ac:dyDescent="0.25">
      <c r="A825508" s="242"/>
    </row>
    <row r="825509" spans="1:1" x14ac:dyDescent="0.25">
      <c r="A825509" s="242"/>
    </row>
    <row r="825510" spans="1:1" x14ac:dyDescent="0.25">
      <c r="A825510" s="242"/>
    </row>
    <row r="825511" spans="1:1" x14ac:dyDescent="0.25">
      <c r="A825511" s="242"/>
    </row>
    <row r="825512" spans="1:1" x14ac:dyDescent="0.25">
      <c r="A825512" s="242"/>
    </row>
    <row r="825513" spans="1:1" x14ac:dyDescent="0.25">
      <c r="A825513" s="242"/>
    </row>
    <row r="825514" spans="1:1" x14ac:dyDescent="0.25">
      <c r="A825514" s="242"/>
    </row>
    <row r="825515" spans="1:1" x14ac:dyDescent="0.25">
      <c r="A825515" s="242"/>
    </row>
    <row r="825516" spans="1:1" x14ac:dyDescent="0.25">
      <c r="A825516" s="242"/>
    </row>
    <row r="825517" spans="1:1" x14ac:dyDescent="0.25">
      <c r="A825517" s="242"/>
    </row>
    <row r="825518" spans="1:1" x14ac:dyDescent="0.25">
      <c r="A825518" s="242"/>
    </row>
    <row r="825519" spans="1:1" x14ac:dyDescent="0.25">
      <c r="A825519" s="242"/>
    </row>
    <row r="825520" spans="1:1" x14ac:dyDescent="0.25">
      <c r="A825520" s="242"/>
    </row>
    <row r="825521" spans="1:1" x14ac:dyDescent="0.25">
      <c r="A825521" s="242"/>
    </row>
    <row r="825522" spans="1:1" x14ac:dyDescent="0.25">
      <c r="A825522" s="242"/>
    </row>
    <row r="825523" spans="1:1" x14ac:dyDescent="0.25">
      <c r="A825523" s="242"/>
    </row>
    <row r="825524" spans="1:1" x14ac:dyDescent="0.25">
      <c r="A825524" s="242"/>
    </row>
    <row r="825525" spans="1:1" x14ac:dyDescent="0.25">
      <c r="A825525" s="242"/>
    </row>
    <row r="825526" spans="1:1" x14ac:dyDescent="0.25">
      <c r="A825526" s="242"/>
    </row>
    <row r="825527" spans="1:1" x14ac:dyDescent="0.25">
      <c r="A825527" s="242"/>
    </row>
    <row r="825528" spans="1:1" x14ac:dyDescent="0.25">
      <c r="A825528" s="242"/>
    </row>
    <row r="825529" spans="1:1" x14ac:dyDescent="0.25">
      <c r="A825529" s="242"/>
    </row>
    <row r="825530" spans="1:1" x14ac:dyDescent="0.25">
      <c r="A825530" s="242"/>
    </row>
    <row r="825531" spans="1:1" x14ac:dyDescent="0.25">
      <c r="A825531" s="242"/>
    </row>
    <row r="825532" spans="1:1" x14ac:dyDescent="0.25">
      <c r="A825532" s="242"/>
    </row>
    <row r="825533" spans="1:1" x14ac:dyDescent="0.25">
      <c r="A825533" s="242"/>
    </row>
    <row r="825534" spans="1:1" x14ac:dyDescent="0.25">
      <c r="A825534" s="242"/>
    </row>
    <row r="825535" spans="1:1" x14ac:dyDescent="0.25">
      <c r="A825535" s="242"/>
    </row>
    <row r="825536" spans="1:1" x14ac:dyDescent="0.25">
      <c r="A825536" s="242"/>
    </row>
    <row r="825537" spans="1:1" x14ac:dyDescent="0.25">
      <c r="A825537" s="242"/>
    </row>
    <row r="825538" spans="1:1" x14ac:dyDescent="0.25">
      <c r="A825538" s="242"/>
    </row>
    <row r="825539" spans="1:1" x14ac:dyDescent="0.25">
      <c r="A825539" s="242"/>
    </row>
    <row r="825540" spans="1:1" x14ac:dyDescent="0.25">
      <c r="A825540" s="242"/>
    </row>
    <row r="825541" spans="1:1" x14ac:dyDescent="0.25">
      <c r="A825541" s="242"/>
    </row>
    <row r="825542" spans="1:1" x14ac:dyDescent="0.25">
      <c r="A825542" s="242"/>
    </row>
    <row r="825543" spans="1:1" x14ac:dyDescent="0.25">
      <c r="A825543" s="242"/>
    </row>
    <row r="825544" spans="1:1" x14ac:dyDescent="0.25">
      <c r="A825544" s="242"/>
    </row>
    <row r="825545" spans="1:1" x14ac:dyDescent="0.25">
      <c r="A825545" s="242"/>
    </row>
    <row r="825546" spans="1:1" x14ac:dyDescent="0.25">
      <c r="A825546" s="242"/>
    </row>
    <row r="825547" spans="1:1" x14ac:dyDescent="0.25">
      <c r="A825547" s="242"/>
    </row>
    <row r="825548" spans="1:1" x14ac:dyDescent="0.25">
      <c r="A825548" s="242"/>
    </row>
    <row r="825549" spans="1:1" x14ac:dyDescent="0.25">
      <c r="A825549" s="242"/>
    </row>
    <row r="825550" spans="1:1" x14ac:dyDescent="0.25">
      <c r="A825550" s="242"/>
    </row>
    <row r="825551" spans="1:1" x14ac:dyDescent="0.25">
      <c r="A825551" s="242"/>
    </row>
    <row r="825552" spans="1:1" x14ac:dyDescent="0.25">
      <c r="A825552" s="242"/>
    </row>
    <row r="825553" spans="1:1" x14ac:dyDescent="0.25">
      <c r="A825553" s="242"/>
    </row>
    <row r="825554" spans="1:1" x14ac:dyDescent="0.25">
      <c r="A825554" s="242"/>
    </row>
    <row r="825555" spans="1:1" x14ac:dyDescent="0.25">
      <c r="A825555" s="242"/>
    </row>
    <row r="825556" spans="1:1" x14ac:dyDescent="0.25">
      <c r="A825556" s="242"/>
    </row>
    <row r="825557" spans="1:1" x14ac:dyDescent="0.25">
      <c r="A825557" s="242"/>
    </row>
    <row r="825558" spans="1:1" x14ac:dyDescent="0.25">
      <c r="A825558" s="242"/>
    </row>
    <row r="825559" spans="1:1" x14ac:dyDescent="0.25">
      <c r="A825559" s="242"/>
    </row>
    <row r="825560" spans="1:1" x14ac:dyDescent="0.25">
      <c r="A825560" s="242"/>
    </row>
    <row r="825561" spans="1:1" x14ac:dyDescent="0.25">
      <c r="A825561" s="242"/>
    </row>
    <row r="825562" spans="1:1" x14ac:dyDescent="0.25">
      <c r="A825562" s="242"/>
    </row>
    <row r="825563" spans="1:1" x14ac:dyDescent="0.25">
      <c r="A825563" s="242"/>
    </row>
    <row r="825564" spans="1:1" x14ac:dyDescent="0.25">
      <c r="A825564" s="242"/>
    </row>
    <row r="825565" spans="1:1" x14ac:dyDescent="0.25">
      <c r="A825565" s="242"/>
    </row>
    <row r="825566" spans="1:1" x14ac:dyDescent="0.25">
      <c r="A825566" s="242"/>
    </row>
    <row r="825567" spans="1:1" x14ac:dyDescent="0.25">
      <c r="A825567" s="242"/>
    </row>
    <row r="825568" spans="1:1" x14ac:dyDescent="0.25">
      <c r="A825568" s="242"/>
    </row>
    <row r="825569" spans="1:1" x14ac:dyDescent="0.25">
      <c r="A825569" s="242"/>
    </row>
    <row r="825570" spans="1:1" x14ac:dyDescent="0.25">
      <c r="A825570" s="242"/>
    </row>
    <row r="825571" spans="1:1" x14ac:dyDescent="0.25">
      <c r="A825571" s="242"/>
    </row>
    <row r="825572" spans="1:1" x14ac:dyDescent="0.25">
      <c r="A825572" s="242"/>
    </row>
    <row r="825573" spans="1:1" x14ac:dyDescent="0.25">
      <c r="A825573" s="242"/>
    </row>
    <row r="825574" spans="1:1" x14ac:dyDescent="0.25">
      <c r="A825574" s="242"/>
    </row>
    <row r="825575" spans="1:1" x14ac:dyDescent="0.25">
      <c r="A825575" s="242"/>
    </row>
    <row r="825576" spans="1:1" x14ac:dyDescent="0.25">
      <c r="A825576" s="242"/>
    </row>
    <row r="825577" spans="1:1" x14ac:dyDescent="0.25">
      <c r="A825577" s="242"/>
    </row>
    <row r="825578" spans="1:1" x14ac:dyDescent="0.25">
      <c r="A825578" s="242"/>
    </row>
    <row r="825579" spans="1:1" x14ac:dyDescent="0.25">
      <c r="A825579" s="242"/>
    </row>
    <row r="825580" spans="1:1" x14ac:dyDescent="0.25">
      <c r="A825580" s="242"/>
    </row>
    <row r="825581" spans="1:1" x14ac:dyDescent="0.25">
      <c r="A825581" s="242"/>
    </row>
    <row r="825582" spans="1:1" x14ac:dyDescent="0.25">
      <c r="A825582" s="242"/>
    </row>
    <row r="825583" spans="1:1" x14ac:dyDescent="0.25">
      <c r="A825583" s="242"/>
    </row>
    <row r="825584" spans="1:1" x14ac:dyDescent="0.25">
      <c r="A825584" s="242"/>
    </row>
    <row r="825585" spans="1:1" x14ac:dyDescent="0.25">
      <c r="A825585" s="242"/>
    </row>
    <row r="825586" spans="1:1" x14ac:dyDescent="0.25">
      <c r="A825586" s="242"/>
    </row>
    <row r="825587" spans="1:1" x14ac:dyDescent="0.25">
      <c r="A825587" s="242"/>
    </row>
    <row r="825588" spans="1:1" x14ac:dyDescent="0.25">
      <c r="A825588" s="242"/>
    </row>
    <row r="825589" spans="1:1" x14ac:dyDescent="0.25">
      <c r="A825589" s="242"/>
    </row>
    <row r="825590" spans="1:1" x14ac:dyDescent="0.25">
      <c r="A825590" s="242"/>
    </row>
    <row r="825591" spans="1:1" x14ac:dyDescent="0.25">
      <c r="A825591" s="242"/>
    </row>
    <row r="825592" spans="1:1" x14ac:dyDescent="0.25">
      <c r="A825592" s="242"/>
    </row>
    <row r="825593" spans="1:1" x14ac:dyDescent="0.25">
      <c r="A825593" s="242"/>
    </row>
    <row r="825594" spans="1:1" x14ac:dyDescent="0.25">
      <c r="A825594" s="242"/>
    </row>
    <row r="825595" spans="1:1" x14ac:dyDescent="0.25">
      <c r="A825595" s="242"/>
    </row>
    <row r="825596" spans="1:1" x14ac:dyDescent="0.25">
      <c r="A825596" s="242"/>
    </row>
    <row r="825597" spans="1:1" x14ac:dyDescent="0.25">
      <c r="A825597" s="242"/>
    </row>
    <row r="825598" spans="1:1" x14ac:dyDescent="0.25">
      <c r="A825598" s="242"/>
    </row>
    <row r="825599" spans="1:1" x14ac:dyDescent="0.25">
      <c r="A825599" s="242"/>
    </row>
    <row r="825600" spans="1:1" x14ac:dyDescent="0.25">
      <c r="A825600" s="242"/>
    </row>
    <row r="825601" spans="1:1" x14ac:dyDescent="0.25">
      <c r="A825601" s="242"/>
    </row>
    <row r="825602" spans="1:1" x14ac:dyDescent="0.25">
      <c r="A825602" s="242"/>
    </row>
    <row r="825603" spans="1:1" x14ac:dyDescent="0.25">
      <c r="A825603" s="242"/>
    </row>
    <row r="825604" spans="1:1" x14ac:dyDescent="0.25">
      <c r="A825604" s="242"/>
    </row>
    <row r="825605" spans="1:1" x14ac:dyDescent="0.25">
      <c r="A825605" s="242"/>
    </row>
    <row r="825606" spans="1:1" x14ac:dyDescent="0.25">
      <c r="A825606" s="242"/>
    </row>
    <row r="825607" spans="1:1" x14ac:dyDescent="0.25">
      <c r="A825607" s="242"/>
    </row>
    <row r="825608" spans="1:1" x14ac:dyDescent="0.25">
      <c r="A825608" s="242"/>
    </row>
    <row r="825609" spans="1:1" x14ac:dyDescent="0.25">
      <c r="A825609" s="242"/>
    </row>
    <row r="825610" spans="1:1" x14ac:dyDescent="0.25">
      <c r="A825610" s="242"/>
    </row>
    <row r="825611" spans="1:1" x14ac:dyDescent="0.25">
      <c r="A825611" s="242"/>
    </row>
    <row r="825612" spans="1:1" x14ac:dyDescent="0.25">
      <c r="A825612" s="242"/>
    </row>
    <row r="825613" spans="1:1" x14ac:dyDescent="0.25">
      <c r="A825613" s="242"/>
    </row>
    <row r="825614" spans="1:1" x14ac:dyDescent="0.25">
      <c r="A825614" s="242"/>
    </row>
    <row r="825615" spans="1:1" x14ac:dyDescent="0.25">
      <c r="A825615" s="242"/>
    </row>
    <row r="825616" spans="1:1" x14ac:dyDescent="0.25">
      <c r="A825616" s="242"/>
    </row>
    <row r="825617" spans="1:1" x14ac:dyDescent="0.25">
      <c r="A825617" s="242"/>
    </row>
    <row r="825618" spans="1:1" x14ac:dyDescent="0.25">
      <c r="A825618" s="242"/>
    </row>
    <row r="825619" spans="1:1" x14ac:dyDescent="0.25">
      <c r="A825619" s="242"/>
    </row>
    <row r="825620" spans="1:1" x14ac:dyDescent="0.25">
      <c r="A825620" s="242"/>
    </row>
    <row r="825621" spans="1:1" x14ac:dyDescent="0.25">
      <c r="A825621" s="242"/>
    </row>
    <row r="825622" spans="1:1" x14ac:dyDescent="0.25">
      <c r="A825622" s="242"/>
    </row>
    <row r="825623" spans="1:1" x14ac:dyDescent="0.25">
      <c r="A825623" s="242"/>
    </row>
    <row r="825624" spans="1:1" x14ac:dyDescent="0.25">
      <c r="A825624" s="242"/>
    </row>
    <row r="825625" spans="1:1" x14ac:dyDescent="0.25">
      <c r="A825625" s="242"/>
    </row>
    <row r="825626" spans="1:1" x14ac:dyDescent="0.25">
      <c r="A825626" s="242"/>
    </row>
    <row r="825627" spans="1:1" x14ac:dyDescent="0.25">
      <c r="A825627" s="242"/>
    </row>
    <row r="825628" spans="1:1" x14ac:dyDescent="0.25">
      <c r="A825628" s="242"/>
    </row>
    <row r="825629" spans="1:1" x14ac:dyDescent="0.25">
      <c r="A825629" s="242"/>
    </row>
    <row r="825630" spans="1:1" x14ac:dyDescent="0.25">
      <c r="A825630" s="242"/>
    </row>
    <row r="825631" spans="1:1" x14ac:dyDescent="0.25">
      <c r="A825631" s="242"/>
    </row>
    <row r="825632" spans="1:1" x14ac:dyDescent="0.25">
      <c r="A825632" s="242"/>
    </row>
    <row r="825633" spans="1:1" x14ac:dyDescent="0.25">
      <c r="A825633" s="242"/>
    </row>
    <row r="825634" spans="1:1" x14ac:dyDescent="0.25">
      <c r="A825634" s="242"/>
    </row>
    <row r="825635" spans="1:1" x14ac:dyDescent="0.25">
      <c r="A825635" s="242"/>
    </row>
    <row r="825636" spans="1:1" x14ac:dyDescent="0.25">
      <c r="A825636" s="242"/>
    </row>
    <row r="825637" spans="1:1" x14ac:dyDescent="0.25">
      <c r="A825637" s="242"/>
    </row>
    <row r="825638" spans="1:1" x14ac:dyDescent="0.25">
      <c r="A825638" s="242"/>
    </row>
    <row r="825639" spans="1:1" x14ac:dyDescent="0.25">
      <c r="A825639" s="242"/>
    </row>
    <row r="825640" spans="1:1" x14ac:dyDescent="0.25">
      <c r="A825640" s="242"/>
    </row>
    <row r="825641" spans="1:1" x14ac:dyDescent="0.25">
      <c r="A825641" s="242"/>
    </row>
    <row r="825642" spans="1:1" x14ac:dyDescent="0.25">
      <c r="A825642" s="242"/>
    </row>
    <row r="825643" spans="1:1" x14ac:dyDescent="0.25">
      <c r="A825643" s="242"/>
    </row>
    <row r="825644" spans="1:1" x14ac:dyDescent="0.25">
      <c r="A825644" s="242"/>
    </row>
    <row r="825645" spans="1:1" x14ac:dyDescent="0.25">
      <c r="A825645" s="242"/>
    </row>
    <row r="825646" spans="1:1" x14ac:dyDescent="0.25">
      <c r="A825646" s="242"/>
    </row>
    <row r="825647" spans="1:1" x14ac:dyDescent="0.25">
      <c r="A825647" s="242"/>
    </row>
    <row r="825648" spans="1:1" x14ac:dyDescent="0.25">
      <c r="A825648" s="242"/>
    </row>
    <row r="825649" spans="1:1" x14ac:dyDescent="0.25">
      <c r="A825649" s="242"/>
    </row>
    <row r="825650" spans="1:1" x14ac:dyDescent="0.25">
      <c r="A825650" s="242"/>
    </row>
    <row r="825651" spans="1:1" x14ac:dyDescent="0.25">
      <c r="A825651" s="242"/>
    </row>
    <row r="825652" spans="1:1" x14ac:dyDescent="0.25">
      <c r="A825652" s="242"/>
    </row>
    <row r="825653" spans="1:1" x14ac:dyDescent="0.25">
      <c r="A825653" s="242"/>
    </row>
    <row r="825654" spans="1:1" x14ac:dyDescent="0.25">
      <c r="A825654" s="242"/>
    </row>
    <row r="825655" spans="1:1" x14ac:dyDescent="0.25">
      <c r="A825655" s="242"/>
    </row>
    <row r="825656" spans="1:1" x14ac:dyDescent="0.25">
      <c r="A825656" s="242"/>
    </row>
    <row r="825657" spans="1:1" x14ac:dyDescent="0.25">
      <c r="A825657" s="242"/>
    </row>
    <row r="825658" spans="1:1" x14ac:dyDescent="0.25">
      <c r="A825658" s="242"/>
    </row>
    <row r="825659" spans="1:1" x14ac:dyDescent="0.25">
      <c r="A825659" s="242"/>
    </row>
    <row r="825660" spans="1:1" x14ac:dyDescent="0.25">
      <c r="A825660" s="242"/>
    </row>
    <row r="825661" spans="1:1" x14ac:dyDescent="0.25">
      <c r="A825661" s="242"/>
    </row>
    <row r="825662" spans="1:1" x14ac:dyDescent="0.25">
      <c r="A825662" s="242"/>
    </row>
    <row r="825663" spans="1:1" x14ac:dyDescent="0.25">
      <c r="A825663" s="242"/>
    </row>
    <row r="825664" spans="1:1" x14ac:dyDescent="0.25">
      <c r="A825664" s="242"/>
    </row>
    <row r="825665" spans="1:1" x14ac:dyDescent="0.25">
      <c r="A825665" s="242"/>
    </row>
    <row r="825666" spans="1:1" x14ac:dyDescent="0.25">
      <c r="A825666" s="242"/>
    </row>
    <row r="825667" spans="1:1" x14ac:dyDescent="0.25">
      <c r="A825667" s="242"/>
    </row>
    <row r="825668" spans="1:1" x14ac:dyDescent="0.25">
      <c r="A825668" s="242"/>
    </row>
    <row r="825669" spans="1:1" x14ac:dyDescent="0.25">
      <c r="A825669" s="242"/>
    </row>
    <row r="825670" spans="1:1" x14ac:dyDescent="0.25">
      <c r="A825670" s="242"/>
    </row>
    <row r="825671" spans="1:1" x14ac:dyDescent="0.25">
      <c r="A825671" s="242"/>
    </row>
    <row r="825672" spans="1:1" x14ac:dyDescent="0.25">
      <c r="A825672" s="242"/>
    </row>
    <row r="825673" spans="1:1" x14ac:dyDescent="0.25">
      <c r="A825673" s="242"/>
    </row>
    <row r="825674" spans="1:1" x14ac:dyDescent="0.25">
      <c r="A825674" s="242"/>
    </row>
    <row r="825675" spans="1:1" x14ac:dyDescent="0.25">
      <c r="A825675" s="242"/>
    </row>
    <row r="825676" spans="1:1" x14ac:dyDescent="0.25">
      <c r="A825676" s="242"/>
    </row>
    <row r="825677" spans="1:1" x14ac:dyDescent="0.25">
      <c r="A825677" s="242"/>
    </row>
    <row r="825678" spans="1:1" x14ac:dyDescent="0.25">
      <c r="A825678" s="242"/>
    </row>
    <row r="825679" spans="1:1" x14ac:dyDescent="0.25">
      <c r="A825679" s="242"/>
    </row>
    <row r="825680" spans="1:1" x14ac:dyDescent="0.25">
      <c r="A825680" s="242"/>
    </row>
    <row r="825681" spans="1:1" x14ac:dyDescent="0.25">
      <c r="A825681" s="242"/>
    </row>
    <row r="825682" spans="1:1" x14ac:dyDescent="0.25">
      <c r="A825682" s="242"/>
    </row>
    <row r="825683" spans="1:1" x14ac:dyDescent="0.25">
      <c r="A825683" s="242"/>
    </row>
    <row r="825684" spans="1:1" x14ac:dyDescent="0.25">
      <c r="A825684" s="242"/>
    </row>
    <row r="825685" spans="1:1" x14ac:dyDescent="0.25">
      <c r="A825685" s="242"/>
    </row>
    <row r="825686" spans="1:1" x14ac:dyDescent="0.25">
      <c r="A825686" s="242"/>
    </row>
    <row r="825687" spans="1:1" x14ac:dyDescent="0.25">
      <c r="A825687" s="242"/>
    </row>
    <row r="825688" spans="1:1" x14ac:dyDescent="0.25">
      <c r="A825688" s="242"/>
    </row>
    <row r="825689" spans="1:1" x14ac:dyDescent="0.25">
      <c r="A825689" s="242"/>
    </row>
    <row r="825690" spans="1:1" x14ac:dyDescent="0.25">
      <c r="A825690" s="242"/>
    </row>
    <row r="825691" spans="1:1" x14ac:dyDescent="0.25">
      <c r="A825691" s="242"/>
    </row>
    <row r="825692" spans="1:1" x14ac:dyDescent="0.25">
      <c r="A825692" s="242"/>
    </row>
    <row r="825693" spans="1:1" x14ac:dyDescent="0.25">
      <c r="A825693" s="242"/>
    </row>
    <row r="825694" spans="1:1" x14ac:dyDescent="0.25">
      <c r="A825694" s="242"/>
    </row>
    <row r="825695" spans="1:1" x14ac:dyDescent="0.25">
      <c r="A825695" s="242"/>
    </row>
    <row r="825696" spans="1:1" x14ac:dyDescent="0.25">
      <c r="A825696" s="242"/>
    </row>
    <row r="825697" spans="1:1" x14ac:dyDescent="0.25">
      <c r="A825697" s="242"/>
    </row>
    <row r="825698" spans="1:1" x14ac:dyDescent="0.25">
      <c r="A825698" s="242"/>
    </row>
    <row r="825699" spans="1:1" x14ac:dyDescent="0.25">
      <c r="A825699" s="242"/>
    </row>
    <row r="825700" spans="1:1" x14ac:dyDescent="0.25">
      <c r="A825700" s="242"/>
    </row>
    <row r="825701" spans="1:1" x14ac:dyDescent="0.25">
      <c r="A825701" s="242"/>
    </row>
    <row r="825702" spans="1:1" x14ac:dyDescent="0.25">
      <c r="A825702" s="242"/>
    </row>
    <row r="825703" spans="1:1" x14ac:dyDescent="0.25">
      <c r="A825703" s="242"/>
    </row>
    <row r="825704" spans="1:1" x14ac:dyDescent="0.25">
      <c r="A825704" s="242"/>
    </row>
    <row r="825705" spans="1:1" x14ac:dyDescent="0.25">
      <c r="A825705" s="242"/>
    </row>
    <row r="825706" spans="1:1" x14ac:dyDescent="0.25">
      <c r="A825706" s="242"/>
    </row>
    <row r="825707" spans="1:1" x14ac:dyDescent="0.25">
      <c r="A825707" s="242"/>
    </row>
    <row r="825708" spans="1:1" x14ac:dyDescent="0.25">
      <c r="A825708" s="242"/>
    </row>
    <row r="825709" spans="1:1" x14ac:dyDescent="0.25">
      <c r="A825709" s="242"/>
    </row>
    <row r="825710" spans="1:1" x14ac:dyDescent="0.25">
      <c r="A825710" s="242"/>
    </row>
    <row r="825711" spans="1:1" x14ac:dyDescent="0.25">
      <c r="A825711" s="242"/>
    </row>
    <row r="825712" spans="1:1" x14ac:dyDescent="0.25">
      <c r="A825712" s="242"/>
    </row>
    <row r="825713" spans="1:1" x14ac:dyDescent="0.25">
      <c r="A825713" s="242"/>
    </row>
    <row r="825714" spans="1:1" x14ac:dyDescent="0.25">
      <c r="A825714" s="242"/>
    </row>
    <row r="825715" spans="1:1" x14ac:dyDescent="0.25">
      <c r="A825715" s="242"/>
    </row>
    <row r="825716" spans="1:1" x14ac:dyDescent="0.25">
      <c r="A825716" s="242"/>
    </row>
    <row r="825717" spans="1:1" x14ac:dyDescent="0.25">
      <c r="A825717" s="242"/>
    </row>
    <row r="825718" spans="1:1" x14ac:dyDescent="0.25">
      <c r="A825718" s="242"/>
    </row>
    <row r="825719" spans="1:1" x14ac:dyDescent="0.25">
      <c r="A825719" s="242"/>
    </row>
    <row r="825720" spans="1:1" x14ac:dyDescent="0.25">
      <c r="A825720" s="242"/>
    </row>
    <row r="825721" spans="1:1" x14ac:dyDescent="0.25">
      <c r="A825721" s="242"/>
    </row>
    <row r="825722" spans="1:1" x14ac:dyDescent="0.25">
      <c r="A825722" s="242"/>
    </row>
    <row r="825723" spans="1:1" x14ac:dyDescent="0.25">
      <c r="A825723" s="242"/>
    </row>
    <row r="825724" spans="1:1" x14ac:dyDescent="0.25">
      <c r="A825724" s="242"/>
    </row>
    <row r="825725" spans="1:1" x14ac:dyDescent="0.25">
      <c r="A825725" s="242"/>
    </row>
    <row r="825726" spans="1:1" x14ac:dyDescent="0.25">
      <c r="A825726" s="242"/>
    </row>
    <row r="825727" spans="1:1" x14ac:dyDescent="0.25">
      <c r="A825727" s="242"/>
    </row>
    <row r="825728" spans="1:1" x14ac:dyDescent="0.25">
      <c r="A825728" s="242"/>
    </row>
    <row r="825729" spans="1:1" x14ac:dyDescent="0.25">
      <c r="A825729" s="242"/>
    </row>
    <row r="825730" spans="1:1" x14ac:dyDescent="0.25">
      <c r="A825730" s="242"/>
    </row>
    <row r="825731" spans="1:1" x14ac:dyDescent="0.25">
      <c r="A825731" s="242"/>
    </row>
    <row r="825732" spans="1:1" x14ac:dyDescent="0.25">
      <c r="A825732" s="242"/>
    </row>
    <row r="825733" spans="1:1" x14ac:dyDescent="0.25">
      <c r="A825733" s="242"/>
    </row>
    <row r="825734" spans="1:1" x14ac:dyDescent="0.25">
      <c r="A825734" s="242"/>
    </row>
    <row r="825735" spans="1:1" x14ac:dyDescent="0.25">
      <c r="A825735" s="242"/>
    </row>
    <row r="825736" spans="1:1" x14ac:dyDescent="0.25">
      <c r="A825736" s="242"/>
    </row>
    <row r="825737" spans="1:1" x14ac:dyDescent="0.25">
      <c r="A825737" s="242"/>
    </row>
    <row r="825738" spans="1:1" x14ac:dyDescent="0.25">
      <c r="A825738" s="242"/>
    </row>
    <row r="825739" spans="1:1" x14ac:dyDescent="0.25">
      <c r="A825739" s="242"/>
    </row>
    <row r="825740" spans="1:1" x14ac:dyDescent="0.25">
      <c r="A825740" s="242"/>
    </row>
    <row r="825741" spans="1:1" x14ac:dyDescent="0.25">
      <c r="A825741" s="242"/>
    </row>
    <row r="825742" spans="1:1" x14ac:dyDescent="0.25">
      <c r="A825742" s="242"/>
    </row>
    <row r="825743" spans="1:1" x14ac:dyDescent="0.25">
      <c r="A825743" s="242"/>
    </row>
    <row r="825744" spans="1:1" x14ac:dyDescent="0.25">
      <c r="A825744" s="242"/>
    </row>
    <row r="825745" spans="1:1" x14ac:dyDescent="0.25">
      <c r="A825745" s="242"/>
    </row>
    <row r="825746" spans="1:1" x14ac:dyDescent="0.25">
      <c r="A825746" s="242"/>
    </row>
    <row r="825747" spans="1:1" x14ac:dyDescent="0.25">
      <c r="A825747" s="242"/>
    </row>
    <row r="825748" spans="1:1" x14ac:dyDescent="0.25">
      <c r="A825748" s="242"/>
    </row>
    <row r="825749" spans="1:1" x14ac:dyDescent="0.25">
      <c r="A825749" s="242"/>
    </row>
    <row r="825750" spans="1:1" x14ac:dyDescent="0.25">
      <c r="A825750" s="242"/>
    </row>
    <row r="825751" spans="1:1" x14ac:dyDescent="0.25">
      <c r="A825751" s="242"/>
    </row>
    <row r="825752" spans="1:1" x14ac:dyDescent="0.25">
      <c r="A825752" s="242"/>
    </row>
    <row r="825753" spans="1:1" x14ac:dyDescent="0.25">
      <c r="A825753" s="242"/>
    </row>
    <row r="825754" spans="1:1" x14ac:dyDescent="0.25">
      <c r="A825754" s="242"/>
    </row>
    <row r="825755" spans="1:1" x14ac:dyDescent="0.25">
      <c r="A825755" s="242"/>
    </row>
    <row r="825756" spans="1:1" x14ac:dyDescent="0.25">
      <c r="A825756" s="242"/>
    </row>
    <row r="825757" spans="1:1" x14ac:dyDescent="0.25">
      <c r="A825757" s="242"/>
    </row>
    <row r="825758" spans="1:1" x14ac:dyDescent="0.25">
      <c r="A825758" s="242"/>
    </row>
    <row r="825759" spans="1:1" x14ac:dyDescent="0.25">
      <c r="A825759" s="242"/>
    </row>
    <row r="825760" spans="1:1" x14ac:dyDescent="0.25">
      <c r="A825760" s="242"/>
    </row>
    <row r="825761" spans="1:1" x14ac:dyDescent="0.25">
      <c r="A825761" s="242"/>
    </row>
    <row r="825762" spans="1:1" x14ac:dyDescent="0.25">
      <c r="A825762" s="242"/>
    </row>
    <row r="825763" spans="1:1" x14ac:dyDescent="0.25">
      <c r="A825763" s="242"/>
    </row>
    <row r="825764" spans="1:1" x14ac:dyDescent="0.25">
      <c r="A825764" s="242"/>
    </row>
    <row r="825765" spans="1:1" x14ac:dyDescent="0.25">
      <c r="A825765" s="242"/>
    </row>
    <row r="825766" spans="1:1" x14ac:dyDescent="0.25">
      <c r="A825766" s="242"/>
    </row>
    <row r="825767" spans="1:1" x14ac:dyDescent="0.25">
      <c r="A825767" s="242"/>
    </row>
    <row r="825768" spans="1:1" x14ac:dyDescent="0.25">
      <c r="A825768" s="242"/>
    </row>
    <row r="825769" spans="1:1" x14ac:dyDescent="0.25">
      <c r="A825769" s="242"/>
    </row>
    <row r="825770" spans="1:1" x14ac:dyDescent="0.25">
      <c r="A825770" s="242"/>
    </row>
    <row r="825771" spans="1:1" x14ac:dyDescent="0.25">
      <c r="A825771" s="242"/>
    </row>
    <row r="825772" spans="1:1" x14ac:dyDescent="0.25">
      <c r="A825772" s="242"/>
    </row>
    <row r="825773" spans="1:1" x14ac:dyDescent="0.25">
      <c r="A825773" s="242"/>
    </row>
    <row r="825774" spans="1:1" x14ac:dyDescent="0.25">
      <c r="A825774" s="242"/>
    </row>
    <row r="825775" spans="1:1" x14ac:dyDescent="0.25">
      <c r="A825775" s="242"/>
    </row>
    <row r="825776" spans="1:1" x14ac:dyDescent="0.25">
      <c r="A825776" s="242"/>
    </row>
    <row r="825777" spans="1:1" x14ac:dyDescent="0.25">
      <c r="A825777" s="242"/>
    </row>
    <row r="825778" spans="1:1" x14ac:dyDescent="0.25">
      <c r="A825778" s="242"/>
    </row>
    <row r="825779" spans="1:1" x14ac:dyDescent="0.25">
      <c r="A825779" s="242"/>
    </row>
    <row r="825780" spans="1:1" x14ac:dyDescent="0.25">
      <c r="A825780" s="242"/>
    </row>
    <row r="825781" spans="1:1" x14ac:dyDescent="0.25">
      <c r="A825781" s="242"/>
    </row>
    <row r="825782" spans="1:1" x14ac:dyDescent="0.25">
      <c r="A825782" s="242"/>
    </row>
    <row r="825783" spans="1:1" x14ac:dyDescent="0.25">
      <c r="A825783" s="242"/>
    </row>
    <row r="825784" spans="1:1" x14ac:dyDescent="0.25">
      <c r="A825784" s="242"/>
    </row>
    <row r="825785" spans="1:1" x14ac:dyDescent="0.25">
      <c r="A825785" s="242"/>
    </row>
    <row r="825786" spans="1:1" x14ac:dyDescent="0.25">
      <c r="A825786" s="242"/>
    </row>
    <row r="825787" spans="1:1" x14ac:dyDescent="0.25">
      <c r="A825787" s="242"/>
    </row>
    <row r="825788" spans="1:1" x14ac:dyDescent="0.25">
      <c r="A825788" s="242"/>
    </row>
    <row r="825789" spans="1:1" x14ac:dyDescent="0.25">
      <c r="A825789" s="242"/>
    </row>
    <row r="825790" spans="1:1" x14ac:dyDescent="0.25">
      <c r="A825790" s="242"/>
    </row>
    <row r="825791" spans="1:1" x14ac:dyDescent="0.25">
      <c r="A825791" s="242"/>
    </row>
    <row r="825792" spans="1:1" x14ac:dyDescent="0.25">
      <c r="A825792" s="242"/>
    </row>
    <row r="825793" spans="1:1" x14ac:dyDescent="0.25">
      <c r="A825793" s="242"/>
    </row>
    <row r="825794" spans="1:1" x14ac:dyDescent="0.25">
      <c r="A825794" s="242"/>
    </row>
    <row r="825795" spans="1:1" x14ac:dyDescent="0.25">
      <c r="A825795" s="242"/>
    </row>
    <row r="825796" spans="1:1" x14ac:dyDescent="0.25">
      <c r="A825796" s="242"/>
    </row>
    <row r="825797" spans="1:1" x14ac:dyDescent="0.25">
      <c r="A825797" s="242"/>
    </row>
    <row r="825798" spans="1:1" x14ac:dyDescent="0.25">
      <c r="A825798" s="242"/>
    </row>
    <row r="825799" spans="1:1" x14ac:dyDescent="0.25">
      <c r="A825799" s="242"/>
    </row>
    <row r="825800" spans="1:1" x14ac:dyDescent="0.25">
      <c r="A825800" s="242"/>
    </row>
    <row r="825801" spans="1:1" x14ac:dyDescent="0.25">
      <c r="A825801" s="242"/>
    </row>
    <row r="825802" spans="1:1" x14ac:dyDescent="0.25">
      <c r="A825802" s="242"/>
    </row>
    <row r="825803" spans="1:1" x14ac:dyDescent="0.25">
      <c r="A825803" s="242"/>
    </row>
    <row r="825804" spans="1:1" x14ac:dyDescent="0.25">
      <c r="A825804" s="242"/>
    </row>
    <row r="825805" spans="1:1" x14ac:dyDescent="0.25">
      <c r="A825805" s="242"/>
    </row>
    <row r="825806" spans="1:1" x14ac:dyDescent="0.25">
      <c r="A825806" s="242"/>
    </row>
    <row r="825807" spans="1:1" x14ac:dyDescent="0.25">
      <c r="A825807" s="242"/>
    </row>
    <row r="825808" spans="1:1" x14ac:dyDescent="0.25">
      <c r="A825808" s="242"/>
    </row>
    <row r="825809" spans="1:1" x14ac:dyDescent="0.25">
      <c r="A825809" s="242"/>
    </row>
    <row r="825810" spans="1:1" x14ac:dyDescent="0.25">
      <c r="A825810" s="242"/>
    </row>
    <row r="825811" spans="1:1" x14ac:dyDescent="0.25">
      <c r="A825811" s="242"/>
    </row>
    <row r="825812" spans="1:1" x14ac:dyDescent="0.25">
      <c r="A825812" s="242"/>
    </row>
    <row r="825813" spans="1:1" x14ac:dyDescent="0.25">
      <c r="A825813" s="242"/>
    </row>
    <row r="825814" spans="1:1" x14ac:dyDescent="0.25">
      <c r="A825814" s="242"/>
    </row>
    <row r="825815" spans="1:1" x14ac:dyDescent="0.25">
      <c r="A825815" s="242"/>
    </row>
    <row r="825816" spans="1:1" x14ac:dyDescent="0.25">
      <c r="A825816" s="242"/>
    </row>
    <row r="825817" spans="1:1" x14ac:dyDescent="0.25">
      <c r="A825817" s="242"/>
    </row>
    <row r="825818" spans="1:1" x14ac:dyDescent="0.25">
      <c r="A825818" s="242"/>
    </row>
    <row r="825819" spans="1:1" x14ac:dyDescent="0.25">
      <c r="A825819" s="242"/>
    </row>
    <row r="825820" spans="1:1" x14ac:dyDescent="0.25">
      <c r="A825820" s="242"/>
    </row>
    <row r="825821" spans="1:1" x14ac:dyDescent="0.25">
      <c r="A825821" s="242"/>
    </row>
    <row r="825822" spans="1:1" x14ac:dyDescent="0.25">
      <c r="A825822" s="242"/>
    </row>
    <row r="825823" spans="1:1" x14ac:dyDescent="0.25">
      <c r="A825823" s="242"/>
    </row>
    <row r="825824" spans="1:1" x14ac:dyDescent="0.25">
      <c r="A825824" s="242"/>
    </row>
    <row r="825825" spans="1:1" x14ac:dyDescent="0.25">
      <c r="A825825" s="242"/>
    </row>
    <row r="825826" spans="1:1" x14ac:dyDescent="0.25">
      <c r="A825826" s="242"/>
    </row>
    <row r="825827" spans="1:1" x14ac:dyDescent="0.25">
      <c r="A825827" s="242"/>
    </row>
    <row r="825828" spans="1:1" x14ac:dyDescent="0.25">
      <c r="A825828" s="242"/>
    </row>
    <row r="825829" spans="1:1" x14ac:dyDescent="0.25">
      <c r="A825829" s="242"/>
    </row>
    <row r="825830" spans="1:1" x14ac:dyDescent="0.25">
      <c r="A825830" s="242"/>
    </row>
    <row r="825831" spans="1:1" x14ac:dyDescent="0.25">
      <c r="A825831" s="242"/>
    </row>
    <row r="825832" spans="1:1" x14ac:dyDescent="0.25">
      <c r="A825832" s="242"/>
    </row>
    <row r="825833" spans="1:1" x14ac:dyDescent="0.25">
      <c r="A825833" s="242"/>
    </row>
    <row r="825834" spans="1:1" x14ac:dyDescent="0.25">
      <c r="A825834" s="242"/>
    </row>
    <row r="825835" spans="1:1" x14ac:dyDescent="0.25">
      <c r="A825835" s="242"/>
    </row>
    <row r="825836" spans="1:1" x14ac:dyDescent="0.25">
      <c r="A825836" s="242"/>
    </row>
    <row r="825837" spans="1:1" x14ac:dyDescent="0.25">
      <c r="A825837" s="242"/>
    </row>
    <row r="825838" spans="1:1" x14ac:dyDescent="0.25">
      <c r="A825838" s="242"/>
    </row>
    <row r="825839" spans="1:1" x14ac:dyDescent="0.25">
      <c r="A825839" s="242"/>
    </row>
    <row r="825840" spans="1:1" x14ac:dyDescent="0.25">
      <c r="A825840" s="242"/>
    </row>
    <row r="825841" spans="1:1" x14ac:dyDescent="0.25">
      <c r="A825841" s="242"/>
    </row>
    <row r="825842" spans="1:1" x14ac:dyDescent="0.25">
      <c r="A825842" s="242"/>
    </row>
    <row r="825843" spans="1:1" x14ac:dyDescent="0.25">
      <c r="A825843" s="242"/>
    </row>
    <row r="825844" spans="1:1" x14ac:dyDescent="0.25">
      <c r="A825844" s="242"/>
    </row>
    <row r="825845" spans="1:1" x14ac:dyDescent="0.25">
      <c r="A825845" s="242"/>
    </row>
    <row r="825846" spans="1:1" x14ac:dyDescent="0.25">
      <c r="A825846" s="242"/>
    </row>
    <row r="825847" spans="1:1" x14ac:dyDescent="0.25">
      <c r="A825847" s="242"/>
    </row>
    <row r="825848" spans="1:1" x14ac:dyDescent="0.25">
      <c r="A825848" s="242"/>
    </row>
    <row r="825849" spans="1:1" x14ac:dyDescent="0.25">
      <c r="A825849" s="242"/>
    </row>
    <row r="825850" spans="1:1" x14ac:dyDescent="0.25">
      <c r="A825850" s="242"/>
    </row>
    <row r="825851" spans="1:1" x14ac:dyDescent="0.25">
      <c r="A825851" s="242"/>
    </row>
    <row r="825852" spans="1:1" x14ac:dyDescent="0.25">
      <c r="A825852" s="242"/>
    </row>
    <row r="825853" spans="1:1" x14ac:dyDescent="0.25">
      <c r="A825853" s="242"/>
    </row>
    <row r="825854" spans="1:1" x14ac:dyDescent="0.25">
      <c r="A825854" s="242"/>
    </row>
    <row r="825855" spans="1:1" x14ac:dyDescent="0.25">
      <c r="A825855" s="242"/>
    </row>
    <row r="825856" spans="1:1" x14ac:dyDescent="0.25">
      <c r="A825856" s="242"/>
    </row>
    <row r="825857" spans="1:1" x14ac:dyDescent="0.25">
      <c r="A825857" s="242"/>
    </row>
    <row r="825858" spans="1:1" x14ac:dyDescent="0.25">
      <c r="A825858" s="242"/>
    </row>
    <row r="825859" spans="1:1" x14ac:dyDescent="0.25">
      <c r="A825859" s="242"/>
    </row>
    <row r="825860" spans="1:1" x14ac:dyDescent="0.25">
      <c r="A825860" s="242"/>
    </row>
    <row r="825861" spans="1:1" x14ac:dyDescent="0.25">
      <c r="A825861" s="242"/>
    </row>
    <row r="825862" spans="1:1" x14ac:dyDescent="0.25">
      <c r="A825862" s="242"/>
    </row>
    <row r="825863" spans="1:1" x14ac:dyDescent="0.25">
      <c r="A825863" s="242"/>
    </row>
    <row r="825864" spans="1:1" x14ac:dyDescent="0.25">
      <c r="A825864" s="242"/>
    </row>
    <row r="825865" spans="1:1" x14ac:dyDescent="0.25">
      <c r="A825865" s="242"/>
    </row>
    <row r="825866" spans="1:1" x14ac:dyDescent="0.25">
      <c r="A825866" s="242"/>
    </row>
    <row r="825867" spans="1:1" x14ac:dyDescent="0.25">
      <c r="A825867" s="242"/>
    </row>
    <row r="825868" spans="1:1" x14ac:dyDescent="0.25">
      <c r="A825868" s="242"/>
    </row>
    <row r="825869" spans="1:1" x14ac:dyDescent="0.25">
      <c r="A825869" s="242"/>
    </row>
    <row r="825870" spans="1:1" x14ac:dyDescent="0.25">
      <c r="A825870" s="242"/>
    </row>
    <row r="825871" spans="1:1" x14ac:dyDescent="0.25">
      <c r="A825871" s="242"/>
    </row>
    <row r="825872" spans="1:1" x14ac:dyDescent="0.25">
      <c r="A825872" s="242"/>
    </row>
    <row r="825873" spans="1:1" x14ac:dyDescent="0.25">
      <c r="A825873" s="242"/>
    </row>
    <row r="825874" spans="1:1" x14ac:dyDescent="0.25">
      <c r="A825874" s="242"/>
    </row>
    <row r="825875" spans="1:1" x14ac:dyDescent="0.25">
      <c r="A825875" s="242"/>
    </row>
    <row r="825876" spans="1:1" x14ac:dyDescent="0.25">
      <c r="A825876" s="242"/>
    </row>
    <row r="825877" spans="1:1" x14ac:dyDescent="0.25">
      <c r="A825877" s="242"/>
    </row>
    <row r="825878" spans="1:1" x14ac:dyDescent="0.25">
      <c r="A825878" s="242"/>
    </row>
    <row r="825879" spans="1:1" x14ac:dyDescent="0.25">
      <c r="A825879" s="242"/>
    </row>
    <row r="825880" spans="1:1" x14ac:dyDescent="0.25">
      <c r="A825880" s="242"/>
    </row>
    <row r="825881" spans="1:1" x14ac:dyDescent="0.25">
      <c r="A825881" s="242"/>
    </row>
    <row r="825882" spans="1:1" x14ac:dyDescent="0.25">
      <c r="A825882" s="242"/>
    </row>
    <row r="825883" spans="1:1" x14ac:dyDescent="0.25">
      <c r="A825883" s="242"/>
    </row>
    <row r="825884" spans="1:1" x14ac:dyDescent="0.25">
      <c r="A825884" s="242"/>
    </row>
    <row r="825885" spans="1:1" x14ac:dyDescent="0.25">
      <c r="A825885" s="242"/>
    </row>
    <row r="825886" spans="1:1" x14ac:dyDescent="0.25">
      <c r="A825886" s="242"/>
    </row>
    <row r="825887" spans="1:1" x14ac:dyDescent="0.25">
      <c r="A825887" s="242"/>
    </row>
    <row r="825888" spans="1:1" x14ac:dyDescent="0.25">
      <c r="A825888" s="242"/>
    </row>
    <row r="825889" spans="1:1" x14ac:dyDescent="0.25">
      <c r="A825889" s="242"/>
    </row>
    <row r="825890" spans="1:1" x14ac:dyDescent="0.25">
      <c r="A825890" s="242"/>
    </row>
    <row r="825891" spans="1:1" x14ac:dyDescent="0.25">
      <c r="A825891" s="242"/>
    </row>
    <row r="825892" spans="1:1" x14ac:dyDescent="0.25">
      <c r="A825892" s="242"/>
    </row>
    <row r="825893" spans="1:1" x14ac:dyDescent="0.25">
      <c r="A825893" s="242"/>
    </row>
    <row r="825894" spans="1:1" x14ac:dyDescent="0.25">
      <c r="A825894" s="242"/>
    </row>
    <row r="825895" spans="1:1" x14ac:dyDescent="0.25">
      <c r="A825895" s="242"/>
    </row>
    <row r="825896" spans="1:1" x14ac:dyDescent="0.25">
      <c r="A825896" s="242"/>
    </row>
    <row r="825897" spans="1:1" x14ac:dyDescent="0.25">
      <c r="A825897" s="242"/>
    </row>
    <row r="825898" spans="1:1" x14ac:dyDescent="0.25">
      <c r="A825898" s="242"/>
    </row>
    <row r="825899" spans="1:1" x14ac:dyDescent="0.25">
      <c r="A825899" s="242"/>
    </row>
    <row r="825900" spans="1:1" x14ac:dyDescent="0.25">
      <c r="A825900" s="242"/>
    </row>
    <row r="825901" spans="1:1" x14ac:dyDescent="0.25">
      <c r="A825901" s="242"/>
    </row>
    <row r="825902" spans="1:1" x14ac:dyDescent="0.25">
      <c r="A825902" s="242"/>
    </row>
    <row r="825903" spans="1:1" x14ac:dyDescent="0.25">
      <c r="A825903" s="242"/>
    </row>
    <row r="825904" spans="1:1" x14ac:dyDescent="0.25">
      <c r="A825904" s="242"/>
    </row>
    <row r="825905" spans="1:1" x14ac:dyDescent="0.25">
      <c r="A825905" s="242"/>
    </row>
    <row r="825906" spans="1:1" x14ac:dyDescent="0.25">
      <c r="A825906" s="242"/>
    </row>
    <row r="825907" spans="1:1" x14ac:dyDescent="0.25">
      <c r="A825907" s="242"/>
    </row>
    <row r="825908" spans="1:1" x14ac:dyDescent="0.25">
      <c r="A825908" s="242"/>
    </row>
    <row r="825909" spans="1:1" x14ac:dyDescent="0.25">
      <c r="A825909" s="242"/>
    </row>
    <row r="825910" spans="1:1" x14ac:dyDescent="0.25">
      <c r="A825910" s="242"/>
    </row>
    <row r="825911" spans="1:1" x14ac:dyDescent="0.25">
      <c r="A825911" s="242"/>
    </row>
    <row r="825912" spans="1:1" x14ac:dyDescent="0.25">
      <c r="A825912" s="242"/>
    </row>
    <row r="825913" spans="1:1" x14ac:dyDescent="0.25">
      <c r="A825913" s="242"/>
    </row>
    <row r="825914" spans="1:1" x14ac:dyDescent="0.25">
      <c r="A825914" s="242"/>
    </row>
    <row r="825915" spans="1:1" x14ac:dyDescent="0.25">
      <c r="A825915" s="242"/>
    </row>
    <row r="825916" spans="1:1" x14ac:dyDescent="0.25">
      <c r="A825916" s="242"/>
    </row>
    <row r="825917" spans="1:1" x14ac:dyDescent="0.25">
      <c r="A825917" s="242"/>
    </row>
    <row r="825918" spans="1:1" x14ac:dyDescent="0.25">
      <c r="A825918" s="242"/>
    </row>
    <row r="825919" spans="1:1" x14ac:dyDescent="0.25">
      <c r="A825919" s="242"/>
    </row>
    <row r="825920" spans="1:1" x14ac:dyDescent="0.25">
      <c r="A825920" s="242"/>
    </row>
    <row r="825921" spans="1:1" x14ac:dyDescent="0.25">
      <c r="A825921" s="242"/>
    </row>
    <row r="825922" spans="1:1" x14ac:dyDescent="0.25">
      <c r="A825922" s="242"/>
    </row>
    <row r="825923" spans="1:1" x14ac:dyDescent="0.25">
      <c r="A825923" s="242"/>
    </row>
    <row r="825924" spans="1:1" x14ac:dyDescent="0.25">
      <c r="A825924" s="242"/>
    </row>
    <row r="825925" spans="1:1" x14ac:dyDescent="0.25">
      <c r="A825925" s="242"/>
    </row>
    <row r="825926" spans="1:1" x14ac:dyDescent="0.25">
      <c r="A825926" s="242"/>
    </row>
    <row r="825927" spans="1:1" x14ac:dyDescent="0.25">
      <c r="A825927" s="242"/>
    </row>
    <row r="825928" spans="1:1" x14ac:dyDescent="0.25">
      <c r="A825928" s="242"/>
    </row>
    <row r="825929" spans="1:1" x14ac:dyDescent="0.25">
      <c r="A825929" s="242"/>
    </row>
    <row r="825930" spans="1:1" x14ac:dyDescent="0.25">
      <c r="A825930" s="242"/>
    </row>
    <row r="825931" spans="1:1" x14ac:dyDescent="0.25">
      <c r="A825931" s="242"/>
    </row>
    <row r="825932" spans="1:1" x14ac:dyDescent="0.25">
      <c r="A825932" s="242"/>
    </row>
    <row r="825933" spans="1:1" x14ac:dyDescent="0.25">
      <c r="A825933" s="242"/>
    </row>
    <row r="825934" spans="1:1" x14ac:dyDescent="0.25">
      <c r="A825934" s="242"/>
    </row>
    <row r="825935" spans="1:1" x14ac:dyDescent="0.25">
      <c r="A825935" s="242"/>
    </row>
    <row r="825936" spans="1:1" x14ac:dyDescent="0.25">
      <c r="A825936" s="242"/>
    </row>
    <row r="825937" spans="1:1" x14ac:dyDescent="0.25">
      <c r="A825937" s="242"/>
    </row>
    <row r="825938" spans="1:1" x14ac:dyDescent="0.25">
      <c r="A825938" s="242"/>
    </row>
    <row r="825939" spans="1:1" x14ac:dyDescent="0.25">
      <c r="A825939" s="242"/>
    </row>
    <row r="825940" spans="1:1" x14ac:dyDescent="0.25">
      <c r="A825940" s="242"/>
    </row>
    <row r="825941" spans="1:1" x14ac:dyDescent="0.25">
      <c r="A825941" s="242"/>
    </row>
    <row r="825942" spans="1:1" x14ac:dyDescent="0.25">
      <c r="A825942" s="242"/>
    </row>
    <row r="825943" spans="1:1" x14ac:dyDescent="0.25">
      <c r="A825943" s="242"/>
    </row>
    <row r="825944" spans="1:1" x14ac:dyDescent="0.25">
      <c r="A825944" s="242"/>
    </row>
    <row r="825945" spans="1:1" x14ac:dyDescent="0.25">
      <c r="A825945" s="242"/>
    </row>
    <row r="825946" spans="1:1" x14ac:dyDescent="0.25">
      <c r="A825946" s="242"/>
    </row>
    <row r="825947" spans="1:1" x14ac:dyDescent="0.25">
      <c r="A825947" s="242"/>
    </row>
    <row r="825948" spans="1:1" x14ac:dyDescent="0.25">
      <c r="A825948" s="242"/>
    </row>
    <row r="825949" spans="1:1" x14ac:dyDescent="0.25">
      <c r="A825949" s="242"/>
    </row>
    <row r="825950" spans="1:1" x14ac:dyDescent="0.25">
      <c r="A825950" s="242"/>
    </row>
    <row r="825951" spans="1:1" x14ac:dyDescent="0.25">
      <c r="A825951" s="242"/>
    </row>
    <row r="825952" spans="1:1" x14ac:dyDescent="0.25">
      <c r="A825952" s="242"/>
    </row>
    <row r="825953" spans="1:1" x14ac:dyDescent="0.25">
      <c r="A825953" s="242"/>
    </row>
    <row r="825954" spans="1:1" x14ac:dyDescent="0.25">
      <c r="A825954" s="242"/>
    </row>
    <row r="825955" spans="1:1" x14ac:dyDescent="0.25">
      <c r="A825955" s="242"/>
    </row>
    <row r="825956" spans="1:1" x14ac:dyDescent="0.25">
      <c r="A825956" s="242"/>
    </row>
    <row r="825957" spans="1:1" x14ac:dyDescent="0.25">
      <c r="A825957" s="242"/>
    </row>
    <row r="825958" spans="1:1" x14ac:dyDescent="0.25">
      <c r="A825958" s="242"/>
    </row>
    <row r="825959" spans="1:1" x14ac:dyDescent="0.25">
      <c r="A825959" s="242"/>
    </row>
    <row r="825960" spans="1:1" x14ac:dyDescent="0.25">
      <c r="A825960" s="242"/>
    </row>
    <row r="825961" spans="1:1" x14ac:dyDescent="0.25">
      <c r="A825961" s="242"/>
    </row>
    <row r="825962" spans="1:1" x14ac:dyDescent="0.25">
      <c r="A825962" s="242"/>
    </row>
    <row r="825963" spans="1:1" x14ac:dyDescent="0.25">
      <c r="A825963" s="242"/>
    </row>
    <row r="825964" spans="1:1" x14ac:dyDescent="0.25">
      <c r="A825964" s="242"/>
    </row>
    <row r="825965" spans="1:1" x14ac:dyDescent="0.25">
      <c r="A825965" s="242"/>
    </row>
    <row r="825966" spans="1:1" x14ac:dyDescent="0.25">
      <c r="A825966" s="242"/>
    </row>
    <row r="825967" spans="1:1" x14ac:dyDescent="0.25">
      <c r="A825967" s="242"/>
    </row>
    <row r="825968" spans="1:1" x14ac:dyDescent="0.25">
      <c r="A825968" s="242"/>
    </row>
    <row r="825969" spans="1:1" x14ac:dyDescent="0.25">
      <c r="A825969" s="242"/>
    </row>
    <row r="825970" spans="1:1" x14ac:dyDescent="0.25">
      <c r="A825970" s="242"/>
    </row>
    <row r="825971" spans="1:1" x14ac:dyDescent="0.25">
      <c r="A825971" s="242"/>
    </row>
    <row r="825972" spans="1:1" x14ac:dyDescent="0.25">
      <c r="A825972" s="242"/>
    </row>
    <row r="825973" spans="1:1" x14ac:dyDescent="0.25">
      <c r="A825973" s="242"/>
    </row>
    <row r="825974" spans="1:1" x14ac:dyDescent="0.25">
      <c r="A825974" s="242"/>
    </row>
    <row r="825975" spans="1:1" x14ac:dyDescent="0.25">
      <c r="A825975" s="242"/>
    </row>
    <row r="825976" spans="1:1" x14ac:dyDescent="0.25">
      <c r="A825976" s="242"/>
    </row>
    <row r="825977" spans="1:1" x14ac:dyDescent="0.25">
      <c r="A825977" s="242"/>
    </row>
    <row r="825978" spans="1:1" x14ac:dyDescent="0.25">
      <c r="A825978" s="242"/>
    </row>
    <row r="825979" spans="1:1" x14ac:dyDescent="0.25">
      <c r="A825979" s="242"/>
    </row>
    <row r="825980" spans="1:1" x14ac:dyDescent="0.25">
      <c r="A825980" s="242"/>
    </row>
    <row r="825981" spans="1:1" x14ac:dyDescent="0.25">
      <c r="A825981" s="242"/>
    </row>
    <row r="825982" spans="1:1" x14ac:dyDescent="0.25">
      <c r="A825982" s="242"/>
    </row>
    <row r="825983" spans="1:1" x14ac:dyDescent="0.25">
      <c r="A825983" s="242"/>
    </row>
    <row r="825984" spans="1:1" x14ac:dyDescent="0.25">
      <c r="A825984" s="242"/>
    </row>
    <row r="825985" spans="1:1" x14ac:dyDescent="0.25">
      <c r="A825985" s="242"/>
    </row>
    <row r="825986" spans="1:1" x14ac:dyDescent="0.25">
      <c r="A825986" s="242"/>
    </row>
    <row r="825987" spans="1:1" x14ac:dyDescent="0.25">
      <c r="A825987" s="242"/>
    </row>
    <row r="825988" spans="1:1" x14ac:dyDescent="0.25">
      <c r="A825988" s="242"/>
    </row>
    <row r="825989" spans="1:1" x14ac:dyDescent="0.25">
      <c r="A825989" s="242"/>
    </row>
    <row r="825990" spans="1:1" x14ac:dyDescent="0.25">
      <c r="A825990" s="242"/>
    </row>
    <row r="825991" spans="1:1" x14ac:dyDescent="0.25">
      <c r="A825991" s="242"/>
    </row>
    <row r="825992" spans="1:1" x14ac:dyDescent="0.25">
      <c r="A825992" s="242"/>
    </row>
    <row r="825993" spans="1:1" x14ac:dyDescent="0.25">
      <c r="A825993" s="242"/>
    </row>
    <row r="825994" spans="1:1" x14ac:dyDescent="0.25">
      <c r="A825994" s="242"/>
    </row>
    <row r="825995" spans="1:1" x14ac:dyDescent="0.25">
      <c r="A825995" s="242"/>
    </row>
    <row r="825996" spans="1:1" x14ac:dyDescent="0.25">
      <c r="A825996" s="242"/>
    </row>
    <row r="825997" spans="1:1" x14ac:dyDescent="0.25">
      <c r="A825997" s="242"/>
    </row>
    <row r="825998" spans="1:1" x14ac:dyDescent="0.25">
      <c r="A825998" s="242"/>
    </row>
    <row r="825999" spans="1:1" x14ac:dyDescent="0.25">
      <c r="A825999" s="242"/>
    </row>
    <row r="826000" spans="1:1" x14ac:dyDescent="0.25">
      <c r="A826000" s="242"/>
    </row>
    <row r="826001" spans="1:1" x14ac:dyDescent="0.25">
      <c r="A826001" s="242"/>
    </row>
    <row r="826002" spans="1:1" x14ac:dyDescent="0.25">
      <c r="A826002" s="242"/>
    </row>
    <row r="826003" spans="1:1" x14ac:dyDescent="0.25">
      <c r="A826003" s="242"/>
    </row>
    <row r="826004" spans="1:1" x14ac:dyDescent="0.25">
      <c r="A826004" s="242"/>
    </row>
    <row r="826005" spans="1:1" x14ac:dyDescent="0.25">
      <c r="A826005" s="242"/>
    </row>
    <row r="826006" spans="1:1" x14ac:dyDescent="0.25">
      <c r="A826006" s="242"/>
    </row>
    <row r="826007" spans="1:1" x14ac:dyDescent="0.25">
      <c r="A826007" s="242"/>
    </row>
    <row r="826008" spans="1:1" x14ac:dyDescent="0.25">
      <c r="A826008" s="242"/>
    </row>
    <row r="826009" spans="1:1" x14ac:dyDescent="0.25">
      <c r="A826009" s="242"/>
    </row>
    <row r="826010" spans="1:1" x14ac:dyDescent="0.25">
      <c r="A826010" s="242"/>
    </row>
    <row r="826011" spans="1:1" x14ac:dyDescent="0.25">
      <c r="A826011" s="242"/>
    </row>
    <row r="826012" spans="1:1" x14ac:dyDescent="0.25">
      <c r="A826012" s="242"/>
    </row>
    <row r="826013" spans="1:1" x14ac:dyDescent="0.25">
      <c r="A826013" s="242"/>
    </row>
    <row r="826014" spans="1:1" x14ac:dyDescent="0.25">
      <c r="A826014" s="242"/>
    </row>
    <row r="826015" spans="1:1" x14ac:dyDescent="0.25">
      <c r="A826015" s="242"/>
    </row>
    <row r="826016" spans="1:1" x14ac:dyDescent="0.25">
      <c r="A826016" s="242"/>
    </row>
    <row r="826017" spans="1:1" x14ac:dyDescent="0.25">
      <c r="A826017" s="242"/>
    </row>
    <row r="826018" spans="1:1" x14ac:dyDescent="0.25">
      <c r="A826018" s="242"/>
    </row>
    <row r="826019" spans="1:1" x14ac:dyDescent="0.25">
      <c r="A826019" s="242"/>
    </row>
    <row r="826020" spans="1:1" x14ac:dyDescent="0.25">
      <c r="A826020" s="242"/>
    </row>
    <row r="826021" spans="1:1" x14ac:dyDescent="0.25">
      <c r="A826021" s="242"/>
    </row>
    <row r="826022" spans="1:1" x14ac:dyDescent="0.25">
      <c r="A826022" s="242"/>
    </row>
    <row r="826023" spans="1:1" x14ac:dyDescent="0.25">
      <c r="A826023" s="242"/>
    </row>
    <row r="826024" spans="1:1" x14ac:dyDescent="0.25">
      <c r="A826024" s="242"/>
    </row>
    <row r="826025" spans="1:1" x14ac:dyDescent="0.25">
      <c r="A826025" s="242"/>
    </row>
    <row r="826026" spans="1:1" x14ac:dyDescent="0.25">
      <c r="A826026" s="242"/>
    </row>
    <row r="826027" spans="1:1" x14ac:dyDescent="0.25">
      <c r="A826027" s="242"/>
    </row>
    <row r="826028" spans="1:1" x14ac:dyDescent="0.25">
      <c r="A826028" s="242"/>
    </row>
    <row r="826029" spans="1:1" x14ac:dyDescent="0.25">
      <c r="A826029" s="242"/>
    </row>
    <row r="826030" spans="1:1" x14ac:dyDescent="0.25">
      <c r="A826030" s="242"/>
    </row>
    <row r="826031" spans="1:1" x14ac:dyDescent="0.25">
      <c r="A826031" s="242"/>
    </row>
    <row r="826032" spans="1:1" x14ac:dyDescent="0.25">
      <c r="A826032" s="242"/>
    </row>
    <row r="826033" spans="1:1" x14ac:dyDescent="0.25">
      <c r="A826033" s="242"/>
    </row>
    <row r="826034" spans="1:1" x14ac:dyDescent="0.25">
      <c r="A826034" s="242"/>
    </row>
    <row r="826035" spans="1:1" x14ac:dyDescent="0.25">
      <c r="A826035" s="242"/>
    </row>
    <row r="826036" spans="1:1" x14ac:dyDescent="0.25">
      <c r="A826036" s="242"/>
    </row>
    <row r="826037" spans="1:1" x14ac:dyDescent="0.25">
      <c r="A826037" s="242"/>
    </row>
    <row r="826038" spans="1:1" x14ac:dyDescent="0.25">
      <c r="A826038" s="242"/>
    </row>
    <row r="826039" spans="1:1" x14ac:dyDescent="0.25">
      <c r="A826039" s="242"/>
    </row>
    <row r="826040" spans="1:1" x14ac:dyDescent="0.25">
      <c r="A826040" s="242"/>
    </row>
    <row r="826041" spans="1:1" x14ac:dyDescent="0.25">
      <c r="A826041" s="242"/>
    </row>
    <row r="826042" spans="1:1" x14ac:dyDescent="0.25">
      <c r="A826042" s="242"/>
    </row>
    <row r="826043" spans="1:1" x14ac:dyDescent="0.25">
      <c r="A826043" s="242"/>
    </row>
    <row r="826044" spans="1:1" x14ac:dyDescent="0.25">
      <c r="A826044" s="242"/>
    </row>
    <row r="826045" spans="1:1" x14ac:dyDescent="0.25">
      <c r="A826045" s="242"/>
    </row>
    <row r="826046" spans="1:1" x14ac:dyDescent="0.25">
      <c r="A826046" s="242"/>
    </row>
    <row r="826047" spans="1:1" x14ac:dyDescent="0.25">
      <c r="A826047" s="242"/>
    </row>
    <row r="826048" spans="1:1" x14ac:dyDescent="0.25">
      <c r="A826048" s="242"/>
    </row>
    <row r="826049" spans="1:1" x14ac:dyDescent="0.25">
      <c r="A826049" s="242"/>
    </row>
    <row r="826050" spans="1:1" x14ac:dyDescent="0.25">
      <c r="A826050" s="242"/>
    </row>
    <row r="826051" spans="1:1" x14ac:dyDescent="0.25">
      <c r="A826051" s="242"/>
    </row>
    <row r="826052" spans="1:1" x14ac:dyDescent="0.25">
      <c r="A826052" s="242"/>
    </row>
    <row r="826053" spans="1:1" x14ac:dyDescent="0.25">
      <c r="A826053" s="242"/>
    </row>
    <row r="826054" spans="1:1" x14ac:dyDescent="0.25">
      <c r="A826054" s="242"/>
    </row>
    <row r="826055" spans="1:1" x14ac:dyDescent="0.25">
      <c r="A826055" s="242"/>
    </row>
    <row r="826056" spans="1:1" x14ac:dyDescent="0.25">
      <c r="A826056" s="242"/>
    </row>
    <row r="826057" spans="1:1" x14ac:dyDescent="0.25">
      <c r="A826057" s="242"/>
    </row>
    <row r="826058" spans="1:1" x14ac:dyDescent="0.25">
      <c r="A826058" s="242"/>
    </row>
    <row r="826059" spans="1:1" x14ac:dyDescent="0.25">
      <c r="A826059" s="242"/>
    </row>
    <row r="826060" spans="1:1" x14ac:dyDescent="0.25">
      <c r="A826060" s="242"/>
    </row>
    <row r="826061" spans="1:1" x14ac:dyDescent="0.25">
      <c r="A826061" s="242"/>
    </row>
    <row r="826062" spans="1:1" x14ac:dyDescent="0.25">
      <c r="A826062" s="242"/>
    </row>
    <row r="826063" spans="1:1" x14ac:dyDescent="0.25">
      <c r="A826063" s="242"/>
    </row>
    <row r="826064" spans="1:1" x14ac:dyDescent="0.25">
      <c r="A826064" s="242"/>
    </row>
    <row r="826065" spans="1:1" x14ac:dyDescent="0.25">
      <c r="A826065" s="242"/>
    </row>
    <row r="826066" spans="1:1" x14ac:dyDescent="0.25">
      <c r="A826066" s="242"/>
    </row>
    <row r="826067" spans="1:1" x14ac:dyDescent="0.25">
      <c r="A826067" s="242"/>
    </row>
    <row r="826068" spans="1:1" x14ac:dyDescent="0.25">
      <c r="A826068" s="242"/>
    </row>
    <row r="826069" spans="1:1" x14ac:dyDescent="0.25">
      <c r="A826069" s="242"/>
    </row>
    <row r="826070" spans="1:1" x14ac:dyDescent="0.25">
      <c r="A826070" s="242"/>
    </row>
    <row r="826071" spans="1:1" x14ac:dyDescent="0.25">
      <c r="A826071" s="242"/>
    </row>
    <row r="826072" spans="1:1" x14ac:dyDescent="0.25">
      <c r="A826072" s="242"/>
    </row>
    <row r="826073" spans="1:1" x14ac:dyDescent="0.25">
      <c r="A826073" s="242"/>
    </row>
    <row r="826074" spans="1:1" x14ac:dyDescent="0.25">
      <c r="A826074" s="242"/>
    </row>
    <row r="826075" spans="1:1" x14ac:dyDescent="0.25">
      <c r="A826075" s="242"/>
    </row>
    <row r="826076" spans="1:1" x14ac:dyDescent="0.25">
      <c r="A826076" s="242"/>
    </row>
    <row r="826077" spans="1:1" x14ac:dyDescent="0.25">
      <c r="A826077" s="242"/>
    </row>
    <row r="826078" spans="1:1" x14ac:dyDescent="0.25">
      <c r="A826078" s="242"/>
    </row>
    <row r="826079" spans="1:1" x14ac:dyDescent="0.25">
      <c r="A826079" s="242"/>
    </row>
    <row r="826080" spans="1:1" x14ac:dyDescent="0.25">
      <c r="A826080" s="242"/>
    </row>
    <row r="826081" spans="1:1" x14ac:dyDescent="0.25">
      <c r="A826081" s="242"/>
    </row>
    <row r="826082" spans="1:1" x14ac:dyDescent="0.25">
      <c r="A826082" s="242"/>
    </row>
    <row r="826083" spans="1:1" x14ac:dyDescent="0.25">
      <c r="A826083" s="242"/>
    </row>
    <row r="826084" spans="1:1" x14ac:dyDescent="0.25">
      <c r="A826084" s="242"/>
    </row>
    <row r="826085" spans="1:1" x14ac:dyDescent="0.25">
      <c r="A826085" s="242"/>
    </row>
    <row r="826086" spans="1:1" x14ac:dyDescent="0.25">
      <c r="A826086" s="242"/>
    </row>
    <row r="826087" spans="1:1" x14ac:dyDescent="0.25">
      <c r="A826087" s="242"/>
    </row>
    <row r="826088" spans="1:1" x14ac:dyDescent="0.25">
      <c r="A826088" s="242"/>
    </row>
    <row r="826089" spans="1:1" x14ac:dyDescent="0.25">
      <c r="A826089" s="242"/>
    </row>
    <row r="826090" spans="1:1" x14ac:dyDescent="0.25">
      <c r="A826090" s="242"/>
    </row>
    <row r="826091" spans="1:1" x14ac:dyDescent="0.25">
      <c r="A826091" s="242"/>
    </row>
    <row r="826092" spans="1:1" x14ac:dyDescent="0.25">
      <c r="A826092" s="242"/>
    </row>
    <row r="826093" spans="1:1" x14ac:dyDescent="0.25">
      <c r="A826093" s="242"/>
    </row>
    <row r="826094" spans="1:1" x14ac:dyDescent="0.25">
      <c r="A826094" s="242"/>
    </row>
    <row r="826095" spans="1:1" x14ac:dyDescent="0.25">
      <c r="A826095" s="242"/>
    </row>
    <row r="826096" spans="1:1" x14ac:dyDescent="0.25">
      <c r="A826096" s="242"/>
    </row>
    <row r="826097" spans="1:1" x14ac:dyDescent="0.25">
      <c r="A826097" s="242"/>
    </row>
    <row r="826098" spans="1:1" x14ac:dyDescent="0.25">
      <c r="A826098" s="242"/>
    </row>
    <row r="826099" spans="1:1" x14ac:dyDescent="0.25">
      <c r="A826099" s="242"/>
    </row>
    <row r="826100" spans="1:1" x14ac:dyDescent="0.25">
      <c r="A826100" s="242"/>
    </row>
    <row r="826101" spans="1:1" x14ac:dyDescent="0.25">
      <c r="A826101" s="242"/>
    </row>
    <row r="826102" spans="1:1" x14ac:dyDescent="0.25">
      <c r="A826102" s="242"/>
    </row>
    <row r="826103" spans="1:1" x14ac:dyDescent="0.25">
      <c r="A826103" s="242"/>
    </row>
    <row r="826104" spans="1:1" x14ac:dyDescent="0.25">
      <c r="A826104" s="242"/>
    </row>
    <row r="826105" spans="1:1" x14ac:dyDescent="0.25">
      <c r="A826105" s="242"/>
    </row>
    <row r="826106" spans="1:1" x14ac:dyDescent="0.25">
      <c r="A826106" s="242"/>
    </row>
    <row r="826107" spans="1:1" x14ac:dyDescent="0.25">
      <c r="A826107" s="242"/>
    </row>
    <row r="826108" spans="1:1" x14ac:dyDescent="0.25">
      <c r="A826108" s="242"/>
    </row>
    <row r="826109" spans="1:1" x14ac:dyDescent="0.25">
      <c r="A826109" s="242"/>
    </row>
    <row r="826110" spans="1:1" x14ac:dyDescent="0.25">
      <c r="A826110" s="242"/>
    </row>
    <row r="826111" spans="1:1" x14ac:dyDescent="0.25">
      <c r="A826111" s="242"/>
    </row>
    <row r="826112" spans="1:1" x14ac:dyDescent="0.25">
      <c r="A826112" s="242"/>
    </row>
    <row r="826113" spans="1:1" x14ac:dyDescent="0.25">
      <c r="A826113" s="242"/>
    </row>
    <row r="826114" spans="1:1" x14ac:dyDescent="0.25">
      <c r="A826114" s="242"/>
    </row>
    <row r="826115" spans="1:1" x14ac:dyDescent="0.25">
      <c r="A826115" s="242"/>
    </row>
    <row r="826116" spans="1:1" x14ac:dyDescent="0.25">
      <c r="A826116" s="242"/>
    </row>
    <row r="826117" spans="1:1" x14ac:dyDescent="0.25">
      <c r="A826117" s="242"/>
    </row>
    <row r="826118" spans="1:1" x14ac:dyDescent="0.25">
      <c r="A826118" s="242"/>
    </row>
    <row r="826119" spans="1:1" x14ac:dyDescent="0.25">
      <c r="A826119" s="242"/>
    </row>
    <row r="826120" spans="1:1" x14ac:dyDescent="0.25">
      <c r="A826120" s="242"/>
    </row>
    <row r="826121" spans="1:1" x14ac:dyDescent="0.25">
      <c r="A826121" s="242"/>
    </row>
    <row r="826122" spans="1:1" x14ac:dyDescent="0.25">
      <c r="A826122" s="242"/>
    </row>
    <row r="826123" spans="1:1" x14ac:dyDescent="0.25">
      <c r="A826123" s="242"/>
    </row>
    <row r="826124" spans="1:1" x14ac:dyDescent="0.25">
      <c r="A826124" s="242"/>
    </row>
    <row r="826125" spans="1:1" x14ac:dyDescent="0.25">
      <c r="A826125" s="242"/>
    </row>
    <row r="826126" spans="1:1" x14ac:dyDescent="0.25">
      <c r="A826126" s="242"/>
    </row>
    <row r="826127" spans="1:1" x14ac:dyDescent="0.25">
      <c r="A826127" s="242"/>
    </row>
    <row r="826128" spans="1:1" x14ac:dyDescent="0.25">
      <c r="A826128" s="242"/>
    </row>
    <row r="826129" spans="1:1" x14ac:dyDescent="0.25">
      <c r="A826129" s="242"/>
    </row>
    <row r="826130" spans="1:1" x14ac:dyDescent="0.25">
      <c r="A826130" s="242"/>
    </row>
    <row r="826131" spans="1:1" x14ac:dyDescent="0.25">
      <c r="A826131" s="242"/>
    </row>
    <row r="826132" spans="1:1" x14ac:dyDescent="0.25">
      <c r="A826132" s="242"/>
    </row>
    <row r="826133" spans="1:1" x14ac:dyDescent="0.25">
      <c r="A826133" s="242"/>
    </row>
    <row r="826134" spans="1:1" x14ac:dyDescent="0.25">
      <c r="A826134" s="242"/>
    </row>
    <row r="826135" spans="1:1" x14ac:dyDescent="0.25">
      <c r="A826135" s="242"/>
    </row>
    <row r="826136" spans="1:1" x14ac:dyDescent="0.25">
      <c r="A826136" s="242"/>
    </row>
    <row r="826137" spans="1:1" x14ac:dyDescent="0.25">
      <c r="A826137" s="242"/>
    </row>
    <row r="826138" spans="1:1" x14ac:dyDescent="0.25">
      <c r="A826138" s="242"/>
    </row>
    <row r="826139" spans="1:1" x14ac:dyDescent="0.25">
      <c r="A826139" s="242"/>
    </row>
    <row r="826140" spans="1:1" x14ac:dyDescent="0.25">
      <c r="A826140" s="242"/>
    </row>
    <row r="826141" spans="1:1" x14ac:dyDescent="0.25">
      <c r="A826141" s="242"/>
    </row>
    <row r="826142" spans="1:1" x14ac:dyDescent="0.25">
      <c r="A826142" s="242"/>
    </row>
    <row r="826143" spans="1:1" x14ac:dyDescent="0.25">
      <c r="A826143" s="242"/>
    </row>
    <row r="826144" spans="1:1" x14ac:dyDescent="0.25">
      <c r="A826144" s="242"/>
    </row>
    <row r="826145" spans="1:1" x14ac:dyDescent="0.25">
      <c r="A826145" s="242"/>
    </row>
    <row r="826146" spans="1:1" x14ac:dyDescent="0.25">
      <c r="A826146" s="242"/>
    </row>
    <row r="826147" spans="1:1" x14ac:dyDescent="0.25">
      <c r="A826147" s="242"/>
    </row>
    <row r="826148" spans="1:1" x14ac:dyDescent="0.25">
      <c r="A826148" s="242"/>
    </row>
    <row r="826149" spans="1:1" x14ac:dyDescent="0.25">
      <c r="A826149" s="242"/>
    </row>
    <row r="826150" spans="1:1" x14ac:dyDescent="0.25">
      <c r="A826150" s="242"/>
    </row>
    <row r="826151" spans="1:1" x14ac:dyDescent="0.25">
      <c r="A826151" s="242"/>
    </row>
    <row r="826152" spans="1:1" x14ac:dyDescent="0.25">
      <c r="A826152" s="242"/>
    </row>
    <row r="826153" spans="1:1" x14ac:dyDescent="0.25">
      <c r="A826153" s="242"/>
    </row>
    <row r="826154" spans="1:1" x14ac:dyDescent="0.25">
      <c r="A826154" s="242"/>
    </row>
    <row r="826155" spans="1:1" x14ac:dyDescent="0.25">
      <c r="A826155" s="242"/>
    </row>
    <row r="826156" spans="1:1" x14ac:dyDescent="0.25">
      <c r="A826156" s="242"/>
    </row>
    <row r="826157" spans="1:1" x14ac:dyDescent="0.25">
      <c r="A826157" s="242"/>
    </row>
    <row r="826158" spans="1:1" x14ac:dyDescent="0.25">
      <c r="A826158" s="242"/>
    </row>
    <row r="826159" spans="1:1" x14ac:dyDescent="0.25">
      <c r="A826159" s="242"/>
    </row>
    <row r="826160" spans="1:1" x14ac:dyDescent="0.25">
      <c r="A826160" s="242"/>
    </row>
    <row r="826161" spans="1:1" x14ac:dyDescent="0.25">
      <c r="A826161" s="242"/>
    </row>
    <row r="826162" spans="1:1" x14ac:dyDescent="0.25">
      <c r="A826162" s="242"/>
    </row>
    <row r="826163" spans="1:1" x14ac:dyDescent="0.25">
      <c r="A826163" s="242"/>
    </row>
    <row r="826164" spans="1:1" x14ac:dyDescent="0.25">
      <c r="A826164" s="242"/>
    </row>
    <row r="826165" spans="1:1" x14ac:dyDescent="0.25">
      <c r="A826165" s="242"/>
    </row>
    <row r="826166" spans="1:1" x14ac:dyDescent="0.25">
      <c r="A826166" s="242"/>
    </row>
    <row r="826167" spans="1:1" x14ac:dyDescent="0.25">
      <c r="A826167" s="242"/>
    </row>
    <row r="826168" spans="1:1" x14ac:dyDescent="0.25">
      <c r="A826168" s="242"/>
    </row>
    <row r="826169" spans="1:1" x14ac:dyDescent="0.25">
      <c r="A826169" s="242"/>
    </row>
    <row r="826170" spans="1:1" x14ac:dyDescent="0.25">
      <c r="A826170" s="242"/>
    </row>
    <row r="826171" spans="1:1" x14ac:dyDescent="0.25">
      <c r="A826171" s="242"/>
    </row>
    <row r="826172" spans="1:1" x14ac:dyDescent="0.25">
      <c r="A826172" s="242"/>
    </row>
    <row r="826173" spans="1:1" x14ac:dyDescent="0.25">
      <c r="A826173" s="242"/>
    </row>
    <row r="826174" spans="1:1" x14ac:dyDescent="0.25">
      <c r="A826174" s="242"/>
    </row>
    <row r="826175" spans="1:1" x14ac:dyDescent="0.25">
      <c r="A826175" s="242"/>
    </row>
    <row r="826176" spans="1:1" x14ac:dyDescent="0.25">
      <c r="A826176" s="242"/>
    </row>
    <row r="826177" spans="1:1" x14ac:dyDescent="0.25">
      <c r="A826177" s="242"/>
    </row>
    <row r="826178" spans="1:1" x14ac:dyDescent="0.25">
      <c r="A826178" s="242"/>
    </row>
    <row r="826179" spans="1:1" x14ac:dyDescent="0.25">
      <c r="A826179" s="242"/>
    </row>
    <row r="826180" spans="1:1" x14ac:dyDescent="0.25">
      <c r="A826180" s="242"/>
    </row>
    <row r="826181" spans="1:1" x14ac:dyDescent="0.25">
      <c r="A826181" s="242"/>
    </row>
    <row r="826182" spans="1:1" x14ac:dyDescent="0.25">
      <c r="A826182" s="242"/>
    </row>
    <row r="826183" spans="1:1" x14ac:dyDescent="0.25">
      <c r="A826183" s="242"/>
    </row>
    <row r="826184" spans="1:1" x14ac:dyDescent="0.25">
      <c r="A826184" s="242"/>
    </row>
    <row r="826185" spans="1:1" x14ac:dyDescent="0.25">
      <c r="A826185" s="242"/>
    </row>
    <row r="826186" spans="1:1" x14ac:dyDescent="0.25">
      <c r="A826186" s="242"/>
    </row>
    <row r="826187" spans="1:1" x14ac:dyDescent="0.25">
      <c r="A826187" s="242"/>
    </row>
    <row r="826188" spans="1:1" x14ac:dyDescent="0.25">
      <c r="A826188" s="242"/>
    </row>
    <row r="826189" spans="1:1" x14ac:dyDescent="0.25">
      <c r="A826189" s="242"/>
    </row>
    <row r="826190" spans="1:1" x14ac:dyDescent="0.25">
      <c r="A826190" s="242"/>
    </row>
    <row r="826191" spans="1:1" x14ac:dyDescent="0.25">
      <c r="A826191" s="242"/>
    </row>
    <row r="826192" spans="1:1" x14ac:dyDescent="0.25">
      <c r="A826192" s="242"/>
    </row>
    <row r="826193" spans="1:1" x14ac:dyDescent="0.25">
      <c r="A826193" s="242"/>
    </row>
    <row r="826194" spans="1:1" x14ac:dyDescent="0.25">
      <c r="A826194" s="242"/>
    </row>
    <row r="826195" spans="1:1" x14ac:dyDescent="0.25">
      <c r="A826195" s="242"/>
    </row>
    <row r="826196" spans="1:1" x14ac:dyDescent="0.25">
      <c r="A826196" s="242"/>
    </row>
    <row r="826197" spans="1:1" x14ac:dyDescent="0.25">
      <c r="A826197" s="242"/>
    </row>
    <row r="826198" spans="1:1" x14ac:dyDescent="0.25">
      <c r="A826198" s="242"/>
    </row>
    <row r="826199" spans="1:1" x14ac:dyDescent="0.25">
      <c r="A826199" s="242"/>
    </row>
    <row r="826200" spans="1:1" x14ac:dyDescent="0.25">
      <c r="A826200" s="242"/>
    </row>
    <row r="826201" spans="1:1" x14ac:dyDescent="0.25">
      <c r="A826201" s="242"/>
    </row>
    <row r="826202" spans="1:1" x14ac:dyDescent="0.25">
      <c r="A826202" s="242"/>
    </row>
    <row r="826203" spans="1:1" x14ac:dyDescent="0.25">
      <c r="A826203" s="242"/>
    </row>
    <row r="826204" spans="1:1" x14ac:dyDescent="0.25">
      <c r="A826204" s="242"/>
    </row>
    <row r="826205" spans="1:1" x14ac:dyDescent="0.25">
      <c r="A826205" s="242"/>
    </row>
    <row r="826206" spans="1:1" x14ac:dyDescent="0.25">
      <c r="A826206" s="242"/>
    </row>
    <row r="826207" spans="1:1" x14ac:dyDescent="0.25">
      <c r="A826207" s="242"/>
    </row>
    <row r="826208" spans="1:1" x14ac:dyDescent="0.25">
      <c r="A826208" s="242"/>
    </row>
    <row r="826209" spans="1:1" x14ac:dyDescent="0.25">
      <c r="A826209" s="242"/>
    </row>
    <row r="826210" spans="1:1" x14ac:dyDescent="0.25">
      <c r="A826210" s="242"/>
    </row>
    <row r="826211" spans="1:1" x14ac:dyDescent="0.25">
      <c r="A826211" s="242"/>
    </row>
    <row r="826212" spans="1:1" x14ac:dyDescent="0.25">
      <c r="A826212" s="242"/>
    </row>
    <row r="826213" spans="1:1" x14ac:dyDescent="0.25">
      <c r="A826213" s="242"/>
    </row>
    <row r="826214" spans="1:1" x14ac:dyDescent="0.25">
      <c r="A826214" s="242"/>
    </row>
    <row r="826215" spans="1:1" x14ac:dyDescent="0.25">
      <c r="A826215" s="242"/>
    </row>
    <row r="826216" spans="1:1" x14ac:dyDescent="0.25">
      <c r="A826216" s="242"/>
    </row>
    <row r="826217" spans="1:1" x14ac:dyDescent="0.25">
      <c r="A826217" s="242"/>
    </row>
    <row r="826218" spans="1:1" x14ac:dyDescent="0.25">
      <c r="A826218" s="242"/>
    </row>
    <row r="826219" spans="1:1" x14ac:dyDescent="0.25">
      <c r="A826219" s="242"/>
    </row>
    <row r="826220" spans="1:1" x14ac:dyDescent="0.25">
      <c r="A826220" s="242"/>
    </row>
    <row r="826221" spans="1:1" x14ac:dyDescent="0.25">
      <c r="A826221" s="242"/>
    </row>
    <row r="826222" spans="1:1" x14ac:dyDescent="0.25">
      <c r="A826222" s="242"/>
    </row>
    <row r="826223" spans="1:1" x14ac:dyDescent="0.25">
      <c r="A826223" s="242"/>
    </row>
    <row r="826224" spans="1:1" x14ac:dyDescent="0.25">
      <c r="A826224" s="242"/>
    </row>
    <row r="826225" spans="1:1" x14ac:dyDescent="0.25">
      <c r="A826225" s="242"/>
    </row>
    <row r="826226" spans="1:1" x14ac:dyDescent="0.25">
      <c r="A826226" s="242"/>
    </row>
    <row r="826227" spans="1:1" x14ac:dyDescent="0.25">
      <c r="A826227" s="242"/>
    </row>
    <row r="826228" spans="1:1" x14ac:dyDescent="0.25">
      <c r="A826228" s="242"/>
    </row>
    <row r="826229" spans="1:1" x14ac:dyDescent="0.25">
      <c r="A826229" s="242"/>
    </row>
    <row r="826230" spans="1:1" x14ac:dyDescent="0.25">
      <c r="A826230" s="242"/>
    </row>
    <row r="826231" spans="1:1" x14ac:dyDescent="0.25">
      <c r="A826231" s="242"/>
    </row>
    <row r="826232" spans="1:1" x14ac:dyDescent="0.25">
      <c r="A826232" s="242"/>
    </row>
    <row r="826233" spans="1:1" x14ac:dyDescent="0.25">
      <c r="A826233" s="242"/>
    </row>
    <row r="826234" spans="1:1" x14ac:dyDescent="0.25">
      <c r="A826234" s="242"/>
    </row>
    <row r="826235" spans="1:1" x14ac:dyDescent="0.25">
      <c r="A826235" s="242"/>
    </row>
    <row r="826236" spans="1:1" x14ac:dyDescent="0.25">
      <c r="A826236" s="242"/>
    </row>
    <row r="826237" spans="1:1" x14ac:dyDescent="0.25">
      <c r="A826237" s="242"/>
    </row>
    <row r="826238" spans="1:1" x14ac:dyDescent="0.25">
      <c r="A826238" s="242"/>
    </row>
    <row r="826239" spans="1:1" x14ac:dyDescent="0.25">
      <c r="A826239" s="242"/>
    </row>
    <row r="826240" spans="1:1" x14ac:dyDescent="0.25">
      <c r="A826240" s="242"/>
    </row>
    <row r="826241" spans="1:1" x14ac:dyDescent="0.25">
      <c r="A826241" s="242"/>
    </row>
    <row r="826242" spans="1:1" x14ac:dyDescent="0.25">
      <c r="A826242" s="242"/>
    </row>
    <row r="826243" spans="1:1" x14ac:dyDescent="0.25">
      <c r="A826243" s="242"/>
    </row>
    <row r="826244" spans="1:1" x14ac:dyDescent="0.25">
      <c r="A826244" s="242"/>
    </row>
    <row r="826245" spans="1:1" x14ac:dyDescent="0.25">
      <c r="A826245" s="242"/>
    </row>
    <row r="826246" spans="1:1" x14ac:dyDescent="0.25">
      <c r="A826246" s="242"/>
    </row>
    <row r="826247" spans="1:1" x14ac:dyDescent="0.25">
      <c r="A826247" s="242"/>
    </row>
    <row r="826248" spans="1:1" x14ac:dyDescent="0.25">
      <c r="A826248" s="242"/>
    </row>
    <row r="826249" spans="1:1" x14ac:dyDescent="0.25">
      <c r="A826249" s="242"/>
    </row>
    <row r="826250" spans="1:1" x14ac:dyDescent="0.25">
      <c r="A826250" s="242"/>
    </row>
    <row r="826251" spans="1:1" x14ac:dyDescent="0.25">
      <c r="A826251" s="242"/>
    </row>
    <row r="826252" spans="1:1" x14ac:dyDescent="0.25">
      <c r="A826252" s="242"/>
    </row>
    <row r="826253" spans="1:1" x14ac:dyDescent="0.25">
      <c r="A826253" s="242"/>
    </row>
    <row r="826254" spans="1:1" x14ac:dyDescent="0.25">
      <c r="A826254" s="242"/>
    </row>
    <row r="826255" spans="1:1" x14ac:dyDescent="0.25">
      <c r="A826255" s="242"/>
    </row>
    <row r="826256" spans="1:1" x14ac:dyDescent="0.25">
      <c r="A826256" s="242"/>
    </row>
    <row r="826257" spans="1:1" x14ac:dyDescent="0.25">
      <c r="A826257" s="242"/>
    </row>
    <row r="826258" spans="1:1" x14ac:dyDescent="0.25">
      <c r="A826258" s="242"/>
    </row>
    <row r="826259" spans="1:1" x14ac:dyDescent="0.25">
      <c r="A826259" s="242"/>
    </row>
    <row r="826260" spans="1:1" x14ac:dyDescent="0.25">
      <c r="A826260" s="242"/>
    </row>
    <row r="826261" spans="1:1" x14ac:dyDescent="0.25">
      <c r="A826261" s="242"/>
    </row>
    <row r="826262" spans="1:1" x14ac:dyDescent="0.25">
      <c r="A826262" s="242"/>
    </row>
    <row r="826263" spans="1:1" x14ac:dyDescent="0.25">
      <c r="A826263" s="242"/>
    </row>
    <row r="826264" spans="1:1" x14ac:dyDescent="0.25">
      <c r="A826264" s="242"/>
    </row>
    <row r="826265" spans="1:1" x14ac:dyDescent="0.25">
      <c r="A826265" s="242"/>
    </row>
    <row r="826266" spans="1:1" x14ac:dyDescent="0.25">
      <c r="A826266" s="242"/>
    </row>
    <row r="826267" spans="1:1" x14ac:dyDescent="0.25">
      <c r="A826267" s="242"/>
    </row>
    <row r="826268" spans="1:1" x14ac:dyDescent="0.25">
      <c r="A826268" s="242"/>
    </row>
    <row r="826269" spans="1:1" x14ac:dyDescent="0.25">
      <c r="A826269" s="242"/>
    </row>
    <row r="826270" spans="1:1" x14ac:dyDescent="0.25">
      <c r="A826270" s="242"/>
    </row>
    <row r="826271" spans="1:1" x14ac:dyDescent="0.25">
      <c r="A826271" s="242"/>
    </row>
    <row r="826272" spans="1:1" x14ac:dyDescent="0.25">
      <c r="A826272" s="242"/>
    </row>
    <row r="826273" spans="1:1" x14ac:dyDescent="0.25">
      <c r="A826273" s="242"/>
    </row>
    <row r="826274" spans="1:1" x14ac:dyDescent="0.25">
      <c r="A826274" s="242"/>
    </row>
    <row r="826275" spans="1:1" x14ac:dyDescent="0.25">
      <c r="A826275" s="242"/>
    </row>
    <row r="826276" spans="1:1" x14ac:dyDescent="0.25">
      <c r="A826276" s="242"/>
    </row>
    <row r="826277" spans="1:1" x14ac:dyDescent="0.25">
      <c r="A826277" s="242"/>
    </row>
    <row r="826278" spans="1:1" x14ac:dyDescent="0.25">
      <c r="A826278" s="242"/>
    </row>
    <row r="826279" spans="1:1" x14ac:dyDescent="0.25">
      <c r="A826279" s="242"/>
    </row>
    <row r="826280" spans="1:1" x14ac:dyDescent="0.25">
      <c r="A826280" s="242"/>
    </row>
    <row r="826281" spans="1:1" x14ac:dyDescent="0.25">
      <c r="A826281" s="242"/>
    </row>
    <row r="826282" spans="1:1" x14ac:dyDescent="0.25">
      <c r="A826282" s="242"/>
    </row>
    <row r="826283" spans="1:1" x14ac:dyDescent="0.25">
      <c r="A826283" s="242"/>
    </row>
    <row r="826284" spans="1:1" x14ac:dyDescent="0.25">
      <c r="A826284" s="242"/>
    </row>
    <row r="826285" spans="1:1" x14ac:dyDescent="0.25">
      <c r="A826285" s="242"/>
    </row>
    <row r="826286" spans="1:1" x14ac:dyDescent="0.25">
      <c r="A826286" s="242"/>
    </row>
    <row r="826287" spans="1:1" x14ac:dyDescent="0.25">
      <c r="A826287" s="242"/>
    </row>
    <row r="826288" spans="1:1" x14ac:dyDescent="0.25">
      <c r="A826288" s="242"/>
    </row>
    <row r="826289" spans="1:1" x14ac:dyDescent="0.25">
      <c r="A826289" s="242"/>
    </row>
    <row r="826290" spans="1:1" x14ac:dyDescent="0.25">
      <c r="A826290" s="242"/>
    </row>
    <row r="826291" spans="1:1" x14ac:dyDescent="0.25">
      <c r="A826291" s="242"/>
    </row>
    <row r="826292" spans="1:1" x14ac:dyDescent="0.25">
      <c r="A826292" s="242"/>
    </row>
    <row r="826293" spans="1:1" x14ac:dyDescent="0.25">
      <c r="A826293" s="242"/>
    </row>
    <row r="826294" spans="1:1" x14ac:dyDescent="0.25">
      <c r="A826294" s="242"/>
    </row>
    <row r="826295" spans="1:1" x14ac:dyDescent="0.25">
      <c r="A826295" s="242"/>
    </row>
    <row r="826296" spans="1:1" x14ac:dyDescent="0.25">
      <c r="A826296" s="242"/>
    </row>
    <row r="826297" spans="1:1" x14ac:dyDescent="0.25">
      <c r="A826297" s="242"/>
    </row>
    <row r="826298" spans="1:1" x14ac:dyDescent="0.25">
      <c r="A826298" s="242"/>
    </row>
    <row r="826299" spans="1:1" x14ac:dyDescent="0.25">
      <c r="A826299" s="242"/>
    </row>
    <row r="826300" spans="1:1" x14ac:dyDescent="0.25">
      <c r="A826300" s="242"/>
    </row>
    <row r="826301" spans="1:1" x14ac:dyDescent="0.25">
      <c r="A826301" s="242"/>
    </row>
    <row r="826302" spans="1:1" x14ac:dyDescent="0.25">
      <c r="A826302" s="242"/>
    </row>
    <row r="826303" spans="1:1" x14ac:dyDescent="0.25">
      <c r="A826303" s="242"/>
    </row>
    <row r="826304" spans="1:1" x14ac:dyDescent="0.25">
      <c r="A826304" s="242"/>
    </row>
    <row r="826305" spans="1:1" x14ac:dyDescent="0.25">
      <c r="A826305" s="242"/>
    </row>
    <row r="826306" spans="1:1" x14ac:dyDescent="0.25">
      <c r="A826306" s="242"/>
    </row>
    <row r="826307" spans="1:1" x14ac:dyDescent="0.25">
      <c r="A826307" s="242"/>
    </row>
    <row r="826308" spans="1:1" x14ac:dyDescent="0.25">
      <c r="A826308" s="242"/>
    </row>
    <row r="826309" spans="1:1" x14ac:dyDescent="0.25">
      <c r="A826309" s="242"/>
    </row>
    <row r="826310" spans="1:1" x14ac:dyDescent="0.25">
      <c r="A826310" s="242"/>
    </row>
    <row r="826311" spans="1:1" x14ac:dyDescent="0.25">
      <c r="A826311" s="242"/>
    </row>
    <row r="826312" spans="1:1" x14ac:dyDescent="0.25">
      <c r="A826312" s="242"/>
    </row>
    <row r="826313" spans="1:1" x14ac:dyDescent="0.25">
      <c r="A826313" s="242"/>
    </row>
    <row r="826314" spans="1:1" x14ac:dyDescent="0.25">
      <c r="A826314" s="242"/>
    </row>
    <row r="826315" spans="1:1" x14ac:dyDescent="0.25">
      <c r="A826315" s="242"/>
    </row>
    <row r="826316" spans="1:1" x14ac:dyDescent="0.25">
      <c r="A826316" s="242"/>
    </row>
    <row r="826317" spans="1:1" x14ac:dyDescent="0.25">
      <c r="A826317" s="242"/>
    </row>
    <row r="826318" spans="1:1" x14ac:dyDescent="0.25">
      <c r="A826318" s="242"/>
    </row>
    <row r="826319" spans="1:1" x14ac:dyDescent="0.25">
      <c r="A826319" s="242"/>
    </row>
    <row r="826320" spans="1:1" x14ac:dyDescent="0.25">
      <c r="A826320" s="242"/>
    </row>
    <row r="826321" spans="1:1" x14ac:dyDescent="0.25">
      <c r="A826321" s="242"/>
    </row>
    <row r="826322" spans="1:1" x14ac:dyDescent="0.25">
      <c r="A826322" s="242"/>
    </row>
    <row r="826323" spans="1:1" x14ac:dyDescent="0.25">
      <c r="A826323" s="242"/>
    </row>
    <row r="826324" spans="1:1" x14ac:dyDescent="0.25">
      <c r="A826324" s="242"/>
    </row>
    <row r="826325" spans="1:1" x14ac:dyDescent="0.25">
      <c r="A826325" s="242"/>
    </row>
    <row r="826326" spans="1:1" x14ac:dyDescent="0.25">
      <c r="A826326" s="242"/>
    </row>
    <row r="826327" spans="1:1" x14ac:dyDescent="0.25">
      <c r="A826327" s="242"/>
    </row>
    <row r="826328" spans="1:1" x14ac:dyDescent="0.25">
      <c r="A826328" s="242"/>
    </row>
    <row r="826329" spans="1:1" x14ac:dyDescent="0.25">
      <c r="A826329" s="242"/>
    </row>
    <row r="826330" spans="1:1" x14ac:dyDescent="0.25">
      <c r="A826330" s="242"/>
    </row>
    <row r="826331" spans="1:1" x14ac:dyDescent="0.25">
      <c r="A826331" s="242"/>
    </row>
    <row r="826332" spans="1:1" x14ac:dyDescent="0.25">
      <c r="A826332" s="242"/>
    </row>
    <row r="826333" spans="1:1" x14ac:dyDescent="0.25">
      <c r="A826333" s="242"/>
    </row>
    <row r="826334" spans="1:1" x14ac:dyDescent="0.25">
      <c r="A826334" s="242"/>
    </row>
    <row r="826335" spans="1:1" x14ac:dyDescent="0.25">
      <c r="A826335" s="242"/>
    </row>
    <row r="826336" spans="1:1" x14ac:dyDescent="0.25">
      <c r="A826336" s="242"/>
    </row>
    <row r="826337" spans="1:1" x14ac:dyDescent="0.25">
      <c r="A826337" s="242"/>
    </row>
    <row r="826338" spans="1:1" x14ac:dyDescent="0.25">
      <c r="A826338" s="242"/>
    </row>
    <row r="826339" spans="1:1" x14ac:dyDescent="0.25">
      <c r="A826339" s="242"/>
    </row>
    <row r="826340" spans="1:1" x14ac:dyDescent="0.25">
      <c r="A826340" s="242"/>
    </row>
    <row r="826341" spans="1:1" x14ac:dyDescent="0.25">
      <c r="A826341" s="242"/>
    </row>
    <row r="826342" spans="1:1" x14ac:dyDescent="0.25">
      <c r="A826342" s="242"/>
    </row>
    <row r="826343" spans="1:1" x14ac:dyDescent="0.25">
      <c r="A826343" s="242"/>
    </row>
    <row r="826344" spans="1:1" x14ac:dyDescent="0.25">
      <c r="A826344" s="242"/>
    </row>
    <row r="826345" spans="1:1" x14ac:dyDescent="0.25">
      <c r="A826345" s="242"/>
    </row>
    <row r="826346" spans="1:1" x14ac:dyDescent="0.25">
      <c r="A826346" s="242"/>
    </row>
    <row r="826347" spans="1:1" x14ac:dyDescent="0.25">
      <c r="A826347" s="242"/>
    </row>
    <row r="826348" spans="1:1" x14ac:dyDescent="0.25">
      <c r="A826348" s="242"/>
    </row>
    <row r="826349" spans="1:1" x14ac:dyDescent="0.25">
      <c r="A826349" s="242"/>
    </row>
    <row r="826350" spans="1:1" x14ac:dyDescent="0.25">
      <c r="A826350" s="242"/>
    </row>
    <row r="826351" spans="1:1" x14ac:dyDescent="0.25">
      <c r="A826351" s="242"/>
    </row>
    <row r="826352" spans="1:1" x14ac:dyDescent="0.25">
      <c r="A826352" s="242"/>
    </row>
    <row r="826353" spans="1:1" x14ac:dyDescent="0.25">
      <c r="A826353" s="242"/>
    </row>
    <row r="826354" spans="1:1" x14ac:dyDescent="0.25">
      <c r="A826354" s="242"/>
    </row>
    <row r="826355" spans="1:1" x14ac:dyDescent="0.25">
      <c r="A826355" s="242"/>
    </row>
    <row r="826356" spans="1:1" x14ac:dyDescent="0.25">
      <c r="A826356" s="242"/>
    </row>
    <row r="826357" spans="1:1" x14ac:dyDescent="0.25">
      <c r="A826357" s="242"/>
    </row>
    <row r="826358" spans="1:1" x14ac:dyDescent="0.25">
      <c r="A826358" s="242"/>
    </row>
    <row r="826359" spans="1:1" x14ac:dyDescent="0.25">
      <c r="A826359" s="242"/>
    </row>
    <row r="826360" spans="1:1" x14ac:dyDescent="0.25">
      <c r="A826360" s="242"/>
    </row>
    <row r="826361" spans="1:1" x14ac:dyDescent="0.25">
      <c r="A826361" s="242"/>
    </row>
    <row r="826362" spans="1:1" x14ac:dyDescent="0.25">
      <c r="A826362" s="242"/>
    </row>
    <row r="826363" spans="1:1" x14ac:dyDescent="0.25">
      <c r="A826363" s="242"/>
    </row>
    <row r="826364" spans="1:1" x14ac:dyDescent="0.25">
      <c r="A826364" s="242"/>
    </row>
    <row r="826365" spans="1:1" x14ac:dyDescent="0.25">
      <c r="A826365" s="242"/>
    </row>
    <row r="826366" spans="1:1" x14ac:dyDescent="0.25">
      <c r="A826366" s="242"/>
    </row>
    <row r="826367" spans="1:1" x14ac:dyDescent="0.25">
      <c r="A826367" s="242"/>
    </row>
    <row r="826368" spans="1:1" x14ac:dyDescent="0.25">
      <c r="A826368" s="242"/>
    </row>
    <row r="826369" spans="1:1" x14ac:dyDescent="0.25">
      <c r="A826369" s="242"/>
    </row>
    <row r="826370" spans="1:1" x14ac:dyDescent="0.25">
      <c r="A826370" s="242"/>
    </row>
    <row r="826371" spans="1:1" x14ac:dyDescent="0.25">
      <c r="A826371" s="242"/>
    </row>
    <row r="826372" spans="1:1" x14ac:dyDescent="0.25">
      <c r="A826372" s="242"/>
    </row>
    <row r="826373" spans="1:1" x14ac:dyDescent="0.25">
      <c r="A826373" s="242"/>
    </row>
    <row r="826374" spans="1:1" x14ac:dyDescent="0.25">
      <c r="A826374" s="242"/>
    </row>
    <row r="826375" spans="1:1" x14ac:dyDescent="0.25">
      <c r="A826375" s="242"/>
    </row>
    <row r="826376" spans="1:1" x14ac:dyDescent="0.25">
      <c r="A826376" s="242"/>
    </row>
    <row r="826377" spans="1:1" x14ac:dyDescent="0.25">
      <c r="A826377" s="242"/>
    </row>
    <row r="826378" spans="1:1" x14ac:dyDescent="0.25">
      <c r="A826378" s="242"/>
    </row>
    <row r="826379" spans="1:1" x14ac:dyDescent="0.25">
      <c r="A826379" s="242"/>
    </row>
    <row r="826380" spans="1:1" x14ac:dyDescent="0.25">
      <c r="A826380" s="242"/>
    </row>
    <row r="826381" spans="1:1" x14ac:dyDescent="0.25">
      <c r="A826381" s="242"/>
    </row>
    <row r="826382" spans="1:1" x14ac:dyDescent="0.25">
      <c r="A826382" s="242"/>
    </row>
    <row r="826383" spans="1:1" x14ac:dyDescent="0.25">
      <c r="A826383" s="242"/>
    </row>
    <row r="826384" spans="1:1" x14ac:dyDescent="0.25">
      <c r="A826384" s="242"/>
    </row>
    <row r="826385" spans="1:1" x14ac:dyDescent="0.25">
      <c r="A826385" s="242"/>
    </row>
    <row r="826386" spans="1:1" x14ac:dyDescent="0.25">
      <c r="A826386" s="242"/>
    </row>
    <row r="826387" spans="1:1" x14ac:dyDescent="0.25">
      <c r="A826387" s="242"/>
    </row>
    <row r="826388" spans="1:1" x14ac:dyDescent="0.25">
      <c r="A826388" s="242"/>
    </row>
    <row r="826389" spans="1:1" x14ac:dyDescent="0.25">
      <c r="A826389" s="242"/>
    </row>
    <row r="826390" spans="1:1" x14ac:dyDescent="0.25">
      <c r="A826390" s="242"/>
    </row>
    <row r="826391" spans="1:1" x14ac:dyDescent="0.25">
      <c r="A826391" s="242"/>
    </row>
    <row r="826392" spans="1:1" x14ac:dyDescent="0.25">
      <c r="A826392" s="242"/>
    </row>
    <row r="826393" spans="1:1" x14ac:dyDescent="0.25">
      <c r="A826393" s="242"/>
    </row>
    <row r="826394" spans="1:1" x14ac:dyDescent="0.25">
      <c r="A826394" s="242"/>
    </row>
    <row r="826395" spans="1:1" x14ac:dyDescent="0.25">
      <c r="A826395" s="242"/>
    </row>
    <row r="826396" spans="1:1" x14ac:dyDescent="0.25">
      <c r="A826396" s="242"/>
    </row>
    <row r="826397" spans="1:1" x14ac:dyDescent="0.25">
      <c r="A826397" s="242"/>
    </row>
    <row r="826398" spans="1:1" x14ac:dyDescent="0.25">
      <c r="A826398" s="242"/>
    </row>
    <row r="826399" spans="1:1" x14ac:dyDescent="0.25">
      <c r="A826399" s="242"/>
    </row>
    <row r="826400" spans="1:1" x14ac:dyDescent="0.25">
      <c r="A826400" s="242"/>
    </row>
    <row r="826401" spans="1:1" x14ac:dyDescent="0.25">
      <c r="A826401" s="242"/>
    </row>
    <row r="826402" spans="1:1" x14ac:dyDescent="0.25">
      <c r="A826402" s="242"/>
    </row>
    <row r="826403" spans="1:1" x14ac:dyDescent="0.25">
      <c r="A826403" s="242"/>
    </row>
    <row r="826404" spans="1:1" x14ac:dyDescent="0.25">
      <c r="A826404" s="242"/>
    </row>
    <row r="826405" spans="1:1" x14ac:dyDescent="0.25">
      <c r="A826405" s="242"/>
    </row>
    <row r="826406" spans="1:1" x14ac:dyDescent="0.25">
      <c r="A826406" s="242"/>
    </row>
    <row r="826407" spans="1:1" x14ac:dyDescent="0.25">
      <c r="A826407" s="242"/>
    </row>
    <row r="826408" spans="1:1" x14ac:dyDescent="0.25">
      <c r="A826408" s="242"/>
    </row>
    <row r="826409" spans="1:1" x14ac:dyDescent="0.25">
      <c r="A826409" s="242"/>
    </row>
    <row r="826410" spans="1:1" x14ac:dyDescent="0.25">
      <c r="A826410" s="242"/>
    </row>
    <row r="826411" spans="1:1" x14ac:dyDescent="0.25">
      <c r="A826411" s="242"/>
    </row>
    <row r="826412" spans="1:1" x14ac:dyDescent="0.25">
      <c r="A826412" s="242"/>
    </row>
    <row r="826413" spans="1:1" x14ac:dyDescent="0.25">
      <c r="A826413" s="242"/>
    </row>
    <row r="826414" spans="1:1" x14ac:dyDescent="0.25">
      <c r="A826414" s="242"/>
    </row>
    <row r="826415" spans="1:1" x14ac:dyDescent="0.25">
      <c r="A826415" s="242"/>
    </row>
    <row r="826416" spans="1:1" x14ac:dyDescent="0.25">
      <c r="A826416" s="242"/>
    </row>
    <row r="826417" spans="1:1" x14ac:dyDescent="0.25">
      <c r="A826417" s="242"/>
    </row>
    <row r="826418" spans="1:1" x14ac:dyDescent="0.25">
      <c r="A826418" s="242"/>
    </row>
    <row r="826419" spans="1:1" x14ac:dyDescent="0.25">
      <c r="A826419" s="242"/>
    </row>
    <row r="826420" spans="1:1" x14ac:dyDescent="0.25">
      <c r="A826420" s="242"/>
    </row>
    <row r="826421" spans="1:1" x14ac:dyDescent="0.25">
      <c r="A826421" s="242"/>
    </row>
    <row r="826422" spans="1:1" x14ac:dyDescent="0.25">
      <c r="A826422" s="242"/>
    </row>
    <row r="826423" spans="1:1" x14ac:dyDescent="0.25">
      <c r="A826423" s="242"/>
    </row>
    <row r="826424" spans="1:1" x14ac:dyDescent="0.25">
      <c r="A826424" s="242"/>
    </row>
    <row r="826425" spans="1:1" x14ac:dyDescent="0.25">
      <c r="A826425" s="242"/>
    </row>
    <row r="826426" spans="1:1" x14ac:dyDescent="0.25">
      <c r="A826426" s="242"/>
    </row>
    <row r="826427" spans="1:1" x14ac:dyDescent="0.25">
      <c r="A826427" s="242"/>
    </row>
    <row r="826428" spans="1:1" x14ac:dyDescent="0.25">
      <c r="A826428" s="242"/>
    </row>
    <row r="826429" spans="1:1" x14ac:dyDescent="0.25">
      <c r="A826429" s="242"/>
    </row>
    <row r="826430" spans="1:1" x14ac:dyDescent="0.25">
      <c r="A826430" s="242"/>
    </row>
    <row r="826431" spans="1:1" x14ac:dyDescent="0.25">
      <c r="A826431" s="242"/>
    </row>
    <row r="826432" spans="1:1" x14ac:dyDescent="0.25">
      <c r="A826432" s="242"/>
    </row>
    <row r="826433" spans="1:1" x14ac:dyDescent="0.25">
      <c r="A826433" s="242"/>
    </row>
    <row r="826434" spans="1:1" x14ac:dyDescent="0.25">
      <c r="A826434" s="242"/>
    </row>
    <row r="826435" spans="1:1" x14ac:dyDescent="0.25">
      <c r="A826435" s="242"/>
    </row>
    <row r="826436" spans="1:1" x14ac:dyDescent="0.25">
      <c r="A826436" s="242"/>
    </row>
    <row r="826437" spans="1:1" x14ac:dyDescent="0.25">
      <c r="A826437" s="242"/>
    </row>
    <row r="826438" spans="1:1" x14ac:dyDescent="0.25">
      <c r="A826438" s="242"/>
    </row>
    <row r="826439" spans="1:1" x14ac:dyDescent="0.25">
      <c r="A826439" s="242"/>
    </row>
    <row r="826440" spans="1:1" x14ac:dyDescent="0.25">
      <c r="A826440" s="242"/>
    </row>
    <row r="826441" spans="1:1" x14ac:dyDescent="0.25">
      <c r="A826441" s="242"/>
    </row>
    <row r="826442" spans="1:1" x14ac:dyDescent="0.25">
      <c r="A826442" s="242"/>
    </row>
    <row r="826443" spans="1:1" x14ac:dyDescent="0.25">
      <c r="A826443" s="242"/>
    </row>
    <row r="826444" spans="1:1" x14ac:dyDescent="0.25">
      <c r="A826444" s="242"/>
    </row>
    <row r="826445" spans="1:1" x14ac:dyDescent="0.25">
      <c r="A826445" s="242"/>
    </row>
    <row r="826446" spans="1:1" x14ac:dyDescent="0.25">
      <c r="A826446" s="242"/>
    </row>
    <row r="826447" spans="1:1" x14ac:dyDescent="0.25">
      <c r="A826447" s="242"/>
    </row>
    <row r="826448" spans="1:1" x14ac:dyDescent="0.25">
      <c r="A826448" s="242"/>
    </row>
    <row r="826449" spans="1:1" x14ac:dyDescent="0.25">
      <c r="A826449" s="242"/>
    </row>
    <row r="826450" spans="1:1" x14ac:dyDescent="0.25">
      <c r="A826450" s="242"/>
    </row>
    <row r="826451" spans="1:1" x14ac:dyDescent="0.25">
      <c r="A826451" s="242"/>
    </row>
    <row r="826452" spans="1:1" x14ac:dyDescent="0.25">
      <c r="A826452" s="242"/>
    </row>
    <row r="826453" spans="1:1" x14ac:dyDescent="0.25">
      <c r="A826453" s="242"/>
    </row>
    <row r="826454" spans="1:1" x14ac:dyDescent="0.25">
      <c r="A826454" s="242"/>
    </row>
    <row r="826455" spans="1:1" x14ac:dyDescent="0.25">
      <c r="A826455" s="242"/>
    </row>
    <row r="826456" spans="1:1" x14ac:dyDescent="0.25">
      <c r="A826456" s="242"/>
    </row>
    <row r="826457" spans="1:1" x14ac:dyDescent="0.25">
      <c r="A826457" s="242"/>
    </row>
    <row r="826458" spans="1:1" x14ac:dyDescent="0.25">
      <c r="A826458" s="242"/>
    </row>
    <row r="826459" spans="1:1" x14ac:dyDescent="0.25">
      <c r="A826459" s="242"/>
    </row>
    <row r="826460" spans="1:1" x14ac:dyDescent="0.25">
      <c r="A826460" s="242"/>
    </row>
    <row r="826461" spans="1:1" x14ac:dyDescent="0.25">
      <c r="A826461" s="242"/>
    </row>
    <row r="826462" spans="1:1" x14ac:dyDescent="0.25">
      <c r="A826462" s="242"/>
    </row>
    <row r="826463" spans="1:1" x14ac:dyDescent="0.25">
      <c r="A826463" s="242"/>
    </row>
    <row r="826464" spans="1:1" x14ac:dyDescent="0.25">
      <c r="A826464" s="242"/>
    </row>
    <row r="826465" spans="1:1" x14ac:dyDescent="0.25">
      <c r="A826465" s="242"/>
    </row>
    <row r="826466" spans="1:1" x14ac:dyDescent="0.25">
      <c r="A826466" s="242"/>
    </row>
    <row r="826467" spans="1:1" x14ac:dyDescent="0.25">
      <c r="A826467" s="242"/>
    </row>
    <row r="826468" spans="1:1" x14ac:dyDescent="0.25">
      <c r="A826468" s="242"/>
    </row>
    <row r="826469" spans="1:1" x14ac:dyDescent="0.25">
      <c r="A826469" s="242"/>
    </row>
    <row r="826470" spans="1:1" x14ac:dyDescent="0.25">
      <c r="A826470" s="242"/>
    </row>
    <row r="826471" spans="1:1" x14ac:dyDescent="0.25">
      <c r="A826471" s="242"/>
    </row>
    <row r="826472" spans="1:1" x14ac:dyDescent="0.25">
      <c r="A826472" s="242"/>
    </row>
    <row r="826473" spans="1:1" x14ac:dyDescent="0.25">
      <c r="A826473" s="242"/>
    </row>
    <row r="826474" spans="1:1" x14ac:dyDescent="0.25">
      <c r="A826474" s="242"/>
    </row>
    <row r="826475" spans="1:1" x14ac:dyDescent="0.25">
      <c r="A826475" s="242"/>
    </row>
    <row r="826476" spans="1:1" x14ac:dyDescent="0.25">
      <c r="A826476" s="242"/>
    </row>
    <row r="826477" spans="1:1" x14ac:dyDescent="0.25">
      <c r="A826477" s="242"/>
    </row>
    <row r="826478" spans="1:1" x14ac:dyDescent="0.25">
      <c r="A826478" s="242"/>
    </row>
    <row r="826479" spans="1:1" x14ac:dyDescent="0.25">
      <c r="A826479" s="242"/>
    </row>
    <row r="826480" spans="1:1" x14ac:dyDescent="0.25">
      <c r="A826480" s="242"/>
    </row>
    <row r="826481" spans="1:1" x14ac:dyDescent="0.25">
      <c r="A826481" s="242"/>
    </row>
    <row r="826482" spans="1:1" x14ac:dyDescent="0.25">
      <c r="A826482" s="242"/>
    </row>
    <row r="826483" spans="1:1" x14ac:dyDescent="0.25">
      <c r="A826483" s="242"/>
    </row>
    <row r="826484" spans="1:1" x14ac:dyDescent="0.25">
      <c r="A826484" s="242"/>
    </row>
    <row r="826485" spans="1:1" x14ac:dyDescent="0.25">
      <c r="A826485" s="242"/>
    </row>
    <row r="826486" spans="1:1" x14ac:dyDescent="0.25">
      <c r="A826486" s="242"/>
    </row>
    <row r="826487" spans="1:1" x14ac:dyDescent="0.25">
      <c r="A826487" s="242"/>
    </row>
    <row r="826488" spans="1:1" x14ac:dyDescent="0.25">
      <c r="A826488" s="242"/>
    </row>
    <row r="826489" spans="1:1" x14ac:dyDescent="0.25">
      <c r="A826489" s="242"/>
    </row>
    <row r="826490" spans="1:1" x14ac:dyDescent="0.25">
      <c r="A826490" s="242"/>
    </row>
    <row r="826491" spans="1:1" x14ac:dyDescent="0.25">
      <c r="A826491" s="242"/>
    </row>
    <row r="826492" spans="1:1" x14ac:dyDescent="0.25">
      <c r="A826492" s="242"/>
    </row>
    <row r="826493" spans="1:1" x14ac:dyDescent="0.25">
      <c r="A826493" s="242"/>
    </row>
    <row r="826494" spans="1:1" x14ac:dyDescent="0.25">
      <c r="A826494" s="242"/>
    </row>
    <row r="826495" spans="1:1" x14ac:dyDescent="0.25">
      <c r="A826495" s="242"/>
    </row>
    <row r="826496" spans="1:1" x14ac:dyDescent="0.25">
      <c r="A826496" s="242"/>
    </row>
    <row r="826497" spans="1:1" x14ac:dyDescent="0.25">
      <c r="A826497" s="242"/>
    </row>
    <row r="826498" spans="1:1" x14ac:dyDescent="0.25">
      <c r="A826498" s="242"/>
    </row>
    <row r="826499" spans="1:1" x14ac:dyDescent="0.25">
      <c r="A826499" s="242"/>
    </row>
    <row r="826500" spans="1:1" x14ac:dyDescent="0.25">
      <c r="A826500" s="242"/>
    </row>
    <row r="826501" spans="1:1" x14ac:dyDescent="0.25">
      <c r="A826501" s="242"/>
    </row>
    <row r="826502" spans="1:1" x14ac:dyDescent="0.25">
      <c r="A826502" s="242"/>
    </row>
    <row r="826503" spans="1:1" x14ac:dyDescent="0.25">
      <c r="A826503" s="242"/>
    </row>
    <row r="826504" spans="1:1" x14ac:dyDescent="0.25">
      <c r="A826504" s="242"/>
    </row>
    <row r="826505" spans="1:1" x14ac:dyDescent="0.25">
      <c r="A826505" s="242"/>
    </row>
    <row r="826506" spans="1:1" x14ac:dyDescent="0.25">
      <c r="A826506" s="242"/>
    </row>
    <row r="826507" spans="1:1" x14ac:dyDescent="0.25">
      <c r="A826507" s="242"/>
    </row>
    <row r="826508" spans="1:1" x14ac:dyDescent="0.25">
      <c r="A826508" s="242"/>
    </row>
    <row r="826509" spans="1:1" x14ac:dyDescent="0.25">
      <c r="A826509" s="242"/>
    </row>
    <row r="826510" spans="1:1" x14ac:dyDescent="0.25">
      <c r="A826510" s="242"/>
    </row>
    <row r="826511" spans="1:1" x14ac:dyDescent="0.25">
      <c r="A826511" s="242"/>
    </row>
    <row r="826512" spans="1:1" x14ac:dyDescent="0.25">
      <c r="A826512" s="242"/>
    </row>
    <row r="826513" spans="1:1" x14ac:dyDescent="0.25">
      <c r="A826513" s="242"/>
    </row>
    <row r="826514" spans="1:1" x14ac:dyDescent="0.25">
      <c r="A826514" s="242"/>
    </row>
    <row r="826515" spans="1:1" x14ac:dyDescent="0.25">
      <c r="A826515" s="242"/>
    </row>
    <row r="826516" spans="1:1" x14ac:dyDescent="0.25">
      <c r="A826516" s="242"/>
    </row>
    <row r="826517" spans="1:1" x14ac:dyDescent="0.25">
      <c r="A826517" s="242"/>
    </row>
    <row r="826518" spans="1:1" x14ac:dyDescent="0.25">
      <c r="A826518" s="242"/>
    </row>
    <row r="826519" spans="1:1" x14ac:dyDescent="0.25">
      <c r="A826519" s="242"/>
    </row>
    <row r="826520" spans="1:1" x14ac:dyDescent="0.25">
      <c r="A826520" s="242"/>
    </row>
    <row r="826521" spans="1:1" x14ac:dyDescent="0.25">
      <c r="A826521" s="242"/>
    </row>
    <row r="826522" spans="1:1" x14ac:dyDescent="0.25">
      <c r="A826522" s="242"/>
    </row>
    <row r="826523" spans="1:1" x14ac:dyDescent="0.25">
      <c r="A826523" s="242"/>
    </row>
    <row r="826524" spans="1:1" x14ac:dyDescent="0.25">
      <c r="A826524" s="242"/>
    </row>
    <row r="826525" spans="1:1" x14ac:dyDescent="0.25">
      <c r="A826525" s="242"/>
    </row>
    <row r="826526" spans="1:1" x14ac:dyDescent="0.25">
      <c r="A826526" s="242"/>
    </row>
    <row r="826527" spans="1:1" x14ac:dyDescent="0.25">
      <c r="A826527" s="242"/>
    </row>
    <row r="826528" spans="1:1" x14ac:dyDescent="0.25">
      <c r="A826528" s="242"/>
    </row>
    <row r="826529" spans="1:1" x14ac:dyDescent="0.25">
      <c r="A826529" s="242"/>
    </row>
    <row r="826530" spans="1:1" x14ac:dyDescent="0.25">
      <c r="A826530" s="242"/>
    </row>
    <row r="826531" spans="1:1" x14ac:dyDescent="0.25">
      <c r="A826531" s="242"/>
    </row>
    <row r="826532" spans="1:1" x14ac:dyDescent="0.25">
      <c r="A826532" s="242"/>
    </row>
    <row r="826533" spans="1:1" x14ac:dyDescent="0.25">
      <c r="A826533" s="242"/>
    </row>
    <row r="826534" spans="1:1" x14ac:dyDescent="0.25">
      <c r="A826534" s="242"/>
    </row>
    <row r="826535" spans="1:1" x14ac:dyDescent="0.25">
      <c r="A826535" s="242"/>
    </row>
    <row r="826536" spans="1:1" x14ac:dyDescent="0.25">
      <c r="A826536" s="242"/>
    </row>
    <row r="826537" spans="1:1" x14ac:dyDescent="0.25">
      <c r="A826537" s="242"/>
    </row>
    <row r="826538" spans="1:1" x14ac:dyDescent="0.25">
      <c r="A826538" s="242"/>
    </row>
    <row r="826539" spans="1:1" x14ac:dyDescent="0.25">
      <c r="A826539" s="242"/>
    </row>
    <row r="826540" spans="1:1" x14ac:dyDescent="0.25">
      <c r="A826540" s="242"/>
    </row>
    <row r="826541" spans="1:1" x14ac:dyDescent="0.25">
      <c r="A826541" s="242"/>
    </row>
    <row r="826542" spans="1:1" x14ac:dyDescent="0.25">
      <c r="A826542" s="242"/>
    </row>
    <row r="826543" spans="1:1" x14ac:dyDescent="0.25">
      <c r="A826543" s="242"/>
    </row>
    <row r="826544" spans="1:1" x14ac:dyDescent="0.25">
      <c r="A826544" s="242"/>
    </row>
    <row r="826545" spans="1:1" x14ac:dyDescent="0.25">
      <c r="A826545" s="242"/>
    </row>
    <row r="826546" spans="1:1" x14ac:dyDescent="0.25">
      <c r="A826546" s="242"/>
    </row>
    <row r="826547" spans="1:1" x14ac:dyDescent="0.25">
      <c r="A826547" s="242"/>
    </row>
    <row r="826548" spans="1:1" x14ac:dyDescent="0.25">
      <c r="A826548" s="242"/>
    </row>
    <row r="826549" spans="1:1" x14ac:dyDescent="0.25">
      <c r="A826549" s="242"/>
    </row>
    <row r="826550" spans="1:1" x14ac:dyDescent="0.25">
      <c r="A826550" s="242"/>
    </row>
    <row r="826551" spans="1:1" x14ac:dyDescent="0.25">
      <c r="A826551" s="242"/>
    </row>
    <row r="826552" spans="1:1" x14ac:dyDescent="0.25">
      <c r="A826552" s="242"/>
    </row>
    <row r="826553" spans="1:1" x14ac:dyDescent="0.25">
      <c r="A826553" s="242"/>
    </row>
    <row r="826554" spans="1:1" x14ac:dyDescent="0.25">
      <c r="A826554" s="242"/>
    </row>
    <row r="826555" spans="1:1" x14ac:dyDescent="0.25">
      <c r="A826555" s="242"/>
    </row>
    <row r="826556" spans="1:1" x14ac:dyDescent="0.25">
      <c r="A826556" s="242"/>
    </row>
    <row r="826557" spans="1:1" x14ac:dyDescent="0.25">
      <c r="A826557" s="242"/>
    </row>
    <row r="826558" spans="1:1" x14ac:dyDescent="0.25">
      <c r="A826558" s="242"/>
    </row>
    <row r="826559" spans="1:1" x14ac:dyDescent="0.25">
      <c r="A826559" s="242"/>
    </row>
    <row r="826560" spans="1:1" x14ac:dyDescent="0.25">
      <c r="A826560" s="242"/>
    </row>
    <row r="826561" spans="1:1" x14ac:dyDescent="0.25">
      <c r="A826561" s="242"/>
    </row>
    <row r="826562" spans="1:1" x14ac:dyDescent="0.25">
      <c r="A826562" s="242"/>
    </row>
    <row r="826563" spans="1:1" x14ac:dyDescent="0.25">
      <c r="A826563" s="242"/>
    </row>
    <row r="826564" spans="1:1" x14ac:dyDescent="0.25">
      <c r="A826564" s="242"/>
    </row>
    <row r="826565" spans="1:1" x14ac:dyDescent="0.25">
      <c r="A826565" s="242"/>
    </row>
    <row r="826566" spans="1:1" x14ac:dyDescent="0.25">
      <c r="A826566" s="242"/>
    </row>
    <row r="826567" spans="1:1" x14ac:dyDescent="0.25">
      <c r="A826567" s="242"/>
    </row>
    <row r="826568" spans="1:1" x14ac:dyDescent="0.25">
      <c r="A826568" s="242"/>
    </row>
    <row r="826569" spans="1:1" x14ac:dyDescent="0.25">
      <c r="A826569" s="242"/>
    </row>
    <row r="826570" spans="1:1" x14ac:dyDescent="0.25">
      <c r="A826570" s="242"/>
    </row>
    <row r="826571" spans="1:1" x14ac:dyDescent="0.25">
      <c r="A826571" s="242"/>
    </row>
    <row r="826572" spans="1:1" x14ac:dyDescent="0.25">
      <c r="A826572" s="242"/>
    </row>
    <row r="826573" spans="1:1" x14ac:dyDescent="0.25">
      <c r="A826573" s="242"/>
    </row>
    <row r="826574" spans="1:1" x14ac:dyDescent="0.25">
      <c r="A826574" s="242"/>
    </row>
    <row r="826575" spans="1:1" x14ac:dyDescent="0.25">
      <c r="A826575" s="242"/>
    </row>
    <row r="826576" spans="1:1" x14ac:dyDescent="0.25">
      <c r="A826576" s="242"/>
    </row>
    <row r="826577" spans="1:1" x14ac:dyDescent="0.25">
      <c r="A826577" s="242"/>
    </row>
    <row r="826578" spans="1:1" x14ac:dyDescent="0.25">
      <c r="A826578" s="242"/>
    </row>
    <row r="826579" spans="1:1" x14ac:dyDescent="0.25">
      <c r="A826579" s="242"/>
    </row>
    <row r="826580" spans="1:1" x14ac:dyDescent="0.25">
      <c r="A826580" s="242"/>
    </row>
    <row r="826581" spans="1:1" x14ac:dyDescent="0.25">
      <c r="A826581" s="242"/>
    </row>
    <row r="826582" spans="1:1" x14ac:dyDescent="0.25">
      <c r="A826582" s="242"/>
    </row>
    <row r="826583" spans="1:1" x14ac:dyDescent="0.25">
      <c r="A826583" s="242"/>
    </row>
    <row r="826584" spans="1:1" x14ac:dyDescent="0.25">
      <c r="A826584" s="242"/>
    </row>
    <row r="826585" spans="1:1" x14ac:dyDescent="0.25">
      <c r="A826585" s="242"/>
    </row>
    <row r="826586" spans="1:1" x14ac:dyDescent="0.25">
      <c r="A826586" s="242"/>
    </row>
    <row r="826587" spans="1:1" x14ac:dyDescent="0.25">
      <c r="A826587" s="242"/>
    </row>
    <row r="826588" spans="1:1" x14ac:dyDescent="0.25">
      <c r="A826588" s="242"/>
    </row>
    <row r="826589" spans="1:1" x14ac:dyDescent="0.25">
      <c r="A826589" s="242"/>
    </row>
    <row r="826590" spans="1:1" x14ac:dyDescent="0.25">
      <c r="A826590" s="242"/>
    </row>
    <row r="826591" spans="1:1" x14ac:dyDescent="0.25">
      <c r="A826591" s="242"/>
    </row>
    <row r="826592" spans="1:1" x14ac:dyDescent="0.25">
      <c r="A826592" s="242"/>
    </row>
    <row r="826593" spans="1:1" x14ac:dyDescent="0.25">
      <c r="A826593" s="242"/>
    </row>
    <row r="826594" spans="1:1" x14ac:dyDescent="0.25">
      <c r="A826594" s="242"/>
    </row>
    <row r="826595" spans="1:1" x14ac:dyDescent="0.25">
      <c r="A826595" s="242"/>
    </row>
    <row r="826596" spans="1:1" x14ac:dyDescent="0.25">
      <c r="A826596" s="242"/>
    </row>
    <row r="826597" spans="1:1" x14ac:dyDescent="0.25">
      <c r="A826597" s="242"/>
    </row>
    <row r="826598" spans="1:1" x14ac:dyDescent="0.25">
      <c r="A826598" s="242"/>
    </row>
    <row r="826599" spans="1:1" x14ac:dyDescent="0.25">
      <c r="A826599" s="242"/>
    </row>
    <row r="826600" spans="1:1" x14ac:dyDescent="0.25">
      <c r="A826600" s="242"/>
    </row>
    <row r="826601" spans="1:1" x14ac:dyDescent="0.25">
      <c r="A826601" s="242"/>
    </row>
    <row r="826602" spans="1:1" x14ac:dyDescent="0.25">
      <c r="A826602" s="242"/>
    </row>
    <row r="826603" spans="1:1" x14ac:dyDescent="0.25">
      <c r="A826603" s="242"/>
    </row>
    <row r="826604" spans="1:1" x14ac:dyDescent="0.25">
      <c r="A826604" s="242"/>
    </row>
    <row r="826605" spans="1:1" x14ac:dyDescent="0.25">
      <c r="A826605" s="242"/>
    </row>
    <row r="826606" spans="1:1" x14ac:dyDescent="0.25">
      <c r="A826606" s="242"/>
    </row>
    <row r="826607" spans="1:1" x14ac:dyDescent="0.25">
      <c r="A826607" s="242"/>
    </row>
    <row r="826608" spans="1:1" x14ac:dyDescent="0.25">
      <c r="A826608" s="242"/>
    </row>
    <row r="826609" spans="1:1" x14ac:dyDescent="0.25">
      <c r="A826609" s="242"/>
    </row>
    <row r="826610" spans="1:1" x14ac:dyDescent="0.25">
      <c r="A826610" s="242"/>
    </row>
    <row r="826611" spans="1:1" x14ac:dyDescent="0.25">
      <c r="A826611" s="242"/>
    </row>
    <row r="826612" spans="1:1" x14ac:dyDescent="0.25">
      <c r="A826612" s="242"/>
    </row>
    <row r="826613" spans="1:1" x14ac:dyDescent="0.25">
      <c r="A826613" s="242"/>
    </row>
    <row r="826614" spans="1:1" x14ac:dyDescent="0.25">
      <c r="A826614" s="242"/>
    </row>
    <row r="826615" spans="1:1" x14ac:dyDescent="0.25">
      <c r="A826615" s="242"/>
    </row>
    <row r="826616" spans="1:1" x14ac:dyDescent="0.25">
      <c r="A826616" s="242"/>
    </row>
    <row r="826617" spans="1:1" x14ac:dyDescent="0.25">
      <c r="A826617" s="242"/>
    </row>
    <row r="826618" spans="1:1" x14ac:dyDescent="0.25">
      <c r="A826618" s="242"/>
    </row>
    <row r="826619" spans="1:1" x14ac:dyDescent="0.25">
      <c r="A826619" s="242"/>
    </row>
    <row r="826620" spans="1:1" x14ac:dyDescent="0.25">
      <c r="A826620" s="242"/>
    </row>
    <row r="826621" spans="1:1" x14ac:dyDescent="0.25">
      <c r="A826621" s="242"/>
    </row>
    <row r="826622" spans="1:1" x14ac:dyDescent="0.25">
      <c r="A826622" s="242"/>
    </row>
    <row r="826623" spans="1:1" x14ac:dyDescent="0.25">
      <c r="A826623" s="242"/>
    </row>
    <row r="826624" spans="1:1" x14ac:dyDescent="0.25">
      <c r="A826624" s="242"/>
    </row>
    <row r="826625" spans="1:1" x14ac:dyDescent="0.25">
      <c r="A826625" s="242"/>
    </row>
    <row r="826626" spans="1:1" x14ac:dyDescent="0.25">
      <c r="A826626" s="242"/>
    </row>
    <row r="826627" spans="1:1" x14ac:dyDescent="0.25">
      <c r="A826627" s="242"/>
    </row>
    <row r="826628" spans="1:1" x14ac:dyDescent="0.25">
      <c r="A826628" s="242"/>
    </row>
    <row r="826629" spans="1:1" x14ac:dyDescent="0.25">
      <c r="A826629" s="242"/>
    </row>
    <row r="826630" spans="1:1" x14ac:dyDescent="0.25">
      <c r="A826630" s="242"/>
    </row>
    <row r="826631" spans="1:1" x14ac:dyDescent="0.25">
      <c r="A826631" s="242"/>
    </row>
    <row r="826632" spans="1:1" x14ac:dyDescent="0.25">
      <c r="A826632" s="242"/>
    </row>
    <row r="826633" spans="1:1" x14ac:dyDescent="0.25">
      <c r="A826633" s="242"/>
    </row>
    <row r="826634" spans="1:1" x14ac:dyDescent="0.25">
      <c r="A826634" s="242"/>
    </row>
    <row r="826635" spans="1:1" x14ac:dyDescent="0.25">
      <c r="A826635" s="242"/>
    </row>
    <row r="826636" spans="1:1" x14ac:dyDescent="0.25">
      <c r="A826636" s="242"/>
    </row>
    <row r="826637" spans="1:1" x14ac:dyDescent="0.25">
      <c r="A826637" s="242"/>
    </row>
    <row r="826638" spans="1:1" x14ac:dyDescent="0.25">
      <c r="A826638" s="242"/>
    </row>
    <row r="826639" spans="1:1" x14ac:dyDescent="0.25">
      <c r="A826639" s="242"/>
    </row>
    <row r="826640" spans="1:1" x14ac:dyDescent="0.25">
      <c r="A826640" s="242"/>
    </row>
    <row r="826641" spans="1:1" x14ac:dyDescent="0.25">
      <c r="A826641" s="242"/>
    </row>
    <row r="826642" spans="1:1" x14ac:dyDescent="0.25">
      <c r="A826642" s="242"/>
    </row>
    <row r="826643" spans="1:1" x14ac:dyDescent="0.25">
      <c r="A826643" s="242"/>
    </row>
    <row r="826644" spans="1:1" x14ac:dyDescent="0.25">
      <c r="A826644" s="242"/>
    </row>
    <row r="826645" spans="1:1" x14ac:dyDescent="0.25">
      <c r="A826645" s="242"/>
    </row>
    <row r="826646" spans="1:1" x14ac:dyDescent="0.25">
      <c r="A826646" s="242"/>
    </row>
    <row r="826647" spans="1:1" x14ac:dyDescent="0.25">
      <c r="A826647" s="242"/>
    </row>
    <row r="826648" spans="1:1" x14ac:dyDescent="0.25">
      <c r="A826648" s="242"/>
    </row>
    <row r="826649" spans="1:1" x14ac:dyDescent="0.25">
      <c r="A826649" s="242"/>
    </row>
    <row r="826650" spans="1:1" x14ac:dyDescent="0.25">
      <c r="A826650" s="242"/>
    </row>
    <row r="826651" spans="1:1" x14ac:dyDescent="0.25">
      <c r="A826651" s="242"/>
    </row>
    <row r="826652" spans="1:1" x14ac:dyDescent="0.25">
      <c r="A826652" s="242"/>
    </row>
    <row r="826653" spans="1:1" x14ac:dyDescent="0.25">
      <c r="A826653" s="242"/>
    </row>
    <row r="826654" spans="1:1" x14ac:dyDescent="0.25">
      <c r="A826654" s="242"/>
    </row>
    <row r="826655" spans="1:1" x14ac:dyDescent="0.25">
      <c r="A826655" s="242"/>
    </row>
    <row r="826656" spans="1:1" x14ac:dyDescent="0.25">
      <c r="A826656" s="242"/>
    </row>
    <row r="826657" spans="1:1" x14ac:dyDescent="0.25">
      <c r="A826657" s="242"/>
    </row>
    <row r="826658" spans="1:1" x14ac:dyDescent="0.25">
      <c r="A826658" s="242"/>
    </row>
    <row r="826659" spans="1:1" x14ac:dyDescent="0.25">
      <c r="A826659" s="242"/>
    </row>
    <row r="826660" spans="1:1" x14ac:dyDescent="0.25">
      <c r="A826660" s="242"/>
    </row>
    <row r="826661" spans="1:1" x14ac:dyDescent="0.25">
      <c r="A826661" s="242"/>
    </row>
    <row r="826662" spans="1:1" x14ac:dyDescent="0.25">
      <c r="A826662" s="242"/>
    </row>
    <row r="826663" spans="1:1" x14ac:dyDescent="0.25">
      <c r="A826663" s="242"/>
    </row>
    <row r="826664" spans="1:1" x14ac:dyDescent="0.25">
      <c r="A826664" s="242"/>
    </row>
    <row r="826665" spans="1:1" x14ac:dyDescent="0.25">
      <c r="A826665" s="242"/>
    </row>
    <row r="826666" spans="1:1" x14ac:dyDescent="0.25">
      <c r="A826666" s="242"/>
    </row>
    <row r="826667" spans="1:1" x14ac:dyDescent="0.25">
      <c r="A826667" s="242"/>
    </row>
    <row r="826668" spans="1:1" x14ac:dyDescent="0.25">
      <c r="A826668" s="242"/>
    </row>
    <row r="826669" spans="1:1" x14ac:dyDescent="0.25">
      <c r="A826669" s="242"/>
    </row>
    <row r="826670" spans="1:1" x14ac:dyDescent="0.25">
      <c r="A826670" s="242"/>
    </row>
    <row r="826671" spans="1:1" x14ac:dyDescent="0.25">
      <c r="A826671" s="242"/>
    </row>
    <row r="826672" spans="1:1" x14ac:dyDescent="0.25">
      <c r="A826672" s="242"/>
    </row>
    <row r="826673" spans="1:1" x14ac:dyDescent="0.25">
      <c r="A826673" s="242"/>
    </row>
    <row r="826674" spans="1:1" x14ac:dyDescent="0.25">
      <c r="A826674" s="242"/>
    </row>
    <row r="826675" spans="1:1" x14ac:dyDescent="0.25">
      <c r="A826675" s="242"/>
    </row>
    <row r="826676" spans="1:1" x14ac:dyDescent="0.25">
      <c r="A826676" s="242"/>
    </row>
    <row r="826677" spans="1:1" x14ac:dyDescent="0.25">
      <c r="A826677" s="242"/>
    </row>
    <row r="826678" spans="1:1" x14ac:dyDescent="0.25">
      <c r="A826678" s="242"/>
    </row>
    <row r="826679" spans="1:1" x14ac:dyDescent="0.25">
      <c r="A826679" s="242"/>
    </row>
    <row r="826680" spans="1:1" x14ac:dyDescent="0.25">
      <c r="A826680" s="242"/>
    </row>
    <row r="826681" spans="1:1" x14ac:dyDescent="0.25">
      <c r="A826681" s="242"/>
    </row>
    <row r="826682" spans="1:1" x14ac:dyDescent="0.25">
      <c r="A826682" s="242"/>
    </row>
    <row r="826683" spans="1:1" x14ac:dyDescent="0.25">
      <c r="A826683" s="242"/>
    </row>
    <row r="826684" spans="1:1" x14ac:dyDescent="0.25">
      <c r="A826684" s="242"/>
    </row>
    <row r="826685" spans="1:1" x14ac:dyDescent="0.25">
      <c r="A826685" s="242"/>
    </row>
    <row r="826686" spans="1:1" x14ac:dyDescent="0.25">
      <c r="A826686" s="242"/>
    </row>
    <row r="826687" spans="1:1" x14ac:dyDescent="0.25">
      <c r="A826687" s="242"/>
    </row>
    <row r="826688" spans="1:1" x14ac:dyDescent="0.25">
      <c r="A826688" s="242"/>
    </row>
    <row r="826689" spans="1:1" x14ac:dyDescent="0.25">
      <c r="A826689" s="242"/>
    </row>
    <row r="826690" spans="1:1" x14ac:dyDescent="0.25">
      <c r="A826690" s="242"/>
    </row>
    <row r="826691" spans="1:1" x14ac:dyDescent="0.25">
      <c r="A826691" s="242"/>
    </row>
    <row r="826692" spans="1:1" x14ac:dyDescent="0.25">
      <c r="A826692" s="242"/>
    </row>
    <row r="826693" spans="1:1" x14ac:dyDescent="0.25">
      <c r="A826693" s="242"/>
    </row>
    <row r="826694" spans="1:1" x14ac:dyDescent="0.25">
      <c r="A826694" s="242"/>
    </row>
    <row r="826695" spans="1:1" x14ac:dyDescent="0.25">
      <c r="A826695" s="242"/>
    </row>
    <row r="826696" spans="1:1" x14ac:dyDescent="0.25">
      <c r="A826696" s="242"/>
    </row>
    <row r="826697" spans="1:1" x14ac:dyDescent="0.25">
      <c r="A826697" s="242"/>
    </row>
    <row r="826698" spans="1:1" x14ac:dyDescent="0.25">
      <c r="A826698" s="242"/>
    </row>
    <row r="826699" spans="1:1" x14ac:dyDescent="0.25">
      <c r="A826699" s="242"/>
    </row>
    <row r="826700" spans="1:1" x14ac:dyDescent="0.25">
      <c r="A826700" s="242"/>
    </row>
    <row r="826701" spans="1:1" x14ac:dyDescent="0.25">
      <c r="A826701" s="242"/>
    </row>
    <row r="826702" spans="1:1" x14ac:dyDescent="0.25">
      <c r="A826702" s="242"/>
    </row>
    <row r="826703" spans="1:1" x14ac:dyDescent="0.25">
      <c r="A826703" s="242"/>
    </row>
    <row r="826704" spans="1:1" x14ac:dyDescent="0.25">
      <c r="A826704" s="242"/>
    </row>
    <row r="826705" spans="1:1" x14ac:dyDescent="0.25">
      <c r="A826705" s="242"/>
    </row>
    <row r="826706" spans="1:1" x14ac:dyDescent="0.25">
      <c r="A826706" s="242"/>
    </row>
    <row r="826707" spans="1:1" x14ac:dyDescent="0.25">
      <c r="A826707" s="242"/>
    </row>
    <row r="826708" spans="1:1" x14ac:dyDescent="0.25">
      <c r="A826708" s="242"/>
    </row>
    <row r="826709" spans="1:1" x14ac:dyDescent="0.25">
      <c r="A826709" s="242"/>
    </row>
    <row r="826710" spans="1:1" x14ac:dyDescent="0.25">
      <c r="A826710" s="242"/>
    </row>
    <row r="826711" spans="1:1" x14ac:dyDescent="0.25">
      <c r="A826711" s="242"/>
    </row>
    <row r="826712" spans="1:1" x14ac:dyDescent="0.25">
      <c r="A826712" s="242"/>
    </row>
    <row r="826713" spans="1:1" x14ac:dyDescent="0.25">
      <c r="A826713" s="242"/>
    </row>
    <row r="826714" spans="1:1" x14ac:dyDescent="0.25">
      <c r="A826714" s="242"/>
    </row>
    <row r="826715" spans="1:1" x14ac:dyDescent="0.25">
      <c r="A826715" s="242"/>
    </row>
    <row r="826716" spans="1:1" x14ac:dyDescent="0.25">
      <c r="A826716" s="242"/>
    </row>
    <row r="826717" spans="1:1" x14ac:dyDescent="0.25">
      <c r="A826717" s="242"/>
    </row>
    <row r="826718" spans="1:1" x14ac:dyDescent="0.25">
      <c r="A826718" s="242"/>
    </row>
    <row r="826719" spans="1:1" x14ac:dyDescent="0.25">
      <c r="A826719" s="242"/>
    </row>
    <row r="826720" spans="1:1" x14ac:dyDescent="0.25">
      <c r="A826720" s="242"/>
    </row>
    <row r="826721" spans="1:1" x14ac:dyDescent="0.25">
      <c r="A826721" s="242"/>
    </row>
    <row r="826722" spans="1:1" x14ac:dyDescent="0.25">
      <c r="A826722" s="242"/>
    </row>
    <row r="826723" spans="1:1" x14ac:dyDescent="0.25">
      <c r="A826723" s="242"/>
    </row>
    <row r="826724" spans="1:1" x14ac:dyDescent="0.25">
      <c r="A826724" s="242"/>
    </row>
    <row r="826725" spans="1:1" x14ac:dyDescent="0.25">
      <c r="A826725" s="242"/>
    </row>
    <row r="826726" spans="1:1" x14ac:dyDescent="0.25">
      <c r="A826726" s="242"/>
    </row>
    <row r="826727" spans="1:1" x14ac:dyDescent="0.25">
      <c r="A826727" s="242"/>
    </row>
    <row r="826728" spans="1:1" x14ac:dyDescent="0.25">
      <c r="A826728" s="242"/>
    </row>
    <row r="826729" spans="1:1" x14ac:dyDescent="0.25">
      <c r="A826729" s="242"/>
    </row>
    <row r="826730" spans="1:1" x14ac:dyDescent="0.25">
      <c r="A826730" s="242"/>
    </row>
    <row r="826731" spans="1:1" x14ac:dyDescent="0.25">
      <c r="A826731" s="242"/>
    </row>
    <row r="826732" spans="1:1" x14ac:dyDescent="0.25">
      <c r="A826732" s="242"/>
    </row>
    <row r="826733" spans="1:1" x14ac:dyDescent="0.25">
      <c r="A826733" s="242"/>
    </row>
    <row r="826734" spans="1:1" x14ac:dyDescent="0.25">
      <c r="A826734" s="242"/>
    </row>
    <row r="826735" spans="1:1" x14ac:dyDescent="0.25">
      <c r="A826735" s="242"/>
    </row>
    <row r="826736" spans="1:1" x14ac:dyDescent="0.25">
      <c r="A826736" s="242"/>
    </row>
    <row r="826737" spans="1:1" x14ac:dyDescent="0.25">
      <c r="A826737" s="242"/>
    </row>
    <row r="826738" spans="1:1" x14ac:dyDescent="0.25">
      <c r="A826738" s="242"/>
    </row>
    <row r="826739" spans="1:1" x14ac:dyDescent="0.25">
      <c r="A826739" s="242"/>
    </row>
    <row r="826740" spans="1:1" x14ac:dyDescent="0.25">
      <c r="A826740" s="242"/>
    </row>
    <row r="826741" spans="1:1" x14ac:dyDescent="0.25">
      <c r="A826741" s="242"/>
    </row>
    <row r="826742" spans="1:1" x14ac:dyDescent="0.25">
      <c r="A826742" s="242"/>
    </row>
    <row r="826743" spans="1:1" x14ac:dyDescent="0.25">
      <c r="A826743" s="242"/>
    </row>
    <row r="826744" spans="1:1" x14ac:dyDescent="0.25">
      <c r="A826744" s="242"/>
    </row>
    <row r="826745" spans="1:1" x14ac:dyDescent="0.25">
      <c r="A826745" s="242"/>
    </row>
    <row r="826746" spans="1:1" x14ac:dyDescent="0.25">
      <c r="A826746" s="242"/>
    </row>
    <row r="826747" spans="1:1" x14ac:dyDescent="0.25">
      <c r="A826747" s="242"/>
    </row>
    <row r="826748" spans="1:1" x14ac:dyDescent="0.25">
      <c r="A826748" s="242"/>
    </row>
    <row r="826749" spans="1:1" x14ac:dyDescent="0.25">
      <c r="A826749" s="242"/>
    </row>
    <row r="826750" spans="1:1" x14ac:dyDescent="0.25">
      <c r="A826750" s="242"/>
    </row>
    <row r="826751" spans="1:1" x14ac:dyDescent="0.25">
      <c r="A826751" s="242"/>
    </row>
    <row r="826752" spans="1:1" x14ac:dyDescent="0.25">
      <c r="A826752" s="242"/>
    </row>
    <row r="826753" spans="1:1" x14ac:dyDescent="0.25">
      <c r="A826753" s="242"/>
    </row>
    <row r="826754" spans="1:1" x14ac:dyDescent="0.25">
      <c r="A826754" s="242"/>
    </row>
    <row r="826755" spans="1:1" x14ac:dyDescent="0.25">
      <c r="A826755" s="242"/>
    </row>
    <row r="826756" spans="1:1" x14ac:dyDescent="0.25">
      <c r="A826756" s="242"/>
    </row>
    <row r="826757" spans="1:1" x14ac:dyDescent="0.25">
      <c r="A826757" s="242"/>
    </row>
    <row r="826758" spans="1:1" x14ac:dyDescent="0.25">
      <c r="A826758" s="242"/>
    </row>
    <row r="826759" spans="1:1" x14ac:dyDescent="0.25">
      <c r="A826759" s="242"/>
    </row>
    <row r="826760" spans="1:1" x14ac:dyDescent="0.25">
      <c r="A826760" s="242"/>
    </row>
    <row r="826761" spans="1:1" x14ac:dyDescent="0.25">
      <c r="A826761" s="242"/>
    </row>
    <row r="826762" spans="1:1" x14ac:dyDescent="0.25">
      <c r="A826762" s="242"/>
    </row>
    <row r="826763" spans="1:1" x14ac:dyDescent="0.25">
      <c r="A826763" s="242"/>
    </row>
    <row r="826764" spans="1:1" x14ac:dyDescent="0.25">
      <c r="A826764" s="242"/>
    </row>
    <row r="826765" spans="1:1" x14ac:dyDescent="0.25">
      <c r="A826765" s="242"/>
    </row>
    <row r="826766" spans="1:1" x14ac:dyDescent="0.25">
      <c r="A826766" s="242"/>
    </row>
    <row r="826767" spans="1:1" x14ac:dyDescent="0.25">
      <c r="A826767" s="242"/>
    </row>
    <row r="826768" spans="1:1" x14ac:dyDescent="0.25">
      <c r="A826768" s="242"/>
    </row>
    <row r="826769" spans="1:1" x14ac:dyDescent="0.25">
      <c r="A826769" s="242"/>
    </row>
    <row r="826770" spans="1:1" x14ac:dyDescent="0.25">
      <c r="A826770" s="242"/>
    </row>
    <row r="826771" spans="1:1" x14ac:dyDescent="0.25">
      <c r="A826771" s="242"/>
    </row>
    <row r="826772" spans="1:1" x14ac:dyDescent="0.25">
      <c r="A826772" s="242"/>
    </row>
    <row r="826773" spans="1:1" x14ac:dyDescent="0.25">
      <c r="A826773" s="242"/>
    </row>
    <row r="826774" spans="1:1" x14ac:dyDescent="0.25">
      <c r="A826774" s="242"/>
    </row>
    <row r="826775" spans="1:1" x14ac:dyDescent="0.25">
      <c r="A826775" s="242"/>
    </row>
    <row r="826776" spans="1:1" x14ac:dyDescent="0.25">
      <c r="A826776" s="242"/>
    </row>
    <row r="826777" spans="1:1" x14ac:dyDescent="0.25">
      <c r="A826777" s="242"/>
    </row>
    <row r="826778" spans="1:1" x14ac:dyDescent="0.25">
      <c r="A826778" s="242"/>
    </row>
    <row r="826779" spans="1:1" x14ac:dyDescent="0.25">
      <c r="A826779" s="242"/>
    </row>
    <row r="826780" spans="1:1" x14ac:dyDescent="0.25">
      <c r="A826780" s="242"/>
    </row>
    <row r="826781" spans="1:1" x14ac:dyDescent="0.25">
      <c r="A826781" s="242"/>
    </row>
    <row r="826782" spans="1:1" x14ac:dyDescent="0.25">
      <c r="A826782" s="242"/>
    </row>
    <row r="826783" spans="1:1" x14ac:dyDescent="0.25">
      <c r="A826783" s="242"/>
    </row>
    <row r="826784" spans="1:1" x14ac:dyDescent="0.25">
      <c r="A826784" s="242"/>
    </row>
    <row r="826785" spans="1:1" x14ac:dyDescent="0.25">
      <c r="A826785" s="242"/>
    </row>
    <row r="826786" spans="1:1" x14ac:dyDescent="0.25">
      <c r="A826786" s="242"/>
    </row>
    <row r="826787" spans="1:1" x14ac:dyDescent="0.25">
      <c r="A826787" s="242"/>
    </row>
    <row r="826788" spans="1:1" x14ac:dyDescent="0.25">
      <c r="A826788" s="242"/>
    </row>
    <row r="826789" spans="1:1" x14ac:dyDescent="0.25">
      <c r="A826789" s="242"/>
    </row>
    <row r="826790" spans="1:1" x14ac:dyDescent="0.25">
      <c r="A826790" s="242"/>
    </row>
    <row r="826791" spans="1:1" x14ac:dyDescent="0.25">
      <c r="A826791" s="242"/>
    </row>
    <row r="826792" spans="1:1" x14ac:dyDescent="0.25">
      <c r="A826792" s="242"/>
    </row>
    <row r="826793" spans="1:1" x14ac:dyDescent="0.25">
      <c r="A826793" s="242"/>
    </row>
    <row r="826794" spans="1:1" x14ac:dyDescent="0.25">
      <c r="A826794" s="242"/>
    </row>
    <row r="826795" spans="1:1" x14ac:dyDescent="0.25">
      <c r="A826795" s="242"/>
    </row>
    <row r="826796" spans="1:1" x14ac:dyDescent="0.25">
      <c r="A826796" s="242"/>
    </row>
    <row r="826797" spans="1:1" x14ac:dyDescent="0.25">
      <c r="A826797" s="242"/>
    </row>
    <row r="826798" spans="1:1" x14ac:dyDescent="0.25">
      <c r="A826798" s="242"/>
    </row>
    <row r="826799" spans="1:1" x14ac:dyDescent="0.25">
      <c r="A826799" s="242"/>
    </row>
    <row r="826800" spans="1:1" x14ac:dyDescent="0.25">
      <c r="A826800" s="242"/>
    </row>
    <row r="826801" spans="1:1" x14ac:dyDescent="0.25">
      <c r="A826801" s="242"/>
    </row>
    <row r="826802" spans="1:1" x14ac:dyDescent="0.25">
      <c r="A826802" s="242"/>
    </row>
    <row r="826803" spans="1:1" x14ac:dyDescent="0.25">
      <c r="A826803" s="242"/>
    </row>
    <row r="826804" spans="1:1" x14ac:dyDescent="0.25">
      <c r="A826804" s="242"/>
    </row>
    <row r="826805" spans="1:1" x14ac:dyDescent="0.25">
      <c r="A826805" s="242"/>
    </row>
    <row r="826806" spans="1:1" x14ac:dyDescent="0.25">
      <c r="A826806" s="242"/>
    </row>
    <row r="826807" spans="1:1" x14ac:dyDescent="0.25">
      <c r="A826807" s="242"/>
    </row>
    <row r="826808" spans="1:1" x14ac:dyDescent="0.25">
      <c r="A826808" s="242"/>
    </row>
    <row r="826809" spans="1:1" x14ac:dyDescent="0.25">
      <c r="A826809" s="242"/>
    </row>
    <row r="826810" spans="1:1" x14ac:dyDescent="0.25">
      <c r="A826810" s="242"/>
    </row>
    <row r="826811" spans="1:1" x14ac:dyDescent="0.25">
      <c r="A826811" s="242"/>
    </row>
    <row r="826812" spans="1:1" x14ac:dyDescent="0.25">
      <c r="A826812" s="242"/>
    </row>
    <row r="826813" spans="1:1" x14ac:dyDescent="0.25">
      <c r="A826813" s="242"/>
    </row>
    <row r="826814" spans="1:1" x14ac:dyDescent="0.25">
      <c r="A826814" s="242"/>
    </row>
    <row r="826815" spans="1:1" x14ac:dyDescent="0.25">
      <c r="A826815" s="242"/>
    </row>
    <row r="826816" spans="1:1" x14ac:dyDescent="0.25">
      <c r="A826816" s="242"/>
    </row>
    <row r="826817" spans="1:1" x14ac:dyDescent="0.25">
      <c r="A826817" s="242"/>
    </row>
    <row r="826818" spans="1:1" x14ac:dyDescent="0.25">
      <c r="A826818" s="242"/>
    </row>
    <row r="826819" spans="1:1" x14ac:dyDescent="0.25">
      <c r="A826819" s="242"/>
    </row>
    <row r="826820" spans="1:1" x14ac:dyDescent="0.25">
      <c r="A826820" s="242"/>
    </row>
    <row r="826821" spans="1:1" x14ac:dyDescent="0.25">
      <c r="A826821" s="242"/>
    </row>
    <row r="826822" spans="1:1" x14ac:dyDescent="0.25">
      <c r="A826822" s="242"/>
    </row>
    <row r="826823" spans="1:1" x14ac:dyDescent="0.25">
      <c r="A826823" s="242"/>
    </row>
    <row r="826824" spans="1:1" x14ac:dyDescent="0.25">
      <c r="A826824" s="242"/>
    </row>
    <row r="826825" spans="1:1" x14ac:dyDescent="0.25">
      <c r="A826825" s="242"/>
    </row>
    <row r="826826" spans="1:1" x14ac:dyDescent="0.25">
      <c r="A826826" s="242"/>
    </row>
    <row r="826827" spans="1:1" x14ac:dyDescent="0.25">
      <c r="A826827" s="242"/>
    </row>
    <row r="826828" spans="1:1" x14ac:dyDescent="0.25">
      <c r="A826828" s="242"/>
    </row>
    <row r="826829" spans="1:1" x14ac:dyDescent="0.25">
      <c r="A826829" s="242"/>
    </row>
    <row r="826830" spans="1:1" x14ac:dyDescent="0.25">
      <c r="A826830" s="242"/>
    </row>
    <row r="826831" spans="1:1" x14ac:dyDescent="0.25">
      <c r="A826831" s="242"/>
    </row>
    <row r="826832" spans="1:1" x14ac:dyDescent="0.25">
      <c r="A826832" s="242"/>
    </row>
    <row r="826833" spans="1:1" x14ac:dyDescent="0.25">
      <c r="A826833" s="242"/>
    </row>
    <row r="826834" spans="1:1" x14ac:dyDescent="0.25">
      <c r="A826834" s="242"/>
    </row>
    <row r="826835" spans="1:1" x14ac:dyDescent="0.25">
      <c r="A826835" s="242"/>
    </row>
    <row r="826836" spans="1:1" x14ac:dyDescent="0.25">
      <c r="A826836" s="242"/>
    </row>
    <row r="826837" spans="1:1" x14ac:dyDescent="0.25">
      <c r="A826837" s="242"/>
    </row>
    <row r="826838" spans="1:1" x14ac:dyDescent="0.25">
      <c r="A826838" s="242"/>
    </row>
    <row r="826839" spans="1:1" x14ac:dyDescent="0.25">
      <c r="A826839" s="242"/>
    </row>
    <row r="826840" spans="1:1" x14ac:dyDescent="0.25">
      <c r="A826840" s="242"/>
    </row>
    <row r="826841" spans="1:1" x14ac:dyDescent="0.25">
      <c r="A826841" s="242"/>
    </row>
    <row r="826842" spans="1:1" x14ac:dyDescent="0.25">
      <c r="A826842" s="242"/>
    </row>
    <row r="826843" spans="1:1" x14ac:dyDescent="0.25">
      <c r="A826843" s="242"/>
    </row>
    <row r="826844" spans="1:1" x14ac:dyDescent="0.25">
      <c r="A826844" s="242"/>
    </row>
    <row r="826845" spans="1:1" x14ac:dyDescent="0.25">
      <c r="A826845" s="242"/>
    </row>
    <row r="826846" spans="1:1" x14ac:dyDescent="0.25">
      <c r="A826846" s="242"/>
    </row>
    <row r="826847" spans="1:1" x14ac:dyDescent="0.25">
      <c r="A826847" s="242"/>
    </row>
    <row r="826848" spans="1:1" x14ac:dyDescent="0.25">
      <c r="A826848" s="242"/>
    </row>
    <row r="826849" spans="1:1" x14ac:dyDescent="0.25">
      <c r="A826849" s="242"/>
    </row>
    <row r="826850" spans="1:1" x14ac:dyDescent="0.25">
      <c r="A826850" s="242"/>
    </row>
    <row r="826851" spans="1:1" x14ac:dyDescent="0.25">
      <c r="A826851" s="242"/>
    </row>
    <row r="826852" spans="1:1" x14ac:dyDescent="0.25">
      <c r="A826852" s="242"/>
    </row>
    <row r="826853" spans="1:1" x14ac:dyDescent="0.25">
      <c r="A826853" s="242"/>
    </row>
    <row r="826854" spans="1:1" x14ac:dyDescent="0.25">
      <c r="A826854" s="242"/>
    </row>
    <row r="826855" spans="1:1" x14ac:dyDescent="0.25">
      <c r="A826855" s="242"/>
    </row>
    <row r="826856" spans="1:1" x14ac:dyDescent="0.25">
      <c r="A826856" s="242"/>
    </row>
    <row r="826857" spans="1:1" x14ac:dyDescent="0.25">
      <c r="A826857" s="242"/>
    </row>
    <row r="826858" spans="1:1" x14ac:dyDescent="0.25">
      <c r="A826858" s="242"/>
    </row>
    <row r="826859" spans="1:1" x14ac:dyDescent="0.25">
      <c r="A826859" s="242"/>
    </row>
    <row r="826860" spans="1:1" x14ac:dyDescent="0.25">
      <c r="A826860" s="242"/>
    </row>
    <row r="826861" spans="1:1" x14ac:dyDescent="0.25">
      <c r="A826861" s="242"/>
    </row>
    <row r="826862" spans="1:1" x14ac:dyDescent="0.25">
      <c r="A826862" s="242"/>
    </row>
    <row r="826863" spans="1:1" x14ac:dyDescent="0.25">
      <c r="A826863" s="242"/>
    </row>
    <row r="826864" spans="1:1" x14ac:dyDescent="0.25">
      <c r="A826864" s="242"/>
    </row>
    <row r="826865" spans="1:1" x14ac:dyDescent="0.25">
      <c r="A826865" s="242"/>
    </row>
    <row r="826866" spans="1:1" x14ac:dyDescent="0.25">
      <c r="A826866" s="242"/>
    </row>
    <row r="826867" spans="1:1" x14ac:dyDescent="0.25">
      <c r="A826867" s="242"/>
    </row>
    <row r="826868" spans="1:1" x14ac:dyDescent="0.25">
      <c r="A826868" s="242"/>
    </row>
    <row r="826869" spans="1:1" x14ac:dyDescent="0.25">
      <c r="A826869" s="242"/>
    </row>
    <row r="826870" spans="1:1" x14ac:dyDescent="0.25">
      <c r="A826870" s="242"/>
    </row>
    <row r="826871" spans="1:1" x14ac:dyDescent="0.25">
      <c r="A826871" s="242"/>
    </row>
    <row r="826872" spans="1:1" x14ac:dyDescent="0.25">
      <c r="A826872" s="242"/>
    </row>
    <row r="826873" spans="1:1" x14ac:dyDescent="0.25">
      <c r="A826873" s="242"/>
    </row>
    <row r="826874" spans="1:1" x14ac:dyDescent="0.25">
      <c r="A826874" s="242"/>
    </row>
    <row r="826875" spans="1:1" x14ac:dyDescent="0.25">
      <c r="A826875" s="242"/>
    </row>
    <row r="826876" spans="1:1" x14ac:dyDescent="0.25">
      <c r="A826876" s="242"/>
    </row>
    <row r="826877" spans="1:1" x14ac:dyDescent="0.25">
      <c r="A826877" s="242"/>
    </row>
    <row r="826878" spans="1:1" x14ac:dyDescent="0.25">
      <c r="A826878" s="242"/>
    </row>
    <row r="826879" spans="1:1" x14ac:dyDescent="0.25">
      <c r="A826879" s="242"/>
    </row>
    <row r="826880" spans="1:1" x14ac:dyDescent="0.25">
      <c r="A826880" s="242"/>
    </row>
    <row r="826881" spans="1:1" x14ac:dyDescent="0.25">
      <c r="A826881" s="242"/>
    </row>
    <row r="826882" spans="1:1" x14ac:dyDescent="0.25">
      <c r="A826882" s="242"/>
    </row>
    <row r="826883" spans="1:1" x14ac:dyDescent="0.25">
      <c r="A826883" s="242"/>
    </row>
    <row r="826884" spans="1:1" x14ac:dyDescent="0.25">
      <c r="A826884" s="242"/>
    </row>
    <row r="826885" spans="1:1" x14ac:dyDescent="0.25">
      <c r="A826885" s="242"/>
    </row>
    <row r="826886" spans="1:1" x14ac:dyDescent="0.25">
      <c r="A826886" s="242"/>
    </row>
    <row r="826887" spans="1:1" x14ac:dyDescent="0.25">
      <c r="A826887" s="242"/>
    </row>
    <row r="826888" spans="1:1" x14ac:dyDescent="0.25">
      <c r="A826888" s="242"/>
    </row>
    <row r="826889" spans="1:1" x14ac:dyDescent="0.25">
      <c r="A826889" s="242"/>
    </row>
    <row r="826890" spans="1:1" x14ac:dyDescent="0.25">
      <c r="A826890" s="242"/>
    </row>
    <row r="826891" spans="1:1" x14ac:dyDescent="0.25">
      <c r="A826891" s="242"/>
    </row>
    <row r="826892" spans="1:1" x14ac:dyDescent="0.25">
      <c r="A826892" s="242"/>
    </row>
    <row r="826893" spans="1:1" x14ac:dyDescent="0.25">
      <c r="A826893" s="242"/>
    </row>
    <row r="826894" spans="1:1" x14ac:dyDescent="0.25">
      <c r="A826894" s="242"/>
    </row>
    <row r="826895" spans="1:1" x14ac:dyDescent="0.25">
      <c r="A826895" s="242"/>
    </row>
    <row r="826896" spans="1:1" x14ac:dyDescent="0.25">
      <c r="A826896" s="242"/>
    </row>
    <row r="826897" spans="1:1" x14ac:dyDescent="0.25">
      <c r="A826897" s="242"/>
    </row>
    <row r="826898" spans="1:1" x14ac:dyDescent="0.25">
      <c r="A826898" s="242"/>
    </row>
    <row r="826899" spans="1:1" x14ac:dyDescent="0.25">
      <c r="A826899" s="242"/>
    </row>
    <row r="826900" spans="1:1" x14ac:dyDescent="0.25">
      <c r="A826900" s="242"/>
    </row>
    <row r="826901" spans="1:1" x14ac:dyDescent="0.25">
      <c r="A826901" s="242"/>
    </row>
    <row r="826902" spans="1:1" x14ac:dyDescent="0.25">
      <c r="A826902" s="242"/>
    </row>
    <row r="826903" spans="1:1" x14ac:dyDescent="0.25">
      <c r="A826903" s="242"/>
    </row>
    <row r="826904" spans="1:1" x14ac:dyDescent="0.25">
      <c r="A826904" s="242"/>
    </row>
    <row r="826905" spans="1:1" x14ac:dyDescent="0.25">
      <c r="A826905" s="242"/>
    </row>
    <row r="826906" spans="1:1" x14ac:dyDescent="0.25">
      <c r="A826906" s="242"/>
    </row>
    <row r="826907" spans="1:1" x14ac:dyDescent="0.25">
      <c r="A826907" s="242"/>
    </row>
    <row r="826908" spans="1:1" x14ac:dyDescent="0.25">
      <c r="A826908" s="242"/>
    </row>
    <row r="826909" spans="1:1" x14ac:dyDescent="0.25">
      <c r="A826909" s="242"/>
    </row>
    <row r="826910" spans="1:1" x14ac:dyDescent="0.25">
      <c r="A826910" s="242"/>
    </row>
    <row r="826911" spans="1:1" x14ac:dyDescent="0.25">
      <c r="A826911" s="242"/>
    </row>
    <row r="826912" spans="1:1" x14ac:dyDescent="0.25">
      <c r="A826912" s="242"/>
    </row>
    <row r="826913" spans="1:1" x14ac:dyDescent="0.25">
      <c r="A826913" s="242"/>
    </row>
    <row r="826914" spans="1:1" x14ac:dyDescent="0.25">
      <c r="A826914" s="242"/>
    </row>
    <row r="826915" spans="1:1" x14ac:dyDescent="0.25">
      <c r="A826915" s="242"/>
    </row>
    <row r="826916" spans="1:1" x14ac:dyDescent="0.25">
      <c r="A826916" s="242"/>
    </row>
    <row r="826917" spans="1:1" x14ac:dyDescent="0.25">
      <c r="A826917" s="242"/>
    </row>
    <row r="826918" spans="1:1" x14ac:dyDescent="0.25">
      <c r="A826918" s="242"/>
    </row>
    <row r="826919" spans="1:1" x14ac:dyDescent="0.25">
      <c r="A826919" s="242"/>
    </row>
    <row r="826920" spans="1:1" x14ac:dyDescent="0.25">
      <c r="A826920" s="242"/>
    </row>
    <row r="826921" spans="1:1" x14ac:dyDescent="0.25">
      <c r="A826921" s="242"/>
    </row>
    <row r="826922" spans="1:1" x14ac:dyDescent="0.25">
      <c r="A826922" s="242"/>
    </row>
    <row r="826923" spans="1:1" x14ac:dyDescent="0.25">
      <c r="A826923" s="242"/>
    </row>
    <row r="826924" spans="1:1" x14ac:dyDescent="0.25">
      <c r="A826924" s="242"/>
    </row>
    <row r="826925" spans="1:1" x14ac:dyDescent="0.25">
      <c r="A826925" s="242"/>
    </row>
    <row r="826926" spans="1:1" x14ac:dyDescent="0.25">
      <c r="A826926" s="242"/>
    </row>
    <row r="826927" spans="1:1" x14ac:dyDescent="0.25">
      <c r="A826927" s="242"/>
    </row>
    <row r="826928" spans="1:1" x14ac:dyDescent="0.25">
      <c r="A826928" s="242"/>
    </row>
    <row r="826929" spans="1:1" x14ac:dyDescent="0.25">
      <c r="A826929" s="242"/>
    </row>
    <row r="826930" spans="1:1" x14ac:dyDescent="0.25">
      <c r="A826930" s="242"/>
    </row>
    <row r="826931" spans="1:1" x14ac:dyDescent="0.25">
      <c r="A826931" s="242"/>
    </row>
    <row r="826932" spans="1:1" x14ac:dyDescent="0.25">
      <c r="A826932" s="242"/>
    </row>
    <row r="826933" spans="1:1" x14ac:dyDescent="0.25">
      <c r="A826933" s="242"/>
    </row>
    <row r="826934" spans="1:1" x14ac:dyDescent="0.25">
      <c r="A826934" s="242"/>
    </row>
    <row r="826935" spans="1:1" x14ac:dyDescent="0.25">
      <c r="A826935" s="242"/>
    </row>
    <row r="826936" spans="1:1" x14ac:dyDescent="0.25">
      <c r="A826936" s="242"/>
    </row>
    <row r="826937" spans="1:1" x14ac:dyDescent="0.25">
      <c r="A826937" s="242"/>
    </row>
    <row r="826938" spans="1:1" x14ac:dyDescent="0.25">
      <c r="A826938" s="242"/>
    </row>
    <row r="826939" spans="1:1" x14ac:dyDescent="0.25">
      <c r="A826939" s="242"/>
    </row>
    <row r="826940" spans="1:1" x14ac:dyDescent="0.25">
      <c r="A826940" s="242"/>
    </row>
    <row r="826941" spans="1:1" x14ac:dyDescent="0.25">
      <c r="A826941" s="242"/>
    </row>
    <row r="826942" spans="1:1" x14ac:dyDescent="0.25">
      <c r="A826942" s="242"/>
    </row>
    <row r="826943" spans="1:1" x14ac:dyDescent="0.25">
      <c r="A826943" s="242"/>
    </row>
    <row r="826944" spans="1:1" x14ac:dyDescent="0.25">
      <c r="A826944" s="242"/>
    </row>
    <row r="826945" spans="1:1" x14ac:dyDescent="0.25">
      <c r="A826945" s="242"/>
    </row>
    <row r="826946" spans="1:1" x14ac:dyDescent="0.25">
      <c r="A826946" s="242"/>
    </row>
    <row r="826947" spans="1:1" x14ac:dyDescent="0.25">
      <c r="A826947" s="242"/>
    </row>
    <row r="826948" spans="1:1" x14ac:dyDescent="0.25">
      <c r="A826948" s="242"/>
    </row>
    <row r="826949" spans="1:1" x14ac:dyDescent="0.25">
      <c r="A826949" s="242"/>
    </row>
    <row r="826950" spans="1:1" x14ac:dyDescent="0.25">
      <c r="A826950" s="242"/>
    </row>
    <row r="826951" spans="1:1" x14ac:dyDescent="0.25">
      <c r="A826951" s="242"/>
    </row>
    <row r="826952" spans="1:1" x14ac:dyDescent="0.25">
      <c r="A826952" s="242"/>
    </row>
    <row r="826953" spans="1:1" x14ac:dyDescent="0.25">
      <c r="A826953" s="242"/>
    </row>
    <row r="826954" spans="1:1" x14ac:dyDescent="0.25">
      <c r="A826954" s="242"/>
    </row>
    <row r="826955" spans="1:1" x14ac:dyDescent="0.25">
      <c r="A826955" s="242"/>
    </row>
    <row r="826956" spans="1:1" x14ac:dyDescent="0.25">
      <c r="A826956" s="242"/>
    </row>
    <row r="826957" spans="1:1" x14ac:dyDescent="0.25">
      <c r="A826957" s="242"/>
    </row>
    <row r="826958" spans="1:1" x14ac:dyDescent="0.25">
      <c r="A826958" s="242"/>
    </row>
    <row r="826959" spans="1:1" x14ac:dyDescent="0.25">
      <c r="A826959" s="242"/>
    </row>
    <row r="826960" spans="1:1" x14ac:dyDescent="0.25">
      <c r="A826960" s="242"/>
    </row>
    <row r="826961" spans="1:1" x14ac:dyDescent="0.25">
      <c r="A826961" s="242"/>
    </row>
    <row r="826962" spans="1:1" x14ac:dyDescent="0.25">
      <c r="A826962" s="242"/>
    </row>
    <row r="826963" spans="1:1" x14ac:dyDescent="0.25">
      <c r="A826963" s="242"/>
    </row>
    <row r="826964" spans="1:1" x14ac:dyDescent="0.25">
      <c r="A826964" s="242"/>
    </row>
    <row r="826965" spans="1:1" x14ac:dyDescent="0.25">
      <c r="A826965" s="242"/>
    </row>
    <row r="826966" spans="1:1" x14ac:dyDescent="0.25">
      <c r="A826966" s="242"/>
    </row>
    <row r="826967" spans="1:1" x14ac:dyDescent="0.25">
      <c r="A826967" s="242"/>
    </row>
    <row r="826968" spans="1:1" x14ac:dyDescent="0.25">
      <c r="A826968" s="242"/>
    </row>
    <row r="826969" spans="1:1" x14ac:dyDescent="0.25">
      <c r="A826969" s="242"/>
    </row>
    <row r="826970" spans="1:1" x14ac:dyDescent="0.25">
      <c r="A826970" s="242"/>
    </row>
    <row r="826971" spans="1:1" x14ac:dyDescent="0.25">
      <c r="A826971" s="242"/>
    </row>
    <row r="826972" spans="1:1" x14ac:dyDescent="0.25">
      <c r="A826972" s="242"/>
    </row>
    <row r="826973" spans="1:1" x14ac:dyDescent="0.25">
      <c r="A826973" s="242"/>
    </row>
    <row r="826974" spans="1:1" x14ac:dyDescent="0.25">
      <c r="A826974" s="242"/>
    </row>
    <row r="826975" spans="1:1" x14ac:dyDescent="0.25">
      <c r="A826975" s="242"/>
    </row>
    <row r="826976" spans="1:1" x14ac:dyDescent="0.25">
      <c r="A826976" s="242"/>
    </row>
    <row r="826977" spans="1:1" x14ac:dyDescent="0.25">
      <c r="A826977" s="242"/>
    </row>
    <row r="826978" spans="1:1" x14ac:dyDescent="0.25">
      <c r="A826978" s="242"/>
    </row>
    <row r="826979" spans="1:1" x14ac:dyDescent="0.25">
      <c r="A826979" s="242"/>
    </row>
    <row r="826980" spans="1:1" x14ac:dyDescent="0.25">
      <c r="A826980" s="242"/>
    </row>
    <row r="826981" spans="1:1" x14ac:dyDescent="0.25">
      <c r="A826981" s="242"/>
    </row>
    <row r="826982" spans="1:1" x14ac:dyDescent="0.25">
      <c r="A826982" s="242"/>
    </row>
    <row r="826983" spans="1:1" x14ac:dyDescent="0.25">
      <c r="A826983" s="242"/>
    </row>
    <row r="826984" spans="1:1" x14ac:dyDescent="0.25">
      <c r="A826984" s="242"/>
    </row>
    <row r="826985" spans="1:1" x14ac:dyDescent="0.25">
      <c r="A826985" s="242"/>
    </row>
    <row r="826986" spans="1:1" x14ac:dyDescent="0.25">
      <c r="A826986" s="242"/>
    </row>
    <row r="826987" spans="1:1" x14ac:dyDescent="0.25">
      <c r="A826987" s="242"/>
    </row>
    <row r="826988" spans="1:1" x14ac:dyDescent="0.25">
      <c r="A826988" s="242"/>
    </row>
    <row r="826989" spans="1:1" x14ac:dyDescent="0.25">
      <c r="A826989" s="242"/>
    </row>
    <row r="826990" spans="1:1" x14ac:dyDescent="0.25">
      <c r="A826990" s="242"/>
    </row>
    <row r="826991" spans="1:1" x14ac:dyDescent="0.25">
      <c r="A826991" s="242"/>
    </row>
    <row r="826992" spans="1:1" x14ac:dyDescent="0.25">
      <c r="A826992" s="242"/>
    </row>
    <row r="826993" spans="1:1" x14ac:dyDescent="0.25">
      <c r="A826993" s="242"/>
    </row>
    <row r="826994" spans="1:1" x14ac:dyDescent="0.25">
      <c r="A826994" s="242"/>
    </row>
    <row r="826995" spans="1:1" x14ac:dyDescent="0.25">
      <c r="A826995" s="242"/>
    </row>
    <row r="826996" spans="1:1" x14ac:dyDescent="0.25">
      <c r="A826996" s="242"/>
    </row>
    <row r="826997" spans="1:1" x14ac:dyDescent="0.25">
      <c r="A826997" s="242"/>
    </row>
    <row r="826998" spans="1:1" x14ac:dyDescent="0.25">
      <c r="A826998" s="242"/>
    </row>
    <row r="826999" spans="1:1" x14ac:dyDescent="0.25">
      <c r="A826999" s="242"/>
    </row>
    <row r="827000" spans="1:1" x14ac:dyDescent="0.25">
      <c r="A827000" s="242"/>
    </row>
    <row r="827001" spans="1:1" x14ac:dyDescent="0.25">
      <c r="A827001" s="242"/>
    </row>
    <row r="827002" spans="1:1" x14ac:dyDescent="0.25">
      <c r="A827002" s="242"/>
    </row>
    <row r="827003" spans="1:1" x14ac:dyDescent="0.25">
      <c r="A827003" s="242"/>
    </row>
    <row r="827004" spans="1:1" x14ac:dyDescent="0.25">
      <c r="A827004" s="242"/>
    </row>
    <row r="827005" spans="1:1" x14ac:dyDescent="0.25">
      <c r="A827005" s="242"/>
    </row>
    <row r="827006" spans="1:1" x14ac:dyDescent="0.25">
      <c r="A827006" s="242"/>
    </row>
    <row r="827007" spans="1:1" x14ac:dyDescent="0.25">
      <c r="A827007" s="242"/>
    </row>
    <row r="827008" spans="1:1" x14ac:dyDescent="0.25">
      <c r="A827008" s="242"/>
    </row>
    <row r="827009" spans="1:1" x14ac:dyDescent="0.25">
      <c r="A827009" s="242"/>
    </row>
    <row r="827010" spans="1:1" x14ac:dyDescent="0.25">
      <c r="A827010" s="242"/>
    </row>
    <row r="827011" spans="1:1" x14ac:dyDescent="0.25">
      <c r="A827011" s="242"/>
    </row>
    <row r="827012" spans="1:1" x14ac:dyDescent="0.25">
      <c r="A827012" s="242"/>
    </row>
    <row r="827013" spans="1:1" x14ac:dyDescent="0.25">
      <c r="A827013" s="242"/>
    </row>
    <row r="827014" spans="1:1" x14ac:dyDescent="0.25">
      <c r="A827014" s="242"/>
    </row>
    <row r="827015" spans="1:1" x14ac:dyDescent="0.25">
      <c r="A827015" s="242"/>
    </row>
    <row r="827016" spans="1:1" x14ac:dyDescent="0.25">
      <c r="A827016" s="242"/>
    </row>
    <row r="827017" spans="1:1" x14ac:dyDescent="0.25">
      <c r="A827017" s="242"/>
    </row>
    <row r="827018" spans="1:1" x14ac:dyDescent="0.25">
      <c r="A827018" s="242"/>
    </row>
    <row r="827019" spans="1:1" x14ac:dyDescent="0.25">
      <c r="A827019" s="242"/>
    </row>
    <row r="827020" spans="1:1" x14ac:dyDescent="0.25">
      <c r="A827020" s="242"/>
    </row>
    <row r="827021" spans="1:1" x14ac:dyDescent="0.25">
      <c r="A827021" s="242"/>
    </row>
    <row r="827022" spans="1:1" x14ac:dyDescent="0.25">
      <c r="A827022" s="242"/>
    </row>
    <row r="827023" spans="1:1" x14ac:dyDescent="0.25">
      <c r="A827023" s="242"/>
    </row>
    <row r="827024" spans="1:1" x14ac:dyDescent="0.25">
      <c r="A827024" s="242"/>
    </row>
    <row r="827025" spans="1:1" x14ac:dyDescent="0.25">
      <c r="A827025" s="242"/>
    </row>
    <row r="827026" spans="1:1" x14ac:dyDescent="0.25">
      <c r="A827026" s="242"/>
    </row>
    <row r="827027" spans="1:1" x14ac:dyDescent="0.25">
      <c r="A827027" s="242"/>
    </row>
    <row r="827028" spans="1:1" x14ac:dyDescent="0.25">
      <c r="A827028" s="242"/>
    </row>
    <row r="827029" spans="1:1" x14ac:dyDescent="0.25">
      <c r="A827029" s="242"/>
    </row>
    <row r="827030" spans="1:1" x14ac:dyDescent="0.25">
      <c r="A827030" s="242"/>
    </row>
    <row r="827031" spans="1:1" x14ac:dyDescent="0.25">
      <c r="A827031" s="242"/>
    </row>
    <row r="827032" spans="1:1" x14ac:dyDescent="0.25">
      <c r="A827032" s="242"/>
    </row>
    <row r="827033" spans="1:1" x14ac:dyDescent="0.25">
      <c r="A827033" s="242"/>
    </row>
    <row r="827034" spans="1:1" x14ac:dyDescent="0.25">
      <c r="A827034" s="242"/>
    </row>
    <row r="827035" spans="1:1" x14ac:dyDescent="0.25">
      <c r="A827035" s="242"/>
    </row>
    <row r="827036" spans="1:1" x14ac:dyDescent="0.25">
      <c r="A827036" s="242"/>
    </row>
    <row r="827037" spans="1:1" x14ac:dyDescent="0.25">
      <c r="A827037" s="242"/>
    </row>
    <row r="827038" spans="1:1" x14ac:dyDescent="0.25">
      <c r="A827038" s="242"/>
    </row>
    <row r="827039" spans="1:1" x14ac:dyDescent="0.25">
      <c r="A827039" s="242"/>
    </row>
    <row r="827040" spans="1:1" x14ac:dyDescent="0.25">
      <c r="A827040" s="242"/>
    </row>
    <row r="827041" spans="1:1" x14ac:dyDescent="0.25">
      <c r="A827041" s="242"/>
    </row>
    <row r="827042" spans="1:1" x14ac:dyDescent="0.25">
      <c r="A827042" s="242"/>
    </row>
    <row r="827043" spans="1:1" x14ac:dyDescent="0.25">
      <c r="A827043" s="242"/>
    </row>
    <row r="827044" spans="1:1" x14ac:dyDescent="0.25">
      <c r="A827044" s="242"/>
    </row>
    <row r="827045" spans="1:1" x14ac:dyDescent="0.25">
      <c r="A827045" s="242"/>
    </row>
    <row r="827046" spans="1:1" x14ac:dyDescent="0.25">
      <c r="A827046" s="242"/>
    </row>
    <row r="827047" spans="1:1" x14ac:dyDescent="0.25">
      <c r="A827047" s="242"/>
    </row>
    <row r="827048" spans="1:1" x14ac:dyDescent="0.25">
      <c r="A827048" s="242"/>
    </row>
    <row r="827049" spans="1:1" x14ac:dyDescent="0.25">
      <c r="A827049" s="242"/>
    </row>
    <row r="827050" spans="1:1" x14ac:dyDescent="0.25">
      <c r="A827050" s="242"/>
    </row>
    <row r="827051" spans="1:1" x14ac:dyDescent="0.25">
      <c r="A827051" s="242"/>
    </row>
    <row r="827052" spans="1:1" x14ac:dyDescent="0.25">
      <c r="A827052" s="242"/>
    </row>
    <row r="827053" spans="1:1" x14ac:dyDescent="0.25">
      <c r="A827053" s="242"/>
    </row>
    <row r="827054" spans="1:1" x14ac:dyDescent="0.25">
      <c r="A827054" s="242"/>
    </row>
    <row r="827055" spans="1:1" x14ac:dyDescent="0.25">
      <c r="A827055" s="242"/>
    </row>
    <row r="827056" spans="1:1" x14ac:dyDescent="0.25">
      <c r="A827056" s="242"/>
    </row>
    <row r="827057" spans="1:1" x14ac:dyDescent="0.25">
      <c r="A827057" s="242"/>
    </row>
    <row r="827058" spans="1:1" x14ac:dyDescent="0.25">
      <c r="A827058" s="242"/>
    </row>
    <row r="827059" spans="1:1" x14ac:dyDescent="0.25">
      <c r="A827059" s="242"/>
    </row>
    <row r="827060" spans="1:1" x14ac:dyDescent="0.25">
      <c r="A827060" s="242"/>
    </row>
    <row r="827061" spans="1:1" x14ac:dyDescent="0.25">
      <c r="A827061" s="242"/>
    </row>
    <row r="827062" spans="1:1" x14ac:dyDescent="0.25">
      <c r="A827062" s="242"/>
    </row>
    <row r="827063" spans="1:1" x14ac:dyDescent="0.25">
      <c r="A827063" s="242"/>
    </row>
    <row r="827064" spans="1:1" x14ac:dyDescent="0.25">
      <c r="A827064" s="242"/>
    </row>
    <row r="827065" spans="1:1" x14ac:dyDescent="0.25">
      <c r="A827065" s="242"/>
    </row>
    <row r="827066" spans="1:1" x14ac:dyDescent="0.25">
      <c r="A827066" s="242"/>
    </row>
    <row r="827067" spans="1:1" x14ac:dyDescent="0.25">
      <c r="A827067" s="242"/>
    </row>
    <row r="827068" spans="1:1" x14ac:dyDescent="0.25">
      <c r="A827068" s="242"/>
    </row>
    <row r="827069" spans="1:1" x14ac:dyDescent="0.25">
      <c r="A827069" s="242"/>
    </row>
    <row r="827070" spans="1:1" x14ac:dyDescent="0.25">
      <c r="A827070" s="242"/>
    </row>
    <row r="827071" spans="1:1" x14ac:dyDescent="0.25">
      <c r="A827071" s="242"/>
    </row>
    <row r="827072" spans="1:1" x14ac:dyDescent="0.25">
      <c r="A827072" s="242"/>
    </row>
    <row r="827073" spans="1:1" x14ac:dyDescent="0.25">
      <c r="A827073" s="242"/>
    </row>
    <row r="827074" spans="1:1" x14ac:dyDescent="0.25">
      <c r="A827074" s="242"/>
    </row>
    <row r="827075" spans="1:1" x14ac:dyDescent="0.25">
      <c r="A827075" s="242"/>
    </row>
    <row r="827076" spans="1:1" x14ac:dyDescent="0.25">
      <c r="A827076" s="242"/>
    </row>
    <row r="827077" spans="1:1" x14ac:dyDescent="0.25">
      <c r="A827077" s="242"/>
    </row>
    <row r="827078" spans="1:1" x14ac:dyDescent="0.25">
      <c r="A827078" s="242"/>
    </row>
    <row r="827079" spans="1:1" x14ac:dyDescent="0.25">
      <c r="A827079" s="242"/>
    </row>
    <row r="827080" spans="1:1" x14ac:dyDescent="0.25">
      <c r="A827080" s="242"/>
    </row>
    <row r="827081" spans="1:1" x14ac:dyDescent="0.25">
      <c r="A827081" s="242"/>
    </row>
    <row r="827082" spans="1:1" x14ac:dyDescent="0.25">
      <c r="A827082" s="242"/>
    </row>
    <row r="827083" spans="1:1" x14ac:dyDescent="0.25">
      <c r="A827083" s="242"/>
    </row>
    <row r="827084" spans="1:1" x14ac:dyDescent="0.25">
      <c r="A827084" s="242"/>
    </row>
    <row r="827085" spans="1:1" x14ac:dyDescent="0.25">
      <c r="A827085" s="242"/>
    </row>
    <row r="827086" spans="1:1" x14ac:dyDescent="0.25">
      <c r="A827086" s="242"/>
    </row>
    <row r="827087" spans="1:1" x14ac:dyDescent="0.25">
      <c r="A827087" s="242"/>
    </row>
    <row r="827088" spans="1:1" x14ac:dyDescent="0.25">
      <c r="A827088" s="242"/>
    </row>
    <row r="827089" spans="1:1" x14ac:dyDescent="0.25">
      <c r="A827089" s="242"/>
    </row>
    <row r="827090" spans="1:1" x14ac:dyDescent="0.25">
      <c r="A827090" s="242"/>
    </row>
    <row r="827091" spans="1:1" x14ac:dyDescent="0.25">
      <c r="A827091" s="242"/>
    </row>
    <row r="827092" spans="1:1" x14ac:dyDescent="0.25">
      <c r="A827092" s="242"/>
    </row>
    <row r="827093" spans="1:1" x14ac:dyDescent="0.25">
      <c r="A827093" s="242"/>
    </row>
    <row r="827094" spans="1:1" x14ac:dyDescent="0.25">
      <c r="A827094" s="242"/>
    </row>
    <row r="827095" spans="1:1" x14ac:dyDescent="0.25">
      <c r="A827095" s="242"/>
    </row>
    <row r="827096" spans="1:1" x14ac:dyDescent="0.25">
      <c r="A827096" s="242"/>
    </row>
    <row r="827097" spans="1:1" x14ac:dyDescent="0.25">
      <c r="A827097" s="242"/>
    </row>
    <row r="827098" spans="1:1" x14ac:dyDescent="0.25">
      <c r="A827098" s="242"/>
    </row>
    <row r="827099" spans="1:1" x14ac:dyDescent="0.25">
      <c r="A827099" s="242"/>
    </row>
    <row r="827100" spans="1:1" x14ac:dyDescent="0.25">
      <c r="A827100" s="242"/>
    </row>
    <row r="827101" spans="1:1" x14ac:dyDescent="0.25">
      <c r="A827101" s="242"/>
    </row>
    <row r="827102" spans="1:1" x14ac:dyDescent="0.25">
      <c r="A827102" s="242"/>
    </row>
    <row r="827103" spans="1:1" x14ac:dyDescent="0.25">
      <c r="A827103" s="242"/>
    </row>
    <row r="827104" spans="1:1" x14ac:dyDescent="0.25">
      <c r="A827104" s="242"/>
    </row>
    <row r="827105" spans="1:1" x14ac:dyDescent="0.25">
      <c r="A827105" s="242"/>
    </row>
    <row r="827106" spans="1:1" x14ac:dyDescent="0.25">
      <c r="A827106" s="242"/>
    </row>
    <row r="827107" spans="1:1" x14ac:dyDescent="0.25">
      <c r="A827107" s="242"/>
    </row>
    <row r="827108" spans="1:1" x14ac:dyDescent="0.25">
      <c r="A827108" s="242"/>
    </row>
    <row r="827109" spans="1:1" x14ac:dyDescent="0.25">
      <c r="A827109" s="242"/>
    </row>
    <row r="827110" spans="1:1" x14ac:dyDescent="0.25">
      <c r="A827110" s="242"/>
    </row>
    <row r="827111" spans="1:1" x14ac:dyDescent="0.25">
      <c r="A827111" s="242"/>
    </row>
    <row r="827112" spans="1:1" x14ac:dyDescent="0.25">
      <c r="A827112" s="242"/>
    </row>
    <row r="827113" spans="1:1" x14ac:dyDescent="0.25">
      <c r="A827113" s="242"/>
    </row>
    <row r="827114" spans="1:1" x14ac:dyDescent="0.25">
      <c r="A827114" s="242"/>
    </row>
    <row r="827115" spans="1:1" x14ac:dyDescent="0.25">
      <c r="A827115" s="242"/>
    </row>
    <row r="827116" spans="1:1" x14ac:dyDescent="0.25">
      <c r="A827116" s="242"/>
    </row>
    <row r="827117" spans="1:1" x14ac:dyDescent="0.25">
      <c r="A827117" s="242"/>
    </row>
    <row r="827118" spans="1:1" x14ac:dyDescent="0.25">
      <c r="A827118" s="242"/>
    </row>
    <row r="827119" spans="1:1" x14ac:dyDescent="0.25">
      <c r="A827119" s="242"/>
    </row>
    <row r="827120" spans="1:1" x14ac:dyDescent="0.25">
      <c r="A827120" s="242"/>
    </row>
    <row r="827121" spans="1:1" x14ac:dyDescent="0.25">
      <c r="A827121" s="242"/>
    </row>
    <row r="827122" spans="1:1" x14ac:dyDescent="0.25">
      <c r="A827122" s="242"/>
    </row>
    <row r="827123" spans="1:1" x14ac:dyDescent="0.25">
      <c r="A827123" s="242"/>
    </row>
    <row r="827124" spans="1:1" x14ac:dyDescent="0.25">
      <c r="A827124" s="242"/>
    </row>
    <row r="827125" spans="1:1" x14ac:dyDescent="0.25">
      <c r="A827125" s="242"/>
    </row>
    <row r="827126" spans="1:1" x14ac:dyDescent="0.25">
      <c r="A827126" s="242"/>
    </row>
    <row r="827127" spans="1:1" x14ac:dyDescent="0.25">
      <c r="A827127" s="242"/>
    </row>
    <row r="827128" spans="1:1" x14ac:dyDescent="0.25">
      <c r="A827128" s="242"/>
    </row>
    <row r="827129" spans="1:1" x14ac:dyDescent="0.25">
      <c r="A827129" s="242"/>
    </row>
    <row r="827130" spans="1:1" x14ac:dyDescent="0.25">
      <c r="A827130" s="242"/>
    </row>
    <row r="827131" spans="1:1" x14ac:dyDescent="0.25">
      <c r="A827131" s="242"/>
    </row>
    <row r="827132" spans="1:1" x14ac:dyDescent="0.25">
      <c r="A827132" s="242"/>
    </row>
    <row r="827133" spans="1:1" x14ac:dyDescent="0.25">
      <c r="A827133" s="242"/>
    </row>
    <row r="827134" spans="1:1" x14ac:dyDescent="0.25">
      <c r="A827134" s="242"/>
    </row>
    <row r="827135" spans="1:1" x14ac:dyDescent="0.25">
      <c r="A827135" s="242"/>
    </row>
    <row r="827136" spans="1:1" x14ac:dyDescent="0.25">
      <c r="A827136" s="242"/>
    </row>
    <row r="827137" spans="1:1" x14ac:dyDescent="0.25">
      <c r="A827137" s="242"/>
    </row>
    <row r="827138" spans="1:1" x14ac:dyDescent="0.25">
      <c r="A827138" s="242"/>
    </row>
    <row r="827139" spans="1:1" x14ac:dyDescent="0.25">
      <c r="A827139" s="242"/>
    </row>
    <row r="827140" spans="1:1" x14ac:dyDescent="0.25">
      <c r="A827140" s="242"/>
    </row>
    <row r="827141" spans="1:1" x14ac:dyDescent="0.25">
      <c r="A827141" s="242"/>
    </row>
    <row r="827142" spans="1:1" x14ac:dyDescent="0.25">
      <c r="A827142" s="242"/>
    </row>
    <row r="827143" spans="1:1" x14ac:dyDescent="0.25">
      <c r="A827143" s="242"/>
    </row>
    <row r="827144" spans="1:1" x14ac:dyDescent="0.25">
      <c r="A827144" s="242"/>
    </row>
    <row r="827145" spans="1:1" x14ac:dyDescent="0.25">
      <c r="A827145" s="242"/>
    </row>
    <row r="827146" spans="1:1" x14ac:dyDescent="0.25">
      <c r="A827146" s="242"/>
    </row>
    <row r="827147" spans="1:1" x14ac:dyDescent="0.25">
      <c r="A827147" s="242"/>
    </row>
    <row r="827148" spans="1:1" x14ac:dyDescent="0.25">
      <c r="A827148" s="242"/>
    </row>
    <row r="827149" spans="1:1" x14ac:dyDescent="0.25">
      <c r="A827149" s="242"/>
    </row>
    <row r="827150" spans="1:1" x14ac:dyDescent="0.25">
      <c r="A827150" s="242"/>
    </row>
    <row r="827151" spans="1:1" x14ac:dyDescent="0.25">
      <c r="A827151" s="242"/>
    </row>
    <row r="827152" spans="1:1" x14ac:dyDescent="0.25">
      <c r="A827152" s="242"/>
    </row>
    <row r="827153" spans="1:1" x14ac:dyDescent="0.25">
      <c r="A827153" s="242"/>
    </row>
    <row r="827154" spans="1:1" x14ac:dyDescent="0.25">
      <c r="A827154" s="242"/>
    </row>
    <row r="827155" spans="1:1" x14ac:dyDescent="0.25">
      <c r="A827155" s="242"/>
    </row>
    <row r="827156" spans="1:1" x14ac:dyDescent="0.25">
      <c r="A827156" s="242"/>
    </row>
    <row r="827157" spans="1:1" x14ac:dyDescent="0.25">
      <c r="A827157" s="242"/>
    </row>
    <row r="827158" spans="1:1" x14ac:dyDescent="0.25">
      <c r="A827158" s="242"/>
    </row>
    <row r="827159" spans="1:1" x14ac:dyDescent="0.25">
      <c r="A827159" s="242"/>
    </row>
    <row r="827160" spans="1:1" x14ac:dyDescent="0.25">
      <c r="A827160" s="242"/>
    </row>
    <row r="827161" spans="1:1" x14ac:dyDescent="0.25">
      <c r="A827161" s="242"/>
    </row>
    <row r="827162" spans="1:1" x14ac:dyDescent="0.25">
      <c r="A827162" s="242"/>
    </row>
    <row r="827163" spans="1:1" x14ac:dyDescent="0.25">
      <c r="A827163" s="242"/>
    </row>
    <row r="827164" spans="1:1" x14ac:dyDescent="0.25">
      <c r="A827164" s="242"/>
    </row>
    <row r="827165" spans="1:1" x14ac:dyDescent="0.25">
      <c r="A827165" s="242"/>
    </row>
    <row r="827166" spans="1:1" x14ac:dyDescent="0.25">
      <c r="A827166" s="242"/>
    </row>
    <row r="827167" spans="1:1" x14ac:dyDescent="0.25">
      <c r="A827167" s="242"/>
    </row>
    <row r="827168" spans="1:1" x14ac:dyDescent="0.25">
      <c r="A827168" s="242"/>
    </row>
    <row r="827169" spans="1:1" x14ac:dyDescent="0.25">
      <c r="A827169" s="242"/>
    </row>
    <row r="827170" spans="1:1" x14ac:dyDescent="0.25">
      <c r="A827170" s="242"/>
    </row>
    <row r="827171" spans="1:1" x14ac:dyDescent="0.25">
      <c r="A827171" s="242"/>
    </row>
    <row r="827172" spans="1:1" x14ac:dyDescent="0.25">
      <c r="A827172" s="242"/>
    </row>
    <row r="827173" spans="1:1" x14ac:dyDescent="0.25">
      <c r="A827173" s="242"/>
    </row>
    <row r="827174" spans="1:1" x14ac:dyDescent="0.25">
      <c r="A827174" s="242"/>
    </row>
    <row r="827175" spans="1:1" x14ac:dyDescent="0.25">
      <c r="A827175" s="242"/>
    </row>
    <row r="827176" spans="1:1" x14ac:dyDescent="0.25">
      <c r="A827176" s="242"/>
    </row>
    <row r="827177" spans="1:1" x14ac:dyDescent="0.25">
      <c r="A827177" s="242"/>
    </row>
    <row r="827178" spans="1:1" x14ac:dyDescent="0.25">
      <c r="A827178" s="242"/>
    </row>
    <row r="827179" spans="1:1" x14ac:dyDescent="0.25">
      <c r="A827179" s="242"/>
    </row>
    <row r="827180" spans="1:1" x14ac:dyDescent="0.25">
      <c r="A827180" s="242"/>
    </row>
    <row r="827181" spans="1:1" x14ac:dyDescent="0.25">
      <c r="A827181" s="242"/>
    </row>
    <row r="827182" spans="1:1" x14ac:dyDescent="0.25">
      <c r="A827182" s="242"/>
    </row>
    <row r="827183" spans="1:1" x14ac:dyDescent="0.25">
      <c r="A827183" s="242"/>
    </row>
    <row r="827184" spans="1:1" x14ac:dyDescent="0.25">
      <c r="A827184" s="242"/>
    </row>
    <row r="827185" spans="1:1" x14ac:dyDescent="0.25">
      <c r="A827185" s="242"/>
    </row>
    <row r="827186" spans="1:1" x14ac:dyDescent="0.25">
      <c r="A827186" s="242"/>
    </row>
    <row r="827187" spans="1:1" x14ac:dyDescent="0.25">
      <c r="A827187" s="242"/>
    </row>
    <row r="827188" spans="1:1" x14ac:dyDescent="0.25">
      <c r="A827188" s="242"/>
    </row>
    <row r="827189" spans="1:1" x14ac:dyDescent="0.25">
      <c r="A827189" s="242"/>
    </row>
    <row r="827190" spans="1:1" x14ac:dyDescent="0.25">
      <c r="A827190" s="242"/>
    </row>
    <row r="827191" spans="1:1" x14ac:dyDescent="0.25">
      <c r="A827191" s="242"/>
    </row>
    <row r="827192" spans="1:1" x14ac:dyDescent="0.25">
      <c r="A827192" s="242"/>
    </row>
    <row r="827193" spans="1:1" x14ac:dyDescent="0.25">
      <c r="A827193" s="242"/>
    </row>
    <row r="827194" spans="1:1" x14ac:dyDescent="0.25">
      <c r="A827194" s="242"/>
    </row>
    <row r="827195" spans="1:1" x14ac:dyDescent="0.25">
      <c r="A827195" s="242"/>
    </row>
    <row r="827196" spans="1:1" x14ac:dyDescent="0.25">
      <c r="A827196" s="242"/>
    </row>
    <row r="827197" spans="1:1" x14ac:dyDescent="0.25">
      <c r="A827197" s="242"/>
    </row>
    <row r="827198" spans="1:1" x14ac:dyDescent="0.25">
      <c r="A827198" s="242"/>
    </row>
    <row r="827199" spans="1:1" x14ac:dyDescent="0.25">
      <c r="A827199" s="242"/>
    </row>
    <row r="827200" spans="1:1" x14ac:dyDescent="0.25">
      <c r="A827200" s="242"/>
    </row>
    <row r="827201" spans="1:1" x14ac:dyDescent="0.25">
      <c r="A827201" s="242"/>
    </row>
    <row r="827202" spans="1:1" x14ac:dyDescent="0.25">
      <c r="A827202" s="242"/>
    </row>
    <row r="827203" spans="1:1" x14ac:dyDescent="0.25">
      <c r="A827203" s="242"/>
    </row>
    <row r="827204" spans="1:1" x14ac:dyDescent="0.25">
      <c r="A827204" s="242"/>
    </row>
    <row r="827205" spans="1:1" x14ac:dyDescent="0.25">
      <c r="A827205" s="242"/>
    </row>
    <row r="827206" spans="1:1" x14ac:dyDescent="0.25">
      <c r="A827206" s="242"/>
    </row>
    <row r="827207" spans="1:1" x14ac:dyDescent="0.25">
      <c r="A827207" s="242"/>
    </row>
    <row r="827208" spans="1:1" x14ac:dyDescent="0.25">
      <c r="A827208" s="242"/>
    </row>
    <row r="827209" spans="1:1" x14ac:dyDescent="0.25">
      <c r="A827209" s="242"/>
    </row>
    <row r="827210" spans="1:1" x14ac:dyDescent="0.25">
      <c r="A827210" s="242"/>
    </row>
    <row r="827211" spans="1:1" x14ac:dyDescent="0.25">
      <c r="A827211" s="242"/>
    </row>
    <row r="827212" spans="1:1" x14ac:dyDescent="0.25">
      <c r="A827212" s="242"/>
    </row>
    <row r="827213" spans="1:1" x14ac:dyDescent="0.25">
      <c r="A827213" s="242"/>
    </row>
    <row r="827214" spans="1:1" x14ac:dyDescent="0.25">
      <c r="A827214" s="242"/>
    </row>
    <row r="827215" spans="1:1" x14ac:dyDescent="0.25">
      <c r="A827215" s="242"/>
    </row>
    <row r="827216" spans="1:1" x14ac:dyDescent="0.25">
      <c r="A827216" s="242"/>
    </row>
    <row r="827217" spans="1:1" x14ac:dyDescent="0.25">
      <c r="A827217" s="242"/>
    </row>
    <row r="827218" spans="1:1" x14ac:dyDescent="0.25">
      <c r="A827218" s="242"/>
    </row>
    <row r="827219" spans="1:1" x14ac:dyDescent="0.25">
      <c r="A827219" s="242"/>
    </row>
    <row r="827220" spans="1:1" x14ac:dyDescent="0.25">
      <c r="A827220" s="242"/>
    </row>
    <row r="827221" spans="1:1" x14ac:dyDescent="0.25">
      <c r="A827221" s="242"/>
    </row>
    <row r="827222" spans="1:1" x14ac:dyDescent="0.25">
      <c r="A827222" s="242"/>
    </row>
    <row r="827223" spans="1:1" x14ac:dyDescent="0.25">
      <c r="A827223" s="242"/>
    </row>
    <row r="827224" spans="1:1" x14ac:dyDescent="0.25">
      <c r="A827224" s="242"/>
    </row>
    <row r="827225" spans="1:1" x14ac:dyDescent="0.25">
      <c r="A827225" s="242"/>
    </row>
    <row r="827226" spans="1:1" x14ac:dyDescent="0.25">
      <c r="A827226" s="242"/>
    </row>
    <row r="827227" spans="1:1" x14ac:dyDescent="0.25">
      <c r="A827227" s="242"/>
    </row>
    <row r="827228" spans="1:1" x14ac:dyDescent="0.25">
      <c r="A827228" s="242"/>
    </row>
    <row r="827229" spans="1:1" x14ac:dyDescent="0.25">
      <c r="A827229" s="242"/>
    </row>
    <row r="827230" spans="1:1" x14ac:dyDescent="0.25">
      <c r="A827230" s="242"/>
    </row>
    <row r="827231" spans="1:1" x14ac:dyDescent="0.25">
      <c r="A827231" s="242"/>
    </row>
    <row r="827232" spans="1:1" x14ac:dyDescent="0.25">
      <c r="A827232" s="242"/>
    </row>
    <row r="827233" spans="1:1" x14ac:dyDescent="0.25">
      <c r="A827233" s="242"/>
    </row>
    <row r="827234" spans="1:1" x14ac:dyDescent="0.25">
      <c r="A827234" s="242"/>
    </row>
    <row r="827235" spans="1:1" x14ac:dyDescent="0.25">
      <c r="A827235" s="242"/>
    </row>
    <row r="827236" spans="1:1" x14ac:dyDescent="0.25">
      <c r="A827236" s="242"/>
    </row>
    <row r="827237" spans="1:1" x14ac:dyDescent="0.25">
      <c r="A827237" s="242"/>
    </row>
    <row r="827238" spans="1:1" x14ac:dyDescent="0.25">
      <c r="A827238" s="242"/>
    </row>
    <row r="827239" spans="1:1" x14ac:dyDescent="0.25">
      <c r="A827239" s="242"/>
    </row>
    <row r="827240" spans="1:1" x14ac:dyDescent="0.25">
      <c r="A827240" s="242"/>
    </row>
    <row r="827241" spans="1:1" x14ac:dyDescent="0.25">
      <c r="A827241" s="242"/>
    </row>
    <row r="827242" spans="1:1" x14ac:dyDescent="0.25">
      <c r="A827242" s="242"/>
    </row>
    <row r="827243" spans="1:1" x14ac:dyDescent="0.25">
      <c r="A827243" s="242"/>
    </row>
    <row r="827244" spans="1:1" x14ac:dyDescent="0.25">
      <c r="A827244" s="242"/>
    </row>
    <row r="827245" spans="1:1" x14ac:dyDescent="0.25">
      <c r="A827245" s="242"/>
    </row>
    <row r="827246" spans="1:1" x14ac:dyDescent="0.25">
      <c r="A827246" s="242"/>
    </row>
    <row r="827247" spans="1:1" x14ac:dyDescent="0.25">
      <c r="A827247" s="242"/>
    </row>
    <row r="827248" spans="1:1" x14ac:dyDescent="0.25">
      <c r="A827248" s="242"/>
    </row>
    <row r="827249" spans="1:1" x14ac:dyDescent="0.25">
      <c r="A827249" s="242"/>
    </row>
    <row r="827250" spans="1:1" x14ac:dyDescent="0.25">
      <c r="A827250" s="242"/>
    </row>
    <row r="827251" spans="1:1" x14ac:dyDescent="0.25">
      <c r="A827251" s="242"/>
    </row>
    <row r="827252" spans="1:1" x14ac:dyDescent="0.25">
      <c r="A827252" s="242"/>
    </row>
    <row r="827253" spans="1:1" x14ac:dyDescent="0.25">
      <c r="A827253" s="242"/>
    </row>
    <row r="827254" spans="1:1" x14ac:dyDescent="0.25">
      <c r="A827254" s="242"/>
    </row>
    <row r="827255" spans="1:1" x14ac:dyDescent="0.25">
      <c r="A827255" s="242"/>
    </row>
    <row r="827256" spans="1:1" x14ac:dyDescent="0.25">
      <c r="A827256" s="242"/>
    </row>
    <row r="827257" spans="1:1" x14ac:dyDescent="0.25">
      <c r="A827257" s="242"/>
    </row>
    <row r="827258" spans="1:1" x14ac:dyDescent="0.25">
      <c r="A827258" s="242"/>
    </row>
    <row r="827259" spans="1:1" x14ac:dyDescent="0.25">
      <c r="A827259" s="242"/>
    </row>
    <row r="827260" spans="1:1" x14ac:dyDescent="0.25">
      <c r="A827260" s="242"/>
    </row>
    <row r="827261" spans="1:1" x14ac:dyDescent="0.25">
      <c r="A827261" s="242"/>
    </row>
    <row r="827262" spans="1:1" x14ac:dyDescent="0.25">
      <c r="A827262" s="242"/>
    </row>
    <row r="827263" spans="1:1" x14ac:dyDescent="0.25">
      <c r="A827263" s="242"/>
    </row>
    <row r="827264" spans="1:1" x14ac:dyDescent="0.25">
      <c r="A827264" s="242"/>
    </row>
    <row r="827265" spans="1:1" x14ac:dyDescent="0.25">
      <c r="A827265" s="242"/>
    </row>
    <row r="827266" spans="1:1" x14ac:dyDescent="0.25">
      <c r="A827266" s="242"/>
    </row>
    <row r="827267" spans="1:1" x14ac:dyDescent="0.25">
      <c r="A827267" s="242"/>
    </row>
    <row r="827268" spans="1:1" x14ac:dyDescent="0.25">
      <c r="A827268" s="242"/>
    </row>
    <row r="827269" spans="1:1" x14ac:dyDescent="0.25">
      <c r="A827269" s="242"/>
    </row>
    <row r="827270" spans="1:1" x14ac:dyDescent="0.25">
      <c r="A827270" s="242"/>
    </row>
    <row r="827271" spans="1:1" x14ac:dyDescent="0.25">
      <c r="A827271" s="242"/>
    </row>
    <row r="827272" spans="1:1" x14ac:dyDescent="0.25">
      <c r="A827272" s="242"/>
    </row>
    <row r="827273" spans="1:1" x14ac:dyDescent="0.25">
      <c r="A827273" s="242"/>
    </row>
    <row r="827274" spans="1:1" x14ac:dyDescent="0.25">
      <c r="A827274" s="242"/>
    </row>
    <row r="827275" spans="1:1" x14ac:dyDescent="0.25">
      <c r="A827275" s="242"/>
    </row>
    <row r="827276" spans="1:1" x14ac:dyDescent="0.25">
      <c r="A827276" s="242"/>
    </row>
    <row r="827277" spans="1:1" x14ac:dyDescent="0.25">
      <c r="A827277" s="242"/>
    </row>
    <row r="827278" spans="1:1" x14ac:dyDescent="0.25">
      <c r="A827278" s="242"/>
    </row>
    <row r="827279" spans="1:1" x14ac:dyDescent="0.25">
      <c r="A827279" s="242"/>
    </row>
    <row r="827280" spans="1:1" x14ac:dyDescent="0.25">
      <c r="A827280" s="242"/>
    </row>
    <row r="827281" spans="1:1" x14ac:dyDescent="0.25">
      <c r="A827281" s="242"/>
    </row>
    <row r="827282" spans="1:1" x14ac:dyDescent="0.25">
      <c r="A827282" s="242"/>
    </row>
    <row r="827283" spans="1:1" x14ac:dyDescent="0.25">
      <c r="A827283" s="242"/>
    </row>
    <row r="827284" spans="1:1" x14ac:dyDescent="0.25">
      <c r="A827284" s="242"/>
    </row>
    <row r="827285" spans="1:1" x14ac:dyDescent="0.25">
      <c r="A827285" s="242"/>
    </row>
    <row r="827286" spans="1:1" x14ac:dyDescent="0.25">
      <c r="A827286" s="242"/>
    </row>
    <row r="827287" spans="1:1" x14ac:dyDescent="0.25">
      <c r="A827287" s="242"/>
    </row>
    <row r="827288" spans="1:1" x14ac:dyDescent="0.25">
      <c r="A827288" s="242"/>
    </row>
    <row r="827289" spans="1:1" x14ac:dyDescent="0.25">
      <c r="A827289" s="242"/>
    </row>
    <row r="827290" spans="1:1" x14ac:dyDescent="0.25">
      <c r="A827290" s="242"/>
    </row>
    <row r="827291" spans="1:1" x14ac:dyDescent="0.25">
      <c r="A827291" s="242"/>
    </row>
    <row r="827292" spans="1:1" x14ac:dyDescent="0.25">
      <c r="A827292" s="242"/>
    </row>
    <row r="827293" spans="1:1" x14ac:dyDescent="0.25">
      <c r="A827293" s="242"/>
    </row>
    <row r="827294" spans="1:1" x14ac:dyDescent="0.25">
      <c r="A827294" s="242"/>
    </row>
    <row r="827295" spans="1:1" x14ac:dyDescent="0.25">
      <c r="A827295" s="242"/>
    </row>
    <row r="827296" spans="1:1" x14ac:dyDescent="0.25">
      <c r="A827296" s="242"/>
    </row>
    <row r="827297" spans="1:1" x14ac:dyDescent="0.25">
      <c r="A827297" s="242"/>
    </row>
    <row r="827298" spans="1:1" x14ac:dyDescent="0.25">
      <c r="A827298" s="242"/>
    </row>
    <row r="827299" spans="1:1" x14ac:dyDescent="0.25">
      <c r="A827299" s="242"/>
    </row>
    <row r="827300" spans="1:1" x14ac:dyDescent="0.25">
      <c r="A827300" s="242"/>
    </row>
    <row r="827301" spans="1:1" x14ac:dyDescent="0.25">
      <c r="A827301" s="242"/>
    </row>
    <row r="827302" spans="1:1" x14ac:dyDescent="0.25">
      <c r="A827302" s="242"/>
    </row>
    <row r="827303" spans="1:1" x14ac:dyDescent="0.25">
      <c r="A827303" s="242"/>
    </row>
    <row r="827304" spans="1:1" x14ac:dyDescent="0.25">
      <c r="A827304" s="242"/>
    </row>
    <row r="827305" spans="1:1" x14ac:dyDescent="0.25">
      <c r="A827305" s="242"/>
    </row>
    <row r="827306" spans="1:1" x14ac:dyDescent="0.25">
      <c r="A827306" s="242"/>
    </row>
    <row r="827307" spans="1:1" x14ac:dyDescent="0.25">
      <c r="A827307" s="242"/>
    </row>
    <row r="827308" spans="1:1" x14ac:dyDescent="0.25">
      <c r="A827308" s="242"/>
    </row>
    <row r="827309" spans="1:1" x14ac:dyDescent="0.25">
      <c r="A827309" s="242"/>
    </row>
    <row r="827310" spans="1:1" x14ac:dyDescent="0.25">
      <c r="A827310" s="242"/>
    </row>
    <row r="827311" spans="1:1" x14ac:dyDescent="0.25">
      <c r="A827311" s="242"/>
    </row>
    <row r="827312" spans="1:1" x14ac:dyDescent="0.25">
      <c r="A827312" s="242"/>
    </row>
    <row r="827313" spans="1:1" x14ac:dyDescent="0.25">
      <c r="A827313" s="242"/>
    </row>
    <row r="827314" spans="1:1" x14ac:dyDescent="0.25">
      <c r="A827314" s="242"/>
    </row>
    <row r="827315" spans="1:1" x14ac:dyDescent="0.25">
      <c r="A827315" s="242"/>
    </row>
    <row r="827316" spans="1:1" x14ac:dyDescent="0.25">
      <c r="A827316" s="242"/>
    </row>
    <row r="827317" spans="1:1" x14ac:dyDescent="0.25">
      <c r="A827317" s="242"/>
    </row>
    <row r="827318" spans="1:1" x14ac:dyDescent="0.25">
      <c r="A827318" s="242"/>
    </row>
    <row r="827319" spans="1:1" x14ac:dyDescent="0.25">
      <c r="A827319" s="242"/>
    </row>
    <row r="827320" spans="1:1" x14ac:dyDescent="0.25">
      <c r="A827320" s="242"/>
    </row>
    <row r="827321" spans="1:1" x14ac:dyDescent="0.25">
      <c r="A827321" s="242"/>
    </row>
    <row r="827322" spans="1:1" x14ac:dyDescent="0.25">
      <c r="A827322" s="242"/>
    </row>
    <row r="827323" spans="1:1" x14ac:dyDescent="0.25">
      <c r="A827323" s="242"/>
    </row>
    <row r="827324" spans="1:1" x14ac:dyDescent="0.25">
      <c r="A827324" s="242"/>
    </row>
    <row r="827325" spans="1:1" x14ac:dyDescent="0.25">
      <c r="A827325" s="242"/>
    </row>
    <row r="827326" spans="1:1" x14ac:dyDescent="0.25">
      <c r="A827326" s="242"/>
    </row>
    <row r="827327" spans="1:1" x14ac:dyDescent="0.25">
      <c r="A827327" s="242"/>
    </row>
    <row r="827328" spans="1:1" x14ac:dyDescent="0.25">
      <c r="A827328" s="242"/>
    </row>
    <row r="827329" spans="1:1" x14ac:dyDescent="0.25">
      <c r="A827329" s="242"/>
    </row>
    <row r="827330" spans="1:1" x14ac:dyDescent="0.25">
      <c r="A827330" s="242"/>
    </row>
    <row r="827331" spans="1:1" x14ac:dyDescent="0.25">
      <c r="A827331" s="242"/>
    </row>
    <row r="827332" spans="1:1" x14ac:dyDescent="0.25">
      <c r="A827332" s="242"/>
    </row>
    <row r="827333" spans="1:1" x14ac:dyDescent="0.25">
      <c r="A827333" s="242"/>
    </row>
    <row r="827334" spans="1:1" x14ac:dyDescent="0.25">
      <c r="A827334" s="242"/>
    </row>
    <row r="827335" spans="1:1" x14ac:dyDescent="0.25">
      <c r="A827335" s="242"/>
    </row>
    <row r="827336" spans="1:1" x14ac:dyDescent="0.25">
      <c r="A827336" s="242"/>
    </row>
    <row r="827337" spans="1:1" x14ac:dyDescent="0.25">
      <c r="A827337" s="242"/>
    </row>
    <row r="827338" spans="1:1" x14ac:dyDescent="0.25">
      <c r="A827338" s="242"/>
    </row>
    <row r="827339" spans="1:1" x14ac:dyDescent="0.25">
      <c r="A827339" s="242"/>
    </row>
    <row r="827340" spans="1:1" x14ac:dyDescent="0.25">
      <c r="A827340" s="242"/>
    </row>
    <row r="827341" spans="1:1" x14ac:dyDescent="0.25">
      <c r="A827341" s="242"/>
    </row>
    <row r="827342" spans="1:1" x14ac:dyDescent="0.25">
      <c r="A827342" s="242"/>
    </row>
    <row r="827343" spans="1:1" x14ac:dyDescent="0.25">
      <c r="A827343" s="242"/>
    </row>
    <row r="827344" spans="1:1" x14ac:dyDescent="0.25">
      <c r="A827344" s="242"/>
    </row>
    <row r="827345" spans="1:1" x14ac:dyDescent="0.25">
      <c r="A827345" s="242"/>
    </row>
    <row r="827346" spans="1:1" x14ac:dyDescent="0.25">
      <c r="A827346" s="242"/>
    </row>
    <row r="827347" spans="1:1" x14ac:dyDescent="0.25">
      <c r="A827347" s="242"/>
    </row>
    <row r="827348" spans="1:1" x14ac:dyDescent="0.25">
      <c r="A827348" s="242"/>
    </row>
    <row r="827349" spans="1:1" x14ac:dyDescent="0.25">
      <c r="A827349" s="242"/>
    </row>
    <row r="827350" spans="1:1" x14ac:dyDescent="0.25">
      <c r="A827350" s="242"/>
    </row>
    <row r="827351" spans="1:1" x14ac:dyDescent="0.25">
      <c r="A827351" s="242"/>
    </row>
    <row r="827352" spans="1:1" x14ac:dyDescent="0.25">
      <c r="A827352" s="242"/>
    </row>
    <row r="827353" spans="1:1" x14ac:dyDescent="0.25">
      <c r="A827353" s="242"/>
    </row>
    <row r="827354" spans="1:1" x14ac:dyDescent="0.25">
      <c r="A827354" s="242"/>
    </row>
    <row r="827355" spans="1:1" x14ac:dyDescent="0.25">
      <c r="A827355" s="242"/>
    </row>
    <row r="827356" spans="1:1" x14ac:dyDescent="0.25">
      <c r="A827356" s="242"/>
    </row>
    <row r="827357" spans="1:1" x14ac:dyDescent="0.25">
      <c r="A827357" s="242"/>
    </row>
    <row r="827358" spans="1:1" x14ac:dyDescent="0.25">
      <c r="A827358" s="242"/>
    </row>
    <row r="827359" spans="1:1" x14ac:dyDescent="0.25">
      <c r="A827359" s="242"/>
    </row>
    <row r="827360" spans="1:1" x14ac:dyDescent="0.25">
      <c r="A827360" s="242"/>
    </row>
    <row r="827361" spans="1:1" x14ac:dyDescent="0.25">
      <c r="A827361" s="242"/>
    </row>
    <row r="827362" spans="1:1" x14ac:dyDescent="0.25">
      <c r="A827362" s="242"/>
    </row>
    <row r="827363" spans="1:1" x14ac:dyDescent="0.25">
      <c r="A827363" s="242"/>
    </row>
    <row r="827364" spans="1:1" x14ac:dyDescent="0.25">
      <c r="A827364" s="242"/>
    </row>
    <row r="827365" spans="1:1" x14ac:dyDescent="0.25">
      <c r="A827365" s="242"/>
    </row>
    <row r="827366" spans="1:1" x14ac:dyDescent="0.25">
      <c r="A827366" s="242"/>
    </row>
    <row r="827367" spans="1:1" x14ac:dyDescent="0.25">
      <c r="A827367" s="242"/>
    </row>
    <row r="827368" spans="1:1" x14ac:dyDescent="0.25">
      <c r="A827368" s="242"/>
    </row>
    <row r="827369" spans="1:1" x14ac:dyDescent="0.25">
      <c r="A827369" s="242"/>
    </row>
    <row r="827370" spans="1:1" x14ac:dyDescent="0.25">
      <c r="A827370" s="242"/>
    </row>
    <row r="827371" spans="1:1" x14ac:dyDescent="0.25">
      <c r="A827371" s="242"/>
    </row>
    <row r="827372" spans="1:1" x14ac:dyDescent="0.25">
      <c r="A827372" s="242"/>
    </row>
    <row r="827373" spans="1:1" x14ac:dyDescent="0.25">
      <c r="A827373" s="242"/>
    </row>
    <row r="827374" spans="1:1" x14ac:dyDescent="0.25">
      <c r="A827374" s="242"/>
    </row>
    <row r="827375" spans="1:1" x14ac:dyDescent="0.25">
      <c r="A827375" s="242"/>
    </row>
    <row r="827376" spans="1:1" x14ac:dyDescent="0.25">
      <c r="A827376" s="242"/>
    </row>
    <row r="827377" spans="1:1" x14ac:dyDescent="0.25">
      <c r="A827377" s="242"/>
    </row>
    <row r="827378" spans="1:1" x14ac:dyDescent="0.25">
      <c r="A827378" s="242"/>
    </row>
    <row r="827379" spans="1:1" x14ac:dyDescent="0.25">
      <c r="A827379" s="242"/>
    </row>
    <row r="827380" spans="1:1" x14ac:dyDescent="0.25">
      <c r="A827380" s="242"/>
    </row>
    <row r="827381" spans="1:1" x14ac:dyDescent="0.25">
      <c r="A827381" s="242"/>
    </row>
    <row r="827382" spans="1:1" x14ac:dyDescent="0.25">
      <c r="A827382" s="242"/>
    </row>
    <row r="827383" spans="1:1" x14ac:dyDescent="0.25">
      <c r="A827383" s="242"/>
    </row>
    <row r="827384" spans="1:1" x14ac:dyDescent="0.25">
      <c r="A827384" s="242"/>
    </row>
    <row r="827385" spans="1:1" x14ac:dyDescent="0.25">
      <c r="A827385" s="242"/>
    </row>
    <row r="827386" spans="1:1" x14ac:dyDescent="0.25">
      <c r="A827386" s="242"/>
    </row>
    <row r="827387" spans="1:1" x14ac:dyDescent="0.25">
      <c r="A827387" s="242"/>
    </row>
    <row r="827388" spans="1:1" x14ac:dyDescent="0.25">
      <c r="A827388" s="242"/>
    </row>
    <row r="827389" spans="1:1" x14ac:dyDescent="0.25">
      <c r="A827389" s="242"/>
    </row>
    <row r="827390" spans="1:1" x14ac:dyDescent="0.25">
      <c r="A827390" s="242"/>
    </row>
    <row r="827391" spans="1:1" x14ac:dyDescent="0.25">
      <c r="A827391" s="242"/>
    </row>
    <row r="827392" spans="1:1" x14ac:dyDescent="0.25">
      <c r="A827392" s="242"/>
    </row>
    <row r="827393" spans="1:1" x14ac:dyDescent="0.25">
      <c r="A827393" s="242"/>
    </row>
    <row r="827394" spans="1:1" x14ac:dyDescent="0.25">
      <c r="A827394" s="242"/>
    </row>
    <row r="827395" spans="1:1" x14ac:dyDescent="0.25">
      <c r="A827395" s="242"/>
    </row>
    <row r="827396" spans="1:1" x14ac:dyDescent="0.25">
      <c r="A827396" s="242"/>
    </row>
    <row r="827397" spans="1:1" x14ac:dyDescent="0.25">
      <c r="A827397" s="242"/>
    </row>
    <row r="827398" spans="1:1" x14ac:dyDescent="0.25">
      <c r="A827398" s="242"/>
    </row>
    <row r="827399" spans="1:1" x14ac:dyDescent="0.25">
      <c r="A827399" s="242"/>
    </row>
    <row r="827400" spans="1:1" x14ac:dyDescent="0.25">
      <c r="A827400" s="242"/>
    </row>
    <row r="827401" spans="1:1" x14ac:dyDescent="0.25">
      <c r="A827401" s="242"/>
    </row>
    <row r="827402" spans="1:1" x14ac:dyDescent="0.25">
      <c r="A827402" s="242"/>
    </row>
    <row r="827403" spans="1:1" x14ac:dyDescent="0.25">
      <c r="A827403" s="242"/>
    </row>
    <row r="827404" spans="1:1" x14ac:dyDescent="0.25">
      <c r="A827404" s="242"/>
    </row>
    <row r="827405" spans="1:1" x14ac:dyDescent="0.25">
      <c r="A827405" s="242"/>
    </row>
    <row r="827406" spans="1:1" x14ac:dyDescent="0.25">
      <c r="A827406" s="242"/>
    </row>
    <row r="827407" spans="1:1" x14ac:dyDescent="0.25">
      <c r="A827407" s="242"/>
    </row>
    <row r="827408" spans="1:1" x14ac:dyDescent="0.25">
      <c r="A827408" s="242"/>
    </row>
    <row r="827409" spans="1:1" x14ac:dyDescent="0.25">
      <c r="A827409" s="242"/>
    </row>
    <row r="827410" spans="1:1" x14ac:dyDescent="0.25">
      <c r="A827410" s="242"/>
    </row>
    <row r="827411" spans="1:1" x14ac:dyDescent="0.25">
      <c r="A827411" s="242"/>
    </row>
    <row r="827412" spans="1:1" x14ac:dyDescent="0.25">
      <c r="A827412" s="242"/>
    </row>
    <row r="827413" spans="1:1" x14ac:dyDescent="0.25">
      <c r="A827413" s="242"/>
    </row>
    <row r="827414" spans="1:1" x14ac:dyDescent="0.25">
      <c r="A827414" s="242"/>
    </row>
    <row r="827415" spans="1:1" x14ac:dyDescent="0.25">
      <c r="A827415" s="242"/>
    </row>
    <row r="827416" spans="1:1" x14ac:dyDescent="0.25">
      <c r="A827416" s="242"/>
    </row>
    <row r="827417" spans="1:1" x14ac:dyDescent="0.25">
      <c r="A827417" s="242"/>
    </row>
    <row r="827418" spans="1:1" x14ac:dyDescent="0.25">
      <c r="A827418" s="242"/>
    </row>
    <row r="827419" spans="1:1" x14ac:dyDescent="0.25">
      <c r="A827419" s="242"/>
    </row>
    <row r="827420" spans="1:1" x14ac:dyDescent="0.25">
      <c r="A827420" s="242"/>
    </row>
    <row r="827421" spans="1:1" x14ac:dyDescent="0.25">
      <c r="A827421" s="242"/>
    </row>
    <row r="827422" spans="1:1" x14ac:dyDescent="0.25">
      <c r="A827422" s="242"/>
    </row>
    <row r="827423" spans="1:1" x14ac:dyDescent="0.25">
      <c r="A827423" s="242"/>
    </row>
    <row r="827424" spans="1:1" x14ac:dyDescent="0.25">
      <c r="A827424" s="242"/>
    </row>
    <row r="827425" spans="1:1" x14ac:dyDescent="0.25">
      <c r="A827425" s="242"/>
    </row>
    <row r="827426" spans="1:1" x14ac:dyDescent="0.25">
      <c r="A827426" s="242"/>
    </row>
    <row r="827427" spans="1:1" x14ac:dyDescent="0.25">
      <c r="A827427" s="242"/>
    </row>
    <row r="827428" spans="1:1" x14ac:dyDescent="0.25">
      <c r="A827428" s="242"/>
    </row>
    <row r="827429" spans="1:1" x14ac:dyDescent="0.25">
      <c r="A827429" s="242"/>
    </row>
    <row r="827430" spans="1:1" x14ac:dyDescent="0.25">
      <c r="A827430" s="242"/>
    </row>
    <row r="827431" spans="1:1" x14ac:dyDescent="0.25">
      <c r="A827431" s="242"/>
    </row>
    <row r="827432" spans="1:1" x14ac:dyDescent="0.25">
      <c r="A827432" s="242"/>
    </row>
    <row r="827433" spans="1:1" x14ac:dyDescent="0.25">
      <c r="A827433" s="242"/>
    </row>
    <row r="827434" spans="1:1" x14ac:dyDescent="0.25">
      <c r="A827434" s="242"/>
    </row>
    <row r="827435" spans="1:1" x14ac:dyDescent="0.25">
      <c r="A827435" s="242"/>
    </row>
    <row r="827436" spans="1:1" x14ac:dyDescent="0.25">
      <c r="A827436" s="242"/>
    </row>
    <row r="827437" spans="1:1" x14ac:dyDescent="0.25">
      <c r="A827437" s="242"/>
    </row>
    <row r="827438" spans="1:1" x14ac:dyDescent="0.25">
      <c r="A827438" s="242"/>
    </row>
    <row r="827439" spans="1:1" x14ac:dyDescent="0.25">
      <c r="A827439" s="242"/>
    </row>
    <row r="827440" spans="1:1" x14ac:dyDescent="0.25">
      <c r="A827440" s="242"/>
    </row>
    <row r="827441" spans="1:1" x14ac:dyDescent="0.25">
      <c r="A827441" s="242"/>
    </row>
    <row r="827442" spans="1:1" x14ac:dyDescent="0.25">
      <c r="A827442" s="242"/>
    </row>
    <row r="827443" spans="1:1" x14ac:dyDescent="0.25">
      <c r="A827443" s="242"/>
    </row>
    <row r="827444" spans="1:1" x14ac:dyDescent="0.25">
      <c r="A827444" s="242"/>
    </row>
    <row r="827445" spans="1:1" x14ac:dyDescent="0.25">
      <c r="A827445" s="242"/>
    </row>
    <row r="827446" spans="1:1" x14ac:dyDescent="0.25">
      <c r="A827446" s="242"/>
    </row>
    <row r="827447" spans="1:1" x14ac:dyDescent="0.25">
      <c r="A827447" s="242"/>
    </row>
    <row r="827448" spans="1:1" x14ac:dyDescent="0.25">
      <c r="A827448" s="242"/>
    </row>
    <row r="827449" spans="1:1" x14ac:dyDescent="0.25">
      <c r="A827449" s="242"/>
    </row>
    <row r="827450" spans="1:1" x14ac:dyDescent="0.25">
      <c r="A827450" s="242"/>
    </row>
    <row r="827451" spans="1:1" x14ac:dyDescent="0.25">
      <c r="A827451" s="242"/>
    </row>
    <row r="827452" spans="1:1" x14ac:dyDescent="0.25">
      <c r="A827452" s="242"/>
    </row>
    <row r="827453" spans="1:1" x14ac:dyDescent="0.25">
      <c r="A827453" s="242"/>
    </row>
    <row r="827454" spans="1:1" x14ac:dyDescent="0.25">
      <c r="A827454" s="242"/>
    </row>
    <row r="827455" spans="1:1" x14ac:dyDescent="0.25">
      <c r="A827455" s="242"/>
    </row>
    <row r="827456" spans="1:1" x14ac:dyDescent="0.25">
      <c r="A827456" s="242"/>
    </row>
    <row r="827457" spans="1:1" x14ac:dyDescent="0.25">
      <c r="A827457" s="242"/>
    </row>
    <row r="827458" spans="1:1" x14ac:dyDescent="0.25">
      <c r="A827458" s="242"/>
    </row>
    <row r="827459" spans="1:1" x14ac:dyDescent="0.25">
      <c r="A827459" s="242"/>
    </row>
    <row r="827460" spans="1:1" x14ac:dyDescent="0.25">
      <c r="A827460" s="242"/>
    </row>
    <row r="827461" spans="1:1" x14ac:dyDescent="0.25">
      <c r="A827461" s="242"/>
    </row>
    <row r="827462" spans="1:1" x14ac:dyDescent="0.25">
      <c r="A827462" s="242"/>
    </row>
    <row r="827463" spans="1:1" x14ac:dyDescent="0.25">
      <c r="A827463" s="242"/>
    </row>
    <row r="827464" spans="1:1" x14ac:dyDescent="0.25">
      <c r="A827464" s="242"/>
    </row>
    <row r="827465" spans="1:1" x14ac:dyDescent="0.25">
      <c r="A827465" s="242"/>
    </row>
    <row r="827466" spans="1:1" x14ac:dyDescent="0.25">
      <c r="A827466" s="242"/>
    </row>
    <row r="827467" spans="1:1" x14ac:dyDescent="0.25">
      <c r="A827467" s="242"/>
    </row>
    <row r="827468" spans="1:1" x14ac:dyDescent="0.25">
      <c r="A827468" s="242"/>
    </row>
    <row r="827469" spans="1:1" x14ac:dyDescent="0.25">
      <c r="A827469" s="242"/>
    </row>
    <row r="827470" spans="1:1" x14ac:dyDescent="0.25">
      <c r="A827470" s="242"/>
    </row>
    <row r="827471" spans="1:1" x14ac:dyDescent="0.25">
      <c r="A827471" s="242"/>
    </row>
    <row r="827472" spans="1:1" x14ac:dyDescent="0.25">
      <c r="A827472" s="242"/>
    </row>
    <row r="827473" spans="1:1" x14ac:dyDescent="0.25">
      <c r="A827473" s="242"/>
    </row>
    <row r="827474" spans="1:1" x14ac:dyDescent="0.25">
      <c r="A827474" s="242"/>
    </row>
    <row r="827475" spans="1:1" x14ac:dyDescent="0.25">
      <c r="A827475" s="242"/>
    </row>
    <row r="827476" spans="1:1" x14ac:dyDescent="0.25">
      <c r="A827476" s="242"/>
    </row>
    <row r="827477" spans="1:1" x14ac:dyDescent="0.25">
      <c r="A827477" s="242"/>
    </row>
    <row r="827478" spans="1:1" x14ac:dyDescent="0.25">
      <c r="A827478" s="242"/>
    </row>
    <row r="827479" spans="1:1" x14ac:dyDescent="0.25">
      <c r="A827479" s="242"/>
    </row>
    <row r="827480" spans="1:1" x14ac:dyDescent="0.25">
      <c r="A827480" s="242"/>
    </row>
    <row r="827481" spans="1:1" x14ac:dyDescent="0.25">
      <c r="A827481" s="242"/>
    </row>
    <row r="827482" spans="1:1" x14ac:dyDescent="0.25">
      <c r="A827482" s="242"/>
    </row>
    <row r="827483" spans="1:1" x14ac:dyDescent="0.25">
      <c r="A827483" s="242"/>
    </row>
    <row r="827484" spans="1:1" x14ac:dyDescent="0.25">
      <c r="A827484" s="242"/>
    </row>
    <row r="827485" spans="1:1" x14ac:dyDescent="0.25">
      <c r="A827485" s="242"/>
    </row>
    <row r="827486" spans="1:1" x14ac:dyDescent="0.25">
      <c r="A827486" s="242"/>
    </row>
    <row r="827487" spans="1:1" x14ac:dyDescent="0.25">
      <c r="A827487" s="242"/>
    </row>
    <row r="827488" spans="1:1" x14ac:dyDescent="0.25">
      <c r="A827488" s="242"/>
    </row>
    <row r="827489" spans="1:1" x14ac:dyDescent="0.25">
      <c r="A827489" s="242"/>
    </row>
    <row r="827490" spans="1:1" x14ac:dyDescent="0.25">
      <c r="A827490" s="242"/>
    </row>
    <row r="827491" spans="1:1" x14ac:dyDescent="0.25">
      <c r="A827491" s="242"/>
    </row>
    <row r="827492" spans="1:1" x14ac:dyDescent="0.25">
      <c r="A827492" s="242"/>
    </row>
    <row r="827493" spans="1:1" x14ac:dyDescent="0.25">
      <c r="A827493" s="242"/>
    </row>
    <row r="827494" spans="1:1" x14ac:dyDescent="0.25">
      <c r="A827494" s="242"/>
    </row>
    <row r="827495" spans="1:1" x14ac:dyDescent="0.25">
      <c r="A827495" s="242"/>
    </row>
    <row r="827496" spans="1:1" x14ac:dyDescent="0.25">
      <c r="A827496" s="242"/>
    </row>
    <row r="827497" spans="1:1" x14ac:dyDescent="0.25">
      <c r="A827497" s="242"/>
    </row>
    <row r="827498" spans="1:1" x14ac:dyDescent="0.25">
      <c r="A827498" s="242"/>
    </row>
    <row r="827499" spans="1:1" x14ac:dyDescent="0.25">
      <c r="A827499" s="242"/>
    </row>
    <row r="827500" spans="1:1" x14ac:dyDescent="0.25">
      <c r="A827500" s="242"/>
    </row>
    <row r="827501" spans="1:1" x14ac:dyDescent="0.25">
      <c r="A827501" s="242"/>
    </row>
    <row r="827502" spans="1:1" x14ac:dyDescent="0.25">
      <c r="A827502" s="242"/>
    </row>
    <row r="827503" spans="1:1" x14ac:dyDescent="0.25">
      <c r="A827503" s="242"/>
    </row>
    <row r="827504" spans="1:1" x14ac:dyDescent="0.25">
      <c r="A827504" s="242"/>
    </row>
    <row r="827505" spans="1:1" x14ac:dyDescent="0.25">
      <c r="A827505" s="242"/>
    </row>
    <row r="827506" spans="1:1" x14ac:dyDescent="0.25">
      <c r="A827506" s="242"/>
    </row>
    <row r="827507" spans="1:1" x14ac:dyDescent="0.25">
      <c r="A827507" s="242"/>
    </row>
    <row r="827508" spans="1:1" x14ac:dyDescent="0.25">
      <c r="A827508" s="242"/>
    </row>
    <row r="827509" spans="1:1" x14ac:dyDescent="0.25">
      <c r="A827509" s="242"/>
    </row>
    <row r="827510" spans="1:1" x14ac:dyDescent="0.25">
      <c r="A827510" s="242"/>
    </row>
    <row r="827511" spans="1:1" x14ac:dyDescent="0.25">
      <c r="A827511" s="242"/>
    </row>
    <row r="827512" spans="1:1" x14ac:dyDescent="0.25">
      <c r="A827512" s="242"/>
    </row>
    <row r="827513" spans="1:1" x14ac:dyDescent="0.25">
      <c r="A827513" s="242"/>
    </row>
    <row r="827514" spans="1:1" x14ac:dyDescent="0.25">
      <c r="A827514" s="242"/>
    </row>
    <row r="827515" spans="1:1" x14ac:dyDescent="0.25">
      <c r="A827515" s="242"/>
    </row>
    <row r="827516" spans="1:1" x14ac:dyDescent="0.25">
      <c r="A827516" s="242"/>
    </row>
    <row r="827517" spans="1:1" x14ac:dyDescent="0.25">
      <c r="A827517" s="242"/>
    </row>
    <row r="827518" spans="1:1" x14ac:dyDescent="0.25">
      <c r="A827518" s="242"/>
    </row>
    <row r="827519" spans="1:1" x14ac:dyDescent="0.25">
      <c r="A827519" s="242"/>
    </row>
    <row r="827520" spans="1:1" x14ac:dyDescent="0.25">
      <c r="A827520" s="242"/>
    </row>
    <row r="827521" spans="1:1" x14ac:dyDescent="0.25">
      <c r="A827521" s="242"/>
    </row>
    <row r="827522" spans="1:1" x14ac:dyDescent="0.25">
      <c r="A827522" s="242"/>
    </row>
    <row r="827523" spans="1:1" x14ac:dyDescent="0.25">
      <c r="A827523" s="242"/>
    </row>
    <row r="827524" spans="1:1" x14ac:dyDescent="0.25">
      <c r="A827524" s="242"/>
    </row>
    <row r="827525" spans="1:1" x14ac:dyDescent="0.25">
      <c r="A827525" s="242"/>
    </row>
    <row r="827526" spans="1:1" x14ac:dyDescent="0.25">
      <c r="A827526" s="242"/>
    </row>
    <row r="827527" spans="1:1" x14ac:dyDescent="0.25">
      <c r="A827527" s="242"/>
    </row>
    <row r="827528" spans="1:1" x14ac:dyDescent="0.25">
      <c r="A827528" s="242"/>
    </row>
    <row r="827529" spans="1:1" x14ac:dyDescent="0.25">
      <c r="A827529" s="242"/>
    </row>
    <row r="827530" spans="1:1" x14ac:dyDescent="0.25">
      <c r="A827530" s="242"/>
    </row>
    <row r="827531" spans="1:1" x14ac:dyDescent="0.25">
      <c r="A827531" s="242"/>
    </row>
    <row r="827532" spans="1:1" x14ac:dyDescent="0.25">
      <c r="A827532" s="242"/>
    </row>
    <row r="827533" spans="1:1" x14ac:dyDescent="0.25">
      <c r="A827533" s="242"/>
    </row>
    <row r="827534" spans="1:1" x14ac:dyDescent="0.25">
      <c r="A827534" s="242"/>
    </row>
    <row r="827535" spans="1:1" x14ac:dyDescent="0.25">
      <c r="A827535" s="242"/>
    </row>
    <row r="827536" spans="1:1" x14ac:dyDescent="0.25">
      <c r="A827536" s="242"/>
    </row>
    <row r="827537" spans="1:1" x14ac:dyDescent="0.25">
      <c r="A827537" s="242"/>
    </row>
    <row r="827538" spans="1:1" x14ac:dyDescent="0.25">
      <c r="A827538" s="242"/>
    </row>
    <row r="827539" spans="1:1" x14ac:dyDescent="0.25">
      <c r="A827539" s="242"/>
    </row>
    <row r="827540" spans="1:1" x14ac:dyDescent="0.25">
      <c r="A827540" s="242"/>
    </row>
    <row r="827541" spans="1:1" x14ac:dyDescent="0.25">
      <c r="A827541" s="242"/>
    </row>
    <row r="827542" spans="1:1" x14ac:dyDescent="0.25">
      <c r="A827542" s="242"/>
    </row>
    <row r="827543" spans="1:1" x14ac:dyDescent="0.25">
      <c r="A827543" s="242"/>
    </row>
    <row r="827544" spans="1:1" x14ac:dyDescent="0.25">
      <c r="A827544" s="242"/>
    </row>
    <row r="827545" spans="1:1" x14ac:dyDescent="0.25">
      <c r="A827545" s="242"/>
    </row>
    <row r="827546" spans="1:1" x14ac:dyDescent="0.25">
      <c r="A827546" s="242"/>
    </row>
    <row r="827547" spans="1:1" x14ac:dyDescent="0.25">
      <c r="A827547" s="242"/>
    </row>
    <row r="827548" spans="1:1" x14ac:dyDescent="0.25">
      <c r="A827548" s="242"/>
    </row>
    <row r="827549" spans="1:1" x14ac:dyDescent="0.25">
      <c r="A827549" s="242"/>
    </row>
    <row r="827550" spans="1:1" x14ac:dyDescent="0.25">
      <c r="A827550" s="242"/>
    </row>
    <row r="827551" spans="1:1" x14ac:dyDescent="0.25">
      <c r="A827551" s="242"/>
    </row>
    <row r="827552" spans="1:1" x14ac:dyDescent="0.25">
      <c r="A827552" s="242"/>
    </row>
    <row r="827553" spans="1:1" x14ac:dyDescent="0.25">
      <c r="A827553" s="242"/>
    </row>
    <row r="827554" spans="1:1" x14ac:dyDescent="0.25">
      <c r="A827554" s="242"/>
    </row>
    <row r="827555" spans="1:1" x14ac:dyDescent="0.25">
      <c r="A827555" s="242"/>
    </row>
    <row r="827556" spans="1:1" x14ac:dyDescent="0.25">
      <c r="A827556" s="242"/>
    </row>
    <row r="827557" spans="1:1" x14ac:dyDescent="0.25">
      <c r="A827557" s="242"/>
    </row>
    <row r="827558" spans="1:1" x14ac:dyDescent="0.25">
      <c r="A827558" s="242"/>
    </row>
    <row r="827559" spans="1:1" x14ac:dyDescent="0.25">
      <c r="A827559" s="242"/>
    </row>
    <row r="827560" spans="1:1" x14ac:dyDescent="0.25">
      <c r="A827560" s="242"/>
    </row>
    <row r="827561" spans="1:1" x14ac:dyDescent="0.25">
      <c r="A827561" s="242"/>
    </row>
    <row r="827562" spans="1:1" x14ac:dyDescent="0.25">
      <c r="A827562" s="242"/>
    </row>
    <row r="827563" spans="1:1" x14ac:dyDescent="0.25">
      <c r="A827563" s="242"/>
    </row>
    <row r="827564" spans="1:1" x14ac:dyDescent="0.25">
      <c r="A827564" s="242"/>
    </row>
    <row r="827565" spans="1:1" x14ac:dyDescent="0.25">
      <c r="A827565" s="242"/>
    </row>
    <row r="827566" spans="1:1" x14ac:dyDescent="0.25">
      <c r="A827566" s="242"/>
    </row>
    <row r="827567" spans="1:1" x14ac:dyDescent="0.25">
      <c r="A827567" s="242"/>
    </row>
    <row r="827568" spans="1:1" x14ac:dyDescent="0.25">
      <c r="A827568" s="242"/>
    </row>
    <row r="827569" spans="1:1" x14ac:dyDescent="0.25">
      <c r="A827569" s="242"/>
    </row>
    <row r="827570" spans="1:1" x14ac:dyDescent="0.25">
      <c r="A827570" s="242"/>
    </row>
    <row r="827571" spans="1:1" x14ac:dyDescent="0.25">
      <c r="A827571" s="242"/>
    </row>
    <row r="827572" spans="1:1" x14ac:dyDescent="0.25">
      <c r="A827572" s="242"/>
    </row>
    <row r="827573" spans="1:1" x14ac:dyDescent="0.25">
      <c r="A827573" s="242"/>
    </row>
    <row r="827574" spans="1:1" x14ac:dyDescent="0.25">
      <c r="A827574" s="242"/>
    </row>
    <row r="827575" spans="1:1" x14ac:dyDescent="0.25">
      <c r="A827575" s="242"/>
    </row>
    <row r="827576" spans="1:1" x14ac:dyDescent="0.25">
      <c r="A827576" s="242"/>
    </row>
    <row r="827577" spans="1:1" x14ac:dyDescent="0.25">
      <c r="A827577" s="242"/>
    </row>
    <row r="827578" spans="1:1" x14ac:dyDescent="0.25">
      <c r="A827578" s="242"/>
    </row>
    <row r="827579" spans="1:1" x14ac:dyDescent="0.25">
      <c r="A827579" s="242"/>
    </row>
    <row r="827580" spans="1:1" x14ac:dyDescent="0.25">
      <c r="A827580" s="242"/>
    </row>
    <row r="827581" spans="1:1" x14ac:dyDescent="0.25">
      <c r="A827581" s="242"/>
    </row>
    <row r="827582" spans="1:1" x14ac:dyDescent="0.25">
      <c r="A827582" s="242"/>
    </row>
    <row r="827583" spans="1:1" x14ac:dyDescent="0.25">
      <c r="A827583" s="242"/>
    </row>
    <row r="827584" spans="1:1" x14ac:dyDescent="0.25">
      <c r="A827584" s="242"/>
    </row>
    <row r="827585" spans="1:1" x14ac:dyDescent="0.25">
      <c r="A827585" s="242"/>
    </row>
    <row r="827586" spans="1:1" x14ac:dyDescent="0.25">
      <c r="A827586" s="242"/>
    </row>
    <row r="827587" spans="1:1" x14ac:dyDescent="0.25">
      <c r="A827587" s="242"/>
    </row>
    <row r="827588" spans="1:1" x14ac:dyDescent="0.25">
      <c r="A827588" s="242"/>
    </row>
    <row r="827589" spans="1:1" x14ac:dyDescent="0.25">
      <c r="A827589" s="242"/>
    </row>
    <row r="827590" spans="1:1" x14ac:dyDescent="0.25">
      <c r="A827590" s="242"/>
    </row>
    <row r="827591" spans="1:1" x14ac:dyDescent="0.25">
      <c r="A827591" s="242"/>
    </row>
    <row r="827592" spans="1:1" x14ac:dyDescent="0.25">
      <c r="A827592" s="242"/>
    </row>
    <row r="827593" spans="1:1" x14ac:dyDescent="0.25">
      <c r="A827593" s="242"/>
    </row>
    <row r="827594" spans="1:1" x14ac:dyDescent="0.25">
      <c r="A827594" s="242"/>
    </row>
    <row r="827595" spans="1:1" x14ac:dyDescent="0.25">
      <c r="A827595" s="242"/>
    </row>
    <row r="827596" spans="1:1" x14ac:dyDescent="0.25">
      <c r="A827596" s="242"/>
    </row>
    <row r="827597" spans="1:1" x14ac:dyDescent="0.25">
      <c r="A827597" s="242"/>
    </row>
    <row r="827598" spans="1:1" x14ac:dyDescent="0.25">
      <c r="A827598" s="242"/>
    </row>
    <row r="827599" spans="1:1" x14ac:dyDescent="0.25">
      <c r="A827599" s="242"/>
    </row>
    <row r="827600" spans="1:1" x14ac:dyDescent="0.25">
      <c r="A827600" s="242"/>
    </row>
    <row r="827601" spans="1:1" x14ac:dyDescent="0.25">
      <c r="A827601" s="242"/>
    </row>
    <row r="827602" spans="1:1" x14ac:dyDescent="0.25">
      <c r="A827602" s="242"/>
    </row>
    <row r="827603" spans="1:1" x14ac:dyDescent="0.25">
      <c r="A827603" s="242"/>
    </row>
    <row r="827604" spans="1:1" x14ac:dyDescent="0.25">
      <c r="A827604" s="242"/>
    </row>
    <row r="827605" spans="1:1" x14ac:dyDescent="0.25">
      <c r="A827605" s="242"/>
    </row>
    <row r="827606" spans="1:1" x14ac:dyDescent="0.25">
      <c r="A827606" s="242"/>
    </row>
    <row r="827607" spans="1:1" x14ac:dyDescent="0.25">
      <c r="A827607" s="242"/>
    </row>
    <row r="827608" spans="1:1" x14ac:dyDescent="0.25">
      <c r="A827608" s="242"/>
    </row>
    <row r="827609" spans="1:1" x14ac:dyDescent="0.25">
      <c r="A827609" s="242"/>
    </row>
    <row r="827610" spans="1:1" x14ac:dyDescent="0.25">
      <c r="A827610" s="242"/>
    </row>
    <row r="827611" spans="1:1" x14ac:dyDescent="0.25">
      <c r="A827611" s="242"/>
    </row>
    <row r="827612" spans="1:1" x14ac:dyDescent="0.25">
      <c r="A827612" s="242"/>
    </row>
    <row r="827613" spans="1:1" x14ac:dyDescent="0.25">
      <c r="A827613" s="242"/>
    </row>
    <row r="827614" spans="1:1" x14ac:dyDescent="0.25">
      <c r="A827614" s="242"/>
    </row>
    <row r="827615" spans="1:1" x14ac:dyDescent="0.25">
      <c r="A827615" s="242"/>
    </row>
    <row r="827616" spans="1:1" x14ac:dyDescent="0.25">
      <c r="A827616" s="242"/>
    </row>
    <row r="827617" spans="1:1" x14ac:dyDescent="0.25">
      <c r="A827617" s="242"/>
    </row>
    <row r="827618" spans="1:1" x14ac:dyDescent="0.25">
      <c r="A827618" s="242"/>
    </row>
    <row r="827619" spans="1:1" x14ac:dyDescent="0.25">
      <c r="A827619" s="242"/>
    </row>
    <row r="827620" spans="1:1" x14ac:dyDescent="0.25">
      <c r="A827620" s="242"/>
    </row>
    <row r="827621" spans="1:1" x14ac:dyDescent="0.25">
      <c r="A827621" s="242"/>
    </row>
    <row r="827622" spans="1:1" x14ac:dyDescent="0.25">
      <c r="A827622" s="242"/>
    </row>
    <row r="827623" spans="1:1" x14ac:dyDescent="0.25">
      <c r="A827623" s="242"/>
    </row>
    <row r="827624" spans="1:1" x14ac:dyDescent="0.25">
      <c r="A827624" s="242"/>
    </row>
    <row r="827625" spans="1:1" x14ac:dyDescent="0.25">
      <c r="A827625" s="242"/>
    </row>
    <row r="827626" spans="1:1" x14ac:dyDescent="0.25">
      <c r="A827626" s="242"/>
    </row>
    <row r="827627" spans="1:1" x14ac:dyDescent="0.25">
      <c r="A827627" s="242"/>
    </row>
    <row r="827628" spans="1:1" x14ac:dyDescent="0.25">
      <c r="A827628" s="242"/>
    </row>
    <row r="827629" spans="1:1" x14ac:dyDescent="0.25">
      <c r="A827629" s="242"/>
    </row>
    <row r="827630" spans="1:1" x14ac:dyDescent="0.25">
      <c r="A827630" s="242"/>
    </row>
    <row r="827631" spans="1:1" x14ac:dyDescent="0.25">
      <c r="A827631" s="242"/>
    </row>
    <row r="827632" spans="1:1" x14ac:dyDescent="0.25">
      <c r="A827632" s="242"/>
    </row>
    <row r="827633" spans="1:1" x14ac:dyDescent="0.25">
      <c r="A827633" s="242"/>
    </row>
    <row r="827634" spans="1:1" x14ac:dyDescent="0.25">
      <c r="A827634" s="242"/>
    </row>
    <row r="827635" spans="1:1" x14ac:dyDescent="0.25">
      <c r="A827635" s="242"/>
    </row>
    <row r="827636" spans="1:1" x14ac:dyDescent="0.25">
      <c r="A827636" s="242"/>
    </row>
    <row r="827637" spans="1:1" x14ac:dyDescent="0.25">
      <c r="A827637" s="242"/>
    </row>
    <row r="827638" spans="1:1" x14ac:dyDescent="0.25">
      <c r="A827638" s="242"/>
    </row>
    <row r="827639" spans="1:1" x14ac:dyDescent="0.25">
      <c r="A827639" s="242"/>
    </row>
    <row r="827640" spans="1:1" x14ac:dyDescent="0.25">
      <c r="A827640" s="242"/>
    </row>
    <row r="827641" spans="1:1" x14ac:dyDescent="0.25">
      <c r="A827641" s="242"/>
    </row>
    <row r="827642" spans="1:1" x14ac:dyDescent="0.25">
      <c r="A827642" s="242"/>
    </row>
    <row r="827643" spans="1:1" x14ac:dyDescent="0.25">
      <c r="A827643" s="242"/>
    </row>
    <row r="827644" spans="1:1" x14ac:dyDescent="0.25">
      <c r="A827644" s="242"/>
    </row>
    <row r="827645" spans="1:1" x14ac:dyDescent="0.25">
      <c r="A827645" s="242"/>
    </row>
    <row r="827646" spans="1:1" x14ac:dyDescent="0.25">
      <c r="A827646" s="242"/>
    </row>
    <row r="827647" spans="1:1" x14ac:dyDescent="0.25">
      <c r="A827647" s="242"/>
    </row>
    <row r="827648" spans="1:1" x14ac:dyDescent="0.25">
      <c r="A827648" s="242"/>
    </row>
    <row r="827649" spans="1:1" x14ac:dyDescent="0.25">
      <c r="A827649" s="242"/>
    </row>
    <row r="827650" spans="1:1" x14ac:dyDescent="0.25">
      <c r="A827650" s="242"/>
    </row>
    <row r="827651" spans="1:1" x14ac:dyDescent="0.25">
      <c r="A827651" s="242"/>
    </row>
    <row r="827652" spans="1:1" x14ac:dyDescent="0.25">
      <c r="A827652" s="242"/>
    </row>
    <row r="827653" spans="1:1" x14ac:dyDescent="0.25">
      <c r="A827653" s="242"/>
    </row>
    <row r="827654" spans="1:1" x14ac:dyDescent="0.25">
      <c r="A827654" s="242"/>
    </row>
    <row r="827655" spans="1:1" x14ac:dyDescent="0.25">
      <c r="A827655" s="242"/>
    </row>
    <row r="827656" spans="1:1" x14ac:dyDescent="0.25">
      <c r="A827656" s="242"/>
    </row>
    <row r="827657" spans="1:1" x14ac:dyDescent="0.25">
      <c r="A827657" s="242"/>
    </row>
    <row r="827658" spans="1:1" x14ac:dyDescent="0.25">
      <c r="A827658" s="242"/>
    </row>
    <row r="827659" spans="1:1" x14ac:dyDescent="0.25">
      <c r="A827659" s="242"/>
    </row>
    <row r="827660" spans="1:1" x14ac:dyDescent="0.25">
      <c r="A827660" s="242"/>
    </row>
    <row r="827661" spans="1:1" x14ac:dyDescent="0.25">
      <c r="A827661" s="242"/>
    </row>
    <row r="827662" spans="1:1" x14ac:dyDescent="0.25">
      <c r="A827662" s="242"/>
    </row>
    <row r="827663" spans="1:1" x14ac:dyDescent="0.25">
      <c r="A827663" s="242"/>
    </row>
    <row r="827664" spans="1:1" x14ac:dyDescent="0.25">
      <c r="A827664" s="242"/>
    </row>
    <row r="827665" spans="1:1" x14ac:dyDescent="0.25">
      <c r="A827665" s="242"/>
    </row>
    <row r="827666" spans="1:1" x14ac:dyDescent="0.25">
      <c r="A827666" s="242"/>
    </row>
    <row r="827667" spans="1:1" x14ac:dyDescent="0.25">
      <c r="A827667" s="242"/>
    </row>
    <row r="827668" spans="1:1" x14ac:dyDescent="0.25">
      <c r="A827668" s="242"/>
    </row>
    <row r="827669" spans="1:1" x14ac:dyDescent="0.25">
      <c r="A827669" s="242"/>
    </row>
    <row r="827670" spans="1:1" x14ac:dyDescent="0.25">
      <c r="A827670" s="242"/>
    </row>
    <row r="827671" spans="1:1" x14ac:dyDescent="0.25">
      <c r="A827671" s="242"/>
    </row>
    <row r="827672" spans="1:1" x14ac:dyDescent="0.25">
      <c r="A827672" s="242"/>
    </row>
    <row r="827673" spans="1:1" x14ac:dyDescent="0.25">
      <c r="A827673" s="242"/>
    </row>
    <row r="827674" spans="1:1" x14ac:dyDescent="0.25">
      <c r="A827674" s="242"/>
    </row>
    <row r="827675" spans="1:1" x14ac:dyDescent="0.25">
      <c r="A827675" s="242"/>
    </row>
    <row r="827676" spans="1:1" x14ac:dyDescent="0.25">
      <c r="A827676" s="242"/>
    </row>
    <row r="827677" spans="1:1" x14ac:dyDescent="0.25">
      <c r="A827677" s="242"/>
    </row>
    <row r="827678" spans="1:1" x14ac:dyDescent="0.25">
      <c r="A827678" s="242"/>
    </row>
    <row r="827679" spans="1:1" x14ac:dyDescent="0.25">
      <c r="A827679" s="242"/>
    </row>
    <row r="827680" spans="1:1" x14ac:dyDescent="0.25">
      <c r="A827680" s="242"/>
    </row>
    <row r="827681" spans="1:1" x14ac:dyDescent="0.25">
      <c r="A827681" s="242"/>
    </row>
    <row r="827682" spans="1:1" x14ac:dyDescent="0.25">
      <c r="A827682" s="242"/>
    </row>
    <row r="827683" spans="1:1" x14ac:dyDescent="0.25">
      <c r="A827683" s="242"/>
    </row>
    <row r="827684" spans="1:1" x14ac:dyDescent="0.25">
      <c r="A827684" s="242"/>
    </row>
    <row r="827685" spans="1:1" x14ac:dyDescent="0.25">
      <c r="A827685" s="242"/>
    </row>
    <row r="827686" spans="1:1" x14ac:dyDescent="0.25">
      <c r="A827686" s="242"/>
    </row>
    <row r="827687" spans="1:1" x14ac:dyDescent="0.25">
      <c r="A827687" s="242"/>
    </row>
    <row r="827688" spans="1:1" x14ac:dyDescent="0.25">
      <c r="A827688" s="242"/>
    </row>
    <row r="827689" spans="1:1" x14ac:dyDescent="0.25">
      <c r="A827689" s="242"/>
    </row>
    <row r="827690" spans="1:1" x14ac:dyDescent="0.25">
      <c r="A827690" s="242"/>
    </row>
    <row r="827691" spans="1:1" x14ac:dyDescent="0.25">
      <c r="A827691" s="242"/>
    </row>
    <row r="827692" spans="1:1" x14ac:dyDescent="0.25">
      <c r="A827692" s="242"/>
    </row>
    <row r="827693" spans="1:1" x14ac:dyDescent="0.25">
      <c r="A827693" s="242"/>
    </row>
    <row r="827694" spans="1:1" x14ac:dyDescent="0.25">
      <c r="A827694" s="242"/>
    </row>
    <row r="827695" spans="1:1" x14ac:dyDescent="0.25">
      <c r="A827695" s="242"/>
    </row>
    <row r="827696" spans="1:1" x14ac:dyDescent="0.25">
      <c r="A827696" s="242"/>
    </row>
    <row r="827697" spans="1:1" x14ac:dyDescent="0.25">
      <c r="A827697" s="242"/>
    </row>
    <row r="827698" spans="1:1" x14ac:dyDescent="0.25">
      <c r="A827698" s="242"/>
    </row>
    <row r="827699" spans="1:1" x14ac:dyDescent="0.25">
      <c r="A827699" s="242"/>
    </row>
    <row r="827700" spans="1:1" x14ac:dyDescent="0.25">
      <c r="A827700" s="242"/>
    </row>
    <row r="827701" spans="1:1" x14ac:dyDescent="0.25">
      <c r="A827701" s="242"/>
    </row>
    <row r="827702" spans="1:1" x14ac:dyDescent="0.25">
      <c r="A827702" s="242"/>
    </row>
    <row r="827703" spans="1:1" x14ac:dyDescent="0.25">
      <c r="A827703" s="242"/>
    </row>
    <row r="827704" spans="1:1" x14ac:dyDescent="0.25">
      <c r="A827704" s="242"/>
    </row>
    <row r="827705" spans="1:1" x14ac:dyDescent="0.25">
      <c r="A827705" s="242"/>
    </row>
    <row r="827706" spans="1:1" x14ac:dyDescent="0.25">
      <c r="A827706" s="242"/>
    </row>
    <row r="827707" spans="1:1" x14ac:dyDescent="0.25">
      <c r="A827707" s="242"/>
    </row>
    <row r="827708" spans="1:1" x14ac:dyDescent="0.25">
      <c r="A827708" s="242"/>
    </row>
    <row r="827709" spans="1:1" x14ac:dyDescent="0.25">
      <c r="A827709" s="242"/>
    </row>
    <row r="827710" spans="1:1" x14ac:dyDescent="0.25">
      <c r="A827710" s="242"/>
    </row>
    <row r="827711" spans="1:1" x14ac:dyDescent="0.25">
      <c r="A827711" s="242"/>
    </row>
    <row r="827712" spans="1:1" x14ac:dyDescent="0.25">
      <c r="A827712" s="242"/>
    </row>
    <row r="827713" spans="1:1" x14ac:dyDescent="0.25">
      <c r="A827713" s="242"/>
    </row>
    <row r="827714" spans="1:1" x14ac:dyDescent="0.25">
      <c r="A827714" s="242"/>
    </row>
    <row r="827715" spans="1:1" x14ac:dyDescent="0.25">
      <c r="A827715" s="242"/>
    </row>
    <row r="827716" spans="1:1" x14ac:dyDescent="0.25">
      <c r="A827716" s="242"/>
    </row>
    <row r="827717" spans="1:1" x14ac:dyDescent="0.25">
      <c r="A827717" s="242"/>
    </row>
    <row r="827718" spans="1:1" x14ac:dyDescent="0.25">
      <c r="A827718" s="242"/>
    </row>
    <row r="827719" spans="1:1" x14ac:dyDescent="0.25">
      <c r="A827719" s="242"/>
    </row>
    <row r="827720" spans="1:1" x14ac:dyDescent="0.25">
      <c r="A827720" s="242"/>
    </row>
    <row r="827721" spans="1:1" x14ac:dyDescent="0.25">
      <c r="A827721" s="242"/>
    </row>
    <row r="827722" spans="1:1" x14ac:dyDescent="0.25">
      <c r="A827722" s="242"/>
    </row>
    <row r="827723" spans="1:1" x14ac:dyDescent="0.25">
      <c r="A827723" s="242"/>
    </row>
    <row r="827724" spans="1:1" x14ac:dyDescent="0.25">
      <c r="A827724" s="242"/>
    </row>
    <row r="827725" spans="1:1" x14ac:dyDescent="0.25">
      <c r="A827725" s="242"/>
    </row>
    <row r="827726" spans="1:1" x14ac:dyDescent="0.25">
      <c r="A827726" s="242"/>
    </row>
    <row r="827727" spans="1:1" x14ac:dyDescent="0.25">
      <c r="A827727" s="242"/>
    </row>
    <row r="827728" spans="1:1" x14ac:dyDescent="0.25">
      <c r="A827728" s="242"/>
    </row>
    <row r="827729" spans="1:1" x14ac:dyDescent="0.25">
      <c r="A827729" s="242"/>
    </row>
    <row r="827730" spans="1:1" x14ac:dyDescent="0.25">
      <c r="A827730" s="242"/>
    </row>
    <row r="827731" spans="1:1" x14ac:dyDescent="0.25">
      <c r="A827731" s="242"/>
    </row>
    <row r="827732" spans="1:1" x14ac:dyDescent="0.25">
      <c r="A827732" s="242"/>
    </row>
    <row r="827733" spans="1:1" x14ac:dyDescent="0.25">
      <c r="A827733" s="242"/>
    </row>
    <row r="827734" spans="1:1" x14ac:dyDescent="0.25">
      <c r="A827734" s="242"/>
    </row>
    <row r="827735" spans="1:1" x14ac:dyDescent="0.25">
      <c r="A827735" s="242"/>
    </row>
    <row r="827736" spans="1:1" x14ac:dyDescent="0.25">
      <c r="A827736" s="242"/>
    </row>
    <row r="827737" spans="1:1" x14ac:dyDescent="0.25">
      <c r="A827737" s="242"/>
    </row>
    <row r="827738" spans="1:1" x14ac:dyDescent="0.25">
      <c r="A827738" s="242"/>
    </row>
    <row r="827739" spans="1:1" x14ac:dyDescent="0.25">
      <c r="A827739" s="242"/>
    </row>
    <row r="827740" spans="1:1" x14ac:dyDescent="0.25">
      <c r="A827740" s="242"/>
    </row>
    <row r="827741" spans="1:1" x14ac:dyDescent="0.25">
      <c r="A827741" s="242"/>
    </row>
    <row r="827742" spans="1:1" x14ac:dyDescent="0.25">
      <c r="A827742" s="242"/>
    </row>
    <row r="827743" spans="1:1" x14ac:dyDescent="0.25">
      <c r="A827743" s="242"/>
    </row>
    <row r="827744" spans="1:1" x14ac:dyDescent="0.25">
      <c r="A827744" s="242"/>
    </row>
    <row r="827745" spans="1:1" x14ac:dyDescent="0.25">
      <c r="A827745" s="242"/>
    </row>
    <row r="827746" spans="1:1" x14ac:dyDescent="0.25">
      <c r="A827746" s="242"/>
    </row>
    <row r="827747" spans="1:1" x14ac:dyDescent="0.25">
      <c r="A827747" s="242"/>
    </row>
    <row r="827748" spans="1:1" x14ac:dyDescent="0.25">
      <c r="A827748" s="242"/>
    </row>
    <row r="827749" spans="1:1" x14ac:dyDescent="0.25">
      <c r="A827749" s="242"/>
    </row>
    <row r="827750" spans="1:1" x14ac:dyDescent="0.25">
      <c r="A827750" s="242"/>
    </row>
    <row r="827751" spans="1:1" x14ac:dyDescent="0.25">
      <c r="A827751" s="242"/>
    </row>
    <row r="827752" spans="1:1" x14ac:dyDescent="0.25">
      <c r="A827752" s="242"/>
    </row>
    <row r="827753" spans="1:1" x14ac:dyDescent="0.25">
      <c r="A827753" s="242"/>
    </row>
    <row r="827754" spans="1:1" x14ac:dyDescent="0.25">
      <c r="A827754" s="242"/>
    </row>
    <row r="827755" spans="1:1" x14ac:dyDescent="0.25">
      <c r="A827755" s="242"/>
    </row>
    <row r="827756" spans="1:1" x14ac:dyDescent="0.25">
      <c r="A827756" s="242"/>
    </row>
    <row r="827757" spans="1:1" x14ac:dyDescent="0.25">
      <c r="A827757" s="242"/>
    </row>
    <row r="827758" spans="1:1" x14ac:dyDescent="0.25">
      <c r="A827758" s="242"/>
    </row>
    <row r="827759" spans="1:1" x14ac:dyDescent="0.25">
      <c r="A827759" s="242"/>
    </row>
    <row r="827760" spans="1:1" x14ac:dyDescent="0.25">
      <c r="A827760" s="242"/>
    </row>
    <row r="827761" spans="1:1" x14ac:dyDescent="0.25">
      <c r="A827761" s="242"/>
    </row>
    <row r="827762" spans="1:1" x14ac:dyDescent="0.25">
      <c r="A827762" s="242"/>
    </row>
    <row r="827763" spans="1:1" x14ac:dyDescent="0.25">
      <c r="A827763" s="242"/>
    </row>
    <row r="827764" spans="1:1" x14ac:dyDescent="0.25">
      <c r="A827764" s="242"/>
    </row>
    <row r="827765" spans="1:1" x14ac:dyDescent="0.25">
      <c r="A827765" s="242"/>
    </row>
    <row r="827766" spans="1:1" x14ac:dyDescent="0.25">
      <c r="A827766" s="242"/>
    </row>
    <row r="827767" spans="1:1" x14ac:dyDescent="0.25">
      <c r="A827767" s="242"/>
    </row>
    <row r="827768" spans="1:1" x14ac:dyDescent="0.25">
      <c r="A827768" s="242"/>
    </row>
    <row r="827769" spans="1:1" x14ac:dyDescent="0.25">
      <c r="A827769" s="242"/>
    </row>
    <row r="827770" spans="1:1" x14ac:dyDescent="0.25">
      <c r="A827770" s="242"/>
    </row>
    <row r="827771" spans="1:1" x14ac:dyDescent="0.25">
      <c r="A827771" s="242"/>
    </row>
    <row r="827772" spans="1:1" x14ac:dyDescent="0.25">
      <c r="A827772" s="242"/>
    </row>
    <row r="827773" spans="1:1" x14ac:dyDescent="0.25">
      <c r="A827773" s="242"/>
    </row>
    <row r="827774" spans="1:1" x14ac:dyDescent="0.25">
      <c r="A827774" s="242"/>
    </row>
    <row r="827775" spans="1:1" x14ac:dyDescent="0.25">
      <c r="A827775" s="242"/>
    </row>
    <row r="827776" spans="1:1" x14ac:dyDescent="0.25">
      <c r="A827776" s="242"/>
    </row>
    <row r="827777" spans="1:1" x14ac:dyDescent="0.25">
      <c r="A827777" s="242"/>
    </row>
    <row r="827778" spans="1:1" x14ac:dyDescent="0.25">
      <c r="A827778" s="242"/>
    </row>
    <row r="827779" spans="1:1" x14ac:dyDescent="0.25">
      <c r="A827779" s="242"/>
    </row>
    <row r="827780" spans="1:1" x14ac:dyDescent="0.25">
      <c r="A827780" s="242"/>
    </row>
    <row r="827781" spans="1:1" x14ac:dyDescent="0.25">
      <c r="A827781" s="242"/>
    </row>
    <row r="827782" spans="1:1" x14ac:dyDescent="0.25">
      <c r="A827782" s="242"/>
    </row>
    <row r="827783" spans="1:1" x14ac:dyDescent="0.25">
      <c r="A827783" s="242"/>
    </row>
    <row r="827784" spans="1:1" x14ac:dyDescent="0.25">
      <c r="A827784" s="242"/>
    </row>
    <row r="827785" spans="1:1" x14ac:dyDescent="0.25">
      <c r="A827785" s="242"/>
    </row>
    <row r="827786" spans="1:1" x14ac:dyDescent="0.25">
      <c r="A827786" s="242"/>
    </row>
    <row r="827787" spans="1:1" x14ac:dyDescent="0.25">
      <c r="A827787" s="242"/>
    </row>
    <row r="827788" spans="1:1" x14ac:dyDescent="0.25">
      <c r="A827788" s="242"/>
    </row>
    <row r="827789" spans="1:1" x14ac:dyDescent="0.25">
      <c r="A827789" s="242"/>
    </row>
    <row r="827790" spans="1:1" x14ac:dyDescent="0.25">
      <c r="A827790" s="242"/>
    </row>
    <row r="827791" spans="1:1" x14ac:dyDescent="0.25">
      <c r="A827791" s="242"/>
    </row>
    <row r="827792" spans="1:1" x14ac:dyDescent="0.25">
      <c r="A827792" s="242"/>
    </row>
    <row r="827793" spans="1:1" x14ac:dyDescent="0.25">
      <c r="A827793" s="242"/>
    </row>
    <row r="827794" spans="1:1" x14ac:dyDescent="0.25">
      <c r="A827794" s="242"/>
    </row>
    <row r="827795" spans="1:1" x14ac:dyDescent="0.25">
      <c r="A827795" s="242"/>
    </row>
    <row r="827796" spans="1:1" x14ac:dyDescent="0.25">
      <c r="A827796" s="242"/>
    </row>
    <row r="827797" spans="1:1" x14ac:dyDescent="0.25">
      <c r="A827797" s="242"/>
    </row>
    <row r="827798" spans="1:1" x14ac:dyDescent="0.25">
      <c r="A827798" s="242"/>
    </row>
    <row r="827799" spans="1:1" x14ac:dyDescent="0.25">
      <c r="A827799" s="242"/>
    </row>
    <row r="827800" spans="1:1" x14ac:dyDescent="0.25">
      <c r="A827800" s="242"/>
    </row>
    <row r="827801" spans="1:1" x14ac:dyDescent="0.25">
      <c r="A827801" s="242"/>
    </row>
    <row r="827802" spans="1:1" x14ac:dyDescent="0.25">
      <c r="A827802" s="242"/>
    </row>
    <row r="827803" spans="1:1" x14ac:dyDescent="0.25">
      <c r="A827803" s="242"/>
    </row>
    <row r="827804" spans="1:1" x14ac:dyDescent="0.25">
      <c r="A827804" s="242"/>
    </row>
    <row r="827805" spans="1:1" x14ac:dyDescent="0.25">
      <c r="A827805" s="242"/>
    </row>
    <row r="827806" spans="1:1" x14ac:dyDescent="0.25">
      <c r="A827806" s="242"/>
    </row>
    <row r="827807" spans="1:1" x14ac:dyDescent="0.25">
      <c r="A827807" s="242"/>
    </row>
    <row r="827808" spans="1:1" x14ac:dyDescent="0.25">
      <c r="A827808" s="242"/>
    </row>
    <row r="827809" spans="1:1" x14ac:dyDescent="0.25">
      <c r="A827809" s="242"/>
    </row>
    <row r="827810" spans="1:1" x14ac:dyDescent="0.25">
      <c r="A827810" s="242"/>
    </row>
    <row r="827811" spans="1:1" x14ac:dyDescent="0.25">
      <c r="A827811" s="242"/>
    </row>
    <row r="827812" spans="1:1" x14ac:dyDescent="0.25">
      <c r="A827812" s="242"/>
    </row>
    <row r="827813" spans="1:1" x14ac:dyDescent="0.25">
      <c r="A827813" s="242"/>
    </row>
    <row r="827814" spans="1:1" x14ac:dyDescent="0.25">
      <c r="A827814" s="242"/>
    </row>
    <row r="827815" spans="1:1" x14ac:dyDescent="0.25">
      <c r="A827815" s="242"/>
    </row>
    <row r="827816" spans="1:1" x14ac:dyDescent="0.25">
      <c r="A827816" s="242"/>
    </row>
    <row r="827817" spans="1:1" x14ac:dyDescent="0.25">
      <c r="A827817" s="242"/>
    </row>
    <row r="827818" spans="1:1" x14ac:dyDescent="0.25">
      <c r="A827818" s="242"/>
    </row>
    <row r="827819" spans="1:1" x14ac:dyDescent="0.25">
      <c r="A827819" s="242"/>
    </row>
    <row r="827820" spans="1:1" x14ac:dyDescent="0.25">
      <c r="A827820" s="242"/>
    </row>
    <row r="827821" spans="1:1" x14ac:dyDescent="0.25">
      <c r="A827821" s="242"/>
    </row>
    <row r="827822" spans="1:1" x14ac:dyDescent="0.25">
      <c r="A827822" s="242"/>
    </row>
    <row r="827823" spans="1:1" x14ac:dyDescent="0.25">
      <c r="A827823" s="242"/>
    </row>
    <row r="827824" spans="1:1" x14ac:dyDescent="0.25">
      <c r="A827824" s="242"/>
    </row>
    <row r="827825" spans="1:1" x14ac:dyDescent="0.25">
      <c r="A827825" s="242"/>
    </row>
    <row r="827826" spans="1:1" x14ac:dyDescent="0.25">
      <c r="A827826" s="242"/>
    </row>
    <row r="827827" spans="1:1" x14ac:dyDescent="0.25">
      <c r="A827827" s="242"/>
    </row>
    <row r="827828" spans="1:1" x14ac:dyDescent="0.25">
      <c r="A827828" s="242"/>
    </row>
    <row r="827829" spans="1:1" x14ac:dyDescent="0.25">
      <c r="A827829" s="242"/>
    </row>
    <row r="827830" spans="1:1" x14ac:dyDescent="0.25">
      <c r="A827830" s="242"/>
    </row>
    <row r="827831" spans="1:1" x14ac:dyDescent="0.25">
      <c r="A827831" s="242"/>
    </row>
    <row r="827832" spans="1:1" x14ac:dyDescent="0.25">
      <c r="A827832" s="242"/>
    </row>
    <row r="827833" spans="1:1" x14ac:dyDescent="0.25">
      <c r="A827833" s="242"/>
    </row>
    <row r="827834" spans="1:1" x14ac:dyDescent="0.25">
      <c r="A827834" s="242"/>
    </row>
    <row r="827835" spans="1:1" x14ac:dyDescent="0.25">
      <c r="A827835" s="242"/>
    </row>
    <row r="827836" spans="1:1" x14ac:dyDescent="0.25">
      <c r="A827836" s="242"/>
    </row>
    <row r="827837" spans="1:1" x14ac:dyDescent="0.25">
      <c r="A827837" s="242"/>
    </row>
    <row r="827838" spans="1:1" x14ac:dyDescent="0.25">
      <c r="A827838" s="242"/>
    </row>
    <row r="827839" spans="1:1" x14ac:dyDescent="0.25">
      <c r="A827839" s="242"/>
    </row>
    <row r="827840" spans="1:1" x14ac:dyDescent="0.25">
      <c r="A827840" s="242"/>
    </row>
    <row r="827841" spans="1:1" x14ac:dyDescent="0.25">
      <c r="A827841" s="242"/>
    </row>
    <row r="827842" spans="1:1" x14ac:dyDescent="0.25">
      <c r="A827842" s="242"/>
    </row>
    <row r="827843" spans="1:1" x14ac:dyDescent="0.25">
      <c r="A827843" s="242"/>
    </row>
    <row r="827844" spans="1:1" x14ac:dyDescent="0.25">
      <c r="A827844" s="242"/>
    </row>
    <row r="827845" spans="1:1" x14ac:dyDescent="0.25">
      <c r="A827845" s="242"/>
    </row>
    <row r="827846" spans="1:1" x14ac:dyDescent="0.25">
      <c r="A827846" s="242"/>
    </row>
    <row r="827847" spans="1:1" x14ac:dyDescent="0.25">
      <c r="A827847" s="242"/>
    </row>
    <row r="827848" spans="1:1" x14ac:dyDescent="0.25">
      <c r="A827848" s="242"/>
    </row>
    <row r="827849" spans="1:1" x14ac:dyDescent="0.25">
      <c r="A827849" s="242"/>
    </row>
    <row r="827850" spans="1:1" x14ac:dyDescent="0.25">
      <c r="A827850" s="242"/>
    </row>
    <row r="827851" spans="1:1" x14ac:dyDescent="0.25">
      <c r="A827851" s="242"/>
    </row>
    <row r="827852" spans="1:1" x14ac:dyDescent="0.25">
      <c r="A827852" s="242"/>
    </row>
    <row r="827853" spans="1:1" x14ac:dyDescent="0.25">
      <c r="A827853" s="242"/>
    </row>
    <row r="827854" spans="1:1" x14ac:dyDescent="0.25">
      <c r="A827854" s="242"/>
    </row>
    <row r="827855" spans="1:1" x14ac:dyDescent="0.25">
      <c r="A827855" s="242"/>
    </row>
    <row r="827856" spans="1:1" x14ac:dyDescent="0.25">
      <c r="A827856" s="242"/>
    </row>
    <row r="827857" spans="1:1" x14ac:dyDescent="0.25">
      <c r="A827857" s="242"/>
    </row>
    <row r="827858" spans="1:1" x14ac:dyDescent="0.25">
      <c r="A827858" s="242"/>
    </row>
    <row r="827859" spans="1:1" x14ac:dyDescent="0.25">
      <c r="A827859" s="242"/>
    </row>
    <row r="827860" spans="1:1" x14ac:dyDescent="0.25">
      <c r="A827860" s="242"/>
    </row>
    <row r="827861" spans="1:1" x14ac:dyDescent="0.25">
      <c r="A827861" s="242"/>
    </row>
    <row r="827862" spans="1:1" x14ac:dyDescent="0.25">
      <c r="A827862" s="242"/>
    </row>
    <row r="827863" spans="1:1" x14ac:dyDescent="0.25">
      <c r="A827863" s="242"/>
    </row>
    <row r="827864" spans="1:1" x14ac:dyDescent="0.25">
      <c r="A827864" s="242"/>
    </row>
    <row r="827865" spans="1:1" x14ac:dyDescent="0.25">
      <c r="A827865" s="242"/>
    </row>
    <row r="827866" spans="1:1" x14ac:dyDescent="0.25">
      <c r="A827866" s="242"/>
    </row>
    <row r="827867" spans="1:1" x14ac:dyDescent="0.25">
      <c r="A827867" s="242"/>
    </row>
    <row r="827868" spans="1:1" x14ac:dyDescent="0.25">
      <c r="A827868" s="242"/>
    </row>
    <row r="827869" spans="1:1" x14ac:dyDescent="0.25">
      <c r="A827869" s="242"/>
    </row>
    <row r="827870" spans="1:1" x14ac:dyDescent="0.25">
      <c r="A827870" s="242"/>
    </row>
    <row r="827871" spans="1:1" x14ac:dyDescent="0.25">
      <c r="A827871" s="242"/>
    </row>
    <row r="827872" spans="1:1" x14ac:dyDescent="0.25">
      <c r="A827872" s="242"/>
    </row>
    <row r="827873" spans="1:1" x14ac:dyDescent="0.25">
      <c r="A827873" s="242"/>
    </row>
    <row r="827874" spans="1:1" x14ac:dyDescent="0.25">
      <c r="A827874" s="242"/>
    </row>
    <row r="827875" spans="1:1" x14ac:dyDescent="0.25">
      <c r="A827875" s="242"/>
    </row>
    <row r="827876" spans="1:1" x14ac:dyDescent="0.25">
      <c r="A827876" s="242"/>
    </row>
    <row r="827877" spans="1:1" x14ac:dyDescent="0.25">
      <c r="A827877" s="242"/>
    </row>
    <row r="827878" spans="1:1" x14ac:dyDescent="0.25">
      <c r="A827878" s="242"/>
    </row>
    <row r="827879" spans="1:1" x14ac:dyDescent="0.25">
      <c r="A827879" s="242"/>
    </row>
    <row r="827880" spans="1:1" x14ac:dyDescent="0.25">
      <c r="A827880" s="242"/>
    </row>
    <row r="827881" spans="1:1" x14ac:dyDescent="0.25">
      <c r="A827881" s="242"/>
    </row>
    <row r="827882" spans="1:1" x14ac:dyDescent="0.25">
      <c r="A827882" s="242"/>
    </row>
    <row r="827883" spans="1:1" x14ac:dyDescent="0.25">
      <c r="A827883" s="242"/>
    </row>
    <row r="827884" spans="1:1" x14ac:dyDescent="0.25">
      <c r="A827884" s="242"/>
    </row>
    <row r="827885" spans="1:1" x14ac:dyDescent="0.25">
      <c r="A827885" s="242"/>
    </row>
    <row r="827886" spans="1:1" x14ac:dyDescent="0.25">
      <c r="A827886" s="242"/>
    </row>
    <row r="827887" spans="1:1" x14ac:dyDescent="0.25">
      <c r="A827887" s="242"/>
    </row>
    <row r="827888" spans="1:1" x14ac:dyDescent="0.25">
      <c r="A827888" s="242"/>
    </row>
    <row r="827889" spans="1:1" x14ac:dyDescent="0.25">
      <c r="A827889" s="242"/>
    </row>
    <row r="827890" spans="1:1" x14ac:dyDescent="0.25">
      <c r="A827890" s="242"/>
    </row>
    <row r="827891" spans="1:1" x14ac:dyDescent="0.25">
      <c r="A827891" s="242"/>
    </row>
    <row r="827892" spans="1:1" x14ac:dyDescent="0.25">
      <c r="A827892" s="242"/>
    </row>
    <row r="827893" spans="1:1" x14ac:dyDescent="0.25">
      <c r="A827893" s="242"/>
    </row>
    <row r="827894" spans="1:1" x14ac:dyDescent="0.25">
      <c r="A827894" s="242"/>
    </row>
    <row r="827895" spans="1:1" x14ac:dyDescent="0.25">
      <c r="A827895" s="242"/>
    </row>
    <row r="827896" spans="1:1" x14ac:dyDescent="0.25">
      <c r="A827896" s="242"/>
    </row>
    <row r="827897" spans="1:1" x14ac:dyDescent="0.25">
      <c r="A827897" s="242"/>
    </row>
    <row r="827898" spans="1:1" x14ac:dyDescent="0.25">
      <c r="A827898" s="242"/>
    </row>
    <row r="827899" spans="1:1" x14ac:dyDescent="0.25">
      <c r="A827899" s="242"/>
    </row>
    <row r="827900" spans="1:1" x14ac:dyDescent="0.25">
      <c r="A827900" s="242"/>
    </row>
    <row r="827901" spans="1:1" x14ac:dyDescent="0.25">
      <c r="A827901" s="242"/>
    </row>
    <row r="827902" spans="1:1" x14ac:dyDescent="0.25">
      <c r="A827902" s="242"/>
    </row>
    <row r="827903" spans="1:1" x14ac:dyDescent="0.25">
      <c r="A827903" s="242"/>
    </row>
    <row r="827904" spans="1:1" x14ac:dyDescent="0.25">
      <c r="A827904" s="242"/>
    </row>
    <row r="827905" spans="1:1" x14ac:dyDescent="0.25">
      <c r="A827905" s="242"/>
    </row>
    <row r="827906" spans="1:1" x14ac:dyDescent="0.25">
      <c r="A827906" s="242"/>
    </row>
    <row r="827907" spans="1:1" x14ac:dyDescent="0.25">
      <c r="A827907" s="242"/>
    </row>
    <row r="827908" spans="1:1" x14ac:dyDescent="0.25">
      <c r="A827908" s="242"/>
    </row>
    <row r="827909" spans="1:1" x14ac:dyDescent="0.25">
      <c r="A827909" s="242"/>
    </row>
    <row r="827910" spans="1:1" x14ac:dyDescent="0.25">
      <c r="A827910" s="242"/>
    </row>
    <row r="827911" spans="1:1" x14ac:dyDescent="0.25">
      <c r="A827911" s="242"/>
    </row>
    <row r="827912" spans="1:1" x14ac:dyDescent="0.25">
      <c r="A827912" s="242"/>
    </row>
    <row r="827913" spans="1:1" x14ac:dyDescent="0.25">
      <c r="A827913" s="242"/>
    </row>
    <row r="827914" spans="1:1" x14ac:dyDescent="0.25">
      <c r="A827914" s="242"/>
    </row>
    <row r="827915" spans="1:1" x14ac:dyDescent="0.25">
      <c r="A827915" s="242"/>
    </row>
    <row r="827916" spans="1:1" x14ac:dyDescent="0.25">
      <c r="A827916" s="242"/>
    </row>
    <row r="827917" spans="1:1" x14ac:dyDescent="0.25">
      <c r="A827917" s="242"/>
    </row>
    <row r="827918" spans="1:1" x14ac:dyDescent="0.25">
      <c r="A827918" s="242"/>
    </row>
    <row r="827919" spans="1:1" x14ac:dyDescent="0.25">
      <c r="A827919" s="242"/>
    </row>
    <row r="827920" spans="1:1" x14ac:dyDescent="0.25">
      <c r="A827920" s="242"/>
    </row>
    <row r="827921" spans="1:1" x14ac:dyDescent="0.25">
      <c r="A827921" s="242"/>
    </row>
    <row r="827922" spans="1:1" x14ac:dyDescent="0.25">
      <c r="A827922" s="242"/>
    </row>
    <row r="827923" spans="1:1" x14ac:dyDescent="0.25">
      <c r="A827923" s="242"/>
    </row>
    <row r="827924" spans="1:1" x14ac:dyDescent="0.25">
      <c r="A827924" s="242"/>
    </row>
    <row r="827925" spans="1:1" x14ac:dyDescent="0.25">
      <c r="A827925" s="242"/>
    </row>
    <row r="827926" spans="1:1" x14ac:dyDescent="0.25">
      <c r="A827926" s="242"/>
    </row>
    <row r="827927" spans="1:1" x14ac:dyDescent="0.25">
      <c r="A827927" s="242"/>
    </row>
    <row r="827928" spans="1:1" x14ac:dyDescent="0.25">
      <c r="A827928" s="242"/>
    </row>
    <row r="827929" spans="1:1" x14ac:dyDescent="0.25">
      <c r="A827929" s="242"/>
    </row>
    <row r="827930" spans="1:1" x14ac:dyDescent="0.25">
      <c r="A827930" s="242"/>
    </row>
    <row r="827931" spans="1:1" x14ac:dyDescent="0.25">
      <c r="A827931" s="242"/>
    </row>
    <row r="827932" spans="1:1" x14ac:dyDescent="0.25">
      <c r="A827932" s="242"/>
    </row>
    <row r="827933" spans="1:1" x14ac:dyDescent="0.25">
      <c r="A827933" s="242"/>
    </row>
    <row r="827934" spans="1:1" x14ac:dyDescent="0.25">
      <c r="A827934" s="242"/>
    </row>
    <row r="827935" spans="1:1" x14ac:dyDescent="0.25">
      <c r="A827935" s="242"/>
    </row>
    <row r="827936" spans="1:1" x14ac:dyDescent="0.25">
      <c r="A827936" s="242"/>
    </row>
    <row r="827937" spans="1:1" x14ac:dyDescent="0.25">
      <c r="A827937" s="242"/>
    </row>
    <row r="827938" spans="1:1" x14ac:dyDescent="0.25">
      <c r="A827938" s="242"/>
    </row>
    <row r="827939" spans="1:1" x14ac:dyDescent="0.25">
      <c r="A827939" s="242"/>
    </row>
    <row r="827940" spans="1:1" x14ac:dyDescent="0.25">
      <c r="A827940" s="242"/>
    </row>
    <row r="827941" spans="1:1" x14ac:dyDescent="0.25">
      <c r="A827941" s="242"/>
    </row>
    <row r="827942" spans="1:1" x14ac:dyDescent="0.25">
      <c r="A827942" s="242"/>
    </row>
    <row r="827943" spans="1:1" x14ac:dyDescent="0.25">
      <c r="A827943" s="242"/>
    </row>
    <row r="827944" spans="1:1" x14ac:dyDescent="0.25">
      <c r="A827944" s="242"/>
    </row>
    <row r="827945" spans="1:1" x14ac:dyDescent="0.25">
      <c r="A827945" s="242"/>
    </row>
    <row r="827946" spans="1:1" x14ac:dyDescent="0.25">
      <c r="A827946" s="242"/>
    </row>
    <row r="827947" spans="1:1" x14ac:dyDescent="0.25">
      <c r="A827947" s="242"/>
    </row>
    <row r="827948" spans="1:1" x14ac:dyDescent="0.25">
      <c r="A827948" s="242"/>
    </row>
    <row r="827949" spans="1:1" x14ac:dyDescent="0.25">
      <c r="A827949" s="242"/>
    </row>
    <row r="827950" spans="1:1" x14ac:dyDescent="0.25">
      <c r="A827950" s="242"/>
    </row>
    <row r="827951" spans="1:1" x14ac:dyDescent="0.25">
      <c r="A827951" s="242"/>
    </row>
    <row r="827952" spans="1:1" x14ac:dyDescent="0.25">
      <c r="A827952" s="242"/>
    </row>
    <row r="827953" spans="1:1" x14ac:dyDescent="0.25">
      <c r="A827953" s="242"/>
    </row>
    <row r="827954" spans="1:1" x14ac:dyDescent="0.25">
      <c r="A827954" s="242"/>
    </row>
    <row r="827955" spans="1:1" x14ac:dyDescent="0.25">
      <c r="A827955" s="242"/>
    </row>
    <row r="827956" spans="1:1" x14ac:dyDescent="0.25">
      <c r="A827956" s="242"/>
    </row>
    <row r="827957" spans="1:1" x14ac:dyDescent="0.25">
      <c r="A827957" s="242"/>
    </row>
    <row r="827958" spans="1:1" x14ac:dyDescent="0.25">
      <c r="A827958" s="242"/>
    </row>
    <row r="827959" spans="1:1" x14ac:dyDescent="0.25">
      <c r="A827959" s="242"/>
    </row>
    <row r="827960" spans="1:1" x14ac:dyDescent="0.25">
      <c r="A827960" s="242"/>
    </row>
    <row r="827961" spans="1:1" x14ac:dyDescent="0.25">
      <c r="A827961" s="242"/>
    </row>
    <row r="827962" spans="1:1" x14ac:dyDescent="0.25">
      <c r="A827962" s="242"/>
    </row>
    <row r="827963" spans="1:1" x14ac:dyDescent="0.25">
      <c r="A827963" s="242"/>
    </row>
    <row r="827964" spans="1:1" x14ac:dyDescent="0.25">
      <c r="A827964" s="242"/>
    </row>
    <row r="827965" spans="1:1" x14ac:dyDescent="0.25">
      <c r="A827965" s="242"/>
    </row>
    <row r="827966" spans="1:1" x14ac:dyDescent="0.25">
      <c r="A827966" s="242"/>
    </row>
    <row r="827967" spans="1:1" x14ac:dyDescent="0.25">
      <c r="A827967" s="242"/>
    </row>
    <row r="827968" spans="1:1" x14ac:dyDescent="0.25">
      <c r="A827968" s="242"/>
    </row>
    <row r="827969" spans="1:1" x14ac:dyDescent="0.25">
      <c r="A827969" s="242"/>
    </row>
    <row r="827970" spans="1:1" x14ac:dyDescent="0.25">
      <c r="A827970" s="242"/>
    </row>
    <row r="827971" spans="1:1" x14ac:dyDescent="0.25">
      <c r="A827971" s="242"/>
    </row>
    <row r="827972" spans="1:1" x14ac:dyDescent="0.25">
      <c r="A827972" s="242"/>
    </row>
    <row r="827973" spans="1:1" x14ac:dyDescent="0.25">
      <c r="A827973" s="242"/>
    </row>
    <row r="827974" spans="1:1" x14ac:dyDescent="0.25">
      <c r="A827974" s="242"/>
    </row>
    <row r="827975" spans="1:1" x14ac:dyDescent="0.25">
      <c r="A827975" s="242"/>
    </row>
    <row r="827976" spans="1:1" x14ac:dyDescent="0.25">
      <c r="A827976" s="242"/>
    </row>
    <row r="827977" spans="1:1" x14ac:dyDescent="0.25">
      <c r="A827977" s="242"/>
    </row>
    <row r="827978" spans="1:1" x14ac:dyDescent="0.25">
      <c r="A827978" s="242"/>
    </row>
    <row r="827979" spans="1:1" x14ac:dyDescent="0.25">
      <c r="A827979" s="242"/>
    </row>
    <row r="827980" spans="1:1" x14ac:dyDescent="0.25">
      <c r="A827980" s="242"/>
    </row>
    <row r="827981" spans="1:1" x14ac:dyDescent="0.25">
      <c r="A827981" s="242"/>
    </row>
    <row r="827982" spans="1:1" x14ac:dyDescent="0.25">
      <c r="A827982" s="242"/>
    </row>
    <row r="827983" spans="1:1" x14ac:dyDescent="0.25">
      <c r="A827983" s="242"/>
    </row>
    <row r="827984" spans="1:1" x14ac:dyDescent="0.25">
      <c r="A827984" s="242"/>
    </row>
    <row r="827985" spans="1:1" x14ac:dyDescent="0.25">
      <c r="A827985" s="242"/>
    </row>
    <row r="827986" spans="1:1" x14ac:dyDescent="0.25">
      <c r="A827986" s="242"/>
    </row>
    <row r="827987" spans="1:1" x14ac:dyDescent="0.25">
      <c r="A827987" s="242"/>
    </row>
    <row r="827988" spans="1:1" x14ac:dyDescent="0.25">
      <c r="A827988" s="242"/>
    </row>
    <row r="827989" spans="1:1" x14ac:dyDescent="0.25">
      <c r="A827989" s="242"/>
    </row>
    <row r="827990" spans="1:1" x14ac:dyDescent="0.25">
      <c r="A827990" s="242"/>
    </row>
    <row r="827991" spans="1:1" x14ac:dyDescent="0.25">
      <c r="A827991" s="242"/>
    </row>
    <row r="827992" spans="1:1" x14ac:dyDescent="0.25">
      <c r="A827992" s="242"/>
    </row>
    <row r="827993" spans="1:1" x14ac:dyDescent="0.25">
      <c r="A827993" s="242"/>
    </row>
    <row r="827994" spans="1:1" x14ac:dyDescent="0.25">
      <c r="A827994" s="242"/>
    </row>
    <row r="827995" spans="1:1" x14ac:dyDescent="0.25">
      <c r="A827995" s="242"/>
    </row>
    <row r="827996" spans="1:1" x14ac:dyDescent="0.25">
      <c r="A827996" s="242"/>
    </row>
    <row r="827997" spans="1:1" x14ac:dyDescent="0.25">
      <c r="A827997" s="242"/>
    </row>
    <row r="827998" spans="1:1" x14ac:dyDescent="0.25">
      <c r="A827998" s="242"/>
    </row>
    <row r="827999" spans="1:1" x14ac:dyDescent="0.25">
      <c r="A827999" s="242"/>
    </row>
    <row r="828000" spans="1:1" x14ac:dyDescent="0.25">
      <c r="A828000" s="242"/>
    </row>
    <row r="828001" spans="1:1" x14ac:dyDescent="0.25">
      <c r="A828001" s="242"/>
    </row>
    <row r="828002" spans="1:1" x14ac:dyDescent="0.25">
      <c r="A828002" s="242"/>
    </row>
    <row r="828003" spans="1:1" x14ac:dyDescent="0.25">
      <c r="A828003" s="242"/>
    </row>
    <row r="828004" spans="1:1" x14ac:dyDescent="0.25">
      <c r="A828004" s="242"/>
    </row>
    <row r="828005" spans="1:1" x14ac:dyDescent="0.25">
      <c r="A828005" s="242"/>
    </row>
    <row r="828006" spans="1:1" x14ac:dyDescent="0.25">
      <c r="A828006" s="242"/>
    </row>
    <row r="828007" spans="1:1" x14ac:dyDescent="0.25">
      <c r="A828007" s="242"/>
    </row>
    <row r="828008" spans="1:1" x14ac:dyDescent="0.25">
      <c r="A828008" s="242"/>
    </row>
    <row r="828009" spans="1:1" x14ac:dyDescent="0.25">
      <c r="A828009" s="242"/>
    </row>
    <row r="828010" spans="1:1" x14ac:dyDescent="0.25">
      <c r="A828010" s="242"/>
    </row>
    <row r="828011" spans="1:1" x14ac:dyDescent="0.25">
      <c r="A828011" s="242"/>
    </row>
    <row r="828012" spans="1:1" x14ac:dyDescent="0.25">
      <c r="A828012" s="242"/>
    </row>
    <row r="828013" spans="1:1" x14ac:dyDescent="0.25">
      <c r="A828013" s="242"/>
    </row>
    <row r="828014" spans="1:1" x14ac:dyDescent="0.25">
      <c r="A828014" s="242"/>
    </row>
    <row r="828015" spans="1:1" x14ac:dyDescent="0.25">
      <c r="A828015" s="242"/>
    </row>
    <row r="828016" spans="1:1" x14ac:dyDescent="0.25">
      <c r="A828016" s="242"/>
    </row>
    <row r="828017" spans="1:1" x14ac:dyDescent="0.25">
      <c r="A828017" s="242"/>
    </row>
    <row r="828018" spans="1:1" x14ac:dyDescent="0.25">
      <c r="A828018" s="242"/>
    </row>
    <row r="828019" spans="1:1" x14ac:dyDescent="0.25">
      <c r="A828019" s="242"/>
    </row>
    <row r="828020" spans="1:1" x14ac:dyDescent="0.25">
      <c r="A828020" s="242"/>
    </row>
    <row r="828021" spans="1:1" x14ac:dyDescent="0.25">
      <c r="A828021" s="242"/>
    </row>
    <row r="828022" spans="1:1" x14ac:dyDescent="0.25">
      <c r="A828022" s="242"/>
    </row>
    <row r="828023" spans="1:1" x14ac:dyDescent="0.25">
      <c r="A828023" s="242"/>
    </row>
    <row r="828024" spans="1:1" x14ac:dyDescent="0.25">
      <c r="A828024" s="242"/>
    </row>
    <row r="828025" spans="1:1" x14ac:dyDescent="0.25">
      <c r="A828025" s="242"/>
    </row>
    <row r="828026" spans="1:1" x14ac:dyDescent="0.25">
      <c r="A828026" s="242"/>
    </row>
    <row r="828027" spans="1:1" x14ac:dyDescent="0.25">
      <c r="A828027" s="242"/>
    </row>
    <row r="828028" spans="1:1" x14ac:dyDescent="0.25">
      <c r="A828028" s="242"/>
    </row>
    <row r="828029" spans="1:1" x14ac:dyDescent="0.25">
      <c r="A828029" s="242"/>
    </row>
    <row r="828030" spans="1:1" x14ac:dyDescent="0.25">
      <c r="A828030" s="242"/>
    </row>
    <row r="828031" spans="1:1" x14ac:dyDescent="0.25">
      <c r="A828031" s="242"/>
    </row>
    <row r="828032" spans="1:1" x14ac:dyDescent="0.25">
      <c r="A828032" s="242"/>
    </row>
    <row r="828033" spans="1:1" x14ac:dyDescent="0.25">
      <c r="A828033" s="242"/>
    </row>
    <row r="828034" spans="1:1" x14ac:dyDescent="0.25">
      <c r="A828034" s="242"/>
    </row>
    <row r="828035" spans="1:1" x14ac:dyDescent="0.25">
      <c r="A828035" s="242"/>
    </row>
    <row r="828036" spans="1:1" x14ac:dyDescent="0.25">
      <c r="A828036" s="242"/>
    </row>
    <row r="828037" spans="1:1" x14ac:dyDescent="0.25">
      <c r="A828037" s="242"/>
    </row>
    <row r="828038" spans="1:1" x14ac:dyDescent="0.25">
      <c r="A828038" s="242"/>
    </row>
    <row r="828039" spans="1:1" x14ac:dyDescent="0.25">
      <c r="A828039" s="242"/>
    </row>
    <row r="828040" spans="1:1" x14ac:dyDescent="0.25">
      <c r="A828040" s="242"/>
    </row>
    <row r="828041" spans="1:1" x14ac:dyDescent="0.25">
      <c r="A828041" s="242"/>
    </row>
    <row r="828042" spans="1:1" x14ac:dyDescent="0.25">
      <c r="A828042" s="242"/>
    </row>
    <row r="828043" spans="1:1" x14ac:dyDescent="0.25">
      <c r="A828043" s="242"/>
    </row>
    <row r="828044" spans="1:1" x14ac:dyDescent="0.25">
      <c r="A828044" s="242"/>
    </row>
    <row r="828045" spans="1:1" x14ac:dyDescent="0.25">
      <c r="A828045" s="242"/>
    </row>
    <row r="828046" spans="1:1" x14ac:dyDescent="0.25">
      <c r="A828046" s="242"/>
    </row>
    <row r="828047" spans="1:1" x14ac:dyDescent="0.25">
      <c r="A828047" s="242"/>
    </row>
    <row r="828048" spans="1:1" x14ac:dyDescent="0.25">
      <c r="A828048" s="242"/>
    </row>
    <row r="828049" spans="1:1" x14ac:dyDescent="0.25">
      <c r="A828049" s="242"/>
    </row>
    <row r="828050" spans="1:1" x14ac:dyDescent="0.25">
      <c r="A828050" s="242"/>
    </row>
    <row r="828051" spans="1:1" x14ac:dyDescent="0.25">
      <c r="A828051" s="242"/>
    </row>
    <row r="828052" spans="1:1" x14ac:dyDescent="0.25">
      <c r="A828052" s="242"/>
    </row>
    <row r="828053" spans="1:1" x14ac:dyDescent="0.25">
      <c r="A828053" s="242"/>
    </row>
    <row r="828054" spans="1:1" x14ac:dyDescent="0.25">
      <c r="A828054" s="242"/>
    </row>
    <row r="828055" spans="1:1" x14ac:dyDescent="0.25">
      <c r="A828055" s="242"/>
    </row>
    <row r="828056" spans="1:1" x14ac:dyDescent="0.25">
      <c r="A828056" s="242"/>
    </row>
    <row r="828057" spans="1:1" x14ac:dyDescent="0.25">
      <c r="A828057" s="242"/>
    </row>
    <row r="828058" spans="1:1" x14ac:dyDescent="0.25">
      <c r="A828058" s="242"/>
    </row>
    <row r="828059" spans="1:1" x14ac:dyDescent="0.25">
      <c r="A828059" s="242"/>
    </row>
    <row r="828060" spans="1:1" x14ac:dyDescent="0.25">
      <c r="A828060" s="242"/>
    </row>
    <row r="828061" spans="1:1" x14ac:dyDescent="0.25">
      <c r="A828061" s="242"/>
    </row>
    <row r="828062" spans="1:1" x14ac:dyDescent="0.25">
      <c r="A828062" s="242"/>
    </row>
    <row r="828063" spans="1:1" x14ac:dyDescent="0.25">
      <c r="A828063" s="242"/>
    </row>
    <row r="828064" spans="1:1" x14ac:dyDescent="0.25">
      <c r="A828064" s="242"/>
    </row>
    <row r="828065" spans="1:1" x14ac:dyDescent="0.25">
      <c r="A828065" s="242"/>
    </row>
    <row r="828066" spans="1:1" x14ac:dyDescent="0.25">
      <c r="A828066" s="242"/>
    </row>
    <row r="828067" spans="1:1" x14ac:dyDescent="0.25">
      <c r="A828067" s="242"/>
    </row>
    <row r="828068" spans="1:1" x14ac:dyDescent="0.25">
      <c r="A828068" s="242"/>
    </row>
    <row r="828069" spans="1:1" x14ac:dyDescent="0.25">
      <c r="A828069" s="242"/>
    </row>
    <row r="828070" spans="1:1" x14ac:dyDescent="0.25">
      <c r="A828070" s="242"/>
    </row>
    <row r="828071" spans="1:1" x14ac:dyDescent="0.25">
      <c r="A828071" s="242"/>
    </row>
    <row r="828072" spans="1:1" x14ac:dyDescent="0.25">
      <c r="A828072" s="242"/>
    </row>
    <row r="828073" spans="1:1" x14ac:dyDescent="0.25">
      <c r="A828073" s="242"/>
    </row>
    <row r="828074" spans="1:1" x14ac:dyDescent="0.25">
      <c r="A828074" s="242"/>
    </row>
    <row r="828075" spans="1:1" x14ac:dyDescent="0.25">
      <c r="A828075" s="242"/>
    </row>
    <row r="828076" spans="1:1" x14ac:dyDescent="0.25">
      <c r="A828076" s="242"/>
    </row>
    <row r="828077" spans="1:1" x14ac:dyDescent="0.25">
      <c r="A828077" s="242"/>
    </row>
    <row r="828078" spans="1:1" x14ac:dyDescent="0.25">
      <c r="A828078" s="242"/>
    </row>
    <row r="828079" spans="1:1" x14ac:dyDescent="0.25">
      <c r="A828079" s="242"/>
    </row>
    <row r="828080" spans="1:1" x14ac:dyDescent="0.25">
      <c r="A828080" s="242"/>
    </row>
    <row r="828081" spans="1:1" x14ac:dyDescent="0.25">
      <c r="A828081" s="242"/>
    </row>
    <row r="828082" spans="1:1" x14ac:dyDescent="0.25">
      <c r="A828082" s="242"/>
    </row>
    <row r="828083" spans="1:1" x14ac:dyDescent="0.25">
      <c r="A828083" s="242"/>
    </row>
    <row r="828084" spans="1:1" x14ac:dyDescent="0.25">
      <c r="A828084" s="242"/>
    </row>
    <row r="828085" spans="1:1" x14ac:dyDescent="0.25">
      <c r="A828085" s="242"/>
    </row>
    <row r="828086" spans="1:1" x14ac:dyDescent="0.25">
      <c r="A828086" s="242"/>
    </row>
    <row r="828087" spans="1:1" x14ac:dyDescent="0.25">
      <c r="A828087" s="242"/>
    </row>
    <row r="828088" spans="1:1" x14ac:dyDescent="0.25">
      <c r="A828088" s="242"/>
    </row>
    <row r="828089" spans="1:1" x14ac:dyDescent="0.25">
      <c r="A828089" s="242"/>
    </row>
    <row r="828090" spans="1:1" x14ac:dyDescent="0.25">
      <c r="A828090" s="242"/>
    </row>
    <row r="828091" spans="1:1" x14ac:dyDescent="0.25">
      <c r="A828091" s="242"/>
    </row>
    <row r="828092" spans="1:1" x14ac:dyDescent="0.25">
      <c r="A828092" s="242"/>
    </row>
    <row r="828093" spans="1:1" x14ac:dyDescent="0.25">
      <c r="A828093" s="242"/>
    </row>
    <row r="828094" spans="1:1" x14ac:dyDescent="0.25">
      <c r="A828094" s="242"/>
    </row>
    <row r="828095" spans="1:1" x14ac:dyDescent="0.25">
      <c r="A828095" s="242"/>
    </row>
    <row r="828096" spans="1:1" x14ac:dyDescent="0.25">
      <c r="A828096" s="242"/>
    </row>
    <row r="828097" spans="1:1" x14ac:dyDescent="0.25">
      <c r="A828097" s="242"/>
    </row>
    <row r="828098" spans="1:1" x14ac:dyDescent="0.25">
      <c r="A828098" s="242"/>
    </row>
    <row r="828099" spans="1:1" x14ac:dyDescent="0.25">
      <c r="A828099" s="242"/>
    </row>
    <row r="828100" spans="1:1" x14ac:dyDescent="0.25">
      <c r="A828100" s="242"/>
    </row>
    <row r="828101" spans="1:1" x14ac:dyDescent="0.25">
      <c r="A828101" s="242"/>
    </row>
    <row r="828102" spans="1:1" x14ac:dyDescent="0.25">
      <c r="A828102" s="242"/>
    </row>
    <row r="828103" spans="1:1" x14ac:dyDescent="0.25">
      <c r="A828103" s="242"/>
    </row>
    <row r="828104" spans="1:1" x14ac:dyDescent="0.25">
      <c r="A828104" s="242"/>
    </row>
    <row r="828105" spans="1:1" x14ac:dyDescent="0.25">
      <c r="A828105" s="242"/>
    </row>
    <row r="828106" spans="1:1" x14ac:dyDescent="0.25">
      <c r="A828106" s="242"/>
    </row>
    <row r="828107" spans="1:1" x14ac:dyDescent="0.25">
      <c r="A828107" s="242"/>
    </row>
    <row r="828108" spans="1:1" x14ac:dyDescent="0.25">
      <c r="A828108" s="242"/>
    </row>
    <row r="828109" spans="1:1" x14ac:dyDescent="0.25">
      <c r="A828109" s="242"/>
    </row>
    <row r="828110" spans="1:1" x14ac:dyDescent="0.25">
      <c r="A828110" s="242"/>
    </row>
    <row r="828111" spans="1:1" x14ac:dyDescent="0.25">
      <c r="A828111" s="242"/>
    </row>
    <row r="828112" spans="1:1" x14ac:dyDescent="0.25">
      <c r="A828112" s="242"/>
    </row>
    <row r="828113" spans="1:1" x14ac:dyDescent="0.25">
      <c r="A828113" s="242"/>
    </row>
    <row r="828114" spans="1:1" x14ac:dyDescent="0.25">
      <c r="A828114" s="242"/>
    </row>
    <row r="828115" spans="1:1" x14ac:dyDescent="0.25">
      <c r="A828115" s="242"/>
    </row>
    <row r="828116" spans="1:1" x14ac:dyDescent="0.25">
      <c r="A828116" s="242"/>
    </row>
    <row r="828117" spans="1:1" x14ac:dyDescent="0.25">
      <c r="A828117" s="242"/>
    </row>
    <row r="828118" spans="1:1" x14ac:dyDescent="0.25">
      <c r="A828118" s="242"/>
    </row>
    <row r="828119" spans="1:1" x14ac:dyDescent="0.25">
      <c r="A828119" s="242"/>
    </row>
    <row r="828120" spans="1:1" x14ac:dyDescent="0.25">
      <c r="A828120" s="242"/>
    </row>
    <row r="828121" spans="1:1" x14ac:dyDescent="0.25">
      <c r="A828121" s="242"/>
    </row>
    <row r="828122" spans="1:1" x14ac:dyDescent="0.25">
      <c r="A828122" s="242"/>
    </row>
    <row r="828123" spans="1:1" x14ac:dyDescent="0.25">
      <c r="A828123" s="242"/>
    </row>
    <row r="828124" spans="1:1" x14ac:dyDescent="0.25">
      <c r="A828124" s="242"/>
    </row>
    <row r="828125" spans="1:1" x14ac:dyDescent="0.25">
      <c r="A828125" s="242"/>
    </row>
    <row r="828126" spans="1:1" x14ac:dyDescent="0.25">
      <c r="A828126" s="242"/>
    </row>
    <row r="828127" spans="1:1" x14ac:dyDescent="0.25">
      <c r="A828127" s="242"/>
    </row>
    <row r="828128" spans="1:1" x14ac:dyDescent="0.25">
      <c r="A828128" s="242"/>
    </row>
    <row r="828129" spans="1:1" x14ac:dyDescent="0.25">
      <c r="A828129" s="242"/>
    </row>
    <row r="828130" spans="1:1" x14ac:dyDescent="0.25">
      <c r="A828130" s="242"/>
    </row>
    <row r="828131" spans="1:1" x14ac:dyDescent="0.25">
      <c r="A828131" s="242"/>
    </row>
    <row r="828132" spans="1:1" x14ac:dyDescent="0.25">
      <c r="A828132" s="242"/>
    </row>
    <row r="828133" spans="1:1" x14ac:dyDescent="0.25">
      <c r="A828133" s="242"/>
    </row>
    <row r="828134" spans="1:1" x14ac:dyDescent="0.25">
      <c r="A828134" s="242"/>
    </row>
    <row r="828135" spans="1:1" x14ac:dyDescent="0.25">
      <c r="A828135" s="242"/>
    </row>
    <row r="828136" spans="1:1" x14ac:dyDescent="0.25">
      <c r="A828136" s="242"/>
    </row>
    <row r="828137" spans="1:1" x14ac:dyDescent="0.25">
      <c r="A828137" s="242"/>
    </row>
    <row r="828138" spans="1:1" x14ac:dyDescent="0.25">
      <c r="A828138" s="242"/>
    </row>
    <row r="828139" spans="1:1" x14ac:dyDescent="0.25">
      <c r="A828139" s="242"/>
    </row>
    <row r="828140" spans="1:1" x14ac:dyDescent="0.25">
      <c r="A828140" s="242"/>
    </row>
    <row r="828141" spans="1:1" x14ac:dyDescent="0.25">
      <c r="A828141" s="242"/>
    </row>
    <row r="828142" spans="1:1" x14ac:dyDescent="0.25">
      <c r="A828142" s="242"/>
    </row>
    <row r="828143" spans="1:1" x14ac:dyDescent="0.25">
      <c r="A828143" s="242"/>
    </row>
    <row r="828144" spans="1:1" x14ac:dyDescent="0.25">
      <c r="A828144" s="242"/>
    </row>
    <row r="828145" spans="1:1" x14ac:dyDescent="0.25">
      <c r="A828145" s="242"/>
    </row>
    <row r="828146" spans="1:1" x14ac:dyDescent="0.25">
      <c r="A828146" s="242"/>
    </row>
    <row r="828147" spans="1:1" x14ac:dyDescent="0.25">
      <c r="A828147" s="242"/>
    </row>
    <row r="828148" spans="1:1" x14ac:dyDescent="0.25">
      <c r="A828148" s="242"/>
    </row>
    <row r="828149" spans="1:1" x14ac:dyDescent="0.25">
      <c r="A828149" s="242"/>
    </row>
    <row r="828150" spans="1:1" x14ac:dyDescent="0.25">
      <c r="A828150" s="242"/>
    </row>
    <row r="828151" spans="1:1" x14ac:dyDescent="0.25">
      <c r="A828151" s="242"/>
    </row>
    <row r="828152" spans="1:1" x14ac:dyDescent="0.25">
      <c r="A828152" s="242"/>
    </row>
    <row r="828153" spans="1:1" x14ac:dyDescent="0.25">
      <c r="A828153" s="242"/>
    </row>
    <row r="828154" spans="1:1" x14ac:dyDescent="0.25">
      <c r="A828154" s="242"/>
    </row>
    <row r="828155" spans="1:1" x14ac:dyDescent="0.25">
      <c r="A828155" s="242"/>
    </row>
    <row r="828156" spans="1:1" x14ac:dyDescent="0.25">
      <c r="A828156" s="242"/>
    </row>
    <row r="828157" spans="1:1" x14ac:dyDescent="0.25">
      <c r="A828157" s="242"/>
    </row>
    <row r="828158" spans="1:1" x14ac:dyDescent="0.25">
      <c r="A828158" s="242"/>
    </row>
    <row r="828159" spans="1:1" x14ac:dyDescent="0.25">
      <c r="A828159" s="242"/>
    </row>
    <row r="828160" spans="1:1" x14ac:dyDescent="0.25">
      <c r="A828160" s="242"/>
    </row>
    <row r="828161" spans="1:1" x14ac:dyDescent="0.25">
      <c r="A828161" s="242"/>
    </row>
    <row r="828162" spans="1:1" x14ac:dyDescent="0.25">
      <c r="A828162" s="242"/>
    </row>
    <row r="828163" spans="1:1" x14ac:dyDescent="0.25">
      <c r="A828163" s="242"/>
    </row>
    <row r="828164" spans="1:1" x14ac:dyDescent="0.25">
      <c r="A828164" s="242"/>
    </row>
    <row r="828165" spans="1:1" x14ac:dyDescent="0.25">
      <c r="A828165" s="242"/>
    </row>
    <row r="828166" spans="1:1" x14ac:dyDescent="0.25">
      <c r="A828166" s="242"/>
    </row>
    <row r="828167" spans="1:1" x14ac:dyDescent="0.25">
      <c r="A828167" s="242"/>
    </row>
    <row r="828168" spans="1:1" x14ac:dyDescent="0.25">
      <c r="A828168" s="242"/>
    </row>
    <row r="828169" spans="1:1" x14ac:dyDescent="0.25">
      <c r="A828169" s="242"/>
    </row>
    <row r="828170" spans="1:1" x14ac:dyDescent="0.25">
      <c r="A828170" s="242"/>
    </row>
    <row r="828171" spans="1:1" x14ac:dyDescent="0.25">
      <c r="A828171" s="242"/>
    </row>
    <row r="828172" spans="1:1" x14ac:dyDescent="0.25">
      <c r="A828172" s="242"/>
    </row>
    <row r="828173" spans="1:1" x14ac:dyDescent="0.25">
      <c r="A828173" s="242"/>
    </row>
    <row r="828174" spans="1:1" x14ac:dyDescent="0.25">
      <c r="A828174" s="242"/>
    </row>
    <row r="828175" spans="1:1" x14ac:dyDescent="0.25">
      <c r="A828175" s="242"/>
    </row>
    <row r="828176" spans="1:1" x14ac:dyDescent="0.25">
      <c r="A828176" s="242"/>
    </row>
    <row r="828177" spans="1:1" x14ac:dyDescent="0.25">
      <c r="A828177" s="242"/>
    </row>
    <row r="828178" spans="1:1" x14ac:dyDescent="0.25">
      <c r="A828178" s="242"/>
    </row>
    <row r="828179" spans="1:1" x14ac:dyDescent="0.25">
      <c r="A828179" s="242"/>
    </row>
    <row r="828180" spans="1:1" x14ac:dyDescent="0.25">
      <c r="A828180" s="242"/>
    </row>
    <row r="828181" spans="1:1" x14ac:dyDescent="0.25">
      <c r="A828181" s="242"/>
    </row>
    <row r="828182" spans="1:1" x14ac:dyDescent="0.25">
      <c r="A828182" s="242"/>
    </row>
    <row r="828183" spans="1:1" x14ac:dyDescent="0.25">
      <c r="A828183" s="242"/>
    </row>
    <row r="828184" spans="1:1" x14ac:dyDescent="0.25">
      <c r="A828184" s="242"/>
    </row>
    <row r="828185" spans="1:1" x14ac:dyDescent="0.25">
      <c r="A828185" s="242"/>
    </row>
    <row r="828186" spans="1:1" x14ac:dyDescent="0.25">
      <c r="A828186" s="242"/>
    </row>
    <row r="828187" spans="1:1" x14ac:dyDescent="0.25">
      <c r="A828187" s="242"/>
    </row>
    <row r="828188" spans="1:1" x14ac:dyDescent="0.25">
      <c r="A828188" s="242"/>
    </row>
    <row r="828189" spans="1:1" x14ac:dyDescent="0.25">
      <c r="A828189" s="242"/>
    </row>
    <row r="828190" spans="1:1" x14ac:dyDescent="0.25">
      <c r="A828190" s="242"/>
    </row>
    <row r="828191" spans="1:1" x14ac:dyDescent="0.25">
      <c r="A828191" s="242"/>
    </row>
    <row r="828192" spans="1:1" x14ac:dyDescent="0.25">
      <c r="A828192" s="242"/>
    </row>
    <row r="828193" spans="1:1" x14ac:dyDescent="0.25">
      <c r="A828193" s="242"/>
    </row>
    <row r="828194" spans="1:1" x14ac:dyDescent="0.25">
      <c r="A828194" s="242"/>
    </row>
    <row r="828195" spans="1:1" x14ac:dyDescent="0.25">
      <c r="A828195" s="242"/>
    </row>
    <row r="828196" spans="1:1" x14ac:dyDescent="0.25">
      <c r="A828196" s="242"/>
    </row>
    <row r="828197" spans="1:1" x14ac:dyDescent="0.25">
      <c r="A828197" s="242"/>
    </row>
    <row r="828198" spans="1:1" x14ac:dyDescent="0.25">
      <c r="A828198" s="242"/>
    </row>
    <row r="828199" spans="1:1" x14ac:dyDescent="0.25">
      <c r="A828199" s="242"/>
    </row>
    <row r="828200" spans="1:1" x14ac:dyDescent="0.25">
      <c r="A828200" s="242"/>
    </row>
    <row r="828201" spans="1:1" x14ac:dyDescent="0.25">
      <c r="A828201" s="242"/>
    </row>
    <row r="828202" spans="1:1" x14ac:dyDescent="0.25">
      <c r="A828202" s="242"/>
    </row>
    <row r="828203" spans="1:1" x14ac:dyDescent="0.25">
      <c r="A828203" s="242"/>
    </row>
    <row r="828204" spans="1:1" x14ac:dyDescent="0.25">
      <c r="A828204" s="242"/>
    </row>
    <row r="828205" spans="1:1" x14ac:dyDescent="0.25">
      <c r="A828205" s="242"/>
    </row>
    <row r="828206" spans="1:1" x14ac:dyDescent="0.25">
      <c r="A828206" s="242"/>
    </row>
    <row r="828207" spans="1:1" x14ac:dyDescent="0.25">
      <c r="A828207" s="242"/>
    </row>
    <row r="828208" spans="1:1" x14ac:dyDescent="0.25">
      <c r="A828208" s="242"/>
    </row>
    <row r="828209" spans="1:1" x14ac:dyDescent="0.25">
      <c r="A828209" s="242"/>
    </row>
    <row r="828210" spans="1:1" x14ac:dyDescent="0.25">
      <c r="A828210" s="242"/>
    </row>
    <row r="828211" spans="1:1" x14ac:dyDescent="0.25">
      <c r="A828211" s="242"/>
    </row>
    <row r="828212" spans="1:1" x14ac:dyDescent="0.25">
      <c r="A828212" s="242"/>
    </row>
    <row r="828213" spans="1:1" x14ac:dyDescent="0.25">
      <c r="A828213" s="242"/>
    </row>
    <row r="828214" spans="1:1" x14ac:dyDescent="0.25">
      <c r="A828214" s="242"/>
    </row>
    <row r="828215" spans="1:1" x14ac:dyDescent="0.25">
      <c r="A828215" s="242"/>
    </row>
    <row r="828216" spans="1:1" x14ac:dyDescent="0.25">
      <c r="A828216" s="242"/>
    </row>
    <row r="828217" spans="1:1" x14ac:dyDescent="0.25">
      <c r="A828217" s="242"/>
    </row>
    <row r="828218" spans="1:1" x14ac:dyDescent="0.25">
      <c r="A828218" s="242"/>
    </row>
    <row r="828219" spans="1:1" x14ac:dyDescent="0.25">
      <c r="A828219" s="242"/>
    </row>
    <row r="828220" spans="1:1" x14ac:dyDescent="0.25">
      <c r="A828220" s="242"/>
    </row>
    <row r="828221" spans="1:1" x14ac:dyDescent="0.25">
      <c r="A828221" s="242"/>
    </row>
    <row r="828222" spans="1:1" x14ac:dyDescent="0.25">
      <c r="A828222" s="242"/>
    </row>
    <row r="828223" spans="1:1" x14ac:dyDescent="0.25">
      <c r="A828223" s="242"/>
    </row>
    <row r="828224" spans="1:1" x14ac:dyDescent="0.25">
      <c r="A828224" s="242"/>
    </row>
    <row r="828225" spans="1:1" x14ac:dyDescent="0.25">
      <c r="A828225" s="242"/>
    </row>
    <row r="828226" spans="1:1" x14ac:dyDescent="0.25">
      <c r="A828226" s="242"/>
    </row>
    <row r="828227" spans="1:1" x14ac:dyDescent="0.25">
      <c r="A828227" s="242"/>
    </row>
    <row r="828228" spans="1:1" x14ac:dyDescent="0.25">
      <c r="A828228" s="242"/>
    </row>
    <row r="828229" spans="1:1" x14ac:dyDescent="0.25">
      <c r="A828229" s="242"/>
    </row>
    <row r="828230" spans="1:1" x14ac:dyDescent="0.25">
      <c r="A828230" s="242"/>
    </row>
    <row r="828231" spans="1:1" x14ac:dyDescent="0.25">
      <c r="A828231" s="242"/>
    </row>
    <row r="828232" spans="1:1" x14ac:dyDescent="0.25">
      <c r="A828232" s="242"/>
    </row>
    <row r="828233" spans="1:1" x14ac:dyDescent="0.25">
      <c r="A828233" s="242"/>
    </row>
    <row r="828234" spans="1:1" x14ac:dyDescent="0.25">
      <c r="A828234" s="242"/>
    </row>
    <row r="828235" spans="1:1" x14ac:dyDescent="0.25">
      <c r="A828235" s="242"/>
    </row>
    <row r="828236" spans="1:1" x14ac:dyDescent="0.25">
      <c r="A828236" s="242"/>
    </row>
    <row r="828237" spans="1:1" x14ac:dyDescent="0.25">
      <c r="A828237" s="242"/>
    </row>
    <row r="828238" spans="1:1" x14ac:dyDescent="0.25">
      <c r="A828238" s="242"/>
    </row>
    <row r="828239" spans="1:1" x14ac:dyDescent="0.25">
      <c r="A828239" s="242"/>
    </row>
    <row r="828240" spans="1:1" x14ac:dyDescent="0.25">
      <c r="A828240" s="242"/>
    </row>
    <row r="828241" spans="1:1" x14ac:dyDescent="0.25">
      <c r="A828241" s="242"/>
    </row>
    <row r="828242" spans="1:1" x14ac:dyDescent="0.25">
      <c r="A828242" s="242"/>
    </row>
    <row r="828243" spans="1:1" x14ac:dyDescent="0.25">
      <c r="A828243" s="242"/>
    </row>
    <row r="828244" spans="1:1" x14ac:dyDescent="0.25">
      <c r="A828244" s="242"/>
    </row>
    <row r="828245" spans="1:1" x14ac:dyDescent="0.25">
      <c r="A828245" s="242"/>
    </row>
    <row r="828246" spans="1:1" x14ac:dyDescent="0.25">
      <c r="A828246" s="242"/>
    </row>
    <row r="828247" spans="1:1" x14ac:dyDescent="0.25">
      <c r="A828247" s="242"/>
    </row>
    <row r="828248" spans="1:1" x14ac:dyDescent="0.25">
      <c r="A828248" s="242"/>
    </row>
    <row r="828249" spans="1:1" x14ac:dyDescent="0.25">
      <c r="A828249" s="242"/>
    </row>
    <row r="828250" spans="1:1" x14ac:dyDescent="0.25">
      <c r="A828250" s="242"/>
    </row>
    <row r="828251" spans="1:1" x14ac:dyDescent="0.25">
      <c r="A828251" s="242"/>
    </row>
    <row r="828252" spans="1:1" x14ac:dyDescent="0.25">
      <c r="A828252" s="242"/>
    </row>
    <row r="828253" spans="1:1" x14ac:dyDescent="0.25">
      <c r="A828253" s="242"/>
    </row>
    <row r="828254" spans="1:1" x14ac:dyDescent="0.25">
      <c r="A828254" s="242"/>
    </row>
    <row r="828255" spans="1:1" x14ac:dyDescent="0.25">
      <c r="A828255" s="242"/>
    </row>
    <row r="828256" spans="1:1" x14ac:dyDescent="0.25">
      <c r="A828256" s="242"/>
    </row>
    <row r="828257" spans="1:1" x14ac:dyDescent="0.25">
      <c r="A828257" s="242"/>
    </row>
    <row r="828258" spans="1:1" x14ac:dyDescent="0.25">
      <c r="A828258" s="242"/>
    </row>
    <row r="828259" spans="1:1" x14ac:dyDescent="0.25">
      <c r="A828259" s="242"/>
    </row>
    <row r="828260" spans="1:1" x14ac:dyDescent="0.25">
      <c r="A828260" s="242"/>
    </row>
    <row r="828261" spans="1:1" x14ac:dyDescent="0.25">
      <c r="A828261" s="242"/>
    </row>
    <row r="828262" spans="1:1" x14ac:dyDescent="0.25">
      <c r="A828262" s="242"/>
    </row>
    <row r="828263" spans="1:1" x14ac:dyDescent="0.25">
      <c r="A828263" s="242"/>
    </row>
    <row r="828264" spans="1:1" x14ac:dyDescent="0.25">
      <c r="A828264" s="242"/>
    </row>
    <row r="828265" spans="1:1" x14ac:dyDescent="0.25">
      <c r="A828265" s="242"/>
    </row>
    <row r="828266" spans="1:1" x14ac:dyDescent="0.25">
      <c r="A828266" s="242"/>
    </row>
    <row r="828267" spans="1:1" x14ac:dyDescent="0.25">
      <c r="A828267" s="242"/>
    </row>
    <row r="828268" spans="1:1" x14ac:dyDescent="0.25">
      <c r="A828268" s="242"/>
    </row>
    <row r="828269" spans="1:1" x14ac:dyDescent="0.25">
      <c r="A828269" s="242"/>
    </row>
    <row r="828270" spans="1:1" x14ac:dyDescent="0.25">
      <c r="A828270" s="242"/>
    </row>
    <row r="828271" spans="1:1" x14ac:dyDescent="0.25">
      <c r="A828271" s="242"/>
    </row>
    <row r="828272" spans="1:1" x14ac:dyDescent="0.25">
      <c r="A828272" s="242"/>
    </row>
    <row r="828273" spans="1:1" x14ac:dyDescent="0.25">
      <c r="A828273" s="242"/>
    </row>
    <row r="828274" spans="1:1" x14ac:dyDescent="0.25">
      <c r="A828274" s="242"/>
    </row>
    <row r="828275" spans="1:1" x14ac:dyDescent="0.25">
      <c r="A828275" s="242"/>
    </row>
    <row r="828276" spans="1:1" x14ac:dyDescent="0.25">
      <c r="A828276" s="242"/>
    </row>
    <row r="828277" spans="1:1" x14ac:dyDescent="0.25">
      <c r="A828277" s="242"/>
    </row>
    <row r="828278" spans="1:1" x14ac:dyDescent="0.25">
      <c r="A828278" s="242"/>
    </row>
    <row r="828279" spans="1:1" x14ac:dyDescent="0.25">
      <c r="A828279" s="242"/>
    </row>
    <row r="828280" spans="1:1" x14ac:dyDescent="0.25">
      <c r="A828280" s="242"/>
    </row>
    <row r="828281" spans="1:1" x14ac:dyDescent="0.25">
      <c r="A828281" s="242"/>
    </row>
    <row r="828282" spans="1:1" x14ac:dyDescent="0.25">
      <c r="A828282" s="242"/>
    </row>
    <row r="828283" spans="1:1" x14ac:dyDescent="0.25">
      <c r="A828283" s="242"/>
    </row>
    <row r="828284" spans="1:1" x14ac:dyDescent="0.25">
      <c r="A828284" s="242"/>
    </row>
    <row r="828285" spans="1:1" x14ac:dyDescent="0.25">
      <c r="A828285" s="242"/>
    </row>
    <row r="828286" spans="1:1" x14ac:dyDescent="0.25">
      <c r="A828286" s="242"/>
    </row>
    <row r="828287" spans="1:1" x14ac:dyDescent="0.25">
      <c r="A828287" s="242"/>
    </row>
    <row r="828288" spans="1:1" x14ac:dyDescent="0.25">
      <c r="A828288" s="242"/>
    </row>
    <row r="828289" spans="1:1" x14ac:dyDescent="0.25">
      <c r="A828289" s="242"/>
    </row>
    <row r="828290" spans="1:1" x14ac:dyDescent="0.25">
      <c r="A828290" s="242"/>
    </row>
    <row r="828291" spans="1:1" x14ac:dyDescent="0.25">
      <c r="A828291" s="242"/>
    </row>
    <row r="828292" spans="1:1" x14ac:dyDescent="0.25">
      <c r="A828292" s="242"/>
    </row>
    <row r="828293" spans="1:1" x14ac:dyDescent="0.25">
      <c r="A828293" s="242"/>
    </row>
    <row r="828294" spans="1:1" x14ac:dyDescent="0.25">
      <c r="A828294" s="242"/>
    </row>
    <row r="828295" spans="1:1" x14ac:dyDescent="0.25">
      <c r="A828295" s="242"/>
    </row>
    <row r="828296" spans="1:1" x14ac:dyDescent="0.25">
      <c r="A828296" s="242"/>
    </row>
    <row r="828297" spans="1:1" x14ac:dyDescent="0.25">
      <c r="A828297" s="242"/>
    </row>
    <row r="828298" spans="1:1" x14ac:dyDescent="0.25">
      <c r="A828298" s="242"/>
    </row>
    <row r="828299" spans="1:1" x14ac:dyDescent="0.25">
      <c r="A828299" s="242"/>
    </row>
    <row r="828300" spans="1:1" x14ac:dyDescent="0.25">
      <c r="A828300" s="242"/>
    </row>
    <row r="828301" spans="1:1" x14ac:dyDescent="0.25">
      <c r="A828301" s="242"/>
    </row>
    <row r="828302" spans="1:1" x14ac:dyDescent="0.25">
      <c r="A828302" s="242"/>
    </row>
    <row r="828303" spans="1:1" x14ac:dyDescent="0.25">
      <c r="A828303" s="242"/>
    </row>
    <row r="828304" spans="1:1" x14ac:dyDescent="0.25">
      <c r="A828304" s="242"/>
    </row>
    <row r="828305" spans="1:1" x14ac:dyDescent="0.25">
      <c r="A828305" s="242"/>
    </row>
    <row r="828306" spans="1:1" x14ac:dyDescent="0.25">
      <c r="A828306" s="242"/>
    </row>
    <row r="828307" spans="1:1" x14ac:dyDescent="0.25">
      <c r="A828307" s="242"/>
    </row>
    <row r="828308" spans="1:1" x14ac:dyDescent="0.25">
      <c r="A828308" s="242"/>
    </row>
    <row r="828309" spans="1:1" x14ac:dyDescent="0.25">
      <c r="A828309" s="242"/>
    </row>
    <row r="828310" spans="1:1" x14ac:dyDescent="0.25">
      <c r="A828310" s="242"/>
    </row>
    <row r="828311" spans="1:1" x14ac:dyDescent="0.25">
      <c r="A828311" s="242"/>
    </row>
    <row r="828312" spans="1:1" x14ac:dyDescent="0.25">
      <c r="A828312" s="242"/>
    </row>
    <row r="828313" spans="1:1" x14ac:dyDescent="0.25">
      <c r="A828313" s="242"/>
    </row>
    <row r="828314" spans="1:1" x14ac:dyDescent="0.25">
      <c r="A828314" s="242"/>
    </row>
    <row r="828315" spans="1:1" x14ac:dyDescent="0.25">
      <c r="A828315" s="242"/>
    </row>
    <row r="828316" spans="1:1" x14ac:dyDescent="0.25">
      <c r="A828316" s="242"/>
    </row>
    <row r="828317" spans="1:1" x14ac:dyDescent="0.25">
      <c r="A828317" s="242"/>
    </row>
    <row r="828318" spans="1:1" x14ac:dyDescent="0.25">
      <c r="A828318" s="242"/>
    </row>
    <row r="828319" spans="1:1" x14ac:dyDescent="0.25">
      <c r="A828319" s="242"/>
    </row>
    <row r="828320" spans="1:1" x14ac:dyDescent="0.25">
      <c r="A828320" s="242"/>
    </row>
    <row r="828321" spans="1:1" x14ac:dyDescent="0.25">
      <c r="A828321" s="242"/>
    </row>
    <row r="828322" spans="1:1" x14ac:dyDescent="0.25">
      <c r="A828322" s="242"/>
    </row>
    <row r="828323" spans="1:1" x14ac:dyDescent="0.25">
      <c r="A828323" s="242"/>
    </row>
    <row r="828324" spans="1:1" x14ac:dyDescent="0.25">
      <c r="A828324" s="242"/>
    </row>
    <row r="828325" spans="1:1" x14ac:dyDescent="0.25">
      <c r="A828325" s="242"/>
    </row>
    <row r="828326" spans="1:1" x14ac:dyDescent="0.25">
      <c r="A828326" s="242"/>
    </row>
    <row r="828327" spans="1:1" x14ac:dyDescent="0.25">
      <c r="A828327" s="242"/>
    </row>
    <row r="828328" spans="1:1" x14ac:dyDescent="0.25">
      <c r="A828328" s="242"/>
    </row>
    <row r="828329" spans="1:1" x14ac:dyDescent="0.25">
      <c r="A828329" s="242"/>
    </row>
    <row r="828330" spans="1:1" x14ac:dyDescent="0.25">
      <c r="A828330" s="242"/>
    </row>
    <row r="828331" spans="1:1" x14ac:dyDescent="0.25">
      <c r="A828331" s="242"/>
    </row>
    <row r="828332" spans="1:1" x14ac:dyDescent="0.25">
      <c r="A828332" s="242"/>
    </row>
    <row r="828333" spans="1:1" x14ac:dyDescent="0.25">
      <c r="A828333" s="242"/>
    </row>
    <row r="828334" spans="1:1" x14ac:dyDescent="0.25">
      <c r="A828334" s="242"/>
    </row>
    <row r="828335" spans="1:1" x14ac:dyDescent="0.25">
      <c r="A828335" s="242"/>
    </row>
    <row r="828336" spans="1:1" x14ac:dyDescent="0.25">
      <c r="A828336" s="242"/>
    </row>
    <row r="828337" spans="1:1" x14ac:dyDescent="0.25">
      <c r="A828337" s="242"/>
    </row>
    <row r="828338" spans="1:1" x14ac:dyDescent="0.25">
      <c r="A828338" s="242"/>
    </row>
    <row r="828339" spans="1:1" x14ac:dyDescent="0.25">
      <c r="A828339" s="242"/>
    </row>
    <row r="828340" spans="1:1" x14ac:dyDescent="0.25">
      <c r="A828340" s="242"/>
    </row>
    <row r="828341" spans="1:1" x14ac:dyDescent="0.25">
      <c r="A828341" s="242"/>
    </row>
    <row r="828342" spans="1:1" x14ac:dyDescent="0.25">
      <c r="A828342" s="242"/>
    </row>
    <row r="828343" spans="1:1" x14ac:dyDescent="0.25">
      <c r="A828343" s="242"/>
    </row>
    <row r="828344" spans="1:1" x14ac:dyDescent="0.25">
      <c r="A828344" s="242"/>
    </row>
    <row r="828345" spans="1:1" x14ac:dyDescent="0.25">
      <c r="A828345" s="242"/>
    </row>
    <row r="828346" spans="1:1" x14ac:dyDescent="0.25">
      <c r="A828346" s="242"/>
    </row>
    <row r="828347" spans="1:1" x14ac:dyDescent="0.25">
      <c r="A828347" s="242"/>
    </row>
    <row r="828348" spans="1:1" x14ac:dyDescent="0.25">
      <c r="A828348" s="242"/>
    </row>
    <row r="828349" spans="1:1" x14ac:dyDescent="0.25">
      <c r="A828349" s="242"/>
    </row>
    <row r="828350" spans="1:1" x14ac:dyDescent="0.25">
      <c r="A828350" s="242"/>
    </row>
    <row r="828351" spans="1:1" x14ac:dyDescent="0.25">
      <c r="A828351" s="242"/>
    </row>
    <row r="828352" spans="1:1" x14ac:dyDescent="0.25">
      <c r="A828352" s="242"/>
    </row>
    <row r="828353" spans="1:1" x14ac:dyDescent="0.25">
      <c r="A828353" s="242"/>
    </row>
    <row r="828354" spans="1:1" x14ac:dyDescent="0.25">
      <c r="A828354" s="242"/>
    </row>
    <row r="828355" spans="1:1" x14ac:dyDescent="0.25">
      <c r="A828355" s="242"/>
    </row>
    <row r="828356" spans="1:1" x14ac:dyDescent="0.25">
      <c r="A828356" s="242"/>
    </row>
    <row r="828357" spans="1:1" x14ac:dyDescent="0.25">
      <c r="A828357" s="242"/>
    </row>
    <row r="828358" spans="1:1" x14ac:dyDescent="0.25">
      <c r="A828358" s="242"/>
    </row>
    <row r="828359" spans="1:1" x14ac:dyDescent="0.25">
      <c r="A828359" s="242"/>
    </row>
    <row r="828360" spans="1:1" x14ac:dyDescent="0.25">
      <c r="A828360" s="242"/>
    </row>
    <row r="828361" spans="1:1" x14ac:dyDescent="0.25">
      <c r="A828361" s="242"/>
    </row>
    <row r="828362" spans="1:1" x14ac:dyDescent="0.25">
      <c r="A828362" s="242"/>
    </row>
    <row r="828363" spans="1:1" x14ac:dyDescent="0.25">
      <c r="A828363" s="242"/>
    </row>
    <row r="828364" spans="1:1" x14ac:dyDescent="0.25">
      <c r="A828364" s="242"/>
    </row>
    <row r="828365" spans="1:1" x14ac:dyDescent="0.25">
      <c r="A828365" s="242"/>
    </row>
    <row r="828366" spans="1:1" x14ac:dyDescent="0.25">
      <c r="A828366" s="242"/>
    </row>
    <row r="828367" spans="1:1" x14ac:dyDescent="0.25">
      <c r="A828367" s="242"/>
    </row>
    <row r="828368" spans="1:1" x14ac:dyDescent="0.25">
      <c r="A828368" s="242"/>
    </row>
    <row r="828369" spans="1:1" x14ac:dyDescent="0.25">
      <c r="A828369" s="242"/>
    </row>
    <row r="828370" spans="1:1" x14ac:dyDescent="0.25">
      <c r="A828370" s="242"/>
    </row>
    <row r="828371" spans="1:1" x14ac:dyDescent="0.25">
      <c r="A828371" s="242"/>
    </row>
    <row r="828372" spans="1:1" x14ac:dyDescent="0.25">
      <c r="A828372" s="242"/>
    </row>
    <row r="828373" spans="1:1" x14ac:dyDescent="0.25">
      <c r="A828373" s="242"/>
    </row>
    <row r="828374" spans="1:1" x14ac:dyDescent="0.25">
      <c r="A828374" s="242"/>
    </row>
    <row r="828375" spans="1:1" x14ac:dyDescent="0.25">
      <c r="A828375" s="242"/>
    </row>
    <row r="828376" spans="1:1" x14ac:dyDescent="0.25">
      <c r="A828376" s="242"/>
    </row>
    <row r="828377" spans="1:1" x14ac:dyDescent="0.25">
      <c r="A828377" s="242"/>
    </row>
    <row r="828378" spans="1:1" x14ac:dyDescent="0.25">
      <c r="A828378" s="242"/>
    </row>
    <row r="828379" spans="1:1" x14ac:dyDescent="0.25">
      <c r="A828379" s="242"/>
    </row>
    <row r="828380" spans="1:1" x14ac:dyDescent="0.25">
      <c r="A828380" s="242"/>
    </row>
    <row r="828381" spans="1:1" x14ac:dyDescent="0.25">
      <c r="A828381" s="242"/>
    </row>
    <row r="828382" spans="1:1" x14ac:dyDescent="0.25">
      <c r="A828382" s="242"/>
    </row>
    <row r="828383" spans="1:1" x14ac:dyDescent="0.25">
      <c r="A828383" s="242"/>
    </row>
    <row r="828384" spans="1:1" x14ac:dyDescent="0.25">
      <c r="A828384" s="242"/>
    </row>
    <row r="828385" spans="1:1" x14ac:dyDescent="0.25">
      <c r="A828385" s="242"/>
    </row>
    <row r="828386" spans="1:1" x14ac:dyDescent="0.25">
      <c r="A828386" s="242"/>
    </row>
    <row r="828387" spans="1:1" x14ac:dyDescent="0.25">
      <c r="A828387" s="242"/>
    </row>
    <row r="828388" spans="1:1" x14ac:dyDescent="0.25">
      <c r="A828388" s="242"/>
    </row>
    <row r="828389" spans="1:1" x14ac:dyDescent="0.25">
      <c r="A828389" s="242"/>
    </row>
    <row r="828390" spans="1:1" x14ac:dyDescent="0.25">
      <c r="A828390" s="242"/>
    </row>
    <row r="828391" spans="1:1" x14ac:dyDescent="0.25">
      <c r="A828391" s="242"/>
    </row>
    <row r="828392" spans="1:1" x14ac:dyDescent="0.25">
      <c r="A828392" s="242"/>
    </row>
    <row r="828393" spans="1:1" x14ac:dyDescent="0.25">
      <c r="A828393" s="242"/>
    </row>
    <row r="828394" spans="1:1" x14ac:dyDescent="0.25">
      <c r="A828394" s="242"/>
    </row>
    <row r="828395" spans="1:1" x14ac:dyDescent="0.25">
      <c r="A828395" s="242"/>
    </row>
    <row r="828396" spans="1:1" x14ac:dyDescent="0.25">
      <c r="A828396" s="242"/>
    </row>
    <row r="828397" spans="1:1" x14ac:dyDescent="0.25">
      <c r="A828397" s="242"/>
    </row>
    <row r="828398" spans="1:1" x14ac:dyDescent="0.25">
      <c r="A828398" s="242"/>
    </row>
    <row r="828399" spans="1:1" x14ac:dyDescent="0.25">
      <c r="A828399" s="242"/>
    </row>
    <row r="828400" spans="1:1" x14ac:dyDescent="0.25">
      <c r="A828400" s="242"/>
    </row>
    <row r="828401" spans="1:1" x14ac:dyDescent="0.25">
      <c r="A828401" s="242"/>
    </row>
    <row r="828402" spans="1:1" x14ac:dyDescent="0.25">
      <c r="A828402" s="242"/>
    </row>
    <row r="828403" spans="1:1" x14ac:dyDescent="0.25">
      <c r="A828403" s="242"/>
    </row>
    <row r="828404" spans="1:1" x14ac:dyDescent="0.25">
      <c r="A828404" s="242"/>
    </row>
    <row r="828405" spans="1:1" x14ac:dyDescent="0.25">
      <c r="A828405" s="242"/>
    </row>
    <row r="828406" spans="1:1" x14ac:dyDescent="0.25">
      <c r="A828406" s="242"/>
    </row>
    <row r="828407" spans="1:1" x14ac:dyDescent="0.25">
      <c r="A828407" s="242"/>
    </row>
    <row r="828408" spans="1:1" x14ac:dyDescent="0.25">
      <c r="A828408" s="242"/>
    </row>
    <row r="828409" spans="1:1" x14ac:dyDescent="0.25">
      <c r="A828409" s="242"/>
    </row>
    <row r="828410" spans="1:1" x14ac:dyDescent="0.25">
      <c r="A828410" s="242"/>
    </row>
    <row r="828411" spans="1:1" x14ac:dyDescent="0.25">
      <c r="A828411" s="242"/>
    </row>
    <row r="828412" spans="1:1" x14ac:dyDescent="0.25">
      <c r="A828412" s="242"/>
    </row>
    <row r="828413" spans="1:1" x14ac:dyDescent="0.25">
      <c r="A828413" s="242"/>
    </row>
    <row r="828414" spans="1:1" x14ac:dyDescent="0.25">
      <c r="A828414" s="242"/>
    </row>
    <row r="828415" spans="1:1" x14ac:dyDescent="0.25">
      <c r="A828415" s="242"/>
    </row>
    <row r="828416" spans="1:1" x14ac:dyDescent="0.25">
      <c r="A828416" s="242"/>
    </row>
    <row r="828417" spans="1:1" x14ac:dyDescent="0.25">
      <c r="A828417" s="242"/>
    </row>
    <row r="828418" spans="1:1" x14ac:dyDescent="0.25">
      <c r="A828418" s="242"/>
    </row>
    <row r="828419" spans="1:1" x14ac:dyDescent="0.25">
      <c r="A828419" s="242"/>
    </row>
    <row r="828420" spans="1:1" x14ac:dyDescent="0.25">
      <c r="A828420" s="242"/>
    </row>
    <row r="828421" spans="1:1" x14ac:dyDescent="0.25">
      <c r="A828421" s="242"/>
    </row>
    <row r="828422" spans="1:1" x14ac:dyDescent="0.25">
      <c r="A828422" s="242"/>
    </row>
    <row r="828423" spans="1:1" x14ac:dyDescent="0.25">
      <c r="A828423" s="242"/>
    </row>
    <row r="828424" spans="1:1" x14ac:dyDescent="0.25">
      <c r="A828424" s="242"/>
    </row>
    <row r="828425" spans="1:1" x14ac:dyDescent="0.25">
      <c r="A828425" s="242"/>
    </row>
    <row r="828426" spans="1:1" x14ac:dyDescent="0.25">
      <c r="A828426" s="242"/>
    </row>
    <row r="828427" spans="1:1" x14ac:dyDescent="0.25">
      <c r="A828427" s="242"/>
    </row>
    <row r="828428" spans="1:1" x14ac:dyDescent="0.25">
      <c r="A828428" s="242"/>
    </row>
    <row r="828429" spans="1:1" x14ac:dyDescent="0.25">
      <c r="A828429" s="242"/>
    </row>
    <row r="828430" spans="1:1" x14ac:dyDescent="0.25">
      <c r="A828430" s="242"/>
    </row>
    <row r="828431" spans="1:1" x14ac:dyDescent="0.25">
      <c r="A828431" s="242"/>
    </row>
    <row r="828432" spans="1:1" x14ac:dyDescent="0.25">
      <c r="A828432" s="242"/>
    </row>
    <row r="828433" spans="1:1" x14ac:dyDescent="0.25">
      <c r="A828433" s="242"/>
    </row>
    <row r="828434" spans="1:1" x14ac:dyDescent="0.25">
      <c r="A828434" s="242"/>
    </row>
    <row r="828435" spans="1:1" x14ac:dyDescent="0.25">
      <c r="A828435" s="242"/>
    </row>
    <row r="828436" spans="1:1" x14ac:dyDescent="0.25">
      <c r="A828436" s="242"/>
    </row>
    <row r="828437" spans="1:1" x14ac:dyDescent="0.25">
      <c r="A828437" s="242"/>
    </row>
    <row r="828438" spans="1:1" x14ac:dyDescent="0.25">
      <c r="A828438" s="242"/>
    </row>
    <row r="828439" spans="1:1" x14ac:dyDescent="0.25">
      <c r="A828439" s="242"/>
    </row>
    <row r="828440" spans="1:1" x14ac:dyDescent="0.25">
      <c r="A828440" s="242"/>
    </row>
    <row r="828441" spans="1:1" x14ac:dyDescent="0.25">
      <c r="A828441" s="242"/>
    </row>
    <row r="828442" spans="1:1" x14ac:dyDescent="0.25">
      <c r="A828442" s="242"/>
    </row>
    <row r="828443" spans="1:1" x14ac:dyDescent="0.25">
      <c r="A828443" s="242"/>
    </row>
    <row r="828444" spans="1:1" x14ac:dyDescent="0.25">
      <c r="A828444" s="242"/>
    </row>
    <row r="828445" spans="1:1" x14ac:dyDescent="0.25">
      <c r="A828445" s="242"/>
    </row>
    <row r="828446" spans="1:1" x14ac:dyDescent="0.25">
      <c r="A828446" s="242"/>
    </row>
    <row r="828447" spans="1:1" x14ac:dyDescent="0.25">
      <c r="A828447" s="242"/>
    </row>
    <row r="828448" spans="1:1" x14ac:dyDescent="0.25">
      <c r="A828448" s="242"/>
    </row>
    <row r="828449" spans="1:1" x14ac:dyDescent="0.25">
      <c r="A828449" s="242"/>
    </row>
    <row r="828450" spans="1:1" x14ac:dyDescent="0.25">
      <c r="A828450" s="242"/>
    </row>
    <row r="828451" spans="1:1" x14ac:dyDescent="0.25">
      <c r="A828451" s="242"/>
    </row>
    <row r="828452" spans="1:1" x14ac:dyDescent="0.25">
      <c r="A828452" s="242"/>
    </row>
    <row r="828453" spans="1:1" x14ac:dyDescent="0.25">
      <c r="A828453" s="242"/>
    </row>
    <row r="828454" spans="1:1" x14ac:dyDescent="0.25">
      <c r="A828454" s="242"/>
    </row>
    <row r="828455" spans="1:1" x14ac:dyDescent="0.25">
      <c r="A828455" s="242"/>
    </row>
    <row r="828456" spans="1:1" x14ac:dyDescent="0.25">
      <c r="A828456" s="242"/>
    </row>
    <row r="828457" spans="1:1" x14ac:dyDescent="0.25">
      <c r="A828457" s="242"/>
    </row>
    <row r="828458" spans="1:1" x14ac:dyDescent="0.25">
      <c r="A828458" s="242"/>
    </row>
    <row r="828459" spans="1:1" x14ac:dyDescent="0.25">
      <c r="A828459" s="242"/>
    </row>
    <row r="828460" spans="1:1" x14ac:dyDescent="0.25">
      <c r="A828460" s="242"/>
    </row>
    <row r="828461" spans="1:1" x14ac:dyDescent="0.25">
      <c r="A828461" s="242"/>
    </row>
    <row r="828462" spans="1:1" x14ac:dyDescent="0.25">
      <c r="A828462" s="242"/>
    </row>
    <row r="828463" spans="1:1" x14ac:dyDescent="0.25">
      <c r="A828463" s="242"/>
    </row>
    <row r="828464" spans="1:1" x14ac:dyDescent="0.25">
      <c r="A828464" s="242"/>
    </row>
    <row r="828465" spans="1:1" x14ac:dyDescent="0.25">
      <c r="A828465" s="242"/>
    </row>
    <row r="828466" spans="1:1" x14ac:dyDescent="0.25">
      <c r="A828466" s="242"/>
    </row>
    <row r="828467" spans="1:1" x14ac:dyDescent="0.25">
      <c r="A828467" s="242"/>
    </row>
    <row r="828468" spans="1:1" x14ac:dyDescent="0.25">
      <c r="A828468" s="242"/>
    </row>
    <row r="828469" spans="1:1" x14ac:dyDescent="0.25">
      <c r="A828469" s="242"/>
    </row>
    <row r="828470" spans="1:1" x14ac:dyDescent="0.25">
      <c r="A828470" s="242"/>
    </row>
    <row r="828471" spans="1:1" x14ac:dyDescent="0.25">
      <c r="A828471" s="242"/>
    </row>
    <row r="828472" spans="1:1" x14ac:dyDescent="0.25">
      <c r="A828472" s="242"/>
    </row>
    <row r="828473" spans="1:1" x14ac:dyDescent="0.25">
      <c r="A828473" s="242"/>
    </row>
    <row r="828474" spans="1:1" x14ac:dyDescent="0.25">
      <c r="A828474" s="242"/>
    </row>
    <row r="828475" spans="1:1" x14ac:dyDescent="0.25">
      <c r="A828475" s="242"/>
    </row>
    <row r="828476" spans="1:1" x14ac:dyDescent="0.25">
      <c r="A828476" s="242"/>
    </row>
    <row r="828477" spans="1:1" x14ac:dyDescent="0.25">
      <c r="A828477" s="242"/>
    </row>
    <row r="828478" spans="1:1" x14ac:dyDescent="0.25">
      <c r="A828478" s="242"/>
    </row>
    <row r="828479" spans="1:1" x14ac:dyDescent="0.25">
      <c r="A828479" s="242"/>
    </row>
    <row r="828480" spans="1:1" x14ac:dyDescent="0.25">
      <c r="A828480" s="242"/>
    </row>
    <row r="828481" spans="1:1" x14ac:dyDescent="0.25">
      <c r="A828481" s="242"/>
    </row>
    <row r="828482" spans="1:1" x14ac:dyDescent="0.25">
      <c r="A828482" s="242"/>
    </row>
    <row r="828483" spans="1:1" x14ac:dyDescent="0.25">
      <c r="A828483" s="242"/>
    </row>
    <row r="828484" spans="1:1" x14ac:dyDescent="0.25">
      <c r="A828484" s="242"/>
    </row>
    <row r="828485" spans="1:1" x14ac:dyDescent="0.25">
      <c r="A828485" s="242"/>
    </row>
    <row r="828486" spans="1:1" x14ac:dyDescent="0.25">
      <c r="A828486" s="242"/>
    </row>
    <row r="828487" spans="1:1" x14ac:dyDescent="0.25">
      <c r="A828487" s="242"/>
    </row>
    <row r="828488" spans="1:1" x14ac:dyDescent="0.25">
      <c r="A828488" s="242"/>
    </row>
    <row r="828489" spans="1:1" x14ac:dyDescent="0.25">
      <c r="A828489" s="242"/>
    </row>
    <row r="828490" spans="1:1" x14ac:dyDescent="0.25">
      <c r="A828490" s="242"/>
    </row>
    <row r="828491" spans="1:1" x14ac:dyDescent="0.25">
      <c r="A828491" s="242"/>
    </row>
    <row r="828492" spans="1:1" x14ac:dyDescent="0.25">
      <c r="A828492" s="242"/>
    </row>
    <row r="828493" spans="1:1" x14ac:dyDescent="0.25">
      <c r="A828493" s="242"/>
    </row>
    <row r="828494" spans="1:1" x14ac:dyDescent="0.25">
      <c r="A828494" s="242"/>
    </row>
    <row r="828495" spans="1:1" x14ac:dyDescent="0.25">
      <c r="A828495" s="242"/>
    </row>
    <row r="828496" spans="1:1" x14ac:dyDescent="0.25">
      <c r="A828496" s="242"/>
    </row>
    <row r="828497" spans="1:1" x14ac:dyDescent="0.25">
      <c r="A828497" s="242"/>
    </row>
    <row r="828498" spans="1:1" x14ac:dyDescent="0.25">
      <c r="A828498" s="242"/>
    </row>
    <row r="828499" spans="1:1" x14ac:dyDescent="0.25">
      <c r="A828499" s="242"/>
    </row>
    <row r="828500" spans="1:1" x14ac:dyDescent="0.25">
      <c r="A828500" s="242"/>
    </row>
    <row r="828501" spans="1:1" x14ac:dyDescent="0.25">
      <c r="A828501" s="242"/>
    </row>
    <row r="828502" spans="1:1" x14ac:dyDescent="0.25">
      <c r="A828502" s="242"/>
    </row>
    <row r="828503" spans="1:1" x14ac:dyDescent="0.25">
      <c r="A828503" s="242"/>
    </row>
    <row r="828504" spans="1:1" x14ac:dyDescent="0.25">
      <c r="A828504" s="242"/>
    </row>
    <row r="828505" spans="1:1" x14ac:dyDescent="0.25">
      <c r="A828505" s="242"/>
    </row>
    <row r="828506" spans="1:1" x14ac:dyDescent="0.25">
      <c r="A828506" s="242"/>
    </row>
    <row r="828507" spans="1:1" x14ac:dyDescent="0.25">
      <c r="A828507" s="242"/>
    </row>
    <row r="828508" spans="1:1" x14ac:dyDescent="0.25">
      <c r="A828508" s="242"/>
    </row>
    <row r="828509" spans="1:1" x14ac:dyDescent="0.25">
      <c r="A828509" s="242"/>
    </row>
    <row r="828510" spans="1:1" x14ac:dyDescent="0.25">
      <c r="A828510" s="242"/>
    </row>
    <row r="828511" spans="1:1" x14ac:dyDescent="0.25">
      <c r="A828511" s="242"/>
    </row>
    <row r="828512" spans="1:1" x14ac:dyDescent="0.25">
      <c r="A828512" s="242"/>
    </row>
    <row r="828513" spans="1:1" x14ac:dyDescent="0.25">
      <c r="A828513" s="242"/>
    </row>
    <row r="828514" spans="1:1" x14ac:dyDescent="0.25">
      <c r="A828514" s="242"/>
    </row>
    <row r="828515" spans="1:1" x14ac:dyDescent="0.25">
      <c r="A828515" s="242"/>
    </row>
    <row r="828516" spans="1:1" x14ac:dyDescent="0.25">
      <c r="A828516" s="242"/>
    </row>
    <row r="828517" spans="1:1" x14ac:dyDescent="0.25">
      <c r="A828517" s="242"/>
    </row>
    <row r="828518" spans="1:1" x14ac:dyDescent="0.25">
      <c r="A828518" s="242"/>
    </row>
    <row r="828519" spans="1:1" x14ac:dyDescent="0.25">
      <c r="A828519" s="242"/>
    </row>
    <row r="828520" spans="1:1" x14ac:dyDescent="0.25">
      <c r="A828520" s="242"/>
    </row>
    <row r="828521" spans="1:1" x14ac:dyDescent="0.25">
      <c r="A828521" s="242"/>
    </row>
    <row r="828522" spans="1:1" x14ac:dyDescent="0.25">
      <c r="A828522" s="242"/>
    </row>
    <row r="828523" spans="1:1" x14ac:dyDescent="0.25">
      <c r="A828523" s="242"/>
    </row>
    <row r="828524" spans="1:1" x14ac:dyDescent="0.25">
      <c r="A828524" s="242"/>
    </row>
    <row r="828525" spans="1:1" x14ac:dyDescent="0.25">
      <c r="A828525" s="242"/>
    </row>
    <row r="828526" spans="1:1" x14ac:dyDescent="0.25">
      <c r="A828526" s="242"/>
    </row>
    <row r="828527" spans="1:1" x14ac:dyDescent="0.25">
      <c r="A828527" s="242"/>
    </row>
    <row r="828528" spans="1:1" x14ac:dyDescent="0.25">
      <c r="A828528" s="242"/>
    </row>
    <row r="828529" spans="1:1" x14ac:dyDescent="0.25">
      <c r="A828529" s="242"/>
    </row>
    <row r="828530" spans="1:1" x14ac:dyDescent="0.25">
      <c r="A828530" s="242"/>
    </row>
    <row r="828531" spans="1:1" x14ac:dyDescent="0.25">
      <c r="A828531" s="242"/>
    </row>
    <row r="828532" spans="1:1" x14ac:dyDescent="0.25">
      <c r="A828532" s="242"/>
    </row>
    <row r="828533" spans="1:1" x14ac:dyDescent="0.25">
      <c r="A828533" s="242"/>
    </row>
    <row r="828534" spans="1:1" x14ac:dyDescent="0.25">
      <c r="A828534" s="242"/>
    </row>
    <row r="828535" spans="1:1" x14ac:dyDescent="0.25">
      <c r="A828535" s="242"/>
    </row>
    <row r="828536" spans="1:1" x14ac:dyDescent="0.25">
      <c r="A828536" s="242"/>
    </row>
    <row r="828537" spans="1:1" x14ac:dyDescent="0.25">
      <c r="A828537" s="242"/>
    </row>
    <row r="828538" spans="1:1" x14ac:dyDescent="0.25">
      <c r="A828538" s="242"/>
    </row>
    <row r="828539" spans="1:1" x14ac:dyDescent="0.25">
      <c r="A828539" s="242"/>
    </row>
    <row r="828540" spans="1:1" x14ac:dyDescent="0.25">
      <c r="A828540" s="242"/>
    </row>
    <row r="828541" spans="1:1" x14ac:dyDescent="0.25">
      <c r="A828541" s="242"/>
    </row>
    <row r="828542" spans="1:1" x14ac:dyDescent="0.25">
      <c r="A828542" s="242"/>
    </row>
    <row r="828543" spans="1:1" x14ac:dyDescent="0.25">
      <c r="A828543" s="242"/>
    </row>
    <row r="828544" spans="1:1" x14ac:dyDescent="0.25">
      <c r="A828544" s="242"/>
    </row>
    <row r="828545" spans="1:1" x14ac:dyDescent="0.25">
      <c r="A828545" s="242"/>
    </row>
    <row r="828546" spans="1:1" x14ac:dyDescent="0.25">
      <c r="A828546" s="242"/>
    </row>
    <row r="828547" spans="1:1" x14ac:dyDescent="0.25">
      <c r="A828547" s="242"/>
    </row>
    <row r="828548" spans="1:1" x14ac:dyDescent="0.25">
      <c r="A828548" s="242"/>
    </row>
    <row r="828549" spans="1:1" x14ac:dyDescent="0.25">
      <c r="A828549" s="242"/>
    </row>
    <row r="828550" spans="1:1" x14ac:dyDescent="0.25">
      <c r="A828550" s="242"/>
    </row>
    <row r="828551" spans="1:1" x14ac:dyDescent="0.25">
      <c r="A828551" s="242"/>
    </row>
    <row r="828552" spans="1:1" x14ac:dyDescent="0.25">
      <c r="A828552" s="242"/>
    </row>
    <row r="828553" spans="1:1" x14ac:dyDescent="0.25">
      <c r="A828553" s="242"/>
    </row>
    <row r="828554" spans="1:1" x14ac:dyDescent="0.25">
      <c r="A828554" s="242"/>
    </row>
    <row r="828555" spans="1:1" x14ac:dyDescent="0.25">
      <c r="A828555" s="242"/>
    </row>
    <row r="828556" spans="1:1" x14ac:dyDescent="0.25">
      <c r="A828556" s="242"/>
    </row>
    <row r="828557" spans="1:1" x14ac:dyDescent="0.25">
      <c r="A828557" s="242"/>
    </row>
    <row r="828558" spans="1:1" x14ac:dyDescent="0.25">
      <c r="A828558" s="242"/>
    </row>
    <row r="828559" spans="1:1" x14ac:dyDescent="0.25">
      <c r="A828559" s="242"/>
    </row>
    <row r="828560" spans="1:1" x14ac:dyDescent="0.25">
      <c r="A828560" s="242"/>
    </row>
    <row r="828561" spans="1:1" x14ac:dyDescent="0.25">
      <c r="A828561" s="242"/>
    </row>
    <row r="828562" spans="1:1" x14ac:dyDescent="0.25">
      <c r="A828562" s="242"/>
    </row>
    <row r="828563" spans="1:1" x14ac:dyDescent="0.25">
      <c r="A828563" s="242"/>
    </row>
    <row r="828564" spans="1:1" x14ac:dyDescent="0.25">
      <c r="A828564" s="242"/>
    </row>
    <row r="828565" spans="1:1" x14ac:dyDescent="0.25">
      <c r="A828565" s="242"/>
    </row>
    <row r="828566" spans="1:1" x14ac:dyDescent="0.25">
      <c r="A828566" s="242"/>
    </row>
    <row r="828567" spans="1:1" x14ac:dyDescent="0.25">
      <c r="A828567" s="242"/>
    </row>
    <row r="828568" spans="1:1" x14ac:dyDescent="0.25">
      <c r="A828568" s="242"/>
    </row>
    <row r="828569" spans="1:1" x14ac:dyDescent="0.25">
      <c r="A828569" s="242"/>
    </row>
    <row r="828570" spans="1:1" x14ac:dyDescent="0.25">
      <c r="A828570" s="242"/>
    </row>
    <row r="828571" spans="1:1" x14ac:dyDescent="0.25">
      <c r="A828571" s="242"/>
    </row>
    <row r="828572" spans="1:1" x14ac:dyDescent="0.25">
      <c r="A828572" s="242"/>
    </row>
    <row r="828573" spans="1:1" x14ac:dyDescent="0.25">
      <c r="A828573" s="242"/>
    </row>
    <row r="828574" spans="1:1" x14ac:dyDescent="0.25">
      <c r="A828574" s="242"/>
    </row>
    <row r="828575" spans="1:1" x14ac:dyDescent="0.25">
      <c r="A828575" s="242"/>
    </row>
    <row r="828576" spans="1:1" x14ac:dyDescent="0.25">
      <c r="A828576" s="242"/>
    </row>
    <row r="828577" spans="1:1" x14ac:dyDescent="0.25">
      <c r="A828577" s="242"/>
    </row>
    <row r="828578" spans="1:1" x14ac:dyDescent="0.25">
      <c r="A828578" s="242"/>
    </row>
    <row r="828579" spans="1:1" x14ac:dyDescent="0.25">
      <c r="A828579" s="242"/>
    </row>
    <row r="828580" spans="1:1" x14ac:dyDescent="0.25">
      <c r="A828580" s="242"/>
    </row>
    <row r="828581" spans="1:1" x14ac:dyDescent="0.25">
      <c r="A828581" s="242"/>
    </row>
    <row r="828582" spans="1:1" x14ac:dyDescent="0.25">
      <c r="A828582" s="242"/>
    </row>
    <row r="828583" spans="1:1" x14ac:dyDescent="0.25">
      <c r="A828583" s="242"/>
    </row>
    <row r="828584" spans="1:1" x14ac:dyDescent="0.25">
      <c r="A828584" s="242"/>
    </row>
    <row r="828585" spans="1:1" x14ac:dyDescent="0.25">
      <c r="A828585" s="242"/>
    </row>
    <row r="828586" spans="1:1" x14ac:dyDescent="0.25">
      <c r="A828586" s="242"/>
    </row>
    <row r="828587" spans="1:1" x14ac:dyDescent="0.25">
      <c r="A828587" s="242"/>
    </row>
    <row r="828588" spans="1:1" x14ac:dyDescent="0.25">
      <c r="A828588" s="242"/>
    </row>
    <row r="828589" spans="1:1" x14ac:dyDescent="0.25">
      <c r="A828589" s="242"/>
    </row>
    <row r="828590" spans="1:1" x14ac:dyDescent="0.25">
      <c r="A828590" s="242"/>
    </row>
    <row r="828591" spans="1:1" x14ac:dyDescent="0.25">
      <c r="A828591" s="242"/>
    </row>
    <row r="828592" spans="1:1" x14ac:dyDescent="0.25">
      <c r="A828592" s="242"/>
    </row>
    <row r="828593" spans="1:1" x14ac:dyDescent="0.25">
      <c r="A828593" s="242"/>
    </row>
    <row r="828594" spans="1:1" x14ac:dyDescent="0.25">
      <c r="A828594" s="242"/>
    </row>
    <row r="828595" spans="1:1" x14ac:dyDescent="0.25">
      <c r="A828595" s="242"/>
    </row>
    <row r="828596" spans="1:1" x14ac:dyDescent="0.25">
      <c r="A828596" s="242"/>
    </row>
    <row r="828597" spans="1:1" x14ac:dyDescent="0.25">
      <c r="A828597" s="242"/>
    </row>
    <row r="828598" spans="1:1" x14ac:dyDescent="0.25">
      <c r="A828598" s="242"/>
    </row>
    <row r="828599" spans="1:1" x14ac:dyDescent="0.25">
      <c r="A828599" s="242"/>
    </row>
    <row r="828600" spans="1:1" x14ac:dyDescent="0.25">
      <c r="A828600" s="242"/>
    </row>
    <row r="828601" spans="1:1" x14ac:dyDescent="0.25">
      <c r="A828601" s="242"/>
    </row>
    <row r="828602" spans="1:1" x14ac:dyDescent="0.25">
      <c r="A828602" s="242"/>
    </row>
    <row r="828603" spans="1:1" x14ac:dyDescent="0.25">
      <c r="A828603" s="242"/>
    </row>
    <row r="828604" spans="1:1" x14ac:dyDescent="0.25">
      <c r="A828604" s="242"/>
    </row>
    <row r="828605" spans="1:1" x14ac:dyDescent="0.25">
      <c r="A828605" s="242"/>
    </row>
    <row r="828606" spans="1:1" x14ac:dyDescent="0.25">
      <c r="A828606" s="242"/>
    </row>
    <row r="828607" spans="1:1" x14ac:dyDescent="0.25">
      <c r="A828607" s="242"/>
    </row>
    <row r="828608" spans="1:1" x14ac:dyDescent="0.25">
      <c r="A828608" s="242"/>
    </row>
    <row r="828609" spans="1:1" x14ac:dyDescent="0.25">
      <c r="A828609" s="242"/>
    </row>
    <row r="828610" spans="1:1" x14ac:dyDescent="0.25">
      <c r="A828610" s="242"/>
    </row>
    <row r="828611" spans="1:1" x14ac:dyDescent="0.25">
      <c r="A828611" s="242"/>
    </row>
    <row r="828612" spans="1:1" x14ac:dyDescent="0.25">
      <c r="A828612" s="242"/>
    </row>
    <row r="828613" spans="1:1" x14ac:dyDescent="0.25">
      <c r="A828613" s="242"/>
    </row>
    <row r="828614" spans="1:1" x14ac:dyDescent="0.25">
      <c r="A828614" s="242"/>
    </row>
    <row r="828615" spans="1:1" x14ac:dyDescent="0.25">
      <c r="A828615" s="242"/>
    </row>
    <row r="828616" spans="1:1" x14ac:dyDescent="0.25">
      <c r="A828616" s="242"/>
    </row>
    <row r="828617" spans="1:1" x14ac:dyDescent="0.25">
      <c r="A828617" s="242"/>
    </row>
    <row r="828618" spans="1:1" x14ac:dyDescent="0.25">
      <c r="A828618" s="242"/>
    </row>
    <row r="828619" spans="1:1" x14ac:dyDescent="0.25">
      <c r="A828619" s="242"/>
    </row>
    <row r="828620" spans="1:1" x14ac:dyDescent="0.25">
      <c r="A828620" s="242"/>
    </row>
    <row r="828621" spans="1:1" x14ac:dyDescent="0.25">
      <c r="A828621" s="242"/>
    </row>
    <row r="828622" spans="1:1" x14ac:dyDescent="0.25">
      <c r="A828622" s="242"/>
    </row>
    <row r="828623" spans="1:1" x14ac:dyDescent="0.25">
      <c r="A828623" s="242"/>
    </row>
    <row r="828624" spans="1:1" x14ac:dyDescent="0.25">
      <c r="A828624" s="242"/>
    </row>
    <row r="828625" spans="1:1" x14ac:dyDescent="0.25">
      <c r="A828625" s="242"/>
    </row>
    <row r="828626" spans="1:1" x14ac:dyDescent="0.25">
      <c r="A828626" s="242"/>
    </row>
    <row r="828627" spans="1:1" x14ac:dyDescent="0.25">
      <c r="A828627" s="242"/>
    </row>
    <row r="828628" spans="1:1" x14ac:dyDescent="0.25">
      <c r="A828628" s="242"/>
    </row>
    <row r="828629" spans="1:1" x14ac:dyDescent="0.25">
      <c r="A828629" s="242"/>
    </row>
    <row r="828630" spans="1:1" x14ac:dyDescent="0.25">
      <c r="A828630" s="242"/>
    </row>
    <row r="828631" spans="1:1" x14ac:dyDescent="0.25">
      <c r="A828631" s="242"/>
    </row>
    <row r="828632" spans="1:1" x14ac:dyDescent="0.25">
      <c r="A828632" s="242"/>
    </row>
    <row r="828633" spans="1:1" x14ac:dyDescent="0.25">
      <c r="A828633" s="242"/>
    </row>
    <row r="828634" spans="1:1" x14ac:dyDescent="0.25">
      <c r="A828634" s="242"/>
    </row>
    <row r="828635" spans="1:1" x14ac:dyDescent="0.25">
      <c r="A828635" s="242"/>
    </row>
    <row r="828636" spans="1:1" x14ac:dyDescent="0.25">
      <c r="A828636" s="242"/>
    </row>
    <row r="828637" spans="1:1" x14ac:dyDescent="0.25">
      <c r="A828637" s="242"/>
    </row>
    <row r="828638" spans="1:1" x14ac:dyDescent="0.25">
      <c r="A828638" s="242"/>
    </row>
    <row r="828639" spans="1:1" x14ac:dyDescent="0.25">
      <c r="A828639" s="242"/>
    </row>
    <row r="828640" spans="1:1" x14ac:dyDescent="0.25">
      <c r="A828640" s="242"/>
    </row>
    <row r="828641" spans="1:1" x14ac:dyDescent="0.25">
      <c r="A828641" s="242"/>
    </row>
    <row r="828642" spans="1:1" x14ac:dyDescent="0.25">
      <c r="A828642" s="242"/>
    </row>
    <row r="828643" spans="1:1" x14ac:dyDescent="0.25">
      <c r="A828643" s="242"/>
    </row>
    <row r="828644" spans="1:1" x14ac:dyDescent="0.25">
      <c r="A828644" s="242"/>
    </row>
    <row r="828645" spans="1:1" x14ac:dyDescent="0.25">
      <c r="A828645" s="242"/>
    </row>
    <row r="828646" spans="1:1" x14ac:dyDescent="0.25">
      <c r="A828646" s="242"/>
    </row>
    <row r="828647" spans="1:1" x14ac:dyDescent="0.25">
      <c r="A828647" s="242"/>
    </row>
    <row r="828648" spans="1:1" x14ac:dyDescent="0.25">
      <c r="A828648" s="242"/>
    </row>
    <row r="828649" spans="1:1" x14ac:dyDescent="0.25">
      <c r="A828649" s="242"/>
    </row>
    <row r="828650" spans="1:1" x14ac:dyDescent="0.25">
      <c r="A828650" s="242"/>
    </row>
    <row r="828651" spans="1:1" x14ac:dyDescent="0.25">
      <c r="A828651" s="242"/>
    </row>
    <row r="828652" spans="1:1" x14ac:dyDescent="0.25">
      <c r="A828652" s="242"/>
    </row>
    <row r="828653" spans="1:1" x14ac:dyDescent="0.25">
      <c r="A828653" s="242"/>
    </row>
    <row r="828654" spans="1:1" x14ac:dyDescent="0.25">
      <c r="A828654" s="242"/>
    </row>
    <row r="828655" spans="1:1" x14ac:dyDescent="0.25">
      <c r="A828655" s="242"/>
    </row>
    <row r="828656" spans="1:1" x14ac:dyDescent="0.25">
      <c r="A828656" s="242"/>
    </row>
    <row r="828657" spans="1:1" x14ac:dyDescent="0.25">
      <c r="A828657" s="242"/>
    </row>
    <row r="828658" spans="1:1" x14ac:dyDescent="0.25">
      <c r="A828658" s="242"/>
    </row>
    <row r="828659" spans="1:1" x14ac:dyDescent="0.25">
      <c r="A828659" s="242"/>
    </row>
    <row r="828660" spans="1:1" x14ac:dyDescent="0.25">
      <c r="A828660" s="242"/>
    </row>
    <row r="828661" spans="1:1" x14ac:dyDescent="0.25">
      <c r="A828661" s="242"/>
    </row>
    <row r="828662" spans="1:1" x14ac:dyDescent="0.25">
      <c r="A828662" s="242"/>
    </row>
    <row r="828663" spans="1:1" x14ac:dyDescent="0.25">
      <c r="A828663" s="242"/>
    </row>
    <row r="828664" spans="1:1" x14ac:dyDescent="0.25">
      <c r="A828664" s="242"/>
    </row>
    <row r="828665" spans="1:1" x14ac:dyDescent="0.25">
      <c r="A828665" s="242"/>
    </row>
    <row r="828666" spans="1:1" x14ac:dyDescent="0.25">
      <c r="A828666" s="242"/>
    </row>
    <row r="828667" spans="1:1" x14ac:dyDescent="0.25">
      <c r="A828667" s="242"/>
    </row>
    <row r="828668" spans="1:1" x14ac:dyDescent="0.25">
      <c r="A828668" s="242"/>
    </row>
    <row r="828669" spans="1:1" x14ac:dyDescent="0.25">
      <c r="A828669" s="242"/>
    </row>
    <row r="828670" spans="1:1" x14ac:dyDescent="0.25">
      <c r="A828670" s="242"/>
    </row>
    <row r="828671" spans="1:1" x14ac:dyDescent="0.25">
      <c r="A828671" s="242"/>
    </row>
    <row r="828672" spans="1:1" x14ac:dyDescent="0.25">
      <c r="A828672" s="242"/>
    </row>
    <row r="828673" spans="1:1" x14ac:dyDescent="0.25">
      <c r="A828673" s="242"/>
    </row>
    <row r="828674" spans="1:1" x14ac:dyDescent="0.25">
      <c r="A828674" s="242"/>
    </row>
    <row r="828675" spans="1:1" x14ac:dyDescent="0.25">
      <c r="A828675" s="242"/>
    </row>
    <row r="828676" spans="1:1" x14ac:dyDescent="0.25">
      <c r="A828676" s="242"/>
    </row>
    <row r="828677" spans="1:1" x14ac:dyDescent="0.25">
      <c r="A828677" s="242"/>
    </row>
    <row r="828678" spans="1:1" x14ac:dyDescent="0.25">
      <c r="A828678" s="242"/>
    </row>
    <row r="828679" spans="1:1" x14ac:dyDescent="0.25">
      <c r="A828679" s="242"/>
    </row>
    <row r="828680" spans="1:1" x14ac:dyDescent="0.25">
      <c r="A828680" s="242"/>
    </row>
    <row r="828681" spans="1:1" x14ac:dyDescent="0.25">
      <c r="A828681" s="242"/>
    </row>
    <row r="828682" spans="1:1" x14ac:dyDescent="0.25">
      <c r="A828682" s="242"/>
    </row>
    <row r="828683" spans="1:1" x14ac:dyDescent="0.25">
      <c r="A828683" s="242"/>
    </row>
    <row r="828684" spans="1:1" x14ac:dyDescent="0.25">
      <c r="A828684" s="242"/>
    </row>
    <row r="828685" spans="1:1" x14ac:dyDescent="0.25">
      <c r="A828685" s="242"/>
    </row>
    <row r="828686" spans="1:1" x14ac:dyDescent="0.25">
      <c r="A828686" s="242"/>
    </row>
    <row r="828687" spans="1:1" x14ac:dyDescent="0.25">
      <c r="A828687" s="242"/>
    </row>
    <row r="828688" spans="1:1" x14ac:dyDescent="0.25">
      <c r="A828688" s="242"/>
    </row>
    <row r="828689" spans="1:1" x14ac:dyDescent="0.25">
      <c r="A828689" s="242"/>
    </row>
    <row r="828690" spans="1:1" x14ac:dyDescent="0.25">
      <c r="A828690" s="242"/>
    </row>
    <row r="828691" spans="1:1" x14ac:dyDescent="0.25">
      <c r="A828691" s="242"/>
    </row>
    <row r="828692" spans="1:1" x14ac:dyDescent="0.25">
      <c r="A828692" s="242"/>
    </row>
    <row r="828693" spans="1:1" x14ac:dyDescent="0.25">
      <c r="A828693" s="242"/>
    </row>
    <row r="828694" spans="1:1" x14ac:dyDescent="0.25">
      <c r="A828694" s="242"/>
    </row>
    <row r="828695" spans="1:1" x14ac:dyDescent="0.25">
      <c r="A828695" s="242"/>
    </row>
    <row r="828696" spans="1:1" x14ac:dyDescent="0.25">
      <c r="A828696" s="242"/>
    </row>
    <row r="828697" spans="1:1" x14ac:dyDescent="0.25">
      <c r="A828697" s="242"/>
    </row>
    <row r="828698" spans="1:1" x14ac:dyDescent="0.25">
      <c r="A828698" s="242"/>
    </row>
    <row r="828699" spans="1:1" x14ac:dyDescent="0.25">
      <c r="A828699" s="242"/>
    </row>
    <row r="828700" spans="1:1" x14ac:dyDescent="0.25">
      <c r="A828700" s="242"/>
    </row>
    <row r="828701" spans="1:1" x14ac:dyDescent="0.25">
      <c r="A828701" s="242"/>
    </row>
    <row r="828702" spans="1:1" x14ac:dyDescent="0.25">
      <c r="A828702" s="242"/>
    </row>
    <row r="828703" spans="1:1" x14ac:dyDescent="0.25">
      <c r="A828703" s="242"/>
    </row>
    <row r="828704" spans="1:1" x14ac:dyDescent="0.25">
      <c r="A828704" s="242"/>
    </row>
    <row r="828705" spans="1:1" x14ac:dyDescent="0.25">
      <c r="A828705" s="242"/>
    </row>
    <row r="828706" spans="1:1" x14ac:dyDescent="0.25">
      <c r="A828706" s="242"/>
    </row>
    <row r="828707" spans="1:1" x14ac:dyDescent="0.25">
      <c r="A828707" s="242"/>
    </row>
    <row r="828708" spans="1:1" x14ac:dyDescent="0.25">
      <c r="A828708" s="242"/>
    </row>
    <row r="828709" spans="1:1" x14ac:dyDescent="0.25">
      <c r="A828709" s="242"/>
    </row>
    <row r="828710" spans="1:1" x14ac:dyDescent="0.25">
      <c r="A828710" s="242"/>
    </row>
    <row r="828711" spans="1:1" x14ac:dyDescent="0.25">
      <c r="A828711" s="242"/>
    </row>
    <row r="828712" spans="1:1" x14ac:dyDescent="0.25">
      <c r="A828712" s="242"/>
    </row>
    <row r="828713" spans="1:1" x14ac:dyDescent="0.25">
      <c r="A828713" s="242"/>
    </row>
    <row r="828714" spans="1:1" x14ac:dyDescent="0.25">
      <c r="A828714" s="242"/>
    </row>
    <row r="828715" spans="1:1" x14ac:dyDescent="0.25">
      <c r="A828715" s="242"/>
    </row>
    <row r="828716" spans="1:1" x14ac:dyDescent="0.25">
      <c r="A828716" s="242"/>
    </row>
    <row r="828717" spans="1:1" x14ac:dyDescent="0.25">
      <c r="A828717" s="242"/>
    </row>
    <row r="828718" spans="1:1" x14ac:dyDescent="0.25">
      <c r="A828718" s="242"/>
    </row>
    <row r="828719" spans="1:1" x14ac:dyDescent="0.25">
      <c r="A828719" s="242"/>
    </row>
    <row r="828720" spans="1:1" x14ac:dyDescent="0.25">
      <c r="A828720" s="242"/>
    </row>
    <row r="828721" spans="1:1" x14ac:dyDescent="0.25">
      <c r="A828721" s="242"/>
    </row>
    <row r="828722" spans="1:1" x14ac:dyDescent="0.25">
      <c r="A828722" s="242"/>
    </row>
    <row r="828723" spans="1:1" x14ac:dyDescent="0.25">
      <c r="A828723" s="242"/>
    </row>
    <row r="828724" spans="1:1" x14ac:dyDescent="0.25">
      <c r="A828724" s="242"/>
    </row>
    <row r="828725" spans="1:1" x14ac:dyDescent="0.25">
      <c r="A828725" s="242"/>
    </row>
    <row r="828726" spans="1:1" x14ac:dyDescent="0.25">
      <c r="A828726" s="242"/>
    </row>
    <row r="828727" spans="1:1" x14ac:dyDescent="0.25">
      <c r="A828727" s="242"/>
    </row>
    <row r="828728" spans="1:1" x14ac:dyDescent="0.25">
      <c r="A828728" s="242"/>
    </row>
    <row r="828729" spans="1:1" x14ac:dyDescent="0.25">
      <c r="A828729" s="242"/>
    </row>
    <row r="828730" spans="1:1" x14ac:dyDescent="0.25">
      <c r="A828730" s="242"/>
    </row>
    <row r="828731" spans="1:1" x14ac:dyDescent="0.25">
      <c r="A828731" s="242"/>
    </row>
    <row r="828732" spans="1:1" x14ac:dyDescent="0.25">
      <c r="A828732" s="242"/>
    </row>
    <row r="828733" spans="1:1" x14ac:dyDescent="0.25">
      <c r="A828733" s="242"/>
    </row>
    <row r="828734" spans="1:1" x14ac:dyDescent="0.25">
      <c r="A828734" s="242"/>
    </row>
    <row r="828735" spans="1:1" x14ac:dyDescent="0.25">
      <c r="A828735" s="242"/>
    </row>
    <row r="828736" spans="1:1" x14ac:dyDescent="0.25">
      <c r="A828736" s="242"/>
    </row>
    <row r="828737" spans="1:1" x14ac:dyDescent="0.25">
      <c r="A828737" s="242"/>
    </row>
    <row r="828738" spans="1:1" x14ac:dyDescent="0.25">
      <c r="A828738" s="242"/>
    </row>
    <row r="828739" spans="1:1" x14ac:dyDescent="0.25">
      <c r="A828739" s="242"/>
    </row>
    <row r="828740" spans="1:1" x14ac:dyDescent="0.25">
      <c r="A828740" s="242"/>
    </row>
    <row r="828741" spans="1:1" x14ac:dyDescent="0.25">
      <c r="A828741" s="242"/>
    </row>
    <row r="828742" spans="1:1" x14ac:dyDescent="0.25">
      <c r="A828742" s="242"/>
    </row>
    <row r="828743" spans="1:1" x14ac:dyDescent="0.25">
      <c r="A828743" s="242"/>
    </row>
    <row r="828744" spans="1:1" x14ac:dyDescent="0.25">
      <c r="A828744" s="242"/>
    </row>
    <row r="828745" spans="1:1" x14ac:dyDescent="0.25">
      <c r="A828745" s="242"/>
    </row>
    <row r="828746" spans="1:1" x14ac:dyDescent="0.25">
      <c r="A828746" s="242"/>
    </row>
    <row r="828747" spans="1:1" x14ac:dyDescent="0.25">
      <c r="A828747" s="242"/>
    </row>
    <row r="828748" spans="1:1" x14ac:dyDescent="0.25">
      <c r="A828748" s="242"/>
    </row>
    <row r="828749" spans="1:1" x14ac:dyDescent="0.25">
      <c r="A828749" s="242"/>
    </row>
    <row r="828750" spans="1:1" x14ac:dyDescent="0.25">
      <c r="A828750" s="242"/>
    </row>
    <row r="828751" spans="1:1" x14ac:dyDescent="0.25">
      <c r="A828751" s="242"/>
    </row>
    <row r="828752" spans="1:1" x14ac:dyDescent="0.25">
      <c r="A828752" s="242"/>
    </row>
    <row r="828753" spans="1:1" x14ac:dyDescent="0.25">
      <c r="A828753" s="242"/>
    </row>
    <row r="828754" spans="1:1" x14ac:dyDescent="0.25">
      <c r="A828754" s="242"/>
    </row>
    <row r="828755" spans="1:1" x14ac:dyDescent="0.25">
      <c r="A828755" s="242"/>
    </row>
    <row r="828756" spans="1:1" x14ac:dyDescent="0.25">
      <c r="A828756" s="242"/>
    </row>
    <row r="828757" spans="1:1" x14ac:dyDescent="0.25">
      <c r="A828757" s="242"/>
    </row>
    <row r="828758" spans="1:1" x14ac:dyDescent="0.25">
      <c r="A828758" s="242"/>
    </row>
    <row r="828759" spans="1:1" x14ac:dyDescent="0.25">
      <c r="A828759" s="242"/>
    </row>
    <row r="828760" spans="1:1" x14ac:dyDescent="0.25">
      <c r="A828760" s="242"/>
    </row>
    <row r="828761" spans="1:1" x14ac:dyDescent="0.25">
      <c r="A828761" s="242"/>
    </row>
    <row r="828762" spans="1:1" x14ac:dyDescent="0.25">
      <c r="A828762" s="242"/>
    </row>
    <row r="828763" spans="1:1" x14ac:dyDescent="0.25">
      <c r="A828763" s="242"/>
    </row>
    <row r="828764" spans="1:1" x14ac:dyDescent="0.25">
      <c r="A828764" s="242"/>
    </row>
    <row r="828765" spans="1:1" x14ac:dyDescent="0.25">
      <c r="A828765" s="242"/>
    </row>
    <row r="828766" spans="1:1" x14ac:dyDescent="0.25">
      <c r="A828766" s="242"/>
    </row>
    <row r="828767" spans="1:1" x14ac:dyDescent="0.25">
      <c r="A828767" s="242"/>
    </row>
    <row r="828768" spans="1:1" x14ac:dyDescent="0.25">
      <c r="A828768" s="242"/>
    </row>
    <row r="828769" spans="1:1" x14ac:dyDescent="0.25">
      <c r="A828769" s="242"/>
    </row>
    <row r="828770" spans="1:1" x14ac:dyDescent="0.25">
      <c r="A828770" s="242"/>
    </row>
    <row r="828771" spans="1:1" x14ac:dyDescent="0.25">
      <c r="A828771" s="242"/>
    </row>
    <row r="828772" spans="1:1" x14ac:dyDescent="0.25">
      <c r="A828772" s="242"/>
    </row>
    <row r="828773" spans="1:1" x14ac:dyDescent="0.25">
      <c r="A828773" s="242"/>
    </row>
    <row r="828774" spans="1:1" x14ac:dyDescent="0.25">
      <c r="A828774" s="242"/>
    </row>
    <row r="828775" spans="1:1" x14ac:dyDescent="0.25">
      <c r="A828775" s="242"/>
    </row>
    <row r="828776" spans="1:1" x14ac:dyDescent="0.25">
      <c r="A828776" s="242"/>
    </row>
    <row r="828777" spans="1:1" x14ac:dyDescent="0.25">
      <c r="A828777" s="242"/>
    </row>
    <row r="828778" spans="1:1" x14ac:dyDescent="0.25">
      <c r="A828778" s="242"/>
    </row>
    <row r="828779" spans="1:1" x14ac:dyDescent="0.25">
      <c r="A828779" s="242"/>
    </row>
    <row r="828780" spans="1:1" x14ac:dyDescent="0.25">
      <c r="A828780" s="242"/>
    </row>
    <row r="828781" spans="1:1" x14ac:dyDescent="0.25">
      <c r="A828781" s="242"/>
    </row>
    <row r="828782" spans="1:1" x14ac:dyDescent="0.25">
      <c r="A828782" s="242"/>
    </row>
    <row r="828783" spans="1:1" x14ac:dyDescent="0.25">
      <c r="A828783" s="242"/>
    </row>
    <row r="828784" spans="1:1" x14ac:dyDescent="0.25">
      <c r="A828784" s="242"/>
    </row>
    <row r="828785" spans="1:1" x14ac:dyDescent="0.25">
      <c r="A828785" s="242"/>
    </row>
    <row r="828786" spans="1:1" x14ac:dyDescent="0.25">
      <c r="A828786" s="242"/>
    </row>
    <row r="828787" spans="1:1" x14ac:dyDescent="0.25">
      <c r="A828787" s="242"/>
    </row>
    <row r="828788" spans="1:1" x14ac:dyDescent="0.25">
      <c r="A828788" s="242"/>
    </row>
    <row r="828789" spans="1:1" x14ac:dyDescent="0.25">
      <c r="A828789" s="242"/>
    </row>
    <row r="828790" spans="1:1" x14ac:dyDescent="0.25">
      <c r="A828790" s="242"/>
    </row>
    <row r="828791" spans="1:1" x14ac:dyDescent="0.25">
      <c r="A828791" s="242"/>
    </row>
    <row r="828792" spans="1:1" x14ac:dyDescent="0.25">
      <c r="A828792" s="242"/>
    </row>
    <row r="828793" spans="1:1" x14ac:dyDescent="0.25">
      <c r="A828793" s="242"/>
    </row>
    <row r="828794" spans="1:1" x14ac:dyDescent="0.25">
      <c r="A828794" s="242"/>
    </row>
    <row r="828795" spans="1:1" x14ac:dyDescent="0.25">
      <c r="A828795" s="242"/>
    </row>
    <row r="828796" spans="1:1" x14ac:dyDescent="0.25">
      <c r="A828796" s="242"/>
    </row>
    <row r="828797" spans="1:1" x14ac:dyDescent="0.25">
      <c r="A828797" s="242"/>
    </row>
    <row r="828798" spans="1:1" x14ac:dyDescent="0.25">
      <c r="A828798" s="242"/>
    </row>
    <row r="828799" spans="1:1" x14ac:dyDescent="0.25">
      <c r="A828799" s="242"/>
    </row>
    <row r="828800" spans="1:1" x14ac:dyDescent="0.25">
      <c r="A828800" s="242"/>
    </row>
    <row r="828801" spans="1:1" x14ac:dyDescent="0.25">
      <c r="A828801" s="242"/>
    </row>
    <row r="828802" spans="1:1" x14ac:dyDescent="0.25">
      <c r="A828802" s="242"/>
    </row>
    <row r="828803" spans="1:1" x14ac:dyDescent="0.25">
      <c r="A828803" s="242"/>
    </row>
    <row r="828804" spans="1:1" x14ac:dyDescent="0.25">
      <c r="A828804" s="242"/>
    </row>
    <row r="828805" spans="1:1" x14ac:dyDescent="0.25">
      <c r="A828805" s="242"/>
    </row>
    <row r="828806" spans="1:1" x14ac:dyDescent="0.25">
      <c r="A828806" s="242"/>
    </row>
    <row r="828807" spans="1:1" x14ac:dyDescent="0.25">
      <c r="A828807" s="242"/>
    </row>
    <row r="828808" spans="1:1" x14ac:dyDescent="0.25">
      <c r="A828808" s="242"/>
    </row>
    <row r="828809" spans="1:1" x14ac:dyDescent="0.25">
      <c r="A828809" s="242"/>
    </row>
    <row r="828810" spans="1:1" x14ac:dyDescent="0.25">
      <c r="A828810" s="242"/>
    </row>
    <row r="828811" spans="1:1" x14ac:dyDescent="0.25">
      <c r="A828811" s="242"/>
    </row>
    <row r="828812" spans="1:1" x14ac:dyDescent="0.25">
      <c r="A828812" s="242"/>
    </row>
    <row r="828813" spans="1:1" x14ac:dyDescent="0.25">
      <c r="A828813" s="242"/>
    </row>
    <row r="828814" spans="1:1" x14ac:dyDescent="0.25">
      <c r="A828814" s="242"/>
    </row>
    <row r="828815" spans="1:1" x14ac:dyDescent="0.25">
      <c r="A828815" s="242"/>
    </row>
    <row r="828816" spans="1:1" x14ac:dyDescent="0.25">
      <c r="A828816" s="242"/>
    </row>
    <row r="828817" spans="1:1" x14ac:dyDescent="0.25">
      <c r="A828817" s="242"/>
    </row>
    <row r="828818" spans="1:1" x14ac:dyDescent="0.25">
      <c r="A828818" s="242"/>
    </row>
    <row r="828819" spans="1:1" x14ac:dyDescent="0.25">
      <c r="A828819" s="242"/>
    </row>
    <row r="828820" spans="1:1" x14ac:dyDescent="0.25">
      <c r="A828820" s="242"/>
    </row>
    <row r="828821" spans="1:1" x14ac:dyDescent="0.25">
      <c r="A828821" s="242"/>
    </row>
    <row r="828822" spans="1:1" x14ac:dyDescent="0.25">
      <c r="A828822" s="242"/>
    </row>
    <row r="828823" spans="1:1" x14ac:dyDescent="0.25">
      <c r="A828823" s="242"/>
    </row>
    <row r="828824" spans="1:1" x14ac:dyDescent="0.25">
      <c r="A828824" s="242"/>
    </row>
    <row r="828825" spans="1:1" x14ac:dyDescent="0.25">
      <c r="A828825" s="242"/>
    </row>
    <row r="828826" spans="1:1" x14ac:dyDescent="0.25">
      <c r="A828826" s="242"/>
    </row>
    <row r="828827" spans="1:1" x14ac:dyDescent="0.25">
      <c r="A828827" s="242"/>
    </row>
    <row r="828828" spans="1:1" x14ac:dyDescent="0.25">
      <c r="A828828" s="242"/>
    </row>
    <row r="828829" spans="1:1" x14ac:dyDescent="0.25">
      <c r="A828829" s="242"/>
    </row>
    <row r="828830" spans="1:1" x14ac:dyDescent="0.25">
      <c r="A828830" s="242"/>
    </row>
    <row r="828831" spans="1:1" x14ac:dyDescent="0.25">
      <c r="A828831" s="242"/>
    </row>
    <row r="828832" spans="1:1" x14ac:dyDescent="0.25">
      <c r="A828832" s="242"/>
    </row>
    <row r="828833" spans="1:1" x14ac:dyDescent="0.25">
      <c r="A828833" s="242"/>
    </row>
    <row r="828834" spans="1:1" x14ac:dyDescent="0.25">
      <c r="A828834" s="242"/>
    </row>
    <row r="828835" spans="1:1" x14ac:dyDescent="0.25">
      <c r="A828835" s="242"/>
    </row>
    <row r="828836" spans="1:1" x14ac:dyDescent="0.25">
      <c r="A828836" s="242"/>
    </row>
    <row r="828837" spans="1:1" x14ac:dyDescent="0.25">
      <c r="A828837" s="242"/>
    </row>
    <row r="828838" spans="1:1" x14ac:dyDescent="0.25">
      <c r="A828838" s="242"/>
    </row>
    <row r="828839" spans="1:1" x14ac:dyDescent="0.25">
      <c r="A828839" s="242"/>
    </row>
    <row r="828840" spans="1:1" x14ac:dyDescent="0.25">
      <c r="A828840" s="242"/>
    </row>
    <row r="828841" spans="1:1" x14ac:dyDescent="0.25">
      <c r="A828841" s="242"/>
    </row>
    <row r="828842" spans="1:1" x14ac:dyDescent="0.25">
      <c r="A828842" s="242"/>
    </row>
    <row r="828843" spans="1:1" x14ac:dyDescent="0.25">
      <c r="A828843" s="242"/>
    </row>
    <row r="828844" spans="1:1" x14ac:dyDescent="0.25">
      <c r="A828844" s="242"/>
    </row>
    <row r="828845" spans="1:1" x14ac:dyDescent="0.25">
      <c r="A828845" s="242"/>
    </row>
    <row r="828846" spans="1:1" x14ac:dyDescent="0.25">
      <c r="A828846" s="242"/>
    </row>
    <row r="828847" spans="1:1" x14ac:dyDescent="0.25">
      <c r="A828847" s="242"/>
    </row>
    <row r="828848" spans="1:1" x14ac:dyDescent="0.25">
      <c r="A828848" s="242"/>
    </row>
    <row r="828849" spans="1:1" x14ac:dyDescent="0.25">
      <c r="A828849" s="242"/>
    </row>
    <row r="828850" spans="1:1" x14ac:dyDescent="0.25">
      <c r="A828850" s="242"/>
    </row>
    <row r="828851" spans="1:1" x14ac:dyDescent="0.25">
      <c r="A828851" s="242"/>
    </row>
    <row r="828852" spans="1:1" x14ac:dyDescent="0.25">
      <c r="A828852" s="242"/>
    </row>
    <row r="828853" spans="1:1" x14ac:dyDescent="0.25">
      <c r="A828853" s="242"/>
    </row>
    <row r="828854" spans="1:1" x14ac:dyDescent="0.25">
      <c r="A828854" s="242"/>
    </row>
    <row r="828855" spans="1:1" x14ac:dyDescent="0.25">
      <c r="A828855" s="242"/>
    </row>
    <row r="828856" spans="1:1" x14ac:dyDescent="0.25">
      <c r="A828856" s="242"/>
    </row>
    <row r="828857" spans="1:1" x14ac:dyDescent="0.25">
      <c r="A828857" s="242"/>
    </row>
    <row r="828858" spans="1:1" x14ac:dyDescent="0.25">
      <c r="A828858" s="242"/>
    </row>
    <row r="828859" spans="1:1" x14ac:dyDescent="0.25">
      <c r="A828859" s="242"/>
    </row>
    <row r="828860" spans="1:1" x14ac:dyDescent="0.25">
      <c r="A828860" s="242"/>
    </row>
    <row r="828861" spans="1:1" x14ac:dyDescent="0.25">
      <c r="A828861" s="242"/>
    </row>
    <row r="828862" spans="1:1" x14ac:dyDescent="0.25">
      <c r="A828862" s="242"/>
    </row>
    <row r="828863" spans="1:1" x14ac:dyDescent="0.25">
      <c r="A828863" s="242"/>
    </row>
    <row r="828864" spans="1:1" x14ac:dyDescent="0.25">
      <c r="A828864" s="242"/>
    </row>
    <row r="828865" spans="1:1" x14ac:dyDescent="0.25">
      <c r="A828865" s="242"/>
    </row>
    <row r="828866" spans="1:1" x14ac:dyDescent="0.25">
      <c r="A828866" s="242"/>
    </row>
    <row r="828867" spans="1:1" x14ac:dyDescent="0.25">
      <c r="A828867" s="242"/>
    </row>
    <row r="828868" spans="1:1" x14ac:dyDescent="0.25">
      <c r="A828868" s="242"/>
    </row>
    <row r="828869" spans="1:1" x14ac:dyDescent="0.25">
      <c r="A828869" s="242"/>
    </row>
    <row r="828870" spans="1:1" x14ac:dyDescent="0.25">
      <c r="A828870" s="242"/>
    </row>
    <row r="828871" spans="1:1" x14ac:dyDescent="0.25">
      <c r="A828871" s="242"/>
    </row>
    <row r="828872" spans="1:1" x14ac:dyDescent="0.25">
      <c r="A828872" s="242"/>
    </row>
    <row r="828873" spans="1:1" x14ac:dyDescent="0.25">
      <c r="A828873" s="242"/>
    </row>
    <row r="828874" spans="1:1" x14ac:dyDescent="0.25">
      <c r="A828874" s="242"/>
    </row>
    <row r="828875" spans="1:1" x14ac:dyDescent="0.25">
      <c r="A828875" s="242"/>
    </row>
    <row r="828876" spans="1:1" x14ac:dyDescent="0.25">
      <c r="A828876" s="242"/>
    </row>
    <row r="828877" spans="1:1" x14ac:dyDescent="0.25">
      <c r="A828877" s="242"/>
    </row>
    <row r="828878" spans="1:1" x14ac:dyDescent="0.25">
      <c r="A828878" s="242"/>
    </row>
    <row r="828879" spans="1:1" x14ac:dyDescent="0.25">
      <c r="A828879" s="242"/>
    </row>
    <row r="828880" spans="1:1" x14ac:dyDescent="0.25">
      <c r="A828880" s="242"/>
    </row>
    <row r="828881" spans="1:1" x14ac:dyDescent="0.25">
      <c r="A828881" s="242"/>
    </row>
    <row r="828882" spans="1:1" x14ac:dyDescent="0.25">
      <c r="A828882" s="242"/>
    </row>
    <row r="828883" spans="1:1" x14ac:dyDescent="0.25">
      <c r="A828883" s="242"/>
    </row>
    <row r="828884" spans="1:1" x14ac:dyDescent="0.25">
      <c r="A828884" s="242"/>
    </row>
    <row r="828885" spans="1:1" x14ac:dyDescent="0.25">
      <c r="A828885" s="242"/>
    </row>
    <row r="828886" spans="1:1" x14ac:dyDescent="0.25">
      <c r="A828886" s="242"/>
    </row>
    <row r="828887" spans="1:1" x14ac:dyDescent="0.25">
      <c r="A828887" s="242"/>
    </row>
    <row r="828888" spans="1:1" x14ac:dyDescent="0.25">
      <c r="A828888" s="242"/>
    </row>
    <row r="828889" spans="1:1" x14ac:dyDescent="0.25">
      <c r="A828889" s="242"/>
    </row>
    <row r="828890" spans="1:1" x14ac:dyDescent="0.25">
      <c r="A828890" s="242"/>
    </row>
    <row r="828891" spans="1:1" x14ac:dyDescent="0.25">
      <c r="A828891" s="242"/>
    </row>
    <row r="828892" spans="1:1" x14ac:dyDescent="0.25">
      <c r="A828892" s="242"/>
    </row>
    <row r="828893" spans="1:1" x14ac:dyDescent="0.25">
      <c r="A828893" s="242"/>
    </row>
    <row r="828894" spans="1:1" x14ac:dyDescent="0.25">
      <c r="A828894" s="242"/>
    </row>
    <row r="828895" spans="1:1" x14ac:dyDescent="0.25">
      <c r="A828895" s="242"/>
    </row>
    <row r="828896" spans="1:1" x14ac:dyDescent="0.25">
      <c r="A828896" s="242"/>
    </row>
    <row r="828897" spans="1:1" x14ac:dyDescent="0.25">
      <c r="A828897" s="242"/>
    </row>
    <row r="828898" spans="1:1" x14ac:dyDescent="0.25">
      <c r="A828898" s="242"/>
    </row>
    <row r="828899" spans="1:1" x14ac:dyDescent="0.25">
      <c r="A828899" s="242"/>
    </row>
    <row r="828900" spans="1:1" x14ac:dyDescent="0.25">
      <c r="A828900" s="242"/>
    </row>
    <row r="828901" spans="1:1" x14ac:dyDescent="0.25">
      <c r="A828901" s="242"/>
    </row>
    <row r="828902" spans="1:1" x14ac:dyDescent="0.25">
      <c r="A828902" s="242"/>
    </row>
    <row r="828903" spans="1:1" x14ac:dyDescent="0.25">
      <c r="A828903" s="242"/>
    </row>
    <row r="828904" spans="1:1" x14ac:dyDescent="0.25">
      <c r="A828904" s="242"/>
    </row>
    <row r="828905" spans="1:1" x14ac:dyDescent="0.25">
      <c r="A828905" s="242"/>
    </row>
    <row r="828906" spans="1:1" x14ac:dyDescent="0.25">
      <c r="A828906" s="242"/>
    </row>
    <row r="828907" spans="1:1" x14ac:dyDescent="0.25">
      <c r="A828907" s="242"/>
    </row>
    <row r="828908" spans="1:1" x14ac:dyDescent="0.25">
      <c r="A828908" s="242"/>
    </row>
    <row r="828909" spans="1:1" x14ac:dyDescent="0.25">
      <c r="A828909" s="242"/>
    </row>
    <row r="828910" spans="1:1" x14ac:dyDescent="0.25">
      <c r="A828910" s="242"/>
    </row>
    <row r="828911" spans="1:1" x14ac:dyDescent="0.25">
      <c r="A828911" s="242"/>
    </row>
    <row r="828912" spans="1:1" x14ac:dyDescent="0.25">
      <c r="A828912" s="242"/>
    </row>
    <row r="828913" spans="1:1" x14ac:dyDescent="0.25">
      <c r="A828913" s="242"/>
    </row>
    <row r="828914" spans="1:1" x14ac:dyDescent="0.25">
      <c r="A828914" s="242"/>
    </row>
    <row r="828915" spans="1:1" x14ac:dyDescent="0.25">
      <c r="A828915" s="242"/>
    </row>
    <row r="828916" spans="1:1" x14ac:dyDescent="0.25">
      <c r="A828916" s="242"/>
    </row>
    <row r="828917" spans="1:1" x14ac:dyDescent="0.25">
      <c r="A828917" s="242"/>
    </row>
    <row r="828918" spans="1:1" x14ac:dyDescent="0.25">
      <c r="A828918" s="242"/>
    </row>
    <row r="828919" spans="1:1" x14ac:dyDescent="0.25">
      <c r="A828919" s="242"/>
    </row>
    <row r="828920" spans="1:1" x14ac:dyDescent="0.25">
      <c r="A828920" s="242"/>
    </row>
    <row r="828921" spans="1:1" x14ac:dyDescent="0.25">
      <c r="A828921" s="242"/>
    </row>
    <row r="828922" spans="1:1" x14ac:dyDescent="0.25">
      <c r="A828922" s="242"/>
    </row>
    <row r="828923" spans="1:1" x14ac:dyDescent="0.25">
      <c r="A828923" s="242"/>
    </row>
    <row r="828924" spans="1:1" x14ac:dyDescent="0.25">
      <c r="A828924" s="242"/>
    </row>
    <row r="828925" spans="1:1" x14ac:dyDescent="0.25">
      <c r="A828925" s="242"/>
    </row>
    <row r="828926" spans="1:1" x14ac:dyDescent="0.25">
      <c r="A828926" s="242"/>
    </row>
    <row r="828927" spans="1:1" x14ac:dyDescent="0.25">
      <c r="A828927" s="242"/>
    </row>
    <row r="828928" spans="1:1" x14ac:dyDescent="0.25">
      <c r="A828928" s="242"/>
    </row>
    <row r="828929" spans="1:1" x14ac:dyDescent="0.25">
      <c r="A828929" s="242"/>
    </row>
    <row r="828930" spans="1:1" x14ac:dyDescent="0.25">
      <c r="A828930" s="242"/>
    </row>
    <row r="828931" spans="1:1" x14ac:dyDescent="0.25">
      <c r="A828931" s="242"/>
    </row>
    <row r="828932" spans="1:1" x14ac:dyDescent="0.25">
      <c r="A828932" s="242"/>
    </row>
    <row r="828933" spans="1:1" x14ac:dyDescent="0.25">
      <c r="A828933" s="242"/>
    </row>
    <row r="828934" spans="1:1" x14ac:dyDescent="0.25">
      <c r="A828934" s="242"/>
    </row>
    <row r="828935" spans="1:1" x14ac:dyDescent="0.25">
      <c r="A828935" s="242"/>
    </row>
    <row r="828936" spans="1:1" x14ac:dyDescent="0.25">
      <c r="A828936" s="242"/>
    </row>
    <row r="828937" spans="1:1" x14ac:dyDescent="0.25">
      <c r="A828937" s="242"/>
    </row>
    <row r="828938" spans="1:1" x14ac:dyDescent="0.25">
      <c r="A828938" s="242"/>
    </row>
    <row r="828939" spans="1:1" x14ac:dyDescent="0.25">
      <c r="A828939" s="242"/>
    </row>
    <row r="828940" spans="1:1" x14ac:dyDescent="0.25">
      <c r="A828940" s="242"/>
    </row>
    <row r="828941" spans="1:1" x14ac:dyDescent="0.25">
      <c r="A828941" s="242"/>
    </row>
    <row r="828942" spans="1:1" x14ac:dyDescent="0.25">
      <c r="A828942" s="242"/>
    </row>
    <row r="828943" spans="1:1" x14ac:dyDescent="0.25">
      <c r="A828943" s="242"/>
    </row>
    <row r="828944" spans="1:1" x14ac:dyDescent="0.25">
      <c r="A828944" s="242"/>
    </row>
    <row r="828945" spans="1:1" x14ac:dyDescent="0.25">
      <c r="A828945" s="242"/>
    </row>
    <row r="828946" spans="1:1" x14ac:dyDescent="0.25">
      <c r="A828946" s="242"/>
    </row>
    <row r="828947" spans="1:1" x14ac:dyDescent="0.25">
      <c r="A828947" s="242"/>
    </row>
    <row r="828948" spans="1:1" x14ac:dyDescent="0.25">
      <c r="A828948" s="242"/>
    </row>
    <row r="828949" spans="1:1" x14ac:dyDescent="0.25">
      <c r="A828949" s="242"/>
    </row>
    <row r="828950" spans="1:1" x14ac:dyDescent="0.25">
      <c r="A828950" s="242"/>
    </row>
    <row r="828951" spans="1:1" x14ac:dyDescent="0.25">
      <c r="A828951" s="242"/>
    </row>
    <row r="828952" spans="1:1" x14ac:dyDescent="0.25">
      <c r="A828952" s="242"/>
    </row>
    <row r="828953" spans="1:1" x14ac:dyDescent="0.25">
      <c r="A828953" s="242"/>
    </row>
    <row r="828954" spans="1:1" x14ac:dyDescent="0.25">
      <c r="A828954" s="242"/>
    </row>
    <row r="828955" spans="1:1" x14ac:dyDescent="0.25">
      <c r="A828955" s="242"/>
    </row>
    <row r="828956" spans="1:1" x14ac:dyDescent="0.25">
      <c r="A828956" s="242"/>
    </row>
    <row r="828957" spans="1:1" x14ac:dyDescent="0.25">
      <c r="A828957" s="242"/>
    </row>
    <row r="828958" spans="1:1" x14ac:dyDescent="0.25">
      <c r="A828958" s="242"/>
    </row>
    <row r="828959" spans="1:1" x14ac:dyDescent="0.25">
      <c r="A828959" s="242"/>
    </row>
    <row r="828960" spans="1:1" x14ac:dyDescent="0.25">
      <c r="A828960" s="242"/>
    </row>
    <row r="828961" spans="1:1" x14ac:dyDescent="0.25">
      <c r="A828961" s="242"/>
    </row>
    <row r="828962" spans="1:1" x14ac:dyDescent="0.25">
      <c r="A828962" s="242"/>
    </row>
    <row r="828963" spans="1:1" x14ac:dyDescent="0.25">
      <c r="A828963" s="242"/>
    </row>
    <row r="828964" spans="1:1" x14ac:dyDescent="0.25">
      <c r="A828964" s="242"/>
    </row>
    <row r="828965" spans="1:1" x14ac:dyDescent="0.25">
      <c r="A828965" s="242"/>
    </row>
    <row r="828966" spans="1:1" x14ac:dyDescent="0.25">
      <c r="A828966" s="242"/>
    </row>
    <row r="828967" spans="1:1" x14ac:dyDescent="0.25">
      <c r="A828967" s="242"/>
    </row>
    <row r="828968" spans="1:1" x14ac:dyDescent="0.25">
      <c r="A828968" s="242"/>
    </row>
    <row r="828969" spans="1:1" x14ac:dyDescent="0.25">
      <c r="A828969" s="242"/>
    </row>
    <row r="828970" spans="1:1" x14ac:dyDescent="0.25">
      <c r="A828970" s="242"/>
    </row>
    <row r="828971" spans="1:1" x14ac:dyDescent="0.25">
      <c r="A828971" s="242"/>
    </row>
    <row r="828972" spans="1:1" x14ac:dyDescent="0.25">
      <c r="A828972" s="242"/>
    </row>
    <row r="828973" spans="1:1" x14ac:dyDescent="0.25">
      <c r="A828973" s="242"/>
    </row>
    <row r="828974" spans="1:1" x14ac:dyDescent="0.25">
      <c r="A828974" s="242"/>
    </row>
    <row r="828975" spans="1:1" x14ac:dyDescent="0.25">
      <c r="A828975" s="242"/>
    </row>
    <row r="828976" spans="1:1" x14ac:dyDescent="0.25">
      <c r="A828976" s="242"/>
    </row>
    <row r="828977" spans="1:1" x14ac:dyDescent="0.25">
      <c r="A828977" s="242"/>
    </row>
    <row r="828978" spans="1:1" x14ac:dyDescent="0.25">
      <c r="A828978" s="242"/>
    </row>
    <row r="828979" spans="1:1" x14ac:dyDescent="0.25">
      <c r="A828979" s="242"/>
    </row>
    <row r="828980" spans="1:1" x14ac:dyDescent="0.25">
      <c r="A828980" s="242"/>
    </row>
    <row r="828981" spans="1:1" x14ac:dyDescent="0.25">
      <c r="A828981" s="242"/>
    </row>
    <row r="828982" spans="1:1" x14ac:dyDescent="0.25">
      <c r="A828982" s="242"/>
    </row>
    <row r="828983" spans="1:1" x14ac:dyDescent="0.25">
      <c r="A828983" s="242"/>
    </row>
    <row r="828984" spans="1:1" x14ac:dyDescent="0.25">
      <c r="A828984" s="242"/>
    </row>
    <row r="828985" spans="1:1" x14ac:dyDescent="0.25">
      <c r="A828985" s="242"/>
    </row>
    <row r="828986" spans="1:1" x14ac:dyDescent="0.25">
      <c r="A828986" s="242"/>
    </row>
    <row r="828987" spans="1:1" x14ac:dyDescent="0.25">
      <c r="A828987" s="242"/>
    </row>
    <row r="828988" spans="1:1" x14ac:dyDescent="0.25">
      <c r="A828988" s="242"/>
    </row>
    <row r="828989" spans="1:1" x14ac:dyDescent="0.25">
      <c r="A828989" s="242"/>
    </row>
    <row r="828990" spans="1:1" x14ac:dyDescent="0.25">
      <c r="A828990" s="242"/>
    </row>
    <row r="828991" spans="1:1" x14ac:dyDescent="0.25">
      <c r="A828991" s="242"/>
    </row>
    <row r="828992" spans="1:1" x14ac:dyDescent="0.25">
      <c r="A828992" s="242"/>
    </row>
    <row r="828993" spans="1:1" x14ac:dyDescent="0.25">
      <c r="A828993" s="242"/>
    </row>
    <row r="828994" spans="1:1" x14ac:dyDescent="0.25">
      <c r="A828994" s="242"/>
    </row>
    <row r="828995" spans="1:1" x14ac:dyDescent="0.25">
      <c r="A828995" s="242"/>
    </row>
    <row r="828996" spans="1:1" x14ac:dyDescent="0.25">
      <c r="A828996" s="242"/>
    </row>
    <row r="828997" spans="1:1" x14ac:dyDescent="0.25">
      <c r="A828997" s="242"/>
    </row>
    <row r="828998" spans="1:1" x14ac:dyDescent="0.25">
      <c r="A828998" s="242"/>
    </row>
    <row r="828999" spans="1:1" x14ac:dyDescent="0.25">
      <c r="A828999" s="242"/>
    </row>
    <row r="829000" spans="1:1" x14ac:dyDescent="0.25">
      <c r="A829000" s="242"/>
    </row>
    <row r="829001" spans="1:1" x14ac:dyDescent="0.25">
      <c r="A829001" s="242"/>
    </row>
    <row r="829002" spans="1:1" x14ac:dyDescent="0.25">
      <c r="A829002" s="242"/>
    </row>
    <row r="829003" spans="1:1" x14ac:dyDescent="0.25">
      <c r="A829003" s="242"/>
    </row>
    <row r="829004" spans="1:1" x14ac:dyDescent="0.25">
      <c r="A829004" s="242"/>
    </row>
    <row r="829005" spans="1:1" x14ac:dyDescent="0.25">
      <c r="A829005" s="242"/>
    </row>
    <row r="829006" spans="1:1" x14ac:dyDescent="0.25">
      <c r="A829006" s="242"/>
    </row>
    <row r="829007" spans="1:1" x14ac:dyDescent="0.25">
      <c r="A829007" s="242"/>
    </row>
    <row r="829008" spans="1:1" x14ac:dyDescent="0.25">
      <c r="A829008" s="242"/>
    </row>
  </sheetData>
  <mergeCells count="9">
    <mergeCell ref="AA1:AC1"/>
    <mergeCell ref="AG189:AI189"/>
    <mergeCell ref="AG192:AI192"/>
    <mergeCell ref="D1:F1"/>
    <mergeCell ref="G1:J1"/>
    <mergeCell ref="K1:N1"/>
    <mergeCell ref="O1:R1"/>
    <mergeCell ref="S1:V1"/>
    <mergeCell ref="W1:Z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829008"/>
  <sheetViews>
    <sheetView zoomScale="89" zoomScaleNormal="89" workbookViewId="0">
      <pane xSplit="6" ySplit="2" topLeftCell="AL187" activePane="bottomRight" state="frozen"/>
      <selection pane="topRight" activeCell="G1" sqref="G1"/>
      <selection pane="bottomLeft" activeCell="A3" sqref="A3"/>
      <selection pane="bottomRight" activeCell="AO195" sqref="AO195"/>
    </sheetView>
  </sheetViews>
  <sheetFormatPr baseColWidth="10" defaultRowHeight="15" x14ac:dyDescent="0.25"/>
  <cols>
    <col min="1" max="1" width="8.42578125" style="245" customWidth="1"/>
    <col min="2" max="2" width="27.85546875" style="245" customWidth="1"/>
    <col min="3" max="3" width="11.42578125" style="245"/>
    <col min="4" max="4" width="9.28515625" style="245" hidden="1" customWidth="1"/>
    <col min="5" max="5" width="9.42578125" style="245" hidden="1" customWidth="1"/>
    <col min="6" max="6" width="9.85546875" style="245" hidden="1" customWidth="1"/>
    <col min="7" max="7" width="11.5703125" style="245" customWidth="1"/>
    <col min="8" max="8" width="11.42578125" style="245"/>
    <col min="9" max="9" width="11.42578125" style="246"/>
    <col min="10" max="10" width="4.140625" style="245" customWidth="1"/>
    <col min="11" max="12" width="11.42578125" style="245"/>
    <col min="13" max="13" width="11.42578125" style="246"/>
    <col min="14" max="14" width="4.7109375" style="245" customWidth="1"/>
    <col min="15" max="16" width="11.42578125" style="245"/>
    <col min="17" max="17" width="11.42578125" style="246"/>
    <col min="18" max="18" width="4" style="245" customWidth="1"/>
    <col min="19" max="20" width="11.42578125" style="245"/>
    <col min="21" max="21" width="11.42578125" style="246"/>
    <col min="22" max="22" width="3.7109375" style="245" customWidth="1"/>
    <col min="23" max="24" width="10.5703125" style="245" customWidth="1"/>
    <col min="25" max="25" width="10.5703125" style="246" customWidth="1"/>
    <col min="26" max="26" width="4.7109375" style="245" customWidth="1"/>
    <col min="27" max="28" width="10.5703125" style="245" customWidth="1"/>
    <col min="29" max="29" width="10.5703125" style="246" customWidth="1"/>
    <col min="30" max="30" width="10.5703125" style="245" customWidth="1"/>
    <col min="31" max="31" width="11.42578125" style="245"/>
    <col min="32" max="32" width="7.85546875" style="245" customWidth="1"/>
    <col min="33" max="35" width="11.42578125" style="245"/>
    <col min="36" max="36" width="11.7109375" style="245" customWidth="1"/>
    <col min="37" max="37" width="9.28515625" style="245" customWidth="1"/>
    <col min="38" max="38" width="12.140625" style="245" bestFit="1" customWidth="1"/>
    <col min="39" max="39" width="9.7109375" style="245" customWidth="1"/>
    <col min="40" max="40" width="11.42578125" style="245"/>
    <col min="41" max="41" width="10.42578125" style="245" customWidth="1"/>
    <col min="42" max="42" width="11.42578125" style="245"/>
    <col min="43" max="43" width="9.140625" style="245" customWidth="1"/>
    <col min="44" max="44" width="11.42578125" style="245"/>
    <col min="45" max="45" width="10" style="245" customWidth="1"/>
    <col min="46" max="46" width="11.42578125" style="245"/>
    <col min="47" max="47" width="11" style="245" customWidth="1"/>
    <col min="48" max="16384" width="11.42578125" style="245"/>
  </cols>
  <sheetData>
    <row r="1" spans="1:52" ht="21.75" thickBot="1" x14ac:dyDescent="0.4">
      <c r="A1" s="245">
        <v>0</v>
      </c>
      <c r="D1" s="257" t="s">
        <v>0</v>
      </c>
      <c r="E1" s="258"/>
      <c r="F1" s="258"/>
      <c r="G1" s="259">
        <v>45366</v>
      </c>
      <c r="H1" s="260"/>
      <c r="I1" s="260"/>
      <c r="J1" s="261"/>
      <c r="K1" s="262">
        <v>45368</v>
      </c>
      <c r="L1" s="263"/>
      <c r="M1" s="263"/>
      <c r="N1" s="264"/>
      <c r="O1" s="262">
        <v>45734</v>
      </c>
      <c r="P1" s="263"/>
      <c r="Q1" s="263"/>
      <c r="R1" s="264"/>
      <c r="S1" s="265">
        <v>45735</v>
      </c>
      <c r="T1" s="265"/>
      <c r="U1" s="265"/>
      <c r="V1" s="265"/>
      <c r="W1" s="266">
        <v>45736</v>
      </c>
      <c r="X1" s="267"/>
      <c r="Y1" s="267"/>
      <c r="Z1" s="268"/>
      <c r="AA1" s="251">
        <v>45737</v>
      </c>
      <c r="AB1" s="252"/>
      <c r="AC1" s="252"/>
      <c r="AQ1" s="245">
        <f>11598.72/240</f>
        <v>48.327999999999996</v>
      </c>
      <c r="AR1" s="245">
        <f>598.4/105</f>
        <v>5.6990476190476187</v>
      </c>
      <c r="AS1" s="245">
        <f>4631.45/126</f>
        <v>36.757539682539679</v>
      </c>
      <c r="AT1" s="245">
        <f>43.5-36.76</f>
        <v>6.740000000000002</v>
      </c>
    </row>
    <row r="2" spans="1:52" ht="45.75" thickBot="1" x14ac:dyDescent="0.3">
      <c r="A2" s="1" t="s">
        <v>1</v>
      </c>
      <c r="B2" s="2" t="s">
        <v>2</v>
      </c>
      <c r="C2" s="3" t="s">
        <v>3</v>
      </c>
      <c r="D2" s="4" t="s">
        <v>4</v>
      </c>
      <c r="E2" s="5" t="s">
        <v>5</v>
      </c>
      <c r="F2" s="6" t="s">
        <v>6</v>
      </c>
      <c r="G2" s="7" t="s">
        <v>4</v>
      </c>
      <c r="H2" s="8" t="s">
        <v>6</v>
      </c>
      <c r="I2" s="9" t="s">
        <v>7</v>
      </c>
      <c r="J2" s="3"/>
      <c r="K2" s="8" t="s">
        <v>4</v>
      </c>
      <c r="L2" s="8" t="s">
        <v>6</v>
      </c>
      <c r="M2" s="9" t="s">
        <v>7</v>
      </c>
      <c r="N2" s="10"/>
      <c r="O2" s="8" t="s">
        <v>4</v>
      </c>
      <c r="P2" s="8" t="s">
        <v>6</v>
      </c>
      <c r="Q2" s="9" t="s">
        <v>7</v>
      </c>
      <c r="R2" s="10"/>
      <c r="S2" s="8" t="s">
        <v>4</v>
      </c>
      <c r="T2" s="8" t="s">
        <v>6</v>
      </c>
      <c r="U2" s="9" t="s">
        <v>7</v>
      </c>
      <c r="V2" s="10"/>
      <c r="W2" s="8" t="s">
        <v>4</v>
      </c>
      <c r="X2" s="8" t="s">
        <v>6</v>
      </c>
      <c r="Y2" s="9" t="s">
        <v>7</v>
      </c>
      <c r="Z2" s="11"/>
      <c r="AA2" s="8" t="s">
        <v>4</v>
      </c>
      <c r="AB2" s="8" t="s">
        <v>6</v>
      </c>
      <c r="AC2" s="9" t="s">
        <v>7</v>
      </c>
      <c r="AD2" s="10"/>
      <c r="AE2" s="12"/>
      <c r="AF2" s="13"/>
      <c r="AG2" s="14" t="s">
        <v>8</v>
      </c>
      <c r="AH2" s="15" t="s">
        <v>9</v>
      </c>
      <c r="AI2" s="13" t="s">
        <v>10</v>
      </c>
      <c r="AJ2" s="16"/>
      <c r="AK2" s="16" t="s">
        <v>11</v>
      </c>
      <c r="AL2" s="17" t="s">
        <v>12</v>
      </c>
      <c r="AM2" s="18" t="s">
        <v>13</v>
      </c>
      <c r="AN2" s="19" t="s">
        <v>14</v>
      </c>
      <c r="AO2" s="20" t="s">
        <v>15</v>
      </c>
      <c r="AP2" s="21"/>
      <c r="AQ2" s="22"/>
      <c r="AR2" s="23" t="s">
        <v>16</v>
      </c>
      <c r="AS2" s="15" t="s">
        <v>17</v>
      </c>
      <c r="AT2" s="15" t="s">
        <v>18</v>
      </c>
      <c r="AU2" s="24" t="s">
        <v>19</v>
      </c>
      <c r="AV2" s="15" t="s">
        <v>20</v>
      </c>
      <c r="AW2" s="15" t="s">
        <v>21</v>
      </c>
      <c r="AX2" s="15" t="s">
        <v>22</v>
      </c>
      <c r="AY2" s="15" t="s">
        <v>23</v>
      </c>
      <c r="AZ2" s="25" t="s">
        <v>24</v>
      </c>
    </row>
    <row r="3" spans="1:52" ht="16.5" thickBot="1" x14ac:dyDescent="0.3">
      <c r="A3" s="26">
        <v>3300</v>
      </c>
      <c r="B3" s="27" t="s">
        <v>25</v>
      </c>
      <c r="C3" s="28"/>
      <c r="D3" s="26">
        <f>C3/3</f>
        <v>0</v>
      </c>
      <c r="E3" s="27">
        <f>C3/3</f>
        <v>0</v>
      </c>
      <c r="F3" s="29">
        <f>C3/3</f>
        <v>0</v>
      </c>
      <c r="G3" s="30">
        <v>0</v>
      </c>
      <c r="H3" s="30">
        <v>0</v>
      </c>
      <c r="I3" s="32">
        <v>0</v>
      </c>
      <c r="J3" s="32"/>
      <c r="K3" s="33">
        <v>0</v>
      </c>
      <c r="L3" s="34">
        <v>0</v>
      </c>
      <c r="M3" s="34">
        <v>0</v>
      </c>
      <c r="N3" s="35"/>
      <c r="O3" s="36">
        <v>0</v>
      </c>
      <c r="P3" s="34">
        <v>0</v>
      </c>
      <c r="Q3" s="34">
        <v>0</v>
      </c>
      <c r="R3" s="35"/>
      <c r="S3" s="37">
        <v>0</v>
      </c>
      <c r="T3" s="34">
        <v>0</v>
      </c>
      <c r="U3" s="34">
        <v>0</v>
      </c>
      <c r="V3" s="35"/>
      <c r="W3" s="38">
        <v>0</v>
      </c>
      <c r="X3" s="31">
        <v>0</v>
      </c>
      <c r="Y3" s="31">
        <v>0</v>
      </c>
      <c r="Z3" s="39"/>
      <c r="AA3" s="37">
        <v>0</v>
      </c>
      <c r="AB3" s="34">
        <v>0</v>
      </c>
      <c r="AC3" s="34">
        <v>0</v>
      </c>
      <c r="AD3" s="40"/>
      <c r="AE3" s="41"/>
      <c r="AF3" s="42"/>
      <c r="AG3" s="43">
        <f t="shared" ref="AG3:AJ35" si="0">G3+K3+O3+S3+W3+AA3</f>
        <v>0</v>
      </c>
      <c r="AH3" s="44">
        <f>H3+L3+P3+T3+X3+AB3</f>
        <v>0</v>
      </c>
      <c r="AI3" s="44">
        <f>I3+M3+Q3+U3+Y3+AC3</f>
        <v>0</v>
      </c>
      <c r="AJ3" s="45">
        <f>J3+N3+R3+V3+Z3+AD3</f>
        <v>0</v>
      </c>
      <c r="AK3" s="46">
        <f t="shared" ref="AK3:AK67" si="1">AG3+AH3+AI3</f>
        <v>0</v>
      </c>
      <c r="AL3" s="47">
        <v>2</v>
      </c>
      <c r="AM3" s="48">
        <f>AG3*AL3</f>
        <v>0</v>
      </c>
      <c r="AN3" s="48">
        <f t="shared" ref="AN3:AN73" si="2">AH3*AL3</f>
        <v>0</v>
      </c>
      <c r="AO3" s="49">
        <f>AI3*AL3</f>
        <v>0</v>
      </c>
      <c r="AP3" s="49">
        <f t="shared" ref="AP3:AP67" si="3">AJ3*AL3</f>
        <v>0</v>
      </c>
      <c r="AQ3" s="50">
        <f>AK3*60</f>
        <v>0</v>
      </c>
      <c r="AR3" s="51">
        <v>51.6</v>
      </c>
      <c r="AS3" s="52">
        <v>8.3999999999999986</v>
      </c>
      <c r="AT3" s="53">
        <f>AK3*AS3</f>
        <v>0</v>
      </c>
      <c r="AU3" s="54">
        <f>AK3*AL3</f>
        <v>0</v>
      </c>
      <c r="AV3" s="55"/>
      <c r="AW3" s="56"/>
      <c r="AX3" s="56"/>
      <c r="AY3" s="52"/>
      <c r="AZ3" s="57">
        <f>AT3-AU3-AW3-AX3-AY3</f>
        <v>0</v>
      </c>
    </row>
    <row r="4" spans="1:52" ht="16.5" thickBot="1" x14ac:dyDescent="0.3">
      <c r="A4" s="58">
        <v>3.5</v>
      </c>
      <c r="B4" s="59" t="s">
        <v>26</v>
      </c>
      <c r="C4" s="60"/>
      <c r="D4" s="26">
        <f t="shared" ref="D4:D68" si="4">C4/3</f>
        <v>0</v>
      </c>
      <c r="E4" s="27">
        <f t="shared" ref="E4:E68" si="5">C4/3</f>
        <v>0</v>
      </c>
      <c r="F4" s="29">
        <f t="shared" ref="F4:F68" si="6">C4/3</f>
        <v>0</v>
      </c>
      <c r="G4" s="30">
        <v>0</v>
      </c>
      <c r="H4" s="31">
        <v>0</v>
      </c>
      <c r="I4" s="32">
        <v>0</v>
      </c>
      <c r="J4" s="61"/>
      <c r="K4" s="33">
        <v>0</v>
      </c>
      <c r="L4" s="34">
        <v>0</v>
      </c>
      <c r="M4" s="34">
        <v>0</v>
      </c>
      <c r="N4" s="62"/>
      <c r="O4" s="34">
        <v>0</v>
      </c>
      <c r="P4" s="34">
        <v>0</v>
      </c>
      <c r="Q4" s="34">
        <v>0</v>
      </c>
      <c r="R4" s="62"/>
      <c r="S4" s="37">
        <v>0</v>
      </c>
      <c r="T4" s="34">
        <v>0</v>
      </c>
      <c r="U4" s="34">
        <v>0</v>
      </c>
      <c r="V4" s="62"/>
      <c r="W4" s="38">
        <v>0</v>
      </c>
      <c r="X4" s="31">
        <v>0</v>
      </c>
      <c r="Y4" s="31">
        <v>0</v>
      </c>
      <c r="Z4" s="63"/>
      <c r="AA4" s="37">
        <v>0</v>
      </c>
      <c r="AB4" s="34">
        <v>0</v>
      </c>
      <c r="AC4" s="34">
        <v>0</v>
      </c>
      <c r="AD4" s="64"/>
      <c r="AE4" s="65"/>
      <c r="AF4" s="40"/>
      <c r="AG4" s="43">
        <f t="shared" si="0"/>
        <v>0</v>
      </c>
      <c r="AH4" s="44">
        <f t="shared" si="0"/>
        <v>0</v>
      </c>
      <c r="AI4" s="44">
        <f t="shared" si="0"/>
        <v>0</v>
      </c>
      <c r="AJ4" s="45">
        <f>J4+N4+R4+V4+Z4+AD4</f>
        <v>0</v>
      </c>
      <c r="AK4" s="46">
        <f t="shared" si="1"/>
        <v>0</v>
      </c>
      <c r="AL4" s="66">
        <v>1.75</v>
      </c>
      <c r="AM4" s="48">
        <f t="shared" ref="AM4:AM73" si="7">AG4*AL4</f>
        <v>0</v>
      </c>
      <c r="AN4" s="48">
        <f t="shared" si="2"/>
        <v>0</v>
      </c>
      <c r="AO4" s="49">
        <f t="shared" ref="AO4:AO68" si="8">AI4*AL4</f>
        <v>0</v>
      </c>
      <c r="AP4" s="49">
        <f t="shared" si="3"/>
        <v>0</v>
      </c>
      <c r="AQ4" s="50">
        <f t="shared" ref="AQ4:AQ67" si="9">AK4*60</f>
        <v>0</v>
      </c>
      <c r="AR4" s="67"/>
      <c r="AS4" s="68"/>
      <c r="AT4" s="69"/>
      <c r="AU4" s="70"/>
      <c r="AV4" s="71"/>
      <c r="AW4" s="72"/>
      <c r="AX4" s="72"/>
      <c r="AY4" s="68"/>
      <c r="AZ4" s="73"/>
    </row>
    <row r="5" spans="1:52" ht="16.5" thickBot="1" x14ac:dyDescent="0.3">
      <c r="A5" s="74">
        <v>3030</v>
      </c>
      <c r="B5" s="75" t="s">
        <v>26</v>
      </c>
      <c r="C5" s="76">
        <v>322</v>
      </c>
      <c r="D5" s="26">
        <f>C5/3</f>
        <v>107.33333333333333</v>
      </c>
      <c r="E5" s="27">
        <f t="shared" si="5"/>
        <v>107.33333333333333</v>
      </c>
      <c r="F5" s="29">
        <f t="shared" si="6"/>
        <v>107.33333333333333</v>
      </c>
      <c r="G5" s="30">
        <v>4</v>
      </c>
      <c r="H5" s="31">
        <v>1</v>
      </c>
      <c r="I5" s="32">
        <v>1</v>
      </c>
      <c r="J5" s="77"/>
      <c r="K5" s="33">
        <v>2</v>
      </c>
      <c r="L5" s="34">
        <v>7</v>
      </c>
      <c r="M5" s="34">
        <v>12</v>
      </c>
      <c r="N5" s="62"/>
      <c r="O5" s="34">
        <v>4</v>
      </c>
      <c r="P5" s="34">
        <v>1</v>
      </c>
      <c r="Q5" s="34">
        <v>5</v>
      </c>
      <c r="R5" s="62"/>
      <c r="S5" s="37">
        <v>5</v>
      </c>
      <c r="T5" s="34">
        <v>2</v>
      </c>
      <c r="U5" s="34">
        <v>7</v>
      </c>
      <c r="V5" s="62"/>
      <c r="W5" s="38">
        <v>5</v>
      </c>
      <c r="X5" s="31">
        <v>9</v>
      </c>
      <c r="Y5" s="31">
        <v>1</v>
      </c>
      <c r="Z5" s="78"/>
      <c r="AA5" s="37">
        <v>4</v>
      </c>
      <c r="AB5" s="34">
        <v>0</v>
      </c>
      <c r="AC5" s="34">
        <v>8</v>
      </c>
      <c r="AD5" s="64"/>
      <c r="AE5" s="79"/>
      <c r="AF5" s="64"/>
      <c r="AG5" s="43">
        <f t="shared" si="0"/>
        <v>24</v>
      </c>
      <c r="AH5" s="44">
        <f t="shared" si="0"/>
        <v>20</v>
      </c>
      <c r="AI5" s="44">
        <f t="shared" si="0"/>
        <v>34</v>
      </c>
      <c r="AJ5" s="45">
        <f t="shared" si="0"/>
        <v>0</v>
      </c>
      <c r="AK5" s="80">
        <f t="shared" si="1"/>
        <v>78</v>
      </c>
      <c r="AL5" s="66">
        <v>1.75</v>
      </c>
      <c r="AM5" s="48">
        <f t="shared" si="7"/>
        <v>42</v>
      </c>
      <c r="AN5" s="48">
        <f t="shared" si="2"/>
        <v>35</v>
      </c>
      <c r="AO5" s="49">
        <f t="shared" si="8"/>
        <v>59.5</v>
      </c>
      <c r="AP5" s="49">
        <f t="shared" si="3"/>
        <v>0</v>
      </c>
      <c r="AQ5" s="50">
        <f t="shared" si="9"/>
        <v>4680</v>
      </c>
      <c r="AR5" s="81">
        <v>42.35</v>
      </c>
      <c r="AS5" s="82">
        <v>7.6499999999999986</v>
      </c>
      <c r="AT5" s="83">
        <f t="shared" ref="AT5:AT17" si="10">AK5*AS5</f>
        <v>596.69999999999993</v>
      </c>
      <c r="AU5" s="84">
        <f t="shared" ref="AU5:AU19" si="11">AK5*AL5</f>
        <v>136.5</v>
      </c>
      <c r="AV5" s="85">
        <v>0</v>
      </c>
      <c r="AW5" s="86"/>
      <c r="AX5" s="86"/>
      <c r="AY5" s="82"/>
      <c r="AZ5" s="87">
        <f t="shared" ref="AZ5:AZ17" si="12">AT5-AU5-AW5-AX5-AY5</f>
        <v>460.19999999999993</v>
      </c>
    </row>
    <row r="6" spans="1:52" ht="16.5" thickBot="1" x14ac:dyDescent="0.3">
      <c r="A6" s="74">
        <v>3030</v>
      </c>
      <c r="B6" s="75" t="s">
        <v>27</v>
      </c>
      <c r="C6" s="76">
        <v>64</v>
      </c>
      <c r="D6" s="26">
        <f>C6/3</f>
        <v>21.333333333333332</v>
      </c>
      <c r="E6" s="27">
        <f t="shared" si="5"/>
        <v>21.333333333333332</v>
      </c>
      <c r="F6" s="29">
        <f t="shared" si="6"/>
        <v>21.333333333333332</v>
      </c>
      <c r="G6" s="30">
        <v>2</v>
      </c>
      <c r="H6" s="31">
        <v>0</v>
      </c>
      <c r="I6" s="32">
        <v>0</v>
      </c>
      <c r="J6" s="77"/>
      <c r="K6" s="33">
        <v>0</v>
      </c>
      <c r="L6" s="34">
        <v>5</v>
      </c>
      <c r="M6" s="34">
        <v>10</v>
      </c>
      <c r="N6" s="62"/>
      <c r="O6" s="34">
        <v>2</v>
      </c>
      <c r="P6" s="34">
        <v>0</v>
      </c>
      <c r="Q6" s="34">
        <v>2</v>
      </c>
      <c r="R6" s="62"/>
      <c r="S6" s="37">
        <v>5</v>
      </c>
      <c r="T6" s="34">
        <v>8</v>
      </c>
      <c r="U6" s="34">
        <v>12</v>
      </c>
      <c r="V6" s="62"/>
      <c r="W6" s="38">
        <v>3</v>
      </c>
      <c r="X6" s="31">
        <v>4</v>
      </c>
      <c r="Y6" s="31">
        <v>1</v>
      </c>
      <c r="Z6" s="78"/>
      <c r="AA6" s="37">
        <v>1</v>
      </c>
      <c r="AB6" s="34">
        <v>0</v>
      </c>
      <c r="AC6" s="34">
        <v>4</v>
      </c>
      <c r="AD6" s="64"/>
      <c r="AE6" s="79"/>
      <c r="AF6" s="64"/>
      <c r="AG6" s="43">
        <f t="shared" si="0"/>
        <v>13</v>
      </c>
      <c r="AH6" s="44">
        <f t="shared" si="0"/>
        <v>17</v>
      </c>
      <c r="AI6" s="44">
        <f t="shared" si="0"/>
        <v>29</v>
      </c>
      <c r="AJ6" s="45">
        <f t="shared" si="0"/>
        <v>0</v>
      </c>
      <c r="AK6" s="80">
        <f t="shared" si="1"/>
        <v>59</v>
      </c>
      <c r="AL6" s="66">
        <v>1.75</v>
      </c>
      <c r="AM6" s="48">
        <f t="shared" si="7"/>
        <v>22.75</v>
      </c>
      <c r="AN6" s="48">
        <f t="shared" si="2"/>
        <v>29.75</v>
      </c>
      <c r="AO6" s="49">
        <f t="shared" si="8"/>
        <v>50.75</v>
      </c>
      <c r="AP6" s="49">
        <f t="shared" si="3"/>
        <v>0</v>
      </c>
      <c r="AQ6" s="50">
        <f t="shared" si="9"/>
        <v>3540</v>
      </c>
      <c r="AR6" s="81">
        <v>42.5</v>
      </c>
      <c r="AS6" s="82">
        <v>7.5</v>
      </c>
      <c r="AT6" s="83">
        <f t="shared" si="10"/>
        <v>442.5</v>
      </c>
      <c r="AU6" s="84">
        <f t="shared" si="11"/>
        <v>103.25</v>
      </c>
      <c r="AV6" s="85">
        <v>0</v>
      </c>
      <c r="AW6" s="86"/>
      <c r="AX6" s="86"/>
      <c r="AY6" s="82"/>
      <c r="AZ6" s="87">
        <f t="shared" si="12"/>
        <v>339.25</v>
      </c>
    </row>
    <row r="7" spans="1:52" ht="16.5" thickBot="1" x14ac:dyDescent="0.3">
      <c r="A7" s="74">
        <v>3030</v>
      </c>
      <c r="B7" s="75" t="s">
        <v>25</v>
      </c>
      <c r="C7" s="76">
        <v>2776</v>
      </c>
      <c r="D7" s="26">
        <f t="shared" si="4"/>
        <v>925.33333333333337</v>
      </c>
      <c r="E7" s="27">
        <f t="shared" si="5"/>
        <v>925.33333333333337</v>
      </c>
      <c r="F7" s="29">
        <f t="shared" si="6"/>
        <v>925.33333333333337</v>
      </c>
      <c r="G7" s="30">
        <v>5</v>
      </c>
      <c r="H7" s="31">
        <v>14</v>
      </c>
      <c r="I7" s="32">
        <v>6</v>
      </c>
      <c r="J7" s="77"/>
      <c r="K7" s="33">
        <v>1</v>
      </c>
      <c r="L7" s="34">
        <v>53</v>
      </c>
      <c r="M7" s="34">
        <v>24</v>
      </c>
      <c r="N7" s="62"/>
      <c r="O7" s="34">
        <v>6</v>
      </c>
      <c r="P7" s="34">
        <v>8</v>
      </c>
      <c r="Q7" s="34">
        <v>26</v>
      </c>
      <c r="R7" s="62"/>
      <c r="S7" s="37">
        <v>31</v>
      </c>
      <c r="T7" s="34">
        <v>19</v>
      </c>
      <c r="U7" s="34">
        <v>6</v>
      </c>
      <c r="V7" s="62"/>
      <c r="W7" s="38">
        <v>42</v>
      </c>
      <c r="X7" s="31">
        <v>25</v>
      </c>
      <c r="Y7" s="31">
        <v>63</v>
      </c>
      <c r="Z7" s="78"/>
      <c r="AA7" s="37">
        <v>16</v>
      </c>
      <c r="AB7" s="34">
        <v>30</v>
      </c>
      <c r="AC7" s="34">
        <v>97</v>
      </c>
      <c r="AD7" s="64"/>
      <c r="AE7" s="79"/>
      <c r="AF7" s="64"/>
      <c r="AG7" s="43">
        <f t="shared" si="0"/>
        <v>101</v>
      </c>
      <c r="AH7" s="44">
        <f t="shared" si="0"/>
        <v>149</v>
      </c>
      <c r="AI7" s="44">
        <f t="shared" si="0"/>
        <v>222</v>
      </c>
      <c r="AJ7" s="45">
        <f t="shared" si="0"/>
        <v>0</v>
      </c>
      <c r="AK7" s="80">
        <f t="shared" si="1"/>
        <v>472</v>
      </c>
      <c r="AL7" s="47">
        <v>1.5</v>
      </c>
      <c r="AM7" s="48">
        <f t="shared" si="7"/>
        <v>151.5</v>
      </c>
      <c r="AN7" s="48">
        <f t="shared" si="2"/>
        <v>223.5</v>
      </c>
      <c r="AO7" s="49">
        <f t="shared" si="8"/>
        <v>333</v>
      </c>
      <c r="AP7" s="49">
        <f t="shared" si="3"/>
        <v>0</v>
      </c>
      <c r="AQ7" s="50">
        <f t="shared" si="9"/>
        <v>28320</v>
      </c>
      <c r="AR7" s="81">
        <v>48.33</v>
      </c>
      <c r="AS7" s="82">
        <f>56-AR7</f>
        <v>7.6700000000000017</v>
      </c>
      <c r="AT7" s="83">
        <f t="shared" si="10"/>
        <v>3620.2400000000007</v>
      </c>
      <c r="AU7" s="84">
        <f t="shared" si="11"/>
        <v>708</v>
      </c>
      <c r="AV7" s="85">
        <v>0</v>
      </c>
      <c r="AW7" s="86"/>
      <c r="AX7" s="86"/>
      <c r="AY7" s="82"/>
      <c r="AZ7" s="87">
        <f t="shared" si="12"/>
        <v>2912.2400000000007</v>
      </c>
    </row>
    <row r="8" spans="1:52" ht="16.5" thickBot="1" x14ac:dyDescent="0.3">
      <c r="A8" s="74">
        <v>3030</v>
      </c>
      <c r="B8" s="75" t="s">
        <v>28</v>
      </c>
      <c r="C8" s="76">
        <v>136</v>
      </c>
      <c r="D8" s="26">
        <f t="shared" si="4"/>
        <v>45.333333333333336</v>
      </c>
      <c r="E8" s="27">
        <f t="shared" si="5"/>
        <v>45.333333333333336</v>
      </c>
      <c r="F8" s="29">
        <f t="shared" si="6"/>
        <v>45.333333333333336</v>
      </c>
      <c r="G8" s="30">
        <v>0</v>
      </c>
      <c r="H8" s="31">
        <v>0</v>
      </c>
      <c r="I8" s="32">
        <v>0</v>
      </c>
      <c r="J8" s="77"/>
      <c r="K8" s="33">
        <v>0</v>
      </c>
      <c r="L8" s="34">
        <v>2</v>
      </c>
      <c r="M8" s="34">
        <v>0</v>
      </c>
      <c r="N8" s="62"/>
      <c r="O8" s="34">
        <v>0</v>
      </c>
      <c r="P8" s="34">
        <v>0</v>
      </c>
      <c r="Q8" s="34">
        <v>5</v>
      </c>
      <c r="R8" s="62"/>
      <c r="S8" s="37">
        <v>0</v>
      </c>
      <c r="T8" s="34">
        <v>0</v>
      </c>
      <c r="U8" s="34">
        <v>1</v>
      </c>
      <c r="V8" s="62"/>
      <c r="W8" s="38">
        <v>0</v>
      </c>
      <c r="X8" s="31">
        <v>0</v>
      </c>
      <c r="Y8" s="31">
        <v>3</v>
      </c>
      <c r="Z8" s="78"/>
      <c r="AA8" s="37">
        <v>0</v>
      </c>
      <c r="AB8" s="34">
        <v>0</v>
      </c>
      <c r="AC8" s="34">
        <v>2</v>
      </c>
      <c r="AD8" s="64"/>
      <c r="AE8" s="79"/>
      <c r="AF8" s="64"/>
      <c r="AG8" s="43">
        <f t="shared" si="0"/>
        <v>0</v>
      </c>
      <c r="AH8" s="44">
        <f t="shared" si="0"/>
        <v>2</v>
      </c>
      <c r="AI8" s="44">
        <f t="shared" si="0"/>
        <v>11</v>
      </c>
      <c r="AJ8" s="45">
        <f t="shared" si="0"/>
        <v>0</v>
      </c>
      <c r="AK8" s="80">
        <f t="shared" si="1"/>
        <v>13</v>
      </c>
      <c r="AL8" s="47">
        <v>1.5</v>
      </c>
      <c r="AM8" s="48">
        <f t="shared" si="7"/>
        <v>0</v>
      </c>
      <c r="AN8" s="48">
        <f t="shared" si="2"/>
        <v>3</v>
      </c>
      <c r="AO8" s="49">
        <f t="shared" si="8"/>
        <v>16.5</v>
      </c>
      <c r="AP8" s="49">
        <f t="shared" si="3"/>
        <v>0</v>
      </c>
      <c r="AQ8" s="50">
        <f t="shared" si="9"/>
        <v>780</v>
      </c>
      <c r="AR8" s="81">
        <v>43.2</v>
      </c>
      <c r="AS8" s="82">
        <v>6.7999999999999972</v>
      </c>
      <c r="AT8" s="83">
        <f t="shared" si="10"/>
        <v>88.399999999999963</v>
      </c>
      <c r="AU8" s="84">
        <f t="shared" si="11"/>
        <v>19.5</v>
      </c>
      <c r="AV8" s="85">
        <v>0</v>
      </c>
      <c r="AW8" s="86"/>
      <c r="AX8" s="86"/>
      <c r="AY8" s="82"/>
      <c r="AZ8" s="87">
        <f t="shared" si="12"/>
        <v>68.899999999999963</v>
      </c>
    </row>
    <row r="9" spans="1:52" ht="16.5" thickBot="1" x14ac:dyDescent="0.3">
      <c r="A9" s="74">
        <v>3030</v>
      </c>
      <c r="B9" s="75" t="s">
        <v>29</v>
      </c>
      <c r="C9" s="76">
        <v>67</v>
      </c>
      <c r="D9" s="26">
        <f t="shared" si="4"/>
        <v>22.333333333333332</v>
      </c>
      <c r="E9" s="27">
        <f t="shared" si="5"/>
        <v>22.333333333333332</v>
      </c>
      <c r="F9" s="29">
        <f t="shared" si="6"/>
        <v>22.333333333333332</v>
      </c>
      <c r="G9" s="30">
        <v>0</v>
      </c>
      <c r="H9" s="31">
        <v>0</v>
      </c>
      <c r="I9" s="32">
        <v>0</v>
      </c>
      <c r="J9" s="77"/>
      <c r="K9" s="33">
        <v>0</v>
      </c>
      <c r="L9" s="34">
        <v>0</v>
      </c>
      <c r="M9" s="34">
        <v>0</v>
      </c>
      <c r="N9" s="62"/>
      <c r="O9" s="34">
        <v>0</v>
      </c>
      <c r="P9" s="34">
        <v>0</v>
      </c>
      <c r="Q9" s="34">
        <v>0</v>
      </c>
      <c r="R9" s="62"/>
      <c r="S9" s="37">
        <v>0</v>
      </c>
      <c r="T9" s="34">
        <v>0</v>
      </c>
      <c r="U9" s="34">
        <v>0</v>
      </c>
      <c r="V9" s="62"/>
      <c r="W9" s="38">
        <v>0</v>
      </c>
      <c r="X9" s="31">
        <v>0</v>
      </c>
      <c r="Y9" s="31">
        <v>0</v>
      </c>
      <c r="Z9" s="78"/>
      <c r="AA9" s="37">
        <v>0</v>
      </c>
      <c r="AB9" s="34">
        <v>0</v>
      </c>
      <c r="AC9" s="34">
        <v>0</v>
      </c>
      <c r="AD9" s="64"/>
      <c r="AE9" s="79"/>
      <c r="AF9" s="64"/>
      <c r="AG9" s="43">
        <f t="shared" si="0"/>
        <v>0</v>
      </c>
      <c r="AH9" s="44">
        <f t="shared" si="0"/>
        <v>0</v>
      </c>
      <c r="AI9" s="44">
        <f t="shared" si="0"/>
        <v>0</v>
      </c>
      <c r="AJ9" s="45">
        <f t="shared" si="0"/>
        <v>0</v>
      </c>
      <c r="AK9" s="80">
        <f t="shared" si="1"/>
        <v>0</v>
      </c>
      <c r="AL9" s="47">
        <v>1.5</v>
      </c>
      <c r="AM9" s="48">
        <f t="shared" si="7"/>
        <v>0</v>
      </c>
      <c r="AN9" s="48">
        <f t="shared" si="2"/>
        <v>0</v>
      </c>
      <c r="AO9" s="49">
        <f t="shared" si="8"/>
        <v>0</v>
      </c>
      <c r="AP9" s="49">
        <f t="shared" si="3"/>
        <v>0</v>
      </c>
      <c r="AQ9" s="50">
        <f t="shared" si="9"/>
        <v>0</v>
      </c>
      <c r="AR9" s="81">
        <v>43.2</v>
      </c>
      <c r="AS9" s="82">
        <v>6.7999999999999972</v>
      </c>
      <c r="AT9" s="83">
        <f t="shared" si="10"/>
        <v>0</v>
      </c>
      <c r="AU9" s="84">
        <f t="shared" si="11"/>
        <v>0</v>
      </c>
      <c r="AV9" s="85">
        <v>0</v>
      </c>
      <c r="AW9" s="86"/>
      <c r="AX9" s="86"/>
      <c r="AY9" s="82"/>
      <c r="AZ9" s="87">
        <f t="shared" si="12"/>
        <v>0</v>
      </c>
    </row>
    <row r="10" spans="1:52" ht="16.5" thickBot="1" x14ac:dyDescent="0.3">
      <c r="A10" s="74">
        <v>3030</v>
      </c>
      <c r="B10" s="75" t="s">
        <v>30</v>
      </c>
      <c r="C10" s="76"/>
      <c r="D10" s="26">
        <f t="shared" si="4"/>
        <v>0</v>
      </c>
      <c r="E10" s="27">
        <f t="shared" si="5"/>
        <v>0</v>
      </c>
      <c r="F10" s="29">
        <f t="shared" si="6"/>
        <v>0</v>
      </c>
      <c r="G10" s="30">
        <v>0</v>
      </c>
      <c r="H10" s="31">
        <v>0</v>
      </c>
      <c r="I10" s="32">
        <v>0</v>
      </c>
      <c r="J10" s="77"/>
      <c r="K10" s="33">
        <v>0</v>
      </c>
      <c r="L10" s="34">
        <v>0</v>
      </c>
      <c r="M10" s="34">
        <v>0</v>
      </c>
      <c r="N10" s="62"/>
      <c r="O10" s="34">
        <v>0</v>
      </c>
      <c r="P10" s="34">
        <v>0</v>
      </c>
      <c r="Q10" s="34">
        <v>0</v>
      </c>
      <c r="R10" s="62"/>
      <c r="S10" s="37">
        <v>0</v>
      </c>
      <c r="T10" s="34">
        <v>0</v>
      </c>
      <c r="U10" s="34">
        <v>0</v>
      </c>
      <c r="V10" s="62"/>
      <c r="W10" s="38">
        <v>0</v>
      </c>
      <c r="X10" s="31">
        <v>0</v>
      </c>
      <c r="Y10" s="31">
        <v>0</v>
      </c>
      <c r="Z10" s="78"/>
      <c r="AA10" s="37">
        <v>0</v>
      </c>
      <c r="AB10" s="34">
        <v>0</v>
      </c>
      <c r="AC10" s="34">
        <v>0</v>
      </c>
      <c r="AD10" s="64"/>
      <c r="AE10" s="79"/>
      <c r="AF10" s="64"/>
      <c r="AG10" s="43">
        <f t="shared" si="0"/>
        <v>0</v>
      </c>
      <c r="AH10" s="44">
        <f t="shared" si="0"/>
        <v>0</v>
      </c>
      <c r="AI10" s="44">
        <f t="shared" si="0"/>
        <v>0</v>
      </c>
      <c r="AJ10" s="45">
        <f t="shared" si="0"/>
        <v>0</v>
      </c>
      <c r="AK10" s="80">
        <f t="shared" si="1"/>
        <v>0</v>
      </c>
      <c r="AL10" s="47">
        <v>1.5</v>
      </c>
      <c r="AM10" s="48">
        <f t="shared" si="7"/>
        <v>0</v>
      </c>
      <c r="AN10" s="48">
        <f t="shared" si="2"/>
        <v>0</v>
      </c>
      <c r="AO10" s="49">
        <f t="shared" si="8"/>
        <v>0</v>
      </c>
      <c r="AP10" s="49">
        <f t="shared" si="3"/>
        <v>0</v>
      </c>
      <c r="AQ10" s="50">
        <f t="shared" si="9"/>
        <v>0</v>
      </c>
      <c r="AR10" s="81">
        <v>43.2</v>
      </c>
      <c r="AS10" s="82">
        <v>6.7999999999999972</v>
      </c>
      <c r="AT10" s="83">
        <f t="shared" si="10"/>
        <v>0</v>
      </c>
      <c r="AU10" s="84">
        <f t="shared" si="11"/>
        <v>0</v>
      </c>
      <c r="AV10" s="85">
        <v>0</v>
      </c>
      <c r="AW10" s="86"/>
      <c r="AX10" s="86"/>
      <c r="AY10" s="82"/>
      <c r="AZ10" s="87">
        <f t="shared" si="12"/>
        <v>0</v>
      </c>
    </row>
    <row r="11" spans="1:52" ht="16.5" thickBot="1" x14ac:dyDescent="0.3">
      <c r="A11" s="74">
        <v>3030</v>
      </c>
      <c r="B11" s="75" t="s">
        <v>31</v>
      </c>
      <c r="C11" s="76">
        <v>67</v>
      </c>
      <c r="D11" s="26">
        <f t="shared" si="4"/>
        <v>22.333333333333332</v>
      </c>
      <c r="E11" s="27">
        <f t="shared" si="5"/>
        <v>22.333333333333332</v>
      </c>
      <c r="F11" s="29">
        <f t="shared" si="6"/>
        <v>22.333333333333332</v>
      </c>
      <c r="G11" s="30">
        <v>0</v>
      </c>
      <c r="H11" s="31">
        <v>0</v>
      </c>
      <c r="I11" s="32">
        <v>0</v>
      </c>
      <c r="J11" s="77"/>
      <c r="K11" s="33">
        <v>0</v>
      </c>
      <c r="L11" s="34">
        <v>0</v>
      </c>
      <c r="M11" s="34">
        <v>0</v>
      </c>
      <c r="N11" s="62"/>
      <c r="O11" s="34">
        <v>0</v>
      </c>
      <c r="P11" s="34">
        <v>0</v>
      </c>
      <c r="Q11" s="34">
        <v>0</v>
      </c>
      <c r="R11" s="62"/>
      <c r="S11" s="37">
        <v>0</v>
      </c>
      <c r="T11" s="34">
        <v>0</v>
      </c>
      <c r="U11" s="34">
        <v>0</v>
      </c>
      <c r="V11" s="62"/>
      <c r="W11" s="38">
        <v>0</v>
      </c>
      <c r="X11" s="31">
        <v>0</v>
      </c>
      <c r="Y11" s="31">
        <v>0</v>
      </c>
      <c r="Z11" s="78"/>
      <c r="AA11" s="37">
        <v>0</v>
      </c>
      <c r="AB11" s="34">
        <v>0</v>
      </c>
      <c r="AC11" s="34">
        <v>0</v>
      </c>
      <c r="AD11" s="64"/>
      <c r="AE11" s="79"/>
      <c r="AF11" s="64"/>
      <c r="AG11" s="43">
        <f t="shared" si="0"/>
        <v>0</v>
      </c>
      <c r="AH11" s="44">
        <f t="shared" si="0"/>
        <v>0</v>
      </c>
      <c r="AI11" s="44">
        <f t="shared" si="0"/>
        <v>0</v>
      </c>
      <c r="AJ11" s="45">
        <f t="shared" si="0"/>
        <v>0</v>
      </c>
      <c r="AK11" s="80">
        <f t="shared" si="1"/>
        <v>0</v>
      </c>
      <c r="AL11" s="47">
        <v>1.5</v>
      </c>
      <c r="AM11" s="48">
        <f t="shared" si="7"/>
        <v>0</v>
      </c>
      <c r="AN11" s="48">
        <f t="shared" si="2"/>
        <v>0</v>
      </c>
      <c r="AO11" s="49">
        <f t="shared" si="8"/>
        <v>0</v>
      </c>
      <c r="AP11" s="49">
        <f t="shared" si="3"/>
        <v>0</v>
      </c>
      <c r="AQ11" s="50">
        <f t="shared" si="9"/>
        <v>0</v>
      </c>
      <c r="AR11" s="81">
        <v>43.2</v>
      </c>
      <c r="AS11" s="82">
        <v>6.7999999999999972</v>
      </c>
      <c r="AT11" s="83">
        <f t="shared" si="10"/>
        <v>0</v>
      </c>
      <c r="AU11" s="84">
        <f t="shared" si="11"/>
        <v>0</v>
      </c>
      <c r="AV11" s="85">
        <v>0</v>
      </c>
      <c r="AW11" s="86"/>
      <c r="AX11" s="86"/>
      <c r="AY11" s="82"/>
      <c r="AZ11" s="87">
        <f t="shared" si="12"/>
        <v>0</v>
      </c>
    </row>
    <row r="12" spans="1:52" ht="16.5" thickBot="1" x14ac:dyDescent="0.3">
      <c r="A12" s="74">
        <v>3030</v>
      </c>
      <c r="B12" s="75" t="s">
        <v>32</v>
      </c>
      <c r="C12" s="88">
        <v>0</v>
      </c>
      <c r="D12" s="26">
        <f t="shared" si="4"/>
        <v>0</v>
      </c>
      <c r="E12" s="27">
        <f t="shared" si="5"/>
        <v>0</v>
      </c>
      <c r="F12" s="29">
        <f t="shared" si="6"/>
        <v>0</v>
      </c>
      <c r="G12" s="30">
        <v>0</v>
      </c>
      <c r="H12" s="31">
        <v>0</v>
      </c>
      <c r="I12" s="32">
        <v>0</v>
      </c>
      <c r="J12" s="77"/>
      <c r="K12" s="33">
        <v>0</v>
      </c>
      <c r="L12" s="34">
        <v>0</v>
      </c>
      <c r="M12" s="34">
        <v>0</v>
      </c>
      <c r="N12" s="62"/>
      <c r="O12" s="34">
        <v>0</v>
      </c>
      <c r="P12" s="34">
        <v>0</v>
      </c>
      <c r="Q12" s="34">
        <v>0</v>
      </c>
      <c r="R12" s="62"/>
      <c r="S12" s="37">
        <v>0</v>
      </c>
      <c r="T12" s="34">
        <v>0</v>
      </c>
      <c r="U12" s="34">
        <v>0</v>
      </c>
      <c r="V12" s="62"/>
      <c r="W12" s="38">
        <v>0</v>
      </c>
      <c r="X12" s="31">
        <v>0</v>
      </c>
      <c r="Y12" s="31">
        <v>0</v>
      </c>
      <c r="Z12" s="78"/>
      <c r="AA12" s="37">
        <v>0</v>
      </c>
      <c r="AB12" s="34">
        <v>0</v>
      </c>
      <c r="AC12" s="34">
        <v>0</v>
      </c>
      <c r="AD12" s="64"/>
      <c r="AE12" s="79"/>
      <c r="AF12" s="64"/>
      <c r="AG12" s="43">
        <f t="shared" si="0"/>
        <v>0</v>
      </c>
      <c r="AH12" s="44">
        <f t="shared" si="0"/>
        <v>0</v>
      </c>
      <c r="AI12" s="44">
        <f t="shared" si="0"/>
        <v>0</v>
      </c>
      <c r="AJ12" s="45">
        <f t="shared" si="0"/>
        <v>0</v>
      </c>
      <c r="AK12" s="80">
        <f t="shared" si="1"/>
        <v>0</v>
      </c>
      <c r="AL12" s="47">
        <v>2</v>
      </c>
      <c r="AM12" s="48">
        <f t="shared" si="7"/>
        <v>0</v>
      </c>
      <c r="AN12" s="48">
        <f t="shared" si="2"/>
        <v>0</v>
      </c>
      <c r="AO12" s="49">
        <f t="shared" si="8"/>
        <v>0</v>
      </c>
      <c r="AP12" s="49">
        <f t="shared" si="3"/>
        <v>0</v>
      </c>
      <c r="AQ12" s="50">
        <f t="shared" si="9"/>
        <v>0</v>
      </c>
      <c r="AR12" s="81">
        <v>42.35</v>
      </c>
      <c r="AS12" s="82">
        <v>7.6499999999999986</v>
      </c>
      <c r="AT12" s="83">
        <f t="shared" si="10"/>
        <v>0</v>
      </c>
      <c r="AU12" s="84">
        <f t="shared" si="11"/>
        <v>0</v>
      </c>
      <c r="AV12" s="85">
        <v>0</v>
      </c>
      <c r="AW12" s="86"/>
      <c r="AX12" s="86"/>
      <c r="AY12" s="82"/>
      <c r="AZ12" s="87">
        <f t="shared" si="12"/>
        <v>0</v>
      </c>
    </row>
    <row r="13" spans="1:52" ht="16.5" thickBot="1" x14ac:dyDescent="0.3">
      <c r="A13" s="74">
        <v>2250</v>
      </c>
      <c r="B13" s="75" t="s">
        <v>25</v>
      </c>
      <c r="C13" s="76"/>
      <c r="D13" s="26">
        <f t="shared" si="4"/>
        <v>0</v>
      </c>
      <c r="E13" s="27">
        <f t="shared" si="5"/>
        <v>0</v>
      </c>
      <c r="F13" s="29">
        <f t="shared" si="6"/>
        <v>0</v>
      </c>
      <c r="G13" s="30">
        <v>0</v>
      </c>
      <c r="H13" s="31">
        <v>0</v>
      </c>
      <c r="I13" s="32">
        <v>0</v>
      </c>
      <c r="J13" s="77"/>
      <c r="K13" s="33">
        <v>0</v>
      </c>
      <c r="L13" s="34">
        <v>0</v>
      </c>
      <c r="M13" s="34">
        <v>0</v>
      </c>
      <c r="N13" s="62"/>
      <c r="O13" s="34">
        <v>0</v>
      </c>
      <c r="P13" s="34">
        <v>0</v>
      </c>
      <c r="Q13" s="34">
        <v>0</v>
      </c>
      <c r="R13" s="62"/>
      <c r="S13" s="37">
        <v>0</v>
      </c>
      <c r="T13" s="34">
        <v>0</v>
      </c>
      <c r="U13" s="34">
        <v>0</v>
      </c>
      <c r="V13" s="62"/>
      <c r="W13" s="38">
        <v>0</v>
      </c>
      <c r="X13" s="31">
        <v>0</v>
      </c>
      <c r="Y13" s="31">
        <v>0</v>
      </c>
      <c r="Z13" s="78"/>
      <c r="AA13" s="37">
        <v>0</v>
      </c>
      <c r="AB13" s="34">
        <v>0</v>
      </c>
      <c r="AC13" s="34">
        <v>0</v>
      </c>
      <c r="AD13" s="64"/>
      <c r="AE13" s="79"/>
      <c r="AF13" s="64"/>
      <c r="AG13" s="43">
        <f t="shared" si="0"/>
        <v>0</v>
      </c>
      <c r="AH13" s="44">
        <f t="shared" si="0"/>
        <v>0</v>
      </c>
      <c r="AI13" s="44">
        <f t="shared" si="0"/>
        <v>0</v>
      </c>
      <c r="AJ13" s="45">
        <f>J13+N13+R13+V13+Z13+AD13</f>
        <v>0</v>
      </c>
      <c r="AK13" s="80">
        <f t="shared" si="1"/>
        <v>0</v>
      </c>
      <c r="AL13" s="47">
        <v>1.5</v>
      </c>
      <c r="AM13" s="48">
        <f t="shared" si="7"/>
        <v>0</v>
      </c>
      <c r="AN13" s="48">
        <f t="shared" si="2"/>
        <v>0</v>
      </c>
      <c r="AO13" s="49">
        <f t="shared" si="8"/>
        <v>0</v>
      </c>
      <c r="AP13" s="49">
        <f t="shared" si="3"/>
        <v>0</v>
      </c>
      <c r="AQ13" s="50">
        <f t="shared" si="9"/>
        <v>0</v>
      </c>
      <c r="AR13" s="81">
        <v>34.68</v>
      </c>
      <c r="AS13" s="82">
        <v>5.32</v>
      </c>
      <c r="AT13" s="83">
        <f t="shared" si="10"/>
        <v>0</v>
      </c>
      <c r="AU13" s="84">
        <f t="shared" si="11"/>
        <v>0</v>
      </c>
      <c r="AV13" s="85">
        <v>0</v>
      </c>
      <c r="AW13" s="86"/>
      <c r="AX13" s="86"/>
      <c r="AY13" s="82"/>
      <c r="AZ13" s="87">
        <f t="shared" si="12"/>
        <v>0</v>
      </c>
    </row>
    <row r="14" spans="1:52" ht="16.5" thickBot="1" x14ac:dyDescent="0.3">
      <c r="A14" s="74">
        <v>2250</v>
      </c>
      <c r="B14" s="75" t="s">
        <v>33</v>
      </c>
      <c r="C14" s="76"/>
      <c r="D14" s="26">
        <f t="shared" si="4"/>
        <v>0</v>
      </c>
      <c r="E14" s="27">
        <f t="shared" si="5"/>
        <v>0</v>
      </c>
      <c r="F14" s="29">
        <f t="shared" si="6"/>
        <v>0</v>
      </c>
      <c r="G14" s="30">
        <v>0</v>
      </c>
      <c r="H14" s="31">
        <v>0</v>
      </c>
      <c r="I14" s="32">
        <v>0</v>
      </c>
      <c r="J14" s="77"/>
      <c r="K14" s="33">
        <v>0</v>
      </c>
      <c r="L14" s="34">
        <v>0</v>
      </c>
      <c r="M14" s="34">
        <v>0</v>
      </c>
      <c r="N14" s="62"/>
      <c r="O14" s="34">
        <v>0</v>
      </c>
      <c r="P14" s="34">
        <v>0</v>
      </c>
      <c r="Q14" s="34">
        <v>0</v>
      </c>
      <c r="R14" s="62"/>
      <c r="S14" s="37">
        <v>0</v>
      </c>
      <c r="T14" s="34">
        <v>0</v>
      </c>
      <c r="U14" s="34">
        <v>0</v>
      </c>
      <c r="V14" s="62"/>
      <c r="W14" s="38">
        <v>0</v>
      </c>
      <c r="X14" s="31">
        <v>0</v>
      </c>
      <c r="Y14" s="31">
        <v>0</v>
      </c>
      <c r="Z14" s="78"/>
      <c r="AA14" s="37">
        <v>0</v>
      </c>
      <c r="AB14" s="34">
        <v>0</v>
      </c>
      <c r="AC14" s="34">
        <v>0</v>
      </c>
      <c r="AD14" s="64"/>
      <c r="AE14" s="79"/>
      <c r="AF14" s="64"/>
      <c r="AG14" s="43">
        <f t="shared" si="0"/>
        <v>0</v>
      </c>
      <c r="AH14" s="44">
        <f t="shared" si="0"/>
        <v>0</v>
      </c>
      <c r="AI14" s="44">
        <f t="shared" si="0"/>
        <v>0</v>
      </c>
      <c r="AJ14" s="45">
        <f t="shared" si="0"/>
        <v>0</v>
      </c>
      <c r="AK14" s="80">
        <f t="shared" si="1"/>
        <v>0</v>
      </c>
      <c r="AL14" s="47">
        <v>1.5</v>
      </c>
      <c r="AM14" s="48">
        <f t="shared" si="7"/>
        <v>0</v>
      </c>
      <c r="AN14" s="48">
        <f t="shared" si="2"/>
        <v>0</v>
      </c>
      <c r="AO14" s="49">
        <f t="shared" si="8"/>
        <v>0</v>
      </c>
      <c r="AP14" s="49">
        <f t="shared" si="3"/>
        <v>0</v>
      </c>
      <c r="AQ14" s="50">
        <f t="shared" si="9"/>
        <v>0</v>
      </c>
      <c r="AR14" s="81">
        <v>34.68</v>
      </c>
      <c r="AS14" s="82">
        <v>5.32</v>
      </c>
      <c r="AT14" s="83">
        <f t="shared" si="10"/>
        <v>0</v>
      </c>
      <c r="AU14" s="84">
        <f t="shared" si="11"/>
        <v>0</v>
      </c>
      <c r="AV14" s="85">
        <v>0</v>
      </c>
      <c r="AW14" s="86"/>
      <c r="AX14" s="86"/>
      <c r="AY14" s="82"/>
      <c r="AZ14" s="87">
        <f t="shared" si="12"/>
        <v>0</v>
      </c>
    </row>
    <row r="15" spans="1:52" ht="16.5" thickBot="1" x14ac:dyDescent="0.3">
      <c r="A15" s="74">
        <v>1800</v>
      </c>
      <c r="B15" s="75" t="s">
        <v>34</v>
      </c>
      <c r="C15" s="76"/>
      <c r="D15" s="26">
        <f t="shared" si="4"/>
        <v>0</v>
      </c>
      <c r="E15" s="27">
        <f t="shared" si="5"/>
        <v>0</v>
      </c>
      <c r="F15" s="29">
        <f t="shared" si="6"/>
        <v>0</v>
      </c>
      <c r="G15" s="30">
        <v>0</v>
      </c>
      <c r="H15" s="31">
        <v>0</v>
      </c>
      <c r="I15" s="32">
        <v>0</v>
      </c>
      <c r="J15" s="77"/>
      <c r="K15" s="33">
        <v>0</v>
      </c>
      <c r="L15" s="34">
        <v>0</v>
      </c>
      <c r="M15" s="34">
        <v>0</v>
      </c>
      <c r="N15" s="62"/>
      <c r="O15" s="34">
        <v>0</v>
      </c>
      <c r="P15" s="34">
        <v>0</v>
      </c>
      <c r="Q15" s="34">
        <v>0</v>
      </c>
      <c r="R15" s="62"/>
      <c r="S15" s="37">
        <v>0</v>
      </c>
      <c r="T15" s="34">
        <v>0</v>
      </c>
      <c r="U15" s="34">
        <v>0</v>
      </c>
      <c r="V15" s="62"/>
      <c r="W15" s="38">
        <v>0</v>
      </c>
      <c r="X15" s="31">
        <v>0</v>
      </c>
      <c r="Y15" s="31">
        <v>0</v>
      </c>
      <c r="Z15" s="78"/>
      <c r="AA15" s="37">
        <v>0</v>
      </c>
      <c r="AB15" s="34">
        <v>0</v>
      </c>
      <c r="AC15" s="34">
        <v>0</v>
      </c>
      <c r="AD15" s="64"/>
      <c r="AE15" s="79"/>
      <c r="AF15" s="64"/>
      <c r="AG15" s="43">
        <f t="shared" si="0"/>
        <v>0</v>
      </c>
      <c r="AH15" s="44">
        <f t="shared" si="0"/>
        <v>0</v>
      </c>
      <c r="AI15" s="44">
        <f t="shared" si="0"/>
        <v>0</v>
      </c>
      <c r="AJ15" s="45">
        <f t="shared" si="0"/>
        <v>0</v>
      </c>
      <c r="AK15" s="80">
        <f t="shared" si="1"/>
        <v>0</v>
      </c>
      <c r="AL15" s="47">
        <v>1.5</v>
      </c>
      <c r="AM15" s="48">
        <f t="shared" si="7"/>
        <v>0</v>
      </c>
      <c r="AN15" s="48">
        <f t="shared" si="2"/>
        <v>0</v>
      </c>
      <c r="AO15" s="49">
        <f t="shared" si="8"/>
        <v>0</v>
      </c>
      <c r="AP15" s="49">
        <f t="shared" si="3"/>
        <v>0</v>
      </c>
      <c r="AQ15" s="50">
        <f t="shared" si="9"/>
        <v>0</v>
      </c>
      <c r="AR15" s="81">
        <v>29.54</v>
      </c>
      <c r="AS15" s="82">
        <v>5.4600000000000009</v>
      </c>
      <c r="AT15" s="83">
        <f t="shared" si="10"/>
        <v>0</v>
      </c>
      <c r="AU15" s="84">
        <f t="shared" si="11"/>
        <v>0</v>
      </c>
      <c r="AV15" s="85">
        <v>0</v>
      </c>
      <c r="AW15" s="86"/>
      <c r="AX15" s="86"/>
      <c r="AY15" s="82"/>
      <c r="AZ15" s="87">
        <f t="shared" si="12"/>
        <v>0</v>
      </c>
    </row>
    <row r="16" spans="1:52" ht="16.5" thickBot="1" x14ac:dyDescent="0.3">
      <c r="A16" s="74">
        <v>1800</v>
      </c>
      <c r="B16" s="75" t="s">
        <v>25</v>
      </c>
      <c r="C16" s="88"/>
      <c r="D16" s="26">
        <f t="shared" si="4"/>
        <v>0</v>
      </c>
      <c r="E16" s="27">
        <f t="shared" si="5"/>
        <v>0</v>
      </c>
      <c r="F16" s="29">
        <f t="shared" si="6"/>
        <v>0</v>
      </c>
      <c r="G16" s="30">
        <v>0</v>
      </c>
      <c r="H16" s="31">
        <v>0</v>
      </c>
      <c r="I16" s="32">
        <v>0</v>
      </c>
      <c r="J16" s="77"/>
      <c r="K16" s="33">
        <v>0</v>
      </c>
      <c r="L16" s="34">
        <v>0</v>
      </c>
      <c r="M16" s="34">
        <v>0</v>
      </c>
      <c r="N16" s="62"/>
      <c r="O16" s="34">
        <v>0</v>
      </c>
      <c r="P16" s="34">
        <v>0</v>
      </c>
      <c r="Q16" s="34">
        <v>0</v>
      </c>
      <c r="R16" s="62"/>
      <c r="S16" s="37">
        <v>0</v>
      </c>
      <c r="T16" s="34">
        <v>0</v>
      </c>
      <c r="U16" s="34">
        <v>0</v>
      </c>
      <c r="V16" s="62"/>
      <c r="W16" s="38">
        <v>0</v>
      </c>
      <c r="X16" s="31">
        <v>0</v>
      </c>
      <c r="Y16" s="31">
        <v>0</v>
      </c>
      <c r="Z16" s="78"/>
      <c r="AA16" s="37">
        <v>0</v>
      </c>
      <c r="AB16" s="34">
        <v>0</v>
      </c>
      <c r="AC16" s="34">
        <v>0</v>
      </c>
      <c r="AD16" s="64"/>
      <c r="AE16" s="79"/>
      <c r="AF16" s="64"/>
      <c r="AG16" s="43">
        <f t="shared" si="0"/>
        <v>0</v>
      </c>
      <c r="AH16" s="44">
        <f t="shared" si="0"/>
        <v>0</v>
      </c>
      <c r="AI16" s="44">
        <f t="shared" si="0"/>
        <v>0</v>
      </c>
      <c r="AJ16" s="45">
        <f t="shared" si="0"/>
        <v>0</v>
      </c>
      <c r="AK16" s="80">
        <f t="shared" si="1"/>
        <v>0</v>
      </c>
      <c r="AL16" s="47">
        <v>1.5</v>
      </c>
      <c r="AM16" s="48">
        <f t="shared" si="7"/>
        <v>0</v>
      </c>
      <c r="AN16" s="48">
        <f t="shared" si="2"/>
        <v>0</v>
      </c>
      <c r="AO16" s="49">
        <f t="shared" si="8"/>
        <v>0</v>
      </c>
      <c r="AP16" s="49">
        <f t="shared" si="3"/>
        <v>0</v>
      </c>
      <c r="AQ16" s="50">
        <f t="shared" si="9"/>
        <v>0</v>
      </c>
      <c r="AR16" s="81">
        <v>28.05</v>
      </c>
      <c r="AS16" s="82">
        <v>6.9499999999999993</v>
      </c>
      <c r="AT16" s="83">
        <f t="shared" si="10"/>
        <v>0</v>
      </c>
      <c r="AU16" s="84">
        <f t="shared" si="11"/>
        <v>0</v>
      </c>
      <c r="AV16" s="85">
        <v>0</v>
      </c>
      <c r="AW16" s="86"/>
      <c r="AX16" s="86"/>
      <c r="AY16" s="82"/>
      <c r="AZ16" s="87">
        <f t="shared" si="12"/>
        <v>0</v>
      </c>
    </row>
    <row r="17" spans="1:52" ht="16.5" thickBot="1" x14ac:dyDescent="0.3">
      <c r="A17" s="74">
        <v>1.3</v>
      </c>
      <c r="B17" s="75" t="s">
        <v>35</v>
      </c>
      <c r="C17" s="76">
        <v>1302</v>
      </c>
      <c r="D17" s="26">
        <f t="shared" si="4"/>
        <v>434</v>
      </c>
      <c r="E17" s="27">
        <f t="shared" si="5"/>
        <v>434</v>
      </c>
      <c r="F17" s="29">
        <f t="shared" si="6"/>
        <v>434</v>
      </c>
      <c r="G17" s="30">
        <v>2</v>
      </c>
      <c r="H17" s="31">
        <v>0</v>
      </c>
      <c r="I17" s="32">
        <v>16</v>
      </c>
      <c r="J17" s="77"/>
      <c r="K17" s="33">
        <v>1</v>
      </c>
      <c r="L17" s="34">
        <v>32</v>
      </c>
      <c r="M17" s="34">
        <v>28</v>
      </c>
      <c r="N17" s="62"/>
      <c r="O17" s="34">
        <v>4</v>
      </c>
      <c r="P17" s="34">
        <v>0</v>
      </c>
      <c r="Q17" s="34">
        <v>9</v>
      </c>
      <c r="R17" s="62"/>
      <c r="S17" s="37">
        <v>22</v>
      </c>
      <c r="T17" s="34">
        <v>3</v>
      </c>
      <c r="U17" s="34">
        <v>13</v>
      </c>
      <c r="V17" s="62"/>
      <c r="W17" s="38">
        <v>22</v>
      </c>
      <c r="X17" s="31">
        <v>9</v>
      </c>
      <c r="Y17" s="31">
        <v>35</v>
      </c>
      <c r="Z17" s="78"/>
      <c r="AA17" s="37">
        <v>3</v>
      </c>
      <c r="AB17" s="34">
        <v>1</v>
      </c>
      <c r="AC17" s="34">
        <v>31</v>
      </c>
      <c r="AD17" s="64"/>
      <c r="AE17" s="79"/>
      <c r="AF17" s="89"/>
      <c r="AG17" s="43">
        <f t="shared" si="0"/>
        <v>54</v>
      </c>
      <c r="AH17" s="44">
        <f t="shared" si="0"/>
        <v>45</v>
      </c>
      <c r="AI17" s="44">
        <f t="shared" si="0"/>
        <v>132</v>
      </c>
      <c r="AJ17" s="45">
        <f t="shared" si="0"/>
        <v>0</v>
      </c>
      <c r="AK17" s="80">
        <f t="shared" si="1"/>
        <v>231</v>
      </c>
      <c r="AL17" s="66">
        <v>1</v>
      </c>
      <c r="AM17" s="48">
        <f t="shared" si="7"/>
        <v>54</v>
      </c>
      <c r="AN17" s="48">
        <f t="shared" si="2"/>
        <v>45</v>
      </c>
      <c r="AO17" s="49">
        <f t="shared" si="8"/>
        <v>132</v>
      </c>
      <c r="AP17" s="49">
        <f t="shared" si="3"/>
        <v>0</v>
      </c>
      <c r="AQ17" s="50">
        <f t="shared" si="9"/>
        <v>13860</v>
      </c>
      <c r="AR17" s="81"/>
      <c r="AS17" s="82">
        <v>5.7</v>
      </c>
      <c r="AT17" s="83">
        <f t="shared" si="10"/>
        <v>1316.7</v>
      </c>
      <c r="AU17" s="84">
        <f t="shared" si="11"/>
        <v>231</v>
      </c>
      <c r="AV17" s="85"/>
      <c r="AW17" s="86"/>
      <c r="AX17" s="86"/>
      <c r="AY17" s="82"/>
      <c r="AZ17" s="87">
        <f t="shared" si="12"/>
        <v>1085.7</v>
      </c>
    </row>
    <row r="18" spans="1:52" ht="16.5" thickBot="1" x14ac:dyDescent="0.3">
      <c r="A18" s="74">
        <v>1.3</v>
      </c>
      <c r="B18" s="75" t="s">
        <v>36</v>
      </c>
      <c r="C18" s="76"/>
      <c r="D18" s="26">
        <f t="shared" si="4"/>
        <v>0</v>
      </c>
      <c r="E18" s="27">
        <f t="shared" si="5"/>
        <v>0</v>
      </c>
      <c r="F18" s="29">
        <f t="shared" si="6"/>
        <v>0</v>
      </c>
      <c r="G18" s="30">
        <v>0</v>
      </c>
      <c r="H18" s="31">
        <v>0</v>
      </c>
      <c r="I18" s="32">
        <v>0</v>
      </c>
      <c r="J18" s="77"/>
      <c r="K18" s="33">
        <v>0</v>
      </c>
      <c r="L18" s="34">
        <v>0</v>
      </c>
      <c r="M18" s="34">
        <v>0</v>
      </c>
      <c r="N18" s="62"/>
      <c r="O18" s="34">
        <v>0</v>
      </c>
      <c r="P18" s="34">
        <v>0</v>
      </c>
      <c r="Q18" s="34">
        <v>0</v>
      </c>
      <c r="R18" s="62"/>
      <c r="S18" s="37">
        <v>0</v>
      </c>
      <c r="T18" s="34">
        <v>0</v>
      </c>
      <c r="U18" s="34">
        <v>0</v>
      </c>
      <c r="V18" s="62"/>
      <c r="W18" s="38">
        <v>0</v>
      </c>
      <c r="X18" s="31">
        <v>0</v>
      </c>
      <c r="Y18" s="31">
        <v>0</v>
      </c>
      <c r="Z18" s="78"/>
      <c r="AA18" s="37">
        <v>0</v>
      </c>
      <c r="AB18" s="34">
        <v>0</v>
      </c>
      <c r="AC18" s="34">
        <v>0</v>
      </c>
      <c r="AD18" s="64"/>
      <c r="AE18" s="79"/>
      <c r="AF18" s="64"/>
      <c r="AG18" s="43">
        <f t="shared" si="0"/>
        <v>0</v>
      </c>
      <c r="AH18" s="44">
        <f t="shared" si="0"/>
        <v>0</v>
      </c>
      <c r="AI18" s="44">
        <f t="shared" si="0"/>
        <v>0</v>
      </c>
      <c r="AJ18" s="45">
        <f t="shared" si="0"/>
        <v>0</v>
      </c>
      <c r="AK18" s="80">
        <f t="shared" si="1"/>
        <v>0</v>
      </c>
      <c r="AL18" s="47">
        <v>1</v>
      </c>
      <c r="AM18" s="48">
        <f t="shared" si="7"/>
        <v>0</v>
      </c>
      <c r="AN18" s="48">
        <f t="shared" si="2"/>
        <v>0</v>
      </c>
      <c r="AO18" s="49">
        <f t="shared" si="8"/>
        <v>0</v>
      </c>
      <c r="AP18" s="49">
        <f t="shared" si="3"/>
        <v>0</v>
      </c>
      <c r="AQ18" s="50">
        <f t="shared" si="9"/>
        <v>0</v>
      </c>
      <c r="AR18" s="81"/>
      <c r="AS18" s="82"/>
      <c r="AT18" s="83"/>
      <c r="AU18" s="84">
        <f t="shared" si="11"/>
        <v>0</v>
      </c>
      <c r="AV18" s="85"/>
      <c r="AW18" s="86"/>
      <c r="AX18" s="86"/>
      <c r="AY18" s="82"/>
      <c r="AZ18" s="87"/>
    </row>
    <row r="19" spans="1:52" ht="16.5" thickBot="1" x14ac:dyDescent="0.3">
      <c r="A19" s="74">
        <v>1.3</v>
      </c>
      <c r="B19" s="75" t="s">
        <v>37</v>
      </c>
      <c r="C19" s="76"/>
      <c r="D19" s="26">
        <f t="shared" si="4"/>
        <v>0</v>
      </c>
      <c r="E19" s="27">
        <f t="shared" si="5"/>
        <v>0</v>
      </c>
      <c r="F19" s="29">
        <f t="shared" si="6"/>
        <v>0</v>
      </c>
      <c r="G19" s="30">
        <v>0</v>
      </c>
      <c r="H19" s="31">
        <v>0</v>
      </c>
      <c r="I19" s="32">
        <v>0</v>
      </c>
      <c r="J19" s="77"/>
      <c r="K19" s="33">
        <v>0</v>
      </c>
      <c r="L19" s="34">
        <v>0</v>
      </c>
      <c r="M19" s="34">
        <v>0</v>
      </c>
      <c r="N19" s="62"/>
      <c r="O19" s="34">
        <v>0</v>
      </c>
      <c r="P19" s="34">
        <v>0</v>
      </c>
      <c r="Q19" s="34">
        <v>0</v>
      </c>
      <c r="R19" s="62"/>
      <c r="S19" s="37">
        <v>0</v>
      </c>
      <c r="T19" s="34">
        <v>0</v>
      </c>
      <c r="U19" s="34">
        <v>0</v>
      </c>
      <c r="V19" s="62"/>
      <c r="W19" s="38">
        <v>0</v>
      </c>
      <c r="X19" s="31">
        <v>0</v>
      </c>
      <c r="Y19" s="31">
        <v>0</v>
      </c>
      <c r="Z19" s="78"/>
      <c r="AA19" s="37">
        <v>0</v>
      </c>
      <c r="AB19" s="34">
        <v>0</v>
      </c>
      <c r="AC19" s="34">
        <v>0</v>
      </c>
      <c r="AD19" s="64"/>
      <c r="AE19" s="79"/>
      <c r="AF19" s="64"/>
      <c r="AG19" s="43">
        <f t="shared" si="0"/>
        <v>0</v>
      </c>
      <c r="AH19" s="44">
        <f t="shared" si="0"/>
        <v>0</v>
      </c>
      <c r="AI19" s="44">
        <f t="shared" si="0"/>
        <v>0</v>
      </c>
      <c r="AJ19" s="45">
        <f t="shared" si="0"/>
        <v>0</v>
      </c>
      <c r="AK19" s="80">
        <f t="shared" si="1"/>
        <v>0</v>
      </c>
      <c r="AL19" s="47">
        <v>1</v>
      </c>
      <c r="AM19" s="48">
        <f t="shared" si="7"/>
        <v>0</v>
      </c>
      <c r="AN19" s="48">
        <f t="shared" si="2"/>
        <v>0</v>
      </c>
      <c r="AO19" s="49">
        <f t="shared" si="8"/>
        <v>0</v>
      </c>
      <c r="AP19" s="49">
        <f t="shared" si="3"/>
        <v>0</v>
      </c>
      <c r="AQ19" s="50">
        <f t="shared" si="9"/>
        <v>0</v>
      </c>
      <c r="AR19" s="81"/>
      <c r="AS19" s="82"/>
      <c r="AT19" s="83"/>
      <c r="AU19" s="84">
        <f t="shared" si="11"/>
        <v>0</v>
      </c>
      <c r="AV19" s="85"/>
      <c r="AW19" s="86"/>
      <c r="AX19" s="86"/>
      <c r="AY19" s="82"/>
      <c r="AZ19" s="87"/>
    </row>
    <row r="20" spans="1:52" ht="16.5" thickBot="1" x14ac:dyDescent="0.3">
      <c r="A20" s="74">
        <v>1.3</v>
      </c>
      <c r="B20" s="75" t="s">
        <v>38</v>
      </c>
      <c r="C20" s="76">
        <v>90</v>
      </c>
      <c r="D20" s="26">
        <f t="shared" si="4"/>
        <v>30</v>
      </c>
      <c r="E20" s="27">
        <f t="shared" si="5"/>
        <v>30</v>
      </c>
      <c r="F20" s="29">
        <f t="shared" si="6"/>
        <v>30</v>
      </c>
      <c r="G20" s="30">
        <v>9</v>
      </c>
      <c r="H20" s="31">
        <v>5</v>
      </c>
      <c r="I20" s="32">
        <v>4</v>
      </c>
      <c r="J20" s="77"/>
      <c r="K20" s="33">
        <v>1</v>
      </c>
      <c r="L20" s="34">
        <v>9</v>
      </c>
      <c r="M20" s="34">
        <v>12</v>
      </c>
      <c r="N20" s="62"/>
      <c r="O20" s="34">
        <v>3</v>
      </c>
      <c r="P20" s="34">
        <v>5</v>
      </c>
      <c r="Q20" s="34">
        <v>3</v>
      </c>
      <c r="R20" s="62"/>
      <c r="S20" s="37">
        <v>10</v>
      </c>
      <c r="T20" s="34">
        <v>3</v>
      </c>
      <c r="U20" s="34">
        <v>12</v>
      </c>
      <c r="V20" s="62"/>
      <c r="W20" s="38">
        <v>7</v>
      </c>
      <c r="X20" s="31">
        <v>7</v>
      </c>
      <c r="Y20" s="31">
        <v>2</v>
      </c>
      <c r="Z20" s="78"/>
      <c r="AA20" s="37">
        <v>3</v>
      </c>
      <c r="AB20" s="34">
        <v>2</v>
      </c>
      <c r="AC20" s="34">
        <v>4</v>
      </c>
      <c r="AD20" s="64"/>
      <c r="AE20" s="79"/>
      <c r="AF20" s="64"/>
      <c r="AG20" s="43">
        <f t="shared" si="0"/>
        <v>33</v>
      </c>
      <c r="AH20" s="44">
        <f t="shared" si="0"/>
        <v>31</v>
      </c>
      <c r="AI20" s="44">
        <f t="shared" si="0"/>
        <v>37</v>
      </c>
      <c r="AJ20" s="45">
        <f t="shared" si="0"/>
        <v>0</v>
      </c>
      <c r="AK20" s="80">
        <f t="shared" si="1"/>
        <v>101</v>
      </c>
      <c r="AL20" s="66">
        <v>1.1499999999999999</v>
      </c>
      <c r="AM20" s="48">
        <f t="shared" si="7"/>
        <v>37.949999999999996</v>
      </c>
      <c r="AN20" s="48">
        <f t="shared" si="2"/>
        <v>35.65</v>
      </c>
      <c r="AO20" s="49">
        <f t="shared" si="8"/>
        <v>42.55</v>
      </c>
      <c r="AP20" s="49">
        <f t="shared" si="3"/>
        <v>0</v>
      </c>
      <c r="AQ20" s="50">
        <f t="shared" si="9"/>
        <v>6060</v>
      </c>
      <c r="AR20" s="81"/>
      <c r="AS20" s="82"/>
      <c r="AT20" s="83"/>
      <c r="AU20" s="84"/>
      <c r="AV20" s="85"/>
      <c r="AW20" s="86"/>
      <c r="AX20" s="86"/>
      <c r="AY20" s="82"/>
      <c r="AZ20" s="87"/>
    </row>
    <row r="21" spans="1:52" ht="16.5" thickBot="1" x14ac:dyDescent="0.3">
      <c r="A21" s="74">
        <v>1.3</v>
      </c>
      <c r="B21" s="75" t="s">
        <v>39</v>
      </c>
      <c r="C21" s="76">
        <v>90</v>
      </c>
      <c r="D21" s="26">
        <f t="shared" si="4"/>
        <v>30</v>
      </c>
      <c r="E21" s="27">
        <f t="shared" si="5"/>
        <v>30</v>
      </c>
      <c r="F21" s="29">
        <f t="shared" si="6"/>
        <v>30</v>
      </c>
      <c r="G21" s="30">
        <v>0</v>
      </c>
      <c r="H21" s="31">
        <v>0</v>
      </c>
      <c r="I21" s="32">
        <v>0</v>
      </c>
      <c r="J21" s="77"/>
      <c r="K21" s="33">
        <v>0</v>
      </c>
      <c r="L21" s="34">
        <v>0</v>
      </c>
      <c r="M21" s="34">
        <v>0</v>
      </c>
      <c r="N21" s="62"/>
      <c r="O21" s="34">
        <v>2</v>
      </c>
      <c r="P21" s="34">
        <v>5</v>
      </c>
      <c r="Q21" s="34">
        <v>2</v>
      </c>
      <c r="R21" s="62"/>
      <c r="S21" s="37">
        <v>5</v>
      </c>
      <c r="T21" s="34">
        <v>5</v>
      </c>
      <c r="U21" s="34">
        <v>12</v>
      </c>
      <c r="V21" s="62"/>
      <c r="W21" s="38">
        <v>4</v>
      </c>
      <c r="X21" s="31">
        <v>5</v>
      </c>
      <c r="Y21" s="31">
        <v>5</v>
      </c>
      <c r="Z21" s="78"/>
      <c r="AA21" s="37">
        <v>6</v>
      </c>
      <c r="AB21" s="34">
        <v>3</v>
      </c>
      <c r="AC21" s="34">
        <v>1</v>
      </c>
      <c r="AD21" s="64"/>
      <c r="AE21" s="79"/>
      <c r="AF21" s="64"/>
      <c r="AG21" s="43">
        <f t="shared" si="0"/>
        <v>17</v>
      </c>
      <c r="AH21" s="44">
        <f t="shared" si="0"/>
        <v>18</v>
      </c>
      <c r="AI21" s="44">
        <f t="shared" si="0"/>
        <v>20</v>
      </c>
      <c r="AJ21" s="45">
        <f t="shared" si="0"/>
        <v>0</v>
      </c>
      <c r="AK21" s="80">
        <f t="shared" si="1"/>
        <v>55</v>
      </c>
      <c r="AL21" s="66">
        <v>1.1499999999999999</v>
      </c>
      <c r="AM21" s="48">
        <f t="shared" si="7"/>
        <v>19.549999999999997</v>
      </c>
      <c r="AN21" s="48">
        <f t="shared" si="2"/>
        <v>20.7</v>
      </c>
      <c r="AO21" s="49">
        <f t="shared" si="8"/>
        <v>23</v>
      </c>
      <c r="AP21" s="49">
        <f t="shared" si="3"/>
        <v>0</v>
      </c>
      <c r="AQ21" s="50">
        <f t="shared" si="9"/>
        <v>3300</v>
      </c>
      <c r="AR21" s="81"/>
      <c r="AS21" s="82"/>
      <c r="AT21" s="83"/>
      <c r="AU21" s="84"/>
      <c r="AV21" s="85"/>
      <c r="AW21" s="86"/>
      <c r="AX21" s="86"/>
      <c r="AY21" s="82"/>
      <c r="AZ21" s="87"/>
    </row>
    <row r="22" spans="1:52" ht="16.5" thickBot="1" x14ac:dyDescent="0.3">
      <c r="A22" s="74">
        <v>1300</v>
      </c>
      <c r="B22" s="75" t="s">
        <v>40</v>
      </c>
      <c r="C22" s="76"/>
      <c r="D22" s="26">
        <f t="shared" si="4"/>
        <v>0</v>
      </c>
      <c r="E22" s="27">
        <f t="shared" si="5"/>
        <v>0</v>
      </c>
      <c r="F22" s="29">
        <f t="shared" si="6"/>
        <v>0</v>
      </c>
      <c r="G22" s="30">
        <v>0</v>
      </c>
      <c r="H22" s="31">
        <v>0</v>
      </c>
      <c r="I22" s="32">
        <v>0</v>
      </c>
      <c r="J22" s="77"/>
      <c r="K22" s="33">
        <v>0</v>
      </c>
      <c r="L22" s="34">
        <v>0</v>
      </c>
      <c r="M22" s="34">
        <v>0</v>
      </c>
      <c r="N22" s="62"/>
      <c r="O22" s="34">
        <v>0</v>
      </c>
      <c r="P22" s="34">
        <v>0</v>
      </c>
      <c r="Q22" s="34">
        <v>0</v>
      </c>
      <c r="R22" s="62"/>
      <c r="S22" s="37">
        <v>0</v>
      </c>
      <c r="T22" s="34">
        <v>0</v>
      </c>
      <c r="U22" s="34">
        <v>0</v>
      </c>
      <c r="V22" s="62"/>
      <c r="W22" s="38">
        <v>0</v>
      </c>
      <c r="X22" s="31">
        <v>0</v>
      </c>
      <c r="Y22" s="31">
        <v>0</v>
      </c>
      <c r="Z22" s="78"/>
      <c r="AA22" s="37">
        <v>0</v>
      </c>
      <c r="AB22" s="34">
        <v>0</v>
      </c>
      <c r="AC22" s="34">
        <v>0</v>
      </c>
      <c r="AD22" s="64"/>
      <c r="AE22" s="79"/>
      <c r="AF22" s="64"/>
      <c r="AG22" s="43">
        <f t="shared" si="0"/>
        <v>0</v>
      </c>
      <c r="AH22" s="44">
        <f t="shared" si="0"/>
        <v>0</v>
      </c>
      <c r="AI22" s="44">
        <f t="shared" si="0"/>
        <v>0</v>
      </c>
      <c r="AJ22" s="45">
        <f t="shared" si="0"/>
        <v>0</v>
      </c>
      <c r="AK22" s="80">
        <f t="shared" si="1"/>
        <v>0</v>
      </c>
      <c r="AL22" s="47">
        <v>1.5</v>
      </c>
      <c r="AM22" s="48">
        <f t="shared" si="7"/>
        <v>0</v>
      </c>
      <c r="AN22" s="48">
        <f t="shared" si="2"/>
        <v>0</v>
      </c>
      <c r="AO22" s="49">
        <f t="shared" si="8"/>
        <v>0</v>
      </c>
      <c r="AP22" s="49">
        <f t="shared" si="3"/>
        <v>0</v>
      </c>
      <c r="AQ22" s="50">
        <f t="shared" si="9"/>
        <v>0</v>
      </c>
      <c r="AR22" s="81">
        <v>43.1</v>
      </c>
      <c r="AS22" s="82">
        <v>6.8999999999999986</v>
      </c>
      <c r="AT22" s="83">
        <f>AK22*AS22</f>
        <v>0</v>
      </c>
      <c r="AU22" s="84">
        <f>AK22*AL22</f>
        <v>0</v>
      </c>
      <c r="AV22" s="85">
        <v>0</v>
      </c>
      <c r="AW22" s="86"/>
      <c r="AX22" s="86"/>
      <c r="AY22" s="82"/>
      <c r="AZ22" s="87">
        <f>AT22-AU22-AW22-AX22-AY22</f>
        <v>0</v>
      </c>
    </row>
    <row r="23" spans="1:52" ht="16.5" thickBot="1" x14ac:dyDescent="0.3">
      <c r="A23" s="74">
        <v>911</v>
      </c>
      <c r="B23" s="75" t="s">
        <v>25</v>
      </c>
      <c r="C23" s="76"/>
      <c r="D23" s="26">
        <f t="shared" si="4"/>
        <v>0</v>
      </c>
      <c r="E23" s="27">
        <f t="shared" si="5"/>
        <v>0</v>
      </c>
      <c r="F23" s="29">
        <f t="shared" si="6"/>
        <v>0</v>
      </c>
      <c r="G23" s="30">
        <v>0</v>
      </c>
      <c r="H23" s="31">
        <v>0</v>
      </c>
      <c r="I23" s="32">
        <v>0</v>
      </c>
      <c r="J23" s="77"/>
      <c r="K23" s="33">
        <v>0</v>
      </c>
      <c r="L23" s="34">
        <v>0</v>
      </c>
      <c r="M23" s="34">
        <v>0</v>
      </c>
      <c r="N23" s="62"/>
      <c r="O23" s="34">
        <v>0</v>
      </c>
      <c r="P23" s="34">
        <v>0</v>
      </c>
      <c r="Q23" s="34">
        <v>0</v>
      </c>
      <c r="R23" s="62"/>
      <c r="S23" s="37">
        <v>0</v>
      </c>
      <c r="T23" s="34">
        <v>0</v>
      </c>
      <c r="U23" s="34">
        <v>0</v>
      </c>
      <c r="V23" s="62"/>
      <c r="W23" s="38">
        <v>0</v>
      </c>
      <c r="X23" s="31">
        <v>0</v>
      </c>
      <c r="Y23" s="31">
        <v>0</v>
      </c>
      <c r="Z23" s="78"/>
      <c r="AA23" s="37">
        <v>0</v>
      </c>
      <c r="AB23" s="34">
        <v>0</v>
      </c>
      <c r="AC23" s="34">
        <v>0</v>
      </c>
      <c r="AD23" s="64"/>
      <c r="AE23" s="79"/>
      <c r="AF23" s="64"/>
      <c r="AG23" s="43">
        <f t="shared" si="0"/>
        <v>0</v>
      </c>
      <c r="AH23" s="44">
        <f t="shared" si="0"/>
        <v>0</v>
      </c>
      <c r="AI23" s="44">
        <f t="shared" si="0"/>
        <v>0</v>
      </c>
      <c r="AJ23" s="45">
        <f t="shared" si="0"/>
        <v>0</v>
      </c>
      <c r="AK23" s="80">
        <f t="shared" si="1"/>
        <v>0</v>
      </c>
      <c r="AL23" s="66">
        <v>0.65</v>
      </c>
      <c r="AM23" s="48">
        <f t="shared" si="7"/>
        <v>0</v>
      </c>
      <c r="AN23" s="48">
        <f t="shared" si="2"/>
        <v>0</v>
      </c>
      <c r="AO23" s="49">
        <f t="shared" si="8"/>
        <v>0</v>
      </c>
      <c r="AP23" s="49">
        <f t="shared" si="3"/>
        <v>0</v>
      </c>
      <c r="AQ23" s="50">
        <f t="shared" si="9"/>
        <v>0</v>
      </c>
      <c r="AR23" s="81">
        <v>17.29</v>
      </c>
      <c r="AS23" s="82">
        <v>2.7100000000000009</v>
      </c>
      <c r="AT23" s="83">
        <f>AK23*AS23</f>
        <v>0</v>
      </c>
      <c r="AU23" s="84">
        <f>AK23*AL23</f>
        <v>0</v>
      </c>
      <c r="AV23" s="85"/>
      <c r="AW23" s="86"/>
      <c r="AX23" s="86"/>
      <c r="AY23" s="82"/>
      <c r="AZ23" s="87">
        <f>AT23-AU23-AW23-AX23-AY23</f>
        <v>0</v>
      </c>
    </row>
    <row r="24" spans="1:52" ht="16.5" thickBot="1" x14ac:dyDescent="0.3">
      <c r="A24" s="74">
        <v>625</v>
      </c>
      <c r="B24" s="75" t="s">
        <v>41</v>
      </c>
      <c r="C24" s="76">
        <v>570</v>
      </c>
      <c r="D24" s="26">
        <f t="shared" si="4"/>
        <v>190</v>
      </c>
      <c r="E24" s="27">
        <f t="shared" si="5"/>
        <v>190</v>
      </c>
      <c r="F24" s="29">
        <f t="shared" si="6"/>
        <v>190</v>
      </c>
      <c r="G24" s="30">
        <v>0</v>
      </c>
      <c r="H24" s="31">
        <v>2</v>
      </c>
      <c r="I24" s="32">
        <v>0</v>
      </c>
      <c r="J24" s="77"/>
      <c r="K24" s="33">
        <v>0</v>
      </c>
      <c r="L24" s="34">
        <v>0</v>
      </c>
      <c r="M24" s="34">
        <v>0</v>
      </c>
      <c r="N24" s="62"/>
      <c r="O24" s="34">
        <v>0</v>
      </c>
      <c r="P24" s="34">
        <v>0</v>
      </c>
      <c r="Q24" s="34">
        <v>0</v>
      </c>
      <c r="R24" s="62"/>
      <c r="S24" s="37">
        <v>0</v>
      </c>
      <c r="T24" s="34">
        <v>0</v>
      </c>
      <c r="U24" s="34">
        <v>0</v>
      </c>
      <c r="V24" s="62"/>
      <c r="W24" s="38">
        <v>0</v>
      </c>
      <c r="X24" s="31">
        <v>0</v>
      </c>
      <c r="Y24" s="31">
        <v>0</v>
      </c>
      <c r="Z24" s="78"/>
      <c r="AA24" s="37">
        <v>0</v>
      </c>
      <c r="AB24" s="34">
        <v>0</v>
      </c>
      <c r="AC24" s="34">
        <v>0</v>
      </c>
      <c r="AD24" s="64"/>
      <c r="AE24" s="79"/>
      <c r="AF24" s="64"/>
      <c r="AG24" s="43">
        <f t="shared" si="0"/>
        <v>0</v>
      </c>
      <c r="AH24" s="44">
        <f t="shared" si="0"/>
        <v>2</v>
      </c>
      <c r="AI24" s="44">
        <f t="shared" si="0"/>
        <v>0</v>
      </c>
      <c r="AJ24" s="45">
        <f t="shared" si="0"/>
        <v>0</v>
      </c>
      <c r="AK24" s="80">
        <f t="shared" si="1"/>
        <v>2</v>
      </c>
      <c r="AL24" s="66">
        <v>1</v>
      </c>
      <c r="AM24" s="48">
        <f t="shared" si="7"/>
        <v>0</v>
      </c>
      <c r="AN24" s="48">
        <f t="shared" si="2"/>
        <v>2</v>
      </c>
      <c r="AO24" s="49">
        <f t="shared" si="8"/>
        <v>0</v>
      </c>
      <c r="AP24" s="49">
        <f t="shared" si="3"/>
        <v>0</v>
      </c>
      <c r="AQ24" s="50">
        <f t="shared" si="9"/>
        <v>120</v>
      </c>
      <c r="AR24" s="81"/>
      <c r="AS24" s="82">
        <v>6.74</v>
      </c>
      <c r="AT24" s="83">
        <f>AK24*AS24</f>
        <v>13.48</v>
      </c>
      <c r="AU24" s="84">
        <f>AK24*AL24</f>
        <v>2</v>
      </c>
      <c r="AV24" s="85">
        <v>0</v>
      </c>
      <c r="AW24" s="86"/>
      <c r="AX24" s="86"/>
      <c r="AY24" s="82"/>
      <c r="AZ24" s="87"/>
    </row>
    <row r="25" spans="1:52" ht="16.5" thickBot="1" x14ac:dyDescent="0.3">
      <c r="A25" s="74">
        <v>625</v>
      </c>
      <c r="B25" s="75" t="s">
        <v>42</v>
      </c>
      <c r="C25" s="76"/>
      <c r="D25" s="26"/>
      <c r="E25" s="27"/>
      <c r="F25" s="29"/>
      <c r="G25" s="30">
        <v>1</v>
      </c>
      <c r="H25" s="31">
        <v>0</v>
      </c>
      <c r="I25" s="32">
        <v>10</v>
      </c>
      <c r="J25" s="77"/>
      <c r="K25" s="33">
        <v>1</v>
      </c>
      <c r="L25" s="34">
        <v>5</v>
      </c>
      <c r="M25" s="34">
        <v>9</v>
      </c>
      <c r="N25" s="62"/>
      <c r="O25" s="34">
        <v>14</v>
      </c>
      <c r="P25" s="34">
        <v>1</v>
      </c>
      <c r="Q25" s="34">
        <v>13</v>
      </c>
      <c r="R25" s="62"/>
      <c r="S25" s="37">
        <v>14</v>
      </c>
      <c r="T25" s="34">
        <v>2</v>
      </c>
      <c r="U25" s="34">
        <v>5</v>
      </c>
      <c r="V25" s="62"/>
      <c r="W25" s="38">
        <v>4</v>
      </c>
      <c r="X25" s="31">
        <v>2</v>
      </c>
      <c r="Y25" s="31">
        <v>7</v>
      </c>
      <c r="Z25" s="78"/>
      <c r="AA25" s="37">
        <v>0</v>
      </c>
      <c r="AB25" s="34">
        <v>0</v>
      </c>
      <c r="AC25" s="34">
        <v>36</v>
      </c>
      <c r="AD25" s="64"/>
      <c r="AE25" s="79"/>
      <c r="AF25" s="64"/>
      <c r="AG25" s="43">
        <f t="shared" si="0"/>
        <v>34</v>
      </c>
      <c r="AH25" s="44">
        <f t="shared" si="0"/>
        <v>10</v>
      </c>
      <c r="AI25" s="44">
        <f t="shared" si="0"/>
        <v>80</v>
      </c>
      <c r="AJ25" s="45">
        <f t="shared" si="0"/>
        <v>0</v>
      </c>
      <c r="AK25" s="80">
        <f t="shared" si="1"/>
        <v>124</v>
      </c>
      <c r="AL25" s="66">
        <v>0.75</v>
      </c>
      <c r="AM25" s="48">
        <f t="shared" si="7"/>
        <v>25.5</v>
      </c>
      <c r="AN25" s="48">
        <f t="shared" si="2"/>
        <v>7.5</v>
      </c>
      <c r="AO25" s="49">
        <f t="shared" si="8"/>
        <v>60</v>
      </c>
      <c r="AP25" s="49">
        <f t="shared" si="3"/>
        <v>0</v>
      </c>
      <c r="AQ25" s="50">
        <f t="shared" si="9"/>
        <v>7440</v>
      </c>
      <c r="AR25" s="81"/>
      <c r="AS25" s="82"/>
      <c r="AT25" s="83"/>
      <c r="AU25" s="84"/>
      <c r="AV25" s="85"/>
      <c r="AW25" s="86"/>
      <c r="AX25" s="86"/>
      <c r="AY25" s="82"/>
      <c r="AZ25" s="87"/>
    </row>
    <row r="26" spans="1:52" ht="16.5" thickBot="1" x14ac:dyDescent="0.3">
      <c r="A26" s="74">
        <v>625</v>
      </c>
      <c r="B26" s="75" t="s">
        <v>36</v>
      </c>
      <c r="C26" s="76"/>
      <c r="D26" s="26">
        <f t="shared" si="4"/>
        <v>0</v>
      </c>
      <c r="E26" s="27">
        <f t="shared" si="5"/>
        <v>0</v>
      </c>
      <c r="F26" s="29">
        <f t="shared" si="6"/>
        <v>0</v>
      </c>
      <c r="G26" s="30">
        <v>0</v>
      </c>
      <c r="H26" s="31">
        <v>0</v>
      </c>
      <c r="I26" s="32">
        <v>0</v>
      </c>
      <c r="J26" s="77"/>
      <c r="K26" s="33">
        <v>0</v>
      </c>
      <c r="L26" s="34">
        <v>0</v>
      </c>
      <c r="M26" s="34">
        <v>0</v>
      </c>
      <c r="N26" s="62"/>
      <c r="O26" s="34">
        <v>0</v>
      </c>
      <c r="P26" s="34">
        <v>0</v>
      </c>
      <c r="Q26" s="34">
        <v>0</v>
      </c>
      <c r="R26" s="62"/>
      <c r="S26" s="37">
        <v>0</v>
      </c>
      <c r="T26" s="34">
        <v>0</v>
      </c>
      <c r="U26" s="34">
        <v>0</v>
      </c>
      <c r="V26" s="62"/>
      <c r="W26" s="38">
        <v>0</v>
      </c>
      <c r="X26" s="31">
        <v>0</v>
      </c>
      <c r="Y26" s="31">
        <v>0</v>
      </c>
      <c r="Z26" s="78"/>
      <c r="AA26" s="37">
        <v>0</v>
      </c>
      <c r="AB26" s="34">
        <v>0</v>
      </c>
      <c r="AC26" s="34">
        <v>0</v>
      </c>
      <c r="AD26" s="64"/>
      <c r="AE26" s="79"/>
      <c r="AF26" s="64"/>
      <c r="AG26" s="43">
        <f t="shared" si="0"/>
        <v>0</v>
      </c>
      <c r="AH26" s="44">
        <f t="shared" si="0"/>
        <v>0</v>
      </c>
      <c r="AI26" s="44">
        <f t="shared" si="0"/>
        <v>0</v>
      </c>
      <c r="AJ26" s="45">
        <f t="shared" si="0"/>
        <v>0</v>
      </c>
      <c r="AK26" s="80">
        <f t="shared" si="1"/>
        <v>0</v>
      </c>
      <c r="AL26" s="47">
        <v>1</v>
      </c>
      <c r="AM26" s="48">
        <f t="shared" si="7"/>
        <v>0</v>
      </c>
      <c r="AN26" s="48">
        <f t="shared" si="2"/>
        <v>0</v>
      </c>
      <c r="AO26" s="49">
        <f t="shared" si="8"/>
        <v>0</v>
      </c>
      <c r="AP26" s="49">
        <f t="shared" si="3"/>
        <v>0</v>
      </c>
      <c r="AQ26" s="50">
        <f t="shared" si="9"/>
        <v>0</v>
      </c>
      <c r="AR26" s="81"/>
      <c r="AS26" s="82"/>
      <c r="AT26" s="83"/>
      <c r="AU26" s="84"/>
      <c r="AV26" s="85"/>
      <c r="AW26" s="86"/>
      <c r="AX26" s="86"/>
      <c r="AY26" s="82"/>
      <c r="AZ26" s="87"/>
    </row>
    <row r="27" spans="1:52" ht="16.5" thickBot="1" x14ac:dyDescent="0.3">
      <c r="A27" s="74">
        <v>625</v>
      </c>
      <c r="B27" s="75" t="s">
        <v>37</v>
      </c>
      <c r="C27" s="76"/>
      <c r="D27" s="26">
        <f t="shared" si="4"/>
        <v>0</v>
      </c>
      <c r="E27" s="27">
        <f t="shared" si="5"/>
        <v>0</v>
      </c>
      <c r="F27" s="29">
        <f t="shared" si="6"/>
        <v>0</v>
      </c>
      <c r="G27" s="30">
        <v>0</v>
      </c>
      <c r="H27" s="31">
        <v>0</v>
      </c>
      <c r="I27" s="32">
        <v>0</v>
      </c>
      <c r="J27" s="77"/>
      <c r="K27" s="33">
        <v>0</v>
      </c>
      <c r="L27" s="34">
        <v>0</v>
      </c>
      <c r="M27" s="34">
        <v>0</v>
      </c>
      <c r="N27" s="62"/>
      <c r="O27" s="34">
        <v>0</v>
      </c>
      <c r="P27" s="34">
        <v>0</v>
      </c>
      <c r="Q27" s="34">
        <v>0</v>
      </c>
      <c r="R27" s="62"/>
      <c r="S27" s="37">
        <v>0</v>
      </c>
      <c r="T27" s="34">
        <v>0</v>
      </c>
      <c r="U27" s="34">
        <v>0</v>
      </c>
      <c r="V27" s="62"/>
      <c r="W27" s="38">
        <v>0</v>
      </c>
      <c r="X27" s="31">
        <v>0</v>
      </c>
      <c r="Y27" s="31">
        <v>0</v>
      </c>
      <c r="Z27" s="78"/>
      <c r="AA27" s="37">
        <v>0</v>
      </c>
      <c r="AB27" s="34">
        <v>0</v>
      </c>
      <c r="AC27" s="34">
        <v>0</v>
      </c>
      <c r="AD27" s="64"/>
      <c r="AE27" s="79"/>
      <c r="AF27" s="64"/>
      <c r="AG27" s="43">
        <f t="shared" si="0"/>
        <v>0</v>
      </c>
      <c r="AH27" s="44">
        <f t="shared" si="0"/>
        <v>0</v>
      </c>
      <c r="AI27" s="44">
        <f t="shared" si="0"/>
        <v>0</v>
      </c>
      <c r="AJ27" s="45">
        <f t="shared" si="0"/>
        <v>0</v>
      </c>
      <c r="AK27" s="80">
        <f t="shared" si="1"/>
        <v>0</v>
      </c>
      <c r="AL27" s="47">
        <v>1</v>
      </c>
      <c r="AM27" s="48">
        <f t="shared" si="7"/>
        <v>0</v>
      </c>
      <c r="AN27" s="48">
        <f t="shared" si="2"/>
        <v>0</v>
      </c>
      <c r="AO27" s="49">
        <f t="shared" si="8"/>
        <v>0</v>
      </c>
      <c r="AP27" s="49">
        <f t="shared" si="3"/>
        <v>0</v>
      </c>
      <c r="AQ27" s="50">
        <f t="shared" si="9"/>
        <v>0</v>
      </c>
      <c r="AR27" s="81"/>
      <c r="AS27" s="82"/>
      <c r="AT27" s="83"/>
      <c r="AU27" s="84"/>
      <c r="AV27" s="85"/>
      <c r="AW27" s="86"/>
      <c r="AX27" s="86"/>
      <c r="AY27" s="82"/>
      <c r="AZ27" s="87"/>
    </row>
    <row r="28" spans="1:52" ht="16.5" thickBot="1" x14ac:dyDescent="0.3">
      <c r="A28" s="74">
        <v>625</v>
      </c>
      <c r="B28" s="75" t="s">
        <v>43</v>
      </c>
      <c r="C28" s="76">
        <v>117</v>
      </c>
      <c r="D28" s="26">
        <f t="shared" si="4"/>
        <v>39</v>
      </c>
      <c r="E28" s="27">
        <f t="shared" si="5"/>
        <v>39</v>
      </c>
      <c r="F28" s="29">
        <f t="shared" si="6"/>
        <v>39</v>
      </c>
      <c r="G28" s="30">
        <v>6</v>
      </c>
      <c r="H28" s="31">
        <v>3</v>
      </c>
      <c r="I28" s="32">
        <v>3</v>
      </c>
      <c r="J28" s="77"/>
      <c r="K28" s="33">
        <v>6</v>
      </c>
      <c r="L28" s="34">
        <v>6</v>
      </c>
      <c r="M28" s="34">
        <v>8</v>
      </c>
      <c r="N28" s="62"/>
      <c r="O28" s="34">
        <v>4</v>
      </c>
      <c r="P28" s="34">
        <v>4</v>
      </c>
      <c r="Q28" s="34">
        <v>7</v>
      </c>
      <c r="R28" s="62"/>
      <c r="S28" s="37">
        <v>10</v>
      </c>
      <c r="T28" s="34">
        <v>5</v>
      </c>
      <c r="U28" s="34">
        <v>5</v>
      </c>
      <c r="V28" s="62"/>
      <c r="W28" s="38">
        <v>10</v>
      </c>
      <c r="X28" s="31">
        <v>15</v>
      </c>
      <c r="Y28" s="31">
        <v>0</v>
      </c>
      <c r="Z28" s="78"/>
      <c r="AA28" s="37">
        <v>5</v>
      </c>
      <c r="AB28" s="34">
        <v>2</v>
      </c>
      <c r="AC28" s="34">
        <v>3</v>
      </c>
      <c r="AD28" s="64"/>
      <c r="AE28" s="79"/>
      <c r="AF28" s="64"/>
      <c r="AG28" s="43">
        <f t="shared" si="0"/>
        <v>41</v>
      </c>
      <c r="AH28" s="44">
        <f t="shared" si="0"/>
        <v>35</v>
      </c>
      <c r="AI28" s="44">
        <f t="shared" si="0"/>
        <v>26</v>
      </c>
      <c r="AJ28" s="45">
        <f t="shared" si="0"/>
        <v>0</v>
      </c>
      <c r="AK28" s="80">
        <f t="shared" si="1"/>
        <v>102</v>
      </c>
      <c r="AL28" s="66">
        <v>1</v>
      </c>
      <c r="AM28" s="48">
        <f t="shared" si="7"/>
        <v>41</v>
      </c>
      <c r="AN28" s="48">
        <f t="shared" si="2"/>
        <v>35</v>
      </c>
      <c r="AO28" s="49">
        <f t="shared" si="8"/>
        <v>26</v>
      </c>
      <c r="AP28" s="49">
        <f t="shared" si="3"/>
        <v>0</v>
      </c>
      <c r="AQ28" s="50">
        <f t="shared" si="9"/>
        <v>6120</v>
      </c>
      <c r="AR28" s="81"/>
      <c r="AS28" s="82"/>
      <c r="AT28" s="83">
        <f>AK28*AS28</f>
        <v>0</v>
      </c>
      <c r="AU28" s="84">
        <f>AK28*AL28</f>
        <v>102</v>
      </c>
      <c r="AV28" s="85">
        <v>0</v>
      </c>
      <c r="AW28" s="86"/>
      <c r="AX28" s="86"/>
      <c r="AY28" s="82"/>
      <c r="AZ28" s="87"/>
    </row>
    <row r="29" spans="1:52" ht="16.5" thickBot="1" x14ac:dyDescent="0.3">
      <c r="A29" s="74">
        <v>625</v>
      </c>
      <c r="B29" s="75" t="s">
        <v>44</v>
      </c>
      <c r="C29" s="76"/>
      <c r="D29" s="26">
        <f t="shared" si="4"/>
        <v>0</v>
      </c>
      <c r="E29" s="27">
        <f t="shared" si="5"/>
        <v>0</v>
      </c>
      <c r="F29" s="29">
        <f t="shared" si="6"/>
        <v>0</v>
      </c>
      <c r="G29" s="30">
        <v>0</v>
      </c>
      <c r="H29" s="31">
        <v>0</v>
      </c>
      <c r="I29" s="32">
        <v>0</v>
      </c>
      <c r="J29" s="77"/>
      <c r="K29" s="33">
        <v>0</v>
      </c>
      <c r="L29" s="34">
        <v>0</v>
      </c>
      <c r="M29" s="34">
        <v>0</v>
      </c>
      <c r="N29" s="62"/>
      <c r="O29" s="34">
        <v>0</v>
      </c>
      <c r="P29" s="34">
        <v>0</v>
      </c>
      <c r="Q29" s="34">
        <v>0</v>
      </c>
      <c r="R29" s="62"/>
      <c r="S29" s="37">
        <v>0</v>
      </c>
      <c r="T29" s="34">
        <v>0</v>
      </c>
      <c r="U29" s="34">
        <v>0</v>
      </c>
      <c r="V29" s="62"/>
      <c r="W29" s="38">
        <v>0</v>
      </c>
      <c r="X29" s="31">
        <v>0</v>
      </c>
      <c r="Y29" s="31">
        <v>0</v>
      </c>
      <c r="Z29" s="78"/>
      <c r="AA29" s="37">
        <v>0</v>
      </c>
      <c r="AB29" s="34">
        <v>0</v>
      </c>
      <c r="AC29" s="34">
        <v>0</v>
      </c>
      <c r="AD29" s="64"/>
      <c r="AE29" s="79"/>
      <c r="AF29" s="64"/>
      <c r="AG29" s="43">
        <f t="shared" si="0"/>
        <v>0</v>
      </c>
      <c r="AH29" s="44">
        <f t="shared" si="0"/>
        <v>0</v>
      </c>
      <c r="AI29" s="44">
        <f t="shared" si="0"/>
        <v>0</v>
      </c>
      <c r="AJ29" s="45">
        <f t="shared" si="0"/>
        <v>0</v>
      </c>
      <c r="AK29" s="80">
        <f t="shared" si="1"/>
        <v>0</v>
      </c>
      <c r="AL29" s="47">
        <v>1</v>
      </c>
      <c r="AM29" s="48">
        <f t="shared" si="7"/>
        <v>0</v>
      </c>
      <c r="AN29" s="48">
        <f t="shared" si="2"/>
        <v>0</v>
      </c>
      <c r="AO29" s="49">
        <f t="shared" si="8"/>
        <v>0</v>
      </c>
      <c r="AP29" s="49">
        <f t="shared" si="3"/>
        <v>0</v>
      </c>
      <c r="AQ29" s="50">
        <f t="shared" si="9"/>
        <v>0</v>
      </c>
      <c r="AR29" s="81"/>
      <c r="AS29" s="82"/>
      <c r="AT29" s="83"/>
      <c r="AU29" s="84"/>
      <c r="AV29" s="85"/>
      <c r="AW29" s="86"/>
      <c r="AX29" s="86"/>
      <c r="AY29" s="82"/>
      <c r="AZ29" s="87"/>
    </row>
    <row r="30" spans="1:52" ht="16.5" thickBot="1" x14ac:dyDescent="0.3">
      <c r="A30" s="74">
        <v>625</v>
      </c>
      <c r="B30" s="75" t="s">
        <v>40</v>
      </c>
      <c r="C30" s="76"/>
      <c r="D30" s="26">
        <f t="shared" si="4"/>
        <v>0</v>
      </c>
      <c r="E30" s="27">
        <f t="shared" si="5"/>
        <v>0</v>
      </c>
      <c r="F30" s="29">
        <f t="shared" si="6"/>
        <v>0</v>
      </c>
      <c r="G30" s="30">
        <v>0</v>
      </c>
      <c r="H30" s="31">
        <v>0</v>
      </c>
      <c r="I30" s="32">
        <v>0</v>
      </c>
      <c r="J30" s="77"/>
      <c r="K30" s="33">
        <v>0</v>
      </c>
      <c r="L30" s="34">
        <v>0</v>
      </c>
      <c r="M30" s="34">
        <v>0</v>
      </c>
      <c r="N30" s="62"/>
      <c r="O30" s="34">
        <v>0</v>
      </c>
      <c r="P30" s="34">
        <v>0</v>
      </c>
      <c r="Q30" s="34">
        <v>0</v>
      </c>
      <c r="R30" s="62"/>
      <c r="S30" s="37">
        <v>0</v>
      </c>
      <c r="T30" s="34">
        <v>0</v>
      </c>
      <c r="U30" s="34">
        <v>0</v>
      </c>
      <c r="V30" s="62"/>
      <c r="W30" s="38">
        <v>0</v>
      </c>
      <c r="X30" s="31">
        <v>0</v>
      </c>
      <c r="Y30" s="31">
        <v>0</v>
      </c>
      <c r="Z30" s="78"/>
      <c r="AA30" s="37">
        <v>0</v>
      </c>
      <c r="AB30" s="34">
        <v>0</v>
      </c>
      <c r="AC30" s="34">
        <v>0</v>
      </c>
      <c r="AD30" s="64"/>
      <c r="AE30" s="79"/>
      <c r="AF30" s="64"/>
      <c r="AG30" s="43">
        <f t="shared" si="0"/>
        <v>0</v>
      </c>
      <c r="AH30" s="44">
        <f t="shared" si="0"/>
        <v>0</v>
      </c>
      <c r="AI30" s="44">
        <f t="shared" si="0"/>
        <v>0</v>
      </c>
      <c r="AJ30" s="45">
        <f t="shared" si="0"/>
        <v>0</v>
      </c>
      <c r="AK30" s="80">
        <f t="shared" si="1"/>
        <v>0</v>
      </c>
      <c r="AL30" s="47">
        <v>1</v>
      </c>
      <c r="AM30" s="48">
        <f t="shared" si="7"/>
        <v>0</v>
      </c>
      <c r="AN30" s="48">
        <f t="shared" si="2"/>
        <v>0</v>
      </c>
      <c r="AO30" s="49">
        <f t="shared" si="8"/>
        <v>0</v>
      </c>
      <c r="AP30" s="49">
        <f t="shared" si="3"/>
        <v>0</v>
      </c>
      <c r="AQ30" s="50">
        <f t="shared" si="9"/>
        <v>0</v>
      </c>
      <c r="AR30" s="81">
        <v>50.64</v>
      </c>
      <c r="AS30" s="82">
        <v>9.36</v>
      </c>
      <c r="AT30" s="83">
        <f t="shared" ref="AT30:AT48" si="13">AK30*AS30</f>
        <v>0</v>
      </c>
      <c r="AU30" s="84">
        <f t="shared" ref="AU30:AU53" si="14">AK30*AL30</f>
        <v>0</v>
      </c>
      <c r="AV30" s="85">
        <v>0</v>
      </c>
      <c r="AW30" s="86"/>
      <c r="AX30" s="86"/>
      <c r="AY30" s="82"/>
      <c r="AZ30" s="87">
        <f t="shared" ref="AZ30:AZ42" si="15">AT30-AU30-AW30-AX30-AY30</f>
        <v>0</v>
      </c>
    </row>
    <row r="31" spans="1:52" ht="16.5" thickBot="1" x14ac:dyDescent="0.3">
      <c r="A31" s="58">
        <v>400</v>
      </c>
      <c r="B31" s="59" t="s">
        <v>25</v>
      </c>
      <c r="C31" s="76"/>
      <c r="D31" s="26">
        <f t="shared" si="4"/>
        <v>0</v>
      </c>
      <c r="E31" s="27">
        <f t="shared" si="5"/>
        <v>0</v>
      </c>
      <c r="F31" s="29">
        <f t="shared" si="6"/>
        <v>0</v>
      </c>
      <c r="G31" s="30">
        <v>0</v>
      </c>
      <c r="H31" s="31">
        <v>0</v>
      </c>
      <c r="I31" s="32">
        <v>0</v>
      </c>
      <c r="J31" s="77"/>
      <c r="K31" s="33">
        <v>0</v>
      </c>
      <c r="L31" s="34">
        <v>0</v>
      </c>
      <c r="M31" s="34">
        <v>0</v>
      </c>
      <c r="N31" s="62"/>
      <c r="O31" s="34">
        <v>0</v>
      </c>
      <c r="P31" s="34">
        <v>0</v>
      </c>
      <c r="Q31" s="34">
        <v>0</v>
      </c>
      <c r="R31" s="62"/>
      <c r="S31" s="37">
        <v>0</v>
      </c>
      <c r="T31" s="34">
        <v>0</v>
      </c>
      <c r="U31" s="34">
        <v>0</v>
      </c>
      <c r="V31" s="62"/>
      <c r="W31" s="38">
        <v>0</v>
      </c>
      <c r="X31" s="31">
        <v>0</v>
      </c>
      <c r="Y31" s="31">
        <v>0</v>
      </c>
      <c r="Z31" s="78"/>
      <c r="AA31" s="37">
        <v>0</v>
      </c>
      <c r="AB31" s="34">
        <v>0</v>
      </c>
      <c r="AC31" s="34">
        <v>0</v>
      </c>
      <c r="AD31" s="64"/>
      <c r="AE31" s="79"/>
      <c r="AF31" s="64"/>
      <c r="AG31" s="43">
        <f t="shared" si="0"/>
        <v>0</v>
      </c>
      <c r="AH31" s="44">
        <f t="shared" si="0"/>
        <v>0</v>
      </c>
      <c r="AI31" s="44">
        <f t="shared" si="0"/>
        <v>0</v>
      </c>
      <c r="AJ31" s="45">
        <f t="shared" si="0"/>
        <v>0</v>
      </c>
      <c r="AK31" s="80">
        <f t="shared" si="1"/>
        <v>0</v>
      </c>
      <c r="AL31" s="66">
        <v>1.3</v>
      </c>
      <c r="AM31" s="48">
        <f t="shared" si="7"/>
        <v>0</v>
      </c>
      <c r="AN31" s="48">
        <f t="shared" si="2"/>
        <v>0</v>
      </c>
      <c r="AO31" s="49">
        <f t="shared" si="8"/>
        <v>0</v>
      </c>
      <c r="AP31" s="49">
        <f t="shared" si="3"/>
        <v>0</v>
      </c>
      <c r="AQ31" s="50">
        <f t="shared" si="9"/>
        <v>0</v>
      </c>
      <c r="AR31" s="81">
        <v>34.479999999999997</v>
      </c>
      <c r="AS31" s="82">
        <v>5.5200000000000031</v>
      </c>
      <c r="AT31" s="83">
        <f t="shared" si="13"/>
        <v>0</v>
      </c>
      <c r="AU31" s="84">
        <f t="shared" si="14"/>
        <v>0</v>
      </c>
      <c r="AV31" s="85">
        <v>0</v>
      </c>
      <c r="AW31" s="86"/>
      <c r="AX31" s="86"/>
      <c r="AY31" s="82"/>
      <c r="AZ31" s="87">
        <f t="shared" si="15"/>
        <v>0</v>
      </c>
    </row>
    <row r="32" spans="1:52" ht="16.5" thickBot="1" x14ac:dyDescent="0.3">
      <c r="A32" s="74">
        <v>400</v>
      </c>
      <c r="B32" s="75" t="s">
        <v>28</v>
      </c>
      <c r="C32" s="76"/>
      <c r="D32" s="26">
        <f t="shared" si="4"/>
        <v>0</v>
      </c>
      <c r="E32" s="27">
        <f t="shared" si="5"/>
        <v>0</v>
      </c>
      <c r="F32" s="29">
        <f t="shared" si="6"/>
        <v>0</v>
      </c>
      <c r="G32" s="30">
        <v>0</v>
      </c>
      <c r="H32" s="31">
        <v>0</v>
      </c>
      <c r="I32" s="32">
        <v>0</v>
      </c>
      <c r="J32" s="77"/>
      <c r="K32" s="33">
        <v>0</v>
      </c>
      <c r="L32" s="34">
        <v>0</v>
      </c>
      <c r="M32" s="34">
        <v>0</v>
      </c>
      <c r="N32" s="62"/>
      <c r="O32" s="34">
        <v>0</v>
      </c>
      <c r="P32" s="34">
        <v>0</v>
      </c>
      <c r="Q32" s="34">
        <v>0</v>
      </c>
      <c r="R32" s="62"/>
      <c r="S32" s="37">
        <v>0</v>
      </c>
      <c r="T32" s="34">
        <v>0</v>
      </c>
      <c r="U32" s="34">
        <v>0</v>
      </c>
      <c r="V32" s="62"/>
      <c r="W32" s="38">
        <v>0</v>
      </c>
      <c r="X32" s="31">
        <v>0</v>
      </c>
      <c r="Y32" s="31">
        <v>0</v>
      </c>
      <c r="Z32" s="78"/>
      <c r="AA32" s="37">
        <v>0</v>
      </c>
      <c r="AB32" s="34">
        <v>0</v>
      </c>
      <c r="AC32" s="34">
        <v>0</v>
      </c>
      <c r="AD32" s="64"/>
      <c r="AE32" s="79"/>
      <c r="AF32" s="64"/>
      <c r="AG32" s="43">
        <f t="shared" si="0"/>
        <v>0</v>
      </c>
      <c r="AH32" s="44">
        <f t="shared" si="0"/>
        <v>0</v>
      </c>
      <c r="AI32" s="44">
        <f t="shared" si="0"/>
        <v>0</v>
      </c>
      <c r="AJ32" s="45">
        <f t="shared" si="0"/>
        <v>0</v>
      </c>
      <c r="AK32" s="80">
        <f t="shared" si="1"/>
        <v>0</v>
      </c>
      <c r="AL32" s="66">
        <v>0.65</v>
      </c>
      <c r="AM32" s="48">
        <f t="shared" si="7"/>
        <v>0</v>
      </c>
      <c r="AN32" s="48">
        <f t="shared" si="2"/>
        <v>0</v>
      </c>
      <c r="AO32" s="49">
        <f t="shared" si="8"/>
        <v>0</v>
      </c>
      <c r="AP32" s="49">
        <f t="shared" si="3"/>
        <v>0</v>
      </c>
      <c r="AQ32" s="50">
        <f t="shared" si="9"/>
        <v>0</v>
      </c>
      <c r="AR32" s="81">
        <v>34.479999999999997</v>
      </c>
      <c r="AS32" s="82">
        <v>5.5200000000000031</v>
      </c>
      <c r="AT32" s="83">
        <f t="shared" si="13"/>
        <v>0</v>
      </c>
      <c r="AU32" s="84">
        <f t="shared" si="14"/>
        <v>0</v>
      </c>
      <c r="AV32" s="85">
        <v>0</v>
      </c>
      <c r="AW32" s="86"/>
      <c r="AX32" s="86"/>
      <c r="AY32" s="82"/>
      <c r="AZ32" s="87">
        <f t="shared" si="15"/>
        <v>0</v>
      </c>
    </row>
    <row r="33" spans="1:52" ht="16.5" thickBot="1" x14ac:dyDescent="0.3">
      <c r="A33" s="74">
        <v>400</v>
      </c>
      <c r="B33" s="75" t="s">
        <v>30</v>
      </c>
      <c r="C33" s="76"/>
      <c r="D33" s="26">
        <f t="shared" si="4"/>
        <v>0</v>
      </c>
      <c r="E33" s="27">
        <f t="shared" si="5"/>
        <v>0</v>
      </c>
      <c r="F33" s="29">
        <f t="shared" si="6"/>
        <v>0</v>
      </c>
      <c r="G33" s="30">
        <v>0</v>
      </c>
      <c r="H33" s="31">
        <v>0</v>
      </c>
      <c r="I33" s="32">
        <v>0</v>
      </c>
      <c r="J33" s="77"/>
      <c r="K33" s="33">
        <v>0</v>
      </c>
      <c r="L33" s="34">
        <v>0</v>
      </c>
      <c r="M33" s="34">
        <v>0</v>
      </c>
      <c r="N33" s="62"/>
      <c r="O33" s="34">
        <v>0</v>
      </c>
      <c r="P33" s="34">
        <v>0</v>
      </c>
      <c r="Q33" s="34">
        <v>0</v>
      </c>
      <c r="R33" s="62"/>
      <c r="S33" s="37">
        <v>0</v>
      </c>
      <c r="T33" s="34">
        <v>0</v>
      </c>
      <c r="U33" s="34">
        <v>0</v>
      </c>
      <c r="V33" s="62"/>
      <c r="W33" s="38">
        <v>0</v>
      </c>
      <c r="X33" s="31">
        <v>0</v>
      </c>
      <c r="Y33" s="31">
        <v>0</v>
      </c>
      <c r="Z33" s="78"/>
      <c r="AA33" s="37">
        <v>0</v>
      </c>
      <c r="AB33" s="34">
        <v>0</v>
      </c>
      <c r="AC33" s="34">
        <v>0</v>
      </c>
      <c r="AD33" s="64"/>
      <c r="AE33" s="79"/>
      <c r="AF33" s="64"/>
      <c r="AG33" s="43">
        <f t="shared" si="0"/>
        <v>0</v>
      </c>
      <c r="AH33" s="44">
        <f t="shared" si="0"/>
        <v>0</v>
      </c>
      <c r="AI33" s="44">
        <f t="shared" si="0"/>
        <v>0</v>
      </c>
      <c r="AJ33" s="45">
        <f t="shared" si="0"/>
        <v>0</v>
      </c>
      <c r="AK33" s="80">
        <f t="shared" si="1"/>
        <v>0</v>
      </c>
      <c r="AL33" s="66">
        <v>0.65</v>
      </c>
      <c r="AM33" s="48">
        <f t="shared" si="7"/>
        <v>0</v>
      </c>
      <c r="AN33" s="48">
        <f t="shared" si="2"/>
        <v>0</v>
      </c>
      <c r="AO33" s="49">
        <f t="shared" si="8"/>
        <v>0</v>
      </c>
      <c r="AP33" s="49">
        <f t="shared" si="3"/>
        <v>0</v>
      </c>
      <c r="AQ33" s="50">
        <f t="shared" si="9"/>
        <v>0</v>
      </c>
      <c r="AR33" s="81">
        <v>34.479999999999997</v>
      </c>
      <c r="AS33" s="82">
        <v>5.5200000000000031</v>
      </c>
      <c r="AT33" s="83">
        <f t="shared" si="13"/>
        <v>0</v>
      </c>
      <c r="AU33" s="84">
        <f t="shared" si="14"/>
        <v>0</v>
      </c>
      <c r="AV33" s="85">
        <v>0</v>
      </c>
      <c r="AW33" s="86"/>
      <c r="AX33" s="86"/>
      <c r="AY33" s="82"/>
      <c r="AZ33" s="87">
        <f t="shared" si="15"/>
        <v>0</v>
      </c>
    </row>
    <row r="34" spans="1:52" ht="16.5" thickBot="1" x14ac:dyDescent="0.3">
      <c r="A34" s="74">
        <v>360</v>
      </c>
      <c r="B34" s="75" t="s">
        <v>45</v>
      </c>
      <c r="C34" s="76"/>
      <c r="D34" s="26">
        <f t="shared" si="4"/>
        <v>0</v>
      </c>
      <c r="E34" s="27">
        <f t="shared" si="5"/>
        <v>0</v>
      </c>
      <c r="F34" s="29">
        <f t="shared" si="6"/>
        <v>0</v>
      </c>
      <c r="G34" s="30">
        <v>0</v>
      </c>
      <c r="H34" s="31">
        <v>0</v>
      </c>
      <c r="I34" s="32">
        <v>0</v>
      </c>
      <c r="J34" s="77"/>
      <c r="K34" s="33">
        <v>0</v>
      </c>
      <c r="L34" s="34">
        <v>0</v>
      </c>
      <c r="M34" s="34">
        <v>0</v>
      </c>
      <c r="N34" s="62"/>
      <c r="O34" s="34">
        <v>0</v>
      </c>
      <c r="P34" s="34">
        <v>0</v>
      </c>
      <c r="Q34" s="34">
        <v>0</v>
      </c>
      <c r="R34" s="62"/>
      <c r="S34" s="37">
        <v>0</v>
      </c>
      <c r="T34" s="34">
        <v>0</v>
      </c>
      <c r="U34" s="34">
        <v>0</v>
      </c>
      <c r="V34" s="62"/>
      <c r="W34" s="38">
        <v>0</v>
      </c>
      <c r="X34" s="31">
        <v>0</v>
      </c>
      <c r="Y34" s="31">
        <v>0</v>
      </c>
      <c r="Z34" s="78"/>
      <c r="AA34" s="37">
        <v>0</v>
      </c>
      <c r="AB34" s="34">
        <v>0</v>
      </c>
      <c r="AC34" s="34">
        <v>0</v>
      </c>
      <c r="AD34" s="64"/>
      <c r="AE34" s="79"/>
      <c r="AF34" s="64"/>
      <c r="AG34" s="43">
        <f t="shared" si="0"/>
        <v>0</v>
      </c>
      <c r="AH34" s="44">
        <f t="shared" si="0"/>
        <v>0</v>
      </c>
      <c r="AI34" s="44">
        <f t="shared" si="0"/>
        <v>0</v>
      </c>
      <c r="AJ34" s="45">
        <f t="shared" si="0"/>
        <v>0</v>
      </c>
      <c r="AK34" s="80">
        <f t="shared" si="1"/>
        <v>0</v>
      </c>
      <c r="AL34" s="66">
        <v>0.65</v>
      </c>
      <c r="AM34" s="48">
        <f t="shared" si="7"/>
        <v>0</v>
      </c>
      <c r="AN34" s="48">
        <f t="shared" si="2"/>
        <v>0</v>
      </c>
      <c r="AO34" s="49">
        <f t="shared" si="8"/>
        <v>0</v>
      </c>
      <c r="AP34" s="49">
        <f t="shared" si="3"/>
        <v>0</v>
      </c>
      <c r="AQ34" s="50">
        <f t="shared" si="9"/>
        <v>0</v>
      </c>
      <c r="AR34" s="81">
        <v>34.479999999999997</v>
      </c>
      <c r="AS34" s="82">
        <v>5.5200000000000031</v>
      </c>
      <c r="AT34" s="83">
        <f t="shared" si="13"/>
        <v>0</v>
      </c>
      <c r="AU34" s="84">
        <f t="shared" si="14"/>
        <v>0</v>
      </c>
      <c r="AV34" s="85">
        <v>0</v>
      </c>
      <c r="AW34" s="86"/>
      <c r="AX34" s="86"/>
      <c r="AY34" s="82"/>
      <c r="AZ34" s="87">
        <f t="shared" si="15"/>
        <v>0</v>
      </c>
    </row>
    <row r="35" spans="1:52" ht="16.5" thickBot="1" x14ac:dyDescent="0.3">
      <c r="A35" s="74">
        <v>360</v>
      </c>
      <c r="B35" s="75" t="s">
        <v>46</v>
      </c>
      <c r="C35" s="76"/>
      <c r="D35" s="26">
        <f t="shared" si="4"/>
        <v>0</v>
      </c>
      <c r="E35" s="27">
        <f t="shared" si="5"/>
        <v>0</v>
      </c>
      <c r="F35" s="29">
        <f t="shared" si="6"/>
        <v>0</v>
      </c>
      <c r="G35" s="30">
        <v>6</v>
      </c>
      <c r="H35" s="31">
        <v>6</v>
      </c>
      <c r="I35" s="32">
        <v>0</v>
      </c>
      <c r="J35" s="77"/>
      <c r="K35" s="33">
        <v>0</v>
      </c>
      <c r="L35" s="34">
        <v>3</v>
      </c>
      <c r="M35" s="34">
        <v>0</v>
      </c>
      <c r="N35" s="62"/>
      <c r="O35" s="34">
        <v>2</v>
      </c>
      <c r="P35" s="34">
        <v>0</v>
      </c>
      <c r="Q35" s="34">
        <v>0</v>
      </c>
      <c r="R35" s="62"/>
      <c r="S35" s="37">
        <v>0</v>
      </c>
      <c r="T35" s="34">
        <v>0</v>
      </c>
      <c r="U35" s="34">
        <v>0</v>
      </c>
      <c r="V35" s="62"/>
      <c r="W35" s="38">
        <v>0</v>
      </c>
      <c r="X35" s="31">
        <v>0</v>
      </c>
      <c r="Y35" s="31">
        <v>0</v>
      </c>
      <c r="Z35" s="78"/>
      <c r="AA35" s="37">
        <v>0</v>
      </c>
      <c r="AB35" s="34">
        <v>0</v>
      </c>
      <c r="AC35" s="34">
        <v>0</v>
      </c>
      <c r="AD35" s="64"/>
      <c r="AE35" s="79"/>
      <c r="AF35" s="64"/>
      <c r="AG35" s="43">
        <f t="shared" si="0"/>
        <v>8</v>
      </c>
      <c r="AH35" s="44">
        <f t="shared" si="0"/>
        <v>9</v>
      </c>
      <c r="AI35" s="44">
        <f t="shared" si="0"/>
        <v>0</v>
      </c>
      <c r="AJ35" s="45">
        <f t="shared" si="0"/>
        <v>0</v>
      </c>
      <c r="AK35" s="80">
        <f t="shared" si="1"/>
        <v>17</v>
      </c>
      <c r="AL35" s="47">
        <v>0.65</v>
      </c>
      <c r="AM35" s="48">
        <f t="shared" si="7"/>
        <v>5.2</v>
      </c>
      <c r="AN35" s="48">
        <f t="shared" si="2"/>
        <v>5.8500000000000005</v>
      </c>
      <c r="AO35" s="49">
        <f t="shared" si="8"/>
        <v>0</v>
      </c>
      <c r="AP35" s="49">
        <f t="shared" si="3"/>
        <v>0</v>
      </c>
      <c r="AQ35" s="50">
        <f t="shared" si="9"/>
        <v>1020</v>
      </c>
      <c r="AR35" s="81">
        <v>34.479999999999997</v>
      </c>
      <c r="AS35" s="82">
        <v>5.5200000000000031</v>
      </c>
      <c r="AT35" s="83">
        <f t="shared" si="13"/>
        <v>93.84000000000006</v>
      </c>
      <c r="AU35" s="84">
        <f t="shared" si="14"/>
        <v>11.05</v>
      </c>
      <c r="AV35" s="85">
        <v>0</v>
      </c>
      <c r="AW35" s="86"/>
      <c r="AX35" s="86"/>
      <c r="AY35" s="82"/>
      <c r="AZ35" s="87">
        <f t="shared" si="15"/>
        <v>82.790000000000063</v>
      </c>
    </row>
    <row r="36" spans="1:52" ht="16.5" thickBot="1" x14ac:dyDescent="0.3">
      <c r="A36" s="74">
        <v>400</v>
      </c>
      <c r="B36" s="75" t="s">
        <v>47</v>
      </c>
      <c r="C36" s="76"/>
      <c r="D36" s="26">
        <f t="shared" si="4"/>
        <v>0</v>
      </c>
      <c r="E36" s="27">
        <f t="shared" si="5"/>
        <v>0</v>
      </c>
      <c r="F36" s="29">
        <f t="shared" si="6"/>
        <v>0</v>
      </c>
      <c r="G36" s="30">
        <v>0</v>
      </c>
      <c r="H36" s="31">
        <v>0</v>
      </c>
      <c r="I36" s="32">
        <v>0</v>
      </c>
      <c r="J36" s="77"/>
      <c r="K36" s="33">
        <v>0</v>
      </c>
      <c r="L36" s="34">
        <v>0</v>
      </c>
      <c r="M36" s="34">
        <v>0</v>
      </c>
      <c r="N36" s="62"/>
      <c r="O36" s="34">
        <v>0</v>
      </c>
      <c r="P36" s="34">
        <v>0</v>
      </c>
      <c r="Q36" s="34">
        <v>0</v>
      </c>
      <c r="R36" s="62"/>
      <c r="S36" s="37">
        <v>0</v>
      </c>
      <c r="T36" s="34">
        <v>0</v>
      </c>
      <c r="U36" s="34">
        <v>0</v>
      </c>
      <c r="V36" s="62"/>
      <c r="W36" s="38">
        <v>0</v>
      </c>
      <c r="X36" s="31">
        <v>0</v>
      </c>
      <c r="Y36" s="31">
        <v>0</v>
      </c>
      <c r="Z36" s="78"/>
      <c r="AA36" s="37">
        <v>0</v>
      </c>
      <c r="AB36" s="34">
        <v>0</v>
      </c>
      <c r="AC36" s="34">
        <v>0</v>
      </c>
      <c r="AD36" s="64"/>
      <c r="AE36" s="79"/>
      <c r="AF36" s="64"/>
      <c r="AG36" s="43">
        <f t="shared" ref="AG36:AJ99" si="16">G36+K36+O36+S36+W36+AA36</f>
        <v>0</v>
      </c>
      <c r="AH36" s="44">
        <f t="shared" si="16"/>
        <v>0</v>
      </c>
      <c r="AI36" s="44">
        <f t="shared" si="16"/>
        <v>0</v>
      </c>
      <c r="AJ36" s="45">
        <f t="shared" si="16"/>
        <v>0</v>
      </c>
      <c r="AK36" s="80">
        <f t="shared" si="1"/>
        <v>0</v>
      </c>
      <c r="AL36" s="47">
        <v>0.75</v>
      </c>
      <c r="AM36" s="48">
        <f t="shared" si="7"/>
        <v>0</v>
      </c>
      <c r="AN36" s="48">
        <f t="shared" si="2"/>
        <v>0</v>
      </c>
      <c r="AO36" s="49">
        <f t="shared" si="8"/>
        <v>0</v>
      </c>
      <c r="AP36" s="49">
        <f t="shared" si="3"/>
        <v>0</v>
      </c>
      <c r="AQ36" s="50">
        <f t="shared" si="9"/>
        <v>0</v>
      </c>
      <c r="AR36" s="81">
        <v>34.479999999999997</v>
      </c>
      <c r="AS36" s="82">
        <v>5.5200000000000031</v>
      </c>
      <c r="AT36" s="83">
        <f t="shared" si="13"/>
        <v>0</v>
      </c>
      <c r="AU36" s="84">
        <f t="shared" si="14"/>
        <v>0</v>
      </c>
      <c r="AV36" s="85">
        <v>0</v>
      </c>
      <c r="AW36" s="86"/>
      <c r="AX36" s="86"/>
      <c r="AY36" s="82"/>
      <c r="AZ36" s="87">
        <f t="shared" si="15"/>
        <v>0</v>
      </c>
    </row>
    <row r="37" spans="1:52" ht="16.5" thickBot="1" x14ac:dyDescent="0.3">
      <c r="A37" s="74">
        <v>400</v>
      </c>
      <c r="B37" s="75" t="s">
        <v>34</v>
      </c>
      <c r="C37" s="76">
        <v>516</v>
      </c>
      <c r="D37" s="26">
        <f t="shared" si="4"/>
        <v>172</v>
      </c>
      <c r="E37" s="27">
        <f t="shared" si="5"/>
        <v>172</v>
      </c>
      <c r="F37" s="29">
        <f t="shared" si="6"/>
        <v>172</v>
      </c>
      <c r="G37" s="30">
        <v>0</v>
      </c>
      <c r="H37" s="31">
        <v>0</v>
      </c>
      <c r="I37" s="32">
        <v>0</v>
      </c>
      <c r="J37" s="77"/>
      <c r="K37" s="33">
        <v>0</v>
      </c>
      <c r="L37" s="34">
        <v>0</v>
      </c>
      <c r="M37" s="34">
        <v>0</v>
      </c>
      <c r="N37" s="62"/>
      <c r="O37" s="34">
        <v>0</v>
      </c>
      <c r="P37" s="34">
        <v>0</v>
      </c>
      <c r="Q37" s="34">
        <v>0</v>
      </c>
      <c r="R37" s="62"/>
      <c r="S37" s="37">
        <v>0</v>
      </c>
      <c r="T37" s="34">
        <v>0</v>
      </c>
      <c r="U37" s="34">
        <v>0</v>
      </c>
      <c r="V37" s="62"/>
      <c r="W37" s="38">
        <v>0</v>
      </c>
      <c r="X37" s="31">
        <v>0</v>
      </c>
      <c r="Y37" s="31">
        <v>0</v>
      </c>
      <c r="Z37" s="78"/>
      <c r="AA37" s="37">
        <v>0</v>
      </c>
      <c r="AB37" s="34">
        <v>0</v>
      </c>
      <c r="AC37" s="34">
        <v>0</v>
      </c>
      <c r="AD37" s="64"/>
      <c r="AE37" s="79"/>
      <c r="AF37" s="64"/>
      <c r="AG37" s="43">
        <f t="shared" si="16"/>
        <v>0</v>
      </c>
      <c r="AH37" s="44">
        <f t="shared" si="16"/>
        <v>0</v>
      </c>
      <c r="AI37" s="44">
        <f t="shared" si="16"/>
        <v>0</v>
      </c>
      <c r="AJ37" s="45">
        <f t="shared" si="16"/>
        <v>0</v>
      </c>
      <c r="AK37" s="80">
        <f t="shared" si="1"/>
        <v>0</v>
      </c>
      <c r="AL37" s="66">
        <v>0.65</v>
      </c>
      <c r="AM37" s="48">
        <f t="shared" si="7"/>
        <v>0</v>
      </c>
      <c r="AN37" s="48">
        <f t="shared" si="2"/>
        <v>0</v>
      </c>
      <c r="AO37" s="49">
        <f t="shared" si="8"/>
        <v>0</v>
      </c>
      <c r="AP37" s="49">
        <f t="shared" si="3"/>
        <v>0</v>
      </c>
      <c r="AQ37" s="50">
        <f t="shared" si="9"/>
        <v>0</v>
      </c>
      <c r="AR37" s="81">
        <v>34.44</v>
      </c>
      <c r="AS37" s="82">
        <v>5.5600000000000023</v>
      </c>
      <c r="AT37" s="83">
        <f t="shared" si="13"/>
        <v>0</v>
      </c>
      <c r="AU37" s="84">
        <f t="shared" si="14"/>
        <v>0</v>
      </c>
      <c r="AV37" s="85">
        <v>0</v>
      </c>
      <c r="AW37" s="86"/>
      <c r="AX37" s="86"/>
      <c r="AY37" s="82"/>
      <c r="AZ37" s="87">
        <f t="shared" si="15"/>
        <v>0</v>
      </c>
    </row>
    <row r="38" spans="1:52" ht="16.5" thickBot="1" x14ac:dyDescent="0.3">
      <c r="A38" s="74">
        <v>400</v>
      </c>
      <c r="B38" s="75" t="s">
        <v>27</v>
      </c>
      <c r="C38" s="76">
        <v>770</v>
      </c>
      <c r="D38" s="26">
        <f t="shared" si="4"/>
        <v>256.66666666666669</v>
      </c>
      <c r="E38" s="27">
        <f t="shared" si="5"/>
        <v>256.66666666666669</v>
      </c>
      <c r="F38" s="29">
        <f t="shared" si="6"/>
        <v>256.66666666666669</v>
      </c>
      <c r="G38" s="30">
        <v>13</v>
      </c>
      <c r="H38" s="31">
        <v>17</v>
      </c>
      <c r="I38" s="32">
        <v>8</v>
      </c>
      <c r="J38" s="77"/>
      <c r="K38" s="33">
        <v>16</v>
      </c>
      <c r="L38" s="34">
        <v>20</v>
      </c>
      <c r="M38" s="34">
        <v>14</v>
      </c>
      <c r="N38" s="62"/>
      <c r="O38" s="34">
        <v>49</v>
      </c>
      <c r="P38" s="34">
        <v>8</v>
      </c>
      <c r="Q38" s="34">
        <v>20</v>
      </c>
      <c r="R38" s="62"/>
      <c r="S38" s="37">
        <v>11</v>
      </c>
      <c r="T38" s="34">
        <v>9</v>
      </c>
      <c r="U38" s="34">
        <v>21</v>
      </c>
      <c r="V38" s="62"/>
      <c r="W38" s="38">
        <v>25</v>
      </c>
      <c r="X38" s="31">
        <v>7</v>
      </c>
      <c r="Y38" s="31">
        <v>6</v>
      </c>
      <c r="Z38" s="78"/>
      <c r="AA38" s="37">
        <v>14</v>
      </c>
      <c r="AB38" s="34">
        <v>6</v>
      </c>
      <c r="AC38" s="34">
        <v>10</v>
      </c>
      <c r="AD38" s="64"/>
      <c r="AE38" s="79"/>
      <c r="AF38" s="64"/>
      <c r="AG38" s="43">
        <f t="shared" si="16"/>
        <v>128</v>
      </c>
      <c r="AH38" s="44">
        <f t="shared" si="16"/>
        <v>67</v>
      </c>
      <c r="AI38" s="44">
        <f t="shared" si="16"/>
        <v>79</v>
      </c>
      <c r="AJ38" s="45">
        <f t="shared" si="16"/>
        <v>0</v>
      </c>
      <c r="AK38" s="80">
        <f t="shared" si="1"/>
        <v>274</v>
      </c>
      <c r="AL38" s="66">
        <v>0.65</v>
      </c>
      <c r="AM38" s="48">
        <f t="shared" si="7"/>
        <v>83.2</v>
      </c>
      <c r="AN38" s="48">
        <f t="shared" si="2"/>
        <v>43.550000000000004</v>
      </c>
      <c r="AO38" s="49">
        <f t="shared" si="8"/>
        <v>51.35</v>
      </c>
      <c r="AP38" s="49">
        <f t="shared" si="3"/>
        <v>0</v>
      </c>
      <c r="AQ38" s="50">
        <f t="shared" si="9"/>
        <v>16440</v>
      </c>
      <c r="AR38" s="81">
        <v>34.479999999999997</v>
      </c>
      <c r="AS38" s="82">
        <v>5.5200000000000031</v>
      </c>
      <c r="AT38" s="83">
        <f t="shared" si="13"/>
        <v>1512.4800000000009</v>
      </c>
      <c r="AU38" s="84">
        <f t="shared" si="14"/>
        <v>178.1</v>
      </c>
      <c r="AV38" s="85">
        <v>0</v>
      </c>
      <c r="AW38" s="86"/>
      <c r="AX38" s="86"/>
      <c r="AY38" s="82"/>
      <c r="AZ38" s="87">
        <f t="shared" si="15"/>
        <v>1334.380000000001</v>
      </c>
    </row>
    <row r="39" spans="1:52" ht="16.5" thickBot="1" x14ac:dyDescent="0.3">
      <c r="A39" s="74">
        <v>400</v>
      </c>
      <c r="B39" s="75" t="s">
        <v>40</v>
      </c>
      <c r="C39" s="76"/>
      <c r="D39" s="26">
        <f t="shared" si="4"/>
        <v>0</v>
      </c>
      <c r="E39" s="27">
        <f t="shared" si="5"/>
        <v>0</v>
      </c>
      <c r="F39" s="29">
        <f t="shared" si="6"/>
        <v>0</v>
      </c>
      <c r="G39" s="30">
        <v>0</v>
      </c>
      <c r="H39" s="31">
        <v>0</v>
      </c>
      <c r="I39" s="32">
        <v>0</v>
      </c>
      <c r="J39" s="77"/>
      <c r="K39" s="33">
        <v>0</v>
      </c>
      <c r="L39" s="34">
        <v>0</v>
      </c>
      <c r="M39" s="34">
        <v>0</v>
      </c>
      <c r="N39" s="62"/>
      <c r="O39" s="34">
        <v>0</v>
      </c>
      <c r="P39" s="34">
        <v>0</v>
      </c>
      <c r="Q39" s="34">
        <v>0</v>
      </c>
      <c r="R39" s="62"/>
      <c r="S39" s="37">
        <v>0</v>
      </c>
      <c r="T39" s="34">
        <v>0</v>
      </c>
      <c r="U39" s="34">
        <v>0</v>
      </c>
      <c r="V39" s="62"/>
      <c r="W39" s="38">
        <v>0</v>
      </c>
      <c r="X39" s="31">
        <v>0</v>
      </c>
      <c r="Y39" s="31">
        <v>0</v>
      </c>
      <c r="Z39" s="78"/>
      <c r="AA39" s="37">
        <v>0</v>
      </c>
      <c r="AB39" s="34">
        <v>0</v>
      </c>
      <c r="AC39" s="34">
        <v>0</v>
      </c>
      <c r="AD39" s="64"/>
      <c r="AE39" s="79"/>
      <c r="AF39" s="64"/>
      <c r="AG39" s="43">
        <f t="shared" si="16"/>
        <v>0</v>
      </c>
      <c r="AH39" s="44">
        <f t="shared" si="16"/>
        <v>0</v>
      </c>
      <c r="AI39" s="44">
        <f t="shared" si="16"/>
        <v>0</v>
      </c>
      <c r="AJ39" s="45">
        <f t="shared" si="16"/>
        <v>0</v>
      </c>
      <c r="AK39" s="80">
        <f t="shared" si="1"/>
        <v>0</v>
      </c>
      <c r="AL39" s="47">
        <v>0.75</v>
      </c>
      <c r="AM39" s="48">
        <f t="shared" si="7"/>
        <v>0</v>
      </c>
      <c r="AN39" s="48">
        <f t="shared" si="2"/>
        <v>0</v>
      </c>
      <c r="AO39" s="49">
        <f t="shared" si="8"/>
        <v>0</v>
      </c>
      <c r="AP39" s="49">
        <f t="shared" si="3"/>
        <v>0</v>
      </c>
      <c r="AQ39" s="50">
        <f t="shared" si="9"/>
        <v>0</v>
      </c>
      <c r="AR39" s="81">
        <v>34.520000000000003</v>
      </c>
      <c r="AS39" s="82">
        <v>5.4799999999999969</v>
      </c>
      <c r="AT39" s="83">
        <f t="shared" si="13"/>
        <v>0</v>
      </c>
      <c r="AU39" s="84">
        <f t="shared" si="14"/>
        <v>0</v>
      </c>
      <c r="AV39" s="85">
        <v>0</v>
      </c>
      <c r="AW39" s="86"/>
      <c r="AX39" s="86"/>
      <c r="AY39" s="82"/>
      <c r="AZ39" s="87">
        <f t="shared" si="15"/>
        <v>0</v>
      </c>
    </row>
    <row r="40" spans="1:52" ht="16.5" thickBot="1" x14ac:dyDescent="0.3">
      <c r="A40" s="74">
        <v>400</v>
      </c>
      <c r="B40" s="75" t="s">
        <v>48</v>
      </c>
      <c r="C40" s="76"/>
      <c r="D40" s="26">
        <f t="shared" si="4"/>
        <v>0</v>
      </c>
      <c r="E40" s="27">
        <f t="shared" si="5"/>
        <v>0</v>
      </c>
      <c r="F40" s="29">
        <f t="shared" si="6"/>
        <v>0</v>
      </c>
      <c r="G40" s="30">
        <v>0</v>
      </c>
      <c r="H40" s="31">
        <v>0</v>
      </c>
      <c r="I40" s="32">
        <v>0</v>
      </c>
      <c r="J40" s="77"/>
      <c r="K40" s="33">
        <v>0</v>
      </c>
      <c r="L40" s="34">
        <v>0</v>
      </c>
      <c r="M40" s="34">
        <v>0</v>
      </c>
      <c r="N40" s="62"/>
      <c r="O40" s="34">
        <v>0</v>
      </c>
      <c r="P40" s="34">
        <v>0</v>
      </c>
      <c r="Q40" s="34">
        <v>0</v>
      </c>
      <c r="R40" s="62"/>
      <c r="S40" s="37">
        <v>0</v>
      </c>
      <c r="T40" s="34">
        <v>0</v>
      </c>
      <c r="U40" s="34">
        <v>0</v>
      </c>
      <c r="V40" s="62"/>
      <c r="W40" s="38">
        <v>0</v>
      </c>
      <c r="X40" s="31">
        <v>0</v>
      </c>
      <c r="Y40" s="31">
        <v>0</v>
      </c>
      <c r="Z40" s="78"/>
      <c r="AA40" s="37">
        <v>0</v>
      </c>
      <c r="AB40" s="34">
        <v>0</v>
      </c>
      <c r="AC40" s="34">
        <v>0</v>
      </c>
      <c r="AD40" s="64"/>
      <c r="AE40" s="79"/>
      <c r="AF40" s="64"/>
      <c r="AG40" s="43">
        <f t="shared" si="16"/>
        <v>0</v>
      </c>
      <c r="AH40" s="44">
        <f t="shared" si="16"/>
        <v>0</v>
      </c>
      <c r="AI40" s="44">
        <f t="shared" si="16"/>
        <v>0</v>
      </c>
      <c r="AJ40" s="45">
        <f t="shared" si="16"/>
        <v>0</v>
      </c>
      <c r="AK40" s="80">
        <f t="shared" si="1"/>
        <v>0</v>
      </c>
      <c r="AL40" s="47">
        <v>0.75</v>
      </c>
      <c r="AM40" s="48">
        <f t="shared" si="7"/>
        <v>0</v>
      </c>
      <c r="AN40" s="48">
        <f t="shared" si="2"/>
        <v>0</v>
      </c>
      <c r="AO40" s="49">
        <f t="shared" si="8"/>
        <v>0</v>
      </c>
      <c r="AP40" s="49">
        <f t="shared" si="3"/>
        <v>0</v>
      </c>
      <c r="AQ40" s="50">
        <f t="shared" si="9"/>
        <v>0</v>
      </c>
      <c r="AR40" s="81">
        <v>34.520000000000003</v>
      </c>
      <c r="AS40" s="82">
        <v>5.4799999999999969</v>
      </c>
      <c r="AT40" s="83">
        <f t="shared" si="13"/>
        <v>0</v>
      </c>
      <c r="AU40" s="84">
        <f t="shared" si="14"/>
        <v>0</v>
      </c>
      <c r="AV40" s="85">
        <v>0</v>
      </c>
      <c r="AW40" s="86"/>
      <c r="AX40" s="86"/>
      <c r="AY40" s="82"/>
      <c r="AZ40" s="87">
        <f t="shared" si="15"/>
        <v>0</v>
      </c>
    </row>
    <row r="41" spans="1:52" ht="16.5" thickBot="1" x14ac:dyDescent="0.3">
      <c r="A41" s="74">
        <v>400</v>
      </c>
      <c r="B41" s="75" t="s">
        <v>49</v>
      </c>
      <c r="C41" s="76"/>
      <c r="D41" s="26">
        <f t="shared" si="4"/>
        <v>0</v>
      </c>
      <c r="E41" s="27">
        <f t="shared" si="5"/>
        <v>0</v>
      </c>
      <c r="F41" s="29">
        <f t="shared" si="6"/>
        <v>0</v>
      </c>
      <c r="G41" s="30">
        <v>0</v>
      </c>
      <c r="H41" s="31">
        <v>0</v>
      </c>
      <c r="I41" s="32">
        <v>0</v>
      </c>
      <c r="J41" s="77"/>
      <c r="K41" s="33">
        <v>0</v>
      </c>
      <c r="L41" s="34">
        <v>0</v>
      </c>
      <c r="M41" s="34">
        <v>0</v>
      </c>
      <c r="N41" s="62"/>
      <c r="O41" s="34">
        <v>0</v>
      </c>
      <c r="P41" s="34">
        <v>0</v>
      </c>
      <c r="Q41" s="34">
        <v>0</v>
      </c>
      <c r="R41" s="62"/>
      <c r="S41" s="37">
        <v>0</v>
      </c>
      <c r="T41" s="34">
        <v>0</v>
      </c>
      <c r="U41" s="34">
        <v>0</v>
      </c>
      <c r="V41" s="62"/>
      <c r="W41" s="38">
        <v>0</v>
      </c>
      <c r="X41" s="31">
        <v>0</v>
      </c>
      <c r="Y41" s="31">
        <v>0</v>
      </c>
      <c r="Z41" s="78"/>
      <c r="AA41" s="37">
        <v>0</v>
      </c>
      <c r="AB41" s="34">
        <v>0</v>
      </c>
      <c r="AC41" s="34">
        <v>0</v>
      </c>
      <c r="AD41" s="64"/>
      <c r="AE41" s="79"/>
      <c r="AF41" s="64"/>
      <c r="AG41" s="43">
        <f t="shared" si="16"/>
        <v>0</v>
      </c>
      <c r="AH41" s="44">
        <f t="shared" si="16"/>
        <v>0</v>
      </c>
      <c r="AI41" s="44">
        <f t="shared" si="16"/>
        <v>0</v>
      </c>
      <c r="AJ41" s="45">
        <f t="shared" si="16"/>
        <v>0</v>
      </c>
      <c r="AK41" s="80">
        <f t="shared" si="1"/>
        <v>0</v>
      </c>
      <c r="AL41" s="47">
        <v>0.75</v>
      </c>
      <c r="AM41" s="48">
        <f t="shared" si="7"/>
        <v>0</v>
      </c>
      <c r="AN41" s="48">
        <f t="shared" si="2"/>
        <v>0</v>
      </c>
      <c r="AO41" s="49">
        <f t="shared" si="8"/>
        <v>0</v>
      </c>
      <c r="AP41" s="49">
        <f t="shared" si="3"/>
        <v>0</v>
      </c>
      <c r="AQ41" s="50">
        <f t="shared" si="9"/>
        <v>0</v>
      </c>
      <c r="AR41" s="81">
        <v>34.479999999999997</v>
      </c>
      <c r="AS41" s="82">
        <v>5.5200000000000031</v>
      </c>
      <c r="AT41" s="83">
        <f t="shared" si="13"/>
        <v>0</v>
      </c>
      <c r="AU41" s="84">
        <f t="shared" si="14"/>
        <v>0</v>
      </c>
      <c r="AV41" s="85">
        <v>0</v>
      </c>
      <c r="AW41" s="86"/>
      <c r="AX41" s="86"/>
      <c r="AY41" s="82"/>
      <c r="AZ41" s="87">
        <f t="shared" si="15"/>
        <v>0</v>
      </c>
    </row>
    <row r="42" spans="1:52" ht="16.5" thickBot="1" x14ac:dyDescent="0.3">
      <c r="A42" s="74">
        <v>375</v>
      </c>
      <c r="B42" s="75" t="s">
        <v>50</v>
      </c>
      <c r="C42" s="76"/>
      <c r="D42" s="26">
        <f t="shared" si="4"/>
        <v>0</v>
      </c>
      <c r="E42" s="27">
        <f t="shared" si="5"/>
        <v>0</v>
      </c>
      <c r="F42" s="29">
        <f t="shared" si="6"/>
        <v>0</v>
      </c>
      <c r="G42" s="30">
        <v>0</v>
      </c>
      <c r="H42" s="31">
        <v>0</v>
      </c>
      <c r="I42" s="32">
        <v>0</v>
      </c>
      <c r="J42" s="77"/>
      <c r="K42" s="33">
        <v>0</v>
      </c>
      <c r="L42" s="34">
        <v>0</v>
      </c>
      <c r="M42" s="34">
        <v>0</v>
      </c>
      <c r="N42" s="62"/>
      <c r="O42" s="34">
        <v>0</v>
      </c>
      <c r="P42" s="34">
        <v>0</v>
      </c>
      <c r="Q42" s="34">
        <v>0</v>
      </c>
      <c r="R42" s="62"/>
      <c r="S42" s="37">
        <v>0</v>
      </c>
      <c r="T42" s="34">
        <v>0</v>
      </c>
      <c r="U42" s="34">
        <v>0</v>
      </c>
      <c r="V42" s="62"/>
      <c r="W42" s="38">
        <v>0</v>
      </c>
      <c r="X42" s="31">
        <v>0</v>
      </c>
      <c r="Y42" s="31">
        <v>0</v>
      </c>
      <c r="Z42" s="78"/>
      <c r="AA42" s="37">
        <v>0</v>
      </c>
      <c r="AB42" s="34">
        <v>0</v>
      </c>
      <c r="AC42" s="34">
        <v>0</v>
      </c>
      <c r="AD42" s="64"/>
      <c r="AE42" s="79"/>
      <c r="AF42" s="64"/>
      <c r="AG42" s="43">
        <f t="shared" si="16"/>
        <v>0</v>
      </c>
      <c r="AH42" s="44">
        <f t="shared" si="16"/>
        <v>0</v>
      </c>
      <c r="AI42" s="44">
        <f t="shared" si="16"/>
        <v>0</v>
      </c>
      <c r="AJ42" s="45">
        <f t="shared" si="16"/>
        <v>0</v>
      </c>
      <c r="AK42" s="80">
        <f t="shared" si="1"/>
        <v>0</v>
      </c>
      <c r="AL42" s="47">
        <v>0.75</v>
      </c>
      <c r="AM42" s="48">
        <f t="shared" si="7"/>
        <v>0</v>
      </c>
      <c r="AN42" s="48">
        <f t="shared" si="2"/>
        <v>0</v>
      </c>
      <c r="AO42" s="49">
        <f t="shared" si="8"/>
        <v>0</v>
      </c>
      <c r="AP42" s="49">
        <f t="shared" si="3"/>
        <v>0</v>
      </c>
      <c r="AQ42" s="50">
        <f t="shared" si="9"/>
        <v>0</v>
      </c>
      <c r="AR42" s="81">
        <v>34.520000000000003</v>
      </c>
      <c r="AS42" s="82">
        <v>5.4799999999999969</v>
      </c>
      <c r="AT42" s="83">
        <f t="shared" si="13"/>
        <v>0</v>
      </c>
      <c r="AU42" s="84">
        <f t="shared" si="14"/>
        <v>0</v>
      </c>
      <c r="AV42" s="85">
        <v>0</v>
      </c>
      <c r="AW42" s="86"/>
      <c r="AX42" s="86"/>
      <c r="AY42" s="82"/>
      <c r="AZ42" s="87">
        <f t="shared" si="15"/>
        <v>0</v>
      </c>
    </row>
    <row r="43" spans="1:52" ht="16.5" thickBot="1" x14ac:dyDescent="0.3">
      <c r="A43" s="74">
        <v>355</v>
      </c>
      <c r="B43" s="75" t="s">
        <v>51</v>
      </c>
      <c r="C43" s="76">
        <v>20</v>
      </c>
      <c r="D43" s="26">
        <f t="shared" si="4"/>
        <v>6.666666666666667</v>
      </c>
      <c r="E43" s="27">
        <f t="shared" si="5"/>
        <v>6.666666666666667</v>
      </c>
      <c r="F43" s="29">
        <f t="shared" si="6"/>
        <v>6.666666666666667</v>
      </c>
      <c r="G43" s="30">
        <v>0</v>
      </c>
      <c r="H43" s="31">
        <v>0</v>
      </c>
      <c r="I43" s="32">
        <v>0</v>
      </c>
      <c r="J43" s="77"/>
      <c r="K43" s="33">
        <v>0</v>
      </c>
      <c r="L43" s="34">
        <v>0</v>
      </c>
      <c r="M43" s="34">
        <v>0</v>
      </c>
      <c r="N43" s="62"/>
      <c r="O43" s="34">
        <v>0</v>
      </c>
      <c r="P43" s="34">
        <v>0</v>
      </c>
      <c r="Q43" s="34">
        <v>0</v>
      </c>
      <c r="R43" s="62"/>
      <c r="S43" s="37">
        <v>0</v>
      </c>
      <c r="T43" s="34">
        <v>0</v>
      </c>
      <c r="U43" s="34">
        <v>0</v>
      </c>
      <c r="V43" s="62"/>
      <c r="W43" s="38">
        <v>0</v>
      </c>
      <c r="X43" s="31">
        <v>0</v>
      </c>
      <c r="Y43" s="31">
        <v>0</v>
      </c>
      <c r="Z43" s="78"/>
      <c r="AA43" s="37">
        <v>0</v>
      </c>
      <c r="AB43" s="34">
        <v>0</v>
      </c>
      <c r="AC43" s="34">
        <v>0</v>
      </c>
      <c r="AD43" s="64"/>
      <c r="AE43" s="79"/>
      <c r="AF43" s="64"/>
      <c r="AG43" s="43">
        <f t="shared" si="16"/>
        <v>0</v>
      </c>
      <c r="AH43" s="44">
        <f t="shared" si="16"/>
        <v>0</v>
      </c>
      <c r="AI43" s="44">
        <f t="shared" si="16"/>
        <v>0</v>
      </c>
      <c r="AJ43" s="45">
        <f t="shared" si="16"/>
        <v>0</v>
      </c>
      <c r="AK43" s="80">
        <f t="shared" si="1"/>
        <v>0</v>
      </c>
      <c r="AL43" s="47">
        <v>0.5</v>
      </c>
      <c r="AM43" s="48">
        <f t="shared" si="7"/>
        <v>0</v>
      </c>
      <c r="AN43" s="48">
        <f t="shared" si="2"/>
        <v>0</v>
      </c>
      <c r="AO43" s="49">
        <f t="shared" si="8"/>
        <v>0</v>
      </c>
      <c r="AP43" s="49">
        <f t="shared" si="3"/>
        <v>0</v>
      </c>
      <c r="AQ43" s="50">
        <f t="shared" si="9"/>
        <v>0</v>
      </c>
      <c r="AR43" s="81"/>
      <c r="AS43" s="82"/>
      <c r="AT43" s="83">
        <f t="shared" si="13"/>
        <v>0</v>
      </c>
      <c r="AU43" s="84">
        <f t="shared" si="14"/>
        <v>0</v>
      </c>
      <c r="AV43" s="85"/>
      <c r="AW43" s="86"/>
      <c r="AX43" s="86"/>
      <c r="AY43" s="82"/>
      <c r="AZ43" s="87"/>
    </row>
    <row r="44" spans="1:52" ht="16.5" thickBot="1" x14ac:dyDescent="0.3">
      <c r="A44" s="74">
        <v>300</v>
      </c>
      <c r="B44" s="75" t="s">
        <v>52</v>
      </c>
      <c r="C44" s="76">
        <v>147</v>
      </c>
      <c r="D44" s="26">
        <f t="shared" si="4"/>
        <v>49</v>
      </c>
      <c r="E44" s="27">
        <f t="shared" si="5"/>
        <v>49</v>
      </c>
      <c r="F44" s="29">
        <f t="shared" si="6"/>
        <v>49</v>
      </c>
      <c r="G44" s="30">
        <v>4</v>
      </c>
      <c r="H44" s="31">
        <v>2</v>
      </c>
      <c r="I44" s="32">
        <v>1</v>
      </c>
      <c r="J44" s="77"/>
      <c r="K44" s="33">
        <v>2</v>
      </c>
      <c r="L44" s="34">
        <v>0</v>
      </c>
      <c r="M44" s="34">
        <v>2</v>
      </c>
      <c r="N44" s="62"/>
      <c r="O44" s="34">
        <v>0</v>
      </c>
      <c r="P44" s="34">
        <v>1</v>
      </c>
      <c r="Q44" s="34">
        <v>0</v>
      </c>
      <c r="R44" s="62"/>
      <c r="S44" s="37">
        <v>3</v>
      </c>
      <c r="T44" s="34">
        <v>1</v>
      </c>
      <c r="U44" s="34">
        <v>0</v>
      </c>
      <c r="V44" s="62"/>
      <c r="W44" s="38">
        <v>0</v>
      </c>
      <c r="X44" s="31">
        <v>1</v>
      </c>
      <c r="Y44" s="31">
        <v>0</v>
      </c>
      <c r="Z44" s="78"/>
      <c r="AA44" s="37">
        <v>0</v>
      </c>
      <c r="AB44" s="34">
        <v>3</v>
      </c>
      <c r="AC44" s="34">
        <v>0</v>
      </c>
      <c r="AD44" s="64"/>
      <c r="AE44" s="79"/>
      <c r="AF44" s="64"/>
      <c r="AG44" s="43">
        <f t="shared" si="16"/>
        <v>9</v>
      </c>
      <c r="AH44" s="44">
        <f t="shared" si="16"/>
        <v>8</v>
      </c>
      <c r="AI44" s="44">
        <f t="shared" si="16"/>
        <v>3</v>
      </c>
      <c r="AJ44" s="45">
        <f t="shared" si="16"/>
        <v>0</v>
      </c>
      <c r="AK44" s="80">
        <f t="shared" si="1"/>
        <v>20</v>
      </c>
      <c r="AL44" s="47">
        <v>1</v>
      </c>
      <c r="AM44" s="48">
        <f t="shared" si="7"/>
        <v>9</v>
      </c>
      <c r="AN44" s="48">
        <f t="shared" si="2"/>
        <v>8</v>
      </c>
      <c r="AO44" s="49">
        <f t="shared" si="8"/>
        <v>3</v>
      </c>
      <c r="AP44" s="49">
        <f t="shared" si="3"/>
        <v>0</v>
      </c>
      <c r="AQ44" s="50">
        <f t="shared" si="9"/>
        <v>1200</v>
      </c>
      <c r="AR44" s="81">
        <v>51.9</v>
      </c>
      <c r="AS44" s="82">
        <v>8.1000000000000014</v>
      </c>
      <c r="AT44" s="83">
        <f t="shared" si="13"/>
        <v>162.00000000000003</v>
      </c>
      <c r="AU44" s="84">
        <f t="shared" si="14"/>
        <v>20</v>
      </c>
      <c r="AV44" s="85">
        <v>0</v>
      </c>
      <c r="AW44" s="86"/>
      <c r="AX44" s="86"/>
      <c r="AY44" s="82"/>
      <c r="AZ44" s="87">
        <f>AT44-AU44-AW44-AX44-AY44</f>
        <v>142.00000000000003</v>
      </c>
    </row>
    <row r="45" spans="1:52" ht="16.5" thickBot="1" x14ac:dyDescent="0.3">
      <c r="A45" s="74">
        <v>355</v>
      </c>
      <c r="B45" s="75" t="s">
        <v>53</v>
      </c>
      <c r="C45" s="76"/>
      <c r="D45" s="26">
        <f t="shared" si="4"/>
        <v>0</v>
      </c>
      <c r="E45" s="27">
        <f t="shared" si="5"/>
        <v>0</v>
      </c>
      <c r="F45" s="29">
        <f t="shared" si="6"/>
        <v>0</v>
      </c>
      <c r="G45" s="30">
        <v>0</v>
      </c>
      <c r="H45" s="31">
        <v>0</v>
      </c>
      <c r="I45" s="32">
        <v>0</v>
      </c>
      <c r="J45" s="77"/>
      <c r="K45" s="33">
        <v>0</v>
      </c>
      <c r="L45" s="34">
        <v>0</v>
      </c>
      <c r="M45" s="34">
        <v>0</v>
      </c>
      <c r="N45" s="62"/>
      <c r="O45" s="34">
        <v>0</v>
      </c>
      <c r="P45" s="34">
        <v>0</v>
      </c>
      <c r="Q45" s="34">
        <v>0</v>
      </c>
      <c r="R45" s="62"/>
      <c r="S45" s="37">
        <v>0</v>
      </c>
      <c r="T45" s="34">
        <v>0</v>
      </c>
      <c r="U45" s="34">
        <v>0</v>
      </c>
      <c r="V45" s="62"/>
      <c r="W45" s="38">
        <v>0</v>
      </c>
      <c r="X45" s="31">
        <v>0</v>
      </c>
      <c r="Y45" s="31">
        <v>0</v>
      </c>
      <c r="Z45" s="78"/>
      <c r="AA45" s="37">
        <v>0</v>
      </c>
      <c r="AB45" s="34">
        <v>0</v>
      </c>
      <c r="AC45" s="34">
        <v>0</v>
      </c>
      <c r="AD45" s="64"/>
      <c r="AE45" s="79"/>
      <c r="AF45" s="64"/>
      <c r="AG45" s="43">
        <f t="shared" si="16"/>
        <v>0</v>
      </c>
      <c r="AH45" s="44">
        <f t="shared" si="16"/>
        <v>0</v>
      </c>
      <c r="AI45" s="44">
        <f t="shared" si="16"/>
        <v>0</v>
      </c>
      <c r="AJ45" s="45">
        <f t="shared" si="16"/>
        <v>0</v>
      </c>
      <c r="AK45" s="80">
        <f t="shared" si="1"/>
        <v>0</v>
      </c>
      <c r="AL45" s="47">
        <v>0.5</v>
      </c>
      <c r="AM45" s="48">
        <f t="shared" si="7"/>
        <v>0</v>
      </c>
      <c r="AN45" s="48">
        <f t="shared" si="2"/>
        <v>0</v>
      </c>
      <c r="AO45" s="49">
        <f t="shared" si="8"/>
        <v>0</v>
      </c>
      <c r="AP45" s="49">
        <f t="shared" si="3"/>
        <v>0</v>
      </c>
      <c r="AQ45" s="50">
        <f t="shared" si="9"/>
        <v>0</v>
      </c>
      <c r="AR45" s="81">
        <v>15.36</v>
      </c>
      <c r="AS45" s="82">
        <v>2.14</v>
      </c>
      <c r="AT45" s="83">
        <f t="shared" si="13"/>
        <v>0</v>
      </c>
      <c r="AU45" s="84">
        <f t="shared" si="14"/>
        <v>0</v>
      </c>
      <c r="AV45" s="85"/>
      <c r="AW45" s="86"/>
      <c r="AX45" s="86"/>
      <c r="AY45" s="82"/>
      <c r="AZ45" s="87"/>
    </row>
    <row r="46" spans="1:52" ht="16.5" thickBot="1" x14ac:dyDescent="0.3">
      <c r="A46" s="74">
        <v>355</v>
      </c>
      <c r="B46" s="75" t="s">
        <v>54</v>
      </c>
      <c r="C46" s="76"/>
      <c r="D46" s="26">
        <f t="shared" si="4"/>
        <v>0</v>
      </c>
      <c r="E46" s="27">
        <f t="shared" si="5"/>
        <v>0</v>
      </c>
      <c r="F46" s="29">
        <f t="shared" si="6"/>
        <v>0</v>
      </c>
      <c r="G46" s="30">
        <v>0</v>
      </c>
      <c r="H46" s="31">
        <v>0</v>
      </c>
      <c r="I46" s="32">
        <v>0</v>
      </c>
      <c r="J46" s="77"/>
      <c r="K46" s="33">
        <v>0</v>
      </c>
      <c r="L46" s="34">
        <v>0</v>
      </c>
      <c r="M46" s="34">
        <v>0</v>
      </c>
      <c r="N46" s="62"/>
      <c r="O46" s="34">
        <v>0</v>
      </c>
      <c r="P46" s="34">
        <v>0</v>
      </c>
      <c r="Q46" s="34">
        <v>0</v>
      </c>
      <c r="R46" s="62"/>
      <c r="S46" s="37">
        <v>0</v>
      </c>
      <c r="T46" s="34">
        <v>0</v>
      </c>
      <c r="U46" s="34">
        <v>0</v>
      </c>
      <c r="V46" s="62"/>
      <c r="W46" s="38">
        <v>0</v>
      </c>
      <c r="X46" s="31">
        <v>0</v>
      </c>
      <c r="Y46" s="31">
        <v>0</v>
      </c>
      <c r="Z46" s="78"/>
      <c r="AA46" s="37">
        <v>0</v>
      </c>
      <c r="AB46" s="34">
        <v>0</v>
      </c>
      <c r="AC46" s="34">
        <v>0</v>
      </c>
      <c r="AD46" s="64"/>
      <c r="AE46" s="79"/>
      <c r="AF46" s="64"/>
      <c r="AG46" s="43">
        <f t="shared" si="16"/>
        <v>0</v>
      </c>
      <c r="AH46" s="44">
        <f t="shared" si="16"/>
        <v>0</v>
      </c>
      <c r="AI46" s="44">
        <f t="shared" si="16"/>
        <v>0</v>
      </c>
      <c r="AJ46" s="45">
        <f t="shared" si="16"/>
        <v>0</v>
      </c>
      <c r="AK46" s="80">
        <f t="shared" si="1"/>
        <v>0</v>
      </c>
      <c r="AL46" s="47">
        <v>0.5</v>
      </c>
      <c r="AM46" s="48">
        <f t="shared" si="7"/>
        <v>0</v>
      </c>
      <c r="AN46" s="48">
        <f t="shared" si="2"/>
        <v>0</v>
      </c>
      <c r="AO46" s="49">
        <f t="shared" si="8"/>
        <v>0</v>
      </c>
      <c r="AP46" s="49">
        <f t="shared" si="3"/>
        <v>0</v>
      </c>
      <c r="AQ46" s="50">
        <f t="shared" si="9"/>
        <v>0</v>
      </c>
      <c r="AR46" s="81"/>
      <c r="AS46" s="82"/>
      <c r="AT46" s="83">
        <f t="shared" si="13"/>
        <v>0</v>
      </c>
      <c r="AU46" s="84">
        <f t="shared" si="14"/>
        <v>0</v>
      </c>
      <c r="AV46" s="85"/>
      <c r="AW46" s="86"/>
      <c r="AX46" s="86"/>
      <c r="AY46" s="82"/>
      <c r="AZ46" s="87"/>
    </row>
    <row r="47" spans="1:52" ht="16.5" thickBot="1" x14ac:dyDescent="0.3">
      <c r="A47" s="74">
        <v>355</v>
      </c>
      <c r="B47" s="75" t="s">
        <v>55</v>
      </c>
      <c r="C47" s="76"/>
      <c r="D47" s="26">
        <f t="shared" si="4"/>
        <v>0</v>
      </c>
      <c r="E47" s="27">
        <f t="shared" si="5"/>
        <v>0</v>
      </c>
      <c r="F47" s="29">
        <f t="shared" si="6"/>
        <v>0</v>
      </c>
      <c r="G47" s="30">
        <v>0</v>
      </c>
      <c r="H47" s="31">
        <v>0</v>
      </c>
      <c r="I47" s="32">
        <v>0</v>
      </c>
      <c r="J47" s="77"/>
      <c r="K47" s="33">
        <v>0</v>
      </c>
      <c r="L47" s="34">
        <v>0</v>
      </c>
      <c r="M47" s="34">
        <v>0</v>
      </c>
      <c r="N47" s="62"/>
      <c r="O47" s="34">
        <v>0</v>
      </c>
      <c r="P47" s="34">
        <v>0</v>
      </c>
      <c r="Q47" s="34">
        <v>0</v>
      </c>
      <c r="R47" s="62"/>
      <c r="S47" s="37">
        <v>0</v>
      </c>
      <c r="T47" s="34">
        <v>0</v>
      </c>
      <c r="U47" s="34">
        <v>0</v>
      </c>
      <c r="V47" s="62"/>
      <c r="W47" s="38">
        <v>0</v>
      </c>
      <c r="X47" s="31">
        <v>0</v>
      </c>
      <c r="Y47" s="31">
        <v>0</v>
      </c>
      <c r="Z47" s="78"/>
      <c r="AA47" s="37">
        <v>0</v>
      </c>
      <c r="AB47" s="34">
        <v>0</v>
      </c>
      <c r="AC47" s="34">
        <v>0</v>
      </c>
      <c r="AD47" s="64"/>
      <c r="AE47" s="79"/>
      <c r="AF47" s="64"/>
      <c r="AG47" s="43">
        <f t="shared" si="16"/>
        <v>0</v>
      </c>
      <c r="AH47" s="44">
        <f t="shared" si="16"/>
        <v>0</v>
      </c>
      <c r="AI47" s="44">
        <f t="shared" si="16"/>
        <v>0</v>
      </c>
      <c r="AJ47" s="45">
        <f t="shared" si="16"/>
        <v>0</v>
      </c>
      <c r="AK47" s="80">
        <f t="shared" si="1"/>
        <v>0</v>
      </c>
      <c r="AL47" s="47">
        <v>0.5</v>
      </c>
      <c r="AM47" s="48">
        <f t="shared" si="7"/>
        <v>0</v>
      </c>
      <c r="AN47" s="48">
        <f t="shared" si="2"/>
        <v>0</v>
      </c>
      <c r="AO47" s="49">
        <f t="shared" si="8"/>
        <v>0</v>
      </c>
      <c r="AP47" s="49">
        <f t="shared" si="3"/>
        <v>0</v>
      </c>
      <c r="AQ47" s="50">
        <f t="shared" si="9"/>
        <v>0</v>
      </c>
      <c r="AR47" s="81"/>
      <c r="AS47" s="82"/>
      <c r="AT47" s="83">
        <f t="shared" si="13"/>
        <v>0</v>
      </c>
      <c r="AU47" s="84">
        <f t="shared" si="14"/>
        <v>0</v>
      </c>
      <c r="AV47" s="85"/>
      <c r="AW47" s="86"/>
      <c r="AX47" s="86"/>
      <c r="AY47" s="82"/>
      <c r="AZ47" s="87"/>
    </row>
    <row r="48" spans="1:52" ht="16.5" thickBot="1" x14ac:dyDescent="0.3">
      <c r="A48" s="74">
        <v>355</v>
      </c>
      <c r="B48" s="75" t="s">
        <v>56</v>
      </c>
      <c r="C48" s="76"/>
      <c r="D48" s="26">
        <f t="shared" si="4"/>
        <v>0</v>
      </c>
      <c r="E48" s="27">
        <f t="shared" si="5"/>
        <v>0</v>
      </c>
      <c r="F48" s="29">
        <f t="shared" si="6"/>
        <v>0</v>
      </c>
      <c r="G48" s="30">
        <v>0</v>
      </c>
      <c r="H48" s="31">
        <v>0</v>
      </c>
      <c r="I48" s="32">
        <v>0</v>
      </c>
      <c r="J48" s="77"/>
      <c r="K48" s="33">
        <v>0</v>
      </c>
      <c r="L48" s="34">
        <v>0</v>
      </c>
      <c r="M48" s="34">
        <v>0</v>
      </c>
      <c r="N48" s="62"/>
      <c r="O48" s="34">
        <v>0</v>
      </c>
      <c r="P48" s="34">
        <v>0</v>
      </c>
      <c r="Q48" s="34">
        <v>0</v>
      </c>
      <c r="R48" s="62"/>
      <c r="S48" s="37">
        <v>0</v>
      </c>
      <c r="T48" s="34">
        <v>0</v>
      </c>
      <c r="U48" s="34">
        <v>0</v>
      </c>
      <c r="V48" s="62"/>
      <c r="W48" s="38">
        <v>0</v>
      </c>
      <c r="X48" s="31">
        <v>0</v>
      </c>
      <c r="Y48" s="31">
        <v>0</v>
      </c>
      <c r="Z48" s="78"/>
      <c r="AA48" s="37">
        <v>0</v>
      </c>
      <c r="AB48" s="34">
        <v>0</v>
      </c>
      <c r="AC48" s="34">
        <v>0</v>
      </c>
      <c r="AD48" s="64"/>
      <c r="AE48" s="79"/>
      <c r="AF48" s="64"/>
      <c r="AG48" s="43">
        <f t="shared" si="16"/>
        <v>0</v>
      </c>
      <c r="AH48" s="44">
        <f t="shared" si="16"/>
        <v>0</v>
      </c>
      <c r="AI48" s="44">
        <f t="shared" si="16"/>
        <v>0</v>
      </c>
      <c r="AJ48" s="45">
        <f t="shared" si="16"/>
        <v>0</v>
      </c>
      <c r="AK48" s="80">
        <f t="shared" si="1"/>
        <v>0</v>
      </c>
      <c r="AL48" s="47">
        <v>0.5</v>
      </c>
      <c r="AM48" s="48">
        <f t="shared" si="7"/>
        <v>0</v>
      </c>
      <c r="AN48" s="48">
        <f t="shared" si="2"/>
        <v>0</v>
      </c>
      <c r="AO48" s="49">
        <f t="shared" si="8"/>
        <v>0</v>
      </c>
      <c r="AP48" s="49">
        <f t="shared" si="3"/>
        <v>0</v>
      </c>
      <c r="AQ48" s="50">
        <f t="shared" si="9"/>
        <v>0</v>
      </c>
      <c r="AR48" s="81"/>
      <c r="AS48" s="82"/>
      <c r="AT48" s="83">
        <f t="shared" si="13"/>
        <v>0</v>
      </c>
      <c r="AU48" s="84">
        <f t="shared" si="14"/>
        <v>0</v>
      </c>
      <c r="AV48" s="85"/>
      <c r="AW48" s="86"/>
      <c r="AX48" s="86"/>
      <c r="AY48" s="82"/>
      <c r="AZ48" s="87"/>
    </row>
    <row r="49" spans="1:52" ht="16.5" thickBot="1" x14ac:dyDescent="0.3">
      <c r="A49" s="74">
        <v>355</v>
      </c>
      <c r="B49" s="75" t="s">
        <v>57</v>
      </c>
      <c r="C49" s="76"/>
      <c r="D49" s="26">
        <f t="shared" si="4"/>
        <v>0</v>
      </c>
      <c r="E49" s="27">
        <f t="shared" si="5"/>
        <v>0</v>
      </c>
      <c r="F49" s="29">
        <f t="shared" si="6"/>
        <v>0</v>
      </c>
      <c r="G49" s="30">
        <v>0</v>
      </c>
      <c r="H49" s="31">
        <v>0</v>
      </c>
      <c r="I49" s="32">
        <v>0</v>
      </c>
      <c r="J49" s="77"/>
      <c r="K49" s="33">
        <v>0</v>
      </c>
      <c r="L49" s="34">
        <v>0</v>
      </c>
      <c r="M49" s="34">
        <v>0</v>
      </c>
      <c r="N49" s="62"/>
      <c r="O49" s="34">
        <v>0</v>
      </c>
      <c r="P49" s="34">
        <v>0</v>
      </c>
      <c r="Q49" s="34">
        <v>0</v>
      </c>
      <c r="R49" s="62"/>
      <c r="S49" s="37">
        <v>0</v>
      </c>
      <c r="T49" s="34">
        <v>0</v>
      </c>
      <c r="U49" s="34">
        <v>0</v>
      </c>
      <c r="V49" s="62"/>
      <c r="W49" s="38">
        <v>0</v>
      </c>
      <c r="X49" s="31">
        <v>0</v>
      </c>
      <c r="Y49" s="31">
        <v>0</v>
      </c>
      <c r="Z49" s="78"/>
      <c r="AA49" s="37">
        <v>0</v>
      </c>
      <c r="AB49" s="34">
        <v>0</v>
      </c>
      <c r="AC49" s="34">
        <v>0</v>
      </c>
      <c r="AD49" s="64"/>
      <c r="AE49" s="79"/>
      <c r="AF49" s="64"/>
      <c r="AG49" s="43">
        <f t="shared" si="16"/>
        <v>0</v>
      </c>
      <c r="AH49" s="44">
        <f t="shared" si="16"/>
        <v>0</v>
      </c>
      <c r="AI49" s="44">
        <f t="shared" si="16"/>
        <v>0</v>
      </c>
      <c r="AJ49" s="45">
        <f t="shared" si="16"/>
        <v>0</v>
      </c>
      <c r="AK49" s="80">
        <f t="shared" si="1"/>
        <v>0</v>
      </c>
      <c r="AL49" s="47">
        <v>0.5</v>
      </c>
      <c r="AM49" s="48">
        <f t="shared" si="7"/>
        <v>0</v>
      </c>
      <c r="AN49" s="48">
        <f t="shared" si="2"/>
        <v>0</v>
      </c>
      <c r="AO49" s="49">
        <f t="shared" si="8"/>
        <v>0</v>
      </c>
      <c r="AP49" s="49">
        <f t="shared" si="3"/>
        <v>0</v>
      </c>
      <c r="AQ49" s="50">
        <f t="shared" si="9"/>
        <v>0</v>
      </c>
      <c r="AR49" s="81"/>
      <c r="AS49" s="82"/>
      <c r="AT49" s="83"/>
      <c r="AU49" s="84">
        <f t="shared" si="14"/>
        <v>0</v>
      </c>
      <c r="AV49" s="85"/>
      <c r="AW49" s="86"/>
      <c r="AX49" s="86"/>
      <c r="AY49" s="82"/>
      <c r="AZ49" s="87"/>
    </row>
    <row r="50" spans="1:52" ht="16.5" thickBot="1" x14ac:dyDescent="0.3">
      <c r="A50" s="74">
        <v>625</v>
      </c>
      <c r="B50" s="75" t="s">
        <v>52</v>
      </c>
      <c r="C50" s="76"/>
      <c r="D50" s="26">
        <f t="shared" si="4"/>
        <v>0</v>
      </c>
      <c r="E50" s="27">
        <f t="shared" si="5"/>
        <v>0</v>
      </c>
      <c r="F50" s="29">
        <f t="shared" si="6"/>
        <v>0</v>
      </c>
      <c r="G50" s="30">
        <v>0</v>
      </c>
      <c r="H50" s="31">
        <v>0</v>
      </c>
      <c r="I50" s="32">
        <v>0</v>
      </c>
      <c r="J50" s="77"/>
      <c r="K50" s="33">
        <v>0</v>
      </c>
      <c r="L50" s="34">
        <v>0</v>
      </c>
      <c r="M50" s="34">
        <v>0</v>
      </c>
      <c r="N50" s="62"/>
      <c r="O50" s="34">
        <v>0</v>
      </c>
      <c r="P50" s="34">
        <v>0</v>
      </c>
      <c r="Q50" s="34">
        <v>0</v>
      </c>
      <c r="R50" s="62"/>
      <c r="S50" s="37">
        <v>0</v>
      </c>
      <c r="T50" s="34">
        <v>0</v>
      </c>
      <c r="U50" s="34">
        <v>0</v>
      </c>
      <c r="V50" s="62"/>
      <c r="W50" s="38">
        <v>0</v>
      </c>
      <c r="X50" s="31">
        <v>0</v>
      </c>
      <c r="Y50" s="31">
        <v>0</v>
      </c>
      <c r="Z50" s="78"/>
      <c r="AA50" s="37">
        <v>0</v>
      </c>
      <c r="AB50" s="34">
        <v>0</v>
      </c>
      <c r="AC50" s="34">
        <v>0</v>
      </c>
      <c r="AD50" s="64"/>
      <c r="AE50" s="79"/>
      <c r="AF50" s="64"/>
      <c r="AG50" s="43">
        <f t="shared" si="16"/>
        <v>0</v>
      </c>
      <c r="AH50" s="44">
        <f t="shared" si="16"/>
        <v>0</v>
      </c>
      <c r="AI50" s="44">
        <f t="shared" si="16"/>
        <v>0</v>
      </c>
      <c r="AJ50" s="45">
        <f t="shared" si="16"/>
        <v>0</v>
      </c>
      <c r="AK50" s="80">
        <f t="shared" si="1"/>
        <v>0</v>
      </c>
      <c r="AL50" s="47">
        <v>2</v>
      </c>
      <c r="AM50" s="48">
        <f t="shared" si="7"/>
        <v>0</v>
      </c>
      <c r="AN50" s="48">
        <f t="shared" si="2"/>
        <v>0</v>
      </c>
      <c r="AO50" s="49">
        <f t="shared" si="8"/>
        <v>0</v>
      </c>
      <c r="AP50" s="49">
        <f t="shared" si="3"/>
        <v>0</v>
      </c>
      <c r="AQ50" s="50">
        <f t="shared" si="9"/>
        <v>0</v>
      </c>
      <c r="AR50" s="81">
        <v>80.959999999999994</v>
      </c>
      <c r="AS50" s="82">
        <v>19.040000000000006</v>
      </c>
      <c r="AT50" s="83">
        <f>AK50*AS50</f>
        <v>0</v>
      </c>
      <c r="AU50" s="84">
        <f t="shared" si="14"/>
        <v>0</v>
      </c>
      <c r="AV50" s="85">
        <v>0</v>
      </c>
      <c r="AW50" s="86"/>
      <c r="AX50" s="86"/>
      <c r="AY50" s="82"/>
      <c r="AZ50" s="87">
        <f>AT50-AU50-AW50-AX50-AY50</f>
        <v>0</v>
      </c>
    </row>
    <row r="51" spans="1:52" ht="16.5" thickBot="1" x14ac:dyDescent="0.3">
      <c r="A51" s="74">
        <v>625</v>
      </c>
      <c r="B51" s="75" t="s">
        <v>58</v>
      </c>
      <c r="C51" s="76"/>
      <c r="D51" s="26">
        <f t="shared" si="4"/>
        <v>0</v>
      </c>
      <c r="E51" s="27">
        <f t="shared" si="5"/>
        <v>0</v>
      </c>
      <c r="F51" s="29">
        <f t="shared" si="6"/>
        <v>0</v>
      </c>
      <c r="G51" s="30">
        <v>0</v>
      </c>
      <c r="H51" s="31">
        <v>0</v>
      </c>
      <c r="I51" s="32">
        <v>0</v>
      </c>
      <c r="J51" s="77"/>
      <c r="K51" s="33">
        <v>0</v>
      </c>
      <c r="L51" s="34">
        <v>0</v>
      </c>
      <c r="M51" s="34">
        <v>0</v>
      </c>
      <c r="N51" s="62"/>
      <c r="O51" s="34">
        <v>0</v>
      </c>
      <c r="P51" s="34">
        <v>0</v>
      </c>
      <c r="Q51" s="34">
        <v>0</v>
      </c>
      <c r="R51" s="62"/>
      <c r="S51" s="37">
        <v>0</v>
      </c>
      <c r="T51" s="34">
        <v>0</v>
      </c>
      <c r="U51" s="34">
        <v>0</v>
      </c>
      <c r="V51" s="62"/>
      <c r="W51" s="38">
        <v>0</v>
      </c>
      <c r="X51" s="31">
        <v>0</v>
      </c>
      <c r="Y51" s="31">
        <v>0</v>
      </c>
      <c r="Z51" s="78"/>
      <c r="AA51" s="37">
        <v>0</v>
      </c>
      <c r="AB51" s="34">
        <v>0</v>
      </c>
      <c r="AC51" s="34">
        <v>0</v>
      </c>
      <c r="AD51" s="64"/>
      <c r="AE51" s="79"/>
      <c r="AF51" s="64"/>
      <c r="AG51" s="43">
        <f t="shared" si="16"/>
        <v>0</v>
      </c>
      <c r="AH51" s="44">
        <f t="shared" si="16"/>
        <v>0</v>
      </c>
      <c r="AI51" s="44">
        <f t="shared" si="16"/>
        <v>0</v>
      </c>
      <c r="AJ51" s="45">
        <f t="shared" si="16"/>
        <v>0</v>
      </c>
      <c r="AK51" s="80">
        <f t="shared" si="1"/>
        <v>0</v>
      </c>
      <c r="AL51" s="47">
        <v>1.5</v>
      </c>
      <c r="AM51" s="48">
        <f t="shared" si="7"/>
        <v>0</v>
      </c>
      <c r="AN51" s="48">
        <f t="shared" si="2"/>
        <v>0</v>
      </c>
      <c r="AO51" s="49">
        <f t="shared" si="8"/>
        <v>0</v>
      </c>
      <c r="AP51" s="49">
        <f t="shared" si="3"/>
        <v>0</v>
      </c>
      <c r="AQ51" s="50">
        <f t="shared" si="9"/>
        <v>0</v>
      </c>
      <c r="AR51" s="81">
        <v>69.84</v>
      </c>
      <c r="AS51" s="82">
        <v>10.159999999999997</v>
      </c>
      <c r="AT51" s="83">
        <f>AK51*AS51</f>
        <v>0</v>
      </c>
      <c r="AU51" s="84">
        <f t="shared" si="14"/>
        <v>0</v>
      </c>
      <c r="AV51" s="85">
        <v>0</v>
      </c>
      <c r="AW51" s="86"/>
      <c r="AX51" s="86"/>
      <c r="AY51" s="82"/>
      <c r="AZ51" s="87">
        <f>AT51-AU51-AW51-AX51-AY51</f>
        <v>0</v>
      </c>
    </row>
    <row r="52" spans="1:52" ht="16.5" thickBot="1" x14ac:dyDescent="0.3">
      <c r="A52" s="74">
        <v>360</v>
      </c>
      <c r="B52" s="75" t="s">
        <v>58</v>
      </c>
      <c r="C52" s="76">
        <v>910</v>
      </c>
      <c r="D52" s="26">
        <f t="shared" si="4"/>
        <v>303.33333333333331</v>
      </c>
      <c r="E52" s="27">
        <f t="shared" si="5"/>
        <v>303.33333333333331</v>
      </c>
      <c r="F52" s="29">
        <f t="shared" si="6"/>
        <v>303.33333333333331</v>
      </c>
      <c r="G52" s="30">
        <v>8</v>
      </c>
      <c r="H52" s="31">
        <v>4</v>
      </c>
      <c r="I52" s="32">
        <v>1</v>
      </c>
      <c r="J52" s="77"/>
      <c r="K52" s="33">
        <v>2</v>
      </c>
      <c r="L52" s="34">
        <v>0</v>
      </c>
      <c r="M52" s="34">
        <v>6</v>
      </c>
      <c r="N52" s="62"/>
      <c r="O52" s="34">
        <v>8</v>
      </c>
      <c r="P52" s="34">
        <v>2</v>
      </c>
      <c r="Q52" s="34">
        <v>47</v>
      </c>
      <c r="R52" s="62"/>
      <c r="S52" s="37">
        <v>0</v>
      </c>
      <c r="T52" s="34">
        <v>8</v>
      </c>
      <c r="U52" s="34">
        <v>10</v>
      </c>
      <c r="V52" s="62"/>
      <c r="W52" s="38">
        <v>6</v>
      </c>
      <c r="X52" s="31">
        <v>2</v>
      </c>
      <c r="Y52" s="31">
        <v>11</v>
      </c>
      <c r="Z52" s="78"/>
      <c r="AA52" s="37">
        <v>1</v>
      </c>
      <c r="AB52" s="34">
        <v>3</v>
      </c>
      <c r="AC52" s="34">
        <v>32</v>
      </c>
      <c r="AD52" s="64"/>
      <c r="AE52" s="79"/>
      <c r="AF52" s="64"/>
      <c r="AG52" s="43">
        <f t="shared" si="16"/>
        <v>25</v>
      </c>
      <c r="AH52" s="44">
        <f t="shared" si="16"/>
        <v>19</v>
      </c>
      <c r="AI52" s="44">
        <f t="shared" si="16"/>
        <v>107</v>
      </c>
      <c r="AJ52" s="45">
        <f t="shared" si="16"/>
        <v>0</v>
      </c>
      <c r="AK52" s="80">
        <f t="shared" si="1"/>
        <v>151</v>
      </c>
      <c r="AL52" s="47">
        <v>0.75</v>
      </c>
      <c r="AM52" s="48">
        <f t="shared" si="7"/>
        <v>18.75</v>
      </c>
      <c r="AN52" s="48">
        <f t="shared" si="2"/>
        <v>14.25</v>
      </c>
      <c r="AO52" s="49">
        <f t="shared" si="8"/>
        <v>80.25</v>
      </c>
      <c r="AP52" s="49">
        <f t="shared" si="3"/>
        <v>0</v>
      </c>
      <c r="AQ52" s="50">
        <f t="shared" si="9"/>
        <v>9060</v>
      </c>
      <c r="AR52" s="81">
        <v>35.08</v>
      </c>
      <c r="AS52" s="82">
        <v>4.9200000000000017</v>
      </c>
      <c r="AT52" s="83">
        <f>AK52*AS52</f>
        <v>742.9200000000003</v>
      </c>
      <c r="AU52" s="84">
        <f t="shared" si="14"/>
        <v>113.25</v>
      </c>
      <c r="AV52" s="85">
        <v>0</v>
      </c>
      <c r="AW52" s="86"/>
      <c r="AX52" s="86"/>
      <c r="AY52" s="82"/>
      <c r="AZ52" s="87">
        <f>AT52-AU52-AW52-AX52-AY52</f>
        <v>629.6700000000003</v>
      </c>
    </row>
    <row r="53" spans="1:52" ht="16.5" thickBot="1" x14ac:dyDescent="0.3">
      <c r="A53" s="74">
        <v>625</v>
      </c>
      <c r="B53" s="75" t="s">
        <v>59</v>
      </c>
      <c r="C53" s="76"/>
      <c r="D53" s="26">
        <f t="shared" si="4"/>
        <v>0</v>
      </c>
      <c r="E53" s="27">
        <f t="shared" si="5"/>
        <v>0</v>
      </c>
      <c r="F53" s="29">
        <f t="shared" si="6"/>
        <v>0</v>
      </c>
      <c r="G53" s="30">
        <v>0</v>
      </c>
      <c r="H53" s="31">
        <v>0</v>
      </c>
      <c r="I53" s="32">
        <v>0</v>
      </c>
      <c r="J53" s="77"/>
      <c r="K53" s="33">
        <v>0</v>
      </c>
      <c r="L53" s="34">
        <v>0</v>
      </c>
      <c r="M53" s="34">
        <v>0</v>
      </c>
      <c r="N53" s="62"/>
      <c r="O53" s="34">
        <v>0</v>
      </c>
      <c r="P53" s="34">
        <v>0</v>
      </c>
      <c r="Q53" s="34">
        <v>0</v>
      </c>
      <c r="R53" s="62"/>
      <c r="S53" s="37">
        <v>0</v>
      </c>
      <c r="T53" s="34">
        <v>0</v>
      </c>
      <c r="U53" s="34">
        <v>0</v>
      </c>
      <c r="V53" s="62"/>
      <c r="W53" s="38">
        <v>0</v>
      </c>
      <c r="X53" s="31">
        <v>0</v>
      </c>
      <c r="Y53" s="31">
        <v>0</v>
      </c>
      <c r="Z53" s="78"/>
      <c r="AA53" s="37">
        <v>0</v>
      </c>
      <c r="AB53" s="34">
        <v>0</v>
      </c>
      <c r="AC53" s="34">
        <v>0</v>
      </c>
      <c r="AD53" s="64"/>
      <c r="AE53" s="79"/>
      <c r="AF53" s="64"/>
      <c r="AG53" s="43">
        <f t="shared" si="16"/>
        <v>0</v>
      </c>
      <c r="AH53" s="44">
        <f t="shared" si="16"/>
        <v>0</v>
      </c>
      <c r="AI53" s="44">
        <f t="shared" si="16"/>
        <v>0</v>
      </c>
      <c r="AJ53" s="45">
        <f t="shared" si="16"/>
        <v>0</v>
      </c>
      <c r="AK53" s="80">
        <f t="shared" si="1"/>
        <v>0</v>
      </c>
      <c r="AL53" s="47">
        <v>0.6</v>
      </c>
      <c r="AM53" s="48">
        <f t="shared" si="7"/>
        <v>0</v>
      </c>
      <c r="AN53" s="48">
        <f t="shared" si="2"/>
        <v>0</v>
      </c>
      <c r="AO53" s="49">
        <f t="shared" si="8"/>
        <v>0</v>
      </c>
      <c r="AP53" s="49">
        <f t="shared" si="3"/>
        <v>0</v>
      </c>
      <c r="AQ53" s="50">
        <f t="shared" si="9"/>
        <v>0</v>
      </c>
      <c r="AR53" s="81">
        <v>18.100000000000001</v>
      </c>
      <c r="AS53" s="82">
        <v>2.8999999999999986</v>
      </c>
      <c r="AT53" s="83">
        <f>AK53*AS53</f>
        <v>0</v>
      </c>
      <c r="AU53" s="84">
        <f t="shared" si="14"/>
        <v>0</v>
      </c>
      <c r="AV53" s="85">
        <v>0</v>
      </c>
      <c r="AW53" s="86"/>
      <c r="AX53" s="86"/>
      <c r="AY53" s="82"/>
      <c r="AZ53" s="87">
        <f>AT53-AU53-AW53-AX53-AY53</f>
        <v>0</v>
      </c>
    </row>
    <row r="54" spans="1:52" s="246" customFormat="1" ht="16.5" thickBot="1" x14ac:dyDescent="0.3">
      <c r="A54" s="90">
        <v>625</v>
      </c>
      <c r="B54" s="91" t="s">
        <v>60</v>
      </c>
      <c r="C54" s="92">
        <v>1383</v>
      </c>
      <c r="D54" s="26">
        <f t="shared" si="4"/>
        <v>461</v>
      </c>
      <c r="E54" s="27">
        <f t="shared" si="5"/>
        <v>461</v>
      </c>
      <c r="F54" s="29">
        <f t="shared" si="6"/>
        <v>461</v>
      </c>
      <c r="G54" s="30">
        <v>2</v>
      </c>
      <c r="H54" s="31">
        <v>12</v>
      </c>
      <c r="I54" s="32">
        <v>3</v>
      </c>
      <c r="J54" s="77"/>
      <c r="K54" s="33">
        <v>14</v>
      </c>
      <c r="L54" s="34">
        <v>18</v>
      </c>
      <c r="M54" s="34">
        <v>7</v>
      </c>
      <c r="N54" s="62"/>
      <c r="O54" s="34">
        <v>30</v>
      </c>
      <c r="P54" s="34">
        <v>13</v>
      </c>
      <c r="Q54" s="34">
        <v>5</v>
      </c>
      <c r="R54" s="62"/>
      <c r="S54" s="37">
        <v>0</v>
      </c>
      <c r="T54" s="34">
        <v>30</v>
      </c>
      <c r="U54" s="34">
        <v>15</v>
      </c>
      <c r="V54" s="62"/>
      <c r="W54" s="38">
        <v>0</v>
      </c>
      <c r="X54" s="31">
        <v>5</v>
      </c>
      <c r="Y54" s="31">
        <v>0</v>
      </c>
      <c r="Z54" s="78"/>
      <c r="AA54" s="37">
        <v>11</v>
      </c>
      <c r="AB54" s="34">
        <v>11</v>
      </c>
      <c r="AC54" s="34">
        <v>6</v>
      </c>
      <c r="AD54" s="78"/>
      <c r="AE54" s="93"/>
      <c r="AF54" s="78"/>
      <c r="AG54" s="43">
        <f t="shared" si="16"/>
        <v>57</v>
      </c>
      <c r="AH54" s="44">
        <f t="shared" si="16"/>
        <v>89</v>
      </c>
      <c r="AI54" s="44">
        <f t="shared" si="16"/>
        <v>36</v>
      </c>
      <c r="AJ54" s="94">
        <f t="shared" si="16"/>
        <v>0</v>
      </c>
      <c r="AK54" s="95">
        <f t="shared" si="1"/>
        <v>182</v>
      </c>
      <c r="AL54" s="246">
        <v>1</v>
      </c>
      <c r="AM54" s="48">
        <f t="shared" si="7"/>
        <v>57</v>
      </c>
      <c r="AN54" s="48">
        <f t="shared" si="2"/>
        <v>89</v>
      </c>
      <c r="AO54" s="49">
        <f t="shared" si="8"/>
        <v>36</v>
      </c>
      <c r="AP54" s="97">
        <f t="shared" si="3"/>
        <v>0</v>
      </c>
      <c r="AQ54" s="50">
        <f t="shared" si="9"/>
        <v>10920</v>
      </c>
      <c r="AR54" s="98"/>
      <c r="AS54" s="94"/>
      <c r="AT54" s="99"/>
      <c r="AU54" s="100"/>
      <c r="AV54" s="101"/>
      <c r="AW54" s="102"/>
      <c r="AX54" s="102"/>
      <c r="AY54" s="94"/>
      <c r="AZ54" s="95"/>
    </row>
    <row r="55" spans="1:52" s="246" customFormat="1" ht="16.5" thickBot="1" x14ac:dyDescent="0.3">
      <c r="A55" s="90">
        <v>375</v>
      </c>
      <c r="B55" s="91" t="s">
        <v>59</v>
      </c>
      <c r="C55" s="92">
        <v>1018</v>
      </c>
      <c r="D55" s="26">
        <f t="shared" si="4"/>
        <v>339.33333333333331</v>
      </c>
      <c r="E55" s="27">
        <f t="shared" si="5"/>
        <v>339.33333333333331</v>
      </c>
      <c r="F55" s="29">
        <f t="shared" si="6"/>
        <v>339.33333333333331</v>
      </c>
      <c r="G55" s="30">
        <v>5</v>
      </c>
      <c r="H55" s="31">
        <v>13</v>
      </c>
      <c r="I55" s="32">
        <v>10</v>
      </c>
      <c r="J55" s="77"/>
      <c r="K55" s="33">
        <v>4</v>
      </c>
      <c r="L55" s="34">
        <v>12</v>
      </c>
      <c r="M55" s="34">
        <v>2</v>
      </c>
      <c r="N55" s="62"/>
      <c r="O55" s="34">
        <v>10</v>
      </c>
      <c r="P55" s="34">
        <v>10</v>
      </c>
      <c r="Q55" s="34">
        <v>12</v>
      </c>
      <c r="R55" s="62"/>
      <c r="S55" s="37">
        <v>0</v>
      </c>
      <c r="T55" s="34">
        <v>32</v>
      </c>
      <c r="U55" s="34">
        <v>7</v>
      </c>
      <c r="V55" s="62"/>
      <c r="W55" s="38">
        <v>5</v>
      </c>
      <c r="X55" s="31">
        <v>1</v>
      </c>
      <c r="Y55" s="31">
        <v>3</v>
      </c>
      <c r="Z55" s="78"/>
      <c r="AA55" s="37">
        <v>9</v>
      </c>
      <c r="AB55" s="34">
        <v>13</v>
      </c>
      <c r="AC55" s="34">
        <v>8</v>
      </c>
      <c r="AD55" s="78"/>
      <c r="AE55" s="93"/>
      <c r="AF55" s="78"/>
      <c r="AG55" s="43">
        <f t="shared" si="16"/>
        <v>33</v>
      </c>
      <c r="AH55" s="44">
        <f t="shared" si="16"/>
        <v>81</v>
      </c>
      <c r="AI55" s="44">
        <f t="shared" si="16"/>
        <v>42</v>
      </c>
      <c r="AJ55" s="94">
        <f t="shared" si="16"/>
        <v>0</v>
      </c>
      <c r="AK55" s="95">
        <f t="shared" si="1"/>
        <v>156</v>
      </c>
      <c r="AL55" s="246">
        <v>0.75</v>
      </c>
      <c r="AM55" s="48">
        <f t="shared" si="7"/>
        <v>24.75</v>
      </c>
      <c r="AN55" s="48">
        <f t="shared" si="2"/>
        <v>60.75</v>
      </c>
      <c r="AO55" s="49">
        <f t="shared" si="8"/>
        <v>31.5</v>
      </c>
      <c r="AP55" s="97">
        <f t="shared" si="3"/>
        <v>0</v>
      </c>
      <c r="AQ55" s="50">
        <f t="shared" si="9"/>
        <v>9360</v>
      </c>
      <c r="AR55" s="98">
        <v>17.260000000000002</v>
      </c>
      <c r="AS55" s="94">
        <v>2.7399999999999984</v>
      </c>
      <c r="AT55" s="99">
        <f>AK55*AS55</f>
        <v>427.43999999999977</v>
      </c>
      <c r="AU55" s="100">
        <f>AK55*AL55</f>
        <v>117</v>
      </c>
      <c r="AV55" s="101">
        <v>0</v>
      </c>
      <c r="AW55" s="102"/>
      <c r="AX55" s="102"/>
      <c r="AY55" s="94"/>
      <c r="AZ55" s="95">
        <f>AT55-AU55-AW55-AX55-AY55</f>
        <v>310.43999999999977</v>
      </c>
    </row>
    <row r="56" spans="1:52" s="246" customFormat="1" ht="16.5" thickBot="1" x14ac:dyDescent="0.3">
      <c r="A56" s="103">
        <v>375</v>
      </c>
      <c r="B56" s="91" t="s">
        <v>61</v>
      </c>
      <c r="C56" s="92"/>
      <c r="D56" s="26">
        <f t="shared" si="4"/>
        <v>0</v>
      </c>
      <c r="E56" s="27">
        <f t="shared" si="5"/>
        <v>0</v>
      </c>
      <c r="F56" s="29">
        <f t="shared" si="6"/>
        <v>0</v>
      </c>
      <c r="G56" s="30">
        <v>0</v>
      </c>
      <c r="H56" s="31">
        <v>0</v>
      </c>
      <c r="I56" s="32">
        <v>0</v>
      </c>
      <c r="J56" s="77"/>
      <c r="K56" s="33">
        <v>0</v>
      </c>
      <c r="L56" s="34">
        <v>0</v>
      </c>
      <c r="M56" s="34">
        <v>0</v>
      </c>
      <c r="N56" s="62"/>
      <c r="O56" s="34">
        <v>0</v>
      </c>
      <c r="P56" s="34">
        <v>0</v>
      </c>
      <c r="Q56" s="34">
        <v>0</v>
      </c>
      <c r="R56" s="62"/>
      <c r="S56" s="37">
        <v>0</v>
      </c>
      <c r="T56" s="34">
        <v>0</v>
      </c>
      <c r="U56" s="34">
        <v>0</v>
      </c>
      <c r="V56" s="62"/>
      <c r="W56" s="38">
        <v>0</v>
      </c>
      <c r="X56" s="31">
        <v>0</v>
      </c>
      <c r="Y56" s="31">
        <v>0</v>
      </c>
      <c r="Z56" s="78"/>
      <c r="AA56" s="37">
        <v>0</v>
      </c>
      <c r="AB56" s="34">
        <v>0</v>
      </c>
      <c r="AC56" s="34">
        <v>0</v>
      </c>
      <c r="AD56" s="78"/>
      <c r="AE56" s="104"/>
      <c r="AF56" s="105"/>
      <c r="AG56" s="43">
        <f t="shared" si="16"/>
        <v>0</v>
      </c>
      <c r="AH56" s="44">
        <f t="shared" si="16"/>
        <v>0</v>
      </c>
      <c r="AI56" s="44">
        <f t="shared" si="16"/>
        <v>0</v>
      </c>
      <c r="AJ56" s="94">
        <f t="shared" si="16"/>
        <v>0</v>
      </c>
      <c r="AK56" s="95">
        <f t="shared" si="1"/>
        <v>0</v>
      </c>
      <c r="AL56" s="246">
        <v>0.75</v>
      </c>
      <c r="AM56" s="48">
        <f t="shared" si="7"/>
        <v>0</v>
      </c>
      <c r="AN56" s="48">
        <f t="shared" si="2"/>
        <v>0</v>
      </c>
      <c r="AO56" s="49">
        <f t="shared" si="8"/>
        <v>0</v>
      </c>
      <c r="AP56" s="97">
        <f t="shared" si="3"/>
        <v>0</v>
      </c>
      <c r="AQ56" s="50">
        <f t="shared" si="9"/>
        <v>0</v>
      </c>
      <c r="AR56" s="106"/>
      <c r="AS56" s="107"/>
      <c r="AT56" s="108"/>
      <c r="AU56" s="100"/>
      <c r="AV56" s="109"/>
      <c r="AW56" s="110"/>
      <c r="AX56" s="110"/>
      <c r="AY56" s="107"/>
      <c r="AZ56" s="111"/>
    </row>
    <row r="57" spans="1:52" s="246" customFormat="1" ht="16.5" thickBot="1" x14ac:dyDescent="0.3">
      <c r="A57" s="91">
        <v>1.3</v>
      </c>
      <c r="B57" s="91" t="s">
        <v>192</v>
      </c>
      <c r="C57" s="112">
        <v>1425</v>
      </c>
      <c r="D57" s="26">
        <f t="shared" si="4"/>
        <v>475</v>
      </c>
      <c r="E57" s="27">
        <f t="shared" si="5"/>
        <v>475</v>
      </c>
      <c r="F57" s="29">
        <f t="shared" si="6"/>
        <v>475</v>
      </c>
      <c r="G57" s="30">
        <v>0</v>
      </c>
      <c r="H57" s="31">
        <v>0</v>
      </c>
      <c r="I57" s="32">
        <v>0</v>
      </c>
      <c r="J57" s="113"/>
      <c r="K57" s="33">
        <v>0</v>
      </c>
      <c r="L57" s="34">
        <v>0</v>
      </c>
      <c r="M57" s="34">
        <v>0</v>
      </c>
      <c r="N57" s="114"/>
      <c r="O57" s="34">
        <v>0</v>
      </c>
      <c r="P57" s="34">
        <v>0</v>
      </c>
      <c r="Q57" s="34">
        <v>0</v>
      </c>
      <c r="R57" s="114"/>
      <c r="S57" s="37">
        <v>0</v>
      </c>
      <c r="T57" s="34">
        <v>0</v>
      </c>
      <c r="U57" s="34">
        <v>0</v>
      </c>
      <c r="V57" s="114"/>
      <c r="W57" s="38">
        <v>0</v>
      </c>
      <c r="X57" s="31">
        <v>0</v>
      </c>
      <c r="Y57" s="31">
        <v>0</v>
      </c>
      <c r="Z57" s="78"/>
      <c r="AA57" s="37">
        <v>0</v>
      </c>
      <c r="AB57" s="34">
        <v>0</v>
      </c>
      <c r="AC57" s="34">
        <v>0</v>
      </c>
      <c r="AD57" s="78"/>
      <c r="AE57" s="104"/>
      <c r="AF57" s="105"/>
      <c r="AG57" s="43">
        <f t="shared" si="16"/>
        <v>0</v>
      </c>
      <c r="AH57" s="44">
        <f t="shared" si="16"/>
        <v>0</v>
      </c>
      <c r="AI57" s="44">
        <f t="shared" si="16"/>
        <v>0</v>
      </c>
      <c r="AJ57" s="94">
        <f t="shared" si="16"/>
        <v>0</v>
      </c>
      <c r="AK57" s="95">
        <f t="shared" si="1"/>
        <v>0</v>
      </c>
      <c r="AL57" s="246">
        <v>0.75</v>
      </c>
      <c r="AM57" s="48">
        <f t="shared" si="7"/>
        <v>0</v>
      </c>
      <c r="AN57" s="48">
        <f t="shared" si="2"/>
        <v>0</v>
      </c>
      <c r="AO57" s="49">
        <f t="shared" si="8"/>
        <v>0</v>
      </c>
      <c r="AP57" s="97">
        <f t="shared" si="3"/>
        <v>0</v>
      </c>
      <c r="AQ57" s="50">
        <f t="shared" si="9"/>
        <v>0</v>
      </c>
      <c r="AR57" s="106"/>
      <c r="AS57" s="107"/>
      <c r="AT57" s="115"/>
      <c r="AU57" s="100">
        <f>AK57*AL57</f>
        <v>0</v>
      </c>
      <c r="AV57" s="109"/>
      <c r="AW57" s="110"/>
      <c r="AX57" s="110"/>
      <c r="AY57" s="107"/>
      <c r="AZ57" s="116"/>
    </row>
    <row r="58" spans="1:52" s="246" customFormat="1" ht="16.5" thickBot="1" x14ac:dyDescent="0.3">
      <c r="A58" s="90">
        <v>1000</v>
      </c>
      <c r="B58" s="91" t="s">
        <v>191</v>
      </c>
      <c r="C58" s="92"/>
      <c r="D58" s="26">
        <f t="shared" si="4"/>
        <v>0</v>
      </c>
      <c r="E58" s="27">
        <f t="shared" si="5"/>
        <v>0</v>
      </c>
      <c r="F58" s="29">
        <f t="shared" si="6"/>
        <v>0</v>
      </c>
      <c r="G58" s="30">
        <v>5</v>
      </c>
      <c r="H58" s="31">
        <v>47</v>
      </c>
      <c r="I58" s="32">
        <v>3</v>
      </c>
      <c r="J58" s="77"/>
      <c r="K58" s="33">
        <v>7</v>
      </c>
      <c r="L58" s="34">
        <v>10</v>
      </c>
      <c r="M58" s="34">
        <v>8</v>
      </c>
      <c r="N58" s="62"/>
      <c r="O58" s="34">
        <v>5</v>
      </c>
      <c r="P58" s="34">
        <v>20</v>
      </c>
      <c r="Q58" s="34">
        <v>6</v>
      </c>
      <c r="R58" s="62"/>
      <c r="S58" s="37">
        <v>6</v>
      </c>
      <c r="T58" s="34">
        <v>10</v>
      </c>
      <c r="U58" s="34">
        <v>20</v>
      </c>
      <c r="V58" s="62"/>
      <c r="W58" s="38">
        <v>5</v>
      </c>
      <c r="X58" s="31">
        <v>3</v>
      </c>
      <c r="Y58" s="31">
        <v>32</v>
      </c>
      <c r="Z58" s="78"/>
      <c r="AA58" s="37">
        <v>13</v>
      </c>
      <c r="AB58" s="34">
        <v>5</v>
      </c>
      <c r="AC58" s="34">
        <v>6</v>
      </c>
      <c r="AD58" s="78"/>
      <c r="AE58" s="93"/>
      <c r="AF58" s="78"/>
      <c r="AG58" s="43">
        <f t="shared" si="16"/>
        <v>41</v>
      </c>
      <c r="AH58" s="44">
        <f t="shared" si="16"/>
        <v>95</v>
      </c>
      <c r="AI58" s="44">
        <f t="shared" si="16"/>
        <v>75</v>
      </c>
      <c r="AJ58" s="94">
        <f t="shared" si="16"/>
        <v>0</v>
      </c>
      <c r="AK58" s="95">
        <f t="shared" si="1"/>
        <v>211</v>
      </c>
      <c r="AL58" s="246">
        <v>1</v>
      </c>
      <c r="AM58" s="48">
        <f t="shared" si="7"/>
        <v>41</v>
      </c>
      <c r="AN58" s="48">
        <f t="shared" si="2"/>
        <v>95</v>
      </c>
      <c r="AO58" s="49">
        <f t="shared" si="8"/>
        <v>75</v>
      </c>
      <c r="AP58" s="97">
        <f t="shared" si="3"/>
        <v>0</v>
      </c>
      <c r="AQ58" s="50">
        <f t="shared" si="9"/>
        <v>12660</v>
      </c>
      <c r="AR58" s="98">
        <v>20.59</v>
      </c>
      <c r="AS58" s="94">
        <v>3.41</v>
      </c>
      <c r="AT58" s="99">
        <f>AK58*AS58</f>
        <v>719.51</v>
      </c>
      <c r="AU58" s="100">
        <f>AK58*AL58</f>
        <v>211</v>
      </c>
      <c r="AV58" s="101">
        <v>0</v>
      </c>
      <c r="AW58" s="102"/>
      <c r="AX58" s="102"/>
      <c r="AY58" s="94"/>
      <c r="AZ58" s="95">
        <f>AT58-AU58-AW58-AX58-AY58</f>
        <v>508.51</v>
      </c>
    </row>
    <row r="59" spans="1:52" s="246" customFormat="1" ht="16.5" thickBot="1" x14ac:dyDescent="0.3">
      <c r="A59" s="90">
        <v>3300</v>
      </c>
      <c r="B59" s="91" t="s">
        <v>62</v>
      </c>
      <c r="C59" s="92"/>
      <c r="D59" s="26">
        <f t="shared" si="4"/>
        <v>0</v>
      </c>
      <c r="E59" s="27">
        <f t="shared" si="5"/>
        <v>0</v>
      </c>
      <c r="F59" s="29">
        <f t="shared" si="6"/>
        <v>0</v>
      </c>
      <c r="G59" s="30">
        <v>0</v>
      </c>
      <c r="H59" s="31">
        <v>0</v>
      </c>
      <c r="I59" s="32">
        <v>0</v>
      </c>
      <c r="J59" s="77"/>
      <c r="K59" s="33">
        <v>0</v>
      </c>
      <c r="L59" s="34">
        <v>0</v>
      </c>
      <c r="M59" s="34">
        <v>0</v>
      </c>
      <c r="N59" s="62"/>
      <c r="O59" s="34">
        <v>0</v>
      </c>
      <c r="P59" s="34">
        <v>0</v>
      </c>
      <c r="Q59" s="34">
        <v>0</v>
      </c>
      <c r="R59" s="62"/>
      <c r="S59" s="37">
        <v>0</v>
      </c>
      <c r="T59" s="34">
        <v>0</v>
      </c>
      <c r="U59" s="34">
        <v>0</v>
      </c>
      <c r="V59" s="62"/>
      <c r="W59" s="38">
        <v>0</v>
      </c>
      <c r="X59" s="31">
        <v>0</v>
      </c>
      <c r="Y59" s="31">
        <v>0</v>
      </c>
      <c r="Z59" s="78"/>
      <c r="AA59" s="37">
        <v>0</v>
      </c>
      <c r="AB59" s="34">
        <v>0</v>
      </c>
      <c r="AC59" s="34">
        <v>0</v>
      </c>
      <c r="AD59" s="78"/>
      <c r="AE59" s="93"/>
      <c r="AF59" s="78"/>
      <c r="AG59" s="43">
        <f t="shared" si="16"/>
        <v>0</v>
      </c>
      <c r="AH59" s="44">
        <f t="shared" si="16"/>
        <v>0</v>
      </c>
      <c r="AI59" s="44">
        <f t="shared" si="16"/>
        <v>0</v>
      </c>
      <c r="AJ59" s="94">
        <f t="shared" si="16"/>
        <v>0</v>
      </c>
      <c r="AK59" s="95">
        <f t="shared" si="1"/>
        <v>0</v>
      </c>
      <c r="AL59" s="246">
        <v>1</v>
      </c>
      <c r="AM59" s="48">
        <f t="shared" si="7"/>
        <v>0</v>
      </c>
      <c r="AN59" s="48">
        <f t="shared" si="2"/>
        <v>0</v>
      </c>
      <c r="AO59" s="49">
        <f t="shared" si="8"/>
        <v>0</v>
      </c>
      <c r="AP59" s="97">
        <f t="shared" si="3"/>
        <v>0</v>
      </c>
      <c r="AQ59" s="50">
        <f t="shared" si="9"/>
        <v>0</v>
      </c>
      <c r="AR59" s="98"/>
      <c r="AS59" s="94"/>
      <c r="AT59" s="99"/>
      <c r="AU59" s="100"/>
      <c r="AV59" s="101"/>
      <c r="AW59" s="102"/>
      <c r="AX59" s="102"/>
      <c r="AY59" s="94"/>
      <c r="AZ59" s="95"/>
    </row>
    <row r="60" spans="1:52" s="246" customFormat="1" ht="16.5" thickBot="1" x14ac:dyDescent="0.3">
      <c r="A60" s="90">
        <v>145</v>
      </c>
      <c r="B60" s="91" t="s">
        <v>63</v>
      </c>
      <c r="C60" s="92">
        <v>146</v>
      </c>
      <c r="D60" s="26">
        <f t="shared" si="4"/>
        <v>48.666666666666664</v>
      </c>
      <c r="E60" s="27">
        <f t="shared" si="5"/>
        <v>48.666666666666664</v>
      </c>
      <c r="F60" s="29">
        <f t="shared" si="6"/>
        <v>48.666666666666664</v>
      </c>
      <c r="G60" s="30">
        <v>30</v>
      </c>
      <c r="H60" s="31">
        <v>0</v>
      </c>
      <c r="I60" s="32">
        <v>0</v>
      </c>
      <c r="J60" s="77"/>
      <c r="K60" s="33">
        <v>0</v>
      </c>
      <c r="L60" s="34">
        <v>0</v>
      </c>
      <c r="M60" s="34">
        <v>0</v>
      </c>
      <c r="N60" s="62"/>
      <c r="O60" s="34">
        <v>0</v>
      </c>
      <c r="P60" s="34">
        <v>0</v>
      </c>
      <c r="Q60" s="34">
        <v>0</v>
      </c>
      <c r="R60" s="62"/>
      <c r="S60" s="37">
        <v>0</v>
      </c>
      <c r="T60" s="34">
        <v>0</v>
      </c>
      <c r="U60" s="34">
        <v>0</v>
      </c>
      <c r="V60" s="62"/>
      <c r="W60" s="38">
        <v>0</v>
      </c>
      <c r="X60" s="31">
        <v>0</v>
      </c>
      <c r="Y60" s="31">
        <v>0</v>
      </c>
      <c r="Z60" s="78"/>
      <c r="AA60" s="37">
        <v>0</v>
      </c>
      <c r="AB60" s="34">
        <v>0</v>
      </c>
      <c r="AC60" s="34">
        <v>0</v>
      </c>
      <c r="AD60" s="78"/>
      <c r="AE60" s="93"/>
      <c r="AF60" s="78"/>
      <c r="AG60" s="43">
        <f t="shared" si="16"/>
        <v>30</v>
      </c>
      <c r="AH60" s="44">
        <f t="shared" si="16"/>
        <v>0</v>
      </c>
      <c r="AI60" s="44">
        <f t="shared" si="16"/>
        <v>0</v>
      </c>
      <c r="AJ60" s="94">
        <f t="shared" si="16"/>
        <v>0</v>
      </c>
      <c r="AK60" s="95">
        <f t="shared" si="1"/>
        <v>30</v>
      </c>
      <c r="AL60" s="246">
        <v>0.75</v>
      </c>
      <c r="AM60" s="48">
        <f t="shared" si="7"/>
        <v>22.5</v>
      </c>
      <c r="AN60" s="48">
        <f t="shared" si="2"/>
        <v>0</v>
      </c>
      <c r="AO60" s="49">
        <f t="shared" si="8"/>
        <v>0</v>
      </c>
      <c r="AP60" s="97">
        <f t="shared" si="3"/>
        <v>0</v>
      </c>
      <c r="AQ60" s="50">
        <f t="shared" si="9"/>
        <v>1800</v>
      </c>
      <c r="AR60" s="98">
        <v>26.4</v>
      </c>
      <c r="AS60" s="94">
        <v>3.6000000000000014</v>
      </c>
      <c r="AT60" s="99">
        <f>AK60*AS60</f>
        <v>108.00000000000004</v>
      </c>
      <c r="AU60" s="100">
        <f>AK60*AL60</f>
        <v>22.5</v>
      </c>
      <c r="AV60" s="101">
        <v>0</v>
      </c>
      <c r="AW60" s="102"/>
      <c r="AX60" s="102"/>
      <c r="AY60" s="94"/>
      <c r="AZ60" s="95">
        <f>AT60-AU60-AW60-AX60-AY60</f>
        <v>85.500000000000043</v>
      </c>
    </row>
    <row r="61" spans="1:52" s="246" customFormat="1" ht="16.5" thickBot="1" x14ac:dyDescent="0.3">
      <c r="A61" s="90"/>
      <c r="B61" s="91" t="s">
        <v>64</v>
      </c>
      <c r="C61" s="92">
        <v>146</v>
      </c>
      <c r="D61" s="26">
        <f t="shared" si="4"/>
        <v>48.666666666666664</v>
      </c>
      <c r="E61" s="27">
        <f t="shared" si="5"/>
        <v>48.666666666666664</v>
      </c>
      <c r="F61" s="29">
        <f t="shared" si="6"/>
        <v>48.666666666666664</v>
      </c>
      <c r="G61" s="30">
        <v>0</v>
      </c>
      <c r="H61" s="31">
        <v>0</v>
      </c>
      <c r="I61" s="32">
        <v>18</v>
      </c>
      <c r="J61" s="77"/>
      <c r="K61" s="33">
        <v>5</v>
      </c>
      <c r="L61" s="34">
        <v>22</v>
      </c>
      <c r="M61" s="34">
        <v>8</v>
      </c>
      <c r="N61" s="62"/>
      <c r="O61" s="34">
        <v>15</v>
      </c>
      <c r="P61" s="34">
        <v>6</v>
      </c>
      <c r="Q61" s="34">
        <v>24</v>
      </c>
      <c r="R61" s="62"/>
      <c r="S61" s="37">
        <v>0</v>
      </c>
      <c r="T61" s="34">
        <v>5</v>
      </c>
      <c r="U61" s="34">
        <v>11</v>
      </c>
      <c r="V61" s="62"/>
      <c r="W61" s="38">
        <v>0</v>
      </c>
      <c r="X61" s="31">
        <v>0</v>
      </c>
      <c r="Y61" s="31">
        <v>0</v>
      </c>
      <c r="Z61" s="78"/>
      <c r="AA61" s="37">
        <v>0</v>
      </c>
      <c r="AB61" s="34">
        <v>0</v>
      </c>
      <c r="AC61" s="34">
        <v>0</v>
      </c>
      <c r="AD61" s="78"/>
      <c r="AE61" s="93"/>
      <c r="AF61" s="78"/>
      <c r="AG61" s="43">
        <f t="shared" si="16"/>
        <v>20</v>
      </c>
      <c r="AH61" s="44">
        <f t="shared" si="16"/>
        <v>33</v>
      </c>
      <c r="AI61" s="44">
        <f t="shared" si="16"/>
        <v>61</v>
      </c>
      <c r="AJ61" s="94">
        <f t="shared" si="16"/>
        <v>0</v>
      </c>
      <c r="AK61" s="95">
        <f t="shared" si="1"/>
        <v>114</v>
      </c>
      <c r="AL61" s="246">
        <v>0.75</v>
      </c>
      <c r="AM61" s="48">
        <f t="shared" si="7"/>
        <v>15</v>
      </c>
      <c r="AN61" s="48">
        <f t="shared" si="2"/>
        <v>24.75</v>
      </c>
      <c r="AO61" s="49">
        <f t="shared" si="8"/>
        <v>45.75</v>
      </c>
      <c r="AP61" s="97">
        <f t="shared" si="3"/>
        <v>0</v>
      </c>
      <c r="AQ61" s="50">
        <f t="shared" si="9"/>
        <v>6840</v>
      </c>
      <c r="AR61" s="98"/>
      <c r="AS61" s="94"/>
      <c r="AT61" s="99"/>
      <c r="AU61" s="100"/>
      <c r="AV61" s="101"/>
      <c r="AW61" s="102"/>
      <c r="AX61" s="102"/>
      <c r="AY61" s="94"/>
      <c r="AZ61" s="95"/>
    </row>
    <row r="62" spans="1:52" s="246" customFormat="1" ht="16.5" thickBot="1" x14ac:dyDescent="0.3">
      <c r="A62" s="90"/>
      <c r="B62" s="91" t="s">
        <v>65</v>
      </c>
      <c r="C62" s="92"/>
      <c r="D62" s="26">
        <f t="shared" si="4"/>
        <v>0</v>
      </c>
      <c r="E62" s="27">
        <f t="shared" si="5"/>
        <v>0</v>
      </c>
      <c r="F62" s="29">
        <f t="shared" si="6"/>
        <v>0</v>
      </c>
      <c r="G62" s="30">
        <v>0</v>
      </c>
      <c r="H62" s="31">
        <v>0</v>
      </c>
      <c r="I62" s="32">
        <v>0</v>
      </c>
      <c r="J62" s="77"/>
      <c r="K62" s="33">
        <v>0</v>
      </c>
      <c r="L62" s="34">
        <v>0</v>
      </c>
      <c r="M62" s="34">
        <v>0</v>
      </c>
      <c r="N62" s="62"/>
      <c r="O62" s="34">
        <v>0</v>
      </c>
      <c r="P62" s="34">
        <v>0</v>
      </c>
      <c r="Q62" s="34">
        <v>0</v>
      </c>
      <c r="R62" s="62"/>
      <c r="S62" s="37">
        <v>0</v>
      </c>
      <c r="T62" s="34">
        <v>0</v>
      </c>
      <c r="U62" s="34">
        <v>0</v>
      </c>
      <c r="V62" s="62"/>
      <c r="W62" s="38">
        <v>0</v>
      </c>
      <c r="X62" s="31">
        <v>0</v>
      </c>
      <c r="Y62" s="31">
        <v>0</v>
      </c>
      <c r="Z62" s="78"/>
      <c r="AA62" s="37">
        <v>0</v>
      </c>
      <c r="AB62" s="34">
        <v>0</v>
      </c>
      <c r="AC62" s="34">
        <v>0</v>
      </c>
      <c r="AD62" s="78"/>
      <c r="AE62" s="93"/>
      <c r="AF62" s="78"/>
      <c r="AG62" s="43">
        <f t="shared" si="16"/>
        <v>0</v>
      </c>
      <c r="AH62" s="44">
        <f t="shared" si="16"/>
        <v>0</v>
      </c>
      <c r="AI62" s="44">
        <f t="shared" si="16"/>
        <v>0</v>
      </c>
      <c r="AJ62" s="94">
        <f t="shared" si="16"/>
        <v>0</v>
      </c>
      <c r="AK62" s="95">
        <f t="shared" si="1"/>
        <v>0</v>
      </c>
      <c r="AL62" s="246">
        <v>0.75</v>
      </c>
      <c r="AM62" s="48">
        <f t="shared" si="7"/>
        <v>0</v>
      </c>
      <c r="AN62" s="48">
        <f t="shared" si="2"/>
        <v>0</v>
      </c>
      <c r="AO62" s="49">
        <f t="shared" si="8"/>
        <v>0</v>
      </c>
      <c r="AP62" s="97">
        <f t="shared" si="3"/>
        <v>0</v>
      </c>
      <c r="AQ62" s="50">
        <f t="shared" si="9"/>
        <v>0</v>
      </c>
      <c r="AR62" s="98"/>
      <c r="AS62" s="94"/>
      <c r="AT62" s="99"/>
      <c r="AU62" s="100"/>
      <c r="AV62" s="101"/>
      <c r="AW62" s="102"/>
      <c r="AX62" s="102"/>
      <c r="AY62" s="94"/>
      <c r="AZ62" s="95"/>
    </row>
    <row r="63" spans="1:52" s="246" customFormat="1" ht="16.5" thickBot="1" x14ac:dyDescent="0.3">
      <c r="A63" s="90"/>
      <c r="B63" s="91" t="s">
        <v>66</v>
      </c>
      <c r="C63" s="92"/>
      <c r="D63" s="26">
        <f t="shared" si="4"/>
        <v>0</v>
      </c>
      <c r="E63" s="27">
        <f t="shared" si="5"/>
        <v>0</v>
      </c>
      <c r="F63" s="29">
        <f t="shared" si="6"/>
        <v>0</v>
      </c>
      <c r="G63" s="30">
        <v>0</v>
      </c>
      <c r="H63" s="31">
        <v>0</v>
      </c>
      <c r="I63" s="32">
        <v>0</v>
      </c>
      <c r="J63" s="77"/>
      <c r="K63" s="33">
        <v>0</v>
      </c>
      <c r="L63" s="34">
        <v>0</v>
      </c>
      <c r="M63" s="34">
        <v>0</v>
      </c>
      <c r="N63" s="62"/>
      <c r="O63" s="34">
        <v>0</v>
      </c>
      <c r="P63" s="34">
        <v>0</v>
      </c>
      <c r="Q63" s="34">
        <v>0</v>
      </c>
      <c r="R63" s="62"/>
      <c r="S63" s="37">
        <v>0</v>
      </c>
      <c r="T63" s="34">
        <v>0</v>
      </c>
      <c r="U63" s="34">
        <v>0</v>
      </c>
      <c r="V63" s="62"/>
      <c r="W63" s="38">
        <v>0</v>
      </c>
      <c r="X63" s="31">
        <v>0</v>
      </c>
      <c r="Y63" s="31">
        <v>0</v>
      </c>
      <c r="Z63" s="78"/>
      <c r="AA63" s="37">
        <v>0</v>
      </c>
      <c r="AB63" s="34">
        <v>0</v>
      </c>
      <c r="AC63" s="34">
        <v>0</v>
      </c>
      <c r="AD63" s="78"/>
      <c r="AE63" s="93"/>
      <c r="AF63" s="78"/>
      <c r="AG63" s="43">
        <f t="shared" si="16"/>
        <v>0</v>
      </c>
      <c r="AH63" s="44">
        <f t="shared" si="16"/>
        <v>0</v>
      </c>
      <c r="AI63" s="44">
        <f t="shared" si="16"/>
        <v>0</v>
      </c>
      <c r="AJ63" s="94">
        <f t="shared" si="16"/>
        <v>0</v>
      </c>
      <c r="AK63" s="95">
        <f t="shared" si="1"/>
        <v>0</v>
      </c>
      <c r="AL63" s="246">
        <v>0.75</v>
      </c>
      <c r="AM63" s="48">
        <f t="shared" si="7"/>
        <v>0</v>
      </c>
      <c r="AN63" s="48">
        <f t="shared" si="2"/>
        <v>0</v>
      </c>
      <c r="AO63" s="49">
        <f t="shared" si="8"/>
        <v>0</v>
      </c>
      <c r="AP63" s="97">
        <f t="shared" si="3"/>
        <v>0</v>
      </c>
      <c r="AQ63" s="50">
        <f t="shared" si="9"/>
        <v>0</v>
      </c>
      <c r="AR63" s="98"/>
      <c r="AS63" s="94"/>
      <c r="AT63" s="99"/>
      <c r="AU63" s="100"/>
      <c r="AV63" s="101"/>
      <c r="AW63" s="102"/>
      <c r="AX63" s="102"/>
      <c r="AY63" s="94"/>
      <c r="AZ63" s="95"/>
    </row>
    <row r="64" spans="1:52" s="246" customFormat="1" ht="16.5" thickBot="1" x14ac:dyDescent="0.3">
      <c r="A64" s="90">
        <v>145</v>
      </c>
      <c r="B64" s="91" t="s">
        <v>67</v>
      </c>
      <c r="C64" s="92"/>
      <c r="D64" s="26">
        <f t="shared" si="4"/>
        <v>0</v>
      </c>
      <c r="E64" s="27">
        <f t="shared" si="5"/>
        <v>0</v>
      </c>
      <c r="F64" s="29">
        <f t="shared" si="6"/>
        <v>0</v>
      </c>
      <c r="G64" s="30">
        <v>0</v>
      </c>
      <c r="H64" s="31">
        <v>0</v>
      </c>
      <c r="I64" s="32">
        <v>0</v>
      </c>
      <c r="J64" s="77"/>
      <c r="K64" s="33">
        <v>0</v>
      </c>
      <c r="L64" s="34">
        <v>0</v>
      </c>
      <c r="M64" s="34">
        <v>0</v>
      </c>
      <c r="N64" s="62"/>
      <c r="O64" s="34">
        <v>0</v>
      </c>
      <c r="P64" s="34">
        <v>0</v>
      </c>
      <c r="Q64" s="34">
        <v>0</v>
      </c>
      <c r="R64" s="62"/>
      <c r="S64" s="37">
        <v>0</v>
      </c>
      <c r="T64" s="34">
        <v>0</v>
      </c>
      <c r="U64" s="34">
        <v>0</v>
      </c>
      <c r="V64" s="62"/>
      <c r="W64" s="38">
        <v>0</v>
      </c>
      <c r="X64" s="31">
        <v>0</v>
      </c>
      <c r="Y64" s="31">
        <v>0</v>
      </c>
      <c r="Z64" s="78"/>
      <c r="AA64" s="37">
        <v>0</v>
      </c>
      <c r="AB64" s="34">
        <v>0</v>
      </c>
      <c r="AC64" s="34">
        <v>0</v>
      </c>
      <c r="AD64" s="78"/>
      <c r="AE64" s="93"/>
      <c r="AF64" s="78"/>
      <c r="AG64" s="43">
        <f t="shared" si="16"/>
        <v>0</v>
      </c>
      <c r="AH64" s="44">
        <f t="shared" si="16"/>
        <v>0</v>
      </c>
      <c r="AI64" s="44">
        <f t="shared" si="16"/>
        <v>0</v>
      </c>
      <c r="AJ64" s="94">
        <f t="shared" si="16"/>
        <v>0</v>
      </c>
      <c r="AK64" s="95">
        <f t="shared" si="1"/>
        <v>0</v>
      </c>
      <c r="AL64" s="246">
        <v>0.75</v>
      </c>
      <c r="AM64" s="48">
        <f t="shared" si="7"/>
        <v>0</v>
      </c>
      <c r="AN64" s="48">
        <f t="shared" si="2"/>
        <v>0</v>
      </c>
      <c r="AO64" s="49">
        <f t="shared" si="8"/>
        <v>0</v>
      </c>
      <c r="AP64" s="97">
        <f t="shared" si="3"/>
        <v>0</v>
      </c>
      <c r="AQ64" s="50">
        <f t="shared" si="9"/>
        <v>0</v>
      </c>
      <c r="AR64" s="98"/>
      <c r="AS64" s="94"/>
      <c r="AT64" s="99"/>
      <c r="AU64" s="100"/>
      <c r="AV64" s="101"/>
      <c r="AW64" s="102"/>
      <c r="AX64" s="102"/>
      <c r="AY64" s="94"/>
      <c r="AZ64" s="95"/>
    </row>
    <row r="65" spans="1:52" s="246" customFormat="1" ht="16.5" thickBot="1" x14ac:dyDescent="0.3">
      <c r="A65" s="90">
        <v>145</v>
      </c>
      <c r="B65" s="91" t="s">
        <v>68</v>
      </c>
      <c r="C65" s="92"/>
      <c r="D65" s="26">
        <f t="shared" si="4"/>
        <v>0</v>
      </c>
      <c r="E65" s="27">
        <f t="shared" si="5"/>
        <v>0</v>
      </c>
      <c r="F65" s="29">
        <f t="shared" si="6"/>
        <v>0</v>
      </c>
      <c r="G65" s="30">
        <v>0</v>
      </c>
      <c r="H65" s="31">
        <v>0</v>
      </c>
      <c r="I65" s="32">
        <v>0</v>
      </c>
      <c r="J65" s="77"/>
      <c r="K65" s="33">
        <v>0</v>
      </c>
      <c r="L65" s="34">
        <v>0</v>
      </c>
      <c r="M65" s="34">
        <v>0</v>
      </c>
      <c r="N65" s="62"/>
      <c r="O65" s="34">
        <v>0</v>
      </c>
      <c r="P65" s="34">
        <v>0</v>
      </c>
      <c r="Q65" s="34">
        <v>0</v>
      </c>
      <c r="R65" s="62"/>
      <c r="S65" s="37">
        <v>0</v>
      </c>
      <c r="T65" s="34">
        <v>0</v>
      </c>
      <c r="U65" s="34">
        <v>0</v>
      </c>
      <c r="V65" s="62"/>
      <c r="W65" s="38">
        <v>0</v>
      </c>
      <c r="X65" s="31">
        <v>0</v>
      </c>
      <c r="Y65" s="31">
        <v>0</v>
      </c>
      <c r="Z65" s="78"/>
      <c r="AA65" s="37">
        <v>0</v>
      </c>
      <c r="AB65" s="34">
        <v>0</v>
      </c>
      <c r="AC65" s="34">
        <v>0</v>
      </c>
      <c r="AD65" s="78"/>
      <c r="AE65" s="93"/>
      <c r="AF65" s="78"/>
      <c r="AG65" s="43">
        <f t="shared" si="16"/>
        <v>0</v>
      </c>
      <c r="AH65" s="44">
        <f t="shared" si="16"/>
        <v>0</v>
      </c>
      <c r="AI65" s="44">
        <f t="shared" si="16"/>
        <v>0</v>
      </c>
      <c r="AJ65" s="94">
        <f t="shared" si="16"/>
        <v>0</v>
      </c>
      <c r="AK65" s="95">
        <f t="shared" si="1"/>
        <v>0</v>
      </c>
      <c r="AL65" s="246">
        <v>0.75</v>
      </c>
      <c r="AM65" s="48">
        <f t="shared" si="7"/>
        <v>0</v>
      </c>
      <c r="AN65" s="48">
        <f t="shared" si="2"/>
        <v>0</v>
      </c>
      <c r="AO65" s="49">
        <f t="shared" si="8"/>
        <v>0</v>
      </c>
      <c r="AP65" s="97">
        <f t="shared" si="3"/>
        <v>0</v>
      </c>
      <c r="AQ65" s="50">
        <f t="shared" si="9"/>
        <v>0</v>
      </c>
      <c r="AR65" s="98"/>
      <c r="AS65" s="94"/>
      <c r="AT65" s="99"/>
      <c r="AU65" s="100"/>
      <c r="AV65" s="101"/>
      <c r="AW65" s="102"/>
      <c r="AX65" s="102"/>
      <c r="AY65" s="94"/>
      <c r="AZ65" s="95"/>
    </row>
    <row r="66" spans="1:52" s="246" customFormat="1" ht="16.5" thickBot="1" x14ac:dyDescent="0.3">
      <c r="A66" s="90">
        <v>145</v>
      </c>
      <c r="B66" s="91" t="s">
        <v>69</v>
      </c>
      <c r="C66" s="92"/>
      <c r="D66" s="26">
        <f t="shared" si="4"/>
        <v>0</v>
      </c>
      <c r="E66" s="27">
        <f t="shared" si="5"/>
        <v>0</v>
      </c>
      <c r="F66" s="29">
        <f t="shared" si="6"/>
        <v>0</v>
      </c>
      <c r="G66" s="30">
        <v>0</v>
      </c>
      <c r="H66" s="31">
        <v>0</v>
      </c>
      <c r="I66" s="32">
        <v>0</v>
      </c>
      <c r="J66" s="77"/>
      <c r="K66" s="33">
        <v>0</v>
      </c>
      <c r="L66" s="34">
        <v>0</v>
      </c>
      <c r="M66" s="34">
        <v>0</v>
      </c>
      <c r="N66" s="62"/>
      <c r="O66" s="34">
        <v>0</v>
      </c>
      <c r="P66" s="34">
        <v>0</v>
      </c>
      <c r="Q66" s="34">
        <v>0</v>
      </c>
      <c r="R66" s="62"/>
      <c r="S66" s="37">
        <v>0</v>
      </c>
      <c r="T66" s="34">
        <v>0</v>
      </c>
      <c r="U66" s="34">
        <v>0</v>
      </c>
      <c r="V66" s="62"/>
      <c r="W66" s="38">
        <v>0</v>
      </c>
      <c r="X66" s="31">
        <v>0</v>
      </c>
      <c r="Y66" s="31">
        <v>0</v>
      </c>
      <c r="Z66" s="78"/>
      <c r="AA66" s="37">
        <v>0</v>
      </c>
      <c r="AB66" s="34">
        <v>0</v>
      </c>
      <c r="AC66" s="34">
        <v>0</v>
      </c>
      <c r="AD66" s="78"/>
      <c r="AE66" s="93"/>
      <c r="AF66" s="78"/>
      <c r="AG66" s="43">
        <f t="shared" si="16"/>
        <v>0</v>
      </c>
      <c r="AH66" s="44">
        <f t="shared" si="16"/>
        <v>0</v>
      </c>
      <c r="AI66" s="44">
        <f t="shared" si="16"/>
        <v>0</v>
      </c>
      <c r="AJ66" s="94">
        <f t="shared" si="16"/>
        <v>0</v>
      </c>
      <c r="AK66" s="95">
        <f t="shared" si="1"/>
        <v>0</v>
      </c>
      <c r="AL66" s="246">
        <v>0.75</v>
      </c>
      <c r="AM66" s="48">
        <f t="shared" si="7"/>
        <v>0</v>
      </c>
      <c r="AN66" s="48">
        <f t="shared" si="2"/>
        <v>0</v>
      </c>
      <c r="AO66" s="49">
        <f t="shared" si="8"/>
        <v>0</v>
      </c>
      <c r="AP66" s="97">
        <f t="shared" si="3"/>
        <v>0</v>
      </c>
      <c r="AQ66" s="50">
        <f t="shared" si="9"/>
        <v>0</v>
      </c>
      <c r="AR66" s="98"/>
      <c r="AS66" s="94"/>
      <c r="AT66" s="99"/>
      <c r="AU66" s="100"/>
      <c r="AV66" s="101"/>
      <c r="AW66" s="102"/>
      <c r="AX66" s="102"/>
      <c r="AY66" s="94"/>
      <c r="AZ66" s="95"/>
    </row>
    <row r="67" spans="1:52" s="246" customFormat="1" ht="16.5" thickBot="1" x14ac:dyDescent="0.3">
      <c r="A67" s="90"/>
      <c r="B67" s="91" t="s">
        <v>70</v>
      </c>
      <c r="C67" s="92"/>
      <c r="D67" s="26">
        <f t="shared" si="4"/>
        <v>0</v>
      </c>
      <c r="E67" s="27">
        <f t="shared" si="5"/>
        <v>0</v>
      </c>
      <c r="F67" s="29">
        <f t="shared" si="6"/>
        <v>0</v>
      </c>
      <c r="G67" s="30">
        <v>0</v>
      </c>
      <c r="H67" s="31">
        <v>0</v>
      </c>
      <c r="I67" s="32">
        <v>0</v>
      </c>
      <c r="J67" s="77"/>
      <c r="K67" s="33">
        <v>0</v>
      </c>
      <c r="L67" s="34">
        <v>0</v>
      </c>
      <c r="M67" s="34">
        <v>0</v>
      </c>
      <c r="N67" s="62"/>
      <c r="O67" s="34">
        <v>0</v>
      </c>
      <c r="P67" s="34">
        <v>0</v>
      </c>
      <c r="Q67" s="34">
        <v>0</v>
      </c>
      <c r="R67" s="62"/>
      <c r="S67" s="37">
        <v>0</v>
      </c>
      <c r="T67" s="34">
        <v>0</v>
      </c>
      <c r="U67" s="34">
        <v>0</v>
      </c>
      <c r="V67" s="62"/>
      <c r="W67" s="38">
        <v>0</v>
      </c>
      <c r="X67" s="31">
        <v>0</v>
      </c>
      <c r="Y67" s="31">
        <v>0</v>
      </c>
      <c r="Z67" s="78"/>
      <c r="AA67" s="37">
        <v>0</v>
      </c>
      <c r="AB67" s="34">
        <v>0</v>
      </c>
      <c r="AC67" s="34">
        <v>0</v>
      </c>
      <c r="AD67" s="78"/>
      <c r="AE67" s="93"/>
      <c r="AF67" s="78"/>
      <c r="AG67" s="43">
        <f t="shared" si="16"/>
        <v>0</v>
      </c>
      <c r="AH67" s="44">
        <f t="shared" si="16"/>
        <v>0</v>
      </c>
      <c r="AI67" s="44">
        <f t="shared" si="16"/>
        <v>0</v>
      </c>
      <c r="AJ67" s="94">
        <f t="shared" si="16"/>
        <v>0</v>
      </c>
      <c r="AK67" s="95">
        <f t="shared" si="1"/>
        <v>0</v>
      </c>
      <c r="AL67" s="246">
        <v>0.75</v>
      </c>
      <c r="AM67" s="48">
        <f t="shared" si="7"/>
        <v>0</v>
      </c>
      <c r="AN67" s="48">
        <f t="shared" si="2"/>
        <v>0</v>
      </c>
      <c r="AO67" s="49">
        <f t="shared" si="8"/>
        <v>0</v>
      </c>
      <c r="AP67" s="97">
        <f t="shared" si="3"/>
        <v>0</v>
      </c>
      <c r="AQ67" s="50">
        <f t="shared" si="9"/>
        <v>0</v>
      </c>
      <c r="AR67" s="98"/>
      <c r="AS67" s="94"/>
      <c r="AT67" s="99"/>
      <c r="AU67" s="100"/>
      <c r="AV67" s="101"/>
      <c r="AW67" s="102"/>
      <c r="AX67" s="102"/>
      <c r="AY67" s="94"/>
      <c r="AZ67" s="95"/>
    </row>
    <row r="68" spans="1:52" s="246" customFormat="1" ht="16.5" thickBot="1" x14ac:dyDescent="0.3">
      <c r="A68" s="90"/>
      <c r="B68" s="91" t="s">
        <v>71</v>
      </c>
      <c r="C68" s="92"/>
      <c r="D68" s="26">
        <f t="shared" si="4"/>
        <v>0</v>
      </c>
      <c r="E68" s="27">
        <f t="shared" si="5"/>
        <v>0</v>
      </c>
      <c r="F68" s="29">
        <f t="shared" si="6"/>
        <v>0</v>
      </c>
      <c r="G68" s="30">
        <v>0</v>
      </c>
      <c r="H68" s="31">
        <v>0</v>
      </c>
      <c r="I68" s="32">
        <v>0</v>
      </c>
      <c r="J68" s="77"/>
      <c r="K68" s="33">
        <v>0</v>
      </c>
      <c r="L68" s="34">
        <v>0</v>
      </c>
      <c r="M68" s="34">
        <v>0</v>
      </c>
      <c r="N68" s="62"/>
      <c r="O68" s="34">
        <v>0</v>
      </c>
      <c r="P68" s="34">
        <v>0</v>
      </c>
      <c r="Q68" s="34">
        <v>0</v>
      </c>
      <c r="R68" s="62"/>
      <c r="S68" s="37">
        <v>0</v>
      </c>
      <c r="T68" s="34">
        <v>0</v>
      </c>
      <c r="U68" s="34">
        <v>0</v>
      </c>
      <c r="V68" s="62"/>
      <c r="W68" s="38">
        <v>0</v>
      </c>
      <c r="X68" s="31">
        <v>0</v>
      </c>
      <c r="Y68" s="31">
        <v>0</v>
      </c>
      <c r="Z68" s="78"/>
      <c r="AA68" s="37">
        <v>0</v>
      </c>
      <c r="AB68" s="34">
        <v>0</v>
      </c>
      <c r="AC68" s="34">
        <v>0</v>
      </c>
      <c r="AD68" s="78"/>
      <c r="AE68" s="93"/>
      <c r="AF68" s="78"/>
      <c r="AG68" s="43">
        <f t="shared" si="16"/>
        <v>0</v>
      </c>
      <c r="AH68" s="44">
        <f t="shared" si="16"/>
        <v>0</v>
      </c>
      <c r="AI68" s="44">
        <f t="shared" si="16"/>
        <v>0</v>
      </c>
      <c r="AJ68" s="94">
        <f t="shared" si="16"/>
        <v>0</v>
      </c>
      <c r="AK68" s="95">
        <f t="shared" ref="AK68:AK131" si="17">AG68+AH68+AI68</f>
        <v>0</v>
      </c>
      <c r="AL68" s="246">
        <v>0.75</v>
      </c>
      <c r="AM68" s="48">
        <f t="shared" si="7"/>
        <v>0</v>
      </c>
      <c r="AN68" s="48">
        <f t="shared" si="2"/>
        <v>0</v>
      </c>
      <c r="AO68" s="49">
        <f t="shared" si="8"/>
        <v>0</v>
      </c>
      <c r="AP68" s="97">
        <f t="shared" ref="AP68:AP131" si="18">AJ68*AL68</f>
        <v>0</v>
      </c>
      <c r="AQ68" s="50">
        <f t="shared" ref="AQ68:AQ131" si="19">AK68*60</f>
        <v>0</v>
      </c>
      <c r="AR68" s="98"/>
      <c r="AS68" s="94"/>
      <c r="AT68" s="99"/>
      <c r="AU68" s="100"/>
      <c r="AV68" s="101"/>
      <c r="AW68" s="102"/>
      <c r="AX68" s="102"/>
      <c r="AY68" s="94"/>
      <c r="AZ68" s="95"/>
    </row>
    <row r="69" spans="1:52" s="246" customFormat="1" ht="16.5" thickBot="1" x14ac:dyDescent="0.3">
      <c r="A69" s="90">
        <v>250</v>
      </c>
      <c r="B69" s="91" t="s">
        <v>63</v>
      </c>
      <c r="C69" s="92">
        <v>52</v>
      </c>
      <c r="D69" s="26">
        <f t="shared" ref="D69:D132" si="20">C69/3</f>
        <v>17.333333333333332</v>
      </c>
      <c r="E69" s="27">
        <f t="shared" ref="E69:E132" si="21">C69/3</f>
        <v>17.333333333333332</v>
      </c>
      <c r="F69" s="29">
        <f t="shared" ref="F69:F132" si="22">C69/3</f>
        <v>17.333333333333332</v>
      </c>
      <c r="G69" s="30">
        <v>0</v>
      </c>
      <c r="H69" s="31">
        <v>0</v>
      </c>
      <c r="I69" s="32">
        <v>0</v>
      </c>
      <c r="J69" s="77"/>
      <c r="K69" s="33">
        <v>0</v>
      </c>
      <c r="L69" s="34">
        <v>0</v>
      </c>
      <c r="M69" s="34">
        <v>0</v>
      </c>
      <c r="N69" s="62"/>
      <c r="O69" s="34">
        <v>0</v>
      </c>
      <c r="P69" s="34">
        <v>0</v>
      </c>
      <c r="Q69" s="34">
        <v>0</v>
      </c>
      <c r="R69" s="62"/>
      <c r="S69" s="37">
        <v>0</v>
      </c>
      <c r="T69" s="34">
        <v>0</v>
      </c>
      <c r="U69" s="34">
        <v>0</v>
      </c>
      <c r="V69" s="62"/>
      <c r="W69" s="38">
        <v>0</v>
      </c>
      <c r="X69" s="31">
        <v>0</v>
      </c>
      <c r="Y69" s="31">
        <v>0</v>
      </c>
      <c r="Z69" s="78"/>
      <c r="AA69" s="37">
        <v>0</v>
      </c>
      <c r="AB69" s="34">
        <v>0</v>
      </c>
      <c r="AC69" s="34">
        <v>0</v>
      </c>
      <c r="AD69" s="78"/>
      <c r="AE69" s="93"/>
      <c r="AF69" s="78"/>
      <c r="AG69" s="43">
        <f t="shared" si="16"/>
        <v>0</v>
      </c>
      <c r="AH69" s="44">
        <f t="shared" si="16"/>
        <v>0</v>
      </c>
      <c r="AI69" s="44">
        <f t="shared" si="16"/>
        <v>0</v>
      </c>
      <c r="AJ69" s="94">
        <f t="shared" si="16"/>
        <v>0</v>
      </c>
      <c r="AK69" s="95">
        <f t="shared" si="17"/>
        <v>0</v>
      </c>
      <c r="AL69" s="246">
        <v>1</v>
      </c>
      <c r="AM69" s="48">
        <f t="shared" si="7"/>
        <v>0</v>
      </c>
      <c r="AN69" s="48">
        <f t="shared" si="2"/>
        <v>0</v>
      </c>
      <c r="AO69" s="49">
        <f t="shared" ref="AO69:AO132" si="23">AI69*AL69</f>
        <v>0</v>
      </c>
      <c r="AP69" s="97">
        <f t="shared" si="18"/>
        <v>0</v>
      </c>
      <c r="AQ69" s="50">
        <f t="shared" si="19"/>
        <v>0</v>
      </c>
      <c r="AR69" s="98">
        <v>34.799999999999997</v>
      </c>
      <c r="AS69" s="94">
        <v>5.2000000000000028</v>
      </c>
      <c r="AT69" s="99">
        <f>AK69*AS69</f>
        <v>0</v>
      </c>
      <c r="AU69" s="100">
        <f>AK69*AL69</f>
        <v>0</v>
      </c>
      <c r="AV69" s="101">
        <v>0</v>
      </c>
      <c r="AW69" s="102"/>
      <c r="AX69" s="102"/>
      <c r="AY69" s="94"/>
      <c r="AZ69" s="95">
        <f>AT69-AU69-AW69-AX69-AY69</f>
        <v>0</v>
      </c>
    </row>
    <row r="70" spans="1:52" ht="16.5" thickBot="1" x14ac:dyDescent="0.3">
      <c r="A70" s="74"/>
      <c r="B70" s="75" t="s">
        <v>64</v>
      </c>
      <c r="C70" s="76"/>
      <c r="D70" s="26">
        <f t="shared" si="20"/>
        <v>0</v>
      </c>
      <c r="E70" s="27">
        <f t="shared" si="21"/>
        <v>0</v>
      </c>
      <c r="F70" s="29">
        <f t="shared" si="22"/>
        <v>0</v>
      </c>
      <c r="G70" s="30">
        <v>0</v>
      </c>
      <c r="H70" s="31">
        <v>0</v>
      </c>
      <c r="I70" s="32">
        <v>0</v>
      </c>
      <c r="J70" s="77"/>
      <c r="K70" s="33">
        <v>0</v>
      </c>
      <c r="L70" s="34">
        <v>0</v>
      </c>
      <c r="M70" s="34">
        <v>0</v>
      </c>
      <c r="N70" s="62"/>
      <c r="O70" s="34">
        <v>0</v>
      </c>
      <c r="P70" s="34">
        <v>0</v>
      </c>
      <c r="Q70" s="34">
        <v>0</v>
      </c>
      <c r="R70" s="62"/>
      <c r="S70" s="37">
        <v>0</v>
      </c>
      <c r="T70" s="34">
        <v>0</v>
      </c>
      <c r="U70" s="34">
        <v>0</v>
      </c>
      <c r="V70" s="62"/>
      <c r="W70" s="38">
        <v>0</v>
      </c>
      <c r="X70" s="31">
        <v>0</v>
      </c>
      <c r="Y70" s="31">
        <v>0</v>
      </c>
      <c r="Z70" s="78"/>
      <c r="AA70" s="37">
        <v>0</v>
      </c>
      <c r="AB70" s="34">
        <v>0</v>
      </c>
      <c r="AC70" s="34">
        <v>0</v>
      </c>
      <c r="AD70" s="64"/>
      <c r="AE70" s="79"/>
      <c r="AF70" s="64"/>
      <c r="AG70" s="43">
        <f t="shared" si="16"/>
        <v>0</v>
      </c>
      <c r="AH70" s="44">
        <f t="shared" si="16"/>
        <v>0</v>
      </c>
      <c r="AI70" s="44">
        <f t="shared" si="16"/>
        <v>0</v>
      </c>
      <c r="AJ70" s="45">
        <f t="shared" si="16"/>
        <v>0</v>
      </c>
      <c r="AK70" s="80">
        <f t="shared" si="17"/>
        <v>0</v>
      </c>
      <c r="AL70" s="47">
        <v>1</v>
      </c>
      <c r="AM70" s="48">
        <f t="shared" si="7"/>
        <v>0</v>
      </c>
      <c r="AN70" s="48">
        <f t="shared" si="2"/>
        <v>0</v>
      </c>
      <c r="AO70" s="49">
        <f t="shared" si="23"/>
        <v>0</v>
      </c>
      <c r="AP70" s="49">
        <f t="shared" si="18"/>
        <v>0</v>
      </c>
      <c r="AQ70" s="50">
        <f t="shared" si="19"/>
        <v>0</v>
      </c>
      <c r="AR70" s="81"/>
      <c r="AS70" s="82"/>
      <c r="AT70" s="83"/>
      <c r="AU70" s="84"/>
      <c r="AV70" s="85"/>
      <c r="AW70" s="86"/>
      <c r="AX70" s="86"/>
      <c r="AY70" s="82"/>
      <c r="AZ70" s="87"/>
    </row>
    <row r="71" spans="1:52" ht="16.5" thickBot="1" x14ac:dyDescent="0.3">
      <c r="A71" s="74"/>
      <c r="B71" s="75" t="s">
        <v>65</v>
      </c>
      <c r="C71" s="76"/>
      <c r="D71" s="26">
        <f t="shared" si="20"/>
        <v>0</v>
      </c>
      <c r="E71" s="27">
        <f t="shared" si="21"/>
        <v>0</v>
      </c>
      <c r="F71" s="29">
        <f t="shared" si="22"/>
        <v>0</v>
      </c>
      <c r="G71" s="30">
        <v>0</v>
      </c>
      <c r="H71" s="31">
        <v>0</v>
      </c>
      <c r="I71" s="32">
        <v>0</v>
      </c>
      <c r="J71" s="77"/>
      <c r="K71" s="33">
        <v>0</v>
      </c>
      <c r="L71" s="34">
        <v>0</v>
      </c>
      <c r="M71" s="34">
        <v>0</v>
      </c>
      <c r="N71" s="62"/>
      <c r="O71" s="34">
        <v>0</v>
      </c>
      <c r="P71" s="34">
        <v>0</v>
      </c>
      <c r="Q71" s="34">
        <v>0</v>
      </c>
      <c r="R71" s="62"/>
      <c r="S71" s="37">
        <v>0</v>
      </c>
      <c r="T71" s="34">
        <v>0</v>
      </c>
      <c r="U71" s="34">
        <v>0</v>
      </c>
      <c r="V71" s="62"/>
      <c r="W71" s="38">
        <v>0</v>
      </c>
      <c r="X71" s="31">
        <v>0</v>
      </c>
      <c r="Y71" s="31">
        <v>0</v>
      </c>
      <c r="Z71" s="78"/>
      <c r="AA71" s="37">
        <v>0</v>
      </c>
      <c r="AB71" s="34">
        <v>0</v>
      </c>
      <c r="AC71" s="34">
        <v>0</v>
      </c>
      <c r="AD71" s="64"/>
      <c r="AE71" s="79"/>
      <c r="AF71" s="64"/>
      <c r="AG71" s="43">
        <f t="shared" si="16"/>
        <v>0</v>
      </c>
      <c r="AH71" s="44">
        <f t="shared" si="16"/>
        <v>0</v>
      </c>
      <c r="AI71" s="44">
        <f t="shared" si="16"/>
        <v>0</v>
      </c>
      <c r="AJ71" s="45">
        <f t="shared" si="16"/>
        <v>0</v>
      </c>
      <c r="AK71" s="80">
        <f t="shared" si="17"/>
        <v>0</v>
      </c>
      <c r="AL71" s="47">
        <v>1</v>
      </c>
      <c r="AM71" s="48">
        <f t="shared" si="7"/>
        <v>0</v>
      </c>
      <c r="AN71" s="48">
        <f t="shared" si="2"/>
        <v>0</v>
      </c>
      <c r="AO71" s="49">
        <f t="shared" si="23"/>
        <v>0</v>
      </c>
      <c r="AP71" s="49">
        <f t="shared" si="18"/>
        <v>0</v>
      </c>
      <c r="AQ71" s="50">
        <f t="shared" si="19"/>
        <v>0</v>
      </c>
      <c r="AR71" s="81"/>
      <c r="AS71" s="82"/>
      <c r="AT71" s="83"/>
      <c r="AU71" s="84"/>
      <c r="AV71" s="85"/>
      <c r="AW71" s="86"/>
      <c r="AX71" s="86"/>
      <c r="AY71" s="82"/>
      <c r="AZ71" s="87"/>
    </row>
    <row r="72" spans="1:52" ht="16.5" thickBot="1" x14ac:dyDescent="0.3">
      <c r="A72" s="74"/>
      <c r="B72" s="75" t="s">
        <v>66</v>
      </c>
      <c r="C72" s="76"/>
      <c r="D72" s="26">
        <f t="shared" si="20"/>
        <v>0</v>
      </c>
      <c r="E72" s="27">
        <f t="shared" si="21"/>
        <v>0</v>
      </c>
      <c r="F72" s="29">
        <f t="shared" si="22"/>
        <v>0</v>
      </c>
      <c r="G72" s="30">
        <v>0</v>
      </c>
      <c r="H72" s="31">
        <v>0</v>
      </c>
      <c r="I72" s="32">
        <v>0</v>
      </c>
      <c r="J72" s="77"/>
      <c r="K72" s="33">
        <v>0</v>
      </c>
      <c r="L72" s="34">
        <v>0</v>
      </c>
      <c r="M72" s="34">
        <v>0</v>
      </c>
      <c r="N72" s="62"/>
      <c r="O72" s="34">
        <v>0</v>
      </c>
      <c r="P72" s="34">
        <v>0</v>
      </c>
      <c r="Q72" s="34">
        <v>0</v>
      </c>
      <c r="R72" s="62"/>
      <c r="S72" s="37">
        <v>0</v>
      </c>
      <c r="T72" s="34">
        <v>0</v>
      </c>
      <c r="U72" s="34">
        <v>0</v>
      </c>
      <c r="V72" s="62"/>
      <c r="W72" s="38">
        <v>0</v>
      </c>
      <c r="X72" s="31">
        <v>0</v>
      </c>
      <c r="Y72" s="31">
        <v>0</v>
      </c>
      <c r="Z72" s="78"/>
      <c r="AA72" s="37">
        <v>0</v>
      </c>
      <c r="AB72" s="34">
        <v>0</v>
      </c>
      <c r="AC72" s="34">
        <v>0</v>
      </c>
      <c r="AD72" s="64"/>
      <c r="AE72" s="79"/>
      <c r="AF72" s="64"/>
      <c r="AG72" s="43">
        <f t="shared" si="16"/>
        <v>0</v>
      </c>
      <c r="AH72" s="44">
        <f t="shared" si="16"/>
        <v>0</v>
      </c>
      <c r="AI72" s="44">
        <f t="shared" si="16"/>
        <v>0</v>
      </c>
      <c r="AJ72" s="45">
        <f t="shared" si="16"/>
        <v>0</v>
      </c>
      <c r="AK72" s="80">
        <f t="shared" si="17"/>
        <v>0</v>
      </c>
      <c r="AL72" s="47">
        <v>1</v>
      </c>
      <c r="AM72" s="48">
        <f t="shared" si="7"/>
        <v>0</v>
      </c>
      <c r="AN72" s="48">
        <f t="shared" si="2"/>
        <v>0</v>
      </c>
      <c r="AO72" s="49">
        <f t="shared" si="23"/>
        <v>0</v>
      </c>
      <c r="AP72" s="49">
        <f t="shared" si="18"/>
        <v>0</v>
      </c>
      <c r="AQ72" s="50">
        <f t="shared" si="19"/>
        <v>0</v>
      </c>
      <c r="AR72" s="81"/>
      <c r="AS72" s="82"/>
      <c r="AT72" s="83"/>
      <c r="AU72" s="84"/>
      <c r="AV72" s="85"/>
      <c r="AW72" s="86"/>
      <c r="AX72" s="86"/>
      <c r="AY72" s="82"/>
      <c r="AZ72" s="87"/>
    </row>
    <row r="73" spans="1:52" ht="16.5" thickBot="1" x14ac:dyDescent="0.3">
      <c r="A73" s="74">
        <v>250</v>
      </c>
      <c r="B73" s="75" t="s">
        <v>67</v>
      </c>
      <c r="C73" s="76"/>
      <c r="D73" s="26">
        <f t="shared" si="20"/>
        <v>0</v>
      </c>
      <c r="E73" s="27">
        <f t="shared" si="21"/>
        <v>0</v>
      </c>
      <c r="F73" s="29">
        <f t="shared" si="22"/>
        <v>0</v>
      </c>
      <c r="G73" s="30">
        <v>0</v>
      </c>
      <c r="H73" s="31">
        <v>0</v>
      </c>
      <c r="I73" s="32">
        <v>0</v>
      </c>
      <c r="J73" s="77"/>
      <c r="K73" s="33">
        <v>0</v>
      </c>
      <c r="L73" s="34">
        <v>0</v>
      </c>
      <c r="M73" s="34">
        <v>0</v>
      </c>
      <c r="N73" s="62"/>
      <c r="O73" s="34">
        <v>0</v>
      </c>
      <c r="P73" s="34">
        <v>0</v>
      </c>
      <c r="Q73" s="34">
        <v>0</v>
      </c>
      <c r="R73" s="62"/>
      <c r="S73" s="37">
        <v>0</v>
      </c>
      <c r="T73" s="34">
        <v>0</v>
      </c>
      <c r="U73" s="34">
        <v>0</v>
      </c>
      <c r="V73" s="62"/>
      <c r="W73" s="38">
        <v>0</v>
      </c>
      <c r="X73" s="31">
        <v>0</v>
      </c>
      <c r="Y73" s="31">
        <v>0</v>
      </c>
      <c r="Z73" s="78"/>
      <c r="AA73" s="37">
        <v>0</v>
      </c>
      <c r="AB73" s="34">
        <v>0</v>
      </c>
      <c r="AC73" s="34">
        <v>0</v>
      </c>
      <c r="AD73" s="64"/>
      <c r="AE73" s="79"/>
      <c r="AF73" s="64"/>
      <c r="AG73" s="43">
        <f t="shared" si="16"/>
        <v>0</v>
      </c>
      <c r="AH73" s="44">
        <f t="shared" si="16"/>
        <v>0</v>
      </c>
      <c r="AI73" s="44">
        <f t="shared" si="16"/>
        <v>0</v>
      </c>
      <c r="AJ73" s="45">
        <f t="shared" si="16"/>
        <v>0</v>
      </c>
      <c r="AK73" s="80">
        <f t="shared" si="17"/>
        <v>0</v>
      </c>
      <c r="AL73" s="47">
        <v>1</v>
      </c>
      <c r="AM73" s="48">
        <f t="shared" si="7"/>
        <v>0</v>
      </c>
      <c r="AN73" s="48">
        <f t="shared" si="2"/>
        <v>0</v>
      </c>
      <c r="AO73" s="49">
        <f t="shared" si="23"/>
        <v>0</v>
      </c>
      <c r="AP73" s="49">
        <f t="shared" si="18"/>
        <v>0</v>
      </c>
      <c r="AQ73" s="50">
        <f t="shared" si="19"/>
        <v>0</v>
      </c>
      <c r="AR73" s="81"/>
      <c r="AS73" s="82"/>
      <c r="AT73" s="83"/>
      <c r="AU73" s="84"/>
      <c r="AV73" s="85"/>
      <c r="AW73" s="86"/>
      <c r="AX73" s="86"/>
      <c r="AY73" s="82"/>
      <c r="AZ73" s="87"/>
    </row>
    <row r="74" spans="1:52" ht="16.5" thickBot="1" x14ac:dyDescent="0.3">
      <c r="A74" s="74">
        <v>1000</v>
      </c>
      <c r="B74" s="75" t="s">
        <v>63</v>
      </c>
      <c r="C74" s="76">
        <v>24</v>
      </c>
      <c r="D74" s="26">
        <f t="shared" si="20"/>
        <v>8</v>
      </c>
      <c r="E74" s="27">
        <f t="shared" si="21"/>
        <v>8</v>
      </c>
      <c r="F74" s="29">
        <f t="shared" si="22"/>
        <v>8</v>
      </c>
      <c r="G74" s="30">
        <v>0</v>
      </c>
      <c r="H74" s="31">
        <v>0</v>
      </c>
      <c r="I74" s="32">
        <v>0</v>
      </c>
      <c r="J74" s="77"/>
      <c r="K74" s="33">
        <v>0</v>
      </c>
      <c r="L74" s="34">
        <v>0</v>
      </c>
      <c r="M74" s="34">
        <v>0</v>
      </c>
      <c r="N74" s="62"/>
      <c r="O74" s="34">
        <v>0</v>
      </c>
      <c r="P74" s="34">
        <v>0</v>
      </c>
      <c r="Q74" s="34">
        <v>0</v>
      </c>
      <c r="R74" s="62"/>
      <c r="S74" s="37">
        <v>0</v>
      </c>
      <c r="T74" s="34">
        <v>0</v>
      </c>
      <c r="U74" s="34">
        <v>0</v>
      </c>
      <c r="V74" s="62"/>
      <c r="W74" s="38">
        <v>0</v>
      </c>
      <c r="X74" s="31">
        <v>0</v>
      </c>
      <c r="Y74" s="31">
        <v>0</v>
      </c>
      <c r="Z74" s="78"/>
      <c r="AA74" s="37">
        <v>0</v>
      </c>
      <c r="AB74" s="34">
        <v>0</v>
      </c>
      <c r="AC74" s="34">
        <v>0</v>
      </c>
      <c r="AD74" s="64"/>
      <c r="AE74" s="79"/>
      <c r="AF74" s="64"/>
      <c r="AG74" s="43">
        <f t="shared" si="16"/>
        <v>0</v>
      </c>
      <c r="AH74" s="44">
        <f t="shared" si="16"/>
        <v>0</v>
      </c>
      <c r="AI74" s="44">
        <f t="shared" si="16"/>
        <v>0</v>
      </c>
      <c r="AJ74" s="45">
        <f t="shared" si="16"/>
        <v>0</v>
      </c>
      <c r="AK74" s="80">
        <f t="shared" si="17"/>
        <v>0</v>
      </c>
      <c r="AL74" s="47">
        <v>0.75</v>
      </c>
      <c r="AM74" s="48">
        <f t="shared" ref="AM74:AM137" si="24">AG74*AL74</f>
        <v>0</v>
      </c>
      <c r="AN74" s="48">
        <f t="shared" ref="AN74:AN137" si="25">AH74*AL74</f>
        <v>0</v>
      </c>
      <c r="AO74" s="49">
        <f t="shared" si="23"/>
        <v>0</v>
      </c>
      <c r="AP74" s="49">
        <f t="shared" si="18"/>
        <v>0</v>
      </c>
      <c r="AQ74" s="50">
        <f t="shared" si="19"/>
        <v>0</v>
      </c>
      <c r="AR74" s="117">
        <v>67.84</v>
      </c>
      <c r="AS74" s="82">
        <v>2.1599999999999966</v>
      </c>
      <c r="AT74" s="83">
        <f>AK74*AS74</f>
        <v>0</v>
      </c>
      <c r="AU74" s="84">
        <f>AK74*AL74</f>
        <v>0</v>
      </c>
      <c r="AV74" s="85">
        <v>0</v>
      </c>
      <c r="AW74" s="86"/>
      <c r="AX74" s="86"/>
      <c r="AY74" s="82"/>
      <c r="AZ74" s="87">
        <f>AT74-AU74-AW74-AX74-AY74</f>
        <v>0</v>
      </c>
    </row>
    <row r="75" spans="1:52" ht="16.5" thickBot="1" x14ac:dyDescent="0.3">
      <c r="A75" s="74">
        <v>1000</v>
      </c>
      <c r="B75" s="75" t="s">
        <v>64</v>
      </c>
      <c r="C75" s="76"/>
      <c r="D75" s="26">
        <f t="shared" si="20"/>
        <v>0</v>
      </c>
      <c r="E75" s="27">
        <f t="shared" si="21"/>
        <v>0</v>
      </c>
      <c r="F75" s="29">
        <f t="shared" si="22"/>
        <v>0</v>
      </c>
      <c r="G75" s="30">
        <v>0</v>
      </c>
      <c r="H75" s="31">
        <v>0</v>
      </c>
      <c r="I75" s="32">
        <v>0</v>
      </c>
      <c r="J75" s="77"/>
      <c r="K75" s="33">
        <v>0</v>
      </c>
      <c r="L75" s="34">
        <v>0</v>
      </c>
      <c r="M75" s="34">
        <v>0</v>
      </c>
      <c r="N75" s="62"/>
      <c r="O75" s="34">
        <v>0</v>
      </c>
      <c r="P75" s="34">
        <v>0</v>
      </c>
      <c r="Q75" s="34">
        <v>0</v>
      </c>
      <c r="R75" s="62"/>
      <c r="S75" s="37">
        <v>0</v>
      </c>
      <c r="T75" s="34">
        <v>0</v>
      </c>
      <c r="U75" s="34">
        <v>0</v>
      </c>
      <c r="V75" s="62"/>
      <c r="W75" s="38">
        <v>0</v>
      </c>
      <c r="X75" s="31">
        <v>0</v>
      </c>
      <c r="Y75" s="31">
        <v>0</v>
      </c>
      <c r="Z75" s="78"/>
      <c r="AA75" s="37">
        <v>0</v>
      </c>
      <c r="AB75" s="34">
        <v>0</v>
      </c>
      <c r="AC75" s="34">
        <v>0</v>
      </c>
      <c r="AD75" s="64"/>
      <c r="AE75" s="79"/>
      <c r="AF75" s="64"/>
      <c r="AG75" s="43">
        <f t="shared" si="16"/>
        <v>0</v>
      </c>
      <c r="AH75" s="44">
        <f t="shared" si="16"/>
        <v>0</v>
      </c>
      <c r="AI75" s="44">
        <f t="shared" si="16"/>
        <v>0</v>
      </c>
      <c r="AJ75" s="45">
        <f t="shared" si="16"/>
        <v>0</v>
      </c>
      <c r="AK75" s="80">
        <f t="shared" si="17"/>
        <v>0</v>
      </c>
      <c r="AL75" s="47">
        <v>0.75</v>
      </c>
      <c r="AM75" s="48">
        <f t="shared" si="24"/>
        <v>0</v>
      </c>
      <c r="AN75" s="48">
        <f t="shared" si="25"/>
        <v>0</v>
      </c>
      <c r="AO75" s="49">
        <f t="shared" si="23"/>
        <v>0</v>
      </c>
      <c r="AP75" s="49">
        <f t="shared" si="18"/>
        <v>0</v>
      </c>
      <c r="AQ75" s="50">
        <f t="shared" si="19"/>
        <v>0</v>
      </c>
      <c r="AR75" s="117"/>
      <c r="AS75" s="82"/>
      <c r="AT75" s="83"/>
      <c r="AU75" s="84"/>
      <c r="AV75" s="85"/>
      <c r="AW75" s="86"/>
      <c r="AX75" s="86"/>
      <c r="AY75" s="82"/>
      <c r="AZ75" s="87"/>
    </row>
    <row r="76" spans="1:52" ht="16.5" thickBot="1" x14ac:dyDescent="0.3">
      <c r="A76" s="74">
        <v>1000</v>
      </c>
      <c r="B76" s="75" t="s">
        <v>65</v>
      </c>
      <c r="C76" s="76"/>
      <c r="D76" s="26">
        <f t="shared" si="20"/>
        <v>0</v>
      </c>
      <c r="E76" s="27">
        <f t="shared" si="21"/>
        <v>0</v>
      </c>
      <c r="F76" s="29">
        <f t="shared" si="22"/>
        <v>0</v>
      </c>
      <c r="G76" s="30">
        <v>0</v>
      </c>
      <c r="H76" s="31">
        <v>0</v>
      </c>
      <c r="I76" s="32">
        <v>0</v>
      </c>
      <c r="J76" s="77"/>
      <c r="K76" s="33">
        <v>0</v>
      </c>
      <c r="L76" s="34">
        <v>0</v>
      </c>
      <c r="M76" s="34">
        <v>0</v>
      </c>
      <c r="N76" s="62"/>
      <c r="O76" s="34">
        <v>0</v>
      </c>
      <c r="P76" s="34">
        <v>0</v>
      </c>
      <c r="Q76" s="34">
        <v>0</v>
      </c>
      <c r="R76" s="62"/>
      <c r="S76" s="37">
        <v>0</v>
      </c>
      <c r="T76" s="34">
        <v>0</v>
      </c>
      <c r="U76" s="34">
        <v>0</v>
      </c>
      <c r="V76" s="62"/>
      <c r="W76" s="38">
        <v>0</v>
      </c>
      <c r="X76" s="31">
        <v>0</v>
      </c>
      <c r="Y76" s="31">
        <v>0</v>
      </c>
      <c r="Z76" s="78"/>
      <c r="AA76" s="37">
        <v>0</v>
      </c>
      <c r="AB76" s="34">
        <v>0</v>
      </c>
      <c r="AC76" s="34">
        <v>0</v>
      </c>
      <c r="AD76" s="64"/>
      <c r="AE76" s="79"/>
      <c r="AF76" s="64"/>
      <c r="AG76" s="43">
        <f t="shared" si="16"/>
        <v>0</v>
      </c>
      <c r="AH76" s="44">
        <f t="shared" si="16"/>
        <v>0</v>
      </c>
      <c r="AI76" s="44">
        <f t="shared" si="16"/>
        <v>0</v>
      </c>
      <c r="AJ76" s="45">
        <f t="shared" si="16"/>
        <v>0</v>
      </c>
      <c r="AK76" s="80">
        <f t="shared" si="17"/>
        <v>0</v>
      </c>
      <c r="AL76" s="47">
        <v>0.75</v>
      </c>
      <c r="AM76" s="48">
        <f t="shared" si="24"/>
        <v>0</v>
      </c>
      <c r="AN76" s="48">
        <f t="shared" si="25"/>
        <v>0</v>
      </c>
      <c r="AO76" s="49">
        <f t="shared" si="23"/>
        <v>0</v>
      </c>
      <c r="AP76" s="49">
        <f t="shared" si="18"/>
        <v>0</v>
      </c>
      <c r="AQ76" s="50">
        <f t="shared" si="19"/>
        <v>0</v>
      </c>
      <c r="AR76" s="117"/>
      <c r="AS76" s="82"/>
      <c r="AT76" s="83"/>
      <c r="AU76" s="84"/>
      <c r="AV76" s="85"/>
      <c r="AW76" s="86"/>
      <c r="AX76" s="86"/>
      <c r="AY76" s="82"/>
      <c r="AZ76" s="87"/>
    </row>
    <row r="77" spans="1:52" ht="16.5" thickBot="1" x14ac:dyDescent="0.3">
      <c r="A77" s="74">
        <v>1000</v>
      </c>
      <c r="B77" s="75" t="s">
        <v>66</v>
      </c>
      <c r="C77" s="76"/>
      <c r="D77" s="26">
        <f t="shared" si="20"/>
        <v>0</v>
      </c>
      <c r="E77" s="27">
        <f t="shared" si="21"/>
        <v>0</v>
      </c>
      <c r="F77" s="29">
        <f t="shared" si="22"/>
        <v>0</v>
      </c>
      <c r="G77" s="30">
        <v>0</v>
      </c>
      <c r="H77" s="31">
        <v>0</v>
      </c>
      <c r="I77" s="32">
        <v>0</v>
      </c>
      <c r="J77" s="77"/>
      <c r="K77" s="33">
        <v>0</v>
      </c>
      <c r="L77" s="34">
        <v>0</v>
      </c>
      <c r="M77" s="34">
        <v>0</v>
      </c>
      <c r="N77" s="62"/>
      <c r="O77" s="34">
        <v>0</v>
      </c>
      <c r="P77" s="34">
        <v>0</v>
      </c>
      <c r="Q77" s="34">
        <v>0</v>
      </c>
      <c r="R77" s="62"/>
      <c r="S77" s="37">
        <v>0</v>
      </c>
      <c r="T77" s="34">
        <v>0</v>
      </c>
      <c r="U77" s="34">
        <v>0</v>
      </c>
      <c r="V77" s="62"/>
      <c r="W77" s="38">
        <v>0</v>
      </c>
      <c r="X77" s="31">
        <v>0</v>
      </c>
      <c r="Y77" s="31">
        <v>0</v>
      </c>
      <c r="Z77" s="78"/>
      <c r="AA77" s="37">
        <v>0</v>
      </c>
      <c r="AB77" s="34">
        <v>0</v>
      </c>
      <c r="AC77" s="34">
        <v>0</v>
      </c>
      <c r="AD77" s="64"/>
      <c r="AE77" s="79"/>
      <c r="AF77" s="64"/>
      <c r="AG77" s="43">
        <f t="shared" si="16"/>
        <v>0</v>
      </c>
      <c r="AH77" s="44">
        <f t="shared" si="16"/>
        <v>0</v>
      </c>
      <c r="AI77" s="44">
        <f t="shared" si="16"/>
        <v>0</v>
      </c>
      <c r="AJ77" s="45">
        <f t="shared" si="16"/>
        <v>0</v>
      </c>
      <c r="AK77" s="80">
        <f t="shared" si="17"/>
        <v>0</v>
      </c>
      <c r="AL77" s="47">
        <v>0.75</v>
      </c>
      <c r="AM77" s="48">
        <f t="shared" si="24"/>
        <v>0</v>
      </c>
      <c r="AN77" s="48">
        <f t="shared" si="25"/>
        <v>0</v>
      </c>
      <c r="AO77" s="49">
        <f t="shared" si="23"/>
        <v>0</v>
      </c>
      <c r="AP77" s="49">
        <f t="shared" si="18"/>
        <v>0</v>
      </c>
      <c r="AQ77" s="50">
        <f t="shared" si="19"/>
        <v>0</v>
      </c>
      <c r="AR77" s="117"/>
      <c r="AS77" s="82"/>
      <c r="AT77" s="83"/>
      <c r="AU77" s="84"/>
      <c r="AV77" s="85"/>
      <c r="AW77" s="86"/>
      <c r="AX77" s="86"/>
      <c r="AY77" s="82"/>
      <c r="AZ77" s="87"/>
    </row>
    <row r="78" spans="1:52" ht="16.5" thickBot="1" x14ac:dyDescent="0.3">
      <c r="A78" s="74">
        <v>1000</v>
      </c>
      <c r="B78" s="75" t="s">
        <v>67</v>
      </c>
      <c r="C78" s="76"/>
      <c r="D78" s="26">
        <f t="shared" si="20"/>
        <v>0</v>
      </c>
      <c r="E78" s="27">
        <f t="shared" si="21"/>
        <v>0</v>
      </c>
      <c r="F78" s="29">
        <f t="shared" si="22"/>
        <v>0</v>
      </c>
      <c r="G78" s="30">
        <v>0</v>
      </c>
      <c r="H78" s="31">
        <v>0</v>
      </c>
      <c r="I78" s="32">
        <v>0</v>
      </c>
      <c r="J78" s="77"/>
      <c r="K78" s="33">
        <v>0</v>
      </c>
      <c r="L78" s="34">
        <v>0</v>
      </c>
      <c r="M78" s="34">
        <v>0</v>
      </c>
      <c r="N78" s="62"/>
      <c r="O78" s="34">
        <v>0</v>
      </c>
      <c r="P78" s="34">
        <v>0</v>
      </c>
      <c r="Q78" s="34">
        <v>0</v>
      </c>
      <c r="R78" s="62"/>
      <c r="S78" s="37">
        <v>0</v>
      </c>
      <c r="T78" s="34">
        <v>0</v>
      </c>
      <c r="U78" s="34">
        <v>0</v>
      </c>
      <c r="V78" s="62"/>
      <c r="W78" s="38">
        <v>0</v>
      </c>
      <c r="X78" s="31">
        <v>0</v>
      </c>
      <c r="Y78" s="31">
        <v>0</v>
      </c>
      <c r="Z78" s="78"/>
      <c r="AA78" s="37">
        <v>0</v>
      </c>
      <c r="AB78" s="34">
        <v>0</v>
      </c>
      <c r="AC78" s="34">
        <v>0</v>
      </c>
      <c r="AD78" s="64"/>
      <c r="AE78" s="79"/>
      <c r="AF78" s="64"/>
      <c r="AG78" s="43">
        <f t="shared" si="16"/>
        <v>0</v>
      </c>
      <c r="AH78" s="44">
        <f t="shared" si="16"/>
        <v>0</v>
      </c>
      <c r="AI78" s="44">
        <f t="shared" si="16"/>
        <v>0</v>
      </c>
      <c r="AJ78" s="45">
        <f t="shared" si="16"/>
        <v>0</v>
      </c>
      <c r="AK78" s="80">
        <f t="shared" si="17"/>
        <v>0</v>
      </c>
      <c r="AL78" s="47">
        <v>0.75</v>
      </c>
      <c r="AM78" s="48">
        <f t="shared" si="24"/>
        <v>0</v>
      </c>
      <c r="AN78" s="48">
        <f t="shared" si="25"/>
        <v>0</v>
      </c>
      <c r="AO78" s="49">
        <f t="shared" si="23"/>
        <v>0</v>
      </c>
      <c r="AP78" s="49">
        <f t="shared" si="18"/>
        <v>0</v>
      </c>
      <c r="AQ78" s="50">
        <f t="shared" si="19"/>
        <v>0</v>
      </c>
      <c r="AR78" s="117"/>
      <c r="AS78" s="82"/>
      <c r="AT78" s="83"/>
      <c r="AU78" s="84"/>
      <c r="AV78" s="85"/>
      <c r="AW78" s="86"/>
      <c r="AX78" s="86"/>
      <c r="AY78" s="82"/>
      <c r="AZ78" s="87"/>
    </row>
    <row r="79" spans="1:52" ht="16.5" thickBot="1" x14ac:dyDescent="0.3">
      <c r="A79" s="74">
        <v>145</v>
      </c>
      <c r="B79" s="75" t="s">
        <v>72</v>
      </c>
      <c r="C79" s="76">
        <v>684</v>
      </c>
      <c r="D79" s="26">
        <f t="shared" si="20"/>
        <v>228</v>
      </c>
      <c r="E79" s="27">
        <f t="shared" si="21"/>
        <v>228</v>
      </c>
      <c r="F79" s="29">
        <f t="shared" si="22"/>
        <v>228</v>
      </c>
      <c r="G79" s="30">
        <v>0</v>
      </c>
      <c r="H79" s="31">
        <v>0</v>
      </c>
      <c r="I79" s="32">
        <v>0</v>
      </c>
      <c r="J79" s="77"/>
      <c r="K79" s="33">
        <v>0</v>
      </c>
      <c r="L79" s="34">
        <v>0</v>
      </c>
      <c r="M79" s="34">
        <v>0</v>
      </c>
      <c r="N79" s="62"/>
      <c r="O79" s="34">
        <v>0</v>
      </c>
      <c r="P79" s="34">
        <v>0</v>
      </c>
      <c r="Q79" s="34">
        <v>0</v>
      </c>
      <c r="R79" s="62"/>
      <c r="S79" s="37">
        <v>0</v>
      </c>
      <c r="T79" s="34">
        <v>0</v>
      </c>
      <c r="U79" s="34">
        <v>0</v>
      </c>
      <c r="V79" s="62"/>
      <c r="W79" s="38">
        <v>0</v>
      </c>
      <c r="X79" s="31">
        <v>0</v>
      </c>
      <c r="Y79" s="31">
        <v>0</v>
      </c>
      <c r="Z79" s="78"/>
      <c r="AA79" s="37">
        <v>0</v>
      </c>
      <c r="AB79" s="34">
        <v>0</v>
      </c>
      <c r="AC79" s="34">
        <v>0</v>
      </c>
      <c r="AD79" s="64"/>
      <c r="AE79" s="79"/>
      <c r="AF79" s="64"/>
      <c r="AG79" s="43">
        <f t="shared" si="16"/>
        <v>0</v>
      </c>
      <c r="AH79" s="44">
        <f t="shared" si="16"/>
        <v>0</v>
      </c>
      <c r="AI79" s="44">
        <f t="shared" si="16"/>
        <v>0</v>
      </c>
      <c r="AJ79" s="45">
        <f t="shared" si="16"/>
        <v>0</v>
      </c>
      <c r="AK79" s="80">
        <f t="shared" si="17"/>
        <v>0</v>
      </c>
      <c r="AL79" s="47">
        <v>0.75</v>
      </c>
      <c r="AM79" s="48">
        <f t="shared" si="24"/>
        <v>0</v>
      </c>
      <c r="AN79" s="48">
        <f t="shared" si="25"/>
        <v>0</v>
      </c>
      <c r="AO79" s="49">
        <f t="shared" si="23"/>
        <v>0</v>
      </c>
      <c r="AP79" s="49">
        <f t="shared" si="18"/>
        <v>0</v>
      </c>
      <c r="AQ79" s="50">
        <f t="shared" si="19"/>
        <v>0</v>
      </c>
      <c r="AR79" s="81">
        <v>17.920000000000002</v>
      </c>
      <c r="AS79" s="82">
        <v>2.5799999999999983</v>
      </c>
      <c r="AT79" s="83">
        <f>AK79*AS79</f>
        <v>0</v>
      </c>
      <c r="AU79" s="84">
        <f>AK79*AL79</f>
        <v>0</v>
      </c>
      <c r="AV79" s="85">
        <v>0</v>
      </c>
      <c r="AW79" s="86"/>
      <c r="AX79" s="86"/>
      <c r="AY79" s="82"/>
      <c r="AZ79" s="87">
        <f>AT79-AU79-AW79-AX79-AY79</f>
        <v>0</v>
      </c>
    </row>
    <row r="80" spans="1:52" ht="16.5" thickBot="1" x14ac:dyDescent="0.3">
      <c r="A80" s="74"/>
      <c r="B80" s="75" t="s">
        <v>73</v>
      </c>
      <c r="C80" s="76"/>
      <c r="D80" s="26">
        <f t="shared" si="20"/>
        <v>0</v>
      </c>
      <c r="E80" s="27">
        <f t="shared" si="21"/>
        <v>0</v>
      </c>
      <c r="F80" s="29">
        <f t="shared" si="22"/>
        <v>0</v>
      </c>
      <c r="G80" s="30">
        <v>0</v>
      </c>
      <c r="H80" s="31">
        <v>0</v>
      </c>
      <c r="I80" s="32">
        <v>0</v>
      </c>
      <c r="J80" s="77"/>
      <c r="K80" s="33">
        <v>0</v>
      </c>
      <c r="L80" s="34">
        <v>0</v>
      </c>
      <c r="M80" s="34">
        <v>0</v>
      </c>
      <c r="N80" s="62"/>
      <c r="O80" s="34">
        <v>0</v>
      </c>
      <c r="P80" s="34">
        <v>0</v>
      </c>
      <c r="Q80" s="34">
        <v>0</v>
      </c>
      <c r="R80" s="62"/>
      <c r="S80" s="37">
        <v>0</v>
      </c>
      <c r="T80" s="34">
        <v>0</v>
      </c>
      <c r="U80" s="34">
        <v>0</v>
      </c>
      <c r="V80" s="62"/>
      <c r="W80" s="38">
        <v>0</v>
      </c>
      <c r="X80" s="31">
        <v>0</v>
      </c>
      <c r="Y80" s="31">
        <v>0</v>
      </c>
      <c r="Z80" s="78"/>
      <c r="AA80" s="37">
        <v>0</v>
      </c>
      <c r="AB80" s="34">
        <v>0</v>
      </c>
      <c r="AC80" s="34">
        <v>0</v>
      </c>
      <c r="AD80" s="64"/>
      <c r="AE80" s="79"/>
      <c r="AF80" s="64"/>
      <c r="AG80" s="43">
        <f t="shared" si="16"/>
        <v>0</v>
      </c>
      <c r="AH80" s="44">
        <f t="shared" si="16"/>
        <v>0</v>
      </c>
      <c r="AI80" s="44">
        <f t="shared" si="16"/>
        <v>0</v>
      </c>
      <c r="AJ80" s="45">
        <f t="shared" si="16"/>
        <v>0</v>
      </c>
      <c r="AK80" s="80">
        <f t="shared" si="17"/>
        <v>0</v>
      </c>
      <c r="AL80" s="47">
        <v>0.75</v>
      </c>
      <c r="AM80" s="48">
        <f t="shared" si="24"/>
        <v>0</v>
      </c>
      <c r="AN80" s="48">
        <f t="shared" si="25"/>
        <v>0</v>
      </c>
      <c r="AO80" s="49">
        <f t="shared" si="23"/>
        <v>0</v>
      </c>
      <c r="AP80" s="49">
        <f t="shared" si="18"/>
        <v>0</v>
      </c>
      <c r="AQ80" s="50">
        <f t="shared" si="19"/>
        <v>0</v>
      </c>
      <c r="AR80" s="81"/>
      <c r="AS80" s="82"/>
      <c r="AT80" s="83"/>
      <c r="AU80" s="84"/>
      <c r="AV80" s="85"/>
      <c r="AW80" s="86"/>
      <c r="AX80" s="86"/>
      <c r="AY80" s="82"/>
      <c r="AZ80" s="87"/>
    </row>
    <row r="81" spans="1:52" ht="16.5" thickBot="1" x14ac:dyDescent="0.3">
      <c r="A81" s="74"/>
      <c r="B81" s="75" t="s">
        <v>74</v>
      </c>
      <c r="C81" s="76"/>
      <c r="D81" s="26">
        <f t="shared" si="20"/>
        <v>0</v>
      </c>
      <c r="E81" s="27">
        <f t="shared" si="21"/>
        <v>0</v>
      </c>
      <c r="F81" s="29">
        <f t="shared" si="22"/>
        <v>0</v>
      </c>
      <c r="G81" s="30">
        <v>0</v>
      </c>
      <c r="H81" s="31">
        <v>0</v>
      </c>
      <c r="I81" s="32">
        <v>0</v>
      </c>
      <c r="J81" s="77"/>
      <c r="K81" s="33">
        <v>0</v>
      </c>
      <c r="L81" s="34">
        <v>0</v>
      </c>
      <c r="M81" s="34">
        <v>0</v>
      </c>
      <c r="N81" s="62"/>
      <c r="O81" s="34">
        <v>0</v>
      </c>
      <c r="P81" s="34">
        <v>0</v>
      </c>
      <c r="Q81" s="34">
        <v>0</v>
      </c>
      <c r="R81" s="62"/>
      <c r="S81" s="37">
        <v>0</v>
      </c>
      <c r="T81" s="34">
        <v>0</v>
      </c>
      <c r="U81" s="34">
        <v>0</v>
      </c>
      <c r="V81" s="62"/>
      <c r="W81" s="38">
        <v>0</v>
      </c>
      <c r="X81" s="31">
        <v>0</v>
      </c>
      <c r="Y81" s="31">
        <v>0</v>
      </c>
      <c r="Z81" s="78"/>
      <c r="AA81" s="37">
        <v>0</v>
      </c>
      <c r="AB81" s="34">
        <v>0</v>
      </c>
      <c r="AC81" s="34">
        <v>0</v>
      </c>
      <c r="AD81" s="64"/>
      <c r="AE81" s="79"/>
      <c r="AF81" s="64"/>
      <c r="AG81" s="43">
        <f t="shared" si="16"/>
        <v>0</v>
      </c>
      <c r="AH81" s="44">
        <f t="shared" si="16"/>
        <v>0</v>
      </c>
      <c r="AI81" s="44">
        <f t="shared" si="16"/>
        <v>0</v>
      </c>
      <c r="AJ81" s="45">
        <f t="shared" si="16"/>
        <v>0</v>
      </c>
      <c r="AK81" s="80">
        <f t="shared" si="17"/>
        <v>0</v>
      </c>
      <c r="AL81" s="47">
        <v>0.75</v>
      </c>
      <c r="AM81" s="48">
        <f t="shared" si="24"/>
        <v>0</v>
      </c>
      <c r="AN81" s="48">
        <f t="shared" si="25"/>
        <v>0</v>
      </c>
      <c r="AO81" s="49">
        <f t="shared" si="23"/>
        <v>0</v>
      </c>
      <c r="AP81" s="49">
        <f t="shared" si="18"/>
        <v>0</v>
      </c>
      <c r="AQ81" s="50">
        <f t="shared" si="19"/>
        <v>0</v>
      </c>
      <c r="AR81" s="81"/>
      <c r="AS81" s="82"/>
      <c r="AT81" s="83"/>
      <c r="AU81" s="84"/>
      <c r="AV81" s="85"/>
      <c r="AW81" s="86"/>
      <c r="AX81" s="86"/>
      <c r="AY81" s="82"/>
      <c r="AZ81" s="87"/>
    </row>
    <row r="82" spans="1:52" ht="16.5" thickBot="1" x14ac:dyDescent="0.3">
      <c r="A82" s="74">
        <v>360</v>
      </c>
      <c r="B82" s="118" t="s">
        <v>75</v>
      </c>
      <c r="C82" s="76"/>
      <c r="D82" s="26">
        <f t="shared" si="20"/>
        <v>0</v>
      </c>
      <c r="E82" s="27">
        <f t="shared" si="21"/>
        <v>0</v>
      </c>
      <c r="F82" s="29">
        <f t="shared" si="22"/>
        <v>0</v>
      </c>
      <c r="G82" s="30">
        <v>0</v>
      </c>
      <c r="H82" s="31">
        <v>0</v>
      </c>
      <c r="I82" s="32">
        <v>0</v>
      </c>
      <c r="J82" s="77"/>
      <c r="K82" s="33">
        <v>0</v>
      </c>
      <c r="L82" s="34">
        <v>0</v>
      </c>
      <c r="M82" s="34">
        <v>0</v>
      </c>
      <c r="N82" s="62"/>
      <c r="O82" s="34">
        <v>0</v>
      </c>
      <c r="P82" s="34">
        <v>0</v>
      </c>
      <c r="Q82" s="34">
        <v>0</v>
      </c>
      <c r="R82" s="62"/>
      <c r="S82" s="37">
        <v>0</v>
      </c>
      <c r="T82" s="34">
        <v>0</v>
      </c>
      <c r="U82" s="34">
        <v>0</v>
      </c>
      <c r="V82" s="62"/>
      <c r="W82" s="38">
        <v>0</v>
      </c>
      <c r="X82" s="31">
        <v>0</v>
      </c>
      <c r="Y82" s="31">
        <v>0</v>
      </c>
      <c r="Z82" s="78"/>
      <c r="AA82" s="37">
        <v>0</v>
      </c>
      <c r="AB82" s="34">
        <v>0</v>
      </c>
      <c r="AC82" s="34">
        <v>0</v>
      </c>
      <c r="AD82" s="64"/>
      <c r="AE82" s="79"/>
      <c r="AF82" s="64"/>
      <c r="AG82" s="43">
        <f t="shared" si="16"/>
        <v>0</v>
      </c>
      <c r="AH82" s="44">
        <f t="shared" si="16"/>
        <v>0</v>
      </c>
      <c r="AI82" s="44">
        <f t="shared" si="16"/>
        <v>0</v>
      </c>
      <c r="AJ82" s="45">
        <f t="shared" si="16"/>
        <v>0</v>
      </c>
      <c r="AK82" s="80">
        <f t="shared" si="17"/>
        <v>0</v>
      </c>
      <c r="AL82" s="47">
        <v>0.44</v>
      </c>
      <c r="AM82" s="48">
        <f t="shared" si="24"/>
        <v>0</v>
      </c>
      <c r="AN82" s="48">
        <f t="shared" si="25"/>
        <v>0</v>
      </c>
      <c r="AO82" s="49">
        <f t="shared" si="23"/>
        <v>0</v>
      </c>
      <c r="AP82" s="49">
        <f t="shared" si="18"/>
        <v>0</v>
      </c>
      <c r="AQ82" s="50">
        <f t="shared" si="19"/>
        <v>0</v>
      </c>
      <c r="AR82" s="81">
        <v>11.75</v>
      </c>
      <c r="AS82" s="82">
        <v>1.25</v>
      </c>
      <c r="AT82" s="83">
        <f>AK82*AS82</f>
        <v>0</v>
      </c>
      <c r="AU82" s="84">
        <f>AK82*AL82</f>
        <v>0</v>
      </c>
      <c r="AV82" s="85">
        <v>0</v>
      </c>
      <c r="AW82" s="86"/>
      <c r="AX82" s="86"/>
      <c r="AY82" s="82"/>
      <c r="AZ82" s="87">
        <f>AT82-AU82-AW82-AX82-AY82</f>
        <v>0</v>
      </c>
    </row>
    <row r="83" spans="1:52" ht="16.5" thickBot="1" x14ac:dyDescent="0.3">
      <c r="A83" s="74"/>
      <c r="B83" s="118" t="s">
        <v>76</v>
      </c>
      <c r="C83" s="76"/>
      <c r="D83" s="26">
        <f t="shared" si="20"/>
        <v>0</v>
      </c>
      <c r="E83" s="27">
        <f t="shared" si="21"/>
        <v>0</v>
      </c>
      <c r="F83" s="29">
        <f t="shared" si="22"/>
        <v>0</v>
      </c>
      <c r="G83" s="30">
        <v>0</v>
      </c>
      <c r="H83" s="31">
        <v>0</v>
      </c>
      <c r="I83" s="32">
        <v>0</v>
      </c>
      <c r="J83" s="77"/>
      <c r="K83" s="33">
        <v>0</v>
      </c>
      <c r="L83" s="34">
        <v>0</v>
      </c>
      <c r="M83" s="34">
        <v>0</v>
      </c>
      <c r="N83" s="62"/>
      <c r="O83" s="34">
        <v>0</v>
      </c>
      <c r="P83" s="34">
        <v>0</v>
      </c>
      <c r="Q83" s="34">
        <v>0</v>
      </c>
      <c r="R83" s="62"/>
      <c r="S83" s="37">
        <v>0</v>
      </c>
      <c r="T83" s="34">
        <v>0</v>
      </c>
      <c r="U83" s="34">
        <v>0</v>
      </c>
      <c r="V83" s="62"/>
      <c r="W83" s="38">
        <v>0</v>
      </c>
      <c r="X83" s="31">
        <v>0</v>
      </c>
      <c r="Y83" s="31">
        <v>0</v>
      </c>
      <c r="Z83" s="78"/>
      <c r="AA83" s="37">
        <v>0</v>
      </c>
      <c r="AB83" s="34">
        <v>0</v>
      </c>
      <c r="AC83" s="34">
        <v>0</v>
      </c>
      <c r="AD83" s="64"/>
      <c r="AE83" s="79"/>
      <c r="AF83" s="64"/>
      <c r="AG83" s="43">
        <f t="shared" si="16"/>
        <v>0</v>
      </c>
      <c r="AH83" s="44">
        <f t="shared" si="16"/>
        <v>0</v>
      </c>
      <c r="AI83" s="44">
        <f t="shared" si="16"/>
        <v>0</v>
      </c>
      <c r="AJ83" s="45">
        <f t="shared" si="16"/>
        <v>0</v>
      </c>
      <c r="AK83" s="80">
        <f t="shared" si="17"/>
        <v>0</v>
      </c>
      <c r="AL83" s="47">
        <v>0.44</v>
      </c>
      <c r="AM83" s="48">
        <f t="shared" si="24"/>
        <v>0</v>
      </c>
      <c r="AN83" s="48">
        <f t="shared" si="25"/>
        <v>0</v>
      </c>
      <c r="AO83" s="49">
        <f t="shared" si="23"/>
        <v>0</v>
      </c>
      <c r="AP83" s="49">
        <f t="shared" si="18"/>
        <v>0</v>
      </c>
      <c r="AQ83" s="50">
        <f t="shared" si="19"/>
        <v>0</v>
      </c>
      <c r="AR83" s="81"/>
      <c r="AS83" s="82"/>
      <c r="AT83" s="83"/>
      <c r="AU83" s="84"/>
      <c r="AV83" s="85"/>
      <c r="AW83" s="86"/>
      <c r="AX83" s="86"/>
      <c r="AY83" s="82"/>
      <c r="AZ83" s="87"/>
    </row>
    <row r="84" spans="1:52" ht="16.5" thickBot="1" x14ac:dyDescent="0.3">
      <c r="A84" s="74"/>
      <c r="B84" s="118" t="s">
        <v>77</v>
      </c>
      <c r="C84" s="76"/>
      <c r="D84" s="26">
        <f t="shared" si="20"/>
        <v>0</v>
      </c>
      <c r="E84" s="27">
        <f t="shared" si="21"/>
        <v>0</v>
      </c>
      <c r="F84" s="29">
        <f t="shared" si="22"/>
        <v>0</v>
      </c>
      <c r="G84" s="30">
        <v>0</v>
      </c>
      <c r="H84" s="31">
        <v>0</v>
      </c>
      <c r="I84" s="32">
        <v>0</v>
      </c>
      <c r="J84" s="77"/>
      <c r="K84" s="33">
        <v>0</v>
      </c>
      <c r="L84" s="34">
        <v>0</v>
      </c>
      <c r="M84" s="34">
        <v>0</v>
      </c>
      <c r="N84" s="62"/>
      <c r="O84" s="34">
        <v>0</v>
      </c>
      <c r="P84" s="34">
        <v>0</v>
      </c>
      <c r="Q84" s="34">
        <v>0</v>
      </c>
      <c r="R84" s="62"/>
      <c r="S84" s="37">
        <v>0</v>
      </c>
      <c r="T84" s="34">
        <v>0</v>
      </c>
      <c r="U84" s="34">
        <v>0</v>
      </c>
      <c r="V84" s="62"/>
      <c r="W84" s="38">
        <v>0</v>
      </c>
      <c r="X84" s="31">
        <v>0</v>
      </c>
      <c r="Y84" s="31">
        <v>0</v>
      </c>
      <c r="Z84" s="78"/>
      <c r="AA84" s="37">
        <v>0</v>
      </c>
      <c r="AB84" s="34">
        <v>0</v>
      </c>
      <c r="AC84" s="34">
        <v>0</v>
      </c>
      <c r="AD84" s="64"/>
      <c r="AE84" s="79"/>
      <c r="AF84" s="64"/>
      <c r="AG84" s="43">
        <f t="shared" si="16"/>
        <v>0</v>
      </c>
      <c r="AH84" s="44">
        <f t="shared" si="16"/>
        <v>0</v>
      </c>
      <c r="AI84" s="44">
        <f t="shared" si="16"/>
        <v>0</v>
      </c>
      <c r="AJ84" s="45">
        <f t="shared" si="16"/>
        <v>0</v>
      </c>
      <c r="AK84" s="80">
        <f t="shared" si="17"/>
        <v>0</v>
      </c>
      <c r="AL84" s="47">
        <v>0.44</v>
      </c>
      <c r="AM84" s="48">
        <f t="shared" si="24"/>
        <v>0</v>
      </c>
      <c r="AN84" s="48">
        <f t="shared" si="25"/>
        <v>0</v>
      </c>
      <c r="AO84" s="49">
        <f t="shared" si="23"/>
        <v>0</v>
      </c>
      <c r="AP84" s="49">
        <f t="shared" si="18"/>
        <v>0</v>
      </c>
      <c r="AQ84" s="50">
        <f t="shared" si="19"/>
        <v>0</v>
      </c>
      <c r="AR84" s="81"/>
      <c r="AS84" s="82"/>
      <c r="AT84" s="83"/>
      <c r="AU84" s="84"/>
      <c r="AV84" s="85"/>
      <c r="AW84" s="86"/>
      <c r="AX84" s="86"/>
      <c r="AY84" s="82"/>
      <c r="AZ84" s="87"/>
    </row>
    <row r="85" spans="1:52" ht="16.5" thickBot="1" x14ac:dyDescent="0.3">
      <c r="A85" s="74"/>
      <c r="B85" s="75" t="s">
        <v>78</v>
      </c>
      <c r="C85" s="76"/>
      <c r="D85" s="26">
        <f t="shared" si="20"/>
        <v>0</v>
      </c>
      <c r="E85" s="27">
        <f t="shared" si="21"/>
        <v>0</v>
      </c>
      <c r="F85" s="29">
        <f t="shared" si="22"/>
        <v>0</v>
      </c>
      <c r="G85" s="30">
        <v>0</v>
      </c>
      <c r="H85" s="31">
        <v>0</v>
      </c>
      <c r="I85" s="32">
        <v>0</v>
      </c>
      <c r="J85" s="77"/>
      <c r="K85" s="33">
        <v>0</v>
      </c>
      <c r="L85" s="34">
        <v>0</v>
      </c>
      <c r="M85" s="34">
        <v>0</v>
      </c>
      <c r="N85" s="62"/>
      <c r="O85" s="34">
        <v>0</v>
      </c>
      <c r="P85" s="34">
        <v>0</v>
      </c>
      <c r="Q85" s="34">
        <v>0</v>
      </c>
      <c r="R85" s="62"/>
      <c r="S85" s="37">
        <v>0</v>
      </c>
      <c r="T85" s="34">
        <v>0</v>
      </c>
      <c r="U85" s="34">
        <v>0</v>
      </c>
      <c r="V85" s="62"/>
      <c r="W85" s="38">
        <v>0</v>
      </c>
      <c r="X85" s="31">
        <v>0</v>
      </c>
      <c r="Y85" s="31">
        <v>0</v>
      </c>
      <c r="Z85" s="78"/>
      <c r="AA85" s="37">
        <v>0</v>
      </c>
      <c r="AB85" s="34">
        <v>0</v>
      </c>
      <c r="AC85" s="34">
        <v>0</v>
      </c>
      <c r="AD85" s="64"/>
      <c r="AE85" s="79"/>
      <c r="AF85" s="64"/>
      <c r="AG85" s="43">
        <f t="shared" si="16"/>
        <v>0</v>
      </c>
      <c r="AH85" s="44">
        <f t="shared" si="16"/>
        <v>0</v>
      </c>
      <c r="AI85" s="44">
        <f t="shared" si="16"/>
        <v>0</v>
      </c>
      <c r="AJ85" s="45">
        <f t="shared" si="16"/>
        <v>0</v>
      </c>
      <c r="AK85" s="80">
        <f t="shared" si="17"/>
        <v>0</v>
      </c>
      <c r="AL85" s="47">
        <v>0.44</v>
      </c>
      <c r="AM85" s="48">
        <f t="shared" si="24"/>
        <v>0</v>
      </c>
      <c r="AN85" s="48">
        <f t="shared" si="25"/>
        <v>0</v>
      </c>
      <c r="AO85" s="49">
        <f t="shared" si="23"/>
        <v>0</v>
      </c>
      <c r="AP85" s="49">
        <f t="shared" si="18"/>
        <v>0</v>
      </c>
      <c r="AQ85" s="50">
        <f t="shared" si="19"/>
        <v>0</v>
      </c>
      <c r="AR85" s="81"/>
      <c r="AS85" s="82"/>
      <c r="AT85" s="83"/>
      <c r="AU85" s="84"/>
      <c r="AV85" s="85"/>
      <c r="AW85" s="86"/>
      <c r="AX85" s="86"/>
      <c r="AY85" s="82"/>
      <c r="AZ85" s="87"/>
    </row>
    <row r="86" spans="1:52" ht="16.5" thickBot="1" x14ac:dyDescent="0.3">
      <c r="A86" s="74"/>
      <c r="B86" s="75" t="s">
        <v>79</v>
      </c>
      <c r="C86" s="76"/>
      <c r="D86" s="26">
        <f t="shared" si="20"/>
        <v>0</v>
      </c>
      <c r="E86" s="27">
        <f t="shared" si="21"/>
        <v>0</v>
      </c>
      <c r="F86" s="29">
        <f t="shared" si="22"/>
        <v>0</v>
      </c>
      <c r="G86" s="30">
        <v>0</v>
      </c>
      <c r="H86" s="31">
        <v>0</v>
      </c>
      <c r="I86" s="32">
        <v>0</v>
      </c>
      <c r="J86" s="77"/>
      <c r="K86" s="33">
        <v>0</v>
      </c>
      <c r="L86" s="34">
        <v>0</v>
      </c>
      <c r="M86" s="34">
        <v>0</v>
      </c>
      <c r="N86" s="62"/>
      <c r="O86" s="34">
        <v>0</v>
      </c>
      <c r="P86" s="34">
        <v>0</v>
      </c>
      <c r="Q86" s="34">
        <v>0</v>
      </c>
      <c r="R86" s="62"/>
      <c r="S86" s="37">
        <v>0</v>
      </c>
      <c r="T86" s="34">
        <v>0</v>
      </c>
      <c r="U86" s="34">
        <v>0</v>
      </c>
      <c r="V86" s="62"/>
      <c r="W86" s="38">
        <v>0</v>
      </c>
      <c r="X86" s="31">
        <v>0</v>
      </c>
      <c r="Y86" s="31">
        <v>0</v>
      </c>
      <c r="Z86" s="78"/>
      <c r="AA86" s="37">
        <v>0</v>
      </c>
      <c r="AB86" s="34">
        <v>0</v>
      </c>
      <c r="AC86" s="34">
        <v>0</v>
      </c>
      <c r="AD86" s="64"/>
      <c r="AE86" s="79"/>
      <c r="AF86" s="64"/>
      <c r="AG86" s="43">
        <f t="shared" si="16"/>
        <v>0</v>
      </c>
      <c r="AH86" s="44">
        <f t="shared" si="16"/>
        <v>0</v>
      </c>
      <c r="AI86" s="44">
        <f t="shared" si="16"/>
        <v>0</v>
      </c>
      <c r="AJ86" s="45">
        <f t="shared" si="16"/>
        <v>0</v>
      </c>
      <c r="AK86" s="80">
        <f t="shared" si="17"/>
        <v>0</v>
      </c>
      <c r="AL86" s="47">
        <v>0.44</v>
      </c>
      <c r="AM86" s="48">
        <f t="shared" si="24"/>
        <v>0</v>
      </c>
      <c r="AN86" s="48">
        <f t="shared" si="25"/>
        <v>0</v>
      </c>
      <c r="AO86" s="49">
        <f t="shared" si="23"/>
        <v>0</v>
      </c>
      <c r="AP86" s="49">
        <f t="shared" si="18"/>
        <v>0</v>
      </c>
      <c r="AQ86" s="50">
        <f t="shared" si="19"/>
        <v>0</v>
      </c>
      <c r="AR86" s="81"/>
      <c r="AS86" s="82"/>
      <c r="AT86" s="83"/>
      <c r="AU86" s="84"/>
      <c r="AV86" s="85"/>
      <c r="AW86" s="86"/>
      <c r="AX86" s="86"/>
      <c r="AY86" s="82"/>
      <c r="AZ86" s="87"/>
    </row>
    <row r="87" spans="1:52" ht="16.5" thickBot="1" x14ac:dyDescent="0.3">
      <c r="A87" s="74"/>
      <c r="B87" s="75" t="s">
        <v>80</v>
      </c>
      <c r="C87" s="76"/>
      <c r="D87" s="26">
        <f t="shared" si="20"/>
        <v>0</v>
      </c>
      <c r="E87" s="27">
        <f t="shared" si="21"/>
        <v>0</v>
      </c>
      <c r="F87" s="29">
        <f t="shared" si="22"/>
        <v>0</v>
      </c>
      <c r="G87" s="30">
        <v>0</v>
      </c>
      <c r="H87" s="31">
        <v>0</v>
      </c>
      <c r="I87" s="32">
        <v>0</v>
      </c>
      <c r="J87" s="77"/>
      <c r="K87" s="33">
        <v>0</v>
      </c>
      <c r="L87" s="34">
        <v>0</v>
      </c>
      <c r="M87" s="34">
        <v>0</v>
      </c>
      <c r="N87" s="62"/>
      <c r="O87" s="34">
        <v>0</v>
      </c>
      <c r="P87" s="34">
        <v>0</v>
      </c>
      <c r="Q87" s="34">
        <v>0</v>
      </c>
      <c r="R87" s="62"/>
      <c r="S87" s="37">
        <v>0</v>
      </c>
      <c r="T87" s="34">
        <v>0</v>
      </c>
      <c r="U87" s="34">
        <v>0</v>
      </c>
      <c r="V87" s="62"/>
      <c r="W87" s="38">
        <v>0</v>
      </c>
      <c r="X87" s="31">
        <v>0</v>
      </c>
      <c r="Y87" s="31">
        <v>0</v>
      </c>
      <c r="Z87" s="78"/>
      <c r="AA87" s="37">
        <v>0</v>
      </c>
      <c r="AB87" s="34">
        <v>0</v>
      </c>
      <c r="AC87" s="34">
        <v>0</v>
      </c>
      <c r="AD87" s="64"/>
      <c r="AE87" s="79"/>
      <c r="AF87" s="64"/>
      <c r="AG87" s="43">
        <f t="shared" si="16"/>
        <v>0</v>
      </c>
      <c r="AH87" s="44">
        <f t="shared" si="16"/>
        <v>0</v>
      </c>
      <c r="AI87" s="44">
        <f t="shared" si="16"/>
        <v>0</v>
      </c>
      <c r="AJ87" s="45">
        <f t="shared" si="16"/>
        <v>0</v>
      </c>
      <c r="AK87" s="80">
        <f t="shared" si="17"/>
        <v>0</v>
      </c>
      <c r="AL87" s="47">
        <v>0.44</v>
      </c>
      <c r="AM87" s="48">
        <f t="shared" si="24"/>
        <v>0</v>
      </c>
      <c r="AN87" s="48">
        <f t="shared" si="25"/>
        <v>0</v>
      </c>
      <c r="AO87" s="49">
        <f t="shared" si="23"/>
        <v>0</v>
      </c>
      <c r="AP87" s="49">
        <f t="shared" si="18"/>
        <v>0</v>
      </c>
      <c r="AQ87" s="50">
        <f t="shared" si="19"/>
        <v>0</v>
      </c>
      <c r="AR87" s="81"/>
      <c r="AS87" s="82"/>
      <c r="AT87" s="83"/>
      <c r="AU87" s="84"/>
      <c r="AV87" s="85"/>
      <c r="AW87" s="86"/>
      <c r="AX87" s="86"/>
      <c r="AY87" s="82"/>
      <c r="AZ87" s="87"/>
    </row>
    <row r="88" spans="1:52" ht="16.5" thickBot="1" x14ac:dyDescent="0.3">
      <c r="A88" s="74"/>
      <c r="B88" s="75" t="s">
        <v>81</v>
      </c>
      <c r="C88" s="76"/>
      <c r="D88" s="26">
        <f t="shared" si="20"/>
        <v>0</v>
      </c>
      <c r="E88" s="27">
        <f t="shared" si="21"/>
        <v>0</v>
      </c>
      <c r="F88" s="29">
        <f t="shared" si="22"/>
        <v>0</v>
      </c>
      <c r="G88" s="30">
        <v>0</v>
      </c>
      <c r="H88" s="31">
        <v>0</v>
      </c>
      <c r="I88" s="32">
        <v>0</v>
      </c>
      <c r="J88" s="77"/>
      <c r="K88" s="33">
        <v>0</v>
      </c>
      <c r="L88" s="34">
        <v>0</v>
      </c>
      <c r="M88" s="34">
        <v>0</v>
      </c>
      <c r="N88" s="62"/>
      <c r="O88" s="34">
        <v>0</v>
      </c>
      <c r="P88" s="34">
        <v>0</v>
      </c>
      <c r="Q88" s="34">
        <v>0</v>
      </c>
      <c r="R88" s="62"/>
      <c r="S88" s="37">
        <v>0</v>
      </c>
      <c r="T88" s="34">
        <v>0</v>
      </c>
      <c r="U88" s="34">
        <v>0</v>
      </c>
      <c r="V88" s="62"/>
      <c r="W88" s="38">
        <v>0</v>
      </c>
      <c r="X88" s="31">
        <v>0</v>
      </c>
      <c r="Y88" s="31">
        <v>0</v>
      </c>
      <c r="Z88" s="78"/>
      <c r="AA88" s="37">
        <v>0</v>
      </c>
      <c r="AB88" s="34">
        <v>0</v>
      </c>
      <c r="AC88" s="34">
        <v>0</v>
      </c>
      <c r="AD88" s="64"/>
      <c r="AE88" s="79"/>
      <c r="AF88" s="64"/>
      <c r="AG88" s="43">
        <f t="shared" si="16"/>
        <v>0</v>
      </c>
      <c r="AH88" s="44">
        <f t="shared" si="16"/>
        <v>0</v>
      </c>
      <c r="AI88" s="44">
        <f t="shared" si="16"/>
        <v>0</v>
      </c>
      <c r="AJ88" s="45">
        <f>J88+N88+R88+V88+Z88+AD88</f>
        <v>0</v>
      </c>
      <c r="AK88" s="80">
        <f t="shared" si="17"/>
        <v>0</v>
      </c>
      <c r="AL88" s="47">
        <v>0.44</v>
      </c>
      <c r="AM88" s="48">
        <f t="shared" si="24"/>
        <v>0</v>
      </c>
      <c r="AN88" s="48">
        <f t="shared" si="25"/>
        <v>0</v>
      </c>
      <c r="AO88" s="49">
        <f t="shared" si="23"/>
        <v>0</v>
      </c>
      <c r="AP88" s="49">
        <f t="shared" si="18"/>
        <v>0</v>
      </c>
      <c r="AQ88" s="50">
        <f t="shared" si="19"/>
        <v>0</v>
      </c>
      <c r="AR88" s="81"/>
      <c r="AS88" s="82"/>
      <c r="AT88" s="83"/>
      <c r="AU88" s="84"/>
      <c r="AV88" s="85"/>
      <c r="AW88" s="86"/>
      <c r="AX88" s="86"/>
      <c r="AY88" s="82"/>
      <c r="AZ88" s="87"/>
    </row>
    <row r="89" spans="1:52" ht="16.5" thickBot="1" x14ac:dyDescent="0.3">
      <c r="A89" s="74">
        <v>625</v>
      </c>
      <c r="B89" s="75" t="s">
        <v>75</v>
      </c>
      <c r="C89" s="76"/>
      <c r="D89" s="26">
        <f t="shared" si="20"/>
        <v>0</v>
      </c>
      <c r="E89" s="27">
        <f t="shared" si="21"/>
        <v>0</v>
      </c>
      <c r="F89" s="29">
        <f t="shared" si="22"/>
        <v>0</v>
      </c>
      <c r="G89" s="30">
        <v>7</v>
      </c>
      <c r="H89" s="31">
        <v>23</v>
      </c>
      <c r="I89" s="32">
        <v>19</v>
      </c>
      <c r="J89" s="77"/>
      <c r="K89" s="33">
        <v>7</v>
      </c>
      <c r="L89" s="34">
        <v>9</v>
      </c>
      <c r="M89" s="34">
        <v>10</v>
      </c>
      <c r="N89" s="62"/>
      <c r="O89" s="34">
        <v>14</v>
      </c>
      <c r="P89" s="34">
        <v>13</v>
      </c>
      <c r="Q89" s="34">
        <v>4</v>
      </c>
      <c r="R89" s="62"/>
      <c r="S89" s="37">
        <v>22</v>
      </c>
      <c r="T89" s="34">
        <v>28</v>
      </c>
      <c r="U89" s="34">
        <v>15</v>
      </c>
      <c r="V89" s="62"/>
      <c r="W89" s="38">
        <v>10</v>
      </c>
      <c r="X89" s="31">
        <v>12</v>
      </c>
      <c r="Y89" s="31">
        <v>4</v>
      </c>
      <c r="Z89" s="78"/>
      <c r="AA89" s="37">
        <v>14</v>
      </c>
      <c r="AB89" s="34">
        <v>45</v>
      </c>
      <c r="AC89" s="34">
        <v>21</v>
      </c>
      <c r="AD89" s="64"/>
      <c r="AE89" s="79"/>
      <c r="AF89" s="64"/>
      <c r="AG89" s="43">
        <f t="shared" si="16"/>
        <v>74</v>
      </c>
      <c r="AH89" s="44">
        <f t="shared" si="16"/>
        <v>130</v>
      </c>
      <c r="AI89" s="44">
        <f t="shared" si="16"/>
        <v>73</v>
      </c>
      <c r="AJ89" s="45">
        <f>J89+N89+R89+V89+Z89+AD89</f>
        <v>0</v>
      </c>
      <c r="AK89" s="80">
        <f t="shared" si="17"/>
        <v>277</v>
      </c>
      <c r="AL89" s="47">
        <v>0.75</v>
      </c>
      <c r="AM89" s="48">
        <f t="shared" si="24"/>
        <v>55.5</v>
      </c>
      <c r="AN89" s="48">
        <f t="shared" si="25"/>
        <v>97.5</v>
      </c>
      <c r="AO89" s="49">
        <f t="shared" si="23"/>
        <v>54.75</v>
      </c>
      <c r="AP89" s="49">
        <f t="shared" si="18"/>
        <v>0</v>
      </c>
      <c r="AQ89" s="50">
        <f t="shared" si="19"/>
        <v>16620</v>
      </c>
      <c r="AR89" s="81"/>
      <c r="AS89" s="82"/>
      <c r="AT89" s="83">
        <f>AK89*AS89</f>
        <v>0</v>
      </c>
      <c r="AU89" s="84">
        <f>AK89*AL89</f>
        <v>207.75</v>
      </c>
      <c r="AV89" s="85">
        <v>0</v>
      </c>
      <c r="AW89" s="86"/>
      <c r="AX89" s="86"/>
      <c r="AY89" s="82"/>
      <c r="AZ89" s="87"/>
    </row>
    <row r="90" spans="1:52" ht="16.5" thickBot="1" x14ac:dyDescent="0.3">
      <c r="A90" s="74"/>
      <c r="B90" s="75" t="s">
        <v>77</v>
      </c>
      <c r="C90" s="76"/>
      <c r="D90" s="26">
        <f t="shared" si="20"/>
        <v>0</v>
      </c>
      <c r="E90" s="27">
        <f t="shared" si="21"/>
        <v>0</v>
      </c>
      <c r="F90" s="29">
        <f t="shared" si="22"/>
        <v>0</v>
      </c>
      <c r="G90" s="30">
        <v>13</v>
      </c>
      <c r="H90" s="31">
        <v>35</v>
      </c>
      <c r="I90" s="32">
        <v>30</v>
      </c>
      <c r="J90" s="77"/>
      <c r="K90" s="33">
        <v>11</v>
      </c>
      <c r="L90" s="34">
        <v>8</v>
      </c>
      <c r="M90" s="34">
        <v>30</v>
      </c>
      <c r="N90" s="62"/>
      <c r="O90" s="34">
        <v>6</v>
      </c>
      <c r="P90" s="34">
        <v>25</v>
      </c>
      <c r="Q90" s="34">
        <v>13</v>
      </c>
      <c r="R90" s="62"/>
      <c r="S90" s="37">
        <v>23</v>
      </c>
      <c r="T90" s="34">
        <v>40</v>
      </c>
      <c r="U90" s="34">
        <v>24</v>
      </c>
      <c r="V90" s="62"/>
      <c r="W90" s="38">
        <v>20</v>
      </c>
      <c r="X90" s="31">
        <v>29</v>
      </c>
      <c r="Y90" s="31">
        <v>6</v>
      </c>
      <c r="Z90" s="78"/>
      <c r="AA90" s="37">
        <v>26</v>
      </c>
      <c r="AB90" s="34">
        <v>56</v>
      </c>
      <c r="AC90" s="34">
        <v>17</v>
      </c>
      <c r="AD90" s="64"/>
      <c r="AE90" s="79"/>
      <c r="AF90" s="64"/>
      <c r="AG90" s="43">
        <f t="shared" si="16"/>
        <v>99</v>
      </c>
      <c r="AH90" s="44">
        <f t="shared" si="16"/>
        <v>193</v>
      </c>
      <c r="AI90" s="44">
        <f t="shared" si="16"/>
        <v>120</v>
      </c>
      <c r="AJ90" s="45">
        <f>J90+N90+R90+V90+Z90+AD90</f>
        <v>0</v>
      </c>
      <c r="AK90" s="80">
        <f t="shared" si="17"/>
        <v>412</v>
      </c>
      <c r="AL90" s="47">
        <v>0.75</v>
      </c>
      <c r="AM90" s="48">
        <f t="shared" si="24"/>
        <v>74.25</v>
      </c>
      <c r="AN90" s="48">
        <f t="shared" si="25"/>
        <v>144.75</v>
      </c>
      <c r="AO90" s="49">
        <f t="shared" si="23"/>
        <v>90</v>
      </c>
      <c r="AP90" s="49">
        <f t="shared" si="18"/>
        <v>0</v>
      </c>
      <c r="AQ90" s="50">
        <f t="shared" si="19"/>
        <v>24720</v>
      </c>
      <c r="AR90" s="81"/>
      <c r="AS90" s="82"/>
      <c r="AT90" s="83"/>
      <c r="AU90" s="84"/>
      <c r="AV90" s="85"/>
      <c r="AW90" s="86"/>
      <c r="AX90" s="86"/>
      <c r="AY90" s="82"/>
      <c r="AZ90" s="87"/>
    </row>
    <row r="91" spans="1:52" ht="16.5" thickBot="1" x14ac:dyDescent="0.3">
      <c r="A91" s="74"/>
      <c r="B91" s="75" t="s">
        <v>82</v>
      </c>
      <c r="C91" s="76"/>
      <c r="D91" s="26">
        <f t="shared" si="20"/>
        <v>0</v>
      </c>
      <c r="E91" s="27">
        <f t="shared" si="21"/>
        <v>0</v>
      </c>
      <c r="F91" s="29">
        <f t="shared" si="22"/>
        <v>0</v>
      </c>
      <c r="G91" s="30">
        <v>15</v>
      </c>
      <c r="H91" s="31">
        <v>29</v>
      </c>
      <c r="I91" s="32">
        <v>25</v>
      </c>
      <c r="J91" s="77"/>
      <c r="K91" s="33">
        <v>6</v>
      </c>
      <c r="L91" s="34">
        <v>21</v>
      </c>
      <c r="M91" s="34">
        <v>25</v>
      </c>
      <c r="N91" s="62"/>
      <c r="O91" s="34">
        <v>8</v>
      </c>
      <c r="P91" s="34">
        <v>19</v>
      </c>
      <c r="Q91" s="34">
        <v>11</v>
      </c>
      <c r="R91" s="62"/>
      <c r="S91" s="37">
        <v>21</v>
      </c>
      <c r="T91" s="34">
        <v>39</v>
      </c>
      <c r="U91" s="34">
        <v>17</v>
      </c>
      <c r="V91" s="62"/>
      <c r="W91" s="38">
        <v>15</v>
      </c>
      <c r="X91" s="31">
        <v>29</v>
      </c>
      <c r="Y91" s="31">
        <v>5</v>
      </c>
      <c r="Z91" s="78"/>
      <c r="AA91" s="37">
        <v>25</v>
      </c>
      <c r="AB91" s="34">
        <v>77</v>
      </c>
      <c r="AC91" s="34">
        <v>23</v>
      </c>
      <c r="AD91" s="64"/>
      <c r="AE91" s="79"/>
      <c r="AF91" s="64"/>
      <c r="AG91" s="43">
        <f t="shared" si="16"/>
        <v>90</v>
      </c>
      <c r="AH91" s="44">
        <f t="shared" si="16"/>
        <v>214</v>
      </c>
      <c r="AI91" s="44">
        <f t="shared" si="16"/>
        <v>106</v>
      </c>
      <c r="AJ91" s="45">
        <f t="shared" si="16"/>
        <v>0</v>
      </c>
      <c r="AK91" s="80">
        <f t="shared" si="17"/>
        <v>410</v>
      </c>
      <c r="AL91" s="47">
        <v>0.75</v>
      </c>
      <c r="AM91" s="48">
        <f t="shared" si="24"/>
        <v>67.5</v>
      </c>
      <c r="AN91" s="48">
        <f t="shared" si="25"/>
        <v>160.5</v>
      </c>
      <c r="AO91" s="49">
        <f t="shared" si="23"/>
        <v>79.5</v>
      </c>
      <c r="AP91" s="49">
        <f t="shared" si="18"/>
        <v>0</v>
      </c>
      <c r="AQ91" s="50">
        <f t="shared" si="19"/>
        <v>24600</v>
      </c>
      <c r="AR91" s="81"/>
      <c r="AS91" s="82"/>
      <c r="AT91" s="83"/>
      <c r="AU91" s="84"/>
      <c r="AV91" s="85"/>
      <c r="AW91" s="86"/>
      <c r="AX91" s="86"/>
      <c r="AY91" s="82"/>
      <c r="AZ91" s="87"/>
    </row>
    <row r="92" spans="1:52" ht="16.5" thickBot="1" x14ac:dyDescent="0.3">
      <c r="A92" s="74"/>
      <c r="B92" s="75" t="s">
        <v>81</v>
      </c>
      <c r="C92" s="76"/>
      <c r="D92" s="26">
        <f t="shared" si="20"/>
        <v>0</v>
      </c>
      <c r="E92" s="27">
        <f t="shared" si="21"/>
        <v>0</v>
      </c>
      <c r="F92" s="29">
        <f t="shared" si="22"/>
        <v>0</v>
      </c>
      <c r="G92" s="30">
        <v>2</v>
      </c>
      <c r="H92" s="31">
        <v>10</v>
      </c>
      <c r="I92" s="32">
        <v>1</v>
      </c>
      <c r="J92" s="77"/>
      <c r="K92" s="33">
        <v>1</v>
      </c>
      <c r="L92" s="34">
        <v>1</v>
      </c>
      <c r="M92" s="34">
        <v>3</v>
      </c>
      <c r="N92" s="62"/>
      <c r="O92" s="34">
        <v>7</v>
      </c>
      <c r="P92" s="34">
        <v>4</v>
      </c>
      <c r="Q92" s="34">
        <v>6</v>
      </c>
      <c r="R92" s="62"/>
      <c r="S92" s="37">
        <v>4</v>
      </c>
      <c r="T92" s="34">
        <v>15</v>
      </c>
      <c r="U92" s="34">
        <v>6</v>
      </c>
      <c r="V92" s="62"/>
      <c r="W92" s="38">
        <v>1</v>
      </c>
      <c r="X92" s="31">
        <v>11</v>
      </c>
      <c r="Y92" s="31">
        <v>4</v>
      </c>
      <c r="Z92" s="78"/>
      <c r="AA92" s="37">
        <v>4</v>
      </c>
      <c r="AB92" s="34">
        <v>4</v>
      </c>
      <c r="AC92" s="34">
        <v>5</v>
      </c>
      <c r="AD92" s="64"/>
      <c r="AE92" s="79"/>
      <c r="AF92" s="64"/>
      <c r="AG92" s="43">
        <f t="shared" si="16"/>
        <v>19</v>
      </c>
      <c r="AH92" s="44">
        <f t="shared" si="16"/>
        <v>45</v>
      </c>
      <c r="AI92" s="44">
        <f t="shared" si="16"/>
        <v>25</v>
      </c>
      <c r="AJ92" s="45">
        <f t="shared" si="16"/>
        <v>0</v>
      </c>
      <c r="AK92" s="80">
        <f t="shared" si="17"/>
        <v>89</v>
      </c>
      <c r="AL92" s="47">
        <v>0.75</v>
      </c>
      <c r="AM92" s="48">
        <f t="shared" si="24"/>
        <v>14.25</v>
      </c>
      <c r="AN92" s="48">
        <f t="shared" si="25"/>
        <v>33.75</v>
      </c>
      <c r="AO92" s="49">
        <f t="shared" si="23"/>
        <v>18.75</v>
      </c>
      <c r="AP92" s="49">
        <f t="shared" si="18"/>
        <v>0</v>
      </c>
      <c r="AQ92" s="50">
        <f t="shared" si="19"/>
        <v>5340</v>
      </c>
      <c r="AR92" s="81"/>
      <c r="AS92" s="82"/>
      <c r="AT92" s="83"/>
      <c r="AU92" s="84"/>
      <c r="AV92" s="85"/>
      <c r="AW92" s="86"/>
      <c r="AX92" s="86"/>
      <c r="AY92" s="82"/>
      <c r="AZ92" s="87"/>
    </row>
    <row r="93" spans="1:52" ht="16.5" thickBot="1" x14ac:dyDescent="0.3">
      <c r="A93" s="74"/>
      <c r="B93" s="75" t="s">
        <v>79</v>
      </c>
      <c r="C93" s="76"/>
      <c r="D93" s="26">
        <f t="shared" si="20"/>
        <v>0</v>
      </c>
      <c r="E93" s="27">
        <f t="shared" si="21"/>
        <v>0</v>
      </c>
      <c r="F93" s="29">
        <f t="shared" si="22"/>
        <v>0</v>
      </c>
      <c r="G93" s="30">
        <v>0</v>
      </c>
      <c r="H93" s="31">
        <v>0</v>
      </c>
      <c r="I93" s="32">
        <v>0</v>
      </c>
      <c r="J93" s="77"/>
      <c r="K93" s="33">
        <v>0</v>
      </c>
      <c r="L93" s="34">
        <v>0</v>
      </c>
      <c r="M93" s="34">
        <v>0</v>
      </c>
      <c r="N93" s="62"/>
      <c r="O93" s="34">
        <v>0</v>
      </c>
      <c r="P93" s="34">
        <v>0</v>
      </c>
      <c r="Q93" s="34">
        <v>0</v>
      </c>
      <c r="R93" s="62"/>
      <c r="S93" s="37">
        <v>0</v>
      </c>
      <c r="T93" s="34">
        <v>0</v>
      </c>
      <c r="U93" s="34">
        <v>0</v>
      </c>
      <c r="V93" s="62"/>
      <c r="W93" s="38">
        <v>0</v>
      </c>
      <c r="X93" s="31">
        <v>0</v>
      </c>
      <c r="Y93" s="31">
        <v>0</v>
      </c>
      <c r="Z93" s="78"/>
      <c r="AA93" s="37">
        <v>0</v>
      </c>
      <c r="AB93" s="34">
        <v>0</v>
      </c>
      <c r="AC93" s="34">
        <v>0</v>
      </c>
      <c r="AD93" s="64"/>
      <c r="AE93" s="79"/>
      <c r="AF93" s="64"/>
      <c r="AG93" s="43">
        <f t="shared" si="16"/>
        <v>0</v>
      </c>
      <c r="AH93" s="44">
        <f t="shared" si="16"/>
        <v>0</v>
      </c>
      <c r="AI93" s="44">
        <f t="shared" si="16"/>
        <v>0</v>
      </c>
      <c r="AJ93" s="45">
        <f t="shared" si="16"/>
        <v>0</v>
      </c>
      <c r="AK93" s="80">
        <f t="shared" si="17"/>
        <v>0</v>
      </c>
      <c r="AL93" s="47">
        <v>0.75</v>
      </c>
      <c r="AM93" s="48">
        <f t="shared" si="24"/>
        <v>0</v>
      </c>
      <c r="AN93" s="48">
        <f t="shared" si="25"/>
        <v>0</v>
      </c>
      <c r="AO93" s="49">
        <f t="shared" si="23"/>
        <v>0</v>
      </c>
      <c r="AP93" s="49">
        <f t="shared" si="18"/>
        <v>0</v>
      </c>
      <c r="AQ93" s="50">
        <f t="shared" si="19"/>
        <v>0</v>
      </c>
      <c r="AR93" s="81"/>
      <c r="AS93" s="82"/>
      <c r="AT93" s="83"/>
      <c r="AU93" s="84"/>
      <c r="AV93" s="85"/>
      <c r="AW93" s="86"/>
      <c r="AX93" s="86"/>
      <c r="AY93" s="82"/>
      <c r="AZ93" s="87"/>
    </row>
    <row r="94" spans="1:52" ht="16.5" thickBot="1" x14ac:dyDescent="0.3">
      <c r="A94" s="74"/>
      <c r="B94" s="75" t="s">
        <v>80</v>
      </c>
      <c r="C94" s="76"/>
      <c r="D94" s="26">
        <f t="shared" si="20"/>
        <v>0</v>
      </c>
      <c r="E94" s="27">
        <f t="shared" si="21"/>
        <v>0</v>
      </c>
      <c r="F94" s="29">
        <f t="shared" si="22"/>
        <v>0</v>
      </c>
      <c r="G94" s="30">
        <v>0</v>
      </c>
      <c r="H94" s="31">
        <v>0</v>
      </c>
      <c r="I94" s="32">
        <v>0</v>
      </c>
      <c r="J94" s="77"/>
      <c r="K94" s="33">
        <v>0</v>
      </c>
      <c r="L94" s="34">
        <v>0</v>
      </c>
      <c r="M94" s="34">
        <v>0</v>
      </c>
      <c r="N94" s="62"/>
      <c r="O94" s="34">
        <v>0</v>
      </c>
      <c r="P94" s="34">
        <v>0</v>
      </c>
      <c r="Q94" s="34">
        <v>0</v>
      </c>
      <c r="R94" s="62"/>
      <c r="S94" s="37">
        <v>0</v>
      </c>
      <c r="T94" s="34">
        <v>0</v>
      </c>
      <c r="U94" s="34">
        <v>0</v>
      </c>
      <c r="V94" s="62"/>
      <c r="W94" s="38">
        <v>0</v>
      </c>
      <c r="X94" s="31">
        <v>0</v>
      </c>
      <c r="Y94" s="31">
        <v>0</v>
      </c>
      <c r="Z94" s="78"/>
      <c r="AA94" s="37">
        <v>3</v>
      </c>
      <c r="AB94" s="34">
        <v>7</v>
      </c>
      <c r="AC94" s="34">
        <v>2</v>
      </c>
      <c r="AD94" s="64"/>
      <c r="AE94" s="79"/>
      <c r="AF94" s="64"/>
      <c r="AG94" s="43">
        <f t="shared" si="16"/>
        <v>3</v>
      </c>
      <c r="AH94" s="44">
        <f t="shared" si="16"/>
        <v>7</v>
      </c>
      <c r="AI94" s="44">
        <f t="shared" si="16"/>
        <v>2</v>
      </c>
      <c r="AJ94" s="45">
        <f t="shared" si="16"/>
        <v>0</v>
      </c>
      <c r="AK94" s="80">
        <f t="shared" si="17"/>
        <v>12</v>
      </c>
      <c r="AL94" s="47">
        <v>0.75</v>
      </c>
      <c r="AM94" s="48">
        <f t="shared" si="24"/>
        <v>2.25</v>
      </c>
      <c r="AN94" s="48">
        <f t="shared" si="25"/>
        <v>5.25</v>
      </c>
      <c r="AO94" s="49">
        <f t="shared" si="23"/>
        <v>1.5</v>
      </c>
      <c r="AP94" s="49">
        <f t="shared" si="18"/>
        <v>0</v>
      </c>
      <c r="AQ94" s="50">
        <f t="shared" si="19"/>
        <v>720</v>
      </c>
      <c r="AR94" s="81"/>
      <c r="AS94" s="82"/>
      <c r="AT94" s="83"/>
      <c r="AU94" s="84"/>
      <c r="AV94" s="85"/>
      <c r="AW94" s="86"/>
      <c r="AX94" s="86"/>
      <c r="AY94" s="82"/>
      <c r="AZ94" s="87"/>
    </row>
    <row r="95" spans="1:52" ht="16.5" thickBot="1" x14ac:dyDescent="0.3">
      <c r="A95" s="74"/>
      <c r="B95" s="75" t="s">
        <v>78</v>
      </c>
      <c r="C95" s="76"/>
      <c r="D95" s="26">
        <f t="shared" si="20"/>
        <v>0</v>
      </c>
      <c r="E95" s="27">
        <f t="shared" si="21"/>
        <v>0</v>
      </c>
      <c r="F95" s="29">
        <f t="shared" si="22"/>
        <v>0</v>
      </c>
      <c r="G95" s="30">
        <v>0</v>
      </c>
      <c r="H95" s="31">
        <v>0</v>
      </c>
      <c r="I95" s="32">
        <v>0</v>
      </c>
      <c r="J95" s="77"/>
      <c r="K95" s="33">
        <v>0</v>
      </c>
      <c r="L95" s="34">
        <v>0</v>
      </c>
      <c r="M95" s="34">
        <v>0</v>
      </c>
      <c r="N95" s="62"/>
      <c r="O95" s="34">
        <v>0</v>
      </c>
      <c r="P95" s="34">
        <v>0</v>
      </c>
      <c r="Q95" s="34">
        <v>0</v>
      </c>
      <c r="R95" s="62"/>
      <c r="S95" s="37">
        <v>0</v>
      </c>
      <c r="T95" s="34">
        <v>0</v>
      </c>
      <c r="U95" s="34">
        <v>0</v>
      </c>
      <c r="V95" s="62"/>
      <c r="W95" s="38">
        <v>0</v>
      </c>
      <c r="X95" s="31">
        <v>0</v>
      </c>
      <c r="Y95" s="31">
        <v>0</v>
      </c>
      <c r="Z95" s="78"/>
      <c r="AA95" s="37">
        <v>0</v>
      </c>
      <c r="AB95" s="34">
        <v>0</v>
      </c>
      <c r="AC95" s="34">
        <v>0</v>
      </c>
      <c r="AD95" s="64"/>
      <c r="AE95" s="79"/>
      <c r="AF95" s="64"/>
      <c r="AG95" s="43">
        <f t="shared" si="16"/>
        <v>0</v>
      </c>
      <c r="AH95" s="44">
        <f t="shared" si="16"/>
        <v>0</v>
      </c>
      <c r="AI95" s="44">
        <f t="shared" si="16"/>
        <v>0</v>
      </c>
      <c r="AJ95" s="45">
        <f t="shared" si="16"/>
        <v>0</v>
      </c>
      <c r="AK95" s="80">
        <f t="shared" si="17"/>
        <v>0</v>
      </c>
      <c r="AL95" s="47">
        <v>0.75</v>
      </c>
      <c r="AM95" s="48">
        <f t="shared" si="24"/>
        <v>0</v>
      </c>
      <c r="AN95" s="48">
        <f t="shared" si="25"/>
        <v>0</v>
      </c>
      <c r="AO95" s="49">
        <f t="shared" si="23"/>
        <v>0</v>
      </c>
      <c r="AP95" s="49">
        <f t="shared" si="18"/>
        <v>0</v>
      </c>
      <c r="AQ95" s="50">
        <f t="shared" si="19"/>
        <v>0</v>
      </c>
      <c r="AR95" s="81"/>
      <c r="AS95" s="82"/>
      <c r="AT95" s="83"/>
      <c r="AU95" s="84"/>
      <c r="AV95" s="85"/>
      <c r="AW95" s="86"/>
      <c r="AX95" s="86"/>
      <c r="AY95" s="82"/>
      <c r="AZ95" s="87"/>
    </row>
    <row r="96" spans="1:52" ht="16.5" thickBot="1" x14ac:dyDescent="0.3">
      <c r="A96" s="74">
        <v>500</v>
      </c>
      <c r="B96" s="75" t="s">
        <v>83</v>
      </c>
      <c r="C96" s="76">
        <v>100</v>
      </c>
      <c r="D96" s="26">
        <f t="shared" si="20"/>
        <v>33.333333333333336</v>
      </c>
      <c r="E96" s="27">
        <f t="shared" si="21"/>
        <v>33.333333333333336</v>
      </c>
      <c r="F96" s="29">
        <f t="shared" si="22"/>
        <v>33.333333333333336</v>
      </c>
      <c r="G96" s="30">
        <v>1</v>
      </c>
      <c r="H96" s="31">
        <v>0</v>
      </c>
      <c r="I96" s="32">
        <v>0</v>
      </c>
      <c r="J96" s="77"/>
      <c r="K96" s="33">
        <v>1</v>
      </c>
      <c r="L96" s="34">
        <v>12</v>
      </c>
      <c r="M96" s="34">
        <v>1</v>
      </c>
      <c r="N96" s="62"/>
      <c r="O96" s="34">
        <v>0</v>
      </c>
      <c r="P96" s="34">
        <v>0</v>
      </c>
      <c r="Q96" s="34">
        <v>1</v>
      </c>
      <c r="R96" s="62"/>
      <c r="S96" s="37">
        <v>2</v>
      </c>
      <c r="T96" s="34">
        <v>0</v>
      </c>
      <c r="U96" s="34">
        <v>1</v>
      </c>
      <c r="V96" s="62"/>
      <c r="W96" s="38">
        <v>1</v>
      </c>
      <c r="X96" s="31">
        <v>0</v>
      </c>
      <c r="Y96" s="31">
        <v>0</v>
      </c>
      <c r="Z96" s="78"/>
      <c r="AA96" s="37">
        <v>0</v>
      </c>
      <c r="AB96" s="34">
        <v>0</v>
      </c>
      <c r="AC96" s="34">
        <v>0</v>
      </c>
      <c r="AD96" s="64"/>
      <c r="AE96" s="79"/>
      <c r="AF96" s="64"/>
      <c r="AG96" s="43">
        <f t="shared" si="16"/>
        <v>5</v>
      </c>
      <c r="AH96" s="44">
        <f t="shared" si="16"/>
        <v>12</v>
      </c>
      <c r="AI96" s="44">
        <f t="shared" si="16"/>
        <v>3</v>
      </c>
      <c r="AJ96" s="45">
        <f t="shared" si="16"/>
        <v>0</v>
      </c>
      <c r="AK96" s="80">
        <f t="shared" si="17"/>
        <v>20</v>
      </c>
      <c r="AL96" s="47">
        <v>1</v>
      </c>
      <c r="AM96" s="48">
        <f t="shared" si="24"/>
        <v>5</v>
      </c>
      <c r="AN96" s="48">
        <f t="shared" si="25"/>
        <v>12</v>
      </c>
      <c r="AO96" s="49">
        <f t="shared" si="23"/>
        <v>3</v>
      </c>
      <c r="AP96" s="49">
        <f t="shared" si="18"/>
        <v>0</v>
      </c>
      <c r="AQ96" s="50">
        <f t="shared" si="19"/>
        <v>1200</v>
      </c>
      <c r="AR96" s="81">
        <v>26.12</v>
      </c>
      <c r="AS96" s="82">
        <v>3.879999999999999</v>
      </c>
      <c r="AT96" s="83">
        <f>AK96*AS96</f>
        <v>77.59999999999998</v>
      </c>
      <c r="AU96" s="84">
        <f t="shared" ref="AU96:AU110" si="26">AK96*AL96</f>
        <v>20</v>
      </c>
      <c r="AV96" s="85">
        <v>0</v>
      </c>
      <c r="AW96" s="86"/>
      <c r="AX96" s="86"/>
      <c r="AY96" s="82"/>
      <c r="AZ96" s="87">
        <f>AT96-AU96-AW96-AX96-AY96</f>
        <v>57.59999999999998</v>
      </c>
    </row>
    <row r="97" spans="1:52" ht="16.5" thickBot="1" x14ac:dyDescent="0.3">
      <c r="A97" s="74">
        <v>360</v>
      </c>
      <c r="B97" s="75" t="s">
        <v>83</v>
      </c>
      <c r="C97" s="76">
        <v>80</v>
      </c>
      <c r="D97" s="26">
        <f t="shared" si="20"/>
        <v>26.666666666666668</v>
      </c>
      <c r="E97" s="27">
        <f t="shared" si="21"/>
        <v>26.666666666666668</v>
      </c>
      <c r="F97" s="29">
        <f t="shared" si="22"/>
        <v>26.666666666666668</v>
      </c>
      <c r="G97" s="30">
        <v>0</v>
      </c>
      <c r="H97" s="31">
        <v>0</v>
      </c>
      <c r="I97" s="32">
        <v>0</v>
      </c>
      <c r="J97" s="77"/>
      <c r="K97" s="33">
        <v>0</v>
      </c>
      <c r="L97" s="34">
        <v>0</v>
      </c>
      <c r="M97" s="34">
        <v>0</v>
      </c>
      <c r="N97" s="62"/>
      <c r="O97" s="34">
        <v>0</v>
      </c>
      <c r="P97" s="34">
        <v>0</v>
      </c>
      <c r="Q97" s="34">
        <v>0</v>
      </c>
      <c r="R97" s="62"/>
      <c r="S97" s="37">
        <v>0</v>
      </c>
      <c r="T97" s="34">
        <v>0</v>
      </c>
      <c r="U97" s="34">
        <v>0</v>
      </c>
      <c r="V97" s="62"/>
      <c r="W97" s="38">
        <v>0</v>
      </c>
      <c r="X97" s="31">
        <v>0</v>
      </c>
      <c r="Y97" s="31">
        <v>0</v>
      </c>
      <c r="Z97" s="78"/>
      <c r="AA97" s="37">
        <v>1</v>
      </c>
      <c r="AB97" s="34">
        <v>0</v>
      </c>
      <c r="AC97" s="34">
        <v>4</v>
      </c>
      <c r="AD97" s="64"/>
      <c r="AE97" s="79"/>
      <c r="AF97" s="64"/>
      <c r="AG97" s="43">
        <f t="shared" si="16"/>
        <v>1</v>
      </c>
      <c r="AH97" s="44">
        <f t="shared" si="16"/>
        <v>0</v>
      </c>
      <c r="AI97" s="44">
        <f t="shared" si="16"/>
        <v>4</v>
      </c>
      <c r="AJ97" s="45">
        <f t="shared" si="16"/>
        <v>0</v>
      </c>
      <c r="AK97" s="80">
        <f t="shared" si="17"/>
        <v>5</v>
      </c>
      <c r="AL97" s="47">
        <v>0.5</v>
      </c>
      <c r="AM97" s="48">
        <f t="shared" si="24"/>
        <v>0.5</v>
      </c>
      <c r="AN97" s="48">
        <f t="shared" si="25"/>
        <v>0</v>
      </c>
      <c r="AO97" s="49">
        <f t="shared" si="23"/>
        <v>2</v>
      </c>
      <c r="AP97" s="49">
        <f t="shared" si="18"/>
        <v>0</v>
      </c>
      <c r="AQ97" s="50">
        <f t="shared" si="19"/>
        <v>300</v>
      </c>
      <c r="AR97" s="81"/>
      <c r="AS97" s="82"/>
      <c r="AT97" s="83"/>
      <c r="AU97" s="84">
        <f t="shared" si="26"/>
        <v>2.5</v>
      </c>
      <c r="AV97" s="85">
        <v>0</v>
      </c>
      <c r="AW97" s="86"/>
      <c r="AX97" s="86"/>
      <c r="AY97" s="82"/>
      <c r="AZ97" s="87"/>
    </row>
    <row r="98" spans="1:52" ht="16.5" thickBot="1" x14ac:dyDescent="0.3">
      <c r="A98" s="74">
        <v>625</v>
      </c>
      <c r="B98" s="75" t="s">
        <v>84</v>
      </c>
      <c r="C98" s="88"/>
      <c r="D98" s="26">
        <f t="shared" si="20"/>
        <v>0</v>
      </c>
      <c r="E98" s="27">
        <f t="shared" si="21"/>
        <v>0</v>
      </c>
      <c r="F98" s="29">
        <f t="shared" si="22"/>
        <v>0</v>
      </c>
      <c r="G98" s="30">
        <v>0</v>
      </c>
      <c r="H98" s="31">
        <v>0</v>
      </c>
      <c r="I98" s="32">
        <v>0</v>
      </c>
      <c r="J98" s="77"/>
      <c r="K98" s="33">
        <v>0</v>
      </c>
      <c r="L98" s="34">
        <v>0</v>
      </c>
      <c r="M98" s="34">
        <v>0</v>
      </c>
      <c r="N98" s="62"/>
      <c r="O98" s="34">
        <v>0</v>
      </c>
      <c r="P98" s="34">
        <v>0</v>
      </c>
      <c r="Q98" s="34">
        <v>0</v>
      </c>
      <c r="R98" s="62"/>
      <c r="S98" s="37">
        <v>0</v>
      </c>
      <c r="T98" s="34">
        <v>0</v>
      </c>
      <c r="U98" s="34">
        <v>0</v>
      </c>
      <c r="V98" s="62"/>
      <c r="W98" s="38">
        <v>0</v>
      </c>
      <c r="X98" s="31">
        <v>0</v>
      </c>
      <c r="Y98" s="31">
        <v>0</v>
      </c>
      <c r="Z98" s="78"/>
      <c r="AA98" s="37">
        <v>0</v>
      </c>
      <c r="AB98" s="34">
        <v>0</v>
      </c>
      <c r="AC98" s="34">
        <v>0</v>
      </c>
      <c r="AD98" s="64"/>
      <c r="AE98" s="79"/>
      <c r="AF98" s="64"/>
      <c r="AG98" s="43">
        <f t="shared" si="16"/>
        <v>0</v>
      </c>
      <c r="AH98" s="44">
        <f t="shared" si="16"/>
        <v>0</v>
      </c>
      <c r="AI98" s="44">
        <f t="shared" si="16"/>
        <v>0</v>
      </c>
      <c r="AJ98" s="45">
        <f t="shared" si="16"/>
        <v>0</v>
      </c>
      <c r="AK98" s="80">
        <f t="shared" si="17"/>
        <v>0</v>
      </c>
      <c r="AL98" s="47">
        <v>1</v>
      </c>
      <c r="AM98" s="48">
        <f t="shared" si="24"/>
        <v>0</v>
      </c>
      <c r="AN98" s="48">
        <f t="shared" si="25"/>
        <v>0</v>
      </c>
      <c r="AO98" s="49">
        <f t="shared" si="23"/>
        <v>0</v>
      </c>
      <c r="AP98" s="49">
        <f t="shared" si="18"/>
        <v>0</v>
      </c>
      <c r="AQ98" s="50">
        <f t="shared" si="19"/>
        <v>0</v>
      </c>
      <c r="AR98" s="81">
        <v>50.64</v>
      </c>
      <c r="AS98" s="82">
        <v>9.36</v>
      </c>
      <c r="AT98" s="83">
        <f>AK98*AS98</f>
        <v>0</v>
      </c>
      <c r="AU98" s="84">
        <f t="shared" si="26"/>
        <v>0</v>
      </c>
      <c r="AV98" s="85">
        <v>0</v>
      </c>
      <c r="AW98" s="86"/>
      <c r="AX98" s="86"/>
      <c r="AY98" s="82"/>
      <c r="AZ98" s="87">
        <f>AT98-AU98-AW98-AX98-AY98</f>
        <v>0</v>
      </c>
    </row>
    <row r="99" spans="1:52" ht="16.5" thickBot="1" x14ac:dyDescent="0.3">
      <c r="A99" s="74">
        <v>3030</v>
      </c>
      <c r="B99" s="75" t="s">
        <v>85</v>
      </c>
      <c r="C99" s="76"/>
      <c r="D99" s="26">
        <f t="shared" si="20"/>
        <v>0</v>
      </c>
      <c r="E99" s="27">
        <f t="shared" si="21"/>
        <v>0</v>
      </c>
      <c r="F99" s="29">
        <f t="shared" si="22"/>
        <v>0</v>
      </c>
      <c r="G99" s="30">
        <v>0</v>
      </c>
      <c r="H99" s="31">
        <v>0</v>
      </c>
      <c r="I99" s="32">
        <v>0</v>
      </c>
      <c r="J99" s="77"/>
      <c r="K99" s="33">
        <v>0</v>
      </c>
      <c r="L99" s="34">
        <v>0</v>
      </c>
      <c r="M99" s="34">
        <v>0</v>
      </c>
      <c r="N99" s="62"/>
      <c r="O99" s="34">
        <v>0</v>
      </c>
      <c r="P99" s="34">
        <v>0</v>
      </c>
      <c r="Q99" s="34">
        <v>0</v>
      </c>
      <c r="R99" s="62"/>
      <c r="S99" s="37">
        <v>0</v>
      </c>
      <c r="T99" s="34">
        <v>0</v>
      </c>
      <c r="U99" s="34">
        <v>0</v>
      </c>
      <c r="V99" s="62"/>
      <c r="W99" s="38">
        <v>0</v>
      </c>
      <c r="X99" s="31">
        <v>0</v>
      </c>
      <c r="Y99" s="31">
        <v>0</v>
      </c>
      <c r="Z99" s="78"/>
      <c r="AA99" s="37">
        <v>0</v>
      </c>
      <c r="AB99" s="34">
        <v>0</v>
      </c>
      <c r="AC99" s="34">
        <v>0</v>
      </c>
      <c r="AD99" s="64"/>
      <c r="AE99" s="79"/>
      <c r="AF99" s="64"/>
      <c r="AG99" s="43">
        <f t="shared" si="16"/>
        <v>0</v>
      </c>
      <c r="AH99" s="44">
        <f t="shared" si="16"/>
        <v>0</v>
      </c>
      <c r="AI99" s="44">
        <f t="shared" si="16"/>
        <v>0</v>
      </c>
      <c r="AJ99" s="45">
        <f t="shared" si="16"/>
        <v>0</v>
      </c>
      <c r="AK99" s="80">
        <f t="shared" si="17"/>
        <v>0</v>
      </c>
      <c r="AL99" s="47">
        <v>2</v>
      </c>
      <c r="AM99" s="48">
        <f t="shared" si="24"/>
        <v>0</v>
      </c>
      <c r="AN99" s="48">
        <f t="shared" si="25"/>
        <v>0</v>
      </c>
      <c r="AO99" s="49">
        <f t="shared" si="23"/>
        <v>0</v>
      </c>
      <c r="AP99" s="49">
        <f t="shared" si="18"/>
        <v>0</v>
      </c>
      <c r="AQ99" s="50">
        <f t="shared" si="19"/>
        <v>0</v>
      </c>
      <c r="AR99" s="81">
        <v>42.35</v>
      </c>
      <c r="AS99" s="82">
        <v>7.6499999999999986</v>
      </c>
      <c r="AT99" s="83">
        <f>AK99*AS99</f>
        <v>0</v>
      </c>
      <c r="AU99" s="84">
        <f t="shared" si="26"/>
        <v>0</v>
      </c>
      <c r="AV99" s="85">
        <v>0</v>
      </c>
      <c r="AW99" s="86"/>
      <c r="AX99" s="86"/>
      <c r="AY99" s="82"/>
      <c r="AZ99" s="87">
        <f>AT99-AU99-AW99-AX99-AY99</f>
        <v>0</v>
      </c>
    </row>
    <row r="100" spans="1:52" ht="16.5" thickBot="1" x14ac:dyDescent="0.3">
      <c r="A100" s="74">
        <v>625</v>
      </c>
      <c r="B100" s="75" t="s">
        <v>86</v>
      </c>
      <c r="C100" s="88"/>
      <c r="D100" s="26">
        <f t="shared" si="20"/>
        <v>0</v>
      </c>
      <c r="E100" s="27">
        <f t="shared" si="21"/>
        <v>0</v>
      </c>
      <c r="F100" s="29">
        <f t="shared" si="22"/>
        <v>0</v>
      </c>
      <c r="G100" s="30">
        <v>0</v>
      </c>
      <c r="H100" s="31">
        <v>0</v>
      </c>
      <c r="I100" s="32">
        <v>0</v>
      </c>
      <c r="J100" s="77"/>
      <c r="K100" s="33">
        <v>0</v>
      </c>
      <c r="L100" s="34">
        <v>0</v>
      </c>
      <c r="M100" s="34">
        <v>0</v>
      </c>
      <c r="N100" s="62"/>
      <c r="O100" s="34">
        <v>0</v>
      </c>
      <c r="P100" s="34">
        <v>0</v>
      </c>
      <c r="Q100" s="34">
        <v>0</v>
      </c>
      <c r="R100" s="62"/>
      <c r="S100" s="37">
        <v>0</v>
      </c>
      <c r="T100" s="34">
        <v>0</v>
      </c>
      <c r="U100" s="34">
        <v>0</v>
      </c>
      <c r="V100" s="62"/>
      <c r="W100" s="38">
        <v>0</v>
      </c>
      <c r="X100" s="31">
        <v>0</v>
      </c>
      <c r="Y100" s="31">
        <v>0</v>
      </c>
      <c r="Z100" s="78"/>
      <c r="AA100" s="37">
        <v>0</v>
      </c>
      <c r="AB100" s="34">
        <v>0</v>
      </c>
      <c r="AC100" s="34">
        <v>0</v>
      </c>
      <c r="AD100" s="64"/>
      <c r="AE100" s="79"/>
      <c r="AF100" s="64"/>
      <c r="AG100" s="43">
        <f t="shared" ref="AG100:AJ163" si="27">G100+K100+O100+S100+W100+AA100</f>
        <v>0</v>
      </c>
      <c r="AH100" s="44">
        <f t="shared" si="27"/>
        <v>0</v>
      </c>
      <c r="AI100" s="44">
        <f t="shared" si="27"/>
        <v>0</v>
      </c>
      <c r="AJ100" s="45">
        <f t="shared" si="27"/>
        <v>0</v>
      </c>
      <c r="AK100" s="80">
        <f t="shared" si="17"/>
        <v>0</v>
      </c>
      <c r="AL100" s="47">
        <v>1</v>
      </c>
      <c r="AM100" s="48">
        <f t="shared" si="24"/>
        <v>0</v>
      </c>
      <c r="AN100" s="48">
        <f t="shared" si="25"/>
        <v>0</v>
      </c>
      <c r="AO100" s="49">
        <f t="shared" si="23"/>
        <v>0</v>
      </c>
      <c r="AP100" s="49">
        <f t="shared" si="18"/>
        <v>0</v>
      </c>
      <c r="AQ100" s="50">
        <f t="shared" si="19"/>
        <v>0</v>
      </c>
      <c r="AR100" s="81">
        <v>50.64</v>
      </c>
      <c r="AS100" s="82">
        <v>9.36</v>
      </c>
      <c r="AT100" s="119">
        <f>AK100*AS100</f>
        <v>0</v>
      </c>
      <c r="AU100" s="84">
        <f t="shared" si="26"/>
        <v>0</v>
      </c>
      <c r="AV100" s="85">
        <v>0</v>
      </c>
      <c r="AW100" s="86"/>
      <c r="AX100" s="86"/>
      <c r="AY100" s="82"/>
      <c r="AZ100" s="120">
        <f>AT100-AU100-AW100-AX100-AY100</f>
        <v>0</v>
      </c>
    </row>
    <row r="101" spans="1:52" ht="16.5" thickBot="1" x14ac:dyDescent="0.3">
      <c r="A101" s="75">
        <v>911</v>
      </c>
      <c r="B101" s="75" t="s">
        <v>87</v>
      </c>
      <c r="C101" s="121"/>
      <c r="D101" s="26">
        <f t="shared" si="20"/>
        <v>0</v>
      </c>
      <c r="E101" s="27">
        <f t="shared" si="21"/>
        <v>0</v>
      </c>
      <c r="F101" s="29">
        <f t="shared" si="22"/>
        <v>0</v>
      </c>
      <c r="G101" s="30">
        <v>0</v>
      </c>
      <c r="H101" s="31">
        <v>0</v>
      </c>
      <c r="I101" s="32">
        <v>0</v>
      </c>
      <c r="J101" s="77"/>
      <c r="K101" s="33">
        <v>0</v>
      </c>
      <c r="L101" s="34">
        <v>0</v>
      </c>
      <c r="M101" s="34">
        <v>0</v>
      </c>
      <c r="N101" s="62"/>
      <c r="O101" s="34">
        <v>0</v>
      </c>
      <c r="P101" s="34">
        <v>0</v>
      </c>
      <c r="Q101" s="34">
        <v>0</v>
      </c>
      <c r="R101" s="62"/>
      <c r="S101" s="37">
        <v>0</v>
      </c>
      <c r="T101" s="34">
        <v>0</v>
      </c>
      <c r="U101" s="34">
        <v>0</v>
      </c>
      <c r="V101" s="62"/>
      <c r="W101" s="38">
        <v>0</v>
      </c>
      <c r="X101" s="31">
        <v>0</v>
      </c>
      <c r="Y101" s="31">
        <v>0</v>
      </c>
      <c r="Z101" s="78"/>
      <c r="AA101" s="37">
        <v>0</v>
      </c>
      <c r="AB101" s="34">
        <v>0</v>
      </c>
      <c r="AC101" s="34">
        <v>0</v>
      </c>
      <c r="AD101" s="64"/>
      <c r="AE101" s="122"/>
      <c r="AF101" s="123"/>
      <c r="AG101" s="43">
        <f t="shared" si="27"/>
        <v>0</v>
      </c>
      <c r="AH101" s="44">
        <f t="shared" si="27"/>
        <v>0</v>
      </c>
      <c r="AI101" s="44">
        <f t="shared" si="27"/>
        <v>0</v>
      </c>
      <c r="AJ101" s="45">
        <f t="shared" si="27"/>
        <v>0</v>
      </c>
      <c r="AK101" s="80">
        <f t="shared" si="17"/>
        <v>0</v>
      </c>
      <c r="AL101" s="47">
        <v>0.5</v>
      </c>
      <c r="AM101" s="48">
        <f t="shared" si="24"/>
        <v>0</v>
      </c>
      <c r="AN101" s="48">
        <f t="shared" si="25"/>
        <v>0</v>
      </c>
      <c r="AO101" s="49">
        <f t="shared" si="23"/>
        <v>0</v>
      </c>
      <c r="AP101" s="49">
        <f t="shared" si="18"/>
        <v>0</v>
      </c>
      <c r="AQ101" s="50">
        <f t="shared" si="19"/>
        <v>0</v>
      </c>
      <c r="AR101" s="124"/>
      <c r="AS101" s="125"/>
      <c r="AT101" s="126"/>
      <c r="AU101" s="84">
        <f t="shared" si="26"/>
        <v>0</v>
      </c>
      <c r="AV101" s="127"/>
      <c r="AW101" s="128"/>
      <c r="AX101" s="128"/>
      <c r="AY101" s="125"/>
      <c r="AZ101" s="129"/>
    </row>
    <row r="102" spans="1:52" ht="16.5" thickBot="1" x14ac:dyDescent="0.3">
      <c r="A102" s="75">
        <v>355</v>
      </c>
      <c r="B102" s="75" t="s">
        <v>88</v>
      </c>
      <c r="C102" s="121">
        <v>24</v>
      </c>
      <c r="D102" s="26">
        <f t="shared" si="20"/>
        <v>8</v>
      </c>
      <c r="E102" s="27">
        <f t="shared" si="21"/>
        <v>8</v>
      </c>
      <c r="F102" s="29">
        <f t="shared" si="22"/>
        <v>8</v>
      </c>
      <c r="G102" s="30">
        <v>0</v>
      </c>
      <c r="H102" s="31">
        <v>0</v>
      </c>
      <c r="I102" s="32">
        <v>0</v>
      </c>
      <c r="J102" s="77"/>
      <c r="K102" s="33">
        <v>0</v>
      </c>
      <c r="L102" s="34">
        <v>0</v>
      </c>
      <c r="M102" s="34">
        <v>0</v>
      </c>
      <c r="N102" s="62"/>
      <c r="O102" s="34">
        <v>0</v>
      </c>
      <c r="P102" s="34">
        <v>0</v>
      </c>
      <c r="Q102" s="34">
        <v>0</v>
      </c>
      <c r="R102" s="62"/>
      <c r="S102" s="37">
        <v>0</v>
      </c>
      <c r="T102" s="34">
        <v>0</v>
      </c>
      <c r="U102" s="34">
        <v>0</v>
      </c>
      <c r="V102" s="62"/>
      <c r="W102" s="38">
        <v>0</v>
      </c>
      <c r="X102" s="31">
        <v>0</v>
      </c>
      <c r="Y102" s="31">
        <v>0</v>
      </c>
      <c r="Z102" s="78"/>
      <c r="AA102" s="37">
        <v>0</v>
      </c>
      <c r="AB102" s="34">
        <v>0</v>
      </c>
      <c r="AC102" s="34">
        <v>0</v>
      </c>
      <c r="AD102" s="64"/>
      <c r="AE102" s="122"/>
      <c r="AF102" s="123"/>
      <c r="AG102" s="43">
        <f t="shared" si="27"/>
        <v>0</v>
      </c>
      <c r="AH102" s="44">
        <f t="shared" si="27"/>
        <v>0</v>
      </c>
      <c r="AI102" s="44">
        <f t="shared" si="27"/>
        <v>0</v>
      </c>
      <c r="AJ102" s="45">
        <f t="shared" si="27"/>
        <v>0</v>
      </c>
      <c r="AK102" s="80">
        <f t="shared" si="17"/>
        <v>0</v>
      </c>
      <c r="AL102" s="47">
        <v>0.45</v>
      </c>
      <c r="AM102" s="48">
        <f t="shared" si="24"/>
        <v>0</v>
      </c>
      <c r="AN102" s="48">
        <f t="shared" si="25"/>
        <v>0</v>
      </c>
      <c r="AO102" s="49">
        <f t="shared" si="23"/>
        <v>0</v>
      </c>
      <c r="AP102" s="49">
        <f t="shared" si="18"/>
        <v>0</v>
      </c>
      <c r="AQ102" s="50">
        <f t="shared" si="19"/>
        <v>0</v>
      </c>
      <c r="AR102" s="124"/>
      <c r="AS102" s="125"/>
      <c r="AT102" s="126"/>
      <c r="AU102" s="84">
        <f t="shared" si="26"/>
        <v>0</v>
      </c>
      <c r="AV102" s="127"/>
      <c r="AW102" s="128"/>
      <c r="AX102" s="128"/>
      <c r="AY102" s="125"/>
      <c r="AZ102" s="129"/>
    </row>
    <row r="103" spans="1:52" ht="16.5" thickBot="1" x14ac:dyDescent="0.3">
      <c r="A103" s="75">
        <v>355</v>
      </c>
      <c r="B103" s="75" t="s">
        <v>28</v>
      </c>
      <c r="C103" s="121">
        <v>34</v>
      </c>
      <c r="D103" s="26">
        <f t="shared" si="20"/>
        <v>11.333333333333334</v>
      </c>
      <c r="E103" s="27">
        <f t="shared" si="21"/>
        <v>11.333333333333334</v>
      </c>
      <c r="F103" s="29">
        <f t="shared" si="22"/>
        <v>11.333333333333334</v>
      </c>
      <c r="G103" s="30">
        <v>0</v>
      </c>
      <c r="H103" s="31">
        <v>0</v>
      </c>
      <c r="I103" s="32">
        <v>0</v>
      </c>
      <c r="J103" s="77"/>
      <c r="K103" s="33">
        <v>0</v>
      </c>
      <c r="L103" s="34">
        <v>0</v>
      </c>
      <c r="M103" s="34">
        <v>0</v>
      </c>
      <c r="N103" s="62"/>
      <c r="O103" s="34">
        <v>0</v>
      </c>
      <c r="P103" s="34">
        <v>0</v>
      </c>
      <c r="Q103" s="34">
        <v>0</v>
      </c>
      <c r="R103" s="62"/>
      <c r="S103" s="37">
        <v>0</v>
      </c>
      <c r="T103" s="34">
        <v>0</v>
      </c>
      <c r="U103" s="34">
        <v>0</v>
      </c>
      <c r="V103" s="62"/>
      <c r="W103" s="38">
        <v>0</v>
      </c>
      <c r="X103" s="31">
        <v>0</v>
      </c>
      <c r="Y103" s="31">
        <v>0</v>
      </c>
      <c r="Z103" s="78"/>
      <c r="AA103" s="37">
        <v>0</v>
      </c>
      <c r="AB103" s="34">
        <v>0</v>
      </c>
      <c r="AC103" s="34">
        <v>0</v>
      </c>
      <c r="AD103" s="64"/>
      <c r="AE103" s="122"/>
      <c r="AF103" s="123"/>
      <c r="AG103" s="43">
        <f t="shared" si="27"/>
        <v>0</v>
      </c>
      <c r="AH103" s="44">
        <f t="shared" si="27"/>
        <v>0</v>
      </c>
      <c r="AI103" s="44">
        <f t="shared" si="27"/>
        <v>0</v>
      </c>
      <c r="AJ103" s="45">
        <f t="shared" si="27"/>
        <v>0</v>
      </c>
      <c r="AK103" s="80">
        <f t="shared" si="17"/>
        <v>0</v>
      </c>
      <c r="AL103" s="47">
        <v>0.45</v>
      </c>
      <c r="AM103" s="48">
        <f t="shared" si="24"/>
        <v>0</v>
      </c>
      <c r="AN103" s="48">
        <f t="shared" si="25"/>
        <v>0</v>
      </c>
      <c r="AO103" s="49">
        <f t="shared" si="23"/>
        <v>0</v>
      </c>
      <c r="AP103" s="49">
        <f t="shared" si="18"/>
        <v>0</v>
      </c>
      <c r="AQ103" s="50">
        <f t="shared" si="19"/>
        <v>0</v>
      </c>
      <c r="AR103" s="124"/>
      <c r="AS103" s="125"/>
      <c r="AT103" s="126"/>
      <c r="AU103" s="84">
        <f t="shared" si="26"/>
        <v>0</v>
      </c>
      <c r="AV103" s="127"/>
      <c r="AW103" s="128"/>
      <c r="AX103" s="128"/>
      <c r="AY103" s="125"/>
      <c r="AZ103" s="129"/>
    </row>
    <row r="104" spans="1:52" ht="16.5" thickBot="1" x14ac:dyDescent="0.3">
      <c r="A104" s="75">
        <v>355</v>
      </c>
      <c r="B104" s="75" t="s">
        <v>30</v>
      </c>
      <c r="C104" s="121"/>
      <c r="D104" s="26">
        <f t="shared" si="20"/>
        <v>0</v>
      </c>
      <c r="E104" s="27">
        <f t="shared" si="21"/>
        <v>0</v>
      </c>
      <c r="F104" s="29">
        <f t="shared" si="22"/>
        <v>0</v>
      </c>
      <c r="G104" s="30">
        <v>0</v>
      </c>
      <c r="H104" s="31">
        <v>0</v>
      </c>
      <c r="I104" s="32">
        <v>0</v>
      </c>
      <c r="J104" s="77"/>
      <c r="K104" s="33">
        <v>0</v>
      </c>
      <c r="L104" s="34">
        <v>0</v>
      </c>
      <c r="M104" s="34">
        <v>0</v>
      </c>
      <c r="N104" s="62"/>
      <c r="O104" s="34">
        <v>0</v>
      </c>
      <c r="P104" s="34">
        <v>0</v>
      </c>
      <c r="Q104" s="34">
        <v>0</v>
      </c>
      <c r="R104" s="62"/>
      <c r="S104" s="37">
        <v>0</v>
      </c>
      <c r="T104" s="34">
        <v>0</v>
      </c>
      <c r="U104" s="34">
        <v>0</v>
      </c>
      <c r="V104" s="62"/>
      <c r="W104" s="38">
        <v>0</v>
      </c>
      <c r="X104" s="31">
        <v>0</v>
      </c>
      <c r="Y104" s="31">
        <v>0</v>
      </c>
      <c r="Z104" s="78"/>
      <c r="AA104" s="37">
        <v>0</v>
      </c>
      <c r="AB104" s="34">
        <v>0</v>
      </c>
      <c r="AC104" s="34">
        <v>0</v>
      </c>
      <c r="AD104" s="64"/>
      <c r="AE104" s="122"/>
      <c r="AF104" s="123"/>
      <c r="AG104" s="43">
        <f t="shared" si="27"/>
        <v>0</v>
      </c>
      <c r="AH104" s="44">
        <f t="shared" si="27"/>
        <v>0</v>
      </c>
      <c r="AI104" s="44">
        <f t="shared" si="27"/>
        <v>0</v>
      </c>
      <c r="AJ104" s="45">
        <f t="shared" si="27"/>
        <v>0</v>
      </c>
      <c r="AK104" s="80">
        <f t="shared" si="17"/>
        <v>0</v>
      </c>
      <c r="AL104" s="47">
        <v>0.45</v>
      </c>
      <c r="AM104" s="48">
        <f t="shared" si="24"/>
        <v>0</v>
      </c>
      <c r="AN104" s="48">
        <f t="shared" si="25"/>
        <v>0</v>
      </c>
      <c r="AO104" s="49">
        <f t="shared" si="23"/>
        <v>0</v>
      </c>
      <c r="AP104" s="49">
        <f t="shared" si="18"/>
        <v>0</v>
      </c>
      <c r="AQ104" s="50">
        <f t="shared" si="19"/>
        <v>0</v>
      </c>
      <c r="AR104" s="124"/>
      <c r="AS104" s="125"/>
      <c r="AT104" s="126"/>
      <c r="AU104" s="84">
        <f t="shared" si="26"/>
        <v>0</v>
      </c>
      <c r="AV104" s="127"/>
      <c r="AW104" s="128"/>
      <c r="AX104" s="128"/>
      <c r="AY104" s="125"/>
      <c r="AZ104" s="129"/>
    </row>
    <row r="105" spans="1:52" ht="16.5" thickBot="1" x14ac:dyDescent="0.3">
      <c r="A105" s="75">
        <v>355</v>
      </c>
      <c r="B105" s="75" t="s">
        <v>29</v>
      </c>
      <c r="C105" s="121">
        <v>34</v>
      </c>
      <c r="D105" s="26">
        <f t="shared" si="20"/>
        <v>11.333333333333334</v>
      </c>
      <c r="E105" s="27">
        <f t="shared" si="21"/>
        <v>11.333333333333334</v>
      </c>
      <c r="F105" s="29">
        <f t="shared" si="22"/>
        <v>11.333333333333334</v>
      </c>
      <c r="G105" s="30">
        <v>0</v>
      </c>
      <c r="H105" s="31">
        <v>0</v>
      </c>
      <c r="I105" s="32">
        <v>0</v>
      </c>
      <c r="J105" s="77"/>
      <c r="K105" s="33">
        <v>0</v>
      </c>
      <c r="L105" s="34">
        <v>0</v>
      </c>
      <c r="M105" s="34">
        <v>0</v>
      </c>
      <c r="N105" s="62"/>
      <c r="O105" s="34">
        <v>0</v>
      </c>
      <c r="P105" s="34">
        <v>0</v>
      </c>
      <c r="Q105" s="34">
        <v>0</v>
      </c>
      <c r="R105" s="62"/>
      <c r="S105" s="37">
        <v>0</v>
      </c>
      <c r="T105" s="34">
        <v>0</v>
      </c>
      <c r="U105" s="34">
        <v>0</v>
      </c>
      <c r="V105" s="62"/>
      <c r="W105" s="38">
        <v>0</v>
      </c>
      <c r="X105" s="31">
        <v>0</v>
      </c>
      <c r="Y105" s="31">
        <v>0</v>
      </c>
      <c r="Z105" s="78"/>
      <c r="AA105" s="37">
        <v>0</v>
      </c>
      <c r="AB105" s="34">
        <v>0</v>
      </c>
      <c r="AC105" s="34">
        <v>0</v>
      </c>
      <c r="AD105" s="64"/>
      <c r="AE105" s="122"/>
      <c r="AF105" s="123"/>
      <c r="AG105" s="43">
        <f t="shared" si="27"/>
        <v>0</v>
      </c>
      <c r="AH105" s="44">
        <f t="shared" si="27"/>
        <v>0</v>
      </c>
      <c r="AI105" s="44">
        <f t="shared" si="27"/>
        <v>0</v>
      </c>
      <c r="AJ105" s="45">
        <f t="shared" si="27"/>
        <v>0</v>
      </c>
      <c r="AK105" s="80">
        <f t="shared" si="17"/>
        <v>0</v>
      </c>
      <c r="AL105" s="47">
        <v>0.45</v>
      </c>
      <c r="AM105" s="48">
        <f t="shared" si="24"/>
        <v>0</v>
      </c>
      <c r="AN105" s="48">
        <f t="shared" si="25"/>
        <v>0</v>
      </c>
      <c r="AO105" s="49">
        <f t="shared" si="23"/>
        <v>0</v>
      </c>
      <c r="AP105" s="49">
        <f t="shared" si="18"/>
        <v>0</v>
      </c>
      <c r="AQ105" s="50">
        <f t="shared" si="19"/>
        <v>0</v>
      </c>
      <c r="AR105" s="124"/>
      <c r="AS105" s="125"/>
      <c r="AT105" s="126"/>
      <c r="AU105" s="84">
        <f t="shared" si="26"/>
        <v>0</v>
      </c>
      <c r="AV105" s="127"/>
      <c r="AW105" s="128"/>
      <c r="AX105" s="128"/>
      <c r="AY105" s="125"/>
      <c r="AZ105" s="129"/>
    </row>
    <row r="106" spans="1:52" ht="16.5" thickBot="1" x14ac:dyDescent="0.3">
      <c r="A106" s="75">
        <v>355</v>
      </c>
      <c r="B106" s="75" t="s">
        <v>31</v>
      </c>
      <c r="C106" s="121">
        <v>14</v>
      </c>
      <c r="D106" s="26">
        <f t="shared" si="20"/>
        <v>4.666666666666667</v>
      </c>
      <c r="E106" s="27">
        <f t="shared" si="21"/>
        <v>4.666666666666667</v>
      </c>
      <c r="F106" s="29">
        <f t="shared" si="22"/>
        <v>4.666666666666667</v>
      </c>
      <c r="G106" s="30">
        <v>0</v>
      </c>
      <c r="H106" s="31">
        <v>0</v>
      </c>
      <c r="I106" s="32">
        <v>0</v>
      </c>
      <c r="J106" s="77"/>
      <c r="K106" s="33">
        <v>0</v>
      </c>
      <c r="L106" s="34">
        <v>0</v>
      </c>
      <c r="M106" s="34">
        <v>0</v>
      </c>
      <c r="N106" s="62"/>
      <c r="O106" s="34">
        <v>0</v>
      </c>
      <c r="P106" s="34">
        <v>0</v>
      </c>
      <c r="Q106" s="34">
        <v>0</v>
      </c>
      <c r="R106" s="62"/>
      <c r="S106" s="37">
        <v>0</v>
      </c>
      <c r="T106" s="34">
        <v>0</v>
      </c>
      <c r="U106" s="34">
        <v>0</v>
      </c>
      <c r="V106" s="62"/>
      <c r="W106" s="38">
        <v>0</v>
      </c>
      <c r="X106" s="31">
        <v>0</v>
      </c>
      <c r="Y106" s="31">
        <v>0</v>
      </c>
      <c r="Z106" s="78"/>
      <c r="AA106" s="37">
        <v>0</v>
      </c>
      <c r="AB106" s="34">
        <v>0</v>
      </c>
      <c r="AC106" s="34">
        <v>0</v>
      </c>
      <c r="AD106" s="64"/>
      <c r="AE106" s="122"/>
      <c r="AF106" s="123"/>
      <c r="AG106" s="43">
        <f t="shared" si="27"/>
        <v>0</v>
      </c>
      <c r="AH106" s="44">
        <f t="shared" si="27"/>
        <v>0</v>
      </c>
      <c r="AI106" s="44">
        <f t="shared" si="27"/>
        <v>0</v>
      </c>
      <c r="AJ106" s="45">
        <f t="shared" si="27"/>
        <v>0</v>
      </c>
      <c r="AK106" s="80">
        <f t="shared" si="17"/>
        <v>0</v>
      </c>
      <c r="AL106" s="47">
        <v>0.45</v>
      </c>
      <c r="AM106" s="48">
        <f t="shared" si="24"/>
        <v>0</v>
      </c>
      <c r="AN106" s="48">
        <f t="shared" si="25"/>
        <v>0</v>
      </c>
      <c r="AO106" s="49">
        <f t="shared" si="23"/>
        <v>0</v>
      </c>
      <c r="AP106" s="49">
        <f t="shared" si="18"/>
        <v>0</v>
      </c>
      <c r="AQ106" s="50">
        <f t="shared" si="19"/>
        <v>0</v>
      </c>
      <c r="AR106" s="124"/>
      <c r="AS106" s="125"/>
      <c r="AT106" s="126"/>
      <c r="AU106" s="84">
        <f t="shared" si="26"/>
        <v>0</v>
      </c>
      <c r="AV106" s="127"/>
      <c r="AW106" s="128"/>
      <c r="AX106" s="128"/>
      <c r="AY106" s="125"/>
      <c r="AZ106" s="129"/>
    </row>
    <row r="107" spans="1:52" ht="16.5" thickBot="1" x14ac:dyDescent="0.3">
      <c r="A107" s="75">
        <v>355</v>
      </c>
      <c r="B107" s="75" t="s">
        <v>47</v>
      </c>
      <c r="C107" s="121"/>
      <c r="D107" s="26">
        <f t="shared" si="20"/>
        <v>0</v>
      </c>
      <c r="E107" s="27">
        <f t="shared" si="21"/>
        <v>0</v>
      </c>
      <c r="F107" s="29">
        <f t="shared" si="22"/>
        <v>0</v>
      </c>
      <c r="G107" s="30">
        <v>0</v>
      </c>
      <c r="H107" s="31">
        <v>0</v>
      </c>
      <c r="I107" s="32">
        <v>0</v>
      </c>
      <c r="J107" s="77"/>
      <c r="K107" s="33">
        <v>0</v>
      </c>
      <c r="L107" s="34">
        <v>0</v>
      </c>
      <c r="M107" s="34">
        <v>0</v>
      </c>
      <c r="N107" s="62"/>
      <c r="O107" s="34">
        <v>0</v>
      </c>
      <c r="P107" s="34">
        <v>0</v>
      </c>
      <c r="Q107" s="34">
        <v>0</v>
      </c>
      <c r="R107" s="62"/>
      <c r="S107" s="37">
        <v>0</v>
      </c>
      <c r="T107" s="34">
        <v>0</v>
      </c>
      <c r="U107" s="34">
        <v>0</v>
      </c>
      <c r="V107" s="62"/>
      <c r="W107" s="38">
        <v>0</v>
      </c>
      <c r="X107" s="31">
        <v>0</v>
      </c>
      <c r="Y107" s="31">
        <v>0</v>
      </c>
      <c r="Z107" s="78"/>
      <c r="AA107" s="37">
        <v>0</v>
      </c>
      <c r="AB107" s="34">
        <v>0</v>
      </c>
      <c r="AC107" s="34">
        <v>0</v>
      </c>
      <c r="AD107" s="64"/>
      <c r="AE107" s="122"/>
      <c r="AF107" s="123"/>
      <c r="AG107" s="43">
        <f t="shared" si="27"/>
        <v>0</v>
      </c>
      <c r="AH107" s="44">
        <f t="shared" si="27"/>
        <v>0</v>
      </c>
      <c r="AI107" s="44">
        <f t="shared" si="27"/>
        <v>0</v>
      </c>
      <c r="AJ107" s="45">
        <f t="shared" si="27"/>
        <v>0</v>
      </c>
      <c r="AK107" s="80">
        <f t="shared" si="17"/>
        <v>0</v>
      </c>
      <c r="AL107" s="47">
        <v>0.45</v>
      </c>
      <c r="AM107" s="48">
        <f t="shared" si="24"/>
        <v>0</v>
      </c>
      <c r="AN107" s="48">
        <f t="shared" si="25"/>
        <v>0</v>
      </c>
      <c r="AO107" s="49">
        <f t="shared" si="23"/>
        <v>0</v>
      </c>
      <c r="AP107" s="49">
        <f t="shared" si="18"/>
        <v>0</v>
      </c>
      <c r="AQ107" s="50">
        <f t="shared" si="19"/>
        <v>0</v>
      </c>
      <c r="AR107" s="124"/>
      <c r="AS107" s="125"/>
      <c r="AT107" s="126"/>
      <c r="AU107" s="84">
        <f t="shared" si="26"/>
        <v>0</v>
      </c>
      <c r="AV107" s="127"/>
      <c r="AW107" s="128"/>
      <c r="AX107" s="128"/>
      <c r="AY107" s="125"/>
      <c r="AZ107" s="129"/>
    </row>
    <row r="108" spans="1:52" ht="16.5" thickBot="1" x14ac:dyDescent="0.3">
      <c r="A108" s="75">
        <v>355</v>
      </c>
      <c r="B108" s="75" t="s">
        <v>85</v>
      </c>
      <c r="C108" s="121"/>
      <c r="D108" s="26">
        <f t="shared" si="20"/>
        <v>0</v>
      </c>
      <c r="E108" s="27">
        <f t="shared" si="21"/>
        <v>0</v>
      </c>
      <c r="F108" s="29">
        <f t="shared" si="22"/>
        <v>0</v>
      </c>
      <c r="G108" s="30">
        <v>0</v>
      </c>
      <c r="H108" s="31">
        <v>0</v>
      </c>
      <c r="I108" s="32">
        <v>0</v>
      </c>
      <c r="J108" s="77"/>
      <c r="K108" s="33">
        <v>0</v>
      </c>
      <c r="L108" s="34">
        <v>0</v>
      </c>
      <c r="M108" s="34">
        <v>0</v>
      </c>
      <c r="N108" s="62"/>
      <c r="O108" s="34">
        <v>0</v>
      </c>
      <c r="P108" s="34">
        <v>0</v>
      </c>
      <c r="Q108" s="34">
        <v>0</v>
      </c>
      <c r="R108" s="62"/>
      <c r="S108" s="37">
        <v>0</v>
      </c>
      <c r="T108" s="34">
        <v>0</v>
      </c>
      <c r="U108" s="34">
        <v>0</v>
      </c>
      <c r="V108" s="62"/>
      <c r="W108" s="38">
        <v>0</v>
      </c>
      <c r="X108" s="31">
        <v>0</v>
      </c>
      <c r="Y108" s="31">
        <v>0</v>
      </c>
      <c r="Z108" s="78"/>
      <c r="AA108" s="37">
        <v>0</v>
      </c>
      <c r="AB108" s="34">
        <v>0</v>
      </c>
      <c r="AC108" s="34">
        <v>0</v>
      </c>
      <c r="AD108" s="64"/>
      <c r="AE108" s="122"/>
      <c r="AF108" s="123"/>
      <c r="AG108" s="43">
        <f t="shared" si="27"/>
        <v>0</v>
      </c>
      <c r="AH108" s="44">
        <f t="shared" si="27"/>
        <v>0</v>
      </c>
      <c r="AI108" s="44">
        <f t="shared" si="27"/>
        <v>0</v>
      </c>
      <c r="AJ108" s="45">
        <f t="shared" si="27"/>
        <v>0</v>
      </c>
      <c r="AK108" s="80">
        <f t="shared" si="17"/>
        <v>0</v>
      </c>
      <c r="AL108" s="47">
        <v>0.45</v>
      </c>
      <c r="AM108" s="48">
        <f t="shared" si="24"/>
        <v>0</v>
      </c>
      <c r="AN108" s="48">
        <f t="shared" si="25"/>
        <v>0</v>
      </c>
      <c r="AO108" s="49">
        <f t="shared" si="23"/>
        <v>0</v>
      </c>
      <c r="AP108" s="49">
        <f t="shared" si="18"/>
        <v>0</v>
      </c>
      <c r="AQ108" s="50">
        <f t="shared" si="19"/>
        <v>0</v>
      </c>
      <c r="AR108" s="124"/>
      <c r="AS108" s="125"/>
      <c r="AT108" s="126"/>
      <c r="AU108" s="84">
        <f t="shared" si="26"/>
        <v>0</v>
      </c>
      <c r="AV108" s="127"/>
      <c r="AW108" s="128"/>
      <c r="AX108" s="128"/>
      <c r="AY108" s="125"/>
      <c r="AZ108" s="129"/>
    </row>
    <row r="109" spans="1:52" ht="16.5" thickBot="1" x14ac:dyDescent="0.3">
      <c r="A109" s="75">
        <v>355</v>
      </c>
      <c r="B109" s="75" t="s">
        <v>89</v>
      </c>
      <c r="C109" s="121"/>
      <c r="D109" s="26">
        <f t="shared" si="20"/>
        <v>0</v>
      </c>
      <c r="E109" s="27">
        <f t="shared" si="21"/>
        <v>0</v>
      </c>
      <c r="F109" s="29">
        <f t="shared" si="22"/>
        <v>0</v>
      </c>
      <c r="G109" s="30">
        <v>0</v>
      </c>
      <c r="H109" s="31">
        <v>0</v>
      </c>
      <c r="I109" s="32">
        <v>0</v>
      </c>
      <c r="J109" s="130"/>
      <c r="K109" s="33">
        <v>0</v>
      </c>
      <c r="L109" s="34">
        <v>0</v>
      </c>
      <c r="M109" s="34">
        <v>0</v>
      </c>
      <c r="N109" s="62"/>
      <c r="O109" s="34">
        <v>0</v>
      </c>
      <c r="P109" s="34">
        <v>0</v>
      </c>
      <c r="Q109" s="34">
        <v>0</v>
      </c>
      <c r="R109" s="62"/>
      <c r="S109" s="37">
        <v>0</v>
      </c>
      <c r="T109" s="34">
        <v>0</v>
      </c>
      <c r="U109" s="34">
        <v>0</v>
      </c>
      <c r="V109" s="62"/>
      <c r="W109" s="38">
        <v>0</v>
      </c>
      <c r="X109" s="31">
        <v>0</v>
      </c>
      <c r="Y109" s="31">
        <v>0</v>
      </c>
      <c r="Z109" s="78"/>
      <c r="AA109" s="37">
        <v>0</v>
      </c>
      <c r="AB109" s="34">
        <v>0</v>
      </c>
      <c r="AC109" s="34">
        <v>0</v>
      </c>
      <c r="AD109" s="64"/>
      <c r="AE109" s="122"/>
      <c r="AF109" s="123"/>
      <c r="AG109" s="43">
        <f t="shared" si="27"/>
        <v>0</v>
      </c>
      <c r="AH109" s="44">
        <f t="shared" si="27"/>
        <v>0</v>
      </c>
      <c r="AI109" s="44">
        <f t="shared" si="27"/>
        <v>0</v>
      </c>
      <c r="AJ109" s="45">
        <f t="shared" si="27"/>
        <v>0</v>
      </c>
      <c r="AK109" s="80">
        <f t="shared" si="17"/>
        <v>0</v>
      </c>
      <c r="AL109" s="47">
        <v>0.45</v>
      </c>
      <c r="AM109" s="48">
        <f t="shared" si="24"/>
        <v>0</v>
      </c>
      <c r="AN109" s="48">
        <f t="shared" si="25"/>
        <v>0</v>
      </c>
      <c r="AO109" s="49">
        <f t="shared" si="23"/>
        <v>0</v>
      </c>
      <c r="AP109" s="49">
        <f t="shared" si="18"/>
        <v>0</v>
      </c>
      <c r="AQ109" s="50">
        <f t="shared" si="19"/>
        <v>0</v>
      </c>
      <c r="AR109" s="124"/>
      <c r="AS109" s="125"/>
      <c r="AT109" s="126"/>
      <c r="AU109" s="84">
        <f t="shared" si="26"/>
        <v>0</v>
      </c>
      <c r="AV109" s="127"/>
      <c r="AW109" s="128"/>
      <c r="AX109" s="128"/>
      <c r="AY109" s="125"/>
      <c r="AZ109" s="129"/>
    </row>
    <row r="110" spans="1:52" ht="16.5" thickBot="1" x14ac:dyDescent="0.3">
      <c r="A110" s="75">
        <v>145</v>
      </c>
      <c r="B110" s="131" t="s">
        <v>79</v>
      </c>
      <c r="C110" s="132"/>
      <c r="D110" s="26">
        <f t="shared" si="20"/>
        <v>0</v>
      </c>
      <c r="E110" s="27">
        <f t="shared" si="21"/>
        <v>0</v>
      </c>
      <c r="F110" s="29">
        <f t="shared" si="22"/>
        <v>0</v>
      </c>
      <c r="G110" s="30">
        <v>0</v>
      </c>
      <c r="H110" s="31">
        <v>0</v>
      </c>
      <c r="I110" s="32">
        <v>0</v>
      </c>
      <c r="J110" s="130"/>
      <c r="K110" s="33">
        <v>0</v>
      </c>
      <c r="L110" s="34">
        <v>0</v>
      </c>
      <c r="M110" s="34">
        <v>0</v>
      </c>
      <c r="N110" s="62"/>
      <c r="O110" s="34">
        <v>0</v>
      </c>
      <c r="P110" s="34">
        <v>0</v>
      </c>
      <c r="Q110" s="34">
        <v>0</v>
      </c>
      <c r="R110" s="62"/>
      <c r="S110" s="37">
        <v>0</v>
      </c>
      <c r="T110" s="34">
        <v>0</v>
      </c>
      <c r="U110" s="34">
        <v>0</v>
      </c>
      <c r="V110" s="62"/>
      <c r="W110" s="38">
        <v>0</v>
      </c>
      <c r="X110" s="31">
        <v>0</v>
      </c>
      <c r="Y110" s="31">
        <v>0</v>
      </c>
      <c r="Z110" s="78"/>
      <c r="AA110" s="37">
        <v>0</v>
      </c>
      <c r="AB110" s="34">
        <v>0</v>
      </c>
      <c r="AC110" s="34">
        <v>0</v>
      </c>
      <c r="AD110" s="64"/>
      <c r="AE110" s="122"/>
      <c r="AF110" s="123"/>
      <c r="AG110" s="43">
        <f t="shared" si="27"/>
        <v>0</v>
      </c>
      <c r="AH110" s="44">
        <f t="shared" si="27"/>
        <v>0</v>
      </c>
      <c r="AI110" s="44">
        <f t="shared" si="27"/>
        <v>0</v>
      </c>
      <c r="AJ110" s="45">
        <f t="shared" si="27"/>
        <v>0</v>
      </c>
      <c r="AK110" s="80">
        <f t="shared" si="17"/>
        <v>0</v>
      </c>
      <c r="AL110" s="47">
        <v>0.25</v>
      </c>
      <c r="AM110" s="48">
        <f t="shared" si="24"/>
        <v>0</v>
      </c>
      <c r="AN110" s="48">
        <f t="shared" si="25"/>
        <v>0</v>
      </c>
      <c r="AO110" s="49">
        <f t="shared" si="23"/>
        <v>0</v>
      </c>
      <c r="AP110" s="49">
        <f t="shared" si="18"/>
        <v>0</v>
      </c>
      <c r="AQ110" s="50">
        <f t="shared" si="19"/>
        <v>0</v>
      </c>
      <c r="AR110" s="124"/>
      <c r="AS110" s="125"/>
      <c r="AT110" s="126"/>
      <c r="AU110" s="84">
        <f t="shared" si="26"/>
        <v>0</v>
      </c>
      <c r="AV110" s="127"/>
      <c r="AW110" s="128"/>
      <c r="AX110" s="128"/>
      <c r="AY110" s="125"/>
      <c r="AZ110" s="129"/>
    </row>
    <row r="111" spans="1:52" ht="16.5" thickBot="1" x14ac:dyDescent="0.3">
      <c r="A111" s="75"/>
      <c r="B111" s="131" t="s">
        <v>77</v>
      </c>
      <c r="C111" s="132"/>
      <c r="D111" s="26">
        <f t="shared" si="20"/>
        <v>0</v>
      </c>
      <c r="E111" s="27">
        <f t="shared" si="21"/>
        <v>0</v>
      </c>
      <c r="F111" s="29">
        <f t="shared" si="22"/>
        <v>0</v>
      </c>
      <c r="G111" s="30">
        <v>0</v>
      </c>
      <c r="H111" s="31">
        <v>0</v>
      </c>
      <c r="I111" s="32">
        <v>0</v>
      </c>
      <c r="J111" s="130"/>
      <c r="K111" s="33">
        <v>0</v>
      </c>
      <c r="L111" s="34">
        <v>0</v>
      </c>
      <c r="M111" s="34">
        <v>0</v>
      </c>
      <c r="N111" s="62"/>
      <c r="O111" s="34">
        <v>0</v>
      </c>
      <c r="P111" s="34">
        <v>0</v>
      </c>
      <c r="Q111" s="34">
        <v>0</v>
      </c>
      <c r="R111" s="62"/>
      <c r="S111" s="37">
        <v>0</v>
      </c>
      <c r="T111" s="34">
        <v>0</v>
      </c>
      <c r="U111" s="34">
        <v>0</v>
      </c>
      <c r="V111" s="62"/>
      <c r="W111" s="38">
        <v>0</v>
      </c>
      <c r="X111" s="31">
        <v>0</v>
      </c>
      <c r="Y111" s="31">
        <v>0</v>
      </c>
      <c r="Z111" s="78"/>
      <c r="AA111" s="37">
        <v>0</v>
      </c>
      <c r="AB111" s="34">
        <v>0</v>
      </c>
      <c r="AC111" s="34">
        <v>0</v>
      </c>
      <c r="AD111" s="64"/>
      <c r="AE111" s="122"/>
      <c r="AF111" s="123"/>
      <c r="AG111" s="43">
        <f t="shared" si="27"/>
        <v>0</v>
      </c>
      <c r="AH111" s="44">
        <f t="shared" si="27"/>
        <v>0</v>
      </c>
      <c r="AI111" s="44">
        <f t="shared" si="27"/>
        <v>0</v>
      </c>
      <c r="AJ111" s="45">
        <f t="shared" si="27"/>
        <v>0</v>
      </c>
      <c r="AK111" s="80">
        <f t="shared" si="17"/>
        <v>0</v>
      </c>
      <c r="AL111" s="47">
        <v>0.25</v>
      </c>
      <c r="AM111" s="48">
        <f t="shared" si="24"/>
        <v>0</v>
      </c>
      <c r="AN111" s="48">
        <f t="shared" si="25"/>
        <v>0</v>
      </c>
      <c r="AO111" s="49">
        <f t="shared" si="23"/>
        <v>0</v>
      </c>
      <c r="AP111" s="49">
        <f t="shared" si="18"/>
        <v>0</v>
      </c>
      <c r="AQ111" s="50">
        <f t="shared" si="19"/>
        <v>0</v>
      </c>
      <c r="AR111" s="124"/>
      <c r="AS111" s="125"/>
      <c r="AT111" s="126"/>
      <c r="AU111" s="84"/>
      <c r="AV111" s="127"/>
      <c r="AW111" s="128"/>
      <c r="AX111" s="128"/>
      <c r="AY111" s="125"/>
      <c r="AZ111" s="129"/>
    </row>
    <row r="112" spans="1:52" ht="16.5" thickBot="1" x14ac:dyDescent="0.3">
      <c r="A112" s="75"/>
      <c r="B112" s="131" t="s">
        <v>81</v>
      </c>
      <c r="C112" s="132"/>
      <c r="D112" s="26">
        <f t="shared" si="20"/>
        <v>0</v>
      </c>
      <c r="E112" s="27">
        <f t="shared" si="21"/>
        <v>0</v>
      </c>
      <c r="F112" s="29">
        <f t="shared" si="22"/>
        <v>0</v>
      </c>
      <c r="G112" s="30">
        <v>0</v>
      </c>
      <c r="H112" s="31">
        <v>0</v>
      </c>
      <c r="I112" s="32">
        <v>0</v>
      </c>
      <c r="J112" s="130"/>
      <c r="K112" s="33">
        <v>0</v>
      </c>
      <c r="L112" s="34">
        <v>0</v>
      </c>
      <c r="M112" s="34">
        <v>0</v>
      </c>
      <c r="N112" s="62"/>
      <c r="O112" s="34">
        <v>0</v>
      </c>
      <c r="P112" s="34">
        <v>0</v>
      </c>
      <c r="Q112" s="34">
        <v>0</v>
      </c>
      <c r="R112" s="62"/>
      <c r="S112" s="37">
        <v>0</v>
      </c>
      <c r="T112" s="34">
        <v>0</v>
      </c>
      <c r="U112" s="34">
        <v>0</v>
      </c>
      <c r="V112" s="62"/>
      <c r="W112" s="38">
        <v>0</v>
      </c>
      <c r="X112" s="31">
        <v>0</v>
      </c>
      <c r="Y112" s="31">
        <v>0</v>
      </c>
      <c r="Z112" s="78"/>
      <c r="AA112" s="37">
        <v>0</v>
      </c>
      <c r="AB112" s="34">
        <v>0</v>
      </c>
      <c r="AC112" s="34">
        <v>0</v>
      </c>
      <c r="AD112" s="64"/>
      <c r="AE112" s="122"/>
      <c r="AF112" s="123"/>
      <c r="AG112" s="43">
        <f t="shared" si="27"/>
        <v>0</v>
      </c>
      <c r="AH112" s="44">
        <f t="shared" si="27"/>
        <v>0</v>
      </c>
      <c r="AI112" s="44">
        <f t="shared" si="27"/>
        <v>0</v>
      </c>
      <c r="AJ112" s="45">
        <f t="shared" si="27"/>
        <v>0</v>
      </c>
      <c r="AK112" s="80">
        <f t="shared" si="17"/>
        <v>0</v>
      </c>
      <c r="AL112" s="47">
        <v>0.25</v>
      </c>
      <c r="AM112" s="48">
        <f t="shared" si="24"/>
        <v>0</v>
      </c>
      <c r="AN112" s="48">
        <f t="shared" si="25"/>
        <v>0</v>
      </c>
      <c r="AO112" s="49">
        <f t="shared" si="23"/>
        <v>0</v>
      </c>
      <c r="AP112" s="49">
        <f t="shared" si="18"/>
        <v>0</v>
      </c>
      <c r="AQ112" s="50">
        <f t="shared" si="19"/>
        <v>0</v>
      </c>
      <c r="AR112" s="124"/>
      <c r="AS112" s="125"/>
      <c r="AT112" s="126"/>
      <c r="AU112" s="84"/>
      <c r="AV112" s="127"/>
      <c r="AW112" s="128"/>
      <c r="AX112" s="128"/>
      <c r="AY112" s="125"/>
      <c r="AZ112" s="129"/>
    </row>
    <row r="113" spans="1:52" ht="16.5" thickBot="1" x14ac:dyDescent="0.3">
      <c r="A113" s="75"/>
      <c r="B113" s="131" t="s">
        <v>75</v>
      </c>
      <c r="C113" s="132"/>
      <c r="D113" s="26">
        <f t="shared" si="20"/>
        <v>0</v>
      </c>
      <c r="E113" s="27">
        <f t="shared" si="21"/>
        <v>0</v>
      </c>
      <c r="F113" s="29">
        <f t="shared" si="22"/>
        <v>0</v>
      </c>
      <c r="G113" s="30">
        <v>0</v>
      </c>
      <c r="H113" s="31">
        <v>0</v>
      </c>
      <c r="I113" s="32">
        <v>0</v>
      </c>
      <c r="J113" s="130"/>
      <c r="K113" s="33">
        <v>0</v>
      </c>
      <c r="L113" s="34">
        <v>0</v>
      </c>
      <c r="M113" s="34">
        <v>0</v>
      </c>
      <c r="N113" s="62"/>
      <c r="O113" s="34">
        <v>0</v>
      </c>
      <c r="P113" s="34">
        <v>0</v>
      </c>
      <c r="Q113" s="34">
        <v>0</v>
      </c>
      <c r="R113" s="62"/>
      <c r="S113" s="37">
        <v>0</v>
      </c>
      <c r="T113" s="34">
        <v>0</v>
      </c>
      <c r="U113" s="34">
        <v>0</v>
      </c>
      <c r="V113" s="62"/>
      <c r="W113" s="38">
        <v>0</v>
      </c>
      <c r="X113" s="31">
        <v>0</v>
      </c>
      <c r="Y113" s="31">
        <v>0</v>
      </c>
      <c r="Z113" s="78"/>
      <c r="AA113" s="37">
        <v>0</v>
      </c>
      <c r="AB113" s="34">
        <v>0</v>
      </c>
      <c r="AC113" s="34">
        <v>0</v>
      </c>
      <c r="AD113" s="64"/>
      <c r="AE113" s="122"/>
      <c r="AF113" s="123"/>
      <c r="AG113" s="43">
        <f t="shared" si="27"/>
        <v>0</v>
      </c>
      <c r="AH113" s="44">
        <f t="shared" si="27"/>
        <v>0</v>
      </c>
      <c r="AI113" s="44">
        <f t="shared" si="27"/>
        <v>0</v>
      </c>
      <c r="AJ113" s="45">
        <f t="shared" si="27"/>
        <v>0</v>
      </c>
      <c r="AK113" s="80">
        <f t="shared" si="17"/>
        <v>0</v>
      </c>
      <c r="AL113" s="47">
        <v>0.25</v>
      </c>
      <c r="AM113" s="48">
        <f t="shared" si="24"/>
        <v>0</v>
      </c>
      <c r="AN113" s="48">
        <f t="shared" si="25"/>
        <v>0</v>
      </c>
      <c r="AO113" s="49">
        <f t="shared" si="23"/>
        <v>0</v>
      </c>
      <c r="AP113" s="49">
        <f t="shared" si="18"/>
        <v>0</v>
      </c>
      <c r="AQ113" s="50">
        <f t="shared" si="19"/>
        <v>0</v>
      </c>
      <c r="AR113" s="124"/>
      <c r="AS113" s="125"/>
      <c r="AT113" s="126"/>
      <c r="AU113" s="84"/>
      <c r="AV113" s="127"/>
      <c r="AW113" s="128"/>
      <c r="AX113" s="128"/>
      <c r="AY113" s="125"/>
      <c r="AZ113" s="129"/>
    </row>
    <row r="114" spans="1:52" ht="16.5" thickBot="1" x14ac:dyDescent="0.3">
      <c r="A114" s="75"/>
      <c r="B114" s="131" t="s">
        <v>82</v>
      </c>
      <c r="C114" s="132"/>
      <c r="D114" s="26">
        <f t="shared" si="20"/>
        <v>0</v>
      </c>
      <c r="E114" s="27">
        <f t="shared" si="21"/>
        <v>0</v>
      </c>
      <c r="F114" s="29">
        <f t="shared" si="22"/>
        <v>0</v>
      </c>
      <c r="G114" s="30">
        <v>0</v>
      </c>
      <c r="H114" s="31">
        <v>0</v>
      </c>
      <c r="I114" s="32">
        <v>0</v>
      </c>
      <c r="J114" s="130"/>
      <c r="K114" s="33">
        <v>0</v>
      </c>
      <c r="L114" s="34">
        <v>0</v>
      </c>
      <c r="M114" s="34">
        <v>0</v>
      </c>
      <c r="N114" s="62"/>
      <c r="O114" s="34">
        <v>0</v>
      </c>
      <c r="P114" s="34">
        <v>0</v>
      </c>
      <c r="Q114" s="34">
        <v>0</v>
      </c>
      <c r="R114" s="62"/>
      <c r="S114" s="37">
        <v>0</v>
      </c>
      <c r="T114" s="34">
        <v>0</v>
      </c>
      <c r="U114" s="34">
        <v>0</v>
      </c>
      <c r="V114" s="62"/>
      <c r="W114" s="38">
        <v>0</v>
      </c>
      <c r="X114" s="31">
        <v>0</v>
      </c>
      <c r="Y114" s="31">
        <v>0</v>
      </c>
      <c r="Z114" s="78"/>
      <c r="AA114" s="37">
        <v>0</v>
      </c>
      <c r="AB114" s="34">
        <v>0</v>
      </c>
      <c r="AC114" s="34">
        <v>0</v>
      </c>
      <c r="AD114" s="64"/>
      <c r="AE114" s="122"/>
      <c r="AF114" s="123"/>
      <c r="AG114" s="43">
        <f t="shared" si="27"/>
        <v>0</v>
      </c>
      <c r="AH114" s="44">
        <f t="shared" si="27"/>
        <v>0</v>
      </c>
      <c r="AI114" s="44">
        <f t="shared" si="27"/>
        <v>0</v>
      </c>
      <c r="AJ114" s="45">
        <f t="shared" si="27"/>
        <v>0</v>
      </c>
      <c r="AK114" s="80">
        <f t="shared" si="17"/>
        <v>0</v>
      </c>
      <c r="AL114" s="47">
        <v>0.25</v>
      </c>
      <c r="AM114" s="48">
        <f t="shared" si="24"/>
        <v>0</v>
      </c>
      <c r="AN114" s="48">
        <f t="shared" si="25"/>
        <v>0</v>
      </c>
      <c r="AO114" s="49">
        <f t="shared" si="23"/>
        <v>0</v>
      </c>
      <c r="AP114" s="49">
        <f t="shared" si="18"/>
        <v>0</v>
      </c>
      <c r="AQ114" s="50">
        <f t="shared" si="19"/>
        <v>0</v>
      </c>
      <c r="AR114" s="124"/>
      <c r="AS114" s="125"/>
      <c r="AT114" s="126"/>
      <c r="AU114" s="84"/>
      <c r="AV114" s="127"/>
      <c r="AW114" s="128"/>
      <c r="AX114" s="128"/>
      <c r="AY114" s="125"/>
      <c r="AZ114" s="129"/>
    </row>
    <row r="115" spans="1:52" ht="16.5" thickBot="1" x14ac:dyDescent="0.3">
      <c r="A115" s="75"/>
      <c r="B115" s="131" t="s">
        <v>78</v>
      </c>
      <c r="C115" s="132"/>
      <c r="D115" s="26">
        <f t="shared" si="20"/>
        <v>0</v>
      </c>
      <c r="E115" s="27">
        <f t="shared" si="21"/>
        <v>0</v>
      </c>
      <c r="F115" s="29">
        <f t="shared" si="22"/>
        <v>0</v>
      </c>
      <c r="G115" s="30">
        <v>0</v>
      </c>
      <c r="H115" s="31">
        <v>0</v>
      </c>
      <c r="I115" s="32">
        <v>0</v>
      </c>
      <c r="J115" s="130"/>
      <c r="K115" s="33">
        <v>0</v>
      </c>
      <c r="L115" s="34">
        <v>0</v>
      </c>
      <c r="M115" s="34">
        <v>0</v>
      </c>
      <c r="N115" s="62"/>
      <c r="O115" s="34">
        <v>0</v>
      </c>
      <c r="P115" s="34">
        <v>0</v>
      </c>
      <c r="Q115" s="34">
        <v>0</v>
      </c>
      <c r="R115" s="62"/>
      <c r="S115" s="37">
        <v>0</v>
      </c>
      <c r="T115" s="34">
        <v>0</v>
      </c>
      <c r="U115" s="34">
        <v>0</v>
      </c>
      <c r="V115" s="62"/>
      <c r="W115" s="38">
        <v>0</v>
      </c>
      <c r="X115" s="31">
        <v>0</v>
      </c>
      <c r="Y115" s="31">
        <v>0</v>
      </c>
      <c r="Z115" s="78"/>
      <c r="AA115" s="37">
        <v>0</v>
      </c>
      <c r="AB115" s="34">
        <v>0</v>
      </c>
      <c r="AC115" s="34">
        <v>0</v>
      </c>
      <c r="AD115" s="64"/>
      <c r="AE115" s="122"/>
      <c r="AF115" s="123"/>
      <c r="AG115" s="43">
        <f t="shared" si="27"/>
        <v>0</v>
      </c>
      <c r="AH115" s="44">
        <f t="shared" si="27"/>
        <v>0</v>
      </c>
      <c r="AI115" s="44">
        <f t="shared" si="27"/>
        <v>0</v>
      </c>
      <c r="AJ115" s="45">
        <f t="shared" si="27"/>
        <v>0</v>
      </c>
      <c r="AK115" s="80">
        <f t="shared" si="17"/>
        <v>0</v>
      </c>
      <c r="AL115" s="47">
        <v>0.25</v>
      </c>
      <c r="AM115" s="48">
        <f t="shared" si="24"/>
        <v>0</v>
      </c>
      <c r="AN115" s="48">
        <f t="shared" si="25"/>
        <v>0</v>
      </c>
      <c r="AO115" s="49">
        <f t="shared" si="23"/>
        <v>0</v>
      </c>
      <c r="AP115" s="49">
        <f t="shared" si="18"/>
        <v>0</v>
      </c>
      <c r="AQ115" s="50">
        <f t="shared" si="19"/>
        <v>0</v>
      </c>
      <c r="AR115" s="124"/>
      <c r="AS115" s="125"/>
      <c r="AT115" s="126"/>
      <c r="AU115" s="84"/>
      <c r="AV115" s="127"/>
      <c r="AW115" s="128"/>
      <c r="AX115" s="128"/>
      <c r="AY115" s="125"/>
      <c r="AZ115" s="129"/>
    </row>
    <row r="116" spans="1:52" ht="16.5" thickBot="1" x14ac:dyDescent="0.3">
      <c r="A116" s="75"/>
      <c r="B116" s="131" t="s">
        <v>90</v>
      </c>
      <c r="C116" s="132"/>
      <c r="D116" s="26">
        <f t="shared" si="20"/>
        <v>0</v>
      </c>
      <c r="E116" s="27">
        <f t="shared" si="21"/>
        <v>0</v>
      </c>
      <c r="F116" s="29">
        <f t="shared" si="22"/>
        <v>0</v>
      </c>
      <c r="G116" s="30">
        <v>0</v>
      </c>
      <c r="H116" s="31">
        <v>0</v>
      </c>
      <c r="I116" s="32">
        <v>0</v>
      </c>
      <c r="J116" s="130"/>
      <c r="K116" s="33">
        <v>0</v>
      </c>
      <c r="L116" s="34">
        <v>0</v>
      </c>
      <c r="M116" s="34">
        <v>0</v>
      </c>
      <c r="N116" s="62"/>
      <c r="O116" s="34">
        <v>0</v>
      </c>
      <c r="P116" s="34">
        <v>0</v>
      </c>
      <c r="Q116" s="34">
        <v>0</v>
      </c>
      <c r="R116" s="62"/>
      <c r="S116" s="37">
        <v>0</v>
      </c>
      <c r="T116" s="34">
        <v>0</v>
      </c>
      <c r="U116" s="34">
        <v>0</v>
      </c>
      <c r="V116" s="62"/>
      <c r="W116" s="38">
        <v>0</v>
      </c>
      <c r="X116" s="31">
        <v>0</v>
      </c>
      <c r="Y116" s="31">
        <v>0</v>
      </c>
      <c r="Z116" s="78"/>
      <c r="AA116" s="37">
        <v>0</v>
      </c>
      <c r="AB116" s="34">
        <v>0</v>
      </c>
      <c r="AC116" s="34">
        <v>0</v>
      </c>
      <c r="AD116" s="64"/>
      <c r="AE116" s="122"/>
      <c r="AF116" s="123"/>
      <c r="AG116" s="43">
        <f t="shared" si="27"/>
        <v>0</v>
      </c>
      <c r="AH116" s="44">
        <f t="shared" si="27"/>
        <v>0</v>
      </c>
      <c r="AI116" s="44">
        <f t="shared" si="27"/>
        <v>0</v>
      </c>
      <c r="AJ116" s="45">
        <f t="shared" si="27"/>
        <v>0</v>
      </c>
      <c r="AK116" s="80">
        <f t="shared" si="17"/>
        <v>0</v>
      </c>
      <c r="AL116" s="47">
        <v>0.25</v>
      </c>
      <c r="AM116" s="48">
        <f t="shared" si="24"/>
        <v>0</v>
      </c>
      <c r="AN116" s="48">
        <f t="shared" si="25"/>
        <v>0</v>
      </c>
      <c r="AO116" s="49">
        <f t="shared" si="23"/>
        <v>0</v>
      </c>
      <c r="AP116" s="49">
        <f t="shared" si="18"/>
        <v>0</v>
      </c>
      <c r="AQ116" s="50">
        <f t="shared" si="19"/>
        <v>0</v>
      </c>
      <c r="AR116" s="124"/>
      <c r="AS116" s="125"/>
      <c r="AT116" s="126"/>
      <c r="AU116" s="84"/>
      <c r="AV116" s="127"/>
      <c r="AW116" s="128"/>
      <c r="AX116" s="128"/>
      <c r="AY116" s="125"/>
      <c r="AZ116" s="129"/>
    </row>
    <row r="117" spans="1:52" ht="16.5" thickBot="1" x14ac:dyDescent="0.3">
      <c r="A117" s="75">
        <v>250</v>
      </c>
      <c r="B117" s="75" t="s">
        <v>26</v>
      </c>
      <c r="C117" s="133"/>
      <c r="D117" s="26">
        <f t="shared" si="20"/>
        <v>0</v>
      </c>
      <c r="E117" s="27">
        <f t="shared" si="21"/>
        <v>0</v>
      </c>
      <c r="F117" s="29">
        <f t="shared" si="22"/>
        <v>0</v>
      </c>
      <c r="G117" s="30">
        <v>0</v>
      </c>
      <c r="H117" s="31">
        <v>0</v>
      </c>
      <c r="I117" s="32">
        <v>0</v>
      </c>
      <c r="J117" s="130"/>
      <c r="K117" s="33">
        <v>0</v>
      </c>
      <c r="L117" s="34">
        <v>0</v>
      </c>
      <c r="M117" s="34">
        <v>0</v>
      </c>
      <c r="N117" s="62"/>
      <c r="O117" s="34">
        <v>0</v>
      </c>
      <c r="P117" s="34">
        <v>0</v>
      </c>
      <c r="Q117" s="34">
        <v>0</v>
      </c>
      <c r="R117" s="62"/>
      <c r="S117" s="37">
        <v>0</v>
      </c>
      <c r="T117" s="34">
        <v>0</v>
      </c>
      <c r="U117" s="34">
        <v>0</v>
      </c>
      <c r="V117" s="62"/>
      <c r="W117" s="38">
        <v>0</v>
      </c>
      <c r="X117" s="31">
        <v>0</v>
      </c>
      <c r="Y117" s="31">
        <v>0</v>
      </c>
      <c r="Z117" s="78"/>
      <c r="AA117" s="37">
        <v>0</v>
      </c>
      <c r="AB117" s="34">
        <v>0</v>
      </c>
      <c r="AC117" s="34">
        <v>0</v>
      </c>
      <c r="AD117" s="64"/>
      <c r="AE117" s="122"/>
      <c r="AF117" s="123"/>
      <c r="AG117" s="43">
        <f t="shared" si="27"/>
        <v>0</v>
      </c>
      <c r="AH117" s="44">
        <f t="shared" si="27"/>
        <v>0</v>
      </c>
      <c r="AI117" s="44">
        <f t="shared" si="27"/>
        <v>0</v>
      </c>
      <c r="AJ117" s="45">
        <f t="shared" si="27"/>
        <v>0</v>
      </c>
      <c r="AK117" s="80">
        <f t="shared" si="17"/>
        <v>0</v>
      </c>
      <c r="AL117" s="47">
        <v>1</v>
      </c>
      <c r="AM117" s="48">
        <f t="shared" si="24"/>
        <v>0</v>
      </c>
      <c r="AN117" s="48">
        <f t="shared" si="25"/>
        <v>0</v>
      </c>
      <c r="AO117" s="49">
        <f t="shared" si="23"/>
        <v>0</v>
      </c>
      <c r="AP117" s="49">
        <f t="shared" si="18"/>
        <v>0</v>
      </c>
      <c r="AQ117" s="50">
        <f t="shared" si="19"/>
        <v>0</v>
      </c>
      <c r="AR117" s="124"/>
      <c r="AS117" s="125"/>
      <c r="AT117" s="126"/>
      <c r="AU117" s="84">
        <f>AK117*AL117</f>
        <v>0</v>
      </c>
      <c r="AV117" s="127"/>
      <c r="AW117" s="128"/>
      <c r="AX117" s="128"/>
      <c r="AY117" s="125"/>
      <c r="AZ117" s="129"/>
    </row>
    <row r="118" spans="1:52" ht="16.5" thickBot="1" x14ac:dyDescent="0.3">
      <c r="A118" s="75">
        <v>250</v>
      </c>
      <c r="B118" s="75" t="s">
        <v>91</v>
      </c>
      <c r="C118" s="133"/>
      <c r="D118" s="26">
        <f t="shared" si="20"/>
        <v>0</v>
      </c>
      <c r="E118" s="27">
        <f t="shared" si="21"/>
        <v>0</v>
      </c>
      <c r="F118" s="29">
        <f t="shared" si="22"/>
        <v>0</v>
      </c>
      <c r="G118" s="30">
        <v>0</v>
      </c>
      <c r="H118" s="31">
        <v>0</v>
      </c>
      <c r="I118" s="32">
        <v>0</v>
      </c>
      <c r="J118" s="130"/>
      <c r="K118" s="33">
        <v>0</v>
      </c>
      <c r="L118" s="34">
        <v>0</v>
      </c>
      <c r="M118" s="34">
        <v>0</v>
      </c>
      <c r="N118" s="62"/>
      <c r="O118" s="34">
        <v>0</v>
      </c>
      <c r="P118" s="34">
        <v>0</v>
      </c>
      <c r="Q118" s="34">
        <v>0</v>
      </c>
      <c r="R118" s="62"/>
      <c r="S118" s="37">
        <v>0</v>
      </c>
      <c r="T118" s="34">
        <v>0</v>
      </c>
      <c r="U118" s="34">
        <v>0</v>
      </c>
      <c r="V118" s="62"/>
      <c r="W118" s="38">
        <v>0</v>
      </c>
      <c r="X118" s="31">
        <v>0</v>
      </c>
      <c r="Y118" s="31">
        <v>0</v>
      </c>
      <c r="Z118" s="78"/>
      <c r="AA118" s="37">
        <v>0</v>
      </c>
      <c r="AB118" s="34">
        <v>0</v>
      </c>
      <c r="AC118" s="34">
        <v>0</v>
      </c>
      <c r="AD118" s="64"/>
      <c r="AE118" s="122"/>
      <c r="AF118" s="123"/>
      <c r="AG118" s="43">
        <f t="shared" si="27"/>
        <v>0</v>
      </c>
      <c r="AH118" s="44">
        <f t="shared" si="27"/>
        <v>0</v>
      </c>
      <c r="AI118" s="44">
        <f t="shared" si="27"/>
        <v>0</v>
      </c>
      <c r="AJ118" s="45">
        <f t="shared" si="27"/>
        <v>0</v>
      </c>
      <c r="AK118" s="80">
        <f t="shared" si="17"/>
        <v>0</v>
      </c>
      <c r="AL118" s="47">
        <v>0.5</v>
      </c>
      <c r="AM118" s="48">
        <f t="shared" si="24"/>
        <v>0</v>
      </c>
      <c r="AN118" s="48">
        <f t="shared" si="25"/>
        <v>0</v>
      </c>
      <c r="AO118" s="49">
        <f t="shared" si="23"/>
        <v>0</v>
      </c>
      <c r="AP118" s="49">
        <f t="shared" si="18"/>
        <v>0</v>
      </c>
      <c r="AQ118" s="50">
        <f t="shared" si="19"/>
        <v>0</v>
      </c>
      <c r="AR118" s="124"/>
      <c r="AS118" s="125"/>
      <c r="AT118" s="126"/>
      <c r="AU118" s="84"/>
      <c r="AV118" s="127"/>
      <c r="AW118" s="128"/>
      <c r="AX118" s="128"/>
      <c r="AY118" s="125"/>
      <c r="AZ118" s="129"/>
    </row>
    <row r="119" spans="1:52" ht="16.5" thickBot="1" x14ac:dyDescent="0.3">
      <c r="A119" s="75">
        <v>1000</v>
      </c>
      <c r="B119" s="75" t="s">
        <v>91</v>
      </c>
      <c r="C119" s="133"/>
      <c r="D119" s="26">
        <f t="shared" si="20"/>
        <v>0</v>
      </c>
      <c r="E119" s="27">
        <f t="shared" si="21"/>
        <v>0</v>
      </c>
      <c r="F119" s="29">
        <f t="shared" si="22"/>
        <v>0</v>
      </c>
      <c r="G119" s="30">
        <v>0</v>
      </c>
      <c r="H119" s="31">
        <v>0</v>
      </c>
      <c r="I119" s="32">
        <v>0</v>
      </c>
      <c r="J119" s="130"/>
      <c r="K119" s="33">
        <v>0</v>
      </c>
      <c r="L119" s="34">
        <v>0</v>
      </c>
      <c r="M119" s="34">
        <v>0</v>
      </c>
      <c r="N119" s="62"/>
      <c r="O119" s="34">
        <v>0</v>
      </c>
      <c r="P119" s="34">
        <v>0</v>
      </c>
      <c r="Q119" s="34">
        <v>0</v>
      </c>
      <c r="R119" s="62"/>
      <c r="S119" s="37">
        <v>0</v>
      </c>
      <c r="T119" s="34">
        <v>0</v>
      </c>
      <c r="U119" s="34">
        <v>0</v>
      </c>
      <c r="V119" s="62"/>
      <c r="W119" s="38">
        <v>0</v>
      </c>
      <c r="X119" s="31">
        <v>0</v>
      </c>
      <c r="Y119" s="31">
        <v>0</v>
      </c>
      <c r="Z119" s="78"/>
      <c r="AA119" s="37">
        <v>0</v>
      </c>
      <c r="AB119" s="34">
        <v>0</v>
      </c>
      <c r="AC119" s="34">
        <v>0</v>
      </c>
      <c r="AD119" s="64"/>
      <c r="AE119" s="122"/>
      <c r="AF119" s="123"/>
      <c r="AG119" s="43">
        <f t="shared" si="27"/>
        <v>0</v>
      </c>
      <c r="AH119" s="44">
        <f t="shared" si="27"/>
        <v>0</v>
      </c>
      <c r="AI119" s="44">
        <f t="shared" si="27"/>
        <v>0</v>
      </c>
      <c r="AJ119" s="45">
        <f t="shared" si="27"/>
        <v>0</v>
      </c>
      <c r="AK119" s="80">
        <f t="shared" si="17"/>
        <v>0</v>
      </c>
      <c r="AL119" s="47">
        <v>0.5</v>
      </c>
      <c r="AM119" s="48">
        <f t="shared" si="24"/>
        <v>0</v>
      </c>
      <c r="AN119" s="48">
        <f t="shared" si="25"/>
        <v>0</v>
      </c>
      <c r="AO119" s="49">
        <f t="shared" si="23"/>
        <v>0</v>
      </c>
      <c r="AP119" s="49">
        <f t="shared" si="18"/>
        <v>0</v>
      </c>
      <c r="AQ119" s="50">
        <f t="shared" si="19"/>
        <v>0</v>
      </c>
      <c r="AR119" s="124"/>
      <c r="AS119" s="125"/>
      <c r="AT119" s="126"/>
      <c r="AU119" s="84"/>
      <c r="AV119" s="127"/>
      <c r="AW119" s="128"/>
      <c r="AX119" s="128"/>
      <c r="AY119" s="125"/>
      <c r="AZ119" s="129"/>
    </row>
    <row r="120" spans="1:52" ht="16.5" thickBot="1" x14ac:dyDescent="0.3">
      <c r="A120" s="75">
        <v>250</v>
      </c>
      <c r="B120" s="75" t="s">
        <v>92</v>
      </c>
      <c r="C120" s="133"/>
      <c r="D120" s="26">
        <f t="shared" si="20"/>
        <v>0</v>
      </c>
      <c r="E120" s="27">
        <f t="shared" si="21"/>
        <v>0</v>
      </c>
      <c r="F120" s="29">
        <f t="shared" si="22"/>
        <v>0</v>
      </c>
      <c r="G120" s="30">
        <v>0</v>
      </c>
      <c r="H120" s="31">
        <v>0</v>
      </c>
      <c r="I120" s="32">
        <v>0</v>
      </c>
      <c r="J120" s="130"/>
      <c r="K120" s="33">
        <v>0</v>
      </c>
      <c r="L120" s="34">
        <v>0</v>
      </c>
      <c r="M120" s="34">
        <v>0</v>
      </c>
      <c r="N120" s="62"/>
      <c r="O120" s="34">
        <v>0</v>
      </c>
      <c r="P120" s="34">
        <v>0</v>
      </c>
      <c r="Q120" s="34">
        <v>0</v>
      </c>
      <c r="R120" s="62"/>
      <c r="S120" s="37">
        <v>0</v>
      </c>
      <c r="T120" s="34">
        <v>0</v>
      </c>
      <c r="U120" s="34">
        <v>0</v>
      </c>
      <c r="V120" s="62"/>
      <c r="W120" s="38">
        <v>0</v>
      </c>
      <c r="X120" s="31">
        <v>0</v>
      </c>
      <c r="Y120" s="31">
        <v>0</v>
      </c>
      <c r="Z120" s="78"/>
      <c r="AA120" s="37">
        <v>0</v>
      </c>
      <c r="AB120" s="34">
        <v>0</v>
      </c>
      <c r="AC120" s="34">
        <v>0</v>
      </c>
      <c r="AD120" s="64"/>
      <c r="AE120" s="122"/>
      <c r="AF120" s="123"/>
      <c r="AG120" s="43">
        <f t="shared" si="27"/>
        <v>0</v>
      </c>
      <c r="AH120" s="44">
        <f t="shared" si="27"/>
        <v>0</v>
      </c>
      <c r="AI120" s="44">
        <f t="shared" si="27"/>
        <v>0</v>
      </c>
      <c r="AJ120" s="45">
        <f t="shared" si="27"/>
        <v>0</v>
      </c>
      <c r="AK120" s="80">
        <f t="shared" si="17"/>
        <v>0</v>
      </c>
      <c r="AL120" s="47">
        <v>0.5</v>
      </c>
      <c r="AM120" s="48">
        <f t="shared" si="24"/>
        <v>0</v>
      </c>
      <c r="AN120" s="48">
        <f t="shared" si="25"/>
        <v>0</v>
      </c>
      <c r="AO120" s="49">
        <f t="shared" si="23"/>
        <v>0</v>
      </c>
      <c r="AP120" s="49">
        <f t="shared" si="18"/>
        <v>0</v>
      </c>
      <c r="AQ120" s="50">
        <f t="shared" si="19"/>
        <v>0</v>
      </c>
      <c r="AR120" s="124"/>
      <c r="AS120" s="125"/>
      <c r="AT120" s="126"/>
      <c r="AU120" s="84"/>
      <c r="AV120" s="127"/>
      <c r="AW120" s="128"/>
      <c r="AX120" s="128"/>
      <c r="AY120" s="125"/>
      <c r="AZ120" s="129"/>
    </row>
    <row r="121" spans="1:52" ht="16.5" thickBot="1" x14ac:dyDescent="0.3">
      <c r="A121" s="75">
        <v>1.5</v>
      </c>
      <c r="B121" s="75" t="s">
        <v>93</v>
      </c>
      <c r="C121" s="133"/>
      <c r="D121" s="26">
        <f t="shared" si="20"/>
        <v>0</v>
      </c>
      <c r="E121" s="27">
        <f t="shared" si="21"/>
        <v>0</v>
      </c>
      <c r="F121" s="29">
        <f t="shared" si="22"/>
        <v>0</v>
      </c>
      <c r="G121" s="30">
        <v>0</v>
      </c>
      <c r="H121" s="31">
        <v>0</v>
      </c>
      <c r="I121" s="32">
        <v>0</v>
      </c>
      <c r="J121" s="130"/>
      <c r="K121" s="33">
        <v>0</v>
      </c>
      <c r="L121" s="34">
        <v>0</v>
      </c>
      <c r="M121" s="34">
        <v>0</v>
      </c>
      <c r="N121" s="62"/>
      <c r="O121" s="34">
        <v>0</v>
      </c>
      <c r="P121" s="34">
        <v>0</v>
      </c>
      <c r="Q121" s="34">
        <v>0</v>
      </c>
      <c r="R121" s="62"/>
      <c r="S121" s="37">
        <v>0</v>
      </c>
      <c r="T121" s="34">
        <v>0</v>
      </c>
      <c r="U121" s="34">
        <v>0</v>
      </c>
      <c r="V121" s="62"/>
      <c r="W121" s="38">
        <v>0</v>
      </c>
      <c r="X121" s="31">
        <v>0</v>
      </c>
      <c r="Y121" s="31">
        <v>0</v>
      </c>
      <c r="Z121" s="78"/>
      <c r="AA121" s="37">
        <v>0</v>
      </c>
      <c r="AB121" s="34">
        <v>0</v>
      </c>
      <c r="AC121" s="34">
        <v>0</v>
      </c>
      <c r="AD121" s="64"/>
      <c r="AE121" s="122"/>
      <c r="AF121" s="123"/>
      <c r="AG121" s="43">
        <f t="shared" si="27"/>
        <v>0</v>
      </c>
      <c r="AH121" s="44">
        <f t="shared" si="27"/>
        <v>0</v>
      </c>
      <c r="AI121" s="44">
        <f t="shared" si="27"/>
        <v>0</v>
      </c>
      <c r="AJ121" s="45">
        <f t="shared" si="27"/>
        <v>0</v>
      </c>
      <c r="AK121" s="80">
        <f t="shared" si="17"/>
        <v>0</v>
      </c>
      <c r="AL121" s="47">
        <v>0.75</v>
      </c>
      <c r="AM121" s="48">
        <f t="shared" si="24"/>
        <v>0</v>
      </c>
      <c r="AN121" s="48">
        <f t="shared" si="25"/>
        <v>0</v>
      </c>
      <c r="AO121" s="49">
        <f t="shared" si="23"/>
        <v>0</v>
      </c>
      <c r="AP121" s="49">
        <f t="shared" si="18"/>
        <v>0</v>
      </c>
      <c r="AQ121" s="50">
        <f t="shared" si="19"/>
        <v>0</v>
      </c>
      <c r="AR121" s="124"/>
      <c r="AS121" s="125"/>
      <c r="AT121" s="126"/>
      <c r="AU121" s="84">
        <f>AK121*AL121</f>
        <v>0</v>
      </c>
      <c r="AV121" s="127"/>
      <c r="AW121" s="128"/>
      <c r="AX121" s="128"/>
      <c r="AY121" s="125"/>
      <c r="AZ121" s="129"/>
    </row>
    <row r="122" spans="1:52" ht="16.5" thickBot="1" x14ac:dyDescent="0.3">
      <c r="A122" s="75">
        <v>1.5</v>
      </c>
      <c r="B122" s="75" t="s">
        <v>82</v>
      </c>
      <c r="C122" s="133"/>
      <c r="D122" s="26">
        <f t="shared" si="20"/>
        <v>0</v>
      </c>
      <c r="E122" s="27">
        <f t="shared" si="21"/>
        <v>0</v>
      </c>
      <c r="F122" s="29">
        <f t="shared" si="22"/>
        <v>0</v>
      </c>
      <c r="G122" s="30">
        <v>0</v>
      </c>
      <c r="H122" s="31">
        <v>0</v>
      </c>
      <c r="I122" s="32">
        <v>0</v>
      </c>
      <c r="J122" s="130"/>
      <c r="K122" s="33">
        <v>0</v>
      </c>
      <c r="L122" s="34">
        <v>0</v>
      </c>
      <c r="M122" s="34">
        <v>0</v>
      </c>
      <c r="N122" s="62"/>
      <c r="O122" s="34">
        <v>1</v>
      </c>
      <c r="P122" s="34">
        <v>10</v>
      </c>
      <c r="Q122" s="34">
        <v>5</v>
      </c>
      <c r="R122" s="62"/>
      <c r="S122" s="37">
        <v>7</v>
      </c>
      <c r="T122" s="34">
        <v>0</v>
      </c>
      <c r="U122" s="34">
        <v>5</v>
      </c>
      <c r="V122" s="62"/>
      <c r="W122" s="38">
        <v>0</v>
      </c>
      <c r="X122" s="31">
        <v>0</v>
      </c>
      <c r="Y122" s="31">
        <v>0</v>
      </c>
      <c r="Z122" s="78"/>
      <c r="AA122" s="37">
        <v>1</v>
      </c>
      <c r="AB122" s="34">
        <v>0</v>
      </c>
      <c r="AC122" s="34">
        <v>0</v>
      </c>
      <c r="AD122" s="64"/>
      <c r="AE122" s="122"/>
      <c r="AF122" s="123"/>
      <c r="AG122" s="43">
        <f t="shared" si="27"/>
        <v>9</v>
      </c>
      <c r="AH122" s="44">
        <f t="shared" si="27"/>
        <v>10</v>
      </c>
      <c r="AI122" s="44">
        <f t="shared" si="27"/>
        <v>10</v>
      </c>
      <c r="AJ122" s="45">
        <f t="shared" si="27"/>
        <v>0</v>
      </c>
      <c r="AK122" s="80">
        <f t="shared" si="17"/>
        <v>29</v>
      </c>
      <c r="AL122" s="47">
        <v>0.75</v>
      </c>
      <c r="AM122" s="48">
        <f t="shared" si="24"/>
        <v>6.75</v>
      </c>
      <c r="AN122" s="48">
        <f t="shared" si="25"/>
        <v>7.5</v>
      </c>
      <c r="AO122" s="49">
        <f t="shared" si="23"/>
        <v>7.5</v>
      </c>
      <c r="AP122" s="49">
        <f t="shared" si="18"/>
        <v>0</v>
      </c>
      <c r="AQ122" s="50">
        <f t="shared" si="19"/>
        <v>1740</v>
      </c>
      <c r="AR122" s="124"/>
      <c r="AS122" s="125"/>
      <c r="AT122" s="126"/>
      <c r="AU122" s="84"/>
      <c r="AV122" s="127"/>
      <c r="AW122" s="128"/>
      <c r="AX122" s="128"/>
      <c r="AY122" s="125"/>
      <c r="AZ122" s="129"/>
    </row>
    <row r="123" spans="1:52" ht="16.5" thickBot="1" x14ac:dyDescent="0.3">
      <c r="A123" s="75">
        <v>250</v>
      </c>
      <c r="B123" s="75" t="s">
        <v>27</v>
      </c>
      <c r="C123" s="133"/>
      <c r="D123" s="26">
        <f t="shared" si="20"/>
        <v>0</v>
      </c>
      <c r="E123" s="27">
        <f t="shared" si="21"/>
        <v>0</v>
      </c>
      <c r="F123" s="29">
        <f t="shared" si="22"/>
        <v>0</v>
      </c>
      <c r="G123" s="30">
        <v>0</v>
      </c>
      <c r="H123" s="31">
        <v>0</v>
      </c>
      <c r="I123" s="32">
        <v>0</v>
      </c>
      <c r="J123" s="130"/>
      <c r="K123" s="33">
        <v>0</v>
      </c>
      <c r="L123" s="34">
        <v>0</v>
      </c>
      <c r="M123" s="34">
        <v>0</v>
      </c>
      <c r="N123" s="62"/>
      <c r="O123" s="34">
        <v>0</v>
      </c>
      <c r="P123" s="34">
        <v>0</v>
      </c>
      <c r="Q123" s="34">
        <v>0</v>
      </c>
      <c r="R123" s="62"/>
      <c r="S123" s="37">
        <v>0</v>
      </c>
      <c r="T123" s="34">
        <v>0</v>
      </c>
      <c r="U123" s="34">
        <v>0</v>
      </c>
      <c r="V123" s="62"/>
      <c r="W123" s="38">
        <v>0</v>
      </c>
      <c r="X123" s="31">
        <v>0</v>
      </c>
      <c r="Y123" s="31">
        <v>0</v>
      </c>
      <c r="Z123" s="78"/>
      <c r="AA123" s="37">
        <v>0</v>
      </c>
      <c r="AB123" s="34">
        <v>0</v>
      </c>
      <c r="AC123" s="34">
        <v>0</v>
      </c>
      <c r="AD123" s="64"/>
      <c r="AE123" s="122"/>
      <c r="AF123" s="123"/>
      <c r="AG123" s="43">
        <f t="shared" si="27"/>
        <v>0</v>
      </c>
      <c r="AH123" s="44">
        <f t="shared" si="27"/>
        <v>0</v>
      </c>
      <c r="AI123" s="44">
        <f t="shared" si="27"/>
        <v>0</v>
      </c>
      <c r="AJ123" s="45">
        <f t="shared" si="27"/>
        <v>0</v>
      </c>
      <c r="AK123" s="80">
        <f t="shared" si="17"/>
        <v>0</v>
      </c>
      <c r="AL123" s="47">
        <v>1</v>
      </c>
      <c r="AM123" s="48">
        <f t="shared" si="24"/>
        <v>0</v>
      </c>
      <c r="AN123" s="48">
        <f t="shared" si="25"/>
        <v>0</v>
      </c>
      <c r="AO123" s="49">
        <f t="shared" si="23"/>
        <v>0</v>
      </c>
      <c r="AP123" s="49">
        <f t="shared" si="18"/>
        <v>0</v>
      </c>
      <c r="AQ123" s="50">
        <f t="shared" si="19"/>
        <v>0</v>
      </c>
      <c r="AR123" s="124"/>
      <c r="AS123" s="125"/>
      <c r="AT123" s="126"/>
      <c r="AU123" s="84">
        <f t="shared" ref="AU123:AU132" si="28">AK123*AL123</f>
        <v>0</v>
      </c>
      <c r="AV123" s="127"/>
      <c r="AW123" s="128"/>
      <c r="AX123" s="128"/>
      <c r="AY123" s="125"/>
      <c r="AZ123" s="129"/>
    </row>
    <row r="124" spans="1:52" ht="16.5" thickBot="1" x14ac:dyDescent="0.3">
      <c r="A124" s="91">
        <v>400</v>
      </c>
      <c r="B124" s="91" t="s">
        <v>94</v>
      </c>
      <c r="C124" s="133"/>
      <c r="D124" s="26">
        <f t="shared" si="20"/>
        <v>0</v>
      </c>
      <c r="E124" s="27">
        <f t="shared" si="21"/>
        <v>0</v>
      </c>
      <c r="F124" s="29">
        <f t="shared" si="22"/>
        <v>0</v>
      </c>
      <c r="G124" s="30">
        <v>0</v>
      </c>
      <c r="H124" s="31">
        <v>0</v>
      </c>
      <c r="I124" s="32">
        <v>0</v>
      </c>
      <c r="J124" s="113"/>
      <c r="K124" s="33">
        <v>0</v>
      </c>
      <c r="L124" s="34">
        <v>0</v>
      </c>
      <c r="M124" s="34">
        <v>0</v>
      </c>
      <c r="N124" s="114"/>
      <c r="O124" s="34">
        <v>0</v>
      </c>
      <c r="P124" s="34">
        <v>0</v>
      </c>
      <c r="Q124" s="34">
        <v>0</v>
      </c>
      <c r="R124" s="114"/>
      <c r="S124" s="37">
        <v>0</v>
      </c>
      <c r="T124" s="34">
        <v>0</v>
      </c>
      <c r="U124" s="34">
        <v>0</v>
      </c>
      <c r="V124" s="114"/>
      <c r="W124" s="38">
        <v>0</v>
      </c>
      <c r="X124" s="31">
        <v>0</v>
      </c>
      <c r="Y124" s="31">
        <v>0</v>
      </c>
      <c r="Z124" s="78"/>
      <c r="AA124" s="37">
        <v>0</v>
      </c>
      <c r="AB124" s="34">
        <v>0</v>
      </c>
      <c r="AC124" s="34">
        <v>0</v>
      </c>
      <c r="AD124" s="64"/>
      <c r="AE124" s="122"/>
      <c r="AF124" s="123"/>
      <c r="AG124" s="43">
        <f t="shared" si="27"/>
        <v>0</v>
      </c>
      <c r="AH124" s="44">
        <f t="shared" si="27"/>
        <v>0</v>
      </c>
      <c r="AI124" s="44">
        <f t="shared" si="27"/>
        <v>0</v>
      </c>
      <c r="AJ124" s="45">
        <f t="shared" si="27"/>
        <v>0</v>
      </c>
      <c r="AK124" s="80">
        <f t="shared" si="17"/>
        <v>0</v>
      </c>
      <c r="AL124" s="47">
        <v>0.75</v>
      </c>
      <c r="AM124" s="48">
        <f t="shared" si="24"/>
        <v>0</v>
      </c>
      <c r="AN124" s="48">
        <f t="shared" si="25"/>
        <v>0</v>
      </c>
      <c r="AO124" s="49">
        <f t="shared" si="23"/>
        <v>0</v>
      </c>
      <c r="AP124" s="49">
        <f t="shared" si="18"/>
        <v>0</v>
      </c>
      <c r="AQ124" s="50">
        <f t="shared" si="19"/>
        <v>0</v>
      </c>
      <c r="AR124" s="124"/>
      <c r="AS124" s="125"/>
      <c r="AT124" s="126"/>
      <c r="AU124" s="84">
        <f t="shared" si="28"/>
        <v>0</v>
      </c>
      <c r="AV124" s="127"/>
      <c r="AW124" s="128"/>
      <c r="AX124" s="128"/>
      <c r="AY124" s="125"/>
      <c r="AZ124" s="129"/>
    </row>
    <row r="125" spans="1:52" ht="16.5" thickBot="1" x14ac:dyDescent="0.3">
      <c r="A125" s="91">
        <v>1000</v>
      </c>
      <c r="B125" s="91" t="s">
        <v>95</v>
      </c>
      <c r="C125" s="133"/>
      <c r="D125" s="26">
        <f t="shared" si="20"/>
        <v>0</v>
      </c>
      <c r="E125" s="27">
        <f t="shared" si="21"/>
        <v>0</v>
      </c>
      <c r="F125" s="29">
        <f t="shared" si="22"/>
        <v>0</v>
      </c>
      <c r="G125" s="30">
        <v>0</v>
      </c>
      <c r="H125" s="31">
        <v>0</v>
      </c>
      <c r="I125" s="32">
        <v>0</v>
      </c>
      <c r="J125" s="113"/>
      <c r="K125" s="33">
        <v>0</v>
      </c>
      <c r="L125" s="34">
        <v>0</v>
      </c>
      <c r="M125" s="34">
        <v>0</v>
      </c>
      <c r="N125" s="114"/>
      <c r="O125" s="34">
        <v>0</v>
      </c>
      <c r="P125" s="34">
        <v>0</v>
      </c>
      <c r="Q125" s="34">
        <v>0</v>
      </c>
      <c r="R125" s="114"/>
      <c r="S125" s="37">
        <v>0</v>
      </c>
      <c r="T125" s="34">
        <v>0</v>
      </c>
      <c r="U125" s="34">
        <v>0</v>
      </c>
      <c r="V125" s="114"/>
      <c r="W125" s="38">
        <v>0</v>
      </c>
      <c r="X125" s="31">
        <v>0</v>
      </c>
      <c r="Y125" s="31">
        <v>0</v>
      </c>
      <c r="Z125" s="78"/>
      <c r="AA125" s="37">
        <v>0</v>
      </c>
      <c r="AB125" s="34">
        <v>0</v>
      </c>
      <c r="AC125" s="34">
        <v>0</v>
      </c>
      <c r="AD125" s="64"/>
      <c r="AE125" s="122"/>
      <c r="AF125" s="123"/>
      <c r="AG125" s="43">
        <f t="shared" si="27"/>
        <v>0</v>
      </c>
      <c r="AH125" s="44">
        <f t="shared" si="27"/>
        <v>0</v>
      </c>
      <c r="AI125" s="44">
        <f t="shared" si="27"/>
        <v>0</v>
      </c>
      <c r="AJ125" s="45">
        <f t="shared" si="27"/>
        <v>0</v>
      </c>
      <c r="AK125" s="80">
        <f t="shared" si="17"/>
        <v>0</v>
      </c>
      <c r="AL125" s="47">
        <v>1</v>
      </c>
      <c r="AM125" s="48">
        <f t="shared" si="24"/>
        <v>0</v>
      </c>
      <c r="AN125" s="48">
        <f t="shared" si="25"/>
        <v>0</v>
      </c>
      <c r="AO125" s="49">
        <f t="shared" si="23"/>
        <v>0</v>
      </c>
      <c r="AP125" s="49">
        <f t="shared" si="18"/>
        <v>0</v>
      </c>
      <c r="AQ125" s="50">
        <f t="shared" si="19"/>
        <v>0</v>
      </c>
      <c r="AR125" s="124"/>
      <c r="AS125" s="125"/>
      <c r="AT125" s="126"/>
      <c r="AU125" s="84">
        <f t="shared" si="28"/>
        <v>0</v>
      </c>
      <c r="AV125" s="127"/>
      <c r="AW125" s="128"/>
      <c r="AX125" s="128"/>
      <c r="AY125" s="125"/>
      <c r="AZ125" s="129"/>
    </row>
    <row r="126" spans="1:52" ht="16.5" thickBot="1" x14ac:dyDescent="0.3">
      <c r="A126" s="134">
        <v>355</v>
      </c>
      <c r="B126" s="134" t="s">
        <v>96</v>
      </c>
      <c r="C126" s="135"/>
      <c r="D126" s="26">
        <f t="shared" si="20"/>
        <v>0</v>
      </c>
      <c r="E126" s="27">
        <f t="shared" si="21"/>
        <v>0</v>
      </c>
      <c r="F126" s="29">
        <f t="shared" si="22"/>
        <v>0</v>
      </c>
      <c r="G126" s="30">
        <v>0</v>
      </c>
      <c r="H126" s="31">
        <v>0</v>
      </c>
      <c r="I126" s="32">
        <v>0</v>
      </c>
      <c r="J126" s="136"/>
      <c r="K126" s="33">
        <v>0</v>
      </c>
      <c r="L126" s="34">
        <v>0</v>
      </c>
      <c r="M126" s="34">
        <v>0</v>
      </c>
      <c r="N126" s="114"/>
      <c r="O126" s="34">
        <v>0</v>
      </c>
      <c r="P126" s="34">
        <v>0</v>
      </c>
      <c r="Q126" s="34">
        <v>0</v>
      </c>
      <c r="R126" s="114"/>
      <c r="S126" s="37">
        <v>0</v>
      </c>
      <c r="T126" s="34">
        <v>0</v>
      </c>
      <c r="U126" s="34">
        <v>0</v>
      </c>
      <c r="V126" s="114"/>
      <c r="W126" s="38">
        <v>0</v>
      </c>
      <c r="X126" s="31">
        <v>0</v>
      </c>
      <c r="Y126" s="31">
        <v>0</v>
      </c>
      <c r="Z126" s="78"/>
      <c r="AA126" s="37">
        <v>0</v>
      </c>
      <c r="AB126" s="34">
        <v>0</v>
      </c>
      <c r="AC126" s="34">
        <v>0</v>
      </c>
      <c r="AD126" s="64"/>
      <c r="AE126" s="122"/>
      <c r="AF126" s="123"/>
      <c r="AG126" s="43">
        <f t="shared" si="27"/>
        <v>0</v>
      </c>
      <c r="AH126" s="44">
        <f t="shared" si="27"/>
        <v>0</v>
      </c>
      <c r="AI126" s="44">
        <f t="shared" si="27"/>
        <v>0</v>
      </c>
      <c r="AJ126" s="45">
        <f t="shared" si="27"/>
        <v>0</v>
      </c>
      <c r="AK126" s="137">
        <f t="shared" si="17"/>
        <v>0</v>
      </c>
      <c r="AL126" s="47">
        <v>0.45</v>
      </c>
      <c r="AM126" s="48">
        <f t="shared" si="24"/>
        <v>0</v>
      </c>
      <c r="AN126" s="48">
        <f t="shared" si="25"/>
        <v>0</v>
      </c>
      <c r="AO126" s="49">
        <f t="shared" si="23"/>
        <v>0</v>
      </c>
      <c r="AP126" s="49">
        <f t="shared" si="18"/>
        <v>0</v>
      </c>
      <c r="AQ126" s="50">
        <f t="shared" si="19"/>
        <v>0</v>
      </c>
      <c r="AR126" s="124"/>
      <c r="AS126" s="125"/>
      <c r="AT126" s="126"/>
      <c r="AU126" s="84">
        <f t="shared" si="28"/>
        <v>0</v>
      </c>
      <c r="AV126" s="127"/>
      <c r="AW126" s="128"/>
      <c r="AX126" s="128"/>
      <c r="AY126" s="125"/>
      <c r="AZ126" s="129"/>
    </row>
    <row r="127" spans="1:52" ht="16.5" thickBot="1" x14ac:dyDescent="0.3">
      <c r="A127" s="134">
        <v>330</v>
      </c>
      <c r="B127" s="134" t="s">
        <v>97</v>
      </c>
      <c r="C127" s="135"/>
      <c r="D127" s="26">
        <f t="shared" si="20"/>
        <v>0</v>
      </c>
      <c r="E127" s="27">
        <f t="shared" si="21"/>
        <v>0</v>
      </c>
      <c r="F127" s="29">
        <f t="shared" si="22"/>
        <v>0</v>
      </c>
      <c r="G127" s="30">
        <v>0</v>
      </c>
      <c r="H127" s="31">
        <v>0</v>
      </c>
      <c r="I127" s="32">
        <v>0</v>
      </c>
      <c r="J127" s="136"/>
      <c r="K127" s="33">
        <v>0</v>
      </c>
      <c r="L127" s="34">
        <v>0</v>
      </c>
      <c r="M127" s="34">
        <v>0</v>
      </c>
      <c r="N127" s="114"/>
      <c r="O127" s="34">
        <v>0</v>
      </c>
      <c r="P127" s="34">
        <v>0</v>
      </c>
      <c r="Q127" s="34">
        <v>0</v>
      </c>
      <c r="R127" s="114"/>
      <c r="S127" s="37">
        <v>0</v>
      </c>
      <c r="T127" s="34">
        <v>0</v>
      </c>
      <c r="U127" s="34">
        <v>0</v>
      </c>
      <c r="V127" s="114"/>
      <c r="W127" s="38">
        <v>0</v>
      </c>
      <c r="X127" s="31">
        <v>0</v>
      </c>
      <c r="Y127" s="31">
        <v>0</v>
      </c>
      <c r="Z127" s="78"/>
      <c r="AA127" s="37">
        <v>0</v>
      </c>
      <c r="AB127" s="34">
        <v>0</v>
      </c>
      <c r="AC127" s="34">
        <v>0</v>
      </c>
      <c r="AD127" s="64"/>
      <c r="AE127" s="122"/>
      <c r="AF127" s="123"/>
      <c r="AG127" s="43">
        <f t="shared" si="27"/>
        <v>0</v>
      </c>
      <c r="AH127" s="44">
        <f t="shared" si="27"/>
        <v>0</v>
      </c>
      <c r="AI127" s="44">
        <f t="shared" si="27"/>
        <v>0</v>
      </c>
      <c r="AJ127" s="45">
        <f t="shared" si="27"/>
        <v>0</v>
      </c>
      <c r="AK127" s="137">
        <f t="shared" si="17"/>
        <v>0</v>
      </c>
      <c r="AL127" s="47">
        <v>0.5</v>
      </c>
      <c r="AM127" s="48">
        <f t="shared" si="24"/>
        <v>0</v>
      </c>
      <c r="AN127" s="48">
        <f t="shared" si="25"/>
        <v>0</v>
      </c>
      <c r="AO127" s="49">
        <f t="shared" si="23"/>
        <v>0</v>
      </c>
      <c r="AP127" s="49">
        <f t="shared" si="18"/>
        <v>0</v>
      </c>
      <c r="AQ127" s="50">
        <f t="shared" si="19"/>
        <v>0</v>
      </c>
      <c r="AR127" s="124"/>
      <c r="AS127" s="125"/>
      <c r="AT127" s="126"/>
      <c r="AU127" s="84">
        <f t="shared" si="28"/>
        <v>0</v>
      </c>
      <c r="AV127" s="127"/>
      <c r="AW127" s="128"/>
      <c r="AX127" s="128"/>
      <c r="AY127" s="125"/>
      <c r="AZ127" s="129"/>
    </row>
    <row r="128" spans="1:52" ht="16.5" thickBot="1" x14ac:dyDescent="0.3">
      <c r="A128" s="134">
        <v>330</v>
      </c>
      <c r="B128" s="134" t="s">
        <v>98</v>
      </c>
      <c r="C128" s="135"/>
      <c r="D128" s="26">
        <f t="shared" si="20"/>
        <v>0</v>
      </c>
      <c r="E128" s="27">
        <f t="shared" si="21"/>
        <v>0</v>
      </c>
      <c r="F128" s="29">
        <f t="shared" si="22"/>
        <v>0</v>
      </c>
      <c r="G128" s="30">
        <v>0</v>
      </c>
      <c r="H128" s="31">
        <v>0</v>
      </c>
      <c r="I128" s="32">
        <v>0</v>
      </c>
      <c r="J128" s="136"/>
      <c r="K128" s="33">
        <v>0</v>
      </c>
      <c r="L128" s="34">
        <v>0</v>
      </c>
      <c r="M128" s="34">
        <v>0</v>
      </c>
      <c r="N128" s="114"/>
      <c r="O128" s="34">
        <v>0</v>
      </c>
      <c r="P128" s="34">
        <v>0</v>
      </c>
      <c r="Q128" s="34">
        <v>0</v>
      </c>
      <c r="R128" s="114"/>
      <c r="S128" s="37">
        <v>0</v>
      </c>
      <c r="T128" s="34">
        <v>0</v>
      </c>
      <c r="U128" s="34">
        <v>0</v>
      </c>
      <c r="V128" s="114"/>
      <c r="W128" s="38">
        <v>0</v>
      </c>
      <c r="X128" s="31">
        <v>0</v>
      </c>
      <c r="Y128" s="31">
        <v>0</v>
      </c>
      <c r="Z128" s="78"/>
      <c r="AA128" s="37">
        <v>0</v>
      </c>
      <c r="AB128" s="34">
        <v>0</v>
      </c>
      <c r="AC128" s="34">
        <v>0</v>
      </c>
      <c r="AD128" s="64"/>
      <c r="AE128" s="122"/>
      <c r="AF128" s="123"/>
      <c r="AG128" s="43">
        <f t="shared" si="27"/>
        <v>0</v>
      </c>
      <c r="AH128" s="44">
        <f t="shared" si="27"/>
        <v>0</v>
      </c>
      <c r="AI128" s="44">
        <f t="shared" si="27"/>
        <v>0</v>
      </c>
      <c r="AJ128" s="45">
        <f t="shared" si="27"/>
        <v>0</v>
      </c>
      <c r="AK128" s="137">
        <f t="shared" si="17"/>
        <v>0</v>
      </c>
      <c r="AL128" s="47">
        <v>0.5</v>
      </c>
      <c r="AM128" s="48">
        <f t="shared" si="24"/>
        <v>0</v>
      </c>
      <c r="AN128" s="48">
        <f t="shared" si="25"/>
        <v>0</v>
      </c>
      <c r="AO128" s="49">
        <f t="shared" si="23"/>
        <v>0</v>
      </c>
      <c r="AP128" s="49">
        <f t="shared" si="18"/>
        <v>0</v>
      </c>
      <c r="AQ128" s="50">
        <f t="shared" si="19"/>
        <v>0</v>
      </c>
      <c r="AR128" s="124"/>
      <c r="AS128" s="125"/>
      <c r="AT128" s="126"/>
      <c r="AU128" s="84">
        <f t="shared" si="28"/>
        <v>0</v>
      </c>
      <c r="AV128" s="127"/>
      <c r="AW128" s="128"/>
      <c r="AX128" s="128"/>
      <c r="AY128" s="125"/>
      <c r="AZ128" s="129"/>
    </row>
    <row r="129" spans="1:52" ht="16.5" thickBot="1" x14ac:dyDescent="0.3">
      <c r="A129" s="134">
        <v>330</v>
      </c>
      <c r="B129" s="134" t="s">
        <v>99</v>
      </c>
      <c r="C129" s="135"/>
      <c r="D129" s="26">
        <f t="shared" si="20"/>
        <v>0</v>
      </c>
      <c r="E129" s="27">
        <f t="shared" si="21"/>
        <v>0</v>
      </c>
      <c r="F129" s="29">
        <f t="shared" si="22"/>
        <v>0</v>
      </c>
      <c r="G129" s="30">
        <v>0</v>
      </c>
      <c r="H129" s="31">
        <v>0</v>
      </c>
      <c r="I129" s="32">
        <v>0</v>
      </c>
      <c r="J129" s="136"/>
      <c r="K129" s="33">
        <v>0</v>
      </c>
      <c r="L129" s="34">
        <v>0</v>
      </c>
      <c r="M129" s="34">
        <v>0</v>
      </c>
      <c r="N129" s="114"/>
      <c r="O129" s="34">
        <v>0</v>
      </c>
      <c r="P129" s="34">
        <v>0</v>
      </c>
      <c r="Q129" s="34">
        <v>0</v>
      </c>
      <c r="R129" s="114"/>
      <c r="S129" s="37">
        <v>0</v>
      </c>
      <c r="T129" s="34">
        <v>0</v>
      </c>
      <c r="U129" s="34">
        <v>0</v>
      </c>
      <c r="V129" s="114"/>
      <c r="W129" s="38">
        <v>0</v>
      </c>
      <c r="X129" s="31">
        <v>0</v>
      </c>
      <c r="Y129" s="31">
        <v>0</v>
      </c>
      <c r="Z129" s="78"/>
      <c r="AA129" s="37">
        <v>0</v>
      </c>
      <c r="AB129" s="34">
        <v>0</v>
      </c>
      <c r="AC129" s="34">
        <v>0</v>
      </c>
      <c r="AD129" s="64"/>
      <c r="AE129" s="122"/>
      <c r="AF129" s="123"/>
      <c r="AG129" s="43">
        <f t="shared" si="27"/>
        <v>0</v>
      </c>
      <c r="AH129" s="44">
        <f t="shared" si="27"/>
        <v>0</v>
      </c>
      <c r="AI129" s="44">
        <f t="shared" si="27"/>
        <v>0</v>
      </c>
      <c r="AJ129" s="45">
        <f t="shared" si="27"/>
        <v>0</v>
      </c>
      <c r="AK129" s="137">
        <f t="shared" si="17"/>
        <v>0</v>
      </c>
      <c r="AL129" s="47">
        <v>0.5</v>
      </c>
      <c r="AM129" s="48">
        <f t="shared" si="24"/>
        <v>0</v>
      </c>
      <c r="AN129" s="48">
        <f t="shared" si="25"/>
        <v>0</v>
      </c>
      <c r="AO129" s="49">
        <f t="shared" si="23"/>
        <v>0</v>
      </c>
      <c r="AP129" s="49">
        <f t="shared" si="18"/>
        <v>0</v>
      </c>
      <c r="AQ129" s="50">
        <f t="shared" si="19"/>
        <v>0</v>
      </c>
      <c r="AR129" s="124"/>
      <c r="AS129" s="125"/>
      <c r="AT129" s="126"/>
      <c r="AU129" s="84">
        <f t="shared" si="28"/>
        <v>0</v>
      </c>
      <c r="AV129" s="127"/>
      <c r="AW129" s="128"/>
      <c r="AX129" s="128"/>
      <c r="AY129" s="125"/>
      <c r="AZ129" s="129"/>
    </row>
    <row r="130" spans="1:52" ht="16.5" thickBot="1" x14ac:dyDescent="0.3">
      <c r="A130" s="134">
        <v>330</v>
      </c>
      <c r="B130" s="134" t="s">
        <v>100</v>
      </c>
      <c r="C130" s="135"/>
      <c r="D130" s="26">
        <f t="shared" si="20"/>
        <v>0</v>
      </c>
      <c r="E130" s="27">
        <f t="shared" si="21"/>
        <v>0</v>
      </c>
      <c r="F130" s="29">
        <f t="shared" si="22"/>
        <v>0</v>
      </c>
      <c r="G130" s="30">
        <v>0</v>
      </c>
      <c r="H130" s="31">
        <v>0</v>
      </c>
      <c r="I130" s="32">
        <v>0</v>
      </c>
      <c r="J130" s="136"/>
      <c r="K130" s="33">
        <v>0</v>
      </c>
      <c r="L130" s="34">
        <v>0</v>
      </c>
      <c r="M130" s="34">
        <v>0</v>
      </c>
      <c r="N130" s="114"/>
      <c r="O130" s="34">
        <v>0</v>
      </c>
      <c r="P130" s="34">
        <v>0</v>
      </c>
      <c r="Q130" s="34">
        <v>0</v>
      </c>
      <c r="R130" s="114"/>
      <c r="S130" s="37">
        <v>0</v>
      </c>
      <c r="T130" s="34">
        <v>0</v>
      </c>
      <c r="U130" s="34">
        <v>0</v>
      </c>
      <c r="V130" s="114"/>
      <c r="W130" s="38">
        <v>0</v>
      </c>
      <c r="X130" s="31">
        <v>0</v>
      </c>
      <c r="Y130" s="31">
        <v>0</v>
      </c>
      <c r="Z130" s="78"/>
      <c r="AA130" s="37">
        <v>0</v>
      </c>
      <c r="AB130" s="34">
        <v>0</v>
      </c>
      <c r="AC130" s="34">
        <v>0</v>
      </c>
      <c r="AD130" s="64"/>
      <c r="AE130" s="122"/>
      <c r="AF130" s="123"/>
      <c r="AG130" s="43">
        <f t="shared" si="27"/>
        <v>0</v>
      </c>
      <c r="AH130" s="44">
        <f t="shared" si="27"/>
        <v>0</v>
      </c>
      <c r="AI130" s="44">
        <f t="shared" si="27"/>
        <v>0</v>
      </c>
      <c r="AJ130" s="45">
        <f t="shared" si="27"/>
        <v>0</v>
      </c>
      <c r="AK130" s="137">
        <f t="shared" si="17"/>
        <v>0</v>
      </c>
      <c r="AL130" s="47">
        <v>0.5</v>
      </c>
      <c r="AM130" s="48">
        <f t="shared" si="24"/>
        <v>0</v>
      </c>
      <c r="AN130" s="48">
        <f t="shared" si="25"/>
        <v>0</v>
      </c>
      <c r="AO130" s="49">
        <f t="shared" si="23"/>
        <v>0</v>
      </c>
      <c r="AP130" s="49">
        <f t="shared" si="18"/>
        <v>0</v>
      </c>
      <c r="AQ130" s="50">
        <f t="shared" si="19"/>
        <v>0</v>
      </c>
      <c r="AR130" s="124"/>
      <c r="AS130" s="125"/>
      <c r="AT130" s="126"/>
      <c r="AU130" s="84">
        <f t="shared" si="28"/>
        <v>0</v>
      </c>
      <c r="AV130" s="127"/>
      <c r="AW130" s="128"/>
      <c r="AX130" s="128"/>
      <c r="AY130" s="125"/>
      <c r="AZ130" s="129"/>
    </row>
    <row r="131" spans="1:52" ht="16.5" thickBot="1" x14ac:dyDescent="0.3">
      <c r="A131" s="134">
        <v>330</v>
      </c>
      <c r="B131" s="134" t="s">
        <v>101</v>
      </c>
      <c r="C131" s="135"/>
      <c r="D131" s="26">
        <f t="shared" si="20"/>
        <v>0</v>
      </c>
      <c r="E131" s="27">
        <f t="shared" si="21"/>
        <v>0</v>
      </c>
      <c r="F131" s="29">
        <f t="shared" si="22"/>
        <v>0</v>
      </c>
      <c r="G131" s="30">
        <v>0</v>
      </c>
      <c r="H131" s="31">
        <v>0</v>
      </c>
      <c r="I131" s="32">
        <v>0</v>
      </c>
      <c r="J131" s="136"/>
      <c r="K131" s="33">
        <v>0</v>
      </c>
      <c r="L131" s="34">
        <v>0</v>
      </c>
      <c r="M131" s="34">
        <v>0</v>
      </c>
      <c r="N131" s="114"/>
      <c r="O131" s="34">
        <v>0</v>
      </c>
      <c r="P131" s="34">
        <v>0</v>
      </c>
      <c r="Q131" s="34">
        <v>0</v>
      </c>
      <c r="R131" s="114"/>
      <c r="S131" s="37">
        <v>0</v>
      </c>
      <c r="T131" s="34">
        <v>0</v>
      </c>
      <c r="U131" s="34">
        <v>0</v>
      </c>
      <c r="V131" s="114"/>
      <c r="W131" s="38">
        <v>0</v>
      </c>
      <c r="X131" s="31">
        <v>0</v>
      </c>
      <c r="Y131" s="31">
        <v>0</v>
      </c>
      <c r="Z131" s="78"/>
      <c r="AA131" s="37">
        <v>0</v>
      </c>
      <c r="AB131" s="34">
        <v>0</v>
      </c>
      <c r="AC131" s="34">
        <v>0</v>
      </c>
      <c r="AD131" s="64"/>
      <c r="AE131" s="122"/>
      <c r="AF131" s="123"/>
      <c r="AG131" s="43">
        <f t="shared" si="27"/>
        <v>0</v>
      </c>
      <c r="AH131" s="44">
        <f t="shared" si="27"/>
        <v>0</v>
      </c>
      <c r="AI131" s="44">
        <f t="shared" si="27"/>
        <v>0</v>
      </c>
      <c r="AJ131" s="45">
        <f t="shared" si="27"/>
        <v>0</v>
      </c>
      <c r="AK131" s="137">
        <f t="shared" si="17"/>
        <v>0</v>
      </c>
      <c r="AL131" s="47">
        <v>0.5</v>
      </c>
      <c r="AM131" s="48">
        <f t="shared" si="24"/>
        <v>0</v>
      </c>
      <c r="AN131" s="48">
        <f t="shared" si="25"/>
        <v>0</v>
      </c>
      <c r="AO131" s="49">
        <f t="shared" si="23"/>
        <v>0</v>
      </c>
      <c r="AP131" s="49">
        <f t="shared" si="18"/>
        <v>0</v>
      </c>
      <c r="AQ131" s="50">
        <f t="shared" si="19"/>
        <v>0</v>
      </c>
      <c r="AR131" s="124"/>
      <c r="AS131" s="125"/>
      <c r="AT131" s="126"/>
      <c r="AU131" s="84">
        <f t="shared" si="28"/>
        <v>0</v>
      </c>
      <c r="AV131" s="127"/>
      <c r="AW131" s="128"/>
      <c r="AX131" s="128"/>
      <c r="AY131" s="125"/>
      <c r="AZ131" s="129"/>
    </row>
    <row r="132" spans="1:52" ht="16.5" thickBot="1" x14ac:dyDescent="0.3">
      <c r="A132" s="134">
        <v>330</v>
      </c>
      <c r="B132" s="134" t="s">
        <v>102</v>
      </c>
      <c r="C132" s="135"/>
      <c r="D132" s="26">
        <f t="shared" si="20"/>
        <v>0</v>
      </c>
      <c r="E132" s="27">
        <f t="shared" si="21"/>
        <v>0</v>
      </c>
      <c r="F132" s="29">
        <f t="shared" si="22"/>
        <v>0</v>
      </c>
      <c r="G132" s="30">
        <v>0</v>
      </c>
      <c r="H132" s="31">
        <v>0</v>
      </c>
      <c r="I132" s="32">
        <v>0</v>
      </c>
      <c r="J132" s="136"/>
      <c r="K132" s="33">
        <v>0</v>
      </c>
      <c r="L132" s="34">
        <v>0</v>
      </c>
      <c r="M132" s="34">
        <v>0</v>
      </c>
      <c r="N132" s="138"/>
      <c r="O132" s="34">
        <v>0</v>
      </c>
      <c r="P132" s="34">
        <v>0</v>
      </c>
      <c r="Q132" s="34">
        <v>0</v>
      </c>
      <c r="R132" s="138"/>
      <c r="S132" s="37">
        <v>0</v>
      </c>
      <c r="T132" s="34">
        <v>0</v>
      </c>
      <c r="U132" s="34">
        <v>0</v>
      </c>
      <c r="V132" s="138"/>
      <c r="W132" s="38">
        <v>0</v>
      </c>
      <c r="X132" s="31">
        <v>0</v>
      </c>
      <c r="Y132" s="31">
        <v>0</v>
      </c>
      <c r="Z132" s="105"/>
      <c r="AA132" s="37">
        <v>0</v>
      </c>
      <c r="AB132" s="34">
        <v>0</v>
      </c>
      <c r="AC132" s="34">
        <v>0</v>
      </c>
      <c r="AD132" s="123"/>
      <c r="AE132" s="122"/>
      <c r="AF132" s="123"/>
      <c r="AG132" s="43">
        <f t="shared" si="27"/>
        <v>0</v>
      </c>
      <c r="AH132" s="44">
        <f t="shared" si="27"/>
        <v>0</v>
      </c>
      <c r="AI132" s="44">
        <f t="shared" si="27"/>
        <v>0</v>
      </c>
      <c r="AJ132" s="45">
        <f t="shared" si="27"/>
        <v>0</v>
      </c>
      <c r="AK132" s="137">
        <f t="shared" ref="AK132:AK184" si="29">AG132+AH132+AI132</f>
        <v>0</v>
      </c>
      <c r="AL132" s="47">
        <v>0.5</v>
      </c>
      <c r="AM132" s="48">
        <f t="shared" si="24"/>
        <v>0</v>
      </c>
      <c r="AN132" s="48">
        <f t="shared" si="25"/>
        <v>0</v>
      </c>
      <c r="AO132" s="49">
        <f t="shared" si="23"/>
        <v>0</v>
      </c>
      <c r="AP132" s="49">
        <f t="shared" ref="AP132:AP182" si="30">AJ132*AL132</f>
        <v>0</v>
      </c>
      <c r="AQ132" s="50">
        <f t="shared" ref="AQ132:AQ169" si="31">AK132*60</f>
        <v>0</v>
      </c>
      <c r="AR132" s="124"/>
      <c r="AS132" s="125"/>
      <c r="AT132" s="126"/>
      <c r="AU132" s="84">
        <f t="shared" si="28"/>
        <v>0</v>
      </c>
      <c r="AV132" s="127"/>
      <c r="AW132" s="128"/>
      <c r="AX132" s="128"/>
      <c r="AY132" s="125"/>
      <c r="AZ132" s="129"/>
    </row>
    <row r="133" spans="1:52" ht="16.5" thickBot="1" x14ac:dyDescent="0.3">
      <c r="A133" s="134">
        <v>330</v>
      </c>
      <c r="B133" s="134" t="s">
        <v>103</v>
      </c>
      <c r="C133" s="135"/>
      <c r="D133" s="26">
        <f t="shared" ref="D133:D183" si="32">C133/3</f>
        <v>0</v>
      </c>
      <c r="E133" s="27">
        <f t="shared" ref="E133:E183" si="33">C133/3</f>
        <v>0</v>
      </c>
      <c r="F133" s="29">
        <f t="shared" ref="F133:F183" si="34">C133/3</f>
        <v>0</v>
      </c>
      <c r="G133" s="30">
        <v>0</v>
      </c>
      <c r="H133" s="31">
        <v>0</v>
      </c>
      <c r="I133" s="32">
        <v>0</v>
      </c>
      <c r="J133" s="136"/>
      <c r="K133" s="33">
        <v>0</v>
      </c>
      <c r="L133" s="34">
        <v>0</v>
      </c>
      <c r="M133" s="34">
        <v>0</v>
      </c>
      <c r="N133" s="138"/>
      <c r="O133" s="34">
        <v>0</v>
      </c>
      <c r="P133" s="34">
        <v>0</v>
      </c>
      <c r="Q133" s="34">
        <v>0</v>
      </c>
      <c r="R133" s="138"/>
      <c r="S133" s="37">
        <v>0</v>
      </c>
      <c r="T133" s="34">
        <v>0</v>
      </c>
      <c r="U133" s="34">
        <v>0</v>
      </c>
      <c r="V133" s="138"/>
      <c r="W133" s="38">
        <v>0</v>
      </c>
      <c r="X133" s="31">
        <v>0</v>
      </c>
      <c r="Y133" s="31">
        <v>0</v>
      </c>
      <c r="Z133" s="105"/>
      <c r="AA133" s="37">
        <v>0</v>
      </c>
      <c r="AB133" s="34">
        <v>0</v>
      </c>
      <c r="AC133" s="34">
        <v>0</v>
      </c>
      <c r="AD133" s="123"/>
      <c r="AE133" s="122"/>
      <c r="AF133" s="123"/>
      <c r="AG133" s="43">
        <f t="shared" si="27"/>
        <v>0</v>
      </c>
      <c r="AH133" s="44">
        <f t="shared" si="27"/>
        <v>0</v>
      </c>
      <c r="AI133" s="44">
        <f t="shared" si="27"/>
        <v>0</v>
      </c>
      <c r="AJ133" s="45">
        <f t="shared" si="27"/>
        <v>0</v>
      </c>
      <c r="AK133" s="137">
        <f t="shared" si="29"/>
        <v>0</v>
      </c>
      <c r="AL133" s="47">
        <v>0.5</v>
      </c>
      <c r="AM133" s="48">
        <f t="shared" si="24"/>
        <v>0</v>
      </c>
      <c r="AN133" s="48">
        <f t="shared" si="25"/>
        <v>0</v>
      </c>
      <c r="AO133" s="49">
        <f t="shared" ref="AO133:AO184" si="35">AI133*AL133</f>
        <v>0</v>
      </c>
      <c r="AP133" s="49">
        <f t="shared" si="30"/>
        <v>0</v>
      </c>
      <c r="AQ133" s="50">
        <f t="shared" si="31"/>
        <v>0</v>
      </c>
      <c r="AR133" s="124"/>
      <c r="AS133" s="125"/>
      <c r="AT133" s="126"/>
      <c r="AU133" s="84"/>
      <c r="AV133" s="127"/>
      <c r="AW133" s="128"/>
      <c r="AX133" s="128"/>
      <c r="AY133" s="125"/>
      <c r="AZ133" s="129"/>
    </row>
    <row r="134" spans="1:52" ht="16.5" thickBot="1" x14ac:dyDescent="0.3">
      <c r="A134" s="134">
        <v>330</v>
      </c>
      <c r="B134" s="134" t="s">
        <v>104</v>
      </c>
      <c r="C134" s="135"/>
      <c r="D134" s="26">
        <f t="shared" si="32"/>
        <v>0</v>
      </c>
      <c r="E134" s="27">
        <f t="shared" si="33"/>
        <v>0</v>
      </c>
      <c r="F134" s="29">
        <f t="shared" si="34"/>
        <v>0</v>
      </c>
      <c r="G134" s="30">
        <v>0</v>
      </c>
      <c r="H134" s="31">
        <v>0</v>
      </c>
      <c r="I134" s="32">
        <v>0</v>
      </c>
      <c r="J134" s="136"/>
      <c r="K134" s="33">
        <v>0</v>
      </c>
      <c r="L134" s="34">
        <v>0</v>
      </c>
      <c r="M134" s="34">
        <v>0</v>
      </c>
      <c r="N134" s="138"/>
      <c r="O134" s="34">
        <v>0</v>
      </c>
      <c r="P134" s="34">
        <v>0</v>
      </c>
      <c r="Q134" s="34">
        <v>0</v>
      </c>
      <c r="R134" s="138"/>
      <c r="S134" s="37">
        <v>0</v>
      </c>
      <c r="T134" s="34">
        <v>0</v>
      </c>
      <c r="U134" s="34">
        <v>0</v>
      </c>
      <c r="V134" s="138"/>
      <c r="W134" s="38">
        <v>0</v>
      </c>
      <c r="X134" s="31">
        <v>0</v>
      </c>
      <c r="Y134" s="31">
        <v>0</v>
      </c>
      <c r="Z134" s="105"/>
      <c r="AA134" s="37">
        <v>0</v>
      </c>
      <c r="AB134" s="34">
        <v>0</v>
      </c>
      <c r="AC134" s="34">
        <v>0</v>
      </c>
      <c r="AD134" s="123"/>
      <c r="AE134" s="122"/>
      <c r="AF134" s="123"/>
      <c r="AG134" s="43">
        <f t="shared" si="27"/>
        <v>0</v>
      </c>
      <c r="AH134" s="44">
        <f t="shared" si="27"/>
        <v>0</v>
      </c>
      <c r="AI134" s="44">
        <f t="shared" si="27"/>
        <v>0</v>
      </c>
      <c r="AJ134" s="45">
        <f t="shared" si="27"/>
        <v>0</v>
      </c>
      <c r="AK134" s="137">
        <f t="shared" si="29"/>
        <v>0</v>
      </c>
      <c r="AL134" s="47">
        <v>0.5</v>
      </c>
      <c r="AM134" s="48">
        <f t="shared" si="24"/>
        <v>0</v>
      </c>
      <c r="AN134" s="48">
        <f t="shared" si="25"/>
        <v>0</v>
      </c>
      <c r="AO134" s="49">
        <f t="shared" si="35"/>
        <v>0</v>
      </c>
      <c r="AP134" s="49">
        <f t="shared" si="30"/>
        <v>0</v>
      </c>
      <c r="AQ134" s="50">
        <f t="shared" si="31"/>
        <v>0</v>
      </c>
      <c r="AR134" s="124"/>
      <c r="AS134" s="125"/>
      <c r="AT134" s="126"/>
      <c r="AU134" s="84"/>
      <c r="AV134" s="127"/>
      <c r="AW134" s="128"/>
      <c r="AX134" s="128"/>
      <c r="AY134" s="125"/>
      <c r="AZ134" s="129"/>
    </row>
    <row r="135" spans="1:52" ht="16.5" thickBot="1" x14ac:dyDescent="0.3">
      <c r="A135" s="134">
        <v>330</v>
      </c>
      <c r="B135" s="134" t="s">
        <v>105</v>
      </c>
      <c r="C135" s="135"/>
      <c r="D135" s="26">
        <f t="shared" si="32"/>
        <v>0</v>
      </c>
      <c r="E135" s="27">
        <f t="shared" si="33"/>
        <v>0</v>
      </c>
      <c r="F135" s="29">
        <f t="shared" si="34"/>
        <v>0</v>
      </c>
      <c r="G135" s="30">
        <v>0</v>
      </c>
      <c r="H135" s="31">
        <v>0</v>
      </c>
      <c r="I135" s="32">
        <v>0</v>
      </c>
      <c r="J135" s="136"/>
      <c r="K135" s="33">
        <v>0</v>
      </c>
      <c r="L135" s="34">
        <v>0</v>
      </c>
      <c r="M135" s="34">
        <v>0</v>
      </c>
      <c r="N135" s="138"/>
      <c r="O135" s="34">
        <v>0</v>
      </c>
      <c r="P135" s="34">
        <v>0</v>
      </c>
      <c r="Q135" s="34">
        <v>0</v>
      </c>
      <c r="R135" s="138"/>
      <c r="S135" s="37">
        <v>0</v>
      </c>
      <c r="T135" s="34">
        <v>0</v>
      </c>
      <c r="U135" s="34">
        <v>0</v>
      </c>
      <c r="V135" s="138"/>
      <c r="W135" s="38">
        <v>0</v>
      </c>
      <c r="X135" s="31">
        <v>0</v>
      </c>
      <c r="Y135" s="31">
        <v>0</v>
      </c>
      <c r="Z135" s="105"/>
      <c r="AA135" s="37">
        <v>0</v>
      </c>
      <c r="AB135" s="34">
        <v>0</v>
      </c>
      <c r="AC135" s="34">
        <v>0</v>
      </c>
      <c r="AD135" s="123"/>
      <c r="AE135" s="122"/>
      <c r="AF135" s="123"/>
      <c r="AG135" s="43">
        <f t="shared" si="27"/>
        <v>0</v>
      </c>
      <c r="AH135" s="44">
        <f t="shared" si="27"/>
        <v>0</v>
      </c>
      <c r="AI135" s="44">
        <f t="shared" si="27"/>
        <v>0</v>
      </c>
      <c r="AJ135" s="45">
        <f t="shared" si="27"/>
        <v>0</v>
      </c>
      <c r="AK135" s="137">
        <f t="shared" si="29"/>
        <v>0</v>
      </c>
      <c r="AL135" s="47">
        <v>0.5</v>
      </c>
      <c r="AM135" s="48">
        <f t="shared" si="24"/>
        <v>0</v>
      </c>
      <c r="AN135" s="48">
        <f t="shared" si="25"/>
        <v>0</v>
      </c>
      <c r="AO135" s="49">
        <f t="shared" si="35"/>
        <v>0</v>
      </c>
      <c r="AP135" s="49">
        <f t="shared" si="30"/>
        <v>0</v>
      </c>
      <c r="AQ135" s="50">
        <f t="shared" si="31"/>
        <v>0</v>
      </c>
      <c r="AR135" s="124"/>
      <c r="AS135" s="125"/>
      <c r="AT135" s="126"/>
      <c r="AU135" s="84"/>
      <c r="AV135" s="127"/>
      <c r="AW135" s="128"/>
      <c r="AX135" s="128"/>
      <c r="AY135" s="125"/>
      <c r="AZ135" s="129"/>
    </row>
    <row r="136" spans="1:52" ht="16.5" thickBot="1" x14ac:dyDescent="0.3">
      <c r="A136" s="134">
        <v>330</v>
      </c>
      <c r="B136" s="134" t="s">
        <v>106</v>
      </c>
      <c r="C136" s="135"/>
      <c r="D136" s="26">
        <f t="shared" si="32"/>
        <v>0</v>
      </c>
      <c r="E136" s="27">
        <f t="shared" si="33"/>
        <v>0</v>
      </c>
      <c r="F136" s="29">
        <f t="shared" si="34"/>
        <v>0</v>
      </c>
      <c r="G136" s="30">
        <v>0</v>
      </c>
      <c r="H136" s="31">
        <v>0</v>
      </c>
      <c r="I136" s="32">
        <v>0</v>
      </c>
      <c r="J136" s="136"/>
      <c r="K136" s="33">
        <v>0</v>
      </c>
      <c r="L136" s="34">
        <v>0</v>
      </c>
      <c r="M136" s="34">
        <v>0</v>
      </c>
      <c r="N136" s="138"/>
      <c r="O136" s="34">
        <v>0</v>
      </c>
      <c r="P136" s="34">
        <v>0</v>
      </c>
      <c r="Q136" s="34">
        <v>0</v>
      </c>
      <c r="R136" s="138"/>
      <c r="S136" s="37">
        <v>0</v>
      </c>
      <c r="T136" s="34">
        <v>0</v>
      </c>
      <c r="U136" s="34">
        <v>0</v>
      </c>
      <c r="V136" s="138"/>
      <c r="W136" s="38">
        <v>0</v>
      </c>
      <c r="X136" s="31">
        <v>0</v>
      </c>
      <c r="Y136" s="31">
        <v>0</v>
      </c>
      <c r="Z136" s="105"/>
      <c r="AA136" s="37">
        <v>0</v>
      </c>
      <c r="AB136" s="34">
        <v>0</v>
      </c>
      <c r="AC136" s="34">
        <v>0</v>
      </c>
      <c r="AD136" s="123"/>
      <c r="AE136" s="122"/>
      <c r="AF136" s="123"/>
      <c r="AG136" s="43">
        <f t="shared" si="27"/>
        <v>0</v>
      </c>
      <c r="AH136" s="44">
        <f t="shared" si="27"/>
        <v>0</v>
      </c>
      <c r="AI136" s="44">
        <f t="shared" si="27"/>
        <v>0</v>
      </c>
      <c r="AJ136" s="45">
        <f t="shared" si="27"/>
        <v>0</v>
      </c>
      <c r="AK136" s="137">
        <f t="shared" si="29"/>
        <v>0</v>
      </c>
      <c r="AL136" s="47">
        <v>0.5</v>
      </c>
      <c r="AM136" s="48">
        <f t="shared" si="24"/>
        <v>0</v>
      </c>
      <c r="AN136" s="48">
        <f t="shared" si="25"/>
        <v>0</v>
      </c>
      <c r="AO136" s="49">
        <f t="shared" si="35"/>
        <v>0</v>
      </c>
      <c r="AP136" s="49">
        <f t="shared" si="30"/>
        <v>0</v>
      </c>
      <c r="AQ136" s="50">
        <f t="shared" si="31"/>
        <v>0</v>
      </c>
      <c r="AR136" s="124"/>
      <c r="AS136" s="125"/>
      <c r="AT136" s="126"/>
      <c r="AU136" s="84"/>
      <c r="AV136" s="127"/>
      <c r="AW136" s="128"/>
      <c r="AX136" s="128"/>
      <c r="AY136" s="125"/>
      <c r="AZ136" s="129"/>
    </row>
    <row r="137" spans="1:52" ht="16.5" thickBot="1" x14ac:dyDescent="0.3">
      <c r="A137" s="134">
        <v>473</v>
      </c>
      <c r="B137" s="134" t="s">
        <v>54</v>
      </c>
      <c r="C137" s="135"/>
      <c r="D137" s="26">
        <f t="shared" si="32"/>
        <v>0</v>
      </c>
      <c r="E137" s="27">
        <f t="shared" si="33"/>
        <v>0</v>
      </c>
      <c r="F137" s="29">
        <f t="shared" si="34"/>
        <v>0</v>
      </c>
      <c r="G137" s="30">
        <v>0</v>
      </c>
      <c r="H137" s="31">
        <v>0</v>
      </c>
      <c r="I137" s="32">
        <v>0</v>
      </c>
      <c r="J137" s="136"/>
      <c r="K137" s="33">
        <v>0</v>
      </c>
      <c r="L137" s="34">
        <v>0</v>
      </c>
      <c r="M137" s="34">
        <v>0</v>
      </c>
      <c r="N137" s="138"/>
      <c r="O137" s="34">
        <v>0</v>
      </c>
      <c r="P137" s="34">
        <v>0</v>
      </c>
      <c r="Q137" s="34">
        <v>0</v>
      </c>
      <c r="R137" s="138"/>
      <c r="S137" s="37">
        <v>0</v>
      </c>
      <c r="T137" s="34">
        <v>0</v>
      </c>
      <c r="U137" s="34">
        <v>0</v>
      </c>
      <c r="V137" s="138"/>
      <c r="W137" s="38">
        <v>0</v>
      </c>
      <c r="X137" s="31">
        <v>0</v>
      </c>
      <c r="Y137" s="31">
        <v>0</v>
      </c>
      <c r="Z137" s="105"/>
      <c r="AA137" s="37">
        <v>0</v>
      </c>
      <c r="AB137" s="34">
        <v>0</v>
      </c>
      <c r="AC137" s="34">
        <v>0</v>
      </c>
      <c r="AD137" s="123"/>
      <c r="AE137" s="122"/>
      <c r="AF137" s="123"/>
      <c r="AG137" s="43">
        <f t="shared" si="27"/>
        <v>0</v>
      </c>
      <c r="AH137" s="44">
        <f t="shared" si="27"/>
        <v>0</v>
      </c>
      <c r="AI137" s="44">
        <f t="shared" si="27"/>
        <v>0</v>
      </c>
      <c r="AJ137" s="45">
        <f t="shared" si="27"/>
        <v>0</v>
      </c>
      <c r="AK137" s="137">
        <f t="shared" si="29"/>
        <v>0</v>
      </c>
      <c r="AL137" s="47">
        <v>0.5</v>
      </c>
      <c r="AM137" s="48">
        <f t="shared" si="24"/>
        <v>0</v>
      </c>
      <c r="AN137" s="48">
        <f t="shared" si="25"/>
        <v>0</v>
      </c>
      <c r="AO137" s="49">
        <f t="shared" si="35"/>
        <v>0</v>
      </c>
      <c r="AP137" s="49">
        <f t="shared" si="30"/>
        <v>0</v>
      </c>
      <c r="AQ137" s="50">
        <f t="shared" si="31"/>
        <v>0</v>
      </c>
      <c r="AR137" s="124"/>
      <c r="AS137" s="125"/>
      <c r="AT137" s="126"/>
      <c r="AU137" s="84"/>
      <c r="AV137" s="127"/>
      <c r="AW137" s="128"/>
      <c r="AX137" s="128"/>
      <c r="AY137" s="125"/>
      <c r="AZ137" s="129"/>
    </row>
    <row r="138" spans="1:52" ht="16.5" thickBot="1" x14ac:dyDescent="0.3">
      <c r="A138" s="134">
        <v>473</v>
      </c>
      <c r="B138" s="134" t="s">
        <v>56</v>
      </c>
      <c r="C138" s="135"/>
      <c r="D138" s="26">
        <f t="shared" si="32"/>
        <v>0</v>
      </c>
      <c r="E138" s="27">
        <f t="shared" si="33"/>
        <v>0</v>
      </c>
      <c r="F138" s="29">
        <f t="shared" si="34"/>
        <v>0</v>
      </c>
      <c r="G138" s="30">
        <v>0</v>
      </c>
      <c r="H138" s="31">
        <v>0</v>
      </c>
      <c r="I138" s="32">
        <v>0</v>
      </c>
      <c r="J138" s="136"/>
      <c r="K138" s="33">
        <v>0</v>
      </c>
      <c r="L138" s="34">
        <v>0</v>
      </c>
      <c r="M138" s="34">
        <v>0</v>
      </c>
      <c r="N138" s="138"/>
      <c r="O138" s="34">
        <v>0</v>
      </c>
      <c r="P138" s="34">
        <v>0</v>
      </c>
      <c r="Q138" s="34">
        <v>0</v>
      </c>
      <c r="R138" s="138"/>
      <c r="S138" s="37">
        <v>0</v>
      </c>
      <c r="T138" s="34">
        <v>0</v>
      </c>
      <c r="U138" s="34">
        <v>0</v>
      </c>
      <c r="V138" s="138"/>
      <c r="W138" s="38">
        <v>0</v>
      </c>
      <c r="X138" s="31">
        <v>0</v>
      </c>
      <c r="Y138" s="31">
        <v>0</v>
      </c>
      <c r="Z138" s="105"/>
      <c r="AA138" s="37">
        <v>0</v>
      </c>
      <c r="AB138" s="34">
        <v>0</v>
      </c>
      <c r="AC138" s="34">
        <v>0</v>
      </c>
      <c r="AD138" s="123"/>
      <c r="AE138" s="122"/>
      <c r="AF138" s="123"/>
      <c r="AG138" s="43">
        <f t="shared" si="27"/>
        <v>0</v>
      </c>
      <c r="AH138" s="44">
        <f t="shared" si="27"/>
        <v>0</v>
      </c>
      <c r="AI138" s="44">
        <f t="shared" si="27"/>
        <v>0</v>
      </c>
      <c r="AJ138" s="45">
        <f t="shared" si="27"/>
        <v>0</v>
      </c>
      <c r="AK138" s="137">
        <f t="shared" si="29"/>
        <v>0</v>
      </c>
      <c r="AL138" s="47">
        <v>0.5</v>
      </c>
      <c r="AM138" s="48">
        <f t="shared" ref="AM138:AM184" si="36">AG138*AL138</f>
        <v>0</v>
      </c>
      <c r="AN138" s="48">
        <f t="shared" ref="AN138:AN184" si="37">AH138*AL138</f>
        <v>0</v>
      </c>
      <c r="AO138" s="49">
        <f t="shared" si="35"/>
        <v>0</v>
      </c>
      <c r="AP138" s="49">
        <f t="shared" si="30"/>
        <v>0</v>
      </c>
      <c r="AQ138" s="50">
        <f t="shared" si="31"/>
        <v>0</v>
      </c>
      <c r="AR138" s="124"/>
      <c r="AS138" s="125"/>
      <c r="AT138" s="126"/>
      <c r="AU138" s="84"/>
      <c r="AV138" s="127"/>
      <c r="AW138" s="128"/>
      <c r="AX138" s="128"/>
      <c r="AY138" s="125"/>
      <c r="AZ138" s="129"/>
    </row>
    <row r="139" spans="1:52" ht="16.5" thickBot="1" x14ac:dyDescent="0.3">
      <c r="A139" s="134">
        <v>473</v>
      </c>
      <c r="B139" s="134" t="s">
        <v>107</v>
      </c>
      <c r="C139" s="135">
        <v>67</v>
      </c>
      <c r="D139" s="26">
        <f t="shared" si="32"/>
        <v>22.333333333333332</v>
      </c>
      <c r="E139" s="27">
        <f t="shared" si="33"/>
        <v>22.333333333333332</v>
      </c>
      <c r="F139" s="29">
        <f t="shared" si="34"/>
        <v>22.333333333333332</v>
      </c>
      <c r="G139" s="30">
        <v>0</v>
      </c>
      <c r="H139" s="31">
        <v>0</v>
      </c>
      <c r="I139" s="32">
        <v>0</v>
      </c>
      <c r="J139" s="136"/>
      <c r="K139" s="33">
        <v>0</v>
      </c>
      <c r="L139" s="34">
        <v>0</v>
      </c>
      <c r="M139" s="34">
        <v>0</v>
      </c>
      <c r="N139" s="138"/>
      <c r="O139" s="34">
        <v>0</v>
      </c>
      <c r="P139" s="34">
        <v>0</v>
      </c>
      <c r="Q139" s="34">
        <v>0</v>
      </c>
      <c r="R139" s="138"/>
      <c r="S139" s="37">
        <v>0</v>
      </c>
      <c r="T139" s="34">
        <v>0</v>
      </c>
      <c r="U139" s="34">
        <v>0</v>
      </c>
      <c r="V139" s="138"/>
      <c r="W139" s="38">
        <v>0</v>
      </c>
      <c r="X139" s="31">
        <v>0</v>
      </c>
      <c r="Y139" s="31">
        <v>0</v>
      </c>
      <c r="Z139" s="105"/>
      <c r="AA139" s="37">
        <v>0</v>
      </c>
      <c r="AB139" s="34">
        <v>0</v>
      </c>
      <c r="AC139" s="34">
        <v>0</v>
      </c>
      <c r="AD139" s="123"/>
      <c r="AE139" s="122"/>
      <c r="AF139" s="123"/>
      <c r="AG139" s="43">
        <f t="shared" si="27"/>
        <v>0</v>
      </c>
      <c r="AH139" s="44">
        <f t="shared" si="27"/>
        <v>0</v>
      </c>
      <c r="AI139" s="44">
        <f t="shared" si="27"/>
        <v>0</v>
      </c>
      <c r="AJ139" s="45">
        <f t="shared" si="27"/>
        <v>0</v>
      </c>
      <c r="AK139" s="137">
        <f t="shared" si="29"/>
        <v>0</v>
      </c>
      <c r="AL139" s="47">
        <v>0.5</v>
      </c>
      <c r="AM139" s="48">
        <f t="shared" si="36"/>
        <v>0</v>
      </c>
      <c r="AN139" s="48">
        <f t="shared" si="37"/>
        <v>0</v>
      </c>
      <c r="AO139" s="49">
        <f t="shared" si="35"/>
        <v>0</v>
      </c>
      <c r="AP139" s="49">
        <f t="shared" si="30"/>
        <v>0</v>
      </c>
      <c r="AQ139" s="50">
        <f t="shared" si="31"/>
        <v>0</v>
      </c>
      <c r="AR139" s="124"/>
      <c r="AS139" s="125"/>
      <c r="AT139" s="126"/>
      <c r="AU139" s="84"/>
      <c r="AV139" s="127"/>
      <c r="AW139" s="128"/>
      <c r="AX139" s="128"/>
      <c r="AY139" s="125"/>
      <c r="AZ139" s="129"/>
    </row>
    <row r="140" spans="1:52" ht="16.5" thickBot="1" x14ac:dyDescent="0.3">
      <c r="A140" s="134">
        <v>473</v>
      </c>
      <c r="B140" s="134" t="s">
        <v>57</v>
      </c>
      <c r="C140" s="135"/>
      <c r="D140" s="26">
        <f t="shared" si="32"/>
        <v>0</v>
      </c>
      <c r="E140" s="27">
        <f t="shared" si="33"/>
        <v>0</v>
      </c>
      <c r="F140" s="29">
        <f t="shared" si="34"/>
        <v>0</v>
      </c>
      <c r="G140" s="30">
        <v>0</v>
      </c>
      <c r="H140" s="31">
        <v>0</v>
      </c>
      <c r="I140" s="32">
        <v>0</v>
      </c>
      <c r="J140" s="136"/>
      <c r="K140" s="33">
        <v>0</v>
      </c>
      <c r="L140" s="34">
        <v>0</v>
      </c>
      <c r="M140" s="34">
        <v>0</v>
      </c>
      <c r="N140" s="138"/>
      <c r="O140" s="34">
        <v>0</v>
      </c>
      <c r="P140" s="34">
        <v>0</v>
      </c>
      <c r="Q140" s="34">
        <v>0</v>
      </c>
      <c r="R140" s="138"/>
      <c r="S140" s="37">
        <v>0</v>
      </c>
      <c r="T140" s="34">
        <v>0</v>
      </c>
      <c r="U140" s="34">
        <v>0</v>
      </c>
      <c r="V140" s="138"/>
      <c r="W140" s="38">
        <v>0</v>
      </c>
      <c r="X140" s="31">
        <v>0</v>
      </c>
      <c r="Y140" s="31">
        <v>0</v>
      </c>
      <c r="Z140" s="105"/>
      <c r="AA140" s="37">
        <v>0</v>
      </c>
      <c r="AB140" s="34">
        <v>0</v>
      </c>
      <c r="AC140" s="34">
        <v>0</v>
      </c>
      <c r="AD140" s="123"/>
      <c r="AE140" s="122"/>
      <c r="AF140" s="123"/>
      <c r="AG140" s="43">
        <f t="shared" si="27"/>
        <v>0</v>
      </c>
      <c r="AH140" s="44">
        <f t="shared" si="27"/>
        <v>0</v>
      </c>
      <c r="AI140" s="44">
        <f t="shared" si="27"/>
        <v>0</v>
      </c>
      <c r="AJ140" s="45">
        <f t="shared" si="27"/>
        <v>0</v>
      </c>
      <c r="AK140" s="137">
        <f t="shared" si="29"/>
        <v>0</v>
      </c>
      <c r="AL140" s="47">
        <v>0.5</v>
      </c>
      <c r="AM140" s="48">
        <f t="shared" si="36"/>
        <v>0</v>
      </c>
      <c r="AN140" s="48">
        <f t="shared" si="37"/>
        <v>0</v>
      </c>
      <c r="AO140" s="49">
        <f t="shared" si="35"/>
        <v>0</v>
      </c>
      <c r="AP140" s="49">
        <f t="shared" si="30"/>
        <v>0</v>
      </c>
      <c r="AQ140" s="50">
        <f t="shared" si="31"/>
        <v>0</v>
      </c>
      <c r="AR140" s="124"/>
      <c r="AS140" s="125"/>
      <c r="AT140" s="126"/>
      <c r="AU140" s="84"/>
      <c r="AV140" s="127"/>
      <c r="AW140" s="128"/>
      <c r="AX140" s="128"/>
      <c r="AY140" s="125"/>
      <c r="AZ140" s="129"/>
    </row>
    <row r="141" spans="1:52" ht="16.5" thickBot="1" x14ac:dyDescent="0.3">
      <c r="A141" s="134">
        <v>473</v>
      </c>
      <c r="B141" s="134" t="s">
        <v>108</v>
      </c>
      <c r="C141" s="135">
        <v>706</v>
      </c>
      <c r="D141" s="26">
        <f t="shared" si="32"/>
        <v>235.33333333333334</v>
      </c>
      <c r="E141" s="27">
        <f t="shared" si="33"/>
        <v>235.33333333333334</v>
      </c>
      <c r="F141" s="29">
        <f t="shared" si="34"/>
        <v>235.33333333333334</v>
      </c>
      <c r="G141" s="30">
        <v>0</v>
      </c>
      <c r="H141" s="31">
        <v>0</v>
      </c>
      <c r="I141" s="32">
        <v>0</v>
      </c>
      <c r="J141" s="136"/>
      <c r="K141" s="33">
        <v>0</v>
      </c>
      <c r="L141" s="34">
        <v>0</v>
      </c>
      <c r="M141" s="34">
        <v>0</v>
      </c>
      <c r="N141" s="138"/>
      <c r="O141" s="34">
        <v>0</v>
      </c>
      <c r="P141" s="34">
        <v>0</v>
      </c>
      <c r="Q141" s="34">
        <v>0</v>
      </c>
      <c r="R141" s="138"/>
      <c r="S141" s="37">
        <v>0</v>
      </c>
      <c r="T141" s="34">
        <v>0</v>
      </c>
      <c r="U141" s="34">
        <v>0</v>
      </c>
      <c r="V141" s="138"/>
      <c r="W141" s="38">
        <v>0</v>
      </c>
      <c r="X141" s="31">
        <v>0</v>
      </c>
      <c r="Y141" s="31">
        <v>0</v>
      </c>
      <c r="Z141" s="105"/>
      <c r="AA141" s="37">
        <v>0</v>
      </c>
      <c r="AB141" s="34">
        <v>0</v>
      </c>
      <c r="AC141" s="34">
        <v>0</v>
      </c>
      <c r="AD141" s="123"/>
      <c r="AE141" s="122"/>
      <c r="AF141" s="123"/>
      <c r="AG141" s="43">
        <f t="shared" si="27"/>
        <v>0</v>
      </c>
      <c r="AH141" s="44">
        <f t="shared" si="27"/>
        <v>0</v>
      </c>
      <c r="AI141" s="44">
        <f t="shared" si="27"/>
        <v>0</v>
      </c>
      <c r="AJ141" s="45">
        <f t="shared" si="27"/>
        <v>0</v>
      </c>
      <c r="AK141" s="137">
        <f t="shared" si="29"/>
        <v>0</v>
      </c>
      <c r="AL141" s="47">
        <v>1</v>
      </c>
      <c r="AM141" s="48">
        <f t="shared" si="36"/>
        <v>0</v>
      </c>
      <c r="AN141" s="48">
        <f t="shared" si="37"/>
        <v>0</v>
      </c>
      <c r="AO141" s="49">
        <f t="shared" si="35"/>
        <v>0</v>
      </c>
      <c r="AP141" s="49">
        <f t="shared" si="30"/>
        <v>0</v>
      </c>
      <c r="AQ141" s="50">
        <f t="shared" si="31"/>
        <v>0</v>
      </c>
      <c r="AR141" s="124"/>
      <c r="AS141" s="125"/>
      <c r="AT141" s="126"/>
      <c r="AU141" s="84"/>
      <c r="AV141" s="127"/>
      <c r="AW141" s="128"/>
      <c r="AX141" s="128"/>
      <c r="AY141" s="125"/>
      <c r="AZ141" s="129"/>
    </row>
    <row r="142" spans="1:52" ht="16.5" thickBot="1" x14ac:dyDescent="0.3">
      <c r="A142" s="134">
        <v>625</v>
      </c>
      <c r="B142" s="134" t="s">
        <v>108</v>
      </c>
      <c r="C142" s="135"/>
      <c r="D142" s="26">
        <f t="shared" si="32"/>
        <v>0</v>
      </c>
      <c r="E142" s="27">
        <f t="shared" si="33"/>
        <v>0</v>
      </c>
      <c r="F142" s="29">
        <f t="shared" si="34"/>
        <v>0</v>
      </c>
      <c r="G142" s="30">
        <v>0</v>
      </c>
      <c r="H142" s="31">
        <v>0</v>
      </c>
      <c r="I142" s="32">
        <v>0</v>
      </c>
      <c r="J142" s="136"/>
      <c r="K142" s="33">
        <v>0</v>
      </c>
      <c r="L142" s="34">
        <v>0</v>
      </c>
      <c r="M142" s="34">
        <v>0</v>
      </c>
      <c r="N142" s="138"/>
      <c r="O142" s="34">
        <v>0</v>
      </c>
      <c r="P142" s="34">
        <v>0</v>
      </c>
      <c r="Q142" s="34">
        <v>0</v>
      </c>
      <c r="R142" s="138"/>
      <c r="S142" s="37">
        <v>0</v>
      </c>
      <c r="T142" s="34">
        <v>0</v>
      </c>
      <c r="U142" s="34">
        <v>0</v>
      </c>
      <c r="V142" s="138"/>
      <c r="W142" s="38">
        <v>0</v>
      </c>
      <c r="X142" s="31">
        <v>0</v>
      </c>
      <c r="Y142" s="31">
        <v>0</v>
      </c>
      <c r="Z142" s="105"/>
      <c r="AA142" s="37">
        <v>0</v>
      </c>
      <c r="AB142" s="34">
        <v>0</v>
      </c>
      <c r="AC142" s="34">
        <v>0</v>
      </c>
      <c r="AD142" s="123"/>
      <c r="AE142" s="122"/>
      <c r="AF142" s="123"/>
      <c r="AG142" s="43">
        <f t="shared" si="27"/>
        <v>0</v>
      </c>
      <c r="AH142" s="44">
        <f t="shared" si="27"/>
        <v>0</v>
      </c>
      <c r="AI142" s="44">
        <f t="shared" si="27"/>
        <v>0</v>
      </c>
      <c r="AJ142" s="45">
        <f t="shared" si="27"/>
        <v>0</v>
      </c>
      <c r="AK142" s="137">
        <f t="shared" si="29"/>
        <v>0</v>
      </c>
      <c r="AL142" s="47">
        <v>0.5</v>
      </c>
      <c r="AM142" s="48">
        <f t="shared" si="36"/>
        <v>0</v>
      </c>
      <c r="AN142" s="48">
        <f t="shared" si="37"/>
        <v>0</v>
      </c>
      <c r="AO142" s="49">
        <f t="shared" si="35"/>
        <v>0</v>
      </c>
      <c r="AP142" s="49">
        <f t="shared" si="30"/>
        <v>0</v>
      </c>
      <c r="AQ142" s="50">
        <f t="shared" si="31"/>
        <v>0</v>
      </c>
      <c r="AR142" s="124"/>
      <c r="AS142" s="125"/>
      <c r="AT142" s="126"/>
      <c r="AU142" s="84"/>
      <c r="AV142" s="127"/>
      <c r="AW142" s="128"/>
      <c r="AX142" s="128"/>
      <c r="AY142" s="125"/>
      <c r="AZ142" s="129"/>
    </row>
    <row r="143" spans="1:52" ht="16.5" thickBot="1" x14ac:dyDescent="0.3">
      <c r="A143" s="134"/>
      <c r="B143" s="134" t="s">
        <v>109</v>
      </c>
      <c r="C143" s="135"/>
      <c r="D143" s="26">
        <f t="shared" si="32"/>
        <v>0</v>
      </c>
      <c r="E143" s="27">
        <f t="shared" si="33"/>
        <v>0</v>
      </c>
      <c r="F143" s="29">
        <f t="shared" si="34"/>
        <v>0</v>
      </c>
      <c r="G143" s="30">
        <v>0</v>
      </c>
      <c r="H143" s="31">
        <v>0</v>
      </c>
      <c r="I143" s="32">
        <v>0</v>
      </c>
      <c r="J143" s="136"/>
      <c r="K143" s="33">
        <v>0</v>
      </c>
      <c r="L143" s="34">
        <v>0</v>
      </c>
      <c r="M143" s="34">
        <v>0</v>
      </c>
      <c r="N143" s="138"/>
      <c r="O143" s="34">
        <v>0</v>
      </c>
      <c r="P143" s="34">
        <v>0</v>
      </c>
      <c r="Q143" s="34">
        <v>0</v>
      </c>
      <c r="R143" s="138"/>
      <c r="S143" s="37">
        <v>0</v>
      </c>
      <c r="T143" s="34">
        <v>0</v>
      </c>
      <c r="U143" s="34">
        <v>0</v>
      </c>
      <c r="V143" s="138"/>
      <c r="W143" s="38">
        <v>0</v>
      </c>
      <c r="X143" s="31">
        <v>0</v>
      </c>
      <c r="Y143" s="31">
        <v>0</v>
      </c>
      <c r="Z143" s="105"/>
      <c r="AA143" s="37">
        <v>0</v>
      </c>
      <c r="AB143" s="34">
        <v>0</v>
      </c>
      <c r="AC143" s="34">
        <v>0</v>
      </c>
      <c r="AD143" s="123"/>
      <c r="AE143" s="122"/>
      <c r="AF143" s="123"/>
      <c r="AG143" s="43">
        <f t="shared" si="27"/>
        <v>0</v>
      </c>
      <c r="AH143" s="44">
        <f t="shared" si="27"/>
        <v>0</v>
      </c>
      <c r="AI143" s="44">
        <f t="shared" si="27"/>
        <v>0</v>
      </c>
      <c r="AJ143" s="45">
        <f t="shared" si="27"/>
        <v>0</v>
      </c>
      <c r="AK143" s="137">
        <f t="shared" si="29"/>
        <v>0</v>
      </c>
      <c r="AL143" s="47">
        <v>1</v>
      </c>
      <c r="AM143" s="48">
        <f t="shared" si="36"/>
        <v>0</v>
      </c>
      <c r="AN143" s="48">
        <f t="shared" si="37"/>
        <v>0</v>
      </c>
      <c r="AO143" s="49">
        <f t="shared" si="35"/>
        <v>0</v>
      </c>
      <c r="AP143" s="49">
        <f t="shared" si="30"/>
        <v>0</v>
      </c>
      <c r="AQ143" s="50">
        <f t="shared" si="31"/>
        <v>0</v>
      </c>
      <c r="AR143" s="124"/>
      <c r="AS143" s="125"/>
      <c r="AT143" s="126"/>
      <c r="AU143" s="84"/>
      <c r="AV143" s="127"/>
      <c r="AW143" s="128"/>
      <c r="AX143" s="128"/>
      <c r="AY143" s="125"/>
      <c r="AZ143" s="129"/>
    </row>
    <row r="144" spans="1:52" ht="16.5" thickBot="1" x14ac:dyDescent="0.3">
      <c r="A144" s="134">
        <v>400</v>
      </c>
      <c r="B144" s="134" t="s">
        <v>110</v>
      </c>
      <c r="C144" s="135"/>
      <c r="D144" s="26">
        <f t="shared" si="32"/>
        <v>0</v>
      </c>
      <c r="E144" s="27">
        <f t="shared" si="33"/>
        <v>0</v>
      </c>
      <c r="F144" s="29">
        <f t="shared" si="34"/>
        <v>0</v>
      </c>
      <c r="G144" s="30">
        <v>0</v>
      </c>
      <c r="H144" s="31">
        <v>0</v>
      </c>
      <c r="I144" s="32">
        <v>0</v>
      </c>
      <c r="J144" s="136"/>
      <c r="K144" s="33">
        <v>0</v>
      </c>
      <c r="L144" s="34">
        <v>0</v>
      </c>
      <c r="M144" s="34">
        <v>0</v>
      </c>
      <c r="N144" s="138"/>
      <c r="O144" s="34">
        <v>0</v>
      </c>
      <c r="P144" s="34">
        <v>0</v>
      </c>
      <c r="Q144" s="34">
        <v>0</v>
      </c>
      <c r="R144" s="138"/>
      <c r="S144" s="37">
        <v>0</v>
      </c>
      <c r="T144" s="34">
        <v>0</v>
      </c>
      <c r="U144" s="34">
        <v>0</v>
      </c>
      <c r="V144" s="138"/>
      <c r="W144" s="38">
        <v>0</v>
      </c>
      <c r="X144" s="31">
        <v>0</v>
      </c>
      <c r="Y144" s="31">
        <v>0</v>
      </c>
      <c r="Z144" s="105"/>
      <c r="AA144" s="37">
        <v>0</v>
      </c>
      <c r="AB144" s="34">
        <v>0</v>
      </c>
      <c r="AC144" s="34">
        <v>0</v>
      </c>
      <c r="AD144" s="123"/>
      <c r="AE144" s="122"/>
      <c r="AF144" s="123"/>
      <c r="AG144" s="43">
        <f t="shared" si="27"/>
        <v>0</v>
      </c>
      <c r="AH144" s="44">
        <f t="shared" si="27"/>
        <v>0</v>
      </c>
      <c r="AI144" s="44">
        <f t="shared" si="27"/>
        <v>0</v>
      </c>
      <c r="AJ144" s="45">
        <f t="shared" si="27"/>
        <v>0</v>
      </c>
      <c r="AK144" s="137">
        <f t="shared" si="29"/>
        <v>0</v>
      </c>
      <c r="AL144" s="47">
        <v>0.75</v>
      </c>
      <c r="AM144" s="48">
        <f t="shared" si="36"/>
        <v>0</v>
      </c>
      <c r="AN144" s="48">
        <f t="shared" si="37"/>
        <v>0</v>
      </c>
      <c r="AO144" s="49">
        <f t="shared" si="35"/>
        <v>0</v>
      </c>
      <c r="AP144" s="49">
        <f t="shared" si="30"/>
        <v>0</v>
      </c>
      <c r="AQ144" s="50">
        <f t="shared" si="31"/>
        <v>0</v>
      </c>
      <c r="AR144" s="124"/>
      <c r="AS144" s="125"/>
      <c r="AT144" s="126"/>
      <c r="AU144" s="84"/>
      <c r="AV144" s="127"/>
      <c r="AW144" s="128"/>
      <c r="AX144" s="128"/>
      <c r="AY144" s="125"/>
      <c r="AZ144" s="129"/>
    </row>
    <row r="145" spans="1:52" ht="16.5" thickBot="1" x14ac:dyDescent="0.3">
      <c r="A145" s="134">
        <v>300</v>
      </c>
      <c r="B145" s="134" t="s">
        <v>54</v>
      </c>
      <c r="C145" s="135"/>
      <c r="D145" s="26">
        <f t="shared" si="32"/>
        <v>0</v>
      </c>
      <c r="E145" s="27">
        <f t="shared" si="33"/>
        <v>0</v>
      </c>
      <c r="F145" s="29">
        <f t="shared" si="34"/>
        <v>0</v>
      </c>
      <c r="G145" s="30">
        <v>0</v>
      </c>
      <c r="H145" s="31">
        <v>0</v>
      </c>
      <c r="I145" s="32">
        <v>0</v>
      </c>
      <c r="J145" s="136"/>
      <c r="K145" s="33">
        <v>0</v>
      </c>
      <c r="L145" s="34">
        <v>0</v>
      </c>
      <c r="M145" s="34">
        <v>0</v>
      </c>
      <c r="N145" s="138"/>
      <c r="O145" s="34">
        <v>0</v>
      </c>
      <c r="P145" s="34">
        <v>0</v>
      </c>
      <c r="Q145" s="34">
        <v>0</v>
      </c>
      <c r="R145" s="138"/>
      <c r="S145" s="37">
        <v>0</v>
      </c>
      <c r="T145" s="34">
        <v>0</v>
      </c>
      <c r="U145" s="34">
        <v>0</v>
      </c>
      <c r="V145" s="138"/>
      <c r="W145" s="38">
        <v>0</v>
      </c>
      <c r="X145" s="31">
        <v>0</v>
      </c>
      <c r="Y145" s="31">
        <v>0</v>
      </c>
      <c r="Z145" s="105"/>
      <c r="AA145" s="37">
        <v>0</v>
      </c>
      <c r="AB145" s="34">
        <v>0</v>
      </c>
      <c r="AC145" s="34">
        <v>0</v>
      </c>
      <c r="AD145" s="123"/>
      <c r="AE145" s="122"/>
      <c r="AF145" s="123"/>
      <c r="AG145" s="43">
        <f t="shared" si="27"/>
        <v>0</v>
      </c>
      <c r="AH145" s="44">
        <f t="shared" si="27"/>
        <v>0</v>
      </c>
      <c r="AI145" s="44">
        <f t="shared" si="27"/>
        <v>0</v>
      </c>
      <c r="AJ145" s="45">
        <f t="shared" si="27"/>
        <v>0</v>
      </c>
      <c r="AK145" s="137">
        <f t="shared" si="29"/>
        <v>0</v>
      </c>
      <c r="AL145" s="47">
        <v>1</v>
      </c>
      <c r="AM145" s="48">
        <f t="shared" si="36"/>
        <v>0</v>
      </c>
      <c r="AN145" s="48">
        <f t="shared" si="37"/>
        <v>0</v>
      </c>
      <c r="AO145" s="49">
        <f t="shared" si="35"/>
        <v>0</v>
      </c>
      <c r="AP145" s="49">
        <f t="shared" si="30"/>
        <v>0</v>
      </c>
      <c r="AQ145" s="50">
        <f t="shared" si="31"/>
        <v>0</v>
      </c>
      <c r="AR145" s="124"/>
      <c r="AS145" s="125"/>
      <c r="AT145" s="126"/>
      <c r="AU145" s="84"/>
      <c r="AV145" s="127"/>
      <c r="AW145" s="128"/>
      <c r="AX145" s="128"/>
      <c r="AY145" s="125"/>
      <c r="AZ145" s="129"/>
    </row>
    <row r="146" spans="1:52" ht="16.5" thickBot="1" x14ac:dyDescent="0.3">
      <c r="A146" s="134">
        <v>300</v>
      </c>
      <c r="B146" s="134" t="s">
        <v>56</v>
      </c>
      <c r="C146" s="135"/>
      <c r="D146" s="26">
        <f t="shared" si="32"/>
        <v>0</v>
      </c>
      <c r="E146" s="27">
        <f t="shared" si="33"/>
        <v>0</v>
      </c>
      <c r="F146" s="29">
        <f t="shared" si="34"/>
        <v>0</v>
      </c>
      <c r="G146" s="30">
        <v>0</v>
      </c>
      <c r="H146" s="31">
        <v>0</v>
      </c>
      <c r="I146" s="32">
        <v>0</v>
      </c>
      <c r="J146" s="136"/>
      <c r="K146" s="33">
        <v>0</v>
      </c>
      <c r="L146" s="34">
        <v>0</v>
      </c>
      <c r="M146" s="34">
        <v>0</v>
      </c>
      <c r="N146" s="138"/>
      <c r="O146" s="34">
        <v>0</v>
      </c>
      <c r="P146" s="34">
        <v>0</v>
      </c>
      <c r="Q146" s="34">
        <v>0</v>
      </c>
      <c r="R146" s="138"/>
      <c r="S146" s="37">
        <v>0</v>
      </c>
      <c r="T146" s="34">
        <v>0</v>
      </c>
      <c r="U146" s="34">
        <v>0</v>
      </c>
      <c r="V146" s="138"/>
      <c r="W146" s="38">
        <v>0</v>
      </c>
      <c r="X146" s="31">
        <v>0</v>
      </c>
      <c r="Y146" s="31">
        <v>0</v>
      </c>
      <c r="Z146" s="105"/>
      <c r="AA146" s="37">
        <v>0</v>
      </c>
      <c r="AB146" s="34">
        <v>0</v>
      </c>
      <c r="AC146" s="34">
        <v>0</v>
      </c>
      <c r="AD146" s="123"/>
      <c r="AE146" s="122"/>
      <c r="AF146" s="123"/>
      <c r="AG146" s="43">
        <f t="shared" si="27"/>
        <v>0</v>
      </c>
      <c r="AH146" s="44">
        <f t="shared" si="27"/>
        <v>0</v>
      </c>
      <c r="AI146" s="44">
        <f t="shared" si="27"/>
        <v>0</v>
      </c>
      <c r="AJ146" s="45">
        <f t="shared" si="27"/>
        <v>0</v>
      </c>
      <c r="AK146" s="137">
        <f t="shared" si="29"/>
        <v>0</v>
      </c>
      <c r="AL146" s="47">
        <v>1</v>
      </c>
      <c r="AM146" s="48">
        <f t="shared" si="36"/>
        <v>0</v>
      </c>
      <c r="AN146" s="48">
        <f t="shared" si="37"/>
        <v>0</v>
      </c>
      <c r="AO146" s="49">
        <f t="shared" si="35"/>
        <v>0</v>
      </c>
      <c r="AP146" s="49">
        <f t="shared" si="30"/>
        <v>0</v>
      </c>
      <c r="AQ146" s="50">
        <f t="shared" si="31"/>
        <v>0</v>
      </c>
      <c r="AR146" s="124"/>
      <c r="AS146" s="125"/>
      <c r="AT146" s="126"/>
      <c r="AU146" s="84"/>
      <c r="AV146" s="127"/>
      <c r="AW146" s="128"/>
      <c r="AX146" s="128"/>
      <c r="AY146" s="125"/>
      <c r="AZ146" s="129"/>
    </row>
    <row r="147" spans="1:52" ht="16.5" thickBot="1" x14ac:dyDescent="0.3">
      <c r="A147" s="134">
        <v>300</v>
      </c>
      <c r="B147" s="134" t="s">
        <v>55</v>
      </c>
      <c r="C147" s="135"/>
      <c r="D147" s="26">
        <f t="shared" si="32"/>
        <v>0</v>
      </c>
      <c r="E147" s="27">
        <f t="shared" si="33"/>
        <v>0</v>
      </c>
      <c r="F147" s="29">
        <f t="shared" si="34"/>
        <v>0</v>
      </c>
      <c r="G147" s="30">
        <v>0</v>
      </c>
      <c r="H147" s="31">
        <v>0</v>
      </c>
      <c r="I147" s="32">
        <v>0</v>
      </c>
      <c r="J147" s="136"/>
      <c r="K147" s="33">
        <v>0</v>
      </c>
      <c r="L147" s="34">
        <v>0</v>
      </c>
      <c r="M147" s="34">
        <v>0</v>
      </c>
      <c r="N147" s="138"/>
      <c r="O147" s="34">
        <v>0</v>
      </c>
      <c r="P147" s="34">
        <v>0</v>
      </c>
      <c r="Q147" s="34">
        <v>0</v>
      </c>
      <c r="R147" s="138"/>
      <c r="S147" s="37">
        <v>0</v>
      </c>
      <c r="T147" s="34">
        <v>0</v>
      </c>
      <c r="U147" s="34">
        <v>0</v>
      </c>
      <c r="V147" s="138"/>
      <c r="W147" s="38">
        <v>0</v>
      </c>
      <c r="X147" s="31">
        <v>0</v>
      </c>
      <c r="Y147" s="31">
        <v>0</v>
      </c>
      <c r="Z147" s="105"/>
      <c r="AA147" s="37">
        <v>0</v>
      </c>
      <c r="AB147" s="34">
        <v>0</v>
      </c>
      <c r="AC147" s="34">
        <v>0</v>
      </c>
      <c r="AD147" s="123"/>
      <c r="AE147" s="122"/>
      <c r="AF147" s="123"/>
      <c r="AG147" s="43">
        <f t="shared" si="27"/>
        <v>0</v>
      </c>
      <c r="AH147" s="44">
        <f t="shared" si="27"/>
        <v>0</v>
      </c>
      <c r="AI147" s="44">
        <f t="shared" si="27"/>
        <v>0</v>
      </c>
      <c r="AJ147" s="45">
        <f t="shared" si="27"/>
        <v>0</v>
      </c>
      <c r="AK147" s="137">
        <f t="shared" si="29"/>
        <v>0</v>
      </c>
      <c r="AL147" s="47">
        <v>1</v>
      </c>
      <c r="AM147" s="48">
        <f t="shared" si="36"/>
        <v>0</v>
      </c>
      <c r="AN147" s="48">
        <f t="shared" si="37"/>
        <v>0</v>
      </c>
      <c r="AO147" s="49">
        <f t="shared" si="35"/>
        <v>0</v>
      </c>
      <c r="AP147" s="49"/>
      <c r="AQ147" s="50">
        <f t="shared" si="31"/>
        <v>0</v>
      </c>
      <c r="AR147" s="124"/>
      <c r="AS147" s="125"/>
      <c r="AT147" s="126"/>
      <c r="AU147" s="84"/>
      <c r="AV147" s="127"/>
      <c r="AW147" s="128"/>
      <c r="AX147" s="128"/>
      <c r="AY147" s="125"/>
      <c r="AZ147" s="129"/>
    </row>
    <row r="148" spans="1:52" s="246" customFormat="1" ht="16.5" thickBot="1" x14ac:dyDescent="0.3">
      <c r="A148" s="134">
        <v>1090</v>
      </c>
      <c r="B148" s="134" t="s">
        <v>88</v>
      </c>
      <c r="C148" s="139"/>
      <c r="D148" s="26">
        <f t="shared" si="32"/>
        <v>0</v>
      </c>
      <c r="E148" s="27">
        <f t="shared" si="33"/>
        <v>0</v>
      </c>
      <c r="F148" s="29">
        <f t="shared" si="34"/>
        <v>0</v>
      </c>
      <c r="G148" s="30">
        <v>0</v>
      </c>
      <c r="H148" s="31">
        <v>0</v>
      </c>
      <c r="I148" s="32">
        <v>0</v>
      </c>
      <c r="J148" s="136"/>
      <c r="K148" s="33">
        <v>0</v>
      </c>
      <c r="L148" s="34">
        <v>0</v>
      </c>
      <c r="M148" s="34">
        <v>0</v>
      </c>
      <c r="N148" s="138"/>
      <c r="O148" s="34">
        <v>0</v>
      </c>
      <c r="P148" s="34">
        <v>0</v>
      </c>
      <c r="Q148" s="34">
        <v>0</v>
      </c>
      <c r="R148" s="138"/>
      <c r="S148" s="37">
        <v>0</v>
      </c>
      <c r="T148" s="34">
        <v>0</v>
      </c>
      <c r="U148" s="34">
        <v>0</v>
      </c>
      <c r="V148" s="138"/>
      <c r="W148" s="38">
        <v>0</v>
      </c>
      <c r="X148" s="31">
        <v>0</v>
      </c>
      <c r="Y148" s="31">
        <v>0</v>
      </c>
      <c r="Z148" s="105"/>
      <c r="AA148" s="37">
        <v>0</v>
      </c>
      <c r="AB148" s="34">
        <v>0</v>
      </c>
      <c r="AC148" s="34">
        <v>0</v>
      </c>
      <c r="AD148" s="105"/>
      <c r="AE148" s="104"/>
      <c r="AF148" s="105"/>
      <c r="AG148" s="43">
        <f t="shared" si="27"/>
        <v>0</v>
      </c>
      <c r="AH148" s="44">
        <f t="shared" si="27"/>
        <v>0</v>
      </c>
      <c r="AI148" s="44">
        <f t="shared" si="27"/>
        <v>0</v>
      </c>
      <c r="AJ148" s="94">
        <f t="shared" si="27"/>
        <v>0</v>
      </c>
      <c r="AK148" s="140">
        <f t="shared" si="29"/>
        <v>0</v>
      </c>
      <c r="AL148" s="246">
        <v>0.5</v>
      </c>
      <c r="AM148" s="48">
        <f t="shared" si="36"/>
        <v>0</v>
      </c>
      <c r="AN148" s="48">
        <f t="shared" si="37"/>
        <v>0</v>
      </c>
      <c r="AO148" s="49">
        <f t="shared" si="35"/>
        <v>0</v>
      </c>
      <c r="AP148" s="49">
        <f t="shared" si="30"/>
        <v>0</v>
      </c>
      <c r="AQ148" s="50">
        <f t="shared" si="31"/>
        <v>0</v>
      </c>
      <c r="AR148" s="106"/>
      <c r="AS148" s="107"/>
      <c r="AT148" s="115"/>
      <c r="AU148" s="100"/>
      <c r="AV148" s="109"/>
      <c r="AW148" s="110"/>
      <c r="AX148" s="110"/>
      <c r="AY148" s="107"/>
      <c r="AZ148" s="116"/>
    </row>
    <row r="149" spans="1:52" s="246" customFormat="1" ht="16.5" thickBot="1" x14ac:dyDescent="0.3">
      <c r="A149" s="134">
        <v>0</v>
      </c>
      <c r="B149" s="134">
        <v>0</v>
      </c>
      <c r="C149" s="139"/>
      <c r="D149" s="26">
        <f t="shared" si="32"/>
        <v>0</v>
      </c>
      <c r="E149" s="27">
        <f t="shared" si="33"/>
        <v>0</v>
      </c>
      <c r="F149" s="29">
        <f t="shared" si="34"/>
        <v>0</v>
      </c>
      <c r="G149" s="30">
        <v>0</v>
      </c>
      <c r="H149" s="31">
        <v>0</v>
      </c>
      <c r="I149" s="32">
        <v>0</v>
      </c>
      <c r="J149" s="136"/>
      <c r="K149" s="33">
        <v>0</v>
      </c>
      <c r="L149" s="34">
        <v>0</v>
      </c>
      <c r="M149" s="34">
        <v>0</v>
      </c>
      <c r="N149" s="138"/>
      <c r="O149" s="34">
        <v>0</v>
      </c>
      <c r="P149" s="34">
        <v>0</v>
      </c>
      <c r="Q149" s="34">
        <v>0</v>
      </c>
      <c r="R149" s="138"/>
      <c r="S149" s="37">
        <v>0</v>
      </c>
      <c r="T149" s="34">
        <v>0</v>
      </c>
      <c r="U149" s="34">
        <v>0</v>
      </c>
      <c r="V149" s="138"/>
      <c r="W149" s="38">
        <v>0</v>
      </c>
      <c r="X149" s="31">
        <v>0</v>
      </c>
      <c r="Y149" s="31">
        <v>0</v>
      </c>
      <c r="Z149" s="105"/>
      <c r="AA149" s="37">
        <v>0</v>
      </c>
      <c r="AB149" s="34">
        <v>0</v>
      </c>
      <c r="AC149" s="34">
        <v>0</v>
      </c>
      <c r="AD149" s="105"/>
      <c r="AE149" s="104"/>
      <c r="AF149" s="105"/>
      <c r="AG149" s="43">
        <f t="shared" si="27"/>
        <v>0</v>
      </c>
      <c r="AH149" s="44">
        <f t="shared" si="27"/>
        <v>0</v>
      </c>
      <c r="AI149" s="44">
        <f t="shared" si="27"/>
        <v>0</v>
      </c>
      <c r="AJ149" s="94">
        <f t="shared" si="27"/>
        <v>0</v>
      </c>
      <c r="AK149" s="140">
        <f t="shared" si="29"/>
        <v>0</v>
      </c>
      <c r="AL149" s="246">
        <v>0</v>
      </c>
      <c r="AM149" s="48">
        <f t="shared" si="36"/>
        <v>0</v>
      </c>
      <c r="AN149" s="48">
        <f t="shared" si="37"/>
        <v>0</v>
      </c>
      <c r="AO149" s="49">
        <f t="shared" si="35"/>
        <v>0</v>
      </c>
      <c r="AP149" s="49">
        <f t="shared" si="30"/>
        <v>0</v>
      </c>
      <c r="AQ149" s="50">
        <f t="shared" si="31"/>
        <v>0</v>
      </c>
      <c r="AR149" s="106"/>
      <c r="AS149" s="107"/>
      <c r="AT149" s="115"/>
      <c r="AU149" s="100"/>
      <c r="AV149" s="109"/>
      <c r="AW149" s="110"/>
      <c r="AX149" s="110"/>
      <c r="AY149" s="107"/>
      <c r="AZ149" s="116"/>
    </row>
    <row r="150" spans="1:52" s="246" customFormat="1" ht="16.5" thickBot="1" x14ac:dyDescent="0.3">
      <c r="A150" s="134">
        <v>250</v>
      </c>
      <c r="B150" s="134" t="s">
        <v>111</v>
      </c>
      <c r="C150" s="139"/>
      <c r="D150" s="26">
        <f t="shared" si="32"/>
        <v>0</v>
      </c>
      <c r="E150" s="27">
        <f t="shared" si="33"/>
        <v>0</v>
      </c>
      <c r="F150" s="29">
        <f t="shared" si="34"/>
        <v>0</v>
      </c>
      <c r="G150" s="30">
        <v>0</v>
      </c>
      <c r="H150" s="31">
        <v>0</v>
      </c>
      <c r="I150" s="32">
        <v>0</v>
      </c>
      <c r="J150" s="136"/>
      <c r="K150" s="33">
        <v>0</v>
      </c>
      <c r="L150" s="34">
        <v>0</v>
      </c>
      <c r="M150" s="34">
        <v>0</v>
      </c>
      <c r="N150" s="138"/>
      <c r="O150" s="34">
        <v>0</v>
      </c>
      <c r="P150" s="34">
        <v>0</v>
      </c>
      <c r="Q150" s="34">
        <v>0</v>
      </c>
      <c r="R150" s="138"/>
      <c r="S150" s="37">
        <v>0</v>
      </c>
      <c r="T150" s="34">
        <v>0</v>
      </c>
      <c r="U150" s="34">
        <v>0</v>
      </c>
      <c r="V150" s="138"/>
      <c r="W150" s="38">
        <v>0</v>
      </c>
      <c r="X150" s="31">
        <v>0</v>
      </c>
      <c r="Y150" s="31">
        <v>0</v>
      </c>
      <c r="Z150" s="105"/>
      <c r="AA150" s="37">
        <v>0</v>
      </c>
      <c r="AB150" s="34">
        <v>0</v>
      </c>
      <c r="AC150" s="34">
        <v>0</v>
      </c>
      <c r="AD150" s="105"/>
      <c r="AE150" s="104"/>
      <c r="AF150" s="105"/>
      <c r="AG150" s="43">
        <f t="shared" si="27"/>
        <v>0</v>
      </c>
      <c r="AH150" s="44">
        <f t="shared" si="27"/>
        <v>0</v>
      </c>
      <c r="AI150" s="44">
        <f t="shared" si="27"/>
        <v>0</v>
      </c>
      <c r="AJ150" s="94">
        <f t="shared" si="27"/>
        <v>0</v>
      </c>
      <c r="AK150" s="140">
        <f t="shared" si="29"/>
        <v>0</v>
      </c>
      <c r="AL150" s="47">
        <v>1</v>
      </c>
      <c r="AM150" s="48">
        <f t="shared" si="36"/>
        <v>0</v>
      </c>
      <c r="AN150" s="48">
        <f t="shared" si="37"/>
        <v>0</v>
      </c>
      <c r="AO150" s="49">
        <f t="shared" si="35"/>
        <v>0</v>
      </c>
      <c r="AP150" s="49">
        <f t="shared" si="30"/>
        <v>0</v>
      </c>
      <c r="AQ150" s="50">
        <f t="shared" si="31"/>
        <v>0</v>
      </c>
      <c r="AR150" s="106"/>
      <c r="AS150" s="107"/>
      <c r="AT150" s="115"/>
      <c r="AU150" s="100"/>
      <c r="AV150" s="109"/>
      <c r="AW150" s="110"/>
      <c r="AX150" s="110"/>
      <c r="AY150" s="107"/>
      <c r="AZ150" s="116"/>
    </row>
    <row r="151" spans="1:52" s="246" customFormat="1" ht="16.5" thickBot="1" x14ac:dyDescent="0.3">
      <c r="A151" s="134">
        <v>250</v>
      </c>
      <c r="B151" s="134" t="s">
        <v>112</v>
      </c>
      <c r="C151" s="139"/>
      <c r="D151" s="26">
        <f t="shared" si="32"/>
        <v>0</v>
      </c>
      <c r="E151" s="27">
        <f t="shared" si="33"/>
        <v>0</v>
      </c>
      <c r="F151" s="29">
        <f t="shared" si="34"/>
        <v>0</v>
      </c>
      <c r="G151" s="30">
        <v>0</v>
      </c>
      <c r="H151" s="31">
        <v>0</v>
      </c>
      <c r="I151" s="32">
        <v>0</v>
      </c>
      <c r="J151" s="136"/>
      <c r="K151" s="33">
        <v>0</v>
      </c>
      <c r="L151" s="34">
        <v>0</v>
      </c>
      <c r="M151" s="34">
        <v>0</v>
      </c>
      <c r="N151" s="138"/>
      <c r="O151" s="34">
        <v>0</v>
      </c>
      <c r="P151" s="34">
        <v>0</v>
      </c>
      <c r="Q151" s="34">
        <v>0</v>
      </c>
      <c r="R151" s="138"/>
      <c r="S151" s="37">
        <v>0</v>
      </c>
      <c r="T151" s="34">
        <v>0</v>
      </c>
      <c r="U151" s="34">
        <v>0</v>
      </c>
      <c r="V151" s="138"/>
      <c r="W151" s="38">
        <v>0</v>
      </c>
      <c r="X151" s="31">
        <v>0</v>
      </c>
      <c r="Y151" s="31">
        <v>0</v>
      </c>
      <c r="Z151" s="105"/>
      <c r="AA151" s="37">
        <v>0</v>
      </c>
      <c r="AB151" s="34">
        <v>0</v>
      </c>
      <c r="AC151" s="34">
        <v>0</v>
      </c>
      <c r="AD151" s="105"/>
      <c r="AE151" s="104"/>
      <c r="AF151" s="105"/>
      <c r="AG151" s="43">
        <f t="shared" si="27"/>
        <v>0</v>
      </c>
      <c r="AH151" s="44">
        <f t="shared" si="27"/>
        <v>0</v>
      </c>
      <c r="AI151" s="44">
        <f t="shared" si="27"/>
        <v>0</v>
      </c>
      <c r="AJ151" s="94">
        <f t="shared" si="27"/>
        <v>0</v>
      </c>
      <c r="AK151" s="140">
        <f t="shared" si="29"/>
        <v>0</v>
      </c>
      <c r="AL151" s="47">
        <v>1</v>
      </c>
      <c r="AM151" s="48">
        <f t="shared" si="36"/>
        <v>0</v>
      </c>
      <c r="AN151" s="48">
        <f t="shared" si="37"/>
        <v>0</v>
      </c>
      <c r="AO151" s="49">
        <f t="shared" si="35"/>
        <v>0</v>
      </c>
      <c r="AP151" s="49">
        <f t="shared" si="30"/>
        <v>0</v>
      </c>
      <c r="AQ151" s="50">
        <f t="shared" si="31"/>
        <v>0</v>
      </c>
      <c r="AR151" s="106"/>
      <c r="AS151" s="107"/>
      <c r="AT151" s="115"/>
      <c r="AU151" s="100"/>
      <c r="AV151" s="109"/>
      <c r="AW151" s="110"/>
      <c r="AX151" s="110"/>
      <c r="AY151" s="107"/>
      <c r="AZ151" s="116"/>
    </row>
    <row r="152" spans="1:52" s="246" customFormat="1" ht="16.5" thickBot="1" x14ac:dyDescent="0.3">
      <c r="A152" s="134"/>
      <c r="B152" s="134" t="s">
        <v>30</v>
      </c>
      <c r="C152" s="139"/>
      <c r="D152" s="26">
        <f t="shared" si="32"/>
        <v>0</v>
      </c>
      <c r="E152" s="27">
        <f t="shared" si="33"/>
        <v>0</v>
      </c>
      <c r="F152" s="29">
        <f t="shared" si="34"/>
        <v>0</v>
      </c>
      <c r="G152" s="30">
        <v>0</v>
      </c>
      <c r="H152" s="31">
        <v>0</v>
      </c>
      <c r="I152" s="32">
        <v>0</v>
      </c>
      <c r="J152" s="136"/>
      <c r="K152" s="33">
        <v>0</v>
      </c>
      <c r="L152" s="34">
        <v>0</v>
      </c>
      <c r="M152" s="34">
        <v>0</v>
      </c>
      <c r="N152" s="138"/>
      <c r="O152" s="34">
        <v>0</v>
      </c>
      <c r="P152" s="34">
        <v>0</v>
      </c>
      <c r="Q152" s="34">
        <v>0</v>
      </c>
      <c r="R152" s="138"/>
      <c r="S152" s="37">
        <v>0</v>
      </c>
      <c r="T152" s="34">
        <v>0</v>
      </c>
      <c r="U152" s="34">
        <v>0</v>
      </c>
      <c r="V152" s="138"/>
      <c r="W152" s="38">
        <v>0</v>
      </c>
      <c r="X152" s="31">
        <v>0</v>
      </c>
      <c r="Y152" s="31">
        <v>0</v>
      </c>
      <c r="Z152" s="105"/>
      <c r="AA152" s="37">
        <v>0</v>
      </c>
      <c r="AB152" s="34">
        <v>0</v>
      </c>
      <c r="AC152" s="34">
        <v>0</v>
      </c>
      <c r="AD152" s="105"/>
      <c r="AE152" s="104"/>
      <c r="AF152" s="105"/>
      <c r="AG152" s="43">
        <f t="shared" si="27"/>
        <v>0</v>
      </c>
      <c r="AH152" s="44">
        <f t="shared" si="27"/>
        <v>0</v>
      </c>
      <c r="AI152" s="44">
        <f t="shared" si="27"/>
        <v>0</v>
      </c>
      <c r="AJ152" s="94">
        <f t="shared" si="27"/>
        <v>0</v>
      </c>
      <c r="AK152" s="140">
        <f t="shared" si="29"/>
        <v>0</v>
      </c>
      <c r="AL152" s="47">
        <v>1</v>
      </c>
      <c r="AM152" s="48">
        <f t="shared" si="36"/>
        <v>0</v>
      </c>
      <c r="AN152" s="48">
        <f t="shared" si="37"/>
        <v>0</v>
      </c>
      <c r="AO152" s="49">
        <f t="shared" si="35"/>
        <v>0</v>
      </c>
      <c r="AP152" s="49">
        <f t="shared" si="30"/>
        <v>0</v>
      </c>
      <c r="AQ152" s="50">
        <f t="shared" si="31"/>
        <v>0</v>
      </c>
      <c r="AR152" s="106"/>
      <c r="AS152" s="107"/>
      <c r="AT152" s="115"/>
      <c r="AU152" s="100"/>
      <c r="AV152" s="109"/>
      <c r="AW152" s="110"/>
      <c r="AX152" s="110"/>
      <c r="AY152" s="107"/>
      <c r="AZ152" s="116"/>
    </row>
    <row r="153" spans="1:52" s="246" customFormat="1" ht="16.5" thickBot="1" x14ac:dyDescent="0.3">
      <c r="A153" s="134"/>
      <c r="B153" s="134" t="s">
        <v>113</v>
      </c>
      <c r="C153" s="139"/>
      <c r="D153" s="26">
        <f t="shared" si="32"/>
        <v>0</v>
      </c>
      <c r="E153" s="27">
        <f t="shared" si="33"/>
        <v>0</v>
      </c>
      <c r="F153" s="29">
        <f t="shared" si="34"/>
        <v>0</v>
      </c>
      <c r="G153" s="30">
        <v>0</v>
      </c>
      <c r="H153" s="31">
        <v>0</v>
      </c>
      <c r="I153" s="32">
        <v>0</v>
      </c>
      <c r="J153" s="136"/>
      <c r="K153" s="33">
        <v>0</v>
      </c>
      <c r="L153" s="34">
        <v>0</v>
      </c>
      <c r="M153" s="34">
        <v>0</v>
      </c>
      <c r="N153" s="138"/>
      <c r="O153" s="34">
        <v>0</v>
      </c>
      <c r="P153" s="34">
        <v>0</v>
      </c>
      <c r="Q153" s="34">
        <v>0</v>
      </c>
      <c r="R153" s="138"/>
      <c r="S153" s="37">
        <v>0</v>
      </c>
      <c r="T153" s="34">
        <v>0</v>
      </c>
      <c r="U153" s="34">
        <v>0</v>
      </c>
      <c r="V153" s="138"/>
      <c r="W153" s="38">
        <v>0</v>
      </c>
      <c r="X153" s="31">
        <v>0</v>
      </c>
      <c r="Y153" s="31">
        <v>0</v>
      </c>
      <c r="Z153" s="105"/>
      <c r="AA153" s="37">
        <v>0</v>
      </c>
      <c r="AB153" s="34">
        <v>0</v>
      </c>
      <c r="AC153" s="34">
        <v>0</v>
      </c>
      <c r="AD153" s="105"/>
      <c r="AE153" s="104"/>
      <c r="AF153" s="105"/>
      <c r="AG153" s="43">
        <f t="shared" si="27"/>
        <v>0</v>
      </c>
      <c r="AH153" s="44">
        <f t="shared" si="27"/>
        <v>0</v>
      </c>
      <c r="AI153" s="44">
        <f t="shared" si="27"/>
        <v>0</v>
      </c>
      <c r="AJ153" s="94">
        <f t="shared" si="27"/>
        <v>0</v>
      </c>
      <c r="AK153" s="140">
        <f t="shared" si="29"/>
        <v>0</v>
      </c>
      <c r="AL153" s="47">
        <v>1</v>
      </c>
      <c r="AM153" s="48">
        <f t="shared" si="36"/>
        <v>0</v>
      </c>
      <c r="AN153" s="48">
        <f t="shared" si="37"/>
        <v>0</v>
      </c>
      <c r="AO153" s="49">
        <f t="shared" si="35"/>
        <v>0</v>
      </c>
      <c r="AP153" s="49">
        <f t="shared" si="30"/>
        <v>0</v>
      </c>
      <c r="AQ153" s="50">
        <f t="shared" si="31"/>
        <v>0</v>
      </c>
      <c r="AR153" s="106"/>
      <c r="AS153" s="107"/>
      <c r="AT153" s="115"/>
      <c r="AU153" s="100"/>
      <c r="AV153" s="109"/>
      <c r="AW153" s="110"/>
      <c r="AX153" s="110"/>
      <c r="AY153" s="107"/>
      <c r="AZ153" s="116"/>
    </row>
    <row r="154" spans="1:52" s="246" customFormat="1" ht="16.5" thickBot="1" x14ac:dyDescent="0.3">
      <c r="A154" s="134"/>
      <c r="B154" s="134" t="s">
        <v>114</v>
      </c>
      <c r="C154" s="139"/>
      <c r="D154" s="26">
        <f t="shared" si="32"/>
        <v>0</v>
      </c>
      <c r="E154" s="27">
        <f t="shared" si="33"/>
        <v>0</v>
      </c>
      <c r="F154" s="29">
        <f t="shared" si="34"/>
        <v>0</v>
      </c>
      <c r="G154" s="30">
        <v>0</v>
      </c>
      <c r="H154" s="31">
        <v>0</v>
      </c>
      <c r="I154" s="32">
        <v>0</v>
      </c>
      <c r="J154" s="136"/>
      <c r="K154" s="33">
        <v>0</v>
      </c>
      <c r="L154" s="34">
        <v>0</v>
      </c>
      <c r="M154" s="34">
        <v>0</v>
      </c>
      <c r="N154" s="138"/>
      <c r="O154" s="34">
        <v>0</v>
      </c>
      <c r="P154" s="34">
        <v>0</v>
      </c>
      <c r="Q154" s="34">
        <v>0</v>
      </c>
      <c r="R154" s="138"/>
      <c r="S154" s="37">
        <v>0</v>
      </c>
      <c r="T154" s="34">
        <v>0</v>
      </c>
      <c r="U154" s="34">
        <v>0</v>
      </c>
      <c r="V154" s="138"/>
      <c r="W154" s="38">
        <v>0</v>
      </c>
      <c r="X154" s="31">
        <v>0</v>
      </c>
      <c r="Y154" s="31">
        <v>0</v>
      </c>
      <c r="Z154" s="105"/>
      <c r="AA154" s="37">
        <v>0</v>
      </c>
      <c r="AB154" s="34">
        <v>0</v>
      </c>
      <c r="AC154" s="34">
        <v>0</v>
      </c>
      <c r="AD154" s="105"/>
      <c r="AE154" s="104"/>
      <c r="AF154" s="105"/>
      <c r="AG154" s="43">
        <f t="shared" si="27"/>
        <v>0</v>
      </c>
      <c r="AH154" s="44">
        <f t="shared" si="27"/>
        <v>0</v>
      </c>
      <c r="AI154" s="44">
        <f t="shared" si="27"/>
        <v>0</v>
      </c>
      <c r="AJ154" s="94">
        <f t="shared" si="27"/>
        <v>0</v>
      </c>
      <c r="AK154" s="140">
        <f t="shared" si="29"/>
        <v>0</v>
      </c>
      <c r="AL154" s="47">
        <v>1</v>
      </c>
      <c r="AM154" s="48">
        <f t="shared" si="36"/>
        <v>0</v>
      </c>
      <c r="AN154" s="48">
        <f t="shared" si="37"/>
        <v>0</v>
      </c>
      <c r="AO154" s="49">
        <f t="shared" si="35"/>
        <v>0</v>
      </c>
      <c r="AP154" s="49">
        <f t="shared" si="30"/>
        <v>0</v>
      </c>
      <c r="AQ154" s="50">
        <f t="shared" si="31"/>
        <v>0</v>
      </c>
      <c r="AR154" s="106"/>
      <c r="AS154" s="107"/>
      <c r="AT154" s="115"/>
      <c r="AU154" s="100"/>
      <c r="AV154" s="109"/>
      <c r="AW154" s="110"/>
      <c r="AX154" s="110"/>
      <c r="AY154" s="107"/>
      <c r="AZ154" s="116"/>
    </row>
    <row r="155" spans="1:52" s="246" customFormat="1" ht="16.5" thickBot="1" x14ac:dyDescent="0.3">
      <c r="A155" s="134"/>
      <c r="B155" s="134" t="s">
        <v>47</v>
      </c>
      <c r="C155" s="139"/>
      <c r="D155" s="26">
        <f t="shared" si="32"/>
        <v>0</v>
      </c>
      <c r="E155" s="27">
        <f t="shared" si="33"/>
        <v>0</v>
      </c>
      <c r="F155" s="29">
        <f t="shared" si="34"/>
        <v>0</v>
      </c>
      <c r="G155" s="30">
        <v>0</v>
      </c>
      <c r="H155" s="31">
        <v>0</v>
      </c>
      <c r="I155" s="32">
        <v>0</v>
      </c>
      <c r="J155" s="136"/>
      <c r="K155" s="33">
        <v>0</v>
      </c>
      <c r="L155" s="34">
        <v>0</v>
      </c>
      <c r="M155" s="34">
        <v>0</v>
      </c>
      <c r="N155" s="138"/>
      <c r="O155" s="34">
        <v>0</v>
      </c>
      <c r="P155" s="34">
        <v>0</v>
      </c>
      <c r="Q155" s="34">
        <v>0</v>
      </c>
      <c r="R155" s="138"/>
      <c r="S155" s="37">
        <v>0</v>
      </c>
      <c r="T155" s="34">
        <v>0</v>
      </c>
      <c r="U155" s="34">
        <v>0</v>
      </c>
      <c r="V155" s="138"/>
      <c r="W155" s="38">
        <v>0</v>
      </c>
      <c r="X155" s="31">
        <v>0</v>
      </c>
      <c r="Y155" s="31">
        <v>0</v>
      </c>
      <c r="Z155" s="105"/>
      <c r="AA155" s="37">
        <v>0</v>
      </c>
      <c r="AB155" s="34">
        <v>0</v>
      </c>
      <c r="AC155" s="34">
        <v>0</v>
      </c>
      <c r="AD155" s="105"/>
      <c r="AE155" s="104"/>
      <c r="AF155" s="105"/>
      <c r="AG155" s="43">
        <f t="shared" si="27"/>
        <v>0</v>
      </c>
      <c r="AH155" s="44">
        <f t="shared" si="27"/>
        <v>0</v>
      </c>
      <c r="AI155" s="44">
        <f t="shared" si="27"/>
        <v>0</v>
      </c>
      <c r="AJ155" s="94">
        <f t="shared" si="27"/>
        <v>0</v>
      </c>
      <c r="AK155" s="140">
        <f t="shared" si="29"/>
        <v>0</v>
      </c>
      <c r="AL155" s="47">
        <v>1</v>
      </c>
      <c r="AM155" s="48">
        <f t="shared" si="36"/>
        <v>0</v>
      </c>
      <c r="AN155" s="48">
        <f t="shared" si="37"/>
        <v>0</v>
      </c>
      <c r="AO155" s="49">
        <f t="shared" si="35"/>
        <v>0</v>
      </c>
      <c r="AP155" s="49">
        <f t="shared" si="30"/>
        <v>0</v>
      </c>
      <c r="AQ155" s="50">
        <f t="shared" si="31"/>
        <v>0</v>
      </c>
      <c r="AR155" s="106"/>
      <c r="AS155" s="107"/>
      <c r="AT155" s="115"/>
      <c r="AU155" s="100"/>
      <c r="AV155" s="109"/>
      <c r="AW155" s="110"/>
      <c r="AX155" s="110"/>
      <c r="AY155" s="107"/>
      <c r="AZ155" s="116"/>
    </row>
    <row r="156" spans="1:52" s="246" customFormat="1" ht="16.5" thickBot="1" x14ac:dyDescent="0.3">
      <c r="A156" s="134"/>
      <c r="B156" s="134" t="s">
        <v>115</v>
      </c>
      <c r="C156" s="139">
        <v>52</v>
      </c>
      <c r="D156" s="26">
        <f t="shared" si="32"/>
        <v>17.333333333333332</v>
      </c>
      <c r="E156" s="27">
        <f t="shared" si="33"/>
        <v>17.333333333333332</v>
      </c>
      <c r="F156" s="29">
        <f t="shared" si="34"/>
        <v>17.333333333333332</v>
      </c>
      <c r="G156" s="30">
        <v>0</v>
      </c>
      <c r="H156" s="31">
        <v>0</v>
      </c>
      <c r="I156" s="32">
        <v>0</v>
      </c>
      <c r="J156" s="136"/>
      <c r="K156" s="33">
        <v>0</v>
      </c>
      <c r="L156" s="34">
        <v>0</v>
      </c>
      <c r="M156" s="34">
        <v>0</v>
      </c>
      <c r="N156" s="138"/>
      <c r="O156" s="34">
        <v>0</v>
      </c>
      <c r="P156" s="34">
        <v>0</v>
      </c>
      <c r="Q156" s="34">
        <v>0</v>
      </c>
      <c r="R156" s="138"/>
      <c r="S156" s="37">
        <v>0</v>
      </c>
      <c r="T156" s="34">
        <v>0</v>
      </c>
      <c r="U156" s="34">
        <v>0</v>
      </c>
      <c r="V156" s="138"/>
      <c r="W156" s="38">
        <v>0</v>
      </c>
      <c r="X156" s="31">
        <v>0</v>
      </c>
      <c r="Y156" s="31">
        <v>0</v>
      </c>
      <c r="Z156" s="105"/>
      <c r="AA156" s="37">
        <v>0</v>
      </c>
      <c r="AB156" s="34">
        <v>0</v>
      </c>
      <c r="AC156" s="34">
        <v>0</v>
      </c>
      <c r="AD156" s="105"/>
      <c r="AE156" s="104"/>
      <c r="AF156" s="105"/>
      <c r="AG156" s="43">
        <f t="shared" si="27"/>
        <v>0</v>
      </c>
      <c r="AH156" s="44">
        <f t="shared" si="27"/>
        <v>0</v>
      </c>
      <c r="AI156" s="44">
        <f t="shared" si="27"/>
        <v>0</v>
      </c>
      <c r="AJ156" s="94">
        <f t="shared" si="27"/>
        <v>0</v>
      </c>
      <c r="AK156" s="140">
        <f t="shared" si="29"/>
        <v>0</v>
      </c>
      <c r="AL156" s="47">
        <v>1</v>
      </c>
      <c r="AM156" s="48">
        <f t="shared" si="36"/>
        <v>0</v>
      </c>
      <c r="AN156" s="48">
        <f t="shared" si="37"/>
        <v>0</v>
      </c>
      <c r="AO156" s="49">
        <f t="shared" si="35"/>
        <v>0</v>
      </c>
      <c r="AP156" s="49">
        <f t="shared" si="30"/>
        <v>0</v>
      </c>
      <c r="AQ156" s="50">
        <f t="shared" si="31"/>
        <v>0</v>
      </c>
      <c r="AR156" s="106"/>
      <c r="AS156" s="107"/>
      <c r="AT156" s="115"/>
      <c r="AU156" s="100"/>
      <c r="AV156" s="109"/>
      <c r="AW156" s="110"/>
      <c r="AX156" s="110"/>
      <c r="AY156" s="107"/>
      <c r="AZ156" s="116"/>
    </row>
    <row r="157" spans="1:52" s="246" customFormat="1" ht="16.5" thickBot="1" x14ac:dyDescent="0.3">
      <c r="A157" s="134">
        <v>360</v>
      </c>
      <c r="B157" s="134" t="s">
        <v>28</v>
      </c>
      <c r="C157" s="139">
        <v>137</v>
      </c>
      <c r="D157" s="26">
        <f t="shared" si="32"/>
        <v>45.666666666666664</v>
      </c>
      <c r="E157" s="27">
        <f t="shared" si="33"/>
        <v>45.666666666666664</v>
      </c>
      <c r="F157" s="29">
        <f t="shared" si="34"/>
        <v>45.666666666666664</v>
      </c>
      <c r="G157" s="30">
        <v>3</v>
      </c>
      <c r="H157" s="31">
        <v>7</v>
      </c>
      <c r="I157" s="32">
        <v>6</v>
      </c>
      <c r="J157" s="136"/>
      <c r="K157" s="33">
        <v>0</v>
      </c>
      <c r="L157" s="34">
        <v>0</v>
      </c>
      <c r="M157" s="34">
        <v>1</v>
      </c>
      <c r="N157" s="138"/>
      <c r="O157" s="34">
        <v>0</v>
      </c>
      <c r="P157" s="34">
        <v>0</v>
      </c>
      <c r="Q157" s="34">
        <v>1</v>
      </c>
      <c r="R157" s="138"/>
      <c r="S157" s="37">
        <v>0</v>
      </c>
      <c r="T157" s="34">
        <v>0</v>
      </c>
      <c r="U157" s="34">
        <v>0</v>
      </c>
      <c r="V157" s="138"/>
      <c r="W157" s="38">
        <v>0</v>
      </c>
      <c r="X157" s="31">
        <v>0</v>
      </c>
      <c r="Y157" s="31">
        <v>0</v>
      </c>
      <c r="Z157" s="105"/>
      <c r="AA157" s="37">
        <v>0</v>
      </c>
      <c r="AB157" s="34">
        <v>0</v>
      </c>
      <c r="AC157" s="34">
        <v>0</v>
      </c>
      <c r="AD157" s="105"/>
      <c r="AE157" s="104"/>
      <c r="AF157" s="105"/>
      <c r="AG157" s="43">
        <f t="shared" si="27"/>
        <v>3</v>
      </c>
      <c r="AH157" s="44">
        <f t="shared" si="27"/>
        <v>7</v>
      </c>
      <c r="AI157" s="44">
        <f t="shared" si="27"/>
        <v>8</v>
      </c>
      <c r="AJ157" s="94">
        <f t="shared" si="27"/>
        <v>0</v>
      </c>
      <c r="AK157" s="140">
        <f t="shared" si="29"/>
        <v>18</v>
      </c>
      <c r="AL157" s="47">
        <v>1.3</v>
      </c>
      <c r="AM157" s="48">
        <f t="shared" si="36"/>
        <v>3.9000000000000004</v>
      </c>
      <c r="AN157" s="48">
        <f t="shared" si="37"/>
        <v>9.1</v>
      </c>
      <c r="AO157" s="49">
        <f t="shared" si="35"/>
        <v>10.4</v>
      </c>
      <c r="AP157" s="49">
        <f t="shared" si="30"/>
        <v>0</v>
      </c>
      <c r="AQ157" s="50">
        <f t="shared" si="31"/>
        <v>1080</v>
      </c>
      <c r="AR157" s="106"/>
      <c r="AS157" s="107"/>
      <c r="AT157" s="115"/>
      <c r="AU157" s="100"/>
      <c r="AV157" s="109"/>
      <c r="AW157" s="110"/>
      <c r="AX157" s="110"/>
      <c r="AY157" s="107"/>
      <c r="AZ157" s="116"/>
    </row>
    <row r="158" spans="1:52" s="246" customFormat="1" ht="16.5" thickBot="1" x14ac:dyDescent="0.3">
      <c r="A158" s="134">
        <v>360</v>
      </c>
      <c r="B158" s="134" t="s">
        <v>31</v>
      </c>
      <c r="C158" s="139">
        <v>135</v>
      </c>
      <c r="D158" s="26">
        <f t="shared" si="32"/>
        <v>45</v>
      </c>
      <c r="E158" s="27">
        <f t="shared" si="33"/>
        <v>45</v>
      </c>
      <c r="F158" s="29">
        <f t="shared" si="34"/>
        <v>45</v>
      </c>
      <c r="G158" s="30">
        <v>0</v>
      </c>
      <c r="H158" s="31">
        <v>0</v>
      </c>
      <c r="I158" s="32">
        <v>0</v>
      </c>
      <c r="J158" s="136"/>
      <c r="K158" s="33">
        <v>0</v>
      </c>
      <c r="L158" s="34">
        <v>0</v>
      </c>
      <c r="M158" s="34">
        <v>0</v>
      </c>
      <c r="N158" s="138"/>
      <c r="O158" s="34">
        <v>0</v>
      </c>
      <c r="P158" s="34">
        <v>0</v>
      </c>
      <c r="Q158" s="34">
        <v>0</v>
      </c>
      <c r="R158" s="138"/>
      <c r="S158" s="37">
        <v>0</v>
      </c>
      <c r="T158" s="34">
        <v>0</v>
      </c>
      <c r="U158" s="34">
        <v>0</v>
      </c>
      <c r="V158" s="138"/>
      <c r="W158" s="38">
        <v>0</v>
      </c>
      <c r="X158" s="31">
        <v>0</v>
      </c>
      <c r="Y158" s="31">
        <v>0</v>
      </c>
      <c r="Z158" s="105"/>
      <c r="AA158" s="37">
        <v>0</v>
      </c>
      <c r="AB158" s="34">
        <v>0</v>
      </c>
      <c r="AC158" s="34">
        <v>0</v>
      </c>
      <c r="AD158" s="105"/>
      <c r="AE158" s="104"/>
      <c r="AF158" s="105"/>
      <c r="AG158" s="43">
        <f t="shared" si="27"/>
        <v>0</v>
      </c>
      <c r="AH158" s="44">
        <f t="shared" si="27"/>
        <v>0</v>
      </c>
      <c r="AI158" s="44">
        <f t="shared" si="27"/>
        <v>0</v>
      </c>
      <c r="AJ158" s="94">
        <f t="shared" si="27"/>
        <v>0</v>
      </c>
      <c r="AK158" s="140">
        <f t="shared" si="29"/>
        <v>0</v>
      </c>
      <c r="AL158" s="47">
        <v>1.3</v>
      </c>
      <c r="AM158" s="48">
        <f t="shared" si="36"/>
        <v>0</v>
      </c>
      <c r="AN158" s="48">
        <f t="shared" si="37"/>
        <v>0</v>
      </c>
      <c r="AO158" s="49">
        <f t="shared" si="35"/>
        <v>0</v>
      </c>
      <c r="AP158" s="49">
        <f t="shared" si="30"/>
        <v>0</v>
      </c>
      <c r="AQ158" s="50">
        <f t="shared" si="31"/>
        <v>0</v>
      </c>
      <c r="AR158" s="106"/>
      <c r="AS158" s="107"/>
      <c r="AT158" s="115"/>
      <c r="AU158" s="100"/>
      <c r="AV158" s="109"/>
      <c r="AW158" s="110"/>
      <c r="AX158" s="110"/>
      <c r="AY158" s="107"/>
      <c r="AZ158" s="116"/>
    </row>
    <row r="159" spans="1:52" s="246" customFormat="1" ht="16.5" thickBot="1" x14ac:dyDescent="0.3">
      <c r="A159" s="134">
        <v>250</v>
      </c>
      <c r="B159" s="134" t="s">
        <v>116</v>
      </c>
      <c r="C159" s="139"/>
      <c r="D159" s="26">
        <f t="shared" si="32"/>
        <v>0</v>
      </c>
      <c r="E159" s="27">
        <f t="shared" si="33"/>
        <v>0</v>
      </c>
      <c r="F159" s="29">
        <f t="shared" si="34"/>
        <v>0</v>
      </c>
      <c r="G159" s="30">
        <v>0</v>
      </c>
      <c r="H159" s="31">
        <v>0</v>
      </c>
      <c r="I159" s="32">
        <v>0</v>
      </c>
      <c r="J159" s="136"/>
      <c r="K159" s="33">
        <v>0</v>
      </c>
      <c r="L159" s="34">
        <v>0</v>
      </c>
      <c r="M159" s="34">
        <v>0</v>
      </c>
      <c r="N159" s="138"/>
      <c r="O159" s="34">
        <v>0</v>
      </c>
      <c r="P159" s="34">
        <v>0</v>
      </c>
      <c r="Q159" s="34">
        <v>0</v>
      </c>
      <c r="R159" s="138"/>
      <c r="S159" s="37">
        <v>0</v>
      </c>
      <c r="T159" s="34">
        <v>0</v>
      </c>
      <c r="U159" s="34">
        <v>0</v>
      </c>
      <c r="V159" s="138"/>
      <c r="W159" s="38">
        <v>0</v>
      </c>
      <c r="X159" s="31">
        <v>0</v>
      </c>
      <c r="Y159" s="31">
        <v>0</v>
      </c>
      <c r="Z159" s="105"/>
      <c r="AA159" s="37">
        <v>0</v>
      </c>
      <c r="AB159" s="34">
        <v>0</v>
      </c>
      <c r="AC159" s="34">
        <v>0</v>
      </c>
      <c r="AD159" s="105"/>
      <c r="AE159" s="104"/>
      <c r="AF159" s="105"/>
      <c r="AG159" s="43">
        <f t="shared" si="27"/>
        <v>0</v>
      </c>
      <c r="AH159" s="44">
        <f t="shared" si="27"/>
        <v>0</v>
      </c>
      <c r="AI159" s="44">
        <f t="shared" si="27"/>
        <v>0</v>
      </c>
      <c r="AJ159" s="94">
        <f t="shared" si="27"/>
        <v>0</v>
      </c>
      <c r="AK159" s="140">
        <f t="shared" si="29"/>
        <v>0</v>
      </c>
      <c r="AL159" s="47">
        <v>0.5</v>
      </c>
      <c r="AM159" s="48">
        <f t="shared" si="36"/>
        <v>0</v>
      </c>
      <c r="AN159" s="48">
        <f t="shared" si="37"/>
        <v>0</v>
      </c>
      <c r="AO159" s="49">
        <f t="shared" si="35"/>
        <v>0</v>
      </c>
      <c r="AP159" s="49">
        <f t="shared" si="30"/>
        <v>0</v>
      </c>
      <c r="AQ159" s="50">
        <f t="shared" si="31"/>
        <v>0</v>
      </c>
      <c r="AR159" s="106"/>
      <c r="AS159" s="107"/>
      <c r="AT159" s="115"/>
      <c r="AU159" s="100"/>
      <c r="AV159" s="109"/>
      <c r="AW159" s="110"/>
      <c r="AX159" s="110"/>
      <c r="AY159" s="107"/>
      <c r="AZ159" s="116"/>
    </row>
    <row r="160" spans="1:52" s="246" customFormat="1" ht="16.5" thickBot="1" x14ac:dyDescent="0.3">
      <c r="A160" s="134">
        <v>250</v>
      </c>
      <c r="B160" s="134" t="s">
        <v>117</v>
      </c>
      <c r="C160" s="139"/>
      <c r="D160" s="26">
        <f t="shared" si="32"/>
        <v>0</v>
      </c>
      <c r="E160" s="27">
        <f t="shared" si="33"/>
        <v>0</v>
      </c>
      <c r="F160" s="29">
        <f t="shared" si="34"/>
        <v>0</v>
      </c>
      <c r="G160" s="30">
        <v>0</v>
      </c>
      <c r="H160" s="31">
        <v>0</v>
      </c>
      <c r="I160" s="32">
        <v>0</v>
      </c>
      <c r="J160" s="136"/>
      <c r="K160" s="33">
        <v>0</v>
      </c>
      <c r="L160" s="34">
        <v>0</v>
      </c>
      <c r="M160" s="34">
        <v>0</v>
      </c>
      <c r="N160" s="138"/>
      <c r="O160" s="34">
        <v>0</v>
      </c>
      <c r="P160" s="34">
        <v>0</v>
      </c>
      <c r="Q160" s="34">
        <v>0</v>
      </c>
      <c r="R160" s="138"/>
      <c r="S160" s="37">
        <v>0</v>
      </c>
      <c r="T160" s="34">
        <v>0</v>
      </c>
      <c r="U160" s="34">
        <v>0</v>
      </c>
      <c r="V160" s="138"/>
      <c r="W160" s="38">
        <v>0</v>
      </c>
      <c r="X160" s="31">
        <v>0</v>
      </c>
      <c r="Y160" s="31">
        <v>0</v>
      </c>
      <c r="Z160" s="105"/>
      <c r="AA160" s="37">
        <v>0</v>
      </c>
      <c r="AB160" s="34">
        <v>0</v>
      </c>
      <c r="AC160" s="34">
        <v>0</v>
      </c>
      <c r="AD160" s="105"/>
      <c r="AE160" s="104"/>
      <c r="AF160" s="105"/>
      <c r="AG160" s="43">
        <f t="shared" si="27"/>
        <v>0</v>
      </c>
      <c r="AH160" s="44">
        <f t="shared" si="27"/>
        <v>0</v>
      </c>
      <c r="AI160" s="44">
        <f t="shared" si="27"/>
        <v>0</v>
      </c>
      <c r="AJ160" s="94">
        <f t="shared" si="27"/>
        <v>0</v>
      </c>
      <c r="AK160" s="140">
        <f t="shared" si="29"/>
        <v>0</v>
      </c>
      <c r="AL160" s="47">
        <v>0.5</v>
      </c>
      <c r="AM160" s="48">
        <f t="shared" si="36"/>
        <v>0</v>
      </c>
      <c r="AN160" s="48">
        <f t="shared" si="37"/>
        <v>0</v>
      </c>
      <c r="AO160" s="49">
        <f t="shared" si="35"/>
        <v>0</v>
      </c>
      <c r="AP160" s="49">
        <f t="shared" si="30"/>
        <v>0</v>
      </c>
      <c r="AQ160" s="50">
        <f t="shared" si="31"/>
        <v>0</v>
      </c>
      <c r="AR160" s="106"/>
      <c r="AS160" s="107"/>
      <c r="AT160" s="115"/>
      <c r="AU160" s="100"/>
      <c r="AV160" s="109"/>
      <c r="AW160" s="110"/>
      <c r="AX160" s="110"/>
      <c r="AY160" s="107"/>
      <c r="AZ160" s="116"/>
    </row>
    <row r="161" spans="1:52" s="246" customFormat="1" ht="16.5" thickBot="1" x14ac:dyDescent="0.3">
      <c r="A161" s="134">
        <v>360</v>
      </c>
      <c r="B161" s="134" t="s">
        <v>29</v>
      </c>
      <c r="C161" s="139">
        <v>137</v>
      </c>
      <c r="D161" s="26">
        <f t="shared" si="32"/>
        <v>45.666666666666664</v>
      </c>
      <c r="E161" s="27">
        <f t="shared" si="33"/>
        <v>45.666666666666664</v>
      </c>
      <c r="F161" s="29">
        <f t="shared" si="34"/>
        <v>45.666666666666664</v>
      </c>
      <c r="G161" s="30">
        <v>0</v>
      </c>
      <c r="H161" s="31">
        <v>0</v>
      </c>
      <c r="I161" s="32">
        <v>0</v>
      </c>
      <c r="J161" s="136"/>
      <c r="K161" s="33">
        <v>0</v>
      </c>
      <c r="L161" s="34">
        <v>0</v>
      </c>
      <c r="M161" s="34">
        <v>0</v>
      </c>
      <c r="N161" s="138"/>
      <c r="O161" s="34">
        <v>0</v>
      </c>
      <c r="P161" s="34">
        <v>0</v>
      </c>
      <c r="Q161" s="34">
        <v>0</v>
      </c>
      <c r="R161" s="138"/>
      <c r="S161" s="37">
        <v>0</v>
      </c>
      <c r="T161" s="34">
        <v>0</v>
      </c>
      <c r="U161" s="34">
        <v>0</v>
      </c>
      <c r="V161" s="138"/>
      <c r="W161" s="38">
        <v>0</v>
      </c>
      <c r="X161" s="31">
        <v>0</v>
      </c>
      <c r="Y161" s="31">
        <v>0</v>
      </c>
      <c r="Z161" s="105"/>
      <c r="AA161" s="37">
        <v>0</v>
      </c>
      <c r="AB161" s="34">
        <v>0</v>
      </c>
      <c r="AC161" s="34">
        <v>0</v>
      </c>
      <c r="AD161" s="105"/>
      <c r="AE161" s="104"/>
      <c r="AF161" s="105"/>
      <c r="AG161" s="43">
        <f t="shared" si="27"/>
        <v>0</v>
      </c>
      <c r="AH161" s="44">
        <f t="shared" si="27"/>
        <v>0</v>
      </c>
      <c r="AI161" s="44">
        <f t="shared" si="27"/>
        <v>0</v>
      </c>
      <c r="AJ161" s="94">
        <f t="shared" si="27"/>
        <v>0</v>
      </c>
      <c r="AK161" s="140">
        <f t="shared" si="29"/>
        <v>0</v>
      </c>
      <c r="AL161" s="47">
        <v>1.3</v>
      </c>
      <c r="AM161" s="48">
        <f t="shared" si="36"/>
        <v>0</v>
      </c>
      <c r="AN161" s="48">
        <f t="shared" si="37"/>
        <v>0</v>
      </c>
      <c r="AO161" s="49">
        <f t="shared" si="35"/>
        <v>0</v>
      </c>
      <c r="AP161" s="49">
        <f t="shared" si="30"/>
        <v>0</v>
      </c>
      <c r="AQ161" s="50">
        <f t="shared" si="31"/>
        <v>0</v>
      </c>
      <c r="AR161" s="106"/>
      <c r="AS161" s="107"/>
      <c r="AT161" s="115"/>
      <c r="AU161" s="100"/>
      <c r="AV161" s="109"/>
      <c r="AW161" s="110"/>
      <c r="AX161" s="110"/>
      <c r="AY161" s="107"/>
      <c r="AZ161" s="116"/>
    </row>
    <row r="162" spans="1:52" s="246" customFormat="1" ht="16.5" thickBot="1" x14ac:dyDescent="0.3">
      <c r="A162" s="134"/>
      <c r="B162" s="134" t="s">
        <v>118</v>
      </c>
      <c r="C162" s="139">
        <v>78</v>
      </c>
      <c r="D162" s="26">
        <f t="shared" si="32"/>
        <v>26</v>
      </c>
      <c r="E162" s="27">
        <f t="shared" si="33"/>
        <v>26</v>
      </c>
      <c r="F162" s="29">
        <f t="shared" si="34"/>
        <v>26</v>
      </c>
      <c r="G162" s="30">
        <v>0</v>
      </c>
      <c r="H162" s="31">
        <v>0</v>
      </c>
      <c r="I162" s="32">
        <v>0</v>
      </c>
      <c r="J162" s="136"/>
      <c r="K162" s="33">
        <v>0</v>
      </c>
      <c r="L162" s="34">
        <v>0</v>
      </c>
      <c r="M162" s="34">
        <v>0</v>
      </c>
      <c r="N162" s="138"/>
      <c r="O162" s="34">
        <v>0</v>
      </c>
      <c r="P162" s="34">
        <v>0</v>
      </c>
      <c r="Q162" s="34">
        <v>0</v>
      </c>
      <c r="R162" s="138"/>
      <c r="S162" s="37">
        <v>0</v>
      </c>
      <c r="T162" s="34">
        <v>0</v>
      </c>
      <c r="U162" s="34">
        <v>0</v>
      </c>
      <c r="V162" s="138"/>
      <c r="W162" s="38">
        <v>0</v>
      </c>
      <c r="X162" s="31">
        <v>0</v>
      </c>
      <c r="Y162" s="31">
        <v>0</v>
      </c>
      <c r="Z162" s="105"/>
      <c r="AA162" s="37">
        <v>0</v>
      </c>
      <c r="AB162" s="34">
        <v>0</v>
      </c>
      <c r="AC162" s="34">
        <v>0</v>
      </c>
      <c r="AD162" s="105"/>
      <c r="AE162" s="104"/>
      <c r="AF162" s="105"/>
      <c r="AG162" s="43">
        <f t="shared" si="27"/>
        <v>0</v>
      </c>
      <c r="AH162" s="44">
        <f t="shared" si="27"/>
        <v>0</v>
      </c>
      <c r="AI162" s="44">
        <f t="shared" si="27"/>
        <v>0</v>
      </c>
      <c r="AJ162" s="94">
        <f t="shared" si="27"/>
        <v>0</v>
      </c>
      <c r="AK162" s="140">
        <f t="shared" si="29"/>
        <v>0</v>
      </c>
      <c r="AL162" s="47">
        <v>1.5</v>
      </c>
      <c r="AM162" s="48">
        <f t="shared" si="36"/>
        <v>0</v>
      </c>
      <c r="AN162" s="48">
        <f t="shared" si="37"/>
        <v>0</v>
      </c>
      <c r="AO162" s="49">
        <f t="shared" si="35"/>
        <v>0</v>
      </c>
      <c r="AP162" s="49">
        <f t="shared" si="30"/>
        <v>0</v>
      </c>
      <c r="AQ162" s="50">
        <f t="shared" si="31"/>
        <v>0</v>
      </c>
      <c r="AR162" s="106"/>
      <c r="AS162" s="107"/>
      <c r="AT162" s="115"/>
      <c r="AU162" s="100"/>
      <c r="AV162" s="109"/>
      <c r="AW162" s="110"/>
      <c r="AX162" s="110"/>
      <c r="AY162" s="107"/>
      <c r="AZ162" s="116"/>
    </row>
    <row r="163" spans="1:52" s="246" customFormat="1" ht="16.5" thickBot="1" x14ac:dyDescent="0.3">
      <c r="A163" s="134"/>
      <c r="B163" s="134" t="s">
        <v>119</v>
      </c>
      <c r="C163" s="139">
        <v>77</v>
      </c>
      <c r="D163" s="26">
        <f t="shared" si="32"/>
        <v>25.666666666666668</v>
      </c>
      <c r="E163" s="27">
        <f t="shared" si="33"/>
        <v>25.666666666666668</v>
      </c>
      <c r="F163" s="29">
        <f t="shared" si="34"/>
        <v>25.666666666666668</v>
      </c>
      <c r="G163" s="30">
        <v>0</v>
      </c>
      <c r="H163" s="31">
        <v>0</v>
      </c>
      <c r="I163" s="32">
        <v>0</v>
      </c>
      <c r="J163" s="136"/>
      <c r="K163" s="33">
        <v>0</v>
      </c>
      <c r="L163" s="34">
        <v>0</v>
      </c>
      <c r="M163" s="34">
        <v>0</v>
      </c>
      <c r="N163" s="138"/>
      <c r="O163" s="34">
        <v>0</v>
      </c>
      <c r="P163" s="34">
        <v>0</v>
      </c>
      <c r="Q163" s="34">
        <v>0</v>
      </c>
      <c r="R163" s="138"/>
      <c r="S163" s="37">
        <v>0</v>
      </c>
      <c r="T163" s="34">
        <v>0</v>
      </c>
      <c r="U163" s="34">
        <v>0</v>
      </c>
      <c r="V163" s="138"/>
      <c r="W163" s="38">
        <v>0</v>
      </c>
      <c r="X163" s="31">
        <v>0</v>
      </c>
      <c r="Y163" s="31">
        <v>0</v>
      </c>
      <c r="Z163" s="105"/>
      <c r="AA163" s="37">
        <v>0</v>
      </c>
      <c r="AB163" s="34">
        <v>0</v>
      </c>
      <c r="AC163" s="34">
        <v>0</v>
      </c>
      <c r="AD163" s="105"/>
      <c r="AE163" s="104"/>
      <c r="AF163" s="105"/>
      <c r="AG163" s="43">
        <f t="shared" si="27"/>
        <v>0</v>
      </c>
      <c r="AH163" s="44">
        <f t="shared" si="27"/>
        <v>0</v>
      </c>
      <c r="AI163" s="44">
        <f t="shared" si="27"/>
        <v>0</v>
      </c>
      <c r="AJ163" s="94">
        <f t="shared" ref="AJ163:AJ181" si="38">J163+N163+R163+V163+Z163+AD163</f>
        <v>0</v>
      </c>
      <c r="AK163" s="140">
        <f t="shared" si="29"/>
        <v>0</v>
      </c>
      <c r="AL163" s="47">
        <v>1.5</v>
      </c>
      <c r="AM163" s="48">
        <f t="shared" si="36"/>
        <v>0</v>
      </c>
      <c r="AN163" s="48">
        <f t="shared" si="37"/>
        <v>0</v>
      </c>
      <c r="AO163" s="49">
        <f t="shared" si="35"/>
        <v>0</v>
      </c>
      <c r="AP163" s="49">
        <f t="shared" si="30"/>
        <v>0</v>
      </c>
      <c r="AQ163" s="50">
        <f t="shared" si="31"/>
        <v>0</v>
      </c>
      <c r="AR163" s="106"/>
      <c r="AS163" s="107"/>
      <c r="AT163" s="115"/>
      <c r="AU163" s="100"/>
      <c r="AV163" s="109"/>
      <c r="AW163" s="110"/>
      <c r="AX163" s="110"/>
      <c r="AY163" s="107"/>
      <c r="AZ163" s="116"/>
    </row>
    <row r="164" spans="1:52" s="246" customFormat="1" ht="16.5" thickBot="1" x14ac:dyDescent="0.3">
      <c r="A164" s="134"/>
      <c r="B164" s="134" t="s">
        <v>120</v>
      </c>
      <c r="C164" s="139">
        <v>103</v>
      </c>
      <c r="D164" s="26">
        <f t="shared" si="32"/>
        <v>34.333333333333336</v>
      </c>
      <c r="E164" s="27">
        <f t="shared" si="33"/>
        <v>34.333333333333336</v>
      </c>
      <c r="F164" s="29">
        <f t="shared" si="34"/>
        <v>34.333333333333336</v>
      </c>
      <c r="G164" s="30">
        <v>0</v>
      </c>
      <c r="H164" s="31">
        <v>0</v>
      </c>
      <c r="I164" s="32">
        <v>0</v>
      </c>
      <c r="J164" s="136"/>
      <c r="K164" s="33">
        <v>0</v>
      </c>
      <c r="L164" s="34">
        <v>0</v>
      </c>
      <c r="M164" s="34">
        <v>0</v>
      </c>
      <c r="N164" s="138"/>
      <c r="O164" s="34">
        <v>0</v>
      </c>
      <c r="P164" s="34">
        <v>0</v>
      </c>
      <c r="Q164" s="34">
        <v>0</v>
      </c>
      <c r="R164" s="138"/>
      <c r="S164" s="37">
        <v>0</v>
      </c>
      <c r="T164" s="34">
        <v>0</v>
      </c>
      <c r="U164" s="34">
        <v>0</v>
      </c>
      <c r="V164" s="138"/>
      <c r="W164" s="38">
        <v>0</v>
      </c>
      <c r="X164" s="31">
        <v>0</v>
      </c>
      <c r="Y164" s="31">
        <v>0</v>
      </c>
      <c r="Z164" s="105"/>
      <c r="AA164" s="37">
        <v>0</v>
      </c>
      <c r="AB164" s="34">
        <v>0</v>
      </c>
      <c r="AC164" s="34">
        <v>0</v>
      </c>
      <c r="AD164" s="105"/>
      <c r="AE164" s="104"/>
      <c r="AF164" s="105"/>
      <c r="AG164" s="43">
        <f t="shared" ref="AG164:AI183" si="39">G164+K164+O164+S164+W164+AA164</f>
        <v>0</v>
      </c>
      <c r="AH164" s="44">
        <f t="shared" si="39"/>
        <v>0</v>
      </c>
      <c r="AI164" s="44">
        <f t="shared" si="39"/>
        <v>0</v>
      </c>
      <c r="AJ164" s="94">
        <f t="shared" si="38"/>
        <v>0</v>
      </c>
      <c r="AK164" s="140">
        <f t="shared" si="29"/>
        <v>0</v>
      </c>
      <c r="AL164" s="47">
        <v>0.4</v>
      </c>
      <c r="AM164" s="48">
        <f t="shared" si="36"/>
        <v>0</v>
      </c>
      <c r="AN164" s="48">
        <f t="shared" si="37"/>
        <v>0</v>
      </c>
      <c r="AO164" s="49">
        <f t="shared" si="35"/>
        <v>0</v>
      </c>
      <c r="AP164" s="49">
        <f t="shared" si="30"/>
        <v>0</v>
      </c>
      <c r="AQ164" s="50">
        <f t="shared" si="31"/>
        <v>0</v>
      </c>
      <c r="AR164" s="106"/>
      <c r="AS164" s="107"/>
      <c r="AT164" s="115"/>
      <c r="AU164" s="100"/>
      <c r="AV164" s="109"/>
      <c r="AW164" s="110"/>
      <c r="AX164" s="110"/>
      <c r="AY164" s="107"/>
      <c r="AZ164" s="116"/>
    </row>
    <row r="165" spans="1:52" s="246" customFormat="1" ht="16.5" thickBot="1" x14ac:dyDescent="0.3">
      <c r="A165" s="134"/>
      <c r="B165" s="134" t="s">
        <v>121</v>
      </c>
      <c r="C165" s="139">
        <v>155</v>
      </c>
      <c r="D165" s="26">
        <f t="shared" si="32"/>
        <v>51.666666666666664</v>
      </c>
      <c r="E165" s="27">
        <f t="shared" si="33"/>
        <v>51.666666666666664</v>
      </c>
      <c r="F165" s="29">
        <f t="shared" si="34"/>
        <v>51.666666666666664</v>
      </c>
      <c r="G165" s="30">
        <v>1</v>
      </c>
      <c r="H165" s="31">
        <v>0</v>
      </c>
      <c r="I165" s="32">
        <v>0</v>
      </c>
      <c r="J165" s="136"/>
      <c r="K165" s="33">
        <v>0</v>
      </c>
      <c r="L165" s="34">
        <v>0</v>
      </c>
      <c r="M165" s="34">
        <v>0</v>
      </c>
      <c r="N165" s="138"/>
      <c r="O165" s="34">
        <v>0</v>
      </c>
      <c r="P165" s="34">
        <v>0</v>
      </c>
      <c r="Q165" s="34">
        <v>0</v>
      </c>
      <c r="R165" s="138"/>
      <c r="S165" s="37">
        <v>0</v>
      </c>
      <c r="T165" s="34">
        <v>0</v>
      </c>
      <c r="U165" s="34">
        <v>3</v>
      </c>
      <c r="V165" s="138"/>
      <c r="W165" s="38">
        <v>0</v>
      </c>
      <c r="X165" s="31">
        <v>0</v>
      </c>
      <c r="Y165" s="31">
        <v>0</v>
      </c>
      <c r="Z165" s="105"/>
      <c r="AA165" s="37">
        <v>0</v>
      </c>
      <c r="AB165" s="34">
        <v>0</v>
      </c>
      <c r="AC165" s="34">
        <v>0</v>
      </c>
      <c r="AD165" s="105"/>
      <c r="AE165" s="104"/>
      <c r="AF165" s="105"/>
      <c r="AG165" s="43">
        <f t="shared" si="39"/>
        <v>1</v>
      </c>
      <c r="AH165" s="44">
        <f t="shared" si="39"/>
        <v>0</v>
      </c>
      <c r="AI165" s="44">
        <f t="shared" si="39"/>
        <v>3</v>
      </c>
      <c r="AJ165" s="94">
        <f t="shared" si="38"/>
        <v>0</v>
      </c>
      <c r="AK165" s="140">
        <f t="shared" si="29"/>
        <v>4</v>
      </c>
      <c r="AL165" s="47">
        <v>1.5</v>
      </c>
      <c r="AM165" s="48">
        <f t="shared" si="36"/>
        <v>1.5</v>
      </c>
      <c r="AN165" s="48">
        <f t="shared" si="37"/>
        <v>0</v>
      </c>
      <c r="AO165" s="49">
        <f t="shared" si="35"/>
        <v>4.5</v>
      </c>
      <c r="AP165" s="49">
        <f t="shared" si="30"/>
        <v>0</v>
      </c>
      <c r="AQ165" s="50">
        <f t="shared" si="31"/>
        <v>240</v>
      </c>
      <c r="AR165" s="106"/>
      <c r="AS165" s="107"/>
      <c r="AT165" s="115"/>
      <c r="AU165" s="100"/>
      <c r="AV165" s="109"/>
      <c r="AW165" s="110"/>
      <c r="AX165" s="110"/>
      <c r="AY165" s="107"/>
      <c r="AZ165" s="116"/>
    </row>
    <row r="166" spans="1:52" s="246" customFormat="1" ht="16.5" thickBot="1" x14ac:dyDescent="0.3">
      <c r="A166" s="134">
        <v>300</v>
      </c>
      <c r="B166" s="134" t="s">
        <v>25</v>
      </c>
      <c r="C166" s="139"/>
      <c r="D166" s="26">
        <f t="shared" si="32"/>
        <v>0</v>
      </c>
      <c r="E166" s="27">
        <f t="shared" si="33"/>
        <v>0</v>
      </c>
      <c r="F166" s="29">
        <f t="shared" si="34"/>
        <v>0</v>
      </c>
      <c r="G166" s="30">
        <v>0</v>
      </c>
      <c r="H166" s="31">
        <v>0</v>
      </c>
      <c r="I166" s="32">
        <v>0</v>
      </c>
      <c r="J166" s="136"/>
      <c r="K166" s="33">
        <v>0</v>
      </c>
      <c r="L166" s="34">
        <v>0</v>
      </c>
      <c r="M166" s="34">
        <v>0</v>
      </c>
      <c r="N166" s="138"/>
      <c r="O166" s="34">
        <v>0</v>
      </c>
      <c r="P166" s="34">
        <v>0</v>
      </c>
      <c r="Q166" s="34">
        <v>0</v>
      </c>
      <c r="R166" s="138"/>
      <c r="S166" s="37">
        <v>0</v>
      </c>
      <c r="T166" s="34">
        <v>0</v>
      </c>
      <c r="U166" s="34">
        <v>0</v>
      </c>
      <c r="V166" s="138"/>
      <c r="W166" s="38">
        <v>0</v>
      </c>
      <c r="X166" s="31">
        <v>0</v>
      </c>
      <c r="Y166" s="31">
        <v>0</v>
      </c>
      <c r="Z166" s="105"/>
      <c r="AA166" s="37">
        <v>0</v>
      </c>
      <c r="AB166" s="34">
        <v>0</v>
      </c>
      <c r="AC166" s="34">
        <v>0</v>
      </c>
      <c r="AD166" s="105"/>
      <c r="AE166" s="104"/>
      <c r="AF166" s="105"/>
      <c r="AG166" s="43">
        <f t="shared" si="39"/>
        <v>0</v>
      </c>
      <c r="AH166" s="44">
        <f t="shared" si="39"/>
        <v>0</v>
      </c>
      <c r="AI166" s="44">
        <f t="shared" si="39"/>
        <v>0</v>
      </c>
      <c r="AJ166" s="94">
        <f t="shared" si="38"/>
        <v>0</v>
      </c>
      <c r="AK166" s="140">
        <f t="shared" si="29"/>
        <v>0</v>
      </c>
      <c r="AL166" s="47">
        <v>1.3</v>
      </c>
      <c r="AM166" s="48">
        <f t="shared" si="36"/>
        <v>0</v>
      </c>
      <c r="AN166" s="48">
        <f t="shared" si="37"/>
        <v>0</v>
      </c>
      <c r="AO166" s="49">
        <f t="shared" si="35"/>
        <v>0</v>
      </c>
      <c r="AP166" s="49">
        <f t="shared" si="30"/>
        <v>0</v>
      </c>
      <c r="AQ166" s="50">
        <f t="shared" si="31"/>
        <v>0</v>
      </c>
      <c r="AR166" s="106"/>
      <c r="AS166" s="107"/>
      <c r="AT166" s="115"/>
      <c r="AU166" s="100"/>
      <c r="AV166" s="109"/>
      <c r="AW166" s="110"/>
      <c r="AX166" s="110"/>
      <c r="AY166" s="107"/>
      <c r="AZ166" s="116"/>
    </row>
    <row r="167" spans="1:52" s="246" customFormat="1" ht="16.5" thickBot="1" x14ac:dyDescent="0.3">
      <c r="A167" s="134"/>
      <c r="B167" s="134" t="s">
        <v>188</v>
      </c>
      <c r="C167" s="139">
        <v>155</v>
      </c>
      <c r="D167" s="26">
        <f t="shared" si="32"/>
        <v>51.666666666666664</v>
      </c>
      <c r="E167" s="27">
        <f t="shared" si="33"/>
        <v>51.666666666666664</v>
      </c>
      <c r="F167" s="29">
        <f t="shared" si="34"/>
        <v>51.666666666666664</v>
      </c>
      <c r="G167" s="30">
        <v>0</v>
      </c>
      <c r="H167" s="31">
        <v>0</v>
      </c>
      <c r="I167" s="32">
        <v>0</v>
      </c>
      <c r="J167" s="136"/>
      <c r="K167" s="33">
        <v>0</v>
      </c>
      <c r="L167" s="34">
        <v>0</v>
      </c>
      <c r="M167" s="34">
        <v>0</v>
      </c>
      <c r="N167" s="138"/>
      <c r="O167" s="34">
        <v>0</v>
      </c>
      <c r="P167" s="34">
        <v>0</v>
      </c>
      <c r="Q167" s="34">
        <v>0</v>
      </c>
      <c r="R167" s="138"/>
      <c r="S167" s="37">
        <v>0</v>
      </c>
      <c r="T167" s="34">
        <v>0</v>
      </c>
      <c r="U167" s="34">
        <v>0</v>
      </c>
      <c r="V167" s="138"/>
      <c r="W167" s="38">
        <v>0</v>
      </c>
      <c r="X167" s="31">
        <v>0</v>
      </c>
      <c r="Y167" s="31">
        <v>0</v>
      </c>
      <c r="Z167" s="105"/>
      <c r="AA167" s="37">
        <v>0</v>
      </c>
      <c r="AB167" s="34">
        <v>0</v>
      </c>
      <c r="AC167" s="34">
        <v>0</v>
      </c>
      <c r="AD167" s="105"/>
      <c r="AE167" s="104"/>
      <c r="AF167" s="105"/>
      <c r="AG167" s="43">
        <f t="shared" si="39"/>
        <v>0</v>
      </c>
      <c r="AH167" s="44">
        <f t="shared" si="39"/>
        <v>0</v>
      </c>
      <c r="AI167" s="44">
        <f t="shared" si="39"/>
        <v>0</v>
      </c>
      <c r="AJ167" s="94">
        <f t="shared" si="38"/>
        <v>0</v>
      </c>
      <c r="AK167" s="140">
        <f t="shared" si="29"/>
        <v>0</v>
      </c>
      <c r="AL167" s="47">
        <v>0.5</v>
      </c>
      <c r="AM167" s="48">
        <f t="shared" si="36"/>
        <v>0</v>
      </c>
      <c r="AN167" s="48">
        <f t="shared" si="37"/>
        <v>0</v>
      </c>
      <c r="AO167" s="49">
        <f t="shared" si="35"/>
        <v>0</v>
      </c>
      <c r="AP167" s="49">
        <f t="shared" si="30"/>
        <v>0</v>
      </c>
      <c r="AQ167" s="50">
        <f t="shared" si="31"/>
        <v>0</v>
      </c>
      <c r="AR167" s="106"/>
      <c r="AS167" s="107"/>
      <c r="AT167" s="115"/>
      <c r="AU167" s="100"/>
      <c r="AV167" s="109"/>
      <c r="AW167" s="110"/>
      <c r="AX167" s="110"/>
      <c r="AY167" s="107"/>
      <c r="AZ167" s="116"/>
    </row>
    <row r="168" spans="1:52" s="246" customFormat="1" ht="16.5" thickBot="1" x14ac:dyDescent="0.3">
      <c r="A168" s="134"/>
      <c r="B168" s="134" t="s">
        <v>187</v>
      </c>
      <c r="C168" s="139"/>
      <c r="D168" s="26"/>
      <c r="E168" s="27"/>
      <c r="F168" s="29"/>
      <c r="G168" s="30">
        <v>0</v>
      </c>
      <c r="H168" s="31">
        <v>0</v>
      </c>
      <c r="I168" s="32">
        <v>0</v>
      </c>
      <c r="J168" s="136"/>
      <c r="K168" s="33">
        <v>0</v>
      </c>
      <c r="L168" s="34">
        <v>0</v>
      </c>
      <c r="M168" s="34">
        <v>0</v>
      </c>
      <c r="N168" s="138"/>
      <c r="O168" s="34">
        <v>0</v>
      </c>
      <c r="P168" s="34">
        <v>0</v>
      </c>
      <c r="Q168" s="34">
        <v>0</v>
      </c>
      <c r="R168" s="138"/>
      <c r="S168" s="37">
        <v>0</v>
      </c>
      <c r="T168" s="34">
        <v>0</v>
      </c>
      <c r="U168" s="34">
        <v>1</v>
      </c>
      <c r="V168" s="138"/>
      <c r="W168" s="38">
        <v>0</v>
      </c>
      <c r="X168" s="31">
        <v>0</v>
      </c>
      <c r="Y168" s="31">
        <v>1</v>
      </c>
      <c r="Z168" s="105"/>
      <c r="AA168" s="37">
        <v>0</v>
      </c>
      <c r="AB168" s="34">
        <v>0</v>
      </c>
      <c r="AC168" s="34">
        <v>0</v>
      </c>
      <c r="AD168" s="105"/>
      <c r="AE168" s="104"/>
      <c r="AF168" s="105"/>
      <c r="AG168" s="43"/>
      <c r="AH168" s="44"/>
      <c r="AI168" s="44"/>
      <c r="AJ168" s="94"/>
      <c r="AK168" s="140"/>
      <c r="AL168" s="47"/>
      <c r="AM168" s="48"/>
      <c r="AN168" s="48"/>
      <c r="AO168" s="49"/>
      <c r="AP168" s="49"/>
      <c r="AQ168" s="50"/>
      <c r="AR168" s="106"/>
      <c r="AS168" s="107"/>
      <c r="AT168" s="115"/>
      <c r="AU168" s="100"/>
      <c r="AV168" s="109"/>
      <c r="AW168" s="110"/>
      <c r="AX168" s="110"/>
      <c r="AY168" s="107"/>
      <c r="AZ168" s="116"/>
    </row>
    <row r="169" spans="1:52" s="246" customFormat="1" ht="16.5" thickBot="1" x14ac:dyDescent="0.3">
      <c r="A169" s="134">
        <v>360</v>
      </c>
      <c r="B169" s="134" t="s">
        <v>88</v>
      </c>
      <c r="C169" s="139">
        <v>948</v>
      </c>
      <c r="D169" s="26">
        <f t="shared" si="32"/>
        <v>316</v>
      </c>
      <c r="E169" s="27">
        <f t="shared" si="33"/>
        <v>316</v>
      </c>
      <c r="F169" s="29">
        <f t="shared" si="34"/>
        <v>316</v>
      </c>
      <c r="G169" s="30">
        <v>3</v>
      </c>
      <c r="H169" s="31">
        <v>2</v>
      </c>
      <c r="I169" s="32">
        <v>34</v>
      </c>
      <c r="J169" s="136"/>
      <c r="K169" s="33">
        <v>3</v>
      </c>
      <c r="L169" s="34">
        <v>8</v>
      </c>
      <c r="M169" s="34">
        <v>9</v>
      </c>
      <c r="N169" s="138"/>
      <c r="O169" s="34">
        <v>8</v>
      </c>
      <c r="P169" s="34">
        <v>2</v>
      </c>
      <c r="Q169" s="34">
        <v>20</v>
      </c>
      <c r="R169" s="138"/>
      <c r="S169" s="37">
        <v>7</v>
      </c>
      <c r="T169" s="34">
        <v>2</v>
      </c>
      <c r="U169" s="34">
        <v>3</v>
      </c>
      <c r="V169" s="138"/>
      <c r="W169" s="38">
        <v>24</v>
      </c>
      <c r="X169" s="31">
        <v>0</v>
      </c>
      <c r="Y169" s="31">
        <v>30</v>
      </c>
      <c r="Z169" s="105"/>
      <c r="AA169" s="37">
        <v>2</v>
      </c>
      <c r="AB169" s="34">
        <v>0</v>
      </c>
      <c r="AC169" s="34">
        <v>33</v>
      </c>
      <c r="AD169" s="105"/>
      <c r="AE169" s="104"/>
      <c r="AF169" s="105"/>
      <c r="AG169" s="43">
        <f t="shared" si="39"/>
        <v>47</v>
      </c>
      <c r="AH169" s="44">
        <f t="shared" si="39"/>
        <v>14</v>
      </c>
      <c r="AI169" s="44">
        <f t="shared" si="39"/>
        <v>129</v>
      </c>
      <c r="AJ169" s="94">
        <f t="shared" si="38"/>
        <v>0</v>
      </c>
      <c r="AK169" s="140">
        <f t="shared" si="29"/>
        <v>190</v>
      </c>
      <c r="AL169" s="47">
        <v>1.3</v>
      </c>
      <c r="AM169" s="48">
        <f t="shared" si="36"/>
        <v>61.1</v>
      </c>
      <c r="AN169" s="48">
        <f t="shared" si="37"/>
        <v>18.2</v>
      </c>
      <c r="AO169" s="49">
        <f t="shared" si="35"/>
        <v>167.70000000000002</v>
      </c>
      <c r="AP169" s="49">
        <f t="shared" si="30"/>
        <v>0</v>
      </c>
      <c r="AQ169" s="50">
        <f t="shared" si="31"/>
        <v>11400</v>
      </c>
      <c r="AR169" s="106"/>
      <c r="AS169" s="107"/>
      <c r="AT169" s="115"/>
      <c r="AU169" s="100"/>
      <c r="AV169" s="109"/>
      <c r="AW169" s="110"/>
      <c r="AX169" s="110"/>
      <c r="AY169" s="107"/>
      <c r="AZ169" s="116"/>
    </row>
    <row r="170" spans="1:52" s="246" customFormat="1" ht="16.5" thickBot="1" x14ac:dyDescent="0.3">
      <c r="A170" s="134">
        <v>360</v>
      </c>
      <c r="B170" s="134" t="s">
        <v>122</v>
      </c>
      <c r="C170" s="139">
        <v>655</v>
      </c>
      <c r="D170" s="26">
        <f t="shared" si="32"/>
        <v>218.33333333333334</v>
      </c>
      <c r="E170" s="27">
        <f t="shared" si="33"/>
        <v>218.33333333333334</v>
      </c>
      <c r="F170" s="29">
        <f t="shared" si="34"/>
        <v>218.33333333333334</v>
      </c>
      <c r="G170" s="30">
        <v>14</v>
      </c>
      <c r="H170" s="31">
        <v>10</v>
      </c>
      <c r="I170" s="32">
        <v>13</v>
      </c>
      <c r="J170" s="136"/>
      <c r="K170" s="33">
        <v>1</v>
      </c>
      <c r="L170" s="34">
        <v>8</v>
      </c>
      <c r="M170" s="34">
        <v>0</v>
      </c>
      <c r="N170" s="138"/>
      <c r="O170" s="34">
        <v>0</v>
      </c>
      <c r="P170" s="34">
        <v>2</v>
      </c>
      <c r="Q170" s="34">
        <v>0</v>
      </c>
      <c r="R170" s="138"/>
      <c r="S170" s="37">
        <v>30</v>
      </c>
      <c r="T170" s="34">
        <v>25</v>
      </c>
      <c r="U170" s="34">
        <v>26</v>
      </c>
      <c r="V170" s="138"/>
      <c r="W170" s="38">
        <v>10</v>
      </c>
      <c r="X170" s="31">
        <v>5</v>
      </c>
      <c r="Y170" s="31">
        <v>4</v>
      </c>
      <c r="Z170" s="105"/>
      <c r="AA170" s="37">
        <v>24</v>
      </c>
      <c r="AB170" s="34">
        <v>25</v>
      </c>
      <c r="AC170" s="34">
        <v>14</v>
      </c>
      <c r="AD170" s="105"/>
      <c r="AE170" s="104"/>
      <c r="AF170" s="105"/>
      <c r="AG170" s="43">
        <f t="shared" si="39"/>
        <v>79</v>
      </c>
      <c r="AH170" s="44">
        <f t="shared" si="39"/>
        <v>75</v>
      </c>
      <c r="AI170" s="44">
        <f t="shared" si="39"/>
        <v>57</v>
      </c>
      <c r="AJ170" s="94">
        <f t="shared" si="38"/>
        <v>0</v>
      </c>
      <c r="AK170" s="140">
        <f t="shared" si="29"/>
        <v>211</v>
      </c>
      <c r="AL170" s="47">
        <v>0.75</v>
      </c>
      <c r="AM170" s="48">
        <f t="shared" si="36"/>
        <v>59.25</v>
      </c>
      <c r="AN170" s="48">
        <f t="shared" si="37"/>
        <v>56.25</v>
      </c>
      <c r="AO170" s="49">
        <f t="shared" si="35"/>
        <v>42.75</v>
      </c>
      <c r="AP170" s="49">
        <f t="shared" si="30"/>
        <v>0</v>
      </c>
      <c r="AQ170" s="71"/>
      <c r="AR170" s="106"/>
      <c r="AS170" s="107"/>
      <c r="AT170" s="115"/>
      <c r="AU170" s="100"/>
      <c r="AV170" s="109"/>
      <c r="AW170" s="110"/>
      <c r="AX170" s="110"/>
      <c r="AY170" s="107"/>
      <c r="AZ170" s="116"/>
    </row>
    <row r="171" spans="1:52" s="246" customFormat="1" ht="16.5" thickBot="1" x14ac:dyDescent="0.3">
      <c r="A171" s="134">
        <v>360</v>
      </c>
      <c r="B171" s="134" t="s">
        <v>123</v>
      </c>
      <c r="C171" s="139">
        <v>330</v>
      </c>
      <c r="D171" s="26">
        <f t="shared" si="32"/>
        <v>110</v>
      </c>
      <c r="E171" s="27">
        <f t="shared" si="33"/>
        <v>110</v>
      </c>
      <c r="F171" s="29">
        <f t="shared" si="34"/>
        <v>110</v>
      </c>
      <c r="G171" s="30">
        <v>16</v>
      </c>
      <c r="H171" s="31">
        <v>19</v>
      </c>
      <c r="I171" s="32">
        <v>14</v>
      </c>
      <c r="J171" s="136"/>
      <c r="K171" s="33">
        <v>17</v>
      </c>
      <c r="L171" s="34">
        <v>10</v>
      </c>
      <c r="M171" s="34">
        <v>17</v>
      </c>
      <c r="N171" s="138"/>
      <c r="O171" s="34">
        <v>27</v>
      </c>
      <c r="P171" s="34">
        <v>21</v>
      </c>
      <c r="Q171" s="34">
        <v>13</v>
      </c>
      <c r="R171" s="138"/>
      <c r="S171" s="37">
        <v>30</v>
      </c>
      <c r="T171" s="34">
        <v>40</v>
      </c>
      <c r="U171" s="34">
        <v>20</v>
      </c>
      <c r="V171" s="138"/>
      <c r="W171" s="38">
        <v>9</v>
      </c>
      <c r="X171" s="31">
        <v>8</v>
      </c>
      <c r="Y171" s="31">
        <v>2</v>
      </c>
      <c r="Z171" s="105"/>
      <c r="AA171" s="37">
        <v>23</v>
      </c>
      <c r="AB171" s="34">
        <v>25</v>
      </c>
      <c r="AC171" s="34">
        <v>26</v>
      </c>
      <c r="AD171" s="105"/>
      <c r="AE171" s="104"/>
      <c r="AF171" s="105"/>
      <c r="AG171" s="43">
        <f t="shared" si="39"/>
        <v>122</v>
      </c>
      <c r="AH171" s="44">
        <f t="shared" si="39"/>
        <v>123</v>
      </c>
      <c r="AI171" s="44">
        <f t="shared" si="39"/>
        <v>92</v>
      </c>
      <c r="AJ171" s="94">
        <f t="shared" si="38"/>
        <v>0</v>
      </c>
      <c r="AK171" s="140">
        <f t="shared" si="29"/>
        <v>337</v>
      </c>
      <c r="AL171" s="47">
        <v>0.75</v>
      </c>
      <c r="AM171" s="48">
        <f t="shared" si="36"/>
        <v>91.5</v>
      </c>
      <c r="AN171" s="48">
        <f t="shared" si="37"/>
        <v>92.25</v>
      </c>
      <c r="AO171" s="49">
        <f t="shared" si="35"/>
        <v>69</v>
      </c>
      <c r="AP171" s="49">
        <f t="shared" si="30"/>
        <v>0</v>
      </c>
      <c r="AQ171" s="71"/>
      <c r="AR171" s="106"/>
      <c r="AS171" s="107"/>
      <c r="AT171" s="115"/>
      <c r="AU171" s="100"/>
      <c r="AV171" s="109"/>
      <c r="AW171" s="110"/>
      <c r="AX171" s="110"/>
      <c r="AY171" s="107"/>
      <c r="AZ171" s="116"/>
    </row>
    <row r="172" spans="1:52" s="246" customFormat="1" ht="16.5" thickBot="1" x14ac:dyDescent="0.3">
      <c r="A172" s="134">
        <v>360</v>
      </c>
      <c r="B172" s="134" t="s">
        <v>124</v>
      </c>
      <c r="C172" s="139">
        <v>2313</v>
      </c>
      <c r="D172" s="26">
        <f t="shared" si="32"/>
        <v>771</v>
      </c>
      <c r="E172" s="27">
        <f t="shared" si="33"/>
        <v>771</v>
      </c>
      <c r="F172" s="29">
        <f t="shared" si="34"/>
        <v>771</v>
      </c>
      <c r="G172" s="30">
        <v>14</v>
      </c>
      <c r="H172" s="31">
        <v>20</v>
      </c>
      <c r="I172" s="32">
        <v>18</v>
      </c>
      <c r="J172" s="136"/>
      <c r="K172" s="33">
        <v>26</v>
      </c>
      <c r="L172" s="34">
        <v>9</v>
      </c>
      <c r="M172" s="34">
        <v>26</v>
      </c>
      <c r="N172" s="138"/>
      <c r="O172" s="34">
        <v>27</v>
      </c>
      <c r="P172" s="34">
        <v>19</v>
      </c>
      <c r="Q172" s="34">
        <v>4</v>
      </c>
      <c r="R172" s="138"/>
      <c r="S172" s="37">
        <v>30</v>
      </c>
      <c r="T172" s="34">
        <v>45</v>
      </c>
      <c r="U172" s="34">
        <v>29</v>
      </c>
      <c r="V172" s="138"/>
      <c r="W172" s="38">
        <v>8</v>
      </c>
      <c r="X172" s="31">
        <v>9</v>
      </c>
      <c r="Y172" s="31">
        <v>0</v>
      </c>
      <c r="Z172" s="105"/>
      <c r="AA172" s="37">
        <v>27</v>
      </c>
      <c r="AB172" s="34">
        <v>25</v>
      </c>
      <c r="AC172" s="34">
        <v>26</v>
      </c>
      <c r="AD172" s="105"/>
      <c r="AE172" s="104"/>
      <c r="AF172" s="105"/>
      <c r="AG172" s="43">
        <f t="shared" si="39"/>
        <v>132</v>
      </c>
      <c r="AH172" s="44">
        <f t="shared" si="39"/>
        <v>127</v>
      </c>
      <c r="AI172" s="44">
        <f t="shared" si="39"/>
        <v>103</v>
      </c>
      <c r="AJ172" s="94">
        <f t="shared" si="38"/>
        <v>0</v>
      </c>
      <c r="AK172" s="140">
        <f t="shared" si="29"/>
        <v>362</v>
      </c>
      <c r="AL172" s="47">
        <v>0.75</v>
      </c>
      <c r="AM172" s="48">
        <f t="shared" si="36"/>
        <v>99</v>
      </c>
      <c r="AN172" s="48">
        <f t="shared" si="37"/>
        <v>95.25</v>
      </c>
      <c r="AO172" s="49">
        <f t="shared" si="35"/>
        <v>77.25</v>
      </c>
      <c r="AP172" s="49">
        <f t="shared" si="30"/>
        <v>0</v>
      </c>
      <c r="AQ172" s="71"/>
      <c r="AR172" s="106"/>
      <c r="AS172" s="107"/>
      <c r="AT172" s="115"/>
      <c r="AU172" s="100"/>
      <c r="AV172" s="109"/>
      <c r="AW172" s="110"/>
      <c r="AX172" s="110"/>
      <c r="AY172" s="107"/>
      <c r="AZ172" s="116"/>
    </row>
    <row r="173" spans="1:52" s="246" customFormat="1" ht="16.5" thickBot="1" x14ac:dyDescent="0.3">
      <c r="A173" s="134">
        <v>360</v>
      </c>
      <c r="B173" s="134" t="s">
        <v>125</v>
      </c>
      <c r="C173" s="139">
        <v>330</v>
      </c>
      <c r="D173" s="26">
        <f t="shared" si="32"/>
        <v>110</v>
      </c>
      <c r="E173" s="27">
        <f t="shared" si="33"/>
        <v>110</v>
      </c>
      <c r="F173" s="29">
        <f t="shared" si="34"/>
        <v>110</v>
      </c>
      <c r="G173" s="30">
        <v>0</v>
      </c>
      <c r="H173" s="31">
        <v>0</v>
      </c>
      <c r="I173" s="32">
        <v>0</v>
      </c>
      <c r="J173" s="136"/>
      <c r="K173" s="33">
        <v>0</v>
      </c>
      <c r="L173" s="34">
        <v>0</v>
      </c>
      <c r="M173" s="34">
        <v>0</v>
      </c>
      <c r="N173" s="138"/>
      <c r="O173" s="34">
        <v>0</v>
      </c>
      <c r="P173" s="34">
        <v>0</v>
      </c>
      <c r="Q173" s="34">
        <v>0</v>
      </c>
      <c r="R173" s="138"/>
      <c r="S173" s="37">
        <v>0</v>
      </c>
      <c r="T173" s="34">
        <v>0</v>
      </c>
      <c r="U173" s="34">
        <v>0</v>
      </c>
      <c r="V173" s="138"/>
      <c r="W173" s="38">
        <v>0</v>
      </c>
      <c r="X173" s="31">
        <v>0</v>
      </c>
      <c r="Y173" s="31">
        <v>0</v>
      </c>
      <c r="Z173" s="105"/>
      <c r="AA173" s="37">
        <v>0</v>
      </c>
      <c r="AB173" s="34">
        <v>0</v>
      </c>
      <c r="AC173" s="34">
        <v>0</v>
      </c>
      <c r="AD173" s="105"/>
      <c r="AE173" s="104"/>
      <c r="AF173" s="105"/>
      <c r="AG173" s="43">
        <f t="shared" si="39"/>
        <v>0</v>
      </c>
      <c r="AH173" s="44">
        <f t="shared" si="39"/>
        <v>0</v>
      </c>
      <c r="AI173" s="44">
        <f t="shared" si="39"/>
        <v>0</v>
      </c>
      <c r="AJ173" s="94">
        <f t="shared" si="38"/>
        <v>0</v>
      </c>
      <c r="AK173" s="140">
        <f t="shared" si="29"/>
        <v>0</v>
      </c>
      <c r="AL173" s="47">
        <v>0.75</v>
      </c>
      <c r="AM173" s="48">
        <f t="shared" si="36"/>
        <v>0</v>
      </c>
      <c r="AN173" s="48">
        <f t="shared" si="37"/>
        <v>0</v>
      </c>
      <c r="AO173" s="49">
        <f t="shared" si="35"/>
        <v>0</v>
      </c>
      <c r="AP173" s="49">
        <f t="shared" si="30"/>
        <v>0</v>
      </c>
      <c r="AQ173" s="71"/>
      <c r="AR173" s="106"/>
      <c r="AS173" s="107"/>
      <c r="AT173" s="115"/>
      <c r="AU173" s="100"/>
      <c r="AV173" s="109"/>
      <c r="AW173" s="110"/>
      <c r="AX173" s="110"/>
      <c r="AY173" s="107"/>
      <c r="AZ173" s="116"/>
    </row>
    <row r="174" spans="1:52" s="246" customFormat="1" ht="16.5" thickBot="1" x14ac:dyDescent="0.3">
      <c r="A174" s="134">
        <v>360</v>
      </c>
      <c r="B174" s="134" t="s">
        <v>126</v>
      </c>
      <c r="C174" s="139">
        <v>328</v>
      </c>
      <c r="D174" s="26">
        <f t="shared" si="32"/>
        <v>109.33333333333333</v>
      </c>
      <c r="E174" s="27">
        <f t="shared" si="33"/>
        <v>109.33333333333333</v>
      </c>
      <c r="F174" s="29">
        <f t="shared" si="34"/>
        <v>109.33333333333333</v>
      </c>
      <c r="G174" s="30">
        <v>0</v>
      </c>
      <c r="H174" s="31">
        <v>0</v>
      </c>
      <c r="I174" s="32">
        <v>0</v>
      </c>
      <c r="J174" s="136"/>
      <c r="K174" s="33">
        <v>0</v>
      </c>
      <c r="L174" s="34">
        <v>0</v>
      </c>
      <c r="M174" s="34">
        <v>0</v>
      </c>
      <c r="N174" s="138"/>
      <c r="O174" s="34">
        <v>0</v>
      </c>
      <c r="P174" s="34">
        <v>0</v>
      </c>
      <c r="Q174" s="34">
        <v>0</v>
      </c>
      <c r="R174" s="138"/>
      <c r="S174" s="37">
        <v>0</v>
      </c>
      <c r="T174" s="34">
        <v>0</v>
      </c>
      <c r="U174" s="34">
        <v>0</v>
      </c>
      <c r="V174" s="138"/>
      <c r="W174" s="38">
        <v>0</v>
      </c>
      <c r="X174" s="31">
        <v>0</v>
      </c>
      <c r="Y174" s="31">
        <v>0</v>
      </c>
      <c r="Z174" s="105"/>
      <c r="AA174" s="37">
        <v>0</v>
      </c>
      <c r="AB174" s="34">
        <v>0</v>
      </c>
      <c r="AC174" s="34">
        <v>0</v>
      </c>
      <c r="AD174" s="105"/>
      <c r="AE174" s="104"/>
      <c r="AF174" s="105"/>
      <c r="AG174" s="43">
        <f t="shared" si="39"/>
        <v>0</v>
      </c>
      <c r="AH174" s="44">
        <f t="shared" si="39"/>
        <v>0</v>
      </c>
      <c r="AI174" s="44">
        <f t="shared" si="39"/>
        <v>0</v>
      </c>
      <c r="AJ174" s="94">
        <f t="shared" si="38"/>
        <v>0</v>
      </c>
      <c r="AK174" s="140">
        <f t="shared" si="29"/>
        <v>0</v>
      </c>
      <c r="AL174" s="47">
        <v>0.75</v>
      </c>
      <c r="AM174" s="48">
        <f t="shared" si="36"/>
        <v>0</v>
      </c>
      <c r="AN174" s="48">
        <f t="shared" si="37"/>
        <v>0</v>
      </c>
      <c r="AO174" s="49">
        <f t="shared" si="35"/>
        <v>0</v>
      </c>
      <c r="AP174" s="49"/>
      <c r="AQ174" s="71"/>
      <c r="AR174" s="106"/>
      <c r="AS174" s="107"/>
      <c r="AT174" s="115"/>
      <c r="AU174" s="100"/>
      <c r="AV174" s="109"/>
      <c r="AW174" s="110"/>
      <c r="AX174" s="110"/>
      <c r="AY174" s="107"/>
      <c r="AZ174" s="116"/>
    </row>
    <row r="175" spans="1:52" s="246" customFormat="1" ht="16.5" thickBot="1" x14ac:dyDescent="0.3">
      <c r="A175" s="134">
        <v>360</v>
      </c>
      <c r="B175" s="134" t="s">
        <v>127</v>
      </c>
      <c r="C175" s="139">
        <v>655</v>
      </c>
      <c r="D175" s="26">
        <f t="shared" si="32"/>
        <v>218.33333333333334</v>
      </c>
      <c r="E175" s="27">
        <f t="shared" si="33"/>
        <v>218.33333333333334</v>
      </c>
      <c r="F175" s="29">
        <f t="shared" si="34"/>
        <v>218.33333333333334</v>
      </c>
      <c r="G175" s="30">
        <v>0</v>
      </c>
      <c r="H175" s="31">
        <v>0</v>
      </c>
      <c r="I175" s="32">
        <v>0</v>
      </c>
      <c r="J175" s="136"/>
      <c r="K175" s="33">
        <v>0</v>
      </c>
      <c r="L175" s="34">
        <v>0</v>
      </c>
      <c r="M175" s="34">
        <v>0</v>
      </c>
      <c r="N175" s="138"/>
      <c r="O175" s="34">
        <v>0</v>
      </c>
      <c r="P175" s="34">
        <v>0</v>
      </c>
      <c r="Q175" s="34">
        <v>0</v>
      </c>
      <c r="R175" s="138"/>
      <c r="S175" s="37">
        <v>0</v>
      </c>
      <c r="T175" s="34">
        <v>0</v>
      </c>
      <c r="U175" s="34">
        <v>0</v>
      </c>
      <c r="V175" s="138"/>
      <c r="W175" s="38">
        <v>0</v>
      </c>
      <c r="X175" s="31">
        <v>0</v>
      </c>
      <c r="Y175" s="31">
        <v>0</v>
      </c>
      <c r="Z175" s="105"/>
      <c r="AA175" s="37">
        <v>0</v>
      </c>
      <c r="AB175" s="34">
        <v>0</v>
      </c>
      <c r="AC175" s="34">
        <v>0</v>
      </c>
      <c r="AD175" s="105"/>
      <c r="AE175" s="104"/>
      <c r="AF175" s="105"/>
      <c r="AG175" s="43">
        <f t="shared" si="39"/>
        <v>0</v>
      </c>
      <c r="AH175" s="44">
        <f t="shared" si="39"/>
        <v>0</v>
      </c>
      <c r="AI175" s="44">
        <f t="shared" si="39"/>
        <v>0</v>
      </c>
      <c r="AJ175" s="94">
        <f t="shared" si="38"/>
        <v>0</v>
      </c>
      <c r="AK175" s="140">
        <f t="shared" si="29"/>
        <v>0</v>
      </c>
      <c r="AL175" s="47">
        <v>0.75</v>
      </c>
      <c r="AM175" s="48">
        <f t="shared" si="36"/>
        <v>0</v>
      </c>
      <c r="AN175" s="48">
        <f t="shared" si="37"/>
        <v>0</v>
      </c>
      <c r="AO175" s="49">
        <f t="shared" si="35"/>
        <v>0</v>
      </c>
      <c r="AP175" s="49"/>
      <c r="AQ175" s="71"/>
      <c r="AR175" s="106"/>
      <c r="AS175" s="107"/>
      <c r="AT175" s="115"/>
      <c r="AU175" s="100"/>
      <c r="AV175" s="109"/>
      <c r="AW175" s="110"/>
      <c r="AX175" s="110"/>
      <c r="AY175" s="107"/>
      <c r="AZ175" s="116"/>
    </row>
    <row r="176" spans="1:52" s="246" customFormat="1" ht="16.5" thickBot="1" x14ac:dyDescent="0.3">
      <c r="A176" s="134">
        <v>360</v>
      </c>
      <c r="B176" s="134" t="s">
        <v>128</v>
      </c>
      <c r="C176" s="139">
        <v>330</v>
      </c>
      <c r="D176" s="26">
        <f t="shared" si="32"/>
        <v>110</v>
      </c>
      <c r="E176" s="27">
        <f t="shared" si="33"/>
        <v>110</v>
      </c>
      <c r="F176" s="29">
        <f t="shared" si="34"/>
        <v>110</v>
      </c>
      <c r="G176" s="30">
        <v>0</v>
      </c>
      <c r="H176" s="31">
        <v>0</v>
      </c>
      <c r="I176" s="32">
        <v>0</v>
      </c>
      <c r="J176" s="136"/>
      <c r="K176" s="33">
        <v>0</v>
      </c>
      <c r="L176" s="34">
        <v>0</v>
      </c>
      <c r="M176" s="34">
        <v>0</v>
      </c>
      <c r="N176" s="138"/>
      <c r="O176" s="34">
        <v>0</v>
      </c>
      <c r="P176" s="34">
        <v>0</v>
      </c>
      <c r="Q176" s="34">
        <v>0</v>
      </c>
      <c r="R176" s="138"/>
      <c r="S176" s="37">
        <v>0</v>
      </c>
      <c r="T176" s="34">
        <v>0</v>
      </c>
      <c r="U176" s="34">
        <v>0</v>
      </c>
      <c r="V176" s="138"/>
      <c r="W176" s="38">
        <v>0</v>
      </c>
      <c r="X176" s="31">
        <v>0</v>
      </c>
      <c r="Y176" s="31">
        <v>0</v>
      </c>
      <c r="Z176" s="105"/>
      <c r="AA176" s="37">
        <v>0</v>
      </c>
      <c r="AB176" s="34">
        <v>0</v>
      </c>
      <c r="AC176" s="34">
        <v>0</v>
      </c>
      <c r="AD176" s="105"/>
      <c r="AE176" s="104"/>
      <c r="AF176" s="105"/>
      <c r="AG176" s="43">
        <f t="shared" si="39"/>
        <v>0</v>
      </c>
      <c r="AH176" s="44">
        <f t="shared" si="39"/>
        <v>0</v>
      </c>
      <c r="AI176" s="44">
        <f t="shared" si="39"/>
        <v>0</v>
      </c>
      <c r="AJ176" s="94">
        <f t="shared" si="38"/>
        <v>0</v>
      </c>
      <c r="AK176" s="140">
        <f t="shared" si="29"/>
        <v>0</v>
      </c>
      <c r="AL176" s="47">
        <v>0.75</v>
      </c>
      <c r="AM176" s="48">
        <f t="shared" si="36"/>
        <v>0</v>
      </c>
      <c r="AN176" s="48">
        <f t="shared" si="37"/>
        <v>0</v>
      </c>
      <c r="AO176" s="49">
        <f t="shared" si="35"/>
        <v>0</v>
      </c>
      <c r="AP176" s="49"/>
      <c r="AQ176" s="71"/>
      <c r="AR176" s="106"/>
      <c r="AS176" s="107"/>
      <c r="AT176" s="115"/>
      <c r="AU176" s="100"/>
      <c r="AV176" s="109"/>
      <c r="AW176" s="110"/>
      <c r="AX176" s="110"/>
      <c r="AY176" s="107"/>
      <c r="AZ176" s="116"/>
    </row>
    <row r="177" spans="1:52" s="246" customFormat="1" ht="16.5" thickBot="1" x14ac:dyDescent="0.3">
      <c r="A177" s="134">
        <v>600</v>
      </c>
      <c r="B177" s="134" t="s">
        <v>129</v>
      </c>
      <c r="C177" s="139">
        <v>693</v>
      </c>
      <c r="D177" s="26">
        <f t="shared" si="32"/>
        <v>231</v>
      </c>
      <c r="E177" s="27">
        <f t="shared" si="33"/>
        <v>231</v>
      </c>
      <c r="F177" s="29">
        <f t="shared" si="34"/>
        <v>231</v>
      </c>
      <c r="G177" s="30">
        <v>0</v>
      </c>
      <c r="H177" s="31">
        <v>0</v>
      </c>
      <c r="I177" s="32">
        <v>0</v>
      </c>
      <c r="J177" s="136"/>
      <c r="K177" s="33">
        <v>0</v>
      </c>
      <c r="L177" s="34">
        <v>0</v>
      </c>
      <c r="M177" s="34">
        <v>0</v>
      </c>
      <c r="N177" s="138"/>
      <c r="O177" s="34">
        <v>0</v>
      </c>
      <c r="P177" s="34">
        <v>0</v>
      </c>
      <c r="Q177" s="34">
        <v>0</v>
      </c>
      <c r="R177" s="138"/>
      <c r="S177" s="37">
        <v>0</v>
      </c>
      <c r="T177" s="34">
        <v>0</v>
      </c>
      <c r="U177" s="34">
        <v>0</v>
      </c>
      <c r="V177" s="138"/>
      <c r="W177" s="38">
        <v>0</v>
      </c>
      <c r="X177" s="31">
        <v>0</v>
      </c>
      <c r="Y177" s="31">
        <v>0</v>
      </c>
      <c r="Z177" s="105"/>
      <c r="AA177" s="37">
        <v>0</v>
      </c>
      <c r="AB177" s="34">
        <v>0</v>
      </c>
      <c r="AC177" s="34">
        <v>0</v>
      </c>
      <c r="AD177" s="105"/>
      <c r="AE177" s="104"/>
      <c r="AF177" s="105"/>
      <c r="AG177" s="43">
        <f t="shared" si="39"/>
        <v>0</v>
      </c>
      <c r="AH177" s="44">
        <f t="shared" si="39"/>
        <v>0</v>
      </c>
      <c r="AI177" s="44">
        <f t="shared" si="39"/>
        <v>0</v>
      </c>
      <c r="AJ177" s="94">
        <f t="shared" si="38"/>
        <v>0</v>
      </c>
      <c r="AK177" s="140">
        <f t="shared" si="29"/>
        <v>0</v>
      </c>
      <c r="AL177" s="47">
        <v>0.75</v>
      </c>
      <c r="AM177" s="48">
        <f t="shared" si="36"/>
        <v>0</v>
      </c>
      <c r="AN177" s="48">
        <f t="shared" si="37"/>
        <v>0</v>
      </c>
      <c r="AO177" s="49">
        <f t="shared" si="35"/>
        <v>0</v>
      </c>
      <c r="AP177" s="49"/>
      <c r="AQ177" s="71"/>
      <c r="AR177" s="106"/>
      <c r="AS177" s="107"/>
      <c r="AT177" s="115"/>
      <c r="AU177" s="100"/>
      <c r="AV177" s="109"/>
      <c r="AW177" s="110"/>
      <c r="AX177" s="110"/>
      <c r="AY177" s="107"/>
      <c r="AZ177" s="116"/>
    </row>
    <row r="178" spans="1:52" s="246" customFormat="1" ht="16.5" thickBot="1" x14ac:dyDescent="0.3">
      <c r="A178" s="134">
        <v>600</v>
      </c>
      <c r="B178" s="134" t="s">
        <v>124</v>
      </c>
      <c r="C178" s="139">
        <v>3463</v>
      </c>
      <c r="D178" s="26">
        <f t="shared" si="32"/>
        <v>1154.3333333333333</v>
      </c>
      <c r="E178" s="27">
        <f t="shared" si="33"/>
        <v>1154.3333333333333</v>
      </c>
      <c r="F178" s="29">
        <f t="shared" si="34"/>
        <v>1154.3333333333333</v>
      </c>
      <c r="G178" s="30">
        <v>0</v>
      </c>
      <c r="H178" s="31">
        <v>0</v>
      </c>
      <c r="I178" s="32">
        <v>0</v>
      </c>
      <c r="J178" s="136"/>
      <c r="K178" s="33">
        <v>0</v>
      </c>
      <c r="L178" s="34">
        <v>0</v>
      </c>
      <c r="M178" s="34">
        <v>0</v>
      </c>
      <c r="N178" s="138"/>
      <c r="O178" s="34">
        <v>0</v>
      </c>
      <c r="P178" s="34">
        <v>0</v>
      </c>
      <c r="Q178" s="34">
        <v>0</v>
      </c>
      <c r="R178" s="138"/>
      <c r="S178" s="37">
        <v>0</v>
      </c>
      <c r="T178" s="34">
        <v>0</v>
      </c>
      <c r="U178" s="34">
        <v>0</v>
      </c>
      <c r="V178" s="138"/>
      <c r="W178" s="38">
        <v>0</v>
      </c>
      <c r="X178" s="31">
        <v>0</v>
      </c>
      <c r="Y178" s="31">
        <v>0</v>
      </c>
      <c r="Z178" s="105"/>
      <c r="AA178" s="37">
        <v>0</v>
      </c>
      <c r="AB178" s="34">
        <v>0</v>
      </c>
      <c r="AC178" s="34">
        <v>0</v>
      </c>
      <c r="AD178" s="105"/>
      <c r="AE178" s="104"/>
      <c r="AF178" s="105"/>
      <c r="AG178" s="43">
        <f t="shared" si="39"/>
        <v>0</v>
      </c>
      <c r="AH178" s="44">
        <f t="shared" si="39"/>
        <v>0</v>
      </c>
      <c r="AI178" s="44">
        <f t="shared" si="39"/>
        <v>0</v>
      </c>
      <c r="AJ178" s="94">
        <f t="shared" si="38"/>
        <v>0</v>
      </c>
      <c r="AK178" s="140">
        <f t="shared" si="29"/>
        <v>0</v>
      </c>
      <c r="AL178" s="47">
        <v>0.75</v>
      </c>
      <c r="AM178" s="48">
        <f t="shared" si="36"/>
        <v>0</v>
      </c>
      <c r="AN178" s="48">
        <f t="shared" si="37"/>
        <v>0</v>
      </c>
      <c r="AO178" s="49">
        <f t="shared" si="35"/>
        <v>0</v>
      </c>
      <c r="AP178" s="49">
        <f>AJ178*AL178</f>
        <v>0</v>
      </c>
      <c r="AQ178" s="71"/>
      <c r="AR178" s="106"/>
      <c r="AS178" s="107"/>
      <c r="AT178" s="115"/>
      <c r="AU178" s="100"/>
      <c r="AV178" s="109"/>
      <c r="AW178" s="110"/>
      <c r="AX178" s="110"/>
      <c r="AY178" s="107"/>
      <c r="AZ178" s="116"/>
    </row>
    <row r="179" spans="1:52" s="246" customFormat="1" ht="16.5" thickBot="1" x14ac:dyDescent="0.3">
      <c r="A179" s="134">
        <v>600</v>
      </c>
      <c r="B179" s="134" t="s">
        <v>123</v>
      </c>
      <c r="C179" s="139">
        <v>922</v>
      </c>
      <c r="D179" s="26">
        <f t="shared" si="32"/>
        <v>307.33333333333331</v>
      </c>
      <c r="E179" s="27">
        <f t="shared" si="33"/>
        <v>307.33333333333331</v>
      </c>
      <c r="F179" s="29">
        <f t="shared" si="34"/>
        <v>307.33333333333331</v>
      </c>
      <c r="G179" s="30">
        <v>0</v>
      </c>
      <c r="H179" s="31">
        <v>0</v>
      </c>
      <c r="I179" s="32">
        <v>0</v>
      </c>
      <c r="J179" s="136"/>
      <c r="K179" s="33">
        <v>0</v>
      </c>
      <c r="L179" s="34">
        <v>0</v>
      </c>
      <c r="M179" s="34">
        <v>0</v>
      </c>
      <c r="N179" s="138"/>
      <c r="O179" s="34">
        <v>0</v>
      </c>
      <c r="P179" s="34">
        <v>0</v>
      </c>
      <c r="Q179" s="34">
        <v>0</v>
      </c>
      <c r="R179" s="138"/>
      <c r="S179" s="37">
        <v>0</v>
      </c>
      <c r="T179" s="34">
        <v>0</v>
      </c>
      <c r="U179" s="34">
        <v>0</v>
      </c>
      <c r="V179" s="138"/>
      <c r="W179" s="38">
        <v>0</v>
      </c>
      <c r="X179" s="31">
        <v>0</v>
      </c>
      <c r="Y179" s="31">
        <v>0</v>
      </c>
      <c r="Z179" s="105"/>
      <c r="AA179" s="37">
        <v>0</v>
      </c>
      <c r="AB179" s="34">
        <v>0</v>
      </c>
      <c r="AC179" s="34">
        <v>0</v>
      </c>
      <c r="AD179" s="105"/>
      <c r="AE179" s="104"/>
      <c r="AF179" s="105"/>
      <c r="AG179" s="43">
        <f t="shared" si="39"/>
        <v>0</v>
      </c>
      <c r="AH179" s="44">
        <f t="shared" si="39"/>
        <v>0</v>
      </c>
      <c r="AI179" s="44">
        <f t="shared" si="39"/>
        <v>0</v>
      </c>
      <c r="AJ179" s="94">
        <f t="shared" si="38"/>
        <v>0</v>
      </c>
      <c r="AK179" s="140">
        <f t="shared" si="29"/>
        <v>0</v>
      </c>
      <c r="AL179" s="47">
        <v>0.75</v>
      </c>
      <c r="AM179" s="48">
        <f t="shared" si="36"/>
        <v>0</v>
      </c>
      <c r="AN179" s="48">
        <f t="shared" si="37"/>
        <v>0</v>
      </c>
      <c r="AO179" s="49">
        <f t="shared" si="35"/>
        <v>0</v>
      </c>
      <c r="AP179" s="49"/>
      <c r="AQ179" s="71"/>
      <c r="AR179" s="106"/>
      <c r="AS179" s="107"/>
      <c r="AT179" s="115"/>
      <c r="AU179" s="100"/>
      <c r="AV179" s="109"/>
      <c r="AW179" s="110"/>
      <c r="AX179" s="110"/>
      <c r="AY179" s="107"/>
      <c r="AZ179" s="116"/>
    </row>
    <row r="180" spans="1:52" s="246" customFormat="1" ht="16.5" thickBot="1" x14ac:dyDescent="0.3">
      <c r="A180" s="134">
        <v>625</v>
      </c>
      <c r="B180" s="134" t="s">
        <v>128</v>
      </c>
      <c r="C180" s="139">
        <v>220</v>
      </c>
      <c r="D180" s="26">
        <f t="shared" si="32"/>
        <v>73.333333333333329</v>
      </c>
      <c r="E180" s="27">
        <f t="shared" si="33"/>
        <v>73.333333333333329</v>
      </c>
      <c r="F180" s="29">
        <f t="shared" si="34"/>
        <v>73.333333333333329</v>
      </c>
      <c r="G180" s="30">
        <v>0</v>
      </c>
      <c r="H180" s="31">
        <v>0</v>
      </c>
      <c r="I180" s="32">
        <v>0</v>
      </c>
      <c r="J180" s="136"/>
      <c r="K180" s="33">
        <v>0</v>
      </c>
      <c r="L180" s="34">
        <v>0</v>
      </c>
      <c r="M180" s="34">
        <v>0</v>
      </c>
      <c r="N180" s="138"/>
      <c r="O180" s="34">
        <v>0</v>
      </c>
      <c r="P180" s="34">
        <v>0</v>
      </c>
      <c r="Q180" s="34">
        <v>0</v>
      </c>
      <c r="R180" s="138"/>
      <c r="S180" s="37">
        <v>0</v>
      </c>
      <c r="T180" s="34">
        <v>0</v>
      </c>
      <c r="U180" s="34">
        <v>0</v>
      </c>
      <c r="V180" s="138"/>
      <c r="W180" s="38">
        <v>0</v>
      </c>
      <c r="X180" s="31">
        <v>0</v>
      </c>
      <c r="Y180" s="31">
        <v>0</v>
      </c>
      <c r="Z180" s="105"/>
      <c r="AA180" s="37">
        <v>0</v>
      </c>
      <c r="AB180" s="34">
        <v>0</v>
      </c>
      <c r="AC180" s="34">
        <v>0</v>
      </c>
      <c r="AD180" s="105"/>
      <c r="AE180" s="104"/>
      <c r="AF180" s="105"/>
      <c r="AG180" s="43">
        <f t="shared" si="39"/>
        <v>0</v>
      </c>
      <c r="AH180" s="44">
        <f t="shared" si="39"/>
        <v>0</v>
      </c>
      <c r="AI180" s="44">
        <f t="shared" si="39"/>
        <v>0</v>
      </c>
      <c r="AJ180" s="94"/>
      <c r="AK180" s="140">
        <f t="shared" si="29"/>
        <v>0</v>
      </c>
      <c r="AL180" s="47">
        <v>0.75</v>
      </c>
      <c r="AM180" s="48">
        <f t="shared" si="36"/>
        <v>0</v>
      </c>
      <c r="AN180" s="48">
        <f t="shared" si="37"/>
        <v>0</v>
      </c>
      <c r="AO180" s="49">
        <f t="shared" si="35"/>
        <v>0</v>
      </c>
      <c r="AP180" s="49"/>
      <c r="AQ180" s="71"/>
      <c r="AR180" s="106"/>
      <c r="AS180" s="107"/>
      <c r="AT180" s="115"/>
      <c r="AU180" s="100"/>
      <c r="AV180" s="109"/>
      <c r="AW180" s="110"/>
      <c r="AX180" s="110"/>
      <c r="AY180" s="107"/>
      <c r="AZ180" s="116"/>
    </row>
    <row r="181" spans="1:52" s="246" customFormat="1" ht="16.5" thickBot="1" x14ac:dyDescent="0.3">
      <c r="A181" s="134">
        <v>625</v>
      </c>
      <c r="B181" s="134" t="s">
        <v>127</v>
      </c>
      <c r="C181" s="139">
        <v>660</v>
      </c>
      <c r="D181" s="26">
        <f t="shared" si="32"/>
        <v>220</v>
      </c>
      <c r="E181" s="27">
        <f t="shared" si="33"/>
        <v>220</v>
      </c>
      <c r="F181" s="29">
        <f t="shared" si="34"/>
        <v>220</v>
      </c>
      <c r="G181" s="30">
        <v>0</v>
      </c>
      <c r="H181" s="31">
        <v>0</v>
      </c>
      <c r="I181" s="32">
        <v>0</v>
      </c>
      <c r="J181" s="136"/>
      <c r="K181" s="33">
        <v>0</v>
      </c>
      <c r="L181" s="34">
        <v>0</v>
      </c>
      <c r="M181" s="34">
        <v>0</v>
      </c>
      <c r="N181" s="138"/>
      <c r="O181" s="34">
        <v>0</v>
      </c>
      <c r="P181" s="34">
        <v>0</v>
      </c>
      <c r="Q181" s="34">
        <v>0</v>
      </c>
      <c r="R181" s="138"/>
      <c r="S181" s="37">
        <v>0</v>
      </c>
      <c r="T181" s="34">
        <v>0</v>
      </c>
      <c r="U181" s="34">
        <v>0</v>
      </c>
      <c r="V181" s="138"/>
      <c r="W181" s="38">
        <v>0</v>
      </c>
      <c r="X181" s="31">
        <v>0</v>
      </c>
      <c r="Y181" s="31">
        <v>0</v>
      </c>
      <c r="Z181" s="105"/>
      <c r="AA181" s="37">
        <v>0</v>
      </c>
      <c r="AB181" s="34">
        <v>0</v>
      </c>
      <c r="AC181" s="34">
        <v>0</v>
      </c>
      <c r="AD181" s="105"/>
      <c r="AE181" s="104"/>
      <c r="AF181" s="105"/>
      <c r="AG181" s="43">
        <f t="shared" si="39"/>
        <v>0</v>
      </c>
      <c r="AH181" s="44">
        <f t="shared" si="39"/>
        <v>0</v>
      </c>
      <c r="AI181" s="44">
        <f t="shared" si="39"/>
        <v>0</v>
      </c>
      <c r="AJ181" s="94">
        <f t="shared" si="38"/>
        <v>0</v>
      </c>
      <c r="AK181" s="140">
        <f t="shared" si="29"/>
        <v>0</v>
      </c>
      <c r="AL181" s="47">
        <v>0.75</v>
      </c>
      <c r="AM181" s="48">
        <f t="shared" si="36"/>
        <v>0</v>
      </c>
      <c r="AN181" s="48">
        <f t="shared" si="37"/>
        <v>0</v>
      </c>
      <c r="AO181" s="49">
        <f t="shared" si="35"/>
        <v>0</v>
      </c>
      <c r="AP181" s="49">
        <f t="shared" si="30"/>
        <v>0</v>
      </c>
      <c r="AQ181" s="71"/>
      <c r="AR181" s="106"/>
      <c r="AS181" s="107"/>
      <c r="AT181" s="115"/>
      <c r="AU181" s="100"/>
      <c r="AV181" s="109"/>
      <c r="AW181" s="110"/>
      <c r="AX181" s="110"/>
      <c r="AY181" s="107"/>
      <c r="AZ181" s="116"/>
    </row>
    <row r="182" spans="1:52" s="246" customFormat="1" ht="16.5" thickBot="1" x14ac:dyDescent="0.3">
      <c r="A182" s="134">
        <v>625</v>
      </c>
      <c r="B182" s="134" t="s">
        <v>130</v>
      </c>
      <c r="C182" s="139">
        <v>440</v>
      </c>
      <c r="D182" s="26">
        <f t="shared" si="32"/>
        <v>146.66666666666666</v>
      </c>
      <c r="E182" s="27">
        <f t="shared" si="33"/>
        <v>146.66666666666666</v>
      </c>
      <c r="F182" s="29">
        <f t="shared" si="34"/>
        <v>146.66666666666666</v>
      </c>
      <c r="G182" s="30">
        <v>0</v>
      </c>
      <c r="H182" s="31">
        <v>0</v>
      </c>
      <c r="I182" s="32">
        <v>0</v>
      </c>
      <c r="J182" s="136"/>
      <c r="K182" s="33">
        <v>0</v>
      </c>
      <c r="L182" s="34">
        <v>0</v>
      </c>
      <c r="M182" s="34">
        <v>0</v>
      </c>
      <c r="N182" s="138"/>
      <c r="O182" s="34">
        <v>0</v>
      </c>
      <c r="P182" s="34">
        <v>0</v>
      </c>
      <c r="Q182" s="34">
        <v>0</v>
      </c>
      <c r="R182" s="138"/>
      <c r="S182" s="37">
        <v>0</v>
      </c>
      <c r="T182" s="34">
        <v>0</v>
      </c>
      <c r="U182" s="34">
        <v>0</v>
      </c>
      <c r="V182" s="138"/>
      <c r="W182" s="38">
        <v>0</v>
      </c>
      <c r="X182" s="31">
        <v>0</v>
      </c>
      <c r="Y182" s="31">
        <v>0</v>
      </c>
      <c r="Z182" s="105"/>
      <c r="AA182" s="37">
        <v>0</v>
      </c>
      <c r="AB182" s="34">
        <v>0</v>
      </c>
      <c r="AC182" s="34">
        <v>0</v>
      </c>
      <c r="AD182" s="105"/>
      <c r="AE182" s="104"/>
      <c r="AF182" s="105"/>
      <c r="AG182" s="43">
        <f t="shared" si="39"/>
        <v>0</v>
      </c>
      <c r="AH182" s="44">
        <f t="shared" si="39"/>
        <v>0</v>
      </c>
      <c r="AI182" s="44">
        <f t="shared" si="39"/>
        <v>0</v>
      </c>
      <c r="AJ182" s="94">
        <f>J182+N182+R182+V182+Z182+AD182</f>
        <v>0</v>
      </c>
      <c r="AK182" s="140">
        <f t="shared" si="29"/>
        <v>0</v>
      </c>
      <c r="AL182" s="47">
        <v>0.75</v>
      </c>
      <c r="AM182" s="48">
        <f t="shared" si="36"/>
        <v>0</v>
      </c>
      <c r="AN182" s="48">
        <f t="shared" si="37"/>
        <v>0</v>
      </c>
      <c r="AO182" s="49">
        <f t="shared" si="35"/>
        <v>0</v>
      </c>
      <c r="AP182" s="49">
        <f t="shared" si="30"/>
        <v>0</v>
      </c>
      <c r="AQ182" s="71"/>
      <c r="AR182" s="106"/>
      <c r="AS182" s="107"/>
      <c r="AT182" s="115"/>
      <c r="AU182" s="100"/>
      <c r="AV182" s="109"/>
      <c r="AW182" s="110"/>
      <c r="AX182" s="110"/>
      <c r="AY182" s="107"/>
      <c r="AZ182" s="116"/>
    </row>
    <row r="183" spans="1:52" s="246" customFormat="1" ht="16.5" thickBot="1" x14ac:dyDescent="0.3">
      <c r="A183" s="134">
        <v>625</v>
      </c>
      <c r="B183" s="134" t="s">
        <v>131</v>
      </c>
      <c r="C183" s="139">
        <v>220</v>
      </c>
      <c r="D183" s="26">
        <f t="shared" si="32"/>
        <v>73.333333333333329</v>
      </c>
      <c r="E183" s="27">
        <f t="shared" si="33"/>
        <v>73.333333333333329</v>
      </c>
      <c r="F183" s="29">
        <f t="shared" si="34"/>
        <v>73.333333333333329</v>
      </c>
      <c r="G183" s="30">
        <v>0</v>
      </c>
      <c r="H183" s="31">
        <v>0</v>
      </c>
      <c r="I183" s="32">
        <v>0</v>
      </c>
      <c r="J183" s="136"/>
      <c r="K183" s="33">
        <v>0</v>
      </c>
      <c r="L183" s="34">
        <v>0</v>
      </c>
      <c r="M183" s="34">
        <v>0</v>
      </c>
      <c r="N183" s="138"/>
      <c r="O183" s="34">
        <v>0</v>
      </c>
      <c r="P183" s="34">
        <v>0</v>
      </c>
      <c r="Q183" s="34">
        <v>0</v>
      </c>
      <c r="R183" s="138"/>
      <c r="S183" s="37">
        <v>0</v>
      </c>
      <c r="T183" s="34">
        <v>0</v>
      </c>
      <c r="U183" s="34">
        <v>0</v>
      </c>
      <c r="V183" s="138"/>
      <c r="W183" s="38">
        <v>0</v>
      </c>
      <c r="X183" s="31">
        <v>0</v>
      </c>
      <c r="Y183" s="31">
        <v>0</v>
      </c>
      <c r="Z183" s="105"/>
      <c r="AA183" s="37">
        <v>0</v>
      </c>
      <c r="AB183" s="34">
        <v>0</v>
      </c>
      <c r="AC183" s="34">
        <v>0</v>
      </c>
      <c r="AD183" s="105"/>
      <c r="AE183" s="104"/>
      <c r="AF183" s="105"/>
      <c r="AG183" s="43">
        <f t="shared" si="39"/>
        <v>0</v>
      </c>
      <c r="AH183" s="44">
        <f t="shared" si="39"/>
        <v>0</v>
      </c>
      <c r="AI183" s="44">
        <f t="shared" si="39"/>
        <v>0</v>
      </c>
      <c r="AJ183" s="94"/>
      <c r="AK183" s="140">
        <f t="shared" si="29"/>
        <v>0</v>
      </c>
      <c r="AL183" s="47">
        <v>0.75</v>
      </c>
      <c r="AM183" s="48">
        <f t="shared" si="36"/>
        <v>0</v>
      </c>
      <c r="AN183" s="48">
        <f t="shared" si="37"/>
        <v>0</v>
      </c>
      <c r="AO183" s="49">
        <f t="shared" si="35"/>
        <v>0</v>
      </c>
      <c r="AP183" s="49"/>
      <c r="AQ183" s="71"/>
      <c r="AR183" s="106"/>
      <c r="AS183" s="107"/>
      <c r="AT183" s="115"/>
      <c r="AU183" s="100"/>
      <c r="AV183" s="109"/>
      <c r="AW183" s="110"/>
      <c r="AX183" s="110"/>
      <c r="AY183" s="107"/>
      <c r="AZ183" s="116"/>
    </row>
    <row r="184" spans="1:52" s="246" customFormat="1" ht="16.5" thickBot="1" x14ac:dyDescent="0.3">
      <c r="A184" s="134"/>
      <c r="B184" s="134" t="s">
        <v>132</v>
      </c>
      <c r="C184" s="139"/>
      <c r="D184" s="141"/>
      <c r="E184" s="142"/>
      <c r="F184" s="143"/>
      <c r="G184" s="144">
        <v>4</v>
      </c>
      <c r="H184" s="145">
        <v>0</v>
      </c>
      <c r="I184" s="146">
        <v>0</v>
      </c>
      <c r="J184" s="136"/>
      <c r="K184" s="144">
        <v>0</v>
      </c>
      <c r="L184" s="34">
        <v>24</v>
      </c>
      <c r="M184" s="34">
        <v>0</v>
      </c>
      <c r="N184" s="138"/>
      <c r="O184" s="34">
        <v>0</v>
      </c>
      <c r="P184" s="34">
        <v>0</v>
      </c>
      <c r="Q184" s="34">
        <v>0</v>
      </c>
      <c r="R184" s="138"/>
      <c r="S184" s="37">
        <v>0</v>
      </c>
      <c r="T184" s="34">
        <v>0</v>
      </c>
      <c r="U184" s="34">
        <v>0</v>
      </c>
      <c r="V184" s="138"/>
      <c r="W184" s="38">
        <v>0</v>
      </c>
      <c r="X184" s="31">
        <v>0</v>
      </c>
      <c r="Y184" s="31">
        <v>0</v>
      </c>
      <c r="Z184" s="105"/>
      <c r="AA184" s="37">
        <v>1</v>
      </c>
      <c r="AB184" s="145">
        <v>0</v>
      </c>
      <c r="AC184" s="145">
        <v>1</v>
      </c>
      <c r="AD184" s="105"/>
      <c r="AE184" s="104"/>
      <c r="AF184" s="105"/>
      <c r="AG184" s="43">
        <f>G184+K184+O184+S184+W184+AA184</f>
        <v>5</v>
      </c>
      <c r="AH184" s="44">
        <f>H184+L184+P184+T184+X184+AB184</f>
        <v>24</v>
      </c>
      <c r="AI184" s="44">
        <f>I184+M184+Q184+U184+Y184+AC184</f>
        <v>1</v>
      </c>
      <c r="AJ184" s="94"/>
      <c r="AK184" s="140">
        <f t="shared" si="29"/>
        <v>30</v>
      </c>
      <c r="AL184" s="47">
        <v>0.25</v>
      </c>
      <c r="AM184" s="48">
        <f t="shared" si="36"/>
        <v>1.25</v>
      </c>
      <c r="AN184" s="48">
        <f t="shared" si="37"/>
        <v>6</v>
      </c>
      <c r="AO184" s="49">
        <f t="shared" si="35"/>
        <v>0.25</v>
      </c>
      <c r="AP184" s="49"/>
      <c r="AQ184" s="71"/>
      <c r="AR184" s="106"/>
      <c r="AS184" s="107"/>
      <c r="AT184" s="115"/>
      <c r="AU184" s="100"/>
      <c r="AV184" s="109"/>
      <c r="AW184" s="110"/>
      <c r="AX184" s="110"/>
      <c r="AY184" s="107"/>
      <c r="AZ184" s="116"/>
    </row>
    <row r="185" spans="1:52" ht="16.5" thickBot="1" x14ac:dyDescent="0.3">
      <c r="A185" s="147"/>
      <c r="B185" s="147" t="s">
        <v>133</v>
      </c>
      <c r="C185" s="148"/>
      <c r="D185" s="148"/>
      <c r="E185" s="148"/>
      <c r="F185" s="149"/>
      <c r="G185" s="150">
        <f>SUM(G3:G184)</f>
        <v>195</v>
      </c>
      <c r="H185" s="151">
        <f>SUM(H3:H184)</f>
        <v>281</v>
      </c>
      <c r="I185" s="152">
        <f>SUM(I3:I184)</f>
        <v>244</v>
      </c>
      <c r="J185" s="152"/>
      <c r="K185" s="150">
        <f>SUM(K3:K184)</f>
        <v>135</v>
      </c>
      <c r="L185" s="34">
        <f>SUM(L3:L184)</f>
        <v>314</v>
      </c>
      <c r="M185" s="34">
        <f>SUM(M3:M184)</f>
        <v>272</v>
      </c>
      <c r="N185" s="153"/>
      <c r="O185" s="34">
        <f>SUM(O3:O184)</f>
        <v>256</v>
      </c>
      <c r="P185" s="34">
        <f>SUM(P3:P184)</f>
        <v>199</v>
      </c>
      <c r="Q185" s="34">
        <f>SUM(Q3:Q184)</f>
        <v>264</v>
      </c>
      <c r="R185" s="153"/>
      <c r="S185" s="37">
        <f>SUM(S3:S184)</f>
        <v>298</v>
      </c>
      <c r="T185" s="34">
        <f>SUM(T3:T184)</f>
        <v>376</v>
      </c>
      <c r="U185" s="34">
        <f>SUM(U3:U184)</f>
        <v>307</v>
      </c>
      <c r="V185" s="153"/>
      <c r="W185" s="38">
        <f>SUM(W3:W184)</f>
        <v>236</v>
      </c>
      <c r="X185" s="31">
        <f>SUM(X3:X184)</f>
        <v>198</v>
      </c>
      <c r="Y185" s="31">
        <f>SUM(Y3:Y184)</f>
        <v>225</v>
      </c>
      <c r="Z185" s="153"/>
      <c r="AA185" s="37">
        <f>SUM(AA3:AA184)</f>
        <v>237</v>
      </c>
      <c r="AB185" s="151">
        <f>SUM(AB3:AB184)</f>
        <v>343</v>
      </c>
      <c r="AC185" s="151">
        <f>SUM(AC3:AC184)</f>
        <v>420</v>
      </c>
      <c r="AD185" s="154"/>
      <c r="AE185" s="155"/>
      <c r="AF185" s="154"/>
      <c r="AG185" s="43">
        <f>SUM(AG3:AG183)</f>
        <v>1352</v>
      </c>
      <c r="AH185" s="44">
        <f>SUM(AH3:AH183)</f>
        <v>1687</v>
      </c>
      <c r="AI185" s="44">
        <f>SUM(AI3:AI183)</f>
        <v>1729</v>
      </c>
      <c r="AJ185" s="44">
        <f>SUM(AJ3:AJ182)</f>
        <v>0</v>
      </c>
      <c r="AK185" s="156">
        <f>SUM(AK4:AK182)</f>
        <v>4768</v>
      </c>
      <c r="AL185" s="47"/>
      <c r="AM185" s="48">
        <f>SUM(AM3:AM183)</f>
        <v>1212.9000000000001</v>
      </c>
      <c r="AN185" s="48">
        <f>SUM(AN3:AN183)</f>
        <v>1510.55</v>
      </c>
      <c r="AO185" s="49">
        <f>SUM(AO3:AO183)</f>
        <v>1694.7500000000002</v>
      </c>
      <c r="AP185" s="49">
        <f>AJ185*AL185</f>
        <v>0</v>
      </c>
      <c r="AQ185" s="71">
        <f>SUM(AQ3:AQ162)</f>
        <v>219840</v>
      </c>
      <c r="AR185" s="157"/>
      <c r="AS185" s="158"/>
      <c r="AT185" s="159">
        <v>21225.76500000001</v>
      </c>
      <c r="AU185" s="84">
        <f>SUM(AU3:AU132)</f>
        <v>2205.3999999999996</v>
      </c>
      <c r="AV185" s="160"/>
      <c r="AW185" s="161">
        <v>2700</v>
      </c>
      <c r="AX185" s="161">
        <v>1500</v>
      </c>
      <c r="AY185" s="161"/>
      <c r="AZ185" s="162">
        <f>SUM(AZ3:AZ108)</f>
        <v>8017.1800000000021</v>
      </c>
    </row>
    <row r="186" spans="1:52" ht="15.75" x14ac:dyDescent="0.25">
      <c r="C186" s="245" t="s">
        <v>134</v>
      </c>
      <c r="F186" s="163" t="s">
        <v>135</v>
      </c>
      <c r="G186" s="164"/>
      <c r="H186" s="165"/>
      <c r="I186" s="166"/>
      <c r="J186" s="166"/>
      <c r="K186" s="164"/>
      <c r="L186" s="165"/>
      <c r="M186" s="34"/>
      <c r="N186" s="167"/>
      <c r="O186" s="168"/>
      <c r="P186" s="34"/>
      <c r="Q186" s="165"/>
      <c r="R186" s="167"/>
      <c r="S186" s="168"/>
      <c r="T186" s="165"/>
      <c r="U186" s="165"/>
      <c r="V186" s="167"/>
      <c r="W186" s="168"/>
      <c r="X186" s="165"/>
      <c r="Y186" s="165"/>
      <c r="Z186" s="167"/>
      <c r="AA186" s="168"/>
      <c r="AB186" s="165"/>
      <c r="AC186" s="165"/>
      <c r="AD186" s="40"/>
      <c r="AE186" s="169"/>
      <c r="AF186" s="169"/>
      <c r="AG186" s="170"/>
      <c r="AH186" s="170"/>
      <c r="AI186" s="170"/>
      <c r="AJ186" s="170"/>
      <c r="AK186" s="171"/>
      <c r="AL186" s="172"/>
      <c r="AM186" s="172"/>
      <c r="AN186" s="172"/>
      <c r="AO186" s="72"/>
      <c r="AP186" s="49"/>
      <c r="AQ186" s="173"/>
      <c r="AR186" s="172"/>
      <c r="AS186" s="174"/>
      <c r="AT186" s="173"/>
      <c r="AU186" s="173" t="s">
        <v>136</v>
      </c>
      <c r="AV186" s="173"/>
      <c r="AW186" s="173"/>
      <c r="AX186" s="173"/>
    </row>
    <row r="187" spans="1:52" ht="16.5" thickBot="1" x14ac:dyDescent="0.3">
      <c r="F187" s="175" t="s">
        <v>137</v>
      </c>
      <c r="G187" s="176"/>
      <c r="H187" s="177"/>
      <c r="I187" s="178"/>
      <c r="J187" s="178"/>
      <c r="K187" s="176"/>
      <c r="L187" s="177"/>
      <c r="M187" s="34"/>
      <c r="N187" s="179"/>
      <c r="O187" s="180"/>
      <c r="P187" s="34"/>
      <c r="Q187" s="177"/>
      <c r="R187" s="179"/>
      <c r="S187" s="180"/>
      <c r="T187" s="177"/>
      <c r="U187" s="177"/>
      <c r="V187" s="179"/>
      <c r="W187" s="180"/>
      <c r="X187" s="177"/>
      <c r="Y187" s="177"/>
      <c r="Z187" s="179"/>
      <c r="AA187" s="180"/>
      <c r="AB187" s="177"/>
      <c r="AC187" s="177"/>
      <c r="AD187" s="154"/>
      <c r="AE187" s="181"/>
      <c r="AJ187" s="170"/>
      <c r="AK187" s="171"/>
      <c r="AN187" s="50"/>
      <c r="AO187" s="182"/>
      <c r="AP187" s="49"/>
      <c r="AS187" s="171"/>
      <c r="AX187" s="183">
        <f>AZ185-AW185-AX185</f>
        <v>3817.1800000000021</v>
      </c>
    </row>
    <row r="188" spans="1:52" ht="15.75" thickBot="1" x14ac:dyDescent="0.3">
      <c r="F188" s="184"/>
      <c r="G188" s="185">
        <f t="shared" ref="G188:AD188" si="40">G186/50</f>
        <v>0</v>
      </c>
      <c r="H188" s="185">
        <f t="shared" si="40"/>
        <v>0</v>
      </c>
      <c r="I188" s="248">
        <f t="shared" si="40"/>
        <v>0</v>
      </c>
      <c r="J188" s="185">
        <f t="shared" si="40"/>
        <v>0</v>
      </c>
      <c r="K188" s="185">
        <f>K186/50</f>
        <v>0</v>
      </c>
      <c r="L188" s="185">
        <f>L186/50</f>
        <v>0</v>
      </c>
      <c r="M188" s="185">
        <f t="shared" si="40"/>
        <v>0</v>
      </c>
      <c r="N188" s="185">
        <f t="shared" si="40"/>
        <v>0</v>
      </c>
      <c r="O188" s="185">
        <f>O186/50</f>
        <v>0</v>
      </c>
      <c r="P188" s="185">
        <f t="shared" si="40"/>
        <v>0</v>
      </c>
      <c r="Q188" s="185">
        <f t="shared" si="40"/>
        <v>0</v>
      </c>
      <c r="R188" s="185">
        <f t="shared" si="40"/>
        <v>0</v>
      </c>
      <c r="S188" s="185">
        <f>S186/50</f>
        <v>0</v>
      </c>
      <c r="T188" s="185">
        <f t="shared" si="40"/>
        <v>0</v>
      </c>
      <c r="U188" s="185">
        <f t="shared" si="40"/>
        <v>0</v>
      </c>
      <c r="V188" s="185">
        <f t="shared" si="40"/>
        <v>0</v>
      </c>
      <c r="W188" s="185">
        <f>W186/50</f>
        <v>0</v>
      </c>
      <c r="X188" s="185">
        <f t="shared" si="40"/>
        <v>0</v>
      </c>
      <c r="Y188" s="185">
        <f t="shared" si="40"/>
        <v>0</v>
      </c>
      <c r="Z188" s="185">
        <f t="shared" si="40"/>
        <v>0</v>
      </c>
      <c r="AA188" s="185">
        <f>AA186/50</f>
        <v>0</v>
      </c>
      <c r="AB188" s="185">
        <f t="shared" si="40"/>
        <v>0</v>
      </c>
      <c r="AC188" s="185">
        <f t="shared" si="40"/>
        <v>0</v>
      </c>
      <c r="AD188" s="185">
        <f t="shared" si="40"/>
        <v>0</v>
      </c>
      <c r="AJ188" s="170"/>
      <c r="AK188" s="171"/>
      <c r="AN188" s="187" t="s">
        <v>138</v>
      </c>
      <c r="AO188" s="182" t="s">
        <v>139</v>
      </c>
      <c r="AP188" s="188" t="s">
        <v>140</v>
      </c>
      <c r="AQ188" s="189" t="s">
        <v>134</v>
      </c>
      <c r="AR188" s="189" t="s">
        <v>141</v>
      </c>
      <c r="AS188" s="190" t="s">
        <v>142</v>
      </c>
    </row>
    <row r="189" spans="1:52" ht="15.75" thickBot="1" x14ac:dyDescent="0.3">
      <c r="F189" s="191"/>
      <c r="G189" s="191">
        <f t="shared" ref="G189:AD189" si="41">G187+G188</f>
        <v>0</v>
      </c>
      <c r="H189" s="192">
        <f t="shared" si="41"/>
        <v>0</v>
      </c>
      <c r="I189" s="249">
        <f t="shared" si="41"/>
        <v>0</v>
      </c>
      <c r="J189" s="192">
        <f t="shared" si="41"/>
        <v>0</v>
      </c>
      <c r="K189" s="194">
        <f t="shared" si="41"/>
        <v>0</v>
      </c>
      <c r="L189" s="148">
        <f t="shared" si="41"/>
        <v>0</v>
      </c>
      <c r="M189" s="243">
        <f>M187+M188</f>
        <v>0</v>
      </c>
      <c r="N189" s="148">
        <f t="shared" si="41"/>
        <v>0</v>
      </c>
      <c r="O189" s="155"/>
      <c r="P189" s="148">
        <f t="shared" si="41"/>
        <v>0</v>
      </c>
      <c r="Q189" s="195">
        <f t="shared" si="41"/>
        <v>0</v>
      </c>
      <c r="R189" s="148">
        <f t="shared" si="41"/>
        <v>0</v>
      </c>
      <c r="S189" s="155">
        <f>S187+S188</f>
        <v>0</v>
      </c>
      <c r="T189" s="148">
        <f t="shared" si="41"/>
        <v>0</v>
      </c>
      <c r="U189" s="195">
        <f t="shared" si="41"/>
        <v>0</v>
      </c>
      <c r="V189" s="148">
        <f t="shared" si="41"/>
        <v>0</v>
      </c>
      <c r="W189" s="155">
        <f>W187+W188</f>
        <v>0</v>
      </c>
      <c r="X189" s="148">
        <f t="shared" si="41"/>
        <v>0</v>
      </c>
      <c r="Y189" s="195">
        <f t="shared" si="41"/>
        <v>0</v>
      </c>
      <c r="Z189" s="148">
        <f t="shared" si="41"/>
        <v>0</v>
      </c>
      <c r="AA189" s="155">
        <f>AA187+AA188</f>
        <v>0</v>
      </c>
      <c r="AB189" s="148">
        <f t="shared" si="41"/>
        <v>0</v>
      </c>
      <c r="AC189" s="195">
        <f t="shared" si="41"/>
        <v>0</v>
      </c>
      <c r="AD189" s="148">
        <f t="shared" si="41"/>
        <v>0</v>
      </c>
      <c r="AG189" s="253" t="s">
        <v>143</v>
      </c>
      <c r="AH189" s="253"/>
      <c r="AI189" s="253"/>
      <c r="AJ189" s="196"/>
      <c r="AK189" s="171"/>
      <c r="AL189" s="197" t="s">
        <v>4</v>
      </c>
      <c r="AM189" s="133" t="s">
        <v>144</v>
      </c>
      <c r="AN189" s="198">
        <v>400</v>
      </c>
      <c r="AO189" s="72">
        <f>AM185*0.5</f>
        <v>606.45000000000005</v>
      </c>
      <c r="AP189" s="199">
        <f>AN189+AO189</f>
        <v>1006.45</v>
      </c>
      <c r="AQ189" s="86">
        <f>AG190*0.5</f>
        <v>0</v>
      </c>
      <c r="AR189" s="200">
        <f>AP189-AQ189</f>
        <v>1006.45</v>
      </c>
      <c r="AS189" s="44">
        <v>4</v>
      </c>
      <c r="AT189" s="86">
        <f>AR189-AS189</f>
        <v>1002.45</v>
      </c>
      <c r="AU189" s="201">
        <v>1000</v>
      </c>
    </row>
    <row r="190" spans="1:52" ht="15.75" thickBot="1" x14ac:dyDescent="0.3">
      <c r="B190" s="245" t="s">
        <v>145</v>
      </c>
      <c r="F190" s="202"/>
      <c r="G190" s="247">
        <f>G189*0.5</f>
        <v>0</v>
      </c>
      <c r="H190" s="247">
        <f t="shared" ref="H190:AC190" si="42">H189*0.5</f>
        <v>0</v>
      </c>
      <c r="I190" s="247">
        <f t="shared" si="42"/>
        <v>0</v>
      </c>
      <c r="J190" s="247">
        <f t="shared" si="42"/>
        <v>0</v>
      </c>
      <c r="K190" s="247">
        <f t="shared" si="42"/>
        <v>0</v>
      </c>
      <c r="L190" s="247">
        <f t="shared" si="42"/>
        <v>0</v>
      </c>
      <c r="M190" s="247">
        <f t="shared" si="42"/>
        <v>0</v>
      </c>
      <c r="N190" s="247">
        <f t="shared" si="42"/>
        <v>0</v>
      </c>
      <c r="O190" s="247">
        <f t="shared" si="42"/>
        <v>0</v>
      </c>
      <c r="P190" s="247">
        <f t="shared" si="42"/>
        <v>0</v>
      </c>
      <c r="Q190" s="247">
        <f t="shared" si="42"/>
        <v>0</v>
      </c>
      <c r="R190" s="247">
        <f t="shared" si="42"/>
        <v>0</v>
      </c>
      <c r="S190" s="247">
        <f t="shared" si="42"/>
        <v>0</v>
      </c>
      <c r="T190" s="247">
        <f t="shared" si="42"/>
        <v>0</v>
      </c>
      <c r="U190" s="247">
        <f t="shared" si="42"/>
        <v>0</v>
      </c>
      <c r="V190" s="247">
        <f t="shared" si="42"/>
        <v>0</v>
      </c>
      <c r="W190" s="247">
        <f t="shared" si="42"/>
        <v>0</v>
      </c>
      <c r="X190" s="247">
        <f t="shared" si="42"/>
        <v>0</v>
      </c>
      <c r="Y190" s="247">
        <f t="shared" si="42"/>
        <v>0</v>
      </c>
      <c r="Z190" s="247">
        <f t="shared" si="42"/>
        <v>0</v>
      </c>
      <c r="AA190" s="247">
        <f t="shared" si="42"/>
        <v>0</v>
      </c>
      <c r="AB190" s="247">
        <f t="shared" si="42"/>
        <v>0</v>
      </c>
      <c r="AC190" s="247">
        <f t="shared" si="42"/>
        <v>0</v>
      </c>
      <c r="AD190" s="204">
        <f>AD189*25</f>
        <v>0</v>
      </c>
      <c r="AG190" s="205">
        <f>G190+K190+O190+S190+W190+AA190</f>
        <v>0</v>
      </c>
      <c r="AH190" s="205">
        <f>H190+L190+P190+T190+X190+AB190</f>
        <v>0</v>
      </c>
      <c r="AI190" s="205">
        <f>I190+M190+Q190+U190+Y190+AC190</f>
        <v>0</v>
      </c>
      <c r="AJ190" s="205">
        <f>J190+N190+R190+V190+Z190+AD190</f>
        <v>0</v>
      </c>
      <c r="AK190" s="171"/>
      <c r="AL190" s="197" t="s">
        <v>189</v>
      </c>
      <c r="AM190" s="133" t="s">
        <v>146</v>
      </c>
      <c r="AN190" s="206">
        <v>400</v>
      </c>
      <c r="AO190" s="72">
        <f>AM185*0.5</f>
        <v>606.45000000000005</v>
      </c>
      <c r="AP190" s="199">
        <f>AN190+AO190</f>
        <v>1006.45</v>
      </c>
      <c r="AQ190" s="86">
        <f>AG190*0.5</f>
        <v>0</v>
      </c>
      <c r="AR190" s="200">
        <f>AP190-AQ190</f>
        <v>1006.45</v>
      </c>
      <c r="AS190" s="44">
        <v>4</v>
      </c>
      <c r="AT190" s="86">
        <f>AR190-AS190</f>
        <v>1002.45</v>
      </c>
      <c r="AU190" s="207">
        <v>1000</v>
      </c>
    </row>
    <row r="191" spans="1:52" ht="15.75" thickBot="1" x14ac:dyDescent="0.3">
      <c r="B191" s="245" t="s">
        <v>147</v>
      </c>
      <c r="C191" s="245">
        <v>110203550</v>
      </c>
      <c r="AF191" s="171"/>
      <c r="AG191" s="171"/>
      <c r="AH191" s="171"/>
      <c r="AI191" s="171"/>
      <c r="AJ191" s="171"/>
      <c r="AK191" s="171"/>
      <c r="AL191" s="197" t="s">
        <v>190</v>
      </c>
      <c r="AM191" s="133" t="s">
        <v>148</v>
      </c>
      <c r="AN191" s="208"/>
      <c r="AO191" s="72"/>
      <c r="AP191" s="199">
        <f>AN191+AO191</f>
        <v>0</v>
      </c>
      <c r="AQ191" s="86"/>
      <c r="AR191" s="200">
        <f t="shared" ref="AR191:AR196" si="43">AP191-AQ191</f>
        <v>0</v>
      </c>
      <c r="AS191" s="209"/>
      <c r="AT191" s="86">
        <f>AR191-AS191</f>
        <v>0</v>
      </c>
      <c r="AU191" s="201">
        <v>0</v>
      </c>
    </row>
    <row r="192" spans="1:52" ht="19.5" thickBot="1" x14ac:dyDescent="0.35">
      <c r="A192" s="246"/>
      <c r="B192" s="246" t="s">
        <v>149</v>
      </c>
      <c r="C192" s="246">
        <v>110203550</v>
      </c>
      <c r="D192" s="246"/>
      <c r="E192" s="246"/>
      <c r="F192" s="246"/>
      <c r="G192" s="246"/>
      <c r="H192" s="246"/>
      <c r="J192" s="246"/>
      <c r="K192" s="246"/>
      <c r="L192" s="246">
        <v>4</v>
      </c>
      <c r="M192" s="210"/>
      <c r="N192" s="210"/>
      <c r="O192" s="210"/>
      <c r="P192" s="210"/>
      <c r="Q192" s="210"/>
      <c r="R192" s="246"/>
      <c r="S192" s="246"/>
      <c r="T192" s="246"/>
      <c r="V192" s="246"/>
      <c r="W192" s="246"/>
      <c r="X192" s="246"/>
      <c r="AF192" s="171"/>
      <c r="AG192" s="254">
        <f>AG190+AH190+AI190</f>
        <v>0</v>
      </c>
      <c r="AH192" s="255"/>
      <c r="AI192" s="256"/>
      <c r="AJ192" s="50">
        <f>AG192/2</f>
        <v>0</v>
      </c>
      <c r="AK192" s="171"/>
      <c r="AO192" s="44"/>
      <c r="AQ192" s="133"/>
      <c r="AR192" s="200">
        <f t="shared" si="43"/>
        <v>0</v>
      </c>
      <c r="AS192" s="209"/>
      <c r="AT192" s="133"/>
      <c r="AU192" s="201"/>
    </row>
    <row r="193" spans="1:49 16384:16384" x14ac:dyDescent="0.25">
      <c r="B193" s="246" t="s">
        <v>150</v>
      </c>
      <c r="C193" s="245" t="s">
        <v>151</v>
      </c>
      <c r="F193" s="246"/>
      <c r="G193" s="246"/>
      <c r="H193" s="246"/>
      <c r="J193" s="246"/>
      <c r="K193" s="246"/>
      <c r="L193" s="246"/>
      <c r="N193" s="246"/>
      <c r="O193" s="246"/>
      <c r="P193" s="246"/>
      <c r="R193" s="246"/>
      <c r="S193" s="246"/>
      <c r="T193" s="246"/>
      <c r="V193" s="246"/>
      <c r="W193" s="246"/>
      <c r="X193" s="246"/>
      <c r="AF193" s="171"/>
      <c r="AG193" s="181"/>
      <c r="AH193" s="210"/>
      <c r="AI193" s="211"/>
      <c r="AJ193" s="212"/>
      <c r="AK193" s="213"/>
      <c r="AL193" s="197" t="s">
        <v>6</v>
      </c>
      <c r="AM193" s="79" t="s">
        <v>144</v>
      </c>
      <c r="AN193" s="198">
        <v>400</v>
      </c>
      <c r="AO193" s="72">
        <f>AN185*0.55</f>
        <v>830.80250000000001</v>
      </c>
      <c r="AP193" s="214">
        <f>AN193+AO193</f>
        <v>1230.8025</v>
      </c>
      <c r="AQ193" s="86">
        <f>AH190*0.5</f>
        <v>0</v>
      </c>
      <c r="AR193" s="200">
        <f>AP193-AQ193</f>
        <v>1230.8025</v>
      </c>
      <c r="AS193" s="215"/>
      <c r="AT193" s="86">
        <f>AR193-AS193</f>
        <v>1230.8025</v>
      </c>
      <c r="AU193" s="207">
        <v>1230</v>
      </c>
      <c r="XFD193" s="245" t="s">
        <v>152</v>
      </c>
    </row>
    <row r="194" spans="1:49 16384:16384" x14ac:dyDescent="0.25">
      <c r="F194" s="246"/>
      <c r="G194" s="246"/>
      <c r="H194" s="246"/>
      <c r="J194" s="246"/>
      <c r="K194" s="246"/>
      <c r="L194" s="246"/>
      <c r="N194" s="246"/>
      <c r="O194" s="246"/>
      <c r="P194" s="246"/>
      <c r="R194" s="246"/>
      <c r="S194" s="246"/>
      <c r="T194" s="246"/>
      <c r="V194" s="246"/>
      <c r="W194" s="246"/>
      <c r="X194" s="246"/>
      <c r="AF194" s="171"/>
      <c r="AG194" s="181"/>
      <c r="AH194" s="210"/>
      <c r="AI194" s="216"/>
      <c r="AJ194" s="212"/>
      <c r="AK194" s="213"/>
      <c r="AL194" s="197"/>
      <c r="AM194" s="79" t="s">
        <v>186</v>
      </c>
      <c r="AN194" s="208">
        <v>0</v>
      </c>
      <c r="AO194" s="72"/>
      <c r="AP194" s="214">
        <f>AN194+AO194</f>
        <v>0</v>
      </c>
      <c r="AQ194" s="86"/>
      <c r="AR194" s="200">
        <f>AP194-AQ194</f>
        <v>0</v>
      </c>
      <c r="AS194" s="215"/>
      <c r="AT194" s="86">
        <f>AR194-AS194</f>
        <v>0</v>
      </c>
      <c r="AU194" s="207"/>
    </row>
    <row r="195" spans="1:49 16384:16384" x14ac:dyDescent="0.25">
      <c r="B195" s="245" t="s">
        <v>153</v>
      </c>
      <c r="F195" s="246"/>
      <c r="G195" s="246"/>
      <c r="H195" s="246"/>
      <c r="J195" s="246"/>
      <c r="K195" s="246"/>
      <c r="L195" s="246"/>
      <c r="N195" s="246"/>
      <c r="O195" s="246"/>
      <c r="P195" s="246"/>
      <c r="R195" s="246"/>
      <c r="S195" s="246"/>
      <c r="T195" s="246"/>
      <c r="V195" s="246"/>
      <c r="W195" s="246"/>
      <c r="X195" s="246"/>
      <c r="AF195" s="171"/>
      <c r="AG195" s="181"/>
      <c r="AH195" s="210"/>
      <c r="AI195" s="216"/>
      <c r="AJ195" s="212"/>
      <c r="AK195" s="213"/>
      <c r="AL195" s="197" t="s">
        <v>195</v>
      </c>
      <c r="AM195" s="93" t="s">
        <v>146</v>
      </c>
      <c r="AN195" s="206">
        <v>400</v>
      </c>
      <c r="AO195" s="72">
        <f>AN185*0.45</f>
        <v>679.74749999999995</v>
      </c>
      <c r="AP195" s="217">
        <f>AN195+AO195</f>
        <v>1079.7474999999999</v>
      </c>
      <c r="AQ195" s="86">
        <f>AH190*0.5</f>
        <v>0</v>
      </c>
      <c r="AR195" s="200">
        <f>AP195-AQ195</f>
        <v>1079.7474999999999</v>
      </c>
      <c r="AS195" s="215"/>
      <c r="AT195" s="86">
        <f>AR195-AS195</f>
        <v>1079.7474999999999</v>
      </c>
      <c r="AU195" s="201">
        <v>1080</v>
      </c>
    </row>
    <row r="196" spans="1:49 16384:16384" x14ac:dyDescent="0.25">
      <c r="X196" s="246"/>
      <c r="AB196" s="218"/>
      <c r="AC196" s="218"/>
      <c r="AD196" s="218"/>
      <c r="AF196" s="171"/>
      <c r="AG196" s="210"/>
      <c r="AH196" s="210"/>
      <c r="AI196" s="210"/>
      <c r="AJ196" s="210"/>
      <c r="AK196" s="210"/>
      <c r="AL196" s="133"/>
      <c r="AO196" s="219"/>
      <c r="AQ196" s="133"/>
      <c r="AR196" s="200">
        <f t="shared" si="43"/>
        <v>0</v>
      </c>
      <c r="AS196" s="209"/>
      <c r="AT196" s="133"/>
      <c r="AU196" s="201"/>
    </row>
    <row r="197" spans="1:49 16384:16384" x14ac:dyDescent="0.25">
      <c r="B197" s="245" t="s">
        <v>154</v>
      </c>
      <c r="X197" s="246"/>
      <c r="AF197" s="171"/>
      <c r="AG197" s="181"/>
      <c r="AH197" s="210"/>
      <c r="AI197" s="211"/>
      <c r="AJ197" s="212"/>
      <c r="AK197" s="213"/>
      <c r="AL197" s="197" t="s">
        <v>7</v>
      </c>
      <c r="AM197" s="79" t="s">
        <v>144</v>
      </c>
      <c r="AN197" s="198">
        <v>400</v>
      </c>
      <c r="AO197" s="72">
        <f>AO185*0.35</f>
        <v>593.16250000000002</v>
      </c>
      <c r="AP197" s="214">
        <f>AN197+AO197</f>
        <v>993.16250000000002</v>
      </c>
      <c r="AQ197" s="86">
        <f>AI190*0.5</f>
        <v>0</v>
      </c>
      <c r="AR197" s="200">
        <f>AP197-AQ197</f>
        <v>993.16250000000002</v>
      </c>
      <c r="AS197" s="220"/>
      <c r="AT197" s="86">
        <f>AR197-AS197</f>
        <v>993.16250000000002</v>
      </c>
      <c r="AU197" s="201">
        <v>995</v>
      </c>
    </row>
    <row r="198" spans="1:49 16384:16384" ht="15.75" thickBot="1" x14ac:dyDescent="0.3">
      <c r="B198" s="245" t="s">
        <v>155</v>
      </c>
      <c r="C198" s="245" t="s">
        <v>156</v>
      </c>
      <c r="X198" s="246"/>
      <c r="AI198" s="221">
        <f>25*AG192/15</f>
        <v>0</v>
      </c>
      <c r="AJ198" s="50"/>
      <c r="AK198" s="213"/>
      <c r="AL198" s="197" t="s">
        <v>157</v>
      </c>
      <c r="AM198" s="79" t="s">
        <v>146</v>
      </c>
      <c r="AN198" s="198">
        <v>400</v>
      </c>
      <c r="AO198" s="72">
        <f>AO185*0.33</f>
        <v>559.26750000000015</v>
      </c>
      <c r="AP198" s="214">
        <f>AN198+AO198</f>
        <v>959.26750000000015</v>
      </c>
      <c r="AQ198" s="86">
        <f>AI190*0.5</f>
        <v>0</v>
      </c>
      <c r="AR198" s="200">
        <f>AP198-AQ198</f>
        <v>959.26750000000015</v>
      </c>
      <c r="AS198" s="44"/>
      <c r="AT198" s="86">
        <f>AR198-AS198</f>
        <v>959.26750000000015</v>
      </c>
      <c r="AU198" s="201">
        <v>960</v>
      </c>
    </row>
    <row r="199" spans="1:49 16384:16384" ht="15.75" thickBot="1" x14ac:dyDescent="0.3">
      <c r="B199" s="245" t="s">
        <v>158</v>
      </c>
      <c r="X199" s="246"/>
      <c r="AG199" s="222" t="s">
        <v>13</v>
      </c>
      <c r="AH199" s="222" t="s">
        <v>14</v>
      </c>
      <c r="AI199" s="222" t="s">
        <v>15</v>
      </c>
      <c r="AK199" s="213"/>
      <c r="AL199" s="197" t="s">
        <v>159</v>
      </c>
      <c r="AM199" s="79" t="s">
        <v>148</v>
      </c>
      <c r="AN199" s="244">
        <v>400</v>
      </c>
      <c r="AO199" s="72">
        <f>AO185*0.32</f>
        <v>542.32000000000005</v>
      </c>
      <c r="AP199" s="214">
        <f>AN199+AO199</f>
        <v>942.32</v>
      </c>
      <c r="AQ199" s="86">
        <v>0</v>
      </c>
      <c r="AR199" s="223">
        <f>AP199-AQ199</f>
        <v>942.32</v>
      </c>
      <c r="AS199" s="44">
        <v>0</v>
      </c>
      <c r="AT199" s="86">
        <f>AR199-AS199</f>
        <v>942.32</v>
      </c>
      <c r="AU199" s="201">
        <v>940</v>
      </c>
    </row>
    <row r="200" spans="1:49 16384:16384" ht="15.75" thickBot="1" x14ac:dyDescent="0.3">
      <c r="A200" s="245" t="s">
        <v>160</v>
      </c>
      <c r="AG200" s="224">
        <f>AG190/23.5</f>
        <v>0</v>
      </c>
      <c r="AH200" s="225">
        <f>AH190/47</f>
        <v>0</v>
      </c>
      <c r="AI200" s="226">
        <f>AI190/23.5</f>
        <v>0</v>
      </c>
      <c r="AK200" s="212"/>
      <c r="AO200" s="227"/>
      <c r="AP200" s="50"/>
      <c r="AQ200" s="50"/>
      <c r="AR200" s="213"/>
      <c r="AS200" s="213"/>
      <c r="AT200" s="50"/>
      <c r="AU200" s="213">
        <f>SUM(AU189:AU199)</f>
        <v>7205</v>
      </c>
      <c r="AV200" s="210"/>
      <c r="AW200" s="213"/>
    </row>
    <row r="201" spans="1:49 16384:16384" x14ac:dyDescent="0.25">
      <c r="B201" s="245" t="s">
        <v>161</v>
      </c>
      <c r="AK201" s="242"/>
      <c r="AL201" s="181"/>
      <c r="AS201" s="212"/>
      <c r="AT201" s="212" t="s">
        <v>162</v>
      </c>
      <c r="AU201" s="228">
        <v>1200</v>
      </c>
    </row>
    <row r="202" spans="1:49 16384:16384" x14ac:dyDescent="0.25">
      <c r="B202" s="245" t="s">
        <v>163</v>
      </c>
      <c r="AG202" s="171"/>
      <c r="AJ202" s="210"/>
      <c r="AK202" s="216"/>
      <c r="AL202" s="250"/>
      <c r="AT202" s="245" t="s">
        <v>164</v>
      </c>
      <c r="AU202" s="210">
        <v>500</v>
      </c>
      <c r="AV202" s="242"/>
    </row>
    <row r="203" spans="1:49 16384:16384" x14ac:dyDescent="0.25">
      <c r="B203" s="245" t="s">
        <v>165</v>
      </c>
      <c r="AJ203" s="181"/>
      <c r="AK203" s="229"/>
      <c r="AL203" s="229"/>
      <c r="AT203" s="245" t="s">
        <v>166</v>
      </c>
      <c r="AU203" s="210">
        <v>100</v>
      </c>
      <c r="AV203" s="242"/>
    </row>
    <row r="204" spans="1:49 16384:16384" x14ac:dyDescent="0.25">
      <c r="C204" s="245">
        <v>100</v>
      </c>
      <c r="D204" s="245">
        <v>100</v>
      </c>
      <c r="AJ204" s="181"/>
      <c r="AK204" s="229"/>
      <c r="AL204" s="229"/>
      <c r="AT204" s="212" t="s">
        <v>167</v>
      </c>
      <c r="AU204" s="210">
        <v>200</v>
      </c>
    </row>
    <row r="205" spans="1:49 16384:16384" x14ac:dyDescent="0.25">
      <c r="A205" s="230" t="s">
        <v>168</v>
      </c>
      <c r="B205" s="230" t="s">
        <v>169</v>
      </c>
      <c r="C205" s="231">
        <v>44891</v>
      </c>
      <c r="D205" s="232">
        <v>44922</v>
      </c>
      <c r="AJ205" s="181"/>
      <c r="AK205" s="229"/>
      <c r="AL205" s="229"/>
      <c r="AR205" s="213"/>
      <c r="AU205" s="233">
        <f>SUM(AU200:AU204)</f>
        <v>9205</v>
      </c>
    </row>
    <row r="206" spans="1:49 16384:16384" x14ac:dyDescent="0.25">
      <c r="AG206" s="201" t="s">
        <v>170</v>
      </c>
      <c r="AH206" s="201" t="s">
        <v>171</v>
      </c>
      <c r="AU206" s="210"/>
    </row>
    <row r="207" spans="1:49 16384:16384" x14ac:dyDescent="0.25">
      <c r="B207" s="245" t="s">
        <v>172</v>
      </c>
      <c r="I207" s="245"/>
      <c r="J207" s="246"/>
      <c r="M207" s="245"/>
      <c r="N207" s="246"/>
      <c r="Q207" s="245"/>
      <c r="R207" s="246"/>
      <c r="U207" s="245"/>
      <c r="V207" s="246"/>
      <c r="Y207" s="245"/>
      <c r="Z207" s="246"/>
      <c r="AC207" s="245"/>
      <c r="AD207" s="246"/>
      <c r="AG207" s="234"/>
      <c r="AH207" s="133">
        <f>2844.55/22050</f>
        <v>0.1290045351473923</v>
      </c>
      <c r="AM207" s="210"/>
      <c r="AU207" s="235">
        <f>+AU205+AU206</f>
        <v>9205</v>
      </c>
      <c r="AV207" s="210"/>
      <c r="AW207" s="50"/>
    </row>
    <row r="208" spans="1:49 16384:16384" x14ac:dyDescent="0.25">
      <c r="B208" s="245" t="s">
        <v>173</v>
      </c>
      <c r="I208" s="245"/>
      <c r="J208" s="246"/>
      <c r="M208" s="245"/>
      <c r="N208" s="246"/>
      <c r="Q208" s="245"/>
      <c r="R208" s="246"/>
      <c r="U208" s="245"/>
      <c r="V208" s="246"/>
      <c r="Y208" s="245"/>
      <c r="Z208" s="246"/>
      <c r="AC208" s="245"/>
      <c r="AD208" s="246"/>
      <c r="AF208" s="210"/>
      <c r="AG208" s="201" t="s">
        <v>174</v>
      </c>
      <c r="AH208" s="112">
        <f>19205.55/441</f>
        <v>43.55</v>
      </c>
      <c r="AI208" s="210"/>
      <c r="AJ208" s="210"/>
      <c r="AK208" s="210"/>
      <c r="AL208" s="210"/>
      <c r="AM208" s="210"/>
      <c r="AN208" s="236"/>
      <c r="AU208" s="50">
        <f>AU207</f>
        <v>9205</v>
      </c>
    </row>
    <row r="209" spans="2:47" x14ac:dyDescent="0.25">
      <c r="B209" s="245" t="s">
        <v>175</v>
      </c>
      <c r="I209" s="245"/>
      <c r="J209" s="246"/>
      <c r="M209" s="245"/>
      <c r="N209" s="246"/>
      <c r="Q209" s="245"/>
      <c r="R209" s="246"/>
      <c r="U209" s="245"/>
      <c r="V209" s="246"/>
      <c r="Y209" s="245"/>
      <c r="Z209" s="246"/>
      <c r="AC209" s="245"/>
      <c r="AD209" s="246"/>
      <c r="AF209" s="181"/>
      <c r="AG209" s="237"/>
      <c r="AH209" s="237"/>
      <c r="AI209" s="237"/>
      <c r="AJ209" s="237"/>
      <c r="AK209" s="210"/>
      <c r="AL209" s="210"/>
      <c r="AN209" s="181"/>
      <c r="AO209" s="229"/>
      <c r="AP209" s="229"/>
      <c r="AQ209" s="210"/>
    </row>
    <row r="210" spans="2:47" x14ac:dyDescent="0.25">
      <c r="B210" s="245" t="s">
        <v>176</v>
      </c>
      <c r="I210" s="245"/>
      <c r="J210" s="246"/>
      <c r="M210" s="245"/>
      <c r="N210" s="246"/>
      <c r="Q210" s="245"/>
      <c r="R210" s="246"/>
      <c r="U210" s="245"/>
      <c r="V210" s="246"/>
      <c r="Y210" s="245"/>
      <c r="Z210" s="246"/>
      <c r="AC210" s="245"/>
      <c r="AD210" s="246"/>
      <c r="AF210" s="181"/>
      <c r="AG210" s="237"/>
      <c r="AH210" s="237"/>
      <c r="AI210" s="237"/>
      <c r="AJ210" s="237"/>
      <c r="AK210" s="210"/>
      <c r="AL210" s="210"/>
      <c r="AN210" s="181"/>
      <c r="AO210" s="229"/>
      <c r="AP210" s="229"/>
      <c r="AQ210" s="210"/>
      <c r="AS210" s="50"/>
      <c r="AU210" s="238"/>
    </row>
    <row r="211" spans="2:47" x14ac:dyDescent="0.25">
      <c r="B211" s="245" t="s">
        <v>177</v>
      </c>
      <c r="I211" s="245"/>
      <c r="J211" s="246"/>
      <c r="M211" s="245"/>
      <c r="N211" s="246"/>
      <c r="Q211" s="245"/>
      <c r="R211" s="246"/>
      <c r="U211" s="245"/>
      <c r="V211" s="246"/>
      <c r="Y211" s="245"/>
      <c r="Z211" s="246"/>
      <c r="AC211" s="245"/>
      <c r="AD211" s="246"/>
      <c r="AF211" s="181"/>
      <c r="AG211" s="237"/>
      <c r="AH211" s="237"/>
      <c r="AI211" s="237"/>
      <c r="AJ211" s="237"/>
      <c r="AK211" s="210"/>
      <c r="AL211" s="210" t="s">
        <v>198</v>
      </c>
      <c r="AN211" s="181"/>
      <c r="AO211" s="229"/>
      <c r="AP211" s="229"/>
      <c r="AQ211" s="210"/>
      <c r="AR211" s="50"/>
    </row>
    <row r="212" spans="2:47" x14ac:dyDescent="0.25">
      <c r="B212" s="245">
        <v>123456</v>
      </c>
      <c r="I212" s="245"/>
      <c r="J212" s="246"/>
      <c r="M212" s="245"/>
      <c r="N212" s="246"/>
      <c r="Q212" s="245"/>
      <c r="R212" s="246"/>
      <c r="U212" s="245"/>
      <c r="V212" s="246"/>
      <c r="Y212" s="245"/>
      <c r="Z212" s="246"/>
      <c r="AC212" s="245"/>
      <c r="AD212" s="246"/>
      <c r="AF212" s="181"/>
      <c r="AG212" s="237"/>
      <c r="AH212" s="237"/>
      <c r="AI212" s="237"/>
      <c r="AJ212" s="237"/>
      <c r="AK212" s="210"/>
      <c r="AL212" s="210"/>
      <c r="AN212" s="181"/>
      <c r="AO212" s="229"/>
      <c r="AP212" s="229"/>
      <c r="AQ212" s="210"/>
    </row>
    <row r="213" spans="2:47" x14ac:dyDescent="0.25">
      <c r="I213" s="245"/>
      <c r="J213" s="246"/>
      <c r="M213" s="245"/>
      <c r="N213" s="246"/>
      <c r="Q213" s="245"/>
      <c r="R213" s="246"/>
      <c r="U213" s="245"/>
      <c r="V213" s="246"/>
      <c r="Y213" s="245"/>
      <c r="Z213" s="246"/>
      <c r="AC213" s="245"/>
      <c r="AD213" s="246"/>
      <c r="AF213" s="181"/>
      <c r="AG213" s="237"/>
      <c r="AH213" s="237"/>
      <c r="AI213" s="237"/>
      <c r="AJ213" s="237"/>
      <c r="AK213" s="210"/>
      <c r="AL213" s="210"/>
      <c r="AN213" s="181"/>
      <c r="AO213" s="229"/>
      <c r="AP213" s="239"/>
      <c r="AQ213" s="210"/>
    </row>
    <row r="214" spans="2:47" x14ac:dyDescent="0.25">
      <c r="I214" s="245"/>
      <c r="J214" s="246"/>
      <c r="M214" s="245"/>
      <c r="N214" s="246"/>
      <c r="Q214" s="245"/>
      <c r="R214" s="246"/>
      <c r="U214" s="245"/>
      <c r="V214" s="246"/>
      <c r="Y214" s="245"/>
      <c r="Z214" s="246"/>
      <c r="AC214" s="245"/>
      <c r="AD214" s="246"/>
      <c r="AF214" s="181"/>
      <c r="AG214" s="237"/>
      <c r="AH214" s="237"/>
      <c r="AI214" s="237"/>
      <c r="AJ214" s="237"/>
      <c r="AK214" s="210"/>
      <c r="AL214" s="210"/>
      <c r="AN214" s="181"/>
      <c r="AO214" s="229"/>
      <c r="AP214" s="210"/>
      <c r="AQ214" s="210"/>
    </row>
    <row r="215" spans="2:47" x14ac:dyDescent="0.25">
      <c r="AF215" s="210"/>
      <c r="AG215" s="239"/>
      <c r="AH215" s="239"/>
      <c r="AI215" s="239"/>
      <c r="AJ215" s="239"/>
      <c r="AK215" s="210"/>
      <c r="AL215" s="210"/>
      <c r="AN215" s="210"/>
      <c r="AO215" s="239"/>
      <c r="AP215" s="246"/>
      <c r="AQ215" s="210"/>
    </row>
    <row r="216" spans="2:47" x14ac:dyDescent="0.25">
      <c r="AH216" s="210"/>
      <c r="AN216" s="210"/>
    </row>
    <row r="217" spans="2:47" x14ac:dyDescent="0.25">
      <c r="AH217" s="210"/>
    </row>
    <row r="218" spans="2:47" x14ac:dyDescent="0.25">
      <c r="AH218" s="210"/>
    </row>
    <row r="219" spans="2:47" x14ac:dyDescent="0.25">
      <c r="AM219" s="210"/>
    </row>
    <row r="220" spans="2:47" x14ac:dyDescent="0.25">
      <c r="AK220" s="240">
        <v>45283</v>
      </c>
      <c r="AM220" s="210"/>
    </row>
    <row r="221" spans="2:47" x14ac:dyDescent="0.25">
      <c r="AK221" s="133"/>
      <c r="AL221" s="133" t="s">
        <v>178</v>
      </c>
      <c r="AM221" s="112" t="s">
        <v>179</v>
      </c>
      <c r="AN221" s="133" t="s">
        <v>180</v>
      </c>
    </row>
    <row r="222" spans="2:47" x14ac:dyDescent="0.25">
      <c r="AK222" s="133" t="s">
        <v>181</v>
      </c>
      <c r="AL222" s="133">
        <v>225</v>
      </c>
      <c r="AM222" s="112">
        <v>5</v>
      </c>
      <c r="AN222" s="133">
        <f>AL222*AM222</f>
        <v>1125</v>
      </c>
      <c r="AQ222" s="245">
        <f>200*12</f>
        <v>2400</v>
      </c>
    </row>
    <row r="223" spans="2:47" x14ac:dyDescent="0.25">
      <c r="AK223" s="133" t="s">
        <v>182</v>
      </c>
      <c r="AL223" s="133">
        <v>200</v>
      </c>
      <c r="AM223" s="112">
        <v>5</v>
      </c>
      <c r="AN223" s="133">
        <f>AL223*AM223</f>
        <v>1000</v>
      </c>
      <c r="AQ223" s="245">
        <f>2400*4</f>
        <v>9600</v>
      </c>
    </row>
    <row r="224" spans="2:47" x14ac:dyDescent="0.25">
      <c r="AK224" s="133" t="s">
        <v>183</v>
      </c>
      <c r="AL224" s="133">
        <v>150</v>
      </c>
      <c r="AM224" s="112">
        <v>7</v>
      </c>
      <c r="AN224" s="133">
        <f>AL224*AM224</f>
        <v>1050</v>
      </c>
      <c r="AQ224" s="245">
        <f>600*12</f>
        <v>7200</v>
      </c>
    </row>
    <row r="225" spans="37:40" x14ac:dyDescent="0.25">
      <c r="AK225" s="133" t="s">
        <v>184</v>
      </c>
      <c r="AL225" s="133">
        <v>185</v>
      </c>
      <c r="AM225" s="112">
        <v>5</v>
      </c>
      <c r="AN225" s="133">
        <f>AL225*AM225</f>
        <v>925</v>
      </c>
    </row>
    <row r="226" spans="37:40" x14ac:dyDescent="0.25">
      <c r="AM226" s="210"/>
      <c r="AN226" s="241">
        <f>SUM(AN222:AN225)</f>
        <v>4100</v>
      </c>
    </row>
    <row r="227" spans="37:40" x14ac:dyDescent="0.25">
      <c r="AM227" s="210"/>
    </row>
    <row r="228" spans="37:40" x14ac:dyDescent="0.25">
      <c r="AK228" s="210" t="s">
        <v>185</v>
      </c>
      <c r="AM228" s="210"/>
      <c r="AN228" s="241">
        <v>16000</v>
      </c>
    </row>
    <row r="229" spans="37:40" x14ac:dyDescent="0.25">
      <c r="AM229" s="210"/>
    </row>
    <row r="230" spans="37:40" x14ac:dyDescent="0.25">
      <c r="AM230" s="210"/>
    </row>
    <row r="231" spans="37:40" x14ac:dyDescent="0.25">
      <c r="AM231" s="210"/>
    </row>
    <row r="232" spans="37:40" x14ac:dyDescent="0.25">
      <c r="AM232" s="210"/>
    </row>
    <row r="233" spans="37:40" x14ac:dyDescent="0.25">
      <c r="AM233" s="210"/>
    </row>
    <row r="234" spans="37:40" x14ac:dyDescent="0.25">
      <c r="AM234" s="210"/>
    </row>
    <row r="235" spans="37:40" x14ac:dyDescent="0.25">
      <c r="AM235" s="210"/>
    </row>
    <row r="236" spans="37:40" x14ac:dyDescent="0.25">
      <c r="AM236" s="210"/>
    </row>
    <row r="237" spans="37:40" x14ac:dyDescent="0.25">
      <c r="AM237" s="210"/>
    </row>
    <row r="238" spans="37:40" x14ac:dyDescent="0.25">
      <c r="AM238" s="210"/>
    </row>
    <row r="239" spans="37:40" x14ac:dyDescent="0.25">
      <c r="AM239" s="210"/>
    </row>
    <row r="240" spans="37:40" x14ac:dyDescent="0.25">
      <c r="AM240" s="210"/>
    </row>
    <row r="241" spans="39:39" x14ac:dyDescent="0.25">
      <c r="AM241" s="210"/>
    </row>
    <row r="242" spans="39:39" x14ac:dyDescent="0.25">
      <c r="AM242" s="210"/>
    </row>
    <row r="243" spans="39:39" x14ac:dyDescent="0.25">
      <c r="AM243" s="210"/>
    </row>
    <row r="244" spans="39:39" x14ac:dyDescent="0.25">
      <c r="AM244" s="210"/>
    </row>
    <row r="245" spans="39:39" x14ac:dyDescent="0.25">
      <c r="AM245" s="210"/>
    </row>
    <row r="246" spans="39:39" x14ac:dyDescent="0.25">
      <c r="AM246" s="210"/>
    </row>
    <row r="247" spans="39:39" x14ac:dyDescent="0.25">
      <c r="AM247" s="210"/>
    </row>
    <row r="248" spans="39:39" x14ac:dyDescent="0.25">
      <c r="AM248" s="210"/>
    </row>
    <row r="249" spans="39:39" x14ac:dyDescent="0.25">
      <c r="AM249" s="210"/>
    </row>
    <row r="250" spans="39:39" x14ac:dyDescent="0.25">
      <c r="AM250" s="210"/>
    </row>
    <row r="251" spans="39:39" x14ac:dyDescent="0.25">
      <c r="AM251" s="210"/>
    </row>
    <row r="252" spans="39:39" x14ac:dyDescent="0.25">
      <c r="AM252" s="210"/>
    </row>
    <row r="253" spans="39:39" x14ac:dyDescent="0.25">
      <c r="AM253" s="210"/>
    </row>
    <row r="254" spans="39:39" x14ac:dyDescent="0.25">
      <c r="AM254" s="210"/>
    </row>
    <row r="255" spans="39:39" x14ac:dyDescent="0.25">
      <c r="AM255" s="210"/>
    </row>
    <row r="256" spans="39:39" x14ac:dyDescent="0.25">
      <c r="AM256" s="210"/>
    </row>
    <row r="257" spans="39:39" x14ac:dyDescent="0.25">
      <c r="AM257" s="210"/>
    </row>
    <row r="258" spans="39:39" x14ac:dyDescent="0.25">
      <c r="AM258" s="210"/>
    </row>
    <row r="259" spans="39:39" x14ac:dyDescent="0.25">
      <c r="AM259" s="210"/>
    </row>
    <row r="260" spans="39:39" x14ac:dyDescent="0.25">
      <c r="AM260" s="210"/>
    </row>
    <row r="261" spans="39:39" x14ac:dyDescent="0.25">
      <c r="AM261" s="210"/>
    </row>
    <row r="262" spans="39:39" x14ac:dyDescent="0.25">
      <c r="AM262" s="210"/>
    </row>
    <row r="263" spans="39:39" x14ac:dyDescent="0.25">
      <c r="AM263" s="210"/>
    </row>
    <row r="264" spans="39:39" x14ac:dyDescent="0.25">
      <c r="AM264" s="210"/>
    </row>
    <row r="265" spans="39:39" x14ac:dyDescent="0.25">
      <c r="AM265" s="210"/>
    </row>
    <row r="266" spans="39:39" x14ac:dyDescent="0.25">
      <c r="AM266" s="210"/>
    </row>
    <row r="267" spans="39:39" x14ac:dyDescent="0.25">
      <c r="AM267" s="210"/>
    </row>
    <row r="268" spans="39:39" x14ac:dyDescent="0.25">
      <c r="AM268" s="210"/>
    </row>
    <row r="269" spans="39:39" x14ac:dyDescent="0.25">
      <c r="AM269" s="210"/>
    </row>
    <row r="270" spans="39:39" x14ac:dyDescent="0.25">
      <c r="AM270" s="210"/>
    </row>
    <row r="271" spans="39:39" x14ac:dyDescent="0.25">
      <c r="AM271" s="210"/>
    </row>
    <row r="272" spans="39:39" x14ac:dyDescent="0.25">
      <c r="AM272" s="210"/>
    </row>
    <row r="273" spans="39:39" x14ac:dyDescent="0.25">
      <c r="AM273" s="210"/>
    </row>
    <row r="274" spans="39:39" x14ac:dyDescent="0.25">
      <c r="AM274" s="210"/>
    </row>
    <row r="275" spans="39:39" x14ac:dyDescent="0.25">
      <c r="AM275" s="210"/>
    </row>
    <row r="276" spans="39:39" x14ac:dyDescent="0.25">
      <c r="AM276" s="210"/>
    </row>
    <row r="277" spans="39:39" x14ac:dyDescent="0.25">
      <c r="AM277" s="210"/>
    </row>
    <row r="278" spans="39:39" x14ac:dyDescent="0.25">
      <c r="AM278" s="210"/>
    </row>
    <row r="279" spans="39:39" x14ac:dyDescent="0.25">
      <c r="AM279" s="210"/>
    </row>
    <row r="280" spans="39:39" x14ac:dyDescent="0.25">
      <c r="AM280" s="210"/>
    </row>
    <row r="281" spans="39:39" x14ac:dyDescent="0.25">
      <c r="AM281" s="210"/>
    </row>
    <row r="282" spans="39:39" x14ac:dyDescent="0.25">
      <c r="AM282" s="210"/>
    </row>
    <row r="283" spans="39:39" x14ac:dyDescent="0.25">
      <c r="AM283" s="210"/>
    </row>
    <row r="284" spans="39:39" x14ac:dyDescent="0.25">
      <c r="AM284" s="210"/>
    </row>
    <row r="285" spans="39:39" x14ac:dyDescent="0.25">
      <c r="AM285" s="210"/>
    </row>
    <row r="286" spans="39:39" x14ac:dyDescent="0.25">
      <c r="AM286" s="210"/>
    </row>
    <row r="287" spans="39:39" x14ac:dyDescent="0.25">
      <c r="AM287" s="210"/>
    </row>
    <row r="288" spans="39:39" x14ac:dyDescent="0.25">
      <c r="AM288" s="210"/>
    </row>
    <row r="289" spans="39:39" x14ac:dyDescent="0.25">
      <c r="AM289" s="210"/>
    </row>
    <row r="290" spans="39:39" x14ac:dyDescent="0.25">
      <c r="AM290" s="210"/>
    </row>
    <row r="291" spans="39:39" x14ac:dyDescent="0.25">
      <c r="AM291" s="210"/>
    </row>
    <row r="292" spans="39:39" x14ac:dyDescent="0.25">
      <c r="AM292" s="210"/>
    </row>
    <row r="293" spans="39:39" x14ac:dyDescent="0.25">
      <c r="AM293" s="210"/>
    </row>
    <row r="294" spans="39:39" x14ac:dyDescent="0.25">
      <c r="AM294" s="210"/>
    </row>
    <row r="295" spans="39:39" x14ac:dyDescent="0.25">
      <c r="AM295" s="210"/>
    </row>
    <row r="296" spans="39:39" x14ac:dyDescent="0.25">
      <c r="AM296" s="210"/>
    </row>
    <row r="297" spans="39:39" x14ac:dyDescent="0.25">
      <c r="AM297" s="210"/>
    </row>
    <row r="298" spans="39:39" x14ac:dyDescent="0.25">
      <c r="AM298" s="210"/>
    </row>
    <row r="299" spans="39:39" x14ac:dyDescent="0.25">
      <c r="AM299" s="210"/>
    </row>
    <row r="300" spans="39:39" x14ac:dyDescent="0.25">
      <c r="AM300" s="210"/>
    </row>
    <row r="301" spans="39:39" x14ac:dyDescent="0.25">
      <c r="AM301" s="210"/>
    </row>
    <row r="302" spans="39:39" x14ac:dyDescent="0.25">
      <c r="AM302" s="210"/>
    </row>
    <row r="303" spans="39:39" x14ac:dyDescent="0.25">
      <c r="AM303" s="210"/>
    </row>
    <row r="304" spans="39:39" x14ac:dyDescent="0.25">
      <c r="AM304" s="210"/>
    </row>
    <row r="305" spans="39:39" x14ac:dyDescent="0.25">
      <c r="AM305" s="210"/>
    </row>
    <row r="306" spans="39:39" x14ac:dyDescent="0.25">
      <c r="AM306" s="210"/>
    </row>
    <row r="307" spans="39:39" x14ac:dyDescent="0.25">
      <c r="AM307" s="210"/>
    </row>
    <row r="308" spans="39:39" x14ac:dyDescent="0.25">
      <c r="AM308" s="210"/>
    </row>
    <row r="309" spans="39:39" x14ac:dyDescent="0.25">
      <c r="AM309" s="210"/>
    </row>
    <row r="310" spans="39:39" x14ac:dyDescent="0.25">
      <c r="AM310" s="210"/>
    </row>
    <row r="311" spans="39:39" x14ac:dyDescent="0.25">
      <c r="AM311" s="210"/>
    </row>
    <row r="312" spans="39:39" x14ac:dyDescent="0.25">
      <c r="AM312" s="210"/>
    </row>
    <row r="313" spans="39:39" x14ac:dyDescent="0.25">
      <c r="AM313" s="210"/>
    </row>
    <row r="314" spans="39:39" x14ac:dyDescent="0.25">
      <c r="AM314" s="210"/>
    </row>
    <row r="315" spans="39:39" x14ac:dyDescent="0.25">
      <c r="AM315" s="210"/>
    </row>
    <row r="316" spans="39:39" x14ac:dyDescent="0.25">
      <c r="AM316" s="210"/>
    </row>
    <row r="317" spans="39:39" x14ac:dyDescent="0.25">
      <c r="AM317" s="210"/>
    </row>
    <row r="318" spans="39:39" x14ac:dyDescent="0.25">
      <c r="AM318" s="210"/>
    </row>
    <row r="319" spans="39:39" x14ac:dyDescent="0.25">
      <c r="AM319" s="210"/>
    </row>
    <row r="320" spans="39:39" x14ac:dyDescent="0.25">
      <c r="AM320" s="210"/>
    </row>
    <row r="321" spans="39:39" x14ac:dyDescent="0.25">
      <c r="AM321" s="210"/>
    </row>
    <row r="322" spans="39:39" x14ac:dyDescent="0.25">
      <c r="AM322" s="210"/>
    </row>
    <row r="323" spans="39:39" x14ac:dyDescent="0.25">
      <c r="AM323" s="210"/>
    </row>
    <row r="324" spans="39:39" x14ac:dyDescent="0.25">
      <c r="AM324" s="210"/>
    </row>
    <row r="325" spans="39:39" x14ac:dyDescent="0.25">
      <c r="AM325" s="210"/>
    </row>
    <row r="326" spans="39:39" x14ac:dyDescent="0.25">
      <c r="AM326" s="210"/>
    </row>
    <row r="327" spans="39:39" x14ac:dyDescent="0.25">
      <c r="AM327" s="210"/>
    </row>
    <row r="328" spans="39:39" x14ac:dyDescent="0.25">
      <c r="AM328" s="210"/>
    </row>
    <row r="329" spans="39:39" x14ac:dyDescent="0.25">
      <c r="AM329" s="210"/>
    </row>
    <row r="330" spans="39:39" x14ac:dyDescent="0.25">
      <c r="AM330" s="210"/>
    </row>
    <row r="331" spans="39:39" x14ac:dyDescent="0.25">
      <c r="AM331" s="210"/>
    </row>
    <row r="332" spans="39:39" x14ac:dyDescent="0.25">
      <c r="AM332" s="210"/>
    </row>
    <row r="333" spans="39:39" x14ac:dyDescent="0.25">
      <c r="AM333" s="210"/>
    </row>
    <row r="334" spans="39:39" x14ac:dyDescent="0.25">
      <c r="AM334" s="210"/>
    </row>
    <row r="819064" spans="1:1" x14ac:dyDescent="0.25">
      <c r="A819064" s="242"/>
    </row>
    <row r="819065" spans="1:1" x14ac:dyDescent="0.25">
      <c r="A819065" s="242"/>
    </row>
    <row r="819066" spans="1:1" x14ac:dyDescent="0.25">
      <c r="A819066" s="242"/>
    </row>
    <row r="819067" spans="1:1" x14ac:dyDescent="0.25">
      <c r="A819067" s="242"/>
    </row>
    <row r="819068" spans="1:1" x14ac:dyDescent="0.25">
      <c r="A819068" s="242"/>
    </row>
    <row r="819069" spans="1:1" x14ac:dyDescent="0.25">
      <c r="A819069" s="242"/>
    </row>
    <row r="819070" spans="1:1" x14ac:dyDescent="0.25">
      <c r="A819070" s="242"/>
    </row>
    <row r="819071" spans="1:1" x14ac:dyDescent="0.25">
      <c r="A819071" s="242"/>
    </row>
    <row r="819072" spans="1:1" x14ac:dyDescent="0.25">
      <c r="A819072" s="242"/>
    </row>
    <row r="819073" spans="1:1" x14ac:dyDescent="0.25">
      <c r="A819073" s="242"/>
    </row>
    <row r="819074" spans="1:1" x14ac:dyDescent="0.25">
      <c r="A819074" s="242"/>
    </row>
    <row r="819075" spans="1:1" x14ac:dyDescent="0.25">
      <c r="A819075" s="242"/>
    </row>
    <row r="819076" spans="1:1" x14ac:dyDescent="0.25">
      <c r="A819076" s="242"/>
    </row>
    <row r="819077" spans="1:1" x14ac:dyDescent="0.25">
      <c r="A819077" s="242"/>
    </row>
    <row r="819078" spans="1:1" x14ac:dyDescent="0.25">
      <c r="A819078" s="242"/>
    </row>
    <row r="819079" spans="1:1" x14ac:dyDescent="0.25">
      <c r="A819079" s="242"/>
    </row>
    <row r="819080" spans="1:1" x14ac:dyDescent="0.25">
      <c r="A819080" s="242"/>
    </row>
    <row r="819081" spans="1:1" x14ac:dyDescent="0.25">
      <c r="A819081" s="242"/>
    </row>
    <row r="819082" spans="1:1" x14ac:dyDescent="0.25">
      <c r="A819082" s="242"/>
    </row>
    <row r="819083" spans="1:1" x14ac:dyDescent="0.25">
      <c r="A819083" s="242"/>
    </row>
    <row r="819084" spans="1:1" x14ac:dyDescent="0.25">
      <c r="A819084" s="242"/>
    </row>
    <row r="819085" spans="1:1" x14ac:dyDescent="0.25">
      <c r="A819085" s="242"/>
    </row>
    <row r="819086" spans="1:1" x14ac:dyDescent="0.25">
      <c r="A819086" s="242"/>
    </row>
    <row r="819087" spans="1:1" x14ac:dyDescent="0.25">
      <c r="A819087" s="242"/>
    </row>
    <row r="819088" spans="1:1" x14ac:dyDescent="0.25">
      <c r="A819088" s="242"/>
    </row>
    <row r="819089" spans="1:1" x14ac:dyDescent="0.25">
      <c r="A819089" s="242"/>
    </row>
    <row r="819090" spans="1:1" x14ac:dyDescent="0.25">
      <c r="A819090" s="242"/>
    </row>
    <row r="819091" spans="1:1" x14ac:dyDescent="0.25">
      <c r="A819091" s="242"/>
    </row>
    <row r="819092" spans="1:1" x14ac:dyDescent="0.25">
      <c r="A819092" s="242"/>
    </row>
    <row r="819093" spans="1:1" x14ac:dyDescent="0.25">
      <c r="A819093" s="242"/>
    </row>
    <row r="819094" spans="1:1" x14ac:dyDescent="0.25">
      <c r="A819094" s="242"/>
    </row>
    <row r="819095" spans="1:1" x14ac:dyDescent="0.25">
      <c r="A819095" s="242"/>
    </row>
    <row r="819096" spans="1:1" x14ac:dyDescent="0.25">
      <c r="A819096" s="242"/>
    </row>
    <row r="819097" spans="1:1" x14ac:dyDescent="0.25">
      <c r="A819097" s="242"/>
    </row>
    <row r="819098" spans="1:1" x14ac:dyDescent="0.25">
      <c r="A819098" s="242"/>
    </row>
    <row r="819099" spans="1:1" x14ac:dyDescent="0.25">
      <c r="A819099" s="242"/>
    </row>
    <row r="819100" spans="1:1" x14ac:dyDescent="0.25">
      <c r="A819100" s="242"/>
    </row>
    <row r="819101" spans="1:1" x14ac:dyDescent="0.25">
      <c r="A819101" s="242"/>
    </row>
    <row r="819102" spans="1:1" x14ac:dyDescent="0.25">
      <c r="A819102" s="242"/>
    </row>
    <row r="819103" spans="1:1" x14ac:dyDescent="0.25">
      <c r="A819103" s="242"/>
    </row>
    <row r="819104" spans="1:1" x14ac:dyDescent="0.25">
      <c r="A819104" s="242"/>
    </row>
    <row r="819105" spans="1:1" x14ac:dyDescent="0.25">
      <c r="A819105" s="242"/>
    </row>
    <row r="819106" spans="1:1" x14ac:dyDescent="0.25">
      <c r="A819106" s="242"/>
    </row>
    <row r="819107" spans="1:1" x14ac:dyDescent="0.25">
      <c r="A819107" s="242"/>
    </row>
    <row r="819108" spans="1:1" x14ac:dyDescent="0.25">
      <c r="A819108" s="242"/>
    </row>
    <row r="819109" spans="1:1" x14ac:dyDescent="0.25">
      <c r="A819109" s="242"/>
    </row>
    <row r="819110" spans="1:1" x14ac:dyDescent="0.25">
      <c r="A819110" s="242"/>
    </row>
    <row r="819111" spans="1:1" x14ac:dyDescent="0.25">
      <c r="A819111" s="242"/>
    </row>
    <row r="819112" spans="1:1" x14ac:dyDescent="0.25">
      <c r="A819112" s="242"/>
    </row>
    <row r="819113" spans="1:1" x14ac:dyDescent="0.25">
      <c r="A819113" s="242"/>
    </row>
    <row r="819114" spans="1:1" x14ac:dyDescent="0.25">
      <c r="A819114" s="242"/>
    </row>
    <row r="819115" spans="1:1" x14ac:dyDescent="0.25">
      <c r="A819115" s="242"/>
    </row>
    <row r="819116" spans="1:1" x14ac:dyDescent="0.25">
      <c r="A819116" s="242"/>
    </row>
    <row r="819117" spans="1:1" x14ac:dyDescent="0.25">
      <c r="A819117" s="242"/>
    </row>
    <row r="819118" spans="1:1" x14ac:dyDescent="0.25">
      <c r="A819118" s="242"/>
    </row>
    <row r="819119" spans="1:1" x14ac:dyDescent="0.25">
      <c r="A819119" s="242"/>
    </row>
    <row r="819120" spans="1:1" x14ac:dyDescent="0.25">
      <c r="A819120" s="242"/>
    </row>
    <row r="819121" spans="1:1" x14ac:dyDescent="0.25">
      <c r="A819121" s="242"/>
    </row>
    <row r="819122" spans="1:1" x14ac:dyDescent="0.25">
      <c r="A819122" s="242"/>
    </row>
    <row r="819123" spans="1:1" x14ac:dyDescent="0.25">
      <c r="A819123" s="242"/>
    </row>
    <row r="819124" spans="1:1" x14ac:dyDescent="0.25">
      <c r="A819124" s="242"/>
    </row>
    <row r="819125" spans="1:1" x14ac:dyDescent="0.25">
      <c r="A819125" s="242"/>
    </row>
    <row r="819126" spans="1:1" x14ac:dyDescent="0.25">
      <c r="A819126" s="242"/>
    </row>
    <row r="819127" spans="1:1" x14ac:dyDescent="0.25">
      <c r="A819127" s="242"/>
    </row>
    <row r="819128" spans="1:1" x14ac:dyDescent="0.25">
      <c r="A819128" s="242"/>
    </row>
    <row r="819129" spans="1:1" x14ac:dyDescent="0.25">
      <c r="A819129" s="242"/>
    </row>
    <row r="819130" spans="1:1" x14ac:dyDescent="0.25">
      <c r="A819130" s="242"/>
    </row>
    <row r="819131" spans="1:1" x14ac:dyDescent="0.25">
      <c r="A819131" s="242"/>
    </row>
    <row r="819132" spans="1:1" x14ac:dyDescent="0.25">
      <c r="A819132" s="242"/>
    </row>
    <row r="819133" spans="1:1" x14ac:dyDescent="0.25">
      <c r="A819133" s="242"/>
    </row>
    <row r="819134" spans="1:1" x14ac:dyDescent="0.25">
      <c r="A819134" s="242"/>
    </row>
    <row r="819135" spans="1:1" x14ac:dyDescent="0.25">
      <c r="A819135" s="242"/>
    </row>
    <row r="819136" spans="1:1" x14ac:dyDescent="0.25">
      <c r="A819136" s="242"/>
    </row>
    <row r="819137" spans="1:1" x14ac:dyDescent="0.25">
      <c r="A819137" s="242"/>
    </row>
    <row r="819138" spans="1:1" x14ac:dyDescent="0.25">
      <c r="A819138" s="242"/>
    </row>
    <row r="819139" spans="1:1" x14ac:dyDescent="0.25">
      <c r="A819139" s="242"/>
    </row>
    <row r="819140" spans="1:1" x14ac:dyDescent="0.25">
      <c r="A819140" s="242"/>
    </row>
    <row r="819141" spans="1:1" x14ac:dyDescent="0.25">
      <c r="A819141" s="242"/>
    </row>
    <row r="819142" spans="1:1" x14ac:dyDescent="0.25">
      <c r="A819142" s="242"/>
    </row>
    <row r="819143" spans="1:1" x14ac:dyDescent="0.25">
      <c r="A819143" s="242"/>
    </row>
    <row r="819144" spans="1:1" x14ac:dyDescent="0.25">
      <c r="A819144" s="242"/>
    </row>
    <row r="819145" spans="1:1" x14ac:dyDescent="0.25">
      <c r="A819145" s="242"/>
    </row>
    <row r="819146" spans="1:1" x14ac:dyDescent="0.25">
      <c r="A819146" s="242"/>
    </row>
    <row r="819147" spans="1:1" x14ac:dyDescent="0.25">
      <c r="A819147" s="242"/>
    </row>
    <row r="819148" spans="1:1" x14ac:dyDescent="0.25">
      <c r="A819148" s="242"/>
    </row>
    <row r="819149" spans="1:1" x14ac:dyDescent="0.25">
      <c r="A819149" s="242"/>
    </row>
    <row r="819150" spans="1:1" x14ac:dyDescent="0.25">
      <c r="A819150" s="242"/>
    </row>
    <row r="819151" spans="1:1" x14ac:dyDescent="0.25">
      <c r="A819151" s="242"/>
    </row>
    <row r="819152" spans="1:1" x14ac:dyDescent="0.25">
      <c r="A819152" s="242"/>
    </row>
    <row r="819153" spans="1:1" x14ac:dyDescent="0.25">
      <c r="A819153" s="242"/>
    </row>
    <row r="819154" spans="1:1" x14ac:dyDescent="0.25">
      <c r="A819154" s="242"/>
    </row>
    <row r="819155" spans="1:1" x14ac:dyDescent="0.25">
      <c r="A819155" s="242"/>
    </row>
    <row r="819156" spans="1:1" x14ac:dyDescent="0.25">
      <c r="A819156" s="242"/>
    </row>
    <row r="819157" spans="1:1" x14ac:dyDescent="0.25">
      <c r="A819157" s="242"/>
    </row>
    <row r="819158" spans="1:1" x14ac:dyDescent="0.25">
      <c r="A819158" s="242"/>
    </row>
    <row r="819159" spans="1:1" x14ac:dyDescent="0.25">
      <c r="A819159" s="242"/>
    </row>
    <row r="819160" spans="1:1" x14ac:dyDescent="0.25">
      <c r="A819160" s="242"/>
    </row>
    <row r="819161" spans="1:1" x14ac:dyDescent="0.25">
      <c r="A819161" s="242"/>
    </row>
    <row r="819162" spans="1:1" x14ac:dyDescent="0.25">
      <c r="A819162" s="242"/>
    </row>
    <row r="819163" spans="1:1" x14ac:dyDescent="0.25">
      <c r="A819163" s="242"/>
    </row>
    <row r="819164" spans="1:1" x14ac:dyDescent="0.25">
      <c r="A819164" s="242"/>
    </row>
    <row r="819165" spans="1:1" x14ac:dyDescent="0.25">
      <c r="A819165" s="242"/>
    </row>
    <row r="819166" spans="1:1" x14ac:dyDescent="0.25">
      <c r="A819166" s="242"/>
    </row>
    <row r="819167" spans="1:1" x14ac:dyDescent="0.25">
      <c r="A819167" s="242"/>
    </row>
    <row r="819168" spans="1:1" x14ac:dyDescent="0.25">
      <c r="A819168" s="242"/>
    </row>
    <row r="819169" spans="1:1" x14ac:dyDescent="0.25">
      <c r="A819169" s="242"/>
    </row>
    <row r="819170" spans="1:1" x14ac:dyDescent="0.25">
      <c r="A819170" s="242"/>
    </row>
    <row r="819171" spans="1:1" x14ac:dyDescent="0.25">
      <c r="A819171" s="242"/>
    </row>
    <row r="819172" spans="1:1" x14ac:dyDescent="0.25">
      <c r="A819172" s="242"/>
    </row>
    <row r="819173" spans="1:1" x14ac:dyDescent="0.25">
      <c r="A819173" s="242"/>
    </row>
    <row r="819174" spans="1:1" x14ac:dyDescent="0.25">
      <c r="A819174" s="242"/>
    </row>
    <row r="819175" spans="1:1" x14ac:dyDescent="0.25">
      <c r="A819175" s="242"/>
    </row>
    <row r="819176" spans="1:1" x14ac:dyDescent="0.25">
      <c r="A819176" s="242"/>
    </row>
    <row r="819177" spans="1:1" x14ac:dyDescent="0.25">
      <c r="A819177" s="242"/>
    </row>
    <row r="819178" spans="1:1" x14ac:dyDescent="0.25">
      <c r="A819178" s="242"/>
    </row>
    <row r="819179" spans="1:1" x14ac:dyDescent="0.25">
      <c r="A819179" s="242"/>
    </row>
    <row r="819180" spans="1:1" x14ac:dyDescent="0.25">
      <c r="A819180" s="242"/>
    </row>
    <row r="819181" spans="1:1" x14ac:dyDescent="0.25">
      <c r="A819181" s="242"/>
    </row>
    <row r="819182" spans="1:1" x14ac:dyDescent="0.25">
      <c r="A819182" s="242"/>
    </row>
    <row r="819183" spans="1:1" x14ac:dyDescent="0.25">
      <c r="A819183" s="242"/>
    </row>
    <row r="819184" spans="1:1" x14ac:dyDescent="0.25">
      <c r="A819184" s="242"/>
    </row>
    <row r="819185" spans="1:1" x14ac:dyDescent="0.25">
      <c r="A819185" s="242"/>
    </row>
    <row r="819186" spans="1:1" x14ac:dyDescent="0.25">
      <c r="A819186" s="242"/>
    </row>
    <row r="819187" spans="1:1" x14ac:dyDescent="0.25">
      <c r="A819187" s="242"/>
    </row>
    <row r="819188" spans="1:1" x14ac:dyDescent="0.25">
      <c r="A819188" s="242"/>
    </row>
    <row r="819189" spans="1:1" x14ac:dyDescent="0.25">
      <c r="A819189" s="242"/>
    </row>
    <row r="819190" spans="1:1" x14ac:dyDescent="0.25">
      <c r="A819190" s="242"/>
    </row>
    <row r="819191" spans="1:1" x14ac:dyDescent="0.25">
      <c r="A819191" s="242"/>
    </row>
    <row r="819192" spans="1:1" x14ac:dyDescent="0.25">
      <c r="A819192" s="242"/>
    </row>
    <row r="819193" spans="1:1" x14ac:dyDescent="0.25">
      <c r="A819193" s="242"/>
    </row>
    <row r="819194" spans="1:1" x14ac:dyDescent="0.25">
      <c r="A819194" s="242"/>
    </row>
    <row r="819195" spans="1:1" x14ac:dyDescent="0.25">
      <c r="A819195" s="242"/>
    </row>
    <row r="819196" spans="1:1" x14ac:dyDescent="0.25">
      <c r="A819196" s="242"/>
    </row>
    <row r="819197" spans="1:1" x14ac:dyDescent="0.25">
      <c r="A819197" s="242"/>
    </row>
    <row r="819198" spans="1:1" x14ac:dyDescent="0.25">
      <c r="A819198" s="242"/>
    </row>
    <row r="819199" spans="1:1" x14ac:dyDescent="0.25">
      <c r="A819199" s="242"/>
    </row>
    <row r="819200" spans="1:1" x14ac:dyDescent="0.25">
      <c r="A819200" s="242"/>
    </row>
    <row r="819201" spans="1:1" x14ac:dyDescent="0.25">
      <c r="A819201" s="242"/>
    </row>
    <row r="819202" spans="1:1" x14ac:dyDescent="0.25">
      <c r="A819202" s="242"/>
    </row>
    <row r="819203" spans="1:1" x14ac:dyDescent="0.25">
      <c r="A819203" s="242"/>
    </row>
    <row r="819204" spans="1:1" x14ac:dyDescent="0.25">
      <c r="A819204" s="242"/>
    </row>
    <row r="819205" spans="1:1" x14ac:dyDescent="0.25">
      <c r="A819205" s="242"/>
    </row>
    <row r="819206" spans="1:1" x14ac:dyDescent="0.25">
      <c r="A819206" s="242"/>
    </row>
    <row r="819207" spans="1:1" x14ac:dyDescent="0.25">
      <c r="A819207" s="242"/>
    </row>
    <row r="819208" spans="1:1" x14ac:dyDescent="0.25">
      <c r="A819208" s="242"/>
    </row>
    <row r="819209" spans="1:1" x14ac:dyDescent="0.25">
      <c r="A819209" s="242"/>
    </row>
    <row r="819210" spans="1:1" x14ac:dyDescent="0.25">
      <c r="A819210" s="242"/>
    </row>
    <row r="819211" spans="1:1" x14ac:dyDescent="0.25">
      <c r="A819211" s="242"/>
    </row>
    <row r="819212" spans="1:1" x14ac:dyDescent="0.25">
      <c r="A819212" s="242"/>
    </row>
    <row r="819213" spans="1:1" x14ac:dyDescent="0.25">
      <c r="A819213" s="242"/>
    </row>
    <row r="819214" spans="1:1" x14ac:dyDescent="0.25">
      <c r="A819214" s="242"/>
    </row>
    <row r="819215" spans="1:1" x14ac:dyDescent="0.25">
      <c r="A819215" s="242"/>
    </row>
    <row r="819216" spans="1:1" x14ac:dyDescent="0.25">
      <c r="A819216" s="242"/>
    </row>
    <row r="819217" spans="1:1" x14ac:dyDescent="0.25">
      <c r="A819217" s="242"/>
    </row>
    <row r="819218" spans="1:1" x14ac:dyDescent="0.25">
      <c r="A819218" s="242"/>
    </row>
    <row r="819219" spans="1:1" x14ac:dyDescent="0.25">
      <c r="A819219" s="242"/>
    </row>
    <row r="819220" spans="1:1" x14ac:dyDescent="0.25">
      <c r="A819220" s="242"/>
    </row>
    <row r="819221" spans="1:1" x14ac:dyDescent="0.25">
      <c r="A819221" s="242"/>
    </row>
    <row r="819222" spans="1:1" x14ac:dyDescent="0.25">
      <c r="A819222" s="242"/>
    </row>
    <row r="819223" spans="1:1" x14ac:dyDescent="0.25">
      <c r="A819223" s="242"/>
    </row>
    <row r="819224" spans="1:1" x14ac:dyDescent="0.25">
      <c r="A819224" s="242"/>
    </row>
    <row r="819225" spans="1:1" x14ac:dyDescent="0.25">
      <c r="A819225" s="242"/>
    </row>
    <row r="819226" spans="1:1" x14ac:dyDescent="0.25">
      <c r="A819226" s="242"/>
    </row>
    <row r="819227" spans="1:1" x14ac:dyDescent="0.25">
      <c r="A819227" s="242"/>
    </row>
    <row r="819228" spans="1:1" x14ac:dyDescent="0.25">
      <c r="A819228" s="242"/>
    </row>
    <row r="819229" spans="1:1" x14ac:dyDescent="0.25">
      <c r="A819229" s="242"/>
    </row>
    <row r="819230" spans="1:1" x14ac:dyDescent="0.25">
      <c r="A819230" s="242"/>
    </row>
    <row r="819231" spans="1:1" x14ac:dyDescent="0.25">
      <c r="A819231" s="242"/>
    </row>
    <row r="819232" spans="1:1" x14ac:dyDescent="0.25">
      <c r="A819232" s="242"/>
    </row>
    <row r="819233" spans="1:1" x14ac:dyDescent="0.25">
      <c r="A819233" s="242"/>
    </row>
    <row r="819234" spans="1:1" x14ac:dyDescent="0.25">
      <c r="A819234" s="242"/>
    </row>
    <row r="819235" spans="1:1" x14ac:dyDescent="0.25">
      <c r="A819235" s="242"/>
    </row>
    <row r="819236" spans="1:1" x14ac:dyDescent="0.25">
      <c r="A819236" s="242"/>
    </row>
    <row r="819237" spans="1:1" x14ac:dyDescent="0.25">
      <c r="A819237" s="242"/>
    </row>
    <row r="819238" spans="1:1" x14ac:dyDescent="0.25">
      <c r="A819238" s="242"/>
    </row>
    <row r="819239" spans="1:1" x14ac:dyDescent="0.25">
      <c r="A819239" s="242"/>
    </row>
    <row r="819240" spans="1:1" x14ac:dyDescent="0.25">
      <c r="A819240" s="242"/>
    </row>
    <row r="819241" spans="1:1" x14ac:dyDescent="0.25">
      <c r="A819241" s="242"/>
    </row>
    <row r="819242" spans="1:1" x14ac:dyDescent="0.25">
      <c r="A819242" s="242"/>
    </row>
    <row r="819243" spans="1:1" x14ac:dyDescent="0.25">
      <c r="A819243" s="242"/>
    </row>
    <row r="819244" spans="1:1" x14ac:dyDescent="0.25">
      <c r="A819244" s="242"/>
    </row>
    <row r="819245" spans="1:1" x14ac:dyDescent="0.25">
      <c r="A819245" s="242"/>
    </row>
    <row r="819246" spans="1:1" x14ac:dyDescent="0.25">
      <c r="A819246" s="242"/>
    </row>
    <row r="819247" spans="1:1" x14ac:dyDescent="0.25">
      <c r="A819247" s="242"/>
    </row>
    <row r="819248" spans="1:1" x14ac:dyDescent="0.25">
      <c r="A819248" s="242"/>
    </row>
    <row r="819249" spans="1:1" x14ac:dyDescent="0.25">
      <c r="A819249" s="242"/>
    </row>
    <row r="819250" spans="1:1" x14ac:dyDescent="0.25">
      <c r="A819250" s="242"/>
    </row>
    <row r="819251" spans="1:1" x14ac:dyDescent="0.25">
      <c r="A819251" s="242"/>
    </row>
    <row r="819252" spans="1:1" x14ac:dyDescent="0.25">
      <c r="A819252" s="242"/>
    </row>
    <row r="819253" spans="1:1" x14ac:dyDescent="0.25">
      <c r="A819253" s="242"/>
    </row>
    <row r="819254" spans="1:1" x14ac:dyDescent="0.25">
      <c r="A819254" s="242"/>
    </row>
    <row r="819255" spans="1:1" x14ac:dyDescent="0.25">
      <c r="A819255" s="242"/>
    </row>
    <row r="819256" spans="1:1" x14ac:dyDescent="0.25">
      <c r="A819256" s="242"/>
    </row>
    <row r="819257" spans="1:1" x14ac:dyDescent="0.25">
      <c r="A819257" s="242"/>
    </row>
    <row r="819258" spans="1:1" x14ac:dyDescent="0.25">
      <c r="A819258" s="242"/>
    </row>
    <row r="819259" spans="1:1" x14ac:dyDescent="0.25">
      <c r="A819259" s="242"/>
    </row>
    <row r="819260" spans="1:1" x14ac:dyDescent="0.25">
      <c r="A819260" s="242"/>
    </row>
    <row r="819261" spans="1:1" x14ac:dyDescent="0.25">
      <c r="A819261" s="242"/>
    </row>
    <row r="819262" spans="1:1" x14ac:dyDescent="0.25">
      <c r="A819262" s="242"/>
    </row>
    <row r="819263" spans="1:1" x14ac:dyDescent="0.25">
      <c r="A819263" s="242"/>
    </row>
    <row r="819264" spans="1:1" x14ac:dyDescent="0.25">
      <c r="A819264" s="242"/>
    </row>
    <row r="819265" spans="1:1" x14ac:dyDescent="0.25">
      <c r="A819265" s="242"/>
    </row>
    <row r="819266" spans="1:1" x14ac:dyDescent="0.25">
      <c r="A819266" s="242"/>
    </row>
    <row r="819267" spans="1:1" x14ac:dyDescent="0.25">
      <c r="A819267" s="242"/>
    </row>
    <row r="819268" spans="1:1" x14ac:dyDescent="0.25">
      <c r="A819268" s="242"/>
    </row>
    <row r="819269" spans="1:1" x14ac:dyDescent="0.25">
      <c r="A819269" s="242"/>
    </row>
    <row r="819270" spans="1:1" x14ac:dyDescent="0.25">
      <c r="A819270" s="242"/>
    </row>
    <row r="819271" spans="1:1" x14ac:dyDescent="0.25">
      <c r="A819271" s="242"/>
    </row>
    <row r="819272" spans="1:1" x14ac:dyDescent="0.25">
      <c r="A819272" s="242"/>
    </row>
    <row r="819273" spans="1:1" x14ac:dyDescent="0.25">
      <c r="A819273" s="242"/>
    </row>
    <row r="819274" spans="1:1" x14ac:dyDescent="0.25">
      <c r="A819274" s="242"/>
    </row>
    <row r="819275" spans="1:1" x14ac:dyDescent="0.25">
      <c r="A819275" s="242"/>
    </row>
    <row r="819276" spans="1:1" x14ac:dyDescent="0.25">
      <c r="A819276" s="242"/>
    </row>
    <row r="819277" spans="1:1" x14ac:dyDescent="0.25">
      <c r="A819277" s="242"/>
    </row>
    <row r="819278" spans="1:1" x14ac:dyDescent="0.25">
      <c r="A819278" s="242"/>
    </row>
    <row r="819279" spans="1:1" x14ac:dyDescent="0.25">
      <c r="A819279" s="242"/>
    </row>
    <row r="819280" spans="1:1" x14ac:dyDescent="0.25">
      <c r="A819280" s="242"/>
    </row>
    <row r="819281" spans="1:1" x14ac:dyDescent="0.25">
      <c r="A819281" s="242"/>
    </row>
    <row r="819282" spans="1:1" x14ac:dyDescent="0.25">
      <c r="A819282" s="242"/>
    </row>
    <row r="819283" spans="1:1" x14ac:dyDescent="0.25">
      <c r="A819283" s="242"/>
    </row>
    <row r="819284" spans="1:1" x14ac:dyDescent="0.25">
      <c r="A819284" s="242"/>
    </row>
    <row r="819285" spans="1:1" x14ac:dyDescent="0.25">
      <c r="A819285" s="242"/>
    </row>
    <row r="819286" spans="1:1" x14ac:dyDescent="0.25">
      <c r="A819286" s="242"/>
    </row>
    <row r="819287" spans="1:1" x14ac:dyDescent="0.25">
      <c r="A819287" s="242"/>
    </row>
    <row r="819288" spans="1:1" x14ac:dyDescent="0.25">
      <c r="A819288" s="242"/>
    </row>
    <row r="819289" spans="1:1" x14ac:dyDescent="0.25">
      <c r="A819289" s="242"/>
    </row>
    <row r="819290" spans="1:1" x14ac:dyDescent="0.25">
      <c r="A819290" s="242"/>
    </row>
    <row r="819291" spans="1:1" x14ac:dyDescent="0.25">
      <c r="A819291" s="242"/>
    </row>
    <row r="819292" spans="1:1" x14ac:dyDescent="0.25">
      <c r="A819292" s="242"/>
    </row>
    <row r="819293" spans="1:1" x14ac:dyDescent="0.25">
      <c r="A819293" s="242"/>
    </row>
    <row r="819294" spans="1:1" x14ac:dyDescent="0.25">
      <c r="A819294" s="242"/>
    </row>
    <row r="819295" spans="1:1" x14ac:dyDescent="0.25">
      <c r="A819295" s="242"/>
    </row>
    <row r="819296" spans="1:1" x14ac:dyDescent="0.25">
      <c r="A819296" s="242"/>
    </row>
    <row r="819297" spans="1:1" x14ac:dyDescent="0.25">
      <c r="A819297" s="242"/>
    </row>
    <row r="819298" spans="1:1" x14ac:dyDescent="0.25">
      <c r="A819298" s="242"/>
    </row>
    <row r="819299" spans="1:1" x14ac:dyDescent="0.25">
      <c r="A819299" s="242"/>
    </row>
    <row r="819300" spans="1:1" x14ac:dyDescent="0.25">
      <c r="A819300" s="242"/>
    </row>
    <row r="819301" spans="1:1" x14ac:dyDescent="0.25">
      <c r="A819301" s="242"/>
    </row>
    <row r="819302" spans="1:1" x14ac:dyDescent="0.25">
      <c r="A819302" s="242"/>
    </row>
    <row r="819303" spans="1:1" x14ac:dyDescent="0.25">
      <c r="A819303" s="242"/>
    </row>
    <row r="819304" spans="1:1" x14ac:dyDescent="0.25">
      <c r="A819304" s="242"/>
    </row>
    <row r="819305" spans="1:1" x14ac:dyDescent="0.25">
      <c r="A819305" s="242"/>
    </row>
    <row r="819306" spans="1:1" x14ac:dyDescent="0.25">
      <c r="A819306" s="242"/>
    </row>
    <row r="819307" spans="1:1" x14ac:dyDescent="0.25">
      <c r="A819307" s="242"/>
    </row>
    <row r="819308" spans="1:1" x14ac:dyDescent="0.25">
      <c r="A819308" s="242"/>
    </row>
    <row r="819309" spans="1:1" x14ac:dyDescent="0.25">
      <c r="A819309" s="242"/>
    </row>
    <row r="819310" spans="1:1" x14ac:dyDescent="0.25">
      <c r="A819310" s="242"/>
    </row>
    <row r="819311" spans="1:1" x14ac:dyDescent="0.25">
      <c r="A819311" s="242"/>
    </row>
    <row r="819312" spans="1:1" x14ac:dyDescent="0.25">
      <c r="A819312" s="242"/>
    </row>
    <row r="819313" spans="1:1" x14ac:dyDescent="0.25">
      <c r="A819313" s="242"/>
    </row>
    <row r="819314" spans="1:1" x14ac:dyDescent="0.25">
      <c r="A819314" s="242"/>
    </row>
    <row r="819315" spans="1:1" x14ac:dyDescent="0.25">
      <c r="A819315" s="242"/>
    </row>
    <row r="819316" spans="1:1" x14ac:dyDescent="0.25">
      <c r="A819316" s="242"/>
    </row>
    <row r="819317" spans="1:1" x14ac:dyDescent="0.25">
      <c r="A819317" s="242"/>
    </row>
    <row r="819318" spans="1:1" x14ac:dyDescent="0.25">
      <c r="A819318" s="242"/>
    </row>
    <row r="819319" spans="1:1" x14ac:dyDescent="0.25">
      <c r="A819319" s="242"/>
    </row>
    <row r="819320" spans="1:1" x14ac:dyDescent="0.25">
      <c r="A819320" s="242"/>
    </row>
    <row r="819321" spans="1:1" x14ac:dyDescent="0.25">
      <c r="A819321" s="242"/>
    </row>
    <row r="819322" spans="1:1" x14ac:dyDescent="0.25">
      <c r="A819322" s="242"/>
    </row>
    <row r="819323" spans="1:1" x14ac:dyDescent="0.25">
      <c r="A819323" s="242"/>
    </row>
    <row r="819324" spans="1:1" x14ac:dyDescent="0.25">
      <c r="A819324" s="242"/>
    </row>
    <row r="819325" spans="1:1" x14ac:dyDescent="0.25">
      <c r="A819325" s="242"/>
    </row>
    <row r="819326" spans="1:1" x14ac:dyDescent="0.25">
      <c r="A819326" s="242"/>
    </row>
    <row r="819327" spans="1:1" x14ac:dyDescent="0.25">
      <c r="A819327" s="242"/>
    </row>
    <row r="819328" spans="1:1" x14ac:dyDescent="0.25">
      <c r="A819328" s="242"/>
    </row>
    <row r="819329" spans="1:1" x14ac:dyDescent="0.25">
      <c r="A819329" s="242"/>
    </row>
    <row r="819330" spans="1:1" x14ac:dyDescent="0.25">
      <c r="A819330" s="242"/>
    </row>
    <row r="819331" spans="1:1" x14ac:dyDescent="0.25">
      <c r="A819331" s="242"/>
    </row>
    <row r="819332" spans="1:1" x14ac:dyDescent="0.25">
      <c r="A819332" s="242"/>
    </row>
    <row r="819333" spans="1:1" x14ac:dyDescent="0.25">
      <c r="A819333" s="242"/>
    </row>
    <row r="819334" spans="1:1" x14ac:dyDescent="0.25">
      <c r="A819334" s="242"/>
    </row>
    <row r="819335" spans="1:1" x14ac:dyDescent="0.25">
      <c r="A819335" s="242"/>
    </row>
    <row r="819336" spans="1:1" x14ac:dyDescent="0.25">
      <c r="A819336" s="242"/>
    </row>
    <row r="819337" spans="1:1" x14ac:dyDescent="0.25">
      <c r="A819337" s="242"/>
    </row>
    <row r="819338" spans="1:1" x14ac:dyDescent="0.25">
      <c r="A819338" s="242"/>
    </row>
    <row r="819339" spans="1:1" x14ac:dyDescent="0.25">
      <c r="A819339" s="242"/>
    </row>
    <row r="819340" spans="1:1" x14ac:dyDescent="0.25">
      <c r="A819340" s="242"/>
    </row>
    <row r="819341" spans="1:1" x14ac:dyDescent="0.25">
      <c r="A819341" s="242"/>
    </row>
    <row r="819342" spans="1:1" x14ac:dyDescent="0.25">
      <c r="A819342" s="242"/>
    </row>
    <row r="819343" spans="1:1" x14ac:dyDescent="0.25">
      <c r="A819343" s="242"/>
    </row>
    <row r="819344" spans="1:1" x14ac:dyDescent="0.25">
      <c r="A819344" s="242"/>
    </row>
    <row r="819345" spans="1:1" x14ac:dyDescent="0.25">
      <c r="A819345" s="242"/>
    </row>
    <row r="819346" spans="1:1" x14ac:dyDescent="0.25">
      <c r="A819346" s="242"/>
    </row>
    <row r="819347" spans="1:1" x14ac:dyDescent="0.25">
      <c r="A819347" s="242"/>
    </row>
    <row r="819348" spans="1:1" x14ac:dyDescent="0.25">
      <c r="A819348" s="242"/>
    </row>
    <row r="819349" spans="1:1" x14ac:dyDescent="0.25">
      <c r="A819349" s="242"/>
    </row>
    <row r="819350" spans="1:1" x14ac:dyDescent="0.25">
      <c r="A819350" s="242"/>
    </row>
    <row r="819351" spans="1:1" x14ac:dyDescent="0.25">
      <c r="A819351" s="242"/>
    </row>
    <row r="819352" spans="1:1" x14ac:dyDescent="0.25">
      <c r="A819352" s="242"/>
    </row>
    <row r="819353" spans="1:1" x14ac:dyDescent="0.25">
      <c r="A819353" s="242"/>
    </row>
    <row r="819354" spans="1:1" x14ac:dyDescent="0.25">
      <c r="A819354" s="242"/>
    </row>
    <row r="819355" spans="1:1" x14ac:dyDescent="0.25">
      <c r="A819355" s="242"/>
    </row>
    <row r="819356" spans="1:1" x14ac:dyDescent="0.25">
      <c r="A819356" s="242"/>
    </row>
    <row r="819357" spans="1:1" x14ac:dyDescent="0.25">
      <c r="A819357" s="242"/>
    </row>
    <row r="819358" spans="1:1" x14ac:dyDescent="0.25">
      <c r="A819358" s="242"/>
    </row>
    <row r="819359" spans="1:1" x14ac:dyDescent="0.25">
      <c r="A819359" s="242"/>
    </row>
    <row r="819360" spans="1:1" x14ac:dyDescent="0.25">
      <c r="A819360" s="242"/>
    </row>
    <row r="819361" spans="1:1" x14ac:dyDescent="0.25">
      <c r="A819361" s="242"/>
    </row>
    <row r="819362" spans="1:1" x14ac:dyDescent="0.25">
      <c r="A819362" s="242"/>
    </row>
    <row r="819363" spans="1:1" x14ac:dyDescent="0.25">
      <c r="A819363" s="242"/>
    </row>
    <row r="819364" spans="1:1" x14ac:dyDescent="0.25">
      <c r="A819364" s="242"/>
    </row>
    <row r="819365" spans="1:1" x14ac:dyDescent="0.25">
      <c r="A819365" s="242"/>
    </row>
    <row r="819366" spans="1:1" x14ac:dyDescent="0.25">
      <c r="A819366" s="242"/>
    </row>
    <row r="819367" spans="1:1" x14ac:dyDescent="0.25">
      <c r="A819367" s="242"/>
    </row>
    <row r="819368" spans="1:1" x14ac:dyDescent="0.25">
      <c r="A819368" s="242"/>
    </row>
    <row r="819369" spans="1:1" x14ac:dyDescent="0.25">
      <c r="A819369" s="242"/>
    </row>
    <row r="819370" spans="1:1" x14ac:dyDescent="0.25">
      <c r="A819370" s="242"/>
    </row>
    <row r="819371" spans="1:1" x14ac:dyDescent="0.25">
      <c r="A819371" s="242"/>
    </row>
    <row r="819372" spans="1:1" x14ac:dyDescent="0.25">
      <c r="A819372" s="242"/>
    </row>
    <row r="819373" spans="1:1" x14ac:dyDescent="0.25">
      <c r="A819373" s="242"/>
    </row>
    <row r="819374" spans="1:1" x14ac:dyDescent="0.25">
      <c r="A819374" s="242"/>
    </row>
    <row r="819375" spans="1:1" x14ac:dyDescent="0.25">
      <c r="A819375" s="242"/>
    </row>
    <row r="819376" spans="1:1" x14ac:dyDescent="0.25">
      <c r="A819376" s="242"/>
    </row>
    <row r="819377" spans="1:1" x14ac:dyDescent="0.25">
      <c r="A819377" s="242"/>
    </row>
    <row r="819378" spans="1:1" x14ac:dyDescent="0.25">
      <c r="A819378" s="242"/>
    </row>
    <row r="819379" spans="1:1" x14ac:dyDescent="0.25">
      <c r="A819379" s="242"/>
    </row>
    <row r="819380" spans="1:1" x14ac:dyDescent="0.25">
      <c r="A819380" s="242"/>
    </row>
    <row r="819381" spans="1:1" x14ac:dyDescent="0.25">
      <c r="A819381" s="242"/>
    </row>
    <row r="819382" spans="1:1" x14ac:dyDescent="0.25">
      <c r="A819382" s="242"/>
    </row>
    <row r="819383" spans="1:1" x14ac:dyDescent="0.25">
      <c r="A819383" s="242"/>
    </row>
    <row r="819384" spans="1:1" x14ac:dyDescent="0.25">
      <c r="A819384" s="242"/>
    </row>
    <row r="819385" spans="1:1" x14ac:dyDescent="0.25">
      <c r="A819385" s="242"/>
    </row>
    <row r="819386" spans="1:1" x14ac:dyDescent="0.25">
      <c r="A819386" s="242"/>
    </row>
    <row r="819387" spans="1:1" x14ac:dyDescent="0.25">
      <c r="A819387" s="242"/>
    </row>
    <row r="819388" spans="1:1" x14ac:dyDescent="0.25">
      <c r="A819388" s="242"/>
    </row>
    <row r="819389" spans="1:1" x14ac:dyDescent="0.25">
      <c r="A819389" s="242"/>
    </row>
    <row r="819390" spans="1:1" x14ac:dyDescent="0.25">
      <c r="A819390" s="242"/>
    </row>
    <row r="819391" spans="1:1" x14ac:dyDescent="0.25">
      <c r="A819391" s="242"/>
    </row>
    <row r="819392" spans="1:1" x14ac:dyDescent="0.25">
      <c r="A819392" s="242"/>
    </row>
    <row r="819393" spans="1:1" x14ac:dyDescent="0.25">
      <c r="A819393" s="242"/>
    </row>
    <row r="819394" spans="1:1" x14ac:dyDescent="0.25">
      <c r="A819394" s="242"/>
    </row>
    <row r="819395" spans="1:1" x14ac:dyDescent="0.25">
      <c r="A819395" s="242"/>
    </row>
    <row r="819396" spans="1:1" x14ac:dyDescent="0.25">
      <c r="A819396" s="242"/>
    </row>
    <row r="819397" spans="1:1" x14ac:dyDescent="0.25">
      <c r="A819397" s="242"/>
    </row>
    <row r="819398" spans="1:1" x14ac:dyDescent="0.25">
      <c r="A819398" s="242"/>
    </row>
    <row r="819399" spans="1:1" x14ac:dyDescent="0.25">
      <c r="A819399" s="242"/>
    </row>
    <row r="819400" spans="1:1" x14ac:dyDescent="0.25">
      <c r="A819400" s="242"/>
    </row>
    <row r="819401" spans="1:1" x14ac:dyDescent="0.25">
      <c r="A819401" s="242"/>
    </row>
    <row r="819402" spans="1:1" x14ac:dyDescent="0.25">
      <c r="A819402" s="242"/>
    </row>
    <row r="819403" spans="1:1" x14ac:dyDescent="0.25">
      <c r="A819403" s="242"/>
    </row>
    <row r="819404" spans="1:1" x14ac:dyDescent="0.25">
      <c r="A819404" s="242"/>
    </row>
    <row r="819405" spans="1:1" x14ac:dyDescent="0.25">
      <c r="A819405" s="242"/>
    </row>
    <row r="819406" spans="1:1" x14ac:dyDescent="0.25">
      <c r="A819406" s="242"/>
    </row>
    <row r="819407" spans="1:1" x14ac:dyDescent="0.25">
      <c r="A819407" s="242"/>
    </row>
    <row r="819408" spans="1:1" x14ac:dyDescent="0.25">
      <c r="A819408" s="242"/>
    </row>
    <row r="819409" spans="1:1" x14ac:dyDescent="0.25">
      <c r="A819409" s="242"/>
    </row>
    <row r="819410" spans="1:1" x14ac:dyDescent="0.25">
      <c r="A819410" s="242"/>
    </row>
    <row r="819411" spans="1:1" x14ac:dyDescent="0.25">
      <c r="A819411" s="242"/>
    </row>
    <row r="819412" spans="1:1" x14ac:dyDescent="0.25">
      <c r="A819412" s="242"/>
    </row>
    <row r="819413" spans="1:1" x14ac:dyDescent="0.25">
      <c r="A819413" s="242"/>
    </row>
    <row r="819414" spans="1:1" x14ac:dyDescent="0.25">
      <c r="A819414" s="242"/>
    </row>
    <row r="819415" spans="1:1" x14ac:dyDescent="0.25">
      <c r="A819415" s="242"/>
    </row>
    <row r="819416" spans="1:1" x14ac:dyDescent="0.25">
      <c r="A819416" s="242"/>
    </row>
    <row r="819417" spans="1:1" x14ac:dyDescent="0.25">
      <c r="A819417" s="242"/>
    </row>
    <row r="819418" spans="1:1" x14ac:dyDescent="0.25">
      <c r="A819418" s="242"/>
    </row>
    <row r="819419" spans="1:1" x14ac:dyDescent="0.25">
      <c r="A819419" s="242"/>
    </row>
    <row r="819420" spans="1:1" x14ac:dyDescent="0.25">
      <c r="A819420" s="242"/>
    </row>
    <row r="819421" spans="1:1" x14ac:dyDescent="0.25">
      <c r="A819421" s="242"/>
    </row>
    <row r="819422" spans="1:1" x14ac:dyDescent="0.25">
      <c r="A819422" s="242"/>
    </row>
    <row r="819423" spans="1:1" x14ac:dyDescent="0.25">
      <c r="A819423" s="242"/>
    </row>
    <row r="819424" spans="1:1" x14ac:dyDescent="0.25">
      <c r="A819424" s="242"/>
    </row>
    <row r="819425" spans="1:1" x14ac:dyDescent="0.25">
      <c r="A819425" s="242"/>
    </row>
    <row r="819426" spans="1:1" x14ac:dyDescent="0.25">
      <c r="A819426" s="242"/>
    </row>
    <row r="819427" spans="1:1" x14ac:dyDescent="0.25">
      <c r="A819427" s="242"/>
    </row>
    <row r="819428" spans="1:1" x14ac:dyDescent="0.25">
      <c r="A819428" s="242"/>
    </row>
    <row r="819429" spans="1:1" x14ac:dyDescent="0.25">
      <c r="A819429" s="242"/>
    </row>
    <row r="819430" spans="1:1" x14ac:dyDescent="0.25">
      <c r="A819430" s="242"/>
    </row>
    <row r="819431" spans="1:1" x14ac:dyDescent="0.25">
      <c r="A819431" s="242"/>
    </row>
    <row r="819432" spans="1:1" x14ac:dyDescent="0.25">
      <c r="A819432" s="242"/>
    </row>
    <row r="819433" spans="1:1" x14ac:dyDescent="0.25">
      <c r="A819433" s="242"/>
    </row>
    <row r="819434" spans="1:1" x14ac:dyDescent="0.25">
      <c r="A819434" s="242"/>
    </row>
    <row r="819435" spans="1:1" x14ac:dyDescent="0.25">
      <c r="A819435" s="242"/>
    </row>
    <row r="819436" spans="1:1" x14ac:dyDescent="0.25">
      <c r="A819436" s="242"/>
    </row>
    <row r="819437" spans="1:1" x14ac:dyDescent="0.25">
      <c r="A819437" s="242"/>
    </row>
    <row r="819438" spans="1:1" x14ac:dyDescent="0.25">
      <c r="A819438" s="242"/>
    </row>
    <row r="819439" spans="1:1" x14ac:dyDescent="0.25">
      <c r="A819439" s="242"/>
    </row>
    <row r="819440" spans="1:1" x14ac:dyDescent="0.25">
      <c r="A819440" s="242"/>
    </row>
    <row r="819441" spans="1:1" x14ac:dyDescent="0.25">
      <c r="A819441" s="242"/>
    </row>
    <row r="819442" spans="1:1" x14ac:dyDescent="0.25">
      <c r="A819442" s="242"/>
    </row>
    <row r="819443" spans="1:1" x14ac:dyDescent="0.25">
      <c r="A819443" s="242"/>
    </row>
    <row r="819444" spans="1:1" x14ac:dyDescent="0.25">
      <c r="A819444" s="242"/>
    </row>
    <row r="819445" spans="1:1" x14ac:dyDescent="0.25">
      <c r="A819445" s="242"/>
    </row>
    <row r="819446" spans="1:1" x14ac:dyDescent="0.25">
      <c r="A819446" s="242"/>
    </row>
    <row r="819447" spans="1:1" x14ac:dyDescent="0.25">
      <c r="A819447" s="242"/>
    </row>
    <row r="819448" spans="1:1" x14ac:dyDescent="0.25">
      <c r="A819448" s="242"/>
    </row>
    <row r="819449" spans="1:1" x14ac:dyDescent="0.25">
      <c r="A819449" s="242"/>
    </row>
    <row r="819450" spans="1:1" x14ac:dyDescent="0.25">
      <c r="A819450" s="242"/>
    </row>
    <row r="819451" spans="1:1" x14ac:dyDescent="0.25">
      <c r="A819451" s="242"/>
    </row>
    <row r="819452" spans="1:1" x14ac:dyDescent="0.25">
      <c r="A819452" s="242"/>
    </row>
    <row r="819453" spans="1:1" x14ac:dyDescent="0.25">
      <c r="A819453" s="242"/>
    </row>
    <row r="819454" spans="1:1" x14ac:dyDescent="0.25">
      <c r="A819454" s="242"/>
    </row>
    <row r="819455" spans="1:1" x14ac:dyDescent="0.25">
      <c r="A819455" s="242"/>
    </row>
    <row r="819456" spans="1:1" x14ac:dyDescent="0.25">
      <c r="A819456" s="242"/>
    </row>
    <row r="819457" spans="1:1" x14ac:dyDescent="0.25">
      <c r="A819457" s="242"/>
    </row>
    <row r="819458" spans="1:1" x14ac:dyDescent="0.25">
      <c r="A819458" s="242"/>
    </row>
    <row r="819459" spans="1:1" x14ac:dyDescent="0.25">
      <c r="A819459" s="242"/>
    </row>
    <row r="819460" spans="1:1" x14ac:dyDescent="0.25">
      <c r="A819460" s="242"/>
    </row>
    <row r="819461" spans="1:1" x14ac:dyDescent="0.25">
      <c r="A819461" s="242"/>
    </row>
    <row r="819462" spans="1:1" x14ac:dyDescent="0.25">
      <c r="A819462" s="242"/>
    </row>
    <row r="819463" spans="1:1" x14ac:dyDescent="0.25">
      <c r="A819463" s="242"/>
    </row>
    <row r="819464" spans="1:1" x14ac:dyDescent="0.25">
      <c r="A819464" s="242"/>
    </row>
    <row r="819465" spans="1:1" x14ac:dyDescent="0.25">
      <c r="A819465" s="242"/>
    </row>
    <row r="819466" spans="1:1" x14ac:dyDescent="0.25">
      <c r="A819466" s="242"/>
    </row>
    <row r="819467" spans="1:1" x14ac:dyDescent="0.25">
      <c r="A819467" s="242"/>
    </row>
    <row r="819468" spans="1:1" x14ac:dyDescent="0.25">
      <c r="A819468" s="242"/>
    </row>
    <row r="819469" spans="1:1" x14ac:dyDescent="0.25">
      <c r="A819469" s="242"/>
    </row>
    <row r="819470" spans="1:1" x14ac:dyDescent="0.25">
      <c r="A819470" s="242"/>
    </row>
    <row r="819471" spans="1:1" x14ac:dyDescent="0.25">
      <c r="A819471" s="242"/>
    </row>
    <row r="819472" spans="1:1" x14ac:dyDescent="0.25">
      <c r="A819472" s="242"/>
    </row>
    <row r="819473" spans="1:1" x14ac:dyDescent="0.25">
      <c r="A819473" s="242"/>
    </row>
    <row r="819474" spans="1:1" x14ac:dyDescent="0.25">
      <c r="A819474" s="242"/>
    </row>
    <row r="819475" spans="1:1" x14ac:dyDescent="0.25">
      <c r="A819475" s="242"/>
    </row>
    <row r="819476" spans="1:1" x14ac:dyDescent="0.25">
      <c r="A819476" s="242"/>
    </row>
    <row r="819477" spans="1:1" x14ac:dyDescent="0.25">
      <c r="A819477" s="242"/>
    </row>
    <row r="819478" spans="1:1" x14ac:dyDescent="0.25">
      <c r="A819478" s="242"/>
    </row>
    <row r="819479" spans="1:1" x14ac:dyDescent="0.25">
      <c r="A819479" s="242"/>
    </row>
    <row r="819480" spans="1:1" x14ac:dyDescent="0.25">
      <c r="A819480" s="242"/>
    </row>
    <row r="819481" spans="1:1" x14ac:dyDescent="0.25">
      <c r="A819481" s="242"/>
    </row>
    <row r="819482" spans="1:1" x14ac:dyDescent="0.25">
      <c r="A819482" s="242"/>
    </row>
    <row r="819483" spans="1:1" x14ac:dyDescent="0.25">
      <c r="A819483" s="242"/>
    </row>
    <row r="819484" spans="1:1" x14ac:dyDescent="0.25">
      <c r="A819484" s="242"/>
    </row>
    <row r="819485" spans="1:1" x14ac:dyDescent="0.25">
      <c r="A819485" s="242"/>
    </row>
    <row r="819486" spans="1:1" x14ac:dyDescent="0.25">
      <c r="A819486" s="242"/>
    </row>
    <row r="819487" spans="1:1" x14ac:dyDescent="0.25">
      <c r="A819487" s="242"/>
    </row>
    <row r="819488" spans="1:1" x14ac:dyDescent="0.25">
      <c r="A819488" s="242"/>
    </row>
    <row r="819489" spans="1:1" x14ac:dyDescent="0.25">
      <c r="A819489" s="242"/>
    </row>
    <row r="819490" spans="1:1" x14ac:dyDescent="0.25">
      <c r="A819490" s="242"/>
    </row>
    <row r="819491" spans="1:1" x14ac:dyDescent="0.25">
      <c r="A819491" s="242"/>
    </row>
    <row r="819492" spans="1:1" x14ac:dyDescent="0.25">
      <c r="A819492" s="242"/>
    </row>
    <row r="819493" spans="1:1" x14ac:dyDescent="0.25">
      <c r="A819493" s="242"/>
    </row>
    <row r="819494" spans="1:1" x14ac:dyDescent="0.25">
      <c r="A819494" s="242"/>
    </row>
    <row r="819495" spans="1:1" x14ac:dyDescent="0.25">
      <c r="A819495" s="242"/>
    </row>
    <row r="819496" spans="1:1" x14ac:dyDescent="0.25">
      <c r="A819496" s="242"/>
    </row>
    <row r="819497" spans="1:1" x14ac:dyDescent="0.25">
      <c r="A819497" s="242"/>
    </row>
    <row r="819498" spans="1:1" x14ac:dyDescent="0.25">
      <c r="A819498" s="242"/>
    </row>
    <row r="819499" spans="1:1" x14ac:dyDescent="0.25">
      <c r="A819499" s="242"/>
    </row>
    <row r="819500" spans="1:1" x14ac:dyDescent="0.25">
      <c r="A819500" s="242"/>
    </row>
    <row r="819501" spans="1:1" x14ac:dyDescent="0.25">
      <c r="A819501" s="242"/>
    </row>
    <row r="819502" spans="1:1" x14ac:dyDescent="0.25">
      <c r="A819502" s="242"/>
    </row>
    <row r="819503" spans="1:1" x14ac:dyDescent="0.25">
      <c r="A819503" s="242"/>
    </row>
    <row r="819504" spans="1:1" x14ac:dyDescent="0.25">
      <c r="A819504" s="242"/>
    </row>
    <row r="819505" spans="1:1" x14ac:dyDescent="0.25">
      <c r="A819505" s="242"/>
    </row>
    <row r="819506" spans="1:1" x14ac:dyDescent="0.25">
      <c r="A819506" s="242"/>
    </row>
    <row r="819507" spans="1:1" x14ac:dyDescent="0.25">
      <c r="A819507" s="242"/>
    </row>
    <row r="819508" spans="1:1" x14ac:dyDescent="0.25">
      <c r="A819508" s="242"/>
    </row>
    <row r="819509" spans="1:1" x14ac:dyDescent="0.25">
      <c r="A819509" s="242"/>
    </row>
    <row r="819510" spans="1:1" x14ac:dyDescent="0.25">
      <c r="A819510" s="242"/>
    </row>
    <row r="819511" spans="1:1" x14ac:dyDescent="0.25">
      <c r="A819511" s="242"/>
    </row>
    <row r="819512" spans="1:1" x14ac:dyDescent="0.25">
      <c r="A819512" s="242"/>
    </row>
    <row r="819513" spans="1:1" x14ac:dyDescent="0.25">
      <c r="A819513" s="242"/>
    </row>
    <row r="819514" spans="1:1" x14ac:dyDescent="0.25">
      <c r="A819514" s="242"/>
    </row>
    <row r="819515" spans="1:1" x14ac:dyDescent="0.25">
      <c r="A819515" s="242"/>
    </row>
    <row r="819516" spans="1:1" x14ac:dyDescent="0.25">
      <c r="A819516" s="242"/>
    </row>
    <row r="819517" spans="1:1" x14ac:dyDescent="0.25">
      <c r="A819517" s="242"/>
    </row>
    <row r="819518" spans="1:1" x14ac:dyDescent="0.25">
      <c r="A819518" s="242"/>
    </row>
    <row r="819519" spans="1:1" x14ac:dyDescent="0.25">
      <c r="A819519" s="242"/>
    </row>
    <row r="819520" spans="1:1" x14ac:dyDescent="0.25">
      <c r="A819520" s="242"/>
    </row>
    <row r="819521" spans="1:1" x14ac:dyDescent="0.25">
      <c r="A819521" s="242"/>
    </row>
    <row r="819522" spans="1:1" x14ac:dyDescent="0.25">
      <c r="A819522" s="242"/>
    </row>
    <row r="819523" spans="1:1" x14ac:dyDescent="0.25">
      <c r="A819523" s="242"/>
    </row>
    <row r="819524" spans="1:1" x14ac:dyDescent="0.25">
      <c r="A819524" s="242"/>
    </row>
    <row r="819525" spans="1:1" x14ac:dyDescent="0.25">
      <c r="A819525" s="242"/>
    </row>
    <row r="819526" spans="1:1" x14ac:dyDescent="0.25">
      <c r="A819526" s="242"/>
    </row>
    <row r="819527" spans="1:1" x14ac:dyDescent="0.25">
      <c r="A819527" s="242"/>
    </row>
    <row r="819528" spans="1:1" x14ac:dyDescent="0.25">
      <c r="A819528" s="242"/>
    </row>
    <row r="819529" spans="1:1" x14ac:dyDescent="0.25">
      <c r="A819529" s="242"/>
    </row>
    <row r="819530" spans="1:1" x14ac:dyDescent="0.25">
      <c r="A819530" s="242"/>
    </row>
    <row r="819531" spans="1:1" x14ac:dyDescent="0.25">
      <c r="A819531" s="242"/>
    </row>
    <row r="819532" spans="1:1" x14ac:dyDescent="0.25">
      <c r="A819532" s="242"/>
    </row>
    <row r="819533" spans="1:1" x14ac:dyDescent="0.25">
      <c r="A819533" s="242"/>
    </row>
    <row r="819534" spans="1:1" x14ac:dyDescent="0.25">
      <c r="A819534" s="242"/>
    </row>
    <row r="819535" spans="1:1" x14ac:dyDescent="0.25">
      <c r="A819535" s="242"/>
    </row>
    <row r="819536" spans="1:1" x14ac:dyDescent="0.25">
      <c r="A819536" s="242"/>
    </row>
    <row r="819537" spans="1:1" x14ac:dyDescent="0.25">
      <c r="A819537" s="242"/>
    </row>
    <row r="819538" spans="1:1" x14ac:dyDescent="0.25">
      <c r="A819538" s="242"/>
    </row>
    <row r="819539" spans="1:1" x14ac:dyDescent="0.25">
      <c r="A819539" s="242"/>
    </row>
    <row r="819540" spans="1:1" x14ac:dyDescent="0.25">
      <c r="A819540" s="242"/>
    </row>
    <row r="819541" spans="1:1" x14ac:dyDescent="0.25">
      <c r="A819541" s="242"/>
    </row>
    <row r="819542" spans="1:1" x14ac:dyDescent="0.25">
      <c r="A819542" s="242"/>
    </row>
    <row r="819543" spans="1:1" x14ac:dyDescent="0.25">
      <c r="A819543" s="242"/>
    </row>
    <row r="819544" spans="1:1" x14ac:dyDescent="0.25">
      <c r="A819544" s="242"/>
    </row>
    <row r="819545" spans="1:1" x14ac:dyDescent="0.25">
      <c r="A819545" s="242"/>
    </row>
    <row r="819546" spans="1:1" x14ac:dyDescent="0.25">
      <c r="A819546" s="242"/>
    </row>
    <row r="819547" spans="1:1" x14ac:dyDescent="0.25">
      <c r="A819547" s="242"/>
    </row>
    <row r="819548" spans="1:1" x14ac:dyDescent="0.25">
      <c r="A819548" s="242"/>
    </row>
    <row r="819549" spans="1:1" x14ac:dyDescent="0.25">
      <c r="A819549" s="242"/>
    </row>
    <row r="819550" spans="1:1" x14ac:dyDescent="0.25">
      <c r="A819550" s="242"/>
    </row>
    <row r="819551" spans="1:1" x14ac:dyDescent="0.25">
      <c r="A819551" s="242"/>
    </row>
    <row r="819552" spans="1:1" x14ac:dyDescent="0.25">
      <c r="A819552" s="242"/>
    </row>
    <row r="819553" spans="1:1" x14ac:dyDescent="0.25">
      <c r="A819553" s="242"/>
    </row>
    <row r="819554" spans="1:1" x14ac:dyDescent="0.25">
      <c r="A819554" s="242"/>
    </row>
    <row r="819555" spans="1:1" x14ac:dyDescent="0.25">
      <c r="A819555" s="242"/>
    </row>
    <row r="819556" spans="1:1" x14ac:dyDescent="0.25">
      <c r="A819556" s="242"/>
    </row>
    <row r="819557" spans="1:1" x14ac:dyDescent="0.25">
      <c r="A819557" s="242"/>
    </row>
    <row r="819558" spans="1:1" x14ac:dyDescent="0.25">
      <c r="A819558" s="242"/>
    </row>
    <row r="819559" spans="1:1" x14ac:dyDescent="0.25">
      <c r="A819559" s="242"/>
    </row>
    <row r="819560" spans="1:1" x14ac:dyDescent="0.25">
      <c r="A819560" s="242"/>
    </row>
    <row r="819561" spans="1:1" x14ac:dyDescent="0.25">
      <c r="A819561" s="242"/>
    </row>
    <row r="819562" spans="1:1" x14ac:dyDescent="0.25">
      <c r="A819562" s="242"/>
    </row>
    <row r="819563" spans="1:1" x14ac:dyDescent="0.25">
      <c r="A819563" s="242"/>
    </row>
    <row r="819564" spans="1:1" x14ac:dyDescent="0.25">
      <c r="A819564" s="242"/>
    </row>
    <row r="819565" spans="1:1" x14ac:dyDescent="0.25">
      <c r="A819565" s="242"/>
    </row>
    <row r="819566" spans="1:1" x14ac:dyDescent="0.25">
      <c r="A819566" s="242"/>
    </row>
    <row r="819567" spans="1:1" x14ac:dyDescent="0.25">
      <c r="A819567" s="242"/>
    </row>
    <row r="819568" spans="1:1" x14ac:dyDescent="0.25">
      <c r="A819568" s="242"/>
    </row>
    <row r="819569" spans="1:1" x14ac:dyDescent="0.25">
      <c r="A819569" s="242"/>
    </row>
    <row r="819570" spans="1:1" x14ac:dyDescent="0.25">
      <c r="A819570" s="242"/>
    </row>
    <row r="819571" spans="1:1" x14ac:dyDescent="0.25">
      <c r="A819571" s="242"/>
    </row>
    <row r="819572" spans="1:1" x14ac:dyDescent="0.25">
      <c r="A819572" s="242"/>
    </row>
    <row r="819573" spans="1:1" x14ac:dyDescent="0.25">
      <c r="A819573" s="242"/>
    </row>
    <row r="819574" spans="1:1" x14ac:dyDescent="0.25">
      <c r="A819574" s="242"/>
    </row>
    <row r="819575" spans="1:1" x14ac:dyDescent="0.25">
      <c r="A819575" s="242"/>
    </row>
    <row r="819576" spans="1:1" x14ac:dyDescent="0.25">
      <c r="A819576" s="242"/>
    </row>
    <row r="819577" spans="1:1" x14ac:dyDescent="0.25">
      <c r="A819577" s="242"/>
    </row>
    <row r="819578" spans="1:1" x14ac:dyDescent="0.25">
      <c r="A819578" s="242"/>
    </row>
    <row r="819579" spans="1:1" x14ac:dyDescent="0.25">
      <c r="A819579" s="242"/>
    </row>
    <row r="819580" spans="1:1" x14ac:dyDescent="0.25">
      <c r="A819580" s="242"/>
    </row>
    <row r="819581" spans="1:1" x14ac:dyDescent="0.25">
      <c r="A819581" s="242"/>
    </row>
    <row r="819582" spans="1:1" x14ac:dyDescent="0.25">
      <c r="A819582" s="242"/>
    </row>
    <row r="819583" spans="1:1" x14ac:dyDescent="0.25">
      <c r="A819583" s="242"/>
    </row>
    <row r="819584" spans="1:1" x14ac:dyDescent="0.25">
      <c r="A819584" s="242"/>
    </row>
    <row r="819585" spans="1:1" x14ac:dyDescent="0.25">
      <c r="A819585" s="242"/>
    </row>
    <row r="819586" spans="1:1" x14ac:dyDescent="0.25">
      <c r="A819586" s="242"/>
    </row>
    <row r="819587" spans="1:1" x14ac:dyDescent="0.25">
      <c r="A819587" s="242"/>
    </row>
    <row r="819588" spans="1:1" x14ac:dyDescent="0.25">
      <c r="A819588" s="242"/>
    </row>
    <row r="819589" spans="1:1" x14ac:dyDescent="0.25">
      <c r="A819589" s="242"/>
    </row>
    <row r="819590" spans="1:1" x14ac:dyDescent="0.25">
      <c r="A819590" s="242"/>
    </row>
    <row r="819591" spans="1:1" x14ac:dyDescent="0.25">
      <c r="A819591" s="242"/>
    </row>
    <row r="819592" spans="1:1" x14ac:dyDescent="0.25">
      <c r="A819592" s="242"/>
    </row>
    <row r="819593" spans="1:1" x14ac:dyDescent="0.25">
      <c r="A819593" s="242"/>
    </row>
    <row r="819594" spans="1:1" x14ac:dyDescent="0.25">
      <c r="A819594" s="242"/>
    </row>
    <row r="819595" spans="1:1" x14ac:dyDescent="0.25">
      <c r="A819595" s="242"/>
    </row>
    <row r="819596" spans="1:1" x14ac:dyDescent="0.25">
      <c r="A819596" s="242"/>
    </row>
    <row r="819597" spans="1:1" x14ac:dyDescent="0.25">
      <c r="A819597" s="242"/>
    </row>
    <row r="819598" spans="1:1" x14ac:dyDescent="0.25">
      <c r="A819598" s="242"/>
    </row>
    <row r="819599" spans="1:1" x14ac:dyDescent="0.25">
      <c r="A819599" s="242"/>
    </row>
    <row r="819600" spans="1:1" x14ac:dyDescent="0.25">
      <c r="A819600" s="242"/>
    </row>
    <row r="819601" spans="1:1" x14ac:dyDescent="0.25">
      <c r="A819601" s="242"/>
    </row>
    <row r="819602" spans="1:1" x14ac:dyDescent="0.25">
      <c r="A819602" s="242"/>
    </row>
    <row r="819603" spans="1:1" x14ac:dyDescent="0.25">
      <c r="A819603" s="242"/>
    </row>
    <row r="819604" spans="1:1" x14ac:dyDescent="0.25">
      <c r="A819604" s="242"/>
    </row>
    <row r="819605" spans="1:1" x14ac:dyDescent="0.25">
      <c r="A819605" s="242"/>
    </row>
    <row r="819606" spans="1:1" x14ac:dyDescent="0.25">
      <c r="A819606" s="242"/>
    </row>
    <row r="819607" spans="1:1" x14ac:dyDescent="0.25">
      <c r="A819607" s="242"/>
    </row>
    <row r="819608" spans="1:1" x14ac:dyDescent="0.25">
      <c r="A819608" s="242"/>
    </row>
    <row r="819609" spans="1:1" x14ac:dyDescent="0.25">
      <c r="A819609" s="242"/>
    </row>
    <row r="819610" spans="1:1" x14ac:dyDescent="0.25">
      <c r="A819610" s="242"/>
    </row>
    <row r="819611" spans="1:1" x14ac:dyDescent="0.25">
      <c r="A819611" s="242"/>
    </row>
    <row r="819612" spans="1:1" x14ac:dyDescent="0.25">
      <c r="A819612" s="242"/>
    </row>
    <row r="819613" spans="1:1" x14ac:dyDescent="0.25">
      <c r="A819613" s="242"/>
    </row>
    <row r="819614" spans="1:1" x14ac:dyDescent="0.25">
      <c r="A819614" s="242"/>
    </row>
    <row r="819615" spans="1:1" x14ac:dyDescent="0.25">
      <c r="A819615" s="242"/>
    </row>
    <row r="819616" spans="1:1" x14ac:dyDescent="0.25">
      <c r="A819616" s="242"/>
    </row>
    <row r="819617" spans="1:1" x14ac:dyDescent="0.25">
      <c r="A819617" s="242"/>
    </row>
    <row r="819618" spans="1:1" x14ac:dyDescent="0.25">
      <c r="A819618" s="242"/>
    </row>
    <row r="819619" spans="1:1" x14ac:dyDescent="0.25">
      <c r="A819619" s="242"/>
    </row>
    <row r="819620" spans="1:1" x14ac:dyDescent="0.25">
      <c r="A819620" s="242"/>
    </row>
    <row r="819621" spans="1:1" x14ac:dyDescent="0.25">
      <c r="A819621" s="242"/>
    </row>
    <row r="819622" spans="1:1" x14ac:dyDescent="0.25">
      <c r="A819622" s="242"/>
    </row>
    <row r="819623" spans="1:1" x14ac:dyDescent="0.25">
      <c r="A819623" s="242"/>
    </row>
    <row r="819624" spans="1:1" x14ac:dyDescent="0.25">
      <c r="A819624" s="242"/>
    </row>
    <row r="819625" spans="1:1" x14ac:dyDescent="0.25">
      <c r="A819625" s="242"/>
    </row>
    <row r="819626" spans="1:1" x14ac:dyDescent="0.25">
      <c r="A819626" s="242"/>
    </row>
    <row r="819627" spans="1:1" x14ac:dyDescent="0.25">
      <c r="A819627" s="242"/>
    </row>
    <row r="819628" spans="1:1" x14ac:dyDescent="0.25">
      <c r="A819628" s="242"/>
    </row>
    <row r="819629" spans="1:1" x14ac:dyDescent="0.25">
      <c r="A819629" s="242"/>
    </row>
    <row r="819630" spans="1:1" x14ac:dyDescent="0.25">
      <c r="A819630" s="242"/>
    </row>
    <row r="819631" spans="1:1" x14ac:dyDescent="0.25">
      <c r="A819631" s="242"/>
    </row>
    <row r="819632" spans="1:1" x14ac:dyDescent="0.25">
      <c r="A819632" s="242"/>
    </row>
    <row r="819633" spans="1:1" x14ac:dyDescent="0.25">
      <c r="A819633" s="242"/>
    </row>
    <row r="819634" spans="1:1" x14ac:dyDescent="0.25">
      <c r="A819634" s="242"/>
    </row>
    <row r="819635" spans="1:1" x14ac:dyDescent="0.25">
      <c r="A819635" s="242"/>
    </row>
    <row r="819636" spans="1:1" x14ac:dyDescent="0.25">
      <c r="A819636" s="242"/>
    </row>
    <row r="819637" spans="1:1" x14ac:dyDescent="0.25">
      <c r="A819637" s="242"/>
    </row>
    <row r="819638" spans="1:1" x14ac:dyDescent="0.25">
      <c r="A819638" s="242"/>
    </row>
    <row r="819639" spans="1:1" x14ac:dyDescent="0.25">
      <c r="A819639" s="242"/>
    </row>
    <row r="819640" spans="1:1" x14ac:dyDescent="0.25">
      <c r="A819640" s="242"/>
    </row>
    <row r="819641" spans="1:1" x14ac:dyDescent="0.25">
      <c r="A819641" s="242"/>
    </row>
    <row r="819642" spans="1:1" x14ac:dyDescent="0.25">
      <c r="A819642" s="242"/>
    </row>
    <row r="819643" spans="1:1" x14ac:dyDescent="0.25">
      <c r="A819643" s="242"/>
    </row>
    <row r="819644" spans="1:1" x14ac:dyDescent="0.25">
      <c r="A819644" s="242"/>
    </row>
    <row r="819645" spans="1:1" x14ac:dyDescent="0.25">
      <c r="A819645" s="242"/>
    </row>
    <row r="819646" spans="1:1" x14ac:dyDescent="0.25">
      <c r="A819646" s="242"/>
    </row>
    <row r="819647" spans="1:1" x14ac:dyDescent="0.25">
      <c r="A819647" s="242"/>
    </row>
    <row r="819648" spans="1:1" x14ac:dyDescent="0.25">
      <c r="A819648" s="242"/>
    </row>
    <row r="819649" spans="1:1" x14ac:dyDescent="0.25">
      <c r="A819649" s="242"/>
    </row>
    <row r="819650" spans="1:1" x14ac:dyDescent="0.25">
      <c r="A819650" s="242"/>
    </row>
    <row r="819651" spans="1:1" x14ac:dyDescent="0.25">
      <c r="A819651" s="242"/>
    </row>
    <row r="819652" spans="1:1" x14ac:dyDescent="0.25">
      <c r="A819652" s="242"/>
    </row>
    <row r="819653" spans="1:1" x14ac:dyDescent="0.25">
      <c r="A819653" s="242"/>
    </row>
    <row r="819654" spans="1:1" x14ac:dyDescent="0.25">
      <c r="A819654" s="242"/>
    </row>
    <row r="819655" spans="1:1" x14ac:dyDescent="0.25">
      <c r="A819655" s="242"/>
    </row>
    <row r="819656" spans="1:1" x14ac:dyDescent="0.25">
      <c r="A819656" s="242"/>
    </row>
    <row r="819657" spans="1:1" x14ac:dyDescent="0.25">
      <c r="A819657" s="242"/>
    </row>
    <row r="819658" spans="1:1" x14ac:dyDescent="0.25">
      <c r="A819658" s="242"/>
    </row>
    <row r="819659" spans="1:1" x14ac:dyDescent="0.25">
      <c r="A819659" s="242"/>
    </row>
    <row r="819660" spans="1:1" x14ac:dyDescent="0.25">
      <c r="A819660" s="242"/>
    </row>
    <row r="819661" spans="1:1" x14ac:dyDescent="0.25">
      <c r="A819661" s="242"/>
    </row>
    <row r="819662" spans="1:1" x14ac:dyDescent="0.25">
      <c r="A819662" s="242"/>
    </row>
    <row r="819663" spans="1:1" x14ac:dyDescent="0.25">
      <c r="A819663" s="242"/>
    </row>
    <row r="819664" spans="1:1" x14ac:dyDescent="0.25">
      <c r="A819664" s="242"/>
    </row>
    <row r="819665" spans="1:1" x14ac:dyDescent="0.25">
      <c r="A819665" s="242"/>
    </row>
    <row r="819666" spans="1:1" x14ac:dyDescent="0.25">
      <c r="A819666" s="242"/>
    </row>
    <row r="819667" spans="1:1" x14ac:dyDescent="0.25">
      <c r="A819667" s="242"/>
    </row>
    <row r="819668" spans="1:1" x14ac:dyDescent="0.25">
      <c r="A819668" s="242"/>
    </row>
    <row r="819669" spans="1:1" x14ac:dyDescent="0.25">
      <c r="A819669" s="242"/>
    </row>
    <row r="819670" spans="1:1" x14ac:dyDescent="0.25">
      <c r="A819670" s="242"/>
    </row>
    <row r="819671" spans="1:1" x14ac:dyDescent="0.25">
      <c r="A819671" s="242"/>
    </row>
    <row r="819672" spans="1:1" x14ac:dyDescent="0.25">
      <c r="A819672" s="242"/>
    </row>
    <row r="819673" spans="1:1" x14ac:dyDescent="0.25">
      <c r="A819673" s="242"/>
    </row>
    <row r="819674" spans="1:1" x14ac:dyDescent="0.25">
      <c r="A819674" s="242"/>
    </row>
    <row r="819675" spans="1:1" x14ac:dyDescent="0.25">
      <c r="A819675" s="242"/>
    </row>
    <row r="819676" spans="1:1" x14ac:dyDescent="0.25">
      <c r="A819676" s="242"/>
    </row>
    <row r="819677" spans="1:1" x14ac:dyDescent="0.25">
      <c r="A819677" s="242"/>
    </row>
    <row r="819678" spans="1:1" x14ac:dyDescent="0.25">
      <c r="A819678" s="242"/>
    </row>
    <row r="819679" spans="1:1" x14ac:dyDescent="0.25">
      <c r="A819679" s="242"/>
    </row>
    <row r="819680" spans="1:1" x14ac:dyDescent="0.25">
      <c r="A819680" s="242"/>
    </row>
    <row r="819681" spans="1:1" x14ac:dyDescent="0.25">
      <c r="A819681" s="242"/>
    </row>
    <row r="819682" spans="1:1" x14ac:dyDescent="0.25">
      <c r="A819682" s="242"/>
    </row>
    <row r="819683" spans="1:1" x14ac:dyDescent="0.25">
      <c r="A819683" s="242"/>
    </row>
    <row r="819684" spans="1:1" x14ac:dyDescent="0.25">
      <c r="A819684" s="242"/>
    </row>
    <row r="819685" spans="1:1" x14ac:dyDescent="0.25">
      <c r="A819685" s="242"/>
    </row>
    <row r="819686" spans="1:1" x14ac:dyDescent="0.25">
      <c r="A819686" s="242"/>
    </row>
    <row r="819687" spans="1:1" x14ac:dyDescent="0.25">
      <c r="A819687" s="242"/>
    </row>
    <row r="819688" spans="1:1" x14ac:dyDescent="0.25">
      <c r="A819688" s="242"/>
    </row>
    <row r="819689" spans="1:1" x14ac:dyDescent="0.25">
      <c r="A819689" s="242"/>
    </row>
    <row r="819690" spans="1:1" x14ac:dyDescent="0.25">
      <c r="A819690" s="242"/>
    </row>
    <row r="819691" spans="1:1" x14ac:dyDescent="0.25">
      <c r="A819691" s="242"/>
    </row>
    <row r="819692" spans="1:1" x14ac:dyDescent="0.25">
      <c r="A819692" s="242"/>
    </row>
    <row r="819693" spans="1:1" x14ac:dyDescent="0.25">
      <c r="A819693" s="242"/>
    </row>
    <row r="819694" spans="1:1" x14ac:dyDescent="0.25">
      <c r="A819694" s="242"/>
    </row>
    <row r="819695" spans="1:1" x14ac:dyDescent="0.25">
      <c r="A819695" s="242"/>
    </row>
    <row r="819696" spans="1:1" x14ac:dyDescent="0.25">
      <c r="A819696" s="242"/>
    </row>
    <row r="819697" spans="1:1" x14ac:dyDescent="0.25">
      <c r="A819697" s="242"/>
    </row>
    <row r="819698" spans="1:1" x14ac:dyDescent="0.25">
      <c r="A819698" s="242"/>
    </row>
    <row r="819699" spans="1:1" x14ac:dyDescent="0.25">
      <c r="A819699" s="242"/>
    </row>
    <row r="819700" spans="1:1" x14ac:dyDescent="0.25">
      <c r="A819700" s="242"/>
    </row>
    <row r="819701" spans="1:1" x14ac:dyDescent="0.25">
      <c r="A819701" s="242"/>
    </row>
    <row r="819702" spans="1:1" x14ac:dyDescent="0.25">
      <c r="A819702" s="242"/>
    </row>
    <row r="819703" spans="1:1" x14ac:dyDescent="0.25">
      <c r="A819703" s="242"/>
    </row>
    <row r="819704" spans="1:1" x14ac:dyDescent="0.25">
      <c r="A819704" s="242"/>
    </row>
    <row r="819705" spans="1:1" x14ac:dyDescent="0.25">
      <c r="A819705" s="242"/>
    </row>
    <row r="819706" spans="1:1" x14ac:dyDescent="0.25">
      <c r="A819706" s="242"/>
    </row>
    <row r="819707" spans="1:1" x14ac:dyDescent="0.25">
      <c r="A819707" s="242"/>
    </row>
    <row r="819708" spans="1:1" x14ac:dyDescent="0.25">
      <c r="A819708" s="242"/>
    </row>
    <row r="819709" spans="1:1" x14ac:dyDescent="0.25">
      <c r="A819709" s="242"/>
    </row>
    <row r="819710" spans="1:1" x14ac:dyDescent="0.25">
      <c r="A819710" s="242"/>
    </row>
    <row r="819711" spans="1:1" x14ac:dyDescent="0.25">
      <c r="A819711" s="242"/>
    </row>
    <row r="819712" spans="1:1" x14ac:dyDescent="0.25">
      <c r="A819712" s="242"/>
    </row>
    <row r="819713" spans="1:1" x14ac:dyDescent="0.25">
      <c r="A819713" s="242"/>
    </row>
    <row r="819714" spans="1:1" x14ac:dyDescent="0.25">
      <c r="A819714" s="242"/>
    </row>
    <row r="819715" spans="1:1" x14ac:dyDescent="0.25">
      <c r="A819715" s="242"/>
    </row>
    <row r="819716" spans="1:1" x14ac:dyDescent="0.25">
      <c r="A819716" s="242"/>
    </row>
    <row r="819717" spans="1:1" x14ac:dyDescent="0.25">
      <c r="A819717" s="242"/>
    </row>
    <row r="819718" spans="1:1" x14ac:dyDescent="0.25">
      <c r="A819718" s="242"/>
    </row>
    <row r="819719" spans="1:1" x14ac:dyDescent="0.25">
      <c r="A819719" s="242"/>
    </row>
    <row r="819720" spans="1:1" x14ac:dyDescent="0.25">
      <c r="A819720" s="242"/>
    </row>
    <row r="819721" spans="1:1" x14ac:dyDescent="0.25">
      <c r="A819721" s="242"/>
    </row>
    <row r="819722" spans="1:1" x14ac:dyDescent="0.25">
      <c r="A819722" s="242"/>
    </row>
    <row r="819723" spans="1:1" x14ac:dyDescent="0.25">
      <c r="A819723" s="242"/>
    </row>
    <row r="819724" spans="1:1" x14ac:dyDescent="0.25">
      <c r="A819724" s="242"/>
    </row>
    <row r="819725" spans="1:1" x14ac:dyDescent="0.25">
      <c r="A819725" s="242"/>
    </row>
    <row r="819726" spans="1:1" x14ac:dyDescent="0.25">
      <c r="A819726" s="242"/>
    </row>
    <row r="819727" spans="1:1" x14ac:dyDescent="0.25">
      <c r="A819727" s="242"/>
    </row>
    <row r="819728" spans="1:1" x14ac:dyDescent="0.25">
      <c r="A819728" s="242"/>
    </row>
    <row r="819729" spans="1:1" x14ac:dyDescent="0.25">
      <c r="A819729" s="242"/>
    </row>
    <row r="819730" spans="1:1" x14ac:dyDescent="0.25">
      <c r="A819730" s="242"/>
    </row>
    <row r="819731" spans="1:1" x14ac:dyDescent="0.25">
      <c r="A819731" s="242"/>
    </row>
    <row r="819732" spans="1:1" x14ac:dyDescent="0.25">
      <c r="A819732" s="242"/>
    </row>
    <row r="819733" spans="1:1" x14ac:dyDescent="0.25">
      <c r="A819733" s="242"/>
    </row>
    <row r="819734" spans="1:1" x14ac:dyDescent="0.25">
      <c r="A819734" s="242"/>
    </row>
    <row r="819735" spans="1:1" x14ac:dyDescent="0.25">
      <c r="A819735" s="242"/>
    </row>
    <row r="819736" spans="1:1" x14ac:dyDescent="0.25">
      <c r="A819736" s="242"/>
    </row>
    <row r="819737" spans="1:1" x14ac:dyDescent="0.25">
      <c r="A819737" s="242"/>
    </row>
    <row r="819738" spans="1:1" x14ac:dyDescent="0.25">
      <c r="A819738" s="242"/>
    </row>
    <row r="819739" spans="1:1" x14ac:dyDescent="0.25">
      <c r="A819739" s="242"/>
    </row>
    <row r="819740" spans="1:1" x14ac:dyDescent="0.25">
      <c r="A819740" s="242"/>
    </row>
    <row r="819741" spans="1:1" x14ac:dyDescent="0.25">
      <c r="A819741" s="242"/>
    </row>
    <row r="819742" spans="1:1" x14ac:dyDescent="0.25">
      <c r="A819742" s="242"/>
    </row>
    <row r="819743" spans="1:1" x14ac:dyDescent="0.25">
      <c r="A819743" s="242"/>
    </row>
    <row r="819744" spans="1:1" x14ac:dyDescent="0.25">
      <c r="A819744" s="242"/>
    </row>
    <row r="819745" spans="1:1" x14ac:dyDescent="0.25">
      <c r="A819745" s="242"/>
    </row>
    <row r="819746" spans="1:1" x14ac:dyDescent="0.25">
      <c r="A819746" s="242"/>
    </row>
    <row r="819747" spans="1:1" x14ac:dyDescent="0.25">
      <c r="A819747" s="242"/>
    </row>
    <row r="819748" spans="1:1" x14ac:dyDescent="0.25">
      <c r="A819748" s="242"/>
    </row>
    <row r="819749" spans="1:1" x14ac:dyDescent="0.25">
      <c r="A819749" s="242"/>
    </row>
    <row r="819750" spans="1:1" x14ac:dyDescent="0.25">
      <c r="A819750" s="242"/>
    </row>
    <row r="819751" spans="1:1" x14ac:dyDescent="0.25">
      <c r="A819751" s="242"/>
    </row>
    <row r="819752" spans="1:1" x14ac:dyDescent="0.25">
      <c r="A819752" s="242"/>
    </row>
    <row r="819753" spans="1:1" x14ac:dyDescent="0.25">
      <c r="A819753" s="242"/>
    </row>
    <row r="819754" spans="1:1" x14ac:dyDescent="0.25">
      <c r="A819754" s="242"/>
    </row>
    <row r="819755" spans="1:1" x14ac:dyDescent="0.25">
      <c r="A819755" s="242"/>
    </row>
    <row r="819756" spans="1:1" x14ac:dyDescent="0.25">
      <c r="A819756" s="242"/>
    </row>
    <row r="819757" spans="1:1" x14ac:dyDescent="0.25">
      <c r="A819757" s="242"/>
    </row>
    <row r="819758" spans="1:1" x14ac:dyDescent="0.25">
      <c r="A819758" s="242"/>
    </row>
    <row r="819759" spans="1:1" x14ac:dyDescent="0.25">
      <c r="A819759" s="242"/>
    </row>
    <row r="819760" spans="1:1" x14ac:dyDescent="0.25">
      <c r="A819760" s="242"/>
    </row>
    <row r="819761" spans="1:1" x14ac:dyDescent="0.25">
      <c r="A819761" s="242"/>
    </row>
    <row r="819762" spans="1:1" x14ac:dyDescent="0.25">
      <c r="A819762" s="242"/>
    </row>
    <row r="819763" spans="1:1" x14ac:dyDescent="0.25">
      <c r="A819763" s="242"/>
    </row>
    <row r="819764" spans="1:1" x14ac:dyDescent="0.25">
      <c r="A819764" s="242"/>
    </row>
    <row r="819765" spans="1:1" x14ac:dyDescent="0.25">
      <c r="A819765" s="242"/>
    </row>
    <row r="819766" spans="1:1" x14ac:dyDescent="0.25">
      <c r="A819766" s="242"/>
    </row>
    <row r="819767" spans="1:1" x14ac:dyDescent="0.25">
      <c r="A819767" s="242"/>
    </row>
    <row r="819768" spans="1:1" x14ac:dyDescent="0.25">
      <c r="A819768" s="242"/>
    </row>
    <row r="819769" spans="1:1" x14ac:dyDescent="0.25">
      <c r="A819769" s="242"/>
    </row>
    <row r="819770" spans="1:1" x14ac:dyDescent="0.25">
      <c r="A819770" s="242"/>
    </row>
    <row r="819771" spans="1:1" x14ac:dyDescent="0.25">
      <c r="A819771" s="242"/>
    </row>
    <row r="819772" spans="1:1" x14ac:dyDescent="0.25">
      <c r="A819772" s="242"/>
    </row>
    <row r="819773" spans="1:1" x14ac:dyDescent="0.25">
      <c r="A819773" s="242"/>
    </row>
    <row r="819774" spans="1:1" x14ac:dyDescent="0.25">
      <c r="A819774" s="242"/>
    </row>
    <row r="819775" spans="1:1" x14ac:dyDescent="0.25">
      <c r="A819775" s="242"/>
    </row>
    <row r="819776" spans="1:1" x14ac:dyDescent="0.25">
      <c r="A819776" s="242"/>
    </row>
    <row r="819777" spans="1:1" x14ac:dyDescent="0.25">
      <c r="A819777" s="242"/>
    </row>
    <row r="819778" spans="1:1" x14ac:dyDescent="0.25">
      <c r="A819778" s="242"/>
    </row>
    <row r="819779" spans="1:1" x14ac:dyDescent="0.25">
      <c r="A819779" s="242"/>
    </row>
    <row r="819780" spans="1:1" x14ac:dyDescent="0.25">
      <c r="A819780" s="242"/>
    </row>
    <row r="819781" spans="1:1" x14ac:dyDescent="0.25">
      <c r="A819781" s="242"/>
    </row>
    <row r="819782" spans="1:1" x14ac:dyDescent="0.25">
      <c r="A819782" s="242"/>
    </row>
    <row r="819783" spans="1:1" x14ac:dyDescent="0.25">
      <c r="A819783" s="242"/>
    </row>
    <row r="819784" spans="1:1" x14ac:dyDescent="0.25">
      <c r="A819784" s="242"/>
    </row>
    <row r="819785" spans="1:1" x14ac:dyDescent="0.25">
      <c r="A819785" s="242"/>
    </row>
    <row r="819786" spans="1:1" x14ac:dyDescent="0.25">
      <c r="A819786" s="242"/>
    </row>
    <row r="819787" spans="1:1" x14ac:dyDescent="0.25">
      <c r="A819787" s="242"/>
    </row>
    <row r="819788" spans="1:1" x14ac:dyDescent="0.25">
      <c r="A819788" s="242"/>
    </row>
    <row r="819789" spans="1:1" x14ac:dyDescent="0.25">
      <c r="A819789" s="242"/>
    </row>
    <row r="819790" spans="1:1" x14ac:dyDescent="0.25">
      <c r="A819790" s="242"/>
    </row>
    <row r="819791" spans="1:1" x14ac:dyDescent="0.25">
      <c r="A819791" s="242"/>
    </row>
    <row r="819792" spans="1:1" x14ac:dyDescent="0.25">
      <c r="A819792" s="242"/>
    </row>
    <row r="819793" spans="1:1" x14ac:dyDescent="0.25">
      <c r="A819793" s="242"/>
    </row>
    <row r="819794" spans="1:1" x14ac:dyDescent="0.25">
      <c r="A819794" s="242"/>
    </row>
    <row r="819795" spans="1:1" x14ac:dyDescent="0.25">
      <c r="A819795" s="242"/>
    </row>
    <row r="819796" spans="1:1" x14ac:dyDescent="0.25">
      <c r="A819796" s="242"/>
    </row>
    <row r="819797" spans="1:1" x14ac:dyDescent="0.25">
      <c r="A819797" s="242"/>
    </row>
    <row r="819798" spans="1:1" x14ac:dyDescent="0.25">
      <c r="A819798" s="242"/>
    </row>
    <row r="819799" spans="1:1" x14ac:dyDescent="0.25">
      <c r="A819799" s="242"/>
    </row>
    <row r="819800" spans="1:1" x14ac:dyDescent="0.25">
      <c r="A819800" s="242"/>
    </row>
    <row r="819801" spans="1:1" x14ac:dyDescent="0.25">
      <c r="A819801" s="242"/>
    </row>
    <row r="819802" spans="1:1" x14ac:dyDescent="0.25">
      <c r="A819802" s="242"/>
    </row>
    <row r="819803" spans="1:1" x14ac:dyDescent="0.25">
      <c r="A819803" s="242"/>
    </row>
    <row r="819804" spans="1:1" x14ac:dyDescent="0.25">
      <c r="A819804" s="242"/>
    </row>
    <row r="819805" spans="1:1" x14ac:dyDescent="0.25">
      <c r="A819805" s="242"/>
    </row>
    <row r="819806" spans="1:1" x14ac:dyDescent="0.25">
      <c r="A819806" s="242"/>
    </row>
    <row r="819807" spans="1:1" x14ac:dyDescent="0.25">
      <c r="A819807" s="242"/>
    </row>
    <row r="819808" spans="1:1" x14ac:dyDescent="0.25">
      <c r="A819808" s="242"/>
    </row>
    <row r="819809" spans="1:1" x14ac:dyDescent="0.25">
      <c r="A819809" s="242"/>
    </row>
    <row r="819810" spans="1:1" x14ac:dyDescent="0.25">
      <c r="A819810" s="242"/>
    </row>
    <row r="819811" spans="1:1" x14ac:dyDescent="0.25">
      <c r="A819811" s="242"/>
    </row>
    <row r="819812" spans="1:1" x14ac:dyDescent="0.25">
      <c r="A819812" s="242"/>
    </row>
    <row r="819813" spans="1:1" x14ac:dyDescent="0.25">
      <c r="A819813" s="242"/>
    </row>
    <row r="819814" spans="1:1" x14ac:dyDescent="0.25">
      <c r="A819814" s="242"/>
    </row>
    <row r="819815" spans="1:1" x14ac:dyDescent="0.25">
      <c r="A819815" s="242"/>
    </row>
    <row r="819816" spans="1:1" x14ac:dyDescent="0.25">
      <c r="A819816" s="242"/>
    </row>
    <row r="819817" spans="1:1" x14ac:dyDescent="0.25">
      <c r="A819817" s="242"/>
    </row>
    <row r="819818" spans="1:1" x14ac:dyDescent="0.25">
      <c r="A819818" s="242"/>
    </row>
    <row r="819819" spans="1:1" x14ac:dyDescent="0.25">
      <c r="A819819" s="242"/>
    </row>
    <row r="819820" spans="1:1" x14ac:dyDescent="0.25">
      <c r="A819820" s="242"/>
    </row>
    <row r="819821" spans="1:1" x14ac:dyDescent="0.25">
      <c r="A819821" s="242"/>
    </row>
    <row r="819822" spans="1:1" x14ac:dyDescent="0.25">
      <c r="A819822" s="242"/>
    </row>
    <row r="819823" spans="1:1" x14ac:dyDescent="0.25">
      <c r="A819823" s="242"/>
    </row>
    <row r="819824" spans="1:1" x14ac:dyDescent="0.25">
      <c r="A819824" s="242"/>
    </row>
    <row r="819825" spans="1:1" x14ac:dyDescent="0.25">
      <c r="A819825" s="242"/>
    </row>
    <row r="819826" spans="1:1" x14ac:dyDescent="0.25">
      <c r="A819826" s="242"/>
    </row>
    <row r="819827" spans="1:1" x14ac:dyDescent="0.25">
      <c r="A819827" s="242"/>
    </row>
    <row r="819828" spans="1:1" x14ac:dyDescent="0.25">
      <c r="A819828" s="242"/>
    </row>
    <row r="819829" spans="1:1" x14ac:dyDescent="0.25">
      <c r="A819829" s="242"/>
    </row>
    <row r="819830" spans="1:1" x14ac:dyDescent="0.25">
      <c r="A819830" s="242"/>
    </row>
    <row r="819831" spans="1:1" x14ac:dyDescent="0.25">
      <c r="A819831" s="242"/>
    </row>
    <row r="819832" spans="1:1" x14ac:dyDescent="0.25">
      <c r="A819832" s="242"/>
    </row>
    <row r="819833" spans="1:1" x14ac:dyDescent="0.25">
      <c r="A819833" s="242"/>
    </row>
    <row r="819834" spans="1:1" x14ac:dyDescent="0.25">
      <c r="A819834" s="242"/>
    </row>
    <row r="819835" spans="1:1" x14ac:dyDescent="0.25">
      <c r="A819835" s="242"/>
    </row>
    <row r="819836" spans="1:1" x14ac:dyDescent="0.25">
      <c r="A819836" s="242"/>
    </row>
    <row r="819837" spans="1:1" x14ac:dyDescent="0.25">
      <c r="A819837" s="242"/>
    </row>
    <row r="819838" spans="1:1" x14ac:dyDescent="0.25">
      <c r="A819838" s="242"/>
    </row>
    <row r="819839" spans="1:1" x14ac:dyDescent="0.25">
      <c r="A819839" s="242"/>
    </row>
    <row r="819840" spans="1:1" x14ac:dyDescent="0.25">
      <c r="A819840" s="242"/>
    </row>
    <row r="819841" spans="1:1" x14ac:dyDescent="0.25">
      <c r="A819841" s="242"/>
    </row>
    <row r="819842" spans="1:1" x14ac:dyDescent="0.25">
      <c r="A819842" s="242"/>
    </row>
    <row r="819843" spans="1:1" x14ac:dyDescent="0.25">
      <c r="A819843" s="242"/>
    </row>
    <row r="819844" spans="1:1" x14ac:dyDescent="0.25">
      <c r="A819844" s="242"/>
    </row>
    <row r="819845" spans="1:1" x14ac:dyDescent="0.25">
      <c r="A819845" s="242"/>
    </row>
    <row r="819846" spans="1:1" x14ac:dyDescent="0.25">
      <c r="A819846" s="242"/>
    </row>
    <row r="819847" spans="1:1" x14ac:dyDescent="0.25">
      <c r="A819847" s="242"/>
    </row>
    <row r="819848" spans="1:1" x14ac:dyDescent="0.25">
      <c r="A819848" s="242"/>
    </row>
    <row r="819849" spans="1:1" x14ac:dyDescent="0.25">
      <c r="A819849" s="242"/>
    </row>
    <row r="819850" spans="1:1" x14ac:dyDescent="0.25">
      <c r="A819850" s="242"/>
    </row>
    <row r="819851" spans="1:1" x14ac:dyDescent="0.25">
      <c r="A819851" s="242"/>
    </row>
    <row r="819852" spans="1:1" x14ac:dyDescent="0.25">
      <c r="A819852" s="242"/>
    </row>
    <row r="819853" spans="1:1" x14ac:dyDescent="0.25">
      <c r="A819853" s="242"/>
    </row>
    <row r="819854" spans="1:1" x14ac:dyDescent="0.25">
      <c r="A819854" s="242"/>
    </row>
    <row r="819855" spans="1:1" x14ac:dyDescent="0.25">
      <c r="A819855" s="242"/>
    </row>
    <row r="819856" spans="1:1" x14ac:dyDescent="0.25">
      <c r="A819856" s="242"/>
    </row>
    <row r="819857" spans="1:1" x14ac:dyDescent="0.25">
      <c r="A819857" s="242"/>
    </row>
    <row r="819858" spans="1:1" x14ac:dyDescent="0.25">
      <c r="A819858" s="242"/>
    </row>
    <row r="819859" spans="1:1" x14ac:dyDescent="0.25">
      <c r="A819859" s="242"/>
    </row>
    <row r="819860" spans="1:1" x14ac:dyDescent="0.25">
      <c r="A819860" s="242"/>
    </row>
    <row r="819861" spans="1:1" x14ac:dyDescent="0.25">
      <c r="A819861" s="242"/>
    </row>
    <row r="819862" spans="1:1" x14ac:dyDescent="0.25">
      <c r="A819862" s="242"/>
    </row>
    <row r="819863" spans="1:1" x14ac:dyDescent="0.25">
      <c r="A819863" s="242"/>
    </row>
    <row r="819864" spans="1:1" x14ac:dyDescent="0.25">
      <c r="A819864" s="242"/>
    </row>
    <row r="819865" spans="1:1" x14ac:dyDescent="0.25">
      <c r="A819865" s="242"/>
    </row>
    <row r="819866" spans="1:1" x14ac:dyDescent="0.25">
      <c r="A819866" s="242"/>
    </row>
    <row r="819867" spans="1:1" x14ac:dyDescent="0.25">
      <c r="A819867" s="242"/>
    </row>
    <row r="819868" spans="1:1" x14ac:dyDescent="0.25">
      <c r="A819868" s="242"/>
    </row>
    <row r="819869" spans="1:1" x14ac:dyDescent="0.25">
      <c r="A819869" s="242"/>
    </row>
    <row r="819870" spans="1:1" x14ac:dyDescent="0.25">
      <c r="A819870" s="242"/>
    </row>
    <row r="819871" spans="1:1" x14ac:dyDescent="0.25">
      <c r="A819871" s="242"/>
    </row>
    <row r="819872" spans="1:1" x14ac:dyDescent="0.25">
      <c r="A819872" s="242"/>
    </row>
    <row r="819873" spans="1:1" x14ac:dyDescent="0.25">
      <c r="A819873" s="242"/>
    </row>
    <row r="819874" spans="1:1" x14ac:dyDescent="0.25">
      <c r="A819874" s="242"/>
    </row>
    <row r="819875" spans="1:1" x14ac:dyDescent="0.25">
      <c r="A819875" s="242"/>
    </row>
    <row r="819876" spans="1:1" x14ac:dyDescent="0.25">
      <c r="A819876" s="242"/>
    </row>
    <row r="819877" spans="1:1" x14ac:dyDescent="0.25">
      <c r="A819877" s="242"/>
    </row>
    <row r="819878" spans="1:1" x14ac:dyDescent="0.25">
      <c r="A819878" s="242"/>
    </row>
    <row r="819879" spans="1:1" x14ac:dyDescent="0.25">
      <c r="A819879" s="242"/>
    </row>
    <row r="819880" spans="1:1" x14ac:dyDescent="0.25">
      <c r="A819880" s="242"/>
    </row>
    <row r="819881" spans="1:1" x14ac:dyDescent="0.25">
      <c r="A819881" s="242"/>
    </row>
    <row r="819882" spans="1:1" x14ac:dyDescent="0.25">
      <c r="A819882" s="242"/>
    </row>
    <row r="819883" spans="1:1" x14ac:dyDescent="0.25">
      <c r="A819883" s="242"/>
    </row>
    <row r="819884" spans="1:1" x14ac:dyDescent="0.25">
      <c r="A819884" s="242"/>
    </row>
    <row r="819885" spans="1:1" x14ac:dyDescent="0.25">
      <c r="A819885" s="242"/>
    </row>
    <row r="819886" spans="1:1" x14ac:dyDescent="0.25">
      <c r="A819886" s="242"/>
    </row>
    <row r="819887" spans="1:1" x14ac:dyDescent="0.25">
      <c r="A819887" s="242"/>
    </row>
    <row r="819888" spans="1:1" x14ac:dyDescent="0.25">
      <c r="A819888" s="242"/>
    </row>
    <row r="819889" spans="1:1" x14ac:dyDescent="0.25">
      <c r="A819889" s="242"/>
    </row>
    <row r="819890" spans="1:1" x14ac:dyDescent="0.25">
      <c r="A819890" s="242"/>
    </row>
    <row r="819891" spans="1:1" x14ac:dyDescent="0.25">
      <c r="A819891" s="242"/>
    </row>
    <row r="819892" spans="1:1" x14ac:dyDescent="0.25">
      <c r="A819892" s="242"/>
    </row>
    <row r="819893" spans="1:1" x14ac:dyDescent="0.25">
      <c r="A819893" s="242"/>
    </row>
    <row r="819894" spans="1:1" x14ac:dyDescent="0.25">
      <c r="A819894" s="242"/>
    </row>
    <row r="819895" spans="1:1" x14ac:dyDescent="0.25">
      <c r="A819895" s="242"/>
    </row>
    <row r="819896" spans="1:1" x14ac:dyDescent="0.25">
      <c r="A819896" s="242"/>
    </row>
    <row r="819897" spans="1:1" x14ac:dyDescent="0.25">
      <c r="A819897" s="242"/>
    </row>
    <row r="819898" spans="1:1" x14ac:dyDescent="0.25">
      <c r="A819898" s="242"/>
    </row>
    <row r="819899" spans="1:1" x14ac:dyDescent="0.25">
      <c r="A819899" s="242"/>
    </row>
    <row r="819900" spans="1:1" x14ac:dyDescent="0.25">
      <c r="A819900" s="242"/>
    </row>
    <row r="819901" spans="1:1" x14ac:dyDescent="0.25">
      <c r="A819901" s="242"/>
    </row>
    <row r="819902" spans="1:1" x14ac:dyDescent="0.25">
      <c r="A819902" s="242"/>
    </row>
    <row r="819903" spans="1:1" x14ac:dyDescent="0.25">
      <c r="A819903" s="242"/>
    </row>
    <row r="819904" spans="1:1" x14ac:dyDescent="0.25">
      <c r="A819904" s="242"/>
    </row>
    <row r="819905" spans="1:1" x14ac:dyDescent="0.25">
      <c r="A819905" s="242"/>
    </row>
    <row r="819906" spans="1:1" x14ac:dyDescent="0.25">
      <c r="A819906" s="242"/>
    </row>
    <row r="819907" spans="1:1" x14ac:dyDescent="0.25">
      <c r="A819907" s="242"/>
    </row>
    <row r="819908" spans="1:1" x14ac:dyDescent="0.25">
      <c r="A819908" s="242"/>
    </row>
    <row r="819909" spans="1:1" x14ac:dyDescent="0.25">
      <c r="A819909" s="242"/>
    </row>
    <row r="819910" spans="1:1" x14ac:dyDescent="0.25">
      <c r="A819910" s="242"/>
    </row>
    <row r="819911" spans="1:1" x14ac:dyDescent="0.25">
      <c r="A819911" s="242"/>
    </row>
    <row r="819912" spans="1:1" x14ac:dyDescent="0.25">
      <c r="A819912" s="242"/>
    </row>
    <row r="819913" spans="1:1" x14ac:dyDescent="0.25">
      <c r="A819913" s="242"/>
    </row>
    <row r="819914" spans="1:1" x14ac:dyDescent="0.25">
      <c r="A819914" s="242"/>
    </row>
    <row r="819915" spans="1:1" x14ac:dyDescent="0.25">
      <c r="A819915" s="242"/>
    </row>
    <row r="819916" spans="1:1" x14ac:dyDescent="0.25">
      <c r="A819916" s="242"/>
    </row>
    <row r="819917" spans="1:1" x14ac:dyDescent="0.25">
      <c r="A819917" s="242"/>
    </row>
    <row r="819918" spans="1:1" x14ac:dyDescent="0.25">
      <c r="A819918" s="242"/>
    </row>
    <row r="819919" spans="1:1" x14ac:dyDescent="0.25">
      <c r="A819919" s="242"/>
    </row>
    <row r="819920" spans="1:1" x14ac:dyDescent="0.25">
      <c r="A819920" s="242"/>
    </row>
    <row r="819921" spans="1:1" x14ac:dyDescent="0.25">
      <c r="A819921" s="242"/>
    </row>
    <row r="819922" spans="1:1" x14ac:dyDescent="0.25">
      <c r="A819922" s="242"/>
    </row>
    <row r="819923" spans="1:1" x14ac:dyDescent="0.25">
      <c r="A819923" s="242"/>
    </row>
    <row r="819924" spans="1:1" x14ac:dyDescent="0.25">
      <c r="A819924" s="242"/>
    </row>
    <row r="819925" spans="1:1" x14ac:dyDescent="0.25">
      <c r="A819925" s="242"/>
    </row>
    <row r="819926" spans="1:1" x14ac:dyDescent="0.25">
      <c r="A819926" s="242"/>
    </row>
    <row r="819927" spans="1:1" x14ac:dyDescent="0.25">
      <c r="A819927" s="242"/>
    </row>
    <row r="819928" spans="1:1" x14ac:dyDescent="0.25">
      <c r="A819928" s="242"/>
    </row>
    <row r="819929" spans="1:1" x14ac:dyDescent="0.25">
      <c r="A819929" s="242"/>
    </row>
    <row r="819930" spans="1:1" x14ac:dyDescent="0.25">
      <c r="A819930" s="242"/>
    </row>
    <row r="819931" spans="1:1" x14ac:dyDescent="0.25">
      <c r="A819931" s="242"/>
    </row>
    <row r="819932" spans="1:1" x14ac:dyDescent="0.25">
      <c r="A819932" s="242"/>
    </row>
    <row r="819933" spans="1:1" x14ac:dyDescent="0.25">
      <c r="A819933" s="242"/>
    </row>
    <row r="819934" spans="1:1" x14ac:dyDescent="0.25">
      <c r="A819934" s="242"/>
    </row>
    <row r="819935" spans="1:1" x14ac:dyDescent="0.25">
      <c r="A819935" s="242"/>
    </row>
    <row r="819936" spans="1:1" x14ac:dyDescent="0.25">
      <c r="A819936" s="242"/>
    </row>
    <row r="819937" spans="1:1" x14ac:dyDescent="0.25">
      <c r="A819937" s="242"/>
    </row>
    <row r="819938" spans="1:1" x14ac:dyDescent="0.25">
      <c r="A819938" s="242"/>
    </row>
    <row r="819939" spans="1:1" x14ac:dyDescent="0.25">
      <c r="A819939" s="242"/>
    </row>
    <row r="819940" spans="1:1" x14ac:dyDescent="0.25">
      <c r="A819940" s="242"/>
    </row>
    <row r="819941" spans="1:1" x14ac:dyDescent="0.25">
      <c r="A819941" s="242"/>
    </row>
    <row r="819942" spans="1:1" x14ac:dyDescent="0.25">
      <c r="A819942" s="242"/>
    </row>
    <row r="819943" spans="1:1" x14ac:dyDescent="0.25">
      <c r="A819943" s="242"/>
    </row>
    <row r="819944" spans="1:1" x14ac:dyDescent="0.25">
      <c r="A819944" s="242"/>
    </row>
    <row r="819945" spans="1:1" x14ac:dyDescent="0.25">
      <c r="A819945" s="242"/>
    </row>
    <row r="819946" spans="1:1" x14ac:dyDescent="0.25">
      <c r="A819946" s="242"/>
    </row>
    <row r="819947" spans="1:1" x14ac:dyDescent="0.25">
      <c r="A819947" s="242"/>
    </row>
    <row r="819948" spans="1:1" x14ac:dyDescent="0.25">
      <c r="A819948" s="242"/>
    </row>
    <row r="819949" spans="1:1" x14ac:dyDescent="0.25">
      <c r="A819949" s="242"/>
    </row>
    <row r="819950" spans="1:1" x14ac:dyDescent="0.25">
      <c r="A819950" s="242"/>
    </row>
    <row r="819951" spans="1:1" x14ac:dyDescent="0.25">
      <c r="A819951" s="242"/>
    </row>
    <row r="819952" spans="1:1" x14ac:dyDescent="0.25">
      <c r="A819952" s="242"/>
    </row>
    <row r="819953" spans="1:1" x14ac:dyDescent="0.25">
      <c r="A819953" s="242"/>
    </row>
    <row r="819954" spans="1:1" x14ac:dyDescent="0.25">
      <c r="A819954" s="242"/>
    </row>
    <row r="819955" spans="1:1" x14ac:dyDescent="0.25">
      <c r="A819955" s="242"/>
    </row>
    <row r="819956" spans="1:1" x14ac:dyDescent="0.25">
      <c r="A819956" s="242"/>
    </row>
    <row r="819957" spans="1:1" x14ac:dyDescent="0.25">
      <c r="A819957" s="242"/>
    </row>
    <row r="819958" spans="1:1" x14ac:dyDescent="0.25">
      <c r="A819958" s="242"/>
    </row>
    <row r="819959" spans="1:1" x14ac:dyDescent="0.25">
      <c r="A819959" s="242"/>
    </row>
    <row r="819960" spans="1:1" x14ac:dyDescent="0.25">
      <c r="A819960" s="242"/>
    </row>
    <row r="819961" spans="1:1" x14ac:dyDescent="0.25">
      <c r="A819961" s="242"/>
    </row>
    <row r="819962" spans="1:1" x14ac:dyDescent="0.25">
      <c r="A819962" s="242"/>
    </row>
    <row r="819963" spans="1:1" x14ac:dyDescent="0.25">
      <c r="A819963" s="242"/>
    </row>
    <row r="819964" spans="1:1" x14ac:dyDescent="0.25">
      <c r="A819964" s="242"/>
    </row>
    <row r="819965" spans="1:1" x14ac:dyDescent="0.25">
      <c r="A819965" s="242"/>
    </row>
    <row r="819966" spans="1:1" x14ac:dyDescent="0.25">
      <c r="A819966" s="242"/>
    </row>
    <row r="819967" spans="1:1" x14ac:dyDescent="0.25">
      <c r="A819967" s="242"/>
    </row>
    <row r="819968" spans="1:1" x14ac:dyDescent="0.25">
      <c r="A819968" s="242"/>
    </row>
    <row r="819969" spans="1:1" x14ac:dyDescent="0.25">
      <c r="A819969" s="242"/>
    </row>
    <row r="819970" spans="1:1" x14ac:dyDescent="0.25">
      <c r="A819970" s="242"/>
    </row>
    <row r="819971" spans="1:1" x14ac:dyDescent="0.25">
      <c r="A819971" s="242"/>
    </row>
    <row r="819972" spans="1:1" x14ac:dyDescent="0.25">
      <c r="A819972" s="242"/>
    </row>
    <row r="819973" spans="1:1" x14ac:dyDescent="0.25">
      <c r="A819973" s="242"/>
    </row>
    <row r="819974" spans="1:1" x14ac:dyDescent="0.25">
      <c r="A819974" s="242"/>
    </row>
    <row r="819975" spans="1:1" x14ac:dyDescent="0.25">
      <c r="A819975" s="242"/>
    </row>
    <row r="819976" spans="1:1" x14ac:dyDescent="0.25">
      <c r="A819976" s="242"/>
    </row>
    <row r="819977" spans="1:1" x14ac:dyDescent="0.25">
      <c r="A819977" s="242"/>
    </row>
    <row r="819978" spans="1:1" x14ac:dyDescent="0.25">
      <c r="A819978" s="242"/>
    </row>
    <row r="819979" spans="1:1" x14ac:dyDescent="0.25">
      <c r="A819979" s="242"/>
    </row>
    <row r="819980" spans="1:1" x14ac:dyDescent="0.25">
      <c r="A819980" s="242"/>
    </row>
    <row r="819981" spans="1:1" x14ac:dyDescent="0.25">
      <c r="A819981" s="242"/>
    </row>
    <row r="819982" spans="1:1" x14ac:dyDescent="0.25">
      <c r="A819982" s="242"/>
    </row>
    <row r="819983" spans="1:1" x14ac:dyDescent="0.25">
      <c r="A819983" s="242"/>
    </row>
    <row r="819984" spans="1:1" x14ac:dyDescent="0.25">
      <c r="A819984" s="242"/>
    </row>
    <row r="819985" spans="1:1" x14ac:dyDescent="0.25">
      <c r="A819985" s="242"/>
    </row>
    <row r="819986" spans="1:1" x14ac:dyDescent="0.25">
      <c r="A819986" s="242"/>
    </row>
    <row r="819987" spans="1:1" x14ac:dyDescent="0.25">
      <c r="A819987" s="242"/>
    </row>
    <row r="819988" spans="1:1" x14ac:dyDescent="0.25">
      <c r="A819988" s="242"/>
    </row>
    <row r="819989" spans="1:1" x14ac:dyDescent="0.25">
      <c r="A819989" s="242"/>
    </row>
    <row r="819990" spans="1:1" x14ac:dyDescent="0.25">
      <c r="A819990" s="242"/>
    </row>
    <row r="819991" spans="1:1" x14ac:dyDescent="0.25">
      <c r="A819991" s="242"/>
    </row>
    <row r="819992" spans="1:1" x14ac:dyDescent="0.25">
      <c r="A819992" s="242"/>
    </row>
    <row r="819993" spans="1:1" x14ac:dyDescent="0.25">
      <c r="A819993" s="242"/>
    </row>
    <row r="819994" spans="1:1" x14ac:dyDescent="0.25">
      <c r="A819994" s="242"/>
    </row>
    <row r="819995" spans="1:1" x14ac:dyDescent="0.25">
      <c r="A819995" s="242"/>
    </row>
    <row r="819996" spans="1:1" x14ac:dyDescent="0.25">
      <c r="A819996" s="242"/>
    </row>
    <row r="819997" spans="1:1" x14ac:dyDescent="0.25">
      <c r="A819997" s="242"/>
    </row>
    <row r="819998" spans="1:1" x14ac:dyDescent="0.25">
      <c r="A819998" s="242"/>
    </row>
    <row r="819999" spans="1:1" x14ac:dyDescent="0.25">
      <c r="A819999" s="242"/>
    </row>
    <row r="820000" spans="1:1" x14ac:dyDescent="0.25">
      <c r="A820000" s="242"/>
    </row>
    <row r="820001" spans="1:1" x14ac:dyDescent="0.25">
      <c r="A820001" s="242"/>
    </row>
    <row r="820002" spans="1:1" x14ac:dyDescent="0.25">
      <c r="A820002" s="242"/>
    </row>
    <row r="820003" spans="1:1" x14ac:dyDescent="0.25">
      <c r="A820003" s="242"/>
    </row>
    <row r="820004" spans="1:1" x14ac:dyDescent="0.25">
      <c r="A820004" s="242"/>
    </row>
    <row r="820005" spans="1:1" x14ac:dyDescent="0.25">
      <c r="A820005" s="242"/>
    </row>
    <row r="820006" spans="1:1" x14ac:dyDescent="0.25">
      <c r="A820006" s="242"/>
    </row>
    <row r="820007" spans="1:1" x14ac:dyDescent="0.25">
      <c r="A820007" s="242"/>
    </row>
    <row r="820008" spans="1:1" x14ac:dyDescent="0.25">
      <c r="A820008" s="242"/>
    </row>
    <row r="820009" spans="1:1" x14ac:dyDescent="0.25">
      <c r="A820009" s="242"/>
    </row>
    <row r="820010" spans="1:1" x14ac:dyDescent="0.25">
      <c r="A820010" s="242"/>
    </row>
    <row r="820011" spans="1:1" x14ac:dyDescent="0.25">
      <c r="A820011" s="242"/>
    </row>
    <row r="820012" spans="1:1" x14ac:dyDescent="0.25">
      <c r="A820012" s="242"/>
    </row>
    <row r="820013" spans="1:1" x14ac:dyDescent="0.25">
      <c r="A820013" s="242"/>
    </row>
    <row r="820014" spans="1:1" x14ac:dyDescent="0.25">
      <c r="A820014" s="242"/>
    </row>
    <row r="820015" spans="1:1" x14ac:dyDescent="0.25">
      <c r="A820015" s="242"/>
    </row>
    <row r="820016" spans="1:1" x14ac:dyDescent="0.25">
      <c r="A820016" s="242"/>
    </row>
    <row r="820017" spans="1:1" x14ac:dyDescent="0.25">
      <c r="A820017" s="242"/>
    </row>
    <row r="820018" spans="1:1" x14ac:dyDescent="0.25">
      <c r="A820018" s="242"/>
    </row>
    <row r="820019" spans="1:1" x14ac:dyDescent="0.25">
      <c r="A820019" s="242"/>
    </row>
    <row r="820020" spans="1:1" x14ac:dyDescent="0.25">
      <c r="A820020" s="242"/>
    </row>
    <row r="820021" spans="1:1" x14ac:dyDescent="0.25">
      <c r="A820021" s="242"/>
    </row>
    <row r="820022" spans="1:1" x14ac:dyDescent="0.25">
      <c r="A820022" s="242"/>
    </row>
    <row r="820023" spans="1:1" x14ac:dyDescent="0.25">
      <c r="A820023" s="242"/>
    </row>
    <row r="820024" spans="1:1" x14ac:dyDescent="0.25">
      <c r="A820024" s="242"/>
    </row>
    <row r="820025" spans="1:1" x14ac:dyDescent="0.25">
      <c r="A820025" s="242"/>
    </row>
    <row r="820026" spans="1:1" x14ac:dyDescent="0.25">
      <c r="A820026" s="242"/>
    </row>
    <row r="820027" spans="1:1" x14ac:dyDescent="0.25">
      <c r="A820027" s="242"/>
    </row>
    <row r="820028" spans="1:1" x14ac:dyDescent="0.25">
      <c r="A820028" s="242"/>
    </row>
    <row r="820029" spans="1:1" x14ac:dyDescent="0.25">
      <c r="A820029" s="242"/>
    </row>
    <row r="820030" spans="1:1" x14ac:dyDescent="0.25">
      <c r="A820030" s="242"/>
    </row>
    <row r="820031" spans="1:1" x14ac:dyDescent="0.25">
      <c r="A820031" s="242"/>
    </row>
    <row r="820032" spans="1:1" x14ac:dyDescent="0.25">
      <c r="A820032" s="242"/>
    </row>
    <row r="820033" spans="1:1" x14ac:dyDescent="0.25">
      <c r="A820033" s="242"/>
    </row>
    <row r="820034" spans="1:1" x14ac:dyDescent="0.25">
      <c r="A820034" s="242"/>
    </row>
    <row r="820035" spans="1:1" x14ac:dyDescent="0.25">
      <c r="A820035" s="242"/>
    </row>
    <row r="820036" spans="1:1" x14ac:dyDescent="0.25">
      <c r="A820036" s="242"/>
    </row>
    <row r="820037" spans="1:1" x14ac:dyDescent="0.25">
      <c r="A820037" s="242"/>
    </row>
    <row r="820038" spans="1:1" x14ac:dyDescent="0.25">
      <c r="A820038" s="242"/>
    </row>
    <row r="820039" spans="1:1" x14ac:dyDescent="0.25">
      <c r="A820039" s="242"/>
    </row>
    <row r="820040" spans="1:1" x14ac:dyDescent="0.25">
      <c r="A820040" s="242"/>
    </row>
    <row r="820041" spans="1:1" x14ac:dyDescent="0.25">
      <c r="A820041" s="242"/>
    </row>
    <row r="820042" spans="1:1" x14ac:dyDescent="0.25">
      <c r="A820042" s="242"/>
    </row>
    <row r="820043" spans="1:1" x14ac:dyDescent="0.25">
      <c r="A820043" s="242"/>
    </row>
    <row r="820044" spans="1:1" x14ac:dyDescent="0.25">
      <c r="A820044" s="242"/>
    </row>
    <row r="820045" spans="1:1" x14ac:dyDescent="0.25">
      <c r="A820045" s="242"/>
    </row>
    <row r="820046" spans="1:1" x14ac:dyDescent="0.25">
      <c r="A820046" s="242"/>
    </row>
    <row r="820047" spans="1:1" x14ac:dyDescent="0.25">
      <c r="A820047" s="242"/>
    </row>
    <row r="820048" spans="1:1" x14ac:dyDescent="0.25">
      <c r="A820048" s="242"/>
    </row>
    <row r="820049" spans="1:1" x14ac:dyDescent="0.25">
      <c r="A820049" s="242"/>
    </row>
    <row r="820050" spans="1:1" x14ac:dyDescent="0.25">
      <c r="A820050" s="242"/>
    </row>
    <row r="820051" spans="1:1" x14ac:dyDescent="0.25">
      <c r="A820051" s="242"/>
    </row>
    <row r="820052" spans="1:1" x14ac:dyDescent="0.25">
      <c r="A820052" s="242"/>
    </row>
    <row r="820053" spans="1:1" x14ac:dyDescent="0.25">
      <c r="A820053" s="242"/>
    </row>
    <row r="820054" spans="1:1" x14ac:dyDescent="0.25">
      <c r="A820054" s="242"/>
    </row>
    <row r="820055" spans="1:1" x14ac:dyDescent="0.25">
      <c r="A820055" s="242"/>
    </row>
    <row r="820056" spans="1:1" x14ac:dyDescent="0.25">
      <c r="A820056" s="242"/>
    </row>
    <row r="820057" spans="1:1" x14ac:dyDescent="0.25">
      <c r="A820057" s="242"/>
    </row>
    <row r="820058" spans="1:1" x14ac:dyDescent="0.25">
      <c r="A820058" s="242"/>
    </row>
    <row r="820059" spans="1:1" x14ac:dyDescent="0.25">
      <c r="A820059" s="242"/>
    </row>
    <row r="820060" spans="1:1" x14ac:dyDescent="0.25">
      <c r="A820060" s="242"/>
    </row>
    <row r="820061" spans="1:1" x14ac:dyDescent="0.25">
      <c r="A820061" s="242"/>
    </row>
    <row r="820062" spans="1:1" x14ac:dyDescent="0.25">
      <c r="A820062" s="242"/>
    </row>
    <row r="820063" spans="1:1" x14ac:dyDescent="0.25">
      <c r="A820063" s="242"/>
    </row>
    <row r="820064" spans="1:1" x14ac:dyDescent="0.25">
      <c r="A820064" s="242"/>
    </row>
    <row r="820065" spans="1:1" x14ac:dyDescent="0.25">
      <c r="A820065" s="242"/>
    </row>
    <row r="820066" spans="1:1" x14ac:dyDescent="0.25">
      <c r="A820066" s="242"/>
    </row>
    <row r="820067" spans="1:1" x14ac:dyDescent="0.25">
      <c r="A820067" s="242"/>
    </row>
    <row r="820068" spans="1:1" x14ac:dyDescent="0.25">
      <c r="A820068" s="242"/>
    </row>
    <row r="820069" spans="1:1" x14ac:dyDescent="0.25">
      <c r="A820069" s="242"/>
    </row>
    <row r="820070" spans="1:1" x14ac:dyDescent="0.25">
      <c r="A820070" s="242"/>
    </row>
    <row r="820071" spans="1:1" x14ac:dyDescent="0.25">
      <c r="A820071" s="242"/>
    </row>
    <row r="820072" spans="1:1" x14ac:dyDescent="0.25">
      <c r="A820072" s="242"/>
    </row>
    <row r="820073" spans="1:1" x14ac:dyDescent="0.25">
      <c r="A820073" s="242"/>
    </row>
    <row r="820074" spans="1:1" x14ac:dyDescent="0.25">
      <c r="A820074" s="242"/>
    </row>
    <row r="820075" spans="1:1" x14ac:dyDescent="0.25">
      <c r="A820075" s="242"/>
    </row>
    <row r="820076" spans="1:1" x14ac:dyDescent="0.25">
      <c r="A820076" s="242"/>
    </row>
    <row r="820077" spans="1:1" x14ac:dyDescent="0.25">
      <c r="A820077" s="242"/>
    </row>
    <row r="820078" spans="1:1" x14ac:dyDescent="0.25">
      <c r="A820078" s="242"/>
    </row>
    <row r="820079" spans="1:1" x14ac:dyDescent="0.25">
      <c r="A820079" s="242"/>
    </row>
    <row r="820080" spans="1:1" x14ac:dyDescent="0.25">
      <c r="A820080" s="242"/>
    </row>
    <row r="820081" spans="1:1" x14ac:dyDescent="0.25">
      <c r="A820081" s="242"/>
    </row>
    <row r="820082" spans="1:1" x14ac:dyDescent="0.25">
      <c r="A820082" s="242"/>
    </row>
    <row r="820083" spans="1:1" x14ac:dyDescent="0.25">
      <c r="A820083" s="242"/>
    </row>
    <row r="820084" spans="1:1" x14ac:dyDescent="0.25">
      <c r="A820084" s="242"/>
    </row>
    <row r="820085" spans="1:1" x14ac:dyDescent="0.25">
      <c r="A820085" s="242"/>
    </row>
    <row r="820086" spans="1:1" x14ac:dyDescent="0.25">
      <c r="A820086" s="242"/>
    </row>
    <row r="820087" spans="1:1" x14ac:dyDescent="0.25">
      <c r="A820087" s="242"/>
    </row>
    <row r="820088" spans="1:1" x14ac:dyDescent="0.25">
      <c r="A820088" s="242"/>
    </row>
    <row r="820089" spans="1:1" x14ac:dyDescent="0.25">
      <c r="A820089" s="242"/>
    </row>
    <row r="820090" spans="1:1" x14ac:dyDescent="0.25">
      <c r="A820090" s="242"/>
    </row>
    <row r="820091" spans="1:1" x14ac:dyDescent="0.25">
      <c r="A820091" s="242"/>
    </row>
    <row r="820092" spans="1:1" x14ac:dyDescent="0.25">
      <c r="A820092" s="242"/>
    </row>
    <row r="820093" spans="1:1" x14ac:dyDescent="0.25">
      <c r="A820093" s="242"/>
    </row>
    <row r="820094" spans="1:1" x14ac:dyDescent="0.25">
      <c r="A820094" s="242"/>
    </row>
    <row r="820095" spans="1:1" x14ac:dyDescent="0.25">
      <c r="A820095" s="242"/>
    </row>
    <row r="820096" spans="1:1" x14ac:dyDescent="0.25">
      <c r="A820096" s="242"/>
    </row>
    <row r="820097" spans="1:1" x14ac:dyDescent="0.25">
      <c r="A820097" s="242"/>
    </row>
    <row r="820098" spans="1:1" x14ac:dyDescent="0.25">
      <c r="A820098" s="242"/>
    </row>
    <row r="820099" spans="1:1" x14ac:dyDescent="0.25">
      <c r="A820099" s="242"/>
    </row>
    <row r="820100" spans="1:1" x14ac:dyDescent="0.25">
      <c r="A820100" s="242"/>
    </row>
    <row r="820101" spans="1:1" x14ac:dyDescent="0.25">
      <c r="A820101" s="242"/>
    </row>
    <row r="820102" spans="1:1" x14ac:dyDescent="0.25">
      <c r="A820102" s="242"/>
    </row>
    <row r="820103" spans="1:1" x14ac:dyDescent="0.25">
      <c r="A820103" s="242"/>
    </row>
    <row r="820104" spans="1:1" x14ac:dyDescent="0.25">
      <c r="A820104" s="242"/>
    </row>
    <row r="820105" spans="1:1" x14ac:dyDescent="0.25">
      <c r="A820105" s="242"/>
    </row>
    <row r="820106" spans="1:1" x14ac:dyDescent="0.25">
      <c r="A820106" s="242"/>
    </row>
    <row r="820107" spans="1:1" x14ac:dyDescent="0.25">
      <c r="A820107" s="242"/>
    </row>
    <row r="820108" spans="1:1" x14ac:dyDescent="0.25">
      <c r="A820108" s="242"/>
    </row>
    <row r="820109" spans="1:1" x14ac:dyDescent="0.25">
      <c r="A820109" s="242"/>
    </row>
    <row r="820110" spans="1:1" x14ac:dyDescent="0.25">
      <c r="A820110" s="242"/>
    </row>
    <row r="820111" spans="1:1" x14ac:dyDescent="0.25">
      <c r="A820111" s="242"/>
    </row>
    <row r="820112" spans="1:1" x14ac:dyDescent="0.25">
      <c r="A820112" s="242"/>
    </row>
    <row r="820113" spans="1:1" x14ac:dyDescent="0.25">
      <c r="A820113" s="242"/>
    </row>
    <row r="820114" spans="1:1" x14ac:dyDescent="0.25">
      <c r="A820114" s="242"/>
    </row>
    <row r="820115" spans="1:1" x14ac:dyDescent="0.25">
      <c r="A820115" s="242"/>
    </row>
    <row r="820116" spans="1:1" x14ac:dyDescent="0.25">
      <c r="A820116" s="242"/>
    </row>
    <row r="820117" spans="1:1" x14ac:dyDescent="0.25">
      <c r="A820117" s="242"/>
    </row>
    <row r="820118" spans="1:1" x14ac:dyDescent="0.25">
      <c r="A820118" s="242"/>
    </row>
    <row r="820119" spans="1:1" x14ac:dyDescent="0.25">
      <c r="A820119" s="242"/>
    </row>
    <row r="820120" spans="1:1" x14ac:dyDescent="0.25">
      <c r="A820120" s="242"/>
    </row>
    <row r="820121" spans="1:1" x14ac:dyDescent="0.25">
      <c r="A820121" s="242"/>
    </row>
    <row r="820122" spans="1:1" x14ac:dyDescent="0.25">
      <c r="A820122" s="242"/>
    </row>
    <row r="820123" spans="1:1" x14ac:dyDescent="0.25">
      <c r="A820123" s="242"/>
    </row>
    <row r="820124" spans="1:1" x14ac:dyDescent="0.25">
      <c r="A820124" s="242"/>
    </row>
    <row r="820125" spans="1:1" x14ac:dyDescent="0.25">
      <c r="A820125" s="242"/>
    </row>
    <row r="820126" spans="1:1" x14ac:dyDescent="0.25">
      <c r="A820126" s="242"/>
    </row>
    <row r="820127" spans="1:1" x14ac:dyDescent="0.25">
      <c r="A820127" s="242"/>
    </row>
    <row r="820128" spans="1:1" x14ac:dyDescent="0.25">
      <c r="A820128" s="242"/>
    </row>
    <row r="820129" spans="1:1" x14ac:dyDescent="0.25">
      <c r="A820129" s="242"/>
    </row>
    <row r="820130" spans="1:1" x14ac:dyDescent="0.25">
      <c r="A820130" s="242"/>
    </row>
    <row r="820131" spans="1:1" x14ac:dyDescent="0.25">
      <c r="A820131" s="242"/>
    </row>
    <row r="820132" spans="1:1" x14ac:dyDescent="0.25">
      <c r="A820132" s="242"/>
    </row>
    <row r="820133" spans="1:1" x14ac:dyDescent="0.25">
      <c r="A820133" s="242"/>
    </row>
    <row r="820134" spans="1:1" x14ac:dyDescent="0.25">
      <c r="A820134" s="242"/>
    </row>
    <row r="820135" spans="1:1" x14ac:dyDescent="0.25">
      <c r="A820135" s="242"/>
    </row>
    <row r="820136" spans="1:1" x14ac:dyDescent="0.25">
      <c r="A820136" s="242"/>
    </row>
    <row r="820137" spans="1:1" x14ac:dyDescent="0.25">
      <c r="A820137" s="242"/>
    </row>
    <row r="820138" spans="1:1" x14ac:dyDescent="0.25">
      <c r="A820138" s="242"/>
    </row>
    <row r="820139" spans="1:1" x14ac:dyDescent="0.25">
      <c r="A820139" s="242"/>
    </row>
    <row r="820140" spans="1:1" x14ac:dyDescent="0.25">
      <c r="A820140" s="242"/>
    </row>
    <row r="820141" spans="1:1" x14ac:dyDescent="0.25">
      <c r="A820141" s="242"/>
    </row>
    <row r="820142" spans="1:1" x14ac:dyDescent="0.25">
      <c r="A820142" s="242"/>
    </row>
    <row r="820143" spans="1:1" x14ac:dyDescent="0.25">
      <c r="A820143" s="242"/>
    </row>
    <row r="820144" spans="1:1" x14ac:dyDescent="0.25">
      <c r="A820144" s="242"/>
    </row>
    <row r="820145" spans="1:1" x14ac:dyDescent="0.25">
      <c r="A820145" s="242"/>
    </row>
    <row r="820146" spans="1:1" x14ac:dyDescent="0.25">
      <c r="A820146" s="242"/>
    </row>
    <row r="820147" spans="1:1" x14ac:dyDescent="0.25">
      <c r="A820147" s="242"/>
    </row>
    <row r="820148" spans="1:1" x14ac:dyDescent="0.25">
      <c r="A820148" s="242"/>
    </row>
    <row r="820149" spans="1:1" x14ac:dyDescent="0.25">
      <c r="A820149" s="242"/>
    </row>
    <row r="820150" spans="1:1" x14ac:dyDescent="0.25">
      <c r="A820150" s="242"/>
    </row>
    <row r="820151" spans="1:1" x14ac:dyDescent="0.25">
      <c r="A820151" s="242"/>
    </row>
    <row r="820152" spans="1:1" x14ac:dyDescent="0.25">
      <c r="A820152" s="242"/>
    </row>
    <row r="820153" spans="1:1" x14ac:dyDescent="0.25">
      <c r="A820153" s="242"/>
    </row>
    <row r="820154" spans="1:1" x14ac:dyDescent="0.25">
      <c r="A820154" s="242"/>
    </row>
    <row r="820155" spans="1:1" x14ac:dyDescent="0.25">
      <c r="A820155" s="242"/>
    </row>
    <row r="820156" spans="1:1" x14ac:dyDescent="0.25">
      <c r="A820156" s="242"/>
    </row>
    <row r="820157" spans="1:1" x14ac:dyDescent="0.25">
      <c r="A820157" s="242"/>
    </row>
    <row r="820158" spans="1:1" x14ac:dyDescent="0.25">
      <c r="A820158" s="242"/>
    </row>
    <row r="820159" spans="1:1" x14ac:dyDescent="0.25">
      <c r="A820159" s="242"/>
    </row>
    <row r="820160" spans="1:1" x14ac:dyDescent="0.25">
      <c r="A820160" s="242"/>
    </row>
    <row r="820161" spans="1:1" x14ac:dyDescent="0.25">
      <c r="A820161" s="242"/>
    </row>
    <row r="820162" spans="1:1" x14ac:dyDescent="0.25">
      <c r="A820162" s="242"/>
    </row>
    <row r="820163" spans="1:1" x14ac:dyDescent="0.25">
      <c r="A820163" s="242"/>
    </row>
    <row r="820164" spans="1:1" x14ac:dyDescent="0.25">
      <c r="A820164" s="242"/>
    </row>
    <row r="820165" spans="1:1" x14ac:dyDescent="0.25">
      <c r="A820165" s="242"/>
    </row>
    <row r="820166" spans="1:1" x14ac:dyDescent="0.25">
      <c r="A820166" s="242"/>
    </row>
    <row r="820167" spans="1:1" x14ac:dyDescent="0.25">
      <c r="A820167" s="242"/>
    </row>
    <row r="820168" spans="1:1" x14ac:dyDescent="0.25">
      <c r="A820168" s="242"/>
    </row>
    <row r="820169" spans="1:1" x14ac:dyDescent="0.25">
      <c r="A820169" s="242"/>
    </row>
    <row r="820170" spans="1:1" x14ac:dyDescent="0.25">
      <c r="A820170" s="242"/>
    </row>
    <row r="820171" spans="1:1" x14ac:dyDescent="0.25">
      <c r="A820171" s="242"/>
    </row>
    <row r="820172" spans="1:1" x14ac:dyDescent="0.25">
      <c r="A820172" s="242"/>
    </row>
    <row r="820173" spans="1:1" x14ac:dyDescent="0.25">
      <c r="A820173" s="242"/>
    </row>
    <row r="820174" spans="1:1" x14ac:dyDescent="0.25">
      <c r="A820174" s="242"/>
    </row>
    <row r="820175" spans="1:1" x14ac:dyDescent="0.25">
      <c r="A820175" s="242"/>
    </row>
    <row r="820176" spans="1:1" x14ac:dyDescent="0.25">
      <c r="A820176" s="242"/>
    </row>
    <row r="820177" spans="1:1" x14ac:dyDescent="0.25">
      <c r="A820177" s="242"/>
    </row>
    <row r="820178" spans="1:1" x14ac:dyDescent="0.25">
      <c r="A820178" s="242"/>
    </row>
    <row r="820179" spans="1:1" x14ac:dyDescent="0.25">
      <c r="A820179" s="242"/>
    </row>
    <row r="820180" spans="1:1" x14ac:dyDescent="0.25">
      <c r="A820180" s="242"/>
    </row>
    <row r="820181" spans="1:1" x14ac:dyDescent="0.25">
      <c r="A820181" s="242"/>
    </row>
    <row r="820182" spans="1:1" x14ac:dyDescent="0.25">
      <c r="A820182" s="242"/>
    </row>
    <row r="820183" spans="1:1" x14ac:dyDescent="0.25">
      <c r="A820183" s="242"/>
    </row>
    <row r="820184" spans="1:1" x14ac:dyDescent="0.25">
      <c r="A820184" s="242"/>
    </row>
    <row r="820185" spans="1:1" x14ac:dyDescent="0.25">
      <c r="A820185" s="242"/>
    </row>
    <row r="820186" spans="1:1" x14ac:dyDescent="0.25">
      <c r="A820186" s="242"/>
    </row>
    <row r="820187" spans="1:1" x14ac:dyDescent="0.25">
      <c r="A820187" s="242"/>
    </row>
    <row r="820188" spans="1:1" x14ac:dyDescent="0.25">
      <c r="A820188" s="242"/>
    </row>
    <row r="820189" spans="1:1" x14ac:dyDescent="0.25">
      <c r="A820189" s="242"/>
    </row>
    <row r="820190" spans="1:1" x14ac:dyDescent="0.25">
      <c r="A820190" s="242"/>
    </row>
    <row r="820191" spans="1:1" x14ac:dyDescent="0.25">
      <c r="A820191" s="242"/>
    </row>
    <row r="820192" spans="1:1" x14ac:dyDescent="0.25">
      <c r="A820192" s="242"/>
    </row>
    <row r="820193" spans="1:1" x14ac:dyDescent="0.25">
      <c r="A820193" s="242"/>
    </row>
    <row r="820194" spans="1:1" x14ac:dyDescent="0.25">
      <c r="A820194" s="242"/>
    </row>
    <row r="820195" spans="1:1" x14ac:dyDescent="0.25">
      <c r="A820195" s="242"/>
    </row>
    <row r="820196" spans="1:1" x14ac:dyDescent="0.25">
      <c r="A820196" s="242"/>
    </row>
    <row r="820197" spans="1:1" x14ac:dyDescent="0.25">
      <c r="A820197" s="242"/>
    </row>
    <row r="820198" spans="1:1" x14ac:dyDescent="0.25">
      <c r="A820198" s="242"/>
    </row>
    <row r="820199" spans="1:1" x14ac:dyDescent="0.25">
      <c r="A820199" s="242"/>
    </row>
    <row r="820200" spans="1:1" x14ac:dyDescent="0.25">
      <c r="A820200" s="242"/>
    </row>
    <row r="820201" spans="1:1" x14ac:dyDescent="0.25">
      <c r="A820201" s="242"/>
    </row>
    <row r="820202" spans="1:1" x14ac:dyDescent="0.25">
      <c r="A820202" s="242"/>
    </row>
    <row r="820203" spans="1:1" x14ac:dyDescent="0.25">
      <c r="A820203" s="242"/>
    </row>
    <row r="820204" spans="1:1" x14ac:dyDescent="0.25">
      <c r="A820204" s="242"/>
    </row>
    <row r="820205" spans="1:1" x14ac:dyDescent="0.25">
      <c r="A820205" s="242"/>
    </row>
    <row r="820206" spans="1:1" x14ac:dyDescent="0.25">
      <c r="A820206" s="242"/>
    </row>
    <row r="820207" spans="1:1" x14ac:dyDescent="0.25">
      <c r="A820207" s="242"/>
    </row>
    <row r="820208" spans="1:1" x14ac:dyDescent="0.25">
      <c r="A820208" s="242"/>
    </row>
    <row r="820209" spans="1:1" x14ac:dyDescent="0.25">
      <c r="A820209" s="242"/>
    </row>
    <row r="820210" spans="1:1" x14ac:dyDescent="0.25">
      <c r="A820210" s="242"/>
    </row>
    <row r="820211" spans="1:1" x14ac:dyDescent="0.25">
      <c r="A820211" s="242"/>
    </row>
    <row r="820212" spans="1:1" x14ac:dyDescent="0.25">
      <c r="A820212" s="242"/>
    </row>
    <row r="820213" spans="1:1" x14ac:dyDescent="0.25">
      <c r="A820213" s="242"/>
    </row>
    <row r="820214" spans="1:1" x14ac:dyDescent="0.25">
      <c r="A820214" s="242"/>
    </row>
    <row r="820215" spans="1:1" x14ac:dyDescent="0.25">
      <c r="A820215" s="242"/>
    </row>
    <row r="820216" spans="1:1" x14ac:dyDescent="0.25">
      <c r="A820216" s="242"/>
    </row>
    <row r="820217" spans="1:1" x14ac:dyDescent="0.25">
      <c r="A820217" s="242"/>
    </row>
    <row r="820218" spans="1:1" x14ac:dyDescent="0.25">
      <c r="A820218" s="242"/>
    </row>
    <row r="820219" spans="1:1" x14ac:dyDescent="0.25">
      <c r="A820219" s="242"/>
    </row>
    <row r="820220" spans="1:1" x14ac:dyDescent="0.25">
      <c r="A820220" s="242"/>
    </row>
    <row r="820221" spans="1:1" x14ac:dyDescent="0.25">
      <c r="A820221" s="242"/>
    </row>
    <row r="820222" spans="1:1" x14ac:dyDescent="0.25">
      <c r="A820222" s="242"/>
    </row>
    <row r="820223" spans="1:1" x14ac:dyDescent="0.25">
      <c r="A820223" s="242"/>
    </row>
    <row r="820224" spans="1:1" x14ac:dyDescent="0.25">
      <c r="A820224" s="242"/>
    </row>
    <row r="820225" spans="1:1" x14ac:dyDescent="0.25">
      <c r="A820225" s="242"/>
    </row>
    <row r="820226" spans="1:1" x14ac:dyDescent="0.25">
      <c r="A820226" s="242"/>
    </row>
    <row r="820227" spans="1:1" x14ac:dyDescent="0.25">
      <c r="A820227" s="242"/>
    </row>
    <row r="820228" spans="1:1" x14ac:dyDescent="0.25">
      <c r="A820228" s="242"/>
    </row>
    <row r="820229" spans="1:1" x14ac:dyDescent="0.25">
      <c r="A820229" s="242"/>
    </row>
    <row r="820230" spans="1:1" x14ac:dyDescent="0.25">
      <c r="A820230" s="242"/>
    </row>
    <row r="820231" spans="1:1" x14ac:dyDescent="0.25">
      <c r="A820231" s="242"/>
    </row>
    <row r="820232" spans="1:1" x14ac:dyDescent="0.25">
      <c r="A820232" s="242"/>
    </row>
    <row r="820233" spans="1:1" x14ac:dyDescent="0.25">
      <c r="A820233" s="242"/>
    </row>
    <row r="820234" spans="1:1" x14ac:dyDescent="0.25">
      <c r="A820234" s="242"/>
    </row>
    <row r="820235" spans="1:1" x14ac:dyDescent="0.25">
      <c r="A820235" s="242"/>
    </row>
    <row r="820236" spans="1:1" x14ac:dyDescent="0.25">
      <c r="A820236" s="242"/>
    </row>
    <row r="820237" spans="1:1" x14ac:dyDescent="0.25">
      <c r="A820237" s="242"/>
    </row>
    <row r="820238" spans="1:1" x14ac:dyDescent="0.25">
      <c r="A820238" s="242"/>
    </row>
    <row r="820239" spans="1:1" x14ac:dyDescent="0.25">
      <c r="A820239" s="242"/>
    </row>
    <row r="820240" spans="1:1" x14ac:dyDescent="0.25">
      <c r="A820240" s="242"/>
    </row>
    <row r="820241" spans="1:1" x14ac:dyDescent="0.25">
      <c r="A820241" s="242"/>
    </row>
    <row r="820242" spans="1:1" x14ac:dyDescent="0.25">
      <c r="A820242" s="242"/>
    </row>
    <row r="820243" spans="1:1" x14ac:dyDescent="0.25">
      <c r="A820243" s="242"/>
    </row>
    <row r="820244" spans="1:1" x14ac:dyDescent="0.25">
      <c r="A820244" s="242"/>
    </row>
    <row r="820245" spans="1:1" x14ac:dyDescent="0.25">
      <c r="A820245" s="242"/>
    </row>
    <row r="820246" spans="1:1" x14ac:dyDescent="0.25">
      <c r="A820246" s="242"/>
    </row>
    <row r="820247" spans="1:1" x14ac:dyDescent="0.25">
      <c r="A820247" s="242"/>
    </row>
    <row r="820248" spans="1:1" x14ac:dyDescent="0.25">
      <c r="A820248" s="242"/>
    </row>
    <row r="820249" spans="1:1" x14ac:dyDescent="0.25">
      <c r="A820249" s="242"/>
    </row>
    <row r="820250" spans="1:1" x14ac:dyDescent="0.25">
      <c r="A820250" s="242"/>
    </row>
    <row r="820251" spans="1:1" x14ac:dyDescent="0.25">
      <c r="A820251" s="242"/>
    </row>
    <row r="820252" spans="1:1" x14ac:dyDescent="0.25">
      <c r="A820252" s="242"/>
    </row>
    <row r="820253" spans="1:1" x14ac:dyDescent="0.25">
      <c r="A820253" s="242"/>
    </row>
    <row r="820254" spans="1:1" x14ac:dyDescent="0.25">
      <c r="A820254" s="242"/>
    </row>
    <row r="820255" spans="1:1" x14ac:dyDescent="0.25">
      <c r="A820255" s="242"/>
    </row>
    <row r="820256" spans="1:1" x14ac:dyDescent="0.25">
      <c r="A820256" s="242"/>
    </row>
    <row r="820257" spans="1:1" x14ac:dyDescent="0.25">
      <c r="A820257" s="242"/>
    </row>
    <row r="820258" spans="1:1" x14ac:dyDescent="0.25">
      <c r="A820258" s="242"/>
    </row>
    <row r="820259" spans="1:1" x14ac:dyDescent="0.25">
      <c r="A820259" s="242"/>
    </row>
    <row r="820260" spans="1:1" x14ac:dyDescent="0.25">
      <c r="A820260" s="242"/>
    </row>
    <row r="820261" spans="1:1" x14ac:dyDescent="0.25">
      <c r="A820261" s="242"/>
    </row>
    <row r="820262" spans="1:1" x14ac:dyDescent="0.25">
      <c r="A820262" s="242"/>
    </row>
    <row r="820263" spans="1:1" x14ac:dyDescent="0.25">
      <c r="A820263" s="242"/>
    </row>
    <row r="820264" spans="1:1" x14ac:dyDescent="0.25">
      <c r="A820264" s="242"/>
    </row>
    <row r="820265" spans="1:1" x14ac:dyDescent="0.25">
      <c r="A820265" s="242"/>
    </row>
    <row r="820266" spans="1:1" x14ac:dyDescent="0.25">
      <c r="A820266" s="242"/>
    </row>
    <row r="820267" spans="1:1" x14ac:dyDescent="0.25">
      <c r="A820267" s="242"/>
    </row>
    <row r="820268" spans="1:1" x14ac:dyDescent="0.25">
      <c r="A820268" s="242"/>
    </row>
    <row r="820269" spans="1:1" x14ac:dyDescent="0.25">
      <c r="A820269" s="242"/>
    </row>
    <row r="820270" spans="1:1" x14ac:dyDescent="0.25">
      <c r="A820270" s="242"/>
    </row>
    <row r="820271" spans="1:1" x14ac:dyDescent="0.25">
      <c r="A820271" s="242"/>
    </row>
    <row r="820272" spans="1:1" x14ac:dyDescent="0.25">
      <c r="A820272" s="242"/>
    </row>
    <row r="820273" spans="1:1" x14ac:dyDescent="0.25">
      <c r="A820273" s="242"/>
    </row>
    <row r="820274" spans="1:1" x14ac:dyDescent="0.25">
      <c r="A820274" s="242"/>
    </row>
    <row r="820275" spans="1:1" x14ac:dyDescent="0.25">
      <c r="A820275" s="242"/>
    </row>
    <row r="820276" spans="1:1" x14ac:dyDescent="0.25">
      <c r="A820276" s="242"/>
    </row>
    <row r="820277" spans="1:1" x14ac:dyDescent="0.25">
      <c r="A820277" s="242"/>
    </row>
    <row r="820278" spans="1:1" x14ac:dyDescent="0.25">
      <c r="A820278" s="242"/>
    </row>
    <row r="820279" spans="1:1" x14ac:dyDescent="0.25">
      <c r="A820279" s="242"/>
    </row>
    <row r="820280" spans="1:1" x14ac:dyDescent="0.25">
      <c r="A820280" s="242"/>
    </row>
    <row r="820281" spans="1:1" x14ac:dyDescent="0.25">
      <c r="A820281" s="242"/>
    </row>
    <row r="820282" spans="1:1" x14ac:dyDescent="0.25">
      <c r="A820282" s="242"/>
    </row>
    <row r="820283" spans="1:1" x14ac:dyDescent="0.25">
      <c r="A820283" s="242"/>
    </row>
    <row r="820284" spans="1:1" x14ac:dyDescent="0.25">
      <c r="A820284" s="242"/>
    </row>
    <row r="820285" spans="1:1" x14ac:dyDescent="0.25">
      <c r="A820285" s="242"/>
    </row>
    <row r="820286" spans="1:1" x14ac:dyDescent="0.25">
      <c r="A820286" s="242"/>
    </row>
    <row r="820287" spans="1:1" x14ac:dyDescent="0.25">
      <c r="A820287" s="242"/>
    </row>
    <row r="820288" spans="1:1" x14ac:dyDescent="0.25">
      <c r="A820288" s="242"/>
    </row>
    <row r="820289" spans="1:1" x14ac:dyDescent="0.25">
      <c r="A820289" s="242"/>
    </row>
    <row r="820290" spans="1:1" x14ac:dyDescent="0.25">
      <c r="A820290" s="242"/>
    </row>
    <row r="820291" spans="1:1" x14ac:dyDescent="0.25">
      <c r="A820291" s="242"/>
    </row>
    <row r="820292" spans="1:1" x14ac:dyDescent="0.25">
      <c r="A820292" s="242"/>
    </row>
    <row r="820293" spans="1:1" x14ac:dyDescent="0.25">
      <c r="A820293" s="242"/>
    </row>
    <row r="820294" spans="1:1" x14ac:dyDescent="0.25">
      <c r="A820294" s="242"/>
    </row>
    <row r="820295" spans="1:1" x14ac:dyDescent="0.25">
      <c r="A820295" s="242"/>
    </row>
    <row r="820296" spans="1:1" x14ac:dyDescent="0.25">
      <c r="A820296" s="242"/>
    </row>
    <row r="820297" spans="1:1" x14ac:dyDescent="0.25">
      <c r="A820297" s="242"/>
    </row>
    <row r="820298" spans="1:1" x14ac:dyDescent="0.25">
      <c r="A820298" s="242"/>
    </row>
    <row r="820299" spans="1:1" x14ac:dyDescent="0.25">
      <c r="A820299" s="242"/>
    </row>
    <row r="820300" spans="1:1" x14ac:dyDescent="0.25">
      <c r="A820300" s="242"/>
    </row>
    <row r="820301" spans="1:1" x14ac:dyDescent="0.25">
      <c r="A820301" s="242"/>
    </row>
    <row r="820302" spans="1:1" x14ac:dyDescent="0.25">
      <c r="A820302" s="242"/>
    </row>
    <row r="820303" spans="1:1" x14ac:dyDescent="0.25">
      <c r="A820303" s="242"/>
    </row>
    <row r="820304" spans="1:1" x14ac:dyDescent="0.25">
      <c r="A820304" s="242"/>
    </row>
    <row r="820305" spans="1:1" x14ac:dyDescent="0.25">
      <c r="A820305" s="242"/>
    </row>
    <row r="820306" spans="1:1" x14ac:dyDescent="0.25">
      <c r="A820306" s="242"/>
    </row>
    <row r="820307" spans="1:1" x14ac:dyDescent="0.25">
      <c r="A820307" s="242"/>
    </row>
    <row r="820308" spans="1:1" x14ac:dyDescent="0.25">
      <c r="A820308" s="242"/>
    </row>
    <row r="820309" spans="1:1" x14ac:dyDescent="0.25">
      <c r="A820309" s="242"/>
    </row>
    <row r="820310" spans="1:1" x14ac:dyDescent="0.25">
      <c r="A820310" s="242"/>
    </row>
    <row r="820311" spans="1:1" x14ac:dyDescent="0.25">
      <c r="A820311" s="242"/>
    </row>
    <row r="820312" spans="1:1" x14ac:dyDescent="0.25">
      <c r="A820312" s="242"/>
    </row>
    <row r="820313" spans="1:1" x14ac:dyDescent="0.25">
      <c r="A820313" s="242"/>
    </row>
    <row r="820314" spans="1:1" x14ac:dyDescent="0.25">
      <c r="A820314" s="242"/>
    </row>
    <row r="820315" spans="1:1" x14ac:dyDescent="0.25">
      <c r="A820315" s="242"/>
    </row>
    <row r="820316" spans="1:1" x14ac:dyDescent="0.25">
      <c r="A820316" s="242"/>
    </row>
    <row r="820317" spans="1:1" x14ac:dyDescent="0.25">
      <c r="A820317" s="242"/>
    </row>
    <row r="820318" spans="1:1" x14ac:dyDescent="0.25">
      <c r="A820318" s="242"/>
    </row>
    <row r="820319" spans="1:1" x14ac:dyDescent="0.25">
      <c r="A820319" s="242"/>
    </row>
    <row r="820320" spans="1:1" x14ac:dyDescent="0.25">
      <c r="A820320" s="242"/>
    </row>
    <row r="820321" spans="1:1" x14ac:dyDescent="0.25">
      <c r="A820321" s="242"/>
    </row>
    <row r="820322" spans="1:1" x14ac:dyDescent="0.25">
      <c r="A820322" s="242"/>
    </row>
    <row r="820323" spans="1:1" x14ac:dyDescent="0.25">
      <c r="A820323" s="242"/>
    </row>
    <row r="820324" spans="1:1" x14ac:dyDescent="0.25">
      <c r="A820324" s="242"/>
    </row>
    <row r="820325" spans="1:1" x14ac:dyDescent="0.25">
      <c r="A820325" s="242"/>
    </row>
    <row r="820326" spans="1:1" x14ac:dyDescent="0.25">
      <c r="A820326" s="242"/>
    </row>
    <row r="820327" spans="1:1" x14ac:dyDescent="0.25">
      <c r="A820327" s="242"/>
    </row>
    <row r="820328" spans="1:1" x14ac:dyDescent="0.25">
      <c r="A820328" s="242"/>
    </row>
    <row r="820329" spans="1:1" x14ac:dyDescent="0.25">
      <c r="A820329" s="242"/>
    </row>
    <row r="820330" spans="1:1" x14ac:dyDescent="0.25">
      <c r="A820330" s="242"/>
    </row>
    <row r="820331" spans="1:1" x14ac:dyDescent="0.25">
      <c r="A820331" s="242"/>
    </row>
    <row r="820332" spans="1:1" x14ac:dyDescent="0.25">
      <c r="A820332" s="242"/>
    </row>
    <row r="820333" spans="1:1" x14ac:dyDescent="0.25">
      <c r="A820333" s="242"/>
    </row>
    <row r="820334" spans="1:1" x14ac:dyDescent="0.25">
      <c r="A820334" s="242"/>
    </row>
    <row r="820335" spans="1:1" x14ac:dyDescent="0.25">
      <c r="A820335" s="242"/>
    </row>
    <row r="820336" spans="1:1" x14ac:dyDescent="0.25">
      <c r="A820336" s="242"/>
    </row>
    <row r="820337" spans="1:1" x14ac:dyDescent="0.25">
      <c r="A820337" s="242"/>
    </row>
    <row r="820338" spans="1:1" x14ac:dyDescent="0.25">
      <c r="A820338" s="242"/>
    </row>
    <row r="820339" spans="1:1" x14ac:dyDescent="0.25">
      <c r="A820339" s="242"/>
    </row>
    <row r="820340" spans="1:1" x14ac:dyDescent="0.25">
      <c r="A820340" s="242"/>
    </row>
    <row r="820341" spans="1:1" x14ac:dyDescent="0.25">
      <c r="A820341" s="242"/>
    </row>
    <row r="820342" spans="1:1" x14ac:dyDescent="0.25">
      <c r="A820342" s="242"/>
    </row>
    <row r="820343" spans="1:1" x14ac:dyDescent="0.25">
      <c r="A820343" s="242"/>
    </row>
    <row r="820344" spans="1:1" x14ac:dyDescent="0.25">
      <c r="A820344" s="242"/>
    </row>
    <row r="820345" spans="1:1" x14ac:dyDescent="0.25">
      <c r="A820345" s="242"/>
    </row>
    <row r="820346" spans="1:1" x14ac:dyDescent="0.25">
      <c r="A820346" s="242"/>
    </row>
    <row r="820347" spans="1:1" x14ac:dyDescent="0.25">
      <c r="A820347" s="242"/>
    </row>
    <row r="820348" spans="1:1" x14ac:dyDescent="0.25">
      <c r="A820348" s="242"/>
    </row>
    <row r="820349" spans="1:1" x14ac:dyDescent="0.25">
      <c r="A820349" s="242"/>
    </row>
    <row r="820350" spans="1:1" x14ac:dyDescent="0.25">
      <c r="A820350" s="242"/>
    </row>
    <row r="820351" spans="1:1" x14ac:dyDescent="0.25">
      <c r="A820351" s="242"/>
    </row>
    <row r="820352" spans="1:1" x14ac:dyDescent="0.25">
      <c r="A820352" s="242"/>
    </row>
    <row r="820353" spans="1:1" x14ac:dyDescent="0.25">
      <c r="A820353" s="242"/>
    </row>
    <row r="820354" spans="1:1" x14ac:dyDescent="0.25">
      <c r="A820354" s="242"/>
    </row>
    <row r="820355" spans="1:1" x14ac:dyDescent="0.25">
      <c r="A820355" s="242"/>
    </row>
    <row r="820356" spans="1:1" x14ac:dyDescent="0.25">
      <c r="A820356" s="242"/>
    </row>
    <row r="820357" spans="1:1" x14ac:dyDescent="0.25">
      <c r="A820357" s="242"/>
    </row>
    <row r="820358" spans="1:1" x14ac:dyDescent="0.25">
      <c r="A820358" s="242"/>
    </row>
    <row r="820359" spans="1:1" x14ac:dyDescent="0.25">
      <c r="A820359" s="242"/>
    </row>
    <row r="820360" spans="1:1" x14ac:dyDescent="0.25">
      <c r="A820360" s="242"/>
    </row>
    <row r="820361" spans="1:1" x14ac:dyDescent="0.25">
      <c r="A820361" s="242"/>
    </row>
    <row r="820362" spans="1:1" x14ac:dyDescent="0.25">
      <c r="A820362" s="242"/>
    </row>
    <row r="820363" spans="1:1" x14ac:dyDescent="0.25">
      <c r="A820363" s="242"/>
    </row>
    <row r="820364" spans="1:1" x14ac:dyDescent="0.25">
      <c r="A820364" s="242"/>
    </row>
    <row r="820365" spans="1:1" x14ac:dyDescent="0.25">
      <c r="A820365" s="242"/>
    </row>
    <row r="820366" spans="1:1" x14ac:dyDescent="0.25">
      <c r="A820366" s="242"/>
    </row>
    <row r="820367" spans="1:1" x14ac:dyDescent="0.25">
      <c r="A820367" s="242"/>
    </row>
    <row r="820368" spans="1:1" x14ac:dyDescent="0.25">
      <c r="A820368" s="242"/>
    </row>
    <row r="820369" spans="1:1" x14ac:dyDescent="0.25">
      <c r="A820369" s="242"/>
    </row>
    <row r="820370" spans="1:1" x14ac:dyDescent="0.25">
      <c r="A820370" s="242"/>
    </row>
    <row r="820371" spans="1:1" x14ac:dyDescent="0.25">
      <c r="A820371" s="242"/>
    </row>
    <row r="820372" spans="1:1" x14ac:dyDescent="0.25">
      <c r="A820372" s="242"/>
    </row>
    <row r="820373" spans="1:1" x14ac:dyDescent="0.25">
      <c r="A820373" s="242"/>
    </row>
    <row r="820374" spans="1:1" x14ac:dyDescent="0.25">
      <c r="A820374" s="242"/>
    </row>
    <row r="820375" spans="1:1" x14ac:dyDescent="0.25">
      <c r="A820375" s="242"/>
    </row>
    <row r="820376" spans="1:1" x14ac:dyDescent="0.25">
      <c r="A820376" s="242"/>
    </row>
    <row r="820377" spans="1:1" x14ac:dyDescent="0.25">
      <c r="A820377" s="242"/>
    </row>
    <row r="820378" spans="1:1" x14ac:dyDescent="0.25">
      <c r="A820378" s="242"/>
    </row>
    <row r="820379" spans="1:1" x14ac:dyDescent="0.25">
      <c r="A820379" s="242"/>
    </row>
    <row r="820380" spans="1:1" x14ac:dyDescent="0.25">
      <c r="A820380" s="242"/>
    </row>
    <row r="820381" spans="1:1" x14ac:dyDescent="0.25">
      <c r="A820381" s="242"/>
    </row>
    <row r="820382" spans="1:1" x14ac:dyDescent="0.25">
      <c r="A820382" s="242"/>
    </row>
    <row r="820383" spans="1:1" x14ac:dyDescent="0.25">
      <c r="A820383" s="242"/>
    </row>
    <row r="820384" spans="1:1" x14ac:dyDescent="0.25">
      <c r="A820384" s="242"/>
    </row>
    <row r="820385" spans="1:1" x14ac:dyDescent="0.25">
      <c r="A820385" s="242"/>
    </row>
    <row r="820386" spans="1:1" x14ac:dyDescent="0.25">
      <c r="A820386" s="242"/>
    </row>
    <row r="820387" spans="1:1" x14ac:dyDescent="0.25">
      <c r="A820387" s="242"/>
    </row>
    <row r="820388" spans="1:1" x14ac:dyDescent="0.25">
      <c r="A820388" s="242"/>
    </row>
    <row r="820389" spans="1:1" x14ac:dyDescent="0.25">
      <c r="A820389" s="242"/>
    </row>
    <row r="820390" spans="1:1" x14ac:dyDescent="0.25">
      <c r="A820390" s="242"/>
    </row>
    <row r="820391" spans="1:1" x14ac:dyDescent="0.25">
      <c r="A820391" s="242"/>
    </row>
    <row r="820392" spans="1:1" x14ac:dyDescent="0.25">
      <c r="A820392" s="242"/>
    </row>
    <row r="820393" spans="1:1" x14ac:dyDescent="0.25">
      <c r="A820393" s="242"/>
    </row>
    <row r="820394" spans="1:1" x14ac:dyDescent="0.25">
      <c r="A820394" s="242"/>
    </row>
    <row r="820395" spans="1:1" x14ac:dyDescent="0.25">
      <c r="A820395" s="242"/>
    </row>
    <row r="820396" spans="1:1" x14ac:dyDescent="0.25">
      <c r="A820396" s="242"/>
    </row>
    <row r="820397" spans="1:1" x14ac:dyDescent="0.25">
      <c r="A820397" s="242"/>
    </row>
    <row r="820398" spans="1:1" x14ac:dyDescent="0.25">
      <c r="A820398" s="242"/>
    </row>
    <row r="820399" spans="1:1" x14ac:dyDescent="0.25">
      <c r="A820399" s="242"/>
    </row>
    <row r="820400" spans="1:1" x14ac:dyDescent="0.25">
      <c r="A820400" s="242"/>
    </row>
    <row r="820401" spans="1:1" x14ac:dyDescent="0.25">
      <c r="A820401" s="242"/>
    </row>
    <row r="820402" spans="1:1" x14ac:dyDescent="0.25">
      <c r="A820402" s="242"/>
    </row>
    <row r="820403" spans="1:1" x14ac:dyDescent="0.25">
      <c r="A820403" s="242"/>
    </row>
    <row r="820404" spans="1:1" x14ac:dyDescent="0.25">
      <c r="A820404" s="242"/>
    </row>
    <row r="820405" spans="1:1" x14ac:dyDescent="0.25">
      <c r="A820405" s="242"/>
    </row>
    <row r="820406" spans="1:1" x14ac:dyDescent="0.25">
      <c r="A820406" s="242"/>
    </row>
    <row r="820407" spans="1:1" x14ac:dyDescent="0.25">
      <c r="A820407" s="242"/>
    </row>
    <row r="820408" spans="1:1" x14ac:dyDescent="0.25">
      <c r="A820408" s="242"/>
    </row>
    <row r="820409" spans="1:1" x14ac:dyDescent="0.25">
      <c r="A820409" s="242"/>
    </row>
    <row r="820410" spans="1:1" x14ac:dyDescent="0.25">
      <c r="A820410" s="242"/>
    </row>
    <row r="820411" spans="1:1" x14ac:dyDescent="0.25">
      <c r="A820411" s="242"/>
    </row>
    <row r="820412" spans="1:1" x14ac:dyDescent="0.25">
      <c r="A820412" s="242"/>
    </row>
    <row r="820413" spans="1:1" x14ac:dyDescent="0.25">
      <c r="A820413" s="242"/>
    </row>
    <row r="820414" spans="1:1" x14ac:dyDescent="0.25">
      <c r="A820414" s="242"/>
    </row>
    <row r="820415" spans="1:1" x14ac:dyDescent="0.25">
      <c r="A820415" s="242"/>
    </row>
    <row r="820416" spans="1:1" x14ac:dyDescent="0.25">
      <c r="A820416" s="242"/>
    </row>
    <row r="820417" spans="1:1" x14ac:dyDescent="0.25">
      <c r="A820417" s="242"/>
    </row>
    <row r="820418" spans="1:1" x14ac:dyDescent="0.25">
      <c r="A820418" s="242"/>
    </row>
    <row r="820419" spans="1:1" x14ac:dyDescent="0.25">
      <c r="A820419" s="242"/>
    </row>
    <row r="820420" spans="1:1" x14ac:dyDescent="0.25">
      <c r="A820420" s="242"/>
    </row>
    <row r="820421" spans="1:1" x14ac:dyDescent="0.25">
      <c r="A820421" s="242"/>
    </row>
    <row r="820422" spans="1:1" x14ac:dyDescent="0.25">
      <c r="A820422" s="242"/>
    </row>
    <row r="820423" spans="1:1" x14ac:dyDescent="0.25">
      <c r="A820423" s="242"/>
    </row>
    <row r="820424" spans="1:1" x14ac:dyDescent="0.25">
      <c r="A820424" s="242"/>
    </row>
    <row r="820425" spans="1:1" x14ac:dyDescent="0.25">
      <c r="A820425" s="242"/>
    </row>
    <row r="820426" spans="1:1" x14ac:dyDescent="0.25">
      <c r="A820426" s="242"/>
    </row>
    <row r="820427" spans="1:1" x14ac:dyDescent="0.25">
      <c r="A820427" s="242"/>
    </row>
    <row r="820428" spans="1:1" x14ac:dyDescent="0.25">
      <c r="A820428" s="242"/>
    </row>
    <row r="820429" spans="1:1" x14ac:dyDescent="0.25">
      <c r="A820429" s="242"/>
    </row>
    <row r="820430" spans="1:1" x14ac:dyDescent="0.25">
      <c r="A820430" s="242"/>
    </row>
    <row r="820431" spans="1:1" x14ac:dyDescent="0.25">
      <c r="A820431" s="242"/>
    </row>
    <row r="820432" spans="1:1" x14ac:dyDescent="0.25">
      <c r="A820432" s="242"/>
    </row>
    <row r="820433" spans="1:1" x14ac:dyDescent="0.25">
      <c r="A820433" s="242"/>
    </row>
    <row r="820434" spans="1:1" x14ac:dyDescent="0.25">
      <c r="A820434" s="242"/>
    </row>
    <row r="820435" spans="1:1" x14ac:dyDescent="0.25">
      <c r="A820435" s="242"/>
    </row>
    <row r="820436" spans="1:1" x14ac:dyDescent="0.25">
      <c r="A820436" s="242"/>
    </row>
    <row r="820437" spans="1:1" x14ac:dyDescent="0.25">
      <c r="A820437" s="242"/>
    </row>
    <row r="820438" spans="1:1" x14ac:dyDescent="0.25">
      <c r="A820438" s="242"/>
    </row>
    <row r="820439" spans="1:1" x14ac:dyDescent="0.25">
      <c r="A820439" s="242"/>
    </row>
    <row r="820440" spans="1:1" x14ac:dyDescent="0.25">
      <c r="A820440" s="242"/>
    </row>
    <row r="820441" spans="1:1" x14ac:dyDescent="0.25">
      <c r="A820441" s="242"/>
    </row>
    <row r="820442" spans="1:1" x14ac:dyDescent="0.25">
      <c r="A820442" s="242"/>
    </row>
    <row r="820443" spans="1:1" x14ac:dyDescent="0.25">
      <c r="A820443" s="242"/>
    </row>
    <row r="820444" spans="1:1" x14ac:dyDescent="0.25">
      <c r="A820444" s="242"/>
    </row>
    <row r="820445" spans="1:1" x14ac:dyDescent="0.25">
      <c r="A820445" s="242"/>
    </row>
    <row r="820446" spans="1:1" x14ac:dyDescent="0.25">
      <c r="A820446" s="242"/>
    </row>
    <row r="820447" spans="1:1" x14ac:dyDescent="0.25">
      <c r="A820447" s="242"/>
    </row>
    <row r="820448" spans="1:1" x14ac:dyDescent="0.25">
      <c r="A820448" s="242"/>
    </row>
    <row r="820449" spans="1:1" x14ac:dyDescent="0.25">
      <c r="A820449" s="242"/>
    </row>
    <row r="820450" spans="1:1" x14ac:dyDescent="0.25">
      <c r="A820450" s="242"/>
    </row>
    <row r="820451" spans="1:1" x14ac:dyDescent="0.25">
      <c r="A820451" s="242"/>
    </row>
    <row r="820452" spans="1:1" x14ac:dyDescent="0.25">
      <c r="A820452" s="242"/>
    </row>
    <row r="820453" spans="1:1" x14ac:dyDescent="0.25">
      <c r="A820453" s="242"/>
    </row>
    <row r="820454" spans="1:1" x14ac:dyDescent="0.25">
      <c r="A820454" s="242"/>
    </row>
    <row r="820455" spans="1:1" x14ac:dyDescent="0.25">
      <c r="A820455" s="242"/>
    </row>
    <row r="820456" spans="1:1" x14ac:dyDescent="0.25">
      <c r="A820456" s="242"/>
    </row>
    <row r="820457" spans="1:1" x14ac:dyDescent="0.25">
      <c r="A820457" s="242"/>
    </row>
    <row r="820458" spans="1:1" x14ac:dyDescent="0.25">
      <c r="A820458" s="242"/>
    </row>
    <row r="820459" spans="1:1" x14ac:dyDescent="0.25">
      <c r="A820459" s="242"/>
    </row>
    <row r="820460" spans="1:1" x14ac:dyDescent="0.25">
      <c r="A820460" s="242"/>
    </row>
    <row r="820461" spans="1:1" x14ac:dyDescent="0.25">
      <c r="A820461" s="242"/>
    </row>
    <row r="820462" spans="1:1" x14ac:dyDescent="0.25">
      <c r="A820462" s="242"/>
    </row>
    <row r="820463" spans="1:1" x14ac:dyDescent="0.25">
      <c r="A820463" s="242"/>
    </row>
    <row r="820464" spans="1:1" x14ac:dyDescent="0.25">
      <c r="A820464" s="242"/>
    </row>
    <row r="820465" spans="1:1" x14ac:dyDescent="0.25">
      <c r="A820465" s="242"/>
    </row>
    <row r="820466" spans="1:1" x14ac:dyDescent="0.25">
      <c r="A820466" s="242"/>
    </row>
    <row r="820467" spans="1:1" x14ac:dyDescent="0.25">
      <c r="A820467" s="242"/>
    </row>
    <row r="820468" spans="1:1" x14ac:dyDescent="0.25">
      <c r="A820468" s="242"/>
    </row>
    <row r="820469" spans="1:1" x14ac:dyDescent="0.25">
      <c r="A820469" s="242"/>
    </row>
    <row r="820470" spans="1:1" x14ac:dyDescent="0.25">
      <c r="A820470" s="242"/>
    </row>
    <row r="820471" spans="1:1" x14ac:dyDescent="0.25">
      <c r="A820471" s="242"/>
    </row>
    <row r="820472" spans="1:1" x14ac:dyDescent="0.25">
      <c r="A820472" s="242"/>
    </row>
    <row r="820473" spans="1:1" x14ac:dyDescent="0.25">
      <c r="A820473" s="242"/>
    </row>
    <row r="820474" spans="1:1" x14ac:dyDescent="0.25">
      <c r="A820474" s="242"/>
    </row>
    <row r="820475" spans="1:1" x14ac:dyDescent="0.25">
      <c r="A820475" s="242"/>
    </row>
    <row r="820476" spans="1:1" x14ac:dyDescent="0.25">
      <c r="A820476" s="242"/>
    </row>
    <row r="820477" spans="1:1" x14ac:dyDescent="0.25">
      <c r="A820477" s="242"/>
    </row>
    <row r="820478" spans="1:1" x14ac:dyDescent="0.25">
      <c r="A820478" s="242"/>
    </row>
    <row r="820479" spans="1:1" x14ac:dyDescent="0.25">
      <c r="A820479" s="242"/>
    </row>
    <row r="820480" spans="1:1" x14ac:dyDescent="0.25">
      <c r="A820480" s="242"/>
    </row>
    <row r="820481" spans="1:1" x14ac:dyDescent="0.25">
      <c r="A820481" s="242"/>
    </row>
    <row r="820482" spans="1:1" x14ac:dyDescent="0.25">
      <c r="A820482" s="242"/>
    </row>
    <row r="820483" spans="1:1" x14ac:dyDescent="0.25">
      <c r="A820483" s="242"/>
    </row>
    <row r="820484" spans="1:1" x14ac:dyDescent="0.25">
      <c r="A820484" s="242"/>
    </row>
    <row r="820485" spans="1:1" x14ac:dyDescent="0.25">
      <c r="A820485" s="242"/>
    </row>
    <row r="820486" spans="1:1" x14ac:dyDescent="0.25">
      <c r="A820486" s="242"/>
    </row>
    <row r="820487" spans="1:1" x14ac:dyDescent="0.25">
      <c r="A820487" s="242"/>
    </row>
    <row r="820488" spans="1:1" x14ac:dyDescent="0.25">
      <c r="A820488" s="242"/>
    </row>
    <row r="820489" spans="1:1" x14ac:dyDescent="0.25">
      <c r="A820489" s="242"/>
    </row>
    <row r="820490" spans="1:1" x14ac:dyDescent="0.25">
      <c r="A820490" s="242"/>
    </row>
    <row r="820491" spans="1:1" x14ac:dyDescent="0.25">
      <c r="A820491" s="242"/>
    </row>
    <row r="820492" spans="1:1" x14ac:dyDescent="0.25">
      <c r="A820492" s="242"/>
    </row>
    <row r="820493" spans="1:1" x14ac:dyDescent="0.25">
      <c r="A820493" s="242"/>
    </row>
    <row r="820494" spans="1:1" x14ac:dyDescent="0.25">
      <c r="A820494" s="242"/>
    </row>
    <row r="820495" spans="1:1" x14ac:dyDescent="0.25">
      <c r="A820495" s="242"/>
    </row>
    <row r="820496" spans="1:1" x14ac:dyDescent="0.25">
      <c r="A820496" s="242"/>
    </row>
    <row r="820497" spans="1:1" x14ac:dyDescent="0.25">
      <c r="A820497" s="242"/>
    </row>
    <row r="820498" spans="1:1" x14ac:dyDescent="0.25">
      <c r="A820498" s="242"/>
    </row>
    <row r="820499" spans="1:1" x14ac:dyDescent="0.25">
      <c r="A820499" s="242"/>
    </row>
    <row r="820500" spans="1:1" x14ac:dyDescent="0.25">
      <c r="A820500" s="242"/>
    </row>
    <row r="820501" spans="1:1" x14ac:dyDescent="0.25">
      <c r="A820501" s="242"/>
    </row>
    <row r="820502" spans="1:1" x14ac:dyDescent="0.25">
      <c r="A820502" s="242"/>
    </row>
    <row r="820503" spans="1:1" x14ac:dyDescent="0.25">
      <c r="A820503" s="242"/>
    </row>
    <row r="820504" spans="1:1" x14ac:dyDescent="0.25">
      <c r="A820504" s="242"/>
    </row>
    <row r="820505" spans="1:1" x14ac:dyDescent="0.25">
      <c r="A820505" s="242"/>
    </row>
    <row r="820506" spans="1:1" x14ac:dyDescent="0.25">
      <c r="A820506" s="242"/>
    </row>
    <row r="820507" spans="1:1" x14ac:dyDescent="0.25">
      <c r="A820507" s="242"/>
    </row>
    <row r="820508" spans="1:1" x14ac:dyDescent="0.25">
      <c r="A820508" s="242"/>
    </row>
    <row r="820509" spans="1:1" x14ac:dyDescent="0.25">
      <c r="A820509" s="242"/>
    </row>
    <row r="820510" spans="1:1" x14ac:dyDescent="0.25">
      <c r="A820510" s="242"/>
    </row>
    <row r="820511" spans="1:1" x14ac:dyDescent="0.25">
      <c r="A820511" s="242"/>
    </row>
    <row r="820512" spans="1:1" x14ac:dyDescent="0.25">
      <c r="A820512" s="242"/>
    </row>
    <row r="820513" spans="1:1" x14ac:dyDescent="0.25">
      <c r="A820513" s="242"/>
    </row>
    <row r="820514" spans="1:1" x14ac:dyDescent="0.25">
      <c r="A820514" s="242"/>
    </row>
    <row r="820515" spans="1:1" x14ac:dyDescent="0.25">
      <c r="A820515" s="242"/>
    </row>
    <row r="820516" spans="1:1" x14ac:dyDescent="0.25">
      <c r="A820516" s="242"/>
    </row>
    <row r="820517" spans="1:1" x14ac:dyDescent="0.25">
      <c r="A820517" s="242"/>
    </row>
    <row r="820518" spans="1:1" x14ac:dyDescent="0.25">
      <c r="A820518" s="242"/>
    </row>
    <row r="820519" spans="1:1" x14ac:dyDescent="0.25">
      <c r="A820519" s="242"/>
    </row>
    <row r="820520" spans="1:1" x14ac:dyDescent="0.25">
      <c r="A820520" s="242"/>
    </row>
    <row r="820521" spans="1:1" x14ac:dyDescent="0.25">
      <c r="A820521" s="242"/>
    </row>
    <row r="820522" spans="1:1" x14ac:dyDescent="0.25">
      <c r="A820522" s="242"/>
    </row>
    <row r="820523" spans="1:1" x14ac:dyDescent="0.25">
      <c r="A820523" s="242"/>
    </row>
    <row r="820524" spans="1:1" x14ac:dyDescent="0.25">
      <c r="A820524" s="242"/>
    </row>
    <row r="820525" spans="1:1" x14ac:dyDescent="0.25">
      <c r="A820525" s="242"/>
    </row>
    <row r="820526" spans="1:1" x14ac:dyDescent="0.25">
      <c r="A820526" s="242"/>
    </row>
    <row r="820527" spans="1:1" x14ac:dyDescent="0.25">
      <c r="A820527" s="242"/>
    </row>
    <row r="820528" spans="1:1" x14ac:dyDescent="0.25">
      <c r="A820528" s="242"/>
    </row>
    <row r="820529" spans="1:1" x14ac:dyDescent="0.25">
      <c r="A820529" s="242"/>
    </row>
    <row r="820530" spans="1:1" x14ac:dyDescent="0.25">
      <c r="A820530" s="242"/>
    </row>
    <row r="820531" spans="1:1" x14ac:dyDescent="0.25">
      <c r="A820531" s="242"/>
    </row>
    <row r="820532" spans="1:1" x14ac:dyDescent="0.25">
      <c r="A820532" s="242"/>
    </row>
    <row r="820533" spans="1:1" x14ac:dyDescent="0.25">
      <c r="A820533" s="242"/>
    </row>
    <row r="820534" spans="1:1" x14ac:dyDescent="0.25">
      <c r="A820534" s="242"/>
    </row>
    <row r="820535" spans="1:1" x14ac:dyDescent="0.25">
      <c r="A820535" s="242"/>
    </row>
    <row r="820536" spans="1:1" x14ac:dyDescent="0.25">
      <c r="A820536" s="242"/>
    </row>
    <row r="820537" spans="1:1" x14ac:dyDescent="0.25">
      <c r="A820537" s="242"/>
    </row>
    <row r="820538" spans="1:1" x14ac:dyDescent="0.25">
      <c r="A820538" s="242"/>
    </row>
    <row r="820539" spans="1:1" x14ac:dyDescent="0.25">
      <c r="A820539" s="242"/>
    </row>
    <row r="820540" spans="1:1" x14ac:dyDescent="0.25">
      <c r="A820540" s="242"/>
    </row>
    <row r="820541" spans="1:1" x14ac:dyDescent="0.25">
      <c r="A820541" s="242"/>
    </row>
    <row r="820542" spans="1:1" x14ac:dyDescent="0.25">
      <c r="A820542" s="242"/>
    </row>
    <row r="820543" spans="1:1" x14ac:dyDescent="0.25">
      <c r="A820543" s="242"/>
    </row>
    <row r="820544" spans="1:1" x14ac:dyDescent="0.25">
      <c r="A820544" s="242"/>
    </row>
    <row r="820545" spans="1:1" x14ac:dyDescent="0.25">
      <c r="A820545" s="242"/>
    </row>
    <row r="820546" spans="1:1" x14ac:dyDescent="0.25">
      <c r="A820546" s="242"/>
    </row>
    <row r="820547" spans="1:1" x14ac:dyDescent="0.25">
      <c r="A820547" s="242"/>
    </row>
    <row r="820548" spans="1:1" x14ac:dyDescent="0.25">
      <c r="A820548" s="242"/>
    </row>
    <row r="820549" spans="1:1" x14ac:dyDescent="0.25">
      <c r="A820549" s="242"/>
    </row>
    <row r="820550" spans="1:1" x14ac:dyDescent="0.25">
      <c r="A820550" s="242"/>
    </row>
    <row r="820551" spans="1:1" x14ac:dyDescent="0.25">
      <c r="A820551" s="242"/>
    </row>
    <row r="820552" spans="1:1" x14ac:dyDescent="0.25">
      <c r="A820552" s="242"/>
    </row>
    <row r="820553" spans="1:1" x14ac:dyDescent="0.25">
      <c r="A820553" s="242"/>
    </row>
    <row r="820554" spans="1:1" x14ac:dyDescent="0.25">
      <c r="A820554" s="242"/>
    </row>
    <row r="820555" spans="1:1" x14ac:dyDescent="0.25">
      <c r="A820555" s="242"/>
    </row>
    <row r="820556" spans="1:1" x14ac:dyDescent="0.25">
      <c r="A820556" s="242"/>
    </row>
    <row r="820557" spans="1:1" x14ac:dyDescent="0.25">
      <c r="A820557" s="242"/>
    </row>
    <row r="820558" spans="1:1" x14ac:dyDescent="0.25">
      <c r="A820558" s="242"/>
    </row>
    <row r="820559" spans="1:1" x14ac:dyDescent="0.25">
      <c r="A820559" s="242"/>
    </row>
    <row r="820560" spans="1:1" x14ac:dyDescent="0.25">
      <c r="A820560" s="242"/>
    </row>
    <row r="820561" spans="1:1" x14ac:dyDescent="0.25">
      <c r="A820561" s="242"/>
    </row>
    <row r="820562" spans="1:1" x14ac:dyDescent="0.25">
      <c r="A820562" s="242"/>
    </row>
    <row r="820563" spans="1:1" x14ac:dyDescent="0.25">
      <c r="A820563" s="242"/>
    </row>
    <row r="820564" spans="1:1" x14ac:dyDescent="0.25">
      <c r="A820564" s="242"/>
    </row>
    <row r="820565" spans="1:1" x14ac:dyDescent="0.25">
      <c r="A820565" s="242"/>
    </row>
    <row r="820566" spans="1:1" x14ac:dyDescent="0.25">
      <c r="A820566" s="242"/>
    </row>
    <row r="820567" spans="1:1" x14ac:dyDescent="0.25">
      <c r="A820567" s="242"/>
    </row>
    <row r="820568" spans="1:1" x14ac:dyDescent="0.25">
      <c r="A820568" s="242"/>
    </row>
    <row r="820569" spans="1:1" x14ac:dyDescent="0.25">
      <c r="A820569" s="242"/>
    </row>
    <row r="820570" spans="1:1" x14ac:dyDescent="0.25">
      <c r="A820570" s="242"/>
    </row>
    <row r="820571" spans="1:1" x14ac:dyDescent="0.25">
      <c r="A820571" s="242"/>
    </row>
    <row r="820572" spans="1:1" x14ac:dyDescent="0.25">
      <c r="A820572" s="242"/>
    </row>
    <row r="820573" spans="1:1" x14ac:dyDescent="0.25">
      <c r="A820573" s="242"/>
    </row>
    <row r="820574" spans="1:1" x14ac:dyDescent="0.25">
      <c r="A820574" s="242"/>
    </row>
    <row r="820575" spans="1:1" x14ac:dyDescent="0.25">
      <c r="A820575" s="242"/>
    </row>
    <row r="820576" spans="1:1" x14ac:dyDescent="0.25">
      <c r="A820576" s="242"/>
    </row>
    <row r="820577" spans="1:1" x14ac:dyDescent="0.25">
      <c r="A820577" s="242"/>
    </row>
    <row r="820578" spans="1:1" x14ac:dyDescent="0.25">
      <c r="A820578" s="242"/>
    </row>
    <row r="820579" spans="1:1" x14ac:dyDescent="0.25">
      <c r="A820579" s="242"/>
    </row>
    <row r="820580" spans="1:1" x14ac:dyDescent="0.25">
      <c r="A820580" s="242"/>
    </row>
    <row r="820581" spans="1:1" x14ac:dyDescent="0.25">
      <c r="A820581" s="242"/>
    </row>
    <row r="820582" spans="1:1" x14ac:dyDescent="0.25">
      <c r="A820582" s="242"/>
    </row>
    <row r="820583" spans="1:1" x14ac:dyDescent="0.25">
      <c r="A820583" s="242"/>
    </row>
    <row r="820584" spans="1:1" x14ac:dyDescent="0.25">
      <c r="A820584" s="242"/>
    </row>
    <row r="820585" spans="1:1" x14ac:dyDescent="0.25">
      <c r="A820585" s="242"/>
    </row>
    <row r="820586" spans="1:1" x14ac:dyDescent="0.25">
      <c r="A820586" s="242"/>
    </row>
    <row r="820587" spans="1:1" x14ac:dyDescent="0.25">
      <c r="A820587" s="242"/>
    </row>
    <row r="820588" spans="1:1" x14ac:dyDescent="0.25">
      <c r="A820588" s="242"/>
    </row>
    <row r="820589" spans="1:1" x14ac:dyDescent="0.25">
      <c r="A820589" s="242"/>
    </row>
    <row r="820590" spans="1:1" x14ac:dyDescent="0.25">
      <c r="A820590" s="242"/>
    </row>
    <row r="820591" spans="1:1" x14ac:dyDescent="0.25">
      <c r="A820591" s="242"/>
    </row>
    <row r="820592" spans="1:1" x14ac:dyDescent="0.25">
      <c r="A820592" s="242"/>
    </row>
    <row r="820593" spans="1:1" x14ac:dyDescent="0.25">
      <c r="A820593" s="242"/>
    </row>
    <row r="820594" spans="1:1" x14ac:dyDescent="0.25">
      <c r="A820594" s="242"/>
    </row>
    <row r="820595" spans="1:1" x14ac:dyDescent="0.25">
      <c r="A820595" s="242"/>
    </row>
    <row r="820596" spans="1:1" x14ac:dyDescent="0.25">
      <c r="A820596" s="242"/>
    </row>
    <row r="820597" spans="1:1" x14ac:dyDescent="0.25">
      <c r="A820597" s="242"/>
    </row>
    <row r="820598" spans="1:1" x14ac:dyDescent="0.25">
      <c r="A820598" s="242"/>
    </row>
    <row r="820599" spans="1:1" x14ac:dyDescent="0.25">
      <c r="A820599" s="242"/>
    </row>
    <row r="820600" spans="1:1" x14ac:dyDescent="0.25">
      <c r="A820600" s="242"/>
    </row>
    <row r="820601" spans="1:1" x14ac:dyDescent="0.25">
      <c r="A820601" s="242"/>
    </row>
    <row r="820602" spans="1:1" x14ac:dyDescent="0.25">
      <c r="A820602" s="242"/>
    </row>
    <row r="820603" spans="1:1" x14ac:dyDescent="0.25">
      <c r="A820603" s="242"/>
    </row>
    <row r="820604" spans="1:1" x14ac:dyDescent="0.25">
      <c r="A820604" s="242"/>
    </row>
    <row r="820605" spans="1:1" x14ac:dyDescent="0.25">
      <c r="A820605" s="242"/>
    </row>
    <row r="820606" spans="1:1" x14ac:dyDescent="0.25">
      <c r="A820606" s="242"/>
    </row>
    <row r="820607" spans="1:1" x14ac:dyDescent="0.25">
      <c r="A820607" s="242"/>
    </row>
    <row r="820608" spans="1:1" x14ac:dyDescent="0.25">
      <c r="A820608" s="242"/>
    </row>
    <row r="820609" spans="1:1" x14ac:dyDescent="0.25">
      <c r="A820609" s="242"/>
    </row>
    <row r="820610" spans="1:1" x14ac:dyDescent="0.25">
      <c r="A820610" s="242"/>
    </row>
    <row r="820611" spans="1:1" x14ac:dyDescent="0.25">
      <c r="A820611" s="242"/>
    </row>
    <row r="820612" spans="1:1" x14ac:dyDescent="0.25">
      <c r="A820612" s="242"/>
    </row>
    <row r="820613" spans="1:1" x14ac:dyDescent="0.25">
      <c r="A820613" s="242"/>
    </row>
    <row r="820614" spans="1:1" x14ac:dyDescent="0.25">
      <c r="A820614" s="242"/>
    </row>
    <row r="820615" spans="1:1" x14ac:dyDescent="0.25">
      <c r="A820615" s="242"/>
    </row>
    <row r="820616" spans="1:1" x14ac:dyDescent="0.25">
      <c r="A820616" s="242"/>
    </row>
    <row r="820617" spans="1:1" x14ac:dyDescent="0.25">
      <c r="A820617" s="242"/>
    </row>
    <row r="820618" spans="1:1" x14ac:dyDescent="0.25">
      <c r="A820618" s="242"/>
    </row>
    <row r="820619" spans="1:1" x14ac:dyDescent="0.25">
      <c r="A820619" s="242"/>
    </row>
    <row r="820620" spans="1:1" x14ac:dyDescent="0.25">
      <c r="A820620" s="242"/>
    </row>
    <row r="820621" spans="1:1" x14ac:dyDescent="0.25">
      <c r="A820621" s="242"/>
    </row>
    <row r="820622" spans="1:1" x14ac:dyDescent="0.25">
      <c r="A820622" s="242"/>
    </row>
    <row r="820623" spans="1:1" x14ac:dyDescent="0.25">
      <c r="A820623" s="242"/>
    </row>
    <row r="820624" spans="1:1" x14ac:dyDescent="0.25">
      <c r="A820624" s="242"/>
    </row>
    <row r="820625" spans="1:1" x14ac:dyDescent="0.25">
      <c r="A820625" s="242"/>
    </row>
    <row r="820626" spans="1:1" x14ac:dyDescent="0.25">
      <c r="A820626" s="242"/>
    </row>
    <row r="820627" spans="1:1" x14ac:dyDescent="0.25">
      <c r="A820627" s="242"/>
    </row>
    <row r="820628" spans="1:1" x14ac:dyDescent="0.25">
      <c r="A820628" s="242"/>
    </row>
    <row r="820629" spans="1:1" x14ac:dyDescent="0.25">
      <c r="A820629" s="242"/>
    </row>
    <row r="820630" spans="1:1" x14ac:dyDescent="0.25">
      <c r="A820630" s="242"/>
    </row>
    <row r="820631" spans="1:1" x14ac:dyDescent="0.25">
      <c r="A820631" s="242"/>
    </row>
    <row r="820632" spans="1:1" x14ac:dyDescent="0.25">
      <c r="A820632" s="242"/>
    </row>
    <row r="820633" spans="1:1" x14ac:dyDescent="0.25">
      <c r="A820633" s="242"/>
    </row>
    <row r="820634" spans="1:1" x14ac:dyDescent="0.25">
      <c r="A820634" s="242"/>
    </row>
    <row r="820635" spans="1:1" x14ac:dyDescent="0.25">
      <c r="A820635" s="242"/>
    </row>
    <row r="820636" spans="1:1" x14ac:dyDescent="0.25">
      <c r="A820636" s="242"/>
    </row>
    <row r="820637" spans="1:1" x14ac:dyDescent="0.25">
      <c r="A820637" s="242"/>
    </row>
    <row r="820638" spans="1:1" x14ac:dyDescent="0.25">
      <c r="A820638" s="242"/>
    </row>
    <row r="820639" spans="1:1" x14ac:dyDescent="0.25">
      <c r="A820639" s="242"/>
    </row>
    <row r="820640" spans="1:1" x14ac:dyDescent="0.25">
      <c r="A820640" s="242"/>
    </row>
    <row r="820641" spans="1:1" x14ac:dyDescent="0.25">
      <c r="A820641" s="242"/>
    </row>
    <row r="820642" spans="1:1" x14ac:dyDescent="0.25">
      <c r="A820642" s="242"/>
    </row>
    <row r="820643" spans="1:1" x14ac:dyDescent="0.25">
      <c r="A820643" s="242"/>
    </row>
    <row r="820644" spans="1:1" x14ac:dyDescent="0.25">
      <c r="A820644" s="242"/>
    </row>
    <row r="820645" spans="1:1" x14ac:dyDescent="0.25">
      <c r="A820645" s="242"/>
    </row>
    <row r="820646" spans="1:1" x14ac:dyDescent="0.25">
      <c r="A820646" s="242"/>
    </row>
    <row r="820647" spans="1:1" x14ac:dyDescent="0.25">
      <c r="A820647" s="242"/>
    </row>
    <row r="820648" spans="1:1" x14ac:dyDescent="0.25">
      <c r="A820648" s="242"/>
    </row>
    <row r="820649" spans="1:1" x14ac:dyDescent="0.25">
      <c r="A820649" s="242"/>
    </row>
    <row r="820650" spans="1:1" x14ac:dyDescent="0.25">
      <c r="A820650" s="242"/>
    </row>
    <row r="820651" spans="1:1" x14ac:dyDescent="0.25">
      <c r="A820651" s="242"/>
    </row>
    <row r="820652" spans="1:1" x14ac:dyDescent="0.25">
      <c r="A820652" s="242"/>
    </row>
    <row r="820653" spans="1:1" x14ac:dyDescent="0.25">
      <c r="A820653" s="242"/>
    </row>
    <row r="820654" spans="1:1" x14ac:dyDescent="0.25">
      <c r="A820654" s="242"/>
    </row>
    <row r="820655" spans="1:1" x14ac:dyDescent="0.25">
      <c r="A820655" s="242"/>
    </row>
    <row r="820656" spans="1:1" x14ac:dyDescent="0.25">
      <c r="A820656" s="242"/>
    </row>
    <row r="820657" spans="1:1" x14ac:dyDescent="0.25">
      <c r="A820657" s="242"/>
    </row>
    <row r="820658" spans="1:1" x14ac:dyDescent="0.25">
      <c r="A820658" s="242"/>
    </row>
    <row r="820659" spans="1:1" x14ac:dyDescent="0.25">
      <c r="A820659" s="242"/>
    </row>
    <row r="820660" spans="1:1" x14ac:dyDescent="0.25">
      <c r="A820660" s="242"/>
    </row>
    <row r="820661" spans="1:1" x14ac:dyDescent="0.25">
      <c r="A820661" s="242"/>
    </row>
    <row r="820662" spans="1:1" x14ac:dyDescent="0.25">
      <c r="A820662" s="242"/>
    </row>
    <row r="820663" spans="1:1" x14ac:dyDescent="0.25">
      <c r="A820663" s="242"/>
    </row>
    <row r="820664" spans="1:1" x14ac:dyDescent="0.25">
      <c r="A820664" s="242"/>
    </row>
    <row r="820665" spans="1:1" x14ac:dyDescent="0.25">
      <c r="A820665" s="242"/>
    </row>
    <row r="820666" spans="1:1" x14ac:dyDescent="0.25">
      <c r="A820666" s="242"/>
    </row>
    <row r="820667" spans="1:1" x14ac:dyDescent="0.25">
      <c r="A820667" s="242"/>
    </row>
    <row r="820668" spans="1:1" x14ac:dyDescent="0.25">
      <c r="A820668" s="242"/>
    </row>
    <row r="820669" spans="1:1" x14ac:dyDescent="0.25">
      <c r="A820669" s="242"/>
    </row>
    <row r="820670" spans="1:1" x14ac:dyDescent="0.25">
      <c r="A820670" s="242"/>
    </row>
    <row r="820671" spans="1:1" x14ac:dyDescent="0.25">
      <c r="A820671" s="242"/>
    </row>
    <row r="820672" spans="1:1" x14ac:dyDescent="0.25">
      <c r="A820672" s="242"/>
    </row>
    <row r="820673" spans="1:1" x14ac:dyDescent="0.25">
      <c r="A820673" s="242"/>
    </row>
    <row r="820674" spans="1:1" x14ac:dyDescent="0.25">
      <c r="A820674" s="242"/>
    </row>
    <row r="820675" spans="1:1" x14ac:dyDescent="0.25">
      <c r="A820675" s="242"/>
    </row>
    <row r="820676" spans="1:1" x14ac:dyDescent="0.25">
      <c r="A820676" s="242"/>
    </row>
    <row r="820677" spans="1:1" x14ac:dyDescent="0.25">
      <c r="A820677" s="242"/>
    </row>
    <row r="820678" spans="1:1" x14ac:dyDescent="0.25">
      <c r="A820678" s="242"/>
    </row>
    <row r="820679" spans="1:1" x14ac:dyDescent="0.25">
      <c r="A820679" s="242"/>
    </row>
    <row r="820680" spans="1:1" x14ac:dyDescent="0.25">
      <c r="A820680" s="242"/>
    </row>
    <row r="820681" spans="1:1" x14ac:dyDescent="0.25">
      <c r="A820681" s="242"/>
    </row>
    <row r="820682" spans="1:1" x14ac:dyDescent="0.25">
      <c r="A820682" s="242"/>
    </row>
    <row r="820683" spans="1:1" x14ac:dyDescent="0.25">
      <c r="A820683" s="242"/>
    </row>
    <row r="820684" spans="1:1" x14ac:dyDescent="0.25">
      <c r="A820684" s="242"/>
    </row>
    <row r="820685" spans="1:1" x14ac:dyDescent="0.25">
      <c r="A820685" s="242"/>
    </row>
    <row r="820686" spans="1:1" x14ac:dyDescent="0.25">
      <c r="A820686" s="242"/>
    </row>
    <row r="820687" spans="1:1" x14ac:dyDescent="0.25">
      <c r="A820687" s="242"/>
    </row>
    <row r="820688" spans="1:1" x14ac:dyDescent="0.25">
      <c r="A820688" s="242"/>
    </row>
    <row r="820689" spans="1:1" x14ac:dyDescent="0.25">
      <c r="A820689" s="242"/>
    </row>
    <row r="820690" spans="1:1" x14ac:dyDescent="0.25">
      <c r="A820690" s="242"/>
    </row>
    <row r="820691" spans="1:1" x14ac:dyDescent="0.25">
      <c r="A820691" s="242"/>
    </row>
    <row r="820692" spans="1:1" x14ac:dyDescent="0.25">
      <c r="A820692" s="242"/>
    </row>
    <row r="820693" spans="1:1" x14ac:dyDescent="0.25">
      <c r="A820693" s="242"/>
    </row>
    <row r="820694" spans="1:1" x14ac:dyDescent="0.25">
      <c r="A820694" s="242"/>
    </row>
    <row r="820695" spans="1:1" x14ac:dyDescent="0.25">
      <c r="A820695" s="242"/>
    </row>
    <row r="820696" spans="1:1" x14ac:dyDescent="0.25">
      <c r="A820696" s="242"/>
    </row>
    <row r="820697" spans="1:1" x14ac:dyDescent="0.25">
      <c r="A820697" s="242"/>
    </row>
    <row r="820698" spans="1:1" x14ac:dyDescent="0.25">
      <c r="A820698" s="242"/>
    </row>
    <row r="820699" spans="1:1" x14ac:dyDescent="0.25">
      <c r="A820699" s="242"/>
    </row>
    <row r="820700" spans="1:1" x14ac:dyDescent="0.25">
      <c r="A820700" s="242"/>
    </row>
    <row r="820701" spans="1:1" x14ac:dyDescent="0.25">
      <c r="A820701" s="242"/>
    </row>
    <row r="820702" spans="1:1" x14ac:dyDescent="0.25">
      <c r="A820702" s="242"/>
    </row>
    <row r="820703" spans="1:1" x14ac:dyDescent="0.25">
      <c r="A820703" s="242"/>
    </row>
    <row r="820704" spans="1:1" x14ac:dyDescent="0.25">
      <c r="A820704" s="242"/>
    </row>
    <row r="820705" spans="1:1" x14ac:dyDescent="0.25">
      <c r="A820705" s="242"/>
    </row>
    <row r="820706" spans="1:1" x14ac:dyDescent="0.25">
      <c r="A820706" s="242"/>
    </row>
    <row r="820707" spans="1:1" x14ac:dyDescent="0.25">
      <c r="A820707" s="242"/>
    </row>
    <row r="820708" spans="1:1" x14ac:dyDescent="0.25">
      <c r="A820708" s="242"/>
    </row>
    <row r="820709" spans="1:1" x14ac:dyDescent="0.25">
      <c r="A820709" s="242"/>
    </row>
    <row r="820710" spans="1:1" x14ac:dyDescent="0.25">
      <c r="A820710" s="242"/>
    </row>
    <row r="820711" spans="1:1" x14ac:dyDescent="0.25">
      <c r="A820711" s="242"/>
    </row>
    <row r="820712" spans="1:1" x14ac:dyDescent="0.25">
      <c r="A820712" s="242"/>
    </row>
    <row r="820713" spans="1:1" x14ac:dyDescent="0.25">
      <c r="A820713" s="242"/>
    </row>
    <row r="820714" spans="1:1" x14ac:dyDescent="0.25">
      <c r="A820714" s="242"/>
    </row>
    <row r="820715" spans="1:1" x14ac:dyDescent="0.25">
      <c r="A820715" s="242"/>
    </row>
    <row r="820716" spans="1:1" x14ac:dyDescent="0.25">
      <c r="A820716" s="242"/>
    </row>
    <row r="820717" spans="1:1" x14ac:dyDescent="0.25">
      <c r="A820717" s="242"/>
    </row>
    <row r="820718" spans="1:1" x14ac:dyDescent="0.25">
      <c r="A820718" s="242"/>
    </row>
    <row r="820719" spans="1:1" x14ac:dyDescent="0.25">
      <c r="A820719" s="242"/>
    </row>
    <row r="820720" spans="1:1" x14ac:dyDescent="0.25">
      <c r="A820720" s="242"/>
    </row>
    <row r="820721" spans="1:1" x14ac:dyDescent="0.25">
      <c r="A820721" s="242"/>
    </row>
    <row r="820722" spans="1:1" x14ac:dyDescent="0.25">
      <c r="A820722" s="242"/>
    </row>
    <row r="820723" spans="1:1" x14ac:dyDescent="0.25">
      <c r="A820723" s="242"/>
    </row>
    <row r="820724" spans="1:1" x14ac:dyDescent="0.25">
      <c r="A820724" s="242"/>
    </row>
    <row r="820725" spans="1:1" x14ac:dyDescent="0.25">
      <c r="A820725" s="242"/>
    </row>
    <row r="820726" spans="1:1" x14ac:dyDescent="0.25">
      <c r="A820726" s="242"/>
    </row>
    <row r="820727" spans="1:1" x14ac:dyDescent="0.25">
      <c r="A820727" s="242"/>
    </row>
    <row r="820728" spans="1:1" x14ac:dyDescent="0.25">
      <c r="A820728" s="242"/>
    </row>
    <row r="820729" spans="1:1" x14ac:dyDescent="0.25">
      <c r="A820729" s="242"/>
    </row>
    <row r="820730" spans="1:1" x14ac:dyDescent="0.25">
      <c r="A820730" s="242"/>
    </row>
    <row r="820731" spans="1:1" x14ac:dyDescent="0.25">
      <c r="A820731" s="242"/>
    </row>
    <row r="820732" spans="1:1" x14ac:dyDescent="0.25">
      <c r="A820732" s="242"/>
    </row>
    <row r="820733" spans="1:1" x14ac:dyDescent="0.25">
      <c r="A820733" s="242"/>
    </row>
    <row r="820734" spans="1:1" x14ac:dyDescent="0.25">
      <c r="A820734" s="242"/>
    </row>
    <row r="820735" spans="1:1" x14ac:dyDescent="0.25">
      <c r="A820735" s="242"/>
    </row>
    <row r="820736" spans="1:1" x14ac:dyDescent="0.25">
      <c r="A820736" s="242"/>
    </row>
    <row r="820737" spans="1:1" x14ac:dyDescent="0.25">
      <c r="A820737" s="242"/>
    </row>
    <row r="820738" spans="1:1" x14ac:dyDescent="0.25">
      <c r="A820738" s="242"/>
    </row>
    <row r="820739" spans="1:1" x14ac:dyDescent="0.25">
      <c r="A820739" s="242"/>
    </row>
    <row r="820740" spans="1:1" x14ac:dyDescent="0.25">
      <c r="A820740" s="242"/>
    </row>
    <row r="820741" spans="1:1" x14ac:dyDescent="0.25">
      <c r="A820741" s="242"/>
    </row>
    <row r="820742" spans="1:1" x14ac:dyDescent="0.25">
      <c r="A820742" s="242"/>
    </row>
    <row r="820743" spans="1:1" x14ac:dyDescent="0.25">
      <c r="A820743" s="242"/>
    </row>
    <row r="820744" spans="1:1" x14ac:dyDescent="0.25">
      <c r="A820744" s="242"/>
    </row>
    <row r="820745" spans="1:1" x14ac:dyDescent="0.25">
      <c r="A820745" s="242"/>
    </row>
    <row r="820746" spans="1:1" x14ac:dyDescent="0.25">
      <c r="A820746" s="242"/>
    </row>
    <row r="820747" spans="1:1" x14ac:dyDescent="0.25">
      <c r="A820747" s="242"/>
    </row>
    <row r="820748" spans="1:1" x14ac:dyDescent="0.25">
      <c r="A820748" s="242"/>
    </row>
    <row r="820749" spans="1:1" x14ac:dyDescent="0.25">
      <c r="A820749" s="242"/>
    </row>
    <row r="820750" spans="1:1" x14ac:dyDescent="0.25">
      <c r="A820750" s="242"/>
    </row>
    <row r="820751" spans="1:1" x14ac:dyDescent="0.25">
      <c r="A820751" s="242"/>
    </row>
    <row r="820752" spans="1:1" x14ac:dyDescent="0.25">
      <c r="A820752" s="242"/>
    </row>
    <row r="820753" spans="1:1" x14ac:dyDescent="0.25">
      <c r="A820753" s="242"/>
    </row>
    <row r="820754" spans="1:1" x14ac:dyDescent="0.25">
      <c r="A820754" s="242"/>
    </row>
    <row r="820755" spans="1:1" x14ac:dyDescent="0.25">
      <c r="A820755" s="242"/>
    </row>
    <row r="820756" spans="1:1" x14ac:dyDescent="0.25">
      <c r="A820756" s="242"/>
    </row>
    <row r="820757" spans="1:1" x14ac:dyDescent="0.25">
      <c r="A820757" s="242"/>
    </row>
    <row r="820758" spans="1:1" x14ac:dyDescent="0.25">
      <c r="A820758" s="242"/>
    </row>
    <row r="820759" spans="1:1" x14ac:dyDescent="0.25">
      <c r="A820759" s="242"/>
    </row>
    <row r="820760" spans="1:1" x14ac:dyDescent="0.25">
      <c r="A820760" s="242"/>
    </row>
    <row r="820761" spans="1:1" x14ac:dyDescent="0.25">
      <c r="A820761" s="242"/>
    </row>
    <row r="820762" spans="1:1" x14ac:dyDescent="0.25">
      <c r="A820762" s="242"/>
    </row>
    <row r="820763" spans="1:1" x14ac:dyDescent="0.25">
      <c r="A820763" s="242"/>
    </row>
    <row r="820764" spans="1:1" x14ac:dyDescent="0.25">
      <c r="A820764" s="242"/>
    </row>
    <row r="820765" spans="1:1" x14ac:dyDescent="0.25">
      <c r="A820765" s="242"/>
    </row>
    <row r="820766" spans="1:1" x14ac:dyDescent="0.25">
      <c r="A820766" s="242"/>
    </row>
    <row r="820767" spans="1:1" x14ac:dyDescent="0.25">
      <c r="A820767" s="242"/>
    </row>
    <row r="820768" spans="1:1" x14ac:dyDescent="0.25">
      <c r="A820768" s="242"/>
    </row>
    <row r="820769" spans="1:1" x14ac:dyDescent="0.25">
      <c r="A820769" s="242"/>
    </row>
    <row r="820770" spans="1:1" x14ac:dyDescent="0.25">
      <c r="A820770" s="242"/>
    </row>
    <row r="820771" spans="1:1" x14ac:dyDescent="0.25">
      <c r="A820771" s="242"/>
    </row>
    <row r="820772" spans="1:1" x14ac:dyDescent="0.25">
      <c r="A820772" s="242"/>
    </row>
    <row r="820773" spans="1:1" x14ac:dyDescent="0.25">
      <c r="A820773" s="242"/>
    </row>
    <row r="820774" spans="1:1" x14ac:dyDescent="0.25">
      <c r="A820774" s="242"/>
    </row>
    <row r="820775" spans="1:1" x14ac:dyDescent="0.25">
      <c r="A820775" s="242"/>
    </row>
    <row r="820776" spans="1:1" x14ac:dyDescent="0.25">
      <c r="A820776" s="242"/>
    </row>
    <row r="820777" spans="1:1" x14ac:dyDescent="0.25">
      <c r="A820777" s="242"/>
    </row>
    <row r="820778" spans="1:1" x14ac:dyDescent="0.25">
      <c r="A820778" s="242"/>
    </row>
    <row r="820779" spans="1:1" x14ac:dyDescent="0.25">
      <c r="A820779" s="242"/>
    </row>
    <row r="820780" spans="1:1" x14ac:dyDescent="0.25">
      <c r="A820780" s="242"/>
    </row>
    <row r="820781" spans="1:1" x14ac:dyDescent="0.25">
      <c r="A820781" s="242"/>
    </row>
    <row r="820782" spans="1:1" x14ac:dyDescent="0.25">
      <c r="A820782" s="242"/>
    </row>
    <row r="820783" spans="1:1" x14ac:dyDescent="0.25">
      <c r="A820783" s="242"/>
    </row>
    <row r="820784" spans="1:1" x14ac:dyDescent="0.25">
      <c r="A820784" s="242"/>
    </row>
    <row r="820785" spans="1:1" x14ac:dyDescent="0.25">
      <c r="A820785" s="242"/>
    </row>
    <row r="820786" spans="1:1" x14ac:dyDescent="0.25">
      <c r="A820786" s="242"/>
    </row>
    <row r="820787" spans="1:1" x14ac:dyDescent="0.25">
      <c r="A820787" s="242"/>
    </row>
    <row r="820788" spans="1:1" x14ac:dyDescent="0.25">
      <c r="A820788" s="242"/>
    </row>
    <row r="820789" spans="1:1" x14ac:dyDescent="0.25">
      <c r="A820789" s="242"/>
    </row>
    <row r="820790" spans="1:1" x14ac:dyDescent="0.25">
      <c r="A820790" s="242"/>
    </row>
    <row r="820791" spans="1:1" x14ac:dyDescent="0.25">
      <c r="A820791" s="242"/>
    </row>
    <row r="820792" spans="1:1" x14ac:dyDescent="0.25">
      <c r="A820792" s="242"/>
    </row>
    <row r="820793" spans="1:1" x14ac:dyDescent="0.25">
      <c r="A820793" s="242"/>
    </row>
    <row r="820794" spans="1:1" x14ac:dyDescent="0.25">
      <c r="A820794" s="242"/>
    </row>
    <row r="820795" spans="1:1" x14ac:dyDescent="0.25">
      <c r="A820795" s="242"/>
    </row>
    <row r="820796" spans="1:1" x14ac:dyDescent="0.25">
      <c r="A820796" s="242"/>
    </row>
    <row r="820797" spans="1:1" x14ac:dyDescent="0.25">
      <c r="A820797" s="242"/>
    </row>
    <row r="820798" spans="1:1" x14ac:dyDescent="0.25">
      <c r="A820798" s="242"/>
    </row>
    <row r="820799" spans="1:1" x14ac:dyDescent="0.25">
      <c r="A820799" s="242"/>
    </row>
    <row r="820800" spans="1:1" x14ac:dyDescent="0.25">
      <c r="A820800" s="242"/>
    </row>
    <row r="820801" spans="1:1" x14ac:dyDescent="0.25">
      <c r="A820801" s="242"/>
    </row>
    <row r="820802" spans="1:1" x14ac:dyDescent="0.25">
      <c r="A820802" s="242"/>
    </row>
    <row r="820803" spans="1:1" x14ac:dyDescent="0.25">
      <c r="A820803" s="242"/>
    </row>
    <row r="820804" spans="1:1" x14ac:dyDescent="0.25">
      <c r="A820804" s="242"/>
    </row>
    <row r="820805" spans="1:1" x14ac:dyDescent="0.25">
      <c r="A820805" s="242"/>
    </row>
    <row r="820806" spans="1:1" x14ac:dyDescent="0.25">
      <c r="A820806" s="242"/>
    </row>
    <row r="820807" spans="1:1" x14ac:dyDescent="0.25">
      <c r="A820807" s="242"/>
    </row>
    <row r="820808" spans="1:1" x14ac:dyDescent="0.25">
      <c r="A820808" s="242"/>
    </row>
    <row r="820809" spans="1:1" x14ac:dyDescent="0.25">
      <c r="A820809" s="242"/>
    </row>
    <row r="820810" spans="1:1" x14ac:dyDescent="0.25">
      <c r="A820810" s="242"/>
    </row>
    <row r="820811" spans="1:1" x14ac:dyDescent="0.25">
      <c r="A820811" s="242"/>
    </row>
    <row r="820812" spans="1:1" x14ac:dyDescent="0.25">
      <c r="A820812" s="242"/>
    </row>
    <row r="820813" spans="1:1" x14ac:dyDescent="0.25">
      <c r="A820813" s="242"/>
    </row>
    <row r="820814" spans="1:1" x14ac:dyDescent="0.25">
      <c r="A820814" s="242"/>
    </row>
    <row r="820815" spans="1:1" x14ac:dyDescent="0.25">
      <c r="A820815" s="242"/>
    </row>
    <row r="820816" spans="1:1" x14ac:dyDescent="0.25">
      <c r="A820816" s="242"/>
    </row>
    <row r="820817" spans="1:1" x14ac:dyDescent="0.25">
      <c r="A820817" s="242"/>
    </row>
    <row r="820818" spans="1:1" x14ac:dyDescent="0.25">
      <c r="A820818" s="242"/>
    </row>
    <row r="820819" spans="1:1" x14ac:dyDescent="0.25">
      <c r="A820819" s="242"/>
    </row>
    <row r="820820" spans="1:1" x14ac:dyDescent="0.25">
      <c r="A820820" s="242"/>
    </row>
    <row r="820821" spans="1:1" x14ac:dyDescent="0.25">
      <c r="A820821" s="242"/>
    </row>
    <row r="820822" spans="1:1" x14ac:dyDescent="0.25">
      <c r="A820822" s="242"/>
    </row>
    <row r="820823" spans="1:1" x14ac:dyDescent="0.25">
      <c r="A820823" s="242"/>
    </row>
    <row r="820824" spans="1:1" x14ac:dyDescent="0.25">
      <c r="A820824" s="242"/>
    </row>
    <row r="820825" spans="1:1" x14ac:dyDescent="0.25">
      <c r="A820825" s="242"/>
    </row>
    <row r="820826" spans="1:1" x14ac:dyDescent="0.25">
      <c r="A820826" s="242"/>
    </row>
    <row r="820827" spans="1:1" x14ac:dyDescent="0.25">
      <c r="A820827" s="242"/>
    </row>
    <row r="820828" spans="1:1" x14ac:dyDescent="0.25">
      <c r="A820828" s="242"/>
    </row>
    <row r="820829" spans="1:1" x14ac:dyDescent="0.25">
      <c r="A820829" s="242"/>
    </row>
    <row r="820830" spans="1:1" x14ac:dyDescent="0.25">
      <c r="A820830" s="242"/>
    </row>
    <row r="820831" spans="1:1" x14ac:dyDescent="0.25">
      <c r="A820831" s="242"/>
    </row>
    <row r="820832" spans="1:1" x14ac:dyDescent="0.25">
      <c r="A820832" s="242"/>
    </row>
    <row r="820833" spans="1:1" x14ac:dyDescent="0.25">
      <c r="A820833" s="242"/>
    </row>
    <row r="820834" spans="1:1" x14ac:dyDescent="0.25">
      <c r="A820834" s="242"/>
    </row>
    <row r="820835" spans="1:1" x14ac:dyDescent="0.25">
      <c r="A820835" s="242"/>
    </row>
    <row r="820836" spans="1:1" x14ac:dyDescent="0.25">
      <c r="A820836" s="242"/>
    </row>
    <row r="820837" spans="1:1" x14ac:dyDescent="0.25">
      <c r="A820837" s="242"/>
    </row>
    <row r="820838" spans="1:1" x14ac:dyDescent="0.25">
      <c r="A820838" s="242"/>
    </row>
    <row r="820839" spans="1:1" x14ac:dyDescent="0.25">
      <c r="A820839" s="242"/>
    </row>
    <row r="820840" spans="1:1" x14ac:dyDescent="0.25">
      <c r="A820840" s="242"/>
    </row>
    <row r="820841" spans="1:1" x14ac:dyDescent="0.25">
      <c r="A820841" s="242"/>
    </row>
    <row r="820842" spans="1:1" x14ac:dyDescent="0.25">
      <c r="A820842" s="242"/>
    </row>
    <row r="820843" spans="1:1" x14ac:dyDescent="0.25">
      <c r="A820843" s="242"/>
    </row>
    <row r="820844" spans="1:1" x14ac:dyDescent="0.25">
      <c r="A820844" s="242"/>
    </row>
    <row r="820845" spans="1:1" x14ac:dyDescent="0.25">
      <c r="A820845" s="242"/>
    </row>
    <row r="820846" spans="1:1" x14ac:dyDescent="0.25">
      <c r="A820846" s="242"/>
    </row>
    <row r="820847" spans="1:1" x14ac:dyDescent="0.25">
      <c r="A820847" s="242"/>
    </row>
    <row r="820848" spans="1:1" x14ac:dyDescent="0.25">
      <c r="A820848" s="242"/>
    </row>
    <row r="820849" spans="1:1" x14ac:dyDescent="0.25">
      <c r="A820849" s="242"/>
    </row>
    <row r="820850" spans="1:1" x14ac:dyDescent="0.25">
      <c r="A820850" s="242"/>
    </row>
    <row r="820851" spans="1:1" x14ac:dyDescent="0.25">
      <c r="A820851" s="242"/>
    </row>
    <row r="820852" spans="1:1" x14ac:dyDescent="0.25">
      <c r="A820852" s="242"/>
    </row>
    <row r="820853" spans="1:1" x14ac:dyDescent="0.25">
      <c r="A820853" s="242"/>
    </row>
    <row r="820854" spans="1:1" x14ac:dyDescent="0.25">
      <c r="A820854" s="242"/>
    </row>
    <row r="820855" spans="1:1" x14ac:dyDescent="0.25">
      <c r="A820855" s="242"/>
    </row>
    <row r="820856" spans="1:1" x14ac:dyDescent="0.25">
      <c r="A820856" s="242"/>
    </row>
    <row r="820857" spans="1:1" x14ac:dyDescent="0.25">
      <c r="A820857" s="242"/>
    </row>
    <row r="820858" spans="1:1" x14ac:dyDescent="0.25">
      <c r="A820858" s="242"/>
    </row>
    <row r="820859" spans="1:1" x14ac:dyDescent="0.25">
      <c r="A820859" s="242"/>
    </row>
    <row r="820860" spans="1:1" x14ac:dyDescent="0.25">
      <c r="A820860" s="242"/>
    </row>
    <row r="820861" spans="1:1" x14ac:dyDescent="0.25">
      <c r="A820861" s="242"/>
    </row>
    <row r="820862" spans="1:1" x14ac:dyDescent="0.25">
      <c r="A820862" s="242"/>
    </row>
    <row r="820863" spans="1:1" x14ac:dyDescent="0.25">
      <c r="A820863" s="242"/>
    </row>
    <row r="820864" spans="1:1" x14ac:dyDescent="0.25">
      <c r="A820864" s="242"/>
    </row>
    <row r="820865" spans="1:1" x14ac:dyDescent="0.25">
      <c r="A820865" s="242"/>
    </row>
    <row r="820866" spans="1:1" x14ac:dyDescent="0.25">
      <c r="A820866" s="242"/>
    </row>
    <row r="820867" spans="1:1" x14ac:dyDescent="0.25">
      <c r="A820867" s="242"/>
    </row>
    <row r="820868" spans="1:1" x14ac:dyDescent="0.25">
      <c r="A820868" s="242"/>
    </row>
    <row r="820869" spans="1:1" x14ac:dyDescent="0.25">
      <c r="A820869" s="242"/>
    </row>
    <row r="820870" spans="1:1" x14ac:dyDescent="0.25">
      <c r="A820870" s="242"/>
    </row>
    <row r="820871" spans="1:1" x14ac:dyDescent="0.25">
      <c r="A820871" s="242"/>
    </row>
    <row r="820872" spans="1:1" x14ac:dyDescent="0.25">
      <c r="A820872" s="242"/>
    </row>
    <row r="820873" spans="1:1" x14ac:dyDescent="0.25">
      <c r="A820873" s="242"/>
    </row>
    <row r="820874" spans="1:1" x14ac:dyDescent="0.25">
      <c r="A820874" s="242"/>
    </row>
    <row r="820875" spans="1:1" x14ac:dyDescent="0.25">
      <c r="A820875" s="242"/>
    </row>
    <row r="820876" spans="1:1" x14ac:dyDescent="0.25">
      <c r="A820876" s="242"/>
    </row>
    <row r="820877" spans="1:1" x14ac:dyDescent="0.25">
      <c r="A820877" s="242"/>
    </row>
    <row r="820878" spans="1:1" x14ac:dyDescent="0.25">
      <c r="A820878" s="242"/>
    </row>
    <row r="820879" spans="1:1" x14ac:dyDescent="0.25">
      <c r="A820879" s="242"/>
    </row>
    <row r="820880" spans="1:1" x14ac:dyDescent="0.25">
      <c r="A820880" s="242"/>
    </row>
    <row r="820881" spans="1:1" x14ac:dyDescent="0.25">
      <c r="A820881" s="242"/>
    </row>
    <row r="820882" spans="1:1" x14ac:dyDescent="0.25">
      <c r="A820882" s="242"/>
    </row>
    <row r="820883" spans="1:1" x14ac:dyDescent="0.25">
      <c r="A820883" s="242"/>
    </row>
    <row r="820884" spans="1:1" x14ac:dyDescent="0.25">
      <c r="A820884" s="242"/>
    </row>
    <row r="820885" spans="1:1" x14ac:dyDescent="0.25">
      <c r="A820885" s="242"/>
    </row>
    <row r="820886" spans="1:1" x14ac:dyDescent="0.25">
      <c r="A820886" s="242"/>
    </row>
    <row r="820887" spans="1:1" x14ac:dyDescent="0.25">
      <c r="A820887" s="242"/>
    </row>
    <row r="820888" spans="1:1" x14ac:dyDescent="0.25">
      <c r="A820888" s="242"/>
    </row>
    <row r="820889" spans="1:1" x14ac:dyDescent="0.25">
      <c r="A820889" s="242"/>
    </row>
    <row r="820890" spans="1:1" x14ac:dyDescent="0.25">
      <c r="A820890" s="242"/>
    </row>
    <row r="820891" spans="1:1" x14ac:dyDescent="0.25">
      <c r="A820891" s="242"/>
    </row>
    <row r="820892" spans="1:1" x14ac:dyDescent="0.25">
      <c r="A820892" s="242"/>
    </row>
    <row r="820893" spans="1:1" x14ac:dyDescent="0.25">
      <c r="A820893" s="242"/>
    </row>
    <row r="820894" spans="1:1" x14ac:dyDescent="0.25">
      <c r="A820894" s="242"/>
    </row>
    <row r="820895" spans="1:1" x14ac:dyDescent="0.25">
      <c r="A820895" s="242"/>
    </row>
    <row r="820896" spans="1:1" x14ac:dyDescent="0.25">
      <c r="A820896" s="242"/>
    </row>
    <row r="820897" spans="1:1" x14ac:dyDescent="0.25">
      <c r="A820897" s="242"/>
    </row>
    <row r="820898" spans="1:1" x14ac:dyDescent="0.25">
      <c r="A820898" s="242"/>
    </row>
    <row r="820899" spans="1:1" x14ac:dyDescent="0.25">
      <c r="A820899" s="242"/>
    </row>
    <row r="820900" spans="1:1" x14ac:dyDescent="0.25">
      <c r="A820900" s="242"/>
    </row>
    <row r="820901" spans="1:1" x14ac:dyDescent="0.25">
      <c r="A820901" s="242"/>
    </row>
    <row r="820902" spans="1:1" x14ac:dyDescent="0.25">
      <c r="A820902" s="242"/>
    </row>
    <row r="820903" spans="1:1" x14ac:dyDescent="0.25">
      <c r="A820903" s="242"/>
    </row>
    <row r="820904" spans="1:1" x14ac:dyDescent="0.25">
      <c r="A820904" s="242"/>
    </row>
    <row r="820905" spans="1:1" x14ac:dyDescent="0.25">
      <c r="A820905" s="242"/>
    </row>
    <row r="820906" spans="1:1" x14ac:dyDescent="0.25">
      <c r="A820906" s="242"/>
    </row>
    <row r="820907" spans="1:1" x14ac:dyDescent="0.25">
      <c r="A820907" s="242"/>
    </row>
    <row r="820908" spans="1:1" x14ac:dyDescent="0.25">
      <c r="A820908" s="242"/>
    </row>
    <row r="820909" spans="1:1" x14ac:dyDescent="0.25">
      <c r="A820909" s="242"/>
    </row>
    <row r="820910" spans="1:1" x14ac:dyDescent="0.25">
      <c r="A820910" s="242"/>
    </row>
    <row r="820911" spans="1:1" x14ac:dyDescent="0.25">
      <c r="A820911" s="242"/>
    </row>
    <row r="820912" spans="1:1" x14ac:dyDescent="0.25">
      <c r="A820912" s="242"/>
    </row>
    <row r="820913" spans="1:1" x14ac:dyDescent="0.25">
      <c r="A820913" s="242"/>
    </row>
    <row r="820914" spans="1:1" x14ac:dyDescent="0.25">
      <c r="A820914" s="242"/>
    </row>
    <row r="820915" spans="1:1" x14ac:dyDescent="0.25">
      <c r="A820915" s="242"/>
    </row>
    <row r="820916" spans="1:1" x14ac:dyDescent="0.25">
      <c r="A820916" s="242"/>
    </row>
    <row r="820917" spans="1:1" x14ac:dyDescent="0.25">
      <c r="A820917" s="242"/>
    </row>
    <row r="820918" spans="1:1" x14ac:dyDescent="0.25">
      <c r="A820918" s="242"/>
    </row>
    <row r="820919" spans="1:1" x14ac:dyDescent="0.25">
      <c r="A820919" s="242"/>
    </row>
    <row r="820920" spans="1:1" x14ac:dyDescent="0.25">
      <c r="A820920" s="242"/>
    </row>
    <row r="820921" spans="1:1" x14ac:dyDescent="0.25">
      <c r="A820921" s="242"/>
    </row>
    <row r="820922" spans="1:1" x14ac:dyDescent="0.25">
      <c r="A820922" s="242"/>
    </row>
    <row r="820923" spans="1:1" x14ac:dyDescent="0.25">
      <c r="A820923" s="242"/>
    </row>
    <row r="820924" spans="1:1" x14ac:dyDescent="0.25">
      <c r="A820924" s="242"/>
    </row>
    <row r="820925" spans="1:1" x14ac:dyDescent="0.25">
      <c r="A820925" s="242"/>
    </row>
    <row r="820926" spans="1:1" x14ac:dyDescent="0.25">
      <c r="A820926" s="242"/>
    </row>
    <row r="820927" spans="1:1" x14ac:dyDescent="0.25">
      <c r="A820927" s="242"/>
    </row>
    <row r="820928" spans="1:1" x14ac:dyDescent="0.25">
      <c r="A820928" s="242"/>
    </row>
    <row r="820929" spans="1:1" x14ac:dyDescent="0.25">
      <c r="A820929" s="242"/>
    </row>
    <row r="820930" spans="1:1" x14ac:dyDescent="0.25">
      <c r="A820930" s="242"/>
    </row>
    <row r="820931" spans="1:1" x14ac:dyDescent="0.25">
      <c r="A820931" s="242"/>
    </row>
    <row r="820932" spans="1:1" x14ac:dyDescent="0.25">
      <c r="A820932" s="242"/>
    </row>
    <row r="820933" spans="1:1" x14ac:dyDescent="0.25">
      <c r="A820933" s="242"/>
    </row>
    <row r="820934" spans="1:1" x14ac:dyDescent="0.25">
      <c r="A820934" s="242"/>
    </row>
    <row r="820935" spans="1:1" x14ac:dyDescent="0.25">
      <c r="A820935" s="242"/>
    </row>
    <row r="820936" spans="1:1" x14ac:dyDescent="0.25">
      <c r="A820936" s="242"/>
    </row>
    <row r="820937" spans="1:1" x14ac:dyDescent="0.25">
      <c r="A820937" s="242"/>
    </row>
    <row r="820938" spans="1:1" x14ac:dyDescent="0.25">
      <c r="A820938" s="242"/>
    </row>
    <row r="820939" spans="1:1" x14ac:dyDescent="0.25">
      <c r="A820939" s="242"/>
    </row>
    <row r="820940" spans="1:1" x14ac:dyDescent="0.25">
      <c r="A820940" s="242"/>
    </row>
    <row r="820941" spans="1:1" x14ac:dyDescent="0.25">
      <c r="A820941" s="242"/>
    </row>
    <row r="820942" spans="1:1" x14ac:dyDescent="0.25">
      <c r="A820942" s="242"/>
    </row>
    <row r="820943" spans="1:1" x14ac:dyDescent="0.25">
      <c r="A820943" s="242"/>
    </row>
    <row r="820944" spans="1:1" x14ac:dyDescent="0.25">
      <c r="A820944" s="242"/>
    </row>
    <row r="820945" spans="1:1" x14ac:dyDescent="0.25">
      <c r="A820945" s="242"/>
    </row>
    <row r="820946" spans="1:1" x14ac:dyDescent="0.25">
      <c r="A820946" s="242"/>
    </row>
    <row r="820947" spans="1:1" x14ac:dyDescent="0.25">
      <c r="A820947" s="242"/>
    </row>
    <row r="820948" spans="1:1" x14ac:dyDescent="0.25">
      <c r="A820948" s="242"/>
    </row>
    <row r="820949" spans="1:1" x14ac:dyDescent="0.25">
      <c r="A820949" s="242"/>
    </row>
    <row r="820950" spans="1:1" x14ac:dyDescent="0.25">
      <c r="A820950" s="242"/>
    </row>
    <row r="820951" spans="1:1" x14ac:dyDescent="0.25">
      <c r="A820951" s="242"/>
    </row>
    <row r="820952" spans="1:1" x14ac:dyDescent="0.25">
      <c r="A820952" s="242"/>
    </row>
    <row r="820953" spans="1:1" x14ac:dyDescent="0.25">
      <c r="A820953" s="242"/>
    </row>
    <row r="820954" spans="1:1" x14ac:dyDescent="0.25">
      <c r="A820954" s="242"/>
    </row>
    <row r="820955" spans="1:1" x14ac:dyDescent="0.25">
      <c r="A820955" s="242"/>
    </row>
    <row r="820956" spans="1:1" x14ac:dyDescent="0.25">
      <c r="A820956" s="242"/>
    </row>
    <row r="820957" spans="1:1" x14ac:dyDescent="0.25">
      <c r="A820957" s="242"/>
    </row>
    <row r="820958" spans="1:1" x14ac:dyDescent="0.25">
      <c r="A820958" s="242"/>
    </row>
    <row r="820959" spans="1:1" x14ac:dyDescent="0.25">
      <c r="A820959" s="242"/>
    </row>
    <row r="820960" spans="1:1" x14ac:dyDescent="0.25">
      <c r="A820960" s="242"/>
    </row>
    <row r="820961" spans="1:1" x14ac:dyDescent="0.25">
      <c r="A820961" s="242"/>
    </row>
    <row r="820962" spans="1:1" x14ac:dyDescent="0.25">
      <c r="A820962" s="242"/>
    </row>
    <row r="820963" spans="1:1" x14ac:dyDescent="0.25">
      <c r="A820963" s="242"/>
    </row>
    <row r="820964" spans="1:1" x14ac:dyDescent="0.25">
      <c r="A820964" s="242"/>
    </row>
    <row r="820965" spans="1:1" x14ac:dyDescent="0.25">
      <c r="A820965" s="242"/>
    </row>
    <row r="820966" spans="1:1" x14ac:dyDescent="0.25">
      <c r="A820966" s="242"/>
    </row>
    <row r="820967" spans="1:1" x14ac:dyDescent="0.25">
      <c r="A820967" s="242"/>
    </row>
    <row r="820968" spans="1:1" x14ac:dyDescent="0.25">
      <c r="A820968" s="242"/>
    </row>
    <row r="820969" spans="1:1" x14ac:dyDescent="0.25">
      <c r="A820969" s="242"/>
    </row>
    <row r="820970" spans="1:1" x14ac:dyDescent="0.25">
      <c r="A820970" s="242"/>
    </row>
    <row r="820971" spans="1:1" x14ac:dyDescent="0.25">
      <c r="A820971" s="242"/>
    </row>
    <row r="820972" spans="1:1" x14ac:dyDescent="0.25">
      <c r="A820972" s="242"/>
    </row>
    <row r="820973" spans="1:1" x14ac:dyDescent="0.25">
      <c r="A820973" s="242"/>
    </row>
    <row r="820974" spans="1:1" x14ac:dyDescent="0.25">
      <c r="A820974" s="242"/>
    </row>
    <row r="820975" spans="1:1" x14ac:dyDescent="0.25">
      <c r="A820975" s="242"/>
    </row>
    <row r="820976" spans="1:1" x14ac:dyDescent="0.25">
      <c r="A820976" s="242"/>
    </row>
    <row r="820977" spans="1:1" x14ac:dyDescent="0.25">
      <c r="A820977" s="242"/>
    </row>
    <row r="820978" spans="1:1" x14ac:dyDescent="0.25">
      <c r="A820978" s="242"/>
    </row>
    <row r="820979" spans="1:1" x14ac:dyDescent="0.25">
      <c r="A820979" s="242"/>
    </row>
    <row r="820980" spans="1:1" x14ac:dyDescent="0.25">
      <c r="A820980" s="242"/>
    </row>
    <row r="820981" spans="1:1" x14ac:dyDescent="0.25">
      <c r="A820981" s="242"/>
    </row>
    <row r="820982" spans="1:1" x14ac:dyDescent="0.25">
      <c r="A820982" s="242"/>
    </row>
    <row r="820983" spans="1:1" x14ac:dyDescent="0.25">
      <c r="A820983" s="242"/>
    </row>
    <row r="820984" spans="1:1" x14ac:dyDescent="0.25">
      <c r="A820984" s="242"/>
    </row>
    <row r="820985" spans="1:1" x14ac:dyDescent="0.25">
      <c r="A820985" s="242"/>
    </row>
    <row r="820986" spans="1:1" x14ac:dyDescent="0.25">
      <c r="A820986" s="242"/>
    </row>
    <row r="820987" spans="1:1" x14ac:dyDescent="0.25">
      <c r="A820987" s="242"/>
    </row>
    <row r="820988" spans="1:1" x14ac:dyDescent="0.25">
      <c r="A820988" s="242"/>
    </row>
    <row r="820989" spans="1:1" x14ac:dyDescent="0.25">
      <c r="A820989" s="242"/>
    </row>
    <row r="820990" spans="1:1" x14ac:dyDescent="0.25">
      <c r="A820990" s="242"/>
    </row>
    <row r="820991" spans="1:1" x14ac:dyDescent="0.25">
      <c r="A820991" s="242"/>
    </row>
    <row r="820992" spans="1:1" x14ac:dyDescent="0.25">
      <c r="A820992" s="242"/>
    </row>
    <row r="820993" spans="1:1" x14ac:dyDescent="0.25">
      <c r="A820993" s="242"/>
    </row>
    <row r="820994" spans="1:1" x14ac:dyDescent="0.25">
      <c r="A820994" s="242"/>
    </row>
    <row r="820995" spans="1:1" x14ac:dyDescent="0.25">
      <c r="A820995" s="242"/>
    </row>
    <row r="820996" spans="1:1" x14ac:dyDescent="0.25">
      <c r="A820996" s="242"/>
    </row>
    <row r="820997" spans="1:1" x14ac:dyDescent="0.25">
      <c r="A820997" s="242"/>
    </row>
    <row r="820998" spans="1:1" x14ac:dyDescent="0.25">
      <c r="A820998" s="242"/>
    </row>
    <row r="820999" spans="1:1" x14ac:dyDescent="0.25">
      <c r="A820999" s="242"/>
    </row>
    <row r="821000" spans="1:1" x14ac:dyDescent="0.25">
      <c r="A821000" s="242"/>
    </row>
    <row r="821001" spans="1:1" x14ac:dyDescent="0.25">
      <c r="A821001" s="242"/>
    </row>
    <row r="821002" spans="1:1" x14ac:dyDescent="0.25">
      <c r="A821002" s="242"/>
    </row>
    <row r="821003" spans="1:1" x14ac:dyDescent="0.25">
      <c r="A821003" s="242"/>
    </row>
    <row r="821004" spans="1:1" x14ac:dyDescent="0.25">
      <c r="A821004" s="242"/>
    </row>
    <row r="821005" spans="1:1" x14ac:dyDescent="0.25">
      <c r="A821005" s="242"/>
    </row>
    <row r="821006" spans="1:1" x14ac:dyDescent="0.25">
      <c r="A821006" s="242"/>
    </row>
    <row r="821007" spans="1:1" x14ac:dyDescent="0.25">
      <c r="A821007" s="242"/>
    </row>
    <row r="821008" spans="1:1" x14ac:dyDescent="0.25">
      <c r="A821008" s="242"/>
    </row>
    <row r="821009" spans="1:1" x14ac:dyDescent="0.25">
      <c r="A821009" s="242"/>
    </row>
    <row r="821010" spans="1:1" x14ac:dyDescent="0.25">
      <c r="A821010" s="242"/>
    </row>
    <row r="821011" spans="1:1" x14ac:dyDescent="0.25">
      <c r="A821011" s="242"/>
    </row>
    <row r="821012" spans="1:1" x14ac:dyDescent="0.25">
      <c r="A821012" s="242"/>
    </row>
    <row r="821013" spans="1:1" x14ac:dyDescent="0.25">
      <c r="A821013" s="242"/>
    </row>
    <row r="821014" spans="1:1" x14ac:dyDescent="0.25">
      <c r="A821014" s="242"/>
    </row>
    <row r="821015" spans="1:1" x14ac:dyDescent="0.25">
      <c r="A821015" s="242"/>
    </row>
    <row r="821016" spans="1:1" x14ac:dyDescent="0.25">
      <c r="A821016" s="242"/>
    </row>
    <row r="821017" spans="1:1" x14ac:dyDescent="0.25">
      <c r="A821017" s="242"/>
    </row>
    <row r="821018" spans="1:1" x14ac:dyDescent="0.25">
      <c r="A821018" s="242"/>
    </row>
    <row r="821019" spans="1:1" x14ac:dyDescent="0.25">
      <c r="A821019" s="242"/>
    </row>
    <row r="821020" spans="1:1" x14ac:dyDescent="0.25">
      <c r="A821020" s="242"/>
    </row>
    <row r="821021" spans="1:1" x14ac:dyDescent="0.25">
      <c r="A821021" s="242"/>
    </row>
    <row r="821022" spans="1:1" x14ac:dyDescent="0.25">
      <c r="A821022" s="242"/>
    </row>
    <row r="821023" spans="1:1" x14ac:dyDescent="0.25">
      <c r="A821023" s="242"/>
    </row>
    <row r="821024" spans="1:1" x14ac:dyDescent="0.25">
      <c r="A821024" s="242"/>
    </row>
    <row r="821025" spans="1:1" x14ac:dyDescent="0.25">
      <c r="A821025" s="242"/>
    </row>
    <row r="821026" spans="1:1" x14ac:dyDescent="0.25">
      <c r="A821026" s="242"/>
    </row>
    <row r="821027" spans="1:1" x14ac:dyDescent="0.25">
      <c r="A821027" s="242"/>
    </row>
    <row r="821028" spans="1:1" x14ac:dyDescent="0.25">
      <c r="A821028" s="242"/>
    </row>
    <row r="821029" spans="1:1" x14ac:dyDescent="0.25">
      <c r="A821029" s="242"/>
    </row>
    <row r="821030" spans="1:1" x14ac:dyDescent="0.25">
      <c r="A821030" s="242"/>
    </row>
    <row r="821031" spans="1:1" x14ac:dyDescent="0.25">
      <c r="A821031" s="242"/>
    </row>
    <row r="821032" spans="1:1" x14ac:dyDescent="0.25">
      <c r="A821032" s="242"/>
    </row>
    <row r="821033" spans="1:1" x14ac:dyDescent="0.25">
      <c r="A821033" s="242"/>
    </row>
    <row r="821034" spans="1:1" x14ac:dyDescent="0.25">
      <c r="A821034" s="242"/>
    </row>
    <row r="821035" spans="1:1" x14ac:dyDescent="0.25">
      <c r="A821035" s="242"/>
    </row>
    <row r="821036" spans="1:1" x14ac:dyDescent="0.25">
      <c r="A821036" s="242"/>
    </row>
    <row r="821037" spans="1:1" x14ac:dyDescent="0.25">
      <c r="A821037" s="242"/>
    </row>
    <row r="821038" spans="1:1" x14ac:dyDescent="0.25">
      <c r="A821038" s="242"/>
    </row>
    <row r="821039" spans="1:1" x14ac:dyDescent="0.25">
      <c r="A821039" s="242"/>
    </row>
    <row r="821040" spans="1:1" x14ac:dyDescent="0.25">
      <c r="A821040" s="242"/>
    </row>
    <row r="821041" spans="1:1" x14ac:dyDescent="0.25">
      <c r="A821041" s="242"/>
    </row>
    <row r="821042" spans="1:1" x14ac:dyDescent="0.25">
      <c r="A821042" s="242"/>
    </row>
    <row r="821043" spans="1:1" x14ac:dyDescent="0.25">
      <c r="A821043" s="242"/>
    </row>
    <row r="821044" spans="1:1" x14ac:dyDescent="0.25">
      <c r="A821044" s="242"/>
    </row>
    <row r="821045" spans="1:1" x14ac:dyDescent="0.25">
      <c r="A821045" s="242"/>
    </row>
    <row r="821046" spans="1:1" x14ac:dyDescent="0.25">
      <c r="A821046" s="242"/>
    </row>
    <row r="821047" spans="1:1" x14ac:dyDescent="0.25">
      <c r="A821047" s="242"/>
    </row>
    <row r="821048" spans="1:1" x14ac:dyDescent="0.25">
      <c r="A821048" s="242"/>
    </row>
    <row r="821049" spans="1:1" x14ac:dyDescent="0.25">
      <c r="A821049" s="242"/>
    </row>
    <row r="821050" spans="1:1" x14ac:dyDescent="0.25">
      <c r="A821050" s="242"/>
    </row>
    <row r="821051" spans="1:1" x14ac:dyDescent="0.25">
      <c r="A821051" s="242"/>
    </row>
    <row r="821052" spans="1:1" x14ac:dyDescent="0.25">
      <c r="A821052" s="242"/>
    </row>
    <row r="821053" spans="1:1" x14ac:dyDescent="0.25">
      <c r="A821053" s="242"/>
    </row>
    <row r="821054" spans="1:1" x14ac:dyDescent="0.25">
      <c r="A821054" s="242"/>
    </row>
    <row r="821055" spans="1:1" x14ac:dyDescent="0.25">
      <c r="A821055" s="242"/>
    </row>
    <row r="821056" spans="1:1" x14ac:dyDescent="0.25">
      <c r="A821056" s="242"/>
    </row>
    <row r="821057" spans="1:1" x14ac:dyDescent="0.25">
      <c r="A821057" s="242"/>
    </row>
    <row r="821058" spans="1:1" x14ac:dyDescent="0.25">
      <c r="A821058" s="242"/>
    </row>
    <row r="821059" spans="1:1" x14ac:dyDescent="0.25">
      <c r="A821059" s="242"/>
    </row>
    <row r="821060" spans="1:1" x14ac:dyDescent="0.25">
      <c r="A821060" s="242"/>
    </row>
    <row r="821061" spans="1:1" x14ac:dyDescent="0.25">
      <c r="A821061" s="242"/>
    </row>
    <row r="821062" spans="1:1" x14ac:dyDescent="0.25">
      <c r="A821062" s="242"/>
    </row>
    <row r="821063" spans="1:1" x14ac:dyDescent="0.25">
      <c r="A821063" s="242"/>
    </row>
    <row r="821064" spans="1:1" x14ac:dyDescent="0.25">
      <c r="A821064" s="242"/>
    </row>
    <row r="821065" spans="1:1" x14ac:dyDescent="0.25">
      <c r="A821065" s="242"/>
    </row>
    <row r="821066" spans="1:1" x14ac:dyDescent="0.25">
      <c r="A821066" s="242"/>
    </row>
    <row r="821067" spans="1:1" x14ac:dyDescent="0.25">
      <c r="A821067" s="242"/>
    </row>
    <row r="821068" spans="1:1" x14ac:dyDescent="0.25">
      <c r="A821068" s="242"/>
    </row>
    <row r="821069" spans="1:1" x14ac:dyDescent="0.25">
      <c r="A821069" s="242"/>
    </row>
    <row r="821070" spans="1:1" x14ac:dyDescent="0.25">
      <c r="A821070" s="242"/>
    </row>
    <row r="821071" spans="1:1" x14ac:dyDescent="0.25">
      <c r="A821071" s="242"/>
    </row>
    <row r="821072" spans="1:1" x14ac:dyDescent="0.25">
      <c r="A821072" s="242"/>
    </row>
    <row r="821073" spans="1:1" x14ac:dyDescent="0.25">
      <c r="A821073" s="242"/>
    </row>
    <row r="821074" spans="1:1" x14ac:dyDescent="0.25">
      <c r="A821074" s="242"/>
    </row>
    <row r="821075" spans="1:1" x14ac:dyDescent="0.25">
      <c r="A821075" s="242"/>
    </row>
    <row r="821076" spans="1:1" x14ac:dyDescent="0.25">
      <c r="A821076" s="242"/>
    </row>
    <row r="821077" spans="1:1" x14ac:dyDescent="0.25">
      <c r="A821077" s="242"/>
    </row>
    <row r="821078" spans="1:1" x14ac:dyDescent="0.25">
      <c r="A821078" s="242"/>
    </row>
    <row r="821079" spans="1:1" x14ac:dyDescent="0.25">
      <c r="A821079" s="242"/>
    </row>
    <row r="821080" spans="1:1" x14ac:dyDescent="0.25">
      <c r="A821080" s="242"/>
    </row>
    <row r="821081" spans="1:1" x14ac:dyDescent="0.25">
      <c r="A821081" s="242"/>
    </row>
    <row r="821082" spans="1:1" x14ac:dyDescent="0.25">
      <c r="A821082" s="242"/>
    </row>
    <row r="821083" spans="1:1" x14ac:dyDescent="0.25">
      <c r="A821083" s="242"/>
    </row>
    <row r="821084" spans="1:1" x14ac:dyDescent="0.25">
      <c r="A821084" s="242"/>
    </row>
    <row r="821085" spans="1:1" x14ac:dyDescent="0.25">
      <c r="A821085" s="242"/>
    </row>
    <row r="821086" spans="1:1" x14ac:dyDescent="0.25">
      <c r="A821086" s="242"/>
    </row>
    <row r="821087" spans="1:1" x14ac:dyDescent="0.25">
      <c r="A821087" s="242"/>
    </row>
    <row r="821088" spans="1:1" x14ac:dyDescent="0.25">
      <c r="A821088" s="242"/>
    </row>
    <row r="821089" spans="1:1" x14ac:dyDescent="0.25">
      <c r="A821089" s="242"/>
    </row>
    <row r="821090" spans="1:1" x14ac:dyDescent="0.25">
      <c r="A821090" s="242"/>
    </row>
    <row r="821091" spans="1:1" x14ac:dyDescent="0.25">
      <c r="A821091" s="242"/>
    </row>
    <row r="821092" spans="1:1" x14ac:dyDescent="0.25">
      <c r="A821092" s="242"/>
    </row>
    <row r="821093" spans="1:1" x14ac:dyDescent="0.25">
      <c r="A821093" s="242"/>
    </row>
    <row r="821094" spans="1:1" x14ac:dyDescent="0.25">
      <c r="A821094" s="242"/>
    </row>
    <row r="821095" spans="1:1" x14ac:dyDescent="0.25">
      <c r="A821095" s="242"/>
    </row>
    <row r="821096" spans="1:1" x14ac:dyDescent="0.25">
      <c r="A821096" s="242"/>
    </row>
    <row r="821097" spans="1:1" x14ac:dyDescent="0.25">
      <c r="A821097" s="242"/>
    </row>
    <row r="821098" spans="1:1" x14ac:dyDescent="0.25">
      <c r="A821098" s="242"/>
    </row>
    <row r="821099" spans="1:1" x14ac:dyDescent="0.25">
      <c r="A821099" s="242"/>
    </row>
    <row r="821100" spans="1:1" x14ac:dyDescent="0.25">
      <c r="A821100" s="242"/>
    </row>
    <row r="821101" spans="1:1" x14ac:dyDescent="0.25">
      <c r="A821101" s="242"/>
    </row>
    <row r="821102" spans="1:1" x14ac:dyDescent="0.25">
      <c r="A821102" s="242"/>
    </row>
    <row r="821103" spans="1:1" x14ac:dyDescent="0.25">
      <c r="A821103" s="242"/>
    </row>
    <row r="821104" spans="1:1" x14ac:dyDescent="0.25">
      <c r="A821104" s="242"/>
    </row>
    <row r="821105" spans="1:1" x14ac:dyDescent="0.25">
      <c r="A821105" s="242"/>
    </row>
    <row r="821106" spans="1:1" x14ac:dyDescent="0.25">
      <c r="A821106" s="242"/>
    </row>
    <row r="821107" spans="1:1" x14ac:dyDescent="0.25">
      <c r="A821107" s="242"/>
    </row>
    <row r="821108" spans="1:1" x14ac:dyDescent="0.25">
      <c r="A821108" s="242"/>
    </row>
    <row r="821109" spans="1:1" x14ac:dyDescent="0.25">
      <c r="A821109" s="242"/>
    </row>
    <row r="821110" spans="1:1" x14ac:dyDescent="0.25">
      <c r="A821110" s="242"/>
    </row>
    <row r="821111" spans="1:1" x14ac:dyDescent="0.25">
      <c r="A821111" s="242"/>
    </row>
    <row r="821112" spans="1:1" x14ac:dyDescent="0.25">
      <c r="A821112" s="242"/>
    </row>
    <row r="821113" spans="1:1" x14ac:dyDescent="0.25">
      <c r="A821113" s="242"/>
    </row>
    <row r="821114" spans="1:1" x14ac:dyDescent="0.25">
      <c r="A821114" s="242"/>
    </row>
    <row r="821115" spans="1:1" x14ac:dyDescent="0.25">
      <c r="A821115" s="242"/>
    </row>
    <row r="821116" spans="1:1" x14ac:dyDescent="0.25">
      <c r="A821116" s="242"/>
    </row>
    <row r="821117" spans="1:1" x14ac:dyDescent="0.25">
      <c r="A821117" s="242"/>
    </row>
    <row r="821118" spans="1:1" x14ac:dyDescent="0.25">
      <c r="A821118" s="242"/>
    </row>
    <row r="821119" spans="1:1" x14ac:dyDescent="0.25">
      <c r="A821119" s="242"/>
    </row>
    <row r="821120" spans="1:1" x14ac:dyDescent="0.25">
      <c r="A821120" s="242"/>
    </row>
    <row r="821121" spans="1:1" x14ac:dyDescent="0.25">
      <c r="A821121" s="242"/>
    </row>
    <row r="821122" spans="1:1" x14ac:dyDescent="0.25">
      <c r="A821122" s="242"/>
    </row>
    <row r="821123" spans="1:1" x14ac:dyDescent="0.25">
      <c r="A821123" s="242"/>
    </row>
    <row r="821124" spans="1:1" x14ac:dyDescent="0.25">
      <c r="A821124" s="242"/>
    </row>
    <row r="821125" spans="1:1" x14ac:dyDescent="0.25">
      <c r="A821125" s="242"/>
    </row>
    <row r="821126" spans="1:1" x14ac:dyDescent="0.25">
      <c r="A821126" s="242"/>
    </row>
    <row r="821127" spans="1:1" x14ac:dyDescent="0.25">
      <c r="A821127" s="242"/>
    </row>
    <row r="821128" spans="1:1" x14ac:dyDescent="0.25">
      <c r="A821128" s="242"/>
    </row>
    <row r="821129" spans="1:1" x14ac:dyDescent="0.25">
      <c r="A821129" s="242"/>
    </row>
    <row r="821130" spans="1:1" x14ac:dyDescent="0.25">
      <c r="A821130" s="242"/>
    </row>
    <row r="821131" spans="1:1" x14ac:dyDescent="0.25">
      <c r="A821131" s="242"/>
    </row>
    <row r="821132" spans="1:1" x14ac:dyDescent="0.25">
      <c r="A821132" s="242"/>
    </row>
    <row r="821133" spans="1:1" x14ac:dyDescent="0.25">
      <c r="A821133" s="242"/>
    </row>
    <row r="821134" spans="1:1" x14ac:dyDescent="0.25">
      <c r="A821134" s="242"/>
    </row>
    <row r="821135" spans="1:1" x14ac:dyDescent="0.25">
      <c r="A821135" s="242"/>
    </row>
    <row r="821136" spans="1:1" x14ac:dyDescent="0.25">
      <c r="A821136" s="242"/>
    </row>
    <row r="821137" spans="1:1" x14ac:dyDescent="0.25">
      <c r="A821137" s="242"/>
    </row>
    <row r="821138" spans="1:1" x14ac:dyDescent="0.25">
      <c r="A821138" s="242"/>
    </row>
    <row r="821139" spans="1:1" x14ac:dyDescent="0.25">
      <c r="A821139" s="242"/>
    </row>
    <row r="821140" spans="1:1" x14ac:dyDescent="0.25">
      <c r="A821140" s="242"/>
    </row>
    <row r="821141" spans="1:1" x14ac:dyDescent="0.25">
      <c r="A821141" s="242"/>
    </row>
    <row r="821142" spans="1:1" x14ac:dyDescent="0.25">
      <c r="A821142" s="242"/>
    </row>
    <row r="821143" spans="1:1" x14ac:dyDescent="0.25">
      <c r="A821143" s="242"/>
    </row>
    <row r="821144" spans="1:1" x14ac:dyDescent="0.25">
      <c r="A821144" s="242"/>
    </row>
    <row r="821145" spans="1:1" x14ac:dyDescent="0.25">
      <c r="A821145" s="242"/>
    </row>
    <row r="821146" spans="1:1" x14ac:dyDescent="0.25">
      <c r="A821146" s="242"/>
    </row>
    <row r="821147" spans="1:1" x14ac:dyDescent="0.25">
      <c r="A821147" s="242"/>
    </row>
    <row r="821148" spans="1:1" x14ac:dyDescent="0.25">
      <c r="A821148" s="242"/>
    </row>
    <row r="821149" spans="1:1" x14ac:dyDescent="0.25">
      <c r="A821149" s="242"/>
    </row>
    <row r="821150" spans="1:1" x14ac:dyDescent="0.25">
      <c r="A821150" s="242"/>
    </row>
    <row r="821151" spans="1:1" x14ac:dyDescent="0.25">
      <c r="A821151" s="242"/>
    </row>
    <row r="821152" spans="1:1" x14ac:dyDescent="0.25">
      <c r="A821152" s="242"/>
    </row>
    <row r="821153" spans="1:1" x14ac:dyDescent="0.25">
      <c r="A821153" s="242"/>
    </row>
    <row r="821154" spans="1:1" x14ac:dyDescent="0.25">
      <c r="A821154" s="242"/>
    </row>
    <row r="821155" spans="1:1" x14ac:dyDescent="0.25">
      <c r="A821155" s="242"/>
    </row>
    <row r="821156" spans="1:1" x14ac:dyDescent="0.25">
      <c r="A821156" s="242"/>
    </row>
    <row r="821157" spans="1:1" x14ac:dyDescent="0.25">
      <c r="A821157" s="242"/>
    </row>
    <row r="821158" spans="1:1" x14ac:dyDescent="0.25">
      <c r="A821158" s="242"/>
    </row>
    <row r="821159" spans="1:1" x14ac:dyDescent="0.25">
      <c r="A821159" s="242"/>
    </row>
    <row r="821160" spans="1:1" x14ac:dyDescent="0.25">
      <c r="A821160" s="242"/>
    </row>
    <row r="821161" spans="1:1" x14ac:dyDescent="0.25">
      <c r="A821161" s="242"/>
    </row>
    <row r="821162" spans="1:1" x14ac:dyDescent="0.25">
      <c r="A821162" s="242"/>
    </row>
    <row r="821163" spans="1:1" x14ac:dyDescent="0.25">
      <c r="A821163" s="242"/>
    </row>
    <row r="821164" spans="1:1" x14ac:dyDescent="0.25">
      <c r="A821164" s="242"/>
    </row>
    <row r="821165" spans="1:1" x14ac:dyDescent="0.25">
      <c r="A821165" s="242"/>
    </row>
    <row r="821166" spans="1:1" x14ac:dyDescent="0.25">
      <c r="A821166" s="242"/>
    </row>
    <row r="821167" spans="1:1" x14ac:dyDescent="0.25">
      <c r="A821167" s="242"/>
    </row>
    <row r="821168" spans="1:1" x14ac:dyDescent="0.25">
      <c r="A821168" s="242"/>
    </row>
    <row r="821169" spans="1:1" x14ac:dyDescent="0.25">
      <c r="A821169" s="242"/>
    </row>
    <row r="821170" spans="1:1" x14ac:dyDescent="0.25">
      <c r="A821170" s="242"/>
    </row>
    <row r="821171" spans="1:1" x14ac:dyDescent="0.25">
      <c r="A821171" s="242"/>
    </row>
    <row r="821172" spans="1:1" x14ac:dyDescent="0.25">
      <c r="A821172" s="242"/>
    </row>
    <row r="821173" spans="1:1" x14ac:dyDescent="0.25">
      <c r="A821173" s="242"/>
    </row>
    <row r="821174" spans="1:1" x14ac:dyDescent="0.25">
      <c r="A821174" s="242"/>
    </row>
    <row r="821175" spans="1:1" x14ac:dyDescent="0.25">
      <c r="A821175" s="242"/>
    </row>
    <row r="821176" spans="1:1" x14ac:dyDescent="0.25">
      <c r="A821176" s="242"/>
    </row>
    <row r="821177" spans="1:1" x14ac:dyDescent="0.25">
      <c r="A821177" s="242"/>
    </row>
    <row r="821178" spans="1:1" x14ac:dyDescent="0.25">
      <c r="A821178" s="242"/>
    </row>
    <row r="821179" spans="1:1" x14ac:dyDescent="0.25">
      <c r="A821179" s="242"/>
    </row>
    <row r="821180" spans="1:1" x14ac:dyDescent="0.25">
      <c r="A821180" s="242"/>
    </row>
    <row r="821181" spans="1:1" x14ac:dyDescent="0.25">
      <c r="A821181" s="242"/>
    </row>
    <row r="821182" spans="1:1" x14ac:dyDescent="0.25">
      <c r="A821182" s="242"/>
    </row>
    <row r="821183" spans="1:1" x14ac:dyDescent="0.25">
      <c r="A821183" s="242"/>
    </row>
    <row r="821184" spans="1:1" x14ac:dyDescent="0.25">
      <c r="A821184" s="242"/>
    </row>
    <row r="821185" spans="1:1" x14ac:dyDescent="0.25">
      <c r="A821185" s="242"/>
    </row>
    <row r="821186" spans="1:1" x14ac:dyDescent="0.25">
      <c r="A821186" s="242"/>
    </row>
    <row r="821187" spans="1:1" x14ac:dyDescent="0.25">
      <c r="A821187" s="242"/>
    </row>
    <row r="821188" spans="1:1" x14ac:dyDescent="0.25">
      <c r="A821188" s="242"/>
    </row>
    <row r="821189" spans="1:1" x14ac:dyDescent="0.25">
      <c r="A821189" s="242"/>
    </row>
    <row r="821190" spans="1:1" x14ac:dyDescent="0.25">
      <c r="A821190" s="242"/>
    </row>
    <row r="821191" spans="1:1" x14ac:dyDescent="0.25">
      <c r="A821191" s="242"/>
    </row>
    <row r="821192" spans="1:1" x14ac:dyDescent="0.25">
      <c r="A821192" s="242"/>
    </row>
    <row r="821193" spans="1:1" x14ac:dyDescent="0.25">
      <c r="A821193" s="242"/>
    </row>
    <row r="821194" spans="1:1" x14ac:dyDescent="0.25">
      <c r="A821194" s="242"/>
    </row>
    <row r="821195" spans="1:1" x14ac:dyDescent="0.25">
      <c r="A821195" s="242"/>
    </row>
    <row r="821196" spans="1:1" x14ac:dyDescent="0.25">
      <c r="A821196" s="242"/>
    </row>
    <row r="821197" spans="1:1" x14ac:dyDescent="0.25">
      <c r="A821197" s="242"/>
    </row>
    <row r="821198" spans="1:1" x14ac:dyDescent="0.25">
      <c r="A821198" s="242"/>
    </row>
    <row r="821199" spans="1:1" x14ac:dyDescent="0.25">
      <c r="A821199" s="242"/>
    </row>
    <row r="821200" spans="1:1" x14ac:dyDescent="0.25">
      <c r="A821200" s="242"/>
    </row>
    <row r="821201" spans="1:1" x14ac:dyDescent="0.25">
      <c r="A821201" s="242"/>
    </row>
    <row r="821202" spans="1:1" x14ac:dyDescent="0.25">
      <c r="A821202" s="242"/>
    </row>
    <row r="821203" spans="1:1" x14ac:dyDescent="0.25">
      <c r="A821203" s="242"/>
    </row>
    <row r="821204" spans="1:1" x14ac:dyDescent="0.25">
      <c r="A821204" s="242"/>
    </row>
    <row r="821205" spans="1:1" x14ac:dyDescent="0.25">
      <c r="A821205" s="242"/>
    </row>
    <row r="821206" spans="1:1" x14ac:dyDescent="0.25">
      <c r="A821206" s="242"/>
    </row>
    <row r="821207" spans="1:1" x14ac:dyDescent="0.25">
      <c r="A821207" s="242"/>
    </row>
    <row r="821208" spans="1:1" x14ac:dyDescent="0.25">
      <c r="A821208" s="242"/>
    </row>
    <row r="821209" spans="1:1" x14ac:dyDescent="0.25">
      <c r="A821209" s="242"/>
    </row>
    <row r="821210" spans="1:1" x14ac:dyDescent="0.25">
      <c r="A821210" s="242"/>
    </row>
    <row r="821211" spans="1:1" x14ac:dyDescent="0.25">
      <c r="A821211" s="242"/>
    </row>
    <row r="821212" spans="1:1" x14ac:dyDescent="0.25">
      <c r="A821212" s="242"/>
    </row>
    <row r="821213" spans="1:1" x14ac:dyDescent="0.25">
      <c r="A821213" s="242"/>
    </row>
    <row r="821214" spans="1:1" x14ac:dyDescent="0.25">
      <c r="A821214" s="242"/>
    </row>
    <row r="821215" spans="1:1" x14ac:dyDescent="0.25">
      <c r="A821215" s="242"/>
    </row>
    <row r="821216" spans="1:1" x14ac:dyDescent="0.25">
      <c r="A821216" s="242"/>
    </row>
    <row r="821217" spans="1:1" x14ac:dyDescent="0.25">
      <c r="A821217" s="242"/>
    </row>
    <row r="821218" spans="1:1" x14ac:dyDescent="0.25">
      <c r="A821218" s="242"/>
    </row>
    <row r="821219" spans="1:1" x14ac:dyDescent="0.25">
      <c r="A821219" s="242"/>
    </row>
    <row r="821220" spans="1:1" x14ac:dyDescent="0.25">
      <c r="A821220" s="242"/>
    </row>
    <row r="821221" spans="1:1" x14ac:dyDescent="0.25">
      <c r="A821221" s="242"/>
    </row>
    <row r="821222" spans="1:1" x14ac:dyDescent="0.25">
      <c r="A821222" s="242"/>
    </row>
    <row r="821223" spans="1:1" x14ac:dyDescent="0.25">
      <c r="A821223" s="242"/>
    </row>
    <row r="821224" spans="1:1" x14ac:dyDescent="0.25">
      <c r="A821224" s="242"/>
    </row>
    <row r="821225" spans="1:1" x14ac:dyDescent="0.25">
      <c r="A821225" s="242"/>
    </row>
    <row r="821226" spans="1:1" x14ac:dyDescent="0.25">
      <c r="A821226" s="242"/>
    </row>
    <row r="821227" spans="1:1" x14ac:dyDescent="0.25">
      <c r="A821227" s="242"/>
    </row>
    <row r="821228" spans="1:1" x14ac:dyDescent="0.25">
      <c r="A821228" s="242"/>
    </row>
    <row r="821229" spans="1:1" x14ac:dyDescent="0.25">
      <c r="A821229" s="242"/>
    </row>
    <row r="821230" spans="1:1" x14ac:dyDescent="0.25">
      <c r="A821230" s="242"/>
    </row>
    <row r="821231" spans="1:1" x14ac:dyDescent="0.25">
      <c r="A821231" s="242"/>
    </row>
    <row r="821232" spans="1:1" x14ac:dyDescent="0.25">
      <c r="A821232" s="242"/>
    </row>
    <row r="821233" spans="1:1" x14ac:dyDescent="0.25">
      <c r="A821233" s="242"/>
    </row>
    <row r="821234" spans="1:1" x14ac:dyDescent="0.25">
      <c r="A821234" s="242"/>
    </row>
    <row r="821235" spans="1:1" x14ac:dyDescent="0.25">
      <c r="A821235" s="242"/>
    </row>
    <row r="821236" spans="1:1" x14ac:dyDescent="0.25">
      <c r="A821236" s="242"/>
    </row>
    <row r="821237" spans="1:1" x14ac:dyDescent="0.25">
      <c r="A821237" s="242"/>
    </row>
    <row r="821238" spans="1:1" x14ac:dyDescent="0.25">
      <c r="A821238" s="242"/>
    </row>
    <row r="821239" spans="1:1" x14ac:dyDescent="0.25">
      <c r="A821239" s="242"/>
    </row>
    <row r="821240" spans="1:1" x14ac:dyDescent="0.25">
      <c r="A821240" s="242"/>
    </row>
    <row r="821241" spans="1:1" x14ac:dyDescent="0.25">
      <c r="A821241" s="242"/>
    </row>
    <row r="821242" spans="1:1" x14ac:dyDescent="0.25">
      <c r="A821242" s="242"/>
    </row>
    <row r="821243" spans="1:1" x14ac:dyDescent="0.25">
      <c r="A821243" s="242"/>
    </row>
    <row r="821244" spans="1:1" x14ac:dyDescent="0.25">
      <c r="A821244" s="242"/>
    </row>
    <row r="821245" spans="1:1" x14ac:dyDescent="0.25">
      <c r="A821245" s="242"/>
    </row>
    <row r="821246" spans="1:1" x14ac:dyDescent="0.25">
      <c r="A821246" s="242"/>
    </row>
    <row r="821247" spans="1:1" x14ac:dyDescent="0.25">
      <c r="A821247" s="242"/>
    </row>
    <row r="821248" spans="1:1" x14ac:dyDescent="0.25">
      <c r="A821248" s="242"/>
    </row>
    <row r="821249" spans="1:1" x14ac:dyDescent="0.25">
      <c r="A821249" s="242"/>
    </row>
    <row r="821250" spans="1:1" x14ac:dyDescent="0.25">
      <c r="A821250" s="242"/>
    </row>
    <row r="821251" spans="1:1" x14ac:dyDescent="0.25">
      <c r="A821251" s="242"/>
    </row>
    <row r="821252" spans="1:1" x14ac:dyDescent="0.25">
      <c r="A821252" s="242"/>
    </row>
    <row r="821253" spans="1:1" x14ac:dyDescent="0.25">
      <c r="A821253" s="242"/>
    </row>
    <row r="821254" spans="1:1" x14ac:dyDescent="0.25">
      <c r="A821254" s="242"/>
    </row>
    <row r="821255" spans="1:1" x14ac:dyDescent="0.25">
      <c r="A821255" s="242"/>
    </row>
    <row r="821256" spans="1:1" x14ac:dyDescent="0.25">
      <c r="A821256" s="242"/>
    </row>
    <row r="821257" spans="1:1" x14ac:dyDescent="0.25">
      <c r="A821257" s="242"/>
    </row>
    <row r="821258" spans="1:1" x14ac:dyDescent="0.25">
      <c r="A821258" s="242"/>
    </row>
    <row r="821259" spans="1:1" x14ac:dyDescent="0.25">
      <c r="A821259" s="242"/>
    </row>
    <row r="821260" spans="1:1" x14ac:dyDescent="0.25">
      <c r="A821260" s="242"/>
    </row>
    <row r="821261" spans="1:1" x14ac:dyDescent="0.25">
      <c r="A821261" s="242"/>
    </row>
    <row r="821262" spans="1:1" x14ac:dyDescent="0.25">
      <c r="A821262" s="242"/>
    </row>
    <row r="821263" spans="1:1" x14ac:dyDescent="0.25">
      <c r="A821263" s="242"/>
    </row>
    <row r="821264" spans="1:1" x14ac:dyDescent="0.25">
      <c r="A821264" s="242"/>
    </row>
    <row r="821265" spans="1:1" x14ac:dyDescent="0.25">
      <c r="A821265" s="242"/>
    </row>
    <row r="821266" spans="1:1" x14ac:dyDescent="0.25">
      <c r="A821266" s="242"/>
    </row>
    <row r="821267" spans="1:1" x14ac:dyDescent="0.25">
      <c r="A821267" s="242"/>
    </row>
    <row r="821268" spans="1:1" x14ac:dyDescent="0.25">
      <c r="A821268" s="242"/>
    </row>
    <row r="821269" spans="1:1" x14ac:dyDescent="0.25">
      <c r="A821269" s="242"/>
    </row>
    <row r="821270" spans="1:1" x14ac:dyDescent="0.25">
      <c r="A821270" s="242"/>
    </row>
    <row r="821271" spans="1:1" x14ac:dyDescent="0.25">
      <c r="A821271" s="242"/>
    </row>
    <row r="821272" spans="1:1" x14ac:dyDescent="0.25">
      <c r="A821272" s="242"/>
    </row>
    <row r="821273" spans="1:1" x14ac:dyDescent="0.25">
      <c r="A821273" s="242"/>
    </row>
    <row r="821274" spans="1:1" x14ac:dyDescent="0.25">
      <c r="A821274" s="242"/>
    </row>
    <row r="821275" spans="1:1" x14ac:dyDescent="0.25">
      <c r="A821275" s="242"/>
    </row>
    <row r="821276" spans="1:1" x14ac:dyDescent="0.25">
      <c r="A821276" s="242"/>
    </row>
    <row r="821277" spans="1:1" x14ac:dyDescent="0.25">
      <c r="A821277" s="242"/>
    </row>
    <row r="821278" spans="1:1" x14ac:dyDescent="0.25">
      <c r="A821278" s="242"/>
    </row>
    <row r="821279" spans="1:1" x14ac:dyDescent="0.25">
      <c r="A821279" s="242"/>
    </row>
    <row r="821280" spans="1:1" x14ac:dyDescent="0.25">
      <c r="A821280" s="242"/>
    </row>
    <row r="821281" spans="1:1" x14ac:dyDescent="0.25">
      <c r="A821281" s="242"/>
    </row>
    <row r="821282" spans="1:1" x14ac:dyDescent="0.25">
      <c r="A821282" s="242"/>
    </row>
    <row r="821283" spans="1:1" x14ac:dyDescent="0.25">
      <c r="A821283" s="242"/>
    </row>
    <row r="821284" spans="1:1" x14ac:dyDescent="0.25">
      <c r="A821284" s="242"/>
    </row>
    <row r="821285" spans="1:1" x14ac:dyDescent="0.25">
      <c r="A821285" s="242"/>
    </row>
    <row r="821286" spans="1:1" x14ac:dyDescent="0.25">
      <c r="A821286" s="242"/>
    </row>
    <row r="821287" spans="1:1" x14ac:dyDescent="0.25">
      <c r="A821287" s="242"/>
    </row>
    <row r="821288" spans="1:1" x14ac:dyDescent="0.25">
      <c r="A821288" s="242"/>
    </row>
    <row r="821289" spans="1:1" x14ac:dyDescent="0.25">
      <c r="A821289" s="242"/>
    </row>
    <row r="821290" spans="1:1" x14ac:dyDescent="0.25">
      <c r="A821290" s="242"/>
    </row>
    <row r="821291" spans="1:1" x14ac:dyDescent="0.25">
      <c r="A821291" s="242"/>
    </row>
    <row r="821292" spans="1:1" x14ac:dyDescent="0.25">
      <c r="A821292" s="242"/>
    </row>
    <row r="821293" spans="1:1" x14ac:dyDescent="0.25">
      <c r="A821293" s="242"/>
    </row>
    <row r="821294" spans="1:1" x14ac:dyDescent="0.25">
      <c r="A821294" s="242"/>
    </row>
    <row r="821295" spans="1:1" x14ac:dyDescent="0.25">
      <c r="A821295" s="242"/>
    </row>
    <row r="821296" spans="1:1" x14ac:dyDescent="0.25">
      <c r="A821296" s="242"/>
    </row>
    <row r="821297" spans="1:1" x14ac:dyDescent="0.25">
      <c r="A821297" s="242"/>
    </row>
    <row r="821298" spans="1:1" x14ac:dyDescent="0.25">
      <c r="A821298" s="242"/>
    </row>
    <row r="821299" spans="1:1" x14ac:dyDescent="0.25">
      <c r="A821299" s="242"/>
    </row>
    <row r="821300" spans="1:1" x14ac:dyDescent="0.25">
      <c r="A821300" s="242"/>
    </row>
    <row r="821301" spans="1:1" x14ac:dyDescent="0.25">
      <c r="A821301" s="242"/>
    </row>
    <row r="821302" spans="1:1" x14ac:dyDescent="0.25">
      <c r="A821302" s="242"/>
    </row>
    <row r="821303" spans="1:1" x14ac:dyDescent="0.25">
      <c r="A821303" s="242"/>
    </row>
    <row r="821304" spans="1:1" x14ac:dyDescent="0.25">
      <c r="A821304" s="242"/>
    </row>
    <row r="821305" spans="1:1" x14ac:dyDescent="0.25">
      <c r="A821305" s="242"/>
    </row>
    <row r="821306" spans="1:1" x14ac:dyDescent="0.25">
      <c r="A821306" s="242"/>
    </row>
    <row r="821307" spans="1:1" x14ac:dyDescent="0.25">
      <c r="A821307" s="242"/>
    </row>
    <row r="821308" spans="1:1" x14ac:dyDescent="0.25">
      <c r="A821308" s="242"/>
    </row>
    <row r="821309" spans="1:1" x14ac:dyDescent="0.25">
      <c r="A821309" s="242"/>
    </row>
    <row r="821310" spans="1:1" x14ac:dyDescent="0.25">
      <c r="A821310" s="242"/>
    </row>
    <row r="821311" spans="1:1" x14ac:dyDescent="0.25">
      <c r="A821311" s="242"/>
    </row>
    <row r="821312" spans="1:1" x14ac:dyDescent="0.25">
      <c r="A821312" s="242"/>
    </row>
    <row r="821313" spans="1:1" x14ac:dyDescent="0.25">
      <c r="A821313" s="242"/>
    </row>
    <row r="821314" spans="1:1" x14ac:dyDescent="0.25">
      <c r="A821314" s="242"/>
    </row>
    <row r="821315" spans="1:1" x14ac:dyDescent="0.25">
      <c r="A821315" s="242"/>
    </row>
    <row r="821316" spans="1:1" x14ac:dyDescent="0.25">
      <c r="A821316" s="242"/>
    </row>
    <row r="821317" spans="1:1" x14ac:dyDescent="0.25">
      <c r="A821317" s="242"/>
    </row>
    <row r="821318" spans="1:1" x14ac:dyDescent="0.25">
      <c r="A821318" s="242"/>
    </row>
    <row r="821319" spans="1:1" x14ac:dyDescent="0.25">
      <c r="A821319" s="242"/>
    </row>
    <row r="821320" spans="1:1" x14ac:dyDescent="0.25">
      <c r="A821320" s="242"/>
    </row>
    <row r="821321" spans="1:1" x14ac:dyDescent="0.25">
      <c r="A821321" s="242"/>
    </row>
    <row r="821322" spans="1:1" x14ac:dyDescent="0.25">
      <c r="A821322" s="242"/>
    </row>
    <row r="821323" spans="1:1" x14ac:dyDescent="0.25">
      <c r="A821323" s="242"/>
    </row>
    <row r="821324" spans="1:1" x14ac:dyDescent="0.25">
      <c r="A821324" s="242"/>
    </row>
    <row r="821325" spans="1:1" x14ac:dyDescent="0.25">
      <c r="A821325" s="242"/>
    </row>
    <row r="821326" spans="1:1" x14ac:dyDescent="0.25">
      <c r="A821326" s="242"/>
    </row>
    <row r="821327" spans="1:1" x14ac:dyDescent="0.25">
      <c r="A821327" s="242"/>
    </row>
    <row r="821328" spans="1:1" x14ac:dyDescent="0.25">
      <c r="A821328" s="242"/>
    </row>
    <row r="821329" spans="1:1" x14ac:dyDescent="0.25">
      <c r="A821329" s="242"/>
    </row>
    <row r="821330" spans="1:1" x14ac:dyDescent="0.25">
      <c r="A821330" s="242"/>
    </row>
    <row r="821331" spans="1:1" x14ac:dyDescent="0.25">
      <c r="A821331" s="242"/>
    </row>
    <row r="821332" spans="1:1" x14ac:dyDescent="0.25">
      <c r="A821332" s="242"/>
    </row>
    <row r="821333" spans="1:1" x14ac:dyDescent="0.25">
      <c r="A821333" s="242"/>
    </row>
    <row r="821334" spans="1:1" x14ac:dyDescent="0.25">
      <c r="A821334" s="242"/>
    </row>
    <row r="821335" spans="1:1" x14ac:dyDescent="0.25">
      <c r="A821335" s="242"/>
    </row>
    <row r="821336" spans="1:1" x14ac:dyDescent="0.25">
      <c r="A821336" s="242"/>
    </row>
    <row r="821337" spans="1:1" x14ac:dyDescent="0.25">
      <c r="A821337" s="242"/>
    </row>
    <row r="821338" spans="1:1" x14ac:dyDescent="0.25">
      <c r="A821338" s="242"/>
    </row>
    <row r="821339" spans="1:1" x14ac:dyDescent="0.25">
      <c r="A821339" s="242"/>
    </row>
    <row r="821340" spans="1:1" x14ac:dyDescent="0.25">
      <c r="A821340" s="242"/>
    </row>
    <row r="821341" spans="1:1" x14ac:dyDescent="0.25">
      <c r="A821341" s="242"/>
    </row>
    <row r="821342" spans="1:1" x14ac:dyDescent="0.25">
      <c r="A821342" s="242"/>
    </row>
    <row r="821343" spans="1:1" x14ac:dyDescent="0.25">
      <c r="A821343" s="242"/>
    </row>
    <row r="821344" spans="1:1" x14ac:dyDescent="0.25">
      <c r="A821344" s="242"/>
    </row>
    <row r="821345" spans="1:1" x14ac:dyDescent="0.25">
      <c r="A821345" s="242"/>
    </row>
    <row r="821346" spans="1:1" x14ac:dyDescent="0.25">
      <c r="A821346" s="242"/>
    </row>
    <row r="821347" spans="1:1" x14ac:dyDescent="0.25">
      <c r="A821347" s="242"/>
    </row>
    <row r="821348" spans="1:1" x14ac:dyDescent="0.25">
      <c r="A821348" s="242"/>
    </row>
    <row r="821349" spans="1:1" x14ac:dyDescent="0.25">
      <c r="A821349" s="242"/>
    </row>
    <row r="821350" spans="1:1" x14ac:dyDescent="0.25">
      <c r="A821350" s="242"/>
    </row>
    <row r="821351" spans="1:1" x14ac:dyDescent="0.25">
      <c r="A821351" s="242"/>
    </row>
    <row r="821352" spans="1:1" x14ac:dyDescent="0.25">
      <c r="A821352" s="242"/>
    </row>
    <row r="821353" spans="1:1" x14ac:dyDescent="0.25">
      <c r="A821353" s="242"/>
    </row>
    <row r="821354" spans="1:1" x14ac:dyDescent="0.25">
      <c r="A821354" s="242"/>
    </row>
    <row r="821355" spans="1:1" x14ac:dyDescent="0.25">
      <c r="A821355" s="242"/>
    </row>
    <row r="821356" spans="1:1" x14ac:dyDescent="0.25">
      <c r="A821356" s="242"/>
    </row>
    <row r="821357" spans="1:1" x14ac:dyDescent="0.25">
      <c r="A821357" s="242"/>
    </row>
    <row r="821358" spans="1:1" x14ac:dyDescent="0.25">
      <c r="A821358" s="242"/>
    </row>
    <row r="821359" spans="1:1" x14ac:dyDescent="0.25">
      <c r="A821359" s="242"/>
    </row>
    <row r="821360" spans="1:1" x14ac:dyDescent="0.25">
      <c r="A821360" s="242"/>
    </row>
    <row r="821361" spans="1:1" x14ac:dyDescent="0.25">
      <c r="A821361" s="242"/>
    </row>
    <row r="821362" spans="1:1" x14ac:dyDescent="0.25">
      <c r="A821362" s="242"/>
    </row>
    <row r="821363" spans="1:1" x14ac:dyDescent="0.25">
      <c r="A821363" s="242"/>
    </row>
    <row r="821364" spans="1:1" x14ac:dyDescent="0.25">
      <c r="A821364" s="242"/>
    </row>
    <row r="821365" spans="1:1" x14ac:dyDescent="0.25">
      <c r="A821365" s="242"/>
    </row>
    <row r="821366" spans="1:1" x14ac:dyDescent="0.25">
      <c r="A821366" s="242"/>
    </row>
    <row r="821367" spans="1:1" x14ac:dyDescent="0.25">
      <c r="A821367" s="242"/>
    </row>
    <row r="821368" spans="1:1" x14ac:dyDescent="0.25">
      <c r="A821368" s="242"/>
    </row>
    <row r="821369" spans="1:1" x14ac:dyDescent="0.25">
      <c r="A821369" s="242"/>
    </row>
    <row r="821370" spans="1:1" x14ac:dyDescent="0.25">
      <c r="A821370" s="242"/>
    </row>
    <row r="821371" spans="1:1" x14ac:dyDescent="0.25">
      <c r="A821371" s="242"/>
    </row>
    <row r="821372" spans="1:1" x14ac:dyDescent="0.25">
      <c r="A821372" s="242"/>
    </row>
    <row r="821373" spans="1:1" x14ac:dyDescent="0.25">
      <c r="A821373" s="242"/>
    </row>
    <row r="821374" spans="1:1" x14ac:dyDescent="0.25">
      <c r="A821374" s="242"/>
    </row>
    <row r="821375" spans="1:1" x14ac:dyDescent="0.25">
      <c r="A821375" s="242"/>
    </row>
    <row r="821376" spans="1:1" x14ac:dyDescent="0.25">
      <c r="A821376" s="242"/>
    </row>
    <row r="821377" spans="1:1" x14ac:dyDescent="0.25">
      <c r="A821377" s="242"/>
    </row>
    <row r="821378" spans="1:1" x14ac:dyDescent="0.25">
      <c r="A821378" s="242"/>
    </row>
    <row r="821379" spans="1:1" x14ac:dyDescent="0.25">
      <c r="A821379" s="242"/>
    </row>
    <row r="821380" spans="1:1" x14ac:dyDescent="0.25">
      <c r="A821380" s="242"/>
    </row>
    <row r="821381" spans="1:1" x14ac:dyDescent="0.25">
      <c r="A821381" s="242"/>
    </row>
    <row r="821382" spans="1:1" x14ac:dyDescent="0.25">
      <c r="A821382" s="242"/>
    </row>
    <row r="821383" spans="1:1" x14ac:dyDescent="0.25">
      <c r="A821383" s="242"/>
    </row>
    <row r="821384" spans="1:1" x14ac:dyDescent="0.25">
      <c r="A821384" s="242"/>
    </row>
    <row r="821385" spans="1:1" x14ac:dyDescent="0.25">
      <c r="A821385" s="242"/>
    </row>
    <row r="821386" spans="1:1" x14ac:dyDescent="0.25">
      <c r="A821386" s="242"/>
    </row>
    <row r="821387" spans="1:1" x14ac:dyDescent="0.25">
      <c r="A821387" s="242"/>
    </row>
    <row r="821388" spans="1:1" x14ac:dyDescent="0.25">
      <c r="A821388" s="242"/>
    </row>
    <row r="821389" spans="1:1" x14ac:dyDescent="0.25">
      <c r="A821389" s="242"/>
    </row>
    <row r="821390" spans="1:1" x14ac:dyDescent="0.25">
      <c r="A821390" s="242"/>
    </row>
    <row r="821391" spans="1:1" x14ac:dyDescent="0.25">
      <c r="A821391" s="242"/>
    </row>
    <row r="821392" spans="1:1" x14ac:dyDescent="0.25">
      <c r="A821392" s="242"/>
    </row>
    <row r="821393" spans="1:1" x14ac:dyDescent="0.25">
      <c r="A821393" s="242"/>
    </row>
    <row r="821394" spans="1:1" x14ac:dyDescent="0.25">
      <c r="A821394" s="242"/>
    </row>
    <row r="821395" spans="1:1" x14ac:dyDescent="0.25">
      <c r="A821395" s="242"/>
    </row>
    <row r="821396" spans="1:1" x14ac:dyDescent="0.25">
      <c r="A821396" s="242"/>
    </row>
    <row r="821397" spans="1:1" x14ac:dyDescent="0.25">
      <c r="A821397" s="242"/>
    </row>
    <row r="821398" spans="1:1" x14ac:dyDescent="0.25">
      <c r="A821398" s="242"/>
    </row>
    <row r="821399" spans="1:1" x14ac:dyDescent="0.25">
      <c r="A821399" s="242"/>
    </row>
    <row r="821400" spans="1:1" x14ac:dyDescent="0.25">
      <c r="A821400" s="242"/>
    </row>
    <row r="821401" spans="1:1" x14ac:dyDescent="0.25">
      <c r="A821401" s="242"/>
    </row>
    <row r="821402" spans="1:1" x14ac:dyDescent="0.25">
      <c r="A821402" s="242"/>
    </row>
    <row r="821403" spans="1:1" x14ac:dyDescent="0.25">
      <c r="A821403" s="242"/>
    </row>
    <row r="821404" spans="1:1" x14ac:dyDescent="0.25">
      <c r="A821404" s="242"/>
    </row>
    <row r="821405" spans="1:1" x14ac:dyDescent="0.25">
      <c r="A821405" s="242"/>
    </row>
    <row r="821406" spans="1:1" x14ac:dyDescent="0.25">
      <c r="A821406" s="242"/>
    </row>
    <row r="821407" spans="1:1" x14ac:dyDescent="0.25">
      <c r="A821407" s="242"/>
    </row>
    <row r="821408" spans="1:1" x14ac:dyDescent="0.25">
      <c r="A821408" s="242"/>
    </row>
    <row r="821409" spans="1:1" x14ac:dyDescent="0.25">
      <c r="A821409" s="242"/>
    </row>
    <row r="821410" spans="1:1" x14ac:dyDescent="0.25">
      <c r="A821410" s="242"/>
    </row>
    <row r="821411" spans="1:1" x14ac:dyDescent="0.25">
      <c r="A821411" s="242"/>
    </row>
    <row r="821412" spans="1:1" x14ac:dyDescent="0.25">
      <c r="A821412" s="242"/>
    </row>
    <row r="821413" spans="1:1" x14ac:dyDescent="0.25">
      <c r="A821413" s="242"/>
    </row>
    <row r="821414" spans="1:1" x14ac:dyDescent="0.25">
      <c r="A821414" s="242"/>
    </row>
    <row r="821415" spans="1:1" x14ac:dyDescent="0.25">
      <c r="A821415" s="242"/>
    </row>
    <row r="821416" spans="1:1" x14ac:dyDescent="0.25">
      <c r="A821416" s="242"/>
    </row>
    <row r="821417" spans="1:1" x14ac:dyDescent="0.25">
      <c r="A821417" s="242"/>
    </row>
    <row r="821418" spans="1:1" x14ac:dyDescent="0.25">
      <c r="A821418" s="242"/>
    </row>
    <row r="821419" spans="1:1" x14ac:dyDescent="0.25">
      <c r="A821419" s="242"/>
    </row>
    <row r="821420" spans="1:1" x14ac:dyDescent="0.25">
      <c r="A821420" s="242"/>
    </row>
    <row r="821421" spans="1:1" x14ac:dyDescent="0.25">
      <c r="A821421" s="242"/>
    </row>
    <row r="821422" spans="1:1" x14ac:dyDescent="0.25">
      <c r="A821422" s="242"/>
    </row>
    <row r="821423" spans="1:1" x14ac:dyDescent="0.25">
      <c r="A821423" s="242"/>
    </row>
    <row r="821424" spans="1:1" x14ac:dyDescent="0.25">
      <c r="A821424" s="242"/>
    </row>
    <row r="821425" spans="1:1" x14ac:dyDescent="0.25">
      <c r="A821425" s="242"/>
    </row>
    <row r="821426" spans="1:1" x14ac:dyDescent="0.25">
      <c r="A821426" s="242"/>
    </row>
    <row r="821427" spans="1:1" x14ac:dyDescent="0.25">
      <c r="A821427" s="242"/>
    </row>
    <row r="821428" spans="1:1" x14ac:dyDescent="0.25">
      <c r="A821428" s="242"/>
    </row>
    <row r="821429" spans="1:1" x14ac:dyDescent="0.25">
      <c r="A821429" s="242"/>
    </row>
    <row r="821430" spans="1:1" x14ac:dyDescent="0.25">
      <c r="A821430" s="242"/>
    </row>
    <row r="821431" spans="1:1" x14ac:dyDescent="0.25">
      <c r="A821431" s="242"/>
    </row>
    <row r="821432" spans="1:1" x14ac:dyDescent="0.25">
      <c r="A821432" s="242"/>
    </row>
    <row r="821433" spans="1:1" x14ac:dyDescent="0.25">
      <c r="A821433" s="242"/>
    </row>
    <row r="821434" spans="1:1" x14ac:dyDescent="0.25">
      <c r="A821434" s="242"/>
    </row>
    <row r="821435" spans="1:1" x14ac:dyDescent="0.25">
      <c r="A821435" s="242"/>
    </row>
    <row r="821436" spans="1:1" x14ac:dyDescent="0.25">
      <c r="A821436" s="242"/>
    </row>
    <row r="821437" spans="1:1" x14ac:dyDescent="0.25">
      <c r="A821437" s="242"/>
    </row>
    <row r="821438" spans="1:1" x14ac:dyDescent="0.25">
      <c r="A821438" s="242"/>
    </row>
    <row r="821439" spans="1:1" x14ac:dyDescent="0.25">
      <c r="A821439" s="242"/>
    </row>
    <row r="821440" spans="1:1" x14ac:dyDescent="0.25">
      <c r="A821440" s="242"/>
    </row>
    <row r="821441" spans="1:1" x14ac:dyDescent="0.25">
      <c r="A821441" s="242"/>
    </row>
    <row r="821442" spans="1:1" x14ac:dyDescent="0.25">
      <c r="A821442" s="242"/>
    </row>
    <row r="821443" spans="1:1" x14ac:dyDescent="0.25">
      <c r="A821443" s="242"/>
    </row>
    <row r="821444" spans="1:1" x14ac:dyDescent="0.25">
      <c r="A821444" s="242"/>
    </row>
    <row r="821445" spans="1:1" x14ac:dyDescent="0.25">
      <c r="A821445" s="242"/>
    </row>
    <row r="821446" spans="1:1" x14ac:dyDescent="0.25">
      <c r="A821446" s="242"/>
    </row>
    <row r="821447" spans="1:1" x14ac:dyDescent="0.25">
      <c r="A821447" s="242"/>
    </row>
    <row r="821448" spans="1:1" x14ac:dyDescent="0.25">
      <c r="A821448" s="242"/>
    </row>
    <row r="821449" spans="1:1" x14ac:dyDescent="0.25">
      <c r="A821449" s="242"/>
    </row>
    <row r="821450" spans="1:1" x14ac:dyDescent="0.25">
      <c r="A821450" s="242"/>
    </row>
    <row r="821451" spans="1:1" x14ac:dyDescent="0.25">
      <c r="A821451" s="242"/>
    </row>
    <row r="821452" spans="1:1" x14ac:dyDescent="0.25">
      <c r="A821452" s="242"/>
    </row>
    <row r="821453" spans="1:1" x14ac:dyDescent="0.25">
      <c r="A821453" s="242"/>
    </row>
    <row r="821454" spans="1:1" x14ac:dyDescent="0.25">
      <c r="A821454" s="242"/>
    </row>
    <row r="821455" spans="1:1" x14ac:dyDescent="0.25">
      <c r="A821455" s="242"/>
    </row>
    <row r="821456" spans="1:1" x14ac:dyDescent="0.25">
      <c r="A821456" s="242"/>
    </row>
    <row r="821457" spans="1:1" x14ac:dyDescent="0.25">
      <c r="A821457" s="242"/>
    </row>
    <row r="821458" spans="1:1" x14ac:dyDescent="0.25">
      <c r="A821458" s="242"/>
    </row>
    <row r="821459" spans="1:1" x14ac:dyDescent="0.25">
      <c r="A821459" s="242"/>
    </row>
    <row r="821460" spans="1:1" x14ac:dyDescent="0.25">
      <c r="A821460" s="242"/>
    </row>
    <row r="821461" spans="1:1" x14ac:dyDescent="0.25">
      <c r="A821461" s="242"/>
    </row>
    <row r="821462" spans="1:1" x14ac:dyDescent="0.25">
      <c r="A821462" s="242"/>
    </row>
    <row r="821463" spans="1:1" x14ac:dyDescent="0.25">
      <c r="A821463" s="242"/>
    </row>
    <row r="821464" spans="1:1" x14ac:dyDescent="0.25">
      <c r="A821464" s="242"/>
    </row>
    <row r="821465" spans="1:1" x14ac:dyDescent="0.25">
      <c r="A821465" s="242"/>
    </row>
    <row r="821466" spans="1:1" x14ac:dyDescent="0.25">
      <c r="A821466" s="242"/>
    </row>
    <row r="821467" spans="1:1" x14ac:dyDescent="0.25">
      <c r="A821467" s="242"/>
    </row>
    <row r="821468" spans="1:1" x14ac:dyDescent="0.25">
      <c r="A821468" s="242"/>
    </row>
    <row r="821469" spans="1:1" x14ac:dyDescent="0.25">
      <c r="A821469" s="242"/>
    </row>
    <row r="821470" spans="1:1" x14ac:dyDescent="0.25">
      <c r="A821470" s="242"/>
    </row>
    <row r="821471" spans="1:1" x14ac:dyDescent="0.25">
      <c r="A821471" s="242"/>
    </row>
    <row r="821472" spans="1:1" x14ac:dyDescent="0.25">
      <c r="A821472" s="242"/>
    </row>
    <row r="821473" spans="1:1" x14ac:dyDescent="0.25">
      <c r="A821473" s="242"/>
    </row>
    <row r="821474" spans="1:1" x14ac:dyDescent="0.25">
      <c r="A821474" s="242"/>
    </row>
    <row r="821475" spans="1:1" x14ac:dyDescent="0.25">
      <c r="A821475" s="242"/>
    </row>
    <row r="821476" spans="1:1" x14ac:dyDescent="0.25">
      <c r="A821476" s="242"/>
    </row>
    <row r="821477" spans="1:1" x14ac:dyDescent="0.25">
      <c r="A821477" s="242"/>
    </row>
    <row r="821478" spans="1:1" x14ac:dyDescent="0.25">
      <c r="A821478" s="242"/>
    </row>
    <row r="821479" spans="1:1" x14ac:dyDescent="0.25">
      <c r="A821479" s="242"/>
    </row>
    <row r="821480" spans="1:1" x14ac:dyDescent="0.25">
      <c r="A821480" s="242"/>
    </row>
    <row r="821481" spans="1:1" x14ac:dyDescent="0.25">
      <c r="A821481" s="242"/>
    </row>
    <row r="821482" spans="1:1" x14ac:dyDescent="0.25">
      <c r="A821482" s="242"/>
    </row>
    <row r="821483" spans="1:1" x14ac:dyDescent="0.25">
      <c r="A821483" s="242"/>
    </row>
    <row r="821484" spans="1:1" x14ac:dyDescent="0.25">
      <c r="A821484" s="242"/>
    </row>
    <row r="821485" spans="1:1" x14ac:dyDescent="0.25">
      <c r="A821485" s="242"/>
    </row>
    <row r="821486" spans="1:1" x14ac:dyDescent="0.25">
      <c r="A821486" s="242"/>
    </row>
    <row r="821487" spans="1:1" x14ac:dyDescent="0.25">
      <c r="A821487" s="242"/>
    </row>
    <row r="821488" spans="1:1" x14ac:dyDescent="0.25">
      <c r="A821488" s="242"/>
    </row>
    <row r="821489" spans="1:1" x14ac:dyDescent="0.25">
      <c r="A821489" s="242"/>
    </row>
    <row r="821490" spans="1:1" x14ac:dyDescent="0.25">
      <c r="A821490" s="242"/>
    </row>
    <row r="821491" spans="1:1" x14ac:dyDescent="0.25">
      <c r="A821491" s="242"/>
    </row>
    <row r="821492" spans="1:1" x14ac:dyDescent="0.25">
      <c r="A821492" s="242"/>
    </row>
    <row r="821493" spans="1:1" x14ac:dyDescent="0.25">
      <c r="A821493" s="242"/>
    </row>
    <row r="821494" spans="1:1" x14ac:dyDescent="0.25">
      <c r="A821494" s="242"/>
    </row>
    <row r="821495" spans="1:1" x14ac:dyDescent="0.25">
      <c r="A821495" s="242"/>
    </row>
    <row r="821496" spans="1:1" x14ac:dyDescent="0.25">
      <c r="A821496" s="242"/>
    </row>
    <row r="821497" spans="1:1" x14ac:dyDescent="0.25">
      <c r="A821497" s="242"/>
    </row>
    <row r="821498" spans="1:1" x14ac:dyDescent="0.25">
      <c r="A821498" s="242"/>
    </row>
    <row r="821499" spans="1:1" x14ac:dyDescent="0.25">
      <c r="A821499" s="242"/>
    </row>
    <row r="821500" spans="1:1" x14ac:dyDescent="0.25">
      <c r="A821500" s="242"/>
    </row>
    <row r="821501" spans="1:1" x14ac:dyDescent="0.25">
      <c r="A821501" s="242"/>
    </row>
    <row r="821502" spans="1:1" x14ac:dyDescent="0.25">
      <c r="A821502" s="242"/>
    </row>
    <row r="821503" spans="1:1" x14ac:dyDescent="0.25">
      <c r="A821503" s="242"/>
    </row>
    <row r="821504" spans="1:1" x14ac:dyDescent="0.25">
      <c r="A821504" s="242"/>
    </row>
    <row r="821505" spans="1:1" x14ac:dyDescent="0.25">
      <c r="A821505" s="242"/>
    </row>
    <row r="821506" spans="1:1" x14ac:dyDescent="0.25">
      <c r="A821506" s="242"/>
    </row>
    <row r="821507" spans="1:1" x14ac:dyDescent="0.25">
      <c r="A821507" s="242"/>
    </row>
    <row r="821508" spans="1:1" x14ac:dyDescent="0.25">
      <c r="A821508" s="242"/>
    </row>
    <row r="821509" spans="1:1" x14ac:dyDescent="0.25">
      <c r="A821509" s="242"/>
    </row>
    <row r="821510" spans="1:1" x14ac:dyDescent="0.25">
      <c r="A821510" s="242"/>
    </row>
    <row r="821511" spans="1:1" x14ac:dyDescent="0.25">
      <c r="A821511" s="242"/>
    </row>
    <row r="821512" spans="1:1" x14ac:dyDescent="0.25">
      <c r="A821512" s="242"/>
    </row>
    <row r="821513" spans="1:1" x14ac:dyDescent="0.25">
      <c r="A821513" s="242"/>
    </row>
    <row r="821514" spans="1:1" x14ac:dyDescent="0.25">
      <c r="A821514" s="242"/>
    </row>
    <row r="821515" spans="1:1" x14ac:dyDescent="0.25">
      <c r="A821515" s="242"/>
    </row>
    <row r="821516" spans="1:1" x14ac:dyDescent="0.25">
      <c r="A821516" s="242"/>
    </row>
    <row r="821517" spans="1:1" x14ac:dyDescent="0.25">
      <c r="A821517" s="242"/>
    </row>
    <row r="821518" spans="1:1" x14ac:dyDescent="0.25">
      <c r="A821518" s="242"/>
    </row>
    <row r="821519" spans="1:1" x14ac:dyDescent="0.25">
      <c r="A821519" s="242"/>
    </row>
    <row r="821520" spans="1:1" x14ac:dyDescent="0.25">
      <c r="A821520" s="242"/>
    </row>
    <row r="821521" spans="1:1" x14ac:dyDescent="0.25">
      <c r="A821521" s="242"/>
    </row>
    <row r="821522" spans="1:1" x14ac:dyDescent="0.25">
      <c r="A821522" s="242"/>
    </row>
    <row r="821523" spans="1:1" x14ac:dyDescent="0.25">
      <c r="A821523" s="242"/>
    </row>
    <row r="821524" spans="1:1" x14ac:dyDescent="0.25">
      <c r="A821524" s="242"/>
    </row>
    <row r="821525" spans="1:1" x14ac:dyDescent="0.25">
      <c r="A821525" s="242"/>
    </row>
    <row r="821526" spans="1:1" x14ac:dyDescent="0.25">
      <c r="A821526" s="242"/>
    </row>
    <row r="821527" spans="1:1" x14ac:dyDescent="0.25">
      <c r="A821527" s="242"/>
    </row>
    <row r="821528" spans="1:1" x14ac:dyDescent="0.25">
      <c r="A821528" s="242"/>
    </row>
    <row r="821529" spans="1:1" x14ac:dyDescent="0.25">
      <c r="A821529" s="242"/>
    </row>
    <row r="821530" spans="1:1" x14ac:dyDescent="0.25">
      <c r="A821530" s="242"/>
    </row>
    <row r="821531" spans="1:1" x14ac:dyDescent="0.25">
      <c r="A821531" s="242"/>
    </row>
    <row r="821532" spans="1:1" x14ac:dyDescent="0.25">
      <c r="A821532" s="242"/>
    </row>
    <row r="821533" spans="1:1" x14ac:dyDescent="0.25">
      <c r="A821533" s="242"/>
    </row>
    <row r="821534" spans="1:1" x14ac:dyDescent="0.25">
      <c r="A821534" s="242"/>
    </row>
    <row r="821535" spans="1:1" x14ac:dyDescent="0.25">
      <c r="A821535" s="242"/>
    </row>
    <row r="821536" spans="1:1" x14ac:dyDescent="0.25">
      <c r="A821536" s="242"/>
    </row>
    <row r="821537" spans="1:1" x14ac:dyDescent="0.25">
      <c r="A821537" s="242"/>
    </row>
    <row r="821538" spans="1:1" x14ac:dyDescent="0.25">
      <c r="A821538" s="242"/>
    </row>
    <row r="821539" spans="1:1" x14ac:dyDescent="0.25">
      <c r="A821539" s="242"/>
    </row>
    <row r="821540" spans="1:1" x14ac:dyDescent="0.25">
      <c r="A821540" s="242"/>
    </row>
    <row r="821541" spans="1:1" x14ac:dyDescent="0.25">
      <c r="A821541" s="242"/>
    </row>
    <row r="821542" spans="1:1" x14ac:dyDescent="0.25">
      <c r="A821542" s="242"/>
    </row>
    <row r="821543" spans="1:1" x14ac:dyDescent="0.25">
      <c r="A821543" s="242"/>
    </row>
    <row r="821544" spans="1:1" x14ac:dyDescent="0.25">
      <c r="A821544" s="242"/>
    </row>
    <row r="821545" spans="1:1" x14ac:dyDescent="0.25">
      <c r="A821545" s="242"/>
    </row>
    <row r="821546" spans="1:1" x14ac:dyDescent="0.25">
      <c r="A821546" s="242"/>
    </row>
    <row r="821547" spans="1:1" x14ac:dyDescent="0.25">
      <c r="A821547" s="242"/>
    </row>
    <row r="821548" spans="1:1" x14ac:dyDescent="0.25">
      <c r="A821548" s="242"/>
    </row>
    <row r="821549" spans="1:1" x14ac:dyDescent="0.25">
      <c r="A821549" s="242"/>
    </row>
    <row r="821550" spans="1:1" x14ac:dyDescent="0.25">
      <c r="A821550" s="242"/>
    </row>
    <row r="821551" spans="1:1" x14ac:dyDescent="0.25">
      <c r="A821551" s="242"/>
    </row>
    <row r="821552" spans="1:1" x14ac:dyDescent="0.25">
      <c r="A821552" s="242"/>
    </row>
    <row r="821553" spans="1:1" x14ac:dyDescent="0.25">
      <c r="A821553" s="242"/>
    </row>
    <row r="821554" spans="1:1" x14ac:dyDescent="0.25">
      <c r="A821554" s="242"/>
    </row>
    <row r="821555" spans="1:1" x14ac:dyDescent="0.25">
      <c r="A821555" s="242"/>
    </row>
    <row r="821556" spans="1:1" x14ac:dyDescent="0.25">
      <c r="A821556" s="242"/>
    </row>
    <row r="821557" spans="1:1" x14ac:dyDescent="0.25">
      <c r="A821557" s="242"/>
    </row>
    <row r="821558" spans="1:1" x14ac:dyDescent="0.25">
      <c r="A821558" s="242"/>
    </row>
    <row r="821559" spans="1:1" x14ac:dyDescent="0.25">
      <c r="A821559" s="242"/>
    </row>
    <row r="821560" spans="1:1" x14ac:dyDescent="0.25">
      <c r="A821560" s="242"/>
    </row>
    <row r="821561" spans="1:1" x14ac:dyDescent="0.25">
      <c r="A821561" s="242"/>
    </row>
    <row r="821562" spans="1:1" x14ac:dyDescent="0.25">
      <c r="A821562" s="242"/>
    </row>
    <row r="821563" spans="1:1" x14ac:dyDescent="0.25">
      <c r="A821563" s="242"/>
    </row>
    <row r="821564" spans="1:1" x14ac:dyDescent="0.25">
      <c r="A821564" s="242"/>
    </row>
    <row r="821565" spans="1:1" x14ac:dyDescent="0.25">
      <c r="A821565" s="242"/>
    </row>
    <row r="821566" spans="1:1" x14ac:dyDescent="0.25">
      <c r="A821566" s="242"/>
    </row>
    <row r="821567" spans="1:1" x14ac:dyDescent="0.25">
      <c r="A821567" s="242"/>
    </row>
    <row r="821568" spans="1:1" x14ac:dyDescent="0.25">
      <c r="A821568" s="242"/>
    </row>
    <row r="821569" spans="1:1" x14ac:dyDescent="0.25">
      <c r="A821569" s="242"/>
    </row>
    <row r="821570" spans="1:1" x14ac:dyDescent="0.25">
      <c r="A821570" s="242"/>
    </row>
    <row r="821571" spans="1:1" x14ac:dyDescent="0.25">
      <c r="A821571" s="242"/>
    </row>
    <row r="821572" spans="1:1" x14ac:dyDescent="0.25">
      <c r="A821572" s="242"/>
    </row>
    <row r="821573" spans="1:1" x14ac:dyDescent="0.25">
      <c r="A821573" s="242"/>
    </row>
    <row r="821574" spans="1:1" x14ac:dyDescent="0.25">
      <c r="A821574" s="242"/>
    </row>
    <row r="821575" spans="1:1" x14ac:dyDescent="0.25">
      <c r="A821575" s="242"/>
    </row>
    <row r="821576" spans="1:1" x14ac:dyDescent="0.25">
      <c r="A821576" s="242"/>
    </row>
    <row r="821577" spans="1:1" x14ac:dyDescent="0.25">
      <c r="A821577" s="242"/>
    </row>
    <row r="821578" spans="1:1" x14ac:dyDescent="0.25">
      <c r="A821578" s="242"/>
    </row>
    <row r="821579" spans="1:1" x14ac:dyDescent="0.25">
      <c r="A821579" s="242"/>
    </row>
    <row r="821580" spans="1:1" x14ac:dyDescent="0.25">
      <c r="A821580" s="242"/>
    </row>
    <row r="821581" spans="1:1" x14ac:dyDescent="0.25">
      <c r="A821581" s="242"/>
    </row>
    <row r="821582" spans="1:1" x14ac:dyDescent="0.25">
      <c r="A821582" s="242"/>
    </row>
    <row r="821583" spans="1:1" x14ac:dyDescent="0.25">
      <c r="A821583" s="242"/>
    </row>
    <row r="821584" spans="1:1" x14ac:dyDescent="0.25">
      <c r="A821584" s="242"/>
    </row>
    <row r="821585" spans="1:1" x14ac:dyDescent="0.25">
      <c r="A821585" s="242"/>
    </row>
    <row r="821586" spans="1:1" x14ac:dyDescent="0.25">
      <c r="A821586" s="242"/>
    </row>
    <row r="821587" spans="1:1" x14ac:dyDescent="0.25">
      <c r="A821587" s="242"/>
    </row>
    <row r="821588" spans="1:1" x14ac:dyDescent="0.25">
      <c r="A821588" s="242"/>
    </row>
    <row r="821589" spans="1:1" x14ac:dyDescent="0.25">
      <c r="A821589" s="242"/>
    </row>
    <row r="821590" spans="1:1" x14ac:dyDescent="0.25">
      <c r="A821590" s="242"/>
    </row>
    <row r="821591" spans="1:1" x14ac:dyDescent="0.25">
      <c r="A821591" s="242"/>
    </row>
    <row r="821592" spans="1:1" x14ac:dyDescent="0.25">
      <c r="A821592" s="242"/>
    </row>
    <row r="821593" spans="1:1" x14ac:dyDescent="0.25">
      <c r="A821593" s="242"/>
    </row>
    <row r="821594" spans="1:1" x14ac:dyDescent="0.25">
      <c r="A821594" s="242"/>
    </row>
    <row r="821595" spans="1:1" x14ac:dyDescent="0.25">
      <c r="A821595" s="242"/>
    </row>
    <row r="821596" spans="1:1" x14ac:dyDescent="0.25">
      <c r="A821596" s="242"/>
    </row>
    <row r="821597" spans="1:1" x14ac:dyDescent="0.25">
      <c r="A821597" s="242"/>
    </row>
    <row r="821598" spans="1:1" x14ac:dyDescent="0.25">
      <c r="A821598" s="242"/>
    </row>
    <row r="821599" spans="1:1" x14ac:dyDescent="0.25">
      <c r="A821599" s="242"/>
    </row>
    <row r="821600" spans="1:1" x14ac:dyDescent="0.25">
      <c r="A821600" s="242"/>
    </row>
    <row r="821601" spans="1:1" x14ac:dyDescent="0.25">
      <c r="A821601" s="242"/>
    </row>
    <row r="821602" spans="1:1" x14ac:dyDescent="0.25">
      <c r="A821602" s="242"/>
    </row>
    <row r="821603" spans="1:1" x14ac:dyDescent="0.25">
      <c r="A821603" s="242"/>
    </row>
    <row r="821604" spans="1:1" x14ac:dyDescent="0.25">
      <c r="A821604" s="242"/>
    </row>
    <row r="821605" spans="1:1" x14ac:dyDescent="0.25">
      <c r="A821605" s="242"/>
    </row>
    <row r="821606" spans="1:1" x14ac:dyDescent="0.25">
      <c r="A821606" s="242"/>
    </row>
    <row r="821607" spans="1:1" x14ac:dyDescent="0.25">
      <c r="A821607" s="242"/>
    </row>
    <row r="821608" spans="1:1" x14ac:dyDescent="0.25">
      <c r="A821608" s="242"/>
    </row>
    <row r="821609" spans="1:1" x14ac:dyDescent="0.25">
      <c r="A821609" s="242"/>
    </row>
    <row r="821610" spans="1:1" x14ac:dyDescent="0.25">
      <c r="A821610" s="242"/>
    </row>
    <row r="821611" spans="1:1" x14ac:dyDescent="0.25">
      <c r="A821611" s="242"/>
    </row>
    <row r="821612" spans="1:1" x14ac:dyDescent="0.25">
      <c r="A821612" s="242"/>
    </row>
    <row r="821613" spans="1:1" x14ac:dyDescent="0.25">
      <c r="A821613" s="242"/>
    </row>
    <row r="821614" spans="1:1" x14ac:dyDescent="0.25">
      <c r="A821614" s="242"/>
    </row>
    <row r="821615" spans="1:1" x14ac:dyDescent="0.25">
      <c r="A821615" s="242"/>
    </row>
    <row r="821616" spans="1:1" x14ac:dyDescent="0.25">
      <c r="A821616" s="242"/>
    </row>
    <row r="821617" spans="1:1" x14ac:dyDescent="0.25">
      <c r="A821617" s="242"/>
    </row>
    <row r="821618" spans="1:1" x14ac:dyDescent="0.25">
      <c r="A821618" s="242"/>
    </row>
    <row r="821619" spans="1:1" x14ac:dyDescent="0.25">
      <c r="A821619" s="242"/>
    </row>
    <row r="821620" spans="1:1" x14ac:dyDescent="0.25">
      <c r="A821620" s="242"/>
    </row>
    <row r="821621" spans="1:1" x14ac:dyDescent="0.25">
      <c r="A821621" s="242"/>
    </row>
    <row r="821622" spans="1:1" x14ac:dyDescent="0.25">
      <c r="A821622" s="242"/>
    </row>
    <row r="821623" spans="1:1" x14ac:dyDescent="0.25">
      <c r="A821623" s="242"/>
    </row>
    <row r="821624" spans="1:1" x14ac:dyDescent="0.25">
      <c r="A821624" s="242"/>
    </row>
    <row r="821625" spans="1:1" x14ac:dyDescent="0.25">
      <c r="A821625" s="242"/>
    </row>
    <row r="821626" spans="1:1" x14ac:dyDescent="0.25">
      <c r="A821626" s="242"/>
    </row>
    <row r="821627" spans="1:1" x14ac:dyDescent="0.25">
      <c r="A821627" s="242"/>
    </row>
    <row r="821628" spans="1:1" x14ac:dyDescent="0.25">
      <c r="A821628" s="242"/>
    </row>
    <row r="821629" spans="1:1" x14ac:dyDescent="0.25">
      <c r="A821629" s="242"/>
    </row>
    <row r="821630" spans="1:1" x14ac:dyDescent="0.25">
      <c r="A821630" s="242"/>
    </row>
    <row r="821631" spans="1:1" x14ac:dyDescent="0.25">
      <c r="A821631" s="242"/>
    </row>
    <row r="821632" spans="1:1" x14ac:dyDescent="0.25">
      <c r="A821632" s="242"/>
    </row>
    <row r="821633" spans="1:1" x14ac:dyDescent="0.25">
      <c r="A821633" s="242"/>
    </row>
    <row r="821634" spans="1:1" x14ac:dyDescent="0.25">
      <c r="A821634" s="242"/>
    </row>
    <row r="821635" spans="1:1" x14ac:dyDescent="0.25">
      <c r="A821635" s="242"/>
    </row>
    <row r="821636" spans="1:1" x14ac:dyDescent="0.25">
      <c r="A821636" s="242"/>
    </row>
    <row r="821637" spans="1:1" x14ac:dyDescent="0.25">
      <c r="A821637" s="242"/>
    </row>
    <row r="821638" spans="1:1" x14ac:dyDescent="0.25">
      <c r="A821638" s="242"/>
    </row>
    <row r="821639" spans="1:1" x14ac:dyDescent="0.25">
      <c r="A821639" s="242"/>
    </row>
    <row r="821640" spans="1:1" x14ac:dyDescent="0.25">
      <c r="A821640" s="242"/>
    </row>
    <row r="821641" spans="1:1" x14ac:dyDescent="0.25">
      <c r="A821641" s="242"/>
    </row>
    <row r="821642" spans="1:1" x14ac:dyDescent="0.25">
      <c r="A821642" s="242"/>
    </row>
    <row r="821643" spans="1:1" x14ac:dyDescent="0.25">
      <c r="A821643" s="242"/>
    </row>
    <row r="821644" spans="1:1" x14ac:dyDescent="0.25">
      <c r="A821644" s="242"/>
    </row>
    <row r="821645" spans="1:1" x14ac:dyDescent="0.25">
      <c r="A821645" s="242"/>
    </row>
    <row r="821646" spans="1:1" x14ac:dyDescent="0.25">
      <c r="A821646" s="242"/>
    </row>
    <row r="821647" spans="1:1" x14ac:dyDescent="0.25">
      <c r="A821647" s="242"/>
    </row>
    <row r="821648" spans="1:1" x14ac:dyDescent="0.25">
      <c r="A821648" s="242"/>
    </row>
    <row r="821649" spans="1:1" x14ac:dyDescent="0.25">
      <c r="A821649" s="242"/>
    </row>
    <row r="821650" spans="1:1" x14ac:dyDescent="0.25">
      <c r="A821650" s="242"/>
    </row>
    <row r="821651" spans="1:1" x14ac:dyDescent="0.25">
      <c r="A821651" s="242"/>
    </row>
    <row r="821652" spans="1:1" x14ac:dyDescent="0.25">
      <c r="A821652" s="242"/>
    </row>
    <row r="821653" spans="1:1" x14ac:dyDescent="0.25">
      <c r="A821653" s="242"/>
    </row>
    <row r="821654" spans="1:1" x14ac:dyDescent="0.25">
      <c r="A821654" s="242"/>
    </row>
    <row r="821655" spans="1:1" x14ac:dyDescent="0.25">
      <c r="A821655" s="242"/>
    </row>
    <row r="821656" spans="1:1" x14ac:dyDescent="0.25">
      <c r="A821656" s="242"/>
    </row>
    <row r="821657" spans="1:1" x14ac:dyDescent="0.25">
      <c r="A821657" s="242"/>
    </row>
    <row r="821658" spans="1:1" x14ac:dyDescent="0.25">
      <c r="A821658" s="242"/>
    </row>
    <row r="821659" spans="1:1" x14ac:dyDescent="0.25">
      <c r="A821659" s="242"/>
    </row>
    <row r="821660" spans="1:1" x14ac:dyDescent="0.25">
      <c r="A821660" s="242"/>
    </row>
    <row r="821661" spans="1:1" x14ac:dyDescent="0.25">
      <c r="A821661" s="242"/>
    </row>
    <row r="821662" spans="1:1" x14ac:dyDescent="0.25">
      <c r="A821662" s="242"/>
    </row>
    <row r="821663" spans="1:1" x14ac:dyDescent="0.25">
      <c r="A821663" s="242"/>
    </row>
    <row r="821664" spans="1:1" x14ac:dyDescent="0.25">
      <c r="A821664" s="242"/>
    </row>
    <row r="821665" spans="1:1" x14ac:dyDescent="0.25">
      <c r="A821665" s="242"/>
    </row>
    <row r="821666" spans="1:1" x14ac:dyDescent="0.25">
      <c r="A821666" s="242"/>
    </row>
    <row r="821667" spans="1:1" x14ac:dyDescent="0.25">
      <c r="A821667" s="242"/>
    </row>
    <row r="821668" spans="1:1" x14ac:dyDescent="0.25">
      <c r="A821668" s="242"/>
    </row>
    <row r="821669" spans="1:1" x14ac:dyDescent="0.25">
      <c r="A821669" s="242"/>
    </row>
    <row r="821670" spans="1:1" x14ac:dyDescent="0.25">
      <c r="A821670" s="242"/>
    </row>
    <row r="821671" spans="1:1" x14ac:dyDescent="0.25">
      <c r="A821671" s="242"/>
    </row>
    <row r="821672" spans="1:1" x14ac:dyDescent="0.25">
      <c r="A821672" s="242"/>
    </row>
    <row r="821673" spans="1:1" x14ac:dyDescent="0.25">
      <c r="A821673" s="242"/>
    </row>
    <row r="821674" spans="1:1" x14ac:dyDescent="0.25">
      <c r="A821674" s="242"/>
    </row>
    <row r="821675" spans="1:1" x14ac:dyDescent="0.25">
      <c r="A821675" s="242"/>
    </row>
    <row r="821676" spans="1:1" x14ac:dyDescent="0.25">
      <c r="A821676" s="242"/>
    </row>
    <row r="821677" spans="1:1" x14ac:dyDescent="0.25">
      <c r="A821677" s="242"/>
    </row>
    <row r="821678" spans="1:1" x14ac:dyDescent="0.25">
      <c r="A821678" s="242"/>
    </row>
    <row r="821679" spans="1:1" x14ac:dyDescent="0.25">
      <c r="A821679" s="242"/>
    </row>
    <row r="821680" spans="1:1" x14ac:dyDescent="0.25">
      <c r="A821680" s="242"/>
    </row>
    <row r="821681" spans="1:1" x14ac:dyDescent="0.25">
      <c r="A821681" s="242"/>
    </row>
    <row r="821682" spans="1:1" x14ac:dyDescent="0.25">
      <c r="A821682" s="242"/>
    </row>
    <row r="821683" spans="1:1" x14ac:dyDescent="0.25">
      <c r="A821683" s="242"/>
    </row>
    <row r="821684" spans="1:1" x14ac:dyDescent="0.25">
      <c r="A821684" s="242"/>
    </row>
    <row r="821685" spans="1:1" x14ac:dyDescent="0.25">
      <c r="A821685" s="242"/>
    </row>
    <row r="821686" spans="1:1" x14ac:dyDescent="0.25">
      <c r="A821686" s="242"/>
    </row>
    <row r="821687" spans="1:1" x14ac:dyDescent="0.25">
      <c r="A821687" s="242"/>
    </row>
    <row r="821688" spans="1:1" x14ac:dyDescent="0.25">
      <c r="A821688" s="242"/>
    </row>
    <row r="821689" spans="1:1" x14ac:dyDescent="0.25">
      <c r="A821689" s="242"/>
    </row>
    <row r="821690" spans="1:1" x14ac:dyDescent="0.25">
      <c r="A821690" s="242"/>
    </row>
    <row r="821691" spans="1:1" x14ac:dyDescent="0.25">
      <c r="A821691" s="242"/>
    </row>
    <row r="821692" spans="1:1" x14ac:dyDescent="0.25">
      <c r="A821692" s="242"/>
    </row>
    <row r="821693" spans="1:1" x14ac:dyDescent="0.25">
      <c r="A821693" s="242"/>
    </row>
    <row r="821694" spans="1:1" x14ac:dyDescent="0.25">
      <c r="A821694" s="242"/>
    </row>
    <row r="821695" spans="1:1" x14ac:dyDescent="0.25">
      <c r="A821695" s="242"/>
    </row>
    <row r="821696" spans="1:1" x14ac:dyDescent="0.25">
      <c r="A821696" s="242"/>
    </row>
    <row r="821697" spans="1:1" x14ac:dyDescent="0.25">
      <c r="A821697" s="242"/>
    </row>
    <row r="821698" spans="1:1" x14ac:dyDescent="0.25">
      <c r="A821698" s="242"/>
    </row>
    <row r="821699" spans="1:1" x14ac:dyDescent="0.25">
      <c r="A821699" s="242"/>
    </row>
    <row r="821700" spans="1:1" x14ac:dyDescent="0.25">
      <c r="A821700" s="242"/>
    </row>
    <row r="821701" spans="1:1" x14ac:dyDescent="0.25">
      <c r="A821701" s="242"/>
    </row>
    <row r="821702" spans="1:1" x14ac:dyDescent="0.25">
      <c r="A821702" s="242"/>
    </row>
    <row r="821703" spans="1:1" x14ac:dyDescent="0.25">
      <c r="A821703" s="242"/>
    </row>
    <row r="821704" spans="1:1" x14ac:dyDescent="0.25">
      <c r="A821704" s="242"/>
    </row>
    <row r="821705" spans="1:1" x14ac:dyDescent="0.25">
      <c r="A821705" s="242"/>
    </row>
    <row r="821706" spans="1:1" x14ac:dyDescent="0.25">
      <c r="A821706" s="242"/>
    </row>
    <row r="821707" spans="1:1" x14ac:dyDescent="0.25">
      <c r="A821707" s="242"/>
    </row>
    <row r="821708" spans="1:1" x14ac:dyDescent="0.25">
      <c r="A821708" s="242"/>
    </row>
    <row r="821709" spans="1:1" x14ac:dyDescent="0.25">
      <c r="A821709" s="242"/>
    </row>
    <row r="821710" spans="1:1" x14ac:dyDescent="0.25">
      <c r="A821710" s="242"/>
    </row>
    <row r="821711" spans="1:1" x14ac:dyDescent="0.25">
      <c r="A821711" s="242"/>
    </row>
    <row r="821712" spans="1:1" x14ac:dyDescent="0.25">
      <c r="A821712" s="242"/>
    </row>
    <row r="821713" spans="1:1" x14ac:dyDescent="0.25">
      <c r="A821713" s="242"/>
    </row>
    <row r="821714" spans="1:1" x14ac:dyDescent="0.25">
      <c r="A821714" s="242"/>
    </row>
    <row r="821715" spans="1:1" x14ac:dyDescent="0.25">
      <c r="A821715" s="242"/>
    </row>
    <row r="821716" spans="1:1" x14ac:dyDescent="0.25">
      <c r="A821716" s="242"/>
    </row>
    <row r="821717" spans="1:1" x14ac:dyDescent="0.25">
      <c r="A821717" s="242"/>
    </row>
    <row r="821718" spans="1:1" x14ac:dyDescent="0.25">
      <c r="A821718" s="242"/>
    </row>
    <row r="821719" spans="1:1" x14ac:dyDescent="0.25">
      <c r="A821719" s="242"/>
    </row>
    <row r="821720" spans="1:1" x14ac:dyDescent="0.25">
      <c r="A821720" s="242"/>
    </row>
    <row r="821721" spans="1:1" x14ac:dyDescent="0.25">
      <c r="A821721" s="242"/>
    </row>
    <row r="821722" spans="1:1" x14ac:dyDescent="0.25">
      <c r="A821722" s="242"/>
    </row>
    <row r="821723" spans="1:1" x14ac:dyDescent="0.25">
      <c r="A821723" s="242"/>
    </row>
    <row r="821724" spans="1:1" x14ac:dyDescent="0.25">
      <c r="A821724" s="242"/>
    </row>
    <row r="821725" spans="1:1" x14ac:dyDescent="0.25">
      <c r="A821725" s="242"/>
    </row>
    <row r="821726" spans="1:1" x14ac:dyDescent="0.25">
      <c r="A821726" s="242"/>
    </row>
    <row r="821727" spans="1:1" x14ac:dyDescent="0.25">
      <c r="A821727" s="242"/>
    </row>
    <row r="821728" spans="1:1" x14ac:dyDescent="0.25">
      <c r="A821728" s="242"/>
    </row>
    <row r="821729" spans="1:1" x14ac:dyDescent="0.25">
      <c r="A821729" s="242"/>
    </row>
    <row r="821730" spans="1:1" x14ac:dyDescent="0.25">
      <c r="A821730" s="242"/>
    </row>
    <row r="821731" spans="1:1" x14ac:dyDescent="0.25">
      <c r="A821731" s="242"/>
    </row>
    <row r="821732" spans="1:1" x14ac:dyDescent="0.25">
      <c r="A821732" s="242"/>
    </row>
    <row r="821733" spans="1:1" x14ac:dyDescent="0.25">
      <c r="A821733" s="242"/>
    </row>
    <row r="821734" spans="1:1" x14ac:dyDescent="0.25">
      <c r="A821734" s="242"/>
    </row>
    <row r="821735" spans="1:1" x14ac:dyDescent="0.25">
      <c r="A821735" s="242"/>
    </row>
    <row r="821736" spans="1:1" x14ac:dyDescent="0.25">
      <c r="A821736" s="242"/>
    </row>
    <row r="821737" spans="1:1" x14ac:dyDescent="0.25">
      <c r="A821737" s="242"/>
    </row>
    <row r="821738" spans="1:1" x14ac:dyDescent="0.25">
      <c r="A821738" s="242"/>
    </row>
    <row r="821739" spans="1:1" x14ac:dyDescent="0.25">
      <c r="A821739" s="242"/>
    </row>
    <row r="821740" spans="1:1" x14ac:dyDescent="0.25">
      <c r="A821740" s="242"/>
    </row>
    <row r="821741" spans="1:1" x14ac:dyDescent="0.25">
      <c r="A821741" s="242"/>
    </row>
    <row r="821742" spans="1:1" x14ac:dyDescent="0.25">
      <c r="A821742" s="242"/>
    </row>
    <row r="821743" spans="1:1" x14ac:dyDescent="0.25">
      <c r="A821743" s="242"/>
    </row>
    <row r="821744" spans="1:1" x14ac:dyDescent="0.25">
      <c r="A821744" s="242"/>
    </row>
    <row r="821745" spans="1:1" x14ac:dyDescent="0.25">
      <c r="A821745" s="242"/>
    </row>
    <row r="821746" spans="1:1" x14ac:dyDescent="0.25">
      <c r="A821746" s="242"/>
    </row>
    <row r="821747" spans="1:1" x14ac:dyDescent="0.25">
      <c r="A821747" s="242"/>
    </row>
    <row r="821748" spans="1:1" x14ac:dyDescent="0.25">
      <c r="A821748" s="242"/>
    </row>
    <row r="821749" spans="1:1" x14ac:dyDescent="0.25">
      <c r="A821749" s="242"/>
    </row>
    <row r="821750" spans="1:1" x14ac:dyDescent="0.25">
      <c r="A821750" s="242"/>
    </row>
    <row r="821751" spans="1:1" x14ac:dyDescent="0.25">
      <c r="A821751" s="242"/>
    </row>
    <row r="821752" spans="1:1" x14ac:dyDescent="0.25">
      <c r="A821752" s="242"/>
    </row>
    <row r="821753" spans="1:1" x14ac:dyDescent="0.25">
      <c r="A821753" s="242"/>
    </row>
    <row r="821754" spans="1:1" x14ac:dyDescent="0.25">
      <c r="A821754" s="242"/>
    </row>
    <row r="821755" spans="1:1" x14ac:dyDescent="0.25">
      <c r="A821755" s="242"/>
    </row>
    <row r="821756" spans="1:1" x14ac:dyDescent="0.25">
      <c r="A821756" s="242"/>
    </row>
    <row r="821757" spans="1:1" x14ac:dyDescent="0.25">
      <c r="A821757" s="242"/>
    </row>
    <row r="821758" spans="1:1" x14ac:dyDescent="0.25">
      <c r="A821758" s="242"/>
    </row>
    <row r="821759" spans="1:1" x14ac:dyDescent="0.25">
      <c r="A821759" s="242"/>
    </row>
    <row r="821760" spans="1:1" x14ac:dyDescent="0.25">
      <c r="A821760" s="242"/>
    </row>
    <row r="821761" spans="1:1" x14ac:dyDescent="0.25">
      <c r="A821761" s="242"/>
    </row>
    <row r="821762" spans="1:1" x14ac:dyDescent="0.25">
      <c r="A821762" s="242"/>
    </row>
    <row r="821763" spans="1:1" x14ac:dyDescent="0.25">
      <c r="A821763" s="242"/>
    </row>
    <row r="821764" spans="1:1" x14ac:dyDescent="0.25">
      <c r="A821764" s="242"/>
    </row>
    <row r="821765" spans="1:1" x14ac:dyDescent="0.25">
      <c r="A821765" s="242"/>
    </row>
    <row r="821766" spans="1:1" x14ac:dyDescent="0.25">
      <c r="A821766" s="242"/>
    </row>
    <row r="821767" spans="1:1" x14ac:dyDescent="0.25">
      <c r="A821767" s="242"/>
    </row>
    <row r="821768" spans="1:1" x14ac:dyDescent="0.25">
      <c r="A821768" s="242"/>
    </row>
    <row r="821769" spans="1:1" x14ac:dyDescent="0.25">
      <c r="A821769" s="242"/>
    </row>
    <row r="821770" spans="1:1" x14ac:dyDescent="0.25">
      <c r="A821770" s="242"/>
    </row>
    <row r="821771" spans="1:1" x14ac:dyDescent="0.25">
      <c r="A821771" s="242"/>
    </row>
    <row r="821772" spans="1:1" x14ac:dyDescent="0.25">
      <c r="A821772" s="242"/>
    </row>
    <row r="821773" spans="1:1" x14ac:dyDescent="0.25">
      <c r="A821773" s="242"/>
    </row>
    <row r="821774" spans="1:1" x14ac:dyDescent="0.25">
      <c r="A821774" s="242"/>
    </row>
    <row r="821775" spans="1:1" x14ac:dyDescent="0.25">
      <c r="A821775" s="242"/>
    </row>
    <row r="821776" spans="1:1" x14ac:dyDescent="0.25">
      <c r="A821776" s="242"/>
    </row>
    <row r="821777" spans="1:1" x14ac:dyDescent="0.25">
      <c r="A821777" s="242"/>
    </row>
    <row r="821778" spans="1:1" x14ac:dyDescent="0.25">
      <c r="A821778" s="242"/>
    </row>
    <row r="821779" spans="1:1" x14ac:dyDescent="0.25">
      <c r="A821779" s="242"/>
    </row>
    <row r="821780" spans="1:1" x14ac:dyDescent="0.25">
      <c r="A821780" s="242"/>
    </row>
    <row r="821781" spans="1:1" x14ac:dyDescent="0.25">
      <c r="A821781" s="242"/>
    </row>
    <row r="821782" spans="1:1" x14ac:dyDescent="0.25">
      <c r="A821782" s="242"/>
    </row>
    <row r="821783" spans="1:1" x14ac:dyDescent="0.25">
      <c r="A821783" s="242"/>
    </row>
    <row r="821784" spans="1:1" x14ac:dyDescent="0.25">
      <c r="A821784" s="242"/>
    </row>
    <row r="821785" spans="1:1" x14ac:dyDescent="0.25">
      <c r="A821785" s="242"/>
    </row>
    <row r="821786" spans="1:1" x14ac:dyDescent="0.25">
      <c r="A821786" s="242"/>
    </row>
    <row r="821787" spans="1:1" x14ac:dyDescent="0.25">
      <c r="A821787" s="242"/>
    </row>
    <row r="821788" spans="1:1" x14ac:dyDescent="0.25">
      <c r="A821788" s="242"/>
    </row>
    <row r="821789" spans="1:1" x14ac:dyDescent="0.25">
      <c r="A821789" s="242"/>
    </row>
    <row r="821790" spans="1:1" x14ac:dyDescent="0.25">
      <c r="A821790" s="242"/>
    </row>
    <row r="821791" spans="1:1" x14ac:dyDescent="0.25">
      <c r="A821791" s="242"/>
    </row>
    <row r="821792" spans="1:1" x14ac:dyDescent="0.25">
      <c r="A821792" s="242"/>
    </row>
    <row r="821793" spans="1:1" x14ac:dyDescent="0.25">
      <c r="A821793" s="242"/>
    </row>
    <row r="821794" spans="1:1" x14ac:dyDescent="0.25">
      <c r="A821794" s="242"/>
    </row>
    <row r="821795" spans="1:1" x14ac:dyDescent="0.25">
      <c r="A821795" s="242"/>
    </row>
    <row r="821796" spans="1:1" x14ac:dyDescent="0.25">
      <c r="A821796" s="242"/>
    </row>
    <row r="821797" spans="1:1" x14ac:dyDescent="0.25">
      <c r="A821797" s="242"/>
    </row>
    <row r="821798" spans="1:1" x14ac:dyDescent="0.25">
      <c r="A821798" s="242"/>
    </row>
    <row r="821799" spans="1:1" x14ac:dyDescent="0.25">
      <c r="A821799" s="242"/>
    </row>
    <row r="821800" spans="1:1" x14ac:dyDescent="0.25">
      <c r="A821800" s="242"/>
    </row>
    <row r="821801" spans="1:1" x14ac:dyDescent="0.25">
      <c r="A821801" s="242"/>
    </row>
    <row r="821802" spans="1:1" x14ac:dyDescent="0.25">
      <c r="A821802" s="242"/>
    </row>
    <row r="821803" spans="1:1" x14ac:dyDescent="0.25">
      <c r="A821803" s="242"/>
    </row>
    <row r="821804" spans="1:1" x14ac:dyDescent="0.25">
      <c r="A821804" s="242"/>
    </row>
    <row r="821805" spans="1:1" x14ac:dyDescent="0.25">
      <c r="A821805" s="242"/>
    </row>
    <row r="821806" spans="1:1" x14ac:dyDescent="0.25">
      <c r="A821806" s="242"/>
    </row>
    <row r="821807" spans="1:1" x14ac:dyDescent="0.25">
      <c r="A821807" s="242"/>
    </row>
    <row r="821808" spans="1:1" x14ac:dyDescent="0.25">
      <c r="A821808" s="242"/>
    </row>
    <row r="821809" spans="1:1" x14ac:dyDescent="0.25">
      <c r="A821809" s="242"/>
    </row>
    <row r="821810" spans="1:1" x14ac:dyDescent="0.25">
      <c r="A821810" s="242"/>
    </row>
    <row r="821811" spans="1:1" x14ac:dyDescent="0.25">
      <c r="A821811" s="242"/>
    </row>
    <row r="821812" spans="1:1" x14ac:dyDescent="0.25">
      <c r="A821812" s="242"/>
    </row>
    <row r="821813" spans="1:1" x14ac:dyDescent="0.25">
      <c r="A821813" s="242"/>
    </row>
    <row r="821814" spans="1:1" x14ac:dyDescent="0.25">
      <c r="A821814" s="242"/>
    </row>
    <row r="821815" spans="1:1" x14ac:dyDescent="0.25">
      <c r="A821815" s="242"/>
    </row>
    <row r="821816" spans="1:1" x14ac:dyDescent="0.25">
      <c r="A821816" s="242"/>
    </row>
    <row r="821817" spans="1:1" x14ac:dyDescent="0.25">
      <c r="A821817" s="242"/>
    </row>
    <row r="821818" spans="1:1" x14ac:dyDescent="0.25">
      <c r="A821818" s="242"/>
    </row>
    <row r="821819" spans="1:1" x14ac:dyDescent="0.25">
      <c r="A821819" s="242"/>
    </row>
    <row r="821820" spans="1:1" x14ac:dyDescent="0.25">
      <c r="A821820" s="242"/>
    </row>
    <row r="821821" spans="1:1" x14ac:dyDescent="0.25">
      <c r="A821821" s="242"/>
    </row>
    <row r="821822" spans="1:1" x14ac:dyDescent="0.25">
      <c r="A821822" s="242"/>
    </row>
    <row r="821823" spans="1:1" x14ac:dyDescent="0.25">
      <c r="A821823" s="242"/>
    </row>
    <row r="821824" spans="1:1" x14ac:dyDescent="0.25">
      <c r="A821824" s="242"/>
    </row>
    <row r="821825" spans="1:1" x14ac:dyDescent="0.25">
      <c r="A821825" s="242"/>
    </row>
    <row r="821826" spans="1:1" x14ac:dyDescent="0.25">
      <c r="A821826" s="242"/>
    </row>
    <row r="821827" spans="1:1" x14ac:dyDescent="0.25">
      <c r="A821827" s="242"/>
    </row>
    <row r="821828" spans="1:1" x14ac:dyDescent="0.25">
      <c r="A821828" s="242"/>
    </row>
    <row r="821829" spans="1:1" x14ac:dyDescent="0.25">
      <c r="A821829" s="242"/>
    </row>
    <row r="821830" spans="1:1" x14ac:dyDescent="0.25">
      <c r="A821830" s="242"/>
    </row>
    <row r="821831" spans="1:1" x14ac:dyDescent="0.25">
      <c r="A821831" s="242"/>
    </row>
    <row r="821832" spans="1:1" x14ac:dyDescent="0.25">
      <c r="A821832" s="242"/>
    </row>
    <row r="821833" spans="1:1" x14ac:dyDescent="0.25">
      <c r="A821833" s="242"/>
    </row>
    <row r="821834" spans="1:1" x14ac:dyDescent="0.25">
      <c r="A821834" s="242"/>
    </row>
    <row r="821835" spans="1:1" x14ac:dyDescent="0.25">
      <c r="A821835" s="242"/>
    </row>
    <row r="821836" spans="1:1" x14ac:dyDescent="0.25">
      <c r="A821836" s="242"/>
    </row>
    <row r="821837" spans="1:1" x14ac:dyDescent="0.25">
      <c r="A821837" s="242"/>
    </row>
    <row r="821838" spans="1:1" x14ac:dyDescent="0.25">
      <c r="A821838" s="242"/>
    </row>
    <row r="821839" spans="1:1" x14ac:dyDescent="0.25">
      <c r="A821839" s="242"/>
    </row>
    <row r="821840" spans="1:1" x14ac:dyDescent="0.25">
      <c r="A821840" s="242"/>
    </row>
    <row r="821841" spans="1:1" x14ac:dyDescent="0.25">
      <c r="A821841" s="242"/>
    </row>
    <row r="821842" spans="1:1" x14ac:dyDescent="0.25">
      <c r="A821842" s="242"/>
    </row>
    <row r="821843" spans="1:1" x14ac:dyDescent="0.25">
      <c r="A821843" s="242"/>
    </row>
    <row r="821844" spans="1:1" x14ac:dyDescent="0.25">
      <c r="A821844" s="242"/>
    </row>
    <row r="821845" spans="1:1" x14ac:dyDescent="0.25">
      <c r="A821845" s="242"/>
    </row>
    <row r="821846" spans="1:1" x14ac:dyDescent="0.25">
      <c r="A821846" s="242"/>
    </row>
    <row r="821847" spans="1:1" x14ac:dyDescent="0.25">
      <c r="A821847" s="242"/>
    </row>
    <row r="821848" spans="1:1" x14ac:dyDescent="0.25">
      <c r="A821848" s="242"/>
    </row>
    <row r="821849" spans="1:1" x14ac:dyDescent="0.25">
      <c r="A821849" s="242"/>
    </row>
    <row r="821850" spans="1:1" x14ac:dyDescent="0.25">
      <c r="A821850" s="242"/>
    </row>
    <row r="821851" spans="1:1" x14ac:dyDescent="0.25">
      <c r="A821851" s="242"/>
    </row>
    <row r="821852" spans="1:1" x14ac:dyDescent="0.25">
      <c r="A821852" s="242"/>
    </row>
    <row r="821853" spans="1:1" x14ac:dyDescent="0.25">
      <c r="A821853" s="242"/>
    </row>
    <row r="821854" spans="1:1" x14ac:dyDescent="0.25">
      <c r="A821854" s="242"/>
    </row>
    <row r="821855" spans="1:1" x14ac:dyDescent="0.25">
      <c r="A821855" s="242"/>
    </row>
    <row r="821856" spans="1:1" x14ac:dyDescent="0.25">
      <c r="A821856" s="242"/>
    </row>
    <row r="821857" spans="1:1" x14ac:dyDescent="0.25">
      <c r="A821857" s="242"/>
    </row>
    <row r="821858" spans="1:1" x14ac:dyDescent="0.25">
      <c r="A821858" s="242"/>
    </row>
    <row r="821859" spans="1:1" x14ac:dyDescent="0.25">
      <c r="A821859" s="242"/>
    </row>
    <row r="821860" spans="1:1" x14ac:dyDescent="0.25">
      <c r="A821860" s="242"/>
    </row>
    <row r="821861" spans="1:1" x14ac:dyDescent="0.25">
      <c r="A821861" s="242"/>
    </row>
    <row r="821862" spans="1:1" x14ac:dyDescent="0.25">
      <c r="A821862" s="242"/>
    </row>
    <row r="821863" spans="1:1" x14ac:dyDescent="0.25">
      <c r="A821863" s="242"/>
    </row>
    <row r="821864" spans="1:1" x14ac:dyDescent="0.25">
      <c r="A821864" s="242"/>
    </row>
    <row r="821865" spans="1:1" x14ac:dyDescent="0.25">
      <c r="A821865" s="242"/>
    </row>
    <row r="821866" spans="1:1" x14ac:dyDescent="0.25">
      <c r="A821866" s="242"/>
    </row>
    <row r="821867" spans="1:1" x14ac:dyDescent="0.25">
      <c r="A821867" s="242"/>
    </row>
    <row r="821868" spans="1:1" x14ac:dyDescent="0.25">
      <c r="A821868" s="242"/>
    </row>
    <row r="821869" spans="1:1" x14ac:dyDescent="0.25">
      <c r="A821869" s="242"/>
    </row>
    <row r="821870" spans="1:1" x14ac:dyDescent="0.25">
      <c r="A821870" s="242"/>
    </row>
    <row r="821871" spans="1:1" x14ac:dyDescent="0.25">
      <c r="A821871" s="242"/>
    </row>
    <row r="821872" spans="1:1" x14ac:dyDescent="0.25">
      <c r="A821872" s="242"/>
    </row>
    <row r="821873" spans="1:1" x14ac:dyDescent="0.25">
      <c r="A821873" s="242"/>
    </row>
    <row r="821874" spans="1:1" x14ac:dyDescent="0.25">
      <c r="A821874" s="242"/>
    </row>
    <row r="821875" spans="1:1" x14ac:dyDescent="0.25">
      <c r="A821875" s="242"/>
    </row>
    <row r="821876" spans="1:1" x14ac:dyDescent="0.25">
      <c r="A821876" s="242"/>
    </row>
    <row r="821877" spans="1:1" x14ac:dyDescent="0.25">
      <c r="A821877" s="242"/>
    </row>
    <row r="821878" spans="1:1" x14ac:dyDescent="0.25">
      <c r="A821878" s="242"/>
    </row>
    <row r="821879" spans="1:1" x14ac:dyDescent="0.25">
      <c r="A821879" s="242"/>
    </row>
    <row r="821880" spans="1:1" x14ac:dyDescent="0.25">
      <c r="A821880" s="242"/>
    </row>
    <row r="821881" spans="1:1" x14ac:dyDescent="0.25">
      <c r="A821881" s="242"/>
    </row>
    <row r="821882" spans="1:1" x14ac:dyDescent="0.25">
      <c r="A821882" s="242"/>
    </row>
    <row r="821883" spans="1:1" x14ac:dyDescent="0.25">
      <c r="A821883" s="242"/>
    </row>
    <row r="821884" spans="1:1" x14ac:dyDescent="0.25">
      <c r="A821884" s="242"/>
    </row>
    <row r="821885" spans="1:1" x14ac:dyDescent="0.25">
      <c r="A821885" s="242"/>
    </row>
    <row r="821886" spans="1:1" x14ac:dyDescent="0.25">
      <c r="A821886" s="242"/>
    </row>
    <row r="821887" spans="1:1" x14ac:dyDescent="0.25">
      <c r="A821887" s="242"/>
    </row>
    <row r="821888" spans="1:1" x14ac:dyDescent="0.25">
      <c r="A821888" s="242"/>
    </row>
    <row r="821889" spans="1:1" x14ac:dyDescent="0.25">
      <c r="A821889" s="242"/>
    </row>
    <row r="821890" spans="1:1" x14ac:dyDescent="0.25">
      <c r="A821890" s="242"/>
    </row>
    <row r="821891" spans="1:1" x14ac:dyDescent="0.25">
      <c r="A821891" s="242"/>
    </row>
    <row r="821892" spans="1:1" x14ac:dyDescent="0.25">
      <c r="A821892" s="242"/>
    </row>
    <row r="821893" spans="1:1" x14ac:dyDescent="0.25">
      <c r="A821893" s="242"/>
    </row>
    <row r="821894" spans="1:1" x14ac:dyDescent="0.25">
      <c r="A821894" s="242"/>
    </row>
    <row r="821895" spans="1:1" x14ac:dyDescent="0.25">
      <c r="A821895" s="242"/>
    </row>
    <row r="821896" spans="1:1" x14ac:dyDescent="0.25">
      <c r="A821896" s="242"/>
    </row>
    <row r="821897" spans="1:1" x14ac:dyDescent="0.25">
      <c r="A821897" s="242"/>
    </row>
    <row r="821898" spans="1:1" x14ac:dyDescent="0.25">
      <c r="A821898" s="242"/>
    </row>
    <row r="821899" spans="1:1" x14ac:dyDescent="0.25">
      <c r="A821899" s="242"/>
    </row>
    <row r="821900" spans="1:1" x14ac:dyDescent="0.25">
      <c r="A821900" s="242"/>
    </row>
    <row r="821901" spans="1:1" x14ac:dyDescent="0.25">
      <c r="A821901" s="242"/>
    </row>
    <row r="821902" spans="1:1" x14ac:dyDescent="0.25">
      <c r="A821902" s="242"/>
    </row>
    <row r="821903" spans="1:1" x14ac:dyDescent="0.25">
      <c r="A821903" s="242"/>
    </row>
    <row r="821904" spans="1:1" x14ac:dyDescent="0.25">
      <c r="A821904" s="242"/>
    </row>
    <row r="821905" spans="1:1" x14ac:dyDescent="0.25">
      <c r="A821905" s="242"/>
    </row>
    <row r="821906" spans="1:1" x14ac:dyDescent="0.25">
      <c r="A821906" s="242"/>
    </row>
    <row r="821907" spans="1:1" x14ac:dyDescent="0.25">
      <c r="A821907" s="242"/>
    </row>
    <row r="821908" spans="1:1" x14ac:dyDescent="0.25">
      <c r="A821908" s="242"/>
    </row>
    <row r="821909" spans="1:1" x14ac:dyDescent="0.25">
      <c r="A821909" s="242"/>
    </row>
    <row r="821910" spans="1:1" x14ac:dyDescent="0.25">
      <c r="A821910" s="242"/>
    </row>
    <row r="821911" spans="1:1" x14ac:dyDescent="0.25">
      <c r="A821911" s="242"/>
    </row>
    <row r="821912" spans="1:1" x14ac:dyDescent="0.25">
      <c r="A821912" s="242"/>
    </row>
    <row r="821913" spans="1:1" x14ac:dyDescent="0.25">
      <c r="A821913" s="242"/>
    </row>
    <row r="821914" spans="1:1" x14ac:dyDescent="0.25">
      <c r="A821914" s="242"/>
    </row>
    <row r="821915" spans="1:1" x14ac:dyDescent="0.25">
      <c r="A821915" s="242"/>
    </row>
    <row r="821916" spans="1:1" x14ac:dyDescent="0.25">
      <c r="A821916" s="242"/>
    </row>
    <row r="821917" spans="1:1" x14ac:dyDescent="0.25">
      <c r="A821917" s="242"/>
    </row>
    <row r="821918" spans="1:1" x14ac:dyDescent="0.25">
      <c r="A821918" s="242"/>
    </row>
    <row r="821919" spans="1:1" x14ac:dyDescent="0.25">
      <c r="A821919" s="242"/>
    </row>
    <row r="821920" spans="1:1" x14ac:dyDescent="0.25">
      <c r="A821920" s="242"/>
    </row>
    <row r="821921" spans="1:1" x14ac:dyDescent="0.25">
      <c r="A821921" s="242"/>
    </row>
    <row r="821922" spans="1:1" x14ac:dyDescent="0.25">
      <c r="A821922" s="242"/>
    </row>
    <row r="821923" spans="1:1" x14ac:dyDescent="0.25">
      <c r="A821923" s="242"/>
    </row>
    <row r="821924" spans="1:1" x14ac:dyDescent="0.25">
      <c r="A821924" s="242"/>
    </row>
    <row r="821925" spans="1:1" x14ac:dyDescent="0.25">
      <c r="A821925" s="242"/>
    </row>
    <row r="821926" spans="1:1" x14ac:dyDescent="0.25">
      <c r="A821926" s="242"/>
    </row>
    <row r="821927" spans="1:1" x14ac:dyDescent="0.25">
      <c r="A821927" s="242"/>
    </row>
    <row r="821928" spans="1:1" x14ac:dyDescent="0.25">
      <c r="A821928" s="242"/>
    </row>
    <row r="821929" spans="1:1" x14ac:dyDescent="0.25">
      <c r="A821929" s="242"/>
    </row>
    <row r="821930" spans="1:1" x14ac:dyDescent="0.25">
      <c r="A821930" s="242"/>
    </row>
    <row r="821931" spans="1:1" x14ac:dyDescent="0.25">
      <c r="A821931" s="242"/>
    </row>
    <row r="821932" spans="1:1" x14ac:dyDescent="0.25">
      <c r="A821932" s="242"/>
    </row>
    <row r="821933" spans="1:1" x14ac:dyDescent="0.25">
      <c r="A821933" s="242"/>
    </row>
    <row r="821934" spans="1:1" x14ac:dyDescent="0.25">
      <c r="A821934" s="242"/>
    </row>
    <row r="821935" spans="1:1" x14ac:dyDescent="0.25">
      <c r="A821935" s="242"/>
    </row>
    <row r="821936" spans="1:1" x14ac:dyDescent="0.25">
      <c r="A821936" s="242"/>
    </row>
    <row r="821937" spans="1:1" x14ac:dyDescent="0.25">
      <c r="A821937" s="242"/>
    </row>
    <row r="821938" spans="1:1" x14ac:dyDescent="0.25">
      <c r="A821938" s="242"/>
    </row>
    <row r="821939" spans="1:1" x14ac:dyDescent="0.25">
      <c r="A821939" s="242"/>
    </row>
    <row r="821940" spans="1:1" x14ac:dyDescent="0.25">
      <c r="A821940" s="242"/>
    </row>
    <row r="821941" spans="1:1" x14ac:dyDescent="0.25">
      <c r="A821941" s="242"/>
    </row>
    <row r="821942" spans="1:1" x14ac:dyDescent="0.25">
      <c r="A821942" s="242"/>
    </row>
    <row r="821943" spans="1:1" x14ac:dyDescent="0.25">
      <c r="A821943" s="242"/>
    </row>
    <row r="821944" spans="1:1" x14ac:dyDescent="0.25">
      <c r="A821944" s="242"/>
    </row>
    <row r="821945" spans="1:1" x14ac:dyDescent="0.25">
      <c r="A821945" s="242"/>
    </row>
    <row r="821946" spans="1:1" x14ac:dyDescent="0.25">
      <c r="A821946" s="242"/>
    </row>
    <row r="821947" spans="1:1" x14ac:dyDescent="0.25">
      <c r="A821947" s="242"/>
    </row>
    <row r="821948" spans="1:1" x14ac:dyDescent="0.25">
      <c r="A821948" s="242"/>
    </row>
    <row r="821949" spans="1:1" x14ac:dyDescent="0.25">
      <c r="A821949" s="242"/>
    </row>
    <row r="821950" spans="1:1" x14ac:dyDescent="0.25">
      <c r="A821950" s="242"/>
    </row>
    <row r="821951" spans="1:1" x14ac:dyDescent="0.25">
      <c r="A821951" s="242"/>
    </row>
    <row r="821952" spans="1:1" x14ac:dyDescent="0.25">
      <c r="A821952" s="242"/>
    </row>
    <row r="821953" spans="1:1" x14ac:dyDescent="0.25">
      <c r="A821953" s="242"/>
    </row>
    <row r="821954" spans="1:1" x14ac:dyDescent="0.25">
      <c r="A821954" s="242"/>
    </row>
    <row r="821955" spans="1:1" x14ac:dyDescent="0.25">
      <c r="A821955" s="242"/>
    </row>
    <row r="821956" spans="1:1" x14ac:dyDescent="0.25">
      <c r="A821956" s="242"/>
    </row>
    <row r="821957" spans="1:1" x14ac:dyDescent="0.25">
      <c r="A821957" s="242"/>
    </row>
    <row r="821958" spans="1:1" x14ac:dyDescent="0.25">
      <c r="A821958" s="242"/>
    </row>
    <row r="821959" spans="1:1" x14ac:dyDescent="0.25">
      <c r="A821959" s="242"/>
    </row>
    <row r="821960" spans="1:1" x14ac:dyDescent="0.25">
      <c r="A821960" s="242"/>
    </row>
    <row r="821961" spans="1:1" x14ac:dyDescent="0.25">
      <c r="A821961" s="242"/>
    </row>
    <row r="821962" spans="1:1" x14ac:dyDescent="0.25">
      <c r="A821962" s="242"/>
    </row>
    <row r="821963" spans="1:1" x14ac:dyDescent="0.25">
      <c r="A821963" s="242"/>
    </row>
    <row r="821964" spans="1:1" x14ac:dyDescent="0.25">
      <c r="A821964" s="242"/>
    </row>
    <row r="821965" spans="1:1" x14ac:dyDescent="0.25">
      <c r="A821965" s="242"/>
    </row>
    <row r="821966" spans="1:1" x14ac:dyDescent="0.25">
      <c r="A821966" s="242"/>
    </row>
    <row r="821967" spans="1:1" x14ac:dyDescent="0.25">
      <c r="A821967" s="242"/>
    </row>
    <row r="821968" spans="1:1" x14ac:dyDescent="0.25">
      <c r="A821968" s="242"/>
    </row>
    <row r="821969" spans="1:1" x14ac:dyDescent="0.25">
      <c r="A821969" s="242"/>
    </row>
    <row r="821970" spans="1:1" x14ac:dyDescent="0.25">
      <c r="A821970" s="242"/>
    </row>
    <row r="821971" spans="1:1" x14ac:dyDescent="0.25">
      <c r="A821971" s="242"/>
    </row>
    <row r="821972" spans="1:1" x14ac:dyDescent="0.25">
      <c r="A821972" s="242"/>
    </row>
    <row r="821973" spans="1:1" x14ac:dyDescent="0.25">
      <c r="A821973" s="242"/>
    </row>
    <row r="821974" spans="1:1" x14ac:dyDescent="0.25">
      <c r="A821974" s="242"/>
    </row>
    <row r="821975" spans="1:1" x14ac:dyDescent="0.25">
      <c r="A821975" s="242"/>
    </row>
    <row r="821976" spans="1:1" x14ac:dyDescent="0.25">
      <c r="A821976" s="242"/>
    </row>
    <row r="821977" spans="1:1" x14ac:dyDescent="0.25">
      <c r="A821977" s="242"/>
    </row>
    <row r="821978" spans="1:1" x14ac:dyDescent="0.25">
      <c r="A821978" s="242"/>
    </row>
    <row r="821979" spans="1:1" x14ac:dyDescent="0.25">
      <c r="A821979" s="242"/>
    </row>
    <row r="821980" spans="1:1" x14ac:dyDescent="0.25">
      <c r="A821980" s="242"/>
    </row>
    <row r="821981" spans="1:1" x14ac:dyDescent="0.25">
      <c r="A821981" s="242"/>
    </row>
    <row r="821982" spans="1:1" x14ac:dyDescent="0.25">
      <c r="A821982" s="242"/>
    </row>
    <row r="821983" spans="1:1" x14ac:dyDescent="0.25">
      <c r="A821983" s="242"/>
    </row>
    <row r="821984" spans="1:1" x14ac:dyDescent="0.25">
      <c r="A821984" s="242"/>
    </row>
    <row r="821985" spans="1:1" x14ac:dyDescent="0.25">
      <c r="A821985" s="242"/>
    </row>
    <row r="821986" spans="1:1" x14ac:dyDescent="0.25">
      <c r="A821986" s="242"/>
    </row>
    <row r="821987" spans="1:1" x14ac:dyDescent="0.25">
      <c r="A821987" s="242"/>
    </row>
    <row r="821988" spans="1:1" x14ac:dyDescent="0.25">
      <c r="A821988" s="242"/>
    </row>
    <row r="821989" spans="1:1" x14ac:dyDescent="0.25">
      <c r="A821989" s="242"/>
    </row>
    <row r="821990" spans="1:1" x14ac:dyDescent="0.25">
      <c r="A821990" s="242"/>
    </row>
    <row r="821991" spans="1:1" x14ac:dyDescent="0.25">
      <c r="A821991" s="242"/>
    </row>
    <row r="821992" spans="1:1" x14ac:dyDescent="0.25">
      <c r="A821992" s="242"/>
    </row>
    <row r="821993" spans="1:1" x14ac:dyDescent="0.25">
      <c r="A821993" s="242"/>
    </row>
    <row r="821994" spans="1:1" x14ac:dyDescent="0.25">
      <c r="A821994" s="242"/>
    </row>
    <row r="821995" spans="1:1" x14ac:dyDescent="0.25">
      <c r="A821995" s="242"/>
    </row>
    <row r="821996" spans="1:1" x14ac:dyDescent="0.25">
      <c r="A821996" s="242"/>
    </row>
    <row r="821997" spans="1:1" x14ac:dyDescent="0.25">
      <c r="A821997" s="242"/>
    </row>
    <row r="821998" spans="1:1" x14ac:dyDescent="0.25">
      <c r="A821998" s="242"/>
    </row>
    <row r="821999" spans="1:1" x14ac:dyDescent="0.25">
      <c r="A821999" s="242"/>
    </row>
    <row r="822000" spans="1:1" x14ac:dyDescent="0.25">
      <c r="A822000" s="242"/>
    </row>
    <row r="822001" spans="1:1" x14ac:dyDescent="0.25">
      <c r="A822001" s="242"/>
    </row>
    <row r="822002" spans="1:1" x14ac:dyDescent="0.25">
      <c r="A822002" s="242"/>
    </row>
    <row r="822003" spans="1:1" x14ac:dyDescent="0.25">
      <c r="A822003" s="242"/>
    </row>
    <row r="822004" spans="1:1" x14ac:dyDescent="0.25">
      <c r="A822004" s="242"/>
    </row>
    <row r="822005" spans="1:1" x14ac:dyDescent="0.25">
      <c r="A822005" s="242"/>
    </row>
    <row r="822006" spans="1:1" x14ac:dyDescent="0.25">
      <c r="A822006" s="242"/>
    </row>
    <row r="822007" spans="1:1" x14ac:dyDescent="0.25">
      <c r="A822007" s="242"/>
    </row>
    <row r="822008" spans="1:1" x14ac:dyDescent="0.25">
      <c r="A822008" s="242"/>
    </row>
    <row r="822009" spans="1:1" x14ac:dyDescent="0.25">
      <c r="A822009" s="242"/>
    </row>
    <row r="822010" spans="1:1" x14ac:dyDescent="0.25">
      <c r="A822010" s="242"/>
    </row>
    <row r="822011" spans="1:1" x14ac:dyDescent="0.25">
      <c r="A822011" s="242"/>
    </row>
    <row r="822012" spans="1:1" x14ac:dyDescent="0.25">
      <c r="A822012" s="242"/>
    </row>
    <row r="822013" spans="1:1" x14ac:dyDescent="0.25">
      <c r="A822013" s="242"/>
    </row>
    <row r="822014" spans="1:1" x14ac:dyDescent="0.25">
      <c r="A822014" s="242"/>
    </row>
    <row r="822015" spans="1:1" x14ac:dyDescent="0.25">
      <c r="A822015" s="242"/>
    </row>
    <row r="822016" spans="1:1" x14ac:dyDescent="0.25">
      <c r="A822016" s="242"/>
    </row>
    <row r="822017" spans="1:1" x14ac:dyDescent="0.25">
      <c r="A822017" s="242"/>
    </row>
    <row r="822018" spans="1:1" x14ac:dyDescent="0.25">
      <c r="A822018" s="242"/>
    </row>
    <row r="822019" spans="1:1" x14ac:dyDescent="0.25">
      <c r="A822019" s="242"/>
    </row>
    <row r="822020" spans="1:1" x14ac:dyDescent="0.25">
      <c r="A822020" s="242"/>
    </row>
    <row r="822021" spans="1:1" x14ac:dyDescent="0.25">
      <c r="A822021" s="242"/>
    </row>
    <row r="822022" spans="1:1" x14ac:dyDescent="0.25">
      <c r="A822022" s="242"/>
    </row>
    <row r="822023" spans="1:1" x14ac:dyDescent="0.25">
      <c r="A822023" s="242"/>
    </row>
    <row r="822024" spans="1:1" x14ac:dyDescent="0.25">
      <c r="A822024" s="242"/>
    </row>
    <row r="822025" spans="1:1" x14ac:dyDescent="0.25">
      <c r="A822025" s="242"/>
    </row>
    <row r="822026" spans="1:1" x14ac:dyDescent="0.25">
      <c r="A822026" s="242"/>
    </row>
    <row r="822027" spans="1:1" x14ac:dyDescent="0.25">
      <c r="A822027" s="242"/>
    </row>
    <row r="822028" spans="1:1" x14ac:dyDescent="0.25">
      <c r="A822028" s="242"/>
    </row>
    <row r="822029" spans="1:1" x14ac:dyDescent="0.25">
      <c r="A822029" s="242"/>
    </row>
    <row r="822030" spans="1:1" x14ac:dyDescent="0.25">
      <c r="A822030" s="242"/>
    </row>
    <row r="822031" spans="1:1" x14ac:dyDescent="0.25">
      <c r="A822031" s="242"/>
    </row>
    <row r="822032" spans="1:1" x14ac:dyDescent="0.25">
      <c r="A822032" s="242"/>
    </row>
    <row r="822033" spans="1:1" x14ac:dyDescent="0.25">
      <c r="A822033" s="242"/>
    </row>
    <row r="822034" spans="1:1" x14ac:dyDescent="0.25">
      <c r="A822034" s="242"/>
    </row>
    <row r="822035" spans="1:1" x14ac:dyDescent="0.25">
      <c r="A822035" s="242"/>
    </row>
    <row r="822036" spans="1:1" x14ac:dyDescent="0.25">
      <c r="A822036" s="242"/>
    </row>
    <row r="822037" spans="1:1" x14ac:dyDescent="0.25">
      <c r="A822037" s="242"/>
    </row>
    <row r="822038" spans="1:1" x14ac:dyDescent="0.25">
      <c r="A822038" s="242"/>
    </row>
    <row r="822039" spans="1:1" x14ac:dyDescent="0.25">
      <c r="A822039" s="242"/>
    </row>
    <row r="822040" spans="1:1" x14ac:dyDescent="0.25">
      <c r="A822040" s="242"/>
    </row>
    <row r="822041" spans="1:1" x14ac:dyDescent="0.25">
      <c r="A822041" s="242"/>
    </row>
    <row r="822042" spans="1:1" x14ac:dyDescent="0.25">
      <c r="A822042" s="242"/>
    </row>
    <row r="822043" spans="1:1" x14ac:dyDescent="0.25">
      <c r="A822043" s="242"/>
    </row>
    <row r="822044" spans="1:1" x14ac:dyDescent="0.25">
      <c r="A822044" s="242"/>
    </row>
    <row r="822045" spans="1:1" x14ac:dyDescent="0.25">
      <c r="A822045" s="242"/>
    </row>
    <row r="822046" spans="1:1" x14ac:dyDescent="0.25">
      <c r="A822046" s="242"/>
    </row>
    <row r="822047" spans="1:1" x14ac:dyDescent="0.25">
      <c r="A822047" s="242"/>
    </row>
    <row r="822048" spans="1:1" x14ac:dyDescent="0.25">
      <c r="A822048" s="242"/>
    </row>
    <row r="822049" spans="1:1" x14ac:dyDescent="0.25">
      <c r="A822049" s="242"/>
    </row>
    <row r="822050" spans="1:1" x14ac:dyDescent="0.25">
      <c r="A822050" s="242"/>
    </row>
    <row r="822051" spans="1:1" x14ac:dyDescent="0.25">
      <c r="A822051" s="242"/>
    </row>
    <row r="822052" spans="1:1" x14ac:dyDescent="0.25">
      <c r="A822052" s="242"/>
    </row>
    <row r="822053" spans="1:1" x14ac:dyDescent="0.25">
      <c r="A822053" s="242"/>
    </row>
    <row r="822054" spans="1:1" x14ac:dyDescent="0.25">
      <c r="A822054" s="242"/>
    </row>
    <row r="822055" spans="1:1" x14ac:dyDescent="0.25">
      <c r="A822055" s="242"/>
    </row>
    <row r="822056" spans="1:1" x14ac:dyDescent="0.25">
      <c r="A822056" s="242"/>
    </row>
    <row r="822057" spans="1:1" x14ac:dyDescent="0.25">
      <c r="A822057" s="242"/>
    </row>
    <row r="822058" spans="1:1" x14ac:dyDescent="0.25">
      <c r="A822058" s="242"/>
    </row>
    <row r="822059" spans="1:1" x14ac:dyDescent="0.25">
      <c r="A822059" s="242"/>
    </row>
    <row r="822060" spans="1:1" x14ac:dyDescent="0.25">
      <c r="A822060" s="242"/>
    </row>
    <row r="822061" spans="1:1" x14ac:dyDescent="0.25">
      <c r="A822061" s="242"/>
    </row>
    <row r="822062" spans="1:1" x14ac:dyDescent="0.25">
      <c r="A822062" s="242"/>
    </row>
    <row r="822063" spans="1:1" x14ac:dyDescent="0.25">
      <c r="A822063" s="242"/>
    </row>
    <row r="822064" spans="1:1" x14ac:dyDescent="0.25">
      <c r="A822064" s="242"/>
    </row>
    <row r="822065" spans="1:1" x14ac:dyDescent="0.25">
      <c r="A822065" s="242"/>
    </row>
    <row r="822066" spans="1:1" x14ac:dyDescent="0.25">
      <c r="A822066" s="242"/>
    </row>
    <row r="822067" spans="1:1" x14ac:dyDescent="0.25">
      <c r="A822067" s="242"/>
    </row>
    <row r="822068" spans="1:1" x14ac:dyDescent="0.25">
      <c r="A822068" s="242"/>
    </row>
    <row r="822069" spans="1:1" x14ac:dyDescent="0.25">
      <c r="A822069" s="242"/>
    </row>
    <row r="822070" spans="1:1" x14ac:dyDescent="0.25">
      <c r="A822070" s="242"/>
    </row>
    <row r="822071" spans="1:1" x14ac:dyDescent="0.25">
      <c r="A822071" s="242"/>
    </row>
    <row r="822072" spans="1:1" x14ac:dyDescent="0.25">
      <c r="A822072" s="242"/>
    </row>
    <row r="822073" spans="1:1" x14ac:dyDescent="0.25">
      <c r="A822073" s="242"/>
    </row>
    <row r="822074" spans="1:1" x14ac:dyDescent="0.25">
      <c r="A822074" s="242"/>
    </row>
    <row r="822075" spans="1:1" x14ac:dyDescent="0.25">
      <c r="A822075" s="242"/>
    </row>
    <row r="822076" spans="1:1" x14ac:dyDescent="0.25">
      <c r="A822076" s="242"/>
    </row>
    <row r="822077" spans="1:1" x14ac:dyDescent="0.25">
      <c r="A822077" s="242"/>
    </row>
    <row r="822078" spans="1:1" x14ac:dyDescent="0.25">
      <c r="A822078" s="242"/>
    </row>
    <row r="822079" spans="1:1" x14ac:dyDescent="0.25">
      <c r="A822079" s="242"/>
    </row>
    <row r="822080" spans="1:1" x14ac:dyDescent="0.25">
      <c r="A822080" s="242"/>
    </row>
    <row r="822081" spans="1:1" x14ac:dyDescent="0.25">
      <c r="A822081" s="242"/>
    </row>
    <row r="822082" spans="1:1" x14ac:dyDescent="0.25">
      <c r="A822082" s="242"/>
    </row>
    <row r="822083" spans="1:1" x14ac:dyDescent="0.25">
      <c r="A822083" s="242"/>
    </row>
    <row r="822084" spans="1:1" x14ac:dyDescent="0.25">
      <c r="A822084" s="242"/>
    </row>
    <row r="822085" spans="1:1" x14ac:dyDescent="0.25">
      <c r="A822085" s="242"/>
    </row>
    <row r="822086" spans="1:1" x14ac:dyDescent="0.25">
      <c r="A822086" s="242"/>
    </row>
    <row r="822087" spans="1:1" x14ac:dyDescent="0.25">
      <c r="A822087" s="242"/>
    </row>
    <row r="822088" spans="1:1" x14ac:dyDescent="0.25">
      <c r="A822088" s="242"/>
    </row>
    <row r="822089" spans="1:1" x14ac:dyDescent="0.25">
      <c r="A822089" s="242"/>
    </row>
    <row r="822090" spans="1:1" x14ac:dyDescent="0.25">
      <c r="A822090" s="242"/>
    </row>
    <row r="822091" spans="1:1" x14ac:dyDescent="0.25">
      <c r="A822091" s="242"/>
    </row>
    <row r="822092" spans="1:1" x14ac:dyDescent="0.25">
      <c r="A822092" s="242"/>
    </row>
    <row r="822093" spans="1:1" x14ac:dyDescent="0.25">
      <c r="A822093" s="242"/>
    </row>
    <row r="822094" spans="1:1" x14ac:dyDescent="0.25">
      <c r="A822094" s="242"/>
    </row>
    <row r="822095" spans="1:1" x14ac:dyDescent="0.25">
      <c r="A822095" s="242"/>
    </row>
    <row r="822096" spans="1:1" x14ac:dyDescent="0.25">
      <c r="A822096" s="242"/>
    </row>
    <row r="822097" spans="1:1" x14ac:dyDescent="0.25">
      <c r="A822097" s="242"/>
    </row>
    <row r="822098" spans="1:1" x14ac:dyDescent="0.25">
      <c r="A822098" s="242"/>
    </row>
    <row r="822099" spans="1:1" x14ac:dyDescent="0.25">
      <c r="A822099" s="242"/>
    </row>
    <row r="822100" spans="1:1" x14ac:dyDescent="0.25">
      <c r="A822100" s="242"/>
    </row>
    <row r="822101" spans="1:1" x14ac:dyDescent="0.25">
      <c r="A822101" s="242"/>
    </row>
    <row r="822102" spans="1:1" x14ac:dyDescent="0.25">
      <c r="A822102" s="242"/>
    </row>
    <row r="822103" spans="1:1" x14ac:dyDescent="0.25">
      <c r="A822103" s="242"/>
    </row>
    <row r="822104" spans="1:1" x14ac:dyDescent="0.25">
      <c r="A822104" s="242"/>
    </row>
    <row r="822105" spans="1:1" x14ac:dyDescent="0.25">
      <c r="A822105" s="242"/>
    </row>
    <row r="822106" spans="1:1" x14ac:dyDescent="0.25">
      <c r="A822106" s="242"/>
    </row>
    <row r="822107" spans="1:1" x14ac:dyDescent="0.25">
      <c r="A822107" s="242"/>
    </row>
    <row r="822108" spans="1:1" x14ac:dyDescent="0.25">
      <c r="A822108" s="242"/>
    </row>
    <row r="822109" spans="1:1" x14ac:dyDescent="0.25">
      <c r="A822109" s="242"/>
    </row>
    <row r="822110" spans="1:1" x14ac:dyDescent="0.25">
      <c r="A822110" s="242"/>
    </row>
    <row r="822111" spans="1:1" x14ac:dyDescent="0.25">
      <c r="A822111" s="242"/>
    </row>
    <row r="822112" spans="1:1" x14ac:dyDescent="0.25">
      <c r="A822112" s="242"/>
    </row>
    <row r="822113" spans="1:1" x14ac:dyDescent="0.25">
      <c r="A822113" s="242"/>
    </row>
    <row r="822114" spans="1:1" x14ac:dyDescent="0.25">
      <c r="A822114" s="242"/>
    </row>
    <row r="822115" spans="1:1" x14ac:dyDescent="0.25">
      <c r="A822115" s="242"/>
    </row>
    <row r="822116" spans="1:1" x14ac:dyDescent="0.25">
      <c r="A822116" s="242"/>
    </row>
    <row r="822117" spans="1:1" x14ac:dyDescent="0.25">
      <c r="A822117" s="242"/>
    </row>
    <row r="822118" spans="1:1" x14ac:dyDescent="0.25">
      <c r="A822118" s="242"/>
    </row>
    <row r="822119" spans="1:1" x14ac:dyDescent="0.25">
      <c r="A822119" s="242"/>
    </row>
    <row r="822120" spans="1:1" x14ac:dyDescent="0.25">
      <c r="A822120" s="242"/>
    </row>
    <row r="822121" spans="1:1" x14ac:dyDescent="0.25">
      <c r="A822121" s="242"/>
    </row>
    <row r="822122" spans="1:1" x14ac:dyDescent="0.25">
      <c r="A822122" s="242"/>
    </row>
    <row r="822123" spans="1:1" x14ac:dyDescent="0.25">
      <c r="A822123" s="242"/>
    </row>
    <row r="822124" spans="1:1" x14ac:dyDescent="0.25">
      <c r="A822124" s="242"/>
    </row>
    <row r="822125" spans="1:1" x14ac:dyDescent="0.25">
      <c r="A822125" s="242"/>
    </row>
    <row r="822126" spans="1:1" x14ac:dyDescent="0.25">
      <c r="A822126" s="242"/>
    </row>
    <row r="822127" spans="1:1" x14ac:dyDescent="0.25">
      <c r="A822127" s="242"/>
    </row>
    <row r="822128" spans="1:1" x14ac:dyDescent="0.25">
      <c r="A822128" s="242"/>
    </row>
    <row r="822129" spans="1:1" x14ac:dyDescent="0.25">
      <c r="A822129" s="242"/>
    </row>
    <row r="822130" spans="1:1" x14ac:dyDescent="0.25">
      <c r="A822130" s="242"/>
    </row>
    <row r="822131" spans="1:1" x14ac:dyDescent="0.25">
      <c r="A822131" s="242"/>
    </row>
    <row r="822132" spans="1:1" x14ac:dyDescent="0.25">
      <c r="A822132" s="242"/>
    </row>
    <row r="822133" spans="1:1" x14ac:dyDescent="0.25">
      <c r="A822133" s="242"/>
    </row>
    <row r="822134" spans="1:1" x14ac:dyDescent="0.25">
      <c r="A822134" s="242"/>
    </row>
    <row r="822135" spans="1:1" x14ac:dyDescent="0.25">
      <c r="A822135" s="242"/>
    </row>
    <row r="822136" spans="1:1" x14ac:dyDescent="0.25">
      <c r="A822136" s="242"/>
    </row>
    <row r="822137" spans="1:1" x14ac:dyDescent="0.25">
      <c r="A822137" s="242"/>
    </row>
    <row r="822138" spans="1:1" x14ac:dyDescent="0.25">
      <c r="A822138" s="242"/>
    </row>
    <row r="822139" spans="1:1" x14ac:dyDescent="0.25">
      <c r="A822139" s="242"/>
    </row>
    <row r="822140" spans="1:1" x14ac:dyDescent="0.25">
      <c r="A822140" s="242"/>
    </row>
    <row r="822141" spans="1:1" x14ac:dyDescent="0.25">
      <c r="A822141" s="242"/>
    </row>
    <row r="822142" spans="1:1" x14ac:dyDescent="0.25">
      <c r="A822142" s="242"/>
    </row>
    <row r="822143" spans="1:1" x14ac:dyDescent="0.25">
      <c r="A822143" s="242"/>
    </row>
    <row r="822144" spans="1:1" x14ac:dyDescent="0.25">
      <c r="A822144" s="242"/>
    </row>
    <row r="822145" spans="1:1" x14ac:dyDescent="0.25">
      <c r="A822145" s="242"/>
    </row>
    <row r="822146" spans="1:1" x14ac:dyDescent="0.25">
      <c r="A822146" s="242"/>
    </row>
    <row r="822147" spans="1:1" x14ac:dyDescent="0.25">
      <c r="A822147" s="242"/>
    </row>
    <row r="822148" spans="1:1" x14ac:dyDescent="0.25">
      <c r="A822148" s="242"/>
    </row>
    <row r="822149" spans="1:1" x14ac:dyDescent="0.25">
      <c r="A822149" s="242"/>
    </row>
    <row r="822150" spans="1:1" x14ac:dyDescent="0.25">
      <c r="A822150" s="242"/>
    </row>
    <row r="822151" spans="1:1" x14ac:dyDescent="0.25">
      <c r="A822151" s="242"/>
    </row>
    <row r="822152" spans="1:1" x14ac:dyDescent="0.25">
      <c r="A822152" s="242"/>
    </row>
    <row r="822153" spans="1:1" x14ac:dyDescent="0.25">
      <c r="A822153" s="242"/>
    </row>
    <row r="822154" spans="1:1" x14ac:dyDescent="0.25">
      <c r="A822154" s="242"/>
    </row>
    <row r="822155" spans="1:1" x14ac:dyDescent="0.25">
      <c r="A822155" s="242"/>
    </row>
    <row r="822156" spans="1:1" x14ac:dyDescent="0.25">
      <c r="A822156" s="242"/>
    </row>
    <row r="822157" spans="1:1" x14ac:dyDescent="0.25">
      <c r="A822157" s="242"/>
    </row>
    <row r="822158" spans="1:1" x14ac:dyDescent="0.25">
      <c r="A822158" s="242"/>
    </row>
    <row r="822159" spans="1:1" x14ac:dyDescent="0.25">
      <c r="A822159" s="242"/>
    </row>
    <row r="822160" spans="1:1" x14ac:dyDescent="0.25">
      <c r="A822160" s="242"/>
    </row>
    <row r="822161" spans="1:1" x14ac:dyDescent="0.25">
      <c r="A822161" s="242"/>
    </row>
    <row r="822162" spans="1:1" x14ac:dyDescent="0.25">
      <c r="A822162" s="242"/>
    </row>
    <row r="822163" spans="1:1" x14ac:dyDescent="0.25">
      <c r="A822163" s="242"/>
    </row>
    <row r="822164" spans="1:1" x14ac:dyDescent="0.25">
      <c r="A822164" s="242"/>
    </row>
    <row r="822165" spans="1:1" x14ac:dyDescent="0.25">
      <c r="A822165" s="242"/>
    </row>
    <row r="822166" spans="1:1" x14ac:dyDescent="0.25">
      <c r="A822166" s="242"/>
    </row>
    <row r="822167" spans="1:1" x14ac:dyDescent="0.25">
      <c r="A822167" s="242"/>
    </row>
    <row r="822168" spans="1:1" x14ac:dyDescent="0.25">
      <c r="A822168" s="242"/>
    </row>
    <row r="822169" spans="1:1" x14ac:dyDescent="0.25">
      <c r="A822169" s="242"/>
    </row>
    <row r="822170" spans="1:1" x14ac:dyDescent="0.25">
      <c r="A822170" s="242"/>
    </row>
    <row r="822171" spans="1:1" x14ac:dyDescent="0.25">
      <c r="A822171" s="242"/>
    </row>
    <row r="822172" spans="1:1" x14ac:dyDescent="0.25">
      <c r="A822172" s="242"/>
    </row>
    <row r="822173" spans="1:1" x14ac:dyDescent="0.25">
      <c r="A822173" s="242"/>
    </row>
    <row r="822174" spans="1:1" x14ac:dyDescent="0.25">
      <c r="A822174" s="242"/>
    </row>
    <row r="822175" spans="1:1" x14ac:dyDescent="0.25">
      <c r="A822175" s="242"/>
    </row>
    <row r="822176" spans="1:1" x14ac:dyDescent="0.25">
      <c r="A822176" s="242"/>
    </row>
    <row r="822177" spans="1:1" x14ac:dyDescent="0.25">
      <c r="A822177" s="242"/>
    </row>
    <row r="822178" spans="1:1" x14ac:dyDescent="0.25">
      <c r="A822178" s="242"/>
    </row>
    <row r="822179" spans="1:1" x14ac:dyDescent="0.25">
      <c r="A822179" s="242"/>
    </row>
    <row r="822180" spans="1:1" x14ac:dyDescent="0.25">
      <c r="A822180" s="242"/>
    </row>
    <row r="822181" spans="1:1" x14ac:dyDescent="0.25">
      <c r="A822181" s="242"/>
    </row>
    <row r="822182" spans="1:1" x14ac:dyDescent="0.25">
      <c r="A822182" s="242"/>
    </row>
    <row r="822183" spans="1:1" x14ac:dyDescent="0.25">
      <c r="A822183" s="242"/>
    </row>
    <row r="822184" spans="1:1" x14ac:dyDescent="0.25">
      <c r="A822184" s="242"/>
    </row>
    <row r="822185" spans="1:1" x14ac:dyDescent="0.25">
      <c r="A822185" s="242"/>
    </row>
    <row r="822186" spans="1:1" x14ac:dyDescent="0.25">
      <c r="A822186" s="242"/>
    </row>
    <row r="822187" spans="1:1" x14ac:dyDescent="0.25">
      <c r="A822187" s="242"/>
    </row>
    <row r="822188" spans="1:1" x14ac:dyDescent="0.25">
      <c r="A822188" s="242"/>
    </row>
    <row r="822189" spans="1:1" x14ac:dyDescent="0.25">
      <c r="A822189" s="242"/>
    </row>
    <row r="822190" spans="1:1" x14ac:dyDescent="0.25">
      <c r="A822190" s="242"/>
    </row>
    <row r="822191" spans="1:1" x14ac:dyDescent="0.25">
      <c r="A822191" s="242"/>
    </row>
    <row r="822192" spans="1:1" x14ac:dyDescent="0.25">
      <c r="A822192" s="242"/>
    </row>
    <row r="822193" spans="1:1" x14ac:dyDescent="0.25">
      <c r="A822193" s="242"/>
    </row>
    <row r="822194" spans="1:1" x14ac:dyDescent="0.25">
      <c r="A822194" s="242"/>
    </row>
    <row r="822195" spans="1:1" x14ac:dyDescent="0.25">
      <c r="A822195" s="242"/>
    </row>
    <row r="822196" spans="1:1" x14ac:dyDescent="0.25">
      <c r="A822196" s="242"/>
    </row>
    <row r="822197" spans="1:1" x14ac:dyDescent="0.25">
      <c r="A822197" s="242"/>
    </row>
    <row r="822198" spans="1:1" x14ac:dyDescent="0.25">
      <c r="A822198" s="242"/>
    </row>
    <row r="822199" spans="1:1" x14ac:dyDescent="0.25">
      <c r="A822199" s="242"/>
    </row>
    <row r="822200" spans="1:1" x14ac:dyDescent="0.25">
      <c r="A822200" s="242"/>
    </row>
    <row r="822201" spans="1:1" x14ac:dyDescent="0.25">
      <c r="A822201" s="242"/>
    </row>
    <row r="822202" spans="1:1" x14ac:dyDescent="0.25">
      <c r="A822202" s="242"/>
    </row>
    <row r="822203" spans="1:1" x14ac:dyDescent="0.25">
      <c r="A822203" s="242"/>
    </row>
    <row r="822204" spans="1:1" x14ac:dyDescent="0.25">
      <c r="A822204" s="242"/>
    </row>
    <row r="822205" spans="1:1" x14ac:dyDescent="0.25">
      <c r="A822205" s="242"/>
    </row>
    <row r="822206" spans="1:1" x14ac:dyDescent="0.25">
      <c r="A822206" s="242"/>
    </row>
    <row r="822207" spans="1:1" x14ac:dyDescent="0.25">
      <c r="A822207" s="242"/>
    </row>
    <row r="822208" spans="1:1" x14ac:dyDescent="0.25">
      <c r="A822208" s="242"/>
    </row>
    <row r="822209" spans="1:1" x14ac:dyDescent="0.25">
      <c r="A822209" s="242"/>
    </row>
    <row r="822210" spans="1:1" x14ac:dyDescent="0.25">
      <c r="A822210" s="242"/>
    </row>
    <row r="822211" spans="1:1" x14ac:dyDescent="0.25">
      <c r="A822211" s="242"/>
    </row>
    <row r="822212" spans="1:1" x14ac:dyDescent="0.25">
      <c r="A822212" s="242"/>
    </row>
    <row r="822213" spans="1:1" x14ac:dyDescent="0.25">
      <c r="A822213" s="242"/>
    </row>
    <row r="822214" spans="1:1" x14ac:dyDescent="0.25">
      <c r="A822214" s="242"/>
    </row>
    <row r="822215" spans="1:1" x14ac:dyDescent="0.25">
      <c r="A822215" s="242"/>
    </row>
    <row r="822216" spans="1:1" x14ac:dyDescent="0.25">
      <c r="A822216" s="242"/>
    </row>
    <row r="822217" spans="1:1" x14ac:dyDescent="0.25">
      <c r="A822217" s="242"/>
    </row>
    <row r="822218" spans="1:1" x14ac:dyDescent="0.25">
      <c r="A822218" s="242"/>
    </row>
    <row r="822219" spans="1:1" x14ac:dyDescent="0.25">
      <c r="A822219" s="242"/>
    </row>
    <row r="822220" spans="1:1" x14ac:dyDescent="0.25">
      <c r="A822220" s="242"/>
    </row>
    <row r="822221" spans="1:1" x14ac:dyDescent="0.25">
      <c r="A822221" s="242"/>
    </row>
    <row r="822222" spans="1:1" x14ac:dyDescent="0.25">
      <c r="A822222" s="242"/>
    </row>
    <row r="822223" spans="1:1" x14ac:dyDescent="0.25">
      <c r="A822223" s="242"/>
    </row>
    <row r="822224" spans="1:1" x14ac:dyDescent="0.25">
      <c r="A822224" s="242"/>
    </row>
    <row r="822225" spans="1:1" x14ac:dyDescent="0.25">
      <c r="A822225" s="242"/>
    </row>
    <row r="822226" spans="1:1" x14ac:dyDescent="0.25">
      <c r="A822226" s="242"/>
    </row>
    <row r="822227" spans="1:1" x14ac:dyDescent="0.25">
      <c r="A822227" s="242"/>
    </row>
    <row r="822228" spans="1:1" x14ac:dyDescent="0.25">
      <c r="A822228" s="242"/>
    </row>
    <row r="822229" spans="1:1" x14ac:dyDescent="0.25">
      <c r="A822229" s="242"/>
    </row>
    <row r="822230" spans="1:1" x14ac:dyDescent="0.25">
      <c r="A822230" s="242"/>
    </row>
    <row r="822231" spans="1:1" x14ac:dyDescent="0.25">
      <c r="A822231" s="242"/>
    </row>
    <row r="822232" spans="1:1" x14ac:dyDescent="0.25">
      <c r="A822232" s="242"/>
    </row>
    <row r="822233" spans="1:1" x14ac:dyDescent="0.25">
      <c r="A822233" s="242"/>
    </row>
    <row r="822234" spans="1:1" x14ac:dyDescent="0.25">
      <c r="A822234" s="242"/>
    </row>
    <row r="822235" spans="1:1" x14ac:dyDescent="0.25">
      <c r="A822235" s="242"/>
    </row>
    <row r="822236" spans="1:1" x14ac:dyDescent="0.25">
      <c r="A822236" s="242"/>
    </row>
    <row r="822237" spans="1:1" x14ac:dyDescent="0.25">
      <c r="A822237" s="242"/>
    </row>
    <row r="822238" spans="1:1" x14ac:dyDescent="0.25">
      <c r="A822238" s="242"/>
    </row>
    <row r="822239" spans="1:1" x14ac:dyDescent="0.25">
      <c r="A822239" s="242"/>
    </row>
    <row r="822240" spans="1:1" x14ac:dyDescent="0.25">
      <c r="A822240" s="242"/>
    </row>
    <row r="822241" spans="1:1" x14ac:dyDescent="0.25">
      <c r="A822241" s="242"/>
    </row>
    <row r="822242" spans="1:1" x14ac:dyDescent="0.25">
      <c r="A822242" s="242"/>
    </row>
    <row r="822243" spans="1:1" x14ac:dyDescent="0.25">
      <c r="A822243" s="242"/>
    </row>
    <row r="822244" spans="1:1" x14ac:dyDescent="0.25">
      <c r="A822244" s="242"/>
    </row>
    <row r="822245" spans="1:1" x14ac:dyDescent="0.25">
      <c r="A822245" s="242"/>
    </row>
    <row r="822246" spans="1:1" x14ac:dyDescent="0.25">
      <c r="A822246" s="242"/>
    </row>
    <row r="822247" spans="1:1" x14ac:dyDescent="0.25">
      <c r="A822247" s="242"/>
    </row>
    <row r="822248" spans="1:1" x14ac:dyDescent="0.25">
      <c r="A822248" s="242"/>
    </row>
    <row r="822249" spans="1:1" x14ac:dyDescent="0.25">
      <c r="A822249" s="242"/>
    </row>
    <row r="822250" spans="1:1" x14ac:dyDescent="0.25">
      <c r="A822250" s="242"/>
    </row>
    <row r="822251" spans="1:1" x14ac:dyDescent="0.25">
      <c r="A822251" s="242"/>
    </row>
    <row r="822252" spans="1:1" x14ac:dyDescent="0.25">
      <c r="A822252" s="242"/>
    </row>
    <row r="822253" spans="1:1" x14ac:dyDescent="0.25">
      <c r="A822253" s="242"/>
    </row>
    <row r="822254" spans="1:1" x14ac:dyDescent="0.25">
      <c r="A822254" s="242"/>
    </row>
    <row r="822255" spans="1:1" x14ac:dyDescent="0.25">
      <c r="A822255" s="242"/>
    </row>
    <row r="822256" spans="1:1" x14ac:dyDescent="0.25">
      <c r="A822256" s="242"/>
    </row>
    <row r="822257" spans="1:1" x14ac:dyDescent="0.25">
      <c r="A822257" s="242"/>
    </row>
    <row r="822258" spans="1:1" x14ac:dyDescent="0.25">
      <c r="A822258" s="242"/>
    </row>
    <row r="822259" spans="1:1" x14ac:dyDescent="0.25">
      <c r="A822259" s="242"/>
    </row>
    <row r="822260" spans="1:1" x14ac:dyDescent="0.25">
      <c r="A822260" s="242"/>
    </row>
    <row r="822261" spans="1:1" x14ac:dyDescent="0.25">
      <c r="A822261" s="242"/>
    </row>
    <row r="822262" spans="1:1" x14ac:dyDescent="0.25">
      <c r="A822262" s="242"/>
    </row>
    <row r="822263" spans="1:1" x14ac:dyDescent="0.25">
      <c r="A822263" s="242"/>
    </row>
    <row r="822264" spans="1:1" x14ac:dyDescent="0.25">
      <c r="A822264" s="242"/>
    </row>
    <row r="822265" spans="1:1" x14ac:dyDescent="0.25">
      <c r="A822265" s="242"/>
    </row>
    <row r="822266" spans="1:1" x14ac:dyDescent="0.25">
      <c r="A822266" s="242"/>
    </row>
    <row r="822267" spans="1:1" x14ac:dyDescent="0.25">
      <c r="A822267" s="242"/>
    </row>
    <row r="822268" spans="1:1" x14ac:dyDescent="0.25">
      <c r="A822268" s="242"/>
    </row>
    <row r="822269" spans="1:1" x14ac:dyDescent="0.25">
      <c r="A822269" s="242"/>
    </row>
    <row r="822270" spans="1:1" x14ac:dyDescent="0.25">
      <c r="A822270" s="242"/>
    </row>
    <row r="822271" spans="1:1" x14ac:dyDescent="0.25">
      <c r="A822271" s="242"/>
    </row>
    <row r="822272" spans="1:1" x14ac:dyDescent="0.25">
      <c r="A822272" s="242"/>
    </row>
    <row r="822273" spans="1:1" x14ac:dyDescent="0.25">
      <c r="A822273" s="242"/>
    </row>
    <row r="822274" spans="1:1" x14ac:dyDescent="0.25">
      <c r="A822274" s="242"/>
    </row>
    <row r="822275" spans="1:1" x14ac:dyDescent="0.25">
      <c r="A822275" s="242"/>
    </row>
    <row r="822276" spans="1:1" x14ac:dyDescent="0.25">
      <c r="A822276" s="242"/>
    </row>
    <row r="822277" spans="1:1" x14ac:dyDescent="0.25">
      <c r="A822277" s="242"/>
    </row>
    <row r="822278" spans="1:1" x14ac:dyDescent="0.25">
      <c r="A822278" s="242"/>
    </row>
    <row r="822279" spans="1:1" x14ac:dyDescent="0.25">
      <c r="A822279" s="242"/>
    </row>
    <row r="822280" spans="1:1" x14ac:dyDescent="0.25">
      <c r="A822280" s="242"/>
    </row>
    <row r="822281" spans="1:1" x14ac:dyDescent="0.25">
      <c r="A822281" s="242"/>
    </row>
    <row r="822282" spans="1:1" x14ac:dyDescent="0.25">
      <c r="A822282" s="242"/>
    </row>
    <row r="822283" spans="1:1" x14ac:dyDescent="0.25">
      <c r="A822283" s="242"/>
    </row>
    <row r="822284" spans="1:1" x14ac:dyDescent="0.25">
      <c r="A822284" s="242"/>
    </row>
    <row r="822285" spans="1:1" x14ac:dyDescent="0.25">
      <c r="A822285" s="242"/>
    </row>
    <row r="822286" spans="1:1" x14ac:dyDescent="0.25">
      <c r="A822286" s="242"/>
    </row>
    <row r="822287" spans="1:1" x14ac:dyDescent="0.25">
      <c r="A822287" s="242"/>
    </row>
    <row r="822288" spans="1:1" x14ac:dyDescent="0.25">
      <c r="A822288" s="242"/>
    </row>
    <row r="822289" spans="1:1" x14ac:dyDescent="0.25">
      <c r="A822289" s="242"/>
    </row>
    <row r="822290" spans="1:1" x14ac:dyDescent="0.25">
      <c r="A822290" s="242"/>
    </row>
    <row r="822291" spans="1:1" x14ac:dyDescent="0.25">
      <c r="A822291" s="242"/>
    </row>
    <row r="822292" spans="1:1" x14ac:dyDescent="0.25">
      <c r="A822292" s="242"/>
    </row>
    <row r="822293" spans="1:1" x14ac:dyDescent="0.25">
      <c r="A822293" s="242"/>
    </row>
    <row r="822294" spans="1:1" x14ac:dyDescent="0.25">
      <c r="A822294" s="242"/>
    </row>
    <row r="822295" spans="1:1" x14ac:dyDescent="0.25">
      <c r="A822295" s="242"/>
    </row>
    <row r="822296" spans="1:1" x14ac:dyDescent="0.25">
      <c r="A822296" s="242"/>
    </row>
    <row r="822297" spans="1:1" x14ac:dyDescent="0.25">
      <c r="A822297" s="242"/>
    </row>
    <row r="822298" spans="1:1" x14ac:dyDescent="0.25">
      <c r="A822298" s="242"/>
    </row>
    <row r="822299" spans="1:1" x14ac:dyDescent="0.25">
      <c r="A822299" s="242"/>
    </row>
    <row r="822300" spans="1:1" x14ac:dyDescent="0.25">
      <c r="A822300" s="242"/>
    </row>
    <row r="822301" spans="1:1" x14ac:dyDescent="0.25">
      <c r="A822301" s="242"/>
    </row>
    <row r="822302" spans="1:1" x14ac:dyDescent="0.25">
      <c r="A822302" s="242"/>
    </row>
    <row r="822303" spans="1:1" x14ac:dyDescent="0.25">
      <c r="A822303" s="242"/>
    </row>
    <row r="822304" spans="1:1" x14ac:dyDescent="0.25">
      <c r="A822304" s="242"/>
    </row>
    <row r="822305" spans="1:1" x14ac:dyDescent="0.25">
      <c r="A822305" s="242"/>
    </row>
    <row r="822306" spans="1:1" x14ac:dyDescent="0.25">
      <c r="A822306" s="242"/>
    </row>
    <row r="822307" spans="1:1" x14ac:dyDescent="0.25">
      <c r="A822307" s="242"/>
    </row>
    <row r="822308" spans="1:1" x14ac:dyDescent="0.25">
      <c r="A822308" s="242"/>
    </row>
    <row r="822309" spans="1:1" x14ac:dyDescent="0.25">
      <c r="A822309" s="242"/>
    </row>
    <row r="822310" spans="1:1" x14ac:dyDescent="0.25">
      <c r="A822310" s="242"/>
    </row>
    <row r="822311" spans="1:1" x14ac:dyDescent="0.25">
      <c r="A822311" s="242"/>
    </row>
    <row r="822312" spans="1:1" x14ac:dyDescent="0.25">
      <c r="A822312" s="242"/>
    </row>
    <row r="822313" spans="1:1" x14ac:dyDescent="0.25">
      <c r="A822313" s="242"/>
    </row>
    <row r="822314" spans="1:1" x14ac:dyDescent="0.25">
      <c r="A822314" s="242"/>
    </row>
    <row r="822315" spans="1:1" x14ac:dyDescent="0.25">
      <c r="A822315" s="242"/>
    </row>
    <row r="822316" spans="1:1" x14ac:dyDescent="0.25">
      <c r="A822316" s="242"/>
    </row>
    <row r="822317" spans="1:1" x14ac:dyDescent="0.25">
      <c r="A822317" s="242"/>
    </row>
    <row r="822318" spans="1:1" x14ac:dyDescent="0.25">
      <c r="A822318" s="242"/>
    </row>
    <row r="822319" spans="1:1" x14ac:dyDescent="0.25">
      <c r="A822319" s="242"/>
    </row>
    <row r="822320" spans="1:1" x14ac:dyDescent="0.25">
      <c r="A822320" s="242"/>
    </row>
    <row r="822321" spans="1:1" x14ac:dyDescent="0.25">
      <c r="A822321" s="242"/>
    </row>
    <row r="822322" spans="1:1" x14ac:dyDescent="0.25">
      <c r="A822322" s="242"/>
    </row>
    <row r="822323" spans="1:1" x14ac:dyDescent="0.25">
      <c r="A822323" s="242"/>
    </row>
    <row r="822324" spans="1:1" x14ac:dyDescent="0.25">
      <c r="A822324" s="242"/>
    </row>
    <row r="822325" spans="1:1" x14ac:dyDescent="0.25">
      <c r="A822325" s="242"/>
    </row>
    <row r="822326" spans="1:1" x14ac:dyDescent="0.25">
      <c r="A822326" s="242"/>
    </row>
    <row r="822327" spans="1:1" x14ac:dyDescent="0.25">
      <c r="A822327" s="242"/>
    </row>
    <row r="822328" spans="1:1" x14ac:dyDescent="0.25">
      <c r="A822328" s="242"/>
    </row>
    <row r="822329" spans="1:1" x14ac:dyDescent="0.25">
      <c r="A822329" s="242"/>
    </row>
    <row r="822330" spans="1:1" x14ac:dyDescent="0.25">
      <c r="A822330" s="242"/>
    </row>
    <row r="822331" spans="1:1" x14ac:dyDescent="0.25">
      <c r="A822331" s="242"/>
    </row>
    <row r="822332" spans="1:1" x14ac:dyDescent="0.25">
      <c r="A822332" s="242"/>
    </row>
    <row r="822333" spans="1:1" x14ac:dyDescent="0.25">
      <c r="A822333" s="242"/>
    </row>
    <row r="822334" spans="1:1" x14ac:dyDescent="0.25">
      <c r="A822334" s="242"/>
    </row>
    <row r="822335" spans="1:1" x14ac:dyDescent="0.25">
      <c r="A822335" s="242"/>
    </row>
    <row r="822336" spans="1:1" x14ac:dyDescent="0.25">
      <c r="A822336" s="242"/>
    </row>
    <row r="822337" spans="1:1" x14ac:dyDescent="0.25">
      <c r="A822337" s="242"/>
    </row>
    <row r="822338" spans="1:1" x14ac:dyDescent="0.25">
      <c r="A822338" s="242"/>
    </row>
    <row r="822339" spans="1:1" x14ac:dyDescent="0.25">
      <c r="A822339" s="242"/>
    </row>
    <row r="822340" spans="1:1" x14ac:dyDescent="0.25">
      <c r="A822340" s="242"/>
    </row>
    <row r="822341" spans="1:1" x14ac:dyDescent="0.25">
      <c r="A822341" s="242"/>
    </row>
    <row r="822342" spans="1:1" x14ac:dyDescent="0.25">
      <c r="A822342" s="242"/>
    </row>
    <row r="822343" spans="1:1" x14ac:dyDescent="0.25">
      <c r="A822343" s="242"/>
    </row>
    <row r="822344" spans="1:1" x14ac:dyDescent="0.25">
      <c r="A822344" s="242"/>
    </row>
    <row r="822345" spans="1:1" x14ac:dyDescent="0.25">
      <c r="A822345" s="242"/>
    </row>
    <row r="822346" spans="1:1" x14ac:dyDescent="0.25">
      <c r="A822346" s="242"/>
    </row>
    <row r="822347" spans="1:1" x14ac:dyDescent="0.25">
      <c r="A822347" s="242"/>
    </row>
    <row r="822348" spans="1:1" x14ac:dyDescent="0.25">
      <c r="A822348" s="242"/>
    </row>
    <row r="822349" spans="1:1" x14ac:dyDescent="0.25">
      <c r="A822349" s="242"/>
    </row>
    <row r="822350" spans="1:1" x14ac:dyDescent="0.25">
      <c r="A822350" s="242"/>
    </row>
    <row r="822351" spans="1:1" x14ac:dyDescent="0.25">
      <c r="A822351" s="242"/>
    </row>
    <row r="822352" spans="1:1" x14ac:dyDescent="0.25">
      <c r="A822352" s="242"/>
    </row>
    <row r="822353" spans="1:1" x14ac:dyDescent="0.25">
      <c r="A822353" s="242"/>
    </row>
    <row r="822354" spans="1:1" x14ac:dyDescent="0.25">
      <c r="A822354" s="242"/>
    </row>
    <row r="822355" spans="1:1" x14ac:dyDescent="0.25">
      <c r="A822355" s="242"/>
    </row>
    <row r="822356" spans="1:1" x14ac:dyDescent="0.25">
      <c r="A822356" s="242"/>
    </row>
    <row r="822357" spans="1:1" x14ac:dyDescent="0.25">
      <c r="A822357" s="242"/>
    </row>
    <row r="822358" spans="1:1" x14ac:dyDescent="0.25">
      <c r="A822358" s="242"/>
    </row>
    <row r="822359" spans="1:1" x14ac:dyDescent="0.25">
      <c r="A822359" s="242"/>
    </row>
    <row r="822360" spans="1:1" x14ac:dyDescent="0.25">
      <c r="A822360" s="242"/>
    </row>
    <row r="822361" spans="1:1" x14ac:dyDescent="0.25">
      <c r="A822361" s="242"/>
    </row>
    <row r="822362" spans="1:1" x14ac:dyDescent="0.25">
      <c r="A822362" s="242"/>
    </row>
    <row r="822363" spans="1:1" x14ac:dyDescent="0.25">
      <c r="A822363" s="242"/>
    </row>
    <row r="822364" spans="1:1" x14ac:dyDescent="0.25">
      <c r="A822364" s="242"/>
    </row>
    <row r="822365" spans="1:1" x14ac:dyDescent="0.25">
      <c r="A822365" s="242"/>
    </row>
    <row r="822366" spans="1:1" x14ac:dyDescent="0.25">
      <c r="A822366" s="242"/>
    </row>
    <row r="822367" spans="1:1" x14ac:dyDescent="0.25">
      <c r="A822367" s="242"/>
    </row>
    <row r="822368" spans="1:1" x14ac:dyDescent="0.25">
      <c r="A822368" s="242"/>
    </row>
    <row r="822369" spans="1:1" x14ac:dyDescent="0.25">
      <c r="A822369" s="242"/>
    </row>
    <row r="822370" spans="1:1" x14ac:dyDescent="0.25">
      <c r="A822370" s="242"/>
    </row>
    <row r="822371" spans="1:1" x14ac:dyDescent="0.25">
      <c r="A822371" s="242"/>
    </row>
    <row r="822372" spans="1:1" x14ac:dyDescent="0.25">
      <c r="A822372" s="242"/>
    </row>
    <row r="822373" spans="1:1" x14ac:dyDescent="0.25">
      <c r="A822373" s="242"/>
    </row>
    <row r="822374" spans="1:1" x14ac:dyDescent="0.25">
      <c r="A822374" s="242"/>
    </row>
    <row r="822375" spans="1:1" x14ac:dyDescent="0.25">
      <c r="A822375" s="242"/>
    </row>
    <row r="822376" spans="1:1" x14ac:dyDescent="0.25">
      <c r="A822376" s="242"/>
    </row>
    <row r="822377" spans="1:1" x14ac:dyDescent="0.25">
      <c r="A822377" s="242"/>
    </row>
    <row r="822378" spans="1:1" x14ac:dyDescent="0.25">
      <c r="A822378" s="242"/>
    </row>
    <row r="822379" spans="1:1" x14ac:dyDescent="0.25">
      <c r="A822379" s="242"/>
    </row>
    <row r="822380" spans="1:1" x14ac:dyDescent="0.25">
      <c r="A822380" s="242"/>
    </row>
    <row r="822381" spans="1:1" x14ac:dyDescent="0.25">
      <c r="A822381" s="242"/>
    </row>
    <row r="822382" spans="1:1" x14ac:dyDescent="0.25">
      <c r="A822382" s="242"/>
    </row>
    <row r="822383" spans="1:1" x14ac:dyDescent="0.25">
      <c r="A822383" s="242"/>
    </row>
    <row r="822384" spans="1:1" x14ac:dyDescent="0.25">
      <c r="A822384" s="242"/>
    </row>
    <row r="822385" spans="1:1" x14ac:dyDescent="0.25">
      <c r="A822385" s="242"/>
    </row>
    <row r="822386" spans="1:1" x14ac:dyDescent="0.25">
      <c r="A822386" s="242"/>
    </row>
    <row r="822387" spans="1:1" x14ac:dyDescent="0.25">
      <c r="A822387" s="242"/>
    </row>
    <row r="822388" spans="1:1" x14ac:dyDescent="0.25">
      <c r="A822388" s="242"/>
    </row>
    <row r="822389" spans="1:1" x14ac:dyDescent="0.25">
      <c r="A822389" s="242"/>
    </row>
    <row r="822390" spans="1:1" x14ac:dyDescent="0.25">
      <c r="A822390" s="242"/>
    </row>
    <row r="822391" spans="1:1" x14ac:dyDescent="0.25">
      <c r="A822391" s="242"/>
    </row>
    <row r="822392" spans="1:1" x14ac:dyDescent="0.25">
      <c r="A822392" s="242"/>
    </row>
    <row r="822393" spans="1:1" x14ac:dyDescent="0.25">
      <c r="A822393" s="242"/>
    </row>
    <row r="822394" spans="1:1" x14ac:dyDescent="0.25">
      <c r="A822394" s="242"/>
    </row>
    <row r="822395" spans="1:1" x14ac:dyDescent="0.25">
      <c r="A822395" s="242"/>
    </row>
    <row r="822396" spans="1:1" x14ac:dyDescent="0.25">
      <c r="A822396" s="242"/>
    </row>
    <row r="822397" spans="1:1" x14ac:dyDescent="0.25">
      <c r="A822397" s="242"/>
    </row>
    <row r="822398" spans="1:1" x14ac:dyDescent="0.25">
      <c r="A822398" s="242"/>
    </row>
    <row r="822399" spans="1:1" x14ac:dyDescent="0.25">
      <c r="A822399" s="242"/>
    </row>
    <row r="822400" spans="1:1" x14ac:dyDescent="0.25">
      <c r="A822400" s="242"/>
    </row>
    <row r="822401" spans="1:1" x14ac:dyDescent="0.25">
      <c r="A822401" s="242"/>
    </row>
    <row r="822402" spans="1:1" x14ac:dyDescent="0.25">
      <c r="A822402" s="242"/>
    </row>
    <row r="822403" spans="1:1" x14ac:dyDescent="0.25">
      <c r="A822403" s="242"/>
    </row>
    <row r="822404" spans="1:1" x14ac:dyDescent="0.25">
      <c r="A822404" s="242"/>
    </row>
    <row r="822405" spans="1:1" x14ac:dyDescent="0.25">
      <c r="A822405" s="242"/>
    </row>
    <row r="822406" spans="1:1" x14ac:dyDescent="0.25">
      <c r="A822406" s="242"/>
    </row>
    <row r="822407" spans="1:1" x14ac:dyDescent="0.25">
      <c r="A822407" s="242"/>
    </row>
    <row r="822408" spans="1:1" x14ac:dyDescent="0.25">
      <c r="A822408" s="242"/>
    </row>
    <row r="822409" spans="1:1" x14ac:dyDescent="0.25">
      <c r="A822409" s="242"/>
    </row>
    <row r="822410" spans="1:1" x14ac:dyDescent="0.25">
      <c r="A822410" s="242"/>
    </row>
    <row r="822411" spans="1:1" x14ac:dyDescent="0.25">
      <c r="A822411" s="242"/>
    </row>
    <row r="822412" spans="1:1" x14ac:dyDescent="0.25">
      <c r="A822412" s="242"/>
    </row>
    <row r="822413" spans="1:1" x14ac:dyDescent="0.25">
      <c r="A822413" s="242"/>
    </row>
    <row r="822414" spans="1:1" x14ac:dyDescent="0.25">
      <c r="A822414" s="242"/>
    </row>
    <row r="822415" spans="1:1" x14ac:dyDescent="0.25">
      <c r="A822415" s="242"/>
    </row>
    <row r="822416" spans="1:1" x14ac:dyDescent="0.25">
      <c r="A822416" s="242"/>
    </row>
    <row r="822417" spans="1:1" x14ac:dyDescent="0.25">
      <c r="A822417" s="242"/>
    </row>
    <row r="822418" spans="1:1" x14ac:dyDescent="0.25">
      <c r="A822418" s="242"/>
    </row>
    <row r="822419" spans="1:1" x14ac:dyDescent="0.25">
      <c r="A822419" s="242"/>
    </row>
    <row r="822420" spans="1:1" x14ac:dyDescent="0.25">
      <c r="A822420" s="242"/>
    </row>
    <row r="822421" spans="1:1" x14ac:dyDescent="0.25">
      <c r="A822421" s="242"/>
    </row>
    <row r="822422" spans="1:1" x14ac:dyDescent="0.25">
      <c r="A822422" s="242"/>
    </row>
    <row r="822423" spans="1:1" x14ac:dyDescent="0.25">
      <c r="A822423" s="242"/>
    </row>
    <row r="822424" spans="1:1" x14ac:dyDescent="0.25">
      <c r="A822424" s="242"/>
    </row>
    <row r="822425" spans="1:1" x14ac:dyDescent="0.25">
      <c r="A822425" s="242"/>
    </row>
    <row r="822426" spans="1:1" x14ac:dyDescent="0.25">
      <c r="A822426" s="242"/>
    </row>
    <row r="822427" spans="1:1" x14ac:dyDescent="0.25">
      <c r="A822427" s="242"/>
    </row>
    <row r="822428" spans="1:1" x14ac:dyDescent="0.25">
      <c r="A822428" s="242"/>
    </row>
    <row r="822429" spans="1:1" x14ac:dyDescent="0.25">
      <c r="A822429" s="242"/>
    </row>
    <row r="822430" spans="1:1" x14ac:dyDescent="0.25">
      <c r="A822430" s="242"/>
    </row>
    <row r="822431" spans="1:1" x14ac:dyDescent="0.25">
      <c r="A822431" s="242"/>
    </row>
    <row r="822432" spans="1:1" x14ac:dyDescent="0.25">
      <c r="A822432" s="242"/>
    </row>
    <row r="822433" spans="1:1" x14ac:dyDescent="0.25">
      <c r="A822433" s="242"/>
    </row>
    <row r="822434" spans="1:1" x14ac:dyDescent="0.25">
      <c r="A822434" s="242"/>
    </row>
    <row r="822435" spans="1:1" x14ac:dyDescent="0.25">
      <c r="A822435" s="242"/>
    </row>
    <row r="822436" spans="1:1" x14ac:dyDescent="0.25">
      <c r="A822436" s="242"/>
    </row>
    <row r="822437" spans="1:1" x14ac:dyDescent="0.25">
      <c r="A822437" s="242"/>
    </row>
    <row r="822438" spans="1:1" x14ac:dyDescent="0.25">
      <c r="A822438" s="242"/>
    </row>
    <row r="822439" spans="1:1" x14ac:dyDescent="0.25">
      <c r="A822439" s="242"/>
    </row>
    <row r="822440" spans="1:1" x14ac:dyDescent="0.25">
      <c r="A822440" s="242"/>
    </row>
    <row r="822441" spans="1:1" x14ac:dyDescent="0.25">
      <c r="A822441" s="242"/>
    </row>
    <row r="822442" spans="1:1" x14ac:dyDescent="0.25">
      <c r="A822442" s="242"/>
    </row>
    <row r="822443" spans="1:1" x14ac:dyDescent="0.25">
      <c r="A822443" s="242"/>
    </row>
    <row r="822444" spans="1:1" x14ac:dyDescent="0.25">
      <c r="A822444" s="242"/>
    </row>
    <row r="822445" spans="1:1" x14ac:dyDescent="0.25">
      <c r="A822445" s="242"/>
    </row>
    <row r="822446" spans="1:1" x14ac:dyDescent="0.25">
      <c r="A822446" s="242"/>
    </row>
    <row r="822447" spans="1:1" x14ac:dyDescent="0.25">
      <c r="A822447" s="242"/>
    </row>
    <row r="822448" spans="1:1" x14ac:dyDescent="0.25">
      <c r="A822448" s="242"/>
    </row>
    <row r="822449" spans="1:1" x14ac:dyDescent="0.25">
      <c r="A822449" s="242"/>
    </row>
    <row r="822450" spans="1:1" x14ac:dyDescent="0.25">
      <c r="A822450" s="242"/>
    </row>
    <row r="822451" spans="1:1" x14ac:dyDescent="0.25">
      <c r="A822451" s="242"/>
    </row>
    <row r="822452" spans="1:1" x14ac:dyDescent="0.25">
      <c r="A822452" s="242"/>
    </row>
    <row r="822453" spans="1:1" x14ac:dyDescent="0.25">
      <c r="A822453" s="242"/>
    </row>
    <row r="822454" spans="1:1" x14ac:dyDescent="0.25">
      <c r="A822454" s="242"/>
    </row>
    <row r="822455" spans="1:1" x14ac:dyDescent="0.25">
      <c r="A822455" s="242"/>
    </row>
    <row r="822456" spans="1:1" x14ac:dyDescent="0.25">
      <c r="A822456" s="242"/>
    </row>
    <row r="822457" spans="1:1" x14ac:dyDescent="0.25">
      <c r="A822457" s="242"/>
    </row>
    <row r="822458" spans="1:1" x14ac:dyDescent="0.25">
      <c r="A822458" s="242"/>
    </row>
    <row r="822459" spans="1:1" x14ac:dyDescent="0.25">
      <c r="A822459" s="242"/>
    </row>
    <row r="822460" spans="1:1" x14ac:dyDescent="0.25">
      <c r="A822460" s="242"/>
    </row>
    <row r="822461" spans="1:1" x14ac:dyDescent="0.25">
      <c r="A822461" s="242"/>
    </row>
    <row r="822462" spans="1:1" x14ac:dyDescent="0.25">
      <c r="A822462" s="242"/>
    </row>
    <row r="822463" spans="1:1" x14ac:dyDescent="0.25">
      <c r="A822463" s="242"/>
    </row>
    <row r="822464" spans="1:1" x14ac:dyDescent="0.25">
      <c r="A822464" s="242"/>
    </row>
    <row r="822465" spans="1:1" x14ac:dyDescent="0.25">
      <c r="A822465" s="242"/>
    </row>
    <row r="822466" spans="1:1" x14ac:dyDescent="0.25">
      <c r="A822466" s="242"/>
    </row>
    <row r="822467" spans="1:1" x14ac:dyDescent="0.25">
      <c r="A822467" s="242"/>
    </row>
    <row r="822468" spans="1:1" x14ac:dyDescent="0.25">
      <c r="A822468" s="242"/>
    </row>
    <row r="822469" spans="1:1" x14ac:dyDescent="0.25">
      <c r="A822469" s="242"/>
    </row>
    <row r="822470" spans="1:1" x14ac:dyDescent="0.25">
      <c r="A822470" s="242"/>
    </row>
    <row r="822471" spans="1:1" x14ac:dyDescent="0.25">
      <c r="A822471" s="242"/>
    </row>
    <row r="822472" spans="1:1" x14ac:dyDescent="0.25">
      <c r="A822472" s="242"/>
    </row>
    <row r="822473" spans="1:1" x14ac:dyDescent="0.25">
      <c r="A822473" s="242"/>
    </row>
    <row r="822474" spans="1:1" x14ac:dyDescent="0.25">
      <c r="A822474" s="242"/>
    </row>
    <row r="822475" spans="1:1" x14ac:dyDescent="0.25">
      <c r="A822475" s="242"/>
    </row>
    <row r="822476" spans="1:1" x14ac:dyDescent="0.25">
      <c r="A822476" s="242"/>
    </row>
    <row r="822477" spans="1:1" x14ac:dyDescent="0.25">
      <c r="A822477" s="242"/>
    </row>
    <row r="822478" spans="1:1" x14ac:dyDescent="0.25">
      <c r="A822478" s="242"/>
    </row>
    <row r="822479" spans="1:1" x14ac:dyDescent="0.25">
      <c r="A822479" s="242"/>
    </row>
    <row r="822480" spans="1:1" x14ac:dyDescent="0.25">
      <c r="A822480" s="242"/>
    </row>
    <row r="822481" spans="1:1" x14ac:dyDescent="0.25">
      <c r="A822481" s="242"/>
    </row>
    <row r="822482" spans="1:1" x14ac:dyDescent="0.25">
      <c r="A822482" s="242"/>
    </row>
    <row r="822483" spans="1:1" x14ac:dyDescent="0.25">
      <c r="A822483" s="242"/>
    </row>
    <row r="822484" spans="1:1" x14ac:dyDescent="0.25">
      <c r="A822484" s="242"/>
    </row>
    <row r="822485" spans="1:1" x14ac:dyDescent="0.25">
      <c r="A822485" s="242"/>
    </row>
    <row r="822486" spans="1:1" x14ac:dyDescent="0.25">
      <c r="A822486" s="242"/>
    </row>
    <row r="822487" spans="1:1" x14ac:dyDescent="0.25">
      <c r="A822487" s="242"/>
    </row>
    <row r="822488" spans="1:1" x14ac:dyDescent="0.25">
      <c r="A822488" s="242"/>
    </row>
    <row r="822489" spans="1:1" x14ac:dyDescent="0.25">
      <c r="A822489" s="242"/>
    </row>
    <row r="822490" spans="1:1" x14ac:dyDescent="0.25">
      <c r="A822490" s="242"/>
    </row>
    <row r="822491" spans="1:1" x14ac:dyDescent="0.25">
      <c r="A822491" s="242"/>
    </row>
    <row r="822492" spans="1:1" x14ac:dyDescent="0.25">
      <c r="A822492" s="242"/>
    </row>
    <row r="822493" spans="1:1" x14ac:dyDescent="0.25">
      <c r="A822493" s="242"/>
    </row>
    <row r="822494" spans="1:1" x14ac:dyDescent="0.25">
      <c r="A822494" s="242"/>
    </row>
    <row r="822495" spans="1:1" x14ac:dyDescent="0.25">
      <c r="A822495" s="242"/>
    </row>
    <row r="822496" spans="1:1" x14ac:dyDescent="0.25">
      <c r="A822496" s="242"/>
    </row>
    <row r="822497" spans="1:1" x14ac:dyDescent="0.25">
      <c r="A822497" s="242"/>
    </row>
    <row r="822498" spans="1:1" x14ac:dyDescent="0.25">
      <c r="A822498" s="242"/>
    </row>
    <row r="822499" spans="1:1" x14ac:dyDescent="0.25">
      <c r="A822499" s="242"/>
    </row>
    <row r="822500" spans="1:1" x14ac:dyDescent="0.25">
      <c r="A822500" s="242"/>
    </row>
    <row r="822501" spans="1:1" x14ac:dyDescent="0.25">
      <c r="A822501" s="242"/>
    </row>
    <row r="822502" spans="1:1" x14ac:dyDescent="0.25">
      <c r="A822502" s="242"/>
    </row>
    <row r="822503" spans="1:1" x14ac:dyDescent="0.25">
      <c r="A822503" s="242"/>
    </row>
    <row r="822504" spans="1:1" x14ac:dyDescent="0.25">
      <c r="A822504" s="242"/>
    </row>
    <row r="822505" spans="1:1" x14ac:dyDescent="0.25">
      <c r="A822505" s="242"/>
    </row>
    <row r="822506" spans="1:1" x14ac:dyDescent="0.25">
      <c r="A822506" s="242"/>
    </row>
    <row r="822507" spans="1:1" x14ac:dyDescent="0.25">
      <c r="A822507" s="242"/>
    </row>
    <row r="822508" spans="1:1" x14ac:dyDescent="0.25">
      <c r="A822508" s="242"/>
    </row>
    <row r="822509" spans="1:1" x14ac:dyDescent="0.25">
      <c r="A822509" s="242"/>
    </row>
    <row r="822510" spans="1:1" x14ac:dyDescent="0.25">
      <c r="A822510" s="242"/>
    </row>
    <row r="822511" spans="1:1" x14ac:dyDescent="0.25">
      <c r="A822511" s="242"/>
    </row>
    <row r="822512" spans="1:1" x14ac:dyDescent="0.25">
      <c r="A822512" s="242"/>
    </row>
    <row r="822513" spans="1:1" x14ac:dyDescent="0.25">
      <c r="A822513" s="242"/>
    </row>
    <row r="822514" spans="1:1" x14ac:dyDescent="0.25">
      <c r="A822514" s="242"/>
    </row>
    <row r="822515" spans="1:1" x14ac:dyDescent="0.25">
      <c r="A822515" s="242"/>
    </row>
    <row r="822516" spans="1:1" x14ac:dyDescent="0.25">
      <c r="A822516" s="242"/>
    </row>
    <row r="822517" spans="1:1" x14ac:dyDescent="0.25">
      <c r="A822517" s="242"/>
    </row>
    <row r="822518" spans="1:1" x14ac:dyDescent="0.25">
      <c r="A822518" s="242"/>
    </row>
    <row r="822519" spans="1:1" x14ac:dyDescent="0.25">
      <c r="A822519" s="242"/>
    </row>
    <row r="822520" spans="1:1" x14ac:dyDescent="0.25">
      <c r="A822520" s="242"/>
    </row>
    <row r="822521" spans="1:1" x14ac:dyDescent="0.25">
      <c r="A822521" s="242"/>
    </row>
    <row r="822522" spans="1:1" x14ac:dyDescent="0.25">
      <c r="A822522" s="242"/>
    </row>
    <row r="822523" spans="1:1" x14ac:dyDescent="0.25">
      <c r="A822523" s="242"/>
    </row>
    <row r="822524" spans="1:1" x14ac:dyDescent="0.25">
      <c r="A822524" s="242"/>
    </row>
    <row r="822525" spans="1:1" x14ac:dyDescent="0.25">
      <c r="A822525" s="242"/>
    </row>
    <row r="822526" spans="1:1" x14ac:dyDescent="0.25">
      <c r="A822526" s="242"/>
    </row>
    <row r="822527" spans="1:1" x14ac:dyDescent="0.25">
      <c r="A822527" s="242"/>
    </row>
    <row r="822528" spans="1:1" x14ac:dyDescent="0.25">
      <c r="A822528" s="242"/>
    </row>
    <row r="822529" spans="1:1" x14ac:dyDescent="0.25">
      <c r="A822529" s="242"/>
    </row>
    <row r="822530" spans="1:1" x14ac:dyDescent="0.25">
      <c r="A822530" s="242"/>
    </row>
    <row r="822531" spans="1:1" x14ac:dyDescent="0.25">
      <c r="A822531" s="242"/>
    </row>
    <row r="822532" spans="1:1" x14ac:dyDescent="0.25">
      <c r="A822532" s="242"/>
    </row>
    <row r="822533" spans="1:1" x14ac:dyDescent="0.25">
      <c r="A822533" s="242"/>
    </row>
    <row r="822534" spans="1:1" x14ac:dyDescent="0.25">
      <c r="A822534" s="242"/>
    </row>
    <row r="822535" spans="1:1" x14ac:dyDescent="0.25">
      <c r="A822535" s="242"/>
    </row>
    <row r="822536" spans="1:1" x14ac:dyDescent="0.25">
      <c r="A822536" s="242"/>
    </row>
    <row r="822537" spans="1:1" x14ac:dyDescent="0.25">
      <c r="A822537" s="242"/>
    </row>
    <row r="822538" spans="1:1" x14ac:dyDescent="0.25">
      <c r="A822538" s="242"/>
    </row>
    <row r="822539" spans="1:1" x14ac:dyDescent="0.25">
      <c r="A822539" s="242"/>
    </row>
    <row r="822540" spans="1:1" x14ac:dyDescent="0.25">
      <c r="A822540" s="242"/>
    </row>
    <row r="822541" spans="1:1" x14ac:dyDescent="0.25">
      <c r="A822541" s="242"/>
    </row>
    <row r="822542" spans="1:1" x14ac:dyDescent="0.25">
      <c r="A822542" s="242"/>
    </row>
    <row r="822543" spans="1:1" x14ac:dyDescent="0.25">
      <c r="A822543" s="242"/>
    </row>
    <row r="822544" spans="1:1" x14ac:dyDescent="0.25">
      <c r="A822544" s="242"/>
    </row>
    <row r="822545" spans="1:1" x14ac:dyDescent="0.25">
      <c r="A822545" s="242"/>
    </row>
    <row r="822546" spans="1:1" x14ac:dyDescent="0.25">
      <c r="A822546" s="242"/>
    </row>
    <row r="822547" spans="1:1" x14ac:dyDescent="0.25">
      <c r="A822547" s="242"/>
    </row>
    <row r="822548" spans="1:1" x14ac:dyDescent="0.25">
      <c r="A822548" s="242"/>
    </row>
    <row r="822549" spans="1:1" x14ac:dyDescent="0.25">
      <c r="A822549" s="242"/>
    </row>
    <row r="822550" spans="1:1" x14ac:dyDescent="0.25">
      <c r="A822550" s="242"/>
    </row>
    <row r="822551" spans="1:1" x14ac:dyDescent="0.25">
      <c r="A822551" s="242"/>
    </row>
    <row r="822552" spans="1:1" x14ac:dyDescent="0.25">
      <c r="A822552" s="242"/>
    </row>
    <row r="822553" spans="1:1" x14ac:dyDescent="0.25">
      <c r="A822553" s="242"/>
    </row>
    <row r="822554" spans="1:1" x14ac:dyDescent="0.25">
      <c r="A822554" s="242"/>
    </row>
    <row r="822555" spans="1:1" x14ac:dyDescent="0.25">
      <c r="A822555" s="242"/>
    </row>
    <row r="822556" spans="1:1" x14ac:dyDescent="0.25">
      <c r="A822556" s="242"/>
    </row>
    <row r="822557" spans="1:1" x14ac:dyDescent="0.25">
      <c r="A822557" s="242"/>
    </row>
    <row r="822558" spans="1:1" x14ac:dyDescent="0.25">
      <c r="A822558" s="242"/>
    </row>
    <row r="822559" spans="1:1" x14ac:dyDescent="0.25">
      <c r="A822559" s="242"/>
    </row>
    <row r="822560" spans="1:1" x14ac:dyDescent="0.25">
      <c r="A822560" s="242"/>
    </row>
    <row r="822561" spans="1:1" x14ac:dyDescent="0.25">
      <c r="A822561" s="242"/>
    </row>
    <row r="822562" spans="1:1" x14ac:dyDescent="0.25">
      <c r="A822562" s="242"/>
    </row>
    <row r="822563" spans="1:1" x14ac:dyDescent="0.25">
      <c r="A822563" s="242"/>
    </row>
    <row r="822564" spans="1:1" x14ac:dyDescent="0.25">
      <c r="A822564" s="242"/>
    </row>
    <row r="822565" spans="1:1" x14ac:dyDescent="0.25">
      <c r="A822565" s="242"/>
    </row>
    <row r="822566" spans="1:1" x14ac:dyDescent="0.25">
      <c r="A822566" s="242"/>
    </row>
    <row r="822567" spans="1:1" x14ac:dyDescent="0.25">
      <c r="A822567" s="242"/>
    </row>
    <row r="822568" spans="1:1" x14ac:dyDescent="0.25">
      <c r="A822568" s="242"/>
    </row>
    <row r="822569" spans="1:1" x14ac:dyDescent="0.25">
      <c r="A822569" s="242"/>
    </row>
    <row r="822570" spans="1:1" x14ac:dyDescent="0.25">
      <c r="A822570" s="242"/>
    </row>
    <row r="822571" spans="1:1" x14ac:dyDescent="0.25">
      <c r="A822571" s="242"/>
    </row>
    <row r="822572" spans="1:1" x14ac:dyDescent="0.25">
      <c r="A822572" s="242"/>
    </row>
    <row r="822573" spans="1:1" x14ac:dyDescent="0.25">
      <c r="A822573" s="242"/>
    </row>
    <row r="822574" spans="1:1" x14ac:dyDescent="0.25">
      <c r="A822574" s="242"/>
    </row>
    <row r="822575" spans="1:1" x14ac:dyDescent="0.25">
      <c r="A822575" s="242"/>
    </row>
    <row r="822576" spans="1:1" x14ac:dyDescent="0.25">
      <c r="A822576" s="242"/>
    </row>
    <row r="822577" spans="1:1" x14ac:dyDescent="0.25">
      <c r="A822577" s="242"/>
    </row>
    <row r="822578" spans="1:1" x14ac:dyDescent="0.25">
      <c r="A822578" s="242"/>
    </row>
    <row r="822579" spans="1:1" x14ac:dyDescent="0.25">
      <c r="A822579" s="242"/>
    </row>
    <row r="822580" spans="1:1" x14ac:dyDescent="0.25">
      <c r="A822580" s="242"/>
    </row>
    <row r="822581" spans="1:1" x14ac:dyDescent="0.25">
      <c r="A822581" s="242"/>
    </row>
    <row r="822582" spans="1:1" x14ac:dyDescent="0.25">
      <c r="A822582" s="242"/>
    </row>
    <row r="822583" spans="1:1" x14ac:dyDescent="0.25">
      <c r="A822583" s="242"/>
    </row>
    <row r="822584" spans="1:1" x14ac:dyDescent="0.25">
      <c r="A822584" s="242"/>
    </row>
    <row r="822585" spans="1:1" x14ac:dyDescent="0.25">
      <c r="A822585" s="242"/>
    </row>
    <row r="822586" spans="1:1" x14ac:dyDescent="0.25">
      <c r="A822586" s="242"/>
    </row>
    <row r="822587" spans="1:1" x14ac:dyDescent="0.25">
      <c r="A822587" s="242"/>
    </row>
    <row r="822588" spans="1:1" x14ac:dyDescent="0.25">
      <c r="A822588" s="242"/>
    </row>
    <row r="822589" spans="1:1" x14ac:dyDescent="0.25">
      <c r="A822589" s="242"/>
    </row>
    <row r="822590" spans="1:1" x14ac:dyDescent="0.25">
      <c r="A822590" s="242"/>
    </row>
    <row r="822591" spans="1:1" x14ac:dyDescent="0.25">
      <c r="A822591" s="242"/>
    </row>
    <row r="822592" spans="1:1" x14ac:dyDescent="0.25">
      <c r="A822592" s="242"/>
    </row>
    <row r="822593" spans="1:1" x14ac:dyDescent="0.25">
      <c r="A822593" s="242"/>
    </row>
    <row r="822594" spans="1:1" x14ac:dyDescent="0.25">
      <c r="A822594" s="242"/>
    </row>
    <row r="822595" spans="1:1" x14ac:dyDescent="0.25">
      <c r="A822595" s="242"/>
    </row>
    <row r="822596" spans="1:1" x14ac:dyDescent="0.25">
      <c r="A822596" s="242"/>
    </row>
    <row r="822597" spans="1:1" x14ac:dyDescent="0.25">
      <c r="A822597" s="242"/>
    </row>
    <row r="822598" spans="1:1" x14ac:dyDescent="0.25">
      <c r="A822598" s="242"/>
    </row>
    <row r="822599" spans="1:1" x14ac:dyDescent="0.25">
      <c r="A822599" s="242"/>
    </row>
    <row r="822600" spans="1:1" x14ac:dyDescent="0.25">
      <c r="A822600" s="242"/>
    </row>
    <row r="822601" spans="1:1" x14ac:dyDescent="0.25">
      <c r="A822601" s="242"/>
    </row>
    <row r="822602" spans="1:1" x14ac:dyDescent="0.25">
      <c r="A822602" s="242"/>
    </row>
    <row r="822603" spans="1:1" x14ac:dyDescent="0.25">
      <c r="A822603" s="242"/>
    </row>
    <row r="822604" spans="1:1" x14ac:dyDescent="0.25">
      <c r="A822604" s="242"/>
    </row>
    <row r="822605" spans="1:1" x14ac:dyDescent="0.25">
      <c r="A822605" s="242"/>
    </row>
    <row r="822606" spans="1:1" x14ac:dyDescent="0.25">
      <c r="A822606" s="242"/>
    </row>
    <row r="822607" spans="1:1" x14ac:dyDescent="0.25">
      <c r="A822607" s="242"/>
    </row>
    <row r="822608" spans="1:1" x14ac:dyDescent="0.25">
      <c r="A822608" s="242"/>
    </row>
    <row r="822609" spans="1:1" x14ac:dyDescent="0.25">
      <c r="A822609" s="242"/>
    </row>
    <row r="822610" spans="1:1" x14ac:dyDescent="0.25">
      <c r="A822610" s="242"/>
    </row>
    <row r="822611" spans="1:1" x14ac:dyDescent="0.25">
      <c r="A822611" s="242"/>
    </row>
    <row r="822612" spans="1:1" x14ac:dyDescent="0.25">
      <c r="A822612" s="242"/>
    </row>
    <row r="822613" spans="1:1" x14ac:dyDescent="0.25">
      <c r="A822613" s="242"/>
    </row>
    <row r="822614" spans="1:1" x14ac:dyDescent="0.25">
      <c r="A822614" s="242"/>
    </row>
    <row r="822615" spans="1:1" x14ac:dyDescent="0.25">
      <c r="A822615" s="242"/>
    </row>
    <row r="822616" spans="1:1" x14ac:dyDescent="0.25">
      <c r="A822616" s="242"/>
    </row>
    <row r="822617" spans="1:1" x14ac:dyDescent="0.25">
      <c r="A822617" s="242"/>
    </row>
    <row r="822618" spans="1:1" x14ac:dyDescent="0.25">
      <c r="A822618" s="242"/>
    </row>
    <row r="822619" spans="1:1" x14ac:dyDescent="0.25">
      <c r="A822619" s="242"/>
    </row>
    <row r="822620" spans="1:1" x14ac:dyDescent="0.25">
      <c r="A822620" s="242"/>
    </row>
    <row r="822621" spans="1:1" x14ac:dyDescent="0.25">
      <c r="A822621" s="242"/>
    </row>
    <row r="822622" spans="1:1" x14ac:dyDescent="0.25">
      <c r="A822622" s="242"/>
    </row>
    <row r="822623" spans="1:1" x14ac:dyDescent="0.25">
      <c r="A822623" s="242"/>
    </row>
    <row r="822624" spans="1:1" x14ac:dyDescent="0.25">
      <c r="A822624" s="242"/>
    </row>
    <row r="822625" spans="1:1" x14ac:dyDescent="0.25">
      <c r="A822625" s="242"/>
    </row>
    <row r="822626" spans="1:1" x14ac:dyDescent="0.25">
      <c r="A822626" s="242"/>
    </row>
    <row r="822627" spans="1:1" x14ac:dyDescent="0.25">
      <c r="A822627" s="242"/>
    </row>
    <row r="822628" spans="1:1" x14ac:dyDescent="0.25">
      <c r="A822628" s="242"/>
    </row>
    <row r="822629" spans="1:1" x14ac:dyDescent="0.25">
      <c r="A822629" s="242"/>
    </row>
    <row r="822630" spans="1:1" x14ac:dyDescent="0.25">
      <c r="A822630" s="242"/>
    </row>
    <row r="822631" spans="1:1" x14ac:dyDescent="0.25">
      <c r="A822631" s="242"/>
    </row>
    <row r="822632" spans="1:1" x14ac:dyDescent="0.25">
      <c r="A822632" s="242"/>
    </row>
    <row r="822633" spans="1:1" x14ac:dyDescent="0.25">
      <c r="A822633" s="242"/>
    </row>
    <row r="822634" spans="1:1" x14ac:dyDescent="0.25">
      <c r="A822634" s="242"/>
    </row>
    <row r="822635" spans="1:1" x14ac:dyDescent="0.25">
      <c r="A822635" s="242"/>
    </row>
    <row r="822636" spans="1:1" x14ac:dyDescent="0.25">
      <c r="A822636" s="242"/>
    </row>
    <row r="822637" spans="1:1" x14ac:dyDescent="0.25">
      <c r="A822637" s="242"/>
    </row>
    <row r="822638" spans="1:1" x14ac:dyDescent="0.25">
      <c r="A822638" s="242"/>
    </row>
    <row r="822639" spans="1:1" x14ac:dyDescent="0.25">
      <c r="A822639" s="242"/>
    </row>
    <row r="822640" spans="1:1" x14ac:dyDescent="0.25">
      <c r="A822640" s="242"/>
    </row>
    <row r="822641" spans="1:1" x14ac:dyDescent="0.25">
      <c r="A822641" s="242"/>
    </row>
    <row r="822642" spans="1:1" x14ac:dyDescent="0.25">
      <c r="A822642" s="242"/>
    </row>
    <row r="822643" spans="1:1" x14ac:dyDescent="0.25">
      <c r="A822643" s="242"/>
    </row>
    <row r="822644" spans="1:1" x14ac:dyDescent="0.25">
      <c r="A822644" s="242"/>
    </row>
    <row r="822645" spans="1:1" x14ac:dyDescent="0.25">
      <c r="A822645" s="242"/>
    </row>
    <row r="822646" spans="1:1" x14ac:dyDescent="0.25">
      <c r="A822646" s="242"/>
    </row>
    <row r="822647" spans="1:1" x14ac:dyDescent="0.25">
      <c r="A822647" s="242"/>
    </row>
    <row r="822648" spans="1:1" x14ac:dyDescent="0.25">
      <c r="A822648" s="242"/>
    </row>
    <row r="822649" spans="1:1" x14ac:dyDescent="0.25">
      <c r="A822649" s="242"/>
    </row>
    <row r="822650" spans="1:1" x14ac:dyDescent="0.25">
      <c r="A822650" s="242"/>
    </row>
    <row r="822651" spans="1:1" x14ac:dyDescent="0.25">
      <c r="A822651" s="242"/>
    </row>
    <row r="822652" spans="1:1" x14ac:dyDescent="0.25">
      <c r="A822652" s="242"/>
    </row>
    <row r="822653" spans="1:1" x14ac:dyDescent="0.25">
      <c r="A822653" s="242"/>
    </row>
    <row r="822654" spans="1:1" x14ac:dyDescent="0.25">
      <c r="A822654" s="242"/>
    </row>
    <row r="822655" spans="1:1" x14ac:dyDescent="0.25">
      <c r="A822655" s="242"/>
    </row>
    <row r="822656" spans="1:1" x14ac:dyDescent="0.25">
      <c r="A822656" s="242"/>
    </row>
    <row r="822657" spans="1:1" x14ac:dyDescent="0.25">
      <c r="A822657" s="242"/>
    </row>
    <row r="822658" spans="1:1" x14ac:dyDescent="0.25">
      <c r="A822658" s="242"/>
    </row>
    <row r="822659" spans="1:1" x14ac:dyDescent="0.25">
      <c r="A822659" s="242"/>
    </row>
    <row r="822660" spans="1:1" x14ac:dyDescent="0.25">
      <c r="A822660" s="242"/>
    </row>
    <row r="822661" spans="1:1" x14ac:dyDescent="0.25">
      <c r="A822661" s="242"/>
    </row>
    <row r="822662" spans="1:1" x14ac:dyDescent="0.25">
      <c r="A822662" s="242"/>
    </row>
    <row r="822663" spans="1:1" x14ac:dyDescent="0.25">
      <c r="A822663" s="242"/>
    </row>
    <row r="822664" spans="1:1" x14ac:dyDescent="0.25">
      <c r="A822664" s="242"/>
    </row>
    <row r="822665" spans="1:1" x14ac:dyDescent="0.25">
      <c r="A822665" s="242"/>
    </row>
    <row r="822666" spans="1:1" x14ac:dyDescent="0.25">
      <c r="A822666" s="242"/>
    </row>
    <row r="822667" spans="1:1" x14ac:dyDescent="0.25">
      <c r="A822667" s="242"/>
    </row>
    <row r="822668" spans="1:1" x14ac:dyDescent="0.25">
      <c r="A822668" s="242"/>
    </row>
    <row r="822669" spans="1:1" x14ac:dyDescent="0.25">
      <c r="A822669" s="242"/>
    </row>
    <row r="822670" spans="1:1" x14ac:dyDescent="0.25">
      <c r="A822670" s="242"/>
    </row>
    <row r="822671" spans="1:1" x14ac:dyDescent="0.25">
      <c r="A822671" s="242"/>
    </row>
    <row r="822672" spans="1:1" x14ac:dyDescent="0.25">
      <c r="A822672" s="242"/>
    </row>
    <row r="822673" spans="1:1" x14ac:dyDescent="0.25">
      <c r="A822673" s="242"/>
    </row>
    <row r="822674" spans="1:1" x14ac:dyDescent="0.25">
      <c r="A822674" s="242"/>
    </row>
    <row r="822675" spans="1:1" x14ac:dyDescent="0.25">
      <c r="A822675" s="242"/>
    </row>
    <row r="822676" spans="1:1" x14ac:dyDescent="0.25">
      <c r="A822676" s="242"/>
    </row>
    <row r="822677" spans="1:1" x14ac:dyDescent="0.25">
      <c r="A822677" s="242"/>
    </row>
    <row r="822678" spans="1:1" x14ac:dyDescent="0.25">
      <c r="A822678" s="242"/>
    </row>
    <row r="822679" spans="1:1" x14ac:dyDescent="0.25">
      <c r="A822679" s="242"/>
    </row>
    <row r="822680" spans="1:1" x14ac:dyDescent="0.25">
      <c r="A822680" s="242"/>
    </row>
    <row r="822681" spans="1:1" x14ac:dyDescent="0.25">
      <c r="A822681" s="242"/>
    </row>
    <row r="822682" spans="1:1" x14ac:dyDescent="0.25">
      <c r="A822682" s="242"/>
    </row>
    <row r="822683" spans="1:1" x14ac:dyDescent="0.25">
      <c r="A822683" s="242"/>
    </row>
    <row r="822684" spans="1:1" x14ac:dyDescent="0.25">
      <c r="A822684" s="242"/>
    </row>
    <row r="822685" spans="1:1" x14ac:dyDescent="0.25">
      <c r="A822685" s="242"/>
    </row>
    <row r="822686" spans="1:1" x14ac:dyDescent="0.25">
      <c r="A822686" s="242"/>
    </row>
    <row r="822687" spans="1:1" x14ac:dyDescent="0.25">
      <c r="A822687" s="242"/>
    </row>
    <row r="822688" spans="1:1" x14ac:dyDescent="0.25">
      <c r="A822688" s="242"/>
    </row>
    <row r="822689" spans="1:1" x14ac:dyDescent="0.25">
      <c r="A822689" s="242"/>
    </row>
    <row r="822690" spans="1:1" x14ac:dyDescent="0.25">
      <c r="A822690" s="242"/>
    </row>
    <row r="822691" spans="1:1" x14ac:dyDescent="0.25">
      <c r="A822691" s="242"/>
    </row>
    <row r="822692" spans="1:1" x14ac:dyDescent="0.25">
      <c r="A822692" s="242"/>
    </row>
    <row r="822693" spans="1:1" x14ac:dyDescent="0.25">
      <c r="A822693" s="242"/>
    </row>
    <row r="822694" spans="1:1" x14ac:dyDescent="0.25">
      <c r="A822694" s="242"/>
    </row>
    <row r="822695" spans="1:1" x14ac:dyDescent="0.25">
      <c r="A822695" s="242"/>
    </row>
    <row r="822696" spans="1:1" x14ac:dyDescent="0.25">
      <c r="A822696" s="242"/>
    </row>
    <row r="822697" spans="1:1" x14ac:dyDescent="0.25">
      <c r="A822697" s="242"/>
    </row>
    <row r="822698" spans="1:1" x14ac:dyDescent="0.25">
      <c r="A822698" s="242"/>
    </row>
    <row r="822699" spans="1:1" x14ac:dyDescent="0.25">
      <c r="A822699" s="242"/>
    </row>
    <row r="822700" spans="1:1" x14ac:dyDescent="0.25">
      <c r="A822700" s="242"/>
    </row>
    <row r="822701" spans="1:1" x14ac:dyDescent="0.25">
      <c r="A822701" s="242"/>
    </row>
    <row r="822702" spans="1:1" x14ac:dyDescent="0.25">
      <c r="A822702" s="242"/>
    </row>
    <row r="822703" spans="1:1" x14ac:dyDescent="0.25">
      <c r="A822703" s="242"/>
    </row>
    <row r="822704" spans="1:1" x14ac:dyDescent="0.25">
      <c r="A822704" s="242"/>
    </row>
    <row r="822705" spans="1:1" x14ac:dyDescent="0.25">
      <c r="A822705" s="242"/>
    </row>
    <row r="822706" spans="1:1" x14ac:dyDescent="0.25">
      <c r="A822706" s="242"/>
    </row>
    <row r="822707" spans="1:1" x14ac:dyDescent="0.25">
      <c r="A822707" s="242"/>
    </row>
    <row r="822708" spans="1:1" x14ac:dyDescent="0.25">
      <c r="A822708" s="242"/>
    </row>
    <row r="822709" spans="1:1" x14ac:dyDescent="0.25">
      <c r="A822709" s="242"/>
    </row>
    <row r="822710" spans="1:1" x14ac:dyDescent="0.25">
      <c r="A822710" s="242"/>
    </row>
    <row r="822711" spans="1:1" x14ac:dyDescent="0.25">
      <c r="A822711" s="242"/>
    </row>
    <row r="822712" spans="1:1" x14ac:dyDescent="0.25">
      <c r="A822712" s="242"/>
    </row>
    <row r="822713" spans="1:1" x14ac:dyDescent="0.25">
      <c r="A822713" s="242"/>
    </row>
    <row r="822714" spans="1:1" x14ac:dyDescent="0.25">
      <c r="A822714" s="242"/>
    </row>
    <row r="822715" spans="1:1" x14ac:dyDescent="0.25">
      <c r="A822715" s="242"/>
    </row>
    <row r="822716" spans="1:1" x14ac:dyDescent="0.25">
      <c r="A822716" s="242"/>
    </row>
    <row r="822717" spans="1:1" x14ac:dyDescent="0.25">
      <c r="A822717" s="242"/>
    </row>
    <row r="822718" spans="1:1" x14ac:dyDescent="0.25">
      <c r="A822718" s="242"/>
    </row>
    <row r="822719" spans="1:1" x14ac:dyDescent="0.25">
      <c r="A822719" s="242"/>
    </row>
    <row r="822720" spans="1:1" x14ac:dyDescent="0.25">
      <c r="A822720" s="242"/>
    </row>
    <row r="822721" spans="1:1" x14ac:dyDescent="0.25">
      <c r="A822721" s="242"/>
    </row>
    <row r="822722" spans="1:1" x14ac:dyDescent="0.25">
      <c r="A822722" s="242"/>
    </row>
    <row r="822723" spans="1:1" x14ac:dyDescent="0.25">
      <c r="A822723" s="242"/>
    </row>
    <row r="822724" spans="1:1" x14ac:dyDescent="0.25">
      <c r="A822724" s="242"/>
    </row>
    <row r="822725" spans="1:1" x14ac:dyDescent="0.25">
      <c r="A822725" s="242"/>
    </row>
    <row r="822726" spans="1:1" x14ac:dyDescent="0.25">
      <c r="A822726" s="242"/>
    </row>
    <row r="822727" spans="1:1" x14ac:dyDescent="0.25">
      <c r="A822727" s="242"/>
    </row>
    <row r="822728" spans="1:1" x14ac:dyDescent="0.25">
      <c r="A822728" s="242"/>
    </row>
    <row r="822729" spans="1:1" x14ac:dyDescent="0.25">
      <c r="A822729" s="242"/>
    </row>
    <row r="822730" spans="1:1" x14ac:dyDescent="0.25">
      <c r="A822730" s="242"/>
    </row>
    <row r="822731" spans="1:1" x14ac:dyDescent="0.25">
      <c r="A822731" s="242"/>
    </row>
    <row r="822732" spans="1:1" x14ac:dyDescent="0.25">
      <c r="A822732" s="242"/>
    </row>
    <row r="822733" spans="1:1" x14ac:dyDescent="0.25">
      <c r="A822733" s="242"/>
    </row>
    <row r="822734" spans="1:1" x14ac:dyDescent="0.25">
      <c r="A822734" s="242"/>
    </row>
    <row r="822735" spans="1:1" x14ac:dyDescent="0.25">
      <c r="A822735" s="242"/>
    </row>
    <row r="822736" spans="1:1" x14ac:dyDescent="0.25">
      <c r="A822736" s="242"/>
    </row>
    <row r="822737" spans="1:1" x14ac:dyDescent="0.25">
      <c r="A822737" s="242"/>
    </row>
    <row r="822738" spans="1:1" x14ac:dyDescent="0.25">
      <c r="A822738" s="242"/>
    </row>
    <row r="822739" spans="1:1" x14ac:dyDescent="0.25">
      <c r="A822739" s="242"/>
    </row>
    <row r="822740" spans="1:1" x14ac:dyDescent="0.25">
      <c r="A822740" s="242"/>
    </row>
    <row r="822741" spans="1:1" x14ac:dyDescent="0.25">
      <c r="A822741" s="242"/>
    </row>
    <row r="822742" spans="1:1" x14ac:dyDescent="0.25">
      <c r="A822742" s="242"/>
    </row>
    <row r="822743" spans="1:1" x14ac:dyDescent="0.25">
      <c r="A822743" s="242"/>
    </row>
    <row r="822744" spans="1:1" x14ac:dyDescent="0.25">
      <c r="A822744" s="242"/>
    </row>
    <row r="822745" spans="1:1" x14ac:dyDescent="0.25">
      <c r="A822745" s="242"/>
    </row>
    <row r="822746" spans="1:1" x14ac:dyDescent="0.25">
      <c r="A822746" s="242"/>
    </row>
    <row r="822747" spans="1:1" x14ac:dyDescent="0.25">
      <c r="A822747" s="242"/>
    </row>
    <row r="822748" spans="1:1" x14ac:dyDescent="0.25">
      <c r="A822748" s="242"/>
    </row>
    <row r="822749" spans="1:1" x14ac:dyDescent="0.25">
      <c r="A822749" s="242"/>
    </row>
    <row r="822750" spans="1:1" x14ac:dyDescent="0.25">
      <c r="A822750" s="242"/>
    </row>
    <row r="822751" spans="1:1" x14ac:dyDescent="0.25">
      <c r="A822751" s="242"/>
    </row>
    <row r="822752" spans="1:1" x14ac:dyDescent="0.25">
      <c r="A822752" s="242"/>
    </row>
    <row r="822753" spans="1:1" x14ac:dyDescent="0.25">
      <c r="A822753" s="242"/>
    </row>
    <row r="822754" spans="1:1" x14ac:dyDescent="0.25">
      <c r="A822754" s="242"/>
    </row>
    <row r="822755" spans="1:1" x14ac:dyDescent="0.25">
      <c r="A822755" s="242"/>
    </row>
    <row r="822756" spans="1:1" x14ac:dyDescent="0.25">
      <c r="A822756" s="242"/>
    </row>
    <row r="822757" spans="1:1" x14ac:dyDescent="0.25">
      <c r="A822757" s="242"/>
    </row>
    <row r="822758" spans="1:1" x14ac:dyDescent="0.25">
      <c r="A822758" s="242"/>
    </row>
    <row r="822759" spans="1:1" x14ac:dyDescent="0.25">
      <c r="A822759" s="242"/>
    </row>
    <row r="822760" spans="1:1" x14ac:dyDescent="0.25">
      <c r="A822760" s="242"/>
    </row>
    <row r="822761" spans="1:1" x14ac:dyDescent="0.25">
      <c r="A822761" s="242"/>
    </row>
    <row r="822762" spans="1:1" x14ac:dyDescent="0.25">
      <c r="A822762" s="242"/>
    </row>
    <row r="822763" spans="1:1" x14ac:dyDescent="0.25">
      <c r="A822763" s="242"/>
    </row>
    <row r="822764" spans="1:1" x14ac:dyDescent="0.25">
      <c r="A822764" s="242"/>
    </row>
    <row r="822765" spans="1:1" x14ac:dyDescent="0.25">
      <c r="A822765" s="242"/>
    </row>
    <row r="822766" spans="1:1" x14ac:dyDescent="0.25">
      <c r="A822766" s="242"/>
    </row>
    <row r="822767" spans="1:1" x14ac:dyDescent="0.25">
      <c r="A822767" s="242"/>
    </row>
    <row r="822768" spans="1:1" x14ac:dyDescent="0.25">
      <c r="A822768" s="242"/>
    </row>
    <row r="822769" spans="1:1" x14ac:dyDescent="0.25">
      <c r="A822769" s="242"/>
    </row>
    <row r="822770" spans="1:1" x14ac:dyDescent="0.25">
      <c r="A822770" s="242"/>
    </row>
    <row r="822771" spans="1:1" x14ac:dyDescent="0.25">
      <c r="A822771" s="242"/>
    </row>
    <row r="822772" spans="1:1" x14ac:dyDescent="0.25">
      <c r="A822772" s="242"/>
    </row>
    <row r="822773" spans="1:1" x14ac:dyDescent="0.25">
      <c r="A822773" s="242"/>
    </row>
    <row r="822774" spans="1:1" x14ac:dyDescent="0.25">
      <c r="A822774" s="242"/>
    </row>
    <row r="822775" spans="1:1" x14ac:dyDescent="0.25">
      <c r="A822775" s="242"/>
    </row>
    <row r="822776" spans="1:1" x14ac:dyDescent="0.25">
      <c r="A822776" s="242"/>
    </row>
    <row r="822777" spans="1:1" x14ac:dyDescent="0.25">
      <c r="A822777" s="242"/>
    </row>
    <row r="822778" spans="1:1" x14ac:dyDescent="0.25">
      <c r="A822778" s="242"/>
    </row>
    <row r="822779" spans="1:1" x14ac:dyDescent="0.25">
      <c r="A822779" s="242"/>
    </row>
    <row r="822780" spans="1:1" x14ac:dyDescent="0.25">
      <c r="A822780" s="242"/>
    </row>
    <row r="822781" spans="1:1" x14ac:dyDescent="0.25">
      <c r="A822781" s="242"/>
    </row>
    <row r="822782" spans="1:1" x14ac:dyDescent="0.25">
      <c r="A822782" s="242"/>
    </row>
    <row r="822783" spans="1:1" x14ac:dyDescent="0.25">
      <c r="A822783" s="242"/>
    </row>
    <row r="822784" spans="1:1" x14ac:dyDescent="0.25">
      <c r="A822784" s="242"/>
    </row>
    <row r="822785" spans="1:1" x14ac:dyDescent="0.25">
      <c r="A822785" s="242"/>
    </row>
    <row r="822786" spans="1:1" x14ac:dyDescent="0.25">
      <c r="A822786" s="242"/>
    </row>
    <row r="822787" spans="1:1" x14ac:dyDescent="0.25">
      <c r="A822787" s="242"/>
    </row>
    <row r="822788" spans="1:1" x14ac:dyDescent="0.25">
      <c r="A822788" s="242"/>
    </row>
    <row r="822789" spans="1:1" x14ac:dyDescent="0.25">
      <c r="A822789" s="242"/>
    </row>
    <row r="822790" spans="1:1" x14ac:dyDescent="0.25">
      <c r="A822790" s="242"/>
    </row>
    <row r="822791" spans="1:1" x14ac:dyDescent="0.25">
      <c r="A822791" s="242"/>
    </row>
    <row r="822792" spans="1:1" x14ac:dyDescent="0.25">
      <c r="A822792" s="242"/>
    </row>
    <row r="822793" spans="1:1" x14ac:dyDescent="0.25">
      <c r="A822793" s="242"/>
    </row>
    <row r="822794" spans="1:1" x14ac:dyDescent="0.25">
      <c r="A822794" s="242"/>
    </row>
    <row r="822795" spans="1:1" x14ac:dyDescent="0.25">
      <c r="A822795" s="242"/>
    </row>
    <row r="822796" spans="1:1" x14ac:dyDescent="0.25">
      <c r="A822796" s="242"/>
    </row>
    <row r="822797" spans="1:1" x14ac:dyDescent="0.25">
      <c r="A822797" s="242"/>
    </row>
    <row r="822798" spans="1:1" x14ac:dyDescent="0.25">
      <c r="A822798" s="242"/>
    </row>
    <row r="822799" spans="1:1" x14ac:dyDescent="0.25">
      <c r="A822799" s="242"/>
    </row>
    <row r="822800" spans="1:1" x14ac:dyDescent="0.25">
      <c r="A822800" s="242"/>
    </row>
    <row r="822801" spans="1:1" x14ac:dyDescent="0.25">
      <c r="A822801" s="242"/>
    </row>
    <row r="822802" spans="1:1" x14ac:dyDescent="0.25">
      <c r="A822802" s="242"/>
    </row>
    <row r="822803" spans="1:1" x14ac:dyDescent="0.25">
      <c r="A822803" s="242"/>
    </row>
    <row r="822804" spans="1:1" x14ac:dyDescent="0.25">
      <c r="A822804" s="242"/>
    </row>
    <row r="822805" spans="1:1" x14ac:dyDescent="0.25">
      <c r="A822805" s="242"/>
    </row>
    <row r="822806" spans="1:1" x14ac:dyDescent="0.25">
      <c r="A822806" s="242"/>
    </row>
    <row r="822807" spans="1:1" x14ac:dyDescent="0.25">
      <c r="A822807" s="242"/>
    </row>
    <row r="822808" spans="1:1" x14ac:dyDescent="0.25">
      <c r="A822808" s="242"/>
    </row>
    <row r="822809" spans="1:1" x14ac:dyDescent="0.25">
      <c r="A822809" s="242"/>
    </row>
    <row r="822810" spans="1:1" x14ac:dyDescent="0.25">
      <c r="A822810" s="242"/>
    </row>
    <row r="822811" spans="1:1" x14ac:dyDescent="0.25">
      <c r="A822811" s="242"/>
    </row>
    <row r="822812" spans="1:1" x14ac:dyDescent="0.25">
      <c r="A822812" s="242"/>
    </row>
    <row r="822813" spans="1:1" x14ac:dyDescent="0.25">
      <c r="A822813" s="242"/>
    </row>
    <row r="822814" spans="1:1" x14ac:dyDescent="0.25">
      <c r="A822814" s="242"/>
    </row>
    <row r="822815" spans="1:1" x14ac:dyDescent="0.25">
      <c r="A822815" s="242"/>
    </row>
    <row r="822816" spans="1:1" x14ac:dyDescent="0.25">
      <c r="A822816" s="242"/>
    </row>
    <row r="822817" spans="1:1" x14ac:dyDescent="0.25">
      <c r="A822817" s="242"/>
    </row>
    <row r="822818" spans="1:1" x14ac:dyDescent="0.25">
      <c r="A822818" s="242"/>
    </row>
    <row r="822819" spans="1:1" x14ac:dyDescent="0.25">
      <c r="A822819" s="242"/>
    </row>
    <row r="822820" spans="1:1" x14ac:dyDescent="0.25">
      <c r="A822820" s="242"/>
    </row>
    <row r="822821" spans="1:1" x14ac:dyDescent="0.25">
      <c r="A822821" s="242"/>
    </row>
    <row r="822822" spans="1:1" x14ac:dyDescent="0.25">
      <c r="A822822" s="242"/>
    </row>
    <row r="822823" spans="1:1" x14ac:dyDescent="0.25">
      <c r="A822823" s="242"/>
    </row>
    <row r="822824" spans="1:1" x14ac:dyDescent="0.25">
      <c r="A822824" s="242"/>
    </row>
    <row r="822825" spans="1:1" x14ac:dyDescent="0.25">
      <c r="A822825" s="242"/>
    </row>
    <row r="822826" spans="1:1" x14ac:dyDescent="0.25">
      <c r="A822826" s="242"/>
    </row>
    <row r="822827" spans="1:1" x14ac:dyDescent="0.25">
      <c r="A822827" s="242"/>
    </row>
    <row r="822828" spans="1:1" x14ac:dyDescent="0.25">
      <c r="A822828" s="242"/>
    </row>
    <row r="822829" spans="1:1" x14ac:dyDescent="0.25">
      <c r="A822829" s="242"/>
    </row>
    <row r="822830" spans="1:1" x14ac:dyDescent="0.25">
      <c r="A822830" s="242"/>
    </row>
    <row r="822831" spans="1:1" x14ac:dyDescent="0.25">
      <c r="A822831" s="242"/>
    </row>
    <row r="822832" spans="1:1" x14ac:dyDescent="0.25">
      <c r="A822832" s="242"/>
    </row>
    <row r="822833" spans="1:1" x14ac:dyDescent="0.25">
      <c r="A822833" s="242"/>
    </row>
    <row r="822834" spans="1:1" x14ac:dyDescent="0.25">
      <c r="A822834" s="242"/>
    </row>
    <row r="822835" spans="1:1" x14ac:dyDescent="0.25">
      <c r="A822835" s="242"/>
    </row>
    <row r="822836" spans="1:1" x14ac:dyDescent="0.25">
      <c r="A822836" s="242"/>
    </row>
    <row r="822837" spans="1:1" x14ac:dyDescent="0.25">
      <c r="A822837" s="242"/>
    </row>
    <row r="822838" spans="1:1" x14ac:dyDescent="0.25">
      <c r="A822838" s="242"/>
    </row>
    <row r="822839" spans="1:1" x14ac:dyDescent="0.25">
      <c r="A822839" s="242"/>
    </row>
    <row r="822840" spans="1:1" x14ac:dyDescent="0.25">
      <c r="A822840" s="242"/>
    </row>
    <row r="822841" spans="1:1" x14ac:dyDescent="0.25">
      <c r="A822841" s="242"/>
    </row>
    <row r="822842" spans="1:1" x14ac:dyDescent="0.25">
      <c r="A822842" s="242"/>
    </row>
    <row r="822843" spans="1:1" x14ac:dyDescent="0.25">
      <c r="A822843" s="242"/>
    </row>
    <row r="822844" spans="1:1" x14ac:dyDescent="0.25">
      <c r="A822844" s="242"/>
    </row>
    <row r="822845" spans="1:1" x14ac:dyDescent="0.25">
      <c r="A822845" s="242"/>
    </row>
    <row r="822846" spans="1:1" x14ac:dyDescent="0.25">
      <c r="A822846" s="242"/>
    </row>
    <row r="822847" spans="1:1" x14ac:dyDescent="0.25">
      <c r="A822847" s="242"/>
    </row>
    <row r="822848" spans="1:1" x14ac:dyDescent="0.25">
      <c r="A822848" s="242"/>
    </row>
    <row r="822849" spans="1:1" x14ac:dyDescent="0.25">
      <c r="A822849" s="242"/>
    </row>
    <row r="822850" spans="1:1" x14ac:dyDescent="0.25">
      <c r="A822850" s="242"/>
    </row>
    <row r="822851" spans="1:1" x14ac:dyDescent="0.25">
      <c r="A822851" s="242"/>
    </row>
    <row r="822852" spans="1:1" x14ac:dyDescent="0.25">
      <c r="A822852" s="242"/>
    </row>
    <row r="822853" spans="1:1" x14ac:dyDescent="0.25">
      <c r="A822853" s="242"/>
    </row>
    <row r="822854" spans="1:1" x14ac:dyDescent="0.25">
      <c r="A822854" s="242"/>
    </row>
    <row r="822855" spans="1:1" x14ac:dyDescent="0.25">
      <c r="A822855" s="242"/>
    </row>
    <row r="822856" spans="1:1" x14ac:dyDescent="0.25">
      <c r="A822856" s="242"/>
    </row>
    <row r="822857" spans="1:1" x14ac:dyDescent="0.25">
      <c r="A822857" s="242"/>
    </row>
    <row r="822858" spans="1:1" x14ac:dyDescent="0.25">
      <c r="A822858" s="242"/>
    </row>
    <row r="822859" spans="1:1" x14ac:dyDescent="0.25">
      <c r="A822859" s="242"/>
    </row>
    <row r="822860" spans="1:1" x14ac:dyDescent="0.25">
      <c r="A822860" s="242"/>
    </row>
    <row r="822861" spans="1:1" x14ac:dyDescent="0.25">
      <c r="A822861" s="242"/>
    </row>
    <row r="822862" spans="1:1" x14ac:dyDescent="0.25">
      <c r="A822862" s="242"/>
    </row>
    <row r="822863" spans="1:1" x14ac:dyDescent="0.25">
      <c r="A822863" s="242"/>
    </row>
    <row r="822864" spans="1:1" x14ac:dyDescent="0.25">
      <c r="A822864" s="242"/>
    </row>
    <row r="822865" spans="1:1" x14ac:dyDescent="0.25">
      <c r="A822865" s="242"/>
    </row>
    <row r="822866" spans="1:1" x14ac:dyDescent="0.25">
      <c r="A822866" s="242"/>
    </row>
    <row r="822867" spans="1:1" x14ac:dyDescent="0.25">
      <c r="A822867" s="242"/>
    </row>
    <row r="822868" spans="1:1" x14ac:dyDescent="0.25">
      <c r="A822868" s="242"/>
    </row>
    <row r="822869" spans="1:1" x14ac:dyDescent="0.25">
      <c r="A822869" s="242"/>
    </row>
    <row r="822870" spans="1:1" x14ac:dyDescent="0.25">
      <c r="A822870" s="242"/>
    </row>
    <row r="822871" spans="1:1" x14ac:dyDescent="0.25">
      <c r="A822871" s="242"/>
    </row>
    <row r="822872" spans="1:1" x14ac:dyDescent="0.25">
      <c r="A822872" s="242"/>
    </row>
    <row r="822873" spans="1:1" x14ac:dyDescent="0.25">
      <c r="A822873" s="242"/>
    </row>
    <row r="822874" spans="1:1" x14ac:dyDescent="0.25">
      <c r="A822874" s="242"/>
    </row>
    <row r="822875" spans="1:1" x14ac:dyDescent="0.25">
      <c r="A822875" s="242"/>
    </row>
    <row r="822876" spans="1:1" x14ac:dyDescent="0.25">
      <c r="A822876" s="242"/>
    </row>
    <row r="822877" spans="1:1" x14ac:dyDescent="0.25">
      <c r="A822877" s="242"/>
    </row>
    <row r="822878" spans="1:1" x14ac:dyDescent="0.25">
      <c r="A822878" s="242"/>
    </row>
    <row r="822879" spans="1:1" x14ac:dyDescent="0.25">
      <c r="A822879" s="242"/>
    </row>
    <row r="822880" spans="1:1" x14ac:dyDescent="0.25">
      <c r="A822880" s="242"/>
    </row>
    <row r="822881" spans="1:1" x14ac:dyDescent="0.25">
      <c r="A822881" s="242"/>
    </row>
    <row r="822882" spans="1:1" x14ac:dyDescent="0.25">
      <c r="A822882" s="242"/>
    </row>
    <row r="822883" spans="1:1" x14ac:dyDescent="0.25">
      <c r="A822883" s="242"/>
    </row>
    <row r="822884" spans="1:1" x14ac:dyDescent="0.25">
      <c r="A822884" s="242"/>
    </row>
    <row r="822885" spans="1:1" x14ac:dyDescent="0.25">
      <c r="A822885" s="242"/>
    </row>
    <row r="822886" spans="1:1" x14ac:dyDescent="0.25">
      <c r="A822886" s="242"/>
    </row>
    <row r="822887" spans="1:1" x14ac:dyDescent="0.25">
      <c r="A822887" s="242"/>
    </row>
    <row r="822888" spans="1:1" x14ac:dyDescent="0.25">
      <c r="A822888" s="242"/>
    </row>
    <row r="822889" spans="1:1" x14ac:dyDescent="0.25">
      <c r="A822889" s="242"/>
    </row>
    <row r="822890" spans="1:1" x14ac:dyDescent="0.25">
      <c r="A822890" s="242"/>
    </row>
    <row r="822891" spans="1:1" x14ac:dyDescent="0.25">
      <c r="A822891" s="242"/>
    </row>
    <row r="822892" spans="1:1" x14ac:dyDescent="0.25">
      <c r="A822892" s="242"/>
    </row>
    <row r="822893" spans="1:1" x14ac:dyDescent="0.25">
      <c r="A822893" s="242"/>
    </row>
    <row r="822894" spans="1:1" x14ac:dyDescent="0.25">
      <c r="A822894" s="242"/>
    </row>
    <row r="822895" spans="1:1" x14ac:dyDescent="0.25">
      <c r="A822895" s="242"/>
    </row>
    <row r="822896" spans="1:1" x14ac:dyDescent="0.25">
      <c r="A822896" s="242"/>
    </row>
    <row r="822897" spans="1:1" x14ac:dyDescent="0.25">
      <c r="A822897" s="242"/>
    </row>
    <row r="822898" spans="1:1" x14ac:dyDescent="0.25">
      <c r="A822898" s="242"/>
    </row>
    <row r="822899" spans="1:1" x14ac:dyDescent="0.25">
      <c r="A822899" s="242"/>
    </row>
    <row r="822900" spans="1:1" x14ac:dyDescent="0.25">
      <c r="A822900" s="242"/>
    </row>
    <row r="822901" spans="1:1" x14ac:dyDescent="0.25">
      <c r="A822901" s="242"/>
    </row>
    <row r="822902" spans="1:1" x14ac:dyDescent="0.25">
      <c r="A822902" s="242"/>
    </row>
    <row r="822903" spans="1:1" x14ac:dyDescent="0.25">
      <c r="A822903" s="242"/>
    </row>
    <row r="822904" spans="1:1" x14ac:dyDescent="0.25">
      <c r="A822904" s="242"/>
    </row>
    <row r="822905" spans="1:1" x14ac:dyDescent="0.25">
      <c r="A822905" s="242"/>
    </row>
    <row r="822906" spans="1:1" x14ac:dyDescent="0.25">
      <c r="A822906" s="242"/>
    </row>
    <row r="822907" spans="1:1" x14ac:dyDescent="0.25">
      <c r="A822907" s="242"/>
    </row>
    <row r="822908" spans="1:1" x14ac:dyDescent="0.25">
      <c r="A822908" s="242"/>
    </row>
    <row r="822909" spans="1:1" x14ac:dyDescent="0.25">
      <c r="A822909" s="242"/>
    </row>
    <row r="822910" spans="1:1" x14ac:dyDescent="0.25">
      <c r="A822910" s="242"/>
    </row>
    <row r="822911" spans="1:1" x14ac:dyDescent="0.25">
      <c r="A822911" s="242"/>
    </row>
    <row r="822912" spans="1:1" x14ac:dyDescent="0.25">
      <c r="A822912" s="242"/>
    </row>
    <row r="822913" spans="1:1" x14ac:dyDescent="0.25">
      <c r="A822913" s="242"/>
    </row>
    <row r="822914" spans="1:1" x14ac:dyDescent="0.25">
      <c r="A822914" s="242"/>
    </row>
    <row r="822915" spans="1:1" x14ac:dyDescent="0.25">
      <c r="A822915" s="242"/>
    </row>
    <row r="822916" spans="1:1" x14ac:dyDescent="0.25">
      <c r="A822916" s="242"/>
    </row>
    <row r="822917" spans="1:1" x14ac:dyDescent="0.25">
      <c r="A822917" s="242"/>
    </row>
    <row r="822918" spans="1:1" x14ac:dyDescent="0.25">
      <c r="A822918" s="242"/>
    </row>
    <row r="822919" spans="1:1" x14ac:dyDescent="0.25">
      <c r="A822919" s="242"/>
    </row>
    <row r="822920" spans="1:1" x14ac:dyDescent="0.25">
      <c r="A822920" s="242"/>
    </row>
    <row r="822921" spans="1:1" x14ac:dyDescent="0.25">
      <c r="A822921" s="242"/>
    </row>
    <row r="822922" spans="1:1" x14ac:dyDescent="0.25">
      <c r="A822922" s="242"/>
    </row>
    <row r="822923" spans="1:1" x14ac:dyDescent="0.25">
      <c r="A822923" s="242"/>
    </row>
    <row r="822924" spans="1:1" x14ac:dyDescent="0.25">
      <c r="A822924" s="242"/>
    </row>
    <row r="822925" spans="1:1" x14ac:dyDescent="0.25">
      <c r="A822925" s="242"/>
    </row>
    <row r="822926" spans="1:1" x14ac:dyDescent="0.25">
      <c r="A822926" s="242"/>
    </row>
    <row r="822927" spans="1:1" x14ac:dyDescent="0.25">
      <c r="A822927" s="242"/>
    </row>
    <row r="822928" spans="1:1" x14ac:dyDescent="0.25">
      <c r="A822928" s="242"/>
    </row>
    <row r="822929" spans="1:1" x14ac:dyDescent="0.25">
      <c r="A822929" s="242"/>
    </row>
    <row r="822930" spans="1:1" x14ac:dyDescent="0.25">
      <c r="A822930" s="242"/>
    </row>
    <row r="822931" spans="1:1" x14ac:dyDescent="0.25">
      <c r="A822931" s="242"/>
    </row>
    <row r="822932" spans="1:1" x14ac:dyDescent="0.25">
      <c r="A822932" s="242"/>
    </row>
    <row r="822933" spans="1:1" x14ac:dyDescent="0.25">
      <c r="A822933" s="242"/>
    </row>
    <row r="822934" spans="1:1" x14ac:dyDescent="0.25">
      <c r="A822934" s="242"/>
    </row>
    <row r="822935" spans="1:1" x14ac:dyDescent="0.25">
      <c r="A822935" s="242"/>
    </row>
    <row r="822936" spans="1:1" x14ac:dyDescent="0.25">
      <c r="A822936" s="242"/>
    </row>
    <row r="822937" spans="1:1" x14ac:dyDescent="0.25">
      <c r="A822937" s="242"/>
    </row>
    <row r="822938" spans="1:1" x14ac:dyDescent="0.25">
      <c r="A822938" s="242"/>
    </row>
    <row r="822939" spans="1:1" x14ac:dyDescent="0.25">
      <c r="A822939" s="242"/>
    </row>
    <row r="822940" spans="1:1" x14ac:dyDescent="0.25">
      <c r="A822940" s="242"/>
    </row>
    <row r="822941" spans="1:1" x14ac:dyDescent="0.25">
      <c r="A822941" s="242"/>
    </row>
    <row r="822942" spans="1:1" x14ac:dyDescent="0.25">
      <c r="A822942" s="242"/>
    </row>
    <row r="822943" spans="1:1" x14ac:dyDescent="0.25">
      <c r="A822943" s="242"/>
    </row>
    <row r="822944" spans="1:1" x14ac:dyDescent="0.25">
      <c r="A822944" s="242"/>
    </row>
    <row r="822945" spans="1:1" x14ac:dyDescent="0.25">
      <c r="A822945" s="242"/>
    </row>
    <row r="822946" spans="1:1" x14ac:dyDescent="0.25">
      <c r="A822946" s="242"/>
    </row>
    <row r="822947" spans="1:1" x14ac:dyDescent="0.25">
      <c r="A822947" s="242"/>
    </row>
    <row r="822948" spans="1:1" x14ac:dyDescent="0.25">
      <c r="A822948" s="242"/>
    </row>
    <row r="822949" spans="1:1" x14ac:dyDescent="0.25">
      <c r="A822949" s="242"/>
    </row>
    <row r="822950" spans="1:1" x14ac:dyDescent="0.25">
      <c r="A822950" s="242"/>
    </row>
    <row r="822951" spans="1:1" x14ac:dyDescent="0.25">
      <c r="A822951" s="242"/>
    </row>
    <row r="822952" spans="1:1" x14ac:dyDescent="0.25">
      <c r="A822952" s="242"/>
    </row>
    <row r="822953" spans="1:1" x14ac:dyDescent="0.25">
      <c r="A822953" s="242"/>
    </row>
    <row r="822954" spans="1:1" x14ac:dyDescent="0.25">
      <c r="A822954" s="242"/>
    </row>
    <row r="822955" spans="1:1" x14ac:dyDescent="0.25">
      <c r="A822955" s="242"/>
    </row>
    <row r="822956" spans="1:1" x14ac:dyDescent="0.25">
      <c r="A822956" s="242"/>
    </row>
    <row r="822957" spans="1:1" x14ac:dyDescent="0.25">
      <c r="A822957" s="242"/>
    </row>
    <row r="822958" spans="1:1" x14ac:dyDescent="0.25">
      <c r="A822958" s="242"/>
    </row>
    <row r="822959" spans="1:1" x14ac:dyDescent="0.25">
      <c r="A822959" s="242"/>
    </row>
    <row r="822960" spans="1:1" x14ac:dyDescent="0.25">
      <c r="A822960" s="242"/>
    </row>
    <row r="822961" spans="1:1" x14ac:dyDescent="0.25">
      <c r="A822961" s="242"/>
    </row>
    <row r="822962" spans="1:1" x14ac:dyDescent="0.25">
      <c r="A822962" s="242"/>
    </row>
    <row r="822963" spans="1:1" x14ac:dyDescent="0.25">
      <c r="A822963" s="242"/>
    </row>
    <row r="822964" spans="1:1" x14ac:dyDescent="0.25">
      <c r="A822964" s="242"/>
    </row>
    <row r="822965" spans="1:1" x14ac:dyDescent="0.25">
      <c r="A822965" s="242"/>
    </row>
    <row r="822966" spans="1:1" x14ac:dyDescent="0.25">
      <c r="A822966" s="242"/>
    </row>
    <row r="822967" spans="1:1" x14ac:dyDescent="0.25">
      <c r="A822967" s="242"/>
    </row>
    <row r="822968" spans="1:1" x14ac:dyDescent="0.25">
      <c r="A822968" s="242"/>
    </row>
    <row r="822969" spans="1:1" x14ac:dyDescent="0.25">
      <c r="A822969" s="242"/>
    </row>
    <row r="822970" spans="1:1" x14ac:dyDescent="0.25">
      <c r="A822970" s="242"/>
    </row>
    <row r="822971" spans="1:1" x14ac:dyDescent="0.25">
      <c r="A822971" s="242"/>
    </row>
    <row r="822972" spans="1:1" x14ac:dyDescent="0.25">
      <c r="A822972" s="242"/>
    </row>
    <row r="822973" spans="1:1" x14ac:dyDescent="0.25">
      <c r="A822973" s="242"/>
    </row>
    <row r="822974" spans="1:1" x14ac:dyDescent="0.25">
      <c r="A822974" s="242"/>
    </row>
    <row r="822975" spans="1:1" x14ac:dyDescent="0.25">
      <c r="A822975" s="242"/>
    </row>
    <row r="822976" spans="1:1" x14ac:dyDescent="0.25">
      <c r="A822976" s="242"/>
    </row>
    <row r="822977" spans="1:1" x14ac:dyDescent="0.25">
      <c r="A822977" s="242"/>
    </row>
    <row r="822978" spans="1:1" x14ac:dyDescent="0.25">
      <c r="A822978" s="242"/>
    </row>
    <row r="822979" spans="1:1" x14ac:dyDescent="0.25">
      <c r="A822979" s="242"/>
    </row>
    <row r="822980" spans="1:1" x14ac:dyDescent="0.25">
      <c r="A822980" s="242"/>
    </row>
    <row r="822981" spans="1:1" x14ac:dyDescent="0.25">
      <c r="A822981" s="242"/>
    </row>
    <row r="822982" spans="1:1" x14ac:dyDescent="0.25">
      <c r="A822982" s="242"/>
    </row>
    <row r="822983" spans="1:1" x14ac:dyDescent="0.25">
      <c r="A822983" s="242"/>
    </row>
    <row r="822984" spans="1:1" x14ac:dyDescent="0.25">
      <c r="A822984" s="242"/>
    </row>
    <row r="822985" spans="1:1" x14ac:dyDescent="0.25">
      <c r="A822985" s="242"/>
    </row>
    <row r="822986" spans="1:1" x14ac:dyDescent="0.25">
      <c r="A822986" s="242"/>
    </row>
    <row r="822987" spans="1:1" x14ac:dyDescent="0.25">
      <c r="A822987" s="242"/>
    </row>
    <row r="822988" spans="1:1" x14ac:dyDescent="0.25">
      <c r="A822988" s="242"/>
    </row>
    <row r="822989" spans="1:1" x14ac:dyDescent="0.25">
      <c r="A822989" s="242"/>
    </row>
    <row r="822990" spans="1:1" x14ac:dyDescent="0.25">
      <c r="A822990" s="242"/>
    </row>
    <row r="822991" spans="1:1" x14ac:dyDescent="0.25">
      <c r="A822991" s="242"/>
    </row>
    <row r="822992" spans="1:1" x14ac:dyDescent="0.25">
      <c r="A822992" s="242"/>
    </row>
    <row r="822993" spans="1:1" x14ac:dyDescent="0.25">
      <c r="A822993" s="242"/>
    </row>
    <row r="822994" spans="1:1" x14ac:dyDescent="0.25">
      <c r="A822994" s="242"/>
    </row>
    <row r="822995" spans="1:1" x14ac:dyDescent="0.25">
      <c r="A822995" s="242"/>
    </row>
    <row r="822996" spans="1:1" x14ac:dyDescent="0.25">
      <c r="A822996" s="242"/>
    </row>
    <row r="822997" spans="1:1" x14ac:dyDescent="0.25">
      <c r="A822997" s="242"/>
    </row>
    <row r="822998" spans="1:1" x14ac:dyDescent="0.25">
      <c r="A822998" s="242"/>
    </row>
    <row r="822999" spans="1:1" x14ac:dyDescent="0.25">
      <c r="A822999" s="242"/>
    </row>
    <row r="823000" spans="1:1" x14ac:dyDescent="0.25">
      <c r="A823000" s="242"/>
    </row>
    <row r="823001" spans="1:1" x14ac:dyDescent="0.25">
      <c r="A823001" s="242"/>
    </row>
    <row r="823002" spans="1:1" x14ac:dyDescent="0.25">
      <c r="A823002" s="242"/>
    </row>
    <row r="823003" spans="1:1" x14ac:dyDescent="0.25">
      <c r="A823003" s="242"/>
    </row>
    <row r="823004" spans="1:1" x14ac:dyDescent="0.25">
      <c r="A823004" s="242"/>
    </row>
    <row r="823005" spans="1:1" x14ac:dyDescent="0.25">
      <c r="A823005" s="242"/>
    </row>
    <row r="823006" spans="1:1" x14ac:dyDescent="0.25">
      <c r="A823006" s="242"/>
    </row>
    <row r="823007" spans="1:1" x14ac:dyDescent="0.25">
      <c r="A823007" s="242"/>
    </row>
    <row r="823008" spans="1:1" x14ac:dyDescent="0.25">
      <c r="A823008" s="242"/>
    </row>
    <row r="823009" spans="1:1" x14ac:dyDescent="0.25">
      <c r="A823009" s="242"/>
    </row>
    <row r="823010" spans="1:1" x14ac:dyDescent="0.25">
      <c r="A823010" s="242"/>
    </row>
    <row r="823011" spans="1:1" x14ac:dyDescent="0.25">
      <c r="A823011" s="242"/>
    </row>
    <row r="823012" spans="1:1" x14ac:dyDescent="0.25">
      <c r="A823012" s="242"/>
    </row>
    <row r="823013" spans="1:1" x14ac:dyDescent="0.25">
      <c r="A823013" s="242"/>
    </row>
    <row r="823014" spans="1:1" x14ac:dyDescent="0.25">
      <c r="A823014" s="242"/>
    </row>
    <row r="823015" spans="1:1" x14ac:dyDescent="0.25">
      <c r="A823015" s="242"/>
    </row>
    <row r="823016" spans="1:1" x14ac:dyDescent="0.25">
      <c r="A823016" s="242"/>
    </row>
    <row r="823017" spans="1:1" x14ac:dyDescent="0.25">
      <c r="A823017" s="242"/>
    </row>
    <row r="823018" spans="1:1" x14ac:dyDescent="0.25">
      <c r="A823018" s="242"/>
    </row>
    <row r="823019" spans="1:1" x14ac:dyDescent="0.25">
      <c r="A823019" s="242"/>
    </row>
    <row r="823020" spans="1:1" x14ac:dyDescent="0.25">
      <c r="A823020" s="242"/>
    </row>
    <row r="823021" spans="1:1" x14ac:dyDescent="0.25">
      <c r="A823021" s="242"/>
    </row>
    <row r="823022" spans="1:1" x14ac:dyDescent="0.25">
      <c r="A823022" s="242"/>
    </row>
    <row r="823023" spans="1:1" x14ac:dyDescent="0.25">
      <c r="A823023" s="242"/>
    </row>
    <row r="823024" spans="1:1" x14ac:dyDescent="0.25">
      <c r="A823024" s="242"/>
    </row>
    <row r="823025" spans="1:1" x14ac:dyDescent="0.25">
      <c r="A823025" s="242"/>
    </row>
    <row r="823026" spans="1:1" x14ac:dyDescent="0.25">
      <c r="A823026" s="242"/>
    </row>
    <row r="823027" spans="1:1" x14ac:dyDescent="0.25">
      <c r="A823027" s="242"/>
    </row>
    <row r="823028" spans="1:1" x14ac:dyDescent="0.25">
      <c r="A823028" s="242"/>
    </row>
    <row r="823029" spans="1:1" x14ac:dyDescent="0.25">
      <c r="A823029" s="242"/>
    </row>
    <row r="823030" spans="1:1" x14ac:dyDescent="0.25">
      <c r="A823030" s="242"/>
    </row>
    <row r="823031" spans="1:1" x14ac:dyDescent="0.25">
      <c r="A823031" s="242"/>
    </row>
    <row r="823032" spans="1:1" x14ac:dyDescent="0.25">
      <c r="A823032" s="242"/>
    </row>
    <row r="823033" spans="1:1" x14ac:dyDescent="0.25">
      <c r="A823033" s="242"/>
    </row>
    <row r="823034" spans="1:1" x14ac:dyDescent="0.25">
      <c r="A823034" s="242"/>
    </row>
    <row r="823035" spans="1:1" x14ac:dyDescent="0.25">
      <c r="A823035" s="242"/>
    </row>
    <row r="823036" spans="1:1" x14ac:dyDescent="0.25">
      <c r="A823036" s="242"/>
    </row>
    <row r="823037" spans="1:1" x14ac:dyDescent="0.25">
      <c r="A823037" s="242"/>
    </row>
    <row r="823038" spans="1:1" x14ac:dyDescent="0.25">
      <c r="A823038" s="242"/>
    </row>
    <row r="823039" spans="1:1" x14ac:dyDescent="0.25">
      <c r="A823039" s="242"/>
    </row>
    <row r="823040" spans="1:1" x14ac:dyDescent="0.25">
      <c r="A823040" s="242"/>
    </row>
    <row r="823041" spans="1:1" x14ac:dyDescent="0.25">
      <c r="A823041" s="242"/>
    </row>
    <row r="823042" spans="1:1" x14ac:dyDescent="0.25">
      <c r="A823042" s="242"/>
    </row>
    <row r="823043" spans="1:1" x14ac:dyDescent="0.25">
      <c r="A823043" s="242"/>
    </row>
    <row r="823044" spans="1:1" x14ac:dyDescent="0.25">
      <c r="A823044" s="242"/>
    </row>
    <row r="823045" spans="1:1" x14ac:dyDescent="0.25">
      <c r="A823045" s="242"/>
    </row>
    <row r="823046" spans="1:1" x14ac:dyDescent="0.25">
      <c r="A823046" s="242"/>
    </row>
    <row r="823047" spans="1:1" x14ac:dyDescent="0.25">
      <c r="A823047" s="242"/>
    </row>
    <row r="823048" spans="1:1" x14ac:dyDescent="0.25">
      <c r="A823048" s="242"/>
    </row>
    <row r="823049" spans="1:1" x14ac:dyDescent="0.25">
      <c r="A823049" s="242"/>
    </row>
    <row r="823050" spans="1:1" x14ac:dyDescent="0.25">
      <c r="A823050" s="242"/>
    </row>
    <row r="823051" spans="1:1" x14ac:dyDescent="0.25">
      <c r="A823051" s="242"/>
    </row>
    <row r="823052" spans="1:1" x14ac:dyDescent="0.25">
      <c r="A823052" s="242"/>
    </row>
    <row r="823053" spans="1:1" x14ac:dyDescent="0.25">
      <c r="A823053" s="242"/>
    </row>
    <row r="823054" spans="1:1" x14ac:dyDescent="0.25">
      <c r="A823054" s="242"/>
    </row>
    <row r="823055" spans="1:1" x14ac:dyDescent="0.25">
      <c r="A823055" s="242"/>
    </row>
    <row r="823056" spans="1:1" x14ac:dyDescent="0.25">
      <c r="A823056" s="242"/>
    </row>
    <row r="823057" spans="1:1" x14ac:dyDescent="0.25">
      <c r="A823057" s="242"/>
    </row>
    <row r="823058" spans="1:1" x14ac:dyDescent="0.25">
      <c r="A823058" s="242"/>
    </row>
    <row r="823059" spans="1:1" x14ac:dyDescent="0.25">
      <c r="A823059" s="242"/>
    </row>
    <row r="823060" spans="1:1" x14ac:dyDescent="0.25">
      <c r="A823060" s="242"/>
    </row>
    <row r="823061" spans="1:1" x14ac:dyDescent="0.25">
      <c r="A823061" s="242"/>
    </row>
    <row r="823062" spans="1:1" x14ac:dyDescent="0.25">
      <c r="A823062" s="242"/>
    </row>
    <row r="823063" spans="1:1" x14ac:dyDescent="0.25">
      <c r="A823063" s="242"/>
    </row>
    <row r="823064" spans="1:1" x14ac:dyDescent="0.25">
      <c r="A823064" s="242"/>
    </row>
    <row r="823065" spans="1:1" x14ac:dyDescent="0.25">
      <c r="A823065" s="242"/>
    </row>
    <row r="823066" spans="1:1" x14ac:dyDescent="0.25">
      <c r="A823066" s="242"/>
    </row>
    <row r="823067" spans="1:1" x14ac:dyDescent="0.25">
      <c r="A823067" s="242"/>
    </row>
    <row r="823068" spans="1:1" x14ac:dyDescent="0.25">
      <c r="A823068" s="242"/>
    </row>
    <row r="823069" spans="1:1" x14ac:dyDescent="0.25">
      <c r="A823069" s="242"/>
    </row>
    <row r="823070" spans="1:1" x14ac:dyDescent="0.25">
      <c r="A823070" s="242"/>
    </row>
    <row r="823071" spans="1:1" x14ac:dyDescent="0.25">
      <c r="A823071" s="242"/>
    </row>
    <row r="823072" spans="1:1" x14ac:dyDescent="0.25">
      <c r="A823072" s="242"/>
    </row>
    <row r="823073" spans="1:1" x14ac:dyDescent="0.25">
      <c r="A823073" s="242"/>
    </row>
    <row r="823074" spans="1:1" x14ac:dyDescent="0.25">
      <c r="A823074" s="242"/>
    </row>
    <row r="823075" spans="1:1" x14ac:dyDescent="0.25">
      <c r="A823075" s="242"/>
    </row>
    <row r="823076" spans="1:1" x14ac:dyDescent="0.25">
      <c r="A823076" s="242"/>
    </row>
    <row r="823077" spans="1:1" x14ac:dyDescent="0.25">
      <c r="A823077" s="242"/>
    </row>
    <row r="823078" spans="1:1" x14ac:dyDescent="0.25">
      <c r="A823078" s="242"/>
    </row>
    <row r="823079" spans="1:1" x14ac:dyDescent="0.25">
      <c r="A823079" s="242"/>
    </row>
    <row r="823080" spans="1:1" x14ac:dyDescent="0.25">
      <c r="A823080" s="242"/>
    </row>
    <row r="823081" spans="1:1" x14ac:dyDescent="0.25">
      <c r="A823081" s="242"/>
    </row>
    <row r="823082" spans="1:1" x14ac:dyDescent="0.25">
      <c r="A823082" s="242"/>
    </row>
    <row r="823083" spans="1:1" x14ac:dyDescent="0.25">
      <c r="A823083" s="242"/>
    </row>
    <row r="823084" spans="1:1" x14ac:dyDescent="0.25">
      <c r="A823084" s="242"/>
    </row>
    <row r="823085" spans="1:1" x14ac:dyDescent="0.25">
      <c r="A823085" s="242"/>
    </row>
    <row r="823086" spans="1:1" x14ac:dyDescent="0.25">
      <c r="A823086" s="242"/>
    </row>
    <row r="823087" spans="1:1" x14ac:dyDescent="0.25">
      <c r="A823087" s="242"/>
    </row>
    <row r="823088" spans="1:1" x14ac:dyDescent="0.25">
      <c r="A823088" s="242"/>
    </row>
    <row r="823089" spans="1:1" x14ac:dyDescent="0.25">
      <c r="A823089" s="242"/>
    </row>
    <row r="823090" spans="1:1" x14ac:dyDescent="0.25">
      <c r="A823090" s="242"/>
    </row>
    <row r="823091" spans="1:1" x14ac:dyDescent="0.25">
      <c r="A823091" s="242"/>
    </row>
    <row r="823092" spans="1:1" x14ac:dyDescent="0.25">
      <c r="A823092" s="242"/>
    </row>
    <row r="823093" spans="1:1" x14ac:dyDescent="0.25">
      <c r="A823093" s="242"/>
    </row>
    <row r="823094" spans="1:1" x14ac:dyDescent="0.25">
      <c r="A823094" s="242"/>
    </row>
    <row r="823095" spans="1:1" x14ac:dyDescent="0.25">
      <c r="A823095" s="242"/>
    </row>
    <row r="823096" spans="1:1" x14ac:dyDescent="0.25">
      <c r="A823096" s="242"/>
    </row>
    <row r="823097" spans="1:1" x14ac:dyDescent="0.25">
      <c r="A823097" s="242"/>
    </row>
    <row r="823098" spans="1:1" x14ac:dyDescent="0.25">
      <c r="A823098" s="242"/>
    </row>
    <row r="823099" spans="1:1" x14ac:dyDescent="0.25">
      <c r="A823099" s="242"/>
    </row>
    <row r="823100" spans="1:1" x14ac:dyDescent="0.25">
      <c r="A823100" s="242"/>
    </row>
    <row r="823101" spans="1:1" x14ac:dyDescent="0.25">
      <c r="A823101" s="242"/>
    </row>
    <row r="823102" spans="1:1" x14ac:dyDescent="0.25">
      <c r="A823102" s="242"/>
    </row>
    <row r="823103" spans="1:1" x14ac:dyDescent="0.25">
      <c r="A823103" s="242"/>
    </row>
    <row r="823104" spans="1:1" x14ac:dyDescent="0.25">
      <c r="A823104" s="242"/>
    </row>
    <row r="823105" spans="1:1" x14ac:dyDescent="0.25">
      <c r="A823105" s="242"/>
    </row>
    <row r="823106" spans="1:1" x14ac:dyDescent="0.25">
      <c r="A823106" s="242"/>
    </row>
    <row r="823107" spans="1:1" x14ac:dyDescent="0.25">
      <c r="A823107" s="242"/>
    </row>
    <row r="823108" spans="1:1" x14ac:dyDescent="0.25">
      <c r="A823108" s="242"/>
    </row>
    <row r="823109" spans="1:1" x14ac:dyDescent="0.25">
      <c r="A823109" s="242"/>
    </row>
    <row r="823110" spans="1:1" x14ac:dyDescent="0.25">
      <c r="A823110" s="242"/>
    </row>
    <row r="823111" spans="1:1" x14ac:dyDescent="0.25">
      <c r="A823111" s="242"/>
    </row>
    <row r="823112" spans="1:1" x14ac:dyDescent="0.25">
      <c r="A823112" s="242"/>
    </row>
    <row r="823113" spans="1:1" x14ac:dyDescent="0.25">
      <c r="A823113" s="242"/>
    </row>
    <row r="823114" spans="1:1" x14ac:dyDescent="0.25">
      <c r="A823114" s="242"/>
    </row>
    <row r="823115" spans="1:1" x14ac:dyDescent="0.25">
      <c r="A823115" s="242"/>
    </row>
    <row r="823116" spans="1:1" x14ac:dyDescent="0.25">
      <c r="A823116" s="242"/>
    </row>
    <row r="823117" spans="1:1" x14ac:dyDescent="0.25">
      <c r="A823117" s="242"/>
    </row>
    <row r="823118" spans="1:1" x14ac:dyDescent="0.25">
      <c r="A823118" s="242"/>
    </row>
    <row r="823119" spans="1:1" x14ac:dyDescent="0.25">
      <c r="A823119" s="242"/>
    </row>
    <row r="823120" spans="1:1" x14ac:dyDescent="0.25">
      <c r="A823120" s="242"/>
    </row>
    <row r="823121" spans="1:1" x14ac:dyDescent="0.25">
      <c r="A823121" s="242"/>
    </row>
    <row r="823122" spans="1:1" x14ac:dyDescent="0.25">
      <c r="A823122" s="242"/>
    </row>
    <row r="823123" spans="1:1" x14ac:dyDescent="0.25">
      <c r="A823123" s="242"/>
    </row>
    <row r="823124" spans="1:1" x14ac:dyDescent="0.25">
      <c r="A823124" s="242"/>
    </row>
    <row r="823125" spans="1:1" x14ac:dyDescent="0.25">
      <c r="A823125" s="242"/>
    </row>
    <row r="823126" spans="1:1" x14ac:dyDescent="0.25">
      <c r="A823126" s="242"/>
    </row>
    <row r="823127" spans="1:1" x14ac:dyDescent="0.25">
      <c r="A823127" s="242"/>
    </row>
    <row r="823128" spans="1:1" x14ac:dyDescent="0.25">
      <c r="A823128" s="242"/>
    </row>
    <row r="823129" spans="1:1" x14ac:dyDescent="0.25">
      <c r="A823129" s="242"/>
    </row>
    <row r="823130" spans="1:1" x14ac:dyDescent="0.25">
      <c r="A823130" s="242"/>
    </row>
    <row r="823131" spans="1:1" x14ac:dyDescent="0.25">
      <c r="A823131" s="242"/>
    </row>
    <row r="823132" spans="1:1" x14ac:dyDescent="0.25">
      <c r="A823132" s="242"/>
    </row>
    <row r="823133" spans="1:1" x14ac:dyDescent="0.25">
      <c r="A823133" s="242"/>
    </row>
    <row r="823134" spans="1:1" x14ac:dyDescent="0.25">
      <c r="A823134" s="242"/>
    </row>
    <row r="823135" spans="1:1" x14ac:dyDescent="0.25">
      <c r="A823135" s="242"/>
    </row>
    <row r="823136" spans="1:1" x14ac:dyDescent="0.25">
      <c r="A823136" s="242"/>
    </row>
    <row r="823137" spans="1:1" x14ac:dyDescent="0.25">
      <c r="A823137" s="242"/>
    </row>
    <row r="823138" spans="1:1" x14ac:dyDescent="0.25">
      <c r="A823138" s="242"/>
    </row>
    <row r="823139" spans="1:1" x14ac:dyDescent="0.25">
      <c r="A823139" s="242"/>
    </row>
    <row r="823140" spans="1:1" x14ac:dyDescent="0.25">
      <c r="A823140" s="242"/>
    </row>
    <row r="823141" spans="1:1" x14ac:dyDescent="0.25">
      <c r="A823141" s="242"/>
    </row>
    <row r="823142" spans="1:1" x14ac:dyDescent="0.25">
      <c r="A823142" s="242"/>
    </row>
    <row r="823143" spans="1:1" x14ac:dyDescent="0.25">
      <c r="A823143" s="242"/>
    </row>
    <row r="823144" spans="1:1" x14ac:dyDescent="0.25">
      <c r="A823144" s="242"/>
    </row>
    <row r="823145" spans="1:1" x14ac:dyDescent="0.25">
      <c r="A823145" s="242"/>
    </row>
    <row r="823146" spans="1:1" x14ac:dyDescent="0.25">
      <c r="A823146" s="242"/>
    </row>
    <row r="823147" spans="1:1" x14ac:dyDescent="0.25">
      <c r="A823147" s="242"/>
    </row>
    <row r="823148" spans="1:1" x14ac:dyDescent="0.25">
      <c r="A823148" s="242"/>
    </row>
    <row r="823149" spans="1:1" x14ac:dyDescent="0.25">
      <c r="A823149" s="242"/>
    </row>
    <row r="823150" spans="1:1" x14ac:dyDescent="0.25">
      <c r="A823150" s="242"/>
    </row>
    <row r="823151" spans="1:1" x14ac:dyDescent="0.25">
      <c r="A823151" s="242"/>
    </row>
    <row r="823152" spans="1:1" x14ac:dyDescent="0.25">
      <c r="A823152" s="242"/>
    </row>
    <row r="823153" spans="1:1" x14ac:dyDescent="0.25">
      <c r="A823153" s="242"/>
    </row>
    <row r="823154" spans="1:1" x14ac:dyDescent="0.25">
      <c r="A823154" s="242"/>
    </row>
    <row r="823155" spans="1:1" x14ac:dyDescent="0.25">
      <c r="A823155" s="242"/>
    </row>
    <row r="823156" spans="1:1" x14ac:dyDescent="0.25">
      <c r="A823156" s="242"/>
    </row>
    <row r="823157" spans="1:1" x14ac:dyDescent="0.25">
      <c r="A823157" s="242"/>
    </row>
    <row r="823158" spans="1:1" x14ac:dyDescent="0.25">
      <c r="A823158" s="242"/>
    </row>
    <row r="823159" spans="1:1" x14ac:dyDescent="0.25">
      <c r="A823159" s="242"/>
    </row>
    <row r="823160" spans="1:1" x14ac:dyDescent="0.25">
      <c r="A823160" s="242"/>
    </row>
    <row r="823161" spans="1:1" x14ac:dyDescent="0.25">
      <c r="A823161" s="242"/>
    </row>
    <row r="823162" spans="1:1" x14ac:dyDescent="0.25">
      <c r="A823162" s="242"/>
    </row>
    <row r="823163" spans="1:1" x14ac:dyDescent="0.25">
      <c r="A823163" s="242"/>
    </row>
    <row r="823164" spans="1:1" x14ac:dyDescent="0.25">
      <c r="A823164" s="242"/>
    </row>
    <row r="823165" spans="1:1" x14ac:dyDescent="0.25">
      <c r="A823165" s="242"/>
    </row>
    <row r="823166" spans="1:1" x14ac:dyDescent="0.25">
      <c r="A823166" s="242"/>
    </row>
    <row r="823167" spans="1:1" x14ac:dyDescent="0.25">
      <c r="A823167" s="242"/>
    </row>
    <row r="823168" spans="1:1" x14ac:dyDescent="0.25">
      <c r="A823168" s="242"/>
    </row>
    <row r="823169" spans="1:1" x14ac:dyDescent="0.25">
      <c r="A823169" s="242"/>
    </row>
    <row r="823170" spans="1:1" x14ac:dyDescent="0.25">
      <c r="A823170" s="242"/>
    </row>
    <row r="823171" spans="1:1" x14ac:dyDescent="0.25">
      <c r="A823171" s="242"/>
    </row>
    <row r="823172" spans="1:1" x14ac:dyDescent="0.25">
      <c r="A823172" s="242"/>
    </row>
    <row r="823173" spans="1:1" x14ac:dyDescent="0.25">
      <c r="A823173" s="242"/>
    </row>
    <row r="823174" spans="1:1" x14ac:dyDescent="0.25">
      <c r="A823174" s="242"/>
    </row>
    <row r="823175" spans="1:1" x14ac:dyDescent="0.25">
      <c r="A823175" s="242"/>
    </row>
    <row r="823176" spans="1:1" x14ac:dyDescent="0.25">
      <c r="A823176" s="242"/>
    </row>
    <row r="823177" spans="1:1" x14ac:dyDescent="0.25">
      <c r="A823177" s="242"/>
    </row>
    <row r="823178" spans="1:1" x14ac:dyDescent="0.25">
      <c r="A823178" s="242"/>
    </row>
    <row r="823179" spans="1:1" x14ac:dyDescent="0.25">
      <c r="A823179" s="242"/>
    </row>
    <row r="823180" spans="1:1" x14ac:dyDescent="0.25">
      <c r="A823180" s="242"/>
    </row>
    <row r="823181" spans="1:1" x14ac:dyDescent="0.25">
      <c r="A823181" s="242"/>
    </row>
    <row r="823182" spans="1:1" x14ac:dyDescent="0.25">
      <c r="A823182" s="242"/>
    </row>
    <row r="823183" spans="1:1" x14ac:dyDescent="0.25">
      <c r="A823183" s="242"/>
    </row>
    <row r="823184" spans="1:1" x14ac:dyDescent="0.25">
      <c r="A823184" s="242"/>
    </row>
    <row r="823185" spans="1:1" x14ac:dyDescent="0.25">
      <c r="A823185" s="242"/>
    </row>
    <row r="823186" spans="1:1" x14ac:dyDescent="0.25">
      <c r="A823186" s="242"/>
    </row>
    <row r="823187" spans="1:1" x14ac:dyDescent="0.25">
      <c r="A823187" s="242"/>
    </row>
    <row r="823188" spans="1:1" x14ac:dyDescent="0.25">
      <c r="A823188" s="242"/>
    </row>
    <row r="823189" spans="1:1" x14ac:dyDescent="0.25">
      <c r="A823189" s="242"/>
    </row>
    <row r="823190" spans="1:1" x14ac:dyDescent="0.25">
      <c r="A823190" s="242"/>
    </row>
    <row r="823191" spans="1:1" x14ac:dyDescent="0.25">
      <c r="A823191" s="242"/>
    </row>
    <row r="823192" spans="1:1" x14ac:dyDescent="0.25">
      <c r="A823192" s="242"/>
    </row>
    <row r="823193" spans="1:1" x14ac:dyDescent="0.25">
      <c r="A823193" s="242"/>
    </row>
    <row r="823194" spans="1:1" x14ac:dyDescent="0.25">
      <c r="A823194" s="242"/>
    </row>
    <row r="823195" spans="1:1" x14ac:dyDescent="0.25">
      <c r="A823195" s="242"/>
    </row>
    <row r="823196" spans="1:1" x14ac:dyDescent="0.25">
      <c r="A823196" s="242"/>
    </row>
    <row r="823197" spans="1:1" x14ac:dyDescent="0.25">
      <c r="A823197" s="242"/>
    </row>
    <row r="823198" spans="1:1" x14ac:dyDescent="0.25">
      <c r="A823198" s="242"/>
    </row>
    <row r="823199" spans="1:1" x14ac:dyDescent="0.25">
      <c r="A823199" s="242"/>
    </row>
    <row r="823200" spans="1:1" x14ac:dyDescent="0.25">
      <c r="A823200" s="242"/>
    </row>
    <row r="823201" spans="1:1" x14ac:dyDescent="0.25">
      <c r="A823201" s="242"/>
    </row>
    <row r="823202" spans="1:1" x14ac:dyDescent="0.25">
      <c r="A823202" s="242"/>
    </row>
    <row r="823203" spans="1:1" x14ac:dyDescent="0.25">
      <c r="A823203" s="242"/>
    </row>
    <row r="823204" spans="1:1" x14ac:dyDescent="0.25">
      <c r="A823204" s="242"/>
    </row>
    <row r="823205" spans="1:1" x14ac:dyDescent="0.25">
      <c r="A823205" s="242"/>
    </row>
    <row r="823206" spans="1:1" x14ac:dyDescent="0.25">
      <c r="A823206" s="242"/>
    </row>
    <row r="823207" spans="1:1" x14ac:dyDescent="0.25">
      <c r="A823207" s="242"/>
    </row>
    <row r="823208" spans="1:1" x14ac:dyDescent="0.25">
      <c r="A823208" s="242"/>
    </row>
    <row r="823209" spans="1:1" x14ac:dyDescent="0.25">
      <c r="A823209" s="242"/>
    </row>
    <row r="823210" spans="1:1" x14ac:dyDescent="0.25">
      <c r="A823210" s="242"/>
    </row>
    <row r="823211" spans="1:1" x14ac:dyDescent="0.25">
      <c r="A823211" s="242"/>
    </row>
    <row r="823212" spans="1:1" x14ac:dyDescent="0.25">
      <c r="A823212" s="242"/>
    </row>
    <row r="823213" spans="1:1" x14ac:dyDescent="0.25">
      <c r="A823213" s="242"/>
    </row>
    <row r="823214" spans="1:1" x14ac:dyDescent="0.25">
      <c r="A823214" s="242"/>
    </row>
    <row r="823215" spans="1:1" x14ac:dyDescent="0.25">
      <c r="A823215" s="242"/>
    </row>
    <row r="823216" spans="1:1" x14ac:dyDescent="0.25">
      <c r="A823216" s="242"/>
    </row>
    <row r="823217" spans="1:1" x14ac:dyDescent="0.25">
      <c r="A823217" s="242"/>
    </row>
    <row r="823218" spans="1:1" x14ac:dyDescent="0.25">
      <c r="A823218" s="242"/>
    </row>
    <row r="823219" spans="1:1" x14ac:dyDescent="0.25">
      <c r="A823219" s="242"/>
    </row>
    <row r="823220" spans="1:1" x14ac:dyDescent="0.25">
      <c r="A823220" s="242"/>
    </row>
    <row r="823221" spans="1:1" x14ac:dyDescent="0.25">
      <c r="A823221" s="242"/>
    </row>
    <row r="823222" spans="1:1" x14ac:dyDescent="0.25">
      <c r="A823222" s="242"/>
    </row>
    <row r="823223" spans="1:1" x14ac:dyDescent="0.25">
      <c r="A823223" s="242"/>
    </row>
    <row r="823224" spans="1:1" x14ac:dyDescent="0.25">
      <c r="A823224" s="242"/>
    </row>
    <row r="823225" spans="1:1" x14ac:dyDescent="0.25">
      <c r="A823225" s="242"/>
    </row>
    <row r="823226" spans="1:1" x14ac:dyDescent="0.25">
      <c r="A823226" s="242"/>
    </row>
    <row r="823227" spans="1:1" x14ac:dyDescent="0.25">
      <c r="A823227" s="242"/>
    </row>
    <row r="823228" spans="1:1" x14ac:dyDescent="0.25">
      <c r="A823228" s="242"/>
    </row>
    <row r="823229" spans="1:1" x14ac:dyDescent="0.25">
      <c r="A823229" s="242"/>
    </row>
    <row r="823230" spans="1:1" x14ac:dyDescent="0.25">
      <c r="A823230" s="242"/>
    </row>
    <row r="823231" spans="1:1" x14ac:dyDescent="0.25">
      <c r="A823231" s="242"/>
    </row>
    <row r="823232" spans="1:1" x14ac:dyDescent="0.25">
      <c r="A823232" s="242"/>
    </row>
    <row r="823233" spans="1:1" x14ac:dyDescent="0.25">
      <c r="A823233" s="242"/>
    </row>
    <row r="823234" spans="1:1" x14ac:dyDescent="0.25">
      <c r="A823234" s="242"/>
    </row>
    <row r="823235" spans="1:1" x14ac:dyDescent="0.25">
      <c r="A823235" s="242"/>
    </row>
    <row r="823236" spans="1:1" x14ac:dyDescent="0.25">
      <c r="A823236" s="242"/>
    </row>
    <row r="823237" spans="1:1" x14ac:dyDescent="0.25">
      <c r="A823237" s="242"/>
    </row>
    <row r="823238" spans="1:1" x14ac:dyDescent="0.25">
      <c r="A823238" s="242"/>
    </row>
    <row r="823239" spans="1:1" x14ac:dyDescent="0.25">
      <c r="A823239" s="242"/>
    </row>
    <row r="823240" spans="1:1" x14ac:dyDescent="0.25">
      <c r="A823240" s="242"/>
    </row>
    <row r="823241" spans="1:1" x14ac:dyDescent="0.25">
      <c r="A823241" s="242"/>
    </row>
    <row r="823242" spans="1:1" x14ac:dyDescent="0.25">
      <c r="A823242" s="242"/>
    </row>
    <row r="823243" spans="1:1" x14ac:dyDescent="0.25">
      <c r="A823243" s="242"/>
    </row>
    <row r="823244" spans="1:1" x14ac:dyDescent="0.25">
      <c r="A823244" s="242"/>
    </row>
    <row r="823245" spans="1:1" x14ac:dyDescent="0.25">
      <c r="A823245" s="242"/>
    </row>
    <row r="823246" spans="1:1" x14ac:dyDescent="0.25">
      <c r="A823246" s="242"/>
    </row>
    <row r="823247" spans="1:1" x14ac:dyDescent="0.25">
      <c r="A823247" s="242"/>
    </row>
    <row r="823248" spans="1:1" x14ac:dyDescent="0.25">
      <c r="A823248" s="242"/>
    </row>
    <row r="823249" spans="1:1" x14ac:dyDescent="0.25">
      <c r="A823249" s="242"/>
    </row>
    <row r="823250" spans="1:1" x14ac:dyDescent="0.25">
      <c r="A823250" s="242"/>
    </row>
    <row r="823251" spans="1:1" x14ac:dyDescent="0.25">
      <c r="A823251" s="242"/>
    </row>
    <row r="823252" spans="1:1" x14ac:dyDescent="0.25">
      <c r="A823252" s="242"/>
    </row>
    <row r="823253" spans="1:1" x14ac:dyDescent="0.25">
      <c r="A823253" s="242"/>
    </row>
    <row r="823254" spans="1:1" x14ac:dyDescent="0.25">
      <c r="A823254" s="242"/>
    </row>
    <row r="823255" spans="1:1" x14ac:dyDescent="0.25">
      <c r="A823255" s="242"/>
    </row>
    <row r="823256" spans="1:1" x14ac:dyDescent="0.25">
      <c r="A823256" s="242"/>
    </row>
    <row r="823257" spans="1:1" x14ac:dyDescent="0.25">
      <c r="A823257" s="242"/>
    </row>
    <row r="823258" spans="1:1" x14ac:dyDescent="0.25">
      <c r="A823258" s="242"/>
    </row>
    <row r="823259" spans="1:1" x14ac:dyDescent="0.25">
      <c r="A823259" s="242"/>
    </row>
    <row r="823260" spans="1:1" x14ac:dyDescent="0.25">
      <c r="A823260" s="242"/>
    </row>
    <row r="823261" spans="1:1" x14ac:dyDescent="0.25">
      <c r="A823261" s="242"/>
    </row>
    <row r="823262" spans="1:1" x14ac:dyDescent="0.25">
      <c r="A823262" s="242"/>
    </row>
    <row r="823263" spans="1:1" x14ac:dyDescent="0.25">
      <c r="A823263" s="242"/>
    </row>
    <row r="823264" spans="1:1" x14ac:dyDescent="0.25">
      <c r="A823264" s="242"/>
    </row>
    <row r="823265" spans="1:1" x14ac:dyDescent="0.25">
      <c r="A823265" s="242"/>
    </row>
    <row r="823266" spans="1:1" x14ac:dyDescent="0.25">
      <c r="A823266" s="242"/>
    </row>
    <row r="823267" spans="1:1" x14ac:dyDescent="0.25">
      <c r="A823267" s="242"/>
    </row>
    <row r="823268" spans="1:1" x14ac:dyDescent="0.25">
      <c r="A823268" s="242"/>
    </row>
    <row r="823269" spans="1:1" x14ac:dyDescent="0.25">
      <c r="A823269" s="242"/>
    </row>
    <row r="823270" spans="1:1" x14ac:dyDescent="0.25">
      <c r="A823270" s="242"/>
    </row>
    <row r="823271" spans="1:1" x14ac:dyDescent="0.25">
      <c r="A823271" s="242"/>
    </row>
    <row r="823272" spans="1:1" x14ac:dyDescent="0.25">
      <c r="A823272" s="242"/>
    </row>
    <row r="823273" spans="1:1" x14ac:dyDescent="0.25">
      <c r="A823273" s="242"/>
    </row>
    <row r="823274" spans="1:1" x14ac:dyDescent="0.25">
      <c r="A823274" s="242"/>
    </row>
    <row r="823275" spans="1:1" x14ac:dyDescent="0.25">
      <c r="A823275" s="242"/>
    </row>
    <row r="823276" spans="1:1" x14ac:dyDescent="0.25">
      <c r="A823276" s="242"/>
    </row>
    <row r="823277" spans="1:1" x14ac:dyDescent="0.25">
      <c r="A823277" s="242"/>
    </row>
    <row r="823278" spans="1:1" x14ac:dyDescent="0.25">
      <c r="A823278" s="242"/>
    </row>
    <row r="823279" spans="1:1" x14ac:dyDescent="0.25">
      <c r="A823279" s="242"/>
    </row>
    <row r="823280" spans="1:1" x14ac:dyDescent="0.25">
      <c r="A823280" s="242"/>
    </row>
    <row r="823281" spans="1:1" x14ac:dyDescent="0.25">
      <c r="A823281" s="242"/>
    </row>
    <row r="823282" spans="1:1" x14ac:dyDescent="0.25">
      <c r="A823282" s="242"/>
    </row>
    <row r="823283" spans="1:1" x14ac:dyDescent="0.25">
      <c r="A823283" s="242"/>
    </row>
    <row r="823284" spans="1:1" x14ac:dyDescent="0.25">
      <c r="A823284" s="242"/>
    </row>
    <row r="823285" spans="1:1" x14ac:dyDescent="0.25">
      <c r="A823285" s="242"/>
    </row>
    <row r="823286" spans="1:1" x14ac:dyDescent="0.25">
      <c r="A823286" s="242"/>
    </row>
    <row r="823287" spans="1:1" x14ac:dyDescent="0.25">
      <c r="A823287" s="242"/>
    </row>
    <row r="823288" spans="1:1" x14ac:dyDescent="0.25">
      <c r="A823288" s="242"/>
    </row>
    <row r="823289" spans="1:1" x14ac:dyDescent="0.25">
      <c r="A823289" s="242"/>
    </row>
    <row r="823290" spans="1:1" x14ac:dyDescent="0.25">
      <c r="A823290" s="242"/>
    </row>
    <row r="823291" spans="1:1" x14ac:dyDescent="0.25">
      <c r="A823291" s="242"/>
    </row>
    <row r="823292" spans="1:1" x14ac:dyDescent="0.25">
      <c r="A823292" s="242"/>
    </row>
    <row r="823293" spans="1:1" x14ac:dyDescent="0.25">
      <c r="A823293" s="242"/>
    </row>
    <row r="823294" spans="1:1" x14ac:dyDescent="0.25">
      <c r="A823294" s="242"/>
    </row>
    <row r="823295" spans="1:1" x14ac:dyDescent="0.25">
      <c r="A823295" s="242"/>
    </row>
    <row r="823296" spans="1:1" x14ac:dyDescent="0.25">
      <c r="A823296" s="242"/>
    </row>
    <row r="823297" spans="1:1" x14ac:dyDescent="0.25">
      <c r="A823297" s="242"/>
    </row>
    <row r="823298" spans="1:1" x14ac:dyDescent="0.25">
      <c r="A823298" s="242"/>
    </row>
    <row r="823299" spans="1:1" x14ac:dyDescent="0.25">
      <c r="A823299" s="242"/>
    </row>
    <row r="823300" spans="1:1" x14ac:dyDescent="0.25">
      <c r="A823300" s="242"/>
    </row>
    <row r="823301" spans="1:1" x14ac:dyDescent="0.25">
      <c r="A823301" s="242"/>
    </row>
    <row r="823302" spans="1:1" x14ac:dyDescent="0.25">
      <c r="A823302" s="242"/>
    </row>
    <row r="823303" spans="1:1" x14ac:dyDescent="0.25">
      <c r="A823303" s="242"/>
    </row>
    <row r="823304" spans="1:1" x14ac:dyDescent="0.25">
      <c r="A823304" s="242"/>
    </row>
    <row r="823305" spans="1:1" x14ac:dyDescent="0.25">
      <c r="A823305" s="242"/>
    </row>
    <row r="823306" spans="1:1" x14ac:dyDescent="0.25">
      <c r="A823306" s="242"/>
    </row>
    <row r="823307" spans="1:1" x14ac:dyDescent="0.25">
      <c r="A823307" s="242"/>
    </row>
    <row r="823308" spans="1:1" x14ac:dyDescent="0.25">
      <c r="A823308" s="242"/>
    </row>
    <row r="823309" spans="1:1" x14ac:dyDescent="0.25">
      <c r="A823309" s="242"/>
    </row>
    <row r="823310" spans="1:1" x14ac:dyDescent="0.25">
      <c r="A823310" s="242"/>
    </row>
    <row r="823311" spans="1:1" x14ac:dyDescent="0.25">
      <c r="A823311" s="242"/>
    </row>
    <row r="823312" spans="1:1" x14ac:dyDescent="0.25">
      <c r="A823312" s="242"/>
    </row>
    <row r="823313" spans="1:1" x14ac:dyDescent="0.25">
      <c r="A823313" s="242"/>
    </row>
    <row r="823314" spans="1:1" x14ac:dyDescent="0.25">
      <c r="A823314" s="242"/>
    </row>
    <row r="823315" spans="1:1" x14ac:dyDescent="0.25">
      <c r="A823315" s="242"/>
    </row>
    <row r="823316" spans="1:1" x14ac:dyDescent="0.25">
      <c r="A823316" s="242"/>
    </row>
    <row r="823317" spans="1:1" x14ac:dyDescent="0.25">
      <c r="A823317" s="242"/>
    </row>
    <row r="823318" spans="1:1" x14ac:dyDescent="0.25">
      <c r="A823318" s="242"/>
    </row>
    <row r="823319" spans="1:1" x14ac:dyDescent="0.25">
      <c r="A823319" s="242"/>
    </row>
    <row r="823320" spans="1:1" x14ac:dyDescent="0.25">
      <c r="A823320" s="242"/>
    </row>
    <row r="823321" spans="1:1" x14ac:dyDescent="0.25">
      <c r="A823321" s="242"/>
    </row>
    <row r="823322" spans="1:1" x14ac:dyDescent="0.25">
      <c r="A823322" s="242"/>
    </row>
    <row r="823323" spans="1:1" x14ac:dyDescent="0.25">
      <c r="A823323" s="242"/>
    </row>
    <row r="823324" spans="1:1" x14ac:dyDescent="0.25">
      <c r="A823324" s="242"/>
    </row>
    <row r="823325" spans="1:1" x14ac:dyDescent="0.25">
      <c r="A823325" s="242"/>
    </row>
    <row r="823326" spans="1:1" x14ac:dyDescent="0.25">
      <c r="A823326" s="242"/>
    </row>
    <row r="823327" spans="1:1" x14ac:dyDescent="0.25">
      <c r="A823327" s="242"/>
    </row>
    <row r="823328" spans="1:1" x14ac:dyDescent="0.25">
      <c r="A823328" s="242"/>
    </row>
    <row r="823329" spans="1:1" x14ac:dyDescent="0.25">
      <c r="A823329" s="242"/>
    </row>
    <row r="823330" spans="1:1" x14ac:dyDescent="0.25">
      <c r="A823330" s="242"/>
    </row>
    <row r="823331" spans="1:1" x14ac:dyDescent="0.25">
      <c r="A823331" s="242"/>
    </row>
    <row r="823332" spans="1:1" x14ac:dyDescent="0.25">
      <c r="A823332" s="242"/>
    </row>
    <row r="823333" spans="1:1" x14ac:dyDescent="0.25">
      <c r="A823333" s="242"/>
    </row>
    <row r="823334" spans="1:1" x14ac:dyDescent="0.25">
      <c r="A823334" s="242"/>
    </row>
    <row r="823335" spans="1:1" x14ac:dyDescent="0.25">
      <c r="A823335" s="242"/>
    </row>
    <row r="823336" spans="1:1" x14ac:dyDescent="0.25">
      <c r="A823336" s="242"/>
    </row>
    <row r="823337" spans="1:1" x14ac:dyDescent="0.25">
      <c r="A823337" s="242"/>
    </row>
    <row r="823338" spans="1:1" x14ac:dyDescent="0.25">
      <c r="A823338" s="242"/>
    </row>
    <row r="823339" spans="1:1" x14ac:dyDescent="0.25">
      <c r="A823339" s="242"/>
    </row>
    <row r="823340" spans="1:1" x14ac:dyDescent="0.25">
      <c r="A823340" s="242"/>
    </row>
    <row r="823341" spans="1:1" x14ac:dyDescent="0.25">
      <c r="A823341" s="242"/>
    </row>
    <row r="823342" spans="1:1" x14ac:dyDescent="0.25">
      <c r="A823342" s="242"/>
    </row>
    <row r="823343" spans="1:1" x14ac:dyDescent="0.25">
      <c r="A823343" s="242"/>
    </row>
    <row r="823344" spans="1:1" x14ac:dyDescent="0.25">
      <c r="A823344" s="242"/>
    </row>
    <row r="823345" spans="1:1" x14ac:dyDescent="0.25">
      <c r="A823345" s="242"/>
    </row>
    <row r="823346" spans="1:1" x14ac:dyDescent="0.25">
      <c r="A823346" s="242"/>
    </row>
    <row r="823347" spans="1:1" x14ac:dyDescent="0.25">
      <c r="A823347" s="242"/>
    </row>
    <row r="823348" spans="1:1" x14ac:dyDescent="0.25">
      <c r="A823348" s="242"/>
    </row>
    <row r="823349" spans="1:1" x14ac:dyDescent="0.25">
      <c r="A823349" s="242"/>
    </row>
    <row r="823350" spans="1:1" x14ac:dyDescent="0.25">
      <c r="A823350" s="242"/>
    </row>
    <row r="823351" spans="1:1" x14ac:dyDescent="0.25">
      <c r="A823351" s="242"/>
    </row>
    <row r="823352" spans="1:1" x14ac:dyDescent="0.25">
      <c r="A823352" s="242"/>
    </row>
    <row r="823353" spans="1:1" x14ac:dyDescent="0.25">
      <c r="A823353" s="242"/>
    </row>
    <row r="823354" spans="1:1" x14ac:dyDescent="0.25">
      <c r="A823354" s="242"/>
    </row>
    <row r="823355" spans="1:1" x14ac:dyDescent="0.25">
      <c r="A823355" s="242"/>
    </row>
    <row r="823356" spans="1:1" x14ac:dyDescent="0.25">
      <c r="A823356" s="242"/>
    </row>
    <row r="823357" spans="1:1" x14ac:dyDescent="0.25">
      <c r="A823357" s="242"/>
    </row>
    <row r="823358" spans="1:1" x14ac:dyDescent="0.25">
      <c r="A823358" s="242"/>
    </row>
    <row r="823359" spans="1:1" x14ac:dyDescent="0.25">
      <c r="A823359" s="242"/>
    </row>
    <row r="823360" spans="1:1" x14ac:dyDescent="0.25">
      <c r="A823360" s="242"/>
    </row>
    <row r="823361" spans="1:1" x14ac:dyDescent="0.25">
      <c r="A823361" s="242"/>
    </row>
    <row r="823362" spans="1:1" x14ac:dyDescent="0.25">
      <c r="A823362" s="242"/>
    </row>
    <row r="823363" spans="1:1" x14ac:dyDescent="0.25">
      <c r="A823363" s="242"/>
    </row>
    <row r="823364" spans="1:1" x14ac:dyDescent="0.25">
      <c r="A823364" s="242"/>
    </row>
    <row r="823365" spans="1:1" x14ac:dyDescent="0.25">
      <c r="A823365" s="242"/>
    </row>
    <row r="823366" spans="1:1" x14ac:dyDescent="0.25">
      <c r="A823366" s="242"/>
    </row>
    <row r="823367" spans="1:1" x14ac:dyDescent="0.25">
      <c r="A823367" s="242"/>
    </row>
    <row r="823368" spans="1:1" x14ac:dyDescent="0.25">
      <c r="A823368" s="242"/>
    </row>
    <row r="823369" spans="1:1" x14ac:dyDescent="0.25">
      <c r="A823369" s="242"/>
    </row>
    <row r="823370" spans="1:1" x14ac:dyDescent="0.25">
      <c r="A823370" s="242"/>
    </row>
    <row r="823371" spans="1:1" x14ac:dyDescent="0.25">
      <c r="A823371" s="242"/>
    </row>
    <row r="823372" spans="1:1" x14ac:dyDescent="0.25">
      <c r="A823372" s="242"/>
    </row>
    <row r="823373" spans="1:1" x14ac:dyDescent="0.25">
      <c r="A823373" s="242"/>
    </row>
    <row r="823374" spans="1:1" x14ac:dyDescent="0.25">
      <c r="A823374" s="242"/>
    </row>
    <row r="823375" spans="1:1" x14ac:dyDescent="0.25">
      <c r="A823375" s="242"/>
    </row>
    <row r="823376" spans="1:1" x14ac:dyDescent="0.25">
      <c r="A823376" s="242"/>
    </row>
    <row r="823377" spans="1:1" x14ac:dyDescent="0.25">
      <c r="A823377" s="242"/>
    </row>
    <row r="823378" spans="1:1" x14ac:dyDescent="0.25">
      <c r="A823378" s="242"/>
    </row>
    <row r="823379" spans="1:1" x14ac:dyDescent="0.25">
      <c r="A823379" s="242"/>
    </row>
    <row r="823380" spans="1:1" x14ac:dyDescent="0.25">
      <c r="A823380" s="242"/>
    </row>
    <row r="823381" spans="1:1" x14ac:dyDescent="0.25">
      <c r="A823381" s="242"/>
    </row>
    <row r="823382" spans="1:1" x14ac:dyDescent="0.25">
      <c r="A823382" s="242"/>
    </row>
    <row r="823383" spans="1:1" x14ac:dyDescent="0.25">
      <c r="A823383" s="242"/>
    </row>
    <row r="823384" spans="1:1" x14ac:dyDescent="0.25">
      <c r="A823384" s="242"/>
    </row>
    <row r="823385" spans="1:1" x14ac:dyDescent="0.25">
      <c r="A823385" s="242"/>
    </row>
    <row r="823386" spans="1:1" x14ac:dyDescent="0.25">
      <c r="A823386" s="242"/>
    </row>
    <row r="823387" spans="1:1" x14ac:dyDescent="0.25">
      <c r="A823387" s="242"/>
    </row>
    <row r="823388" spans="1:1" x14ac:dyDescent="0.25">
      <c r="A823388" s="242"/>
    </row>
    <row r="823389" spans="1:1" x14ac:dyDescent="0.25">
      <c r="A823389" s="242"/>
    </row>
    <row r="823390" spans="1:1" x14ac:dyDescent="0.25">
      <c r="A823390" s="242"/>
    </row>
    <row r="823391" spans="1:1" x14ac:dyDescent="0.25">
      <c r="A823391" s="242"/>
    </row>
    <row r="823392" spans="1:1" x14ac:dyDescent="0.25">
      <c r="A823392" s="242"/>
    </row>
    <row r="823393" spans="1:1" x14ac:dyDescent="0.25">
      <c r="A823393" s="242"/>
    </row>
    <row r="823394" spans="1:1" x14ac:dyDescent="0.25">
      <c r="A823394" s="242"/>
    </row>
    <row r="823395" spans="1:1" x14ac:dyDescent="0.25">
      <c r="A823395" s="242"/>
    </row>
    <row r="823396" spans="1:1" x14ac:dyDescent="0.25">
      <c r="A823396" s="242"/>
    </row>
    <row r="823397" spans="1:1" x14ac:dyDescent="0.25">
      <c r="A823397" s="242"/>
    </row>
    <row r="823398" spans="1:1" x14ac:dyDescent="0.25">
      <c r="A823398" s="242"/>
    </row>
    <row r="823399" spans="1:1" x14ac:dyDescent="0.25">
      <c r="A823399" s="242"/>
    </row>
    <row r="823400" spans="1:1" x14ac:dyDescent="0.25">
      <c r="A823400" s="242"/>
    </row>
    <row r="823401" spans="1:1" x14ac:dyDescent="0.25">
      <c r="A823401" s="242"/>
    </row>
    <row r="823402" spans="1:1" x14ac:dyDescent="0.25">
      <c r="A823402" s="242"/>
    </row>
    <row r="823403" spans="1:1" x14ac:dyDescent="0.25">
      <c r="A823403" s="242"/>
    </row>
    <row r="823404" spans="1:1" x14ac:dyDescent="0.25">
      <c r="A823404" s="242"/>
    </row>
    <row r="823405" spans="1:1" x14ac:dyDescent="0.25">
      <c r="A823405" s="242"/>
    </row>
    <row r="823406" spans="1:1" x14ac:dyDescent="0.25">
      <c r="A823406" s="242"/>
    </row>
    <row r="823407" spans="1:1" x14ac:dyDescent="0.25">
      <c r="A823407" s="242"/>
    </row>
    <row r="823408" spans="1:1" x14ac:dyDescent="0.25">
      <c r="A823408" s="242"/>
    </row>
    <row r="823409" spans="1:1" x14ac:dyDescent="0.25">
      <c r="A823409" s="242"/>
    </row>
    <row r="823410" spans="1:1" x14ac:dyDescent="0.25">
      <c r="A823410" s="242"/>
    </row>
    <row r="823411" spans="1:1" x14ac:dyDescent="0.25">
      <c r="A823411" s="242"/>
    </row>
    <row r="823412" spans="1:1" x14ac:dyDescent="0.25">
      <c r="A823412" s="242"/>
    </row>
    <row r="823413" spans="1:1" x14ac:dyDescent="0.25">
      <c r="A823413" s="242"/>
    </row>
    <row r="823414" spans="1:1" x14ac:dyDescent="0.25">
      <c r="A823414" s="242"/>
    </row>
    <row r="823415" spans="1:1" x14ac:dyDescent="0.25">
      <c r="A823415" s="242"/>
    </row>
    <row r="823416" spans="1:1" x14ac:dyDescent="0.25">
      <c r="A823416" s="242"/>
    </row>
    <row r="823417" spans="1:1" x14ac:dyDescent="0.25">
      <c r="A823417" s="242"/>
    </row>
    <row r="823418" spans="1:1" x14ac:dyDescent="0.25">
      <c r="A823418" s="242"/>
    </row>
    <row r="823419" spans="1:1" x14ac:dyDescent="0.25">
      <c r="A823419" s="242"/>
    </row>
    <row r="823420" spans="1:1" x14ac:dyDescent="0.25">
      <c r="A823420" s="242"/>
    </row>
    <row r="823421" spans="1:1" x14ac:dyDescent="0.25">
      <c r="A823421" s="242"/>
    </row>
    <row r="823422" spans="1:1" x14ac:dyDescent="0.25">
      <c r="A823422" s="242"/>
    </row>
    <row r="823423" spans="1:1" x14ac:dyDescent="0.25">
      <c r="A823423" s="242"/>
    </row>
    <row r="823424" spans="1:1" x14ac:dyDescent="0.25">
      <c r="A823424" s="242"/>
    </row>
    <row r="823425" spans="1:1" x14ac:dyDescent="0.25">
      <c r="A823425" s="242"/>
    </row>
    <row r="823426" spans="1:1" x14ac:dyDescent="0.25">
      <c r="A823426" s="242"/>
    </row>
    <row r="823427" spans="1:1" x14ac:dyDescent="0.25">
      <c r="A823427" s="242"/>
    </row>
    <row r="823428" spans="1:1" x14ac:dyDescent="0.25">
      <c r="A823428" s="242"/>
    </row>
    <row r="823429" spans="1:1" x14ac:dyDescent="0.25">
      <c r="A823429" s="242"/>
    </row>
    <row r="823430" spans="1:1" x14ac:dyDescent="0.25">
      <c r="A823430" s="242"/>
    </row>
    <row r="823431" spans="1:1" x14ac:dyDescent="0.25">
      <c r="A823431" s="242"/>
    </row>
    <row r="823432" spans="1:1" x14ac:dyDescent="0.25">
      <c r="A823432" s="242"/>
    </row>
    <row r="823433" spans="1:1" x14ac:dyDescent="0.25">
      <c r="A823433" s="242"/>
    </row>
    <row r="823434" spans="1:1" x14ac:dyDescent="0.25">
      <c r="A823434" s="242"/>
    </row>
    <row r="823435" spans="1:1" x14ac:dyDescent="0.25">
      <c r="A823435" s="242"/>
    </row>
    <row r="823436" spans="1:1" x14ac:dyDescent="0.25">
      <c r="A823436" s="242"/>
    </row>
    <row r="823437" spans="1:1" x14ac:dyDescent="0.25">
      <c r="A823437" s="242"/>
    </row>
    <row r="823438" spans="1:1" x14ac:dyDescent="0.25">
      <c r="A823438" s="242"/>
    </row>
    <row r="823439" spans="1:1" x14ac:dyDescent="0.25">
      <c r="A823439" s="242"/>
    </row>
    <row r="823440" spans="1:1" x14ac:dyDescent="0.25">
      <c r="A823440" s="242"/>
    </row>
    <row r="823441" spans="1:1" x14ac:dyDescent="0.25">
      <c r="A823441" s="242"/>
    </row>
    <row r="823442" spans="1:1" x14ac:dyDescent="0.25">
      <c r="A823442" s="242"/>
    </row>
    <row r="823443" spans="1:1" x14ac:dyDescent="0.25">
      <c r="A823443" s="242"/>
    </row>
    <row r="823444" spans="1:1" x14ac:dyDescent="0.25">
      <c r="A823444" s="242"/>
    </row>
    <row r="823445" spans="1:1" x14ac:dyDescent="0.25">
      <c r="A823445" s="242"/>
    </row>
    <row r="823446" spans="1:1" x14ac:dyDescent="0.25">
      <c r="A823446" s="242"/>
    </row>
    <row r="823447" spans="1:1" x14ac:dyDescent="0.25">
      <c r="A823447" s="242"/>
    </row>
    <row r="823448" spans="1:1" x14ac:dyDescent="0.25">
      <c r="A823448" s="242"/>
    </row>
    <row r="823449" spans="1:1" x14ac:dyDescent="0.25">
      <c r="A823449" s="242"/>
    </row>
    <row r="823450" spans="1:1" x14ac:dyDescent="0.25">
      <c r="A823450" s="242"/>
    </row>
    <row r="823451" spans="1:1" x14ac:dyDescent="0.25">
      <c r="A823451" s="242"/>
    </row>
    <row r="823452" spans="1:1" x14ac:dyDescent="0.25">
      <c r="A823452" s="242"/>
    </row>
    <row r="823453" spans="1:1" x14ac:dyDescent="0.25">
      <c r="A823453" s="242"/>
    </row>
    <row r="823454" spans="1:1" x14ac:dyDescent="0.25">
      <c r="A823454" s="242"/>
    </row>
    <row r="823455" spans="1:1" x14ac:dyDescent="0.25">
      <c r="A823455" s="242"/>
    </row>
    <row r="823456" spans="1:1" x14ac:dyDescent="0.25">
      <c r="A823456" s="242"/>
    </row>
    <row r="823457" spans="1:1" x14ac:dyDescent="0.25">
      <c r="A823457" s="242"/>
    </row>
    <row r="823458" spans="1:1" x14ac:dyDescent="0.25">
      <c r="A823458" s="242"/>
    </row>
    <row r="823459" spans="1:1" x14ac:dyDescent="0.25">
      <c r="A823459" s="242"/>
    </row>
    <row r="823460" spans="1:1" x14ac:dyDescent="0.25">
      <c r="A823460" s="242"/>
    </row>
    <row r="823461" spans="1:1" x14ac:dyDescent="0.25">
      <c r="A823461" s="242"/>
    </row>
    <row r="823462" spans="1:1" x14ac:dyDescent="0.25">
      <c r="A823462" s="242"/>
    </row>
    <row r="823463" spans="1:1" x14ac:dyDescent="0.25">
      <c r="A823463" s="242"/>
    </row>
    <row r="823464" spans="1:1" x14ac:dyDescent="0.25">
      <c r="A823464" s="242"/>
    </row>
    <row r="823465" spans="1:1" x14ac:dyDescent="0.25">
      <c r="A823465" s="242"/>
    </row>
    <row r="823466" spans="1:1" x14ac:dyDescent="0.25">
      <c r="A823466" s="242"/>
    </row>
    <row r="823467" spans="1:1" x14ac:dyDescent="0.25">
      <c r="A823467" s="242"/>
    </row>
    <row r="823468" spans="1:1" x14ac:dyDescent="0.25">
      <c r="A823468" s="242"/>
    </row>
    <row r="823469" spans="1:1" x14ac:dyDescent="0.25">
      <c r="A823469" s="242"/>
    </row>
    <row r="823470" spans="1:1" x14ac:dyDescent="0.25">
      <c r="A823470" s="242"/>
    </row>
    <row r="823471" spans="1:1" x14ac:dyDescent="0.25">
      <c r="A823471" s="242"/>
    </row>
    <row r="823472" spans="1:1" x14ac:dyDescent="0.25">
      <c r="A823472" s="242"/>
    </row>
    <row r="823473" spans="1:1" x14ac:dyDescent="0.25">
      <c r="A823473" s="242"/>
    </row>
    <row r="823474" spans="1:1" x14ac:dyDescent="0.25">
      <c r="A823474" s="242"/>
    </row>
    <row r="823475" spans="1:1" x14ac:dyDescent="0.25">
      <c r="A823475" s="242"/>
    </row>
    <row r="823476" spans="1:1" x14ac:dyDescent="0.25">
      <c r="A823476" s="242"/>
    </row>
    <row r="823477" spans="1:1" x14ac:dyDescent="0.25">
      <c r="A823477" s="242"/>
    </row>
    <row r="823478" spans="1:1" x14ac:dyDescent="0.25">
      <c r="A823478" s="242"/>
    </row>
    <row r="823479" spans="1:1" x14ac:dyDescent="0.25">
      <c r="A823479" s="242"/>
    </row>
    <row r="823480" spans="1:1" x14ac:dyDescent="0.25">
      <c r="A823480" s="242"/>
    </row>
    <row r="823481" spans="1:1" x14ac:dyDescent="0.25">
      <c r="A823481" s="242"/>
    </row>
    <row r="823482" spans="1:1" x14ac:dyDescent="0.25">
      <c r="A823482" s="242"/>
    </row>
    <row r="823483" spans="1:1" x14ac:dyDescent="0.25">
      <c r="A823483" s="242"/>
    </row>
    <row r="823484" spans="1:1" x14ac:dyDescent="0.25">
      <c r="A823484" s="242"/>
    </row>
    <row r="823485" spans="1:1" x14ac:dyDescent="0.25">
      <c r="A823485" s="242"/>
    </row>
    <row r="823486" spans="1:1" x14ac:dyDescent="0.25">
      <c r="A823486" s="242"/>
    </row>
    <row r="823487" spans="1:1" x14ac:dyDescent="0.25">
      <c r="A823487" s="242"/>
    </row>
    <row r="823488" spans="1:1" x14ac:dyDescent="0.25">
      <c r="A823488" s="242"/>
    </row>
    <row r="823489" spans="1:1" x14ac:dyDescent="0.25">
      <c r="A823489" s="242"/>
    </row>
    <row r="823490" spans="1:1" x14ac:dyDescent="0.25">
      <c r="A823490" s="242"/>
    </row>
    <row r="823491" spans="1:1" x14ac:dyDescent="0.25">
      <c r="A823491" s="242"/>
    </row>
    <row r="823492" spans="1:1" x14ac:dyDescent="0.25">
      <c r="A823492" s="242"/>
    </row>
    <row r="823493" spans="1:1" x14ac:dyDescent="0.25">
      <c r="A823493" s="242"/>
    </row>
    <row r="823494" spans="1:1" x14ac:dyDescent="0.25">
      <c r="A823494" s="242"/>
    </row>
    <row r="823495" spans="1:1" x14ac:dyDescent="0.25">
      <c r="A823495" s="242"/>
    </row>
    <row r="823496" spans="1:1" x14ac:dyDescent="0.25">
      <c r="A823496" s="242"/>
    </row>
    <row r="823497" spans="1:1" x14ac:dyDescent="0.25">
      <c r="A823497" s="242"/>
    </row>
    <row r="823498" spans="1:1" x14ac:dyDescent="0.25">
      <c r="A823498" s="242"/>
    </row>
    <row r="823499" spans="1:1" x14ac:dyDescent="0.25">
      <c r="A823499" s="242"/>
    </row>
    <row r="823500" spans="1:1" x14ac:dyDescent="0.25">
      <c r="A823500" s="242"/>
    </row>
    <row r="823501" spans="1:1" x14ac:dyDescent="0.25">
      <c r="A823501" s="242"/>
    </row>
    <row r="823502" spans="1:1" x14ac:dyDescent="0.25">
      <c r="A823502" s="242"/>
    </row>
    <row r="823503" spans="1:1" x14ac:dyDescent="0.25">
      <c r="A823503" s="242"/>
    </row>
    <row r="823504" spans="1:1" x14ac:dyDescent="0.25">
      <c r="A823504" s="242"/>
    </row>
    <row r="823505" spans="1:1" x14ac:dyDescent="0.25">
      <c r="A823505" s="242"/>
    </row>
    <row r="823506" spans="1:1" x14ac:dyDescent="0.25">
      <c r="A823506" s="242"/>
    </row>
    <row r="823507" spans="1:1" x14ac:dyDescent="0.25">
      <c r="A823507" s="242"/>
    </row>
    <row r="823508" spans="1:1" x14ac:dyDescent="0.25">
      <c r="A823508" s="242"/>
    </row>
    <row r="823509" spans="1:1" x14ac:dyDescent="0.25">
      <c r="A823509" s="242"/>
    </row>
    <row r="823510" spans="1:1" x14ac:dyDescent="0.25">
      <c r="A823510" s="242"/>
    </row>
    <row r="823511" spans="1:1" x14ac:dyDescent="0.25">
      <c r="A823511" s="242"/>
    </row>
    <row r="823512" spans="1:1" x14ac:dyDescent="0.25">
      <c r="A823512" s="242"/>
    </row>
    <row r="823513" spans="1:1" x14ac:dyDescent="0.25">
      <c r="A823513" s="242"/>
    </row>
    <row r="823514" spans="1:1" x14ac:dyDescent="0.25">
      <c r="A823514" s="242"/>
    </row>
    <row r="823515" spans="1:1" x14ac:dyDescent="0.25">
      <c r="A823515" s="242"/>
    </row>
    <row r="823516" spans="1:1" x14ac:dyDescent="0.25">
      <c r="A823516" s="242"/>
    </row>
    <row r="823517" spans="1:1" x14ac:dyDescent="0.25">
      <c r="A823517" s="242"/>
    </row>
    <row r="823518" spans="1:1" x14ac:dyDescent="0.25">
      <c r="A823518" s="242"/>
    </row>
    <row r="823519" spans="1:1" x14ac:dyDescent="0.25">
      <c r="A823519" s="242"/>
    </row>
    <row r="823520" spans="1:1" x14ac:dyDescent="0.25">
      <c r="A823520" s="242"/>
    </row>
    <row r="823521" spans="1:1" x14ac:dyDescent="0.25">
      <c r="A823521" s="242"/>
    </row>
    <row r="823522" spans="1:1" x14ac:dyDescent="0.25">
      <c r="A823522" s="242"/>
    </row>
    <row r="823523" spans="1:1" x14ac:dyDescent="0.25">
      <c r="A823523" s="242"/>
    </row>
    <row r="823524" spans="1:1" x14ac:dyDescent="0.25">
      <c r="A823524" s="242"/>
    </row>
    <row r="823525" spans="1:1" x14ac:dyDescent="0.25">
      <c r="A823525" s="242"/>
    </row>
    <row r="823526" spans="1:1" x14ac:dyDescent="0.25">
      <c r="A823526" s="242"/>
    </row>
    <row r="823527" spans="1:1" x14ac:dyDescent="0.25">
      <c r="A823527" s="242"/>
    </row>
    <row r="823528" spans="1:1" x14ac:dyDescent="0.25">
      <c r="A823528" s="242"/>
    </row>
    <row r="823529" spans="1:1" x14ac:dyDescent="0.25">
      <c r="A823529" s="242"/>
    </row>
    <row r="823530" spans="1:1" x14ac:dyDescent="0.25">
      <c r="A823530" s="242"/>
    </row>
    <row r="823531" spans="1:1" x14ac:dyDescent="0.25">
      <c r="A823531" s="242"/>
    </row>
    <row r="823532" spans="1:1" x14ac:dyDescent="0.25">
      <c r="A823532" s="242"/>
    </row>
    <row r="823533" spans="1:1" x14ac:dyDescent="0.25">
      <c r="A823533" s="242"/>
    </row>
    <row r="823534" spans="1:1" x14ac:dyDescent="0.25">
      <c r="A823534" s="242"/>
    </row>
    <row r="823535" spans="1:1" x14ac:dyDescent="0.25">
      <c r="A823535" s="242"/>
    </row>
    <row r="823536" spans="1:1" x14ac:dyDescent="0.25">
      <c r="A823536" s="242"/>
    </row>
    <row r="823537" spans="1:1" x14ac:dyDescent="0.25">
      <c r="A823537" s="242"/>
    </row>
    <row r="823538" spans="1:1" x14ac:dyDescent="0.25">
      <c r="A823538" s="242"/>
    </row>
    <row r="823539" spans="1:1" x14ac:dyDescent="0.25">
      <c r="A823539" s="242"/>
    </row>
    <row r="823540" spans="1:1" x14ac:dyDescent="0.25">
      <c r="A823540" s="242"/>
    </row>
    <row r="823541" spans="1:1" x14ac:dyDescent="0.25">
      <c r="A823541" s="242"/>
    </row>
    <row r="823542" spans="1:1" x14ac:dyDescent="0.25">
      <c r="A823542" s="242"/>
    </row>
    <row r="823543" spans="1:1" x14ac:dyDescent="0.25">
      <c r="A823543" s="242"/>
    </row>
    <row r="823544" spans="1:1" x14ac:dyDescent="0.25">
      <c r="A823544" s="242"/>
    </row>
    <row r="823545" spans="1:1" x14ac:dyDescent="0.25">
      <c r="A823545" s="242"/>
    </row>
    <row r="823546" spans="1:1" x14ac:dyDescent="0.25">
      <c r="A823546" s="242"/>
    </row>
    <row r="823547" spans="1:1" x14ac:dyDescent="0.25">
      <c r="A823547" s="242"/>
    </row>
    <row r="823548" spans="1:1" x14ac:dyDescent="0.25">
      <c r="A823548" s="242"/>
    </row>
    <row r="823549" spans="1:1" x14ac:dyDescent="0.25">
      <c r="A823549" s="242"/>
    </row>
    <row r="823550" spans="1:1" x14ac:dyDescent="0.25">
      <c r="A823550" s="242"/>
    </row>
    <row r="823551" spans="1:1" x14ac:dyDescent="0.25">
      <c r="A823551" s="242"/>
    </row>
    <row r="823552" spans="1:1" x14ac:dyDescent="0.25">
      <c r="A823552" s="242"/>
    </row>
    <row r="823553" spans="1:1" x14ac:dyDescent="0.25">
      <c r="A823553" s="242"/>
    </row>
    <row r="823554" spans="1:1" x14ac:dyDescent="0.25">
      <c r="A823554" s="242"/>
    </row>
    <row r="823555" spans="1:1" x14ac:dyDescent="0.25">
      <c r="A823555" s="242"/>
    </row>
    <row r="823556" spans="1:1" x14ac:dyDescent="0.25">
      <c r="A823556" s="242"/>
    </row>
    <row r="823557" spans="1:1" x14ac:dyDescent="0.25">
      <c r="A823557" s="242"/>
    </row>
    <row r="823558" spans="1:1" x14ac:dyDescent="0.25">
      <c r="A823558" s="242"/>
    </row>
    <row r="823559" spans="1:1" x14ac:dyDescent="0.25">
      <c r="A823559" s="242"/>
    </row>
    <row r="823560" spans="1:1" x14ac:dyDescent="0.25">
      <c r="A823560" s="242"/>
    </row>
    <row r="823561" spans="1:1" x14ac:dyDescent="0.25">
      <c r="A823561" s="242"/>
    </row>
    <row r="823562" spans="1:1" x14ac:dyDescent="0.25">
      <c r="A823562" s="242"/>
    </row>
    <row r="823563" spans="1:1" x14ac:dyDescent="0.25">
      <c r="A823563" s="242"/>
    </row>
    <row r="823564" spans="1:1" x14ac:dyDescent="0.25">
      <c r="A823564" s="242"/>
    </row>
    <row r="823565" spans="1:1" x14ac:dyDescent="0.25">
      <c r="A823565" s="242"/>
    </row>
    <row r="823566" spans="1:1" x14ac:dyDescent="0.25">
      <c r="A823566" s="242"/>
    </row>
    <row r="823567" spans="1:1" x14ac:dyDescent="0.25">
      <c r="A823567" s="242"/>
    </row>
    <row r="823568" spans="1:1" x14ac:dyDescent="0.25">
      <c r="A823568" s="242"/>
    </row>
    <row r="823569" spans="1:1" x14ac:dyDescent="0.25">
      <c r="A823569" s="242"/>
    </row>
    <row r="823570" spans="1:1" x14ac:dyDescent="0.25">
      <c r="A823570" s="242"/>
    </row>
    <row r="823571" spans="1:1" x14ac:dyDescent="0.25">
      <c r="A823571" s="242"/>
    </row>
    <row r="823572" spans="1:1" x14ac:dyDescent="0.25">
      <c r="A823572" s="242"/>
    </row>
    <row r="823573" spans="1:1" x14ac:dyDescent="0.25">
      <c r="A823573" s="242"/>
    </row>
    <row r="823574" spans="1:1" x14ac:dyDescent="0.25">
      <c r="A823574" s="242"/>
    </row>
    <row r="823575" spans="1:1" x14ac:dyDescent="0.25">
      <c r="A823575" s="242"/>
    </row>
    <row r="823576" spans="1:1" x14ac:dyDescent="0.25">
      <c r="A823576" s="242"/>
    </row>
    <row r="823577" spans="1:1" x14ac:dyDescent="0.25">
      <c r="A823577" s="242"/>
    </row>
    <row r="823578" spans="1:1" x14ac:dyDescent="0.25">
      <c r="A823578" s="242"/>
    </row>
    <row r="823579" spans="1:1" x14ac:dyDescent="0.25">
      <c r="A823579" s="242"/>
    </row>
    <row r="823580" spans="1:1" x14ac:dyDescent="0.25">
      <c r="A823580" s="242"/>
    </row>
    <row r="823581" spans="1:1" x14ac:dyDescent="0.25">
      <c r="A823581" s="242"/>
    </row>
    <row r="823582" spans="1:1" x14ac:dyDescent="0.25">
      <c r="A823582" s="242"/>
    </row>
    <row r="823583" spans="1:1" x14ac:dyDescent="0.25">
      <c r="A823583" s="242"/>
    </row>
    <row r="823584" spans="1:1" x14ac:dyDescent="0.25">
      <c r="A823584" s="242"/>
    </row>
    <row r="823585" spans="1:1" x14ac:dyDescent="0.25">
      <c r="A823585" s="242"/>
    </row>
    <row r="823586" spans="1:1" x14ac:dyDescent="0.25">
      <c r="A823586" s="242"/>
    </row>
    <row r="823587" spans="1:1" x14ac:dyDescent="0.25">
      <c r="A823587" s="242"/>
    </row>
    <row r="823588" spans="1:1" x14ac:dyDescent="0.25">
      <c r="A823588" s="242"/>
    </row>
    <row r="823589" spans="1:1" x14ac:dyDescent="0.25">
      <c r="A823589" s="242"/>
    </row>
    <row r="823590" spans="1:1" x14ac:dyDescent="0.25">
      <c r="A823590" s="242"/>
    </row>
    <row r="823591" spans="1:1" x14ac:dyDescent="0.25">
      <c r="A823591" s="242"/>
    </row>
    <row r="823592" spans="1:1" x14ac:dyDescent="0.25">
      <c r="A823592" s="242"/>
    </row>
    <row r="823593" spans="1:1" x14ac:dyDescent="0.25">
      <c r="A823593" s="242"/>
    </row>
    <row r="823594" spans="1:1" x14ac:dyDescent="0.25">
      <c r="A823594" s="242"/>
    </row>
    <row r="823595" spans="1:1" x14ac:dyDescent="0.25">
      <c r="A823595" s="242"/>
    </row>
    <row r="823596" spans="1:1" x14ac:dyDescent="0.25">
      <c r="A823596" s="242"/>
    </row>
    <row r="823597" spans="1:1" x14ac:dyDescent="0.25">
      <c r="A823597" s="242"/>
    </row>
    <row r="823598" spans="1:1" x14ac:dyDescent="0.25">
      <c r="A823598" s="242"/>
    </row>
    <row r="823599" spans="1:1" x14ac:dyDescent="0.25">
      <c r="A823599" s="242"/>
    </row>
    <row r="823600" spans="1:1" x14ac:dyDescent="0.25">
      <c r="A823600" s="242"/>
    </row>
    <row r="823601" spans="1:1" x14ac:dyDescent="0.25">
      <c r="A823601" s="242"/>
    </row>
    <row r="823602" spans="1:1" x14ac:dyDescent="0.25">
      <c r="A823602" s="242"/>
    </row>
    <row r="823603" spans="1:1" x14ac:dyDescent="0.25">
      <c r="A823603" s="242"/>
    </row>
    <row r="823604" spans="1:1" x14ac:dyDescent="0.25">
      <c r="A823604" s="242"/>
    </row>
    <row r="823605" spans="1:1" x14ac:dyDescent="0.25">
      <c r="A823605" s="242"/>
    </row>
    <row r="823606" spans="1:1" x14ac:dyDescent="0.25">
      <c r="A823606" s="242"/>
    </row>
    <row r="823607" spans="1:1" x14ac:dyDescent="0.25">
      <c r="A823607" s="242"/>
    </row>
    <row r="823608" spans="1:1" x14ac:dyDescent="0.25">
      <c r="A823608" s="242"/>
    </row>
    <row r="823609" spans="1:1" x14ac:dyDescent="0.25">
      <c r="A823609" s="242"/>
    </row>
    <row r="823610" spans="1:1" x14ac:dyDescent="0.25">
      <c r="A823610" s="242"/>
    </row>
    <row r="823611" spans="1:1" x14ac:dyDescent="0.25">
      <c r="A823611" s="242"/>
    </row>
    <row r="823612" spans="1:1" x14ac:dyDescent="0.25">
      <c r="A823612" s="242"/>
    </row>
    <row r="823613" spans="1:1" x14ac:dyDescent="0.25">
      <c r="A823613" s="242"/>
    </row>
    <row r="823614" spans="1:1" x14ac:dyDescent="0.25">
      <c r="A823614" s="242"/>
    </row>
    <row r="823615" spans="1:1" x14ac:dyDescent="0.25">
      <c r="A823615" s="242"/>
    </row>
    <row r="823616" spans="1:1" x14ac:dyDescent="0.25">
      <c r="A823616" s="242"/>
    </row>
    <row r="823617" spans="1:1" x14ac:dyDescent="0.25">
      <c r="A823617" s="242"/>
    </row>
    <row r="823618" spans="1:1" x14ac:dyDescent="0.25">
      <c r="A823618" s="242"/>
    </row>
    <row r="823619" spans="1:1" x14ac:dyDescent="0.25">
      <c r="A823619" s="242"/>
    </row>
    <row r="823620" spans="1:1" x14ac:dyDescent="0.25">
      <c r="A823620" s="242"/>
    </row>
    <row r="823621" spans="1:1" x14ac:dyDescent="0.25">
      <c r="A823621" s="242"/>
    </row>
    <row r="823622" spans="1:1" x14ac:dyDescent="0.25">
      <c r="A823622" s="242"/>
    </row>
    <row r="823623" spans="1:1" x14ac:dyDescent="0.25">
      <c r="A823623" s="242"/>
    </row>
    <row r="823624" spans="1:1" x14ac:dyDescent="0.25">
      <c r="A823624" s="242"/>
    </row>
    <row r="823625" spans="1:1" x14ac:dyDescent="0.25">
      <c r="A823625" s="242"/>
    </row>
    <row r="823626" spans="1:1" x14ac:dyDescent="0.25">
      <c r="A823626" s="242"/>
    </row>
    <row r="823627" spans="1:1" x14ac:dyDescent="0.25">
      <c r="A823627" s="242"/>
    </row>
    <row r="823628" spans="1:1" x14ac:dyDescent="0.25">
      <c r="A823628" s="242"/>
    </row>
    <row r="823629" spans="1:1" x14ac:dyDescent="0.25">
      <c r="A823629" s="242"/>
    </row>
    <row r="823630" spans="1:1" x14ac:dyDescent="0.25">
      <c r="A823630" s="242"/>
    </row>
    <row r="823631" spans="1:1" x14ac:dyDescent="0.25">
      <c r="A823631" s="242"/>
    </row>
    <row r="823632" spans="1:1" x14ac:dyDescent="0.25">
      <c r="A823632" s="242"/>
    </row>
    <row r="823633" spans="1:1" x14ac:dyDescent="0.25">
      <c r="A823633" s="242"/>
    </row>
    <row r="823634" spans="1:1" x14ac:dyDescent="0.25">
      <c r="A823634" s="242"/>
    </row>
    <row r="823635" spans="1:1" x14ac:dyDescent="0.25">
      <c r="A823635" s="242"/>
    </row>
    <row r="823636" spans="1:1" x14ac:dyDescent="0.25">
      <c r="A823636" s="242"/>
    </row>
    <row r="823637" spans="1:1" x14ac:dyDescent="0.25">
      <c r="A823637" s="242"/>
    </row>
    <row r="823638" spans="1:1" x14ac:dyDescent="0.25">
      <c r="A823638" s="242"/>
    </row>
    <row r="823639" spans="1:1" x14ac:dyDescent="0.25">
      <c r="A823639" s="242"/>
    </row>
    <row r="823640" spans="1:1" x14ac:dyDescent="0.25">
      <c r="A823640" s="242"/>
    </row>
    <row r="823641" spans="1:1" x14ac:dyDescent="0.25">
      <c r="A823641" s="242"/>
    </row>
    <row r="823642" spans="1:1" x14ac:dyDescent="0.25">
      <c r="A823642" s="242"/>
    </row>
    <row r="823643" spans="1:1" x14ac:dyDescent="0.25">
      <c r="A823643" s="242"/>
    </row>
    <row r="823644" spans="1:1" x14ac:dyDescent="0.25">
      <c r="A823644" s="242"/>
    </row>
    <row r="823645" spans="1:1" x14ac:dyDescent="0.25">
      <c r="A823645" s="242"/>
    </row>
    <row r="823646" spans="1:1" x14ac:dyDescent="0.25">
      <c r="A823646" s="242"/>
    </row>
    <row r="823647" spans="1:1" x14ac:dyDescent="0.25">
      <c r="A823647" s="242"/>
    </row>
    <row r="823648" spans="1:1" x14ac:dyDescent="0.25">
      <c r="A823648" s="242"/>
    </row>
    <row r="823649" spans="1:1" x14ac:dyDescent="0.25">
      <c r="A823649" s="242"/>
    </row>
    <row r="823650" spans="1:1" x14ac:dyDescent="0.25">
      <c r="A823650" s="242"/>
    </row>
    <row r="823651" spans="1:1" x14ac:dyDescent="0.25">
      <c r="A823651" s="242"/>
    </row>
    <row r="823652" spans="1:1" x14ac:dyDescent="0.25">
      <c r="A823652" s="242"/>
    </row>
    <row r="823653" spans="1:1" x14ac:dyDescent="0.25">
      <c r="A823653" s="242"/>
    </row>
    <row r="823654" spans="1:1" x14ac:dyDescent="0.25">
      <c r="A823654" s="242"/>
    </row>
    <row r="823655" spans="1:1" x14ac:dyDescent="0.25">
      <c r="A823655" s="242"/>
    </row>
    <row r="823656" spans="1:1" x14ac:dyDescent="0.25">
      <c r="A823656" s="242"/>
    </row>
    <row r="823657" spans="1:1" x14ac:dyDescent="0.25">
      <c r="A823657" s="242"/>
    </row>
    <row r="823658" spans="1:1" x14ac:dyDescent="0.25">
      <c r="A823658" s="242"/>
    </row>
    <row r="823659" spans="1:1" x14ac:dyDescent="0.25">
      <c r="A823659" s="242"/>
    </row>
    <row r="823660" spans="1:1" x14ac:dyDescent="0.25">
      <c r="A823660" s="242"/>
    </row>
    <row r="823661" spans="1:1" x14ac:dyDescent="0.25">
      <c r="A823661" s="242"/>
    </row>
    <row r="823662" spans="1:1" x14ac:dyDescent="0.25">
      <c r="A823662" s="242"/>
    </row>
    <row r="823663" spans="1:1" x14ac:dyDescent="0.25">
      <c r="A823663" s="242"/>
    </row>
    <row r="823664" spans="1:1" x14ac:dyDescent="0.25">
      <c r="A823664" s="242"/>
    </row>
    <row r="823665" spans="1:1" x14ac:dyDescent="0.25">
      <c r="A823665" s="242"/>
    </row>
    <row r="823666" spans="1:1" x14ac:dyDescent="0.25">
      <c r="A823666" s="242"/>
    </row>
    <row r="823667" spans="1:1" x14ac:dyDescent="0.25">
      <c r="A823667" s="242"/>
    </row>
    <row r="823668" spans="1:1" x14ac:dyDescent="0.25">
      <c r="A823668" s="242"/>
    </row>
    <row r="823669" spans="1:1" x14ac:dyDescent="0.25">
      <c r="A823669" s="242"/>
    </row>
    <row r="823670" spans="1:1" x14ac:dyDescent="0.25">
      <c r="A823670" s="242"/>
    </row>
    <row r="823671" spans="1:1" x14ac:dyDescent="0.25">
      <c r="A823671" s="242"/>
    </row>
    <row r="823672" spans="1:1" x14ac:dyDescent="0.25">
      <c r="A823672" s="242"/>
    </row>
    <row r="823673" spans="1:1" x14ac:dyDescent="0.25">
      <c r="A823673" s="242"/>
    </row>
    <row r="823674" spans="1:1" x14ac:dyDescent="0.25">
      <c r="A823674" s="242"/>
    </row>
    <row r="823675" spans="1:1" x14ac:dyDescent="0.25">
      <c r="A823675" s="242"/>
    </row>
    <row r="823676" spans="1:1" x14ac:dyDescent="0.25">
      <c r="A823676" s="242"/>
    </row>
    <row r="823677" spans="1:1" x14ac:dyDescent="0.25">
      <c r="A823677" s="242"/>
    </row>
    <row r="823678" spans="1:1" x14ac:dyDescent="0.25">
      <c r="A823678" s="242"/>
    </row>
    <row r="823679" spans="1:1" x14ac:dyDescent="0.25">
      <c r="A823679" s="242"/>
    </row>
    <row r="823680" spans="1:1" x14ac:dyDescent="0.25">
      <c r="A823680" s="242"/>
    </row>
    <row r="823681" spans="1:1" x14ac:dyDescent="0.25">
      <c r="A823681" s="242"/>
    </row>
    <row r="823682" spans="1:1" x14ac:dyDescent="0.25">
      <c r="A823682" s="242"/>
    </row>
    <row r="823683" spans="1:1" x14ac:dyDescent="0.25">
      <c r="A823683" s="242"/>
    </row>
    <row r="823684" spans="1:1" x14ac:dyDescent="0.25">
      <c r="A823684" s="242"/>
    </row>
    <row r="823685" spans="1:1" x14ac:dyDescent="0.25">
      <c r="A823685" s="242"/>
    </row>
    <row r="823686" spans="1:1" x14ac:dyDescent="0.25">
      <c r="A823686" s="242"/>
    </row>
    <row r="823687" spans="1:1" x14ac:dyDescent="0.25">
      <c r="A823687" s="242"/>
    </row>
    <row r="823688" spans="1:1" x14ac:dyDescent="0.25">
      <c r="A823688" s="242"/>
    </row>
    <row r="823689" spans="1:1" x14ac:dyDescent="0.25">
      <c r="A823689" s="242"/>
    </row>
    <row r="823690" spans="1:1" x14ac:dyDescent="0.25">
      <c r="A823690" s="242"/>
    </row>
    <row r="823691" spans="1:1" x14ac:dyDescent="0.25">
      <c r="A823691" s="242"/>
    </row>
    <row r="823692" spans="1:1" x14ac:dyDescent="0.25">
      <c r="A823692" s="242"/>
    </row>
    <row r="823693" spans="1:1" x14ac:dyDescent="0.25">
      <c r="A823693" s="242"/>
    </row>
    <row r="823694" spans="1:1" x14ac:dyDescent="0.25">
      <c r="A823694" s="242"/>
    </row>
    <row r="823695" spans="1:1" x14ac:dyDescent="0.25">
      <c r="A823695" s="242"/>
    </row>
    <row r="823696" spans="1:1" x14ac:dyDescent="0.25">
      <c r="A823696" s="242"/>
    </row>
    <row r="823697" spans="1:1" x14ac:dyDescent="0.25">
      <c r="A823697" s="242"/>
    </row>
    <row r="823698" spans="1:1" x14ac:dyDescent="0.25">
      <c r="A823698" s="242"/>
    </row>
    <row r="823699" spans="1:1" x14ac:dyDescent="0.25">
      <c r="A823699" s="242"/>
    </row>
    <row r="823700" spans="1:1" x14ac:dyDescent="0.25">
      <c r="A823700" s="242"/>
    </row>
    <row r="823701" spans="1:1" x14ac:dyDescent="0.25">
      <c r="A823701" s="242"/>
    </row>
    <row r="823702" spans="1:1" x14ac:dyDescent="0.25">
      <c r="A823702" s="242"/>
    </row>
    <row r="823703" spans="1:1" x14ac:dyDescent="0.25">
      <c r="A823703" s="242"/>
    </row>
    <row r="823704" spans="1:1" x14ac:dyDescent="0.25">
      <c r="A823704" s="242"/>
    </row>
    <row r="823705" spans="1:1" x14ac:dyDescent="0.25">
      <c r="A823705" s="242"/>
    </row>
    <row r="823706" spans="1:1" x14ac:dyDescent="0.25">
      <c r="A823706" s="242"/>
    </row>
    <row r="823707" spans="1:1" x14ac:dyDescent="0.25">
      <c r="A823707" s="242"/>
    </row>
    <row r="823708" spans="1:1" x14ac:dyDescent="0.25">
      <c r="A823708" s="242"/>
    </row>
    <row r="823709" spans="1:1" x14ac:dyDescent="0.25">
      <c r="A823709" s="242"/>
    </row>
    <row r="823710" spans="1:1" x14ac:dyDescent="0.25">
      <c r="A823710" s="242"/>
    </row>
    <row r="823711" spans="1:1" x14ac:dyDescent="0.25">
      <c r="A823711" s="242"/>
    </row>
    <row r="823712" spans="1:1" x14ac:dyDescent="0.25">
      <c r="A823712" s="242"/>
    </row>
    <row r="823713" spans="1:1" x14ac:dyDescent="0.25">
      <c r="A823713" s="242"/>
    </row>
    <row r="823714" spans="1:1" x14ac:dyDescent="0.25">
      <c r="A823714" s="242"/>
    </row>
    <row r="823715" spans="1:1" x14ac:dyDescent="0.25">
      <c r="A823715" s="242"/>
    </row>
    <row r="823716" spans="1:1" x14ac:dyDescent="0.25">
      <c r="A823716" s="242"/>
    </row>
    <row r="823717" spans="1:1" x14ac:dyDescent="0.25">
      <c r="A823717" s="242"/>
    </row>
    <row r="823718" spans="1:1" x14ac:dyDescent="0.25">
      <c r="A823718" s="242"/>
    </row>
    <row r="823719" spans="1:1" x14ac:dyDescent="0.25">
      <c r="A823719" s="242"/>
    </row>
    <row r="823720" spans="1:1" x14ac:dyDescent="0.25">
      <c r="A823720" s="242"/>
    </row>
    <row r="823721" spans="1:1" x14ac:dyDescent="0.25">
      <c r="A823721" s="242"/>
    </row>
    <row r="823722" spans="1:1" x14ac:dyDescent="0.25">
      <c r="A823722" s="242"/>
    </row>
    <row r="823723" spans="1:1" x14ac:dyDescent="0.25">
      <c r="A823723" s="242"/>
    </row>
    <row r="823724" spans="1:1" x14ac:dyDescent="0.25">
      <c r="A823724" s="242"/>
    </row>
    <row r="823725" spans="1:1" x14ac:dyDescent="0.25">
      <c r="A823725" s="242"/>
    </row>
    <row r="823726" spans="1:1" x14ac:dyDescent="0.25">
      <c r="A823726" s="242"/>
    </row>
    <row r="823727" spans="1:1" x14ac:dyDescent="0.25">
      <c r="A823727" s="242"/>
    </row>
    <row r="823728" spans="1:1" x14ac:dyDescent="0.25">
      <c r="A823728" s="242"/>
    </row>
    <row r="823729" spans="1:1" x14ac:dyDescent="0.25">
      <c r="A823729" s="242"/>
    </row>
    <row r="823730" spans="1:1" x14ac:dyDescent="0.25">
      <c r="A823730" s="242"/>
    </row>
    <row r="823731" spans="1:1" x14ac:dyDescent="0.25">
      <c r="A823731" s="242"/>
    </row>
    <row r="823732" spans="1:1" x14ac:dyDescent="0.25">
      <c r="A823732" s="242"/>
    </row>
    <row r="823733" spans="1:1" x14ac:dyDescent="0.25">
      <c r="A823733" s="242"/>
    </row>
    <row r="823734" spans="1:1" x14ac:dyDescent="0.25">
      <c r="A823734" s="242"/>
    </row>
    <row r="823735" spans="1:1" x14ac:dyDescent="0.25">
      <c r="A823735" s="242"/>
    </row>
    <row r="823736" spans="1:1" x14ac:dyDescent="0.25">
      <c r="A823736" s="242"/>
    </row>
    <row r="823737" spans="1:1" x14ac:dyDescent="0.25">
      <c r="A823737" s="242"/>
    </row>
    <row r="823738" spans="1:1" x14ac:dyDescent="0.25">
      <c r="A823738" s="242"/>
    </row>
    <row r="823739" spans="1:1" x14ac:dyDescent="0.25">
      <c r="A823739" s="242"/>
    </row>
    <row r="823740" spans="1:1" x14ac:dyDescent="0.25">
      <c r="A823740" s="242"/>
    </row>
    <row r="823741" spans="1:1" x14ac:dyDescent="0.25">
      <c r="A823741" s="242"/>
    </row>
    <row r="823742" spans="1:1" x14ac:dyDescent="0.25">
      <c r="A823742" s="242"/>
    </row>
    <row r="823743" spans="1:1" x14ac:dyDescent="0.25">
      <c r="A823743" s="242"/>
    </row>
    <row r="823744" spans="1:1" x14ac:dyDescent="0.25">
      <c r="A823744" s="242"/>
    </row>
    <row r="823745" spans="1:1" x14ac:dyDescent="0.25">
      <c r="A823745" s="242"/>
    </row>
    <row r="823746" spans="1:1" x14ac:dyDescent="0.25">
      <c r="A823746" s="242"/>
    </row>
    <row r="823747" spans="1:1" x14ac:dyDescent="0.25">
      <c r="A823747" s="242"/>
    </row>
    <row r="823748" spans="1:1" x14ac:dyDescent="0.25">
      <c r="A823748" s="242"/>
    </row>
    <row r="823749" spans="1:1" x14ac:dyDescent="0.25">
      <c r="A823749" s="242"/>
    </row>
    <row r="823750" spans="1:1" x14ac:dyDescent="0.25">
      <c r="A823750" s="242"/>
    </row>
    <row r="823751" spans="1:1" x14ac:dyDescent="0.25">
      <c r="A823751" s="242"/>
    </row>
    <row r="823752" spans="1:1" x14ac:dyDescent="0.25">
      <c r="A823752" s="242"/>
    </row>
    <row r="823753" spans="1:1" x14ac:dyDescent="0.25">
      <c r="A823753" s="242"/>
    </row>
    <row r="823754" spans="1:1" x14ac:dyDescent="0.25">
      <c r="A823754" s="242"/>
    </row>
    <row r="823755" spans="1:1" x14ac:dyDescent="0.25">
      <c r="A823755" s="242"/>
    </row>
    <row r="823756" spans="1:1" x14ac:dyDescent="0.25">
      <c r="A823756" s="242"/>
    </row>
    <row r="823757" spans="1:1" x14ac:dyDescent="0.25">
      <c r="A823757" s="242"/>
    </row>
    <row r="823758" spans="1:1" x14ac:dyDescent="0.25">
      <c r="A823758" s="242"/>
    </row>
    <row r="823759" spans="1:1" x14ac:dyDescent="0.25">
      <c r="A823759" s="242"/>
    </row>
    <row r="823760" spans="1:1" x14ac:dyDescent="0.25">
      <c r="A823760" s="242"/>
    </row>
    <row r="823761" spans="1:1" x14ac:dyDescent="0.25">
      <c r="A823761" s="242"/>
    </row>
    <row r="823762" spans="1:1" x14ac:dyDescent="0.25">
      <c r="A823762" s="242"/>
    </row>
    <row r="823763" spans="1:1" x14ac:dyDescent="0.25">
      <c r="A823763" s="242"/>
    </row>
    <row r="823764" spans="1:1" x14ac:dyDescent="0.25">
      <c r="A823764" s="242"/>
    </row>
    <row r="823765" spans="1:1" x14ac:dyDescent="0.25">
      <c r="A823765" s="242"/>
    </row>
    <row r="823766" spans="1:1" x14ac:dyDescent="0.25">
      <c r="A823766" s="242"/>
    </row>
    <row r="823767" spans="1:1" x14ac:dyDescent="0.25">
      <c r="A823767" s="242"/>
    </row>
    <row r="823768" spans="1:1" x14ac:dyDescent="0.25">
      <c r="A823768" s="242"/>
    </row>
    <row r="823769" spans="1:1" x14ac:dyDescent="0.25">
      <c r="A823769" s="242"/>
    </row>
    <row r="823770" spans="1:1" x14ac:dyDescent="0.25">
      <c r="A823770" s="242"/>
    </row>
    <row r="823771" spans="1:1" x14ac:dyDescent="0.25">
      <c r="A823771" s="242"/>
    </row>
    <row r="823772" spans="1:1" x14ac:dyDescent="0.25">
      <c r="A823772" s="242"/>
    </row>
    <row r="823773" spans="1:1" x14ac:dyDescent="0.25">
      <c r="A823773" s="242"/>
    </row>
    <row r="823774" spans="1:1" x14ac:dyDescent="0.25">
      <c r="A823774" s="242"/>
    </row>
    <row r="823775" spans="1:1" x14ac:dyDescent="0.25">
      <c r="A823775" s="242"/>
    </row>
    <row r="823776" spans="1:1" x14ac:dyDescent="0.25">
      <c r="A823776" s="242"/>
    </row>
    <row r="823777" spans="1:1" x14ac:dyDescent="0.25">
      <c r="A823777" s="242"/>
    </row>
    <row r="823778" spans="1:1" x14ac:dyDescent="0.25">
      <c r="A823778" s="242"/>
    </row>
    <row r="823779" spans="1:1" x14ac:dyDescent="0.25">
      <c r="A823779" s="242"/>
    </row>
    <row r="823780" spans="1:1" x14ac:dyDescent="0.25">
      <c r="A823780" s="242"/>
    </row>
    <row r="823781" spans="1:1" x14ac:dyDescent="0.25">
      <c r="A823781" s="242"/>
    </row>
    <row r="823782" spans="1:1" x14ac:dyDescent="0.25">
      <c r="A823782" s="242"/>
    </row>
    <row r="823783" spans="1:1" x14ac:dyDescent="0.25">
      <c r="A823783" s="242"/>
    </row>
    <row r="823784" spans="1:1" x14ac:dyDescent="0.25">
      <c r="A823784" s="242"/>
    </row>
    <row r="823785" spans="1:1" x14ac:dyDescent="0.25">
      <c r="A823785" s="242"/>
    </row>
    <row r="823786" spans="1:1" x14ac:dyDescent="0.25">
      <c r="A823786" s="242"/>
    </row>
    <row r="823787" spans="1:1" x14ac:dyDescent="0.25">
      <c r="A823787" s="242"/>
    </row>
    <row r="823788" spans="1:1" x14ac:dyDescent="0.25">
      <c r="A823788" s="242"/>
    </row>
    <row r="823789" spans="1:1" x14ac:dyDescent="0.25">
      <c r="A823789" s="242"/>
    </row>
    <row r="823790" spans="1:1" x14ac:dyDescent="0.25">
      <c r="A823790" s="242"/>
    </row>
    <row r="823791" spans="1:1" x14ac:dyDescent="0.25">
      <c r="A823791" s="242"/>
    </row>
    <row r="823792" spans="1:1" x14ac:dyDescent="0.25">
      <c r="A823792" s="242"/>
    </row>
    <row r="823793" spans="1:1" x14ac:dyDescent="0.25">
      <c r="A823793" s="242"/>
    </row>
    <row r="823794" spans="1:1" x14ac:dyDescent="0.25">
      <c r="A823794" s="242"/>
    </row>
    <row r="823795" spans="1:1" x14ac:dyDescent="0.25">
      <c r="A823795" s="242"/>
    </row>
    <row r="823796" spans="1:1" x14ac:dyDescent="0.25">
      <c r="A823796" s="242"/>
    </row>
    <row r="823797" spans="1:1" x14ac:dyDescent="0.25">
      <c r="A823797" s="242"/>
    </row>
    <row r="823798" spans="1:1" x14ac:dyDescent="0.25">
      <c r="A823798" s="242"/>
    </row>
    <row r="823799" spans="1:1" x14ac:dyDescent="0.25">
      <c r="A823799" s="242"/>
    </row>
    <row r="823800" spans="1:1" x14ac:dyDescent="0.25">
      <c r="A823800" s="242"/>
    </row>
    <row r="823801" spans="1:1" x14ac:dyDescent="0.25">
      <c r="A823801" s="242"/>
    </row>
    <row r="823802" spans="1:1" x14ac:dyDescent="0.25">
      <c r="A823802" s="242"/>
    </row>
    <row r="823803" spans="1:1" x14ac:dyDescent="0.25">
      <c r="A823803" s="242"/>
    </row>
    <row r="823804" spans="1:1" x14ac:dyDescent="0.25">
      <c r="A823804" s="242"/>
    </row>
    <row r="823805" spans="1:1" x14ac:dyDescent="0.25">
      <c r="A823805" s="242"/>
    </row>
    <row r="823806" spans="1:1" x14ac:dyDescent="0.25">
      <c r="A823806" s="242"/>
    </row>
    <row r="823807" spans="1:1" x14ac:dyDescent="0.25">
      <c r="A823807" s="242"/>
    </row>
    <row r="823808" spans="1:1" x14ac:dyDescent="0.25">
      <c r="A823808" s="242"/>
    </row>
    <row r="823809" spans="1:1" x14ac:dyDescent="0.25">
      <c r="A823809" s="242"/>
    </row>
    <row r="823810" spans="1:1" x14ac:dyDescent="0.25">
      <c r="A823810" s="242"/>
    </row>
    <row r="823811" spans="1:1" x14ac:dyDescent="0.25">
      <c r="A823811" s="242"/>
    </row>
    <row r="823812" spans="1:1" x14ac:dyDescent="0.25">
      <c r="A823812" s="242"/>
    </row>
    <row r="823813" spans="1:1" x14ac:dyDescent="0.25">
      <c r="A823813" s="242"/>
    </row>
    <row r="823814" spans="1:1" x14ac:dyDescent="0.25">
      <c r="A823814" s="242"/>
    </row>
    <row r="823815" spans="1:1" x14ac:dyDescent="0.25">
      <c r="A823815" s="242"/>
    </row>
    <row r="823816" spans="1:1" x14ac:dyDescent="0.25">
      <c r="A823816" s="242"/>
    </row>
    <row r="823817" spans="1:1" x14ac:dyDescent="0.25">
      <c r="A823817" s="242"/>
    </row>
    <row r="823818" spans="1:1" x14ac:dyDescent="0.25">
      <c r="A823818" s="242"/>
    </row>
    <row r="823819" spans="1:1" x14ac:dyDescent="0.25">
      <c r="A823819" s="242"/>
    </row>
    <row r="823820" spans="1:1" x14ac:dyDescent="0.25">
      <c r="A823820" s="242"/>
    </row>
    <row r="823821" spans="1:1" x14ac:dyDescent="0.25">
      <c r="A823821" s="242"/>
    </row>
    <row r="823822" spans="1:1" x14ac:dyDescent="0.25">
      <c r="A823822" s="242"/>
    </row>
    <row r="823823" spans="1:1" x14ac:dyDescent="0.25">
      <c r="A823823" s="242"/>
    </row>
    <row r="823824" spans="1:1" x14ac:dyDescent="0.25">
      <c r="A823824" s="242"/>
    </row>
    <row r="823825" spans="1:1" x14ac:dyDescent="0.25">
      <c r="A823825" s="242"/>
    </row>
    <row r="823826" spans="1:1" x14ac:dyDescent="0.25">
      <c r="A823826" s="242"/>
    </row>
    <row r="823827" spans="1:1" x14ac:dyDescent="0.25">
      <c r="A823827" s="242"/>
    </row>
    <row r="823828" spans="1:1" x14ac:dyDescent="0.25">
      <c r="A823828" s="242"/>
    </row>
    <row r="823829" spans="1:1" x14ac:dyDescent="0.25">
      <c r="A823829" s="242"/>
    </row>
    <row r="823830" spans="1:1" x14ac:dyDescent="0.25">
      <c r="A823830" s="242"/>
    </row>
    <row r="823831" spans="1:1" x14ac:dyDescent="0.25">
      <c r="A823831" s="242"/>
    </row>
    <row r="823832" spans="1:1" x14ac:dyDescent="0.25">
      <c r="A823832" s="242"/>
    </row>
    <row r="823833" spans="1:1" x14ac:dyDescent="0.25">
      <c r="A823833" s="242"/>
    </row>
    <row r="823834" spans="1:1" x14ac:dyDescent="0.25">
      <c r="A823834" s="242"/>
    </row>
    <row r="823835" spans="1:1" x14ac:dyDescent="0.25">
      <c r="A823835" s="242"/>
    </row>
    <row r="823836" spans="1:1" x14ac:dyDescent="0.25">
      <c r="A823836" s="242"/>
    </row>
    <row r="823837" spans="1:1" x14ac:dyDescent="0.25">
      <c r="A823837" s="242"/>
    </row>
    <row r="823838" spans="1:1" x14ac:dyDescent="0.25">
      <c r="A823838" s="242"/>
    </row>
    <row r="823839" spans="1:1" x14ac:dyDescent="0.25">
      <c r="A823839" s="242"/>
    </row>
    <row r="823840" spans="1:1" x14ac:dyDescent="0.25">
      <c r="A823840" s="242"/>
    </row>
    <row r="823841" spans="1:1" x14ac:dyDescent="0.25">
      <c r="A823841" s="242"/>
    </row>
    <row r="823842" spans="1:1" x14ac:dyDescent="0.25">
      <c r="A823842" s="242"/>
    </row>
    <row r="823843" spans="1:1" x14ac:dyDescent="0.25">
      <c r="A823843" s="242"/>
    </row>
    <row r="823844" spans="1:1" x14ac:dyDescent="0.25">
      <c r="A823844" s="242"/>
    </row>
    <row r="823845" spans="1:1" x14ac:dyDescent="0.25">
      <c r="A823845" s="242"/>
    </row>
    <row r="823846" spans="1:1" x14ac:dyDescent="0.25">
      <c r="A823846" s="242"/>
    </row>
    <row r="823847" spans="1:1" x14ac:dyDescent="0.25">
      <c r="A823847" s="242"/>
    </row>
    <row r="823848" spans="1:1" x14ac:dyDescent="0.25">
      <c r="A823848" s="242"/>
    </row>
    <row r="823849" spans="1:1" x14ac:dyDescent="0.25">
      <c r="A823849" s="242"/>
    </row>
    <row r="823850" spans="1:1" x14ac:dyDescent="0.25">
      <c r="A823850" s="242"/>
    </row>
    <row r="823851" spans="1:1" x14ac:dyDescent="0.25">
      <c r="A823851" s="242"/>
    </row>
    <row r="823852" spans="1:1" x14ac:dyDescent="0.25">
      <c r="A823852" s="242"/>
    </row>
    <row r="823853" spans="1:1" x14ac:dyDescent="0.25">
      <c r="A823853" s="242"/>
    </row>
    <row r="823854" spans="1:1" x14ac:dyDescent="0.25">
      <c r="A823854" s="242"/>
    </row>
    <row r="823855" spans="1:1" x14ac:dyDescent="0.25">
      <c r="A823855" s="242"/>
    </row>
    <row r="823856" spans="1:1" x14ac:dyDescent="0.25">
      <c r="A823856" s="242"/>
    </row>
    <row r="823857" spans="1:1" x14ac:dyDescent="0.25">
      <c r="A823857" s="242"/>
    </row>
    <row r="823858" spans="1:1" x14ac:dyDescent="0.25">
      <c r="A823858" s="242"/>
    </row>
    <row r="823859" spans="1:1" x14ac:dyDescent="0.25">
      <c r="A823859" s="242"/>
    </row>
    <row r="823860" spans="1:1" x14ac:dyDescent="0.25">
      <c r="A823860" s="242"/>
    </row>
    <row r="823861" spans="1:1" x14ac:dyDescent="0.25">
      <c r="A823861" s="242"/>
    </row>
    <row r="823862" spans="1:1" x14ac:dyDescent="0.25">
      <c r="A823862" s="242"/>
    </row>
    <row r="823863" spans="1:1" x14ac:dyDescent="0.25">
      <c r="A823863" s="242"/>
    </row>
    <row r="823864" spans="1:1" x14ac:dyDescent="0.25">
      <c r="A823864" s="242"/>
    </row>
    <row r="823865" spans="1:1" x14ac:dyDescent="0.25">
      <c r="A823865" s="242"/>
    </row>
    <row r="823866" spans="1:1" x14ac:dyDescent="0.25">
      <c r="A823866" s="242"/>
    </row>
    <row r="823867" spans="1:1" x14ac:dyDescent="0.25">
      <c r="A823867" s="242"/>
    </row>
    <row r="823868" spans="1:1" x14ac:dyDescent="0.25">
      <c r="A823868" s="242"/>
    </row>
    <row r="823869" spans="1:1" x14ac:dyDescent="0.25">
      <c r="A823869" s="242"/>
    </row>
    <row r="823870" spans="1:1" x14ac:dyDescent="0.25">
      <c r="A823870" s="242"/>
    </row>
    <row r="823871" spans="1:1" x14ac:dyDescent="0.25">
      <c r="A823871" s="242"/>
    </row>
    <row r="823872" spans="1:1" x14ac:dyDescent="0.25">
      <c r="A823872" s="242"/>
    </row>
    <row r="823873" spans="1:1" x14ac:dyDescent="0.25">
      <c r="A823873" s="242"/>
    </row>
    <row r="823874" spans="1:1" x14ac:dyDescent="0.25">
      <c r="A823874" s="242"/>
    </row>
    <row r="823875" spans="1:1" x14ac:dyDescent="0.25">
      <c r="A823875" s="242"/>
    </row>
    <row r="823876" spans="1:1" x14ac:dyDescent="0.25">
      <c r="A823876" s="242"/>
    </row>
    <row r="823877" spans="1:1" x14ac:dyDescent="0.25">
      <c r="A823877" s="242"/>
    </row>
    <row r="823878" spans="1:1" x14ac:dyDescent="0.25">
      <c r="A823878" s="242"/>
    </row>
    <row r="823879" spans="1:1" x14ac:dyDescent="0.25">
      <c r="A823879" s="242"/>
    </row>
    <row r="823880" spans="1:1" x14ac:dyDescent="0.25">
      <c r="A823880" s="242"/>
    </row>
    <row r="823881" spans="1:1" x14ac:dyDescent="0.25">
      <c r="A823881" s="242"/>
    </row>
    <row r="823882" spans="1:1" x14ac:dyDescent="0.25">
      <c r="A823882" s="242"/>
    </row>
    <row r="823883" spans="1:1" x14ac:dyDescent="0.25">
      <c r="A823883" s="242"/>
    </row>
    <row r="823884" spans="1:1" x14ac:dyDescent="0.25">
      <c r="A823884" s="242"/>
    </row>
    <row r="823885" spans="1:1" x14ac:dyDescent="0.25">
      <c r="A823885" s="242"/>
    </row>
    <row r="823886" spans="1:1" x14ac:dyDescent="0.25">
      <c r="A823886" s="242"/>
    </row>
    <row r="823887" spans="1:1" x14ac:dyDescent="0.25">
      <c r="A823887" s="242"/>
    </row>
    <row r="823888" spans="1:1" x14ac:dyDescent="0.25">
      <c r="A823888" s="242"/>
    </row>
    <row r="823889" spans="1:1" x14ac:dyDescent="0.25">
      <c r="A823889" s="242"/>
    </row>
    <row r="823890" spans="1:1" x14ac:dyDescent="0.25">
      <c r="A823890" s="242"/>
    </row>
    <row r="823891" spans="1:1" x14ac:dyDescent="0.25">
      <c r="A823891" s="242"/>
    </row>
    <row r="823892" spans="1:1" x14ac:dyDescent="0.25">
      <c r="A823892" s="242"/>
    </row>
    <row r="823893" spans="1:1" x14ac:dyDescent="0.25">
      <c r="A823893" s="242"/>
    </row>
    <row r="823894" spans="1:1" x14ac:dyDescent="0.25">
      <c r="A823894" s="242"/>
    </row>
    <row r="823895" spans="1:1" x14ac:dyDescent="0.25">
      <c r="A823895" s="242"/>
    </row>
    <row r="823896" spans="1:1" x14ac:dyDescent="0.25">
      <c r="A823896" s="242"/>
    </row>
    <row r="823897" spans="1:1" x14ac:dyDescent="0.25">
      <c r="A823897" s="242"/>
    </row>
    <row r="823898" spans="1:1" x14ac:dyDescent="0.25">
      <c r="A823898" s="242"/>
    </row>
    <row r="823899" spans="1:1" x14ac:dyDescent="0.25">
      <c r="A823899" s="242"/>
    </row>
    <row r="823900" spans="1:1" x14ac:dyDescent="0.25">
      <c r="A823900" s="242"/>
    </row>
    <row r="823901" spans="1:1" x14ac:dyDescent="0.25">
      <c r="A823901" s="242"/>
    </row>
    <row r="823902" spans="1:1" x14ac:dyDescent="0.25">
      <c r="A823902" s="242"/>
    </row>
    <row r="823903" spans="1:1" x14ac:dyDescent="0.25">
      <c r="A823903" s="242"/>
    </row>
    <row r="823904" spans="1:1" x14ac:dyDescent="0.25">
      <c r="A823904" s="242"/>
    </row>
    <row r="823905" spans="1:1" x14ac:dyDescent="0.25">
      <c r="A823905" s="242"/>
    </row>
    <row r="823906" spans="1:1" x14ac:dyDescent="0.25">
      <c r="A823906" s="242"/>
    </row>
    <row r="823907" spans="1:1" x14ac:dyDescent="0.25">
      <c r="A823907" s="242"/>
    </row>
    <row r="823908" spans="1:1" x14ac:dyDescent="0.25">
      <c r="A823908" s="242"/>
    </row>
    <row r="823909" spans="1:1" x14ac:dyDescent="0.25">
      <c r="A823909" s="242"/>
    </row>
    <row r="823910" spans="1:1" x14ac:dyDescent="0.25">
      <c r="A823910" s="242"/>
    </row>
    <row r="823911" spans="1:1" x14ac:dyDescent="0.25">
      <c r="A823911" s="242"/>
    </row>
    <row r="823912" spans="1:1" x14ac:dyDescent="0.25">
      <c r="A823912" s="242"/>
    </row>
    <row r="823913" spans="1:1" x14ac:dyDescent="0.25">
      <c r="A823913" s="242"/>
    </row>
    <row r="823914" spans="1:1" x14ac:dyDescent="0.25">
      <c r="A823914" s="242"/>
    </row>
    <row r="823915" spans="1:1" x14ac:dyDescent="0.25">
      <c r="A823915" s="242"/>
    </row>
    <row r="823916" spans="1:1" x14ac:dyDescent="0.25">
      <c r="A823916" s="242"/>
    </row>
    <row r="823917" spans="1:1" x14ac:dyDescent="0.25">
      <c r="A823917" s="242"/>
    </row>
    <row r="823918" spans="1:1" x14ac:dyDescent="0.25">
      <c r="A823918" s="242"/>
    </row>
    <row r="823919" spans="1:1" x14ac:dyDescent="0.25">
      <c r="A823919" s="242"/>
    </row>
    <row r="823920" spans="1:1" x14ac:dyDescent="0.25">
      <c r="A823920" s="242"/>
    </row>
    <row r="823921" spans="1:1" x14ac:dyDescent="0.25">
      <c r="A823921" s="242"/>
    </row>
    <row r="823922" spans="1:1" x14ac:dyDescent="0.25">
      <c r="A823922" s="242"/>
    </row>
    <row r="823923" spans="1:1" x14ac:dyDescent="0.25">
      <c r="A823923" s="242"/>
    </row>
    <row r="823924" spans="1:1" x14ac:dyDescent="0.25">
      <c r="A823924" s="242"/>
    </row>
    <row r="823925" spans="1:1" x14ac:dyDescent="0.25">
      <c r="A823925" s="242"/>
    </row>
    <row r="823926" spans="1:1" x14ac:dyDescent="0.25">
      <c r="A823926" s="242"/>
    </row>
    <row r="823927" spans="1:1" x14ac:dyDescent="0.25">
      <c r="A823927" s="242"/>
    </row>
    <row r="823928" spans="1:1" x14ac:dyDescent="0.25">
      <c r="A823928" s="242"/>
    </row>
    <row r="823929" spans="1:1" x14ac:dyDescent="0.25">
      <c r="A823929" s="242"/>
    </row>
    <row r="823930" spans="1:1" x14ac:dyDescent="0.25">
      <c r="A823930" s="242"/>
    </row>
    <row r="823931" spans="1:1" x14ac:dyDescent="0.25">
      <c r="A823931" s="242"/>
    </row>
    <row r="823932" spans="1:1" x14ac:dyDescent="0.25">
      <c r="A823932" s="242"/>
    </row>
    <row r="823933" spans="1:1" x14ac:dyDescent="0.25">
      <c r="A823933" s="242"/>
    </row>
    <row r="823934" spans="1:1" x14ac:dyDescent="0.25">
      <c r="A823934" s="242"/>
    </row>
    <row r="823935" spans="1:1" x14ac:dyDescent="0.25">
      <c r="A823935" s="242"/>
    </row>
    <row r="823936" spans="1:1" x14ac:dyDescent="0.25">
      <c r="A823936" s="242"/>
    </row>
    <row r="823937" spans="1:1" x14ac:dyDescent="0.25">
      <c r="A823937" s="242"/>
    </row>
    <row r="823938" spans="1:1" x14ac:dyDescent="0.25">
      <c r="A823938" s="242"/>
    </row>
    <row r="823939" spans="1:1" x14ac:dyDescent="0.25">
      <c r="A823939" s="242"/>
    </row>
    <row r="823940" spans="1:1" x14ac:dyDescent="0.25">
      <c r="A823940" s="242"/>
    </row>
    <row r="823941" spans="1:1" x14ac:dyDescent="0.25">
      <c r="A823941" s="242"/>
    </row>
    <row r="823942" spans="1:1" x14ac:dyDescent="0.25">
      <c r="A823942" s="242"/>
    </row>
    <row r="823943" spans="1:1" x14ac:dyDescent="0.25">
      <c r="A823943" s="242"/>
    </row>
    <row r="823944" spans="1:1" x14ac:dyDescent="0.25">
      <c r="A823944" s="242"/>
    </row>
    <row r="823945" spans="1:1" x14ac:dyDescent="0.25">
      <c r="A823945" s="242"/>
    </row>
    <row r="823946" spans="1:1" x14ac:dyDescent="0.25">
      <c r="A823946" s="242"/>
    </row>
    <row r="823947" spans="1:1" x14ac:dyDescent="0.25">
      <c r="A823947" s="242"/>
    </row>
    <row r="823948" spans="1:1" x14ac:dyDescent="0.25">
      <c r="A823948" s="242"/>
    </row>
    <row r="823949" spans="1:1" x14ac:dyDescent="0.25">
      <c r="A823949" s="242"/>
    </row>
    <row r="823950" spans="1:1" x14ac:dyDescent="0.25">
      <c r="A823950" s="242"/>
    </row>
    <row r="823951" spans="1:1" x14ac:dyDescent="0.25">
      <c r="A823951" s="242"/>
    </row>
    <row r="823952" spans="1:1" x14ac:dyDescent="0.25">
      <c r="A823952" s="242"/>
    </row>
    <row r="823953" spans="1:1" x14ac:dyDescent="0.25">
      <c r="A823953" s="242"/>
    </row>
    <row r="823954" spans="1:1" x14ac:dyDescent="0.25">
      <c r="A823954" s="242"/>
    </row>
    <row r="823955" spans="1:1" x14ac:dyDescent="0.25">
      <c r="A823955" s="242"/>
    </row>
    <row r="823956" spans="1:1" x14ac:dyDescent="0.25">
      <c r="A823956" s="242"/>
    </row>
    <row r="823957" spans="1:1" x14ac:dyDescent="0.25">
      <c r="A823957" s="242"/>
    </row>
    <row r="823958" spans="1:1" x14ac:dyDescent="0.25">
      <c r="A823958" s="242"/>
    </row>
    <row r="823959" spans="1:1" x14ac:dyDescent="0.25">
      <c r="A823959" s="242"/>
    </row>
    <row r="823960" spans="1:1" x14ac:dyDescent="0.25">
      <c r="A823960" s="242"/>
    </row>
    <row r="823961" spans="1:1" x14ac:dyDescent="0.25">
      <c r="A823961" s="242"/>
    </row>
    <row r="823962" spans="1:1" x14ac:dyDescent="0.25">
      <c r="A823962" s="242"/>
    </row>
    <row r="823963" spans="1:1" x14ac:dyDescent="0.25">
      <c r="A823963" s="242"/>
    </row>
    <row r="823964" spans="1:1" x14ac:dyDescent="0.25">
      <c r="A823964" s="242"/>
    </row>
    <row r="823965" spans="1:1" x14ac:dyDescent="0.25">
      <c r="A823965" s="242"/>
    </row>
    <row r="823966" spans="1:1" x14ac:dyDescent="0.25">
      <c r="A823966" s="242"/>
    </row>
    <row r="823967" spans="1:1" x14ac:dyDescent="0.25">
      <c r="A823967" s="242"/>
    </row>
    <row r="823968" spans="1:1" x14ac:dyDescent="0.25">
      <c r="A823968" s="242"/>
    </row>
    <row r="823969" spans="1:1" x14ac:dyDescent="0.25">
      <c r="A823969" s="242"/>
    </row>
    <row r="823970" spans="1:1" x14ac:dyDescent="0.25">
      <c r="A823970" s="242"/>
    </row>
    <row r="823971" spans="1:1" x14ac:dyDescent="0.25">
      <c r="A823971" s="242"/>
    </row>
    <row r="823972" spans="1:1" x14ac:dyDescent="0.25">
      <c r="A823972" s="242"/>
    </row>
    <row r="823973" spans="1:1" x14ac:dyDescent="0.25">
      <c r="A823973" s="242"/>
    </row>
    <row r="823974" spans="1:1" x14ac:dyDescent="0.25">
      <c r="A823974" s="242"/>
    </row>
    <row r="823975" spans="1:1" x14ac:dyDescent="0.25">
      <c r="A823975" s="242"/>
    </row>
    <row r="823976" spans="1:1" x14ac:dyDescent="0.25">
      <c r="A823976" s="242"/>
    </row>
    <row r="823977" spans="1:1" x14ac:dyDescent="0.25">
      <c r="A823977" s="242"/>
    </row>
    <row r="823978" spans="1:1" x14ac:dyDescent="0.25">
      <c r="A823978" s="242"/>
    </row>
    <row r="823979" spans="1:1" x14ac:dyDescent="0.25">
      <c r="A823979" s="242"/>
    </row>
    <row r="823980" spans="1:1" x14ac:dyDescent="0.25">
      <c r="A823980" s="242"/>
    </row>
    <row r="823981" spans="1:1" x14ac:dyDescent="0.25">
      <c r="A823981" s="242"/>
    </row>
    <row r="823982" spans="1:1" x14ac:dyDescent="0.25">
      <c r="A823982" s="242"/>
    </row>
    <row r="823983" spans="1:1" x14ac:dyDescent="0.25">
      <c r="A823983" s="242"/>
    </row>
    <row r="823984" spans="1:1" x14ac:dyDescent="0.25">
      <c r="A823984" s="242"/>
    </row>
    <row r="823985" spans="1:1" x14ac:dyDescent="0.25">
      <c r="A823985" s="242"/>
    </row>
    <row r="823986" spans="1:1" x14ac:dyDescent="0.25">
      <c r="A823986" s="242"/>
    </row>
    <row r="823987" spans="1:1" x14ac:dyDescent="0.25">
      <c r="A823987" s="242"/>
    </row>
    <row r="823988" spans="1:1" x14ac:dyDescent="0.25">
      <c r="A823988" s="242"/>
    </row>
    <row r="823989" spans="1:1" x14ac:dyDescent="0.25">
      <c r="A823989" s="242"/>
    </row>
    <row r="823990" spans="1:1" x14ac:dyDescent="0.25">
      <c r="A823990" s="242"/>
    </row>
    <row r="823991" spans="1:1" x14ac:dyDescent="0.25">
      <c r="A823991" s="242"/>
    </row>
    <row r="823992" spans="1:1" x14ac:dyDescent="0.25">
      <c r="A823992" s="242"/>
    </row>
    <row r="823993" spans="1:1" x14ac:dyDescent="0.25">
      <c r="A823993" s="242"/>
    </row>
    <row r="823994" spans="1:1" x14ac:dyDescent="0.25">
      <c r="A823994" s="242"/>
    </row>
    <row r="823995" spans="1:1" x14ac:dyDescent="0.25">
      <c r="A823995" s="242"/>
    </row>
    <row r="823996" spans="1:1" x14ac:dyDescent="0.25">
      <c r="A823996" s="242"/>
    </row>
    <row r="823997" spans="1:1" x14ac:dyDescent="0.25">
      <c r="A823997" s="242"/>
    </row>
    <row r="823998" spans="1:1" x14ac:dyDescent="0.25">
      <c r="A823998" s="242"/>
    </row>
    <row r="823999" spans="1:1" x14ac:dyDescent="0.25">
      <c r="A823999" s="242"/>
    </row>
    <row r="824000" spans="1:1" x14ac:dyDescent="0.25">
      <c r="A824000" s="242"/>
    </row>
    <row r="824001" spans="1:1" x14ac:dyDescent="0.25">
      <c r="A824001" s="242"/>
    </row>
    <row r="824002" spans="1:1" x14ac:dyDescent="0.25">
      <c r="A824002" s="242"/>
    </row>
    <row r="824003" spans="1:1" x14ac:dyDescent="0.25">
      <c r="A824003" s="242"/>
    </row>
    <row r="824004" spans="1:1" x14ac:dyDescent="0.25">
      <c r="A824004" s="242"/>
    </row>
    <row r="824005" spans="1:1" x14ac:dyDescent="0.25">
      <c r="A824005" s="242"/>
    </row>
    <row r="824006" spans="1:1" x14ac:dyDescent="0.25">
      <c r="A824006" s="242"/>
    </row>
    <row r="824007" spans="1:1" x14ac:dyDescent="0.25">
      <c r="A824007" s="242"/>
    </row>
    <row r="824008" spans="1:1" x14ac:dyDescent="0.25">
      <c r="A824008" s="242"/>
    </row>
    <row r="824009" spans="1:1" x14ac:dyDescent="0.25">
      <c r="A824009" s="242"/>
    </row>
    <row r="824010" spans="1:1" x14ac:dyDescent="0.25">
      <c r="A824010" s="242"/>
    </row>
    <row r="824011" spans="1:1" x14ac:dyDescent="0.25">
      <c r="A824011" s="242"/>
    </row>
    <row r="824012" spans="1:1" x14ac:dyDescent="0.25">
      <c r="A824012" s="242"/>
    </row>
    <row r="824013" spans="1:1" x14ac:dyDescent="0.25">
      <c r="A824013" s="242"/>
    </row>
    <row r="824014" spans="1:1" x14ac:dyDescent="0.25">
      <c r="A824014" s="242"/>
    </row>
    <row r="824015" spans="1:1" x14ac:dyDescent="0.25">
      <c r="A824015" s="242"/>
    </row>
    <row r="824016" spans="1:1" x14ac:dyDescent="0.25">
      <c r="A824016" s="242"/>
    </row>
    <row r="824017" spans="1:1" x14ac:dyDescent="0.25">
      <c r="A824017" s="242"/>
    </row>
    <row r="824018" spans="1:1" x14ac:dyDescent="0.25">
      <c r="A824018" s="242"/>
    </row>
    <row r="824019" spans="1:1" x14ac:dyDescent="0.25">
      <c r="A824019" s="242"/>
    </row>
    <row r="824020" spans="1:1" x14ac:dyDescent="0.25">
      <c r="A824020" s="242"/>
    </row>
    <row r="824021" spans="1:1" x14ac:dyDescent="0.25">
      <c r="A824021" s="242"/>
    </row>
    <row r="824022" spans="1:1" x14ac:dyDescent="0.25">
      <c r="A824022" s="242"/>
    </row>
    <row r="824023" spans="1:1" x14ac:dyDescent="0.25">
      <c r="A824023" s="242"/>
    </row>
    <row r="824024" spans="1:1" x14ac:dyDescent="0.25">
      <c r="A824024" s="242"/>
    </row>
    <row r="824025" spans="1:1" x14ac:dyDescent="0.25">
      <c r="A824025" s="242"/>
    </row>
    <row r="824026" spans="1:1" x14ac:dyDescent="0.25">
      <c r="A824026" s="242"/>
    </row>
    <row r="824027" spans="1:1" x14ac:dyDescent="0.25">
      <c r="A824027" s="242"/>
    </row>
    <row r="824028" spans="1:1" x14ac:dyDescent="0.25">
      <c r="A824028" s="242"/>
    </row>
    <row r="824029" spans="1:1" x14ac:dyDescent="0.25">
      <c r="A824029" s="242"/>
    </row>
    <row r="824030" spans="1:1" x14ac:dyDescent="0.25">
      <c r="A824030" s="242"/>
    </row>
    <row r="824031" spans="1:1" x14ac:dyDescent="0.25">
      <c r="A824031" s="242"/>
    </row>
    <row r="824032" spans="1:1" x14ac:dyDescent="0.25">
      <c r="A824032" s="242"/>
    </row>
    <row r="824033" spans="1:1" x14ac:dyDescent="0.25">
      <c r="A824033" s="242"/>
    </row>
    <row r="824034" spans="1:1" x14ac:dyDescent="0.25">
      <c r="A824034" s="242"/>
    </row>
    <row r="824035" spans="1:1" x14ac:dyDescent="0.25">
      <c r="A824035" s="242"/>
    </row>
    <row r="824036" spans="1:1" x14ac:dyDescent="0.25">
      <c r="A824036" s="242"/>
    </row>
    <row r="824037" spans="1:1" x14ac:dyDescent="0.25">
      <c r="A824037" s="242"/>
    </row>
    <row r="824038" spans="1:1" x14ac:dyDescent="0.25">
      <c r="A824038" s="242"/>
    </row>
    <row r="824039" spans="1:1" x14ac:dyDescent="0.25">
      <c r="A824039" s="242"/>
    </row>
    <row r="824040" spans="1:1" x14ac:dyDescent="0.25">
      <c r="A824040" s="242"/>
    </row>
    <row r="824041" spans="1:1" x14ac:dyDescent="0.25">
      <c r="A824041" s="242"/>
    </row>
    <row r="824042" spans="1:1" x14ac:dyDescent="0.25">
      <c r="A824042" s="242"/>
    </row>
    <row r="824043" spans="1:1" x14ac:dyDescent="0.25">
      <c r="A824043" s="242"/>
    </row>
    <row r="824044" spans="1:1" x14ac:dyDescent="0.25">
      <c r="A824044" s="242"/>
    </row>
    <row r="824045" spans="1:1" x14ac:dyDescent="0.25">
      <c r="A824045" s="242"/>
    </row>
    <row r="824046" spans="1:1" x14ac:dyDescent="0.25">
      <c r="A824046" s="242"/>
    </row>
    <row r="824047" spans="1:1" x14ac:dyDescent="0.25">
      <c r="A824047" s="242"/>
    </row>
    <row r="824048" spans="1:1" x14ac:dyDescent="0.25">
      <c r="A824048" s="242"/>
    </row>
    <row r="824049" spans="1:1" x14ac:dyDescent="0.25">
      <c r="A824049" s="242"/>
    </row>
    <row r="824050" spans="1:1" x14ac:dyDescent="0.25">
      <c r="A824050" s="242"/>
    </row>
    <row r="824051" spans="1:1" x14ac:dyDescent="0.25">
      <c r="A824051" s="242"/>
    </row>
    <row r="824052" spans="1:1" x14ac:dyDescent="0.25">
      <c r="A824052" s="242"/>
    </row>
    <row r="824053" spans="1:1" x14ac:dyDescent="0.25">
      <c r="A824053" s="242"/>
    </row>
    <row r="824054" spans="1:1" x14ac:dyDescent="0.25">
      <c r="A824054" s="242"/>
    </row>
    <row r="824055" spans="1:1" x14ac:dyDescent="0.25">
      <c r="A824055" s="242"/>
    </row>
    <row r="824056" spans="1:1" x14ac:dyDescent="0.25">
      <c r="A824056" s="242"/>
    </row>
    <row r="824057" spans="1:1" x14ac:dyDescent="0.25">
      <c r="A824057" s="242"/>
    </row>
    <row r="824058" spans="1:1" x14ac:dyDescent="0.25">
      <c r="A824058" s="242"/>
    </row>
    <row r="824059" spans="1:1" x14ac:dyDescent="0.25">
      <c r="A824059" s="242"/>
    </row>
    <row r="824060" spans="1:1" x14ac:dyDescent="0.25">
      <c r="A824060" s="242"/>
    </row>
    <row r="824061" spans="1:1" x14ac:dyDescent="0.25">
      <c r="A824061" s="242"/>
    </row>
    <row r="824062" spans="1:1" x14ac:dyDescent="0.25">
      <c r="A824062" s="242"/>
    </row>
    <row r="824063" spans="1:1" x14ac:dyDescent="0.25">
      <c r="A824063" s="242"/>
    </row>
    <row r="824064" spans="1:1" x14ac:dyDescent="0.25">
      <c r="A824064" s="242"/>
    </row>
    <row r="824065" spans="1:1" x14ac:dyDescent="0.25">
      <c r="A824065" s="242"/>
    </row>
    <row r="824066" spans="1:1" x14ac:dyDescent="0.25">
      <c r="A824066" s="242"/>
    </row>
    <row r="824067" spans="1:1" x14ac:dyDescent="0.25">
      <c r="A824067" s="242"/>
    </row>
    <row r="824068" spans="1:1" x14ac:dyDescent="0.25">
      <c r="A824068" s="242"/>
    </row>
    <row r="824069" spans="1:1" x14ac:dyDescent="0.25">
      <c r="A824069" s="242"/>
    </row>
    <row r="824070" spans="1:1" x14ac:dyDescent="0.25">
      <c r="A824070" s="242"/>
    </row>
    <row r="824071" spans="1:1" x14ac:dyDescent="0.25">
      <c r="A824071" s="242"/>
    </row>
    <row r="824072" spans="1:1" x14ac:dyDescent="0.25">
      <c r="A824072" s="242"/>
    </row>
    <row r="824073" spans="1:1" x14ac:dyDescent="0.25">
      <c r="A824073" s="242"/>
    </row>
    <row r="824074" spans="1:1" x14ac:dyDescent="0.25">
      <c r="A824074" s="242"/>
    </row>
    <row r="824075" spans="1:1" x14ac:dyDescent="0.25">
      <c r="A824075" s="242"/>
    </row>
    <row r="824076" spans="1:1" x14ac:dyDescent="0.25">
      <c r="A824076" s="242"/>
    </row>
    <row r="824077" spans="1:1" x14ac:dyDescent="0.25">
      <c r="A824077" s="242"/>
    </row>
    <row r="824078" spans="1:1" x14ac:dyDescent="0.25">
      <c r="A824078" s="242"/>
    </row>
    <row r="824079" spans="1:1" x14ac:dyDescent="0.25">
      <c r="A824079" s="242"/>
    </row>
    <row r="824080" spans="1:1" x14ac:dyDescent="0.25">
      <c r="A824080" s="242"/>
    </row>
    <row r="824081" spans="1:1" x14ac:dyDescent="0.25">
      <c r="A824081" s="242"/>
    </row>
    <row r="824082" spans="1:1" x14ac:dyDescent="0.25">
      <c r="A824082" s="242"/>
    </row>
    <row r="824083" spans="1:1" x14ac:dyDescent="0.25">
      <c r="A824083" s="242"/>
    </row>
    <row r="824084" spans="1:1" x14ac:dyDescent="0.25">
      <c r="A824084" s="242"/>
    </row>
    <row r="824085" spans="1:1" x14ac:dyDescent="0.25">
      <c r="A824085" s="242"/>
    </row>
    <row r="824086" spans="1:1" x14ac:dyDescent="0.25">
      <c r="A824086" s="242"/>
    </row>
    <row r="824087" spans="1:1" x14ac:dyDescent="0.25">
      <c r="A824087" s="242"/>
    </row>
    <row r="824088" spans="1:1" x14ac:dyDescent="0.25">
      <c r="A824088" s="242"/>
    </row>
    <row r="824089" spans="1:1" x14ac:dyDescent="0.25">
      <c r="A824089" s="242"/>
    </row>
    <row r="824090" spans="1:1" x14ac:dyDescent="0.25">
      <c r="A824090" s="242"/>
    </row>
    <row r="824091" spans="1:1" x14ac:dyDescent="0.25">
      <c r="A824091" s="242"/>
    </row>
    <row r="824092" spans="1:1" x14ac:dyDescent="0.25">
      <c r="A824092" s="242"/>
    </row>
    <row r="824093" spans="1:1" x14ac:dyDescent="0.25">
      <c r="A824093" s="242"/>
    </row>
    <row r="824094" spans="1:1" x14ac:dyDescent="0.25">
      <c r="A824094" s="242"/>
    </row>
    <row r="824095" spans="1:1" x14ac:dyDescent="0.25">
      <c r="A824095" s="242"/>
    </row>
    <row r="824096" spans="1:1" x14ac:dyDescent="0.25">
      <c r="A824096" s="242"/>
    </row>
    <row r="824097" spans="1:1" x14ac:dyDescent="0.25">
      <c r="A824097" s="242"/>
    </row>
    <row r="824098" spans="1:1" x14ac:dyDescent="0.25">
      <c r="A824098" s="242"/>
    </row>
    <row r="824099" spans="1:1" x14ac:dyDescent="0.25">
      <c r="A824099" s="242"/>
    </row>
    <row r="824100" spans="1:1" x14ac:dyDescent="0.25">
      <c r="A824100" s="242"/>
    </row>
    <row r="824101" spans="1:1" x14ac:dyDescent="0.25">
      <c r="A824101" s="242"/>
    </row>
    <row r="824102" spans="1:1" x14ac:dyDescent="0.25">
      <c r="A824102" s="242"/>
    </row>
    <row r="824103" spans="1:1" x14ac:dyDescent="0.25">
      <c r="A824103" s="242"/>
    </row>
    <row r="824104" spans="1:1" x14ac:dyDescent="0.25">
      <c r="A824104" s="242"/>
    </row>
    <row r="824105" spans="1:1" x14ac:dyDescent="0.25">
      <c r="A824105" s="242"/>
    </row>
    <row r="824106" spans="1:1" x14ac:dyDescent="0.25">
      <c r="A824106" s="242"/>
    </row>
    <row r="824107" spans="1:1" x14ac:dyDescent="0.25">
      <c r="A824107" s="242"/>
    </row>
    <row r="824108" spans="1:1" x14ac:dyDescent="0.25">
      <c r="A824108" s="242"/>
    </row>
    <row r="824109" spans="1:1" x14ac:dyDescent="0.25">
      <c r="A824109" s="242"/>
    </row>
    <row r="824110" spans="1:1" x14ac:dyDescent="0.25">
      <c r="A824110" s="242"/>
    </row>
    <row r="824111" spans="1:1" x14ac:dyDescent="0.25">
      <c r="A824111" s="242"/>
    </row>
    <row r="824112" spans="1:1" x14ac:dyDescent="0.25">
      <c r="A824112" s="242"/>
    </row>
    <row r="824113" spans="1:1" x14ac:dyDescent="0.25">
      <c r="A824113" s="242"/>
    </row>
    <row r="824114" spans="1:1" x14ac:dyDescent="0.25">
      <c r="A824114" s="242"/>
    </row>
    <row r="824115" spans="1:1" x14ac:dyDescent="0.25">
      <c r="A824115" s="242"/>
    </row>
    <row r="824116" spans="1:1" x14ac:dyDescent="0.25">
      <c r="A824116" s="242"/>
    </row>
    <row r="824117" spans="1:1" x14ac:dyDescent="0.25">
      <c r="A824117" s="242"/>
    </row>
    <row r="824118" spans="1:1" x14ac:dyDescent="0.25">
      <c r="A824118" s="242"/>
    </row>
    <row r="824119" spans="1:1" x14ac:dyDescent="0.25">
      <c r="A824119" s="242"/>
    </row>
    <row r="824120" spans="1:1" x14ac:dyDescent="0.25">
      <c r="A824120" s="242"/>
    </row>
    <row r="824121" spans="1:1" x14ac:dyDescent="0.25">
      <c r="A824121" s="242"/>
    </row>
    <row r="824122" spans="1:1" x14ac:dyDescent="0.25">
      <c r="A824122" s="242"/>
    </row>
    <row r="824123" spans="1:1" x14ac:dyDescent="0.25">
      <c r="A824123" s="242"/>
    </row>
    <row r="824124" spans="1:1" x14ac:dyDescent="0.25">
      <c r="A824124" s="242"/>
    </row>
    <row r="824125" spans="1:1" x14ac:dyDescent="0.25">
      <c r="A824125" s="242"/>
    </row>
    <row r="824126" spans="1:1" x14ac:dyDescent="0.25">
      <c r="A824126" s="242"/>
    </row>
    <row r="824127" spans="1:1" x14ac:dyDescent="0.25">
      <c r="A824127" s="242"/>
    </row>
    <row r="824128" spans="1:1" x14ac:dyDescent="0.25">
      <c r="A824128" s="242"/>
    </row>
    <row r="824129" spans="1:1" x14ac:dyDescent="0.25">
      <c r="A824129" s="242"/>
    </row>
    <row r="824130" spans="1:1" x14ac:dyDescent="0.25">
      <c r="A824130" s="242"/>
    </row>
    <row r="824131" spans="1:1" x14ac:dyDescent="0.25">
      <c r="A824131" s="242"/>
    </row>
    <row r="824132" spans="1:1" x14ac:dyDescent="0.25">
      <c r="A824132" s="242"/>
    </row>
    <row r="824133" spans="1:1" x14ac:dyDescent="0.25">
      <c r="A824133" s="242"/>
    </row>
    <row r="824134" spans="1:1" x14ac:dyDescent="0.25">
      <c r="A824134" s="242"/>
    </row>
    <row r="824135" spans="1:1" x14ac:dyDescent="0.25">
      <c r="A824135" s="242"/>
    </row>
    <row r="824136" spans="1:1" x14ac:dyDescent="0.25">
      <c r="A824136" s="242"/>
    </row>
    <row r="824137" spans="1:1" x14ac:dyDescent="0.25">
      <c r="A824137" s="242"/>
    </row>
    <row r="824138" spans="1:1" x14ac:dyDescent="0.25">
      <c r="A824138" s="242"/>
    </row>
    <row r="824139" spans="1:1" x14ac:dyDescent="0.25">
      <c r="A824139" s="242"/>
    </row>
    <row r="824140" spans="1:1" x14ac:dyDescent="0.25">
      <c r="A824140" s="242"/>
    </row>
    <row r="824141" spans="1:1" x14ac:dyDescent="0.25">
      <c r="A824141" s="242"/>
    </row>
    <row r="824142" spans="1:1" x14ac:dyDescent="0.25">
      <c r="A824142" s="242"/>
    </row>
    <row r="824143" spans="1:1" x14ac:dyDescent="0.25">
      <c r="A824143" s="242"/>
    </row>
    <row r="824144" spans="1:1" x14ac:dyDescent="0.25">
      <c r="A824144" s="242"/>
    </row>
    <row r="824145" spans="1:1" x14ac:dyDescent="0.25">
      <c r="A824145" s="242"/>
    </row>
    <row r="824146" spans="1:1" x14ac:dyDescent="0.25">
      <c r="A824146" s="242"/>
    </row>
    <row r="824147" spans="1:1" x14ac:dyDescent="0.25">
      <c r="A824147" s="242"/>
    </row>
    <row r="824148" spans="1:1" x14ac:dyDescent="0.25">
      <c r="A824148" s="242"/>
    </row>
    <row r="824149" spans="1:1" x14ac:dyDescent="0.25">
      <c r="A824149" s="242"/>
    </row>
    <row r="824150" spans="1:1" x14ac:dyDescent="0.25">
      <c r="A824150" s="242"/>
    </row>
    <row r="824151" spans="1:1" x14ac:dyDescent="0.25">
      <c r="A824151" s="242"/>
    </row>
    <row r="824152" spans="1:1" x14ac:dyDescent="0.25">
      <c r="A824152" s="242"/>
    </row>
    <row r="824153" spans="1:1" x14ac:dyDescent="0.25">
      <c r="A824153" s="242"/>
    </row>
    <row r="824154" spans="1:1" x14ac:dyDescent="0.25">
      <c r="A824154" s="242"/>
    </row>
    <row r="824155" spans="1:1" x14ac:dyDescent="0.25">
      <c r="A824155" s="242"/>
    </row>
    <row r="824156" spans="1:1" x14ac:dyDescent="0.25">
      <c r="A824156" s="242"/>
    </row>
    <row r="824157" spans="1:1" x14ac:dyDescent="0.25">
      <c r="A824157" s="242"/>
    </row>
    <row r="824158" spans="1:1" x14ac:dyDescent="0.25">
      <c r="A824158" s="242"/>
    </row>
    <row r="824159" spans="1:1" x14ac:dyDescent="0.25">
      <c r="A824159" s="242"/>
    </row>
    <row r="824160" spans="1:1" x14ac:dyDescent="0.25">
      <c r="A824160" s="242"/>
    </row>
    <row r="824161" spans="1:1" x14ac:dyDescent="0.25">
      <c r="A824161" s="242"/>
    </row>
    <row r="824162" spans="1:1" x14ac:dyDescent="0.25">
      <c r="A824162" s="242"/>
    </row>
    <row r="824163" spans="1:1" x14ac:dyDescent="0.25">
      <c r="A824163" s="242"/>
    </row>
    <row r="824164" spans="1:1" x14ac:dyDescent="0.25">
      <c r="A824164" s="242"/>
    </row>
    <row r="824165" spans="1:1" x14ac:dyDescent="0.25">
      <c r="A824165" s="242"/>
    </row>
    <row r="824166" spans="1:1" x14ac:dyDescent="0.25">
      <c r="A824166" s="242"/>
    </row>
    <row r="824167" spans="1:1" x14ac:dyDescent="0.25">
      <c r="A824167" s="242"/>
    </row>
    <row r="824168" spans="1:1" x14ac:dyDescent="0.25">
      <c r="A824168" s="242"/>
    </row>
    <row r="824169" spans="1:1" x14ac:dyDescent="0.25">
      <c r="A824169" s="242"/>
    </row>
    <row r="824170" spans="1:1" x14ac:dyDescent="0.25">
      <c r="A824170" s="242"/>
    </row>
    <row r="824171" spans="1:1" x14ac:dyDescent="0.25">
      <c r="A824171" s="242"/>
    </row>
    <row r="824172" spans="1:1" x14ac:dyDescent="0.25">
      <c r="A824172" s="242"/>
    </row>
    <row r="824173" spans="1:1" x14ac:dyDescent="0.25">
      <c r="A824173" s="242"/>
    </row>
    <row r="824174" spans="1:1" x14ac:dyDescent="0.25">
      <c r="A824174" s="242"/>
    </row>
    <row r="824175" spans="1:1" x14ac:dyDescent="0.25">
      <c r="A824175" s="242"/>
    </row>
    <row r="824176" spans="1:1" x14ac:dyDescent="0.25">
      <c r="A824176" s="242"/>
    </row>
    <row r="824177" spans="1:1" x14ac:dyDescent="0.25">
      <c r="A824177" s="242"/>
    </row>
    <row r="824178" spans="1:1" x14ac:dyDescent="0.25">
      <c r="A824178" s="242"/>
    </row>
    <row r="824179" spans="1:1" x14ac:dyDescent="0.25">
      <c r="A824179" s="242"/>
    </row>
    <row r="824180" spans="1:1" x14ac:dyDescent="0.25">
      <c r="A824180" s="242"/>
    </row>
    <row r="824181" spans="1:1" x14ac:dyDescent="0.25">
      <c r="A824181" s="242"/>
    </row>
    <row r="824182" spans="1:1" x14ac:dyDescent="0.25">
      <c r="A824182" s="242"/>
    </row>
    <row r="824183" spans="1:1" x14ac:dyDescent="0.25">
      <c r="A824183" s="242"/>
    </row>
    <row r="824184" spans="1:1" x14ac:dyDescent="0.25">
      <c r="A824184" s="242"/>
    </row>
    <row r="824185" spans="1:1" x14ac:dyDescent="0.25">
      <c r="A824185" s="242"/>
    </row>
    <row r="824186" spans="1:1" x14ac:dyDescent="0.25">
      <c r="A824186" s="242"/>
    </row>
    <row r="824187" spans="1:1" x14ac:dyDescent="0.25">
      <c r="A824187" s="242"/>
    </row>
    <row r="824188" spans="1:1" x14ac:dyDescent="0.25">
      <c r="A824188" s="242"/>
    </row>
    <row r="824189" spans="1:1" x14ac:dyDescent="0.25">
      <c r="A824189" s="242"/>
    </row>
    <row r="824190" spans="1:1" x14ac:dyDescent="0.25">
      <c r="A824190" s="242"/>
    </row>
    <row r="824191" spans="1:1" x14ac:dyDescent="0.25">
      <c r="A824191" s="242"/>
    </row>
    <row r="824192" spans="1:1" x14ac:dyDescent="0.25">
      <c r="A824192" s="242"/>
    </row>
    <row r="824193" spans="1:1" x14ac:dyDescent="0.25">
      <c r="A824193" s="242"/>
    </row>
    <row r="824194" spans="1:1" x14ac:dyDescent="0.25">
      <c r="A824194" s="242"/>
    </row>
    <row r="824195" spans="1:1" x14ac:dyDescent="0.25">
      <c r="A824195" s="242"/>
    </row>
    <row r="824196" spans="1:1" x14ac:dyDescent="0.25">
      <c r="A824196" s="242"/>
    </row>
    <row r="824197" spans="1:1" x14ac:dyDescent="0.25">
      <c r="A824197" s="242"/>
    </row>
    <row r="824198" spans="1:1" x14ac:dyDescent="0.25">
      <c r="A824198" s="242"/>
    </row>
    <row r="824199" spans="1:1" x14ac:dyDescent="0.25">
      <c r="A824199" s="242"/>
    </row>
    <row r="824200" spans="1:1" x14ac:dyDescent="0.25">
      <c r="A824200" s="242"/>
    </row>
    <row r="824201" spans="1:1" x14ac:dyDescent="0.25">
      <c r="A824201" s="242"/>
    </row>
    <row r="824202" spans="1:1" x14ac:dyDescent="0.25">
      <c r="A824202" s="242"/>
    </row>
    <row r="824203" spans="1:1" x14ac:dyDescent="0.25">
      <c r="A824203" s="242"/>
    </row>
    <row r="824204" spans="1:1" x14ac:dyDescent="0.25">
      <c r="A824204" s="242"/>
    </row>
    <row r="824205" spans="1:1" x14ac:dyDescent="0.25">
      <c r="A824205" s="242"/>
    </row>
    <row r="824206" spans="1:1" x14ac:dyDescent="0.25">
      <c r="A824206" s="242"/>
    </row>
    <row r="824207" spans="1:1" x14ac:dyDescent="0.25">
      <c r="A824207" s="242"/>
    </row>
    <row r="824208" spans="1:1" x14ac:dyDescent="0.25">
      <c r="A824208" s="242"/>
    </row>
    <row r="824209" spans="1:1" x14ac:dyDescent="0.25">
      <c r="A824209" s="242"/>
    </row>
    <row r="824210" spans="1:1" x14ac:dyDescent="0.25">
      <c r="A824210" s="242"/>
    </row>
    <row r="824211" spans="1:1" x14ac:dyDescent="0.25">
      <c r="A824211" s="242"/>
    </row>
    <row r="824212" spans="1:1" x14ac:dyDescent="0.25">
      <c r="A824212" s="242"/>
    </row>
    <row r="824213" spans="1:1" x14ac:dyDescent="0.25">
      <c r="A824213" s="242"/>
    </row>
    <row r="824214" spans="1:1" x14ac:dyDescent="0.25">
      <c r="A824214" s="242"/>
    </row>
    <row r="824215" spans="1:1" x14ac:dyDescent="0.25">
      <c r="A824215" s="242"/>
    </row>
    <row r="824216" spans="1:1" x14ac:dyDescent="0.25">
      <c r="A824216" s="242"/>
    </row>
    <row r="824217" spans="1:1" x14ac:dyDescent="0.25">
      <c r="A824217" s="242"/>
    </row>
    <row r="824218" spans="1:1" x14ac:dyDescent="0.25">
      <c r="A824218" s="242"/>
    </row>
    <row r="824219" spans="1:1" x14ac:dyDescent="0.25">
      <c r="A824219" s="242"/>
    </row>
    <row r="824220" spans="1:1" x14ac:dyDescent="0.25">
      <c r="A824220" s="242"/>
    </row>
    <row r="824221" spans="1:1" x14ac:dyDescent="0.25">
      <c r="A824221" s="242"/>
    </row>
    <row r="824222" spans="1:1" x14ac:dyDescent="0.25">
      <c r="A824222" s="242"/>
    </row>
    <row r="824223" spans="1:1" x14ac:dyDescent="0.25">
      <c r="A824223" s="242"/>
    </row>
    <row r="824224" spans="1:1" x14ac:dyDescent="0.25">
      <c r="A824224" s="242"/>
    </row>
    <row r="824225" spans="1:1" x14ac:dyDescent="0.25">
      <c r="A824225" s="242"/>
    </row>
    <row r="824226" spans="1:1" x14ac:dyDescent="0.25">
      <c r="A824226" s="242"/>
    </row>
    <row r="824227" spans="1:1" x14ac:dyDescent="0.25">
      <c r="A824227" s="242"/>
    </row>
    <row r="824228" spans="1:1" x14ac:dyDescent="0.25">
      <c r="A824228" s="242"/>
    </row>
    <row r="824229" spans="1:1" x14ac:dyDescent="0.25">
      <c r="A824229" s="242"/>
    </row>
    <row r="824230" spans="1:1" x14ac:dyDescent="0.25">
      <c r="A824230" s="242"/>
    </row>
    <row r="824231" spans="1:1" x14ac:dyDescent="0.25">
      <c r="A824231" s="242"/>
    </row>
    <row r="824232" spans="1:1" x14ac:dyDescent="0.25">
      <c r="A824232" s="242"/>
    </row>
    <row r="824233" spans="1:1" x14ac:dyDescent="0.25">
      <c r="A824233" s="242"/>
    </row>
    <row r="824234" spans="1:1" x14ac:dyDescent="0.25">
      <c r="A824234" s="242"/>
    </row>
    <row r="824235" spans="1:1" x14ac:dyDescent="0.25">
      <c r="A824235" s="242"/>
    </row>
    <row r="824236" spans="1:1" x14ac:dyDescent="0.25">
      <c r="A824236" s="242"/>
    </row>
    <row r="824237" spans="1:1" x14ac:dyDescent="0.25">
      <c r="A824237" s="242"/>
    </row>
    <row r="824238" spans="1:1" x14ac:dyDescent="0.25">
      <c r="A824238" s="242"/>
    </row>
    <row r="824239" spans="1:1" x14ac:dyDescent="0.25">
      <c r="A824239" s="242"/>
    </row>
    <row r="824240" spans="1:1" x14ac:dyDescent="0.25">
      <c r="A824240" s="242"/>
    </row>
    <row r="824241" spans="1:1" x14ac:dyDescent="0.25">
      <c r="A824241" s="242"/>
    </row>
    <row r="824242" spans="1:1" x14ac:dyDescent="0.25">
      <c r="A824242" s="242"/>
    </row>
    <row r="824243" spans="1:1" x14ac:dyDescent="0.25">
      <c r="A824243" s="242"/>
    </row>
    <row r="824244" spans="1:1" x14ac:dyDescent="0.25">
      <c r="A824244" s="242"/>
    </row>
    <row r="824245" spans="1:1" x14ac:dyDescent="0.25">
      <c r="A824245" s="242"/>
    </row>
    <row r="824246" spans="1:1" x14ac:dyDescent="0.25">
      <c r="A824246" s="242"/>
    </row>
    <row r="824247" spans="1:1" x14ac:dyDescent="0.25">
      <c r="A824247" s="242"/>
    </row>
    <row r="824248" spans="1:1" x14ac:dyDescent="0.25">
      <c r="A824248" s="242"/>
    </row>
    <row r="824249" spans="1:1" x14ac:dyDescent="0.25">
      <c r="A824249" s="242"/>
    </row>
    <row r="824250" spans="1:1" x14ac:dyDescent="0.25">
      <c r="A824250" s="242"/>
    </row>
    <row r="824251" spans="1:1" x14ac:dyDescent="0.25">
      <c r="A824251" s="242"/>
    </row>
    <row r="824252" spans="1:1" x14ac:dyDescent="0.25">
      <c r="A824252" s="242"/>
    </row>
    <row r="824253" spans="1:1" x14ac:dyDescent="0.25">
      <c r="A824253" s="242"/>
    </row>
    <row r="824254" spans="1:1" x14ac:dyDescent="0.25">
      <c r="A824254" s="242"/>
    </row>
    <row r="824255" spans="1:1" x14ac:dyDescent="0.25">
      <c r="A824255" s="242"/>
    </row>
    <row r="824256" spans="1:1" x14ac:dyDescent="0.25">
      <c r="A824256" s="242"/>
    </row>
    <row r="824257" spans="1:1" x14ac:dyDescent="0.25">
      <c r="A824257" s="242"/>
    </row>
    <row r="824258" spans="1:1" x14ac:dyDescent="0.25">
      <c r="A824258" s="242"/>
    </row>
    <row r="824259" spans="1:1" x14ac:dyDescent="0.25">
      <c r="A824259" s="242"/>
    </row>
    <row r="824260" spans="1:1" x14ac:dyDescent="0.25">
      <c r="A824260" s="242"/>
    </row>
    <row r="824261" spans="1:1" x14ac:dyDescent="0.25">
      <c r="A824261" s="242"/>
    </row>
    <row r="824262" spans="1:1" x14ac:dyDescent="0.25">
      <c r="A824262" s="242"/>
    </row>
    <row r="824263" spans="1:1" x14ac:dyDescent="0.25">
      <c r="A824263" s="242"/>
    </row>
    <row r="824264" spans="1:1" x14ac:dyDescent="0.25">
      <c r="A824264" s="242"/>
    </row>
    <row r="824265" spans="1:1" x14ac:dyDescent="0.25">
      <c r="A824265" s="242"/>
    </row>
    <row r="824266" spans="1:1" x14ac:dyDescent="0.25">
      <c r="A824266" s="242"/>
    </row>
    <row r="824267" spans="1:1" x14ac:dyDescent="0.25">
      <c r="A824267" s="242"/>
    </row>
    <row r="824268" spans="1:1" x14ac:dyDescent="0.25">
      <c r="A824268" s="242"/>
    </row>
    <row r="824269" spans="1:1" x14ac:dyDescent="0.25">
      <c r="A824269" s="242"/>
    </row>
    <row r="824270" spans="1:1" x14ac:dyDescent="0.25">
      <c r="A824270" s="242"/>
    </row>
    <row r="824271" spans="1:1" x14ac:dyDescent="0.25">
      <c r="A824271" s="242"/>
    </row>
    <row r="824272" spans="1:1" x14ac:dyDescent="0.25">
      <c r="A824272" s="242"/>
    </row>
    <row r="824273" spans="1:1" x14ac:dyDescent="0.25">
      <c r="A824273" s="242"/>
    </row>
    <row r="824274" spans="1:1" x14ac:dyDescent="0.25">
      <c r="A824274" s="242"/>
    </row>
    <row r="824275" spans="1:1" x14ac:dyDescent="0.25">
      <c r="A824275" s="242"/>
    </row>
    <row r="824276" spans="1:1" x14ac:dyDescent="0.25">
      <c r="A824276" s="242"/>
    </row>
    <row r="824277" spans="1:1" x14ac:dyDescent="0.25">
      <c r="A824277" s="242"/>
    </row>
    <row r="824278" spans="1:1" x14ac:dyDescent="0.25">
      <c r="A824278" s="242"/>
    </row>
    <row r="824279" spans="1:1" x14ac:dyDescent="0.25">
      <c r="A824279" s="242"/>
    </row>
    <row r="824280" spans="1:1" x14ac:dyDescent="0.25">
      <c r="A824280" s="242"/>
    </row>
    <row r="824281" spans="1:1" x14ac:dyDescent="0.25">
      <c r="A824281" s="242"/>
    </row>
    <row r="824282" spans="1:1" x14ac:dyDescent="0.25">
      <c r="A824282" s="242"/>
    </row>
    <row r="824283" spans="1:1" x14ac:dyDescent="0.25">
      <c r="A824283" s="242"/>
    </row>
    <row r="824284" spans="1:1" x14ac:dyDescent="0.25">
      <c r="A824284" s="242"/>
    </row>
    <row r="824285" spans="1:1" x14ac:dyDescent="0.25">
      <c r="A824285" s="242"/>
    </row>
    <row r="824286" spans="1:1" x14ac:dyDescent="0.25">
      <c r="A824286" s="242"/>
    </row>
    <row r="824287" spans="1:1" x14ac:dyDescent="0.25">
      <c r="A824287" s="242"/>
    </row>
    <row r="824288" spans="1:1" x14ac:dyDescent="0.25">
      <c r="A824288" s="242"/>
    </row>
    <row r="824289" spans="1:1" x14ac:dyDescent="0.25">
      <c r="A824289" s="242"/>
    </row>
    <row r="824290" spans="1:1" x14ac:dyDescent="0.25">
      <c r="A824290" s="242"/>
    </row>
    <row r="824291" spans="1:1" x14ac:dyDescent="0.25">
      <c r="A824291" s="242"/>
    </row>
    <row r="824292" spans="1:1" x14ac:dyDescent="0.25">
      <c r="A824292" s="242"/>
    </row>
    <row r="824293" spans="1:1" x14ac:dyDescent="0.25">
      <c r="A824293" s="242"/>
    </row>
    <row r="824294" spans="1:1" x14ac:dyDescent="0.25">
      <c r="A824294" s="242"/>
    </row>
    <row r="824295" spans="1:1" x14ac:dyDescent="0.25">
      <c r="A824295" s="242"/>
    </row>
    <row r="824296" spans="1:1" x14ac:dyDescent="0.25">
      <c r="A824296" s="242"/>
    </row>
    <row r="824297" spans="1:1" x14ac:dyDescent="0.25">
      <c r="A824297" s="242"/>
    </row>
    <row r="824298" spans="1:1" x14ac:dyDescent="0.25">
      <c r="A824298" s="242"/>
    </row>
    <row r="824299" spans="1:1" x14ac:dyDescent="0.25">
      <c r="A824299" s="242"/>
    </row>
    <row r="824300" spans="1:1" x14ac:dyDescent="0.25">
      <c r="A824300" s="242"/>
    </row>
    <row r="824301" spans="1:1" x14ac:dyDescent="0.25">
      <c r="A824301" s="242"/>
    </row>
    <row r="824302" spans="1:1" x14ac:dyDescent="0.25">
      <c r="A824302" s="242"/>
    </row>
    <row r="824303" spans="1:1" x14ac:dyDescent="0.25">
      <c r="A824303" s="242"/>
    </row>
    <row r="824304" spans="1:1" x14ac:dyDescent="0.25">
      <c r="A824304" s="242"/>
    </row>
    <row r="824305" spans="1:1" x14ac:dyDescent="0.25">
      <c r="A824305" s="242"/>
    </row>
    <row r="824306" spans="1:1" x14ac:dyDescent="0.25">
      <c r="A824306" s="242"/>
    </row>
    <row r="824307" spans="1:1" x14ac:dyDescent="0.25">
      <c r="A824307" s="242"/>
    </row>
    <row r="824308" spans="1:1" x14ac:dyDescent="0.25">
      <c r="A824308" s="242"/>
    </row>
    <row r="824309" spans="1:1" x14ac:dyDescent="0.25">
      <c r="A824309" s="242"/>
    </row>
    <row r="824310" spans="1:1" x14ac:dyDescent="0.25">
      <c r="A824310" s="242"/>
    </row>
    <row r="824311" spans="1:1" x14ac:dyDescent="0.25">
      <c r="A824311" s="242"/>
    </row>
    <row r="824312" spans="1:1" x14ac:dyDescent="0.25">
      <c r="A824312" s="242"/>
    </row>
    <row r="824313" spans="1:1" x14ac:dyDescent="0.25">
      <c r="A824313" s="242"/>
    </row>
    <row r="824314" spans="1:1" x14ac:dyDescent="0.25">
      <c r="A824314" s="242"/>
    </row>
    <row r="824315" spans="1:1" x14ac:dyDescent="0.25">
      <c r="A824315" s="242"/>
    </row>
    <row r="824316" spans="1:1" x14ac:dyDescent="0.25">
      <c r="A824316" s="242"/>
    </row>
    <row r="824317" spans="1:1" x14ac:dyDescent="0.25">
      <c r="A824317" s="242"/>
    </row>
    <row r="824318" spans="1:1" x14ac:dyDescent="0.25">
      <c r="A824318" s="242"/>
    </row>
    <row r="824319" spans="1:1" x14ac:dyDescent="0.25">
      <c r="A824319" s="242"/>
    </row>
    <row r="824320" spans="1:1" x14ac:dyDescent="0.25">
      <c r="A824320" s="242"/>
    </row>
    <row r="824321" spans="1:1" x14ac:dyDescent="0.25">
      <c r="A824321" s="242"/>
    </row>
    <row r="824322" spans="1:1" x14ac:dyDescent="0.25">
      <c r="A824322" s="242"/>
    </row>
    <row r="824323" spans="1:1" x14ac:dyDescent="0.25">
      <c r="A824323" s="242"/>
    </row>
    <row r="824324" spans="1:1" x14ac:dyDescent="0.25">
      <c r="A824324" s="242"/>
    </row>
    <row r="824325" spans="1:1" x14ac:dyDescent="0.25">
      <c r="A824325" s="242"/>
    </row>
    <row r="824326" spans="1:1" x14ac:dyDescent="0.25">
      <c r="A824326" s="242"/>
    </row>
    <row r="824327" spans="1:1" x14ac:dyDescent="0.25">
      <c r="A824327" s="242"/>
    </row>
    <row r="824328" spans="1:1" x14ac:dyDescent="0.25">
      <c r="A824328" s="242"/>
    </row>
    <row r="824329" spans="1:1" x14ac:dyDescent="0.25">
      <c r="A824329" s="242"/>
    </row>
    <row r="824330" spans="1:1" x14ac:dyDescent="0.25">
      <c r="A824330" s="242"/>
    </row>
    <row r="824331" spans="1:1" x14ac:dyDescent="0.25">
      <c r="A824331" s="242"/>
    </row>
    <row r="824332" spans="1:1" x14ac:dyDescent="0.25">
      <c r="A824332" s="242"/>
    </row>
    <row r="824333" spans="1:1" x14ac:dyDescent="0.25">
      <c r="A824333" s="242"/>
    </row>
    <row r="824334" spans="1:1" x14ac:dyDescent="0.25">
      <c r="A824334" s="242"/>
    </row>
    <row r="824335" spans="1:1" x14ac:dyDescent="0.25">
      <c r="A824335" s="242"/>
    </row>
    <row r="824336" spans="1:1" x14ac:dyDescent="0.25">
      <c r="A824336" s="242"/>
    </row>
    <row r="824337" spans="1:1" x14ac:dyDescent="0.25">
      <c r="A824337" s="242"/>
    </row>
    <row r="824338" spans="1:1" x14ac:dyDescent="0.25">
      <c r="A824338" s="242"/>
    </row>
    <row r="824339" spans="1:1" x14ac:dyDescent="0.25">
      <c r="A824339" s="242"/>
    </row>
    <row r="824340" spans="1:1" x14ac:dyDescent="0.25">
      <c r="A824340" s="242"/>
    </row>
    <row r="824341" spans="1:1" x14ac:dyDescent="0.25">
      <c r="A824341" s="242"/>
    </row>
    <row r="824342" spans="1:1" x14ac:dyDescent="0.25">
      <c r="A824342" s="242"/>
    </row>
    <row r="824343" spans="1:1" x14ac:dyDescent="0.25">
      <c r="A824343" s="242"/>
    </row>
    <row r="824344" spans="1:1" x14ac:dyDescent="0.25">
      <c r="A824344" s="242"/>
    </row>
    <row r="824345" spans="1:1" x14ac:dyDescent="0.25">
      <c r="A824345" s="242"/>
    </row>
    <row r="824346" spans="1:1" x14ac:dyDescent="0.25">
      <c r="A824346" s="242"/>
    </row>
    <row r="824347" spans="1:1" x14ac:dyDescent="0.25">
      <c r="A824347" s="242"/>
    </row>
    <row r="824348" spans="1:1" x14ac:dyDescent="0.25">
      <c r="A824348" s="242"/>
    </row>
    <row r="824349" spans="1:1" x14ac:dyDescent="0.25">
      <c r="A824349" s="242"/>
    </row>
    <row r="824350" spans="1:1" x14ac:dyDescent="0.25">
      <c r="A824350" s="242"/>
    </row>
    <row r="824351" spans="1:1" x14ac:dyDescent="0.25">
      <c r="A824351" s="242"/>
    </row>
    <row r="824352" spans="1:1" x14ac:dyDescent="0.25">
      <c r="A824352" s="242"/>
    </row>
    <row r="824353" spans="1:1" x14ac:dyDescent="0.25">
      <c r="A824353" s="242"/>
    </row>
    <row r="824354" spans="1:1" x14ac:dyDescent="0.25">
      <c r="A824354" s="242"/>
    </row>
    <row r="824355" spans="1:1" x14ac:dyDescent="0.25">
      <c r="A824355" s="242"/>
    </row>
    <row r="824356" spans="1:1" x14ac:dyDescent="0.25">
      <c r="A824356" s="242"/>
    </row>
    <row r="824357" spans="1:1" x14ac:dyDescent="0.25">
      <c r="A824357" s="242"/>
    </row>
    <row r="824358" spans="1:1" x14ac:dyDescent="0.25">
      <c r="A824358" s="242"/>
    </row>
    <row r="824359" spans="1:1" x14ac:dyDescent="0.25">
      <c r="A824359" s="242"/>
    </row>
    <row r="824360" spans="1:1" x14ac:dyDescent="0.25">
      <c r="A824360" s="242"/>
    </row>
    <row r="824361" spans="1:1" x14ac:dyDescent="0.25">
      <c r="A824361" s="242"/>
    </row>
    <row r="824362" spans="1:1" x14ac:dyDescent="0.25">
      <c r="A824362" s="242"/>
    </row>
    <row r="824363" spans="1:1" x14ac:dyDescent="0.25">
      <c r="A824363" s="242"/>
    </row>
    <row r="824364" spans="1:1" x14ac:dyDescent="0.25">
      <c r="A824364" s="242"/>
    </row>
    <row r="824365" spans="1:1" x14ac:dyDescent="0.25">
      <c r="A824365" s="242"/>
    </row>
    <row r="824366" spans="1:1" x14ac:dyDescent="0.25">
      <c r="A824366" s="242"/>
    </row>
    <row r="824367" spans="1:1" x14ac:dyDescent="0.25">
      <c r="A824367" s="242"/>
    </row>
    <row r="824368" spans="1:1" x14ac:dyDescent="0.25">
      <c r="A824368" s="242"/>
    </row>
    <row r="824369" spans="1:1" x14ac:dyDescent="0.25">
      <c r="A824369" s="242"/>
    </row>
    <row r="824370" spans="1:1" x14ac:dyDescent="0.25">
      <c r="A824370" s="242"/>
    </row>
    <row r="824371" spans="1:1" x14ac:dyDescent="0.25">
      <c r="A824371" s="242"/>
    </row>
    <row r="824372" spans="1:1" x14ac:dyDescent="0.25">
      <c r="A824372" s="242"/>
    </row>
    <row r="824373" spans="1:1" x14ac:dyDescent="0.25">
      <c r="A824373" s="242"/>
    </row>
    <row r="824374" spans="1:1" x14ac:dyDescent="0.25">
      <c r="A824374" s="242"/>
    </row>
    <row r="824375" spans="1:1" x14ac:dyDescent="0.25">
      <c r="A824375" s="242"/>
    </row>
    <row r="824376" spans="1:1" x14ac:dyDescent="0.25">
      <c r="A824376" s="242"/>
    </row>
    <row r="824377" spans="1:1" x14ac:dyDescent="0.25">
      <c r="A824377" s="242"/>
    </row>
    <row r="824378" spans="1:1" x14ac:dyDescent="0.25">
      <c r="A824378" s="242"/>
    </row>
    <row r="824379" spans="1:1" x14ac:dyDescent="0.25">
      <c r="A824379" s="242"/>
    </row>
    <row r="824380" spans="1:1" x14ac:dyDescent="0.25">
      <c r="A824380" s="242"/>
    </row>
    <row r="824381" spans="1:1" x14ac:dyDescent="0.25">
      <c r="A824381" s="242"/>
    </row>
    <row r="824382" spans="1:1" x14ac:dyDescent="0.25">
      <c r="A824382" s="242"/>
    </row>
    <row r="824383" spans="1:1" x14ac:dyDescent="0.25">
      <c r="A824383" s="242"/>
    </row>
    <row r="824384" spans="1:1" x14ac:dyDescent="0.25">
      <c r="A824384" s="242"/>
    </row>
    <row r="824385" spans="1:1" x14ac:dyDescent="0.25">
      <c r="A824385" s="242"/>
    </row>
    <row r="824386" spans="1:1" x14ac:dyDescent="0.25">
      <c r="A824386" s="242"/>
    </row>
    <row r="824387" spans="1:1" x14ac:dyDescent="0.25">
      <c r="A824387" s="242"/>
    </row>
    <row r="824388" spans="1:1" x14ac:dyDescent="0.25">
      <c r="A824388" s="242"/>
    </row>
    <row r="824389" spans="1:1" x14ac:dyDescent="0.25">
      <c r="A824389" s="242"/>
    </row>
    <row r="824390" spans="1:1" x14ac:dyDescent="0.25">
      <c r="A824390" s="242"/>
    </row>
    <row r="824391" spans="1:1" x14ac:dyDescent="0.25">
      <c r="A824391" s="242"/>
    </row>
    <row r="824392" spans="1:1" x14ac:dyDescent="0.25">
      <c r="A824392" s="242"/>
    </row>
    <row r="824393" spans="1:1" x14ac:dyDescent="0.25">
      <c r="A824393" s="242"/>
    </row>
    <row r="824394" spans="1:1" x14ac:dyDescent="0.25">
      <c r="A824394" s="242"/>
    </row>
    <row r="824395" spans="1:1" x14ac:dyDescent="0.25">
      <c r="A824395" s="242"/>
    </row>
    <row r="824396" spans="1:1" x14ac:dyDescent="0.25">
      <c r="A824396" s="242"/>
    </row>
    <row r="824397" spans="1:1" x14ac:dyDescent="0.25">
      <c r="A824397" s="242"/>
    </row>
    <row r="824398" spans="1:1" x14ac:dyDescent="0.25">
      <c r="A824398" s="242"/>
    </row>
    <row r="824399" spans="1:1" x14ac:dyDescent="0.25">
      <c r="A824399" s="242"/>
    </row>
    <row r="824400" spans="1:1" x14ac:dyDescent="0.25">
      <c r="A824400" s="242"/>
    </row>
    <row r="824401" spans="1:1" x14ac:dyDescent="0.25">
      <c r="A824401" s="242"/>
    </row>
    <row r="824402" spans="1:1" x14ac:dyDescent="0.25">
      <c r="A824402" s="242"/>
    </row>
    <row r="824403" spans="1:1" x14ac:dyDescent="0.25">
      <c r="A824403" s="242"/>
    </row>
    <row r="824404" spans="1:1" x14ac:dyDescent="0.25">
      <c r="A824404" s="242"/>
    </row>
    <row r="824405" spans="1:1" x14ac:dyDescent="0.25">
      <c r="A824405" s="242"/>
    </row>
    <row r="824406" spans="1:1" x14ac:dyDescent="0.25">
      <c r="A824406" s="242"/>
    </row>
    <row r="824407" spans="1:1" x14ac:dyDescent="0.25">
      <c r="A824407" s="242"/>
    </row>
    <row r="824408" spans="1:1" x14ac:dyDescent="0.25">
      <c r="A824408" s="242"/>
    </row>
    <row r="824409" spans="1:1" x14ac:dyDescent="0.25">
      <c r="A824409" s="242"/>
    </row>
    <row r="824410" spans="1:1" x14ac:dyDescent="0.25">
      <c r="A824410" s="242"/>
    </row>
    <row r="824411" spans="1:1" x14ac:dyDescent="0.25">
      <c r="A824411" s="242"/>
    </row>
    <row r="824412" spans="1:1" x14ac:dyDescent="0.25">
      <c r="A824412" s="242"/>
    </row>
    <row r="824413" spans="1:1" x14ac:dyDescent="0.25">
      <c r="A824413" s="242"/>
    </row>
    <row r="824414" spans="1:1" x14ac:dyDescent="0.25">
      <c r="A824414" s="242"/>
    </row>
    <row r="824415" spans="1:1" x14ac:dyDescent="0.25">
      <c r="A824415" s="242"/>
    </row>
    <row r="824416" spans="1:1" x14ac:dyDescent="0.25">
      <c r="A824416" s="242"/>
    </row>
    <row r="824417" spans="1:1" x14ac:dyDescent="0.25">
      <c r="A824417" s="242"/>
    </row>
    <row r="824418" spans="1:1" x14ac:dyDescent="0.25">
      <c r="A824418" s="242"/>
    </row>
    <row r="824419" spans="1:1" x14ac:dyDescent="0.25">
      <c r="A824419" s="242"/>
    </row>
    <row r="824420" spans="1:1" x14ac:dyDescent="0.25">
      <c r="A824420" s="242"/>
    </row>
    <row r="824421" spans="1:1" x14ac:dyDescent="0.25">
      <c r="A824421" s="242"/>
    </row>
    <row r="824422" spans="1:1" x14ac:dyDescent="0.25">
      <c r="A824422" s="242"/>
    </row>
    <row r="824423" spans="1:1" x14ac:dyDescent="0.25">
      <c r="A824423" s="242"/>
    </row>
    <row r="824424" spans="1:1" x14ac:dyDescent="0.25">
      <c r="A824424" s="242"/>
    </row>
    <row r="824425" spans="1:1" x14ac:dyDescent="0.25">
      <c r="A824425" s="242"/>
    </row>
    <row r="824426" spans="1:1" x14ac:dyDescent="0.25">
      <c r="A824426" s="242"/>
    </row>
    <row r="824427" spans="1:1" x14ac:dyDescent="0.25">
      <c r="A824427" s="242"/>
    </row>
    <row r="824428" spans="1:1" x14ac:dyDescent="0.25">
      <c r="A824428" s="242"/>
    </row>
    <row r="824429" spans="1:1" x14ac:dyDescent="0.25">
      <c r="A824429" s="242"/>
    </row>
    <row r="824430" spans="1:1" x14ac:dyDescent="0.25">
      <c r="A824430" s="242"/>
    </row>
    <row r="824431" spans="1:1" x14ac:dyDescent="0.25">
      <c r="A824431" s="242"/>
    </row>
    <row r="824432" spans="1:1" x14ac:dyDescent="0.25">
      <c r="A824432" s="242"/>
    </row>
    <row r="824433" spans="1:1" x14ac:dyDescent="0.25">
      <c r="A824433" s="242"/>
    </row>
    <row r="824434" spans="1:1" x14ac:dyDescent="0.25">
      <c r="A824434" s="242"/>
    </row>
    <row r="824435" spans="1:1" x14ac:dyDescent="0.25">
      <c r="A824435" s="242"/>
    </row>
    <row r="824436" spans="1:1" x14ac:dyDescent="0.25">
      <c r="A824436" s="242"/>
    </row>
    <row r="824437" spans="1:1" x14ac:dyDescent="0.25">
      <c r="A824437" s="242"/>
    </row>
    <row r="824438" spans="1:1" x14ac:dyDescent="0.25">
      <c r="A824438" s="242"/>
    </row>
    <row r="824439" spans="1:1" x14ac:dyDescent="0.25">
      <c r="A824439" s="242"/>
    </row>
    <row r="824440" spans="1:1" x14ac:dyDescent="0.25">
      <c r="A824440" s="242"/>
    </row>
    <row r="824441" spans="1:1" x14ac:dyDescent="0.25">
      <c r="A824441" s="242"/>
    </row>
    <row r="824442" spans="1:1" x14ac:dyDescent="0.25">
      <c r="A824442" s="242"/>
    </row>
    <row r="824443" spans="1:1" x14ac:dyDescent="0.25">
      <c r="A824443" s="242"/>
    </row>
    <row r="824444" spans="1:1" x14ac:dyDescent="0.25">
      <c r="A824444" s="242"/>
    </row>
    <row r="824445" spans="1:1" x14ac:dyDescent="0.25">
      <c r="A824445" s="242"/>
    </row>
    <row r="824446" spans="1:1" x14ac:dyDescent="0.25">
      <c r="A824446" s="242"/>
    </row>
    <row r="824447" spans="1:1" x14ac:dyDescent="0.25">
      <c r="A824447" s="242"/>
    </row>
    <row r="824448" spans="1:1" x14ac:dyDescent="0.25">
      <c r="A824448" s="242"/>
    </row>
    <row r="824449" spans="1:1" x14ac:dyDescent="0.25">
      <c r="A824449" s="242"/>
    </row>
    <row r="824450" spans="1:1" x14ac:dyDescent="0.25">
      <c r="A824450" s="242"/>
    </row>
    <row r="824451" spans="1:1" x14ac:dyDescent="0.25">
      <c r="A824451" s="242"/>
    </row>
    <row r="824452" spans="1:1" x14ac:dyDescent="0.25">
      <c r="A824452" s="242"/>
    </row>
    <row r="824453" spans="1:1" x14ac:dyDescent="0.25">
      <c r="A824453" s="242"/>
    </row>
    <row r="824454" spans="1:1" x14ac:dyDescent="0.25">
      <c r="A824454" s="242"/>
    </row>
    <row r="824455" spans="1:1" x14ac:dyDescent="0.25">
      <c r="A824455" s="242"/>
    </row>
    <row r="824456" spans="1:1" x14ac:dyDescent="0.25">
      <c r="A824456" s="242"/>
    </row>
    <row r="824457" spans="1:1" x14ac:dyDescent="0.25">
      <c r="A824457" s="242"/>
    </row>
    <row r="824458" spans="1:1" x14ac:dyDescent="0.25">
      <c r="A824458" s="242"/>
    </row>
    <row r="824459" spans="1:1" x14ac:dyDescent="0.25">
      <c r="A824459" s="242"/>
    </row>
    <row r="824460" spans="1:1" x14ac:dyDescent="0.25">
      <c r="A824460" s="242"/>
    </row>
    <row r="824461" spans="1:1" x14ac:dyDescent="0.25">
      <c r="A824461" s="242"/>
    </row>
    <row r="824462" spans="1:1" x14ac:dyDescent="0.25">
      <c r="A824462" s="242"/>
    </row>
    <row r="824463" spans="1:1" x14ac:dyDescent="0.25">
      <c r="A824463" s="242"/>
    </row>
    <row r="824464" spans="1:1" x14ac:dyDescent="0.25">
      <c r="A824464" s="242"/>
    </row>
    <row r="824465" spans="1:1" x14ac:dyDescent="0.25">
      <c r="A824465" s="242"/>
    </row>
    <row r="824466" spans="1:1" x14ac:dyDescent="0.25">
      <c r="A824466" s="242"/>
    </row>
    <row r="824467" spans="1:1" x14ac:dyDescent="0.25">
      <c r="A824467" s="242"/>
    </row>
    <row r="824468" spans="1:1" x14ac:dyDescent="0.25">
      <c r="A824468" s="242"/>
    </row>
    <row r="824469" spans="1:1" x14ac:dyDescent="0.25">
      <c r="A824469" s="242"/>
    </row>
    <row r="824470" spans="1:1" x14ac:dyDescent="0.25">
      <c r="A824470" s="242"/>
    </row>
    <row r="824471" spans="1:1" x14ac:dyDescent="0.25">
      <c r="A824471" s="242"/>
    </row>
    <row r="824472" spans="1:1" x14ac:dyDescent="0.25">
      <c r="A824472" s="242"/>
    </row>
    <row r="824473" spans="1:1" x14ac:dyDescent="0.25">
      <c r="A824473" s="242"/>
    </row>
    <row r="824474" spans="1:1" x14ac:dyDescent="0.25">
      <c r="A824474" s="242"/>
    </row>
    <row r="824475" spans="1:1" x14ac:dyDescent="0.25">
      <c r="A824475" s="242"/>
    </row>
    <row r="824476" spans="1:1" x14ac:dyDescent="0.25">
      <c r="A824476" s="242"/>
    </row>
    <row r="824477" spans="1:1" x14ac:dyDescent="0.25">
      <c r="A824477" s="242"/>
    </row>
    <row r="824478" spans="1:1" x14ac:dyDescent="0.25">
      <c r="A824478" s="242"/>
    </row>
    <row r="824479" spans="1:1" x14ac:dyDescent="0.25">
      <c r="A824479" s="242"/>
    </row>
    <row r="824480" spans="1:1" x14ac:dyDescent="0.25">
      <c r="A824480" s="242"/>
    </row>
    <row r="824481" spans="1:1" x14ac:dyDescent="0.25">
      <c r="A824481" s="242"/>
    </row>
    <row r="824482" spans="1:1" x14ac:dyDescent="0.25">
      <c r="A824482" s="242"/>
    </row>
    <row r="824483" spans="1:1" x14ac:dyDescent="0.25">
      <c r="A824483" s="242"/>
    </row>
    <row r="824484" spans="1:1" x14ac:dyDescent="0.25">
      <c r="A824484" s="242"/>
    </row>
    <row r="824485" spans="1:1" x14ac:dyDescent="0.25">
      <c r="A824485" s="242"/>
    </row>
    <row r="824486" spans="1:1" x14ac:dyDescent="0.25">
      <c r="A824486" s="242"/>
    </row>
    <row r="824487" spans="1:1" x14ac:dyDescent="0.25">
      <c r="A824487" s="242"/>
    </row>
    <row r="824488" spans="1:1" x14ac:dyDescent="0.25">
      <c r="A824488" s="242"/>
    </row>
    <row r="824489" spans="1:1" x14ac:dyDescent="0.25">
      <c r="A824489" s="242"/>
    </row>
    <row r="824490" spans="1:1" x14ac:dyDescent="0.25">
      <c r="A824490" s="242"/>
    </row>
    <row r="824491" spans="1:1" x14ac:dyDescent="0.25">
      <c r="A824491" s="242"/>
    </row>
    <row r="824492" spans="1:1" x14ac:dyDescent="0.25">
      <c r="A824492" s="242"/>
    </row>
    <row r="824493" spans="1:1" x14ac:dyDescent="0.25">
      <c r="A824493" s="242"/>
    </row>
    <row r="824494" spans="1:1" x14ac:dyDescent="0.25">
      <c r="A824494" s="242"/>
    </row>
    <row r="824495" spans="1:1" x14ac:dyDescent="0.25">
      <c r="A824495" s="242"/>
    </row>
    <row r="824496" spans="1:1" x14ac:dyDescent="0.25">
      <c r="A824496" s="242"/>
    </row>
    <row r="824497" spans="1:1" x14ac:dyDescent="0.25">
      <c r="A824497" s="242"/>
    </row>
    <row r="824498" spans="1:1" x14ac:dyDescent="0.25">
      <c r="A824498" s="242"/>
    </row>
    <row r="824499" spans="1:1" x14ac:dyDescent="0.25">
      <c r="A824499" s="242"/>
    </row>
    <row r="824500" spans="1:1" x14ac:dyDescent="0.25">
      <c r="A824500" s="242"/>
    </row>
    <row r="824501" spans="1:1" x14ac:dyDescent="0.25">
      <c r="A824501" s="242"/>
    </row>
    <row r="824502" spans="1:1" x14ac:dyDescent="0.25">
      <c r="A824502" s="242"/>
    </row>
    <row r="824503" spans="1:1" x14ac:dyDescent="0.25">
      <c r="A824503" s="242"/>
    </row>
    <row r="824504" spans="1:1" x14ac:dyDescent="0.25">
      <c r="A824504" s="242"/>
    </row>
    <row r="824505" spans="1:1" x14ac:dyDescent="0.25">
      <c r="A824505" s="242"/>
    </row>
    <row r="824506" spans="1:1" x14ac:dyDescent="0.25">
      <c r="A824506" s="242"/>
    </row>
    <row r="824507" spans="1:1" x14ac:dyDescent="0.25">
      <c r="A824507" s="242"/>
    </row>
    <row r="824508" spans="1:1" x14ac:dyDescent="0.25">
      <c r="A824508" s="242"/>
    </row>
    <row r="824509" spans="1:1" x14ac:dyDescent="0.25">
      <c r="A824509" s="242"/>
    </row>
    <row r="824510" spans="1:1" x14ac:dyDescent="0.25">
      <c r="A824510" s="242"/>
    </row>
    <row r="824511" spans="1:1" x14ac:dyDescent="0.25">
      <c r="A824511" s="242"/>
    </row>
    <row r="824512" spans="1:1" x14ac:dyDescent="0.25">
      <c r="A824512" s="242"/>
    </row>
    <row r="824513" spans="1:1" x14ac:dyDescent="0.25">
      <c r="A824513" s="242"/>
    </row>
    <row r="824514" spans="1:1" x14ac:dyDescent="0.25">
      <c r="A824514" s="242"/>
    </row>
    <row r="824515" spans="1:1" x14ac:dyDescent="0.25">
      <c r="A824515" s="242"/>
    </row>
    <row r="824516" spans="1:1" x14ac:dyDescent="0.25">
      <c r="A824516" s="242"/>
    </row>
    <row r="824517" spans="1:1" x14ac:dyDescent="0.25">
      <c r="A824517" s="242"/>
    </row>
    <row r="824518" spans="1:1" x14ac:dyDescent="0.25">
      <c r="A824518" s="242"/>
    </row>
    <row r="824519" spans="1:1" x14ac:dyDescent="0.25">
      <c r="A824519" s="242"/>
    </row>
    <row r="824520" spans="1:1" x14ac:dyDescent="0.25">
      <c r="A824520" s="242"/>
    </row>
    <row r="824521" spans="1:1" x14ac:dyDescent="0.25">
      <c r="A824521" s="242"/>
    </row>
    <row r="824522" spans="1:1" x14ac:dyDescent="0.25">
      <c r="A824522" s="242"/>
    </row>
    <row r="824523" spans="1:1" x14ac:dyDescent="0.25">
      <c r="A824523" s="242"/>
    </row>
    <row r="824524" spans="1:1" x14ac:dyDescent="0.25">
      <c r="A824524" s="242"/>
    </row>
    <row r="824525" spans="1:1" x14ac:dyDescent="0.25">
      <c r="A824525" s="242"/>
    </row>
    <row r="824526" spans="1:1" x14ac:dyDescent="0.25">
      <c r="A824526" s="242"/>
    </row>
    <row r="824527" spans="1:1" x14ac:dyDescent="0.25">
      <c r="A824527" s="242"/>
    </row>
    <row r="824528" spans="1:1" x14ac:dyDescent="0.25">
      <c r="A824528" s="242"/>
    </row>
    <row r="824529" spans="1:1" x14ac:dyDescent="0.25">
      <c r="A824529" s="242"/>
    </row>
    <row r="824530" spans="1:1" x14ac:dyDescent="0.25">
      <c r="A824530" s="242"/>
    </row>
    <row r="824531" spans="1:1" x14ac:dyDescent="0.25">
      <c r="A824531" s="242"/>
    </row>
    <row r="824532" spans="1:1" x14ac:dyDescent="0.25">
      <c r="A824532" s="242"/>
    </row>
    <row r="824533" spans="1:1" x14ac:dyDescent="0.25">
      <c r="A824533" s="242"/>
    </row>
    <row r="824534" spans="1:1" x14ac:dyDescent="0.25">
      <c r="A824534" s="242"/>
    </row>
    <row r="824535" spans="1:1" x14ac:dyDescent="0.25">
      <c r="A824535" s="242"/>
    </row>
    <row r="824536" spans="1:1" x14ac:dyDescent="0.25">
      <c r="A824536" s="242"/>
    </row>
    <row r="824537" spans="1:1" x14ac:dyDescent="0.25">
      <c r="A824537" s="242"/>
    </row>
    <row r="824538" spans="1:1" x14ac:dyDescent="0.25">
      <c r="A824538" s="242"/>
    </row>
    <row r="824539" spans="1:1" x14ac:dyDescent="0.25">
      <c r="A824539" s="242"/>
    </row>
    <row r="824540" spans="1:1" x14ac:dyDescent="0.25">
      <c r="A824540" s="242"/>
    </row>
    <row r="824541" spans="1:1" x14ac:dyDescent="0.25">
      <c r="A824541" s="242"/>
    </row>
    <row r="824542" spans="1:1" x14ac:dyDescent="0.25">
      <c r="A824542" s="242"/>
    </row>
    <row r="824543" spans="1:1" x14ac:dyDescent="0.25">
      <c r="A824543" s="242"/>
    </row>
    <row r="824544" spans="1:1" x14ac:dyDescent="0.25">
      <c r="A824544" s="242"/>
    </row>
    <row r="824545" spans="1:1" x14ac:dyDescent="0.25">
      <c r="A824545" s="242"/>
    </row>
    <row r="824546" spans="1:1" x14ac:dyDescent="0.25">
      <c r="A824546" s="242"/>
    </row>
    <row r="824547" spans="1:1" x14ac:dyDescent="0.25">
      <c r="A824547" s="242"/>
    </row>
    <row r="824548" spans="1:1" x14ac:dyDescent="0.25">
      <c r="A824548" s="242"/>
    </row>
    <row r="824549" spans="1:1" x14ac:dyDescent="0.25">
      <c r="A824549" s="242"/>
    </row>
    <row r="824550" spans="1:1" x14ac:dyDescent="0.25">
      <c r="A824550" s="242"/>
    </row>
    <row r="824551" spans="1:1" x14ac:dyDescent="0.25">
      <c r="A824551" s="242"/>
    </row>
    <row r="824552" spans="1:1" x14ac:dyDescent="0.25">
      <c r="A824552" s="242"/>
    </row>
    <row r="824553" spans="1:1" x14ac:dyDescent="0.25">
      <c r="A824553" s="242"/>
    </row>
    <row r="824554" spans="1:1" x14ac:dyDescent="0.25">
      <c r="A824554" s="242"/>
    </row>
    <row r="824555" spans="1:1" x14ac:dyDescent="0.25">
      <c r="A824555" s="242"/>
    </row>
    <row r="824556" spans="1:1" x14ac:dyDescent="0.25">
      <c r="A824556" s="242"/>
    </row>
    <row r="824557" spans="1:1" x14ac:dyDescent="0.25">
      <c r="A824557" s="242"/>
    </row>
    <row r="824558" spans="1:1" x14ac:dyDescent="0.25">
      <c r="A824558" s="242"/>
    </row>
    <row r="824559" spans="1:1" x14ac:dyDescent="0.25">
      <c r="A824559" s="242"/>
    </row>
    <row r="824560" spans="1:1" x14ac:dyDescent="0.25">
      <c r="A824560" s="242"/>
    </row>
    <row r="824561" spans="1:1" x14ac:dyDescent="0.25">
      <c r="A824561" s="242"/>
    </row>
    <row r="824562" spans="1:1" x14ac:dyDescent="0.25">
      <c r="A824562" s="242"/>
    </row>
    <row r="824563" spans="1:1" x14ac:dyDescent="0.25">
      <c r="A824563" s="242"/>
    </row>
    <row r="824564" spans="1:1" x14ac:dyDescent="0.25">
      <c r="A824564" s="242"/>
    </row>
    <row r="824565" spans="1:1" x14ac:dyDescent="0.25">
      <c r="A824565" s="242"/>
    </row>
    <row r="824566" spans="1:1" x14ac:dyDescent="0.25">
      <c r="A824566" s="242"/>
    </row>
    <row r="824567" spans="1:1" x14ac:dyDescent="0.25">
      <c r="A824567" s="242"/>
    </row>
    <row r="824568" spans="1:1" x14ac:dyDescent="0.25">
      <c r="A824568" s="242"/>
    </row>
    <row r="824569" spans="1:1" x14ac:dyDescent="0.25">
      <c r="A824569" s="242"/>
    </row>
    <row r="824570" spans="1:1" x14ac:dyDescent="0.25">
      <c r="A824570" s="242"/>
    </row>
    <row r="824571" spans="1:1" x14ac:dyDescent="0.25">
      <c r="A824571" s="242"/>
    </row>
    <row r="824572" spans="1:1" x14ac:dyDescent="0.25">
      <c r="A824572" s="242"/>
    </row>
    <row r="824573" spans="1:1" x14ac:dyDescent="0.25">
      <c r="A824573" s="242"/>
    </row>
    <row r="824574" spans="1:1" x14ac:dyDescent="0.25">
      <c r="A824574" s="242"/>
    </row>
    <row r="824575" spans="1:1" x14ac:dyDescent="0.25">
      <c r="A824575" s="242"/>
    </row>
    <row r="824576" spans="1:1" x14ac:dyDescent="0.25">
      <c r="A824576" s="242"/>
    </row>
    <row r="824577" spans="1:1" x14ac:dyDescent="0.25">
      <c r="A824577" s="242"/>
    </row>
    <row r="824578" spans="1:1" x14ac:dyDescent="0.25">
      <c r="A824578" s="242"/>
    </row>
    <row r="824579" spans="1:1" x14ac:dyDescent="0.25">
      <c r="A824579" s="242"/>
    </row>
    <row r="824580" spans="1:1" x14ac:dyDescent="0.25">
      <c r="A824580" s="242"/>
    </row>
    <row r="824581" spans="1:1" x14ac:dyDescent="0.25">
      <c r="A824581" s="242"/>
    </row>
    <row r="824582" spans="1:1" x14ac:dyDescent="0.25">
      <c r="A824582" s="242"/>
    </row>
    <row r="824583" spans="1:1" x14ac:dyDescent="0.25">
      <c r="A824583" s="242"/>
    </row>
    <row r="824584" spans="1:1" x14ac:dyDescent="0.25">
      <c r="A824584" s="242"/>
    </row>
    <row r="824585" spans="1:1" x14ac:dyDescent="0.25">
      <c r="A824585" s="242"/>
    </row>
    <row r="824586" spans="1:1" x14ac:dyDescent="0.25">
      <c r="A824586" s="242"/>
    </row>
    <row r="824587" spans="1:1" x14ac:dyDescent="0.25">
      <c r="A824587" s="242"/>
    </row>
    <row r="824588" spans="1:1" x14ac:dyDescent="0.25">
      <c r="A824588" s="242"/>
    </row>
    <row r="824589" spans="1:1" x14ac:dyDescent="0.25">
      <c r="A824589" s="242"/>
    </row>
    <row r="824590" spans="1:1" x14ac:dyDescent="0.25">
      <c r="A824590" s="242"/>
    </row>
    <row r="824591" spans="1:1" x14ac:dyDescent="0.25">
      <c r="A824591" s="242"/>
    </row>
    <row r="824592" spans="1:1" x14ac:dyDescent="0.25">
      <c r="A824592" s="242"/>
    </row>
    <row r="824593" spans="1:1" x14ac:dyDescent="0.25">
      <c r="A824593" s="242"/>
    </row>
    <row r="824594" spans="1:1" x14ac:dyDescent="0.25">
      <c r="A824594" s="242"/>
    </row>
    <row r="824595" spans="1:1" x14ac:dyDescent="0.25">
      <c r="A824595" s="242"/>
    </row>
    <row r="824596" spans="1:1" x14ac:dyDescent="0.25">
      <c r="A824596" s="242"/>
    </row>
    <row r="824597" spans="1:1" x14ac:dyDescent="0.25">
      <c r="A824597" s="242"/>
    </row>
    <row r="824598" spans="1:1" x14ac:dyDescent="0.25">
      <c r="A824598" s="242"/>
    </row>
    <row r="824599" spans="1:1" x14ac:dyDescent="0.25">
      <c r="A824599" s="242"/>
    </row>
    <row r="824600" spans="1:1" x14ac:dyDescent="0.25">
      <c r="A824600" s="242"/>
    </row>
    <row r="824601" spans="1:1" x14ac:dyDescent="0.25">
      <c r="A824601" s="242"/>
    </row>
    <row r="824602" spans="1:1" x14ac:dyDescent="0.25">
      <c r="A824602" s="242"/>
    </row>
    <row r="824603" spans="1:1" x14ac:dyDescent="0.25">
      <c r="A824603" s="242"/>
    </row>
    <row r="824604" spans="1:1" x14ac:dyDescent="0.25">
      <c r="A824604" s="242"/>
    </row>
    <row r="824605" spans="1:1" x14ac:dyDescent="0.25">
      <c r="A824605" s="242"/>
    </row>
    <row r="824606" spans="1:1" x14ac:dyDescent="0.25">
      <c r="A824606" s="242"/>
    </row>
    <row r="824607" spans="1:1" x14ac:dyDescent="0.25">
      <c r="A824607" s="242"/>
    </row>
    <row r="824608" spans="1:1" x14ac:dyDescent="0.25">
      <c r="A824608" s="242"/>
    </row>
    <row r="824609" spans="1:1" x14ac:dyDescent="0.25">
      <c r="A824609" s="242"/>
    </row>
    <row r="824610" spans="1:1" x14ac:dyDescent="0.25">
      <c r="A824610" s="242"/>
    </row>
    <row r="824611" spans="1:1" x14ac:dyDescent="0.25">
      <c r="A824611" s="242"/>
    </row>
    <row r="824612" spans="1:1" x14ac:dyDescent="0.25">
      <c r="A824612" s="242"/>
    </row>
    <row r="824613" spans="1:1" x14ac:dyDescent="0.25">
      <c r="A824613" s="242"/>
    </row>
    <row r="824614" spans="1:1" x14ac:dyDescent="0.25">
      <c r="A824614" s="242"/>
    </row>
    <row r="824615" spans="1:1" x14ac:dyDescent="0.25">
      <c r="A824615" s="242"/>
    </row>
    <row r="824616" spans="1:1" x14ac:dyDescent="0.25">
      <c r="A824616" s="242"/>
    </row>
    <row r="824617" spans="1:1" x14ac:dyDescent="0.25">
      <c r="A824617" s="242"/>
    </row>
    <row r="824618" spans="1:1" x14ac:dyDescent="0.25">
      <c r="A824618" s="242"/>
    </row>
    <row r="824619" spans="1:1" x14ac:dyDescent="0.25">
      <c r="A824619" s="242"/>
    </row>
    <row r="824620" spans="1:1" x14ac:dyDescent="0.25">
      <c r="A824620" s="242"/>
    </row>
    <row r="824621" spans="1:1" x14ac:dyDescent="0.25">
      <c r="A824621" s="242"/>
    </row>
    <row r="824622" spans="1:1" x14ac:dyDescent="0.25">
      <c r="A824622" s="242"/>
    </row>
    <row r="824623" spans="1:1" x14ac:dyDescent="0.25">
      <c r="A824623" s="242"/>
    </row>
    <row r="824624" spans="1:1" x14ac:dyDescent="0.25">
      <c r="A824624" s="242"/>
    </row>
    <row r="824625" spans="1:1" x14ac:dyDescent="0.25">
      <c r="A824625" s="242"/>
    </row>
    <row r="824626" spans="1:1" x14ac:dyDescent="0.25">
      <c r="A824626" s="242"/>
    </row>
    <row r="824627" spans="1:1" x14ac:dyDescent="0.25">
      <c r="A824627" s="242"/>
    </row>
    <row r="824628" spans="1:1" x14ac:dyDescent="0.25">
      <c r="A824628" s="242"/>
    </row>
    <row r="824629" spans="1:1" x14ac:dyDescent="0.25">
      <c r="A824629" s="242"/>
    </row>
    <row r="824630" spans="1:1" x14ac:dyDescent="0.25">
      <c r="A824630" s="242"/>
    </row>
    <row r="824631" spans="1:1" x14ac:dyDescent="0.25">
      <c r="A824631" s="242"/>
    </row>
    <row r="824632" spans="1:1" x14ac:dyDescent="0.25">
      <c r="A824632" s="242"/>
    </row>
    <row r="824633" spans="1:1" x14ac:dyDescent="0.25">
      <c r="A824633" s="242"/>
    </row>
    <row r="824634" spans="1:1" x14ac:dyDescent="0.25">
      <c r="A824634" s="242"/>
    </row>
    <row r="824635" spans="1:1" x14ac:dyDescent="0.25">
      <c r="A824635" s="242"/>
    </row>
    <row r="824636" spans="1:1" x14ac:dyDescent="0.25">
      <c r="A824636" s="242"/>
    </row>
    <row r="824637" spans="1:1" x14ac:dyDescent="0.25">
      <c r="A824637" s="242"/>
    </row>
    <row r="824638" spans="1:1" x14ac:dyDescent="0.25">
      <c r="A824638" s="242"/>
    </row>
    <row r="824639" spans="1:1" x14ac:dyDescent="0.25">
      <c r="A824639" s="242"/>
    </row>
    <row r="824640" spans="1:1" x14ac:dyDescent="0.25">
      <c r="A824640" s="242"/>
    </row>
    <row r="824641" spans="1:1" x14ac:dyDescent="0.25">
      <c r="A824641" s="242"/>
    </row>
    <row r="824642" spans="1:1" x14ac:dyDescent="0.25">
      <c r="A824642" s="242"/>
    </row>
    <row r="824643" spans="1:1" x14ac:dyDescent="0.25">
      <c r="A824643" s="242"/>
    </row>
    <row r="824644" spans="1:1" x14ac:dyDescent="0.25">
      <c r="A824644" s="242"/>
    </row>
    <row r="824645" spans="1:1" x14ac:dyDescent="0.25">
      <c r="A824645" s="242"/>
    </row>
    <row r="824646" spans="1:1" x14ac:dyDescent="0.25">
      <c r="A824646" s="242"/>
    </row>
    <row r="824647" spans="1:1" x14ac:dyDescent="0.25">
      <c r="A824647" s="242"/>
    </row>
    <row r="824648" spans="1:1" x14ac:dyDescent="0.25">
      <c r="A824648" s="242"/>
    </row>
    <row r="824649" spans="1:1" x14ac:dyDescent="0.25">
      <c r="A824649" s="242"/>
    </row>
    <row r="824650" spans="1:1" x14ac:dyDescent="0.25">
      <c r="A824650" s="242"/>
    </row>
    <row r="824651" spans="1:1" x14ac:dyDescent="0.25">
      <c r="A824651" s="242"/>
    </row>
    <row r="824652" spans="1:1" x14ac:dyDescent="0.25">
      <c r="A824652" s="242"/>
    </row>
    <row r="824653" spans="1:1" x14ac:dyDescent="0.25">
      <c r="A824653" s="242"/>
    </row>
    <row r="824654" spans="1:1" x14ac:dyDescent="0.25">
      <c r="A824654" s="242"/>
    </row>
    <row r="824655" spans="1:1" x14ac:dyDescent="0.25">
      <c r="A824655" s="242"/>
    </row>
    <row r="824656" spans="1:1" x14ac:dyDescent="0.25">
      <c r="A824656" s="242"/>
    </row>
    <row r="824657" spans="1:1" x14ac:dyDescent="0.25">
      <c r="A824657" s="242"/>
    </row>
    <row r="824658" spans="1:1" x14ac:dyDescent="0.25">
      <c r="A824658" s="242"/>
    </row>
    <row r="824659" spans="1:1" x14ac:dyDescent="0.25">
      <c r="A824659" s="242"/>
    </row>
    <row r="824660" spans="1:1" x14ac:dyDescent="0.25">
      <c r="A824660" s="242"/>
    </row>
    <row r="824661" spans="1:1" x14ac:dyDescent="0.25">
      <c r="A824661" s="242"/>
    </row>
    <row r="824662" spans="1:1" x14ac:dyDescent="0.25">
      <c r="A824662" s="242"/>
    </row>
    <row r="824663" spans="1:1" x14ac:dyDescent="0.25">
      <c r="A824663" s="242"/>
    </row>
    <row r="824664" spans="1:1" x14ac:dyDescent="0.25">
      <c r="A824664" s="242"/>
    </row>
    <row r="824665" spans="1:1" x14ac:dyDescent="0.25">
      <c r="A824665" s="242"/>
    </row>
    <row r="824666" spans="1:1" x14ac:dyDescent="0.25">
      <c r="A824666" s="242"/>
    </row>
    <row r="824667" spans="1:1" x14ac:dyDescent="0.25">
      <c r="A824667" s="242"/>
    </row>
    <row r="824668" spans="1:1" x14ac:dyDescent="0.25">
      <c r="A824668" s="242"/>
    </row>
    <row r="824669" spans="1:1" x14ac:dyDescent="0.25">
      <c r="A824669" s="242"/>
    </row>
    <row r="824670" spans="1:1" x14ac:dyDescent="0.25">
      <c r="A824670" s="242"/>
    </row>
    <row r="824671" spans="1:1" x14ac:dyDescent="0.25">
      <c r="A824671" s="242"/>
    </row>
    <row r="824672" spans="1:1" x14ac:dyDescent="0.25">
      <c r="A824672" s="242"/>
    </row>
    <row r="824673" spans="1:1" x14ac:dyDescent="0.25">
      <c r="A824673" s="242"/>
    </row>
    <row r="824674" spans="1:1" x14ac:dyDescent="0.25">
      <c r="A824674" s="242"/>
    </row>
    <row r="824675" spans="1:1" x14ac:dyDescent="0.25">
      <c r="A824675" s="242"/>
    </row>
    <row r="824676" spans="1:1" x14ac:dyDescent="0.25">
      <c r="A824676" s="242"/>
    </row>
    <row r="824677" spans="1:1" x14ac:dyDescent="0.25">
      <c r="A824677" s="242"/>
    </row>
    <row r="824678" spans="1:1" x14ac:dyDescent="0.25">
      <c r="A824678" s="242"/>
    </row>
    <row r="824679" spans="1:1" x14ac:dyDescent="0.25">
      <c r="A824679" s="242"/>
    </row>
    <row r="824680" spans="1:1" x14ac:dyDescent="0.25">
      <c r="A824680" s="242"/>
    </row>
    <row r="824681" spans="1:1" x14ac:dyDescent="0.25">
      <c r="A824681" s="242"/>
    </row>
    <row r="824682" spans="1:1" x14ac:dyDescent="0.25">
      <c r="A824682" s="242"/>
    </row>
    <row r="824683" spans="1:1" x14ac:dyDescent="0.25">
      <c r="A824683" s="242"/>
    </row>
    <row r="824684" spans="1:1" x14ac:dyDescent="0.25">
      <c r="A824684" s="242"/>
    </row>
    <row r="824685" spans="1:1" x14ac:dyDescent="0.25">
      <c r="A824685" s="242"/>
    </row>
    <row r="824686" spans="1:1" x14ac:dyDescent="0.25">
      <c r="A824686" s="242"/>
    </row>
    <row r="824687" spans="1:1" x14ac:dyDescent="0.25">
      <c r="A824687" s="242"/>
    </row>
    <row r="824688" spans="1:1" x14ac:dyDescent="0.25">
      <c r="A824688" s="242"/>
    </row>
    <row r="824689" spans="1:1" x14ac:dyDescent="0.25">
      <c r="A824689" s="242"/>
    </row>
    <row r="824690" spans="1:1" x14ac:dyDescent="0.25">
      <c r="A824690" s="242"/>
    </row>
    <row r="824691" spans="1:1" x14ac:dyDescent="0.25">
      <c r="A824691" s="242"/>
    </row>
    <row r="824692" spans="1:1" x14ac:dyDescent="0.25">
      <c r="A824692" s="242"/>
    </row>
    <row r="824693" spans="1:1" x14ac:dyDescent="0.25">
      <c r="A824693" s="242"/>
    </row>
    <row r="824694" spans="1:1" x14ac:dyDescent="0.25">
      <c r="A824694" s="242"/>
    </row>
    <row r="824695" spans="1:1" x14ac:dyDescent="0.25">
      <c r="A824695" s="242"/>
    </row>
    <row r="824696" spans="1:1" x14ac:dyDescent="0.25">
      <c r="A824696" s="242"/>
    </row>
    <row r="824697" spans="1:1" x14ac:dyDescent="0.25">
      <c r="A824697" s="242"/>
    </row>
    <row r="824698" spans="1:1" x14ac:dyDescent="0.25">
      <c r="A824698" s="242"/>
    </row>
    <row r="824699" spans="1:1" x14ac:dyDescent="0.25">
      <c r="A824699" s="242"/>
    </row>
    <row r="824700" spans="1:1" x14ac:dyDescent="0.25">
      <c r="A824700" s="242"/>
    </row>
    <row r="824701" spans="1:1" x14ac:dyDescent="0.25">
      <c r="A824701" s="242"/>
    </row>
    <row r="824702" spans="1:1" x14ac:dyDescent="0.25">
      <c r="A824702" s="242"/>
    </row>
    <row r="824703" spans="1:1" x14ac:dyDescent="0.25">
      <c r="A824703" s="242"/>
    </row>
    <row r="824704" spans="1:1" x14ac:dyDescent="0.25">
      <c r="A824704" s="242"/>
    </row>
    <row r="824705" spans="1:1" x14ac:dyDescent="0.25">
      <c r="A824705" s="242"/>
    </row>
    <row r="824706" spans="1:1" x14ac:dyDescent="0.25">
      <c r="A824706" s="242"/>
    </row>
    <row r="824707" spans="1:1" x14ac:dyDescent="0.25">
      <c r="A824707" s="242"/>
    </row>
    <row r="824708" spans="1:1" x14ac:dyDescent="0.25">
      <c r="A824708" s="242"/>
    </row>
    <row r="824709" spans="1:1" x14ac:dyDescent="0.25">
      <c r="A824709" s="242"/>
    </row>
    <row r="824710" spans="1:1" x14ac:dyDescent="0.25">
      <c r="A824710" s="242"/>
    </row>
    <row r="824711" spans="1:1" x14ac:dyDescent="0.25">
      <c r="A824711" s="242"/>
    </row>
    <row r="824712" spans="1:1" x14ac:dyDescent="0.25">
      <c r="A824712" s="242"/>
    </row>
    <row r="824713" spans="1:1" x14ac:dyDescent="0.25">
      <c r="A824713" s="242"/>
    </row>
    <row r="824714" spans="1:1" x14ac:dyDescent="0.25">
      <c r="A824714" s="242"/>
    </row>
    <row r="824715" spans="1:1" x14ac:dyDescent="0.25">
      <c r="A824715" s="242"/>
    </row>
    <row r="824716" spans="1:1" x14ac:dyDescent="0.25">
      <c r="A824716" s="242"/>
    </row>
    <row r="824717" spans="1:1" x14ac:dyDescent="0.25">
      <c r="A824717" s="242"/>
    </row>
    <row r="824718" spans="1:1" x14ac:dyDescent="0.25">
      <c r="A824718" s="242"/>
    </row>
    <row r="824719" spans="1:1" x14ac:dyDescent="0.25">
      <c r="A824719" s="242"/>
    </row>
    <row r="824720" spans="1:1" x14ac:dyDescent="0.25">
      <c r="A824720" s="242"/>
    </row>
    <row r="824721" spans="1:1" x14ac:dyDescent="0.25">
      <c r="A824721" s="242"/>
    </row>
    <row r="824722" spans="1:1" x14ac:dyDescent="0.25">
      <c r="A824722" s="242"/>
    </row>
    <row r="824723" spans="1:1" x14ac:dyDescent="0.25">
      <c r="A824723" s="242"/>
    </row>
    <row r="824724" spans="1:1" x14ac:dyDescent="0.25">
      <c r="A824724" s="242"/>
    </row>
    <row r="824725" spans="1:1" x14ac:dyDescent="0.25">
      <c r="A824725" s="242"/>
    </row>
    <row r="824726" spans="1:1" x14ac:dyDescent="0.25">
      <c r="A824726" s="242"/>
    </row>
    <row r="824727" spans="1:1" x14ac:dyDescent="0.25">
      <c r="A824727" s="242"/>
    </row>
    <row r="824728" spans="1:1" x14ac:dyDescent="0.25">
      <c r="A824728" s="242"/>
    </row>
    <row r="824729" spans="1:1" x14ac:dyDescent="0.25">
      <c r="A824729" s="242"/>
    </row>
    <row r="824730" spans="1:1" x14ac:dyDescent="0.25">
      <c r="A824730" s="242"/>
    </row>
    <row r="824731" spans="1:1" x14ac:dyDescent="0.25">
      <c r="A824731" s="242"/>
    </row>
    <row r="824732" spans="1:1" x14ac:dyDescent="0.25">
      <c r="A824732" s="242"/>
    </row>
    <row r="824733" spans="1:1" x14ac:dyDescent="0.25">
      <c r="A824733" s="242"/>
    </row>
    <row r="824734" spans="1:1" x14ac:dyDescent="0.25">
      <c r="A824734" s="242"/>
    </row>
    <row r="824735" spans="1:1" x14ac:dyDescent="0.25">
      <c r="A824735" s="242"/>
    </row>
    <row r="824736" spans="1:1" x14ac:dyDescent="0.25">
      <c r="A824736" s="242"/>
    </row>
    <row r="824737" spans="1:1" x14ac:dyDescent="0.25">
      <c r="A824737" s="242"/>
    </row>
    <row r="824738" spans="1:1" x14ac:dyDescent="0.25">
      <c r="A824738" s="242"/>
    </row>
    <row r="824739" spans="1:1" x14ac:dyDescent="0.25">
      <c r="A824739" s="242"/>
    </row>
    <row r="824740" spans="1:1" x14ac:dyDescent="0.25">
      <c r="A824740" s="242"/>
    </row>
    <row r="824741" spans="1:1" x14ac:dyDescent="0.25">
      <c r="A824741" s="242"/>
    </row>
    <row r="824742" spans="1:1" x14ac:dyDescent="0.25">
      <c r="A824742" s="242"/>
    </row>
    <row r="824743" spans="1:1" x14ac:dyDescent="0.25">
      <c r="A824743" s="242"/>
    </row>
    <row r="824744" spans="1:1" x14ac:dyDescent="0.25">
      <c r="A824744" s="242"/>
    </row>
    <row r="824745" spans="1:1" x14ac:dyDescent="0.25">
      <c r="A824745" s="242"/>
    </row>
    <row r="824746" spans="1:1" x14ac:dyDescent="0.25">
      <c r="A824746" s="242"/>
    </row>
    <row r="824747" spans="1:1" x14ac:dyDescent="0.25">
      <c r="A824747" s="242"/>
    </row>
    <row r="824748" spans="1:1" x14ac:dyDescent="0.25">
      <c r="A824748" s="242"/>
    </row>
    <row r="824749" spans="1:1" x14ac:dyDescent="0.25">
      <c r="A824749" s="242"/>
    </row>
    <row r="824750" spans="1:1" x14ac:dyDescent="0.25">
      <c r="A824750" s="242"/>
    </row>
    <row r="824751" spans="1:1" x14ac:dyDescent="0.25">
      <c r="A824751" s="242"/>
    </row>
    <row r="824752" spans="1:1" x14ac:dyDescent="0.25">
      <c r="A824752" s="242"/>
    </row>
    <row r="824753" spans="1:1" x14ac:dyDescent="0.25">
      <c r="A824753" s="242"/>
    </row>
    <row r="824754" spans="1:1" x14ac:dyDescent="0.25">
      <c r="A824754" s="242"/>
    </row>
    <row r="824755" spans="1:1" x14ac:dyDescent="0.25">
      <c r="A824755" s="242"/>
    </row>
    <row r="824756" spans="1:1" x14ac:dyDescent="0.25">
      <c r="A824756" s="242"/>
    </row>
    <row r="824757" spans="1:1" x14ac:dyDescent="0.25">
      <c r="A824757" s="242"/>
    </row>
    <row r="824758" spans="1:1" x14ac:dyDescent="0.25">
      <c r="A824758" s="242"/>
    </row>
    <row r="824759" spans="1:1" x14ac:dyDescent="0.25">
      <c r="A824759" s="242"/>
    </row>
    <row r="824760" spans="1:1" x14ac:dyDescent="0.25">
      <c r="A824760" s="242"/>
    </row>
    <row r="824761" spans="1:1" x14ac:dyDescent="0.25">
      <c r="A824761" s="242"/>
    </row>
    <row r="824762" spans="1:1" x14ac:dyDescent="0.25">
      <c r="A824762" s="242"/>
    </row>
    <row r="824763" spans="1:1" x14ac:dyDescent="0.25">
      <c r="A824763" s="242"/>
    </row>
    <row r="824764" spans="1:1" x14ac:dyDescent="0.25">
      <c r="A824764" s="242"/>
    </row>
    <row r="824765" spans="1:1" x14ac:dyDescent="0.25">
      <c r="A824765" s="242"/>
    </row>
    <row r="824766" spans="1:1" x14ac:dyDescent="0.25">
      <c r="A824766" s="242"/>
    </row>
    <row r="824767" spans="1:1" x14ac:dyDescent="0.25">
      <c r="A824767" s="242"/>
    </row>
    <row r="824768" spans="1:1" x14ac:dyDescent="0.25">
      <c r="A824768" s="242"/>
    </row>
    <row r="824769" spans="1:1" x14ac:dyDescent="0.25">
      <c r="A824769" s="242"/>
    </row>
    <row r="824770" spans="1:1" x14ac:dyDescent="0.25">
      <c r="A824770" s="242"/>
    </row>
    <row r="824771" spans="1:1" x14ac:dyDescent="0.25">
      <c r="A824771" s="242"/>
    </row>
    <row r="824772" spans="1:1" x14ac:dyDescent="0.25">
      <c r="A824772" s="242"/>
    </row>
    <row r="824773" spans="1:1" x14ac:dyDescent="0.25">
      <c r="A824773" s="242"/>
    </row>
    <row r="824774" spans="1:1" x14ac:dyDescent="0.25">
      <c r="A824774" s="242"/>
    </row>
    <row r="824775" spans="1:1" x14ac:dyDescent="0.25">
      <c r="A824775" s="242"/>
    </row>
    <row r="824776" spans="1:1" x14ac:dyDescent="0.25">
      <c r="A824776" s="242"/>
    </row>
    <row r="824777" spans="1:1" x14ac:dyDescent="0.25">
      <c r="A824777" s="242"/>
    </row>
    <row r="824778" spans="1:1" x14ac:dyDescent="0.25">
      <c r="A824778" s="242"/>
    </row>
    <row r="824779" spans="1:1" x14ac:dyDescent="0.25">
      <c r="A824779" s="242"/>
    </row>
    <row r="824780" spans="1:1" x14ac:dyDescent="0.25">
      <c r="A824780" s="242"/>
    </row>
    <row r="824781" spans="1:1" x14ac:dyDescent="0.25">
      <c r="A824781" s="242"/>
    </row>
    <row r="824782" spans="1:1" x14ac:dyDescent="0.25">
      <c r="A824782" s="242"/>
    </row>
    <row r="824783" spans="1:1" x14ac:dyDescent="0.25">
      <c r="A824783" s="242"/>
    </row>
    <row r="824784" spans="1:1" x14ac:dyDescent="0.25">
      <c r="A824784" s="242"/>
    </row>
    <row r="824785" spans="1:1" x14ac:dyDescent="0.25">
      <c r="A824785" s="242"/>
    </row>
    <row r="824786" spans="1:1" x14ac:dyDescent="0.25">
      <c r="A824786" s="242"/>
    </row>
    <row r="824787" spans="1:1" x14ac:dyDescent="0.25">
      <c r="A824787" s="242"/>
    </row>
    <row r="824788" spans="1:1" x14ac:dyDescent="0.25">
      <c r="A824788" s="242"/>
    </row>
    <row r="824789" spans="1:1" x14ac:dyDescent="0.25">
      <c r="A824789" s="242"/>
    </row>
    <row r="824790" spans="1:1" x14ac:dyDescent="0.25">
      <c r="A824790" s="242"/>
    </row>
    <row r="824791" spans="1:1" x14ac:dyDescent="0.25">
      <c r="A824791" s="242"/>
    </row>
    <row r="824792" spans="1:1" x14ac:dyDescent="0.25">
      <c r="A824792" s="242"/>
    </row>
    <row r="824793" spans="1:1" x14ac:dyDescent="0.25">
      <c r="A824793" s="242"/>
    </row>
    <row r="824794" spans="1:1" x14ac:dyDescent="0.25">
      <c r="A824794" s="242"/>
    </row>
    <row r="824795" spans="1:1" x14ac:dyDescent="0.25">
      <c r="A824795" s="242"/>
    </row>
    <row r="824796" spans="1:1" x14ac:dyDescent="0.25">
      <c r="A824796" s="242"/>
    </row>
    <row r="824797" spans="1:1" x14ac:dyDescent="0.25">
      <c r="A824797" s="242"/>
    </row>
    <row r="824798" spans="1:1" x14ac:dyDescent="0.25">
      <c r="A824798" s="242"/>
    </row>
    <row r="824799" spans="1:1" x14ac:dyDescent="0.25">
      <c r="A824799" s="242"/>
    </row>
    <row r="824800" spans="1:1" x14ac:dyDescent="0.25">
      <c r="A824800" s="242"/>
    </row>
    <row r="824801" spans="1:1" x14ac:dyDescent="0.25">
      <c r="A824801" s="242"/>
    </row>
    <row r="824802" spans="1:1" x14ac:dyDescent="0.25">
      <c r="A824802" s="242"/>
    </row>
    <row r="824803" spans="1:1" x14ac:dyDescent="0.25">
      <c r="A824803" s="242"/>
    </row>
    <row r="824804" spans="1:1" x14ac:dyDescent="0.25">
      <c r="A824804" s="242"/>
    </row>
    <row r="824805" spans="1:1" x14ac:dyDescent="0.25">
      <c r="A824805" s="242"/>
    </row>
    <row r="824806" spans="1:1" x14ac:dyDescent="0.25">
      <c r="A824806" s="242"/>
    </row>
    <row r="824807" spans="1:1" x14ac:dyDescent="0.25">
      <c r="A824807" s="242"/>
    </row>
    <row r="824808" spans="1:1" x14ac:dyDescent="0.25">
      <c r="A824808" s="242"/>
    </row>
    <row r="824809" spans="1:1" x14ac:dyDescent="0.25">
      <c r="A824809" s="242"/>
    </row>
    <row r="824810" spans="1:1" x14ac:dyDescent="0.25">
      <c r="A824810" s="242"/>
    </row>
    <row r="824811" spans="1:1" x14ac:dyDescent="0.25">
      <c r="A824811" s="242"/>
    </row>
    <row r="824812" spans="1:1" x14ac:dyDescent="0.25">
      <c r="A824812" s="242"/>
    </row>
    <row r="824813" spans="1:1" x14ac:dyDescent="0.25">
      <c r="A824813" s="242"/>
    </row>
    <row r="824814" spans="1:1" x14ac:dyDescent="0.25">
      <c r="A824814" s="242"/>
    </row>
    <row r="824815" spans="1:1" x14ac:dyDescent="0.25">
      <c r="A824815" s="242"/>
    </row>
    <row r="824816" spans="1:1" x14ac:dyDescent="0.25">
      <c r="A824816" s="242"/>
    </row>
    <row r="824817" spans="1:1" x14ac:dyDescent="0.25">
      <c r="A824817" s="242"/>
    </row>
    <row r="824818" spans="1:1" x14ac:dyDescent="0.25">
      <c r="A824818" s="242"/>
    </row>
    <row r="824819" spans="1:1" x14ac:dyDescent="0.25">
      <c r="A824819" s="242"/>
    </row>
    <row r="824820" spans="1:1" x14ac:dyDescent="0.25">
      <c r="A824820" s="242"/>
    </row>
    <row r="824821" spans="1:1" x14ac:dyDescent="0.25">
      <c r="A824821" s="242"/>
    </row>
    <row r="824822" spans="1:1" x14ac:dyDescent="0.25">
      <c r="A824822" s="242"/>
    </row>
    <row r="824823" spans="1:1" x14ac:dyDescent="0.25">
      <c r="A824823" s="242"/>
    </row>
    <row r="824824" spans="1:1" x14ac:dyDescent="0.25">
      <c r="A824824" s="242"/>
    </row>
    <row r="824825" spans="1:1" x14ac:dyDescent="0.25">
      <c r="A824825" s="242"/>
    </row>
    <row r="824826" spans="1:1" x14ac:dyDescent="0.25">
      <c r="A824826" s="242"/>
    </row>
    <row r="824827" spans="1:1" x14ac:dyDescent="0.25">
      <c r="A824827" s="242"/>
    </row>
    <row r="824828" spans="1:1" x14ac:dyDescent="0.25">
      <c r="A824828" s="242"/>
    </row>
    <row r="824829" spans="1:1" x14ac:dyDescent="0.25">
      <c r="A824829" s="242"/>
    </row>
    <row r="824830" spans="1:1" x14ac:dyDescent="0.25">
      <c r="A824830" s="242"/>
    </row>
    <row r="824831" spans="1:1" x14ac:dyDescent="0.25">
      <c r="A824831" s="242"/>
    </row>
    <row r="824832" spans="1:1" x14ac:dyDescent="0.25">
      <c r="A824832" s="242"/>
    </row>
    <row r="824833" spans="1:1" x14ac:dyDescent="0.25">
      <c r="A824833" s="242"/>
    </row>
    <row r="824834" spans="1:1" x14ac:dyDescent="0.25">
      <c r="A824834" s="242"/>
    </row>
    <row r="824835" spans="1:1" x14ac:dyDescent="0.25">
      <c r="A824835" s="242"/>
    </row>
    <row r="824836" spans="1:1" x14ac:dyDescent="0.25">
      <c r="A824836" s="242"/>
    </row>
    <row r="824837" spans="1:1" x14ac:dyDescent="0.25">
      <c r="A824837" s="242"/>
    </row>
    <row r="824838" spans="1:1" x14ac:dyDescent="0.25">
      <c r="A824838" s="242"/>
    </row>
    <row r="824839" spans="1:1" x14ac:dyDescent="0.25">
      <c r="A824839" s="242"/>
    </row>
    <row r="824840" spans="1:1" x14ac:dyDescent="0.25">
      <c r="A824840" s="242"/>
    </row>
    <row r="824841" spans="1:1" x14ac:dyDescent="0.25">
      <c r="A824841" s="242"/>
    </row>
    <row r="824842" spans="1:1" x14ac:dyDescent="0.25">
      <c r="A824842" s="242"/>
    </row>
    <row r="824843" spans="1:1" x14ac:dyDescent="0.25">
      <c r="A824843" s="242"/>
    </row>
    <row r="824844" spans="1:1" x14ac:dyDescent="0.25">
      <c r="A824844" s="242"/>
    </row>
    <row r="824845" spans="1:1" x14ac:dyDescent="0.25">
      <c r="A824845" s="242"/>
    </row>
    <row r="824846" spans="1:1" x14ac:dyDescent="0.25">
      <c r="A824846" s="242"/>
    </row>
    <row r="824847" spans="1:1" x14ac:dyDescent="0.25">
      <c r="A824847" s="242"/>
    </row>
    <row r="824848" spans="1:1" x14ac:dyDescent="0.25">
      <c r="A824848" s="242"/>
    </row>
    <row r="824849" spans="1:1" x14ac:dyDescent="0.25">
      <c r="A824849" s="242"/>
    </row>
    <row r="824850" spans="1:1" x14ac:dyDescent="0.25">
      <c r="A824850" s="242"/>
    </row>
    <row r="824851" spans="1:1" x14ac:dyDescent="0.25">
      <c r="A824851" s="242"/>
    </row>
    <row r="824852" spans="1:1" x14ac:dyDescent="0.25">
      <c r="A824852" s="242"/>
    </row>
    <row r="824853" spans="1:1" x14ac:dyDescent="0.25">
      <c r="A824853" s="242"/>
    </row>
    <row r="824854" spans="1:1" x14ac:dyDescent="0.25">
      <c r="A824854" s="242"/>
    </row>
    <row r="824855" spans="1:1" x14ac:dyDescent="0.25">
      <c r="A824855" s="242"/>
    </row>
    <row r="824856" spans="1:1" x14ac:dyDescent="0.25">
      <c r="A824856" s="242"/>
    </row>
    <row r="824857" spans="1:1" x14ac:dyDescent="0.25">
      <c r="A824857" s="242"/>
    </row>
    <row r="824858" spans="1:1" x14ac:dyDescent="0.25">
      <c r="A824858" s="242"/>
    </row>
    <row r="824859" spans="1:1" x14ac:dyDescent="0.25">
      <c r="A824859" s="242"/>
    </row>
    <row r="824860" spans="1:1" x14ac:dyDescent="0.25">
      <c r="A824860" s="242"/>
    </row>
    <row r="824861" spans="1:1" x14ac:dyDescent="0.25">
      <c r="A824861" s="242"/>
    </row>
    <row r="824862" spans="1:1" x14ac:dyDescent="0.25">
      <c r="A824862" s="242"/>
    </row>
    <row r="824863" spans="1:1" x14ac:dyDescent="0.25">
      <c r="A824863" s="242"/>
    </row>
    <row r="824864" spans="1:1" x14ac:dyDescent="0.25">
      <c r="A824864" s="242"/>
    </row>
    <row r="824865" spans="1:1" x14ac:dyDescent="0.25">
      <c r="A824865" s="242"/>
    </row>
    <row r="824866" spans="1:1" x14ac:dyDescent="0.25">
      <c r="A824866" s="242"/>
    </row>
    <row r="824867" spans="1:1" x14ac:dyDescent="0.25">
      <c r="A824867" s="242"/>
    </row>
    <row r="824868" spans="1:1" x14ac:dyDescent="0.25">
      <c r="A824868" s="242"/>
    </row>
    <row r="824869" spans="1:1" x14ac:dyDescent="0.25">
      <c r="A824869" s="242"/>
    </row>
    <row r="824870" spans="1:1" x14ac:dyDescent="0.25">
      <c r="A824870" s="242"/>
    </row>
    <row r="824871" spans="1:1" x14ac:dyDescent="0.25">
      <c r="A824871" s="242"/>
    </row>
    <row r="824872" spans="1:1" x14ac:dyDescent="0.25">
      <c r="A824872" s="242"/>
    </row>
    <row r="824873" spans="1:1" x14ac:dyDescent="0.25">
      <c r="A824873" s="242"/>
    </row>
    <row r="824874" spans="1:1" x14ac:dyDescent="0.25">
      <c r="A824874" s="242"/>
    </row>
    <row r="824875" spans="1:1" x14ac:dyDescent="0.25">
      <c r="A824875" s="242"/>
    </row>
    <row r="824876" spans="1:1" x14ac:dyDescent="0.25">
      <c r="A824876" s="242"/>
    </row>
    <row r="824877" spans="1:1" x14ac:dyDescent="0.25">
      <c r="A824877" s="242"/>
    </row>
    <row r="824878" spans="1:1" x14ac:dyDescent="0.25">
      <c r="A824878" s="242"/>
    </row>
    <row r="824879" spans="1:1" x14ac:dyDescent="0.25">
      <c r="A824879" s="242"/>
    </row>
    <row r="824880" spans="1:1" x14ac:dyDescent="0.25">
      <c r="A824880" s="242"/>
    </row>
    <row r="824881" spans="1:1" x14ac:dyDescent="0.25">
      <c r="A824881" s="242"/>
    </row>
    <row r="824882" spans="1:1" x14ac:dyDescent="0.25">
      <c r="A824882" s="242"/>
    </row>
    <row r="824883" spans="1:1" x14ac:dyDescent="0.25">
      <c r="A824883" s="242"/>
    </row>
    <row r="824884" spans="1:1" x14ac:dyDescent="0.25">
      <c r="A824884" s="242"/>
    </row>
    <row r="824885" spans="1:1" x14ac:dyDescent="0.25">
      <c r="A824885" s="242"/>
    </row>
    <row r="824886" spans="1:1" x14ac:dyDescent="0.25">
      <c r="A824886" s="242"/>
    </row>
    <row r="824887" spans="1:1" x14ac:dyDescent="0.25">
      <c r="A824887" s="242"/>
    </row>
    <row r="824888" spans="1:1" x14ac:dyDescent="0.25">
      <c r="A824888" s="242"/>
    </row>
    <row r="824889" spans="1:1" x14ac:dyDescent="0.25">
      <c r="A824889" s="242"/>
    </row>
    <row r="824890" spans="1:1" x14ac:dyDescent="0.25">
      <c r="A824890" s="242"/>
    </row>
    <row r="824891" spans="1:1" x14ac:dyDescent="0.25">
      <c r="A824891" s="242"/>
    </row>
    <row r="824892" spans="1:1" x14ac:dyDescent="0.25">
      <c r="A824892" s="242"/>
    </row>
    <row r="824893" spans="1:1" x14ac:dyDescent="0.25">
      <c r="A824893" s="242"/>
    </row>
    <row r="824894" spans="1:1" x14ac:dyDescent="0.25">
      <c r="A824894" s="242"/>
    </row>
    <row r="824895" spans="1:1" x14ac:dyDescent="0.25">
      <c r="A824895" s="242"/>
    </row>
    <row r="824896" spans="1:1" x14ac:dyDescent="0.25">
      <c r="A824896" s="242"/>
    </row>
    <row r="824897" spans="1:1" x14ac:dyDescent="0.25">
      <c r="A824897" s="242"/>
    </row>
    <row r="824898" spans="1:1" x14ac:dyDescent="0.25">
      <c r="A824898" s="242"/>
    </row>
    <row r="824899" spans="1:1" x14ac:dyDescent="0.25">
      <c r="A824899" s="242"/>
    </row>
    <row r="824900" spans="1:1" x14ac:dyDescent="0.25">
      <c r="A824900" s="242"/>
    </row>
    <row r="824901" spans="1:1" x14ac:dyDescent="0.25">
      <c r="A824901" s="242"/>
    </row>
    <row r="824902" spans="1:1" x14ac:dyDescent="0.25">
      <c r="A824902" s="242"/>
    </row>
    <row r="824903" spans="1:1" x14ac:dyDescent="0.25">
      <c r="A824903" s="242"/>
    </row>
    <row r="824904" spans="1:1" x14ac:dyDescent="0.25">
      <c r="A824904" s="242"/>
    </row>
    <row r="824905" spans="1:1" x14ac:dyDescent="0.25">
      <c r="A824905" s="242"/>
    </row>
    <row r="824906" spans="1:1" x14ac:dyDescent="0.25">
      <c r="A824906" s="242"/>
    </row>
    <row r="824907" spans="1:1" x14ac:dyDescent="0.25">
      <c r="A824907" s="242"/>
    </row>
    <row r="824908" spans="1:1" x14ac:dyDescent="0.25">
      <c r="A824908" s="242"/>
    </row>
    <row r="824909" spans="1:1" x14ac:dyDescent="0.25">
      <c r="A824909" s="242"/>
    </row>
    <row r="824910" spans="1:1" x14ac:dyDescent="0.25">
      <c r="A824910" s="242"/>
    </row>
    <row r="824911" spans="1:1" x14ac:dyDescent="0.25">
      <c r="A824911" s="242"/>
    </row>
    <row r="824912" spans="1:1" x14ac:dyDescent="0.25">
      <c r="A824912" s="242"/>
    </row>
    <row r="824913" spans="1:1" x14ac:dyDescent="0.25">
      <c r="A824913" s="242"/>
    </row>
    <row r="824914" spans="1:1" x14ac:dyDescent="0.25">
      <c r="A824914" s="242"/>
    </row>
    <row r="824915" spans="1:1" x14ac:dyDescent="0.25">
      <c r="A824915" s="242"/>
    </row>
    <row r="824916" spans="1:1" x14ac:dyDescent="0.25">
      <c r="A824916" s="242"/>
    </row>
    <row r="824917" spans="1:1" x14ac:dyDescent="0.25">
      <c r="A824917" s="242"/>
    </row>
    <row r="824918" spans="1:1" x14ac:dyDescent="0.25">
      <c r="A824918" s="242"/>
    </row>
    <row r="824919" spans="1:1" x14ac:dyDescent="0.25">
      <c r="A824919" s="242"/>
    </row>
    <row r="824920" spans="1:1" x14ac:dyDescent="0.25">
      <c r="A824920" s="242"/>
    </row>
    <row r="824921" spans="1:1" x14ac:dyDescent="0.25">
      <c r="A824921" s="242"/>
    </row>
    <row r="824922" spans="1:1" x14ac:dyDescent="0.25">
      <c r="A824922" s="242"/>
    </row>
    <row r="824923" spans="1:1" x14ac:dyDescent="0.25">
      <c r="A824923" s="242"/>
    </row>
    <row r="824924" spans="1:1" x14ac:dyDescent="0.25">
      <c r="A824924" s="242"/>
    </row>
    <row r="824925" spans="1:1" x14ac:dyDescent="0.25">
      <c r="A824925" s="242"/>
    </row>
    <row r="824926" spans="1:1" x14ac:dyDescent="0.25">
      <c r="A824926" s="242"/>
    </row>
    <row r="824927" spans="1:1" x14ac:dyDescent="0.25">
      <c r="A824927" s="242"/>
    </row>
    <row r="824928" spans="1:1" x14ac:dyDescent="0.25">
      <c r="A824928" s="242"/>
    </row>
    <row r="824929" spans="1:1" x14ac:dyDescent="0.25">
      <c r="A824929" s="242"/>
    </row>
    <row r="824930" spans="1:1" x14ac:dyDescent="0.25">
      <c r="A824930" s="242"/>
    </row>
    <row r="824931" spans="1:1" x14ac:dyDescent="0.25">
      <c r="A824931" s="242"/>
    </row>
    <row r="824932" spans="1:1" x14ac:dyDescent="0.25">
      <c r="A824932" s="242"/>
    </row>
    <row r="824933" spans="1:1" x14ac:dyDescent="0.25">
      <c r="A824933" s="242"/>
    </row>
    <row r="824934" spans="1:1" x14ac:dyDescent="0.25">
      <c r="A824934" s="242"/>
    </row>
    <row r="824935" spans="1:1" x14ac:dyDescent="0.25">
      <c r="A824935" s="242"/>
    </row>
    <row r="824936" spans="1:1" x14ac:dyDescent="0.25">
      <c r="A824936" s="242"/>
    </row>
    <row r="824937" spans="1:1" x14ac:dyDescent="0.25">
      <c r="A824937" s="242"/>
    </row>
    <row r="824938" spans="1:1" x14ac:dyDescent="0.25">
      <c r="A824938" s="242"/>
    </row>
    <row r="824939" spans="1:1" x14ac:dyDescent="0.25">
      <c r="A824939" s="242"/>
    </row>
    <row r="824940" spans="1:1" x14ac:dyDescent="0.25">
      <c r="A824940" s="242"/>
    </row>
    <row r="824941" spans="1:1" x14ac:dyDescent="0.25">
      <c r="A824941" s="242"/>
    </row>
    <row r="824942" spans="1:1" x14ac:dyDescent="0.25">
      <c r="A824942" s="242"/>
    </row>
    <row r="824943" spans="1:1" x14ac:dyDescent="0.25">
      <c r="A824943" s="242"/>
    </row>
    <row r="824944" spans="1:1" x14ac:dyDescent="0.25">
      <c r="A824944" s="242"/>
    </row>
    <row r="824945" spans="1:1" x14ac:dyDescent="0.25">
      <c r="A824945" s="242"/>
    </row>
    <row r="824946" spans="1:1" x14ac:dyDescent="0.25">
      <c r="A824946" s="242"/>
    </row>
    <row r="824947" spans="1:1" x14ac:dyDescent="0.25">
      <c r="A824947" s="242"/>
    </row>
    <row r="824948" spans="1:1" x14ac:dyDescent="0.25">
      <c r="A824948" s="242"/>
    </row>
    <row r="824949" spans="1:1" x14ac:dyDescent="0.25">
      <c r="A824949" s="242"/>
    </row>
    <row r="824950" spans="1:1" x14ac:dyDescent="0.25">
      <c r="A824950" s="242"/>
    </row>
    <row r="824951" spans="1:1" x14ac:dyDescent="0.25">
      <c r="A824951" s="242"/>
    </row>
    <row r="824952" spans="1:1" x14ac:dyDescent="0.25">
      <c r="A824952" s="242"/>
    </row>
    <row r="824953" spans="1:1" x14ac:dyDescent="0.25">
      <c r="A824953" s="242"/>
    </row>
    <row r="824954" spans="1:1" x14ac:dyDescent="0.25">
      <c r="A824954" s="242"/>
    </row>
    <row r="824955" spans="1:1" x14ac:dyDescent="0.25">
      <c r="A824955" s="242"/>
    </row>
    <row r="824956" spans="1:1" x14ac:dyDescent="0.25">
      <c r="A824956" s="242"/>
    </row>
    <row r="824957" spans="1:1" x14ac:dyDescent="0.25">
      <c r="A824957" s="242"/>
    </row>
    <row r="824958" spans="1:1" x14ac:dyDescent="0.25">
      <c r="A824958" s="242"/>
    </row>
    <row r="824959" spans="1:1" x14ac:dyDescent="0.25">
      <c r="A824959" s="242"/>
    </row>
    <row r="824960" spans="1:1" x14ac:dyDescent="0.25">
      <c r="A824960" s="242"/>
    </row>
    <row r="824961" spans="1:1" x14ac:dyDescent="0.25">
      <c r="A824961" s="242"/>
    </row>
    <row r="824962" spans="1:1" x14ac:dyDescent="0.25">
      <c r="A824962" s="242"/>
    </row>
    <row r="824963" spans="1:1" x14ac:dyDescent="0.25">
      <c r="A824963" s="242"/>
    </row>
    <row r="824964" spans="1:1" x14ac:dyDescent="0.25">
      <c r="A824964" s="242"/>
    </row>
    <row r="824965" spans="1:1" x14ac:dyDescent="0.25">
      <c r="A824965" s="242"/>
    </row>
    <row r="824966" spans="1:1" x14ac:dyDescent="0.25">
      <c r="A824966" s="242"/>
    </row>
    <row r="824967" spans="1:1" x14ac:dyDescent="0.25">
      <c r="A824967" s="242"/>
    </row>
    <row r="824968" spans="1:1" x14ac:dyDescent="0.25">
      <c r="A824968" s="242"/>
    </row>
    <row r="824969" spans="1:1" x14ac:dyDescent="0.25">
      <c r="A824969" s="242"/>
    </row>
    <row r="824970" spans="1:1" x14ac:dyDescent="0.25">
      <c r="A824970" s="242"/>
    </row>
    <row r="824971" spans="1:1" x14ac:dyDescent="0.25">
      <c r="A824971" s="242"/>
    </row>
    <row r="824972" spans="1:1" x14ac:dyDescent="0.25">
      <c r="A824972" s="242"/>
    </row>
    <row r="824973" spans="1:1" x14ac:dyDescent="0.25">
      <c r="A824973" s="242"/>
    </row>
    <row r="824974" spans="1:1" x14ac:dyDescent="0.25">
      <c r="A824974" s="242"/>
    </row>
    <row r="824975" spans="1:1" x14ac:dyDescent="0.25">
      <c r="A824975" s="242"/>
    </row>
    <row r="824976" spans="1:1" x14ac:dyDescent="0.25">
      <c r="A824976" s="242"/>
    </row>
    <row r="824977" spans="1:1" x14ac:dyDescent="0.25">
      <c r="A824977" s="242"/>
    </row>
    <row r="824978" spans="1:1" x14ac:dyDescent="0.25">
      <c r="A824978" s="242"/>
    </row>
    <row r="824979" spans="1:1" x14ac:dyDescent="0.25">
      <c r="A824979" s="242"/>
    </row>
    <row r="824980" spans="1:1" x14ac:dyDescent="0.25">
      <c r="A824980" s="242"/>
    </row>
    <row r="824981" spans="1:1" x14ac:dyDescent="0.25">
      <c r="A824981" s="242"/>
    </row>
    <row r="824982" spans="1:1" x14ac:dyDescent="0.25">
      <c r="A824982" s="242"/>
    </row>
    <row r="824983" spans="1:1" x14ac:dyDescent="0.25">
      <c r="A824983" s="242"/>
    </row>
    <row r="824984" spans="1:1" x14ac:dyDescent="0.25">
      <c r="A824984" s="242"/>
    </row>
    <row r="824985" spans="1:1" x14ac:dyDescent="0.25">
      <c r="A824985" s="242"/>
    </row>
    <row r="824986" spans="1:1" x14ac:dyDescent="0.25">
      <c r="A824986" s="242"/>
    </row>
    <row r="824987" spans="1:1" x14ac:dyDescent="0.25">
      <c r="A824987" s="242"/>
    </row>
    <row r="824988" spans="1:1" x14ac:dyDescent="0.25">
      <c r="A824988" s="242"/>
    </row>
    <row r="824989" spans="1:1" x14ac:dyDescent="0.25">
      <c r="A824989" s="242"/>
    </row>
    <row r="824990" spans="1:1" x14ac:dyDescent="0.25">
      <c r="A824990" s="242"/>
    </row>
    <row r="824991" spans="1:1" x14ac:dyDescent="0.25">
      <c r="A824991" s="242"/>
    </row>
    <row r="824992" spans="1:1" x14ac:dyDescent="0.25">
      <c r="A824992" s="242"/>
    </row>
    <row r="824993" spans="1:1" x14ac:dyDescent="0.25">
      <c r="A824993" s="242"/>
    </row>
    <row r="824994" spans="1:1" x14ac:dyDescent="0.25">
      <c r="A824994" s="242"/>
    </row>
    <row r="824995" spans="1:1" x14ac:dyDescent="0.25">
      <c r="A824995" s="242"/>
    </row>
    <row r="824996" spans="1:1" x14ac:dyDescent="0.25">
      <c r="A824996" s="242"/>
    </row>
    <row r="824997" spans="1:1" x14ac:dyDescent="0.25">
      <c r="A824997" s="242"/>
    </row>
    <row r="824998" spans="1:1" x14ac:dyDescent="0.25">
      <c r="A824998" s="242"/>
    </row>
    <row r="824999" spans="1:1" x14ac:dyDescent="0.25">
      <c r="A824999" s="242"/>
    </row>
    <row r="825000" spans="1:1" x14ac:dyDescent="0.25">
      <c r="A825000" s="242"/>
    </row>
    <row r="825001" spans="1:1" x14ac:dyDescent="0.25">
      <c r="A825001" s="242"/>
    </row>
    <row r="825002" spans="1:1" x14ac:dyDescent="0.25">
      <c r="A825002" s="242"/>
    </row>
    <row r="825003" spans="1:1" x14ac:dyDescent="0.25">
      <c r="A825003" s="242"/>
    </row>
    <row r="825004" spans="1:1" x14ac:dyDescent="0.25">
      <c r="A825004" s="242"/>
    </row>
    <row r="825005" spans="1:1" x14ac:dyDescent="0.25">
      <c r="A825005" s="242"/>
    </row>
    <row r="825006" spans="1:1" x14ac:dyDescent="0.25">
      <c r="A825006" s="242"/>
    </row>
    <row r="825007" spans="1:1" x14ac:dyDescent="0.25">
      <c r="A825007" s="242"/>
    </row>
    <row r="825008" spans="1:1" x14ac:dyDescent="0.25">
      <c r="A825008" s="242"/>
    </row>
    <row r="825009" spans="1:1" x14ac:dyDescent="0.25">
      <c r="A825009" s="242"/>
    </row>
    <row r="825010" spans="1:1" x14ac:dyDescent="0.25">
      <c r="A825010" s="242"/>
    </row>
    <row r="825011" spans="1:1" x14ac:dyDescent="0.25">
      <c r="A825011" s="242"/>
    </row>
    <row r="825012" spans="1:1" x14ac:dyDescent="0.25">
      <c r="A825012" s="242"/>
    </row>
    <row r="825013" spans="1:1" x14ac:dyDescent="0.25">
      <c r="A825013" s="242"/>
    </row>
    <row r="825014" spans="1:1" x14ac:dyDescent="0.25">
      <c r="A825014" s="242"/>
    </row>
    <row r="825015" spans="1:1" x14ac:dyDescent="0.25">
      <c r="A825015" s="242"/>
    </row>
    <row r="825016" spans="1:1" x14ac:dyDescent="0.25">
      <c r="A825016" s="242"/>
    </row>
    <row r="825017" spans="1:1" x14ac:dyDescent="0.25">
      <c r="A825017" s="242"/>
    </row>
    <row r="825018" spans="1:1" x14ac:dyDescent="0.25">
      <c r="A825018" s="242"/>
    </row>
    <row r="825019" spans="1:1" x14ac:dyDescent="0.25">
      <c r="A825019" s="242"/>
    </row>
    <row r="825020" spans="1:1" x14ac:dyDescent="0.25">
      <c r="A825020" s="242"/>
    </row>
    <row r="825021" spans="1:1" x14ac:dyDescent="0.25">
      <c r="A825021" s="242"/>
    </row>
    <row r="825022" spans="1:1" x14ac:dyDescent="0.25">
      <c r="A825022" s="242"/>
    </row>
    <row r="825023" spans="1:1" x14ac:dyDescent="0.25">
      <c r="A825023" s="242"/>
    </row>
    <row r="825024" spans="1:1" x14ac:dyDescent="0.25">
      <c r="A825024" s="242"/>
    </row>
    <row r="825025" spans="1:1" x14ac:dyDescent="0.25">
      <c r="A825025" s="242"/>
    </row>
    <row r="825026" spans="1:1" x14ac:dyDescent="0.25">
      <c r="A825026" s="242"/>
    </row>
    <row r="825027" spans="1:1" x14ac:dyDescent="0.25">
      <c r="A825027" s="242"/>
    </row>
    <row r="825028" spans="1:1" x14ac:dyDescent="0.25">
      <c r="A825028" s="242"/>
    </row>
    <row r="825029" spans="1:1" x14ac:dyDescent="0.25">
      <c r="A825029" s="242"/>
    </row>
    <row r="825030" spans="1:1" x14ac:dyDescent="0.25">
      <c r="A825030" s="242"/>
    </row>
    <row r="825031" spans="1:1" x14ac:dyDescent="0.25">
      <c r="A825031" s="242"/>
    </row>
    <row r="825032" spans="1:1" x14ac:dyDescent="0.25">
      <c r="A825032" s="242"/>
    </row>
    <row r="825033" spans="1:1" x14ac:dyDescent="0.25">
      <c r="A825033" s="242"/>
    </row>
    <row r="825034" spans="1:1" x14ac:dyDescent="0.25">
      <c r="A825034" s="242"/>
    </row>
    <row r="825035" spans="1:1" x14ac:dyDescent="0.25">
      <c r="A825035" s="242"/>
    </row>
    <row r="825036" spans="1:1" x14ac:dyDescent="0.25">
      <c r="A825036" s="242"/>
    </row>
    <row r="825037" spans="1:1" x14ac:dyDescent="0.25">
      <c r="A825037" s="242"/>
    </row>
    <row r="825038" spans="1:1" x14ac:dyDescent="0.25">
      <c r="A825038" s="242"/>
    </row>
    <row r="825039" spans="1:1" x14ac:dyDescent="0.25">
      <c r="A825039" s="242"/>
    </row>
    <row r="825040" spans="1:1" x14ac:dyDescent="0.25">
      <c r="A825040" s="242"/>
    </row>
    <row r="825041" spans="1:1" x14ac:dyDescent="0.25">
      <c r="A825041" s="242"/>
    </row>
    <row r="825042" spans="1:1" x14ac:dyDescent="0.25">
      <c r="A825042" s="242"/>
    </row>
    <row r="825043" spans="1:1" x14ac:dyDescent="0.25">
      <c r="A825043" s="242"/>
    </row>
    <row r="825044" spans="1:1" x14ac:dyDescent="0.25">
      <c r="A825044" s="242"/>
    </row>
    <row r="825045" spans="1:1" x14ac:dyDescent="0.25">
      <c r="A825045" s="242"/>
    </row>
    <row r="825046" spans="1:1" x14ac:dyDescent="0.25">
      <c r="A825046" s="242"/>
    </row>
    <row r="825047" spans="1:1" x14ac:dyDescent="0.25">
      <c r="A825047" s="242"/>
    </row>
    <row r="825048" spans="1:1" x14ac:dyDescent="0.25">
      <c r="A825048" s="242"/>
    </row>
    <row r="825049" spans="1:1" x14ac:dyDescent="0.25">
      <c r="A825049" s="242"/>
    </row>
    <row r="825050" spans="1:1" x14ac:dyDescent="0.25">
      <c r="A825050" s="242"/>
    </row>
    <row r="825051" spans="1:1" x14ac:dyDescent="0.25">
      <c r="A825051" s="242"/>
    </row>
    <row r="825052" spans="1:1" x14ac:dyDescent="0.25">
      <c r="A825052" s="242"/>
    </row>
    <row r="825053" spans="1:1" x14ac:dyDescent="0.25">
      <c r="A825053" s="242"/>
    </row>
    <row r="825054" spans="1:1" x14ac:dyDescent="0.25">
      <c r="A825054" s="242"/>
    </row>
    <row r="825055" spans="1:1" x14ac:dyDescent="0.25">
      <c r="A825055" s="242"/>
    </row>
    <row r="825056" spans="1:1" x14ac:dyDescent="0.25">
      <c r="A825056" s="242"/>
    </row>
    <row r="825057" spans="1:1" x14ac:dyDescent="0.25">
      <c r="A825057" s="242"/>
    </row>
    <row r="825058" spans="1:1" x14ac:dyDescent="0.25">
      <c r="A825058" s="242"/>
    </row>
    <row r="825059" spans="1:1" x14ac:dyDescent="0.25">
      <c r="A825059" s="242"/>
    </row>
    <row r="825060" spans="1:1" x14ac:dyDescent="0.25">
      <c r="A825060" s="242"/>
    </row>
    <row r="825061" spans="1:1" x14ac:dyDescent="0.25">
      <c r="A825061" s="242"/>
    </row>
    <row r="825062" spans="1:1" x14ac:dyDescent="0.25">
      <c r="A825062" s="242"/>
    </row>
    <row r="825063" spans="1:1" x14ac:dyDescent="0.25">
      <c r="A825063" s="242"/>
    </row>
    <row r="825064" spans="1:1" x14ac:dyDescent="0.25">
      <c r="A825064" s="242"/>
    </row>
    <row r="825065" spans="1:1" x14ac:dyDescent="0.25">
      <c r="A825065" s="242"/>
    </row>
    <row r="825066" spans="1:1" x14ac:dyDescent="0.25">
      <c r="A825066" s="242"/>
    </row>
    <row r="825067" spans="1:1" x14ac:dyDescent="0.25">
      <c r="A825067" s="242"/>
    </row>
    <row r="825068" spans="1:1" x14ac:dyDescent="0.25">
      <c r="A825068" s="242"/>
    </row>
    <row r="825069" spans="1:1" x14ac:dyDescent="0.25">
      <c r="A825069" s="242"/>
    </row>
    <row r="825070" spans="1:1" x14ac:dyDescent="0.25">
      <c r="A825070" s="242"/>
    </row>
    <row r="825071" spans="1:1" x14ac:dyDescent="0.25">
      <c r="A825071" s="242"/>
    </row>
    <row r="825072" spans="1:1" x14ac:dyDescent="0.25">
      <c r="A825072" s="242"/>
    </row>
    <row r="825073" spans="1:1" x14ac:dyDescent="0.25">
      <c r="A825073" s="242"/>
    </row>
    <row r="825074" spans="1:1" x14ac:dyDescent="0.25">
      <c r="A825074" s="242"/>
    </row>
    <row r="825075" spans="1:1" x14ac:dyDescent="0.25">
      <c r="A825075" s="242"/>
    </row>
    <row r="825076" spans="1:1" x14ac:dyDescent="0.25">
      <c r="A825076" s="242"/>
    </row>
    <row r="825077" spans="1:1" x14ac:dyDescent="0.25">
      <c r="A825077" s="242"/>
    </row>
    <row r="825078" spans="1:1" x14ac:dyDescent="0.25">
      <c r="A825078" s="242"/>
    </row>
    <row r="825079" spans="1:1" x14ac:dyDescent="0.25">
      <c r="A825079" s="242"/>
    </row>
    <row r="825080" spans="1:1" x14ac:dyDescent="0.25">
      <c r="A825080" s="242"/>
    </row>
    <row r="825081" spans="1:1" x14ac:dyDescent="0.25">
      <c r="A825081" s="242"/>
    </row>
    <row r="825082" spans="1:1" x14ac:dyDescent="0.25">
      <c r="A825082" s="242"/>
    </row>
    <row r="825083" spans="1:1" x14ac:dyDescent="0.25">
      <c r="A825083" s="242"/>
    </row>
    <row r="825084" spans="1:1" x14ac:dyDescent="0.25">
      <c r="A825084" s="242"/>
    </row>
    <row r="825085" spans="1:1" x14ac:dyDescent="0.25">
      <c r="A825085" s="242"/>
    </row>
    <row r="825086" spans="1:1" x14ac:dyDescent="0.25">
      <c r="A825086" s="242"/>
    </row>
    <row r="825087" spans="1:1" x14ac:dyDescent="0.25">
      <c r="A825087" s="242"/>
    </row>
    <row r="825088" spans="1:1" x14ac:dyDescent="0.25">
      <c r="A825088" s="242"/>
    </row>
    <row r="825089" spans="1:1" x14ac:dyDescent="0.25">
      <c r="A825089" s="242"/>
    </row>
    <row r="825090" spans="1:1" x14ac:dyDescent="0.25">
      <c r="A825090" s="242"/>
    </row>
    <row r="825091" spans="1:1" x14ac:dyDescent="0.25">
      <c r="A825091" s="242"/>
    </row>
    <row r="825092" spans="1:1" x14ac:dyDescent="0.25">
      <c r="A825092" s="242"/>
    </row>
    <row r="825093" spans="1:1" x14ac:dyDescent="0.25">
      <c r="A825093" s="242"/>
    </row>
    <row r="825094" spans="1:1" x14ac:dyDescent="0.25">
      <c r="A825094" s="242"/>
    </row>
    <row r="825095" spans="1:1" x14ac:dyDescent="0.25">
      <c r="A825095" s="242"/>
    </row>
    <row r="825096" spans="1:1" x14ac:dyDescent="0.25">
      <c r="A825096" s="242"/>
    </row>
    <row r="825097" spans="1:1" x14ac:dyDescent="0.25">
      <c r="A825097" s="242"/>
    </row>
    <row r="825098" spans="1:1" x14ac:dyDescent="0.25">
      <c r="A825098" s="242"/>
    </row>
    <row r="825099" spans="1:1" x14ac:dyDescent="0.25">
      <c r="A825099" s="242"/>
    </row>
    <row r="825100" spans="1:1" x14ac:dyDescent="0.25">
      <c r="A825100" s="242"/>
    </row>
    <row r="825101" spans="1:1" x14ac:dyDescent="0.25">
      <c r="A825101" s="242"/>
    </row>
    <row r="825102" spans="1:1" x14ac:dyDescent="0.25">
      <c r="A825102" s="242"/>
    </row>
    <row r="825103" spans="1:1" x14ac:dyDescent="0.25">
      <c r="A825103" s="242"/>
    </row>
    <row r="825104" spans="1:1" x14ac:dyDescent="0.25">
      <c r="A825104" s="242"/>
    </row>
    <row r="825105" spans="1:1" x14ac:dyDescent="0.25">
      <c r="A825105" s="242"/>
    </row>
    <row r="825106" spans="1:1" x14ac:dyDescent="0.25">
      <c r="A825106" s="242"/>
    </row>
    <row r="825107" spans="1:1" x14ac:dyDescent="0.25">
      <c r="A825107" s="242"/>
    </row>
    <row r="825108" spans="1:1" x14ac:dyDescent="0.25">
      <c r="A825108" s="242"/>
    </row>
    <row r="825109" spans="1:1" x14ac:dyDescent="0.25">
      <c r="A825109" s="242"/>
    </row>
    <row r="825110" spans="1:1" x14ac:dyDescent="0.25">
      <c r="A825110" s="242"/>
    </row>
    <row r="825111" spans="1:1" x14ac:dyDescent="0.25">
      <c r="A825111" s="242"/>
    </row>
    <row r="825112" spans="1:1" x14ac:dyDescent="0.25">
      <c r="A825112" s="242"/>
    </row>
    <row r="825113" spans="1:1" x14ac:dyDescent="0.25">
      <c r="A825113" s="242"/>
    </row>
    <row r="825114" spans="1:1" x14ac:dyDescent="0.25">
      <c r="A825114" s="242"/>
    </row>
    <row r="825115" spans="1:1" x14ac:dyDescent="0.25">
      <c r="A825115" s="242"/>
    </row>
    <row r="825116" spans="1:1" x14ac:dyDescent="0.25">
      <c r="A825116" s="242"/>
    </row>
    <row r="825117" spans="1:1" x14ac:dyDescent="0.25">
      <c r="A825117" s="242"/>
    </row>
    <row r="825118" spans="1:1" x14ac:dyDescent="0.25">
      <c r="A825118" s="242"/>
    </row>
    <row r="825119" spans="1:1" x14ac:dyDescent="0.25">
      <c r="A825119" s="242"/>
    </row>
    <row r="825120" spans="1:1" x14ac:dyDescent="0.25">
      <c r="A825120" s="242"/>
    </row>
    <row r="825121" spans="1:1" x14ac:dyDescent="0.25">
      <c r="A825121" s="242"/>
    </row>
    <row r="825122" spans="1:1" x14ac:dyDescent="0.25">
      <c r="A825122" s="242"/>
    </row>
    <row r="825123" spans="1:1" x14ac:dyDescent="0.25">
      <c r="A825123" s="242"/>
    </row>
    <row r="825124" spans="1:1" x14ac:dyDescent="0.25">
      <c r="A825124" s="242"/>
    </row>
    <row r="825125" spans="1:1" x14ac:dyDescent="0.25">
      <c r="A825125" s="242"/>
    </row>
    <row r="825126" spans="1:1" x14ac:dyDescent="0.25">
      <c r="A825126" s="242"/>
    </row>
    <row r="825127" spans="1:1" x14ac:dyDescent="0.25">
      <c r="A825127" s="242"/>
    </row>
    <row r="825128" spans="1:1" x14ac:dyDescent="0.25">
      <c r="A825128" s="242"/>
    </row>
    <row r="825129" spans="1:1" x14ac:dyDescent="0.25">
      <c r="A825129" s="242"/>
    </row>
    <row r="825130" spans="1:1" x14ac:dyDescent="0.25">
      <c r="A825130" s="242"/>
    </row>
    <row r="825131" spans="1:1" x14ac:dyDescent="0.25">
      <c r="A825131" s="242"/>
    </row>
    <row r="825132" spans="1:1" x14ac:dyDescent="0.25">
      <c r="A825132" s="242"/>
    </row>
    <row r="825133" spans="1:1" x14ac:dyDescent="0.25">
      <c r="A825133" s="242"/>
    </row>
    <row r="825134" spans="1:1" x14ac:dyDescent="0.25">
      <c r="A825134" s="242"/>
    </row>
    <row r="825135" spans="1:1" x14ac:dyDescent="0.25">
      <c r="A825135" s="242"/>
    </row>
    <row r="825136" spans="1:1" x14ac:dyDescent="0.25">
      <c r="A825136" s="242"/>
    </row>
    <row r="825137" spans="1:1" x14ac:dyDescent="0.25">
      <c r="A825137" s="242"/>
    </row>
    <row r="825138" spans="1:1" x14ac:dyDescent="0.25">
      <c r="A825138" s="242"/>
    </row>
    <row r="825139" spans="1:1" x14ac:dyDescent="0.25">
      <c r="A825139" s="242"/>
    </row>
    <row r="825140" spans="1:1" x14ac:dyDescent="0.25">
      <c r="A825140" s="242"/>
    </row>
    <row r="825141" spans="1:1" x14ac:dyDescent="0.25">
      <c r="A825141" s="242"/>
    </row>
    <row r="825142" spans="1:1" x14ac:dyDescent="0.25">
      <c r="A825142" s="242"/>
    </row>
    <row r="825143" spans="1:1" x14ac:dyDescent="0.25">
      <c r="A825143" s="242"/>
    </row>
    <row r="825144" spans="1:1" x14ac:dyDescent="0.25">
      <c r="A825144" s="242"/>
    </row>
    <row r="825145" spans="1:1" x14ac:dyDescent="0.25">
      <c r="A825145" s="242"/>
    </row>
    <row r="825146" spans="1:1" x14ac:dyDescent="0.25">
      <c r="A825146" s="242"/>
    </row>
    <row r="825147" spans="1:1" x14ac:dyDescent="0.25">
      <c r="A825147" s="242"/>
    </row>
    <row r="825148" spans="1:1" x14ac:dyDescent="0.25">
      <c r="A825148" s="242"/>
    </row>
    <row r="825149" spans="1:1" x14ac:dyDescent="0.25">
      <c r="A825149" s="242"/>
    </row>
    <row r="825150" spans="1:1" x14ac:dyDescent="0.25">
      <c r="A825150" s="242"/>
    </row>
    <row r="825151" spans="1:1" x14ac:dyDescent="0.25">
      <c r="A825151" s="242"/>
    </row>
    <row r="825152" spans="1:1" x14ac:dyDescent="0.25">
      <c r="A825152" s="242"/>
    </row>
    <row r="825153" spans="1:1" x14ac:dyDescent="0.25">
      <c r="A825153" s="242"/>
    </row>
    <row r="825154" spans="1:1" x14ac:dyDescent="0.25">
      <c r="A825154" s="242"/>
    </row>
    <row r="825155" spans="1:1" x14ac:dyDescent="0.25">
      <c r="A825155" s="242"/>
    </row>
    <row r="825156" spans="1:1" x14ac:dyDescent="0.25">
      <c r="A825156" s="242"/>
    </row>
    <row r="825157" spans="1:1" x14ac:dyDescent="0.25">
      <c r="A825157" s="242"/>
    </row>
    <row r="825158" spans="1:1" x14ac:dyDescent="0.25">
      <c r="A825158" s="242"/>
    </row>
    <row r="825159" spans="1:1" x14ac:dyDescent="0.25">
      <c r="A825159" s="242"/>
    </row>
    <row r="825160" spans="1:1" x14ac:dyDescent="0.25">
      <c r="A825160" s="242"/>
    </row>
    <row r="825161" spans="1:1" x14ac:dyDescent="0.25">
      <c r="A825161" s="242"/>
    </row>
    <row r="825162" spans="1:1" x14ac:dyDescent="0.25">
      <c r="A825162" s="242"/>
    </row>
    <row r="825163" spans="1:1" x14ac:dyDescent="0.25">
      <c r="A825163" s="242"/>
    </row>
    <row r="825164" spans="1:1" x14ac:dyDescent="0.25">
      <c r="A825164" s="242"/>
    </row>
    <row r="825165" spans="1:1" x14ac:dyDescent="0.25">
      <c r="A825165" s="242"/>
    </row>
    <row r="825166" spans="1:1" x14ac:dyDescent="0.25">
      <c r="A825166" s="242"/>
    </row>
    <row r="825167" spans="1:1" x14ac:dyDescent="0.25">
      <c r="A825167" s="242"/>
    </row>
    <row r="825168" spans="1:1" x14ac:dyDescent="0.25">
      <c r="A825168" s="242"/>
    </row>
    <row r="825169" spans="1:1" x14ac:dyDescent="0.25">
      <c r="A825169" s="242"/>
    </row>
    <row r="825170" spans="1:1" x14ac:dyDescent="0.25">
      <c r="A825170" s="242"/>
    </row>
    <row r="825171" spans="1:1" x14ac:dyDescent="0.25">
      <c r="A825171" s="242"/>
    </row>
    <row r="825172" spans="1:1" x14ac:dyDescent="0.25">
      <c r="A825172" s="242"/>
    </row>
    <row r="825173" spans="1:1" x14ac:dyDescent="0.25">
      <c r="A825173" s="242"/>
    </row>
    <row r="825174" spans="1:1" x14ac:dyDescent="0.25">
      <c r="A825174" s="242"/>
    </row>
    <row r="825175" spans="1:1" x14ac:dyDescent="0.25">
      <c r="A825175" s="242"/>
    </row>
    <row r="825176" spans="1:1" x14ac:dyDescent="0.25">
      <c r="A825176" s="242"/>
    </row>
    <row r="825177" spans="1:1" x14ac:dyDescent="0.25">
      <c r="A825177" s="242"/>
    </row>
    <row r="825178" spans="1:1" x14ac:dyDescent="0.25">
      <c r="A825178" s="242"/>
    </row>
    <row r="825179" spans="1:1" x14ac:dyDescent="0.25">
      <c r="A825179" s="242"/>
    </row>
    <row r="825180" spans="1:1" x14ac:dyDescent="0.25">
      <c r="A825180" s="242"/>
    </row>
    <row r="825181" spans="1:1" x14ac:dyDescent="0.25">
      <c r="A825181" s="242"/>
    </row>
    <row r="825182" spans="1:1" x14ac:dyDescent="0.25">
      <c r="A825182" s="242"/>
    </row>
    <row r="825183" spans="1:1" x14ac:dyDescent="0.25">
      <c r="A825183" s="242"/>
    </row>
    <row r="825184" spans="1:1" x14ac:dyDescent="0.25">
      <c r="A825184" s="242"/>
    </row>
    <row r="825185" spans="1:1" x14ac:dyDescent="0.25">
      <c r="A825185" s="242"/>
    </row>
    <row r="825186" spans="1:1" x14ac:dyDescent="0.25">
      <c r="A825186" s="242"/>
    </row>
    <row r="825187" spans="1:1" x14ac:dyDescent="0.25">
      <c r="A825187" s="242"/>
    </row>
    <row r="825188" spans="1:1" x14ac:dyDescent="0.25">
      <c r="A825188" s="242"/>
    </row>
    <row r="825189" spans="1:1" x14ac:dyDescent="0.25">
      <c r="A825189" s="242"/>
    </row>
    <row r="825190" spans="1:1" x14ac:dyDescent="0.25">
      <c r="A825190" s="242"/>
    </row>
    <row r="825191" spans="1:1" x14ac:dyDescent="0.25">
      <c r="A825191" s="242"/>
    </row>
    <row r="825192" spans="1:1" x14ac:dyDescent="0.25">
      <c r="A825192" s="242"/>
    </row>
    <row r="825193" spans="1:1" x14ac:dyDescent="0.25">
      <c r="A825193" s="242"/>
    </row>
    <row r="825194" spans="1:1" x14ac:dyDescent="0.25">
      <c r="A825194" s="242"/>
    </row>
    <row r="825195" spans="1:1" x14ac:dyDescent="0.25">
      <c r="A825195" s="242"/>
    </row>
    <row r="825196" spans="1:1" x14ac:dyDescent="0.25">
      <c r="A825196" s="242"/>
    </row>
    <row r="825197" spans="1:1" x14ac:dyDescent="0.25">
      <c r="A825197" s="242"/>
    </row>
    <row r="825198" spans="1:1" x14ac:dyDescent="0.25">
      <c r="A825198" s="242"/>
    </row>
    <row r="825199" spans="1:1" x14ac:dyDescent="0.25">
      <c r="A825199" s="242"/>
    </row>
    <row r="825200" spans="1:1" x14ac:dyDescent="0.25">
      <c r="A825200" s="242"/>
    </row>
    <row r="825201" spans="1:1" x14ac:dyDescent="0.25">
      <c r="A825201" s="242"/>
    </row>
    <row r="825202" spans="1:1" x14ac:dyDescent="0.25">
      <c r="A825202" s="242"/>
    </row>
    <row r="825203" spans="1:1" x14ac:dyDescent="0.25">
      <c r="A825203" s="242"/>
    </row>
    <row r="825204" spans="1:1" x14ac:dyDescent="0.25">
      <c r="A825204" s="242"/>
    </row>
    <row r="825205" spans="1:1" x14ac:dyDescent="0.25">
      <c r="A825205" s="242"/>
    </row>
    <row r="825206" spans="1:1" x14ac:dyDescent="0.25">
      <c r="A825206" s="242"/>
    </row>
    <row r="825207" spans="1:1" x14ac:dyDescent="0.25">
      <c r="A825207" s="242"/>
    </row>
    <row r="825208" spans="1:1" x14ac:dyDescent="0.25">
      <c r="A825208" s="242"/>
    </row>
    <row r="825209" spans="1:1" x14ac:dyDescent="0.25">
      <c r="A825209" s="242"/>
    </row>
    <row r="825210" spans="1:1" x14ac:dyDescent="0.25">
      <c r="A825210" s="242"/>
    </row>
    <row r="825211" spans="1:1" x14ac:dyDescent="0.25">
      <c r="A825211" s="242"/>
    </row>
    <row r="825212" spans="1:1" x14ac:dyDescent="0.25">
      <c r="A825212" s="242"/>
    </row>
    <row r="825213" spans="1:1" x14ac:dyDescent="0.25">
      <c r="A825213" s="242"/>
    </row>
    <row r="825214" spans="1:1" x14ac:dyDescent="0.25">
      <c r="A825214" s="242"/>
    </row>
    <row r="825215" spans="1:1" x14ac:dyDescent="0.25">
      <c r="A825215" s="242"/>
    </row>
    <row r="825216" spans="1:1" x14ac:dyDescent="0.25">
      <c r="A825216" s="242"/>
    </row>
    <row r="825217" spans="1:1" x14ac:dyDescent="0.25">
      <c r="A825217" s="242"/>
    </row>
    <row r="825218" spans="1:1" x14ac:dyDescent="0.25">
      <c r="A825218" s="242"/>
    </row>
    <row r="825219" spans="1:1" x14ac:dyDescent="0.25">
      <c r="A825219" s="242"/>
    </row>
    <row r="825220" spans="1:1" x14ac:dyDescent="0.25">
      <c r="A825220" s="242"/>
    </row>
    <row r="825221" spans="1:1" x14ac:dyDescent="0.25">
      <c r="A825221" s="242"/>
    </row>
    <row r="825222" spans="1:1" x14ac:dyDescent="0.25">
      <c r="A825222" s="242"/>
    </row>
    <row r="825223" spans="1:1" x14ac:dyDescent="0.25">
      <c r="A825223" s="242"/>
    </row>
    <row r="825224" spans="1:1" x14ac:dyDescent="0.25">
      <c r="A825224" s="242"/>
    </row>
    <row r="825225" spans="1:1" x14ac:dyDescent="0.25">
      <c r="A825225" s="242"/>
    </row>
    <row r="825226" spans="1:1" x14ac:dyDescent="0.25">
      <c r="A825226" s="242"/>
    </row>
    <row r="825227" spans="1:1" x14ac:dyDescent="0.25">
      <c r="A825227" s="242"/>
    </row>
    <row r="825228" spans="1:1" x14ac:dyDescent="0.25">
      <c r="A825228" s="242"/>
    </row>
    <row r="825229" spans="1:1" x14ac:dyDescent="0.25">
      <c r="A825229" s="242"/>
    </row>
    <row r="825230" spans="1:1" x14ac:dyDescent="0.25">
      <c r="A825230" s="242"/>
    </row>
    <row r="825231" spans="1:1" x14ac:dyDescent="0.25">
      <c r="A825231" s="242"/>
    </row>
    <row r="825232" spans="1:1" x14ac:dyDescent="0.25">
      <c r="A825232" s="242"/>
    </row>
    <row r="825233" spans="1:1" x14ac:dyDescent="0.25">
      <c r="A825233" s="242"/>
    </row>
    <row r="825234" spans="1:1" x14ac:dyDescent="0.25">
      <c r="A825234" s="242"/>
    </row>
    <row r="825235" spans="1:1" x14ac:dyDescent="0.25">
      <c r="A825235" s="242"/>
    </row>
    <row r="825236" spans="1:1" x14ac:dyDescent="0.25">
      <c r="A825236" s="242"/>
    </row>
    <row r="825237" spans="1:1" x14ac:dyDescent="0.25">
      <c r="A825237" s="242"/>
    </row>
    <row r="825238" spans="1:1" x14ac:dyDescent="0.25">
      <c r="A825238" s="242"/>
    </row>
    <row r="825239" spans="1:1" x14ac:dyDescent="0.25">
      <c r="A825239" s="242"/>
    </row>
    <row r="825240" spans="1:1" x14ac:dyDescent="0.25">
      <c r="A825240" s="242"/>
    </row>
    <row r="825241" spans="1:1" x14ac:dyDescent="0.25">
      <c r="A825241" s="242"/>
    </row>
    <row r="825242" spans="1:1" x14ac:dyDescent="0.25">
      <c r="A825242" s="242"/>
    </row>
    <row r="825243" spans="1:1" x14ac:dyDescent="0.25">
      <c r="A825243" s="242"/>
    </row>
    <row r="825244" spans="1:1" x14ac:dyDescent="0.25">
      <c r="A825244" s="242"/>
    </row>
    <row r="825245" spans="1:1" x14ac:dyDescent="0.25">
      <c r="A825245" s="242"/>
    </row>
    <row r="825246" spans="1:1" x14ac:dyDescent="0.25">
      <c r="A825246" s="242"/>
    </row>
    <row r="825247" spans="1:1" x14ac:dyDescent="0.25">
      <c r="A825247" s="242"/>
    </row>
    <row r="825248" spans="1:1" x14ac:dyDescent="0.25">
      <c r="A825248" s="242"/>
    </row>
    <row r="825249" spans="1:1" x14ac:dyDescent="0.25">
      <c r="A825249" s="242"/>
    </row>
    <row r="825250" spans="1:1" x14ac:dyDescent="0.25">
      <c r="A825250" s="242"/>
    </row>
    <row r="825251" spans="1:1" x14ac:dyDescent="0.25">
      <c r="A825251" s="242"/>
    </row>
    <row r="825252" spans="1:1" x14ac:dyDescent="0.25">
      <c r="A825252" s="242"/>
    </row>
    <row r="825253" spans="1:1" x14ac:dyDescent="0.25">
      <c r="A825253" s="242"/>
    </row>
    <row r="825254" spans="1:1" x14ac:dyDescent="0.25">
      <c r="A825254" s="242"/>
    </row>
    <row r="825255" spans="1:1" x14ac:dyDescent="0.25">
      <c r="A825255" s="242"/>
    </row>
    <row r="825256" spans="1:1" x14ac:dyDescent="0.25">
      <c r="A825256" s="242"/>
    </row>
    <row r="825257" spans="1:1" x14ac:dyDescent="0.25">
      <c r="A825257" s="242"/>
    </row>
    <row r="825258" spans="1:1" x14ac:dyDescent="0.25">
      <c r="A825258" s="242"/>
    </row>
    <row r="825259" spans="1:1" x14ac:dyDescent="0.25">
      <c r="A825259" s="242"/>
    </row>
    <row r="825260" spans="1:1" x14ac:dyDescent="0.25">
      <c r="A825260" s="242"/>
    </row>
    <row r="825261" spans="1:1" x14ac:dyDescent="0.25">
      <c r="A825261" s="242"/>
    </row>
    <row r="825262" spans="1:1" x14ac:dyDescent="0.25">
      <c r="A825262" s="242"/>
    </row>
    <row r="825263" spans="1:1" x14ac:dyDescent="0.25">
      <c r="A825263" s="242"/>
    </row>
    <row r="825264" spans="1:1" x14ac:dyDescent="0.25">
      <c r="A825264" s="242"/>
    </row>
    <row r="825265" spans="1:1" x14ac:dyDescent="0.25">
      <c r="A825265" s="242"/>
    </row>
    <row r="825266" spans="1:1" x14ac:dyDescent="0.25">
      <c r="A825266" s="242"/>
    </row>
    <row r="825267" spans="1:1" x14ac:dyDescent="0.25">
      <c r="A825267" s="242"/>
    </row>
    <row r="825268" spans="1:1" x14ac:dyDescent="0.25">
      <c r="A825268" s="242"/>
    </row>
    <row r="825269" spans="1:1" x14ac:dyDescent="0.25">
      <c r="A825269" s="242"/>
    </row>
    <row r="825270" spans="1:1" x14ac:dyDescent="0.25">
      <c r="A825270" s="242"/>
    </row>
    <row r="825271" spans="1:1" x14ac:dyDescent="0.25">
      <c r="A825271" s="242"/>
    </row>
    <row r="825272" spans="1:1" x14ac:dyDescent="0.25">
      <c r="A825272" s="242"/>
    </row>
    <row r="825273" spans="1:1" x14ac:dyDescent="0.25">
      <c r="A825273" s="242"/>
    </row>
    <row r="825274" spans="1:1" x14ac:dyDescent="0.25">
      <c r="A825274" s="242"/>
    </row>
    <row r="825275" spans="1:1" x14ac:dyDescent="0.25">
      <c r="A825275" s="242"/>
    </row>
    <row r="825276" spans="1:1" x14ac:dyDescent="0.25">
      <c r="A825276" s="242"/>
    </row>
    <row r="825277" spans="1:1" x14ac:dyDescent="0.25">
      <c r="A825277" s="242"/>
    </row>
    <row r="825278" spans="1:1" x14ac:dyDescent="0.25">
      <c r="A825278" s="242"/>
    </row>
    <row r="825279" spans="1:1" x14ac:dyDescent="0.25">
      <c r="A825279" s="242"/>
    </row>
    <row r="825280" spans="1:1" x14ac:dyDescent="0.25">
      <c r="A825280" s="242"/>
    </row>
    <row r="825281" spans="1:1" x14ac:dyDescent="0.25">
      <c r="A825281" s="242"/>
    </row>
    <row r="825282" spans="1:1" x14ac:dyDescent="0.25">
      <c r="A825282" s="242"/>
    </row>
    <row r="825283" spans="1:1" x14ac:dyDescent="0.25">
      <c r="A825283" s="242"/>
    </row>
    <row r="825284" spans="1:1" x14ac:dyDescent="0.25">
      <c r="A825284" s="242"/>
    </row>
    <row r="825285" spans="1:1" x14ac:dyDescent="0.25">
      <c r="A825285" s="242"/>
    </row>
    <row r="825286" spans="1:1" x14ac:dyDescent="0.25">
      <c r="A825286" s="242"/>
    </row>
    <row r="825287" spans="1:1" x14ac:dyDescent="0.25">
      <c r="A825287" s="242"/>
    </row>
    <row r="825288" spans="1:1" x14ac:dyDescent="0.25">
      <c r="A825288" s="242"/>
    </row>
    <row r="825289" spans="1:1" x14ac:dyDescent="0.25">
      <c r="A825289" s="242"/>
    </row>
    <row r="825290" spans="1:1" x14ac:dyDescent="0.25">
      <c r="A825290" s="242"/>
    </row>
    <row r="825291" spans="1:1" x14ac:dyDescent="0.25">
      <c r="A825291" s="242"/>
    </row>
    <row r="825292" spans="1:1" x14ac:dyDescent="0.25">
      <c r="A825292" s="242"/>
    </row>
    <row r="825293" spans="1:1" x14ac:dyDescent="0.25">
      <c r="A825293" s="242"/>
    </row>
    <row r="825294" spans="1:1" x14ac:dyDescent="0.25">
      <c r="A825294" s="242"/>
    </row>
    <row r="825295" spans="1:1" x14ac:dyDescent="0.25">
      <c r="A825295" s="242"/>
    </row>
    <row r="825296" spans="1:1" x14ac:dyDescent="0.25">
      <c r="A825296" s="242"/>
    </row>
    <row r="825297" spans="1:1" x14ac:dyDescent="0.25">
      <c r="A825297" s="242"/>
    </row>
    <row r="825298" spans="1:1" x14ac:dyDescent="0.25">
      <c r="A825298" s="242"/>
    </row>
    <row r="825299" spans="1:1" x14ac:dyDescent="0.25">
      <c r="A825299" s="242"/>
    </row>
    <row r="825300" spans="1:1" x14ac:dyDescent="0.25">
      <c r="A825300" s="242"/>
    </row>
    <row r="825301" spans="1:1" x14ac:dyDescent="0.25">
      <c r="A825301" s="242"/>
    </row>
    <row r="825302" spans="1:1" x14ac:dyDescent="0.25">
      <c r="A825302" s="242"/>
    </row>
    <row r="825303" spans="1:1" x14ac:dyDescent="0.25">
      <c r="A825303" s="242"/>
    </row>
    <row r="825304" spans="1:1" x14ac:dyDescent="0.25">
      <c r="A825304" s="242"/>
    </row>
    <row r="825305" spans="1:1" x14ac:dyDescent="0.25">
      <c r="A825305" s="242"/>
    </row>
    <row r="825306" spans="1:1" x14ac:dyDescent="0.25">
      <c r="A825306" s="242"/>
    </row>
    <row r="825307" spans="1:1" x14ac:dyDescent="0.25">
      <c r="A825307" s="242"/>
    </row>
    <row r="825308" spans="1:1" x14ac:dyDescent="0.25">
      <c r="A825308" s="242"/>
    </row>
    <row r="825309" spans="1:1" x14ac:dyDescent="0.25">
      <c r="A825309" s="242"/>
    </row>
    <row r="825310" spans="1:1" x14ac:dyDescent="0.25">
      <c r="A825310" s="242"/>
    </row>
    <row r="825311" spans="1:1" x14ac:dyDescent="0.25">
      <c r="A825311" s="242"/>
    </row>
    <row r="825312" spans="1:1" x14ac:dyDescent="0.25">
      <c r="A825312" s="242"/>
    </row>
    <row r="825313" spans="1:1" x14ac:dyDescent="0.25">
      <c r="A825313" s="242"/>
    </row>
    <row r="825314" spans="1:1" x14ac:dyDescent="0.25">
      <c r="A825314" s="242"/>
    </row>
    <row r="825315" spans="1:1" x14ac:dyDescent="0.25">
      <c r="A825315" s="242"/>
    </row>
    <row r="825316" spans="1:1" x14ac:dyDescent="0.25">
      <c r="A825316" s="242"/>
    </row>
    <row r="825317" spans="1:1" x14ac:dyDescent="0.25">
      <c r="A825317" s="242"/>
    </row>
    <row r="825318" spans="1:1" x14ac:dyDescent="0.25">
      <c r="A825318" s="242"/>
    </row>
    <row r="825319" spans="1:1" x14ac:dyDescent="0.25">
      <c r="A825319" s="242"/>
    </row>
    <row r="825320" spans="1:1" x14ac:dyDescent="0.25">
      <c r="A825320" s="242"/>
    </row>
    <row r="825321" spans="1:1" x14ac:dyDescent="0.25">
      <c r="A825321" s="242"/>
    </row>
    <row r="825322" spans="1:1" x14ac:dyDescent="0.25">
      <c r="A825322" s="242"/>
    </row>
    <row r="825323" spans="1:1" x14ac:dyDescent="0.25">
      <c r="A825323" s="242"/>
    </row>
    <row r="825324" spans="1:1" x14ac:dyDescent="0.25">
      <c r="A825324" s="242"/>
    </row>
    <row r="825325" spans="1:1" x14ac:dyDescent="0.25">
      <c r="A825325" s="242"/>
    </row>
    <row r="825326" spans="1:1" x14ac:dyDescent="0.25">
      <c r="A825326" s="242"/>
    </row>
    <row r="825327" spans="1:1" x14ac:dyDescent="0.25">
      <c r="A825327" s="242"/>
    </row>
    <row r="825328" spans="1:1" x14ac:dyDescent="0.25">
      <c r="A825328" s="242"/>
    </row>
    <row r="825329" spans="1:1" x14ac:dyDescent="0.25">
      <c r="A825329" s="242"/>
    </row>
    <row r="825330" spans="1:1" x14ac:dyDescent="0.25">
      <c r="A825330" s="242"/>
    </row>
    <row r="825331" spans="1:1" x14ac:dyDescent="0.25">
      <c r="A825331" s="242"/>
    </row>
    <row r="825332" spans="1:1" x14ac:dyDescent="0.25">
      <c r="A825332" s="242"/>
    </row>
    <row r="825333" spans="1:1" x14ac:dyDescent="0.25">
      <c r="A825333" s="242"/>
    </row>
    <row r="825334" spans="1:1" x14ac:dyDescent="0.25">
      <c r="A825334" s="242"/>
    </row>
    <row r="825335" spans="1:1" x14ac:dyDescent="0.25">
      <c r="A825335" s="242"/>
    </row>
    <row r="825336" spans="1:1" x14ac:dyDescent="0.25">
      <c r="A825336" s="242"/>
    </row>
    <row r="825337" spans="1:1" x14ac:dyDescent="0.25">
      <c r="A825337" s="242"/>
    </row>
    <row r="825338" spans="1:1" x14ac:dyDescent="0.25">
      <c r="A825338" s="242"/>
    </row>
    <row r="825339" spans="1:1" x14ac:dyDescent="0.25">
      <c r="A825339" s="242"/>
    </row>
    <row r="825340" spans="1:1" x14ac:dyDescent="0.25">
      <c r="A825340" s="242"/>
    </row>
    <row r="825341" spans="1:1" x14ac:dyDescent="0.25">
      <c r="A825341" s="242"/>
    </row>
    <row r="825342" spans="1:1" x14ac:dyDescent="0.25">
      <c r="A825342" s="242"/>
    </row>
    <row r="825343" spans="1:1" x14ac:dyDescent="0.25">
      <c r="A825343" s="242"/>
    </row>
    <row r="825344" spans="1:1" x14ac:dyDescent="0.25">
      <c r="A825344" s="242"/>
    </row>
    <row r="825345" spans="1:1" x14ac:dyDescent="0.25">
      <c r="A825345" s="242"/>
    </row>
    <row r="825346" spans="1:1" x14ac:dyDescent="0.25">
      <c r="A825346" s="242"/>
    </row>
    <row r="825347" spans="1:1" x14ac:dyDescent="0.25">
      <c r="A825347" s="242"/>
    </row>
    <row r="825348" spans="1:1" x14ac:dyDescent="0.25">
      <c r="A825348" s="242"/>
    </row>
    <row r="825349" spans="1:1" x14ac:dyDescent="0.25">
      <c r="A825349" s="242"/>
    </row>
    <row r="825350" spans="1:1" x14ac:dyDescent="0.25">
      <c r="A825350" s="242"/>
    </row>
    <row r="825351" spans="1:1" x14ac:dyDescent="0.25">
      <c r="A825351" s="242"/>
    </row>
    <row r="825352" spans="1:1" x14ac:dyDescent="0.25">
      <c r="A825352" s="242"/>
    </row>
    <row r="825353" spans="1:1" x14ac:dyDescent="0.25">
      <c r="A825353" s="242"/>
    </row>
    <row r="825354" spans="1:1" x14ac:dyDescent="0.25">
      <c r="A825354" s="242"/>
    </row>
    <row r="825355" spans="1:1" x14ac:dyDescent="0.25">
      <c r="A825355" s="242"/>
    </row>
    <row r="825356" spans="1:1" x14ac:dyDescent="0.25">
      <c r="A825356" s="242"/>
    </row>
    <row r="825357" spans="1:1" x14ac:dyDescent="0.25">
      <c r="A825357" s="242"/>
    </row>
    <row r="825358" spans="1:1" x14ac:dyDescent="0.25">
      <c r="A825358" s="242"/>
    </row>
    <row r="825359" spans="1:1" x14ac:dyDescent="0.25">
      <c r="A825359" s="242"/>
    </row>
    <row r="825360" spans="1:1" x14ac:dyDescent="0.25">
      <c r="A825360" s="242"/>
    </row>
    <row r="825361" spans="1:1" x14ac:dyDescent="0.25">
      <c r="A825361" s="242"/>
    </row>
    <row r="825362" spans="1:1" x14ac:dyDescent="0.25">
      <c r="A825362" s="242"/>
    </row>
    <row r="825363" spans="1:1" x14ac:dyDescent="0.25">
      <c r="A825363" s="242"/>
    </row>
    <row r="825364" spans="1:1" x14ac:dyDescent="0.25">
      <c r="A825364" s="242"/>
    </row>
    <row r="825365" spans="1:1" x14ac:dyDescent="0.25">
      <c r="A825365" s="242"/>
    </row>
    <row r="825366" spans="1:1" x14ac:dyDescent="0.25">
      <c r="A825366" s="242"/>
    </row>
    <row r="825367" spans="1:1" x14ac:dyDescent="0.25">
      <c r="A825367" s="242"/>
    </row>
    <row r="825368" spans="1:1" x14ac:dyDescent="0.25">
      <c r="A825368" s="242"/>
    </row>
    <row r="825369" spans="1:1" x14ac:dyDescent="0.25">
      <c r="A825369" s="242"/>
    </row>
    <row r="825370" spans="1:1" x14ac:dyDescent="0.25">
      <c r="A825370" s="242"/>
    </row>
    <row r="825371" spans="1:1" x14ac:dyDescent="0.25">
      <c r="A825371" s="242"/>
    </row>
    <row r="825372" spans="1:1" x14ac:dyDescent="0.25">
      <c r="A825372" s="242"/>
    </row>
    <row r="825373" spans="1:1" x14ac:dyDescent="0.25">
      <c r="A825373" s="242"/>
    </row>
    <row r="825374" spans="1:1" x14ac:dyDescent="0.25">
      <c r="A825374" s="242"/>
    </row>
    <row r="825375" spans="1:1" x14ac:dyDescent="0.25">
      <c r="A825375" s="242"/>
    </row>
    <row r="825376" spans="1:1" x14ac:dyDescent="0.25">
      <c r="A825376" s="242"/>
    </row>
    <row r="825377" spans="1:1" x14ac:dyDescent="0.25">
      <c r="A825377" s="242"/>
    </row>
    <row r="825378" spans="1:1" x14ac:dyDescent="0.25">
      <c r="A825378" s="242"/>
    </row>
    <row r="825379" spans="1:1" x14ac:dyDescent="0.25">
      <c r="A825379" s="242"/>
    </row>
    <row r="825380" spans="1:1" x14ac:dyDescent="0.25">
      <c r="A825380" s="242"/>
    </row>
    <row r="825381" spans="1:1" x14ac:dyDescent="0.25">
      <c r="A825381" s="242"/>
    </row>
    <row r="825382" spans="1:1" x14ac:dyDescent="0.25">
      <c r="A825382" s="242"/>
    </row>
    <row r="825383" spans="1:1" x14ac:dyDescent="0.25">
      <c r="A825383" s="242"/>
    </row>
    <row r="825384" spans="1:1" x14ac:dyDescent="0.25">
      <c r="A825384" s="242"/>
    </row>
    <row r="825385" spans="1:1" x14ac:dyDescent="0.25">
      <c r="A825385" s="242"/>
    </row>
    <row r="825386" spans="1:1" x14ac:dyDescent="0.25">
      <c r="A825386" s="242"/>
    </row>
    <row r="825387" spans="1:1" x14ac:dyDescent="0.25">
      <c r="A825387" s="242"/>
    </row>
    <row r="825388" spans="1:1" x14ac:dyDescent="0.25">
      <c r="A825388" s="242"/>
    </row>
    <row r="825389" spans="1:1" x14ac:dyDescent="0.25">
      <c r="A825389" s="242"/>
    </row>
    <row r="825390" spans="1:1" x14ac:dyDescent="0.25">
      <c r="A825390" s="242"/>
    </row>
    <row r="825391" spans="1:1" x14ac:dyDescent="0.25">
      <c r="A825391" s="242"/>
    </row>
    <row r="825392" spans="1:1" x14ac:dyDescent="0.25">
      <c r="A825392" s="242"/>
    </row>
    <row r="825393" spans="1:1" x14ac:dyDescent="0.25">
      <c r="A825393" s="242"/>
    </row>
    <row r="825394" spans="1:1" x14ac:dyDescent="0.25">
      <c r="A825394" s="242"/>
    </row>
    <row r="825395" spans="1:1" x14ac:dyDescent="0.25">
      <c r="A825395" s="242"/>
    </row>
    <row r="825396" spans="1:1" x14ac:dyDescent="0.25">
      <c r="A825396" s="242"/>
    </row>
    <row r="825397" spans="1:1" x14ac:dyDescent="0.25">
      <c r="A825397" s="242"/>
    </row>
    <row r="825398" spans="1:1" x14ac:dyDescent="0.25">
      <c r="A825398" s="242"/>
    </row>
    <row r="825399" spans="1:1" x14ac:dyDescent="0.25">
      <c r="A825399" s="242"/>
    </row>
    <row r="825400" spans="1:1" x14ac:dyDescent="0.25">
      <c r="A825400" s="242"/>
    </row>
    <row r="825401" spans="1:1" x14ac:dyDescent="0.25">
      <c r="A825401" s="242"/>
    </row>
    <row r="825402" spans="1:1" x14ac:dyDescent="0.25">
      <c r="A825402" s="242"/>
    </row>
    <row r="825403" spans="1:1" x14ac:dyDescent="0.25">
      <c r="A825403" s="242"/>
    </row>
    <row r="825404" spans="1:1" x14ac:dyDescent="0.25">
      <c r="A825404" s="242"/>
    </row>
    <row r="825405" spans="1:1" x14ac:dyDescent="0.25">
      <c r="A825405" s="242"/>
    </row>
    <row r="825406" spans="1:1" x14ac:dyDescent="0.25">
      <c r="A825406" s="242"/>
    </row>
    <row r="825407" spans="1:1" x14ac:dyDescent="0.25">
      <c r="A825407" s="242"/>
    </row>
    <row r="825408" spans="1:1" x14ac:dyDescent="0.25">
      <c r="A825408" s="242"/>
    </row>
    <row r="825409" spans="1:1" x14ac:dyDescent="0.25">
      <c r="A825409" s="242"/>
    </row>
    <row r="825410" spans="1:1" x14ac:dyDescent="0.25">
      <c r="A825410" s="242"/>
    </row>
    <row r="825411" spans="1:1" x14ac:dyDescent="0.25">
      <c r="A825411" s="242"/>
    </row>
    <row r="825412" spans="1:1" x14ac:dyDescent="0.25">
      <c r="A825412" s="242"/>
    </row>
    <row r="825413" spans="1:1" x14ac:dyDescent="0.25">
      <c r="A825413" s="242"/>
    </row>
    <row r="825414" spans="1:1" x14ac:dyDescent="0.25">
      <c r="A825414" s="242"/>
    </row>
    <row r="825415" spans="1:1" x14ac:dyDescent="0.25">
      <c r="A825415" s="242"/>
    </row>
    <row r="825416" spans="1:1" x14ac:dyDescent="0.25">
      <c r="A825416" s="242"/>
    </row>
    <row r="825417" spans="1:1" x14ac:dyDescent="0.25">
      <c r="A825417" s="242"/>
    </row>
    <row r="825418" spans="1:1" x14ac:dyDescent="0.25">
      <c r="A825418" s="242"/>
    </row>
    <row r="825419" spans="1:1" x14ac:dyDescent="0.25">
      <c r="A825419" s="242"/>
    </row>
    <row r="825420" spans="1:1" x14ac:dyDescent="0.25">
      <c r="A825420" s="242"/>
    </row>
    <row r="825421" spans="1:1" x14ac:dyDescent="0.25">
      <c r="A825421" s="242"/>
    </row>
    <row r="825422" spans="1:1" x14ac:dyDescent="0.25">
      <c r="A825422" s="242"/>
    </row>
    <row r="825423" spans="1:1" x14ac:dyDescent="0.25">
      <c r="A825423" s="242"/>
    </row>
    <row r="825424" spans="1:1" x14ac:dyDescent="0.25">
      <c r="A825424" s="242"/>
    </row>
    <row r="825425" spans="1:1" x14ac:dyDescent="0.25">
      <c r="A825425" s="242"/>
    </row>
    <row r="825426" spans="1:1" x14ac:dyDescent="0.25">
      <c r="A825426" s="242"/>
    </row>
    <row r="825427" spans="1:1" x14ac:dyDescent="0.25">
      <c r="A825427" s="242"/>
    </row>
    <row r="825428" spans="1:1" x14ac:dyDescent="0.25">
      <c r="A825428" s="242"/>
    </row>
    <row r="825429" spans="1:1" x14ac:dyDescent="0.25">
      <c r="A825429" s="242"/>
    </row>
    <row r="825430" spans="1:1" x14ac:dyDescent="0.25">
      <c r="A825430" s="242"/>
    </row>
    <row r="825431" spans="1:1" x14ac:dyDescent="0.25">
      <c r="A825431" s="242"/>
    </row>
    <row r="825432" spans="1:1" x14ac:dyDescent="0.25">
      <c r="A825432" s="242"/>
    </row>
    <row r="825433" spans="1:1" x14ac:dyDescent="0.25">
      <c r="A825433" s="242"/>
    </row>
    <row r="825434" spans="1:1" x14ac:dyDescent="0.25">
      <c r="A825434" s="242"/>
    </row>
    <row r="825435" spans="1:1" x14ac:dyDescent="0.25">
      <c r="A825435" s="242"/>
    </row>
    <row r="825436" spans="1:1" x14ac:dyDescent="0.25">
      <c r="A825436" s="242"/>
    </row>
    <row r="825437" spans="1:1" x14ac:dyDescent="0.25">
      <c r="A825437" s="242"/>
    </row>
    <row r="825438" spans="1:1" x14ac:dyDescent="0.25">
      <c r="A825438" s="242"/>
    </row>
    <row r="825439" spans="1:1" x14ac:dyDescent="0.25">
      <c r="A825439" s="242"/>
    </row>
    <row r="825440" spans="1:1" x14ac:dyDescent="0.25">
      <c r="A825440" s="242"/>
    </row>
    <row r="825441" spans="1:1" x14ac:dyDescent="0.25">
      <c r="A825441" s="242"/>
    </row>
    <row r="825442" spans="1:1" x14ac:dyDescent="0.25">
      <c r="A825442" s="242"/>
    </row>
    <row r="825443" spans="1:1" x14ac:dyDescent="0.25">
      <c r="A825443" s="242"/>
    </row>
    <row r="825444" spans="1:1" x14ac:dyDescent="0.25">
      <c r="A825444" s="242"/>
    </row>
    <row r="825445" spans="1:1" x14ac:dyDescent="0.25">
      <c r="A825445" s="242"/>
    </row>
    <row r="825446" spans="1:1" x14ac:dyDescent="0.25">
      <c r="A825446" s="242"/>
    </row>
    <row r="825447" spans="1:1" x14ac:dyDescent="0.25">
      <c r="A825447" s="242"/>
    </row>
    <row r="825448" spans="1:1" x14ac:dyDescent="0.25">
      <c r="A825448" s="242"/>
    </row>
    <row r="825449" spans="1:1" x14ac:dyDescent="0.25">
      <c r="A825449" s="242"/>
    </row>
    <row r="825450" spans="1:1" x14ac:dyDescent="0.25">
      <c r="A825450" s="242"/>
    </row>
    <row r="825451" spans="1:1" x14ac:dyDescent="0.25">
      <c r="A825451" s="242"/>
    </row>
    <row r="825452" spans="1:1" x14ac:dyDescent="0.25">
      <c r="A825452" s="242"/>
    </row>
    <row r="825453" spans="1:1" x14ac:dyDescent="0.25">
      <c r="A825453" s="242"/>
    </row>
    <row r="825454" spans="1:1" x14ac:dyDescent="0.25">
      <c r="A825454" s="242"/>
    </row>
    <row r="825455" spans="1:1" x14ac:dyDescent="0.25">
      <c r="A825455" s="242"/>
    </row>
    <row r="825456" spans="1:1" x14ac:dyDescent="0.25">
      <c r="A825456" s="242"/>
    </row>
    <row r="825457" spans="1:1" x14ac:dyDescent="0.25">
      <c r="A825457" s="242"/>
    </row>
    <row r="825458" spans="1:1" x14ac:dyDescent="0.25">
      <c r="A825458" s="242"/>
    </row>
    <row r="825459" spans="1:1" x14ac:dyDescent="0.25">
      <c r="A825459" s="242"/>
    </row>
    <row r="825460" spans="1:1" x14ac:dyDescent="0.25">
      <c r="A825460" s="242"/>
    </row>
    <row r="825461" spans="1:1" x14ac:dyDescent="0.25">
      <c r="A825461" s="242"/>
    </row>
    <row r="825462" spans="1:1" x14ac:dyDescent="0.25">
      <c r="A825462" s="242"/>
    </row>
    <row r="825463" spans="1:1" x14ac:dyDescent="0.25">
      <c r="A825463" s="242"/>
    </row>
    <row r="825464" spans="1:1" x14ac:dyDescent="0.25">
      <c r="A825464" s="242"/>
    </row>
    <row r="825465" spans="1:1" x14ac:dyDescent="0.25">
      <c r="A825465" s="242"/>
    </row>
    <row r="825466" spans="1:1" x14ac:dyDescent="0.25">
      <c r="A825466" s="242"/>
    </row>
    <row r="825467" spans="1:1" x14ac:dyDescent="0.25">
      <c r="A825467" s="242"/>
    </row>
    <row r="825468" spans="1:1" x14ac:dyDescent="0.25">
      <c r="A825468" s="242"/>
    </row>
    <row r="825469" spans="1:1" x14ac:dyDescent="0.25">
      <c r="A825469" s="242"/>
    </row>
    <row r="825470" spans="1:1" x14ac:dyDescent="0.25">
      <c r="A825470" s="242"/>
    </row>
    <row r="825471" spans="1:1" x14ac:dyDescent="0.25">
      <c r="A825471" s="242"/>
    </row>
    <row r="825472" spans="1:1" x14ac:dyDescent="0.25">
      <c r="A825472" s="242"/>
    </row>
    <row r="825473" spans="1:1" x14ac:dyDescent="0.25">
      <c r="A825473" s="242"/>
    </row>
    <row r="825474" spans="1:1" x14ac:dyDescent="0.25">
      <c r="A825474" s="242"/>
    </row>
    <row r="825475" spans="1:1" x14ac:dyDescent="0.25">
      <c r="A825475" s="242"/>
    </row>
    <row r="825476" spans="1:1" x14ac:dyDescent="0.25">
      <c r="A825476" s="242"/>
    </row>
    <row r="825477" spans="1:1" x14ac:dyDescent="0.25">
      <c r="A825477" s="242"/>
    </row>
    <row r="825478" spans="1:1" x14ac:dyDescent="0.25">
      <c r="A825478" s="242"/>
    </row>
    <row r="825479" spans="1:1" x14ac:dyDescent="0.25">
      <c r="A825479" s="242"/>
    </row>
    <row r="825480" spans="1:1" x14ac:dyDescent="0.25">
      <c r="A825480" s="242"/>
    </row>
    <row r="825481" spans="1:1" x14ac:dyDescent="0.25">
      <c r="A825481" s="242"/>
    </row>
    <row r="825482" spans="1:1" x14ac:dyDescent="0.25">
      <c r="A825482" s="242"/>
    </row>
    <row r="825483" spans="1:1" x14ac:dyDescent="0.25">
      <c r="A825483" s="242"/>
    </row>
    <row r="825484" spans="1:1" x14ac:dyDescent="0.25">
      <c r="A825484" s="242"/>
    </row>
    <row r="825485" spans="1:1" x14ac:dyDescent="0.25">
      <c r="A825485" s="242"/>
    </row>
    <row r="825486" spans="1:1" x14ac:dyDescent="0.25">
      <c r="A825486" s="242"/>
    </row>
    <row r="825487" spans="1:1" x14ac:dyDescent="0.25">
      <c r="A825487" s="242"/>
    </row>
    <row r="825488" spans="1:1" x14ac:dyDescent="0.25">
      <c r="A825488" s="242"/>
    </row>
    <row r="825489" spans="1:1" x14ac:dyDescent="0.25">
      <c r="A825489" s="242"/>
    </row>
    <row r="825490" spans="1:1" x14ac:dyDescent="0.25">
      <c r="A825490" s="242"/>
    </row>
    <row r="825491" spans="1:1" x14ac:dyDescent="0.25">
      <c r="A825491" s="242"/>
    </row>
    <row r="825492" spans="1:1" x14ac:dyDescent="0.25">
      <c r="A825492" s="242"/>
    </row>
    <row r="825493" spans="1:1" x14ac:dyDescent="0.25">
      <c r="A825493" s="242"/>
    </row>
    <row r="825494" spans="1:1" x14ac:dyDescent="0.25">
      <c r="A825494" s="242"/>
    </row>
    <row r="825495" spans="1:1" x14ac:dyDescent="0.25">
      <c r="A825495" s="242"/>
    </row>
    <row r="825496" spans="1:1" x14ac:dyDescent="0.25">
      <c r="A825496" s="242"/>
    </row>
    <row r="825497" spans="1:1" x14ac:dyDescent="0.25">
      <c r="A825497" s="242"/>
    </row>
    <row r="825498" spans="1:1" x14ac:dyDescent="0.25">
      <c r="A825498" s="242"/>
    </row>
    <row r="825499" spans="1:1" x14ac:dyDescent="0.25">
      <c r="A825499" s="242"/>
    </row>
    <row r="825500" spans="1:1" x14ac:dyDescent="0.25">
      <c r="A825500" s="242"/>
    </row>
    <row r="825501" spans="1:1" x14ac:dyDescent="0.25">
      <c r="A825501" s="242"/>
    </row>
    <row r="825502" spans="1:1" x14ac:dyDescent="0.25">
      <c r="A825502" s="242"/>
    </row>
    <row r="825503" spans="1:1" x14ac:dyDescent="0.25">
      <c r="A825503" s="242"/>
    </row>
    <row r="825504" spans="1:1" x14ac:dyDescent="0.25">
      <c r="A825504" s="242"/>
    </row>
    <row r="825505" spans="1:1" x14ac:dyDescent="0.25">
      <c r="A825505" s="242"/>
    </row>
    <row r="825506" spans="1:1" x14ac:dyDescent="0.25">
      <c r="A825506" s="242"/>
    </row>
    <row r="825507" spans="1:1" x14ac:dyDescent="0.25">
      <c r="A825507" s="242"/>
    </row>
    <row r="825508" spans="1:1" x14ac:dyDescent="0.25">
      <c r="A825508" s="242"/>
    </row>
    <row r="825509" spans="1:1" x14ac:dyDescent="0.25">
      <c r="A825509" s="242"/>
    </row>
    <row r="825510" spans="1:1" x14ac:dyDescent="0.25">
      <c r="A825510" s="242"/>
    </row>
    <row r="825511" spans="1:1" x14ac:dyDescent="0.25">
      <c r="A825511" s="242"/>
    </row>
    <row r="825512" spans="1:1" x14ac:dyDescent="0.25">
      <c r="A825512" s="242"/>
    </row>
    <row r="825513" spans="1:1" x14ac:dyDescent="0.25">
      <c r="A825513" s="242"/>
    </row>
    <row r="825514" spans="1:1" x14ac:dyDescent="0.25">
      <c r="A825514" s="242"/>
    </row>
    <row r="825515" spans="1:1" x14ac:dyDescent="0.25">
      <c r="A825515" s="242"/>
    </row>
    <row r="825516" spans="1:1" x14ac:dyDescent="0.25">
      <c r="A825516" s="242"/>
    </row>
    <row r="825517" spans="1:1" x14ac:dyDescent="0.25">
      <c r="A825517" s="242"/>
    </row>
    <row r="825518" spans="1:1" x14ac:dyDescent="0.25">
      <c r="A825518" s="242"/>
    </row>
    <row r="825519" spans="1:1" x14ac:dyDescent="0.25">
      <c r="A825519" s="242"/>
    </row>
    <row r="825520" spans="1:1" x14ac:dyDescent="0.25">
      <c r="A825520" s="242"/>
    </row>
    <row r="825521" spans="1:1" x14ac:dyDescent="0.25">
      <c r="A825521" s="242"/>
    </row>
    <row r="825522" spans="1:1" x14ac:dyDescent="0.25">
      <c r="A825522" s="242"/>
    </row>
    <row r="825523" spans="1:1" x14ac:dyDescent="0.25">
      <c r="A825523" s="242"/>
    </row>
    <row r="825524" spans="1:1" x14ac:dyDescent="0.25">
      <c r="A825524" s="242"/>
    </row>
    <row r="825525" spans="1:1" x14ac:dyDescent="0.25">
      <c r="A825525" s="242"/>
    </row>
    <row r="825526" spans="1:1" x14ac:dyDescent="0.25">
      <c r="A825526" s="242"/>
    </row>
    <row r="825527" spans="1:1" x14ac:dyDescent="0.25">
      <c r="A825527" s="242"/>
    </row>
    <row r="825528" spans="1:1" x14ac:dyDescent="0.25">
      <c r="A825528" s="242"/>
    </row>
    <row r="825529" spans="1:1" x14ac:dyDescent="0.25">
      <c r="A825529" s="242"/>
    </row>
    <row r="825530" spans="1:1" x14ac:dyDescent="0.25">
      <c r="A825530" s="242"/>
    </row>
    <row r="825531" spans="1:1" x14ac:dyDescent="0.25">
      <c r="A825531" s="242"/>
    </row>
    <row r="825532" spans="1:1" x14ac:dyDescent="0.25">
      <c r="A825532" s="242"/>
    </row>
    <row r="825533" spans="1:1" x14ac:dyDescent="0.25">
      <c r="A825533" s="242"/>
    </row>
    <row r="825534" spans="1:1" x14ac:dyDescent="0.25">
      <c r="A825534" s="242"/>
    </row>
    <row r="825535" spans="1:1" x14ac:dyDescent="0.25">
      <c r="A825535" s="242"/>
    </row>
    <row r="825536" spans="1:1" x14ac:dyDescent="0.25">
      <c r="A825536" s="242"/>
    </row>
    <row r="825537" spans="1:1" x14ac:dyDescent="0.25">
      <c r="A825537" s="242"/>
    </row>
    <row r="825538" spans="1:1" x14ac:dyDescent="0.25">
      <c r="A825538" s="242"/>
    </row>
    <row r="825539" spans="1:1" x14ac:dyDescent="0.25">
      <c r="A825539" s="242"/>
    </row>
    <row r="825540" spans="1:1" x14ac:dyDescent="0.25">
      <c r="A825540" s="242"/>
    </row>
    <row r="825541" spans="1:1" x14ac:dyDescent="0.25">
      <c r="A825541" s="242"/>
    </row>
    <row r="825542" spans="1:1" x14ac:dyDescent="0.25">
      <c r="A825542" s="242"/>
    </row>
    <row r="825543" spans="1:1" x14ac:dyDescent="0.25">
      <c r="A825543" s="242"/>
    </row>
    <row r="825544" spans="1:1" x14ac:dyDescent="0.25">
      <c r="A825544" s="242"/>
    </row>
    <row r="825545" spans="1:1" x14ac:dyDescent="0.25">
      <c r="A825545" s="242"/>
    </row>
    <row r="825546" spans="1:1" x14ac:dyDescent="0.25">
      <c r="A825546" s="242"/>
    </row>
    <row r="825547" spans="1:1" x14ac:dyDescent="0.25">
      <c r="A825547" s="242"/>
    </row>
    <row r="825548" spans="1:1" x14ac:dyDescent="0.25">
      <c r="A825548" s="242"/>
    </row>
    <row r="825549" spans="1:1" x14ac:dyDescent="0.25">
      <c r="A825549" s="242"/>
    </row>
    <row r="825550" spans="1:1" x14ac:dyDescent="0.25">
      <c r="A825550" s="242"/>
    </row>
    <row r="825551" spans="1:1" x14ac:dyDescent="0.25">
      <c r="A825551" s="242"/>
    </row>
    <row r="825552" spans="1:1" x14ac:dyDescent="0.25">
      <c r="A825552" s="242"/>
    </row>
    <row r="825553" spans="1:1" x14ac:dyDescent="0.25">
      <c r="A825553" s="242"/>
    </row>
    <row r="825554" spans="1:1" x14ac:dyDescent="0.25">
      <c r="A825554" s="242"/>
    </row>
    <row r="825555" spans="1:1" x14ac:dyDescent="0.25">
      <c r="A825555" s="242"/>
    </row>
    <row r="825556" spans="1:1" x14ac:dyDescent="0.25">
      <c r="A825556" s="242"/>
    </row>
    <row r="825557" spans="1:1" x14ac:dyDescent="0.25">
      <c r="A825557" s="242"/>
    </row>
    <row r="825558" spans="1:1" x14ac:dyDescent="0.25">
      <c r="A825558" s="242"/>
    </row>
    <row r="825559" spans="1:1" x14ac:dyDescent="0.25">
      <c r="A825559" s="242"/>
    </row>
    <row r="825560" spans="1:1" x14ac:dyDescent="0.25">
      <c r="A825560" s="242"/>
    </row>
    <row r="825561" spans="1:1" x14ac:dyDescent="0.25">
      <c r="A825561" s="242"/>
    </row>
    <row r="825562" spans="1:1" x14ac:dyDescent="0.25">
      <c r="A825562" s="242"/>
    </row>
    <row r="825563" spans="1:1" x14ac:dyDescent="0.25">
      <c r="A825563" s="242"/>
    </row>
    <row r="825564" spans="1:1" x14ac:dyDescent="0.25">
      <c r="A825564" s="242"/>
    </row>
    <row r="825565" spans="1:1" x14ac:dyDescent="0.25">
      <c r="A825565" s="242"/>
    </row>
    <row r="825566" spans="1:1" x14ac:dyDescent="0.25">
      <c r="A825566" s="242"/>
    </row>
    <row r="825567" spans="1:1" x14ac:dyDescent="0.25">
      <c r="A825567" s="242"/>
    </row>
    <row r="825568" spans="1:1" x14ac:dyDescent="0.25">
      <c r="A825568" s="242"/>
    </row>
    <row r="825569" spans="1:1" x14ac:dyDescent="0.25">
      <c r="A825569" s="242"/>
    </row>
    <row r="825570" spans="1:1" x14ac:dyDescent="0.25">
      <c r="A825570" s="242"/>
    </row>
    <row r="825571" spans="1:1" x14ac:dyDescent="0.25">
      <c r="A825571" s="242"/>
    </row>
    <row r="825572" spans="1:1" x14ac:dyDescent="0.25">
      <c r="A825572" s="242"/>
    </row>
    <row r="825573" spans="1:1" x14ac:dyDescent="0.25">
      <c r="A825573" s="242"/>
    </row>
    <row r="825574" spans="1:1" x14ac:dyDescent="0.25">
      <c r="A825574" s="242"/>
    </row>
    <row r="825575" spans="1:1" x14ac:dyDescent="0.25">
      <c r="A825575" s="242"/>
    </row>
    <row r="825576" spans="1:1" x14ac:dyDescent="0.25">
      <c r="A825576" s="242"/>
    </row>
    <row r="825577" spans="1:1" x14ac:dyDescent="0.25">
      <c r="A825577" s="242"/>
    </row>
    <row r="825578" spans="1:1" x14ac:dyDescent="0.25">
      <c r="A825578" s="242"/>
    </row>
    <row r="825579" spans="1:1" x14ac:dyDescent="0.25">
      <c r="A825579" s="242"/>
    </row>
    <row r="825580" spans="1:1" x14ac:dyDescent="0.25">
      <c r="A825580" s="242"/>
    </row>
    <row r="825581" spans="1:1" x14ac:dyDescent="0.25">
      <c r="A825581" s="242"/>
    </row>
    <row r="825582" spans="1:1" x14ac:dyDescent="0.25">
      <c r="A825582" s="242"/>
    </row>
    <row r="825583" spans="1:1" x14ac:dyDescent="0.25">
      <c r="A825583" s="242"/>
    </row>
    <row r="825584" spans="1:1" x14ac:dyDescent="0.25">
      <c r="A825584" s="242"/>
    </row>
    <row r="825585" spans="1:1" x14ac:dyDescent="0.25">
      <c r="A825585" s="242"/>
    </row>
    <row r="825586" spans="1:1" x14ac:dyDescent="0.25">
      <c r="A825586" s="242"/>
    </row>
    <row r="825587" spans="1:1" x14ac:dyDescent="0.25">
      <c r="A825587" s="242"/>
    </row>
    <row r="825588" spans="1:1" x14ac:dyDescent="0.25">
      <c r="A825588" s="242"/>
    </row>
    <row r="825589" spans="1:1" x14ac:dyDescent="0.25">
      <c r="A825589" s="242"/>
    </row>
    <row r="825590" spans="1:1" x14ac:dyDescent="0.25">
      <c r="A825590" s="242"/>
    </row>
    <row r="825591" spans="1:1" x14ac:dyDescent="0.25">
      <c r="A825591" s="242"/>
    </row>
    <row r="825592" spans="1:1" x14ac:dyDescent="0.25">
      <c r="A825592" s="242"/>
    </row>
    <row r="825593" spans="1:1" x14ac:dyDescent="0.25">
      <c r="A825593" s="242"/>
    </row>
    <row r="825594" spans="1:1" x14ac:dyDescent="0.25">
      <c r="A825594" s="242"/>
    </row>
    <row r="825595" spans="1:1" x14ac:dyDescent="0.25">
      <c r="A825595" s="242"/>
    </row>
    <row r="825596" spans="1:1" x14ac:dyDescent="0.25">
      <c r="A825596" s="242"/>
    </row>
    <row r="825597" spans="1:1" x14ac:dyDescent="0.25">
      <c r="A825597" s="242"/>
    </row>
    <row r="825598" spans="1:1" x14ac:dyDescent="0.25">
      <c r="A825598" s="242"/>
    </row>
    <row r="825599" spans="1:1" x14ac:dyDescent="0.25">
      <c r="A825599" s="242"/>
    </row>
    <row r="825600" spans="1:1" x14ac:dyDescent="0.25">
      <c r="A825600" s="242"/>
    </row>
    <row r="825601" spans="1:1" x14ac:dyDescent="0.25">
      <c r="A825601" s="242"/>
    </row>
    <row r="825602" spans="1:1" x14ac:dyDescent="0.25">
      <c r="A825602" s="242"/>
    </row>
    <row r="825603" spans="1:1" x14ac:dyDescent="0.25">
      <c r="A825603" s="242"/>
    </row>
    <row r="825604" spans="1:1" x14ac:dyDescent="0.25">
      <c r="A825604" s="242"/>
    </row>
    <row r="825605" spans="1:1" x14ac:dyDescent="0.25">
      <c r="A825605" s="242"/>
    </row>
    <row r="825606" spans="1:1" x14ac:dyDescent="0.25">
      <c r="A825606" s="242"/>
    </row>
    <row r="825607" spans="1:1" x14ac:dyDescent="0.25">
      <c r="A825607" s="242"/>
    </row>
    <row r="825608" spans="1:1" x14ac:dyDescent="0.25">
      <c r="A825608" s="242"/>
    </row>
    <row r="825609" spans="1:1" x14ac:dyDescent="0.25">
      <c r="A825609" s="242"/>
    </row>
    <row r="825610" spans="1:1" x14ac:dyDescent="0.25">
      <c r="A825610" s="242"/>
    </row>
    <row r="825611" spans="1:1" x14ac:dyDescent="0.25">
      <c r="A825611" s="242"/>
    </row>
    <row r="825612" spans="1:1" x14ac:dyDescent="0.25">
      <c r="A825612" s="242"/>
    </row>
    <row r="825613" spans="1:1" x14ac:dyDescent="0.25">
      <c r="A825613" s="242"/>
    </row>
    <row r="825614" spans="1:1" x14ac:dyDescent="0.25">
      <c r="A825614" s="242"/>
    </row>
    <row r="825615" spans="1:1" x14ac:dyDescent="0.25">
      <c r="A825615" s="242"/>
    </row>
    <row r="825616" spans="1:1" x14ac:dyDescent="0.25">
      <c r="A825616" s="242"/>
    </row>
    <row r="825617" spans="1:1" x14ac:dyDescent="0.25">
      <c r="A825617" s="242"/>
    </row>
    <row r="825618" spans="1:1" x14ac:dyDescent="0.25">
      <c r="A825618" s="242"/>
    </row>
    <row r="825619" spans="1:1" x14ac:dyDescent="0.25">
      <c r="A825619" s="242"/>
    </row>
    <row r="825620" spans="1:1" x14ac:dyDescent="0.25">
      <c r="A825620" s="242"/>
    </row>
    <row r="825621" spans="1:1" x14ac:dyDescent="0.25">
      <c r="A825621" s="242"/>
    </row>
    <row r="825622" spans="1:1" x14ac:dyDescent="0.25">
      <c r="A825622" s="242"/>
    </row>
    <row r="825623" spans="1:1" x14ac:dyDescent="0.25">
      <c r="A825623" s="242"/>
    </row>
    <row r="825624" spans="1:1" x14ac:dyDescent="0.25">
      <c r="A825624" s="242"/>
    </row>
    <row r="825625" spans="1:1" x14ac:dyDescent="0.25">
      <c r="A825625" s="242"/>
    </row>
    <row r="825626" spans="1:1" x14ac:dyDescent="0.25">
      <c r="A825626" s="242"/>
    </row>
    <row r="825627" spans="1:1" x14ac:dyDescent="0.25">
      <c r="A825627" s="242"/>
    </row>
    <row r="825628" spans="1:1" x14ac:dyDescent="0.25">
      <c r="A825628" s="242"/>
    </row>
    <row r="825629" spans="1:1" x14ac:dyDescent="0.25">
      <c r="A825629" s="242"/>
    </row>
    <row r="825630" spans="1:1" x14ac:dyDescent="0.25">
      <c r="A825630" s="242"/>
    </row>
    <row r="825631" spans="1:1" x14ac:dyDescent="0.25">
      <c r="A825631" s="242"/>
    </row>
    <row r="825632" spans="1:1" x14ac:dyDescent="0.25">
      <c r="A825632" s="242"/>
    </row>
    <row r="825633" spans="1:1" x14ac:dyDescent="0.25">
      <c r="A825633" s="242"/>
    </row>
    <row r="825634" spans="1:1" x14ac:dyDescent="0.25">
      <c r="A825634" s="242"/>
    </row>
    <row r="825635" spans="1:1" x14ac:dyDescent="0.25">
      <c r="A825635" s="242"/>
    </row>
    <row r="825636" spans="1:1" x14ac:dyDescent="0.25">
      <c r="A825636" s="242"/>
    </row>
    <row r="825637" spans="1:1" x14ac:dyDescent="0.25">
      <c r="A825637" s="242"/>
    </row>
    <row r="825638" spans="1:1" x14ac:dyDescent="0.25">
      <c r="A825638" s="242"/>
    </row>
    <row r="825639" spans="1:1" x14ac:dyDescent="0.25">
      <c r="A825639" s="242"/>
    </row>
    <row r="825640" spans="1:1" x14ac:dyDescent="0.25">
      <c r="A825640" s="242"/>
    </row>
    <row r="825641" spans="1:1" x14ac:dyDescent="0.25">
      <c r="A825641" s="242"/>
    </row>
    <row r="825642" spans="1:1" x14ac:dyDescent="0.25">
      <c r="A825642" s="242"/>
    </row>
    <row r="825643" spans="1:1" x14ac:dyDescent="0.25">
      <c r="A825643" s="242"/>
    </row>
    <row r="825644" spans="1:1" x14ac:dyDescent="0.25">
      <c r="A825644" s="242"/>
    </row>
    <row r="825645" spans="1:1" x14ac:dyDescent="0.25">
      <c r="A825645" s="242"/>
    </row>
    <row r="825646" spans="1:1" x14ac:dyDescent="0.25">
      <c r="A825646" s="242"/>
    </row>
    <row r="825647" spans="1:1" x14ac:dyDescent="0.25">
      <c r="A825647" s="242"/>
    </row>
    <row r="825648" spans="1:1" x14ac:dyDescent="0.25">
      <c r="A825648" s="242"/>
    </row>
    <row r="825649" spans="1:1" x14ac:dyDescent="0.25">
      <c r="A825649" s="242"/>
    </row>
    <row r="825650" spans="1:1" x14ac:dyDescent="0.25">
      <c r="A825650" s="242"/>
    </row>
    <row r="825651" spans="1:1" x14ac:dyDescent="0.25">
      <c r="A825651" s="242"/>
    </row>
    <row r="825652" spans="1:1" x14ac:dyDescent="0.25">
      <c r="A825652" s="242"/>
    </row>
    <row r="825653" spans="1:1" x14ac:dyDescent="0.25">
      <c r="A825653" s="242"/>
    </row>
    <row r="825654" spans="1:1" x14ac:dyDescent="0.25">
      <c r="A825654" s="242"/>
    </row>
    <row r="825655" spans="1:1" x14ac:dyDescent="0.25">
      <c r="A825655" s="242"/>
    </row>
    <row r="825656" spans="1:1" x14ac:dyDescent="0.25">
      <c r="A825656" s="242"/>
    </row>
    <row r="825657" spans="1:1" x14ac:dyDescent="0.25">
      <c r="A825657" s="242"/>
    </row>
    <row r="825658" spans="1:1" x14ac:dyDescent="0.25">
      <c r="A825658" s="242"/>
    </row>
    <row r="825659" spans="1:1" x14ac:dyDescent="0.25">
      <c r="A825659" s="242"/>
    </row>
    <row r="825660" spans="1:1" x14ac:dyDescent="0.25">
      <c r="A825660" s="242"/>
    </row>
    <row r="825661" spans="1:1" x14ac:dyDescent="0.25">
      <c r="A825661" s="242"/>
    </row>
    <row r="825662" spans="1:1" x14ac:dyDescent="0.25">
      <c r="A825662" s="242"/>
    </row>
    <row r="825663" spans="1:1" x14ac:dyDescent="0.25">
      <c r="A825663" s="242"/>
    </row>
    <row r="825664" spans="1:1" x14ac:dyDescent="0.25">
      <c r="A825664" s="242"/>
    </row>
    <row r="825665" spans="1:1" x14ac:dyDescent="0.25">
      <c r="A825665" s="242"/>
    </row>
    <row r="825666" spans="1:1" x14ac:dyDescent="0.25">
      <c r="A825666" s="242"/>
    </row>
    <row r="825667" spans="1:1" x14ac:dyDescent="0.25">
      <c r="A825667" s="242"/>
    </row>
    <row r="825668" spans="1:1" x14ac:dyDescent="0.25">
      <c r="A825668" s="242"/>
    </row>
    <row r="825669" spans="1:1" x14ac:dyDescent="0.25">
      <c r="A825669" s="242"/>
    </row>
    <row r="825670" spans="1:1" x14ac:dyDescent="0.25">
      <c r="A825670" s="242"/>
    </row>
    <row r="825671" spans="1:1" x14ac:dyDescent="0.25">
      <c r="A825671" s="242"/>
    </row>
    <row r="825672" spans="1:1" x14ac:dyDescent="0.25">
      <c r="A825672" s="242"/>
    </row>
    <row r="825673" spans="1:1" x14ac:dyDescent="0.25">
      <c r="A825673" s="242"/>
    </row>
    <row r="825674" spans="1:1" x14ac:dyDescent="0.25">
      <c r="A825674" s="242"/>
    </row>
    <row r="825675" spans="1:1" x14ac:dyDescent="0.25">
      <c r="A825675" s="242"/>
    </row>
    <row r="825676" spans="1:1" x14ac:dyDescent="0.25">
      <c r="A825676" s="242"/>
    </row>
    <row r="825677" spans="1:1" x14ac:dyDescent="0.25">
      <c r="A825677" s="242"/>
    </row>
    <row r="825678" spans="1:1" x14ac:dyDescent="0.25">
      <c r="A825678" s="242"/>
    </row>
    <row r="825679" spans="1:1" x14ac:dyDescent="0.25">
      <c r="A825679" s="242"/>
    </row>
    <row r="825680" spans="1:1" x14ac:dyDescent="0.25">
      <c r="A825680" s="242"/>
    </row>
    <row r="825681" spans="1:1" x14ac:dyDescent="0.25">
      <c r="A825681" s="242"/>
    </row>
    <row r="825682" spans="1:1" x14ac:dyDescent="0.25">
      <c r="A825682" s="242"/>
    </row>
    <row r="825683" spans="1:1" x14ac:dyDescent="0.25">
      <c r="A825683" s="242"/>
    </row>
    <row r="825684" spans="1:1" x14ac:dyDescent="0.25">
      <c r="A825684" s="242"/>
    </row>
    <row r="825685" spans="1:1" x14ac:dyDescent="0.25">
      <c r="A825685" s="242"/>
    </row>
    <row r="825686" spans="1:1" x14ac:dyDescent="0.25">
      <c r="A825686" s="242"/>
    </row>
    <row r="825687" spans="1:1" x14ac:dyDescent="0.25">
      <c r="A825687" s="242"/>
    </row>
    <row r="825688" spans="1:1" x14ac:dyDescent="0.25">
      <c r="A825688" s="242"/>
    </row>
    <row r="825689" spans="1:1" x14ac:dyDescent="0.25">
      <c r="A825689" s="242"/>
    </row>
    <row r="825690" spans="1:1" x14ac:dyDescent="0.25">
      <c r="A825690" s="242"/>
    </row>
    <row r="825691" spans="1:1" x14ac:dyDescent="0.25">
      <c r="A825691" s="242"/>
    </row>
    <row r="825692" spans="1:1" x14ac:dyDescent="0.25">
      <c r="A825692" s="242"/>
    </row>
    <row r="825693" spans="1:1" x14ac:dyDescent="0.25">
      <c r="A825693" s="242"/>
    </row>
    <row r="825694" spans="1:1" x14ac:dyDescent="0.25">
      <c r="A825694" s="242"/>
    </row>
    <row r="825695" spans="1:1" x14ac:dyDescent="0.25">
      <c r="A825695" s="242"/>
    </row>
    <row r="825696" spans="1:1" x14ac:dyDescent="0.25">
      <c r="A825696" s="242"/>
    </row>
    <row r="825697" spans="1:1" x14ac:dyDescent="0.25">
      <c r="A825697" s="242"/>
    </row>
    <row r="825698" spans="1:1" x14ac:dyDescent="0.25">
      <c r="A825698" s="242"/>
    </row>
    <row r="825699" spans="1:1" x14ac:dyDescent="0.25">
      <c r="A825699" s="242"/>
    </row>
    <row r="825700" spans="1:1" x14ac:dyDescent="0.25">
      <c r="A825700" s="242"/>
    </row>
    <row r="825701" spans="1:1" x14ac:dyDescent="0.25">
      <c r="A825701" s="242"/>
    </row>
    <row r="825702" spans="1:1" x14ac:dyDescent="0.25">
      <c r="A825702" s="242"/>
    </row>
    <row r="825703" spans="1:1" x14ac:dyDescent="0.25">
      <c r="A825703" s="242"/>
    </row>
    <row r="825704" spans="1:1" x14ac:dyDescent="0.25">
      <c r="A825704" s="242"/>
    </row>
    <row r="825705" spans="1:1" x14ac:dyDescent="0.25">
      <c r="A825705" s="242"/>
    </row>
    <row r="825706" spans="1:1" x14ac:dyDescent="0.25">
      <c r="A825706" s="242"/>
    </row>
    <row r="825707" spans="1:1" x14ac:dyDescent="0.25">
      <c r="A825707" s="242"/>
    </row>
    <row r="825708" spans="1:1" x14ac:dyDescent="0.25">
      <c r="A825708" s="242"/>
    </row>
    <row r="825709" spans="1:1" x14ac:dyDescent="0.25">
      <c r="A825709" s="242"/>
    </row>
    <row r="825710" spans="1:1" x14ac:dyDescent="0.25">
      <c r="A825710" s="242"/>
    </row>
    <row r="825711" spans="1:1" x14ac:dyDescent="0.25">
      <c r="A825711" s="242"/>
    </row>
    <row r="825712" spans="1:1" x14ac:dyDescent="0.25">
      <c r="A825712" s="242"/>
    </row>
    <row r="825713" spans="1:1" x14ac:dyDescent="0.25">
      <c r="A825713" s="242"/>
    </row>
    <row r="825714" spans="1:1" x14ac:dyDescent="0.25">
      <c r="A825714" s="242"/>
    </row>
    <row r="825715" spans="1:1" x14ac:dyDescent="0.25">
      <c r="A825715" s="242"/>
    </row>
    <row r="825716" spans="1:1" x14ac:dyDescent="0.25">
      <c r="A825716" s="242"/>
    </row>
    <row r="825717" spans="1:1" x14ac:dyDescent="0.25">
      <c r="A825717" s="242"/>
    </row>
    <row r="825718" spans="1:1" x14ac:dyDescent="0.25">
      <c r="A825718" s="242"/>
    </row>
    <row r="825719" spans="1:1" x14ac:dyDescent="0.25">
      <c r="A825719" s="242"/>
    </row>
    <row r="825720" spans="1:1" x14ac:dyDescent="0.25">
      <c r="A825720" s="242"/>
    </row>
    <row r="825721" spans="1:1" x14ac:dyDescent="0.25">
      <c r="A825721" s="242"/>
    </row>
    <row r="825722" spans="1:1" x14ac:dyDescent="0.25">
      <c r="A825722" s="242"/>
    </row>
    <row r="825723" spans="1:1" x14ac:dyDescent="0.25">
      <c r="A825723" s="242"/>
    </row>
    <row r="825724" spans="1:1" x14ac:dyDescent="0.25">
      <c r="A825724" s="242"/>
    </row>
    <row r="825725" spans="1:1" x14ac:dyDescent="0.25">
      <c r="A825725" s="242"/>
    </row>
    <row r="825726" spans="1:1" x14ac:dyDescent="0.25">
      <c r="A825726" s="242"/>
    </row>
    <row r="825727" spans="1:1" x14ac:dyDescent="0.25">
      <c r="A825727" s="242"/>
    </row>
    <row r="825728" spans="1:1" x14ac:dyDescent="0.25">
      <c r="A825728" s="242"/>
    </row>
    <row r="825729" spans="1:1" x14ac:dyDescent="0.25">
      <c r="A825729" s="242"/>
    </row>
    <row r="825730" spans="1:1" x14ac:dyDescent="0.25">
      <c r="A825730" s="242"/>
    </row>
    <row r="825731" spans="1:1" x14ac:dyDescent="0.25">
      <c r="A825731" s="242"/>
    </row>
    <row r="825732" spans="1:1" x14ac:dyDescent="0.25">
      <c r="A825732" s="242"/>
    </row>
    <row r="825733" spans="1:1" x14ac:dyDescent="0.25">
      <c r="A825733" s="242"/>
    </row>
    <row r="825734" spans="1:1" x14ac:dyDescent="0.25">
      <c r="A825734" s="242"/>
    </row>
    <row r="825735" spans="1:1" x14ac:dyDescent="0.25">
      <c r="A825735" s="242"/>
    </row>
    <row r="825736" spans="1:1" x14ac:dyDescent="0.25">
      <c r="A825736" s="242"/>
    </row>
    <row r="825737" spans="1:1" x14ac:dyDescent="0.25">
      <c r="A825737" s="242"/>
    </row>
    <row r="825738" spans="1:1" x14ac:dyDescent="0.25">
      <c r="A825738" s="242"/>
    </row>
    <row r="825739" spans="1:1" x14ac:dyDescent="0.25">
      <c r="A825739" s="242"/>
    </row>
    <row r="825740" spans="1:1" x14ac:dyDescent="0.25">
      <c r="A825740" s="242"/>
    </row>
    <row r="825741" spans="1:1" x14ac:dyDescent="0.25">
      <c r="A825741" s="242"/>
    </row>
    <row r="825742" spans="1:1" x14ac:dyDescent="0.25">
      <c r="A825742" s="242"/>
    </row>
    <row r="825743" spans="1:1" x14ac:dyDescent="0.25">
      <c r="A825743" s="242"/>
    </row>
    <row r="825744" spans="1:1" x14ac:dyDescent="0.25">
      <c r="A825744" s="242"/>
    </row>
    <row r="825745" spans="1:1" x14ac:dyDescent="0.25">
      <c r="A825745" s="242"/>
    </row>
    <row r="825746" spans="1:1" x14ac:dyDescent="0.25">
      <c r="A825746" s="242"/>
    </row>
    <row r="825747" spans="1:1" x14ac:dyDescent="0.25">
      <c r="A825747" s="242"/>
    </row>
    <row r="825748" spans="1:1" x14ac:dyDescent="0.25">
      <c r="A825748" s="242"/>
    </row>
    <row r="825749" spans="1:1" x14ac:dyDescent="0.25">
      <c r="A825749" s="242"/>
    </row>
    <row r="825750" spans="1:1" x14ac:dyDescent="0.25">
      <c r="A825750" s="242"/>
    </row>
    <row r="825751" spans="1:1" x14ac:dyDescent="0.25">
      <c r="A825751" s="242"/>
    </row>
    <row r="825752" spans="1:1" x14ac:dyDescent="0.25">
      <c r="A825752" s="242"/>
    </row>
    <row r="825753" spans="1:1" x14ac:dyDescent="0.25">
      <c r="A825753" s="242"/>
    </row>
    <row r="825754" spans="1:1" x14ac:dyDescent="0.25">
      <c r="A825754" s="242"/>
    </row>
    <row r="825755" spans="1:1" x14ac:dyDescent="0.25">
      <c r="A825755" s="242"/>
    </row>
    <row r="825756" spans="1:1" x14ac:dyDescent="0.25">
      <c r="A825756" s="242"/>
    </row>
    <row r="825757" spans="1:1" x14ac:dyDescent="0.25">
      <c r="A825757" s="242"/>
    </row>
    <row r="825758" spans="1:1" x14ac:dyDescent="0.25">
      <c r="A825758" s="242"/>
    </row>
    <row r="825759" spans="1:1" x14ac:dyDescent="0.25">
      <c r="A825759" s="242"/>
    </row>
    <row r="825760" spans="1:1" x14ac:dyDescent="0.25">
      <c r="A825760" s="242"/>
    </row>
    <row r="825761" spans="1:1" x14ac:dyDescent="0.25">
      <c r="A825761" s="242"/>
    </row>
    <row r="825762" spans="1:1" x14ac:dyDescent="0.25">
      <c r="A825762" s="242"/>
    </row>
    <row r="825763" spans="1:1" x14ac:dyDescent="0.25">
      <c r="A825763" s="242"/>
    </row>
    <row r="825764" spans="1:1" x14ac:dyDescent="0.25">
      <c r="A825764" s="242"/>
    </row>
    <row r="825765" spans="1:1" x14ac:dyDescent="0.25">
      <c r="A825765" s="242"/>
    </row>
    <row r="825766" spans="1:1" x14ac:dyDescent="0.25">
      <c r="A825766" s="242"/>
    </row>
    <row r="825767" spans="1:1" x14ac:dyDescent="0.25">
      <c r="A825767" s="242"/>
    </row>
    <row r="825768" spans="1:1" x14ac:dyDescent="0.25">
      <c r="A825768" s="242"/>
    </row>
    <row r="825769" spans="1:1" x14ac:dyDescent="0.25">
      <c r="A825769" s="242"/>
    </row>
    <row r="825770" spans="1:1" x14ac:dyDescent="0.25">
      <c r="A825770" s="242"/>
    </row>
    <row r="825771" spans="1:1" x14ac:dyDescent="0.25">
      <c r="A825771" s="242"/>
    </row>
    <row r="825772" spans="1:1" x14ac:dyDescent="0.25">
      <c r="A825772" s="242"/>
    </row>
    <row r="825773" spans="1:1" x14ac:dyDescent="0.25">
      <c r="A825773" s="242"/>
    </row>
    <row r="825774" spans="1:1" x14ac:dyDescent="0.25">
      <c r="A825774" s="242"/>
    </row>
    <row r="825775" spans="1:1" x14ac:dyDescent="0.25">
      <c r="A825775" s="242"/>
    </row>
    <row r="825776" spans="1:1" x14ac:dyDescent="0.25">
      <c r="A825776" s="242"/>
    </row>
    <row r="825777" spans="1:1" x14ac:dyDescent="0.25">
      <c r="A825777" s="242"/>
    </row>
    <row r="825778" spans="1:1" x14ac:dyDescent="0.25">
      <c r="A825778" s="242"/>
    </row>
    <row r="825779" spans="1:1" x14ac:dyDescent="0.25">
      <c r="A825779" s="242"/>
    </row>
    <row r="825780" spans="1:1" x14ac:dyDescent="0.25">
      <c r="A825780" s="242"/>
    </row>
    <row r="825781" spans="1:1" x14ac:dyDescent="0.25">
      <c r="A825781" s="242"/>
    </row>
    <row r="825782" spans="1:1" x14ac:dyDescent="0.25">
      <c r="A825782" s="242"/>
    </row>
    <row r="825783" spans="1:1" x14ac:dyDescent="0.25">
      <c r="A825783" s="242"/>
    </row>
    <row r="825784" spans="1:1" x14ac:dyDescent="0.25">
      <c r="A825784" s="242"/>
    </row>
    <row r="825785" spans="1:1" x14ac:dyDescent="0.25">
      <c r="A825785" s="242"/>
    </row>
    <row r="825786" spans="1:1" x14ac:dyDescent="0.25">
      <c r="A825786" s="242"/>
    </row>
    <row r="825787" spans="1:1" x14ac:dyDescent="0.25">
      <c r="A825787" s="242"/>
    </row>
    <row r="825788" spans="1:1" x14ac:dyDescent="0.25">
      <c r="A825788" s="242"/>
    </row>
    <row r="825789" spans="1:1" x14ac:dyDescent="0.25">
      <c r="A825789" s="242"/>
    </row>
    <row r="825790" spans="1:1" x14ac:dyDescent="0.25">
      <c r="A825790" s="242"/>
    </row>
    <row r="825791" spans="1:1" x14ac:dyDescent="0.25">
      <c r="A825791" s="242"/>
    </row>
    <row r="825792" spans="1:1" x14ac:dyDescent="0.25">
      <c r="A825792" s="242"/>
    </row>
    <row r="825793" spans="1:1" x14ac:dyDescent="0.25">
      <c r="A825793" s="242"/>
    </row>
    <row r="825794" spans="1:1" x14ac:dyDescent="0.25">
      <c r="A825794" s="242"/>
    </row>
    <row r="825795" spans="1:1" x14ac:dyDescent="0.25">
      <c r="A825795" s="242"/>
    </row>
    <row r="825796" spans="1:1" x14ac:dyDescent="0.25">
      <c r="A825796" s="242"/>
    </row>
    <row r="825797" spans="1:1" x14ac:dyDescent="0.25">
      <c r="A825797" s="242"/>
    </row>
    <row r="825798" spans="1:1" x14ac:dyDescent="0.25">
      <c r="A825798" s="242"/>
    </row>
    <row r="825799" spans="1:1" x14ac:dyDescent="0.25">
      <c r="A825799" s="242"/>
    </row>
    <row r="825800" spans="1:1" x14ac:dyDescent="0.25">
      <c r="A825800" s="242"/>
    </row>
    <row r="825801" spans="1:1" x14ac:dyDescent="0.25">
      <c r="A825801" s="242"/>
    </row>
    <row r="825802" spans="1:1" x14ac:dyDescent="0.25">
      <c r="A825802" s="242"/>
    </row>
    <row r="825803" spans="1:1" x14ac:dyDescent="0.25">
      <c r="A825803" s="242"/>
    </row>
    <row r="825804" spans="1:1" x14ac:dyDescent="0.25">
      <c r="A825804" s="242"/>
    </row>
    <row r="825805" spans="1:1" x14ac:dyDescent="0.25">
      <c r="A825805" s="242"/>
    </row>
    <row r="825806" spans="1:1" x14ac:dyDescent="0.25">
      <c r="A825806" s="242"/>
    </row>
    <row r="825807" spans="1:1" x14ac:dyDescent="0.25">
      <c r="A825807" s="242"/>
    </row>
    <row r="825808" spans="1:1" x14ac:dyDescent="0.25">
      <c r="A825808" s="242"/>
    </row>
    <row r="825809" spans="1:1" x14ac:dyDescent="0.25">
      <c r="A825809" s="242"/>
    </row>
    <row r="825810" spans="1:1" x14ac:dyDescent="0.25">
      <c r="A825810" s="242"/>
    </row>
    <row r="825811" spans="1:1" x14ac:dyDescent="0.25">
      <c r="A825811" s="242"/>
    </row>
    <row r="825812" spans="1:1" x14ac:dyDescent="0.25">
      <c r="A825812" s="242"/>
    </row>
    <row r="825813" spans="1:1" x14ac:dyDescent="0.25">
      <c r="A825813" s="242"/>
    </row>
    <row r="825814" spans="1:1" x14ac:dyDescent="0.25">
      <c r="A825814" s="242"/>
    </row>
    <row r="825815" spans="1:1" x14ac:dyDescent="0.25">
      <c r="A825815" s="242"/>
    </row>
    <row r="825816" spans="1:1" x14ac:dyDescent="0.25">
      <c r="A825816" s="242"/>
    </row>
    <row r="825817" spans="1:1" x14ac:dyDescent="0.25">
      <c r="A825817" s="242"/>
    </row>
    <row r="825818" spans="1:1" x14ac:dyDescent="0.25">
      <c r="A825818" s="242"/>
    </row>
    <row r="825819" spans="1:1" x14ac:dyDescent="0.25">
      <c r="A825819" s="242"/>
    </row>
    <row r="825820" spans="1:1" x14ac:dyDescent="0.25">
      <c r="A825820" s="242"/>
    </row>
    <row r="825821" spans="1:1" x14ac:dyDescent="0.25">
      <c r="A825821" s="242"/>
    </row>
    <row r="825822" spans="1:1" x14ac:dyDescent="0.25">
      <c r="A825822" s="242"/>
    </row>
    <row r="825823" spans="1:1" x14ac:dyDescent="0.25">
      <c r="A825823" s="242"/>
    </row>
    <row r="825824" spans="1:1" x14ac:dyDescent="0.25">
      <c r="A825824" s="242"/>
    </row>
    <row r="825825" spans="1:1" x14ac:dyDescent="0.25">
      <c r="A825825" s="242"/>
    </row>
    <row r="825826" spans="1:1" x14ac:dyDescent="0.25">
      <c r="A825826" s="242"/>
    </row>
    <row r="825827" spans="1:1" x14ac:dyDescent="0.25">
      <c r="A825827" s="242"/>
    </row>
    <row r="825828" spans="1:1" x14ac:dyDescent="0.25">
      <c r="A825828" s="242"/>
    </row>
    <row r="825829" spans="1:1" x14ac:dyDescent="0.25">
      <c r="A825829" s="242"/>
    </row>
    <row r="825830" spans="1:1" x14ac:dyDescent="0.25">
      <c r="A825830" s="242"/>
    </row>
    <row r="825831" spans="1:1" x14ac:dyDescent="0.25">
      <c r="A825831" s="242"/>
    </row>
    <row r="825832" spans="1:1" x14ac:dyDescent="0.25">
      <c r="A825832" s="242"/>
    </row>
    <row r="825833" spans="1:1" x14ac:dyDescent="0.25">
      <c r="A825833" s="242"/>
    </row>
    <row r="825834" spans="1:1" x14ac:dyDescent="0.25">
      <c r="A825834" s="242"/>
    </row>
    <row r="825835" spans="1:1" x14ac:dyDescent="0.25">
      <c r="A825835" s="242"/>
    </row>
    <row r="825836" spans="1:1" x14ac:dyDescent="0.25">
      <c r="A825836" s="242"/>
    </row>
    <row r="825837" spans="1:1" x14ac:dyDescent="0.25">
      <c r="A825837" s="242"/>
    </row>
    <row r="825838" spans="1:1" x14ac:dyDescent="0.25">
      <c r="A825838" s="242"/>
    </row>
    <row r="825839" spans="1:1" x14ac:dyDescent="0.25">
      <c r="A825839" s="242"/>
    </row>
    <row r="825840" spans="1:1" x14ac:dyDescent="0.25">
      <c r="A825840" s="242"/>
    </row>
    <row r="825841" spans="1:1" x14ac:dyDescent="0.25">
      <c r="A825841" s="242"/>
    </row>
    <row r="825842" spans="1:1" x14ac:dyDescent="0.25">
      <c r="A825842" s="242"/>
    </row>
    <row r="825843" spans="1:1" x14ac:dyDescent="0.25">
      <c r="A825843" s="242"/>
    </row>
    <row r="825844" spans="1:1" x14ac:dyDescent="0.25">
      <c r="A825844" s="242"/>
    </row>
    <row r="825845" spans="1:1" x14ac:dyDescent="0.25">
      <c r="A825845" s="242"/>
    </row>
    <row r="825846" spans="1:1" x14ac:dyDescent="0.25">
      <c r="A825846" s="242"/>
    </row>
    <row r="825847" spans="1:1" x14ac:dyDescent="0.25">
      <c r="A825847" s="242"/>
    </row>
    <row r="825848" spans="1:1" x14ac:dyDescent="0.25">
      <c r="A825848" s="242"/>
    </row>
    <row r="825849" spans="1:1" x14ac:dyDescent="0.25">
      <c r="A825849" s="242"/>
    </row>
    <row r="825850" spans="1:1" x14ac:dyDescent="0.25">
      <c r="A825850" s="242"/>
    </row>
    <row r="825851" spans="1:1" x14ac:dyDescent="0.25">
      <c r="A825851" s="242"/>
    </row>
    <row r="825852" spans="1:1" x14ac:dyDescent="0.25">
      <c r="A825852" s="242"/>
    </row>
    <row r="825853" spans="1:1" x14ac:dyDescent="0.25">
      <c r="A825853" s="242"/>
    </row>
    <row r="825854" spans="1:1" x14ac:dyDescent="0.25">
      <c r="A825854" s="242"/>
    </row>
    <row r="825855" spans="1:1" x14ac:dyDescent="0.25">
      <c r="A825855" s="242"/>
    </row>
    <row r="825856" spans="1:1" x14ac:dyDescent="0.25">
      <c r="A825856" s="242"/>
    </row>
    <row r="825857" spans="1:1" x14ac:dyDescent="0.25">
      <c r="A825857" s="242"/>
    </row>
    <row r="825858" spans="1:1" x14ac:dyDescent="0.25">
      <c r="A825858" s="242"/>
    </row>
    <row r="825859" spans="1:1" x14ac:dyDescent="0.25">
      <c r="A825859" s="242"/>
    </row>
    <row r="825860" spans="1:1" x14ac:dyDescent="0.25">
      <c r="A825860" s="242"/>
    </row>
    <row r="825861" spans="1:1" x14ac:dyDescent="0.25">
      <c r="A825861" s="242"/>
    </row>
    <row r="825862" spans="1:1" x14ac:dyDescent="0.25">
      <c r="A825862" s="242"/>
    </row>
    <row r="825863" spans="1:1" x14ac:dyDescent="0.25">
      <c r="A825863" s="242"/>
    </row>
    <row r="825864" spans="1:1" x14ac:dyDescent="0.25">
      <c r="A825864" s="242"/>
    </row>
    <row r="825865" spans="1:1" x14ac:dyDescent="0.25">
      <c r="A825865" s="242"/>
    </row>
    <row r="825866" spans="1:1" x14ac:dyDescent="0.25">
      <c r="A825866" s="242"/>
    </row>
    <row r="825867" spans="1:1" x14ac:dyDescent="0.25">
      <c r="A825867" s="242"/>
    </row>
    <row r="825868" spans="1:1" x14ac:dyDescent="0.25">
      <c r="A825868" s="242"/>
    </row>
    <row r="825869" spans="1:1" x14ac:dyDescent="0.25">
      <c r="A825869" s="242"/>
    </row>
    <row r="825870" spans="1:1" x14ac:dyDescent="0.25">
      <c r="A825870" s="242"/>
    </row>
    <row r="825871" spans="1:1" x14ac:dyDescent="0.25">
      <c r="A825871" s="242"/>
    </row>
    <row r="825872" spans="1:1" x14ac:dyDescent="0.25">
      <c r="A825872" s="242"/>
    </row>
    <row r="825873" spans="1:1" x14ac:dyDescent="0.25">
      <c r="A825873" s="242"/>
    </row>
    <row r="825874" spans="1:1" x14ac:dyDescent="0.25">
      <c r="A825874" s="242"/>
    </row>
    <row r="825875" spans="1:1" x14ac:dyDescent="0.25">
      <c r="A825875" s="242"/>
    </row>
    <row r="825876" spans="1:1" x14ac:dyDescent="0.25">
      <c r="A825876" s="242"/>
    </row>
    <row r="825877" spans="1:1" x14ac:dyDescent="0.25">
      <c r="A825877" s="242"/>
    </row>
    <row r="825878" spans="1:1" x14ac:dyDescent="0.25">
      <c r="A825878" s="242"/>
    </row>
    <row r="825879" spans="1:1" x14ac:dyDescent="0.25">
      <c r="A825879" s="242"/>
    </row>
    <row r="825880" spans="1:1" x14ac:dyDescent="0.25">
      <c r="A825880" s="242"/>
    </row>
    <row r="825881" spans="1:1" x14ac:dyDescent="0.25">
      <c r="A825881" s="242"/>
    </row>
    <row r="825882" spans="1:1" x14ac:dyDescent="0.25">
      <c r="A825882" s="242"/>
    </row>
    <row r="825883" spans="1:1" x14ac:dyDescent="0.25">
      <c r="A825883" s="242"/>
    </row>
    <row r="825884" spans="1:1" x14ac:dyDescent="0.25">
      <c r="A825884" s="242"/>
    </row>
    <row r="825885" spans="1:1" x14ac:dyDescent="0.25">
      <c r="A825885" s="242"/>
    </row>
    <row r="825886" spans="1:1" x14ac:dyDescent="0.25">
      <c r="A825886" s="242"/>
    </row>
    <row r="825887" spans="1:1" x14ac:dyDescent="0.25">
      <c r="A825887" s="242"/>
    </row>
    <row r="825888" spans="1:1" x14ac:dyDescent="0.25">
      <c r="A825888" s="242"/>
    </row>
    <row r="825889" spans="1:1" x14ac:dyDescent="0.25">
      <c r="A825889" s="242"/>
    </row>
    <row r="825890" spans="1:1" x14ac:dyDescent="0.25">
      <c r="A825890" s="242"/>
    </row>
    <row r="825891" spans="1:1" x14ac:dyDescent="0.25">
      <c r="A825891" s="242"/>
    </row>
    <row r="825892" spans="1:1" x14ac:dyDescent="0.25">
      <c r="A825892" s="242"/>
    </row>
    <row r="825893" spans="1:1" x14ac:dyDescent="0.25">
      <c r="A825893" s="242"/>
    </row>
    <row r="825894" spans="1:1" x14ac:dyDescent="0.25">
      <c r="A825894" s="242"/>
    </row>
    <row r="825895" spans="1:1" x14ac:dyDescent="0.25">
      <c r="A825895" s="242"/>
    </row>
    <row r="825896" spans="1:1" x14ac:dyDescent="0.25">
      <c r="A825896" s="242"/>
    </row>
    <row r="825897" spans="1:1" x14ac:dyDescent="0.25">
      <c r="A825897" s="242"/>
    </row>
    <row r="825898" spans="1:1" x14ac:dyDescent="0.25">
      <c r="A825898" s="242"/>
    </row>
    <row r="825899" spans="1:1" x14ac:dyDescent="0.25">
      <c r="A825899" s="242"/>
    </row>
    <row r="825900" spans="1:1" x14ac:dyDescent="0.25">
      <c r="A825900" s="242"/>
    </row>
    <row r="825901" spans="1:1" x14ac:dyDescent="0.25">
      <c r="A825901" s="242"/>
    </row>
    <row r="825902" spans="1:1" x14ac:dyDescent="0.25">
      <c r="A825902" s="242"/>
    </row>
    <row r="825903" spans="1:1" x14ac:dyDescent="0.25">
      <c r="A825903" s="242"/>
    </row>
    <row r="825904" spans="1:1" x14ac:dyDescent="0.25">
      <c r="A825904" s="242"/>
    </row>
    <row r="825905" spans="1:1" x14ac:dyDescent="0.25">
      <c r="A825905" s="242"/>
    </row>
    <row r="825906" spans="1:1" x14ac:dyDescent="0.25">
      <c r="A825906" s="242"/>
    </row>
    <row r="825907" spans="1:1" x14ac:dyDescent="0.25">
      <c r="A825907" s="242"/>
    </row>
    <row r="825908" spans="1:1" x14ac:dyDescent="0.25">
      <c r="A825908" s="242"/>
    </row>
    <row r="825909" spans="1:1" x14ac:dyDescent="0.25">
      <c r="A825909" s="242"/>
    </row>
    <row r="825910" spans="1:1" x14ac:dyDescent="0.25">
      <c r="A825910" s="242"/>
    </row>
    <row r="825911" spans="1:1" x14ac:dyDescent="0.25">
      <c r="A825911" s="242"/>
    </row>
    <row r="825912" spans="1:1" x14ac:dyDescent="0.25">
      <c r="A825912" s="242"/>
    </row>
    <row r="825913" spans="1:1" x14ac:dyDescent="0.25">
      <c r="A825913" s="242"/>
    </row>
    <row r="825914" spans="1:1" x14ac:dyDescent="0.25">
      <c r="A825914" s="242"/>
    </row>
    <row r="825915" spans="1:1" x14ac:dyDescent="0.25">
      <c r="A825915" s="242"/>
    </row>
    <row r="825916" spans="1:1" x14ac:dyDescent="0.25">
      <c r="A825916" s="242"/>
    </row>
    <row r="825917" spans="1:1" x14ac:dyDescent="0.25">
      <c r="A825917" s="242"/>
    </row>
    <row r="825918" spans="1:1" x14ac:dyDescent="0.25">
      <c r="A825918" s="242"/>
    </row>
    <row r="825919" spans="1:1" x14ac:dyDescent="0.25">
      <c r="A825919" s="242"/>
    </row>
    <row r="825920" spans="1:1" x14ac:dyDescent="0.25">
      <c r="A825920" s="242"/>
    </row>
    <row r="825921" spans="1:1" x14ac:dyDescent="0.25">
      <c r="A825921" s="242"/>
    </row>
    <row r="825922" spans="1:1" x14ac:dyDescent="0.25">
      <c r="A825922" s="242"/>
    </row>
    <row r="825923" spans="1:1" x14ac:dyDescent="0.25">
      <c r="A825923" s="242"/>
    </row>
    <row r="825924" spans="1:1" x14ac:dyDescent="0.25">
      <c r="A825924" s="242"/>
    </row>
    <row r="825925" spans="1:1" x14ac:dyDescent="0.25">
      <c r="A825925" s="242"/>
    </row>
    <row r="825926" spans="1:1" x14ac:dyDescent="0.25">
      <c r="A825926" s="242"/>
    </row>
    <row r="825927" spans="1:1" x14ac:dyDescent="0.25">
      <c r="A825927" s="242"/>
    </row>
    <row r="825928" spans="1:1" x14ac:dyDescent="0.25">
      <c r="A825928" s="242"/>
    </row>
    <row r="825929" spans="1:1" x14ac:dyDescent="0.25">
      <c r="A825929" s="242"/>
    </row>
    <row r="825930" spans="1:1" x14ac:dyDescent="0.25">
      <c r="A825930" s="242"/>
    </row>
    <row r="825931" spans="1:1" x14ac:dyDescent="0.25">
      <c r="A825931" s="242"/>
    </row>
    <row r="825932" spans="1:1" x14ac:dyDescent="0.25">
      <c r="A825932" s="242"/>
    </row>
    <row r="825933" spans="1:1" x14ac:dyDescent="0.25">
      <c r="A825933" s="242"/>
    </row>
    <row r="825934" spans="1:1" x14ac:dyDescent="0.25">
      <c r="A825934" s="242"/>
    </row>
    <row r="825935" spans="1:1" x14ac:dyDescent="0.25">
      <c r="A825935" s="242"/>
    </row>
    <row r="825936" spans="1:1" x14ac:dyDescent="0.25">
      <c r="A825936" s="242"/>
    </row>
    <row r="825937" spans="1:1" x14ac:dyDescent="0.25">
      <c r="A825937" s="242"/>
    </row>
    <row r="825938" spans="1:1" x14ac:dyDescent="0.25">
      <c r="A825938" s="242"/>
    </row>
    <row r="825939" spans="1:1" x14ac:dyDescent="0.25">
      <c r="A825939" s="242"/>
    </row>
    <row r="825940" spans="1:1" x14ac:dyDescent="0.25">
      <c r="A825940" s="242"/>
    </row>
    <row r="825941" spans="1:1" x14ac:dyDescent="0.25">
      <c r="A825941" s="242"/>
    </row>
    <row r="825942" spans="1:1" x14ac:dyDescent="0.25">
      <c r="A825942" s="242"/>
    </row>
    <row r="825943" spans="1:1" x14ac:dyDescent="0.25">
      <c r="A825943" s="242"/>
    </row>
    <row r="825944" spans="1:1" x14ac:dyDescent="0.25">
      <c r="A825944" s="242"/>
    </row>
    <row r="825945" spans="1:1" x14ac:dyDescent="0.25">
      <c r="A825945" s="242"/>
    </row>
    <row r="825946" spans="1:1" x14ac:dyDescent="0.25">
      <c r="A825946" s="242"/>
    </row>
    <row r="825947" spans="1:1" x14ac:dyDescent="0.25">
      <c r="A825947" s="242"/>
    </row>
    <row r="825948" spans="1:1" x14ac:dyDescent="0.25">
      <c r="A825948" s="242"/>
    </row>
    <row r="825949" spans="1:1" x14ac:dyDescent="0.25">
      <c r="A825949" s="242"/>
    </row>
    <row r="825950" spans="1:1" x14ac:dyDescent="0.25">
      <c r="A825950" s="242"/>
    </row>
    <row r="825951" spans="1:1" x14ac:dyDescent="0.25">
      <c r="A825951" s="242"/>
    </row>
    <row r="825952" spans="1:1" x14ac:dyDescent="0.25">
      <c r="A825952" s="242"/>
    </row>
    <row r="825953" spans="1:1" x14ac:dyDescent="0.25">
      <c r="A825953" s="242"/>
    </row>
    <row r="825954" spans="1:1" x14ac:dyDescent="0.25">
      <c r="A825954" s="242"/>
    </row>
    <row r="825955" spans="1:1" x14ac:dyDescent="0.25">
      <c r="A825955" s="242"/>
    </row>
    <row r="825956" spans="1:1" x14ac:dyDescent="0.25">
      <c r="A825956" s="242"/>
    </row>
    <row r="825957" spans="1:1" x14ac:dyDescent="0.25">
      <c r="A825957" s="242"/>
    </row>
    <row r="825958" spans="1:1" x14ac:dyDescent="0.25">
      <c r="A825958" s="242"/>
    </row>
    <row r="825959" spans="1:1" x14ac:dyDescent="0.25">
      <c r="A825959" s="242"/>
    </row>
    <row r="825960" spans="1:1" x14ac:dyDescent="0.25">
      <c r="A825960" s="242"/>
    </row>
    <row r="825961" spans="1:1" x14ac:dyDescent="0.25">
      <c r="A825961" s="242"/>
    </row>
    <row r="825962" spans="1:1" x14ac:dyDescent="0.25">
      <c r="A825962" s="242"/>
    </row>
    <row r="825963" spans="1:1" x14ac:dyDescent="0.25">
      <c r="A825963" s="242"/>
    </row>
    <row r="825964" spans="1:1" x14ac:dyDescent="0.25">
      <c r="A825964" s="242"/>
    </row>
    <row r="825965" spans="1:1" x14ac:dyDescent="0.25">
      <c r="A825965" s="242"/>
    </row>
    <row r="825966" spans="1:1" x14ac:dyDescent="0.25">
      <c r="A825966" s="242"/>
    </row>
    <row r="825967" spans="1:1" x14ac:dyDescent="0.25">
      <c r="A825967" s="242"/>
    </row>
    <row r="825968" spans="1:1" x14ac:dyDescent="0.25">
      <c r="A825968" s="242"/>
    </row>
    <row r="825969" spans="1:1" x14ac:dyDescent="0.25">
      <c r="A825969" s="242"/>
    </row>
    <row r="825970" spans="1:1" x14ac:dyDescent="0.25">
      <c r="A825970" s="242"/>
    </row>
    <row r="825971" spans="1:1" x14ac:dyDescent="0.25">
      <c r="A825971" s="242"/>
    </row>
    <row r="825972" spans="1:1" x14ac:dyDescent="0.25">
      <c r="A825972" s="242"/>
    </row>
    <row r="825973" spans="1:1" x14ac:dyDescent="0.25">
      <c r="A825973" s="242"/>
    </row>
    <row r="825974" spans="1:1" x14ac:dyDescent="0.25">
      <c r="A825974" s="242"/>
    </row>
    <row r="825975" spans="1:1" x14ac:dyDescent="0.25">
      <c r="A825975" s="242"/>
    </row>
    <row r="825976" spans="1:1" x14ac:dyDescent="0.25">
      <c r="A825976" s="242"/>
    </row>
    <row r="825977" spans="1:1" x14ac:dyDescent="0.25">
      <c r="A825977" s="242"/>
    </row>
    <row r="825978" spans="1:1" x14ac:dyDescent="0.25">
      <c r="A825978" s="242"/>
    </row>
    <row r="825979" spans="1:1" x14ac:dyDescent="0.25">
      <c r="A825979" s="242"/>
    </row>
    <row r="825980" spans="1:1" x14ac:dyDescent="0.25">
      <c r="A825980" s="242"/>
    </row>
    <row r="825981" spans="1:1" x14ac:dyDescent="0.25">
      <c r="A825981" s="242"/>
    </row>
    <row r="825982" spans="1:1" x14ac:dyDescent="0.25">
      <c r="A825982" s="242"/>
    </row>
    <row r="825983" spans="1:1" x14ac:dyDescent="0.25">
      <c r="A825983" s="242"/>
    </row>
    <row r="825984" spans="1:1" x14ac:dyDescent="0.25">
      <c r="A825984" s="242"/>
    </row>
    <row r="825985" spans="1:1" x14ac:dyDescent="0.25">
      <c r="A825985" s="242"/>
    </row>
    <row r="825986" spans="1:1" x14ac:dyDescent="0.25">
      <c r="A825986" s="242"/>
    </row>
    <row r="825987" spans="1:1" x14ac:dyDescent="0.25">
      <c r="A825987" s="242"/>
    </row>
    <row r="825988" spans="1:1" x14ac:dyDescent="0.25">
      <c r="A825988" s="242"/>
    </row>
    <row r="825989" spans="1:1" x14ac:dyDescent="0.25">
      <c r="A825989" s="242"/>
    </row>
    <row r="825990" spans="1:1" x14ac:dyDescent="0.25">
      <c r="A825990" s="242"/>
    </row>
    <row r="825991" spans="1:1" x14ac:dyDescent="0.25">
      <c r="A825991" s="242"/>
    </row>
    <row r="825992" spans="1:1" x14ac:dyDescent="0.25">
      <c r="A825992" s="242"/>
    </row>
    <row r="825993" spans="1:1" x14ac:dyDescent="0.25">
      <c r="A825993" s="242"/>
    </row>
    <row r="825994" spans="1:1" x14ac:dyDescent="0.25">
      <c r="A825994" s="242"/>
    </row>
    <row r="825995" spans="1:1" x14ac:dyDescent="0.25">
      <c r="A825995" s="242"/>
    </row>
    <row r="825996" spans="1:1" x14ac:dyDescent="0.25">
      <c r="A825996" s="242"/>
    </row>
    <row r="825997" spans="1:1" x14ac:dyDescent="0.25">
      <c r="A825997" s="242"/>
    </row>
    <row r="825998" spans="1:1" x14ac:dyDescent="0.25">
      <c r="A825998" s="242"/>
    </row>
    <row r="825999" spans="1:1" x14ac:dyDescent="0.25">
      <c r="A825999" s="242"/>
    </row>
    <row r="826000" spans="1:1" x14ac:dyDescent="0.25">
      <c r="A826000" s="242"/>
    </row>
    <row r="826001" spans="1:1" x14ac:dyDescent="0.25">
      <c r="A826001" s="242"/>
    </row>
    <row r="826002" spans="1:1" x14ac:dyDescent="0.25">
      <c r="A826002" s="242"/>
    </row>
    <row r="826003" spans="1:1" x14ac:dyDescent="0.25">
      <c r="A826003" s="242"/>
    </row>
    <row r="826004" spans="1:1" x14ac:dyDescent="0.25">
      <c r="A826004" s="242"/>
    </row>
    <row r="826005" spans="1:1" x14ac:dyDescent="0.25">
      <c r="A826005" s="242"/>
    </row>
    <row r="826006" spans="1:1" x14ac:dyDescent="0.25">
      <c r="A826006" s="242"/>
    </row>
    <row r="826007" spans="1:1" x14ac:dyDescent="0.25">
      <c r="A826007" s="242"/>
    </row>
    <row r="826008" spans="1:1" x14ac:dyDescent="0.25">
      <c r="A826008" s="242"/>
    </row>
    <row r="826009" spans="1:1" x14ac:dyDescent="0.25">
      <c r="A826009" s="242"/>
    </row>
    <row r="826010" spans="1:1" x14ac:dyDescent="0.25">
      <c r="A826010" s="242"/>
    </row>
    <row r="826011" spans="1:1" x14ac:dyDescent="0.25">
      <c r="A826011" s="242"/>
    </row>
    <row r="826012" spans="1:1" x14ac:dyDescent="0.25">
      <c r="A826012" s="242"/>
    </row>
    <row r="826013" spans="1:1" x14ac:dyDescent="0.25">
      <c r="A826013" s="242"/>
    </row>
    <row r="826014" spans="1:1" x14ac:dyDescent="0.25">
      <c r="A826014" s="242"/>
    </row>
    <row r="826015" spans="1:1" x14ac:dyDescent="0.25">
      <c r="A826015" s="242"/>
    </row>
    <row r="826016" spans="1:1" x14ac:dyDescent="0.25">
      <c r="A826016" s="242"/>
    </row>
    <row r="826017" spans="1:1" x14ac:dyDescent="0.25">
      <c r="A826017" s="242"/>
    </row>
    <row r="826018" spans="1:1" x14ac:dyDescent="0.25">
      <c r="A826018" s="242"/>
    </row>
    <row r="826019" spans="1:1" x14ac:dyDescent="0.25">
      <c r="A826019" s="242"/>
    </row>
    <row r="826020" spans="1:1" x14ac:dyDescent="0.25">
      <c r="A826020" s="242"/>
    </row>
    <row r="826021" spans="1:1" x14ac:dyDescent="0.25">
      <c r="A826021" s="242"/>
    </row>
    <row r="826022" spans="1:1" x14ac:dyDescent="0.25">
      <c r="A826022" s="242"/>
    </row>
    <row r="826023" spans="1:1" x14ac:dyDescent="0.25">
      <c r="A826023" s="242"/>
    </row>
    <row r="826024" spans="1:1" x14ac:dyDescent="0.25">
      <c r="A826024" s="242"/>
    </row>
    <row r="826025" spans="1:1" x14ac:dyDescent="0.25">
      <c r="A826025" s="242"/>
    </row>
    <row r="826026" spans="1:1" x14ac:dyDescent="0.25">
      <c r="A826026" s="242"/>
    </row>
    <row r="826027" spans="1:1" x14ac:dyDescent="0.25">
      <c r="A826027" s="242"/>
    </row>
    <row r="826028" spans="1:1" x14ac:dyDescent="0.25">
      <c r="A826028" s="242"/>
    </row>
    <row r="826029" spans="1:1" x14ac:dyDescent="0.25">
      <c r="A826029" s="242"/>
    </row>
    <row r="826030" spans="1:1" x14ac:dyDescent="0.25">
      <c r="A826030" s="242"/>
    </row>
    <row r="826031" spans="1:1" x14ac:dyDescent="0.25">
      <c r="A826031" s="242"/>
    </row>
    <row r="826032" spans="1:1" x14ac:dyDescent="0.25">
      <c r="A826032" s="242"/>
    </row>
    <row r="826033" spans="1:1" x14ac:dyDescent="0.25">
      <c r="A826033" s="242"/>
    </row>
    <row r="826034" spans="1:1" x14ac:dyDescent="0.25">
      <c r="A826034" s="242"/>
    </row>
    <row r="826035" spans="1:1" x14ac:dyDescent="0.25">
      <c r="A826035" s="242"/>
    </row>
    <row r="826036" spans="1:1" x14ac:dyDescent="0.25">
      <c r="A826036" s="242"/>
    </row>
    <row r="826037" spans="1:1" x14ac:dyDescent="0.25">
      <c r="A826037" s="242"/>
    </row>
    <row r="826038" spans="1:1" x14ac:dyDescent="0.25">
      <c r="A826038" s="242"/>
    </row>
    <row r="826039" spans="1:1" x14ac:dyDescent="0.25">
      <c r="A826039" s="242"/>
    </row>
    <row r="826040" spans="1:1" x14ac:dyDescent="0.25">
      <c r="A826040" s="242"/>
    </row>
    <row r="826041" spans="1:1" x14ac:dyDescent="0.25">
      <c r="A826041" s="242"/>
    </row>
    <row r="826042" spans="1:1" x14ac:dyDescent="0.25">
      <c r="A826042" s="242"/>
    </row>
    <row r="826043" spans="1:1" x14ac:dyDescent="0.25">
      <c r="A826043" s="242"/>
    </row>
    <row r="826044" spans="1:1" x14ac:dyDescent="0.25">
      <c r="A826044" s="242"/>
    </row>
    <row r="826045" spans="1:1" x14ac:dyDescent="0.25">
      <c r="A826045" s="242"/>
    </row>
    <row r="826046" spans="1:1" x14ac:dyDescent="0.25">
      <c r="A826046" s="242"/>
    </row>
    <row r="826047" spans="1:1" x14ac:dyDescent="0.25">
      <c r="A826047" s="242"/>
    </row>
    <row r="826048" spans="1:1" x14ac:dyDescent="0.25">
      <c r="A826048" s="242"/>
    </row>
    <row r="826049" spans="1:1" x14ac:dyDescent="0.25">
      <c r="A826049" s="242"/>
    </row>
    <row r="826050" spans="1:1" x14ac:dyDescent="0.25">
      <c r="A826050" s="242"/>
    </row>
    <row r="826051" spans="1:1" x14ac:dyDescent="0.25">
      <c r="A826051" s="242"/>
    </row>
    <row r="826052" spans="1:1" x14ac:dyDescent="0.25">
      <c r="A826052" s="242"/>
    </row>
    <row r="826053" spans="1:1" x14ac:dyDescent="0.25">
      <c r="A826053" s="242"/>
    </row>
    <row r="826054" spans="1:1" x14ac:dyDescent="0.25">
      <c r="A826054" s="242"/>
    </row>
    <row r="826055" spans="1:1" x14ac:dyDescent="0.25">
      <c r="A826055" s="242"/>
    </row>
    <row r="826056" spans="1:1" x14ac:dyDescent="0.25">
      <c r="A826056" s="242"/>
    </row>
    <row r="826057" spans="1:1" x14ac:dyDescent="0.25">
      <c r="A826057" s="242"/>
    </row>
    <row r="826058" spans="1:1" x14ac:dyDescent="0.25">
      <c r="A826058" s="242"/>
    </row>
    <row r="826059" spans="1:1" x14ac:dyDescent="0.25">
      <c r="A826059" s="242"/>
    </row>
    <row r="826060" spans="1:1" x14ac:dyDescent="0.25">
      <c r="A826060" s="242"/>
    </row>
    <row r="826061" spans="1:1" x14ac:dyDescent="0.25">
      <c r="A826061" s="242"/>
    </row>
    <row r="826062" spans="1:1" x14ac:dyDescent="0.25">
      <c r="A826062" s="242"/>
    </row>
    <row r="826063" spans="1:1" x14ac:dyDescent="0.25">
      <c r="A826063" s="242"/>
    </row>
    <row r="826064" spans="1:1" x14ac:dyDescent="0.25">
      <c r="A826064" s="242"/>
    </row>
    <row r="826065" spans="1:1" x14ac:dyDescent="0.25">
      <c r="A826065" s="242"/>
    </row>
    <row r="826066" spans="1:1" x14ac:dyDescent="0.25">
      <c r="A826066" s="242"/>
    </row>
    <row r="826067" spans="1:1" x14ac:dyDescent="0.25">
      <c r="A826067" s="242"/>
    </row>
    <row r="826068" spans="1:1" x14ac:dyDescent="0.25">
      <c r="A826068" s="242"/>
    </row>
    <row r="826069" spans="1:1" x14ac:dyDescent="0.25">
      <c r="A826069" s="242"/>
    </row>
    <row r="826070" spans="1:1" x14ac:dyDescent="0.25">
      <c r="A826070" s="242"/>
    </row>
    <row r="826071" spans="1:1" x14ac:dyDescent="0.25">
      <c r="A826071" s="242"/>
    </row>
    <row r="826072" spans="1:1" x14ac:dyDescent="0.25">
      <c r="A826072" s="242"/>
    </row>
    <row r="826073" spans="1:1" x14ac:dyDescent="0.25">
      <c r="A826073" s="242"/>
    </row>
    <row r="826074" spans="1:1" x14ac:dyDescent="0.25">
      <c r="A826074" s="242"/>
    </row>
    <row r="826075" spans="1:1" x14ac:dyDescent="0.25">
      <c r="A826075" s="242"/>
    </row>
    <row r="826076" spans="1:1" x14ac:dyDescent="0.25">
      <c r="A826076" s="242"/>
    </row>
    <row r="826077" spans="1:1" x14ac:dyDescent="0.25">
      <c r="A826077" s="242"/>
    </row>
    <row r="826078" spans="1:1" x14ac:dyDescent="0.25">
      <c r="A826078" s="242"/>
    </row>
    <row r="826079" spans="1:1" x14ac:dyDescent="0.25">
      <c r="A826079" s="242"/>
    </row>
    <row r="826080" spans="1:1" x14ac:dyDescent="0.25">
      <c r="A826080" s="242"/>
    </row>
    <row r="826081" spans="1:1" x14ac:dyDescent="0.25">
      <c r="A826081" s="242"/>
    </row>
    <row r="826082" spans="1:1" x14ac:dyDescent="0.25">
      <c r="A826082" s="242"/>
    </row>
    <row r="826083" spans="1:1" x14ac:dyDescent="0.25">
      <c r="A826083" s="242"/>
    </row>
    <row r="826084" spans="1:1" x14ac:dyDescent="0.25">
      <c r="A826084" s="242"/>
    </row>
    <row r="826085" spans="1:1" x14ac:dyDescent="0.25">
      <c r="A826085" s="242"/>
    </row>
    <row r="826086" spans="1:1" x14ac:dyDescent="0.25">
      <c r="A826086" s="242"/>
    </row>
    <row r="826087" spans="1:1" x14ac:dyDescent="0.25">
      <c r="A826087" s="242"/>
    </row>
    <row r="826088" spans="1:1" x14ac:dyDescent="0.25">
      <c r="A826088" s="242"/>
    </row>
    <row r="826089" spans="1:1" x14ac:dyDescent="0.25">
      <c r="A826089" s="242"/>
    </row>
    <row r="826090" spans="1:1" x14ac:dyDescent="0.25">
      <c r="A826090" s="242"/>
    </row>
    <row r="826091" spans="1:1" x14ac:dyDescent="0.25">
      <c r="A826091" s="242"/>
    </row>
    <row r="826092" spans="1:1" x14ac:dyDescent="0.25">
      <c r="A826092" s="242"/>
    </row>
    <row r="826093" spans="1:1" x14ac:dyDescent="0.25">
      <c r="A826093" s="242"/>
    </row>
    <row r="826094" spans="1:1" x14ac:dyDescent="0.25">
      <c r="A826094" s="242"/>
    </row>
    <row r="826095" spans="1:1" x14ac:dyDescent="0.25">
      <c r="A826095" s="242"/>
    </row>
    <row r="826096" spans="1:1" x14ac:dyDescent="0.25">
      <c r="A826096" s="242"/>
    </row>
    <row r="826097" spans="1:1" x14ac:dyDescent="0.25">
      <c r="A826097" s="242"/>
    </row>
    <row r="826098" spans="1:1" x14ac:dyDescent="0.25">
      <c r="A826098" s="242"/>
    </row>
    <row r="826099" spans="1:1" x14ac:dyDescent="0.25">
      <c r="A826099" s="242"/>
    </row>
    <row r="826100" spans="1:1" x14ac:dyDescent="0.25">
      <c r="A826100" s="242"/>
    </row>
    <row r="826101" spans="1:1" x14ac:dyDescent="0.25">
      <c r="A826101" s="242"/>
    </row>
    <row r="826102" spans="1:1" x14ac:dyDescent="0.25">
      <c r="A826102" s="242"/>
    </row>
    <row r="826103" spans="1:1" x14ac:dyDescent="0.25">
      <c r="A826103" s="242"/>
    </row>
    <row r="826104" spans="1:1" x14ac:dyDescent="0.25">
      <c r="A826104" s="242"/>
    </row>
    <row r="826105" spans="1:1" x14ac:dyDescent="0.25">
      <c r="A826105" s="242"/>
    </row>
    <row r="826106" spans="1:1" x14ac:dyDescent="0.25">
      <c r="A826106" s="242"/>
    </row>
    <row r="826107" spans="1:1" x14ac:dyDescent="0.25">
      <c r="A826107" s="242"/>
    </row>
    <row r="826108" spans="1:1" x14ac:dyDescent="0.25">
      <c r="A826108" s="242"/>
    </row>
    <row r="826109" spans="1:1" x14ac:dyDescent="0.25">
      <c r="A826109" s="242"/>
    </row>
    <row r="826110" spans="1:1" x14ac:dyDescent="0.25">
      <c r="A826110" s="242"/>
    </row>
    <row r="826111" spans="1:1" x14ac:dyDescent="0.25">
      <c r="A826111" s="242"/>
    </row>
    <row r="826112" spans="1:1" x14ac:dyDescent="0.25">
      <c r="A826112" s="242"/>
    </row>
    <row r="826113" spans="1:1" x14ac:dyDescent="0.25">
      <c r="A826113" s="242"/>
    </row>
    <row r="826114" spans="1:1" x14ac:dyDescent="0.25">
      <c r="A826114" s="242"/>
    </row>
    <row r="826115" spans="1:1" x14ac:dyDescent="0.25">
      <c r="A826115" s="242"/>
    </row>
    <row r="826116" spans="1:1" x14ac:dyDescent="0.25">
      <c r="A826116" s="242"/>
    </row>
    <row r="826117" spans="1:1" x14ac:dyDescent="0.25">
      <c r="A826117" s="242"/>
    </row>
    <row r="826118" spans="1:1" x14ac:dyDescent="0.25">
      <c r="A826118" s="242"/>
    </row>
    <row r="826119" spans="1:1" x14ac:dyDescent="0.25">
      <c r="A826119" s="242"/>
    </row>
    <row r="826120" spans="1:1" x14ac:dyDescent="0.25">
      <c r="A826120" s="242"/>
    </row>
    <row r="826121" spans="1:1" x14ac:dyDescent="0.25">
      <c r="A826121" s="242"/>
    </row>
    <row r="826122" spans="1:1" x14ac:dyDescent="0.25">
      <c r="A826122" s="242"/>
    </row>
    <row r="826123" spans="1:1" x14ac:dyDescent="0.25">
      <c r="A826123" s="242"/>
    </row>
    <row r="826124" spans="1:1" x14ac:dyDescent="0.25">
      <c r="A826124" s="242"/>
    </row>
    <row r="826125" spans="1:1" x14ac:dyDescent="0.25">
      <c r="A826125" s="242"/>
    </row>
    <row r="826126" spans="1:1" x14ac:dyDescent="0.25">
      <c r="A826126" s="242"/>
    </row>
    <row r="826127" spans="1:1" x14ac:dyDescent="0.25">
      <c r="A826127" s="242"/>
    </row>
    <row r="826128" spans="1:1" x14ac:dyDescent="0.25">
      <c r="A826128" s="242"/>
    </row>
    <row r="826129" spans="1:1" x14ac:dyDescent="0.25">
      <c r="A826129" s="242"/>
    </row>
    <row r="826130" spans="1:1" x14ac:dyDescent="0.25">
      <c r="A826130" s="242"/>
    </row>
    <row r="826131" spans="1:1" x14ac:dyDescent="0.25">
      <c r="A826131" s="242"/>
    </row>
    <row r="826132" spans="1:1" x14ac:dyDescent="0.25">
      <c r="A826132" s="242"/>
    </row>
    <row r="826133" spans="1:1" x14ac:dyDescent="0.25">
      <c r="A826133" s="242"/>
    </row>
    <row r="826134" spans="1:1" x14ac:dyDescent="0.25">
      <c r="A826134" s="242"/>
    </row>
    <row r="826135" spans="1:1" x14ac:dyDescent="0.25">
      <c r="A826135" s="242"/>
    </row>
    <row r="826136" spans="1:1" x14ac:dyDescent="0.25">
      <c r="A826136" s="242"/>
    </row>
    <row r="826137" spans="1:1" x14ac:dyDescent="0.25">
      <c r="A826137" s="242"/>
    </row>
    <row r="826138" spans="1:1" x14ac:dyDescent="0.25">
      <c r="A826138" s="242"/>
    </row>
    <row r="826139" spans="1:1" x14ac:dyDescent="0.25">
      <c r="A826139" s="242"/>
    </row>
    <row r="826140" spans="1:1" x14ac:dyDescent="0.25">
      <c r="A826140" s="242"/>
    </row>
    <row r="826141" spans="1:1" x14ac:dyDescent="0.25">
      <c r="A826141" s="242"/>
    </row>
    <row r="826142" spans="1:1" x14ac:dyDescent="0.25">
      <c r="A826142" s="242"/>
    </row>
    <row r="826143" spans="1:1" x14ac:dyDescent="0.25">
      <c r="A826143" s="242"/>
    </row>
    <row r="826144" spans="1:1" x14ac:dyDescent="0.25">
      <c r="A826144" s="242"/>
    </row>
    <row r="826145" spans="1:1" x14ac:dyDescent="0.25">
      <c r="A826145" s="242"/>
    </row>
    <row r="826146" spans="1:1" x14ac:dyDescent="0.25">
      <c r="A826146" s="242"/>
    </row>
    <row r="826147" spans="1:1" x14ac:dyDescent="0.25">
      <c r="A826147" s="242"/>
    </row>
    <row r="826148" spans="1:1" x14ac:dyDescent="0.25">
      <c r="A826148" s="242"/>
    </row>
    <row r="826149" spans="1:1" x14ac:dyDescent="0.25">
      <c r="A826149" s="242"/>
    </row>
    <row r="826150" spans="1:1" x14ac:dyDescent="0.25">
      <c r="A826150" s="242"/>
    </row>
    <row r="826151" spans="1:1" x14ac:dyDescent="0.25">
      <c r="A826151" s="242"/>
    </row>
    <row r="826152" spans="1:1" x14ac:dyDescent="0.25">
      <c r="A826152" s="242"/>
    </row>
    <row r="826153" spans="1:1" x14ac:dyDescent="0.25">
      <c r="A826153" s="242"/>
    </row>
    <row r="826154" spans="1:1" x14ac:dyDescent="0.25">
      <c r="A826154" s="242"/>
    </row>
    <row r="826155" spans="1:1" x14ac:dyDescent="0.25">
      <c r="A826155" s="242"/>
    </row>
    <row r="826156" spans="1:1" x14ac:dyDescent="0.25">
      <c r="A826156" s="242"/>
    </row>
    <row r="826157" spans="1:1" x14ac:dyDescent="0.25">
      <c r="A826157" s="242"/>
    </row>
    <row r="826158" spans="1:1" x14ac:dyDescent="0.25">
      <c r="A826158" s="242"/>
    </row>
    <row r="826159" spans="1:1" x14ac:dyDescent="0.25">
      <c r="A826159" s="242"/>
    </row>
    <row r="826160" spans="1:1" x14ac:dyDescent="0.25">
      <c r="A826160" s="242"/>
    </row>
    <row r="826161" spans="1:1" x14ac:dyDescent="0.25">
      <c r="A826161" s="242"/>
    </row>
    <row r="826162" spans="1:1" x14ac:dyDescent="0.25">
      <c r="A826162" s="242"/>
    </row>
    <row r="826163" spans="1:1" x14ac:dyDescent="0.25">
      <c r="A826163" s="242"/>
    </row>
    <row r="826164" spans="1:1" x14ac:dyDescent="0.25">
      <c r="A826164" s="242"/>
    </row>
    <row r="826165" spans="1:1" x14ac:dyDescent="0.25">
      <c r="A826165" s="242"/>
    </row>
    <row r="826166" spans="1:1" x14ac:dyDescent="0.25">
      <c r="A826166" s="242"/>
    </row>
    <row r="826167" spans="1:1" x14ac:dyDescent="0.25">
      <c r="A826167" s="242"/>
    </row>
    <row r="826168" spans="1:1" x14ac:dyDescent="0.25">
      <c r="A826168" s="242"/>
    </row>
    <row r="826169" spans="1:1" x14ac:dyDescent="0.25">
      <c r="A826169" s="242"/>
    </row>
    <row r="826170" spans="1:1" x14ac:dyDescent="0.25">
      <c r="A826170" s="242"/>
    </row>
    <row r="826171" spans="1:1" x14ac:dyDescent="0.25">
      <c r="A826171" s="242"/>
    </row>
    <row r="826172" spans="1:1" x14ac:dyDescent="0.25">
      <c r="A826172" s="242"/>
    </row>
    <row r="826173" spans="1:1" x14ac:dyDescent="0.25">
      <c r="A826173" s="242"/>
    </row>
    <row r="826174" spans="1:1" x14ac:dyDescent="0.25">
      <c r="A826174" s="242"/>
    </row>
    <row r="826175" spans="1:1" x14ac:dyDescent="0.25">
      <c r="A826175" s="242"/>
    </row>
    <row r="826176" spans="1:1" x14ac:dyDescent="0.25">
      <c r="A826176" s="242"/>
    </row>
    <row r="826177" spans="1:1" x14ac:dyDescent="0.25">
      <c r="A826177" s="242"/>
    </row>
    <row r="826178" spans="1:1" x14ac:dyDescent="0.25">
      <c r="A826178" s="242"/>
    </row>
    <row r="826179" spans="1:1" x14ac:dyDescent="0.25">
      <c r="A826179" s="242"/>
    </row>
    <row r="826180" spans="1:1" x14ac:dyDescent="0.25">
      <c r="A826180" s="242"/>
    </row>
    <row r="826181" spans="1:1" x14ac:dyDescent="0.25">
      <c r="A826181" s="242"/>
    </row>
    <row r="826182" spans="1:1" x14ac:dyDescent="0.25">
      <c r="A826182" s="242"/>
    </row>
    <row r="826183" spans="1:1" x14ac:dyDescent="0.25">
      <c r="A826183" s="242"/>
    </row>
    <row r="826184" spans="1:1" x14ac:dyDescent="0.25">
      <c r="A826184" s="242"/>
    </row>
    <row r="826185" spans="1:1" x14ac:dyDescent="0.25">
      <c r="A826185" s="242"/>
    </row>
    <row r="826186" spans="1:1" x14ac:dyDescent="0.25">
      <c r="A826186" s="242"/>
    </row>
    <row r="826187" spans="1:1" x14ac:dyDescent="0.25">
      <c r="A826187" s="242"/>
    </row>
    <row r="826188" spans="1:1" x14ac:dyDescent="0.25">
      <c r="A826188" s="242"/>
    </row>
    <row r="826189" spans="1:1" x14ac:dyDescent="0.25">
      <c r="A826189" s="242"/>
    </row>
    <row r="826190" spans="1:1" x14ac:dyDescent="0.25">
      <c r="A826190" s="242"/>
    </row>
    <row r="826191" spans="1:1" x14ac:dyDescent="0.25">
      <c r="A826191" s="242"/>
    </row>
    <row r="826192" spans="1:1" x14ac:dyDescent="0.25">
      <c r="A826192" s="242"/>
    </row>
    <row r="826193" spans="1:1" x14ac:dyDescent="0.25">
      <c r="A826193" s="242"/>
    </row>
    <row r="826194" spans="1:1" x14ac:dyDescent="0.25">
      <c r="A826194" s="242"/>
    </row>
    <row r="826195" spans="1:1" x14ac:dyDescent="0.25">
      <c r="A826195" s="242"/>
    </row>
    <row r="826196" spans="1:1" x14ac:dyDescent="0.25">
      <c r="A826196" s="242"/>
    </row>
    <row r="826197" spans="1:1" x14ac:dyDescent="0.25">
      <c r="A826197" s="242"/>
    </row>
    <row r="826198" spans="1:1" x14ac:dyDescent="0.25">
      <c r="A826198" s="242"/>
    </row>
    <row r="826199" spans="1:1" x14ac:dyDescent="0.25">
      <c r="A826199" s="242"/>
    </row>
    <row r="826200" spans="1:1" x14ac:dyDescent="0.25">
      <c r="A826200" s="242"/>
    </row>
    <row r="826201" spans="1:1" x14ac:dyDescent="0.25">
      <c r="A826201" s="242"/>
    </row>
    <row r="826202" spans="1:1" x14ac:dyDescent="0.25">
      <c r="A826202" s="242"/>
    </row>
    <row r="826203" spans="1:1" x14ac:dyDescent="0.25">
      <c r="A826203" s="242"/>
    </row>
    <row r="826204" spans="1:1" x14ac:dyDescent="0.25">
      <c r="A826204" s="242"/>
    </row>
    <row r="826205" spans="1:1" x14ac:dyDescent="0.25">
      <c r="A826205" s="242"/>
    </row>
    <row r="826206" spans="1:1" x14ac:dyDescent="0.25">
      <c r="A826206" s="242"/>
    </row>
    <row r="826207" spans="1:1" x14ac:dyDescent="0.25">
      <c r="A826207" s="242"/>
    </row>
    <row r="826208" spans="1:1" x14ac:dyDescent="0.25">
      <c r="A826208" s="242"/>
    </row>
    <row r="826209" spans="1:1" x14ac:dyDescent="0.25">
      <c r="A826209" s="242"/>
    </row>
    <row r="826210" spans="1:1" x14ac:dyDescent="0.25">
      <c r="A826210" s="242"/>
    </row>
    <row r="826211" spans="1:1" x14ac:dyDescent="0.25">
      <c r="A826211" s="242"/>
    </row>
    <row r="826212" spans="1:1" x14ac:dyDescent="0.25">
      <c r="A826212" s="242"/>
    </row>
    <row r="826213" spans="1:1" x14ac:dyDescent="0.25">
      <c r="A826213" s="242"/>
    </row>
    <row r="826214" spans="1:1" x14ac:dyDescent="0.25">
      <c r="A826214" s="242"/>
    </row>
    <row r="826215" spans="1:1" x14ac:dyDescent="0.25">
      <c r="A826215" s="242"/>
    </row>
    <row r="826216" spans="1:1" x14ac:dyDescent="0.25">
      <c r="A826216" s="242"/>
    </row>
    <row r="826217" spans="1:1" x14ac:dyDescent="0.25">
      <c r="A826217" s="242"/>
    </row>
    <row r="826218" spans="1:1" x14ac:dyDescent="0.25">
      <c r="A826218" s="242"/>
    </row>
    <row r="826219" spans="1:1" x14ac:dyDescent="0.25">
      <c r="A826219" s="242"/>
    </row>
    <row r="826220" spans="1:1" x14ac:dyDescent="0.25">
      <c r="A826220" s="242"/>
    </row>
    <row r="826221" spans="1:1" x14ac:dyDescent="0.25">
      <c r="A826221" s="242"/>
    </row>
    <row r="826222" spans="1:1" x14ac:dyDescent="0.25">
      <c r="A826222" s="242"/>
    </row>
    <row r="826223" spans="1:1" x14ac:dyDescent="0.25">
      <c r="A826223" s="242"/>
    </row>
    <row r="826224" spans="1:1" x14ac:dyDescent="0.25">
      <c r="A826224" s="242"/>
    </row>
    <row r="826225" spans="1:1" x14ac:dyDescent="0.25">
      <c r="A826225" s="242"/>
    </row>
    <row r="826226" spans="1:1" x14ac:dyDescent="0.25">
      <c r="A826226" s="242"/>
    </row>
    <row r="826227" spans="1:1" x14ac:dyDescent="0.25">
      <c r="A826227" s="242"/>
    </row>
    <row r="826228" spans="1:1" x14ac:dyDescent="0.25">
      <c r="A826228" s="242"/>
    </row>
    <row r="826229" spans="1:1" x14ac:dyDescent="0.25">
      <c r="A826229" s="242"/>
    </row>
    <row r="826230" spans="1:1" x14ac:dyDescent="0.25">
      <c r="A826230" s="242"/>
    </row>
    <row r="826231" spans="1:1" x14ac:dyDescent="0.25">
      <c r="A826231" s="242"/>
    </row>
    <row r="826232" spans="1:1" x14ac:dyDescent="0.25">
      <c r="A826232" s="242"/>
    </row>
    <row r="826233" spans="1:1" x14ac:dyDescent="0.25">
      <c r="A826233" s="242"/>
    </row>
    <row r="826234" spans="1:1" x14ac:dyDescent="0.25">
      <c r="A826234" s="242"/>
    </row>
    <row r="826235" spans="1:1" x14ac:dyDescent="0.25">
      <c r="A826235" s="242"/>
    </row>
    <row r="826236" spans="1:1" x14ac:dyDescent="0.25">
      <c r="A826236" s="242"/>
    </row>
    <row r="826237" spans="1:1" x14ac:dyDescent="0.25">
      <c r="A826237" s="242"/>
    </row>
    <row r="826238" spans="1:1" x14ac:dyDescent="0.25">
      <c r="A826238" s="242"/>
    </row>
    <row r="826239" spans="1:1" x14ac:dyDescent="0.25">
      <c r="A826239" s="242"/>
    </row>
    <row r="826240" spans="1:1" x14ac:dyDescent="0.25">
      <c r="A826240" s="242"/>
    </row>
    <row r="826241" spans="1:1" x14ac:dyDescent="0.25">
      <c r="A826241" s="242"/>
    </row>
    <row r="826242" spans="1:1" x14ac:dyDescent="0.25">
      <c r="A826242" s="242"/>
    </row>
    <row r="826243" spans="1:1" x14ac:dyDescent="0.25">
      <c r="A826243" s="242"/>
    </row>
    <row r="826244" spans="1:1" x14ac:dyDescent="0.25">
      <c r="A826244" s="242"/>
    </row>
    <row r="826245" spans="1:1" x14ac:dyDescent="0.25">
      <c r="A826245" s="242"/>
    </row>
    <row r="826246" spans="1:1" x14ac:dyDescent="0.25">
      <c r="A826246" s="242"/>
    </row>
    <row r="826247" spans="1:1" x14ac:dyDescent="0.25">
      <c r="A826247" s="242"/>
    </row>
    <row r="826248" spans="1:1" x14ac:dyDescent="0.25">
      <c r="A826248" s="242"/>
    </row>
    <row r="826249" spans="1:1" x14ac:dyDescent="0.25">
      <c r="A826249" s="242"/>
    </row>
    <row r="826250" spans="1:1" x14ac:dyDescent="0.25">
      <c r="A826250" s="242"/>
    </row>
    <row r="826251" spans="1:1" x14ac:dyDescent="0.25">
      <c r="A826251" s="242"/>
    </row>
    <row r="826252" spans="1:1" x14ac:dyDescent="0.25">
      <c r="A826252" s="242"/>
    </row>
    <row r="826253" spans="1:1" x14ac:dyDescent="0.25">
      <c r="A826253" s="242"/>
    </row>
    <row r="826254" spans="1:1" x14ac:dyDescent="0.25">
      <c r="A826254" s="242"/>
    </row>
    <row r="826255" spans="1:1" x14ac:dyDescent="0.25">
      <c r="A826255" s="242"/>
    </row>
    <row r="826256" spans="1:1" x14ac:dyDescent="0.25">
      <c r="A826256" s="242"/>
    </row>
    <row r="826257" spans="1:1" x14ac:dyDescent="0.25">
      <c r="A826257" s="242"/>
    </row>
    <row r="826258" spans="1:1" x14ac:dyDescent="0.25">
      <c r="A826258" s="242"/>
    </row>
    <row r="826259" spans="1:1" x14ac:dyDescent="0.25">
      <c r="A826259" s="242"/>
    </row>
    <row r="826260" spans="1:1" x14ac:dyDescent="0.25">
      <c r="A826260" s="242"/>
    </row>
    <row r="826261" spans="1:1" x14ac:dyDescent="0.25">
      <c r="A826261" s="242"/>
    </row>
    <row r="826262" spans="1:1" x14ac:dyDescent="0.25">
      <c r="A826262" s="242"/>
    </row>
    <row r="826263" spans="1:1" x14ac:dyDescent="0.25">
      <c r="A826263" s="242"/>
    </row>
    <row r="826264" spans="1:1" x14ac:dyDescent="0.25">
      <c r="A826264" s="242"/>
    </row>
    <row r="826265" spans="1:1" x14ac:dyDescent="0.25">
      <c r="A826265" s="242"/>
    </row>
    <row r="826266" spans="1:1" x14ac:dyDescent="0.25">
      <c r="A826266" s="242"/>
    </row>
    <row r="826267" spans="1:1" x14ac:dyDescent="0.25">
      <c r="A826267" s="242"/>
    </row>
    <row r="826268" spans="1:1" x14ac:dyDescent="0.25">
      <c r="A826268" s="242"/>
    </row>
    <row r="826269" spans="1:1" x14ac:dyDescent="0.25">
      <c r="A826269" s="242"/>
    </row>
    <row r="826270" spans="1:1" x14ac:dyDescent="0.25">
      <c r="A826270" s="242"/>
    </row>
    <row r="826271" spans="1:1" x14ac:dyDescent="0.25">
      <c r="A826271" s="242"/>
    </row>
    <row r="826272" spans="1:1" x14ac:dyDescent="0.25">
      <c r="A826272" s="242"/>
    </row>
    <row r="826273" spans="1:1" x14ac:dyDescent="0.25">
      <c r="A826273" s="242"/>
    </row>
    <row r="826274" spans="1:1" x14ac:dyDescent="0.25">
      <c r="A826274" s="242"/>
    </row>
    <row r="826275" spans="1:1" x14ac:dyDescent="0.25">
      <c r="A826275" s="242"/>
    </row>
    <row r="826276" spans="1:1" x14ac:dyDescent="0.25">
      <c r="A826276" s="242"/>
    </row>
    <row r="826277" spans="1:1" x14ac:dyDescent="0.25">
      <c r="A826277" s="242"/>
    </row>
    <row r="826278" spans="1:1" x14ac:dyDescent="0.25">
      <c r="A826278" s="242"/>
    </row>
    <row r="826279" spans="1:1" x14ac:dyDescent="0.25">
      <c r="A826279" s="242"/>
    </row>
    <row r="826280" spans="1:1" x14ac:dyDescent="0.25">
      <c r="A826280" s="242"/>
    </row>
    <row r="826281" spans="1:1" x14ac:dyDescent="0.25">
      <c r="A826281" s="242"/>
    </row>
    <row r="826282" spans="1:1" x14ac:dyDescent="0.25">
      <c r="A826282" s="242"/>
    </row>
    <row r="826283" spans="1:1" x14ac:dyDescent="0.25">
      <c r="A826283" s="242"/>
    </row>
    <row r="826284" spans="1:1" x14ac:dyDescent="0.25">
      <c r="A826284" s="242"/>
    </row>
    <row r="826285" spans="1:1" x14ac:dyDescent="0.25">
      <c r="A826285" s="242"/>
    </row>
    <row r="826286" spans="1:1" x14ac:dyDescent="0.25">
      <c r="A826286" s="242"/>
    </row>
    <row r="826287" spans="1:1" x14ac:dyDescent="0.25">
      <c r="A826287" s="242"/>
    </row>
    <row r="826288" spans="1:1" x14ac:dyDescent="0.25">
      <c r="A826288" s="242"/>
    </row>
    <row r="826289" spans="1:1" x14ac:dyDescent="0.25">
      <c r="A826289" s="242"/>
    </row>
    <row r="826290" spans="1:1" x14ac:dyDescent="0.25">
      <c r="A826290" s="242"/>
    </row>
    <row r="826291" spans="1:1" x14ac:dyDescent="0.25">
      <c r="A826291" s="242"/>
    </row>
    <row r="826292" spans="1:1" x14ac:dyDescent="0.25">
      <c r="A826292" s="242"/>
    </row>
    <row r="826293" spans="1:1" x14ac:dyDescent="0.25">
      <c r="A826293" s="242"/>
    </row>
    <row r="826294" spans="1:1" x14ac:dyDescent="0.25">
      <c r="A826294" s="242"/>
    </row>
    <row r="826295" spans="1:1" x14ac:dyDescent="0.25">
      <c r="A826295" s="242"/>
    </row>
    <row r="826296" spans="1:1" x14ac:dyDescent="0.25">
      <c r="A826296" s="242"/>
    </row>
    <row r="826297" spans="1:1" x14ac:dyDescent="0.25">
      <c r="A826297" s="242"/>
    </row>
    <row r="826298" spans="1:1" x14ac:dyDescent="0.25">
      <c r="A826298" s="242"/>
    </row>
    <row r="826299" spans="1:1" x14ac:dyDescent="0.25">
      <c r="A826299" s="242"/>
    </row>
    <row r="826300" spans="1:1" x14ac:dyDescent="0.25">
      <c r="A826300" s="242"/>
    </row>
    <row r="826301" spans="1:1" x14ac:dyDescent="0.25">
      <c r="A826301" s="242"/>
    </row>
    <row r="826302" spans="1:1" x14ac:dyDescent="0.25">
      <c r="A826302" s="242"/>
    </row>
    <row r="826303" spans="1:1" x14ac:dyDescent="0.25">
      <c r="A826303" s="242"/>
    </row>
    <row r="826304" spans="1:1" x14ac:dyDescent="0.25">
      <c r="A826304" s="242"/>
    </row>
    <row r="826305" spans="1:1" x14ac:dyDescent="0.25">
      <c r="A826305" s="242"/>
    </row>
    <row r="826306" spans="1:1" x14ac:dyDescent="0.25">
      <c r="A826306" s="242"/>
    </row>
    <row r="826307" spans="1:1" x14ac:dyDescent="0.25">
      <c r="A826307" s="242"/>
    </row>
    <row r="826308" spans="1:1" x14ac:dyDescent="0.25">
      <c r="A826308" s="242"/>
    </row>
    <row r="826309" spans="1:1" x14ac:dyDescent="0.25">
      <c r="A826309" s="242"/>
    </row>
    <row r="826310" spans="1:1" x14ac:dyDescent="0.25">
      <c r="A826310" s="242"/>
    </row>
    <row r="826311" spans="1:1" x14ac:dyDescent="0.25">
      <c r="A826311" s="242"/>
    </row>
    <row r="826312" spans="1:1" x14ac:dyDescent="0.25">
      <c r="A826312" s="242"/>
    </row>
    <row r="826313" spans="1:1" x14ac:dyDescent="0.25">
      <c r="A826313" s="242"/>
    </row>
    <row r="826314" spans="1:1" x14ac:dyDescent="0.25">
      <c r="A826314" s="242"/>
    </row>
    <row r="826315" spans="1:1" x14ac:dyDescent="0.25">
      <c r="A826315" s="242"/>
    </row>
    <row r="826316" spans="1:1" x14ac:dyDescent="0.25">
      <c r="A826316" s="242"/>
    </row>
    <row r="826317" spans="1:1" x14ac:dyDescent="0.25">
      <c r="A826317" s="242"/>
    </row>
    <row r="826318" spans="1:1" x14ac:dyDescent="0.25">
      <c r="A826318" s="242"/>
    </row>
    <row r="826319" spans="1:1" x14ac:dyDescent="0.25">
      <c r="A826319" s="242"/>
    </row>
    <row r="826320" spans="1:1" x14ac:dyDescent="0.25">
      <c r="A826320" s="242"/>
    </row>
    <row r="826321" spans="1:1" x14ac:dyDescent="0.25">
      <c r="A826321" s="242"/>
    </row>
    <row r="826322" spans="1:1" x14ac:dyDescent="0.25">
      <c r="A826322" s="242"/>
    </row>
    <row r="826323" spans="1:1" x14ac:dyDescent="0.25">
      <c r="A826323" s="242"/>
    </row>
    <row r="826324" spans="1:1" x14ac:dyDescent="0.25">
      <c r="A826324" s="242"/>
    </row>
    <row r="826325" spans="1:1" x14ac:dyDescent="0.25">
      <c r="A826325" s="242"/>
    </row>
    <row r="826326" spans="1:1" x14ac:dyDescent="0.25">
      <c r="A826326" s="242"/>
    </row>
    <row r="826327" spans="1:1" x14ac:dyDescent="0.25">
      <c r="A826327" s="242"/>
    </row>
    <row r="826328" spans="1:1" x14ac:dyDescent="0.25">
      <c r="A826328" s="242"/>
    </row>
    <row r="826329" spans="1:1" x14ac:dyDescent="0.25">
      <c r="A826329" s="242"/>
    </row>
    <row r="826330" spans="1:1" x14ac:dyDescent="0.25">
      <c r="A826330" s="242"/>
    </row>
    <row r="826331" spans="1:1" x14ac:dyDescent="0.25">
      <c r="A826331" s="242"/>
    </row>
    <row r="826332" spans="1:1" x14ac:dyDescent="0.25">
      <c r="A826332" s="242"/>
    </row>
    <row r="826333" spans="1:1" x14ac:dyDescent="0.25">
      <c r="A826333" s="242"/>
    </row>
    <row r="826334" spans="1:1" x14ac:dyDescent="0.25">
      <c r="A826334" s="242"/>
    </row>
    <row r="826335" spans="1:1" x14ac:dyDescent="0.25">
      <c r="A826335" s="242"/>
    </row>
    <row r="826336" spans="1:1" x14ac:dyDescent="0.25">
      <c r="A826336" s="242"/>
    </row>
    <row r="826337" spans="1:1" x14ac:dyDescent="0.25">
      <c r="A826337" s="242"/>
    </row>
    <row r="826338" spans="1:1" x14ac:dyDescent="0.25">
      <c r="A826338" s="242"/>
    </row>
    <row r="826339" spans="1:1" x14ac:dyDescent="0.25">
      <c r="A826339" s="242"/>
    </row>
    <row r="826340" spans="1:1" x14ac:dyDescent="0.25">
      <c r="A826340" s="242"/>
    </row>
    <row r="826341" spans="1:1" x14ac:dyDescent="0.25">
      <c r="A826341" s="242"/>
    </row>
    <row r="826342" spans="1:1" x14ac:dyDescent="0.25">
      <c r="A826342" s="242"/>
    </row>
    <row r="826343" spans="1:1" x14ac:dyDescent="0.25">
      <c r="A826343" s="242"/>
    </row>
    <row r="826344" spans="1:1" x14ac:dyDescent="0.25">
      <c r="A826344" s="242"/>
    </row>
    <row r="826345" spans="1:1" x14ac:dyDescent="0.25">
      <c r="A826345" s="242"/>
    </row>
    <row r="826346" spans="1:1" x14ac:dyDescent="0.25">
      <c r="A826346" s="242"/>
    </row>
    <row r="826347" spans="1:1" x14ac:dyDescent="0.25">
      <c r="A826347" s="242"/>
    </row>
    <row r="826348" spans="1:1" x14ac:dyDescent="0.25">
      <c r="A826348" s="242"/>
    </row>
    <row r="826349" spans="1:1" x14ac:dyDescent="0.25">
      <c r="A826349" s="242"/>
    </row>
    <row r="826350" spans="1:1" x14ac:dyDescent="0.25">
      <c r="A826350" s="242"/>
    </row>
    <row r="826351" spans="1:1" x14ac:dyDescent="0.25">
      <c r="A826351" s="242"/>
    </row>
    <row r="826352" spans="1:1" x14ac:dyDescent="0.25">
      <c r="A826352" s="242"/>
    </row>
    <row r="826353" spans="1:1" x14ac:dyDescent="0.25">
      <c r="A826353" s="242"/>
    </row>
    <row r="826354" spans="1:1" x14ac:dyDescent="0.25">
      <c r="A826354" s="242"/>
    </row>
    <row r="826355" spans="1:1" x14ac:dyDescent="0.25">
      <c r="A826355" s="242"/>
    </row>
    <row r="826356" spans="1:1" x14ac:dyDescent="0.25">
      <c r="A826356" s="242"/>
    </row>
    <row r="826357" spans="1:1" x14ac:dyDescent="0.25">
      <c r="A826357" s="242"/>
    </row>
    <row r="826358" spans="1:1" x14ac:dyDescent="0.25">
      <c r="A826358" s="242"/>
    </row>
    <row r="826359" spans="1:1" x14ac:dyDescent="0.25">
      <c r="A826359" s="242"/>
    </row>
    <row r="826360" spans="1:1" x14ac:dyDescent="0.25">
      <c r="A826360" s="242"/>
    </row>
    <row r="826361" spans="1:1" x14ac:dyDescent="0.25">
      <c r="A826361" s="242"/>
    </row>
    <row r="826362" spans="1:1" x14ac:dyDescent="0.25">
      <c r="A826362" s="242"/>
    </row>
    <row r="826363" spans="1:1" x14ac:dyDescent="0.25">
      <c r="A826363" s="242"/>
    </row>
    <row r="826364" spans="1:1" x14ac:dyDescent="0.25">
      <c r="A826364" s="242"/>
    </row>
    <row r="826365" spans="1:1" x14ac:dyDescent="0.25">
      <c r="A826365" s="242"/>
    </row>
    <row r="826366" spans="1:1" x14ac:dyDescent="0.25">
      <c r="A826366" s="242"/>
    </row>
    <row r="826367" spans="1:1" x14ac:dyDescent="0.25">
      <c r="A826367" s="242"/>
    </row>
    <row r="826368" spans="1:1" x14ac:dyDescent="0.25">
      <c r="A826368" s="242"/>
    </row>
    <row r="826369" spans="1:1" x14ac:dyDescent="0.25">
      <c r="A826369" s="242"/>
    </row>
    <row r="826370" spans="1:1" x14ac:dyDescent="0.25">
      <c r="A826370" s="242"/>
    </row>
    <row r="826371" spans="1:1" x14ac:dyDescent="0.25">
      <c r="A826371" s="242"/>
    </row>
    <row r="826372" spans="1:1" x14ac:dyDescent="0.25">
      <c r="A826372" s="242"/>
    </row>
    <row r="826373" spans="1:1" x14ac:dyDescent="0.25">
      <c r="A826373" s="242"/>
    </row>
    <row r="826374" spans="1:1" x14ac:dyDescent="0.25">
      <c r="A826374" s="242"/>
    </row>
    <row r="826375" spans="1:1" x14ac:dyDescent="0.25">
      <c r="A826375" s="242"/>
    </row>
    <row r="826376" spans="1:1" x14ac:dyDescent="0.25">
      <c r="A826376" s="242"/>
    </row>
    <row r="826377" spans="1:1" x14ac:dyDescent="0.25">
      <c r="A826377" s="242"/>
    </row>
    <row r="826378" spans="1:1" x14ac:dyDescent="0.25">
      <c r="A826378" s="242"/>
    </row>
    <row r="826379" spans="1:1" x14ac:dyDescent="0.25">
      <c r="A826379" s="242"/>
    </row>
    <row r="826380" spans="1:1" x14ac:dyDescent="0.25">
      <c r="A826380" s="242"/>
    </row>
    <row r="826381" spans="1:1" x14ac:dyDescent="0.25">
      <c r="A826381" s="242"/>
    </row>
    <row r="826382" spans="1:1" x14ac:dyDescent="0.25">
      <c r="A826382" s="242"/>
    </row>
    <row r="826383" spans="1:1" x14ac:dyDescent="0.25">
      <c r="A826383" s="242"/>
    </row>
    <row r="826384" spans="1:1" x14ac:dyDescent="0.25">
      <c r="A826384" s="242"/>
    </row>
    <row r="826385" spans="1:1" x14ac:dyDescent="0.25">
      <c r="A826385" s="242"/>
    </row>
    <row r="826386" spans="1:1" x14ac:dyDescent="0.25">
      <c r="A826386" s="242"/>
    </row>
    <row r="826387" spans="1:1" x14ac:dyDescent="0.25">
      <c r="A826387" s="242"/>
    </row>
    <row r="826388" spans="1:1" x14ac:dyDescent="0.25">
      <c r="A826388" s="242"/>
    </row>
    <row r="826389" spans="1:1" x14ac:dyDescent="0.25">
      <c r="A826389" s="242"/>
    </row>
    <row r="826390" spans="1:1" x14ac:dyDescent="0.25">
      <c r="A826390" s="242"/>
    </row>
    <row r="826391" spans="1:1" x14ac:dyDescent="0.25">
      <c r="A826391" s="242"/>
    </row>
    <row r="826392" spans="1:1" x14ac:dyDescent="0.25">
      <c r="A826392" s="242"/>
    </row>
    <row r="826393" spans="1:1" x14ac:dyDescent="0.25">
      <c r="A826393" s="242"/>
    </row>
    <row r="826394" spans="1:1" x14ac:dyDescent="0.25">
      <c r="A826394" s="242"/>
    </row>
    <row r="826395" spans="1:1" x14ac:dyDescent="0.25">
      <c r="A826395" s="242"/>
    </row>
    <row r="826396" spans="1:1" x14ac:dyDescent="0.25">
      <c r="A826396" s="242"/>
    </row>
    <row r="826397" spans="1:1" x14ac:dyDescent="0.25">
      <c r="A826397" s="242"/>
    </row>
    <row r="826398" spans="1:1" x14ac:dyDescent="0.25">
      <c r="A826398" s="242"/>
    </row>
    <row r="826399" spans="1:1" x14ac:dyDescent="0.25">
      <c r="A826399" s="242"/>
    </row>
    <row r="826400" spans="1:1" x14ac:dyDescent="0.25">
      <c r="A826400" s="242"/>
    </row>
    <row r="826401" spans="1:1" x14ac:dyDescent="0.25">
      <c r="A826401" s="242"/>
    </row>
    <row r="826402" spans="1:1" x14ac:dyDescent="0.25">
      <c r="A826402" s="242"/>
    </row>
    <row r="826403" spans="1:1" x14ac:dyDescent="0.25">
      <c r="A826403" s="242"/>
    </row>
    <row r="826404" spans="1:1" x14ac:dyDescent="0.25">
      <c r="A826404" s="242"/>
    </row>
    <row r="826405" spans="1:1" x14ac:dyDescent="0.25">
      <c r="A826405" s="242"/>
    </row>
    <row r="826406" spans="1:1" x14ac:dyDescent="0.25">
      <c r="A826406" s="242"/>
    </row>
    <row r="826407" spans="1:1" x14ac:dyDescent="0.25">
      <c r="A826407" s="242"/>
    </row>
    <row r="826408" spans="1:1" x14ac:dyDescent="0.25">
      <c r="A826408" s="242"/>
    </row>
    <row r="826409" spans="1:1" x14ac:dyDescent="0.25">
      <c r="A826409" s="242"/>
    </row>
    <row r="826410" spans="1:1" x14ac:dyDescent="0.25">
      <c r="A826410" s="242"/>
    </row>
    <row r="826411" spans="1:1" x14ac:dyDescent="0.25">
      <c r="A826411" s="242"/>
    </row>
    <row r="826412" spans="1:1" x14ac:dyDescent="0.25">
      <c r="A826412" s="242"/>
    </row>
    <row r="826413" spans="1:1" x14ac:dyDescent="0.25">
      <c r="A826413" s="242"/>
    </row>
    <row r="826414" spans="1:1" x14ac:dyDescent="0.25">
      <c r="A826414" s="242"/>
    </row>
    <row r="826415" spans="1:1" x14ac:dyDescent="0.25">
      <c r="A826415" s="242"/>
    </row>
    <row r="826416" spans="1:1" x14ac:dyDescent="0.25">
      <c r="A826416" s="242"/>
    </row>
    <row r="826417" spans="1:1" x14ac:dyDescent="0.25">
      <c r="A826417" s="242"/>
    </row>
    <row r="826418" spans="1:1" x14ac:dyDescent="0.25">
      <c r="A826418" s="242"/>
    </row>
    <row r="826419" spans="1:1" x14ac:dyDescent="0.25">
      <c r="A826419" s="242"/>
    </row>
    <row r="826420" spans="1:1" x14ac:dyDescent="0.25">
      <c r="A826420" s="242"/>
    </row>
    <row r="826421" spans="1:1" x14ac:dyDescent="0.25">
      <c r="A826421" s="242"/>
    </row>
    <row r="826422" spans="1:1" x14ac:dyDescent="0.25">
      <c r="A826422" s="242"/>
    </row>
    <row r="826423" spans="1:1" x14ac:dyDescent="0.25">
      <c r="A826423" s="242"/>
    </row>
    <row r="826424" spans="1:1" x14ac:dyDescent="0.25">
      <c r="A826424" s="242"/>
    </row>
    <row r="826425" spans="1:1" x14ac:dyDescent="0.25">
      <c r="A826425" s="242"/>
    </row>
    <row r="826426" spans="1:1" x14ac:dyDescent="0.25">
      <c r="A826426" s="242"/>
    </row>
    <row r="826427" spans="1:1" x14ac:dyDescent="0.25">
      <c r="A826427" s="242"/>
    </row>
    <row r="826428" spans="1:1" x14ac:dyDescent="0.25">
      <c r="A826428" s="242"/>
    </row>
    <row r="826429" spans="1:1" x14ac:dyDescent="0.25">
      <c r="A826429" s="242"/>
    </row>
    <row r="826430" spans="1:1" x14ac:dyDescent="0.25">
      <c r="A826430" s="242"/>
    </row>
    <row r="826431" spans="1:1" x14ac:dyDescent="0.25">
      <c r="A826431" s="242"/>
    </row>
    <row r="826432" spans="1:1" x14ac:dyDescent="0.25">
      <c r="A826432" s="242"/>
    </row>
    <row r="826433" spans="1:1" x14ac:dyDescent="0.25">
      <c r="A826433" s="242"/>
    </row>
    <row r="826434" spans="1:1" x14ac:dyDescent="0.25">
      <c r="A826434" s="242"/>
    </row>
    <row r="826435" spans="1:1" x14ac:dyDescent="0.25">
      <c r="A826435" s="242"/>
    </row>
    <row r="826436" spans="1:1" x14ac:dyDescent="0.25">
      <c r="A826436" s="242"/>
    </row>
    <row r="826437" spans="1:1" x14ac:dyDescent="0.25">
      <c r="A826437" s="242"/>
    </row>
    <row r="826438" spans="1:1" x14ac:dyDescent="0.25">
      <c r="A826438" s="242"/>
    </row>
    <row r="826439" spans="1:1" x14ac:dyDescent="0.25">
      <c r="A826439" s="242"/>
    </row>
    <row r="826440" spans="1:1" x14ac:dyDescent="0.25">
      <c r="A826440" s="242"/>
    </row>
    <row r="826441" spans="1:1" x14ac:dyDescent="0.25">
      <c r="A826441" s="242"/>
    </row>
    <row r="826442" spans="1:1" x14ac:dyDescent="0.25">
      <c r="A826442" s="242"/>
    </row>
    <row r="826443" spans="1:1" x14ac:dyDescent="0.25">
      <c r="A826443" s="242"/>
    </row>
    <row r="826444" spans="1:1" x14ac:dyDescent="0.25">
      <c r="A826444" s="242"/>
    </row>
    <row r="826445" spans="1:1" x14ac:dyDescent="0.25">
      <c r="A826445" s="242"/>
    </row>
    <row r="826446" spans="1:1" x14ac:dyDescent="0.25">
      <c r="A826446" s="242"/>
    </row>
    <row r="826447" spans="1:1" x14ac:dyDescent="0.25">
      <c r="A826447" s="242"/>
    </row>
    <row r="826448" spans="1:1" x14ac:dyDescent="0.25">
      <c r="A826448" s="242"/>
    </row>
    <row r="826449" spans="1:1" x14ac:dyDescent="0.25">
      <c r="A826449" s="242"/>
    </row>
    <row r="826450" spans="1:1" x14ac:dyDescent="0.25">
      <c r="A826450" s="242"/>
    </row>
    <row r="826451" spans="1:1" x14ac:dyDescent="0.25">
      <c r="A826451" s="242"/>
    </row>
    <row r="826452" spans="1:1" x14ac:dyDescent="0.25">
      <c r="A826452" s="242"/>
    </row>
    <row r="826453" spans="1:1" x14ac:dyDescent="0.25">
      <c r="A826453" s="242"/>
    </row>
    <row r="826454" spans="1:1" x14ac:dyDescent="0.25">
      <c r="A826454" s="242"/>
    </row>
    <row r="826455" spans="1:1" x14ac:dyDescent="0.25">
      <c r="A826455" s="242"/>
    </row>
    <row r="826456" spans="1:1" x14ac:dyDescent="0.25">
      <c r="A826456" s="242"/>
    </row>
    <row r="826457" spans="1:1" x14ac:dyDescent="0.25">
      <c r="A826457" s="242"/>
    </row>
    <row r="826458" spans="1:1" x14ac:dyDescent="0.25">
      <c r="A826458" s="242"/>
    </row>
    <row r="826459" spans="1:1" x14ac:dyDescent="0.25">
      <c r="A826459" s="242"/>
    </row>
    <row r="826460" spans="1:1" x14ac:dyDescent="0.25">
      <c r="A826460" s="242"/>
    </row>
    <row r="826461" spans="1:1" x14ac:dyDescent="0.25">
      <c r="A826461" s="242"/>
    </row>
    <row r="826462" spans="1:1" x14ac:dyDescent="0.25">
      <c r="A826462" s="242"/>
    </row>
    <row r="826463" spans="1:1" x14ac:dyDescent="0.25">
      <c r="A826463" s="242"/>
    </row>
    <row r="826464" spans="1:1" x14ac:dyDescent="0.25">
      <c r="A826464" s="242"/>
    </row>
    <row r="826465" spans="1:1" x14ac:dyDescent="0.25">
      <c r="A826465" s="242"/>
    </row>
    <row r="826466" spans="1:1" x14ac:dyDescent="0.25">
      <c r="A826466" s="242"/>
    </row>
    <row r="826467" spans="1:1" x14ac:dyDescent="0.25">
      <c r="A826467" s="242"/>
    </row>
    <row r="826468" spans="1:1" x14ac:dyDescent="0.25">
      <c r="A826468" s="242"/>
    </row>
    <row r="826469" spans="1:1" x14ac:dyDescent="0.25">
      <c r="A826469" s="242"/>
    </row>
    <row r="826470" spans="1:1" x14ac:dyDescent="0.25">
      <c r="A826470" s="242"/>
    </row>
    <row r="826471" spans="1:1" x14ac:dyDescent="0.25">
      <c r="A826471" s="242"/>
    </row>
    <row r="826472" spans="1:1" x14ac:dyDescent="0.25">
      <c r="A826472" s="242"/>
    </row>
    <row r="826473" spans="1:1" x14ac:dyDescent="0.25">
      <c r="A826473" s="242"/>
    </row>
    <row r="826474" spans="1:1" x14ac:dyDescent="0.25">
      <c r="A826474" s="242"/>
    </row>
    <row r="826475" spans="1:1" x14ac:dyDescent="0.25">
      <c r="A826475" s="242"/>
    </row>
    <row r="826476" spans="1:1" x14ac:dyDescent="0.25">
      <c r="A826476" s="242"/>
    </row>
    <row r="826477" spans="1:1" x14ac:dyDescent="0.25">
      <c r="A826477" s="242"/>
    </row>
    <row r="826478" spans="1:1" x14ac:dyDescent="0.25">
      <c r="A826478" s="242"/>
    </row>
    <row r="826479" spans="1:1" x14ac:dyDescent="0.25">
      <c r="A826479" s="242"/>
    </row>
    <row r="826480" spans="1:1" x14ac:dyDescent="0.25">
      <c r="A826480" s="242"/>
    </row>
    <row r="826481" spans="1:1" x14ac:dyDescent="0.25">
      <c r="A826481" s="242"/>
    </row>
    <row r="826482" spans="1:1" x14ac:dyDescent="0.25">
      <c r="A826482" s="242"/>
    </row>
    <row r="826483" spans="1:1" x14ac:dyDescent="0.25">
      <c r="A826483" s="242"/>
    </row>
    <row r="826484" spans="1:1" x14ac:dyDescent="0.25">
      <c r="A826484" s="242"/>
    </row>
    <row r="826485" spans="1:1" x14ac:dyDescent="0.25">
      <c r="A826485" s="242"/>
    </row>
    <row r="826486" spans="1:1" x14ac:dyDescent="0.25">
      <c r="A826486" s="242"/>
    </row>
    <row r="826487" spans="1:1" x14ac:dyDescent="0.25">
      <c r="A826487" s="242"/>
    </row>
    <row r="826488" spans="1:1" x14ac:dyDescent="0.25">
      <c r="A826488" s="242"/>
    </row>
    <row r="826489" spans="1:1" x14ac:dyDescent="0.25">
      <c r="A826489" s="242"/>
    </row>
    <row r="826490" spans="1:1" x14ac:dyDescent="0.25">
      <c r="A826490" s="242"/>
    </row>
    <row r="826491" spans="1:1" x14ac:dyDescent="0.25">
      <c r="A826491" s="242"/>
    </row>
    <row r="826492" spans="1:1" x14ac:dyDescent="0.25">
      <c r="A826492" s="242"/>
    </row>
    <row r="826493" spans="1:1" x14ac:dyDescent="0.25">
      <c r="A826493" s="242"/>
    </row>
    <row r="826494" spans="1:1" x14ac:dyDescent="0.25">
      <c r="A826494" s="242"/>
    </row>
    <row r="826495" spans="1:1" x14ac:dyDescent="0.25">
      <c r="A826495" s="242"/>
    </row>
    <row r="826496" spans="1:1" x14ac:dyDescent="0.25">
      <c r="A826496" s="242"/>
    </row>
    <row r="826497" spans="1:1" x14ac:dyDescent="0.25">
      <c r="A826497" s="242"/>
    </row>
    <row r="826498" spans="1:1" x14ac:dyDescent="0.25">
      <c r="A826498" s="242"/>
    </row>
    <row r="826499" spans="1:1" x14ac:dyDescent="0.25">
      <c r="A826499" s="242"/>
    </row>
    <row r="826500" spans="1:1" x14ac:dyDescent="0.25">
      <c r="A826500" s="242"/>
    </row>
    <row r="826501" spans="1:1" x14ac:dyDescent="0.25">
      <c r="A826501" s="242"/>
    </row>
    <row r="826502" spans="1:1" x14ac:dyDescent="0.25">
      <c r="A826502" s="242"/>
    </row>
    <row r="826503" spans="1:1" x14ac:dyDescent="0.25">
      <c r="A826503" s="242"/>
    </row>
    <row r="826504" spans="1:1" x14ac:dyDescent="0.25">
      <c r="A826504" s="242"/>
    </row>
    <row r="826505" spans="1:1" x14ac:dyDescent="0.25">
      <c r="A826505" s="242"/>
    </row>
    <row r="826506" spans="1:1" x14ac:dyDescent="0.25">
      <c r="A826506" s="242"/>
    </row>
    <row r="826507" spans="1:1" x14ac:dyDescent="0.25">
      <c r="A826507" s="242"/>
    </row>
    <row r="826508" spans="1:1" x14ac:dyDescent="0.25">
      <c r="A826508" s="242"/>
    </row>
    <row r="826509" spans="1:1" x14ac:dyDescent="0.25">
      <c r="A826509" s="242"/>
    </row>
    <row r="826510" spans="1:1" x14ac:dyDescent="0.25">
      <c r="A826510" s="242"/>
    </row>
    <row r="826511" spans="1:1" x14ac:dyDescent="0.25">
      <c r="A826511" s="242"/>
    </row>
    <row r="826512" spans="1:1" x14ac:dyDescent="0.25">
      <c r="A826512" s="242"/>
    </row>
    <row r="826513" spans="1:1" x14ac:dyDescent="0.25">
      <c r="A826513" s="242"/>
    </row>
    <row r="826514" spans="1:1" x14ac:dyDescent="0.25">
      <c r="A826514" s="242"/>
    </row>
    <row r="826515" spans="1:1" x14ac:dyDescent="0.25">
      <c r="A826515" s="242"/>
    </row>
    <row r="826516" spans="1:1" x14ac:dyDescent="0.25">
      <c r="A826516" s="242"/>
    </row>
    <row r="826517" spans="1:1" x14ac:dyDescent="0.25">
      <c r="A826517" s="242"/>
    </row>
    <row r="826518" spans="1:1" x14ac:dyDescent="0.25">
      <c r="A826518" s="242"/>
    </row>
    <row r="826519" spans="1:1" x14ac:dyDescent="0.25">
      <c r="A826519" s="242"/>
    </row>
    <row r="826520" spans="1:1" x14ac:dyDescent="0.25">
      <c r="A826520" s="242"/>
    </row>
    <row r="826521" spans="1:1" x14ac:dyDescent="0.25">
      <c r="A826521" s="242"/>
    </row>
    <row r="826522" spans="1:1" x14ac:dyDescent="0.25">
      <c r="A826522" s="242"/>
    </row>
    <row r="826523" spans="1:1" x14ac:dyDescent="0.25">
      <c r="A826523" s="242"/>
    </row>
    <row r="826524" spans="1:1" x14ac:dyDescent="0.25">
      <c r="A826524" s="242"/>
    </row>
    <row r="826525" spans="1:1" x14ac:dyDescent="0.25">
      <c r="A826525" s="242"/>
    </row>
    <row r="826526" spans="1:1" x14ac:dyDescent="0.25">
      <c r="A826526" s="242"/>
    </row>
    <row r="826527" spans="1:1" x14ac:dyDescent="0.25">
      <c r="A826527" s="242"/>
    </row>
    <row r="826528" spans="1:1" x14ac:dyDescent="0.25">
      <c r="A826528" s="242"/>
    </row>
    <row r="826529" spans="1:1" x14ac:dyDescent="0.25">
      <c r="A826529" s="242"/>
    </row>
    <row r="826530" spans="1:1" x14ac:dyDescent="0.25">
      <c r="A826530" s="242"/>
    </row>
    <row r="826531" spans="1:1" x14ac:dyDescent="0.25">
      <c r="A826531" s="242"/>
    </row>
    <row r="826532" spans="1:1" x14ac:dyDescent="0.25">
      <c r="A826532" s="242"/>
    </row>
    <row r="826533" spans="1:1" x14ac:dyDescent="0.25">
      <c r="A826533" s="242"/>
    </row>
    <row r="826534" spans="1:1" x14ac:dyDescent="0.25">
      <c r="A826534" s="242"/>
    </row>
    <row r="826535" spans="1:1" x14ac:dyDescent="0.25">
      <c r="A826535" s="242"/>
    </row>
    <row r="826536" spans="1:1" x14ac:dyDescent="0.25">
      <c r="A826536" s="242"/>
    </row>
    <row r="826537" spans="1:1" x14ac:dyDescent="0.25">
      <c r="A826537" s="242"/>
    </row>
    <row r="826538" spans="1:1" x14ac:dyDescent="0.25">
      <c r="A826538" s="242"/>
    </row>
    <row r="826539" spans="1:1" x14ac:dyDescent="0.25">
      <c r="A826539" s="242"/>
    </row>
    <row r="826540" spans="1:1" x14ac:dyDescent="0.25">
      <c r="A826540" s="242"/>
    </row>
    <row r="826541" spans="1:1" x14ac:dyDescent="0.25">
      <c r="A826541" s="242"/>
    </row>
    <row r="826542" spans="1:1" x14ac:dyDescent="0.25">
      <c r="A826542" s="242"/>
    </row>
    <row r="826543" spans="1:1" x14ac:dyDescent="0.25">
      <c r="A826543" s="242"/>
    </row>
    <row r="826544" spans="1:1" x14ac:dyDescent="0.25">
      <c r="A826544" s="242"/>
    </row>
    <row r="826545" spans="1:1" x14ac:dyDescent="0.25">
      <c r="A826545" s="242"/>
    </row>
    <row r="826546" spans="1:1" x14ac:dyDescent="0.25">
      <c r="A826546" s="242"/>
    </row>
    <row r="826547" spans="1:1" x14ac:dyDescent="0.25">
      <c r="A826547" s="242"/>
    </row>
    <row r="826548" spans="1:1" x14ac:dyDescent="0.25">
      <c r="A826548" s="242"/>
    </row>
    <row r="826549" spans="1:1" x14ac:dyDescent="0.25">
      <c r="A826549" s="242"/>
    </row>
    <row r="826550" spans="1:1" x14ac:dyDescent="0.25">
      <c r="A826550" s="242"/>
    </row>
    <row r="826551" spans="1:1" x14ac:dyDescent="0.25">
      <c r="A826551" s="242"/>
    </row>
    <row r="826552" spans="1:1" x14ac:dyDescent="0.25">
      <c r="A826552" s="242"/>
    </row>
    <row r="826553" spans="1:1" x14ac:dyDescent="0.25">
      <c r="A826553" s="242"/>
    </row>
    <row r="826554" spans="1:1" x14ac:dyDescent="0.25">
      <c r="A826554" s="242"/>
    </row>
    <row r="826555" spans="1:1" x14ac:dyDescent="0.25">
      <c r="A826555" s="242"/>
    </row>
    <row r="826556" spans="1:1" x14ac:dyDescent="0.25">
      <c r="A826556" s="242"/>
    </row>
    <row r="826557" spans="1:1" x14ac:dyDescent="0.25">
      <c r="A826557" s="242"/>
    </row>
    <row r="826558" spans="1:1" x14ac:dyDescent="0.25">
      <c r="A826558" s="242"/>
    </row>
    <row r="826559" spans="1:1" x14ac:dyDescent="0.25">
      <c r="A826559" s="242"/>
    </row>
    <row r="826560" spans="1:1" x14ac:dyDescent="0.25">
      <c r="A826560" s="242"/>
    </row>
    <row r="826561" spans="1:1" x14ac:dyDescent="0.25">
      <c r="A826561" s="242"/>
    </row>
    <row r="826562" spans="1:1" x14ac:dyDescent="0.25">
      <c r="A826562" s="242"/>
    </row>
    <row r="826563" spans="1:1" x14ac:dyDescent="0.25">
      <c r="A826563" s="242"/>
    </row>
    <row r="826564" spans="1:1" x14ac:dyDescent="0.25">
      <c r="A826564" s="242"/>
    </row>
    <row r="826565" spans="1:1" x14ac:dyDescent="0.25">
      <c r="A826565" s="242"/>
    </row>
    <row r="826566" spans="1:1" x14ac:dyDescent="0.25">
      <c r="A826566" s="242"/>
    </row>
    <row r="826567" spans="1:1" x14ac:dyDescent="0.25">
      <c r="A826567" s="242"/>
    </row>
    <row r="826568" spans="1:1" x14ac:dyDescent="0.25">
      <c r="A826568" s="242"/>
    </row>
    <row r="826569" spans="1:1" x14ac:dyDescent="0.25">
      <c r="A826569" s="242"/>
    </row>
    <row r="826570" spans="1:1" x14ac:dyDescent="0.25">
      <c r="A826570" s="242"/>
    </row>
    <row r="826571" spans="1:1" x14ac:dyDescent="0.25">
      <c r="A826571" s="242"/>
    </row>
    <row r="826572" spans="1:1" x14ac:dyDescent="0.25">
      <c r="A826572" s="242"/>
    </row>
    <row r="826573" spans="1:1" x14ac:dyDescent="0.25">
      <c r="A826573" s="242"/>
    </row>
    <row r="826574" spans="1:1" x14ac:dyDescent="0.25">
      <c r="A826574" s="242"/>
    </row>
    <row r="826575" spans="1:1" x14ac:dyDescent="0.25">
      <c r="A826575" s="242"/>
    </row>
    <row r="826576" spans="1:1" x14ac:dyDescent="0.25">
      <c r="A826576" s="242"/>
    </row>
    <row r="826577" spans="1:1" x14ac:dyDescent="0.25">
      <c r="A826577" s="242"/>
    </row>
    <row r="826578" spans="1:1" x14ac:dyDescent="0.25">
      <c r="A826578" s="242"/>
    </row>
    <row r="826579" spans="1:1" x14ac:dyDescent="0.25">
      <c r="A826579" s="242"/>
    </row>
    <row r="826580" spans="1:1" x14ac:dyDescent="0.25">
      <c r="A826580" s="242"/>
    </row>
    <row r="826581" spans="1:1" x14ac:dyDescent="0.25">
      <c r="A826581" s="242"/>
    </row>
    <row r="826582" spans="1:1" x14ac:dyDescent="0.25">
      <c r="A826582" s="242"/>
    </row>
    <row r="826583" spans="1:1" x14ac:dyDescent="0.25">
      <c r="A826583" s="242"/>
    </row>
    <row r="826584" spans="1:1" x14ac:dyDescent="0.25">
      <c r="A826584" s="242"/>
    </row>
    <row r="826585" spans="1:1" x14ac:dyDescent="0.25">
      <c r="A826585" s="242"/>
    </row>
    <row r="826586" spans="1:1" x14ac:dyDescent="0.25">
      <c r="A826586" s="242"/>
    </row>
    <row r="826587" spans="1:1" x14ac:dyDescent="0.25">
      <c r="A826587" s="242"/>
    </row>
    <row r="826588" spans="1:1" x14ac:dyDescent="0.25">
      <c r="A826588" s="242"/>
    </row>
    <row r="826589" spans="1:1" x14ac:dyDescent="0.25">
      <c r="A826589" s="242"/>
    </row>
    <row r="826590" spans="1:1" x14ac:dyDescent="0.25">
      <c r="A826590" s="242"/>
    </row>
    <row r="826591" spans="1:1" x14ac:dyDescent="0.25">
      <c r="A826591" s="242"/>
    </row>
    <row r="826592" spans="1:1" x14ac:dyDescent="0.25">
      <c r="A826592" s="242"/>
    </row>
    <row r="826593" spans="1:1" x14ac:dyDescent="0.25">
      <c r="A826593" s="242"/>
    </row>
    <row r="826594" spans="1:1" x14ac:dyDescent="0.25">
      <c r="A826594" s="242"/>
    </row>
    <row r="826595" spans="1:1" x14ac:dyDescent="0.25">
      <c r="A826595" s="242"/>
    </row>
    <row r="826596" spans="1:1" x14ac:dyDescent="0.25">
      <c r="A826596" s="242"/>
    </row>
    <row r="826597" spans="1:1" x14ac:dyDescent="0.25">
      <c r="A826597" s="242"/>
    </row>
    <row r="826598" spans="1:1" x14ac:dyDescent="0.25">
      <c r="A826598" s="242"/>
    </row>
    <row r="826599" spans="1:1" x14ac:dyDescent="0.25">
      <c r="A826599" s="242"/>
    </row>
    <row r="826600" spans="1:1" x14ac:dyDescent="0.25">
      <c r="A826600" s="242"/>
    </row>
    <row r="826601" spans="1:1" x14ac:dyDescent="0.25">
      <c r="A826601" s="242"/>
    </row>
    <row r="826602" spans="1:1" x14ac:dyDescent="0.25">
      <c r="A826602" s="242"/>
    </row>
    <row r="826603" spans="1:1" x14ac:dyDescent="0.25">
      <c r="A826603" s="242"/>
    </row>
    <row r="826604" spans="1:1" x14ac:dyDescent="0.25">
      <c r="A826604" s="242"/>
    </row>
    <row r="826605" spans="1:1" x14ac:dyDescent="0.25">
      <c r="A826605" s="242"/>
    </row>
    <row r="826606" spans="1:1" x14ac:dyDescent="0.25">
      <c r="A826606" s="242"/>
    </row>
    <row r="826607" spans="1:1" x14ac:dyDescent="0.25">
      <c r="A826607" s="242"/>
    </row>
    <row r="826608" spans="1:1" x14ac:dyDescent="0.25">
      <c r="A826608" s="242"/>
    </row>
    <row r="826609" spans="1:1" x14ac:dyDescent="0.25">
      <c r="A826609" s="242"/>
    </row>
    <row r="826610" spans="1:1" x14ac:dyDescent="0.25">
      <c r="A826610" s="242"/>
    </row>
    <row r="826611" spans="1:1" x14ac:dyDescent="0.25">
      <c r="A826611" s="242"/>
    </row>
    <row r="826612" spans="1:1" x14ac:dyDescent="0.25">
      <c r="A826612" s="242"/>
    </row>
    <row r="826613" spans="1:1" x14ac:dyDescent="0.25">
      <c r="A826613" s="242"/>
    </row>
    <row r="826614" spans="1:1" x14ac:dyDescent="0.25">
      <c r="A826614" s="242"/>
    </row>
    <row r="826615" spans="1:1" x14ac:dyDescent="0.25">
      <c r="A826615" s="242"/>
    </row>
    <row r="826616" spans="1:1" x14ac:dyDescent="0.25">
      <c r="A826616" s="242"/>
    </row>
    <row r="826617" spans="1:1" x14ac:dyDescent="0.25">
      <c r="A826617" s="242"/>
    </row>
    <row r="826618" spans="1:1" x14ac:dyDescent="0.25">
      <c r="A826618" s="242"/>
    </row>
    <row r="826619" spans="1:1" x14ac:dyDescent="0.25">
      <c r="A826619" s="242"/>
    </row>
    <row r="826620" spans="1:1" x14ac:dyDescent="0.25">
      <c r="A826620" s="242"/>
    </row>
    <row r="826621" spans="1:1" x14ac:dyDescent="0.25">
      <c r="A826621" s="242"/>
    </row>
    <row r="826622" spans="1:1" x14ac:dyDescent="0.25">
      <c r="A826622" s="242"/>
    </row>
    <row r="826623" spans="1:1" x14ac:dyDescent="0.25">
      <c r="A826623" s="242"/>
    </row>
    <row r="826624" spans="1:1" x14ac:dyDescent="0.25">
      <c r="A826624" s="242"/>
    </row>
    <row r="826625" spans="1:1" x14ac:dyDescent="0.25">
      <c r="A826625" s="242"/>
    </row>
    <row r="826626" spans="1:1" x14ac:dyDescent="0.25">
      <c r="A826626" s="242"/>
    </row>
    <row r="826627" spans="1:1" x14ac:dyDescent="0.25">
      <c r="A826627" s="242"/>
    </row>
    <row r="826628" spans="1:1" x14ac:dyDescent="0.25">
      <c r="A826628" s="242"/>
    </row>
    <row r="826629" spans="1:1" x14ac:dyDescent="0.25">
      <c r="A826629" s="242"/>
    </row>
    <row r="826630" spans="1:1" x14ac:dyDescent="0.25">
      <c r="A826630" s="242"/>
    </row>
    <row r="826631" spans="1:1" x14ac:dyDescent="0.25">
      <c r="A826631" s="242"/>
    </row>
    <row r="826632" spans="1:1" x14ac:dyDescent="0.25">
      <c r="A826632" s="242"/>
    </row>
    <row r="826633" spans="1:1" x14ac:dyDescent="0.25">
      <c r="A826633" s="242"/>
    </row>
    <row r="826634" spans="1:1" x14ac:dyDescent="0.25">
      <c r="A826634" s="242"/>
    </row>
    <row r="826635" spans="1:1" x14ac:dyDescent="0.25">
      <c r="A826635" s="242"/>
    </row>
    <row r="826636" spans="1:1" x14ac:dyDescent="0.25">
      <c r="A826636" s="242"/>
    </row>
    <row r="826637" spans="1:1" x14ac:dyDescent="0.25">
      <c r="A826637" s="242"/>
    </row>
    <row r="826638" spans="1:1" x14ac:dyDescent="0.25">
      <c r="A826638" s="242"/>
    </row>
    <row r="826639" spans="1:1" x14ac:dyDescent="0.25">
      <c r="A826639" s="242"/>
    </row>
    <row r="826640" spans="1:1" x14ac:dyDescent="0.25">
      <c r="A826640" s="242"/>
    </row>
    <row r="826641" spans="1:1" x14ac:dyDescent="0.25">
      <c r="A826641" s="242"/>
    </row>
    <row r="826642" spans="1:1" x14ac:dyDescent="0.25">
      <c r="A826642" s="242"/>
    </row>
    <row r="826643" spans="1:1" x14ac:dyDescent="0.25">
      <c r="A826643" s="242"/>
    </row>
    <row r="826644" spans="1:1" x14ac:dyDescent="0.25">
      <c r="A826644" s="242"/>
    </row>
    <row r="826645" spans="1:1" x14ac:dyDescent="0.25">
      <c r="A826645" s="242"/>
    </row>
    <row r="826646" spans="1:1" x14ac:dyDescent="0.25">
      <c r="A826646" s="242"/>
    </row>
    <row r="826647" spans="1:1" x14ac:dyDescent="0.25">
      <c r="A826647" s="242"/>
    </row>
    <row r="826648" spans="1:1" x14ac:dyDescent="0.25">
      <c r="A826648" s="242"/>
    </row>
    <row r="826649" spans="1:1" x14ac:dyDescent="0.25">
      <c r="A826649" s="242"/>
    </row>
    <row r="826650" spans="1:1" x14ac:dyDescent="0.25">
      <c r="A826650" s="242"/>
    </row>
    <row r="826651" spans="1:1" x14ac:dyDescent="0.25">
      <c r="A826651" s="242"/>
    </row>
    <row r="826652" spans="1:1" x14ac:dyDescent="0.25">
      <c r="A826652" s="242"/>
    </row>
    <row r="826653" spans="1:1" x14ac:dyDescent="0.25">
      <c r="A826653" s="242"/>
    </row>
    <row r="826654" spans="1:1" x14ac:dyDescent="0.25">
      <c r="A826654" s="242"/>
    </row>
    <row r="826655" spans="1:1" x14ac:dyDescent="0.25">
      <c r="A826655" s="242"/>
    </row>
    <row r="826656" spans="1:1" x14ac:dyDescent="0.25">
      <c r="A826656" s="242"/>
    </row>
    <row r="826657" spans="1:1" x14ac:dyDescent="0.25">
      <c r="A826657" s="242"/>
    </row>
    <row r="826658" spans="1:1" x14ac:dyDescent="0.25">
      <c r="A826658" s="242"/>
    </row>
    <row r="826659" spans="1:1" x14ac:dyDescent="0.25">
      <c r="A826659" s="242"/>
    </row>
    <row r="826660" spans="1:1" x14ac:dyDescent="0.25">
      <c r="A826660" s="242"/>
    </row>
    <row r="826661" spans="1:1" x14ac:dyDescent="0.25">
      <c r="A826661" s="242"/>
    </row>
    <row r="826662" spans="1:1" x14ac:dyDescent="0.25">
      <c r="A826662" s="242"/>
    </row>
    <row r="826663" spans="1:1" x14ac:dyDescent="0.25">
      <c r="A826663" s="242"/>
    </row>
    <row r="826664" spans="1:1" x14ac:dyDescent="0.25">
      <c r="A826664" s="242"/>
    </row>
    <row r="826665" spans="1:1" x14ac:dyDescent="0.25">
      <c r="A826665" s="242"/>
    </row>
    <row r="826666" spans="1:1" x14ac:dyDescent="0.25">
      <c r="A826666" s="242"/>
    </row>
    <row r="826667" spans="1:1" x14ac:dyDescent="0.25">
      <c r="A826667" s="242"/>
    </row>
    <row r="826668" spans="1:1" x14ac:dyDescent="0.25">
      <c r="A826668" s="242"/>
    </row>
    <row r="826669" spans="1:1" x14ac:dyDescent="0.25">
      <c r="A826669" s="242"/>
    </row>
    <row r="826670" spans="1:1" x14ac:dyDescent="0.25">
      <c r="A826670" s="242"/>
    </row>
    <row r="826671" spans="1:1" x14ac:dyDescent="0.25">
      <c r="A826671" s="242"/>
    </row>
    <row r="826672" spans="1:1" x14ac:dyDescent="0.25">
      <c r="A826672" s="242"/>
    </row>
    <row r="826673" spans="1:1" x14ac:dyDescent="0.25">
      <c r="A826673" s="242"/>
    </row>
    <row r="826674" spans="1:1" x14ac:dyDescent="0.25">
      <c r="A826674" s="242"/>
    </row>
    <row r="826675" spans="1:1" x14ac:dyDescent="0.25">
      <c r="A826675" s="242"/>
    </row>
    <row r="826676" spans="1:1" x14ac:dyDescent="0.25">
      <c r="A826676" s="242"/>
    </row>
    <row r="826677" spans="1:1" x14ac:dyDescent="0.25">
      <c r="A826677" s="242"/>
    </row>
    <row r="826678" spans="1:1" x14ac:dyDescent="0.25">
      <c r="A826678" s="242"/>
    </row>
    <row r="826679" spans="1:1" x14ac:dyDescent="0.25">
      <c r="A826679" s="242"/>
    </row>
    <row r="826680" spans="1:1" x14ac:dyDescent="0.25">
      <c r="A826680" s="242"/>
    </row>
    <row r="826681" spans="1:1" x14ac:dyDescent="0.25">
      <c r="A826681" s="242"/>
    </row>
    <row r="826682" spans="1:1" x14ac:dyDescent="0.25">
      <c r="A826682" s="242"/>
    </row>
    <row r="826683" spans="1:1" x14ac:dyDescent="0.25">
      <c r="A826683" s="242"/>
    </row>
    <row r="826684" spans="1:1" x14ac:dyDescent="0.25">
      <c r="A826684" s="242"/>
    </row>
    <row r="826685" spans="1:1" x14ac:dyDescent="0.25">
      <c r="A826685" s="242"/>
    </row>
    <row r="826686" spans="1:1" x14ac:dyDescent="0.25">
      <c r="A826686" s="242"/>
    </row>
    <row r="826687" spans="1:1" x14ac:dyDescent="0.25">
      <c r="A826687" s="242"/>
    </row>
    <row r="826688" spans="1:1" x14ac:dyDescent="0.25">
      <c r="A826688" s="242"/>
    </row>
    <row r="826689" spans="1:1" x14ac:dyDescent="0.25">
      <c r="A826689" s="242"/>
    </row>
    <row r="826690" spans="1:1" x14ac:dyDescent="0.25">
      <c r="A826690" s="242"/>
    </row>
    <row r="826691" spans="1:1" x14ac:dyDescent="0.25">
      <c r="A826691" s="242"/>
    </row>
    <row r="826692" spans="1:1" x14ac:dyDescent="0.25">
      <c r="A826692" s="242"/>
    </row>
    <row r="826693" spans="1:1" x14ac:dyDescent="0.25">
      <c r="A826693" s="242"/>
    </row>
    <row r="826694" spans="1:1" x14ac:dyDescent="0.25">
      <c r="A826694" s="242"/>
    </row>
    <row r="826695" spans="1:1" x14ac:dyDescent="0.25">
      <c r="A826695" s="242"/>
    </row>
    <row r="826696" spans="1:1" x14ac:dyDescent="0.25">
      <c r="A826696" s="242"/>
    </row>
    <row r="826697" spans="1:1" x14ac:dyDescent="0.25">
      <c r="A826697" s="242"/>
    </row>
    <row r="826698" spans="1:1" x14ac:dyDescent="0.25">
      <c r="A826698" s="242"/>
    </row>
    <row r="826699" spans="1:1" x14ac:dyDescent="0.25">
      <c r="A826699" s="242"/>
    </row>
    <row r="826700" spans="1:1" x14ac:dyDescent="0.25">
      <c r="A826700" s="242"/>
    </row>
    <row r="826701" spans="1:1" x14ac:dyDescent="0.25">
      <c r="A826701" s="242"/>
    </row>
    <row r="826702" spans="1:1" x14ac:dyDescent="0.25">
      <c r="A826702" s="242"/>
    </row>
    <row r="826703" spans="1:1" x14ac:dyDescent="0.25">
      <c r="A826703" s="242"/>
    </row>
    <row r="826704" spans="1:1" x14ac:dyDescent="0.25">
      <c r="A826704" s="242"/>
    </row>
    <row r="826705" spans="1:1" x14ac:dyDescent="0.25">
      <c r="A826705" s="242"/>
    </row>
    <row r="826706" spans="1:1" x14ac:dyDescent="0.25">
      <c r="A826706" s="242"/>
    </row>
    <row r="826707" spans="1:1" x14ac:dyDescent="0.25">
      <c r="A826707" s="242"/>
    </row>
    <row r="826708" spans="1:1" x14ac:dyDescent="0.25">
      <c r="A826708" s="242"/>
    </row>
    <row r="826709" spans="1:1" x14ac:dyDescent="0.25">
      <c r="A826709" s="242"/>
    </row>
    <row r="826710" spans="1:1" x14ac:dyDescent="0.25">
      <c r="A826710" s="242"/>
    </row>
    <row r="826711" spans="1:1" x14ac:dyDescent="0.25">
      <c r="A826711" s="242"/>
    </row>
    <row r="826712" spans="1:1" x14ac:dyDescent="0.25">
      <c r="A826712" s="242"/>
    </row>
    <row r="826713" spans="1:1" x14ac:dyDescent="0.25">
      <c r="A826713" s="242"/>
    </row>
    <row r="826714" spans="1:1" x14ac:dyDescent="0.25">
      <c r="A826714" s="242"/>
    </row>
    <row r="826715" spans="1:1" x14ac:dyDescent="0.25">
      <c r="A826715" s="242"/>
    </row>
    <row r="826716" spans="1:1" x14ac:dyDescent="0.25">
      <c r="A826716" s="242"/>
    </row>
    <row r="826717" spans="1:1" x14ac:dyDescent="0.25">
      <c r="A826717" s="242"/>
    </row>
    <row r="826718" spans="1:1" x14ac:dyDescent="0.25">
      <c r="A826718" s="242"/>
    </row>
    <row r="826719" spans="1:1" x14ac:dyDescent="0.25">
      <c r="A826719" s="242"/>
    </row>
    <row r="826720" spans="1:1" x14ac:dyDescent="0.25">
      <c r="A826720" s="242"/>
    </row>
    <row r="826721" spans="1:1" x14ac:dyDescent="0.25">
      <c r="A826721" s="242"/>
    </row>
    <row r="826722" spans="1:1" x14ac:dyDescent="0.25">
      <c r="A826722" s="242"/>
    </row>
    <row r="826723" spans="1:1" x14ac:dyDescent="0.25">
      <c r="A826723" s="242"/>
    </row>
    <row r="826724" spans="1:1" x14ac:dyDescent="0.25">
      <c r="A826724" s="242"/>
    </row>
    <row r="826725" spans="1:1" x14ac:dyDescent="0.25">
      <c r="A826725" s="242"/>
    </row>
    <row r="826726" spans="1:1" x14ac:dyDescent="0.25">
      <c r="A826726" s="242"/>
    </row>
    <row r="826727" spans="1:1" x14ac:dyDescent="0.25">
      <c r="A826727" s="242"/>
    </row>
    <row r="826728" spans="1:1" x14ac:dyDescent="0.25">
      <c r="A826728" s="242"/>
    </row>
    <row r="826729" spans="1:1" x14ac:dyDescent="0.25">
      <c r="A826729" s="242"/>
    </row>
    <row r="826730" spans="1:1" x14ac:dyDescent="0.25">
      <c r="A826730" s="242"/>
    </row>
    <row r="826731" spans="1:1" x14ac:dyDescent="0.25">
      <c r="A826731" s="242"/>
    </row>
    <row r="826732" spans="1:1" x14ac:dyDescent="0.25">
      <c r="A826732" s="242"/>
    </row>
    <row r="826733" spans="1:1" x14ac:dyDescent="0.25">
      <c r="A826733" s="242"/>
    </row>
    <row r="826734" spans="1:1" x14ac:dyDescent="0.25">
      <c r="A826734" s="242"/>
    </row>
    <row r="826735" spans="1:1" x14ac:dyDescent="0.25">
      <c r="A826735" s="242"/>
    </row>
    <row r="826736" spans="1:1" x14ac:dyDescent="0.25">
      <c r="A826736" s="242"/>
    </row>
    <row r="826737" spans="1:1" x14ac:dyDescent="0.25">
      <c r="A826737" s="242"/>
    </row>
    <row r="826738" spans="1:1" x14ac:dyDescent="0.25">
      <c r="A826738" s="242"/>
    </row>
    <row r="826739" spans="1:1" x14ac:dyDescent="0.25">
      <c r="A826739" s="242"/>
    </row>
    <row r="826740" spans="1:1" x14ac:dyDescent="0.25">
      <c r="A826740" s="242"/>
    </row>
    <row r="826741" spans="1:1" x14ac:dyDescent="0.25">
      <c r="A826741" s="242"/>
    </row>
    <row r="826742" spans="1:1" x14ac:dyDescent="0.25">
      <c r="A826742" s="242"/>
    </row>
    <row r="826743" spans="1:1" x14ac:dyDescent="0.25">
      <c r="A826743" s="242"/>
    </row>
    <row r="826744" spans="1:1" x14ac:dyDescent="0.25">
      <c r="A826744" s="242"/>
    </row>
    <row r="826745" spans="1:1" x14ac:dyDescent="0.25">
      <c r="A826745" s="242"/>
    </row>
    <row r="826746" spans="1:1" x14ac:dyDescent="0.25">
      <c r="A826746" s="242"/>
    </row>
    <row r="826747" spans="1:1" x14ac:dyDescent="0.25">
      <c r="A826747" s="242"/>
    </row>
    <row r="826748" spans="1:1" x14ac:dyDescent="0.25">
      <c r="A826748" s="242"/>
    </row>
    <row r="826749" spans="1:1" x14ac:dyDescent="0.25">
      <c r="A826749" s="242"/>
    </row>
    <row r="826750" spans="1:1" x14ac:dyDescent="0.25">
      <c r="A826750" s="242"/>
    </row>
    <row r="826751" spans="1:1" x14ac:dyDescent="0.25">
      <c r="A826751" s="242"/>
    </row>
    <row r="826752" spans="1:1" x14ac:dyDescent="0.25">
      <c r="A826752" s="242"/>
    </row>
    <row r="826753" spans="1:1" x14ac:dyDescent="0.25">
      <c r="A826753" s="242"/>
    </row>
    <row r="826754" spans="1:1" x14ac:dyDescent="0.25">
      <c r="A826754" s="242"/>
    </row>
    <row r="826755" spans="1:1" x14ac:dyDescent="0.25">
      <c r="A826755" s="242"/>
    </row>
    <row r="826756" spans="1:1" x14ac:dyDescent="0.25">
      <c r="A826756" s="242"/>
    </row>
    <row r="826757" spans="1:1" x14ac:dyDescent="0.25">
      <c r="A826757" s="242"/>
    </row>
    <row r="826758" spans="1:1" x14ac:dyDescent="0.25">
      <c r="A826758" s="242"/>
    </row>
    <row r="826759" spans="1:1" x14ac:dyDescent="0.25">
      <c r="A826759" s="242"/>
    </row>
    <row r="826760" spans="1:1" x14ac:dyDescent="0.25">
      <c r="A826760" s="242"/>
    </row>
    <row r="826761" spans="1:1" x14ac:dyDescent="0.25">
      <c r="A826761" s="242"/>
    </row>
    <row r="826762" spans="1:1" x14ac:dyDescent="0.25">
      <c r="A826762" s="242"/>
    </row>
    <row r="826763" spans="1:1" x14ac:dyDescent="0.25">
      <c r="A826763" s="242"/>
    </row>
    <row r="826764" spans="1:1" x14ac:dyDescent="0.25">
      <c r="A826764" s="242"/>
    </row>
    <row r="826765" spans="1:1" x14ac:dyDescent="0.25">
      <c r="A826765" s="242"/>
    </row>
    <row r="826766" spans="1:1" x14ac:dyDescent="0.25">
      <c r="A826766" s="242"/>
    </row>
    <row r="826767" spans="1:1" x14ac:dyDescent="0.25">
      <c r="A826767" s="242"/>
    </row>
    <row r="826768" spans="1:1" x14ac:dyDescent="0.25">
      <c r="A826768" s="242"/>
    </row>
    <row r="826769" spans="1:1" x14ac:dyDescent="0.25">
      <c r="A826769" s="242"/>
    </row>
    <row r="826770" spans="1:1" x14ac:dyDescent="0.25">
      <c r="A826770" s="242"/>
    </row>
    <row r="826771" spans="1:1" x14ac:dyDescent="0.25">
      <c r="A826771" s="242"/>
    </row>
    <row r="826772" spans="1:1" x14ac:dyDescent="0.25">
      <c r="A826772" s="242"/>
    </row>
    <row r="826773" spans="1:1" x14ac:dyDescent="0.25">
      <c r="A826773" s="242"/>
    </row>
    <row r="826774" spans="1:1" x14ac:dyDescent="0.25">
      <c r="A826774" s="242"/>
    </row>
    <row r="826775" spans="1:1" x14ac:dyDescent="0.25">
      <c r="A826775" s="242"/>
    </row>
    <row r="826776" spans="1:1" x14ac:dyDescent="0.25">
      <c r="A826776" s="242"/>
    </row>
    <row r="826777" spans="1:1" x14ac:dyDescent="0.25">
      <c r="A826777" s="242"/>
    </row>
    <row r="826778" spans="1:1" x14ac:dyDescent="0.25">
      <c r="A826778" s="242"/>
    </row>
    <row r="826779" spans="1:1" x14ac:dyDescent="0.25">
      <c r="A826779" s="242"/>
    </row>
    <row r="826780" spans="1:1" x14ac:dyDescent="0.25">
      <c r="A826780" s="242"/>
    </row>
    <row r="826781" spans="1:1" x14ac:dyDescent="0.25">
      <c r="A826781" s="242"/>
    </row>
    <row r="826782" spans="1:1" x14ac:dyDescent="0.25">
      <c r="A826782" s="242"/>
    </row>
    <row r="826783" spans="1:1" x14ac:dyDescent="0.25">
      <c r="A826783" s="242"/>
    </row>
    <row r="826784" spans="1:1" x14ac:dyDescent="0.25">
      <c r="A826784" s="242"/>
    </row>
    <row r="826785" spans="1:1" x14ac:dyDescent="0.25">
      <c r="A826785" s="242"/>
    </row>
    <row r="826786" spans="1:1" x14ac:dyDescent="0.25">
      <c r="A826786" s="242"/>
    </row>
    <row r="826787" spans="1:1" x14ac:dyDescent="0.25">
      <c r="A826787" s="242"/>
    </row>
    <row r="826788" spans="1:1" x14ac:dyDescent="0.25">
      <c r="A826788" s="242"/>
    </row>
    <row r="826789" spans="1:1" x14ac:dyDescent="0.25">
      <c r="A826789" s="242"/>
    </row>
    <row r="826790" spans="1:1" x14ac:dyDescent="0.25">
      <c r="A826790" s="242"/>
    </row>
    <row r="826791" spans="1:1" x14ac:dyDescent="0.25">
      <c r="A826791" s="242"/>
    </row>
    <row r="826792" spans="1:1" x14ac:dyDescent="0.25">
      <c r="A826792" s="242"/>
    </row>
    <row r="826793" spans="1:1" x14ac:dyDescent="0.25">
      <c r="A826793" s="242"/>
    </row>
    <row r="826794" spans="1:1" x14ac:dyDescent="0.25">
      <c r="A826794" s="242"/>
    </row>
    <row r="826795" spans="1:1" x14ac:dyDescent="0.25">
      <c r="A826795" s="242"/>
    </row>
    <row r="826796" spans="1:1" x14ac:dyDescent="0.25">
      <c r="A826796" s="242"/>
    </row>
    <row r="826797" spans="1:1" x14ac:dyDescent="0.25">
      <c r="A826797" s="242"/>
    </row>
    <row r="826798" spans="1:1" x14ac:dyDescent="0.25">
      <c r="A826798" s="242"/>
    </row>
    <row r="826799" spans="1:1" x14ac:dyDescent="0.25">
      <c r="A826799" s="242"/>
    </row>
    <row r="826800" spans="1:1" x14ac:dyDescent="0.25">
      <c r="A826800" s="242"/>
    </row>
    <row r="826801" spans="1:1" x14ac:dyDescent="0.25">
      <c r="A826801" s="242"/>
    </row>
    <row r="826802" spans="1:1" x14ac:dyDescent="0.25">
      <c r="A826802" s="242"/>
    </row>
    <row r="826803" spans="1:1" x14ac:dyDescent="0.25">
      <c r="A826803" s="242"/>
    </row>
    <row r="826804" spans="1:1" x14ac:dyDescent="0.25">
      <c r="A826804" s="242"/>
    </row>
    <row r="826805" spans="1:1" x14ac:dyDescent="0.25">
      <c r="A826805" s="242"/>
    </row>
    <row r="826806" spans="1:1" x14ac:dyDescent="0.25">
      <c r="A826806" s="242"/>
    </row>
    <row r="826807" spans="1:1" x14ac:dyDescent="0.25">
      <c r="A826807" s="242"/>
    </row>
    <row r="826808" spans="1:1" x14ac:dyDescent="0.25">
      <c r="A826808" s="242"/>
    </row>
    <row r="826809" spans="1:1" x14ac:dyDescent="0.25">
      <c r="A826809" s="242"/>
    </row>
    <row r="826810" spans="1:1" x14ac:dyDescent="0.25">
      <c r="A826810" s="242"/>
    </row>
    <row r="826811" spans="1:1" x14ac:dyDescent="0.25">
      <c r="A826811" s="242"/>
    </row>
    <row r="826812" spans="1:1" x14ac:dyDescent="0.25">
      <c r="A826812" s="242"/>
    </row>
    <row r="826813" spans="1:1" x14ac:dyDescent="0.25">
      <c r="A826813" s="242"/>
    </row>
    <row r="826814" spans="1:1" x14ac:dyDescent="0.25">
      <c r="A826814" s="242"/>
    </row>
    <row r="826815" spans="1:1" x14ac:dyDescent="0.25">
      <c r="A826815" s="242"/>
    </row>
    <row r="826816" spans="1:1" x14ac:dyDescent="0.25">
      <c r="A826816" s="242"/>
    </row>
    <row r="826817" spans="1:1" x14ac:dyDescent="0.25">
      <c r="A826817" s="242"/>
    </row>
    <row r="826818" spans="1:1" x14ac:dyDescent="0.25">
      <c r="A826818" s="242"/>
    </row>
    <row r="826819" spans="1:1" x14ac:dyDescent="0.25">
      <c r="A826819" s="242"/>
    </row>
    <row r="826820" spans="1:1" x14ac:dyDescent="0.25">
      <c r="A826820" s="242"/>
    </row>
    <row r="826821" spans="1:1" x14ac:dyDescent="0.25">
      <c r="A826821" s="242"/>
    </row>
    <row r="826822" spans="1:1" x14ac:dyDescent="0.25">
      <c r="A826822" s="242"/>
    </row>
    <row r="826823" spans="1:1" x14ac:dyDescent="0.25">
      <c r="A826823" s="242"/>
    </row>
    <row r="826824" spans="1:1" x14ac:dyDescent="0.25">
      <c r="A826824" s="242"/>
    </row>
    <row r="826825" spans="1:1" x14ac:dyDescent="0.25">
      <c r="A826825" s="242"/>
    </row>
    <row r="826826" spans="1:1" x14ac:dyDescent="0.25">
      <c r="A826826" s="242"/>
    </row>
    <row r="826827" spans="1:1" x14ac:dyDescent="0.25">
      <c r="A826827" s="242"/>
    </row>
    <row r="826828" spans="1:1" x14ac:dyDescent="0.25">
      <c r="A826828" s="242"/>
    </row>
    <row r="826829" spans="1:1" x14ac:dyDescent="0.25">
      <c r="A826829" s="242"/>
    </row>
    <row r="826830" spans="1:1" x14ac:dyDescent="0.25">
      <c r="A826830" s="242"/>
    </row>
    <row r="826831" spans="1:1" x14ac:dyDescent="0.25">
      <c r="A826831" s="242"/>
    </row>
    <row r="826832" spans="1:1" x14ac:dyDescent="0.25">
      <c r="A826832" s="242"/>
    </row>
    <row r="826833" spans="1:1" x14ac:dyDescent="0.25">
      <c r="A826833" s="242"/>
    </row>
    <row r="826834" spans="1:1" x14ac:dyDescent="0.25">
      <c r="A826834" s="242"/>
    </row>
    <row r="826835" spans="1:1" x14ac:dyDescent="0.25">
      <c r="A826835" s="242"/>
    </row>
    <row r="826836" spans="1:1" x14ac:dyDescent="0.25">
      <c r="A826836" s="242"/>
    </row>
    <row r="826837" spans="1:1" x14ac:dyDescent="0.25">
      <c r="A826837" s="242"/>
    </row>
    <row r="826838" spans="1:1" x14ac:dyDescent="0.25">
      <c r="A826838" s="242"/>
    </row>
    <row r="826839" spans="1:1" x14ac:dyDescent="0.25">
      <c r="A826839" s="242"/>
    </row>
    <row r="826840" spans="1:1" x14ac:dyDescent="0.25">
      <c r="A826840" s="242"/>
    </row>
    <row r="826841" spans="1:1" x14ac:dyDescent="0.25">
      <c r="A826841" s="242"/>
    </row>
    <row r="826842" spans="1:1" x14ac:dyDescent="0.25">
      <c r="A826842" s="242"/>
    </row>
    <row r="826843" spans="1:1" x14ac:dyDescent="0.25">
      <c r="A826843" s="242"/>
    </row>
    <row r="826844" spans="1:1" x14ac:dyDescent="0.25">
      <c r="A826844" s="242"/>
    </row>
    <row r="826845" spans="1:1" x14ac:dyDescent="0.25">
      <c r="A826845" s="242"/>
    </row>
    <row r="826846" spans="1:1" x14ac:dyDescent="0.25">
      <c r="A826846" s="242"/>
    </row>
    <row r="826847" spans="1:1" x14ac:dyDescent="0.25">
      <c r="A826847" s="242"/>
    </row>
    <row r="826848" spans="1:1" x14ac:dyDescent="0.25">
      <c r="A826848" s="242"/>
    </row>
    <row r="826849" spans="1:1" x14ac:dyDescent="0.25">
      <c r="A826849" s="242"/>
    </row>
    <row r="826850" spans="1:1" x14ac:dyDescent="0.25">
      <c r="A826850" s="242"/>
    </row>
    <row r="826851" spans="1:1" x14ac:dyDescent="0.25">
      <c r="A826851" s="242"/>
    </row>
    <row r="826852" spans="1:1" x14ac:dyDescent="0.25">
      <c r="A826852" s="242"/>
    </row>
    <row r="826853" spans="1:1" x14ac:dyDescent="0.25">
      <c r="A826853" s="242"/>
    </row>
    <row r="826854" spans="1:1" x14ac:dyDescent="0.25">
      <c r="A826854" s="242"/>
    </row>
    <row r="826855" spans="1:1" x14ac:dyDescent="0.25">
      <c r="A826855" s="242"/>
    </row>
    <row r="826856" spans="1:1" x14ac:dyDescent="0.25">
      <c r="A826856" s="242"/>
    </row>
    <row r="826857" spans="1:1" x14ac:dyDescent="0.25">
      <c r="A826857" s="242"/>
    </row>
    <row r="826858" spans="1:1" x14ac:dyDescent="0.25">
      <c r="A826858" s="242"/>
    </row>
    <row r="826859" spans="1:1" x14ac:dyDescent="0.25">
      <c r="A826859" s="242"/>
    </row>
    <row r="826860" spans="1:1" x14ac:dyDescent="0.25">
      <c r="A826860" s="242"/>
    </row>
    <row r="826861" spans="1:1" x14ac:dyDescent="0.25">
      <c r="A826861" s="242"/>
    </row>
    <row r="826862" spans="1:1" x14ac:dyDescent="0.25">
      <c r="A826862" s="242"/>
    </row>
    <row r="826863" spans="1:1" x14ac:dyDescent="0.25">
      <c r="A826863" s="242"/>
    </row>
    <row r="826864" spans="1:1" x14ac:dyDescent="0.25">
      <c r="A826864" s="242"/>
    </row>
    <row r="826865" spans="1:1" x14ac:dyDescent="0.25">
      <c r="A826865" s="242"/>
    </row>
    <row r="826866" spans="1:1" x14ac:dyDescent="0.25">
      <c r="A826866" s="242"/>
    </row>
    <row r="826867" spans="1:1" x14ac:dyDescent="0.25">
      <c r="A826867" s="242"/>
    </row>
    <row r="826868" spans="1:1" x14ac:dyDescent="0.25">
      <c r="A826868" s="242"/>
    </row>
    <row r="826869" spans="1:1" x14ac:dyDescent="0.25">
      <c r="A826869" s="242"/>
    </row>
    <row r="826870" spans="1:1" x14ac:dyDescent="0.25">
      <c r="A826870" s="242"/>
    </row>
    <row r="826871" spans="1:1" x14ac:dyDescent="0.25">
      <c r="A826871" s="242"/>
    </row>
    <row r="826872" spans="1:1" x14ac:dyDescent="0.25">
      <c r="A826872" s="242"/>
    </row>
    <row r="826873" spans="1:1" x14ac:dyDescent="0.25">
      <c r="A826873" s="242"/>
    </row>
    <row r="826874" spans="1:1" x14ac:dyDescent="0.25">
      <c r="A826874" s="242"/>
    </row>
    <row r="826875" spans="1:1" x14ac:dyDescent="0.25">
      <c r="A826875" s="242"/>
    </row>
    <row r="826876" spans="1:1" x14ac:dyDescent="0.25">
      <c r="A826876" s="242"/>
    </row>
    <row r="826877" spans="1:1" x14ac:dyDescent="0.25">
      <c r="A826877" s="242"/>
    </row>
    <row r="826878" spans="1:1" x14ac:dyDescent="0.25">
      <c r="A826878" s="242"/>
    </row>
    <row r="826879" spans="1:1" x14ac:dyDescent="0.25">
      <c r="A826879" s="242"/>
    </row>
    <row r="826880" spans="1:1" x14ac:dyDescent="0.25">
      <c r="A826880" s="242"/>
    </row>
    <row r="826881" spans="1:1" x14ac:dyDescent="0.25">
      <c r="A826881" s="242"/>
    </row>
    <row r="826882" spans="1:1" x14ac:dyDescent="0.25">
      <c r="A826882" s="242"/>
    </row>
    <row r="826883" spans="1:1" x14ac:dyDescent="0.25">
      <c r="A826883" s="242"/>
    </row>
    <row r="826884" spans="1:1" x14ac:dyDescent="0.25">
      <c r="A826884" s="242"/>
    </row>
    <row r="826885" spans="1:1" x14ac:dyDescent="0.25">
      <c r="A826885" s="242"/>
    </row>
    <row r="826886" spans="1:1" x14ac:dyDescent="0.25">
      <c r="A826886" s="242"/>
    </row>
    <row r="826887" spans="1:1" x14ac:dyDescent="0.25">
      <c r="A826887" s="242"/>
    </row>
    <row r="826888" spans="1:1" x14ac:dyDescent="0.25">
      <c r="A826888" s="242"/>
    </row>
    <row r="826889" spans="1:1" x14ac:dyDescent="0.25">
      <c r="A826889" s="242"/>
    </row>
    <row r="826890" spans="1:1" x14ac:dyDescent="0.25">
      <c r="A826890" s="242"/>
    </row>
    <row r="826891" spans="1:1" x14ac:dyDescent="0.25">
      <c r="A826891" s="242"/>
    </row>
    <row r="826892" spans="1:1" x14ac:dyDescent="0.25">
      <c r="A826892" s="242"/>
    </row>
    <row r="826893" spans="1:1" x14ac:dyDescent="0.25">
      <c r="A826893" s="242"/>
    </row>
    <row r="826894" spans="1:1" x14ac:dyDescent="0.25">
      <c r="A826894" s="242"/>
    </row>
    <row r="826895" spans="1:1" x14ac:dyDescent="0.25">
      <c r="A826895" s="242"/>
    </row>
    <row r="826896" spans="1:1" x14ac:dyDescent="0.25">
      <c r="A826896" s="242"/>
    </row>
    <row r="826897" spans="1:1" x14ac:dyDescent="0.25">
      <c r="A826897" s="242"/>
    </row>
    <row r="826898" spans="1:1" x14ac:dyDescent="0.25">
      <c r="A826898" s="242"/>
    </row>
    <row r="826899" spans="1:1" x14ac:dyDescent="0.25">
      <c r="A826899" s="242"/>
    </row>
    <row r="826900" spans="1:1" x14ac:dyDescent="0.25">
      <c r="A826900" s="242"/>
    </row>
    <row r="826901" spans="1:1" x14ac:dyDescent="0.25">
      <c r="A826901" s="242"/>
    </row>
    <row r="826902" spans="1:1" x14ac:dyDescent="0.25">
      <c r="A826902" s="242"/>
    </row>
    <row r="826903" spans="1:1" x14ac:dyDescent="0.25">
      <c r="A826903" s="242"/>
    </row>
    <row r="826904" spans="1:1" x14ac:dyDescent="0.25">
      <c r="A826904" s="242"/>
    </row>
    <row r="826905" spans="1:1" x14ac:dyDescent="0.25">
      <c r="A826905" s="242"/>
    </row>
    <row r="826906" spans="1:1" x14ac:dyDescent="0.25">
      <c r="A826906" s="242"/>
    </row>
    <row r="826907" spans="1:1" x14ac:dyDescent="0.25">
      <c r="A826907" s="242"/>
    </row>
    <row r="826908" spans="1:1" x14ac:dyDescent="0.25">
      <c r="A826908" s="242"/>
    </row>
    <row r="826909" spans="1:1" x14ac:dyDescent="0.25">
      <c r="A826909" s="242"/>
    </row>
    <row r="826910" spans="1:1" x14ac:dyDescent="0.25">
      <c r="A826910" s="242"/>
    </row>
    <row r="826911" spans="1:1" x14ac:dyDescent="0.25">
      <c r="A826911" s="242"/>
    </row>
    <row r="826912" spans="1:1" x14ac:dyDescent="0.25">
      <c r="A826912" s="242"/>
    </row>
    <row r="826913" spans="1:1" x14ac:dyDescent="0.25">
      <c r="A826913" s="242"/>
    </row>
    <row r="826914" spans="1:1" x14ac:dyDescent="0.25">
      <c r="A826914" s="242"/>
    </row>
    <row r="826915" spans="1:1" x14ac:dyDescent="0.25">
      <c r="A826915" s="242"/>
    </row>
    <row r="826916" spans="1:1" x14ac:dyDescent="0.25">
      <c r="A826916" s="242"/>
    </row>
    <row r="826917" spans="1:1" x14ac:dyDescent="0.25">
      <c r="A826917" s="242"/>
    </row>
    <row r="826918" spans="1:1" x14ac:dyDescent="0.25">
      <c r="A826918" s="242"/>
    </row>
    <row r="826919" spans="1:1" x14ac:dyDescent="0.25">
      <c r="A826919" s="242"/>
    </row>
    <row r="826920" spans="1:1" x14ac:dyDescent="0.25">
      <c r="A826920" s="242"/>
    </row>
    <row r="826921" spans="1:1" x14ac:dyDescent="0.25">
      <c r="A826921" s="242"/>
    </row>
    <row r="826922" spans="1:1" x14ac:dyDescent="0.25">
      <c r="A826922" s="242"/>
    </row>
    <row r="826923" spans="1:1" x14ac:dyDescent="0.25">
      <c r="A826923" s="242"/>
    </row>
    <row r="826924" spans="1:1" x14ac:dyDescent="0.25">
      <c r="A826924" s="242"/>
    </row>
    <row r="826925" spans="1:1" x14ac:dyDescent="0.25">
      <c r="A826925" s="242"/>
    </row>
    <row r="826926" spans="1:1" x14ac:dyDescent="0.25">
      <c r="A826926" s="242"/>
    </row>
    <row r="826927" spans="1:1" x14ac:dyDescent="0.25">
      <c r="A826927" s="242"/>
    </row>
    <row r="826928" spans="1:1" x14ac:dyDescent="0.25">
      <c r="A826928" s="242"/>
    </row>
    <row r="826929" spans="1:1" x14ac:dyDescent="0.25">
      <c r="A826929" s="242"/>
    </row>
    <row r="826930" spans="1:1" x14ac:dyDescent="0.25">
      <c r="A826930" s="242"/>
    </row>
    <row r="826931" spans="1:1" x14ac:dyDescent="0.25">
      <c r="A826931" s="242"/>
    </row>
    <row r="826932" spans="1:1" x14ac:dyDescent="0.25">
      <c r="A826932" s="242"/>
    </row>
    <row r="826933" spans="1:1" x14ac:dyDescent="0.25">
      <c r="A826933" s="242"/>
    </row>
    <row r="826934" spans="1:1" x14ac:dyDescent="0.25">
      <c r="A826934" s="242"/>
    </row>
    <row r="826935" spans="1:1" x14ac:dyDescent="0.25">
      <c r="A826935" s="242"/>
    </row>
    <row r="826936" spans="1:1" x14ac:dyDescent="0.25">
      <c r="A826936" s="242"/>
    </row>
    <row r="826937" spans="1:1" x14ac:dyDescent="0.25">
      <c r="A826937" s="242"/>
    </row>
    <row r="826938" spans="1:1" x14ac:dyDescent="0.25">
      <c r="A826938" s="242"/>
    </row>
    <row r="826939" spans="1:1" x14ac:dyDescent="0.25">
      <c r="A826939" s="242"/>
    </row>
    <row r="826940" spans="1:1" x14ac:dyDescent="0.25">
      <c r="A826940" s="242"/>
    </row>
    <row r="826941" spans="1:1" x14ac:dyDescent="0.25">
      <c r="A826941" s="242"/>
    </row>
    <row r="826942" spans="1:1" x14ac:dyDescent="0.25">
      <c r="A826942" s="242"/>
    </row>
    <row r="826943" spans="1:1" x14ac:dyDescent="0.25">
      <c r="A826943" s="242"/>
    </row>
    <row r="826944" spans="1:1" x14ac:dyDescent="0.25">
      <c r="A826944" s="242"/>
    </row>
    <row r="826945" spans="1:1" x14ac:dyDescent="0.25">
      <c r="A826945" s="242"/>
    </row>
    <row r="826946" spans="1:1" x14ac:dyDescent="0.25">
      <c r="A826946" s="242"/>
    </row>
    <row r="826947" spans="1:1" x14ac:dyDescent="0.25">
      <c r="A826947" s="242"/>
    </row>
    <row r="826948" spans="1:1" x14ac:dyDescent="0.25">
      <c r="A826948" s="242"/>
    </row>
    <row r="826949" spans="1:1" x14ac:dyDescent="0.25">
      <c r="A826949" s="242"/>
    </row>
    <row r="826950" spans="1:1" x14ac:dyDescent="0.25">
      <c r="A826950" s="242"/>
    </row>
    <row r="826951" spans="1:1" x14ac:dyDescent="0.25">
      <c r="A826951" s="242"/>
    </row>
    <row r="826952" spans="1:1" x14ac:dyDescent="0.25">
      <c r="A826952" s="242"/>
    </row>
    <row r="826953" spans="1:1" x14ac:dyDescent="0.25">
      <c r="A826953" s="242"/>
    </row>
    <row r="826954" spans="1:1" x14ac:dyDescent="0.25">
      <c r="A826954" s="242"/>
    </row>
    <row r="826955" spans="1:1" x14ac:dyDescent="0.25">
      <c r="A826955" s="242"/>
    </row>
    <row r="826956" spans="1:1" x14ac:dyDescent="0.25">
      <c r="A826956" s="242"/>
    </row>
    <row r="826957" spans="1:1" x14ac:dyDescent="0.25">
      <c r="A826957" s="242"/>
    </row>
    <row r="826958" spans="1:1" x14ac:dyDescent="0.25">
      <c r="A826958" s="242"/>
    </row>
    <row r="826959" spans="1:1" x14ac:dyDescent="0.25">
      <c r="A826959" s="242"/>
    </row>
    <row r="826960" spans="1:1" x14ac:dyDescent="0.25">
      <c r="A826960" s="242"/>
    </row>
    <row r="826961" spans="1:1" x14ac:dyDescent="0.25">
      <c r="A826961" s="242"/>
    </row>
    <row r="826962" spans="1:1" x14ac:dyDescent="0.25">
      <c r="A826962" s="242"/>
    </row>
    <row r="826963" spans="1:1" x14ac:dyDescent="0.25">
      <c r="A826963" s="242"/>
    </row>
    <row r="826964" spans="1:1" x14ac:dyDescent="0.25">
      <c r="A826964" s="242"/>
    </row>
    <row r="826965" spans="1:1" x14ac:dyDescent="0.25">
      <c r="A826965" s="242"/>
    </row>
    <row r="826966" spans="1:1" x14ac:dyDescent="0.25">
      <c r="A826966" s="242"/>
    </row>
    <row r="826967" spans="1:1" x14ac:dyDescent="0.25">
      <c r="A826967" s="242"/>
    </row>
    <row r="826968" spans="1:1" x14ac:dyDescent="0.25">
      <c r="A826968" s="242"/>
    </row>
    <row r="826969" spans="1:1" x14ac:dyDescent="0.25">
      <c r="A826969" s="242"/>
    </row>
    <row r="826970" spans="1:1" x14ac:dyDescent="0.25">
      <c r="A826970" s="242"/>
    </row>
    <row r="826971" spans="1:1" x14ac:dyDescent="0.25">
      <c r="A826971" s="242"/>
    </row>
    <row r="826972" spans="1:1" x14ac:dyDescent="0.25">
      <c r="A826972" s="242"/>
    </row>
    <row r="826973" spans="1:1" x14ac:dyDescent="0.25">
      <c r="A826973" s="242"/>
    </row>
    <row r="826974" spans="1:1" x14ac:dyDescent="0.25">
      <c r="A826974" s="242"/>
    </row>
    <row r="826975" spans="1:1" x14ac:dyDescent="0.25">
      <c r="A826975" s="242"/>
    </row>
    <row r="826976" spans="1:1" x14ac:dyDescent="0.25">
      <c r="A826976" s="242"/>
    </row>
    <row r="826977" spans="1:1" x14ac:dyDescent="0.25">
      <c r="A826977" s="242"/>
    </row>
    <row r="826978" spans="1:1" x14ac:dyDescent="0.25">
      <c r="A826978" s="242"/>
    </row>
    <row r="826979" spans="1:1" x14ac:dyDescent="0.25">
      <c r="A826979" s="242"/>
    </row>
    <row r="826980" spans="1:1" x14ac:dyDescent="0.25">
      <c r="A826980" s="242"/>
    </row>
    <row r="826981" spans="1:1" x14ac:dyDescent="0.25">
      <c r="A826981" s="242"/>
    </row>
    <row r="826982" spans="1:1" x14ac:dyDescent="0.25">
      <c r="A826982" s="242"/>
    </row>
    <row r="826983" spans="1:1" x14ac:dyDescent="0.25">
      <c r="A826983" s="242"/>
    </row>
    <row r="826984" spans="1:1" x14ac:dyDescent="0.25">
      <c r="A826984" s="242"/>
    </row>
    <row r="826985" spans="1:1" x14ac:dyDescent="0.25">
      <c r="A826985" s="242"/>
    </row>
    <row r="826986" spans="1:1" x14ac:dyDescent="0.25">
      <c r="A826986" s="242"/>
    </row>
    <row r="826987" spans="1:1" x14ac:dyDescent="0.25">
      <c r="A826987" s="242"/>
    </row>
    <row r="826988" spans="1:1" x14ac:dyDescent="0.25">
      <c r="A826988" s="242"/>
    </row>
    <row r="826989" spans="1:1" x14ac:dyDescent="0.25">
      <c r="A826989" s="242"/>
    </row>
    <row r="826990" spans="1:1" x14ac:dyDescent="0.25">
      <c r="A826990" s="242"/>
    </row>
    <row r="826991" spans="1:1" x14ac:dyDescent="0.25">
      <c r="A826991" s="242"/>
    </row>
    <row r="826992" spans="1:1" x14ac:dyDescent="0.25">
      <c r="A826992" s="242"/>
    </row>
    <row r="826993" spans="1:1" x14ac:dyDescent="0.25">
      <c r="A826993" s="242"/>
    </row>
    <row r="826994" spans="1:1" x14ac:dyDescent="0.25">
      <c r="A826994" s="242"/>
    </row>
    <row r="826995" spans="1:1" x14ac:dyDescent="0.25">
      <c r="A826995" s="242"/>
    </row>
    <row r="826996" spans="1:1" x14ac:dyDescent="0.25">
      <c r="A826996" s="242"/>
    </row>
    <row r="826997" spans="1:1" x14ac:dyDescent="0.25">
      <c r="A826997" s="242"/>
    </row>
    <row r="826998" spans="1:1" x14ac:dyDescent="0.25">
      <c r="A826998" s="242"/>
    </row>
    <row r="826999" spans="1:1" x14ac:dyDescent="0.25">
      <c r="A826999" s="242"/>
    </row>
    <row r="827000" spans="1:1" x14ac:dyDescent="0.25">
      <c r="A827000" s="242"/>
    </row>
    <row r="827001" spans="1:1" x14ac:dyDescent="0.25">
      <c r="A827001" s="242"/>
    </row>
    <row r="827002" spans="1:1" x14ac:dyDescent="0.25">
      <c r="A827002" s="242"/>
    </row>
    <row r="827003" spans="1:1" x14ac:dyDescent="0.25">
      <c r="A827003" s="242"/>
    </row>
    <row r="827004" spans="1:1" x14ac:dyDescent="0.25">
      <c r="A827004" s="242"/>
    </row>
    <row r="827005" spans="1:1" x14ac:dyDescent="0.25">
      <c r="A827005" s="242"/>
    </row>
    <row r="827006" spans="1:1" x14ac:dyDescent="0.25">
      <c r="A827006" s="242"/>
    </row>
    <row r="827007" spans="1:1" x14ac:dyDescent="0.25">
      <c r="A827007" s="242"/>
    </row>
    <row r="827008" spans="1:1" x14ac:dyDescent="0.25">
      <c r="A827008" s="242"/>
    </row>
    <row r="827009" spans="1:1" x14ac:dyDescent="0.25">
      <c r="A827009" s="242"/>
    </row>
    <row r="827010" spans="1:1" x14ac:dyDescent="0.25">
      <c r="A827010" s="242"/>
    </row>
    <row r="827011" spans="1:1" x14ac:dyDescent="0.25">
      <c r="A827011" s="242"/>
    </row>
    <row r="827012" spans="1:1" x14ac:dyDescent="0.25">
      <c r="A827012" s="242"/>
    </row>
    <row r="827013" spans="1:1" x14ac:dyDescent="0.25">
      <c r="A827013" s="242"/>
    </row>
    <row r="827014" spans="1:1" x14ac:dyDescent="0.25">
      <c r="A827014" s="242"/>
    </row>
    <row r="827015" spans="1:1" x14ac:dyDescent="0.25">
      <c r="A827015" s="242"/>
    </row>
    <row r="827016" spans="1:1" x14ac:dyDescent="0.25">
      <c r="A827016" s="242"/>
    </row>
    <row r="827017" spans="1:1" x14ac:dyDescent="0.25">
      <c r="A827017" s="242"/>
    </row>
    <row r="827018" spans="1:1" x14ac:dyDescent="0.25">
      <c r="A827018" s="242"/>
    </row>
    <row r="827019" spans="1:1" x14ac:dyDescent="0.25">
      <c r="A827019" s="242"/>
    </row>
    <row r="827020" spans="1:1" x14ac:dyDescent="0.25">
      <c r="A827020" s="242"/>
    </row>
    <row r="827021" spans="1:1" x14ac:dyDescent="0.25">
      <c r="A827021" s="242"/>
    </row>
    <row r="827022" spans="1:1" x14ac:dyDescent="0.25">
      <c r="A827022" s="242"/>
    </row>
    <row r="827023" spans="1:1" x14ac:dyDescent="0.25">
      <c r="A827023" s="242"/>
    </row>
    <row r="827024" spans="1:1" x14ac:dyDescent="0.25">
      <c r="A827024" s="242"/>
    </row>
    <row r="827025" spans="1:1" x14ac:dyDescent="0.25">
      <c r="A827025" s="242"/>
    </row>
    <row r="827026" spans="1:1" x14ac:dyDescent="0.25">
      <c r="A827026" s="242"/>
    </row>
    <row r="827027" spans="1:1" x14ac:dyDescent="0.25">
      <c r="A827027" s="242"/>
    </row>
    <row r="827028" spans="1:1" x14ac:dyDescent="0.25">
      <c r="A827028" s="242"/>
    </row>
    <row r="827029" spans="1:1" x14ac:dyDescent="0.25">
      <c r="A827029" s="242"/>
    </row>
    <row r="827030" spans="1:1" x14ac:dyDescent="0.25">
      <c r="A827030" s="242"/>
    </row>
    <row r="827031" spans="1:1" x14ac:dyDescent="0.25">
      <c r="A827031" s="242"/>
    </row>
    <row r="827032" spans="1:1" x14ac:dyDescent="0.25">
      <c r="A827032" s="242"/>
    </row>
    <row r="827033" spans="1:1" x14ac:dyDescent="0.25">
      <c r="A827033" s="242"/>
    </row>
    <row r="827034" spans="1:1" x14ac:dyDescent="0.25">
      <c r="A827034" s="242"/>
    </row>
    <row r="827035" spans="1:1" x14ac:dyDescent="0.25">
      <c r="A827035" s="242"/>
    </row>
    <row r="827036" spans="1:1" x14ac:dyDescent="0.25">
      <c r="A827036" s="242"/>
    </row>
    <row r="827037" spans="1:1" x14ac:dyDescent="0.25">
      <c r="A827037" s="242"/>
    </row>
    <row r="827038" spans="1:1" x14ac:dyDescent="0.25">
      <c r="A827038" s="242"/>
    </row>
    <row r="827039" spans="1:1" x14ac:dyDescent="0.25">
      <c r="A827039" s="242"/>
    </row>
    <row r="827040" spans="1:1" x14ac:dyDescent="0.25">
      <c r="A827040" s="242"/>
    </row>
    <row r="827041" spans="1:1" x14ac:dyDescent="0.25">
      <c r="A827041" s="242"/>
    </row>
    <row r="827042" spans="1:1" x14ac:dyDescent="0.25">
      <c r="A827042" s="242"/>
    </row>
    <row r="827043" spans="1:1" x14ac:dyDescent="0.25">
      <c r="A827043" s="242"/>
    </row>
    <row r="827044" spans="1:1" x14ac:dyDescent="0.25">
      <c r="A827044" s="242"/>
    </row>
    <row r="827045" spans="1:1" x14ac:dyDescent="0.25">
      <c r="A827045" s="242"/>
    </row>
    <row r="827046" spans="1:1" x14ac:dyDescent="0.25">
      <c r="A827046" s="242"/>
    </row>
    <row r="827047" spans="1:1" x14ac:dyDescent="0.25">
      <c r="A827047" s="242"/>
    </row>
    <row r="827048" spans="1:1" x14ac:dyDescent="0.25">
      <c r="A827048" s="242"/>
    </row>
    <row r="827049" spans="1:1" x14ac:dyDescent="0.25">
      <c r="A827049" s="242"/>
    </row>
    <row r="827050" spans="1:1" x14ac:dyDescent="0.25">
      <c r="A827050" s="242"/>
    </row>
    <row r="827051" spans="1:1" x14ac:dyDescent="0.25">
      <c r="A827051" s="242"/>
    </row>
    <row r="827052" spans="1:1" x14ac:dyDescent="0.25">
      <c r="A827052" s="242"/>
    </row>
    <row r="827053" spans="1:1" x14ac:dyDescent="0.25">
      <c r="A827053" s="242"/>
    </row>
    <row r="827054" spans="1:1" x14ac:dyDescent="0.25">
      <c r="A827054" s="242"/>
    </row>
    <row r="827055" spans="1:1" x14ac:dyDescent="0.25">
      <c r="A827055" s="242"/>
    </row>
    <row r="827056" spans="1:1" x14ac:dyDescent="0.25">
      <c r="A827056" s="242"/>
    </row>
    <row r="827057" spans="1:1" x14ac:dyDescent="0.25">
      <c r="A827057" s="242"/>
    </row>
    <row r="827058" spans="1:1" x14ac:dyDescent="0.25">
      <c r="A827058" s="242"/>
    </row>
    <row r="827059" spans="1:1" x14ac:dyDescent="0.25">
      <c r="A827059" s="242"/>
    </row>
    <row r="827060" spans="1:1" x14ac:dyDescent="0.25">
      <c r="A827060" s="242"/>
    </row>
    <row r="827061" spans="1:1" x14ac:dyDescent="0.25">
      <c r="A827061" s="242"/>
    </row>
    <row r="827062" spans="1:1" x14ac:dyDescent="0.25">
      <c r="A827062" s="242"/>
    </row>
    <row r="827063" spans="1:1" x14ac:dyDescent="0.25">
      <c r="A827063" s="242"/>
    </row>
    <row r="827064" spans="1:1" x14ac:dyDescent="0.25">
      <c r="A827064" s="242"/>
    </row>
    <row r="827065" spans="1:1" x14ac:dyDescent="0.25">
      <c r="A827065" s="242"/>
    </row>
    <row r="827066" spans="1:1" x14ac:dyDescent="0.25">
      <c r="A827066" s="242"/>
    </row>
    <row r="827067" spans="1:1" x14ac:dyDescent="0.25">
      <c r="A827067" s="242"/>
    </row>
    <row r="827068" spans="1:1" x14ac:dyDescent="0.25">
      <c r="A827068" s="242"/>
    </row>
    <row r="827069" spans="1:1" x14ac:dyDescent="0.25">
      <c r="A827069" s="242"/>
    </row>
    <row r="827070" spans="1:1" x14ac:dyDescent="0.25">
      <c r="A827070" s="242"/>
    </row>
    <row r="827071" spans="1:1" x14ac:dyDescent="0.25">
      <c r="A827071" s="242"/>
    </row>
    <row r="827072" spans="1:1" x14ac:dyDescent="0.25">
      <c r="A827072" s="242"/>
    </row>
    <row r="827073" spans="1:1" x14ac:dyDescent="0.25">
      <c r="A827073" s="242"/>
    </row>
    <row r="827074" spans="1:1" x14ac:dyDescent="0.25">
      <c r="A827074" s="242"/>
    </row>
    <row r="827075" spans="1:1" x14ac:dyDescent="0.25">
      <c r="A827075" s="242"/>
    </row>
    <row r="827076" spans="1:1" x14ac:dyDescent="0.25">
      <c r="A827076" s="242"/>
    </row>
    <row r="827077" spans="1:1" x14ac:dyDescent="0.25">
      <c r="A827077" s="242"/>
    </row>
    <row r="827078" spans="1:1" x14ac:dyDescent="0.25">
      <c r="A827078" s="242"/>
    </row>
    <row r="827079" spans="1:1" x14ac:dyDescent="0.25">
      <c r="A827079" s="242"/>
    </row>
    <row r="827080" spans="1:1" x14ac:dyDescent="0.25">
      <c r="A827080" s="242"/>
    </row>
    <row r="827081" spans="1:1" x14ac:dyDescent="0.25">
      <c r="A827081" s="242"/>
    </row>
    <row r="827082" spans="1:1" x14ac:dyDescent="0.25">
      <c r="A827082" s="242"/>
    </row>
    <row r="827083" spans="1:1" x14ac:dyDescent="0.25">
      <c r="A827083" s="242"/>
    </row>
    <row r="827084" spans="1:1" x14ac:dyDescent="0.25">
      <c r="A827084" s="242"/>
    </row>
    <row r="827085" spans="1:1" x14ac:dyDescent="0.25">
      <c r="A827085" s="242"/>
    </row>
    <row r="827086" spans="1:1" x14ac:dyDescent="0.25">
      <c r="A827086" s="242"/>
    </row>
    <row r="827087" spans="1:1" x14ac:dyDescent="0.25">
      <c r="A827087" s="242"/>
    </row>
    <row r="827088" spans="1:1" x14ac:dyDescent="0.25">
      <c r="A827088" s="242"/>
    </row>
    <row r="827089" spans="1:1" x14ac:dyDescent="0.25">
      <c r="A827089" s="242"/>
    </row>
    <row r="827090" spans="1:1" x14ac:dyDescent="0.25">
      <c r="A827090" s="242"/>
    </row>
    <row r="827091" spans="1:1" x14ac:dyDescent="0.25">
      <c r="A827091" s="242"/>
    </row>
    <row r="827092" spans="1:1" x14ac:dyDescent="0.25">
      <c r="A827092" s="242"/>
    </row>
    <row r="827093" spans="1:1" x14ac:dyDescent="0.25">
      <c r="A827093" s="242"/>
    </row>
    <row r="827094" spans="1:1" x14ac:dyDescent="0.25">
      <c r="A827094" s="242"/>
    </row>
    <row r="827095" spans="1:1" x14ac:dyDescent="0.25">
      <c r="A827095" s="242"/>
    </row>
    <row r="827096" spans="1:1" x14ac:dyDescent="0.25">
      <c r="A827096" s="242"/>
    </row>
    <row r="827097" spans="1:1" x14ac:dyDescent="0.25">
      <c r="A827097" s="242"/>
    </row>
    <row r="827098" spans="1:1" x14ac:dyDescent="0.25">
      <c r="A827098" s="242"/>
    </row>
    <row r="827099" spans="1:1" x14ac:dyDescent="0.25">
      <c r="A827099" s="242"/>
    </row>
    <row r="827100" spans="1:1" x14ac:dyDescent="0.25">
      <c r="A827100" s="242"/>
    </row>
    <row r="827101" spans="1:1" x14ac:dyDescent="0.25">
      <c r="A827101" s="242"/>
    </row>
    <row r="827102" spans="1:1" x14ac:dyDescent="0.25">
      <c r="A827102" s="242"/>
    </row>
    <row r="827103" spans="1:1" x14ac:dyDescent="0.25">
      <c r="A827103" s="242"/>
    </row>
    <row r="827104" spans="1:1" x14ac:dyDescent="0.25">
      <c r="A827104" s="242"/>
    </row>
    <row r="827105" spans="1:1" x14ac:dyDescent="0.25">
      <c r="A827105" s="242"/>
    </row>
    <row r="827106" spans="1:1" x14ac:dyDescent="0.25">
      <c r="A827106" s="242"/>
    </row>
    <row r="827107" spans="1:1" x14ac:dyDescent="0.25">
      <c r="A827107" s="242"/>
    </row>
    <row r="827108" spans="1:1" x14ac:dyDescent="0.25">
      <c r="A827108" s="242"/>
    </row>
    <row r="827109" spans="1:1" x14ac:dyDescent="0.25">
      <c r="A827109" s="242"/>
    </row>
    <row r="827110" spans="1:1" x14ac:dyDescent="0.25">
      <c r="A827110" s="242"/>
    </row>
    <row r="827111" spans="1:1" x14ac:dyDescent="0.25">
      <c r="A827111" s="242"/>
    </row>
    <row r="827112" spans="1:1" x14ac:dyDescent="0.25">
      <c r="A827112" s="242"/>
    </row>
    <row r="827113" spans="1:1" x14ac:dyDescent="0.25">
      <c r="A827113" s="242"/>
    </row>
    <row r="827114" spans="1:1" x14ac:dyDescent="0.25">
      <c r="A827114" s="242"/>
    </row>
    <row r="827115" spans="1:1" x14ac:dyDescent="0.25">
      <c r="A827115" s="242"/>
    </row>
    <row r="827116" spans="1:1" x14ac:dyDescent="0.25">
      <c r="A827116" s="242"/>
    </row>
    <row r="827117" spans="1:1" x14ac:dyDescent="0.25">
      <c r="A827117" s="242"/>
    </row>
    <row r="827118" spans="1:1" x14ac:dyDescent="0.25">
      <c r="A827118" s="242"/>
    </row>
    <row r="827119" spans="1:1" x14ac:dyDescent="0.25">
      <c r="A827119" s="242"/>
    </row>
    <row r="827120" spans="1:1" x14ac:dyDescent="0.25">
      <c r="A827120" s="242"/>
    </row>
    <row r="827121" spans="1:1" x14ac:dyDescent="0.25">
      <c r="A827121" s="242"/>
    </row>
    <row r="827122" spans="1:1" x14ac:dyDescent="0.25">
      <c r="A827122" s="242"/>
    </row>
    <row r="827123" spans="1:1" x14ac:dyDescent="0.25">
      <c r="A827123" s="242"/>
    </row>
    <row r="827124" spans="1:1" x14ac:dyDescent="0.25">
      <c r="A827124" s="242"/>
    </row>
    <row r="827125" spans="1:1" x14ac:dyDescent="0.25">
      <c r="A827125" s="242"/>
    </row>
    <row r="827126" spans="1:1" x14ac:dyDescent="0.25">
      <c r="A827126" s="242"/>
    </row>
    <row r="827127" spans="1:1" x14ac:dyDescent="0.25">
      <c r="A827127" s="242"/>
    </row>
    <row r="827128" spans="1:1" x14ac:dyDescent="0.25">
      <c r="A827128" s="242"/>
    </row>
    <row r="827129" spans="1:1" x14ac:dyDescent="0.25">
      <c r="A827129" s="242"/>
    </row>
    <row r="827130" spans="1:1" x14ac:dyDescent="0.25">
      <c r="A827130" s="242"/>
    </row>
    <row r="827131" spans="1:1" x14ac:dyDescent="0.25">
      <c r="A827131" s="242"/>
    </row>
    <row r="827132" spans="1:1" x14ac:dyDescent="0.25">
      <c r="A827132" s="242"/>
    </row>
    <row r="827133" spans="1:1" x14ac:dyDescent="0.25">
      <c r="A827133" s="242"/>
    </row>
    <row r="827134" spans="1:1" x14ac:dyDescent="0.25">
      <c r="A827134" s="242"/>
    </row>
    <row r="827135" spans="1:1" x14ac:dyDescent="0.25">
      <c r="A827135" s="242"/>
    </row>
    <row r="827136" spans="1:1" x14ac:dyDescent="0.25">
      <c r="A827136" s="242"/>
    </row>
    <row r="827137" spans="1:1" x14ac:dyDescent="0.25">
      <c r="A827137" s="242"/>
    </row>
    <row r="827138" spans="1:1" x14ac:dyDescent="0.25">
      <c r="A827138" s="242"/>
    </row>
    <row r="827139" spans="1:1" x14ac:dyDescent="0.25">
      <c r="A827139" s="242"/>
    </row>
    <row r="827140" spans="1:1" x14ac:dyDescent="0.25">
      <c r="A827140" s="242"/>
    </row>
    <row r="827141" spans="1:1" x14ac:dyDescent="0.25">
      <c r="A827141" s="242"/>
    </row>
    <row r="827142" spans="1:1" x14ac:dyDescent="0.25">
      <c r="A827142" s="242"/>
    </row>
    <row r="827143" spans="1:1" x14ac:dyDescent="0.25">
      <c r="A827143" s="242"/>
    </row>
    <row r="827144" spans="1:1" x14ac:dyDescent="0.25">
      <c r="A827144" s="242"/>
    </row>
    <row r="827145" spans="1:1" x14ac:dyDescent="0.25">
      <c r="A827145" s="242"/>
    </row>
    <row r="827146" spans="1:1" x14ac:dyDescent="0.25">
      <c r="A827146" s="242"/>
    </row>
    <row r="827147" spans="1:1" x14ac:dyDescent="0.25">
      <c r="A827147" s="242"/>
    </row>
    <row r="827148" spans="1:1" x14ac:dyDescent="0.25">
      <c r="A827148" s="242"/>
    </row>
    <row r="827149" spans="1:1" x14ac:dyDescent="0.25">
      <c r="A827149" s="242"/>
    </row>
    <row r="827150" spans="1:1" x14ac:dyDescent="0.25">
      <c r="A827150" s="242"/>
    </row>
    <row r="827151" spans="1:1" x14ac:dyDescent="0.25">
      <c r="A827151" s="242"/>
    </row>
    <row r="827152" spans="1:1" x14ac:dyDescent="0.25">
      <c r="A827152" s="242"/>
    </row>
    <row r="827153" spans="1:1" x14ac:dyDescent="0.25">
      <c r="A827153" s="242"/>
    </row>
    <row r="827154" spans="1:1" x14ac:dyDescent="0.25">
      <c r="A827154" s="242"/>
    </row>
    <row r="827155" spans="1:1" x14ac:dyDescent="0.25">
      <c r="A827155" s="242"/>
    </row>
    <row r="827156" spans="1:1" x14ac:dyDescent="0.25">
      <c r="A827156" s="242"/>
    </row>
    <row r="827157" spans="1:1" x14ac:dyDescent="0.25">
      <c r="A827157" s="242"/>
    </row>
    <row r="827158" spans="1:1" x14ac:dyDescent="0.25">
      <c r="A827158" s="242"/>
    </row>
    <row r="827159" spans="1:1" x14ac:dyDescent="0.25">
      <c r="A827159" s="242"/>
    </row>
    <row r="827160" spans="1:1" x14ac:dyDescent="0.25">
      <c r="A827160" s="242"/>
    </row>
    <row r="827161" spans="1:1" x14ac:dyDescent="0.25">
      <c r="A827161" s="242"/>
    </row>
    <row r="827162" spans="1:1" x14ac:dyDescent="0.25">
      <c r="A827162" s="242"/>
    </row>
    <row r="827163" spans="1:1" x14ac:dyDescent="0.25">
      <c r="A827163" s="242"/>
    </row>
    <row r="827164" spans="1:1" x14ac:dyDescent="0.25">
      <c r="A827164" s="242"/>
    </row>
    <row r="827165" spans="1:1" x14ac:dyDescent="0.25">
      <c r="A827165" s="242"/>
    </row>
    <row r="827166" spans="1:1" x14ac:dyDescent="0.25">
      <c r="A827166" s="242"/>
    </row>
    <row r="827167" spans="1:1" x14ac:dyDescent="0.25">
      <c r="A827167" s="242"/>
    </row>
    <row r="827168" spans="1:1" x14ac:dyDescent="0.25">
      <c r="A827168" s="242"/>
    </row>
    <row r="827169" spans="1:1" x14ac:dyDescent="0.25">
      <c r="A827169" s="242"/>
    </row>
    <row r="827170" spans="1:1" x14ac:dyDescent="0.25">
      <c r="A827170" s="242"/>
    </row>
    <row r="827171" spans="1:1" x14ac:dyDescent="0.25">
      <c r="A827171" s="242"/>
    </row>
    <row r="827172" spans="1:1" x14ac:dyDescent="0.25">
      <c r="A827172" s="242"/>
    </row>
    <row r="827173" spans="1:1" x14ac:dyDescent="0.25">
      <c r="A827173" s="242"/>
    </row>
    <row r="827174" spans="1:1" x14ac:dyDescent="0.25">
      <c r="A827174" s="242"/>
    </row>
    <row r="827175" spans="1:1" x14ac:dyDescent="0.25">
      <c r="A827175" s="242"/>
    </row>
    <row r="827176" spans="1:1" x14ac:dyDescent="0.25">
      <c r="A827176" s="242"/>
    </row>
    <row r="827177" spans="1:1" x14ac:dyDescent="0.25">
      <c r="A827177" s="242"/>
    </row>
    <row r="827178" spans="1:1" x14ac:dyDescent="0.25">
      <c r="A827178" s="242"/>
    </row>
    <row r="827179" spans="1:1" x14ac:dyDescent="0.25">
      <c r="A827179" s="242"/>
    </row>
    <row r="827180" spans="1:1" x14ac:dyDescent="0.25">
      <c r="A827180" s="242"/>
    </row>
    <row r="827181" spans="1:1" x14ac:dyDescent="0.25">
      <c r="A827181" s="242"/>
    </row>
    <row r="827182" spans="1:1" x14ac:dyDescent="0.25">
      <c r="A827182" s="242"/>
    </row>
    <row r="827183" spans="1:1" x14ac:dyDescent="0.25">
      <c r="A827183" s="242"/>
    </row>
    <row r="827184" spans="1:1" x14ac:dyDescent="0.25">
      <c r="A827184" s="242"/>
    </row>
    <row r="827185" spans="1:1" x14ac:dyDescent="0.25">
      <c r="A827185" s="242"/>
    </row>
    <row r="827186" spans="1:1" x14ac:dyDescent="0.25">
      <c r="A827186" s="242"/>
    </row>
    <row r="827187" spans="1:1" x14ac:dyDescent="0.25">
      <c r="A827187" s="242"/>
    </row>
    <row r="827188" spans="1:1" x14ac:dyDescent="0.25">
      <c r="A827188" s="242"/>
    </row>
    <row r="827189" spans="1:1" x14ac:dyDescent="0.25">
      <c r="A827189" s="242"/>
    </row>
    <row r="827190" spans="1:1" x14ac:dyDescent="0.25">
      <c r="A827190" s="242"/>
    </row>
    <row r="827191" spans="1:1" x14ac:dyDescent="0.25">
      <c r="A827191" s="242"/>
    </row>
    <row r="827192" spans="1:1" x14ac:dyDescent="0.25">
      <c r="A827192" s="242"/>
    </row>
    <row r="827193" spans="1:1" x14ac:dyDescent="0.25">
      <c r="A827193" s="242"/>
    </row>
    <row r="827194" spans="1:1" x14ac:dyDescent="0.25">
      <c r="A827194" s="242"/>
    </row>
    <row r="827195" spans="1:1" x14ac:dyDescent="0.25">
      <c r="A827195" s="242"/>
    </row>
    <row r="827196" spans="1:1" x14ac:dyDescent="0.25">
      <c r="A827196" s="242"/>
    </row>
    <row r="827197" spans="1:1" x14ac:dyDescent="0.25">
      <c r="A827197" s="242"/>
    </row>
    <row r="827198" spans="1:1" x14ac:dyDescent="0.25">
      <c r="A827198" s="242"/>
    </row>
    <row r="827199" spans="1:1" x14ac:dyDescent="0.25">
      <c r="A827199" s="242"/>
    </row>
    <row r="827200" spans="1:1" x14ac:dyDescent="0.25">
      <c r="A827200" s="242"/>
    </row>
    <row r="827201" spans="1:1" x14ac:dyDescent="0.25">
      <c r="A827201" s="242"/>
    </row>
    <row r="827202" spans="1:1" x14ac:dyDescent="0.25">
      <c r="A827202" s="242"/>
    </row>
    <row r="827203" spans="1:1" x14ac:dyDescent="0.25">
      <c r="A827203" s="242"/>
    </row>
    <row r="827204" spans="1:1" x14ac:dyDescent="0.25">
      <c r="A827204" s="242"/>
    </row>
    <row r="827205" spans="1:1" x14ac:dyDescent="0.25">
      <c r="A827205" s="242"/>
    </row>
    <row r="827206" spans="1:1" x14ac:dyDescent="0.25">
      <c r="A827206" s="242"/>
    </row>
    <row r="827207" spans="1:1" x14ac:dyDescent="0.25">
      <c r="A827207" s="242"/>
    </row>
    <row r="827208" spans="1:1" x14ac:dyDescent="0.25">
      <c r="A827208" s="242"/>
    </row>
    <row r="827209" spans="1:1" x14ac:dyDescent="0.25">
      <c r="A827209" s="242"/>
    </row>
    <row r="827210" spans="1:1" x14ac:dyDescent="0.25">
      <c r="A827210" s="242"/>
    </row>
    <row r="827211" spans="1:1" x14ac:dyDescent="0.25">
      <c r="A827211" s="242"/>
    </row>
    <row r="827212" spans="1:1" x14ac:dyDescent="0.25">
      <c r="A827212" s="242"/>
    </row>
    <row r="827213" spans="1:1" x14ac:dyDescent="0.25">
      <c r="A827213" s="242"/>
    </row>
    <row r="827214" spans="1:1" x14ac:dyDescent="0.25">
      <c r="A827214" s="242"/>
    </row>
    <row r="827215" spans="1:1" x14ac:dyDescent="0.25">
      <c r="A827215" s="242"/>
    </row>
    <row r="827216" spans="1:1" x14ac:dyDescent="0.25">
      <c r="A827216" s="242"/>
    </row>
    <row r="827217" spans="1:1" x14ac:dyDescent="0.25">
      <c r="A827217" s="242"/>
    </row>
    <row r="827218" spans="1:1" x14ac:dyDescent="0.25">
      <c r="A827218" s="242"/>
    </row>
    <row r="827219" spans="1:1" x14ac:dyDescent="0.25">
      <c r="A827219" s="242"/>
    </row>
    <row r="827220" spans="1:1" x14ac:dyDescent="0.25">
      <c r="A827220" s="242"/>
    </row>
    <row r="827221" spans="1:1" x14ac:dyDescent="0.25">
      <c r="A827221" s="242"/>
    </row>
    <row r="827222" spans="1:1" x14ac:dyDescent="0.25">
      <c r="A827222" s="242"/>
    </row>
    <row r="827223" spans="1:1" x14ac:dyDescent="0.25">
      <c r="A827223" s="242"/>
    </row>
    <row r="827224" spans="1:1" x14ac:dyDescent="0.25">
      <c r="A827224" s="242"/>
    </row>
    <row r="827225" spans="1:1" x14ac:dyDescent="0.25">
      <c r="A827225" s="242"/>
    </row>
    <row r="827226" spans="1:1" x14ac:dyDescent="0.25">
      <c r="A827226" s="242"/>
    </row>
    <row r="827227" spans="1:1" x14ac:dyDescent="0.25">
      <c r="A827227" s="242"/>
    </row>
    <row r="827228" spans="1:1" x14ac:dyDescent="0.25">
      <c r="A827228" s="242"/>
    </row>
    <row r="827229" spans="1:1" x14ac:dyDescent="0.25">
      <c r="A827229" s="242"/>
    </row>
    <row r="827230" spans="1:1" x14ac:dyDescent="0.25">
      <c r="A827230" s="242"/>
    </row>
    <row r="827231" spans="1:1" x14ac:dyDescent="0.25">
      <c r="A827231" s="242"/>
    </row>
    <row r="827232" spans="1:1" x14ac:dyDescent="0.25">
      <c r="A827232" s="242"/>
    </row>
    <row r="827233" spans="1:1" x14ac:dyDescent="0.25">
      <c r="A827233" s="242"/>
    </row>
    <row r="827234" spans="1:1" x14ac:dyDescent="0.25">
      <c r="A827234" s="242"/>
    </row>
    <row r="827235" spans="1:1" x14ac:dyDescent="0.25">
      <c r="A827235" s="242"/>
    </row>
    <row r="827236" spans="1:1" x14ac:dyDescent="0.25">
      <c r="A827236" s="242"/>
    </row>
    <row r="827237" spans="1:1" x14ac:dyDescent="0.25">
      <c r="A827237" s="242"/>
    </row>
    <row r="827238" spans="1:1" x14ac:dyDescent="0.25">
      <c r="A827238" s="242"/>
    </row>
    <row r="827239" spans="1:1" x14ac:dyDescent="0.25">
      <c r="A827239" s="242"/>
    </row>
    <row r="827240" spans="1:1" x14ac:dyDescent="0.25">
      <c r="A827240" s="242"/>
    </row>
    <row r="827241" spans="1:1" x14ac:dyDescent="0.25">
      <c r="A827241" s="242"/>
    </row>
    <row r="827242" spans="1:1" x14ac:dyDescent="0.25">
      <c r="A827242" s="242"/>
    </row>
    <row r="827243" spans="1:1" x14ac:dyDescent="0.25">
      <c r="A827243" s="242"/>
    </row>
    <row r="827244" spans="1:1" x14ac:dyDescent="0.25">
      <c r="A827244" s="242"/>
    </row>
    <row r="827245" spans="1:1" x14ac:dyDescent="0.25">
      <c r="A827245" s="242"/>
    </row>
    <row r="827246" spans="1:1" x14ac:dyDescent="0.25">
      <c r="A827246" s="242"/>
    </row>
    <row r="827247" spans="1:1" x14ac:dyDescent="0.25">
      <c r="A827247" s="242"/>
    </row>
    <row r="827248" spans="1:1" x14ac:dyDescent="0.25">
      <c r="A827248" s="242"/>
    </row>
    <row r="827249" spans="1:1" x14ac:dyDescent="0.25">
      <c r="A827249" s="242"/>
    </row>
    <row r="827250" spans="1:1" x14ac:dyDescent="0.25">
      <c r="A827250" s="242"/>
    </row>
    <row r="827251" spans="1:1" x14ac:dyDescent="0.25">
      <c r="A827251" s="242"/>
    </row>
    <row r="827252" spans="1:1" x14ac:dyDescent="0.25">
      <c r="A827252" s="242"/>
    </row>
    <row r="827253" spans="1:1" x14ac:dyDescent="0.25">
      <c r="A827253" s="242"/>
    </row>
    <row r="827254" spans="1:1" x14ac:dyDescent="0.25">
      <c r="A827254" s="242"/>
    </row>
    <row r="827255" spans="1:1" x14ac:dyDescent="0.25">
      <c r="A827255" s="242"/>
    </row>
    <row r="827256" spans="1:1" x14ac:dyDescent="0.25">
      <c r="A827256" s="242"/>
    </row>
    <row r="827257" spans="1:1" x14ac:dyDescent="0.25">
      <c r="A827257" s="242"/>
    </row>
    <row r="827258" spans="1:1" x14ac:dyDescent="0.25">
      <c r="A827258" s="242"/>
    </row>
    <row r="827259" spans="1:1" x14ac:dyDescent="0.25">
      <c r="A827259" s="242"/>
    </row>
    <row r="827260" spans="1:1" x14ac:dyDescent="0.25">
      <c r="A827260" s="242"/>
    </row>
    <row r="827261" spans="1:1" x14ac:dyDescent="0.25">
      <c r="A827261" s="242"/>
    </row>
    <row r="827262" spans="1:1" x14ac:dyDescent="0.25">
      <c r="A827262" s="242"/>
    </row>
    <row r="827263" spans="1:1" x14ac:dyDescent="0.25">
      <c r="A827263" s="242"/>
    </row>
    <row r="827264" spans="1:1" x14ac:dyDescent="0.25">
      <c r="A827264" s="242"/>
    </row>
    <row r="827265" spans="1:1" x14ac:dyDescent="0.25">
      <c r="A827265" s="242"/>
    </row>
    <row r="827266" spans="1:1" x14ac:dyDescent="0.25">
      <c r="A827266" s="242"/>
    </row>
    <row r="827267" spans="1:1" x14ac:dyDescent="0.25">
      <c r="A827267" s="242"/>
    </row>
    <row r="827268" spans="1:1" x14ac:dyDescent="0.25">
      <c r="A827268" s="242"/>
    </row>
    <row r="827269" spans="1:1" x14ac:dyDescent="0.25">
      <c r="A827269" s="242"/>
    </row>
    <row r="827270" spans="1:1" x14ac:dyDescent="0.25">
      <c r="A827270" s="242"/>
    </row>
    <row r="827271" spans="1:1" x14ac:dyDescent="0.25">
      <c r="A827271" s="242"/>
    </row>
    <row r="827272" spans="1:1" x14ac:dyDescent="0.25">
      <c r="A827272" s="242"/>
    </row>
    <row r="827273" spans="1:1" x14ac:dyDescent="0.25">
      <c r="A827273" s="242"/>
    </row>
    <row r="827274" spans="1:1" x14ac:dyDescent="0.25">
      <c r="A827274" s="242"/>
    </row>
    <row r="827275" spans="1:1" x14ac:dyDescent="0.25">
      <c r="A827275" s="242"/>
    </row>
    <row r="827276" spans="1:1" x14ac:dyDescent="0.25">
      <c r="A827276" s="242"/>
    </row>
    <row r="827277" spans="1:1" x14ac:dyDescent="0.25">
      <c r="A827277" s="242"/>
    </row>
    <row r="827278" spans="1:1" x14ac:dyDescent="0.25">
      <c r="A827278" s="242"/>
    </row>
    <row r="827279" spans="1:1" x14ac:dyDescent="0.25">
      <c r="A827279" s="242"/>
    </row>
    <row r="827280" spans="1:1" x14ac:dyDescent="0.25">
      <c r="A827280" s="242"/>
    </row>
    <row r="827281" spans="1:1" x14ac:dyDescent="0.25">
      <c r="A827281" s="242"/>
    </row>
    <row r="827282" spans="1:1" x14ac:dyDescent="0.25">
      <c r="A827282" s="242"/>
    </row>
    <row r="827283" spans="1:1" x14ac:dyDescent="0.25">
      <c r="A827283" s="242"/>
    </row>
    <row r="827284" spans="1:1" x14ac:dyDescent="0.25">
      <c r="A827284" s="242"/>
    </row>
    <row r="827285" spans="1:1" x14ac:dyDescent="0.25">
      <c r="A827285" s="242"/>
    </row>
    <row r="827286" spans="1:1" x14ac:dyDescent="0.25">
      <c r="A827286" s="242"/>
    </row>
    <row r="827287" spans="1:1" x14ac:dyDescent="0.25">
      <c r="A827287" s="242"/>
    </row>
    <row r="827288" spans="1:1" x14ac:dyDescent="0.25">
      <c r="A827288" s="242"/>
    </row>
    <row r="827289" spans="1:1" x14ac:dyDescent="0.25">
      <c r="A827289" s="242"/>
    </row>
    <row r="827290" spans="1:1" x14ac:dyDescent="0.25">
      <c r="A827290" s="242"/>
    </row>
    <row r="827291" spans="1:1" x14ac:dyDescent="0.25">
      <c r="A827291" s="242"/>
    </row>
    <row r="827292" spans="1:1" x14ac:dyDescent="0.25">
      <c r="A827292" s="242"/>
    </row>
    <row r="827293" spans="1:1" x14ac:dyDescent="0.25">
      <c r="A827293" s="242"/>
    </row>
    <row r="827294" spans="1:1" x14ac:dyDescent="0.25">
      <c r="A827294" s="242"/>
    </row>
    <row r="827295" spans="1:1" x14ac:dyDescent="0.25">
      <c r="A827295" s="242"/>
    </row>
    <row r="827296" spans="1:1" x14ac:dyDescent="0.25">
      <c r="A827296" s="242"/>
    </row>
    <row r="827297" spans="1:1" x14ac:dyDescent="0.25">
      <c r="A827297" s="242"/>
    </row>
    <row r="827298" spans="1:1" x14ac:dyDescent="0.25">
      <c r="A827298" s="242"/>
    </row>
    <row r="827299" spans="1:1" x14ac:dyDescent="0.25">
      <c r="A827299" s="242"/>
    </row>
    <row r="827300" spans="1:1" x14ac:dyDescent="0.25">
      <c r="A827300" s="242"/>
    </row>
    <row r="827301" spans="1:1" x14ac:dyDescent="0.25">
      <c r="A827301" s="242"/>
    </row>
    <row r="827302" spans="1:1" x14ac:dyDescent="0.25">
      <c r="A827302" s="242"/>
    </row>
    <row r="827303" spans="1:1" x14ac:dyDescent="0.25">
      <c r="A827303" s="242"/>
    </row>
    <row r="827304" spans="1:1" x14ac:dyDescent="0.25">
      <c r="A827304" s="242"/>
    </row>
    <row r="827305" spans="1:1" x14ac:dyDescent="0.25">
      <c r="A827305" s="242"/>
    </row>
    <row r="827306" spans="1:1" x14ac:dyDescent="0.25">
      <c r="A827306" s="242"/>
    </row>
    <row r="827307" spans="1:1" x14ac:dyDescent="0.25">
      <c r="A827307" s="242"/>
    </row>
    <row r="827308" spans="1:1" x14ac:dyDescent="0.25">
      <c r="A827308" s="242"/>
    </row>
    <row r="827309" spans="1:1" x14ac:dyDescent="0.25">
      <c r="A827309" s="242"/>
    </row>
    <row r="827310" spans="1:1" x14ac:dyDescent="0.25">
      <c r="A827310" s="242"/>
    </row>
    <row r="827311" spans="1:1" x14ac:dyDescent="0.25">
      <c r="A827311" s="242"/>
    </row>
    <row r="827312" spans="1:1" x14ac:dyDescent="0.25">
      <c r="A827312" s="242"/>
    </row>
    <row r="827313" spans="1:1" x14ac:dyDescent="0.25">
      <c r="A827313" s="242"/>
    </row>
    <row r="827314" spans="1:1" x14ac:dyDescent="0.25">
      <c r="A827314" s="242"/>
    </row>
    <row r="827315" spans="1:1" x14ac:dyDescent="0.25">
      <c r="A827315" s="242"/>
    </row>
    <row r="827316" spans="1:1" x14ac:dyDescent="0.25">
      <c r="A827316" s="242"/>
    </row>
    <row r="827317" spans="1:1" x14ac:dyDescent="0.25">
      <c r="A827317" s="242"/>
    </row>
    <row r="827318" spans="1:1" x14ac:dyDescent="0.25">
      <c r="A827318" s="242"/>
    </row>
    <row r="827319" spans="1:1" x14ac:dyDescent="0.25">
      <c r="A827319" s="242"/>
    </row>
    <row r="827320" spans="1:1" x14ac:dyDescent="0.25">
      <c r="A827320" s="242"/>
    </row>
    <row r="827321" spans="1:1" x14ac:dyDescent="0.25">
      <c r="A827321" s="242"/>
    </row>
    <row r="827322" spans="1:1" x14ac:dyDescent="0.25">
      <c r="A827322" s="242"/>
    </row>
    <row r="827323" spans="1:1" x14ac:dyDescent="0.25">
      <c r="A827323" s="242"/>
    </row>
    <row r="827324" spans="1:1" x14ac:dyDescent="0.25">
      <c r="A827324" s="242"/>
    </row>
    <row r="827325" spans="1:1" x14ac:dyDescent="0.25">
      <c r="A827325" s="242"/>
    </row>
    <row r="827326" spans="1:1" x14ac:dyDescent="0.25">
      <c r="A827326" s="242"/>
    </row>
    <row r="827327" spans="1:1" x14ac:dyDescent="0.25">
      <c r="A827327" s="242"/>
    </row>
    <row r="827328" spans="1:1" x14ac:dyDescent="0.25">
      <c r="A827328" s="242"/>
    </row>
    <row r="827329" spans="1:1" x14ac:dyDescent="0.25">
      <c r="A827329" s="242"/>
    </row>
    <row r="827330" spans="1:1" x14ac:dyDescent="0.25">
      <c r="A827330" s="242"/>
    </row>
    <row r="827331" spans="1:1" x14ac:dyDescent="0.25">
      <c r="A827331" s="242"/>
    </row>
    <row r="827332" spans="1:1" x14ac:dyDescent="0.25">
      <c r="A827332" s="242"/>
    </row>
    <row r="827333" spans="1:1" x14ac:dyDescent="0.25">
      <c r="A827333" s="242"/>
    </row>
    <row r="827334" spans="1:1" x14ac:dyDescent="0.25">
      <c r="A827334" s="242"/>
    </row>
    <row r="827335" spans="1:1" x14ac:dyDescent="0.25">
      <c r="A827335" s="242"/>
    </row>
    <row r="827336" spans="1:1" x14ac:dyDescent="0.25">
      <c r="A827336" s="242"/>
    </row>
    <row r="827337" spans="1:1" x14ac:dyDescent="0.25">
      <c r="A827337" s="242"/>
    </row>
    <row r="827338" spans="1:1" x14ac:dyDescent="0.25">
      <c r="A827338" s="242"/>
    </row>
    <row r="827339" spans="1:1" x14ac:dyDescent="0.25">
      <c r="A827339" s="242"/>
    </row>
    <row r="827340" spans="1:1" x14ac:dyDescent="0.25">
      <c r="A827340" s="242"/>
    </row>
    <row r="827341" spans="1:1" x14ac:dyDescent="0.25">
      <c r="A827341" s="242"/>
    </row>
    <row r="827342" spans="1:1" x14ac:dyDescent="0.25">
      <c r="A827342" s="242"/>
    </row>
    <row r="827343" spans="1:1" x14ac:dyDescent="0.25">
      <c r="A827343" s="242"/>
    </row>
    <row r="827344" spans="1:1" x14ac:dyDescent="0.25">
      <c r="A827344" s="242"/>
    </row>
    <row r="827345" spans="1:1" x14ac:dyDescent="0.25">
      <c r="A827345" s="242"/>
    </row>
    <row r="827346" spans="1:1" x14ac:dyDescent="0.25">
      <c r="A827346" s="242"/>
    </row>
    <row r="827347" spans="1:1" x14ac:dyDescent="0.25">
      <c r="A827347" s="242"/>
    </row>
    <row r="827348" spans="1:1" x14ac:dyDescent="0.25">
      <c r="A827348" s="242"/>
    </row>
    <row r="827349" spans="1:1" x14ac:dyDescent="0.25">
      <c r="A827349" s="242"/>
    </row>
    <row r="827350" spans="1:1" x14ac:dyDescent="0.25">
      <c r="A827350" s="242"/>
    </row>
    <row r="827351" spans="1:1" x14ac:dyDescent="0.25">
      <c r="A827351" s="242"/>
    </row>
    <row r="827352" spans="1:1" x14ac:dyDescent="0.25">
      <c r="A827352" s="242"/>
    </row>
    <row r="827353" spans="1:1" x14ac:dyDescent="0.25">
      <c r="A827353" s="242"/>
    </row>
    <row r="827354" spans="1:1" x14ac:dyDescent="0.25">
      <c r="A827354" s="242"/>
    </row>
    <row r="827355" spans="1:1" x14ac:dyDescent="0.25">
      <c r="A827355" s="242"/>
    </row>
    <row r="827356" spans="1:1" x14ac:dyDescent="0.25">
      <c r="A827356" s="242"/>
    </row>
    <row r="827357" spans="1:1" x14ac:dyDescent="0.25">
      <c r="A827357" s="242"/>
    </row>
    <row r="827358" spans="1:1" x14ac:dyDescent="0.25">
      <c r="A827358" s="242"/>
    </row>
    <row r="827359" spans="1:1" x14ac:dyDescent="0.25">
      <c r="A827359" s="242"/>
    </row>
    <row r="827360" spans="1:1" x14ac:dyDescent="0.25">
      <c r="A827360" s="242"/>
    </row>
    <row r="827361" spans="1:1" x14ac:dyDescent="0.25">
      <c r="A827361" s="242"/>
    </row>
    <row r="827362" spans="1:1" x14ac:dyDescent="0.25">
      <c r="A827362" s="242"/>
    </row>
    <row r="827363" spans="1:1" x14ac:dyDescent="0.25">
      <c r="A827363" s="242"/>
    </row>
    <row r="827364" spans="1:1" x14ac:dyDescent="0.25">
      <c r="A827364" s="242"/>
    </row>
    <row r="827365" spans="1:1" x14ac:dyDescent="0.25">
      <c r="A827365" s="242"/>
    </row>
    <row r="827366" spans="1:1" x14ac:dyDescent="0.25">
      <c r="A827366" s="242"/>
    </row>
    <row r="827367" spans="1:1" x14ac:dyDescent="0.25">
      <c r="A827367" s="242"/>
    </row>
    <row r="827368" spans="1:1" x14ac:dyDescent="0.25">
      <c r="A827368" s="242"/>
    </row>
    <row r="827369" spans="1:1" x14ac:dyDescent="0.25">
      <c r="A827369" s="242"/>
    </row>
    <row r="827370" spans="1:1" x14ac:dyDescent="0.25">
      <c r="A827370" s="242"/>
    </row>
    <row r="827371" spans="1:1" x14ac:dyDescent="0.25">
      <c r="A827371" s="242"/>
    </row>
    <row r="827372" spans="1:1" x14ac:dyDescent="0.25">
      <c r="A827372" s="242"/>
    </row>
    <row r="827373" spans="1:1" x14ac:dyDescent="0.25">
      <c r="A827373" s="242"/>
    </row>
    <row r="827374" spans="1:1" x14ac:dyDescent="0.25">
      <c r="A827374" s="242"/>
    </row>
    <row r="827375" spans="1:1" x14ac:dyDescent="0.25">
      <c r="A827375" s="242"/>
    </row>
    <row r="827376" spans="1:1" x14ac:dyDescent="0.25">
      <c r="A827376" s="242"/>
    </row>
    <row r="827377" spans="1:1" x14ac:dyDescent="0.25">
      <c r="A827377" s="242"/>
    </row>
    <row r="827378" spans="1:1" x14ac:dyDescent="0.25">
      <c r="A827378" s="242"/>
    </row>
    <row r="827379" spans="1:1" x14ac:dyDescent="0.25">
      <c r="A827379" s="242"/>
    </row>
    <row r="827380" spans="1:1" x14ac:dyDescent="0.25">
      <c r="A827380" s="242"/>
    </row>
    <row r="827381" spans="1:1" x14ac:dyDescent="0.25">
      <c r="A827381" s="242"/>
    </row>
    <row r="827382" spans="1:1" x14ac:dyDescent="0.25">
      <c r="A827382" s="242"/>
    </row>
    <row r="827383" spans="1:1" x14ac:dyDescent="0.25">
      <c r="A827383" s="242"/>
    </row>
    <row r="827384" spans="1:1" x14ac:dyDescent="0.25">
      <c r="A827384" s="242"/>
    </row>
    <row r="827385" spans="1:1" x14ac:dyDescent="0.25">
      <c r="A827385" s="242"/>
    </row>
    <row r="827386" spans="1:1" x14ac:dyDescent="0.25">
      <c r="A827386" s="242"/>
    </row>
    <row r="827387" spans="1:1" x14ac:dyDescent="0.25">
      <c r="A827387" s="242"/>
    </row>
    <row r="827388" spans="1:1" x14ac:dyDescent="0.25">
      <c r="A827388" s="242"/>
    </row>
    <row r="827389" spans="1:1" x14ac:dyDescent="0.25">
      <c r="A827389" s="242"/>
    </row>
    <row r="827390" spans="1:1" x14ac:dyDescent="0.25">
      <c r="A827390" s="242"/>
    </row>
    <row r="827391" spans="1:1" x14ac:dyDescent="0.25">
      <c r="A827391" s="242"/>
    </row>
    <row r="827392" spans="1:1" x14ac:dyDescent="0.25">
      <c r="A827392" s="242"/>
    </row>
    <row r="827393" spans="1:1" x14ac:dyDescent="0.25">
      <c r="A827393" s="242"/>
    </row>
    <row r="827394" spans="1:1" x14ac:dyDescent="0.25">
      <c r="A827394" s="242"/>
    </row>
    <row r="827395" spans="1:1" x14ac:dyDescent="0.25">
      <c r="A827395" s="242"/>
    </row>
    <row r="827396" spans="1:1" x14ac:dyDescent="0.25">
      <c r="A827396" s="242"/>
    </row>
    <row r="827397" spans="1:1" x14ac:dyDescent="0.25">
      <c r="A827397" s="242"/>
    </row>
    <row r="827398" spans="1:1" x14ac:dyDescent="0.25">
      <c r="A827398" s="242"/>
    </row>
    <row r="827399" spans="1:1" x14ac:dyDescent="0.25">
      <c r="A827399" s="242"/>
    </row>
    <row r="827400" spans="1:1" x14ac:dyDescent="0.25">
      <c r="A827400" s="242"/>
    </row>
    <row r="827401" spans="1:1" x14ac:dyDescent="0.25">
      <c r="A827401" s="242"/>
    </row>
    <row r="827402" spans="1:1" x14ac:dyDescent="0.25">
      <c r="A827402" s="242"/>
    </row>
    <row r="827403" spans="1:1" x14ac:dyDescent="0.25">
      <c r="A827403" s="242"/>
    </row>
    <row r="827404" spans="1:1" x14ac:dyDescent="0.25">
      <c r="A827404" s="242"/>
    </row>
    <row r="827405" spans="1:1" x14ac:dyDescent="0.25">
      <c r="A827405" s="242"/>
    </row>
    <row r="827406" spans="1:1" x14ac:dyDescent="0.25">
      <c r="A827406" s="242"/>
    </row>
    <row r="827407" spans="1:1" x14ac:dyDescent="0.25">
      <c r="A827407" s="242"/>
    </row>
    <row r="827408" spans="1:1" x14ac:dyDescent="0.25">
      <c r="A827408" s="242"/>
    </row>
    <row r="827409" spans="1:1" x14ac:dyDescent="0.25">
      <c r="A827409" s="242"/>
    </row>
    <row r="827410" spans="1:1" x14ac:dyDescent="0.25">
      <c r="A827410" s="242"/>
    </row>
    <row r="827411" spans="1:1" x14ac:dyDescent="0.25">
      <c r="A827411" s="242"/>
    </row>
    <row r="827412" spans="1:1" x14ac:dyDescent="0.25">
      <c r="A827412" s="242"/>
    </row>
    <row r="827413" spans="1:1" x14ac:dyDescent="0.25">
      <c r="A827413" s="242"/>
    </row>
    <row r="827414" spans="1:1" x14ac:dyDescent="0.25">
      <c r="A827414" s="242"/>
    </row>
    <row r="827415" spans="1:1" x14ac:dyDescent="0.25">
      <c r="A827415" s="242"/>
    </row>
    <row r="827416" spans="1:1" x14ac:dyDescent="0.25">
      <c r="A827416" s="242"/>
    </row>
    <row r="827417" spans="1:1" x14ac:dyDescent="0.25">
      <c r="A827417" s="242"/>
    </row>
    <row r="827418" spans="1:1" x14ac:dyDescent="0.25">
      <c r="A827418" s="242"/>
    </row>
    <row r="827419" spans="1:1" x14ac:dyDescent="0.25">
      <c r="A827419" s="242"/>
    </row>
    <row r="827420" spans="1:1" x14ac:dyDescent="0.25">
      <c r="A827420" s="242"/>
    </row>
    <row r="827421" spans="1:1" x14ac:dyDescent="0.25">
      <c r="A827421" s="242"/>
    </row>
    <row r="827422" spans="1:1" x14ac:dyDescent="0.25">
      <c r="A827422" s="242"/>
    </row>
    <row r="827423" spans="1:1" x14ac:dyDescent="0.25">
      <c r="A827423" s="242"/>
    </row>
    <row r="827424" spans="1:1" x14ac:dyDescent="0.25">
      <c r="A827424" s="242"/>
    </row>
    <row r="827425" spans="1:1" x14ac:dyDescent="0.25">
      <c r="A827425" s="242"/>
    </row>
    <row r="827426" spans="1:1" x14ac:dyDescent="0.25">
      <c r="A827426" s="242"/>
    </row>
    <row r="827427" spans="1:1" x14ac:dyDescent="0.25">
      <c r="A827427" s="242"/>
    </row>
    <row r="827428" spans="1:1" x14ac:dyDescent="0.25">
      <c r="A827428" s="242"/>
    </row>
    <row r="827429" spans="1:1" x14ac:dyDescent="0.25">
      <c r="A827429" s="242"/>
    </row>
    <row r="827430" spans="1:1" x14ac:dyDescent="0.25">
      <c r="A827430" s="242"/>
    </row>
    <row r="827431" spans="1:1" x14ac:dyDescent="0.25">
      <c r="A827431" s="242"/>
    </row>
    <row r="827432" spans="1:1" x14ac:dyDescent="0.25">
      <c r="A827432" s="242"/>
    </row>
    <row r="827433" spans="1:1" x14ac:dyDescent="0.25">
      <c r="A827433" s="242"/>
    </row>
    <row r="827434" spans="1:1" x14ac:dyDescent="0.25">
      <c r="A827434" s="242"/>
    </row>
    <row r="827435" spans="1:1" x14ac:dyDescent="0.25">
      <c r="A827435" s="242"/>
    </row>
    <row r="827436" spans="1:1" x14ac:dyDescent="0.25">
      <c r="A827436" s="242"/>
    </row>
    <row r="827437" spans="1:1" x14ac:dyDescent="0.25">
      <c r="A827437" s="242"/>
    </row>
    <row r="827438" spans="1:1" x14ac:dyDescent="0.25">
      <c r="A827438" s="242"/>
    </row>
    <row r="827439" spans="1:1" x14ac:dyDescent="0.25">
      <c r="A827439" s="242"/>
    </row>
    <row r="827440" spans="1:1" x14ac:dyDescent="0.25">
      <c r="A827440" s="242"/>
    </row>
    <row r="827441" spans="1:1" x14ac:dyDescent="0.25">
      <c r="A827441" s="242"/>
    </row>
    <row r="827442" spans="1:1" x14ac:dyDescent="0.25">
      <c r="A827442" s="242"/>
    </row>
    <row r="827443" spans="1:1" x14ac:dyDescent="0.25">
      <c r="A827443" s="242"/>
    </row>
    <row r="827444" spans="1:1" x14ac:dyDescent="0.25">
      <c r="A827444" s="242"/>
    </row>
    <row r="827445" spans="1:1" x14ac:dyDescent="0.25">
      <c r="A827445" s="242"/>
    </row>
    <row r="827446" spans="1:1" x14ac:dyDescent="0.25">
      <c r="A827446" s="242"/>
    </row>
    <row r="827447" spans="1:1" x14ac:dyDescent="0.25">
      <c r="A827447" s="242"/>
    </row>
    <row r="827448" spans="1:1" x14ac:dyDescent="0.25">
      <c r="A827448" s="242"/>
    </row>
    <row r="827449" spans="1:1" x14ac:dyDescent="0.25">
      <c r="A827449" s="242"/>
    </row>
    <row r="827450" spans="1:1" x14ac:dyDescent="0.25">
      <c r="A827450" s="242"/>
    </row>
    <row r="827451" spans="1:1" x14ac:dyDescent="0.25">
      <c r="A827451" s="242"/>
    </row>
    <row r="827452" spans="1:1" x14ac:dyDescent="0.25">
      <c r="A827452" s="242"/>
    </row>
    <row r="827453" spans="1:1" x14ac:dyDescent="0.25">
      <c r="A827453" s="242"/>
    </row>
    <row r="827454" spans="1:1" x14ac:dyDescent="0.25">
      <c r="A827454" s="242"/>
    </row>
    <row r="827455" spans="1:1" x14ac:dyDescent="0.25">
      <c r="A827455" s="242"/>
    </row>
    <row r="827456" spans="1:1" x14ac:dyDescent="0.25">
      <c r="A827456" s="242"/>
    </row>
    <row r="827457" spans="1:1" x14ac:dyDescent="0.25">
      <c r="A827457" s="242"/>
    </row>
    <row r="827458" spans="1:1" x14ac:dyDescent="0.25">
      <c r="A827458" s="242"/>
    </row>
    <row r="827459" spans="1:1" x14ac:dyDescent="0.25">
      <c r="A827459" s="242"/>
    </row>
    <row r="827460" spans="1:1" x14ac:dyDescent="0.25">
      <c r="A827460" s="242"/>
    </row>
    <row r="827461" spans="1:1" x14ac:dyDescent="0.25">
      <c r="A827461" s="242"/>
    </row>
    <row r="827462" spans="1:1" x14ac:dyDescent="0.25">
      <c r="A827462" s="242"/>
    </row>
    <row r="827463" spans="1:1" x14ac:dyDescent="0.25">
      <c r="A827463" s="242"/>
    </row>
    <row r="827464" spans="1:1" x14ac:dyDescent="0.25">
      <c r="A827464" s="242"/>
    </row>
    <row r="827465" spans="1:1" x14ac:dyDescent="0.25">
      <c r="A827465" s="242"/>
    </row>
    <row r="827466" spans="1:1" x14ac:dyDescent="0.25">
      <c r="A827466" s="242"/>
    </row>
    <row r="827467" spans="1:1" x14ac:dyDescent="0.25">
      <c r="A827467" s="242"/>
    </row>
    <row r="827468" spans="1:1" x14ac:dyDescent="0.25">
      <c r="A827468" s="242"/>
    </row>
    <row r="827469" spans="1:1" x14ac:dyDescent="0.25">
      <c r="A827469" s="242"/>
    </row>
    <row r="827470" spans="1:1" x14ac:dyDescent="0.25">
      <c r="A827470" s="242"/>
    </row>
    <row r="827471" spans="1:1" x14ac:dyDescent="0.25">
      <c r="A827471" s="242"/>
    </row>
    <row r="827472" spans="1:1" x14ac:dyDescent="0.25">
      <c r="A827472" s="242"/>
    </row>
    <row r="827473" spans="1:1" x14ac:dyDescent="0.25">
      <c r="A827473" s="242"/>
    </row>
    <row r="827474" spans="1:1" x14ac:dyDescent="0.25">
      <c r="A827474" s="242"/>
    </row>
    <row r="827475" spans="1:1" x14ac:dyDescent="0.25">
      <c r="A827475" s="242"/>
    </row>
    <row r="827476" spans="1:1" x14ac:dyDescent="0.25">
      <c r="A827476" s="242"/>
    </row>
    <row r="827477" spans="1:1" x14ac:dyDescent="0.25">
      <c r="A827477" s="242"/>
    </row>
    <row r="827478" spans="1:1" x14ac:dyDescent="0.25">
      <c r="A827478" s="242"/>
    </row>
    <row r="827479" spans="1:1" x14ac:dyDescent="0.25">
      <c r="A827479" s="242"/>
    </row>
    <row r="827480" spans="1:1" x14ac:dyDescent="0.25">
      <c r="A827480" s="242"/>
    </row>
    <row r="827481" spans="1:1" x14ac:dyDescent="0.25">
      <c r="A827481" s="242"/>
    </row>
    <row r="827482" spans="1:1" x14ac:dyDescent="0.25">
      <c r="A827482" s="242"/>
    </row>
    <row r="827483" spans="1:1" x14ac:dyDescent="0.25">
      <c r="A827483" s="242"/>
    </row>
    <row r="827484" spans="1:1" x14ac:dyDescent="0.25">
      <c r="A827484" s="242"/>
    </row>
    <row r="827485" spans="1:1" x14ac:dyDescent="0.25">
      <c r="A827485" s="242"/>
    </row>
    <row r="827486" spans="1:1" x14ac:dyDescent="0.25">
      <c r="A827486" s="242"/>
    </row>
    <row r="827487" spans="1:1" x14ac:dyDescent="0.25">
      <c r="A827487" s="242"/>
    </row>
    <row r="827488" spans="1:1" x14ac:dyDescent="0.25">
      <c r="A827488" s="242"/>
    </row>
    <row r="827489" spans="1:1" x14ac:dyDescent="0.25">
      <c r="A827489" s="242"/>
    </row>
    <row r="827490" spans="1:1" x14ac:dyDescent="0.25">
      <c r="A827490" s="242"/>
    </row>
    <row r="827491" spans="1:1" x14ac:dyDescent="0.25">
      <c r="A827491" s="242"/>
    </row>
    <row r="827492" spans="1:1" x14ac:dyDescent="0.25">
      <c r="A827492" s="242"/>
    </row>
    <row r="827493" spans="1:1" x14ac:dyDescent="0.25">
      <c r="A827493" s="242"/>
    </row>
    <row r="827494" spans="1:1" x14ac:dyDescent="0.25">
      <c r="A827494" s="242"/>
    </row>
    <row r="827495" spans="1:1" x14ac:dyDescent="0.25">
      <c r="A827495" s="242"/>
    </row>
    <row r="827496" spans="1:1" x14ac:dyDescent="0.25">
      <c r="A827496" s="242"/>
    </row>
    <row r="827497" spans="1:1" x14ac:dyDescent="0.25">
      <c r="A827497" s="242"/>
    </row>
    <row r="827498" spans="1:1" x14ac:dyDescent="0.25">
      <c r="A827498" s="242"/>
    </row>
    <row r="827499" spans="1:1" x14ac:dyDescent="0.25">
      <c r="A827499" s="242"/>
    </row>
    <row r="827500" spans="1:1" x14ac:dyDescent="0.25">
      <c r="A827500" s="242"/>
    </row>
    <row r="827501" spans="1:1" x14ac:dyDescent="0.25">
      <c r="A827501" s="242"/>
    </row>
    <row r="827502" spans="1:1" x14ac:dyDescent="0.25">
      <c r="A827502" s="242"/>
    </row>
    <row r="827503" spans="1:1" x14ac:dyDescent="0.25">
      <c r="A827503" s="242"/>
    </row>
    <row r="827504" spans="1:1" x14ac:dyDescent="0.25">
      <c r="A827504" s="242"/>
    </row>
    <row r="827505" spans="1:1" x14ac:dyDescent="0.25">
      <c r="A827505" s="242"/>
    </row>
    <row r="827506" spans="1:1" x14ac:dyDescent="0.25">
      <c r="A827506" s="242"/>
    </row>
    <row r="827507" spans="1:1" x14ac:dyDescent="0.25">
      <c r="A827507" s="242"/>
    </row>
    <row r="827508" spans="1:1" x14ac:dyDescent="0.25">
      <c r="A827508" s="242"/>
    </row>
    <row r="827509" spans="1:1" x14ac:dyDescent="0.25">
      <c r="A827509" s="242"/>
    </row>
    <row r="827510" spans="1:1" x14ac:dyDescent="0.25">
      <c r="A827510" s="242"/>
    </row>
    <row r="827511" spans="1:1" x14ac:dyDescent="0.25">
      <c r="A827511" s="242"/>
    </row>
    <row r="827512" spans="1:1" x14ac:dyDescent="0.25">
      <c r="A827512" s="242"/>
    </row>
    <row r="827513" spans="1:1" x14ac:dyDescent="0.25">
      <c r="A827513" s="242"/>
    </row>
    <row r="827514" spans="1:1" x14ac:dyDescent="0.25">
      <c r="A827514" s="242"/>
    </row>
    <row r="827515" spans="1:1" x14ac:dyDescent="0.25">
      <c r="A827515" s="242"/>
    </row>
    <row r="827516" spans="1:1" x14ac:dyDescent="0.25">
      <c r="A827516" s="242"/>
    </row>
    <row r="827517" spans="1:1" x14ac:dyDescent="0.25">
      <c r="A827517" s="242"/>
    </row>
    <row r="827518" spans="1:1" x14ac:dyDescent="0.25">
      <c r="A827518" s="242"/>
    </row>
    <row r="827519" spans="1:1" x14ac:dyDescent="0.25">
      <c r="A827519" s="242"/>
    </row>
    <row r="827520" spans="1:1" x14ac:dyDescent="0.25">
      <c r="A827520" s="242"/>
    </row>
    <row r="827521" spans="1:1" x14ac:dyDescent="0.25">
      <c r="A827521" s="242"/>
    </row>
    <row r="827522" spans="1:1" x14ac:dyDescent="0.25">
      <c r="A827522" s="242"/>
    </row>
    <row r="827523" spans="1:1" x14ac:dyDescent="0.25">
      <c r="A827523" s="242"/>
    </row>
    <row r="827524" spans="1:1" x14ac:dyDescent="0.25">
      <c r="A827524" s="242"/>
    </row>
    <row r="827525" spans="1:1" x14ac:dyDescent="0.25">
      <c r="A827525" s="242"/>
    </row>
    <row r="827526" spans="1:1" x14ac:dyDescent="0.25">
      <c r="A827526" s="242"/>
    </row>
    <row r="827527" spans="1:1" x14ac:dyDescent="0.25">
      <c r="A827527" s="242"/>
    </row>
    <row r="827528" spans="1:1" x14ac:dyDescent="0.25">
      <c r="A827528" s="242"/>
    </row>
    <row r="827529" spans="1:1" x14ac:dyDescent="0.25">
      <c r="A827529" s="242"/>
    </row>
    <row r="827530" spans="1:1" x14ac:dyDescent="0.25">
      <c r="A827530" s="242"/>
    </row>
    <row r="827531" spans="1:1" x14ac:dyDescent="0.25">
      <c r="A827531" s="242"/>
    </row>
    <row r="827532" spans="1:1" x14ac:dyDescent="0.25">
      <c r="A827532" s="242"/>
    </row>
    <row r="827533" spans="1:1" x14ac:dyDescent="0.25">
      <c r="A827533" s="242"/>
    </row>
    <row r="827534" spans="1:1" x14ac:dyDescent="0.25">
      <c r="A827534" s="242"/>
    </row>
    <row r="827535" spans="1:1" x14ac:dyDescent="0.25">
      <c r="A827535" s="242"/>
    </row>
    <row r="827536" spans="1:1" x14ac:dyDescent="0.25">
      <c r="A827536" s="242"/>
    </row>
    <row r="827537" spans="1:1" x14ac:dyDescent="0.25">
      <c r="A827537" s="242"/>
    </row>
    <row r="827538" spans="1:1" x14ac:dyDescent="0.25">
      <c r="A827538" s="242"/>
    </row>
    <row r="827539" spans="1:1" x14ac:dyDescent="0.25">
      <c r="A827539" s="242"/>
    </row>
    <row r="827540" spans="1:1" x14ac:dyDescent="0.25">
      <c r="A827540" s="242"/>
    </row>
    <row r="827541" spans="1:1" x14ac:dyDescent="0.25">
      <c r="A827541" s="242"/>
    </row>
    <row r="827542" spans="1:1" x14ac:dyDescent="0.25">
      <c r="A827542" s="242"/>
    </row>
    <row r="827543" spans="1:1" x14ac:dyDescent="0.25">
      <c r="A827543" s="242"/>
    </row>
    <row r="827544" spans="1:1" x14ac:dyDescent="0.25">
      <c r="A827544" s="242"/>
    </row>
    <row r="827545" spans="1:1" x14ac:dyDescent="0.25">
      <c r="A827545" s="242"/>
    </row>
    <row r="827546" spans="1:1" x14ac:dyDescent="0.25">
      <c r="A827546" s="242"/>
    </row>
    <row r="827547" spans="1:1" x14ac:dyDescent="0.25">
      <c r="A827547" s="242"/>
    </row>
    <row r="827548" spans="1:1" x14ac:dyDescent="0.25">
      <c r="A827548" s="242"/>
    </row>
    <row r="827549" spans="1:1" x14ac:dyDescent="0.25">
      <c r="A827549" s="242"/>
    </row>
    <row r="827550" spans="1:1" x14ac:dyDescent="0.25">
      <c r="A827550" s="242"/>
    </row>
    <row r="827551" spans="1:1" x14ac:dyDescent="0.25">
      <c r="A827551" s="242"/>
    </row>
    <row r="827552" spans="1:1" x14ac:dyDescent="0.25">
      <c r="A827552" s="242"/>
    </row>
    <row r="827553" spans="1:1" x14ac:dyDescent="0.25">
      <c r="A827553" s="242"/>
    </row>
    <row r="827554" spans="1:1" x14ac:dyDescent="0.25">
      <c r="A827554" s="242"/>
    </row>
    <row r="827555" spans="1:1" x14ac:dyDescent="0.25">
      <c r="A827555" s="242"/>
    </row>
    <row r="827556" spans="1:1" x14ac:dyDescent="0.25">
      <c r="A827556" s="242"/>
    </row>
    <row r="827557" spans="1:1" x14ac:dyDescent="0.25">
      <c r="A827557" s="242"/>
    </row>
    <row r="827558" spans="1:1" x14ac:dyDescent="0.25">
      <c r="A827558" s="242"/>
    </row>
    <row r="827559" spans="1:1" x14ac:dyDescent="0.25">
      <c r="A827559" s="242"/>
    </row>
    <row r="827560" spans="1:1" x14ac:dyDescent="0.25">
      <c r="A827560" s="242"/>
    </row>
    <row r="827561" spans="1:1" x14ac:dyDescent="0.25">
      <c r="A827561" s="242"/>
    </row>
    <row r="827562" spans="1:1" x14ac:dyDescent="0.25">
      <c r="A827562" s="242"/>
    </row>
    <row r="827563" spans="1:1" x14ac:dyDescent="0.25">
      <c r="A827563" s="242"/>
    </row>
    <row r="827564" spans="1:1" x14ac:dyDescent="0.25">
      <c r="A827564" s="242"/>
    </row>
    <row r="827565" spans="1:1" x14ac:dyDescent="0.25">
      <c r="A827565" s="242"/>
    </row>
    <row r="827566" spans="1:1" x14ac:dyDescent="0.25">
      <c r="A827566" s="242"/>
    </row>
    <row r="827567" spans="1:1" x14ac:dyDescent="0.25">
      <c r="A827567" s="242"/>
    </row>
    <row r="827568" spans="1:1" x14ac:dyDescent="0.25">
      <c r="A827568" s="242"/>
    </row>
    <row r="827569" spans="1:1" x14ac:dyDescent="0.25">
      <c r="A827569" s="242"/>
    </row>
    <row r="827570" spans="1:1" x14ac:dyDescent="0.25">
      <c r="A827570" s="242"/>
    </row>
    <row r="827571" spans="1:1" x14ac:dyDescent="0.25">
      <c r="A827571" s="242"/>
    </row>
    <row r="827572" spans="1:1" x14ac:dyDescent="0.25">
      <c r="A827572" s="242"/>
    </row>
    <row r="827573" spans="1:1" x14ac:dyDescent="0.25">
      <c r="A827573" s="242"/>
    </row>
    <row r="827574" spans="1:1" x14ac:dyDescent="0.25">
      <c r="A827574" s="242"/>
    </row>
    <row r="827575" spans="1:1" x14ac:dyDescent="0.25">
      <c r="A827575" s="242"/>
    </row>
    <row r="827576" spans="1:1" x14ac:dyDescent="0.25">
      <c r="A827576" s="242"/>
    </row>
    <row r="827577" spans="1:1" x14ac:dyDescent="0.25">
      <c r="A827577" s="242"/>
    </row>
    <row r="827578" spans="1:1" x14ac:dyDescent="0.25">
      <c r="A827578" s="242"/>
    </row>
    <row r="827579" spans="1:1" x14ac:dyDescent="0.25">
      <c r="A827579" s="242"/>
    </row>
    <row r="827580" spans="1:1" x14ac:dyDescent="0.25">
      <c r="A827580" s="242"/>
    </row>
    <row r="827581" spans="1:1" x14ac:dyDescent="0.25">
      <c r="A827581" s="242"/>
    </row>
    <row r="827582" spans="1:1" x14ac:dyDescent="0.25">
      <c r="A827582" s="242"/>
    </row>
    <row r="827583" spans="1:1" x14ac:dyDescent="0.25">
      <c r="A827583" s="242"/>
    </row>
    <row r="827584" spans="1:1" x14ac:dyDescent="0.25">
      <c r="A827584" s="242"/>
    </row>
    <row r="827585" spans="1:1" x14ac:dyDescent="0.25">
      <c r="A827585" s="242"/>
    </row>
    <row r="827586" spans="1:1" x14ac:dyDescent="0.25">
      <c r="A827586" s="242"/>
    </row>
    <row r="827587" spans="1:1" x14ac:dyDescent="0.25">
      <c r="A827587" s="242"/>
    </row>
    <row r="827588" spans="1:1" x14ac:dyDescent="0.25">
      <c r="A827588" s="242"/>
    </row>
    <row r="827589" spans="1:1" x14ac:dyDescent="0.25">
      <c r="A827589" s="242"/>
    </row>
    <row r="827590" spans="1:1" x14ac:dyDescent="0.25">
      <c r="A827590" s="242"/>
    </row>
    <row r="827591" spans="1:1" x14ac:dyDescent="0.25">
      <c r="A827591" s="242"/>
    </row>
    <row r="827592" spans="1:1" x14ac:dyDescent="0.25">
      <c r="A827592" s="242"/>
    </row>
    <row r="827593" spans="1:1" x14ac:dyDescent="0.25">
      <c r="A827593" s="242"/>
    </row>
    <row r="827594" spans="1:1" x14ac:dyDescent="0.25">
      <c r="A827594" s="242"/>
    </row>
    <row r="827595" spans="1:1" x14ac:dyDescent="0.25">
      <c r="A827595" s="242"/>
    </row>
    <row r="827596" spans="1:1" x14ac:dyDescent="0.25">
      <c r="A827596" s="242"/>
    </row>
    <row r="827597" spans="1:1" x14ac:dyDescent="0.25">
      <c r="A827597" s="242"/>
    </row>
    <row r="827598" spans="1:1" x14ac:dyDescent="0.25">
      <c r="A827598" s="242"/>
    </row>
    <row r="827599" spans="1:1" x14ac:dyDescent="0.25">
      <c r="A827599" s="242"/>
    </row>
    <row r="827600" spans="1:1" x14ac:dyDescent="0.25">
      <c r="A827600" s="242"/>
    </row>
    <row r="827601" spans="1:1" x14ac:dyDescent="0.25">
      <c r="A827601" s="242"/>
    </row>
    <row r="827602" spans="1:1" x14ac:dyDescent="0.25">
      <c r="A827602" s="242"/>
    </row>
    <row r="827603" spans="1:1" x14ac:dyDescent="0.25">
      <c r="A827603" s="242"/>
    </row>
    <row r="827604" spans="1:1" x14ac:dyDescent="0.25">
      <c r="A827604" s="242"/>
    </row>
    <row r="827605" spans="1:1" x14ac:dyDescent="0.25">
      <c r="A827605" s="242"/>
    </row>
    <row r="827606" spans="1:1" x14ac:dyDescent="0.25">
      <c r="A827606" s="242"/>
    </row>
    <row r="827607" spans="1:1" x14ac:dyDescent="0.25">
      <c r="A827607" s="242"/>
    </row>
    <row r="827608" spans="1:1" x14ac:dyDescent="0.25">
      <c r="A827608" s="242"/>
    </row>
    <row r="827609" spans="1:1" x14ac:dyDescent="0.25">
      <c r="A827609" s="242"/>
    </row>
    <row r="827610" spans="1:1" x14ac:dyDescent="0.25">
      <c r="A827610" s="242"/>
    </row>
    <row r="827611" spans="1:1" x14ac:dyDescent="0.25">
      <c r="A827611" s="242"/>
    </row>
    <row r="827612" spans="1:1" x14ac:dyDescent="0.25">
      <c r="A827612" s="242"/>
    </row>
    <row r="827613" spans="1:1" x14ac:dyDescent="0.25">
      <c r="A827613" s="242"/>
    </row>
    <row r="827614" spans="1:1" x14ac:dyDescent="0.25">
      <c r="A827614" s="242"/>
    </row>
    <row r="827615" spans="1:1" x14ac:dyDescent="0.25">
      <c r="A827615" s="242"/>
    </row>
    <row r="827616" spans="1:1" x14ac:dyDescent="0.25">
      <c r="A827616" s="242"/>
    </row>
    <row r="827617" spans="1:1" x14ac:dyDescent="0.25">
      <c r="A827617" s="242"/>
    </row>
    <row r="827618" spans="1:1" x14ac:dyDescent="0.25">
      <c r="A827618" s="242"/>
    </row>
    <row r="827619" spans="1:1" x14ac:dyDescent="0.25">
      <c r="A827619" s="242"/>
    </row>
    <row r="827620" spans="1:1" x14ac:dyDescent="0.25">
      <c r="A827620" s="242"/>
    </row>
    <row r="827621" spans="1:1" x14ac:dyDescent="0.25">
      <c r="A827621" s="242"/>
    </row>
    <row r="827622" spans="1:1" x14ac:dyDescent="0.25">
      <c r="A827622" s="242"/>
    </row>
    <row r="827623" spans="1:1" x14ac:dyDescent="0.25">
      <c r="A827623" s="242"/>
    </row>
    <row r="827624" spans="1:1" x14ac:dyDescent="0.25">
      <c r="A827624" s="242"/>
    </row>
    <row r="827625" spans="1:1" x14ac:dyDescent="0.25">
      <c r="A827625" s="242"/>
    </row>
    <row r="827626" spans="1:1" x14ac:dyDescent="0.25">
      <c r="A827626" s="242"/>
    </row>
    <row r="827627" spans="1:1" x14ac:dyDescent="0.25">
      <c r="A827627" s="242"/>
    </row>
    <row r="827628" spans="1:1" x14ac:dyDescent="0.25">
      <c r="A827628" s="242"/>
    </row>
    <row r="827629" spans="1:1" x14ac:dyDescent="0.25">
      <c r="A827629" s="242"/>
    </row>
    <row r="827630" spans="1:1" x14ac:dyDescent="0.25">
      <c r="A827630" s="242"/>
    </row>
    <row r="827631" spans="1:1" x14ac:dyDescent="0.25">
      <c r="A827631" s="242"/>
    </row>
    <row r="827632" spans="1:1" x14ac:dyDescent="0.25">
      <c r="A827632" s="242"/>
    </row>
    <row r="827633" spans="1:1" x14ac:dyDescent="0.25">
      <c r="A827633" s="242"/>
    </row>
    <row r="827634" spans="1:1" x14ac:dyDescent="0.25">
      <c r="A827634" s="242"/>
    </row>
    <row r="827635" spans="1:1" x14ac:dyDescent="0.25">
      <c r="A827635" s="242"/>
    </row>
    <row r="827636" spans="1:1" x14ac:dyDescent="0.25">
      <c r="A827636" s="242"/>
    </row>
    <row r="827637" spans="1:1" x14ac:dyDescent="0.25">
      <c r="A827637" s="242"/>
    </row>
    <row r="827638" spans="1:1" x14ac:dyDescent="0.25">
      <c r="A827638" s="242"/>
    </row>
    <row r="827639" spans="1:1" x14ac:dyDescent="0.25">
      <c r="A827639" s="242"/>
    </row>
    <row r="827640" spans="1:1" x14ac:dyDescent="0.25">
      <c r="A827640" s="242"/>
    </row>
    <row r="827641" spans="1:1" x14ac:dyDescent="0.25">
      <c r="A827641" s="242"/>
    </row>
    <row r="827642" spans="1:1" x14ac:dyDescent="0.25">
      <c r="A827642" s="242"/>
    </row>
    <row r="827643" spans="1:1" x14ac:dyDescent="0.25">
      <c r="A827643" s="242"/>
    </row>
    <row r="827644" spans="1:1" x14ac:dyDescent="0.25">
      <c r="A827644" s="242"/>
    </row>
    <row r="827645" spans="1:1" x14ac:dyDescent="0.25">
      <c r="A827645" s="242"/>
    </row>
    <row r="827646" spans="1:1" x14ac:dyDescent="0.25">
      <c r="A827646" s="242"/>
    </row>
    <row r="827647" spans="1:1" x14ac:dyDescent="0.25">
      <c r="A827647" s="242"/>
    </row>
    <row r="827648" spans="1:1" x14ac:dyDescent="0.25">
      <c r="A827648" s="242"/>
    </row>
    <row r="827649" spans="1:1" x14ac:dyDescent="0.25">
      <c r="A827649" s="242"/>
    </row>
    <row r="827650" spans="1:1" x14ac:dyDescent="0.25">
      <c r="A827650" s="242"/>
    </row>
    <row r="827651" spans="1:1" x14ac:dyDescent="0.25">
      <c r="A827651" s="242"/>
    </row>
    <row r="827652" spans="1:1" x14ac:dyDescent="0.25">
      <c r="A827652" s="242"/>
    </row>
    <row r="827653" spans="1:1" x14ac:dyDescent="0.25">
      <c r="A827653" s="242"/>
    </row>
    <row r="827654" spans="1:1" x14ac:dyDescent="0.25">
      <c r="A827654" s="242"/>
    </row>
    <row r="827655" spans="1:1" x14ac:dyDescent="0.25">
      <c r="A827655" s="242"/>
    </row>
    <row r="827656" spans="1:1" x14ac:dyDescent="0.25">
      <c r="A827656" s="242"/>
    </row>
    <row r="827657" spans="1:1" x14ac:dyDescent="0.25">
      <c r="A827657" s="242"/>
    </row>
    <row r="827658" spans="1:1" x14ac:dyDescent="0.25">
      <c r="A827658" s="242"/>
    </row>
    <row r="827659" spans="1:1" x14ac:dyDescent="0.25">
      <c r="A827659" s="242"/>
    </row>
    <row r="827660" spans="1:1" x14ac:dyDescent="0.25">
      <c r="A827660" s="242"/>
    </row>
    <row r="827661" spans="1:1" x14ac:dyDescent="0.25">
      <c r="A827661" s="242"/>
    </row>
    <row r="827662" spans="1:1" x14ac:dyDescent="0.25">
      <c r="A827662" s="242"/>
    </row>
    <row r="827663" spans="1:1" x14ac:dyDescent="0.25">
      <c r="A827663" s="242"/>
    </row>
    <row r="827664" spans="1:1" x14ac:dyDescent="0.25">
      <c r="A827664" s="242"/>
    </row>
    <row r="827665" spans="1:1" x14ac:dyDescent="0.25">
      <c r="A827665" s="242"/>
    </row>
    <row r="827666" spans="1:1" x14ac:dyDescent="0.25">
      <c r="A827666" s="242"/>
    </row>
    <row r="827667" spans="1:1" x14ac:dyDescent="0.25">
      <c r="A827667" s="242"/>
    </row>
    <row r="827668" spans="1:1" x14ac:dyDescent="0.25">
      <c r="A827668" s="242"/>
    </row>
    <row r="827669" spans="1:1" x14ac:dyDescent="0.25">
      <c r="A827669" s="242"/>
    </row>
    <row r="827670" spans="1:1" x14ac:dyDescent="0.25">
      <c r="A827670" s="242"/>
    </row>
    <row r="827671" spans="1:1" x14ac:dyDescent="0.25">
      <c r="A827671" s="242"/>
    </row>
    <row r="827672" spans="1:1" x14ac:dyDescent="0.25">
      <c r="A827672" s="242"/>
    </row>
    <row r="827673" spans="1:1" x14ac:dyDescent="0.25">
      <c r="A827673" s="242"/>
    </row>
    <row r="827674" spans="1:1" x14ac:dyDescent="0.25">
      <c r="A827674" s="242"/>
    </row>
    <row r="827675" spans="1:1" x14ac:dyDescent="0.25">
      <c r="A827675" s="242"/>
    </row>
    <row r="827676" spans="1:1" x14ac:dyDescent="0.25">
      <c r="A827676" s="242"/>
    </row>
    <row r="827677" spans="1:1" x14ac:dyDescent="0.25">
      <c r="A827677" s="242"/>
    </row>
    <row r="827678" spans="1:1" x14ac:dyDescent="0.25">
      <c r="A827678" s="242"/>
    </row>
    <row r="827679" spans="1:1" x14ac:dyDescent="0.25">
      <c r="A827679" s="242"/>
    </row>
    <row r="827680" spans="1:1" x14ac:dyDescent="0.25">
      <c r="A827680" s="242"/>
    </row>
    <row r="827681" spans="1:1" x14ac:dyDescent="0.25">
      <c r="A827681" s="242"/>
    </row>
    <row r="827682" spans="1:1" x14ac:dyDescent="0.25">
      <c r="A827682" s="242"/>
    </row>
    <row r="827683" spans="1:1" x14ac:dyDescent="0.25">
      <c r="A827683" s="242"/>
    </row>
    <row r="827684" spans="1:1" x14ac:dyDescent="0.25">
      <c r="A827684" s="242"/>
    </row>
    <row r="827685" spans="1:1" x14ac:dyDescent="0.25">
      <c r="A827685" s="242"/>
    </row>
    <row r="827686" spans="1:1" x14ac:dyDescent="0.25">
      <c r="A827686" s="242"/>
    </row>
    <row r="827687" spans="1:1" x14ac:dyDescent="0.25">
      <c r="A827687" s="242"/>
    </row>
    <row r="827688" spans="1:1" x14ac:dyDescent="0.25">
      <c r="A827688" s="242"/>
    </row>
    <row r="827689" spans="1:1" x14ac:dyDescent="0.25">
      <c r="A827689" s="242"/>
    </row>
    <row r="827690" spans="1:1" x14ac:dyDescent="0.25">
      <c r="A827690" s="242"/>
    </row>
    <row r="827691" spans="1:1" x14ac:dyDescent="0.25">
      <c r="A827691" s="242"/>
    </row>
    <row r="827692" spans="1:1" x14ac:dyDescent="0.25">
      <c r="A827692" s="242"/>
    </row>
    <row r="827693" spans="1:1" x14ac:dyDescent="0.25">
      <c r="A827693" s="242"/>
    </row>
    <row r="827694" spans="1:1" x14ac:dyDescent="0.25">
      <c r="A827694" s="242"/>
    </row>
    <row r="827695" spans="1:1" x14ac:dyDescent="0.25">
      <c r="A827695" s="242"/>
    </row>
    <row r="827696" spans="1:1" x14ac:dyDescent="0.25">
      <c r="A827696" s="242"/>
    </row>
    <row r="827697" spans="1:1" x14ac:dyDescent="0.25">
      <c r="A827697" s="242"/>
    </row>
    <row r="827698" spans="1:1" x14ac:dyDescent="0.25">
      <c r="A827698" s="242"/>
    </row>
    <row r="827699" spans="1:1" x14ac:dyDescent="0.25">
      <c r="A827699" s="242"/>
    </row>
    <row r="827700" spans="1:1" x14ac:dyDescent="0.25">
      <c r="A827700" s="242"/>
    </row>
    <row r="827701" spans="1:1" x14ac:dyDescent="0.25">
      <c r="A827701" s="242"/>
    </row>
    <row r="827702" spans="1:1" x14ac:dyDescent="0.25">
      <c r="A827702" s="242"/>
    </row>
    <row r="827703" spans="1:1" x14ac:dyDescent="0.25">
      <c r="A827703" s="242"/>
    </row>
    <row r="827704" spans="1:1" x14ac:dyDescent="0.25">
      <c r="A827704" s="242"/>
    </row>
    <row r="827705" spans="1:1" x14ac:dyDescent="0.25">
      <c r="A827705" s="242"/>
    </row>
    <row r="827706" spans="1:1" x14ac:dyDescent="0.25">
      <c r="A827706" s="242"/>
    </row>
    <row r="827707" spans="1:1" x14ac:dyDescent="0.25">
      <c r="A827707" s="242"/>
    </row>
    <row r="827708" spans="1:1" x14ac:dyDescent="0.25">
      <c r="A827708" s="242"/>
    </row>
    <row r="827709" spans="1:1" x14ac:dyDescent="0.25">
      <c r="A827709" s="242"/>
    </row>
    <row r="827710" spans="1:1" x14ac:dyDescent="0.25">
      <c r="A827710" s="242"/>
    </row>
    <row r="827711" spans="1:1" x14ac:dyDescent="0.25">
      <c r="A827711" s="242"/>
    </row>
    <row r="827712" spans="1:1" x14ac:dyDescent="0.25">
      <c r="A827712" s="242"/>
    </row>
    <row r="827713" spans="1:1" x14ac:dyDescent="0.25">
      <c r="A827713" s="242"/>
    </row>
    <row r="827714" spans="1:1" x14ac:dyDescent="0.25">
      <c r="A827714" s="242"/>
    </row>
    <row r="827715" spans="1:1" x14ac:dyDescent="0.25">
      <c r="A827715" s="242"/>
    </row>
    <row r="827716" spans="1:1" x14ac:dyDescent="0.25">
      <c r="A827716" s="242"/>
    </row>
    <row r="827717" spans="1:1" x14ac:dyDescent="0.25">
      <c r="A827717" s="242"/>
    </row>
    <row r="827718" spans="1:1" x14ac:dyDescent="0.25">
      <c r="A827718" s="242"/>
    </row>
    <row r="827719" spans="1:1" x14ac:dyDescent="0.25">
      <c r="A827719" s="242"/>
    </row>
    <row r="827720" spans="1:1" x14ac:dyDescent="0.25">
      <c r="A827720" s="242"/>
    </row>
    <row r="827721" spans="1:1" x14ac:dyDescent="0.25">
      <c r="A827721" s="242"/>
    </row>
    <row r="827722" spans="1:1" x14ac:dyDescent="0.25">
      <c r="A827722" s="242"/>
    </row>
    <row r="827723" spans="1:1" x14ac:dyDescent="0.25">
      <c r="A827723" s="242"/>
    </row>
    <row r="827724" spans="1:1" x14ac:dyDescent="0.25">
      <c r="A827724" s="242"/>
    </row>
    <row r="827725" spans="1:1" x14ac:dyDescent="0.25">
      <c r="A827725" s="242"/>
    </row>
    <row r="827726" spans="1:1" x14ac:dyDescent="0.25">
      <c r="A827726" s="242"/>
    </row>
    <row r="827727" spans="1:1" x14ac:dyDescent="0.25">
      <c r="A827727" s="242"/>
    </row>
    <row r="827728" spans="1:1" x14ac:dyDescent="0.25">
      <c r="A827728" s="242"/>
    </row>
    <row r="827729" spans="1:1" x14ac:dyDescent="0.25">
      <c r="A827729" s="242"/>
    </row>
    <row r="827730" spans="1:1" x14ac:dyDescent="0.25">
      <c r="A827730" s="242"/>
    </row>
    <row r="827731" spans="1:1" x14ac:dyDescent="0.25">
      <c r="A827731" s="242"/>
    </row>
    <row r="827732" spans="1:1" x14ac:dyDescent="0.25">
      <c r="A827732" s="242"/>
    </row>
    <row r="827733" spans="1:1" x14ac:dyDescent="0.25">
      <c r="A827733" s="242"/>
    </row>
    <row r="827734" spans="1:1" x14ac:dyDescent="0.25">
      <c r="A827734" s="242"/>
    </row>
    <row r="827735" spans="1:1" x14ac:dyDescent="0.25">
      <c r="A827735" s="242"/>
    </row>
    <row r="827736" spans="1:1" x14ac:dyDescent="0.25">
      <c r="A827736" s="242"/>
    </row>
    <row r="827737" spans="1:1" x14ac:dyDescent="0.25">
      <c r="A827737" s="242"/>
    </row>
    <row r="827738" spans="1:1" x14ac:dyDescent="0.25">
      <c r="A827738" s="242"/>
    </row>
    <row r="827739" spans="1:1" x14ac:dyDescent="0.25">
      <c r="A827739" s="242"/>
    </row>
    <row r="827740" spans="1:1" x14ac:dyDescent="0.25">
      <c r="A827740" s="242"/>
    </row>
    <row r="827741" spans="1:1" x14ac:dyDescent="0.25">
      <c r="A827741" s="242"/>
    </row>
    <row r="827742" spans="1:1" x14ac:dyDescent="0.25">
      <c r="A827742" s="242"/>
    </row>
    <row r="827743" spans="1:1" x14ac:dyDescent="0.25">
      <c r="A827743" s="242"/>
    </row>
    <row r="827744" spans="1:1" x14ac:dyDescent="0.25">
      <c r="A827744" s="242"/>
    </row>
    <row r="827745" spans="1:1" x14ac:dyDescent="0.25">
      <c r="A827745" s="242"/>
    </row>
    <row r="827746" spans="1:1" x14ac:dyDescent="0.25">
      <c r="A827746" s="242"/>
    </row>
    <row r="827747" spans="1:1" x14ac:dyDescent="0.25">
      <c r="A827747" s="242"/>
    </row>
    <row r="827748" spans="1:1" x14ac:dyDescent="0.25">
      <c r="A827748" s="242"/>
    </row>
    <row r="827749" spans="1:1" x14ac:dyDescent="0.25">
      <c r="A827749" s="242"/>
    </row>
    <row r="827750" spans="1:1" x14ac:dyDescent="0.25">
      <c r="A827750" s="242"/>
    </row>
    <row r="827751" spans="1:1" x14ac:dyDescent="0.25">
      <c r="A827751" s="242"/>
    </row>
    <row r="827752" spans="1:1" x14ac:dyDescent="0.25">
      <c r="A827752" s="242"/>
    </row>
    <row r="827753" spans="1:1" x14ac:dyDescent="0.25">
      <c r="A827753" s="242"/>
    </row>
    <row r="827754" spans="1:1" x14ac:dyDescent="0.25">
      <c r="A827754" s="242"/>
    </row>
    <row r="827755" spans="1:1" x14ac:dyDescent="0.25">
      <c r="A827755" s="242"/>
    </row>
    <row r="827756" spans="1:1" x14ac:dyDescent="0.25">
      <c r="A827756" s="242"/>
    </row>
    <row r="827757" spans="1:1" x14ac:dyDescent="0.25">
      <c r="A827757" s="242"/>
    </row>
    <row r="827758" spans="1:1" x14ac:dyDescent="0.25">
      <c r="A827758" s="242"/>
    </row>
    <row r="827759" spans="1:1" x14ac:dyDescent="0.25">
      <c r="A827759" s="242"/>
    </row>
    <row r="827760" spans="1:1" x14ac:dyDescent="0.25">
      <c r="A827760" s="242"/>
    </row>
    <row r="827761" spans="1:1" x14ac:dyDescent="0.25">
      <c r="A827761" s="242"/>
    </row>
    <row r="827762" spans="1:1" x14ac:dyDescent="0.25">
      <c r="A827762" s="242"/>
    </row>
    <row r="827763" spans="1:1" x14ac:dyDescent="0.25">
      <c r="A827763" s="242"/>
    </row>
    <row r="827764" spans="1:1" x14ac:dyDescent="0.25">
      <c r="A827764" s="242"/>
    </row>
    <row r="827765" spans="1:1" x14ac:dyDescent="0.25">
      <c r="A827765" s="242"/>
    </row>
    <row r="827766" spans="1:1" x14ac:dyDescent="0.25">
      <c r="A827766" s="242"/>
    </row>
    <row r="827767" spans="1:1" x14ac:dyDescent="0.25">
      <c r="A827767" s="242"/>
    </row>
    <row r="827768" spans="1:1" x14ac:dyDescent="0.25">
      <c r="A827768" s="242"/>
    </row>
    <row r="827769" spans="1:1" x14ac:dyDescent="0.25">
      <c r="A827769" s="242"/>
    </row>
    <row r="827770" spans="1:1" x14ac:dyDescent="0.25">
      <c r="A827770" s="242"/>
    </row>
    <row r="827771" spans="1:1" x14ac:dyDescent="0.25">
      <c r="A827771" s="242"/>
    </row>
    <row r="827772" spans="1:1" x14ac:dyDescent="0.25">
      <c r="A827772" s="242"/>
    </row>
    <row r="827773" spans="1:1" x14ac:dyDescent="0.25">
      <c r="A827773" s="242"/>
    </row>
    <row r="827774" spans="1:1" x14ac:dyDescent="0.25">
      <c r="A827774" s="242"/>
    </row>
    <row r="827775" spans="1:1" x14ac:dyDescent="0.25">
      <c r="A827775" s="242"/>
    </row>
    <row r="827776" spans="1:1" x14ac:dyDescent="0.25">
      <c r="A827776" s="242"/>
    </row>
    <row r="827777" spans="1:1" x14ac:dyDescent="0.25">
      <c r="A827777" s="242"/>
    </row>
    <row r="827778" spans="1:1" x14ac:dyDescent="0.25">
      <c r="A827778" s="242"/>
    </row>
    <row r="827779" spans="1:1" x14ac:dyDescent="0.25">
      <c r="A827779" s="242"/>
    </row>
    <row r="827780" spans="1:1" x14ac:dyDescent="0.25">
      <c r="A827780" s="242"/>
    </row>
    <row r="827781" spans="1:1" x14ac:dyDescent="0.25">
      <c r="A827781" s="242"/>
    </row>
    <row r="827782" spans="1:1" x14ac:dyDescent="0.25">
      <c r="A827782" s="242"/>
    </row>
    <row r="827783" spans="1:1" x14ac:dyDescent="0.25">
      <c r="A827783" s="242"/>
    </row>
    <row r="827784" spans="1:1" x14ac:dyDescent="0.25">
      <c r="A827784" s="242"/>
    </row>
    <row r="827785" spans="1:1" x14ac:dyDescent="0.25">
      <c r="A827785" s="242"/>
    </row>
    <row r="827786" spans="1:1" x14ac:dyDescent="0.25">
      <c r="A827786" s="242"/>
    </row>
    <row r="827787" spans="1:1" x14ac:dyDescent="0.25">
      <c r="A827787" s="242"/>
    </row>
    <row r="827788" spans="1:1" x14ac:dyDescent="0.25">
      <c r="A827788" s="242"/>
    </row>
    <row r="827789" spans="1:1" x14ac:dyDescent="0.25">
      <c r="A827789" s="242"/>
    </row>
    <row r="827790" spans="1:1" x14ac:dyDescent="0.25">
      <c r="A827790" s="242"/>
    </row>
    <row r="827791" spans="1:1" x14ac:dyDescent="0.25">
      <c r="A827791" s="242"/>
    </row>
    <row r="827792" spans="1:1" x14ac:dyDescent="0.25">
      <c r="A827792" s="242"/>
    </row>
    <row r="827793" spans="1:1" x14ac:dyDescent="0.25">
      <c r="A827793" s="242"/>
    </row>
    <row r="827794" spans="1:1" x14ac:dyDescent="0.25">
      <c r="A827794" s="242"/>
    </row>
    <row r="827795" spans="1:1" x14ac:dyDescent="0.25">
      <c r="A827795" s="242"/>
    </row>
    <row r="827796" spans="1:1" x14ac:dyDescent="0.25">
      <c r="A827796" s="242"/>
    </row>
    <row r="827797" spans="1:1" x14ac:dyDescent="0.25">
      <c r="A827797" s="242"/>
    </row>
    <row r="827798" spans="1:1" x14ac:dyDescent="0.25">
      <c r="A827798" s="242"/>
    </row>
    <row r="827799" spans="1:1" x14ac:dyDescent="0.25">
      <c r="A827799" s="242"/>
    </row>
    <row r="827800" spans="1:1" x14ac:dyDescent="0.25">
      <c r="A827800" s="242"/>
    </row>
    <row r="827801" spans="1:1" x14ac:dyDescent="0.25">
      <c r="A827801" s="242"/>
    </row>
    <row r="827802" spans="1:1" x14ac:dyDescent="0.25">
      <c r="A827802" s="242"/>
    </row>
    <row r="827803" spans="1:1" x14ac:dyDescent="0.25">
      <c r="A827803" s="242"/>
    </row>
    <row r="827804" spans="1:1" x14ac:dyDescent="0.25">
      <c r="A827804" s="242"/>
    </row>
    <row r="827805" spans="1:1" x14ac:dyDescent="0.25">
      <c r="A827805" s="242"/>
    </row>
    <row r="827806" spans="1:1" x14ac:dyDescent="0.25">
      <c r="A827806" s="242"/>
    </row>
    <row r="827807" spans="1:1" x14ac:dyDescent="0.25">
      <c r="A827807" s="242"/>
    </row>
    <row r="827808" spans="1:1" x14ac:dyDescent="0.25">
      <c r="A827808" s="242"/>
    </row>
    <row r="827809" spans="1:1" x14ac:dyDescent="0.25">
      <c r="A827809" s="242"/>
    </row>
    <row r="827810" spans="1:1" x14ac:dyDescent="0.25">
      <c r="A827810" s="242"/>
    </row>
    <row r="827811" spans="1:1" x14ac:dyDescent="0.25">
      <c r="A827811" s="242"/>
    </row>
    <row r="827812" spans="1:1" x14ac:dyDescent="0.25">
      <c r="A827812" s="242"/>
    </row>
    <row r="827813" spans="1:1" x14ac:dyDescent="0.25">
      <c r="A827813" s="242"/>
    </row>
    <row r="827814" spans="1:1" x14ac:dyDescent="0.25">
      <c r="A827814" s="242"/>
    </row>
    <row r="827815" spans="1:1" x14ac:dyDescent="0.25">
      <c r="A827815" s="242"/>
    </row>
    <row r="827816" spans="1:1" x14ac:dyDescent="0.25">
      <c r="A827816" s="242"/>
    </row>
    <row r="827817" spans="1:1" x14ac:dyDescent="0.25">
      <c r="A827817" s="242"/>
    </row>
    <row r="827818" spans="1:1" x14ac:dyDescent="0.25">
      <c r="A827818" s="242"/>
    </row>
    <row r="827819" spans="1:1" x14ac:dyDescent="0.25">
      <c r="A827819" s="242"/>
    </row>
    <row r="827820" spans="1:1" x14ac:dyDescent="0.25">
      <c r="A827820" s="242"/>
    </row>
    <row r="827821" spans="1:1" x14ac:dyDescent="0.25">
      <c r="A827821" s="242"/>
    </row>
    <row r="827822" spans="1:1" x14ac:dyDescent="0.25">
      <c r="A827822" s="242"/>
    </row>
    <row r="827823" spans="1:1" x14ac:dyDescent="0.25">
      <c r="A827823" s="242"/>
    </row>
    <row r="827824" spans="1:1" x14ac:dyDescent="0.25">
      <c r="A827824" s="242"/>
    </row>
    <row r="827825" spans="1:1" x14ac:dyDescent="0.25">
      <c r="A827825" s="242"/>
    </row>
    <row r="827826" spans="1:1" x14ac:dyDescent="0.25">
      <c r="A827826" s="242"/>
    </row>
    <row r="827827" spans="1:1" x14ac:dyDescent="0.25">
      <c r="A827827" s="242"/>
    </row>
    <row r="827828" spans="1:1" x14ac:dyDescent="0.25">
      <c r="A827828" s="242"/>
    </row>
    <row r="827829" spans="1:1" x14ac:dyDescent="0.25">
      <c r="A827829" s="242"/>
    </row>
    <row r="827830" spans="1:1" x14ac:dyDescent="0.25">
      <c r="A827830" s="242"/>
    </row>
    <row r="827831" spans="1:1" x14ac:dyDescent="0.25">
      <c r="A827831" s="242"/>
    </row>
    <row r="827832" spans="1:1" x14ac:dyDescent="0.25">
      <c r="A827832" s="242"/>
    </row>
    <row r="827833" spans="1:1" x14ac:dyDescent="0.25">
      <c r="A827833" s="242"/>
    </row>
    <row r="827834" spans="1:1" x14ac:dyDescent="0.25">
      <c r="A827834" s="242"/>
    </row>
    <row r="827835" spans="1:1" x14ac:dyDescent="0.25">
      <c r="A827835" s="242"/>
    </row>
    <row r="827836" spans="1:1" x14ac:dyDescent="0.25">
      <c r="A827836" s="242"/>
    </row>
    <row r="827837" spans="1:1" x14ac:dyDescent="0.25">
      <c r="A827837" s="242"/>
    </row>
    <row r="827838" spans="1:1" x14ac:dyDescent="0.25">
      <c r="A827838" s="242"/>
    </row>
    <row r="827839" spans="1:1" x14ac:dyDescent="0.25">
      <c r="A827839" s="242"/>
    </row>
    <row r="827840" spans="1:1" x14ac:dyDescent="0.25">
      <c r="A827840" s="242"/>
    </row>
    <row r="827841" spans="1:1" x14ac:dyDescent="0.25">
      <c r="A827841" s="242"/>
    </row>
    <row r="827842" spans="1:1" x14ac:dyDescent="0.25">
      <c r="A827842" s="242"/>
    </row>
    <row r="827843" spans="1:1" x14ac:dyDescent="0.25">
      <c r="A827843" s="242"/>
    </row>
    <row r="827844" spans="1:1" x14ac:dyDescent="0.25">
      <c r="A827844" s="242"/>
    </row>
    <row r="827845" spans="1:1" x14ac:dyDescent="0.25">
      <c r="A827845" s="242"/>
    </row>
    <row r="827846" spans="1:1" x14ac:dyDescent="0.25">
      <c r="A827846" s="242"/>
    </row>
    <row r="827847" spans="1:1" x14ac:dyDescent="0.25">
      <c r="A827847" s="242"/>
    </row>
    <row r="827848" spans="1:1" x14ac:dyDescent="0.25">
      <c r="A827848" s="242"/>
    </row>
    <row r="827849" spans="1:1" x14ac:dyDescent="0.25">
      <c r="A827849" s="242"/>
    </row>
    <row r="827850" spans="1:1" x14ac:dyDescent="0.25">
      <c r="A827850" s="242"/>
    </row>
    <row r="827851" spans="1:1" x14ac:dyDescent="0.25">
      <c r="A827851" s="242"/>
    </row>
    <row r="827852" spans="1:1" x14ac:dyDescent="0.25">
      <c r="A827852" s="242"/>
    </row>
    <row r="827853" spans="1:1" x14ac:dyDescent="0.25">
      <c r="A827853" s="242"/>
    </row>
    <row r="827854" spans="1:1" x14ac:dyDescent="0.25">
      <c r="A827854" s="242"/>
    </row>
    <row r="827855" spans="1:1" x14ac:dyDescent="0.25">
      <c r="A827855" s="242"/>
    </row>
    <row r="827856" spans="1:1" x14ac:dyDescent="0.25">
      <c r="A827856" s="242"/>
    </row>
    <row r="827857" spans="1:1" x14ac:dyDescent="0.25">
      <c r="A827857" s="242"/>
    </row>
    <row r="827858" spans="1:1" x14ac:dyDescent="0.25">
      <c r="A827858" s="242"/>
    </row>
    <row r="827859" spans="1:1" x14ac:dyDescent="0.25">
      <c r="A827859" s="242"/>
    </row>
    <row r="827860" spans="1:1" x14ac:dyDescent="0.25">
      <c r="A827860" s="242"/>
    </row>
    <row r="827861" spans="1:1" x14ac:dyDescent="0.25">
      <c r="A827861" s="242"/>
    </row>
    <row r="827862" spans="1:1" x14ac:dyDescent="0.25">
      <c r="A827862" s="242"/>
    </row>
    <row r="827863" spans="1:1" x14ac:dyDescent="0.25">
      <c r="A827863" s="242"/>
    </row>
    <row r="827864" spans="1:1" x14ac:dyDescent="0.25">
      <c r="A827864" s="242"/>
    </row>
    <row r="827865" spans="1:1" x14ac:dyDescent="0.25">
      <c r="A827865" s="242"/>
    </row>
    <row r="827866" spans="1:1" x14ac:dyDescent="0.25">
      <c r="A827866" s="242"/>
    </row>
    <row r="827867" spans="1:1" x14ac:dyDescent="0.25">
      <c r="A827867" s="242"/>
    </row>
    <row r="827868" spans="1:1" x14ac:dyDescent="0.25">
      <c r="A827868" s="242"/>
    </row>
    <row r="827869" spans="1:1" x14ac:dyDescent="0.25">
      <c r="A827869" s="242"/>
    </row>
    <row r="827870" spans="1:1" x14ac:dyDescent="0.25">
      <c r="A827870" s="242"/>
    </row>
    <row r="827871" spans="1:1" x14ac:dyDescent="0.25">
      <c r="A827871" s="242"/>
    </row>
    <row r="827872" spans="1:1" x14ac:dyDescent="0.25">
      <c r="A827872" s="242"/>
    </row>
    <row r="827873" spans="1:1" x14ac:dyDescent="0.25">
      <c r="A827873" s="242"/>
    </row>
    <row r="827874" spans="1:1" x14ac:dyDescent="0.25">
      <c r="A827874" s="242"/>
    </row>
    <row r="827875" spans="1:1" x14ac:dyDescent="0.25">
      <c r="A827875" s="242"/>
    </row>
    <row r="827876" spans="1:1" x14ac:dyDescent="0.25">
      <c r="A827876" s="242"/>
    </row>
    <row r="827877" spans="1:1" x14ac:dyDescent="0.25">
      <c r="A827877" s="242"/>
    </row>
    <row r="827878" spans="1:1" x14ac:dyDescent="0.25">
      <c r="A827878" s="242"/>
    </row>
    <row r="827879" spans="1:1" x14ac:dyDescent="0.25">
      <c r="A827879" s="242"/>
    </row>
    <row r="827880" spans="1:1" x14ac:dyDescent="0.25">
      <c r="A827880" s="242"/>
    </row>
    <row r="827881" spans="1:1" x14ac:dyDescent="0.25">
      <c r="A827881" s="242"/>
    </row>
    <row r="827882" spans="1:1" x14ac:dyDescent="0.25">
      <c r="A827882" s="242"/>
    </row>
    <row r="827883" spans="1:1" x14ac:dyDescent="0.25">
      <c r="A827883" s="242"/>
    </row>
    <row r="827884" spans="1:1" x14ac:dyDescent="0.25">
      <c r="A827884" s="242"/>
    </row>
    <row r="827885" spans="1:1" x14ac:dyDescent="0.25">
      <c r="A827885" s="242"/>
    </row>
    <row r="827886" spans="1:1" x14ac:dyDescent="0.25">
      <c r="A827886" s="242"/>
    </row>
    <row r="827887" spans="1:1" x14ac:dyDescent="0.25">
      <c r="A827887" s="242"/>
    </row>
    <row r="827888" spans="1:1" x14ac:dyDescent="0.25">
      <c r="A827888" s="242"/>
    </row>
    <row r="827889" spans="1:1" x14ac:dyDescent="0.25">
      <c r="A827889" s="242"/>
    </row>
    <row r="827890" spans="1:1" x14ac:dyDescent="0.25">
      <c r="A827890" s="242"/>
    </row>
    <row r="827891" spans="1:1" x14ac:dyDescent="0.25">
      <c r="A827891" s="242"/>
    </row>
    <row r="827892" spans="1:1" x14ac:dyDescent="0.25">
      <c r="A827892" s="242"/>
    </row>
    <row r="827893" spans="1:1" x14ac:dyDescent="0.25">
      <c r="A827893" s="242"/>
    </row>
    <row r="827894" spans="1:1" x14ac:dyDescent="0.25">
      <c r="A827894" s="242"/>
    </row>
    <row r="827895" spans="1:1" x14ac:dyDescent="0.25">
      <c r="A827895" s="242"/>
    </row>
    <row r="827896" spans="1:1" x14ac:dyDescent="0.25">
      <c r="A827896" s="242"/>
    </row>
    <row r="827897" spans="1:1" x14ac:dyDescent="0.25">
      <c r="A827897" s="242"/>
    </row>
    <row r="827898" spans="1:1" x14ac:dyDescent="0.25">
      <c r="A827898" s="242"/>
    </row>
    <row r="827899" spans="1:1" x14ac:dyDescent="0.25">
      <c r="A827899" s="242"/>
    </row>
    <row r="827900" spans="1:1" x14ac:dyDescent="0.25">
      <c r="A827900" s="242"/>
    </row>
    <row r="827901" spans="1:1" x14ac:dyDescent="0.25">
      <c r="A827901" s="242"/>
    </row>
    <row r="827902" spans="1:1" x14ac:dyDescent="0.25">
      <c r="A827902" s="242"/>
    </row>
    <row r="827903" spans="1:1" x14ac:dyDescent="0.25">
      <c r="A827903" s="242"/>
    </row>
    <row r="827904" spans="1:1" x14ac:dyDescent="0.25">
      <c r="A827904" s="242"/>
    </row>
    <row r="827905" spans="1:1" x14ac:dyDescent="0.25">
      <c r="A827905" s="242"/>
    </row>
    <row r="827906" spans="1:1" x14ac:dyDescent="0.25">
      <c r="A827906" s="242"/>
    </row>
    <row r="827907" spans="1:1" x14ac:dyDescent="0.25">
      <c r="A827907" s="242"/>
    </row>
    <row r="827908" spans="1:1" x14ac:dyDescent="0.25">
      <c r="A827908" s="242"/>
    </row>
    <row r="827909" spans="1:1" x14ac:dyDescent="0.25">
      <c r="A827909" s="242"/>
    </row>
    <row r="827910" spans="1:1" x14ac:dyDescent="0.25">
      <c r="A827910" s="242"/>
    </row>
    <row r="827911" spans="1:1" x14ac:dyDescent="0.25">
      <c r="A827911" s="242"/>
    </row>
    <row r="827912" spans="1:1" x14ac:dyDescent="0.25">
      <c r="A827912" s="242"/>
    </row>
    <row r="827913" spans="1:1" x14ac:dyDescent="0.25">
      <c r="A827913" s="242"/>
    </row>
    <row r="827914" spans="1:1" x14ac:dyDescent="0.25">
      <c r="A827914" s="242"/>
    </row>
    <row r="827915" spans="1:1" x14ac:dyDescent="0.25">
      <c r="A827915" s="242"/>
    </row>
    <row r="827916" spans="1:1" x14ac:dyDescent="0.25">
      <c r="A827916" s="242"/>
    </row>
    <row r="827917" spans="1:1" x14ac:dyDescent="0.25">
      <c r="A827917" s="242"/>
    </row>
    <row r="827918" spans="1:1" x14ac:dyDescent="0.25">
      <c r="A827918" s="242"/>
    </row>
    <row r="827919" spans="1:1" x14ac:dyDescent="0.25">
      <c r="A827919" s="242"/>
    </row>
    <row r="827920" spans="1:1" x14ac:dyDescent="0.25">
      <c r="A827920" s="242"/>
    </row>
    <row r="827921" spans="1:1" x14ac:dyDescent="0.25">
      <c r="A827921" s="242"/>
    </row>
    <row r="827922" spans="1:1" x14ac:dyDescent="0.25">
      <c r="A827922" s="242"/>
    </row>
    <row r="827923" spans="1:1" x14ac:dyDescent="0.25">
      <c r="A827923" s="242"/>
    </row>
    <row r="827924" spans="1:1" x14ac:dyDescent="0.25">
      <c r="A827924" s="242"/>
    </row>
    <row r="827925" spans="1:1" x14ac:dyDescent="0.25">
      <c r="A827925" s="242"/>
    </row>
    <row r="827926" spans="1:1" x14ac:dyDescent="0.25">
      <c r="A827926" s="242"/>
    </row>
    <row r="827927" spans="1:1" x14ac:dyDescent="0.25">
      <c r="A827927" s="242"/>
    </row>
    <row r="827928" spans="1:1" x14ac:dyDescent="0.25">
      <c r="A827928" s="242"/>
    </row>
    <row r="827929" spans="1:1" x14ac:dyDescent="0.25">
      <c r="A827929" s="242"/>
    </row>
    <row r="827930" spans="1:1" x14ac:dyDescent="0.25">
      <c r="A827930" s="242"/>
    </row>
    <row r="827931" spans="1:1" x14ac:dyDescent="0.25">
      <c r="A827931" s="242"/>
    </row>
    <row r="827932" spans="1:1" x14ac:dyDescent="0.25">
      <c r="A827932" s="242"/>
    </row>
    <row r="827933" spans="1:1" x14ac:dyDescent="0.25">
      <c r="A827933" s="242"/>
    </row>
    <row r="827934" spans="1:1" x14ac:dyDescent="0.25">
      <c r="A827934" s="242"/>
    </row>
    <row r="827935" spans="1:1" x14ac:dyDescent="0.25">
      <c r="A827935" s="242"/>
    </row>
    <row r="827936" spans="1:1" x14ac:dyDescent="0.25">
      <c r="A827936" s="242"/>
    </row>
    <row r="827937" spans="1:1" x14ac:dyDescent="0.25">
      <c r="A827937" s="242"/>
    </row>
    <row r="827938" spans="1:1" x14ac:dyDescent="0.25">
      <c r="A827938" s="242"/>
    </row>
    <row r="827939" spans="1:1" x14ac:dyDescent="0.25">
      <c r="A827939" s="242"/>
    </row>
    <row r="827940" spans="1:1" x14ac:dyDescent="0.25">
      <c r="A827940" s="242"/>
    </row>
    <row r="827941" spans="1:1" x14ac:dyDescent="0.25">
      <c r="A827941" s="242"/>
    </row>
    <row r="827942" spans="1:1" x14ac:dyDescent="0.25">
      <c r="A827942" s="242"/>
    </row>
    <row r="827943" spans="1:1" x14ac:dyDescent="0.25">
      <c r="A827943" s="242"/>
    </row>
    <row r="827944" spans="1:1" x14ac:dyDescent="0.25">
      <c r="A827944" s="242"/>
    </row>
    <row r="827945" spans="1:1" x14ac:dyDescent="0.25">
      <c r="A827945" s="242"/>
    </row>
    <row r="827946" spans="1:1" x14ac:dyDescent="0.25">
      <c r="A827946" s="242"/>
    </row>
    <row r="827947" spans="1:1" x14ac:dyDescent="0.25">
      <c r="A827947" s="242"/>
    </row>
    <row r="827948" spans="1:1" x14ac:dyDescent="0.25">
      <c r="A827948" s="242"/>
    </row>
    <row r="827949" spans="1:1" x14ac:dyDescent="0.25">
      <c r="A827949" s="242"/>
    </row>
    <row r="827950" spans="1:1" x14ac:dyDescent="0.25">
      <c r="A827950" s="242"/>
    </row>
    <row r="827951" spans="1:1" x14ac:dyDescent="0.25">
      <c r="A827951" s="242"/>
    </row>
    <row r="827952" spans="1:1" x14ac:dyDescent="0.25">
      <c r="A827952" s="242"/>
    </row>
    <row r="827953" spans="1:1" x14ac:dyDescent="0.25">
      <c r="A827953" s="242"/>
    </row>
    <row r="827954" spans="1:1" x14ac:dyDescent="0.25">
      <c r="A827954" s="242"/>
    </row>
    <row r="827955" spans="1:1" x14ac:dyDescent="0.25">
      <c r="A827955" s="242"/>
    </row>
    <row r="827956" spans="1:1" x14ac:dyDescent="0.25">
      <c r="A827956" s="242"/>
    </row>
    <row r="827957" spans="1:1" x14ac:dyDescent="0.25">
      <c r="A827957" s="242"/>
    </row>
    <row r="827958" spans="1:1" x14ac:dyDescent="0.25">
      <c r="A827958" s="242"/>
    </row>
    <row r="827959" spans="1:1" x14ac:dyDescent="0.25">
      <c r="A827959" s="242"/>
    </row>
    <row r="827960" spans="1:1" x14ac:dyDescent="0.25">
      <c r="A827960" s="242"/>
    </row>
    <row r="827961" spans="1:1" x14ac:dyDescent="0.25">
      <c r="A827961" s="242"/>
    </row>
    <row r="827962" spans="1:1" x14ac:dyDescent="0.25">
      <c r="A827962" s="242"/>
    </row>
    <row r="827963" spans="1:1" x14ac:dyDescent="0.25">
      <c r="A827963" s="242"/>
    </row>
    <row r="827964" spans="1:1" x14ac:dyDescent="0.25">
      <c r="A827964" s="242"/>
    </row>
    <row r="827965" spans="1:1" x14ac:dyDescent="0.25">
      <c r="A827965" s="242"/>
    </row>
    <row r="827966" spans="1:1" x14ac:dyDescent="0.25">
      <c r="A827966" s="242"/>
    </row>
    <row r="827967" spans="1:1" x14ac:dyDescent="0.25">
      <c r="A827967" s="242"/>
    </row>
    <row r="827968" spans="1:1" x14ac:dyDescent="0.25">
      <c r="A827968" s="242"/>
    </row>
    <row r="827969" spans="1:1" x14ac:dyDescent="0.25">
      <c r="A827969" s="242"/>
    </row>
    <row r="827970" spans="1:1" x14ac:dyDescent="0.25">
      <c r="A827970" s="242"/>
    </row>
    <row r="827971" spans="1:1" x14ac:dyDescent="0.25">
      <c r="A827971" s="242"/>
    </row>
    <row r="827972" spans="1:1" x14ac:dyDescent="0.25">
      <c r="A827972" s="242"/>
    </row>
    <row r="827973" spans="1:1" x14ac:dyDescent="0.25">
      <c r="A827973" s="242"/>
    </row>
    <row r="827974" spans="1:1" x14ac:dyDescent="0.25">
      <c r="A827974" s="242"/>
    </row>
    <row r="827975" spans="1:1" x14ac:dyDescent="0.25">
      <c r="A827975" s="242"/>
    </row>
    <row r="827976" spans="1:1" x14ac:dyDescent="0.25">
      <c r="A827976" s="242"/>
    </row>
    <row r="827977" spans="1:1" x14ac:dyDescent="0.25">
      <c r="A827977" s="242"/>
    </row>
    <row r="827978" spans="1:1" x14ac:dyDescent="0.25">
      <c r="A827978" s="242"/>
    </row>
    <row r="827979" spans="1:1" x14ac:dyDescent="0.25">
      <c r="A827979" s="242"/>
    </row>
    <row r="827980" spans="1:1" x14ac:dyDescent="0.25">
      <c r="A827980" s="242"/>
    </row>
    <row r="827981" spans="1:1" x14ac:dyDescent="0.25">
      <c r="A827981" s="242"/>
    </row>
    <row r="827982" spans="1:1" x14ac:dyDescent="0.25">
      <c r="A827982" s="242"/>
    </row>
    <row r="827983" spans="1:1" x14ac:dyDescent="0.25">
      <c r="A827983" s="242"/>
    </row>
    <row r="827984" spans="1:1" x14ac:dyDescent="0.25">
      <c r="A827984" s="242"/>
    </row>
    <row r="827985" spans="1:1" x14ac:dyDescent="0.25">
      <c r="A827985" s="242"/>
    </row>
    <row r="827986" spans="1:1" x14ac:dyDescent="0.25">
      <c r="A827986" s="242"/>
    </row>
    <row r="827987" spans="1:1" x14ac:dyDescent="0.25">
      <c r="A827987" s="242"/>
    </row>
    <row r="827988" spans="1:1" x14ac:dyDescent="0.25">
      <c r="A827988" s="242"/>
    </row>
    <row r="827989" spans="1:1" x14ac:dyDescent="0.25">
      <c r="A827989" s="242"/>
    </row>
    <row r="827990" spans="1:1" x14ac:dyDescent="0.25">
      <c r="A827990" s="242"/>
    </row>
    <row r="827991" spans="1:1" x14ac:dyDescent="0.25">
      <c r="A827991" s="242"/>
    </row>
    <row r="827992" spans="1:1" x14ac:dyDescent="0.25">
      <c r="A827992" s="242"/>
    </row>
    <row r="827993" spans="1:1" x14ac:dyDescent="0.25">
      <c r="A827993" s="242"/>
    </row>
    <row r="827994" spans="1:1" x14ac:dyDescent="0.25">
      <c r="A827994" s="242"/>
    </row>
    <row r="827995" spans="1:1" x14ac:dyDescent="0.25">
      <c r="A827995" s="242"/>
    </row>
    <row r="827996" spans="1:1" x14ac:dyDescent="0.25">
      <c r="A827996" s="242"/>
    </row>
    <row r="827997" spans="1:1" x14ac:dyDescent="0.25">
      <c r="A827997" s="242"/>
    </row>
    <row r="827998" spans="1:1" x14ac:dyDescent="0.25">
      <c r="A827998" s="242"/>
    </row>
    <row r="827999" spans="1:1" x14ac:dyDescent="0.25">
      <c r="A827999" s="242"/>
    </row>
    <row r="828000" spans="1:1" x14ac:dyDescent="0.25">
      <c r="A828000" s="242"/>
    </row>
    <row r="828001" spans="1:1" x14ac:dyDescent="0.25">
      <c r="A828001" s="242"/>
    </row>
    <row r="828002" spans="1:1" x14ac:dyDescent="0.25">
      <c r="A828002" s="242"/>
    </row>
    <row r="828003" spans="1:1" x14ac:dyDescent="0.25">
      <c r="A828003" s="242"/>
    </row>
    <row r="828004" spans="1:1" x14ac:dyDescent="0.25">
      <c r="A828004" s="242"/>
    </row>
    <row r="828005" spans="1:1" x14ac:dyDescent="0.25">
      <c r="A828005" s="242"/>
    </row>
    <row r="828006" spans="1:1" x14ac:dyDescent="0.25">
      <c r="A828006" s="242"/>
    </row>
    <row r="828007" spans="1:1" x14ac:dyDescent="0.25">
      <c r="A828007" s="242"/>
    </row>
    <row r="828008" spans="1:1" x14ac:dyDescent="0.25">
      <c r="A828008" s="242"/>
    </row>
    <row r="828009" spans="1:1" x14ac:dyDescent="0.25">
      <c r="A828009" s="242"/>
    </row>
    <row r="828010" spans="1:1" x14ac:dyDescent="0.25">
      <c r="A828010" s="242"/>
    </row>
    <row r="828011" spans="1:1" x14ac:dyDescent="0.25">
      <c r="A828011" s="242"/>
    </row>
    <row r="828012" spans="1:1" x14ac:dyDescent="0.25">
      <c r="A828012" s="242"/>
    </row>
    <row r="828013" spans="1:1" x14ac:dyDescent="0.25">
      <c r="A828013" s="242"/>
    </row>
    <row r="828014" spans="1:1" x14ac:dyDescent="0.25">
      <c r="A828014" s="242"/>
    </row>
    <row r="828015" spans="1:1" x14ac:dyDescent="0.25">
      <c r="A828015" s="242"/>
    </row>
    <row r="828016" spans="1:1" x14ac:dyDescent="0.25">
      <c r="A828016" s="242"/>
    </row>
    <row r="828017" spans="1:1" x14ac:dyDescent="0.25">
      <c r="A828017" s="242"/>
    </row>
    <row r="828018" spans="1:1" x14ac:dyDescent="0.25">
      <c r="A828018" s="242"/>
    </row>
    <row r="828019" spans="1:1" x14ac:dyDescent="0.25">
      <c r="A828019" s="242"/>
    </row>
    <row r="828020" spans="1:1" x14ac:dyDescent="0.25">
      <c r="A828020" s="242"/>
    </row>
    <row r="828021" spans="1:1" x14ac:dyDescent="0.25">
      <c r="A828021" s="242"/>
    </row>
    <row r="828022" spans="1:1" x14ac:dyDescent="0.25">
      <c r="A828022" s="242"/>
    </row>
    <row r="828023" spans="1:1" x14ac:dyDescent="0.25">
      <c r="A828023" s="242"/>
    </row>
    <row r="828024" spans="1:1" x14ac:dyDescent="0.25">
      <c r="A828024" s="242"/>
    </row>
    <row r="828025" spans="1:1" x14ac:dyDescent="0.25">
      <c r="A828025" s="242"/>
    </row>
    <row r="828026" spans="1:1" x14ac:dyDescent="0.25">
      <c r="A828026" s="242"/>
    </row>
    <row r="828027" spans="1:1" x14ac:dyDescent="0.25">
      <c r="A828027" s="242"/>
    </row>
    <row r="828028" spans="1:1" x14ac:dyDescent="0.25">
      <c r="A828028" s="242"/>
    </row>
    <row r="828029" spans="1:1" x14ac:dyDescent="0.25">
      <c r="A828029" s="242"/>
    </row>
    <row r="828030" spans="1:1" x14ac:dyDescent="0.25">
      <c r="A828030" s="242"/>
    </row>
    <row r="828031" spans="1:1" x14ac:dyDescent="0.25">
      <c r="A828031" s="242"/>
    </row>
    <row r="828032" spans="1:1" x14ac:dyDescent="0.25">
      <c r="A828032" s="242"/>
    </row>
    <row r="828033" spans="1:1" x14ac:dyDescent="0.25">
      <c r="A828033" s="242"/>
    </row>
    <row r="828034" spans="1:1" x14ac:dyDescent="0.25">
      <c r="A828034" s="242"/>
    </row>
    <row r="828035" spans="1:1" x14ac:dyDescent="0.25">
      <c r="A828035" s="242"/>
    </row>
    <row r="828036" spans="1:1" x14ac:dyDescent="0.25">
      <c r="A828036" s="242"/>
    </row>
    <row r="828037" spans="1:1" x14ac:dyDescent="0.25">
      <c r="A828037" s="242"/>
    </row>
    <row r="828038" spans="1:1" x14ac:dyDescent="0.25">
      <c r="A828038" s="242"/>
    </row>
    <row r="828039" spans="1:1" x14ac:dyDescent="0.25">
      <c r="A828039" s="242"/>
    </row>
    <row r="828040" spans="1:1" x14ac:dyDescent="0.25">
      <c r="A828040" s="242"/>
    </row>
    <row r="828041" spans="1:1" x14ac:dyDescent="0.25">
      <c r="A828041" s="242"/>
    </row>
    <row r="828042" spans="1:1" x14ac:dyDescent="0.25">
      <c r="A828042" s="242"/>
    </row>
    <row r="828043" spans="1:1" x14ac:dyDescent="0.25">
      <c r="A828043" s="242"/>
    </row>
    <row r="828044" spans="1:1" x14ac:dyDescent="0.25">
      <c r="A828044" s="242"/>
    </row>
    <row r="828045" spans="1:1" x14ac:dyDescent="0.25">
      <c r="A828045" s="242"/>
    </row>
    <row r="828046" spans="1:1" x14ac:dyDescent="0.25">
      <c r="A828046" s="242"/>
    </row>
    <row r="828047" spans="1:1" x14ac:dyDescent="0.25">
      <c r="A828047" s="242"/>
    </row>
    <row r="828048" spans="1:1" x14ac:dyDescent="0.25">
      <c r="A828048" s="242"/>
    </row>
    <row r="828049" spans="1:1" x14ac:dyDescent="0.25">
      <c r="A828049" s="242"/>
    </row>
    <row r="828050" spans="1:1" x14ac:dyDescent="0.25">
      <c r="A828050" s="242"/>
    </row>
    <row r="828051" spans="1:1" x14ac:dyDescent="0.25">
      <c r="A828051" s="242"/>
    </row>
    <row r="828052" spans="1:1" x14ac:dyDescent="0.25">
      <c r="A828052" s="242"/>
    </row>
    <row r="828053" spans="1:1" x14ac:dyDescent="0.25">
      <c r="A828053" s="242"/>
    </row>
    <row r="828054" spans="1:1" x14ac:dyDescent="0.25">
      <c r="A828054" s="242"/>
    </row>
    <row r="828055" spans="1:1" x14ac:dyDescent="0.25">
      <c r="A828055" s="242"/>
    </row>
    <row r="828056" spans="1:1" x14ac:dyDescent="0.25">
      <c r="A828056" s="242"/>
    </row>
    <row r="828057" spans="1:1" x14ac:dyDescent="0.25">
      <c r="A828057" s="242"/>
    </row>
    <row r="828058" spans="1:1" x14ac:dyDescent="0.25">
      <c r="A828058" s="242"/>
    </row>
    <row r="828059" spans="1:1" x14ac:dyDescent="0.25">
      <c r="A828059" s="242"/>
    </row>
    <row r="828060" spans="1:1" x14ac:dyDescent="0.25">
      <c r="A828060" s="242"/>
    </row>
    <row r="828061" spans="1:1" x14ac:dyDescent="0.25">
      <c r="A828061" s="242"/>
    </row>
    <row r="828062" spans="1:1" x14ac:dyDescent="0.25">
      <c r="A828062" s="242"/>
    </row>
    <row r="828063" spans="1:1" x14ac:dyDescent="0.25">
      <c r="A828063" s="242"/>
    </row>
    <row r="828064" spans="1:1" x14ac:dyDescent="0.25">
      <c r="A828064" s="242"/>
    </row>
    <row r="828065" spans="1:1" x14ac:dyDescent="0.25">
      <c r="A828065" s="242"/>
    </row>
    <row r="828066" spans="1:1" x14ac:dyDescent="0.25">
      <c r="A828066" s="242"/>
    </row>
    <row r="828067" spans="1:1" x14ac:dyDescent="0.25">
      <c r="A828067" s="242"/>
    </row>
    <row r="828068" spans="1:1" x14ac:dyDescent="0.25">
      <c r="A828068" s="242"/>
    </row>
    <row r="828069" spans="1:1" x14ac:dyDescent="0.25">
      <c r="A828069" s="242"/>
    </row>
    <row r="828070" spans="1:1" x14ac:dyDescent="0.25">
      <c r="A828070" s="242"/>
    </row>
    <row r="828071" spans="1:1" x14ac:dyDescent="0.25">
      <c r="A828071" s="242"/>
    </row>
    <row r="828072" spans="1:1" x14ac:dyDescent="0.25">
      <c r="A828072" s="242"/>
    </row>
    <row r="828073" spans="1:1" x14ac:dyDescent="0.25">
      <c r="A828073" s="242"/>
    </row>
    <row r="828074" spans="1:1" x14ac:dyDescent="0.25">
      <c r="A828074" s="242"/>
    </row>
    <row r="828075" spans="1:1" x14ac:dyDescent="0.25">
      <c r="A828075" s="242"/>
    </row>
    <row r="828076" spans="1:1" x14ac:dyDescent="0.25">
      <c r="A828076" s="242"/>
    </row>
    <row r="828077" spans="1:1" x14ac:dyDescent="0.25">
      <c r="A828077" s="242"/>
    </row>
    <row r="828078" spans="1:1" x14ac:dyDescent="0.25">
      <c r="A828078" s="242"/>
    </row>
    <row r="828079" spans="1:1" x14ac:dyDescent="0.25">
      <c r="A828079" s="242"/>
    </row>
    <row r="828080" spans="1:1" x14ac:dyDescent="0.25">
      <c r="A828080" s="242"/>
    </row>
    <row r="828081" spans="1:1" x14ac:dyDescent="0.25">
      <c r="A828081" s="242"/>
    </row>
    <row r="828082" spans="1:1" x14ac:dyDescent="0.25">
      <c r="A828082" s="242"/>
    </row>
    <row r="828083" spans="1:1" x14ac:dyDescent="0.25">
      <c r="A828083" s="242"/>
    </row>
    <row r="828084" spans="1:1" x14ac:dyDescent="0.25">
      <c r="A828084" s="242"/>
    </row>
    <row r="828085" spans="1:1" x14ac:dyDescent="0.25">
      <c r="A828085" s="242"/>
    </row>
    <row r="828086" spans="1:1" x14ac:dyDescent="0.25">
      <c r="A828086" s="242"/>
    </row>
    <row r="828087" spans="1:1" x14ac:dyDescent="0.25">
      <c r="A828087" s="242"/>
    </row>
    <row r="828088" spans="1:1" x14ac:dyDescent="0.25">
      <c r="A828088" s="242"/>
    </row>
    <row r="828089" spans="1:1" x14ac:dyDescent="0.25">
      <c r="A828089" s="242"/>
    </row>
    <row r="828090" spans="1:1" x14ac:dyDescent="0.25">
      <c r="A828090" s="242"/>
    </row>
    <row r="828091" spans="1:1" x14ac:dyDescent="0.25">
      <c r="A828091" s="242"/>
    </row>
    <row r="828092" spans="1:1" x14ac:dyDescent="0.25">
      <c r="A828092" s="242"/>
    </row>
    <row r="828093" spans="1:1" x14ac:dyDescent="0.25">
      <c r="A828093" s="242"/>
    </row>
    <row r="828094" spans="1:1" x14ac:dyDescent="0.25">
      <c r="A828094" s="242"/>
    </row>
    <row r="828095" spans="1:1" x14ac:dyDescent="0.25">
      <c r="A828095" s="242"/>
    </row>
    <row r="828096" spans="1:1" x14ac:dyDescent="0.25">
      <c r="A828096" s="242"/>
    </row>
    <row r="828097" spans="1:1" x14ac:dyDescent="0.25">
      <c r="A828097" s="242"/>
    </row>
    <row r="828098" spans="1:1" x14ac:dyDescent="0.25">
      <c r="A828098" s="242"/>
    </row>
    <row r="828099" spans="1:1" x14ac:dyDescent="0.25">
      <c r="A828099" s="242"/>
    </row>
    <row r="828100" spans="1:1" x14ac:dyDescent="0.25">
      <c r="A828100" s="242"/>
    </row>
    <row r="828101" spans="1:1" x14ac:dyDescent="0.25">
      <c r="A828101" s="242"/>
    </row>
    <row r="828102" spans="1:1" x14ac:dyDescent="0.25">
      <c r="A828102" s="242"/>
    </row>
    <row r="828103" spans="1:1" x14ac:dyDescent="0.25">
      <c r="A828103" s="242"/>
    </row>
    <row r="828104" spans="1:1" x14ac:dyDescent="0.25">
      <c r="A828104" s="242"/>
    </row>
    <row r="828105" spans="1:1" x14ac:dyDescent="0.25">
      <c r="A828105" s="242"/>
    </row>
    <row r="828106" spans="1:1" x14ac:dyDescent="0.25">
      <c r="A828106" s="242"/>
    </row>
    <row r="828107" spans="1:1" x14ac:dyDescent="0.25">
      <c r="A828107" s="242"/>
    </row>
    <row r="828108" spans="1:1" x14ac:dyDescent="0.25">
      <c r="A828108" s="242"/>
    </row>
    <row r="828109" spans="1:1" x14ac:dyDescent="0.25">
      <c r="A828109" s="242"/>
    </row>
    <row r="828110" spans="1:1" x14ac:dyDescent="0.25">
      <c r="A828110" s="242"/>
    </row>
    <row r="828111" spans="1:1" x14ac:dyDescent="0.25">
      <c r="A828111" s="242"/>
    </row>
    <row r="828112" spans="1:1" x14ac:dyDescent="0.25">
      <c r="A828112" s="242"/>
    </row>
    <row r="828113" spans="1:1" x14ac:dyDescent="0.25">
      <c r="A828113" s="242"/>
    </row>
    <row r="828114" spans="1:1" x14ac:dyDescent="0.25">
      <c r="A828114" s="242"/>
    </row>
    <row r="828115" spans="1:1" x14ac:dyDescent="0.25">
      <c r="A828115" s="242"/>
    </row>
    <row r="828116" spans="1:1" x14ac:dyDescent="0.25">
      <c r="A828116" s="242"/>
    </row>
    <row r="828117" spans="1:1" x14ac:dyDescent="0.25">
      <c r="A828117" s="242"/>
    </row>
    <row r="828118" spans="1:1" x14ac:dyDescent="0.25">
      <c r="A828118" s="242"/>
    </row>
    <row r="828119" spans="1:1" x14ac:dyDescent="0.25">
      <c r="A828119" s="242"/>
    </row>
    <row r="828120" spans="1:1" x14ac:dyDescent="0.25">
      <c r="A828120" s="242"/>
    </row>
    <row r="828121" spans="1:1" x14ac:dyDescent="0.25">
      <c r="A828121" s="242"/>
    </row>
    <row r="828122" spans="1:1" x14ac:dyDescent="0.25">
      <c r="A828122" s="242"/>
    </row>
    <row r="828123" spans="1:1" x14ac:dyDescent="0.25">
      <c r="A828123" s="242"/>
    </row>
    <row r="828124" spans="1:1" x14ac:dyDescent="0.25">
      <c r="A828124" s="242"/>
    </row>
    <row r="828125" spans="1:1" x14ac:dyDescent="0.25">
      <c r="A828125" s="242"/>
    </row>
    <row r="828126" spans="1:1" x14ac:dyDescent="0.25">
      <c r="A828126" s="242"/>
    </row>
    <row r="828127" spans="1:1" x14ac:dyDescent="0.25">
      <c r="A828127" s="242"/>
    </row>
    <row r="828128" spans="1:1" x14ac:dyDescent="0.25">
      <c r="A828128" s="242"/>
    </row>
    <row r="828129" spans="1:1" x14ac:dyDescent="0.25">
      <c r="A828129" s="242"/>
    </row>
    <row r="828130" spans="1:1" x14ac:dyDescent="0.25">
      <c r="A828130" s="242"/>
    </row>
    <row r="828131" spans="1:1" x14ac:dyDescent="0.25">
      <c r="A828131" s="242"/>
    </row>
    <row r="828132" spans="1:1" x14ac:dyDescent="0.25">
      <c r="A828132" s="242"/>
    </row>
    <row r="828133" spans="1:1" x14ac:dyDescent="0.25">
      <c r="A828133" s="242"/>
    </row>
    <row r="828134" spans="1:1" x14ac:dyDescent="0.25">
      <c r="A828134" s="242"/>
    </row>
    <row r="828135" spans="1:1" x14ac:dyDescent="0.25">
      <c r="A828135" s="242"/>
    </row>
    <row r="828136" spans="1:1" x14ac:dyDescent="0.25">
      <c r="A828136" s="242"/>
    </row>
    <row r="828137" spans="1:1" x14ac:dyDescent="0.25">
      <c r="A828137" s="242"/>
    </row>
    <row r="828138" spans="1:1" x14ac:dyDescent="0.25">
      <c r="A828138" s="242"/>
    </row>
    <row r="828139" spans="1:1" x14ac:dyDescent="0.25">
      <c r="A828139" s="242"/>
    </row>
    <row r="828140" spans="1:1" x14ac:dyDescent="0.25">
      <c r="A828140" s="242"/>
    </row>
    <row r="828141" spans="1:1" x14ac:dyDescent="0.25">
      <c r="A828141" s="242"/>
    </row>
    <row r="828142" spans="1:1" x14ac:dyDescent="0.25">
      <c r="A828142" s="242"/>
    </row>
    <row r="828143" spans="1:1" x14ac:dyDescent="0.25">
      <c r="A828143" s="242"/>
    </row>
    <row r="828144" spans="1:1" x14ac:dyDescent="0.25">
      <c r="A828144" s="242"/>
    </row>
    <row r="828145" spans="1:1" x14ac:dyDescent="0.25">
      <c r="A828145" s="242"/>
    </row>
    <row r="828146" spans="1:1" x14ac:dyDescent="0.25">
      <c r="A828146" s="242"/>
    </row>
    <row r="828147" spans="1:1" x14ac:dyDescent="0.25">
      <c r="A828147" s="242"/>
    </row>
    <row r="828148" spans="1:1" x14ac:dyDescent="0.25">
      <c r="A828148" s="242"/>
    </row>
    <row r="828149" spans="1:1" x14ac:dyDescent="0.25">
      <c r="A828149" s="242"/>
    </row>
    <row r="828150" spans="1:1" x14ac:dyDescent="0.25">
      <c r="A828150" s="242"/>
    </row>
    <row r="828151" spans="1:1" x14ac:dyDescent="0.25">
      <c r="A828151" s="242"/>
    </row>
    <row r="828152" spans="1:1" x14ac:dyDescent="0.25">
      <c r="A828152" s="242"/>
    </row>
    <row r="828153" spans="1:1" x14ac:dyDescent="0.25">
      <c r="A828153" s="242"/>
    </row>
    <row r="828154" spans="1:1" x14ac:dyDescent="0.25">
      <c r="A828154" s="242"/>
    </row>
    <row r="828155" spans="1:1" x14ac:dyDescent="0.25">
      <c r="A828155" s="242"/>
    </row>
    <row r="828156" spans="1:1" x14ac:dyDescent="0.25">
      <c r="A828156" s="242"/>
    </row>
    <row r="828157" spans="1:1" x14ac:dyDescent="0.25">
      <c r="A828157" s="242"/>
    </row>
    <row r="828158" spans="1:1" x14ac:dyDescent="0.25">
      <c r="A828158" s="242"/>
    </row>
    <row r="828159" spans="1:1" x14ac:dyDescent="0.25">
      <c r="A828159" s="242"/>
    </row>
    <row r="828160" spans="1:1" x14ac:dyDescent="0.25">
      <c r="A828160" s="242"/>
    </row>
    <row r="828161" spans="1:1" x14ac:dyDescent="0.25">
      <c r="A828161" s="242"/>
    </row>
    <row r="828162" spans="1:1" x14ac:dyDescent="0.25">
      <c r="A828162" s="242"/>
    </row>
    <row r="828163" spans="1:1" x14ac:dyDescent="0.25">
      <c r="A828163" s="242"/>
    </row>
    <row r="828164" spans="1:1" x14ac:dyDescent="0.25">
      <c r="A828164" s="242"/>
    </row>
    <row r="828165" spans="1:1" x14ac:dyDescent="0.25">
      <c r="A828165" s="242"/>
    </row>
    <row r="828166" spans="1:1" x14ac:dyDescent="0.25">
      <c r="A828166" s="242"/>
    </row>
    <row r="828167" spans="1:1" x14ac:dyDescent="0.25">
      <c r="A828167" s="242"/>
    </row>
    <row r="828168" spans="1:1" x14ac:dyDescent="0.25">
      <c r="A828168" s="242"/>
    </row>
    <row r="828169" spans="1:1" x14ac:dyDescent="0.25">
      <c r="A828169" s="242"/>
    </row>
    <row r="828170" spans="1:1" x14ac:dyDescent="0.25">
      <c r="A828170" s="242"/>
    </row>
    <row r="828171" spans="1:1" x14ac:dyDescent="0.25">
      <c r="A828171" s="242"/>
    </row>
    <row r="828172" spans="1:1" x14ac:dyDescent="0.25">
      <c r="A828172" s="242"/>
    </row>
    <row r="828173" spans="1:1" x14ac:dyDescent="0.25">
      <c r="A828173" s="242"/>
    </row>
    <row r="828174" spans="1:1" x14ac:dyDescent="0.25">
      <c r="A828174" s="242"/>
    </row>
    <row r="828175" spans="1:1" x14ac:dyDescent="0.25">
      <c r="A828175" s="242"/>
    </row>
    <row r="828176" spans="1:1" x14ac:dyDescent="0.25">
      <c r="A828176" s="242"/>
    </row>
    <row r="828177" spans="1:1" x14ac:dyDescent="0.25">
      <c r="A828177" s="242"/>
    </row>
    <row r="828178" spans="1:1" x14ac:dyDescent="0.25">
      <c r="A828178" s="242"/>
    </row>
    <row r="828179" spans="1:1" x14ac:dyDescent="0.25">
      <c r="A828179" s="242"/>
    </row>
    <row r="828180" spans="1:1" x14ac:dyDescent="0.25">
      <c r="A828180" s="242"/>
    </row>
    <row r="828181" spans="1:1" x14ac:dyDescent="0.25">
      <c r="A828181" s="242"/>
    </row>
    <row r="828182" spans="1:1" x14ac:dyDescent="0.25">
      <c r="A828182" s="242"/>
    </row>
    <row r="828183" spans="1:1" x14ac:dyDescent="0.25">
      <c r="A828183" s="242"/>
    </row>
    <row r="828184" spans="1:1" x14ac:dyDescent="0.25">
      <c r="A828184" s="242"/>
    </row>
    <row r="828185" spans="1:1" x14ac:dyDescent="0.25">
      <c r="A828185" s="242"/>
    </row>
    <row r="828186" spans="1:1" x14ac:dyDescent="0.25">
      <c r="A828186" s="242"/>
    </row>
    <row r="828187" spans="1:1" x14ac:dyDescent="0.25">
      <c r="A828187" s="242"/>
    </row>
    <row r="828188" spans="1:1" x14ac:dyDescent="0.25">
      <c r="A828188" s="242"/>
    </row>
    <row r="828189" spans="1:1" x14ac:dyDescent="0.25">
      <c r="A828189" s="242"/>
    </row>
    <row r="828190" spans="1:1" x14ac:dyDescent="0.25">
      <c r="A828190" s="242"/>
    </row>
    <row r="828191" spans="1:1" x14ac:dyDescent="0.25">
      <c r="A828191" s="242"/>
    </row>
    <row r="828192" spans="1:1" x14ac:dyDescent="0.25">
      <c r="A828192" s="242"/>
    </row>
    <row r="828193" spans="1:1" x14ac:dyDescent="0.25">
      <c r="A828193" s="242"/>
    </row>
    <row r="828194" spans="1:1" x14ac:dyDescent="0.25">
      <c r="A828194" s="242"/>
    </row>
    <row r="828195" spans="1:1" x14ac:dyDescent="0.25">
      <c r="A828195" s="242"/>
    </row>
    <row r="828196" spans="1:1" x14ac:dyDescent="0.25">
      <c r="A828196" s="242"/>
    </row>
    <row r="828197" spans="1:1" x14ac:dyDescent="0.25">
      <c r="A828197" s="242"/>
    </row>
    <row r="828198" spans="1:1" x14ac:dyDescent="0.25">
      <c r="A828198" s="242"/>
    </row>
    <row r="828199" spans="1:1" x14ac:dyDescent="0.25">
      <c r="A828199" s="242"/>
    </row>
    <row r="828200" spans="1:1" x14ac:dyDescent="0.25">
      <c r="A828200" s="242"/>
    </row>
    <row r="828201" spans="1:1" x14ac:dyDescent="0.25">
      <c r="A828201" s="242"/>
    </row>
    <row r="828202" spans="1:1" x14ac:dyDescent="0.25">
      <c r="A828202" s="242"/>
    </row>
    <row r="828203" spans="1:1" x14ac:dyDescent="0.25">
      <c r="A828203" s="242"/>
    </row>
    <row r="828204" spans="1:1" x14ac:dyDescent="0.25">
      <c r="A828204" s="242"/>
    </row>
    <row r="828205" spans="1:1" x14ac:dyDescent="0.25">
      <c r="A828205" s="242"/>
    </row>
    <row r="828206" spans="1:1" x14ac:dyDescent="0.25">
      <c r="A828206" s="242"/>
    </row>
    <row r="828207" spans="1:1" x14ac:dyDescent="0.25">
      <c r="A828207" s="242"/>
    </row>
    <row r="828208" spans="1:1" x14ac:dyDescent="0.25">
      <c r="A828208" s="242"/>
    </row>
    <row r="828209" spans="1:1" x14ac:dyDescent="0.25">
      <c r="A828209" s="242"/>
    </row>
    <row r="828210" spans="1:1" x14ac:dyDescent="0.25">
      <c r="A828210" s="242"/>
    </row>
    <row r="828211" spans="1:1" x14ac:dyDescent="0.25">
      <c r="A828211" s="242"/>
    </row>
    <row r="828212" spans="1:1" x14ac:dyDescent="0.25">
      <c r="A828212" s="242"/>
    </row>
    <row r="828213" spans="1:1" x14ac:dyDescent="0.25">
      <c r="A828213" s="242"/>
    </row>
    <row r="828214" spans="1:1" x14ac:dyDescent="0.25">
      <c r="A828214" s="242"/>
    </row>
    <row r="828215" spans="1:1" x14ac:dyDescent="0.25">
      <c r="A828215" s="242"/>
    </row>
    <row r="828216" spans="1:1" x14ac:dyDescent="0.25">
      <c r="A828216" s="242"/>
    </row>
    <row r="828217" spans="1:1" x14ac:dyDescent="0.25">
      <c r="A828217" s="242"/>
    </row>
    <row r="828218" spans="1:1" x14ac:dyDescent="0.25">
      <c r="A828218" s="242"/>
    </row>
    <row r="828219" spans="1:1" x14ac:dyDescent="0.25">
      <c r="A828219" s="242"/>
    </row>
    <row r="828220" spans="1:1" x14ac:dyDescent="0.25">
      <c r="A828220" s="242"/>
    </row>
    <row r="828221" spans="1:1" x14ac:dyDescent="0.25">
      <c r="A828221" s="242"/>
    </row>
    <row r="828222" spans="1:1" x14ac:dyDescent="0.25">
      <c r="A828222" s="242"/>
    </row>
    <row r="828223" spans="1:1" x14ac:dyDescent="0.25">
      <c r="A828223" s="242"/>
    </row>
    <row r="828224" spans="1:1" x14ac:dyDescent="0.25">
      <c r="A828224" s="242"/>
    </row>
    <row r="828225" spans="1:1" x14ac:dyDescent="0.25">
      <c r="A828225" s="242"/>
    </row>
    <row r="828226" spans="1:1" x14ac:dyDescent="0.25">
      <c r="A828226" s="242"/>
    </row>
    <row r="828227" spans="1:1" x14ac:dyDescent="0.25">
      <c r="A828227" s="242"/>
    </row>
    <row r="828228" spans="1:1" x14ac:dyDescent="0.25">
      <c r="A828228" s="242"/>
    </row>
    <row r="828229" spans="1:1" x14ac:dyDescent="0.25">
      <c r="A828229" s="242"/>
    </row>
    <row r="828230" spans="1:1" x14ac:dyDescent="0.25">
      <c r="A828230" s="242"/>
    </row>
    <row r="828231" spans="1:1" x14ac:dyDescent="0.25">
      <c r="A828231" s="242"/>
    </row>
    <row r="828232" spans="1:1" x14ac:dyDescent="0.25">
      <c r="A828232" s="242"/>
    </row>
    <row r="828233" spans="1:1" x14ac:dyDescent="0.25">
      <c r="A828233" s="242"/>
    </row>
    <row r="828234" spans="1:1" x14ac:dyDescent="0.25">
      <c r="A828234" s="242"/>
    </row>
    <row r="828235" spans="1:1" x14ac:dyDescent="0.25">
      <c r="A828235" s="242"/>
    </row>
    <row r="828236" spans="1:1" x14ac:dyDescent="0.25">
      <c r="A828236" s="242"/>
    </row>
    <row r="828237" spans="1:1" x14ac:dyDescent="0.25">
      <c r="A828237" s="242"/>
    </row>
    <row r="828238" spans="1:1" x14ac:dyDescent="0.25">
      <c r="A828238" s="242"/>
    </row>
    <row r="828239" spans="1:1" x14ac:dyDescent="0.25">
      <c r="A828239" s="242"/>
    </row>
    <row r="828240" spans="1:1" x14ac:dyDescent="0.25">
      <c r="A828240" s="242"/>
    </row>
    <row r="828241" spans="1:1" x14ac:dyDescent="0.25">
      <c r="A828241" s="242"/>
    </row>
    <row r="828242" spans="1:1" x14ac:dyDescent="0.25">
      <c r="A828242" s="242"/>
    </row>
    <row r="828243" spans="1:1" x14ac:dyDescent="0.25">
      <c r="A828243" s="242"/>
    </row>
    <row r="828244" spans="1:1" x14ac:dyDescent="0.25">
      <c r="A828244" s="242"/>
    </row>
    <row r="828245" spans="1:1" x14ac:dyDescent="0.25">
      <c r="A828245" s="242"/>
    </row>
    <row r="828246" spans="1:1" x14ac:dyDescent="0.25">
      <c r="A828246" s="242"/>
    </row>
    <row r="828247" spans="1:1" x14ac:dyDescent="0.25">
      <c r="A828247" s="242"/>
    </row>
    <row r="828248" spans="1:1" x14ac:dyDescent="0.25">
      <c r="A828248" s="242"/>
    </row>
    <row r="828249" spans="1:1" x14ac:dyDescent="0.25">
      <c r="A828249" s="242"/>
    </row>
    <row r="828250" spans="1:1" x14ac:dyDescent="0.25">
      <c r="A828250" s="242"/>
    </row>
    <row r="828251" spans="1:1" x14ac:dyDescent="0.25">
      <c r="A828251" s="242"/>
    </row>
    <row r="828252" spans="1:1" x14ac:dyDescent="0.25">
      <c r="A828252" s="242"/>
    </row>
    <row r="828253" spans="1:1" x14ac:dyDescent="0.25">
      <c r="A828253" s="242"/>
    </row>
    <row r="828254" spans="1:1" x14ac:dyDescent="0.25">
      <c r="A828254" s="242"/>
    </row>
    <row r="828255" spans="1:1" x14ac:dyDescent="0.25">
      <c r="A828255" s="242"/>
    </row>
    <row r="828256" spans="1:1" x14ac:dyDescent="0.25">
      <c r="A828256" s="242"/>
    </row>
    <row r="828257" spans="1:1" x14ac:dyDescent="0.25">
      <c r="A828257" s="242"/>
    </row>
    <row r="828258" spans="1:1" x14ac:dyDescent="0.25">
      <c r="A828258" s="242"/>
    </row>
    <row r="828259" spans="1:1" x14ac:dyDescent="0.25">
      <c r="A828259" s="242"/>
    </row>
    <row r="828260" spans="1:1" x14ac:dyDescent="0.25">
      <c r="A828260" s="242"/>
    </row>
    <row r="828261" spans="1:1" x14ac:dyDescent="0.25">
      <c r="A828261" s="242"/>
    </row>
    <row r="828262" spans="1:1" x14ac:dyDescent="0.25">
      <c r="A828262" s="242"/>
    </row>
    <row r="828263" spans="1:1" x14ac:dyDescent="0.25">
      <c r="A828263" s="242"/>
    </row>
    <row r="828264" spans="1:1" x14ac:dyDescent="0.25">
      <c r="A828264" s="242"/>
    </row>
    <row r="828265" spans="1:1" x14ac:dyDescent="0.25">
      <c r="A828265" s="242"/>
    </row>
    <row r="828266" spans="1:1" x14ac:dyDescent="0.25">
      <c r="A828266" s="242"/>
    </row>
    <row r="828267" spans="1:1" x14ac:dyDescent="0.25">
      <c r="A828267" s="242"/>
    </row>
    <row r="828268" spans="1:1" x14ac:dyDescent="0.25">
      <c r="A828268" s="242"/>
    </row>
    <row r="828269" spans="1:1" x14ac:dyDescent="0.25">
      <c r="A828269" s="242"/>
    </row>
    <row r="828270" spans="1:1" x14ac:dyDescent="0.25">
      <c r="A828270" s="242"/>
    </row>
    <row r="828271" spans="1:1" x14ac:dyDescent="0.25">
      <c r="A828271" s="242"/>
    </row>
    <row r="828272" spans="1:1" x14ac:dyDescent="0.25">
      <c r="A828272" s="242"/>
    </row>
    <row r="828273" spans="1:1" x14ac:dyDescent="0.25">
      <c r="A828273" s="242"/>
    </row>
    <row r="828274" spans="1:1" x14ac:dyDescent="0.25">
      <c r="A828274" s="242"/>
    </row>
    <row r="828275" spans="1:1" x14ac:dyDescent="0.25">
      <c r="A828275" s="242"/>
    </row>
    <row r="828276" spans="1:1" x14ac:dyDescent="0.25">
      <c r="A828276" s="242"/>
    </row>
    <row r="828277" spans="1:1" x14ac:dyDescent="0.25">
      <c r="A828277" s="242"/>
    </row>
    <row r="828278" spans="1:1" x14ac:dyDescent="0.25">
      <c r="A828278" s="242"/>
    </row>
    <row r="828279" spans="1:1" x14ac:dyDescent="0.25">
      <c r="A828279" s="242"/>
    </row>
    <row r="828280" spans="1:1" x14ac:dyDescent="0.25">
      <c r="A828280" s="242"/>
    </row>
    <row r="828281" spans="1:1" x14ac:dyDescent="0.25">
      <c r="A828281" s="242"/>
    </row>
    <row r="828282" spans="1:1" x14ac:dyDescent="0.25">
      <c r="A828282" s="242"/>
    </row>
    <row r="828283" spans="1:1" x14ac:dyDescent="0.25">
      <c r="A828283" s="242"/>
    </row>
    <row r="828284" spans="1:1" x14ac:dyDescent="0.25">
      <c r="A828284" s="242"/>
    </row>
    <row r="828285" spans="1:1" x14ac:dyDescent="0.25">
      <c r="A828285" s="242"/>
    </row>
    <row r="828286" spans="1:1" x14ac:dyDescent="0.25">
      <c r="A828286" s="242"/>
    </row>
    <row r="828287" spans="1:1" x14ac:dyDescent="0.25">
      <c r="A828287" s="242"/>
    </row>
    <row r="828288" spans="1:1" x14ac:dyDescent="0.25">
      <c r="A828288" s="242"/>
    </row>
    <row r="828289" spans="1:1" x14ac:dyDescent="0.25">
      <c r="A828289" s="242"/>
    </row>
    <row r="828290" spans="1:1" x14ac:dyDescent="0.25">
      <c r="A828290" s="242"/>
    </row>
    <row r="828291" spans="1:1" x14ac:dyDescent="0.25">
      <c r="A828291" s="242"/>
    </row>
    <row r="828292" spans="1:1" x14ac:dyDescent="0.25">
      <c r="A828292" s="242"/>
    </row>
    <row r="828293" spans="1:1" x14ac:dyDescent="0.25">
      <c r="A828293" s="242"/>
    </row>
    <row r="828294" spans="1:1" x14ac:dyDescent="0.25">
      <c r="A828294" s="242"/>
    </row>
    <row r="828295" spans="1:1" x14ac:dyDescent="0.25">
      <c r="A828295" s="242"/>
    </row>
    <row r="828296" spans="1:1" x14ac:dyDescent="0.25">
      <c r="A828296" s="242"/>
    </row>
    <row r="828297" spans="1:1" x14ac:dyDescent="0.25">
      <c r="A828297" s="242"/>
    </row>
    <row r="828298" spans="1:1" x14ac:dyDescent="0.25">
      <c r="A828298" s="242"/>
    </row>
    <row r="828299" spans="1:1" x14ac:dyDescent="0.25">
      <c r="A828299" s="242"/>
    </row>
    <row r="828300" spans="1:1" x14ac:dyDescent="0.25">
      <c r="A828300" s="242"/>
    </row>
    <row r="828301" spans="1:1" x14ac:dyDescent="0.25">
      <c r="A828301" s="242"/>
    </row>
    <row r="828302" spans="1:1" x14ac:dyDescent="0.25">
      <c r="A828302" s="242"/>
    </row>
    <row r="828303" spans="1:1" x14ac:dyDescent="0.25">
      <c r="A828303" s="242"/>
    </row>
    <row r="828304" spans="1:1" x14ac:dyDescent="0.25">
      <c r="A828304" s="242"/>
    </row>
    <row r="828305" spans="1:1" x14ac:dyDescent="0.25">
      <c r="A828305" s="242"/>
    </row>
    <row r="828306" spans="1:1" x14ac:dyDescent="0.25">
      <c r="A828306" s="242"/>
    </row>
    <row r="828307" spans="1:1" x14ac:dyDescent="0.25">
      <c r="A828307" s="242"/>
    </row>
    <row r="828308" spans="1:1" x14ac:dyDescent="0.25">
      <c r="A828308" s="242"/>
    </row>
    <row r="828309" spans="1:1" x14ac:dyDescent="0.25">
      <c r="A828309" s="242"/>
    </row>
    <row r="828310" spans="1:1" x14ac:dyDescent="0.25">
      <c r="A828310" s="242"/>
    </row>
    <row r="828311" spans="1:1" x14ac:dyDescent="0.25">
      <c r="A828311" s="242"/>
    </row>
    <row r="828312" spans="1:1" x14ac:dyDescent="0.25">
      <c r="A828312" s="242"/>
    </row>
    <row r="828313" spans="1:1" x14ac:dyDescent="0.25">
      <c r="A828313" s="242"/>
    </row>
    <row r="828314" spans="1:1" x14ac:dyDescent="0.25">
      <c r="A828314" s="242"/>
    </row>
    <row r="828315" spans="1:1" x14ac:dyDescent="0.25">
      <c r="A828315" s="242"/>
    </row>
    <row r="828316" spans="1:1" x14ac:dyDescent="0.25">
      <c r="A828316" s="242"/>
    </row>
    <row r="828317" spans="1:1" x14ac:dyDescent="0.25">
      <c r="A828317" s="242"/>
    </row>
    <row r="828318" spans="1:1" x14ac:dyDescent="0.25">
      <c r="A828318" s="242"/>
    </row>
    <row r="828319" spans="1:1" x14ac:dyDescent="0.25">
      <c r="A828319" s="242"/>
    </row>
    <row r="828320" spans="1:1" x14ac:dyDescent="0.25">
      <c r="A828320" s="242"/>
    </row>
    <row r="828321" spans="1:1" x14ac:dyDescent="0.25">
      <c r="A828321" s="242"/>
    </row>
    <row r="828322" spans="1:1" x14ac:dyDescent="0.25">
      <c r="A828322" s="242"/>
    </row>
    <row r="828323" spans="1:1" x14ac:dyDescent="0.25">
      <c r="A828323" s="242"/>
    </row>
    <row r="828324" spans="1:1" x14ac:dyDescent="0.25">
      <c r="A828324" s="242"/>
    </row>
    <row r="828325" spans="1:1" x14ac:dyDescent="0.25">
      <c r="A828325" s="242"/>
    </row>
    <row r="828326" spans="1:1" x14ac:dyDescent="0.25">
      <c r="A828326" s="242"/>
    </row>
    <row r="828327" spans="1:1" x14ac:dyDescent="0.25">
      <c r="A828327" s="242"/>
    </row>
    <row r="828328" spans="1:1" x14ac:dyDescent="0.25">
      <c r="A828328" s="242"/>
    </row>
    <row r="828329" spans="1:1" x14ac:dyDescent="0.25">
      <c r="A828329" s="242"/>
    </row>
    <row r="828330" spans="1:1" x14ac:dyDescent="0.25">
      <c r="A828330" s="242"/>
    </row>
    <row r="828331" spans="1:1" x14ac:dyDescent="0.25">
      <c r="A828331" s="242"/>
    </row>
    <row r="828332" spans="1:1" x14ac:dyDescent="0.25">
      <c r="A828332" s="242"/>
    </row>
    <row r="828333" spans="1:1" x14ac:dyDescent="0.25">
      <c r="A828333" s="242"/>
    </row>
    <row r="828334" spans="1:1" x14ac:dyDescent="0.25">
      <c r="A828334" s="242"/>
    </row>
    <row r="828335" spans="1:1" x14ac:dyDescent="0.25">
      <c r="A828335" s="242"/>
    </row>
    <row r="828336" spans="1:1" x14ac:dyDescent="0.25">
      <c r="A828336" s="242"/>
    </row>
    <row r="828337" spans="1:1" x14ac:dyDescent="0.25">
      <c r="A828337" s="242"/>
    </row>
    <row r="828338" spans="1:1" x14ac:dyDescent="0.25">
      <c r="A828338" s="242"/>
    </row>
    <row r="828339" spans="1:1" x14ac:dyDescent="0.25">
      <c r="A828339" s="242"/>
    </row>
    <row r="828340" spans="1:1" x14ac:dyDescent="0.25">
      <c r="A828340" s="242"/>
    </row>
    <row r="828341" spans="1:1" x14ac:dyDescent="0.25">
      <c r="A828341" s="242"/>
    </row>
    <row r="828342" spans="1:1" x14ac:dyDescent="0.25">
      <c r="A828342" s="242"/>
    </row>
    <row r="828343" spans="1:1" x14ac:dyDescent="0.25">
      <c r="A828343" s="242"/>
    </row>
    <row r="828344" spans="1:1" x14ac:dyDescent="0.25">
      <c r="A828344" s="242"/>
    </row>
    <row r="828345" spans="1:1" x14ac:dyDescent="0.25">
      <c r="A828345" s="242"/>
    </row>
    <row r="828346" spans="1:1" x14ac:dyDescent="0.25">
      <c r="A828346" s="242"/>
    </row>
    <row r="828347" spans="1:1" x14ac:dyDescent="0.25">
      <c r="A828347" s="242"/>
    </row>
    <row r="828348" spans="1:1" x14ac:dyDescent="0.25">
      <c r="A828348" s="242"/>
    </row>
    <row r="828349" spans="1:1" x14ac:dyDescent="0.25">
      <c r="A828349" s="242"/>
    </row>
    <row r="828350" spans="1:1" x14ac:dyDescent="0.25">
      <c r="A828350" s="242"/>
    </row>
    <row r="828351" spans="1:1" x14ac:dyDescent="0.25">
      <c r="A828351" s="242"/>
    </row>
    <row r="828352" spans="1:1" x14ac:dyDescent="0.25">
      <c r="A828352" s="242"/>
    </row>
    <row r="828353" spans="1:1" x14ac:dyDescent="0.25">
      <c r="A828353" s="242"/>
    </row>
    <row r="828354" spans="1:1" x14ac:dyDescent="0.25">
      <c r="A828354" s="242"/>
    </row>
    <row r="828355" spans="1:1" x14ac:dyDescent="0.25">
      <c r="A828355" s="242"/>
    </row>
    <row r="828356" spans="1:1" x14ac:dyDescent="0.25">
      <c r="A828356" s="242"/>
    </row>
    <row r="828357" spans="1:1" x14ac:dyDescent="0.25">
      <c r="A828357" s="242"/>
    </row>
    <row r="828358" spans="1:1" x14ac:dyDescent="0.25">
      <c r="A828358" s="242"/>
    </row>
    <row r="828359" spans="1:1" x14ac:dyDescent="0.25">
      <c r="A828359" s="242"/>
    </row>
    <row r="828360" spans="1:1" x14ac:dyDescent="0.25">
      <c r="A828360" s="242"/>
    </row>
    <row r="828361" spans="1:1" x14ac:dyDescent="0.25">
      <c r="A828361" s="242"/>
    </row>
    <row r="828362" spans="1:1" x14ac:dyDescent="0.25">
      <c r="A828362" s="242"/>
    </row>
    <row r="828363" spans="1:1" x14ac:dyDescent="0.25">
      <c r="A828363" s="242"/>
    </row>
    <row r="828364" spans="1:1" x14ac:dyDescent="0.25">
      <c r="A828364" s="242"/>
    </row>
    <row r="828365" spans="1:1" x14ac:dyDescent="0.25">
      <c r="A828365" s="242"/>
    </row>
    <row r="828366" spans="1:1" x14ac:dyDescent="0.25">
      <c r="A828366" s="242"/>
    </row>
    <row r="828367" spans="1:1" x14ac:dyDescent="0.25">
      <c r="A828367" s="242"/>
    </row>
    <row r="828368" spans="1:1" x14ac:dyDescent="0.25">
      <c r="A828368" s="242"/>
    </row>
    <row r="828369" spans="1:1" x14ac:dyDescent="0.25">
      <c r="A828369" s="242"/>
    </row>
    <row r="828370" spans="1:1" x14ac:dyDescent="0.25">
      <c r="A828370" s="242"/>
    </row>
    <row r="828371" spans="1:1" x14ac:dyDescent="0.25">
      <c r="A828371" s="242"/>
    </row>
    <row r="828372" spans="1:1" x14ac:dyDescent="0.25">
      <c r="A828372" s="242"/>
    </row>
    <row r="828373" spans="1:1" x14ac:dyDescent="0.25">
      <c r="A828373" s="242"/>
    </row>
    <row r="828374" spans="1:1" x14ac:dyDescent="0.25">
      <c r="A828374" s="242"/>
    </row>
    <row r="828375" spans="1:1" x14ac:dyDescent="0.25">
      <c r="A828375" s="242"/>
    </row>
    <row r="828376" spans="1:1" x14ac:dyDescent="0.25">
      <c r="A828376" s="242"/>
    </row>
    <row r="828377" spans="1:1" x14ac:dyDescent="0.25">
      <c r="A828377" s="242"/>
    </row>
    <row r="828378" spans="1:1" x14ac:dyDescent="0.25">
      <c r="A828378" s="242"/>
    </row>
    <row r="828379" spans="1:1" x14ac:dyDescent="0.25">
      <c r="A828379" s="242"/>
    </row>
    <row r="828380" spans="1:1" x14ac:dyDescent="0.25">
      <c r="A828380" s="242"/>
    </row>
    <row r="828381" spans="1:1" x14ac:dyDescent="0.25">
      <c r="A828381" s="242"/>
    </row>
    <row r="828382" spans="1:1" x14ac:dyDescent="0.25">
      <c r="A828382" s="242"/>
    </row>
    <row r="828383" spans="1:1" x14ac:dyDescent="0.25">
      <c r="A828383" s="242"/>
    </row>
    <row r="828384" spans="1:1" x14ac:dyDescent="0.25">
      <c r="A828384" s="242"/>
    </row>
    <row r="828385" spans="1:1" x14ac:dyDescent="0.25">
      <c r="A828385" s="242"/>
    </row>
    <row r="828386" spans="1:1" x14ac:dyDescent="0.25">
      <c r="A828386" s="242"/>
    </row>
    <row r="828387" spans="1:1" x14ac:dyDescent="0.25">
      <c r="A828387" s="242"/>
    </row>
    <row r="828388" spans="1:1" x14ac:dyDescent="0.25">
      <c r="A828388" s="242"/>
    </row>
    <row r="828389" spans="1:1" x14ac:dyDescent="0.25">
      <c r="A828389" s="242"/>
    </row>
    <row r="828390" spans="1:1" x14ac:dyDescent="0.25">
      <c r="A828390" s="242"/>
    </row>
    <row r="828391" spans="1:1" x14ac:dyDescent="0.25">
      <c r="A828391" s="242"/>
    </row>
    <row r="828392" spans="1:1" x14ac:dyDescent="0.25">
      <c r="A828392" s="242"/>
    </row>
    <row r="828393" spans="1:1" x14ac:dyDescent="0.25">
      <c r="A828393" s="242"/>
    </row>
    <row r="828394" spans="1:1" x14ac:dyDescent="0.25">
      <c r="A828394" s="242"/>
    </row>
    <row r="828395" spans="1:1" x14ac:dyDescent="0.25">
      <c r="A828395" s="242"/>
    </row>
    <row r="828396" spans="1:1" x14ac:dyDescent="0.25">
      <c r="A828396" s="242"/>
    </row>
    <row r="828397" spans="1:1" x14ac:dyDescent="0.25">
      <c r="A828397" s="242"/>
    </row>
    <row r="828398" spans="1:1" x14ac:dyDescent="0.25">
      <c r="A828398" s="242"/>
    </row>
    <row r="828399" spans="1:1" x14ac:dyDescent="0.25">
      <c r="A828399" s="242"/>
    </row>
    <row r="828400" spans="1:1" x14ac:dyDescent="0.25">
      <c r="A828400" s="242"/>
    </row>
    <row r="828401" spans="1:1" x14ac:dyDescent="0.25">
      <c r="A828401" s="242"/>
    </row>
    <row r="828402" spans="1:1" x14ac:dyDescent="0.25">
      <c r="A828402" s="242"/>
    </row>
    <row r="828403" spans="1:1" x14ac:dyDescent="0.25">
      <c r="A828403" s="242"/>
    </row>
    <row r="828404" spans="1:1" x14ac:dyDescent="0.25">
      <c r="A828404" s="242"/>
    </row>
    <row r="828405" spans="1:1" x14ac:dyDescent="0.25">
      <c r="A828405" s="242"/>
    </row>
    <row r="828406" spans="1:1" x14ac:dyDescent="0.25">
      <c r="A828406" s="242"/>
    </row>
    <row r="828407" spans="1:1" x14ac:dyDescent="0.25">
      <c r="A828407" s="242"/>
    </row>
    <row r="828408" spans="1:1" x14ac:dyDescent="0.25">
      <c r="A828408" s="242"/>
    </row>
    <row r="828409" spans="1:1" x14ac:dyDescent="0.25">
      <c r="A828409" s="242"/>
    </row>
    <row r="828410" spans="1:1" x14ac:dyDescent="0.25">
      <c r="A828410" s="242"/>
    </row>
    <row r="828411" spans="1:1" x14ac:dyDescent="0.25">
      <c r="A828411" s="242"/>
    </row>
    <row r="828412" spans="1:1" x14ac:dyDescent="0.25">
      <c r="A828412" s="242"/>
    </row>
    <row r="828413" spans="1:1" x14ac:dyDescent="0.25">
      <c r="A828413" s="242"/>
    </row>
    <row r="828414" spans="1:1" x14ac:dyDescent="0.25">
      <c r="A828414" s="242"/>
    </row>
    <row r="828415" spans="1:1" x14ac:dyDescent="0.25">
      <c r="A828415" s="242"/>
    </row>
    <row r="828416" spans="1:1" x14ac:dyDescent="0.25">
      <c r="A828416" s="242"/>
    </row>
    <row r="828417" spans="1:1" x14ac:dyDescent="0.25">
      <c r="A828417" s="242"/>
    </row>
    <row r="828418" spans="1:1" x14ac:dyDescent="0.25">
      <c r="A828418" s="242"/>
    </row>
    <row r="828419" spans="1:1" x14ac:dyDescent="0.25">
      <c r="A828419" s="242"/>
    </row>
    <row r="828420" spans="1:1" x14ac:dyDescent="0.25">
      <c r="A828420" s="242"/>
    </row>
    <row r="828421" spans="1:1" x14ac:dyDescent="0.25">
      <c r="A828421" s="242"/>
    </row>
    <row r="828422" spans="1:1" x14ac:dyDescent="0.25">
      <c r="A828422" s="242"/>
    </row>
    <row r="828423" spans="1:1" x14ac:dyDescent="0.25">
      <c r="A828423" s="242"/>
    </row>
    <row r="828424" spans="1:1" x14ac:dyDescent="0.25">
      <c r="A828424" s="242"/>
    </row>
    <row r="828425" spans="1:1" x14ac:dyDescent="0.25">
      <c r="A828425" s="242"/>
    </row>
    <row r="828426" spans="1:1" x14ac:dyDescent="0.25">
      <c r="A828426" s="242"/>
    </row>
    <row r="828427" spans="1:1" x14ac:dyDescent="0.25">
      <c r="A828427" s="242"/>
    </row>
    <row r="828428" spans="1:1" x14ac:dyDescent="0.25">
      <c r="A828428" s="242"/>
    </row>
    <row r="828429" spans="1:1" x14ac:dyDescent="0.25">
      <c r="A828429" s="242"/>
    </row>
    <row r="828430" spans="1:1" x14ac:dyDescent="0.25">
      <c r="A828430" s="242"/>
    </row>
    <row r="828431" spans="1:1" x14ac:dyDescent="0.25">
      <c r="A828431" s="242"/>
    </row>
    <row r="828432" spans="1:1" x14ac:dyDescent="0.25">
      <c r="A828432" s="242"/>
    </row>
    <row r="828433" spans="1:1" x14ac:dyDescent="0.25">
      <c r="A828433" s="242"/>
    </row>
    <row r="828434" spans="1:1" x14ac:dyDescent="0.25">
      <c r="A828434" s="242"/>
    </row>
    <row r="828435" spans="1:1" x14ac:dyDescent="0.25">
      <c r="A828435" s="242"/>
    </row>
    <row r="828436" spans="1:1" x14ac:dyDescent="0.25">
      <c r="A828436" s="242"/>
    </row>
    <row r="828437" spans="1:1" x14ac:dyDescent="0.25">
      <c r="A828437" s="242"/>
    </row>
    <row r="828438" spans="1:1" x14ac:dyDescent="0.25">
      <c r="A828438" s="242"/>
    </row>
    <row r="828439" spans="1:1" x14ac:dyDescent="0.25">
      <c r="A828439" s="242"/>
    </row>
    <row r="828440" spans="1:1" x14ac:dyDescent="0.25">
      <c r="A828440" s="242"/>
    </row>
    <row r="828441" spans="1:1" x14ac:dyDescent="0.25">
      <c r="A828441" s="242"/>
    </row>
    <row r="828442" spans="1:1" x14ac:dyDescent="0.25">
      <c r="A828442" s="242"/>
    </row>
    <row r="828443" spans="1:1" x14ac:dyDescent="0.25">
      <c r="A828443" s="242"/>
    </row>
    <row r="828444" spans="1:1" x14ac:dyDescent="0.25">
      <c r="A828444" s="242"/>
    </row>
    <row r="828445" spans="1:1" x14ac:dyDescent="0.25">
      <c r="A828445" s="242"/>
    </row>
    <row r="828446" spans="1:1" x14ac:dyDescent="0.25">
      <c r="A828446" s="242"/>
    </row>
    <row r="828447" spans="1:1" x14ac:dyDescent="0.25">
      <c r="A828447" s="242"/>
    </row>
    <row r="828448" spans="1:1" x14ac:dyDescent="0.25">
      <c r="A828448" s="242"/>
    </row>
    <row r="828449" spans="1:1" x14ac:dyDescent="0.25">
      <c r="A828449" s="242"/>
    </row>
    <row r="828450" spans="1:1" x14ac:dyDescent="0.25">
      <c r="A828450" s="242"/>
    </row>
    <row r="828451" spans="1:1" x14ac:dyDescent="0.25">
      <c r="A828451" s="242"/>
    </row>
    <row r="828452" spans="1:1" x14ac:dyDescent="0.25">
      <c r="A828452" s="242"/>
    </row>
    <row r="828453" spans="1:1" x14ac:dyDescent="0.25">
      <c r="A828453" s="242"/>
    </row>
    <row r="828454" spans="1:1" x14ac:dyDescent="0.25">
      <c r="A828454" s="242"/>
    </row>
    <row r="828455" spans="1:1" x14ac:dyDescent="0.25">
      <c r="A828455" s="242"/>
    </row>
    <row r="828456" spans="1:1" x14ac:dyDescent="0.25">
      <c r="A828456" s="242"/>
    </row>
    <row r="828457" spans="1:1" x14ac:dyDescent="0.25">
      <c r="A828457" s="242"/>
    </row>
    <row r="828458" spans="1:1" x14ac:dyDescent="0.25">
      <c r="A828458" s="242"/>
    </row>
    <row r="828459" spans="1:1" x14ac:dyDescent="0.25">
      <c r="A828459" s="242"/>
    </row>
    <row r="828460" spans="1:1" x14ac:dyDescent="0.25">
      <c r="A828460" s="242"/>
    </row>
    <row r="828461" spans="1:1" x14ac:dyDescent="0.25">
      <c r="A828461" s="242"/>
    </row>
    <row r="828462" spans="1:1" x14ac:dyDescent="0.25">
      <c r="A828462" s="242"/>
    </row>
    <row r="828463" spans="1:1" x14ac:dyDescent="0.25">
      <c r="A828463" s="242"/>
    </row>
    <row r="828464" spans="1:1" x14ac:dyDescent="0.25">
      <c r="A828464" s="242"/>
    </row>
    <row r="828465" spans="1:1" x14ac:dyDescent="0.25">
      <c r="A828465" s="242"/>
    </row>
    <row r="828466" spans="1:1" x14ac:dyDescent="0.25">
      <c r="A828466" s="242"/>
    </row>
    <row r="828467" spans="1:1" x14ac:dyDescent="0.25">
      <c r="A828467" s="242"/>
    </row>
    <row r="828468" spans="1:1" x14ac:dyDescent="0.25">
      <c r="A828468" s="242"/>
    </row>
    <row r="828469" spans="1:1" x14ac:dyDescent="0.25">
      <c r="A828469" s="242"/>
    </row>
    <row r="828470" spans="1:1" x14ac:dyDescent="0.25">
      <c r="A828470" s="242"/>
    </row>
    <row r="828471" spans="1:1" x14ac:dyDescent="0.25">
      <c r="A828471" s="242"/>
    </row>
    <row r="828472" spans="1:1" x14ac:dyDescent="0.25">
      <c r="A828472" s="242"/>
    </row>
    <row r="828473" spans="1:1" x14ac:dyDescent="0.25">
      <c r="A828473" s="242"/>
    </row>
    <row r="828474" spans="1:1" x14ac:dyDescent="0.25">
      <c r="A828474" s="242"/>
    </row>
    <row r="828475" spans="1:1" x14ac:dyDescent="0.25">
      <c r="A828475" s="242"/>
    </row>
    <row r="828476" spans="1:1" x14ac:dyDescent="0.25">
      <c r="A828476" s="242"/>
    </row>
    <row r="828477" spans="1:1" x14ac:dyDescent="0.25">
      <c r="A828477" s="242"/>
    </row>
    <row r="828478" spans="1:1" x14ac:dyDescent="0.25">
      <c r="A828478" s="242"/>
    </row>
    <row r="828479" spans="1:1" x14ac:dyDescent="0.25">
      <c r="A828479" s="242"/>
    </row>
    <row r="828480" spans="1:1" x14ac:dyDescent="0.25">
      <c r="A828480" s="242"/>
    </row>
    <row r="828481" spans="1:1" x14ac:dyDescent="0.25">
      <c r="A828481" s="242"/>
    </row>
    <row r="828482" spans="1:1" x14ac:dyDescent="0.25">
      <c r="A828482" s="242"/>
    </row>
    <row r="828483" spans="1:1" x14ac:dyDescent="0.25">
      <c r="A828483" s="242"/>
    </row>
    <row r="828484" spans="1:1" x14ac:dyDescent="0.25">
      <c r="A828484" s="242"/>
    </row>
    <row r="828485" spans="1:1" x14ac:dyDescent="0.25">
      <c r="A828485" s="242"/>
    </row>
    <row r="828486" spans="1:1" x14ac:dyDescent="0.25">
      <c r="A828486" s="242"/>
    </row>
    <row r="828487" spans="1:1" x14ac:dyDescent="0.25">
      <c r="A828487" s="242"/>
    </row>
    <row r="828488" spans="1:1" x14ac:dyDescent="0.25">
      <c r="A828488" s="242"/>
    </row>
    <row r="828489" spans="1:1" x14ac:dyDescent="0.25">
      <c r="A828489" s="242"/>
    </row>
    <row r="828490" spans="1:1" x14ac:dyDescent="0.25">
      <c r="A828490" s="242"/>
    </row>
    <row r="828491" spans="1:1" x14ac:dyDescent="0.25">
      <c r="A828491" s="242"/>
    </row>
    <row r="828492" spans="1:1" x14ac:dyDescent="0.25">
      <c r="A828492" s="242"/>
    </row>
    <row r="828493" spans="1:1" x14ac:dyDescent="0.25">
      <c r="A828493" s="242"/>
    </row>
    <row r="828494" spans="1:1" x14ac:dyDescent="0.25">
      <c r="A828494" s="242"/>
    </row>
    <row r="828495" spans="1:1" x14ac:dyDescent="0.25">
      <c r="A828495" s="242"/>
    </row>
    <row r="828496" spans="1:1" x14ac:dyDescent="0.25">
      <c r="A828496" s="242"/>
    </row>
    <row r="828497" spans="1:1" x14ac:dyDescent="0.25">
      <c r="A828497" s="242"/>
    </row>
    <row r="828498" spans="1:1" x14ac:dyDescent="0.25">
      <c r="A828498" s="242"/>
    </row>
    <row r="828499" spans="1:1" x14ac:dyDescent="0.25">
      <c r="A828499" s="242"/>
    </row>
    <row r="828500" spans="1:1" x14ac:dyDescent="0.25">
      <c r="A828500" s="242"/>
    </row>
    <row r="828501" spans="1:1" x14ac:dyDescent="0.25">
      <c r="A828501" s="242"/>
    </row>
    <row r="828502" spans="1:1" x14ac:dyDescent="0.25">
      <c r="A828502" s="242"/>
    </row>
    <row r="828503" spans="1:1" x14ac:dyDescent="0.25">
      <c r="A828503" s="242"/>
    </row>
    <row r="828504" spans="1:1" x14ac:dyDescent="0.25">
      <c r="A828504" s="242"/>
    </row>
    <row r="828505" spans="1:1" x14ac:dyDescent="0.25">
      <c r="A828505" s="242"/>
    </row>
    <row r="828506" spans="1:1" x14ac:dyDescent="0.25">
      <c r="A828506" s="242"/>
    </row>
    <row r="828507" spans="1:1" x14ac:dyDescent="0.25">
      <c r="A828507" s="242"/>
    </row>
    <row r="828508" spans="1:1" x14ac:dyDescent="0.25">
      <c r="A828508" s="242"/>
    </row>
    <row r="828509" spans="1:1" x14ac:dyDescent="0.25">
      <c r="A828509" s="242"/>
    </row>
    <row r="828510" spans="1:1" x14ac:dyDescent="0.25">
      <c r="A828510" s="242"/>
    </row>
    <row r="828511" spans="1:1" x14ac:dyDescent="0.25">
      <c r="A828511" s="242"/>
    </row>
    <row r="828512" spans="1:1" x14ac:dyDescent="0.25">
      <c r="A828512" s="242"/>
    </row>
    <row r="828513" spans="1:1" x14ac:dyDescent="0.25">
      <c r="A828513" s="242"/>
    </row>
    <row r="828514" spans="1:1" x14ac:dyDescent="0.25">
      <c r="A828514" s="242"/>
    </row>
    <row r="828515" spans="1:1" x14ac:dyDescent="0.25">
      <c r="A828515" s="242"/>
    </row>
    <row r="828516" spans="1:1" x14ac:dyDescent="0.25">
      <c r="A828516" s="242"/>
    </row>
    <row r="828517" spans="1:1" x14ac:dyDescent="0.25">
      <c r="A828517" s="242"/>
    </row>
    <row r="828518" spans="1:1" x14ac:dyDescent="0.25">
      <c r="A828518" s="242"/>
    </row>
    <row r="828519" spans="1:1" x14ac:dyDescent="0.25">
      <c r="A828519" s="242"/>
    </row>
    <row r="828520" spans="1:1" x14ac:dyDescent="0.25">
      <c r="A828520" s="242"/>
    </row>
    <row r="828521" spans="1:1" x14ac:dyDescent="0.25">
      <c r="A828521" s="242"/>
    </row>
    <row r="828522" spans="1:1" x14ac:dyDescent="0.25">
      <c r="A828522" s="242"/>
    </row>
    <row r="828523" spans="1:1" x14ac:dyDescent="0.25">
      <c r="A828523" s="242"/>
    </row>
    <row r="828524" spans="1:1" x14ac:dyDescent="0.25">
      <c r="A828524" s="242"/>
    </row>
    <row r="828525" spans="1:1" x14ac:dyDescent="0.25">
      <c r="A828525" s="242"/>
    </row>
    <row r="828526" spans="1:1" x14ac:dyDescent="0.25">
      <c r="A828526" s="242"/>
    </row>
    <row r="828527" spans="1:1" x14ac:dyDescent="0.25">
      <c r="A828527" s="242"/>
    </row>
    <row r="828528" spans="1:1" x14ac:dyDescent="0.25">
      <c r="A828528" s="242"/>
    </row>
    <row r="828529" spans="1:1" x14ac:dyDescent="0.25">
      <c r="A828529" s="242"/>
    </row>
    <row r="828530" spans="1:1" x14ac:dyDescent="0.25">
      <c r="A828530" s="242"/>
    </row>
    <row r="828531" spans="1:1" x14ac:dyDescent="0.25">
      <c r="A828531" s="242"/>
    </row>
    <row r="828532" spans="1:1" x14ac:dyDescent="0.25">
      <c r="A828532" s="242"/>
    </row>
    <row r="828533" spans="1:1" x14ac:dyDescent="0.25">
      <c r="A828533" s="242"/>
    </row>
    <row r="828534" spans="1:1" x14ac:dyDescent="0.25">
      <c r="A828534" s="242"/>
    </row>
    <row r="828535" spans="1:1" x14ac:dyDescent="0.25">
      <c r="A828535" s="242"/>
    </row>
    <row r="828536" spans="1:1" x14ac:dyDescent="0.25">
      <c r="A828536" s="242"/>
    </row>
    <row r="828537" spans="1:1" x14ac:dyDescent="0.25">
      <c r="A828537" s="242"/>
    </row>
    <row r="828538" spans="1:1" x14ac:dyDescent="0.25">
      <c r="A828538" s="242"/>
    </row>
    <row r="828539" spans="1:1" x14ac:dyDescent="0.25">
      <c r="A828539" s="242"/>
    </row>
    <row r="828540" spans="1:1" x14ac:dyDescent="0.25">
      <c r="A828540" s="242"/>
    </row>
    <row r="828541" spans="1:1" x14ac:dyDescent="0.25">
      <c r="A828541" s="242"/>
    </row>
    <row r="828542" spans="1:1" x14ac:dyDescent="0.25">
      <c r="A828542" s="242"/>
    </row>
    <row r="828543" spans="1:1" x14ac:dyDescent="0.25">
      <c r="A828543" s="242"/>
    </row>
    <row r="828544" spans="1:1" x14ac:dyDescent="0.25">
      <c r="A828544" s="242"/>
    </row>
    <row r="828545" spans="1:1" x14ac:dyDescent="0.25">
      <c r="A828545" s="242"/>
    </row>
    <row r="828546" spans="1:1" x14ac:dyDescent="0.25">
      <c r="A828546" s="242"/>
    </row>
    <row r="828547" spans="1:1" x14ac:dyDescent="0.25">
      <c r="A828547" s="242"/>
    </row>
    <row r="828548" spans="1:1" x14ac:dyDescent="0.25">
      <c r="A828548" s="242"/>
    </row>
    <row r="828549" spans="1:1" x14ac:dyDescent="0.25">
      <c r="A828549" s="242"/>
    </row>
    <row r="828550" spans="1:1" x14ac:dyDescent="0.25">
      <c r="A828550" s="242"/>
    </row>
    <row r="828551" spans="1:1" x14ac:dyDescent="0.25">
      <c r="A828551" s="242"/>
    </row>
    <row r="828552" spans="1:1" x14ac:dyDescent="0.25">
      <c r="A828552" s="242"/>
    </row>
    <row r="828553" spans="1:1" x14ac:dyDescent="0.25">
      <c r="A828553" s="242"/>
    </row>
    <row r="828554" spans="1:1" x14ac:dyDescent="0.25">
      <c r="A828554" s="242"/>
    </row>
    <row r="828555" spans="1:1" x14ac:dyDescent="0.25">
      <c r="A828555" s="242"/>
    </row>
    <row r="828556" spans="1:1" x14ac:dyDescent="0.25">
      <c r="A828556" s="242"/>
    </row>
    <row r="828557" spans="1:1" x14ac:dyDescent="0.25">
      <c r="A828557" s="242"/>
    </row>
    <row r="828558" spans="1:1" x14ac:dyDescent="0.25">
      <c r="A828558" s="242"/>
    </row>
    <row r="828559" spans="1:1" x14ac:dyDescent="0.25">
      <c r="A828559" s="242"/>
    </row>
    <row r="828560" spans="1:1" x14ac:dyDescent="0.25">
      <c r="A828560" s="242"/>
    </row>
    <row r="828561" spans="1:1" x14ac:dyDescent="0.25">
      <c r="A828561" s="242"/>
    </row>
    <row r="828562" spans="1:1" x14ac:dyDescent="0.25">
      <c r="A828562" s="242"/>
    </row>
    <row r="828563" spans="1:1" x14ac:dyDescent="0.25">
      <c r="A828563" s="242"/>
    </row>
    <row r="828564" spans="1:1" x14ac:dyDescent="0.25">
      <c r="A828564" s="242"/>
    </row>
    <row r="828565" spans="1:1" x14ac:dyDescent="0.25">
      <c r="A828565" s="242"/>
    </row>
    <row r="828566" spans="1:1" x14ac:dyDescent="0.25">
      <c r="A828566" s="242"/>
    </row>
    <row r="828567" spans="1:1" x14ac:dyDescent="0.25">
      <c r="A828567" s="242"/>
    </row>
    <row r="828568" spans="1:1" x14ac:dyDescent="0.25">
      <c r="A828568" s="242"/>
    </row>
    <row r="828569" spans="1:1" x14ac:dyDescent="0.25">
      <c r="A828569" s="242"/>
    </row>
    <row r="828570" spans="1:1" x14ac:dyDescent="0.25">
      <c r="A828570" s="242"/>
    </row>
    <row r="828571" spans="1:1" x14ac:dyDescent="0.25">
      <c r="A828571" s="242"/>
    </row>
    <row r="828572" spans="1:1" x14ac:dyDescent="0.25">
      <c r="A828572" s="242"/>
    </row>
    <row r="828573" spans="1:1" x14ac:dyDescent="0.25">
      <c r="A828573" s="242"/>
    </row>
    <row r="828574" spans="1:1" x14ac:dyDescent="0.25">
      <c r="A828574" s="242"/>
    </row>
    <row r="828575" spans="1:1" x14ac:dyDescent="0.25">
      <c r="A828575" s="242"/>
    </row>
    <row r="828576" spans="1:1" x14ac:dyDescent="0.25">
      <c r="A828576" s="242"/>
    </row>
    <row r="828577" spans="1:1" x14ac:dyDescent="0.25">
      <c r="A828577" s="242"/>
    </row>
    <row r="828578" spans="1:1" x14ac:dyDescent="0.25">
      <c r="A828578" s="242"/>
    </row>
    <row r="828579" spans="1:1" x14ac:dyDescent="0.25">
      <c r="A828579" s="242"/>
    </row>
    <row r="828580" spans="1:1" x14ac:dyDescent="0.25">
      <c r="A828580" s="242"/>
    </row>
    <row r="828581" spans="1:1" x14ac:dyDescent="0.25">
      <c r="A828581" s="242"/>
    </row>
    <row r="828582" spans="1:1" x14ac:dyDescent="0.25">
      <c r="A828582" s="242"/>
    </row>
    <row r="828583" spans="1:1" x14ac:dyDescent="0.25">
      <c r="A828583" s="242"/>
    </row>
    <row r="828584" spans="1:1" x14ac:dyDescent="0.25">
      <c r="A828584" s="242"/>
    </row>
    <row r="828585" spans="1:1" x14ac:dyDescent="0.25">
      <c r="A828585" s="242"/>
    </row>
    <row r="828586" spans="1:1" x14ac:dyDescent="0.25">
      <c r="A828586" s="242"/>
    </row>
    <row r="828587" spans="1:1" x14ac:dyDescent="0.25">
      <c r="A828587" s="242"/>
    </row>
    <row r="828588" spans="1:1" x14ac:dyDescent="0.25">
      <c r="A828588" s="242"/>
    </row>
    <row r="828589" spans="1:1" x14ac:dyDescent="0.25">
      <c r="A828589" s="242"/>
    </row>
    <row r="828590" spans="1:1" x14ac:dyDescent="0.25">
      <c r="A828590" s="242"/>
    </row>
    <row r="828591" spans="1:1" x14ac:dyDescent="0.25">
      <c r="A828591" s="242"/>
    </row>
    <row r="828592" spans="1:1" x14ac:dyDescent="0.25">
      <c r="A828592" s="242"/>
    </row>
    <row r="828593" spans="1:1" x14ac:dyDescent="0.25">
      <c r="A828593" s="242"/>
    </row>
    <row r="828594" spans="1:1" x14ac:dyDescent="0.25">
      <c r="A828594" s="242"/>
    </row>
    <row r="828595" spans="1:1" x14ac:dyDescent="0.25">
      <c r="A828595" s="242"/>
    </row>
    <row r="828596" spans="1:1" x14ac:dyDescent="0.25">
      <c r="A828596" s="242"/>
    </row>
    <row r="828597" spans="1:1" x14ac:dyDescent="0.25">
      <c r="A828597" s="242"/>
    </row>
    <row r="828598" spans="1:1" x14ac:dyDescent="0.25">
      <c r="A828598" s="242"/>
    </row>
    <row r="828599" spans="1:1" x14ac:dyDescent="0.25">
      <c r="A828599" s="242"/>
    </row>
    <row r="828600" spans="1:1" x14ac:dyDescent="0.25">
      <c r="A828600" s="242"/>
    </row>
    <row r="828601" spans="1:1" x14ac:dyDescent="0.25">
      <c r="A828601" s="242"/>
    </row>
    <row r="828602" spans="1:1" x14ac:dyDescent="0.25">
      <c r="A828602" s="242"/>
    </row>
    <row r="828603" spans="1:1" x14ac:dyDescent="0.25">
      <c r="A828603" s="242"/>
    </row>
    <row r="828604" spans="1:1" x14ac:dyDescent="0.25">
      <c r="A828604" s="242"/>
    </row>
    <row r="828605" spans="1:1" x14ac:dyDescent="0.25">
      <c r="A828605" s="242"/>
    </row>
    <row r="828606" spans="1:1" x14ac:dyDescent="0.25">
      <c r="A828606" s="242"/>
    </row>
    <row r="828607" spans="1:1" x14ac:dyDescent="0.25">
      <c r="A828607" s="242"/>
    </row>
    <row r="828608" spans="1:1" x14ac:dyDescent="0.25">
      <c r="A828608" s="242"/>
    </row>
    <row r="828609" spans="1:1" x14ac:dyDescent="0.25">
      <c r="A828609" s="242"/>
    </row>
    <row r="828610" spans="1:1" x14ac:dyDescent="0.25">
      <c r="A828610" s="242"/>
    </row>
    <row r="828611" spans="1:1" x14ac:dyDescent="0.25">
      <c r="A828611" s="242"/>
    </row>
    <row r="828612" spans="1:1" x14ac:dyDescent="0.25">
      <c r="A828612" s="242"/>
    </row>
    <row r="828613" spans="1:1" x14ac:dyDescent="0.25">
      <c r="A828613" s="242"/>
    </row>
    <row r="828614" spans="1:1" x14ac:dyDescent="0.25">
      <c r="A828614" s="242"/>
    </row>
    <row r="828615" spans="1:1" x14ac:dyDescent="0.25">
      <c r="A828615" s="242"/>
    </row>
    <row r="828616" spans="1:1" x14ac:dyDescent="0.25">
      <c r="A828616" s="242"/>
    </row>
    <row r="828617" spans="1:1" x14ac:dyDescent="0.25">
      <c r="A828617" s="242"/>
    </row>
    <row r="828618" spans="1:1" x14ac:dyDescent="0.25">
      <c r="A828618" s="242"/>
    </row>
    <row r="828619" spans="1:1" x14ac:dyDescent="0.25">
      <c r="A828619" s="242"/>
    </row>
    <row r="828620" spans="1:1" x14ac:dyDescent="0.25">
      <c r="A828620" s="242"/>
    </row>
    <row r="828621" spans="1:1" x14ac:dyDescent="0.25">
      <c r="A828621" s="242"/>
    </row>
    <row r="828622" spans="1:1" x14ac:dyDescent="0.25">
      <c r="A828622" s="242"/>
    </row>
    <row r="828623" spans="1:1" x14ac:dyDescent="0.25">
      <c r="A828623" s="242"/>
    </row>
    <row r="828624" spans="1:1" x14ac:dyDescent="0.25">
      <c r="A828624" s="242"/>
    </row>
    <row r="828625" spans="1:1" x14ac:dyDescent="0.25">
      <c r="A828625" s="242"/>
    </row>
    <row r="828626" spans="1:1" x14ac:dyDescent="0.25">
      <c r="A828626" s="242"/>
    </row>
    <row r="828627" spans="1:1" x14ac:dyDescent="0.25">
      <c r="A828627" s="242"/>
    </row>
    <row r="828628" spans="1:1" x14ac:dyDescent="0.25">
      <c r="A828628" s="242"/>
    </row>
    <row r="828629" spans="1:1" x14ac:dyDescent="0.25">
      <c r="A828629" s="242"/>
    </row>
    <row r="828630" spans="1:1" x14ac:dyDescent="0.25">
      <c r="A828630" s="242"/>
    </row>
    <row r="828631" spans="1:1" x14ac:dyDescent="0.25">
      <c r="A828631" s="242"/>
    </row>
    <row r="828632" spans="1:1" x14ac:dyDescent="0.25">
      <c r="A828632" s="242"/>
    </row>
    <row r="828633" spans="1:1" x14ac:dyDescent="0.25">
      <c r="A828633" s="242"/>
    </row>
    <row r="828634" spans="1:1" x14ac:dyDescent="0.25">
      <c r="A828634" s="242"/>
    </row>
    <row r="828635" spans="1:1" x14ac:dyDescent="0.25">
      <c r="A828635" s="242"/>
    </row>
    <row r="828636" spans="1:1" x14ac:dyDescent="0.25">
      <c r="A828636" s="242"/>
    </row>
    <row r="828637" spans="1:1" x14ac:dyDescent="0.25">
      <c r="A828637" s="242"/>
    </row>
    <row r="828638" spans="1:1" x14ac:dyDescent="0.25">
      <c r="A828638" s="242"/>
    </row>
    <row r="828639" spans="1:1" x14ac:dyDescent="0.25">
      <c r="A828639" s="242"/>
    </row>
    <row r="828640" spans="1:1" x14ac:dyDescent="0.25">
      <c r="A828640" s="242"/>
    </row>
    <row r="828641" spans="1:1" x14ac:dyDescent="0.25">
      <c r="A828641" s="242"/>
    </row>
    <row r="828642" spans="1:1" x14ac:dyDescent="0.25">
      <c r="A828642" s="242"/>
    </row>
    <row r="828643" spans="1:1" x14ac:dyDescent="0.25">
      <c r="A828643" s="242"/>
    </row>
    <row r="828644" spans="1:1" x14ac:dyDescent="0.25">
      <c r="A828644" s="242"/>
    </row>
    <row r="828645" spans="1:1" x14ac:dyDescent="0.25">
      <c r="A828645" s="242"/>
    </row>
    <row r="828646" spans="1:1" x14ac:dyDescent="0.25">
      <c r="A828646" s="242"/>
    </row>
    <row r="828647" spans="1:1" x14ac:dyDescent="0.25">
      <c r="A828647" s="242"/>
    </row>
    <row r="828648" spans="1:1" x14ac:dyDescent="0.25">
      <c r="A828648" s="242"/>
    </row>
    <row r="828649" spans="1:1" x14ac:dyDescent="0.25">
      <c r="A828649" s="242"/>
    </row>
    <row r="828650" spans="1:1" x14ac:dyDescent="0.25">
      <c r="A828650" s="242"/>
    </row>
    <row r="828651" spans="1:1" x14ac:dyDescent="0.25">
      <c r="A828651" s="242"/>
    </row>
    <row r="828652" spans="1:1" x14ac:dyDescent="0.25">
      <c r="A828652" s="242"/>
    </row>
    <row r="828653" spans="1:1" x14ac:dyDescent="0.25">
      <c r="A828653" s="242"/>
    </row>
    <row r="828654" spans="1:1" x14ac:dyDescent="0.25">
      <c r="A828654" s="242"/>
    </row>
    <row r="828655" spans="1:1" x14ac:dyDescent="0.25">
      <c r="A828655" s="242"/>
    </row>
    <row r="828656" spans="1:1" x14ac:dyDescent="0.25">
      <c r="A828656" s="242"/>
    </row>
    <row r="828657" spans="1:1" x14ac:dyDescent="0.25">
      <c r="A828657" s="242"/>
    </row>
    <row r="828658" spans="1:1" x14ac:dyDescent="0.25">
      <c r="A828658" s="242"/>
    </row>
    <row r="828659" spans="1:1" x14ac:dyDescent="0.25">
      <c r="A828659" s="242"/>
    </row>
    <row r="828660" spans="1:1" x14ac:dyDescent="0.25">
      <c r="A828660" s="242"/>
    </row>
    <row r="828661" spans="1:1" x14ac:dyDescent="0.25">
      <c r="A828661" s="242"/>
    </row>
    <row r="828662" spans="1:1" x14ac:dyDescent="0.25">
      <c r="A828662" s="242"/>
    </row>
    <row r="828663" spans="1:1" x14ac:dyDescent="0.25">
      <c r="A828663" s="242"/>
    </row>
    <row r="828664" spans="1:1" x14ac:dyDescent="0.25">
      <c r="A828664" s="242"/>
    </row>
    <row r="828665" spans="1:1" x14ac:dyDescent="0.25">
      <c r="A828665" s="242"/>
    </row>
    <row r="828666" spans="1:1" x14ac:dyDescent="0.25">
      <c r="A828666" s="242"/>
    </row>
    <row r="828667" spans="1:1" x14ac:dyDescent="0.25">
      <c r="A828667" s="242"/>
    </row>
    <row r="828668" spans="1:1" x14ac:dyDescent="0.25">
      <c r="A828668" s="242"/>
    </row>
    <row r="828669" spans="1:1" x14ac:dyDescent="0.25">
      <c r="A828669" s="242"/>
    </row>
    <row r="828670" spans="1:1" x14ac:dyDescent="0.25">
      <c r="A828670" s="242"/>
    </row>
    <row r="828671" spans="1:1" x14ac:dyDescent="0.25">
      <c r="A828671" s="242"/>
    </row>
    <row r="828672" spans="1:1" x14ac:dyDescent="0.25">
      <c r="A828672" s="242"/>
    </row>
    <row r="828673" spans="1:1" x14ac:dyDescent="0.25">
      <c r="A828673" s="242"/>
    </row>
    <row r="828674" spans="1:1" x14ac:dyDescent="0.25">
      <c r="A828674" s="242"/>
    </row>
    <row r="828675" spans="1:1" x14ac:dyDescent="0.25">
      <c r="A828675" s="242"/>
    </row>
    <row r="828676" spans="1:1" x14ac:dyDescent="0.25">
      <c r="A828676" s="242"/>
    </row>
    <row r="828677" spans="1:1" x14ac:dyDescent="0.25">
      <c r="A828677" s="242"/>
    </row>
    <row r="828678" spans="1:1" x14ac:dyDescent="0.25">
      <c r="A828678" s="242"/>
    </row>
    <row r="828679" spans="1:1" x14ac:dyDescent="0.25">
      <c r="A828679" s="242"/>
    </row>
    <row r="828680" spans="1:1" x14ac:dyDescent="0.25">
      <c r="A828680" s="242"/>
    </row>
    <row r="828681" spans="1:1" x14ac:dyDescent="0.25">
      <c r="A828681" s="242"/>
    </row>
    <row r="828682" spans="1:1" x14ac:dyDescent="0.25">
      <c r="A828682" s="242"/>
    </row>
    <row r="828683" spans="1:1" x14ac:dyDescent="0.25">
      <c r="A828683" s="242"/>
    </row>
    <row r="828684" spans="1:1" x14ac:dyDescent="0.25">
      <c r="A828684" s="242"/>
    </row>
    <row r="828685" spans="1:1" x14ac:dyDescent="0.25">
      <c r="A828685" s="242"/>
    </row>
    <row r="828686" spans="1:1" x14ac:dyDescent="0.25">
      <c r="A828686" s="242"/>
    </row>
    <row r="828687" spans="1:1" x14ac:dyDescent="0.25">
      <c r="A828687" s="242"/>
    </row>
    <row r="828688" spans="1:1" x14ac:dyDescent="0.25">
      <c r="A828688" s="242"/>
    </row>
    <row r="828689" spans="1:1" x14ac:dyDescent="0.25">
      <c r="A828689" s="242"/>
    </row>
    <row r="828690" spans="1:1" x14ac:dyDescent="0.25">
      <c r="A828690" s="242"/>
    </row>
    <row r="828691" spans="1:1" x14ac:dyDescent="0.25">
      <c r="A828691" s="242"/>
    </row>
    <row r="828692" spans="1:1" x14ac:dyDescent="0.25">
      <c r="A828692" s="242"/>
    </row>
    <row r="828693" spans="1:1" x14ac:dyDescent="0.25">
      <c r="A828693" s="242"/>
    </row>
    <row r="828694" spans="1:1" x14ac:dyDescent="0.25">
      <c r="A828694" s="242"/>
    </row>
    <row r="828695" spans="1:1" x14ac:dyDescent="0.25">
      <c r="A828695" s="242"/>
    </row>
    <row r="828696" spans="1:1" x14ac:dyDescent="0.25">
      <c r="A828696" s="242"/>
    </row>
    <row r="828697" spans="1:1" x14ac:dyDescent="0.25">
      <c r="A828697" s="242"/>
    </row>
    <row r="828698" spans="1:1" x14ac:dyDescent="0.25">
      <c r="A828698" s="242"/>
    </row>
    <row r="828699" spans="1:1" x14ac:dyDescent="0.25">
      <c r="A828699" s="242"/>
    </row>
    <row r="828700" spans="1:1" x14ac:dyDescent="0.25">
      <c r="A828700" s="242"/>
    </row>
    <row r="828701" spans="1:1" x14ac:dyDescent="0.25">
      <c r="A828701" s="242"/>
    </row>
    <row r="828702" spans="1:1" x14ac:dyDescent="0.25">
      <c r="A828702" s="242"/>
    </row>
    <row r="828703" spans="1:1" x14ac:dyDescent="0.25">
      <c r="A828703" s="242"/>
    </row>
    <row r="828704" spans="1:1" x14ac:dyDescent="0.25">
      <c r="A828704" s="242"/>
    </row>
    <row r="828705" spans="1:1" x14ac:dyDescent="0.25">
      <c r="A828705" s="242"/>
    </row>
    <row r="828706" spans="1:1" x14ac:dyDescent="0.25">
      <c r="A828706" s="242"/>
    </row>
    <row r="828707" spans="1:1" x14ac:dyDescent="0.25">
      <c r="A828707" s="242"/>
    </row>
    <row r="828708" spans="1:1" x14ac:dyDescent="0.25">
      <c r="A828708" s="242"/>
    </row>
    <row r="828709" spans="1:1" x14ac:dyDescent="0.25">
      <c r="A828709" s="242"/>
    </row>
    <row r="828710" spans="1:1" x14ac:dyDescent="0.25">
      <c r="A828710" s="242"/>
    </row>
    <row r="828711" spans="1:1" x14ac:dyDescent="0.25">
      <c r="A828711" s="242"/>
    </row>
    <row r="828712" spans="1:1" x14ac:dyDescent="0.25">
      <c r="A828712" s="242"/>
    </row>
    <row r="828713" spans="1:1" x14ac:dyDescent="0.25">
      <c r="A828713" s="242"/>
    </row>
    <row r="828714" spans="1:1" x14ac:dyDescent="0.25">
      <c r="A828714" s="242"/>
    </row>
    <row r="828715" spans="1:1" x14ac:dyDescent="0.25">
      <c r="A828715" s="242"/>
    </row>
    <row r="828716" spans="1:1" x14ac:dyDescent="0.25">
      <c r="A828716" s="242"/>
    </row>
    <row r="828717" spans="1:1" x14ac:dyDescent="0.25">
      <c r="A828717" s="242"/>
    </row>
    <row r="828718" spans="1:1" x14ac:dyDescent="0.25">
      <c r="A828718" s="242"/>
    </row>
    <row r="828719" spans="1:1" x14ac:dyDescent="0.25">
      <c r="A828719" s="242"/>
    </row>
    <row r="828720" spans="1:1" x14ac:dyDescent="0.25">
      <c r="A828720" s="242"/>
    </row>
    <row r="828721" spans="1:1" x14ac:dyDescent="0.25">
      <c r="A828721" s="242"/>
    </row>
    <row r="828722" spans="1:1" x14ac:dyDescent="0.25">
      <c r="A828722" s="242"/>
    </row>
    <row r="828723" spans="1:1" x14ac:dyDescent="0.25">
      <c r="A828723" s="242"/>
    </row>
    <row r="828724" spans="1:1" x14ac:dyDescent="0.25">
      <c r="A828724" s="242"/>
    </row>
    <row r="828725" spans="1:1" x14ac:dyDescent="0.25">
      <c r="A828725" s="242"/>
    </row>
    <row r="828726" spans="1:1" x14ac:dyDescent="0.25">
      <c r="A828726" s="242"/>
    </row>
    <row r="828727" spans="1:1" x14ac:dyDescent="0.25">
      <c r="A828727" s="242"/>
    </row>
    <row r="828728" spans="1:1" x14ac:dyDescent="0.25">
      <c r="A828728" s="242"/>
    </row>
    <row r="828729" spans="1:1" x14ac:dyDescent="0.25">
      <c r="A828729" s="242"/>
    </row>
    <row r="828730" spans="1:1" x14ac:dyDescent="0.25">
      <c r="A828730" s="242"/>
    </row>
    <row r="828731" spans="1:1" x14ac:dyDescent="0.25">
      <c r="A828731" s="242"/>
    </row>
    <row r="828732" spans="1:1" x14ac:dyDescent="0.25">
      <c r="A828732" s="242"/>
    </row>
    <row r="828733" spans="1:1" x14ac:dyDescent="0.25">
      <c r="A828733" s="242"/>
    </row>
    <row r="828734" spans="1:1" x14ac:dyDescent="0.25">
      <c r="A828734" s="242"/>
    </row>
    <row r="828735" spans="1:1" x14ac:dyDescent="0.25">
      <c r="A828735" s="242"/>
    </row>
    <row r="828736" spans="1:1" x14ac:dyDescent="0.25">
      <c r="A828736" s="242"/>
    </row>
    <row r="828737" spans="1:1" x14ac:dyDescent="0.25">
      <c r="A828737" s="242"/>
    </row>
    <row r="828738" spans="1:1" x14ac:dyDescent="0.25">
      <c r="A828738" s="242"/>
    </row>
    <row r="828739" spans="1:1" x14ac:dyDescent="0.25">
      <c r="A828739" s="242"/>
    </row>
    <row r="828740" spans="1:1" x14ac:dyDescent="0.25">
      <c r="A828740" s="242"/>
    </row>
    <row r="828741" spans="1:1" x14ac:dyDescent="0.25">
      <c r="A828741" s="242"/>
    </row>
    <row r="828742" spans="1:1" x14ac:dyDescent="0.25">
      <c r="A828742" s="242"/>
    </row>
    <row r="828743" spans="1:1" x14ac:dyDescent="0.25">
      <c r="A828743" s="242"/>
    </row>
    <row r="828744" spans="1:1" x14ac:dyDescent="0.25">
      <c r="A828744" s="242"/>
    </row>
    <row r="828745" spans="1:1" x14ac:dyDescent="0.25">
      <c r="A828745" s="242"/>
    </row>
    <row r="828746" spans="1:1" x14ac:dyDescent="0.25">
      <c r="A828746" s="242"/>
    </row>
    <row r="828747" spans="1:1" x14ac:dyDescent="0.25">
      <c r="A828747" s="242"/>
    </row>
    <row r="828748" spans="1:1" x14ac:dyDescent="0.25">
      <c r="A828748" s="242"/>
    </row>
    <row r="828749" spans="1:1" x14ac:dyDescent="0.25">
      <c r="A828749" s="242"/>
    </row>
    <row r="828750" spans="1:1" x14ac:dyDescent="0.25">
      <c r="A828750" s="242"/>
    </row>
    <row r="828751" spans="1:1" x14ac:dyDescent="0.25">
      <c r="A828751" s="242"/>
    </row>
    <row r="828752" spans="1:1" x14ac:dyDescent="0.25">
      <c r="A828752" s="242"/>
    </row>
    <row r="828753" spans="1:1" x14ac:dyDescent="0.25">
      <c r="A828753" s="242"/>
    </row>
    <row r="828754" spans="1:1" x14ac:dyDescent="0.25">
      <c r="A828754" s="242"/>
    </row>
    <row r="828755" spans="1:1" x14ac:dyDescent="0.25">
      <c r="A828755" s="242"/>
    </row>
    <row r="828756" spans="1:1" x14ac:dyDescent="0.25">
      <c r="A828756" s="242"/>
    </row>
    <row r="828757" spans="1:1" x14ac:dyDescent="0.25">
      <c r="A828757" s="242"/>
    </row>
    <row r="828758" spans="1:1" x14ac:dyDescent="0.25">
      <c r="A828758" s="242"/>
    </row>
    <row r="828759" spans="1:1" x14ac:dyDescent="0.25">
      <c r="A828759" s="242"/>
    </row>
    <row r="828760" spans="1:1" x14ac:dyDescent="0.25">
      <c r="A828760" s="242"/>
    </row>
    <row r="828761" spans="1:1" x14ac:dyDescent="0.25">
      <c r="A828761" s="242"/>
    </row>
    <row r="828762" spans="1:1" x14ac:dyDescent="0.25">
      <c r="A828762" s="242"/>
    </row>
    <row r="828763" spans="1:1" x14ac:dyDescent="0.25">
      <c r="A828763" s="242"/>
    </row>
    <row r="828764" spans="1:1" x14ac:dyDescent="0.25">
      <c r="A828764" s="242"/>
    </row>
    <row r="828765" spans="1:1" x14ac:dyDescent="0.25">
      <c r="A828765" s="242"/>
    </row>
    <row r="828766" spans="1:1" x14ac:dyDescent="0.25">
      <c r="A828766" s="242"/>
    </row>
    <row r="828767" spans="1:1" x14ac:dyDescent="0.25">
      <c r="A828767" s="242"/>
    </row>
    <row r="828768" spans="1:1" x14ac:dyDescent="0.25">
      <c r="A828768" s="242"/>
    </row>
    <row r="828769" spans="1:1" x14ac:dyDescent="0.25">
      <c r="A828769" s="242"/>
    </row>
    <row r="828770" spans="1:1" x14ac:dyDescent="0.25">
      <c r="A828770" s="242"/>
    </row>
    <row r="828771" spans="1:1" x14ac:dyDescent="0.25">
      <c r="A828771" s="242"/>
    </row>
    <row r="828772" spans="1:1" x14ac:dyDescent="0.25">
      <c r="A828772" s="242"/>
    </row>
    <row r="828773" spans="1:1" x14ac:dyDescent="0.25">
      <c r="A828773" s="242"/>
    </row>
    <row r="828774" spans="1:1" x14ac:dyDescent="0.25">
      <c r="A828774" s="242"/>
    </row>
    <row r="828775" spans="1:1" x14ac:dyDescent="0.25">
      <c r="A828775" s="242"/>
    </row>
    <row r="828776" spans="1:1" x14ac:dyDescent="0.25">
      <c r="A828776" s="242"/>
    </row>
    <row r="828777" spans="1:1" x14ac:dyDescent="0.25">
      <c r="A828777" s="242"/>
    </row>
    <row r="828778" spans="1:1" x14ac:dyDescent="0.25">
      <c r="A828778" s="242"/>
    </row>
    <row r="828779" spans="1:1" x14ac:dyDescent="0.25">
      <c r="A828779" s="242"/>
    </row>
    <row r="828780" spans="1:1" x14ac:dyDescent="0.25">
      <c r="A828780" s="242"/>
    </row>
    <row r="828781" spans="1:1" x14ac:dyDescent="0.25">
      <c r="A828781" s="242"/>
    </row>
    <row r="828782" spans="1:1" x14ac:dyDescent="0.25">
      <c r="A828782" s="242"/>
    </row>
    <row r="828783" spans="1:1" x14ac:dyDescent="0.25">
      <c r="A828783" s="242"/>
    </row>
    <row r="828784" spans="1:1" x14ac:dyDescent="0.25">
      <c r="A828784" s="242"/>
    </row>
    <row r="828785" spans="1:1" x14ac:dyDescent="0.25">
      <c r="A828785" s="242"/>
    </row>
    <row r="828786" spans="1:1" x14ac:dyDescent="0.25">
      <c r="A828786" s="242"/>
    </row>
    <row r="828787" spans="1:1" x14ac:dyDescent="0.25">
      <c r="A828787" s="242"/>
    </row>
    <row r="828788" spans="1:1" x14ac:dyDescent="0.25">
      <c r="A828788" s="242"/>
    </row>
    <row r="828789" spans="1:1" x14ac:dyDescent="0.25">
      <c r="A828789" s="242"/>
    </row>
    <row r="828790" spans="1:1" x14ac:dyDescent="0.25">
      <c r="A828790" s="242"/>
    </row>
    <row r="828791" spans="1:1" x14ac:dyDescent="0.25">
      <c r="A828791" s="242"/>
    </row>
    <row r="828792" spans="1:1" x14ac:dyDescent="0.25">
      <c r="A828792" s="242"/>
    </row>
    <row r="828793" spans="1:1" x14ac:dyDescent="0.25">
      <c r="A828793" s="242"/>
    </row>
    <row r="828794" spans="1:1" x14ac:dyDescent="0.25">
      <c r="A828794" s="242"/>
    </row>
    <row r="828795" spans="1:1" x14ac:dyDescent="0.25">
      <c r="A828795" s="242"/>
    </row>
    <row r="828796" spans="1:1" x14ac:dyDescent="0.25">
      <c r="A828796" s="242"/>
    </row>
    <row r="828797" spans="1:1" x14ac:dyDescent="0.25">
      <c r="A828797" s="242"/>
    </row>
    <row r="828798" spans="1:1" x14ac:dyDescent="0.25">
      <c r="A828798" s="242"/>
    </row>
    <row r="828799" spans="1:1" x14ac:dyDescent="0.25">
      <c r="A828799" s="242"/>
    </row>
    <row r="828800" spans="1:1" x14ac:dyDescent="0.25">
      <c r="A828800" s="242"/>
    </row>
    <row r="828801" spans="1:1" x14ac:dyDescent="0.25">
      <c r="A828801" s="242"/>
    </row>
    <row r="828802" spans="1:1" x14ac:dyDescent="0.25">
      <c r="A828802" s="242"/>
    </row>
    <row r="828803" spans="1:1" x14ac:dyDescent="0.25">
      <c r="A828803" s="242"/>
    </row>
    <row r="828804" spans="1:1" x14ac:dyDescent="0.25">
      <c r="A828804" s="242"/>
    </row>
    <row r="828805" spans="1:1" x14ac:dyDescent="0.25">
      <c r="A828805" s="242"/>
    </row>
    <row r="828806" spans="1:1" x14ac:dyDescent="0.25">
      <c r="A828806" s="242"/>
    </row>
    <row r="828807" spans="1:1" x14ac:dyDescent="0.25">
      <c r="A828807" s="242"/>
    </row>
    <row r="828808" spans="1:1" x14ac:dyDescent="0.25">
      <c r="A828808" s="242"/>
    </row>
    <row r="828809" spans="1:1" x14ac:dyDescent="0.25">
      <c r="A828809" s="242"/>
    </row>
    <row r="828810" spans="1:1" x14ac:dyDescent="0.25">
      <c r="A828810" s="242"/>
    </row>
    <row r="828811" spans="1:1" x14ac:dyDescent="0.25">
      <c r="A828811" s="242"/>
    </row>
    <row r="828812" spans="1:1" x14ac:dyDescent="0.25">
      <c r="A828812" s="242"/>
    </row>
    <row r="828813" spans="1:1" x14ac:dyDescent="0.25">
      <c r="A828813" s="242"/>
    </row>
    <row r="828814" spans="1:1" x14ac:dyDescent="0.25">
      <c r="A828814" s="242"/>
    </row>
    <row r="828815" spans="1:1" x14ac:dyDescent="0.25">
      <c r="A828815" s="242"/>
    </row>
    <row r="828816" spans="1:1" x14ac:dyDescent="0.25">
      <c r="A828816" s="242"/>
    </row>
    <row r="828817" spans="1:1" x14ac:dyDescent="0.25">
      <c r="A828817" s="242"/>
    </row>
    <row r="828818" spans="1:1" x14ac:dyDescent="0.25">
      <c r="A828818" s="242"/>
    </row>
    <row r="828819" spans="1:1" x14ac:dyDescent="0.25">
      <c r="A828819" s="242"/>
    </row>
    <row r="828820" spans="1:1" x14ac:dyDescent="0.25">
      <c r="A828820" s="242"/>
    </row>
    <row r="828821" spans="1:1" x14ac:dyDescent="0.25">
      <c r="A828821" s="242"/>
    </row>
    <row r="828822" spans="1:1" x14ac:dyDescent="0.25">
      <c r="A828822" s="242"/>
    </row>
    <row r="828823" spans="1:1" x14ac:dyDescent="0.25">
      <c r="A828823" s="242"/>
    </row>
    <row r="828824" spans="1:1" x14ac:dyDescent="0.25">
      <c r="A828824" s="242"/>
    </row>
    <row r="828825" spans="1:1" x14ac:dyDescent="0.25">
      <c r="A828825" s="242"/>
    </row>
    <row r="828826" spans="1:1" x14ac:dyDescent="0.25">
      <c r="A828826" s="242"/>
    </row>
    <row r="828827" spans="1:1" x14ac:dyDescent="0.25">
      <c r="A828827" s="242"/>
    </row>
    <row r="828828" spans="1:1" x14ac:dyDescent="0.25">
      <c r="A828828" s="242"/>
    </row>
    <row r="828829" spans="1:1" x14ac:dyDescent="0.25">
      <c r="A828829" s="242"/>
    </row>
    <row r="828830" spans="1:1" x14ac:dyDescent="0.25">
      <c r="A828830" s="242"/>
    </row>
    <row r="828831" spans="1:1" x14ac:dyDescent="0.25">
      <c r="A828831" s="242"/>
    </row>
    <row r="828832" spans="1:1" x14ac:dyDescent="0.25">
      <c r="A828832" s="242"/>
    </row>
    <row r="828833" spans="1:1" x14ac:dyDescent="0.25">
      <c r="A828833" s="242"/>
    </row>
    <row r="828834" spans="1:1" x14ac:dyDescent="0.25">
      <c r="A828834" s="242"/>
    </row>
    <row r="828835" spans="1:1" x14ac:dyDescent="0.25">
      <c r="A828835" s="242"/>
    </row>
    <row r="828836" spans="1:1" x14ac:dyDescent="0.25">
      <c r="A828836" s="242"/>
    </row>
    <row r="828837" spans="1:1" x14ac:dyDescent="0.25">
      <c r="A828837" s="242"/>
    </row>
    <row r="828838" spans="1:1" x14ac:dyDescent="0.25">
      <c r="A828838" s="242"/>
    </row>
    <row r="828839" spans="1:1" x14ac:dyDescent="0.25">
      <c r="A828839" s="242"/>
    </row>
    <row r="828840" spans="1:1" x14ac:dyDescent="0.25">
      <c r="A828840" s="242"/>
    </row>
    <row r="828841" spans="1:1" x14ac:dyDescent="0.25">
      <c r="A828841" s="242"/>
    </row>
    <row r="828842" spans="1:1" x14ac:dyDescent="0.25">
      <c r="A828842" s="242"/>
    </row>
    <row r="828843" spans="1:1" x14ac:dyDescent="0.25">
      <c r="A828843" s="242"/>
    </row>
    <row r="828844" spans="1:1" x14ac:dyDescent="0.25">
      <c r="A828844" s="242"/>
    </row>
    <row r="828845" spans="1:1" x14ac:dyDescent="0.25">
      <c r="A828845" s="242"/>
    </row>
    <row r="828846" spans="1:1" x14ac:dyDescent="0.25">
      <c r="A828846" s="242"/>
    </row>
    <row r="828847" spans="1:1" x14ac:dyDescent="0.25">
      <c r="A828847" s="242"/>
    </row>
    <row r="828848" spans="1:1" x14ac:dyDescent="0.25">
      <c r="A828848" s="242"/>
    </row>
    <row r="828849" spans="1:1" x14ac:dyDescent="0.25">
      <c r="A828849" s="242"/>
    </row>
    <row r="828850" spans="1:1" x14ac:dyDescent="0.25">
      <c r="A828850" s="242"/>
    </row>
    <row r="828851" spans="1:1" x14ac:dyDescent="0.25">
      <c r="A828851" s="242"/>
    </row>
    <row r="828852" spans="1:1" x14ac:dyDescent="0.25">
      <c r="A828852" s="242"/>
    </row>
    <row r="828853" spans="1:1" x14ac:dyDescent="0.25">
      <c r="A828853" s="242"/>
    </row>
    <row r="828854" spans="1:1" x14ac:dyDescent="0.25">
      <c r="A828854" s="242"/>
    </row>
    <row r="828855" spans="1:1" x14ac:dyDescent="0.25">
      <c r="A828855" s="242"/>
    </row>
    <row r="828856" spans="1:1" x14ac:dyDescent="0.25">
      <c r="A828856" s="242"/>
    </row>
    <row r="828857" spans="1:1" x14ac:dyDescent="0.25">
      <c r="A828857" s="242"/>
    </row>
    <row r="828858" spans="1:1" x14ac:dyDescent="0.25">
      <c r="A828858" s="242"/>
    </row>
    <row r="828859" spans="1:1" x14ac:dyDescent="0.25">
      <c r="A828859" s="242"/>
    </row>
    <row r="828860" spans="1:1" x14ac:dyDescent="0.25">
      <c r="A828860" s="242"/>
    </row>
    <row r="828861" spans="1:1" x14ac:dyDescent="0.25">
      <c r="A828861" s="242"/>
    </row>
    <row r="828862" spans="1:1" x14ac:dyDescent="0.25">
      <c r="A828862" s="242"/>
    </row>
    <row r="828863" spans="1:1" x14ac:dyDescent="0.25">
      <c r="A828863" s="242"/>
    </row>
    <row r="828864" spans="1:1" x14ac:dyDescent="0.25">
      <c r="A828864" s="242"/>
    </row>
    <row r="828865" spans="1:1" x14ac:dyDescent="0.25">
      <c r="A828865" s="242"/>
    </row>
    <row r="828866" spans="1:1" x14ac:dyDescent="0.25">
      <c r="A828866" s="242"/>
    </row>
    <row r="828867" spans="1:1" x14ac:dyDescent="0.25">
      <c r="A828867" s="242"/>
    </row>
    <row r="828868" spans="1:1" x14ac:dyDescent="0.25">
      <c r="A828868" s="242"/>
    </row>
    <row r="828869" spans="1:1" x14ac:dyDescent="0.25">
      <c r="A828869" s="242"/>
    </row>
    <row r="828870" spans="1:1" x14ac:dyDescent="0.25">
      <c r="A828870" s="242"/>
    </row>
    <row r="828871" spans="1:1" x14ac:dyDescent="0.25">
      <c r="A828871" s="242"/>
    </row>
    <row r="828872" spans="1:1" x14ac:dyDescent="0.25">
      <c r="A828872" s="242"/>
    </row>
    <row r="828873" spans="1:1" x14ac:dyDescent="0.25">
      <c r="A828873" s="242"/>
    </row>
    <row r="828874" spans="1:1" x14ac:dyDescent="0.25">
      <c r="A828874" s="242"/>
    </row>
    <row r="828875" spans="1:1" x14ac:dyDescent="0.25">
      <c r="A828875" s="242"/>
    </row>
    <row r="828876" spans="1:1" x14ac:dyDescent="0.25">
      <c r="A828876" s="242"/>
    </row>
    <row r="828877" spans="1:1" x14ac:dyDescent="0.25">
      <c r="A828877" s="242"/>
    </row>
    <row r="828878" spans="1:1" x14ac:dyDescent="0.25">
      <c r="A828878" s="242"/>
    </row>
    <row r="828879" spans="1:1" x14ac:dyDescent="0.25">
      <c r="A828879" s="242"/>
    </row>
    <row r="828880" spans="1:1" x14ac:dyDescent="0.25">
      <c r="A828880" s="242"/>
    </row>
    <row r="828881" spans="1:1" x14ac:dyDescent="0.25">
      <c r="A828881" s="242"/>
    </row>
    <row r="828882" spans="1:1" x14ac:dyDescent="0.25">
      <c r="A828882" s="242"/>
    </row>
    <row r="828883" spans="1:1" x14ac:dyDescent="0.25">
      <c r="A828883" s="242"/>
    </row>
    <row r="828884" spans="1:1" x14ac:dyDescent="0.25">
      <c r="A828884" s="242"/>
    </row>
    <row r="828885" spans="1:1" x14ac:dyDescent="0.25">
      <c r="A828885" s="242"/>
    </row>
    <row r="828886" spans="1:1" x14ac:dyDescent="0.25">
      <c r="A828886" s="242"/>
    </row>
    <row r="828887" spans="1:1" x14ac:dyDescent="0.25">
      <c r="A828887" s="242"/>
    </row>
    <row r="828888" spans="1:1" x14ac:dyDescent="0.25">
      <c r="A828888" s="242"/>
    </row>
    <row r="828889" spans="1:1" x14ac:dyDescent="0.25">
      <c r="A828889" s="242"/>
    </row>
    <row r="828890" spans="1:1" x14ac:dyDescent="0.25">
      <c r="A828890" s="242"/>
    </row>
    <row r="828891" spans="1:1" x14ac:dyDescent="0.25">
      <c r="A828891" s="242"/>
    </row>
    <row r="828892" spans="1:1" x14ac:dyDescent="0.25">
      <c r="A828892" s="242"/>
    </row>
    <row r="828893" spans="1:1" x14ac:dyDescent="0.25">
      <c r="A828893" s="242"/>
    </row>
    <row r="828894" spans="1:1" x14ac:dyDescent="0.25">
      <c r="A828894" s="242"/>
    </row>
    <row r="828895" spans="1:1" x14ac:dyDescent="0.25">
      <c r="A828895" s="242"/>
    </row>
    <row r="828896" spans="1:1" x14ac:dyDescent="0.25">
      <c r="A828896" s="242"/>
    </row>
    <row r="828897" spans="1:1" x14ac:dyDescent="0.25">
      <c r="A828897" s="242"/>
    </row>
    <row r="828898" spans="1:1" x14ac:dyDescent="0.25">
      <c r="A828898" s="242"/>
    </row>
    <row r="828899" spans="1:1" x14ac:dyDescent="0.25">
      <c r="A828899" s="242"/>
    </row>
    <row r="828900" spans="1:1" x14ac:dyDescent="0.25">
      <c r="A828900" s="242"/>
    </row>
    <row r="828901" spans="1:1" x14ac:dyDescent="0.25">
      <c r="A828901" s="242"/>
    </row>
    <row r="828902" spans="1:1" x14ac:dyDescent="0.25">
      <c r="A828902" s="242"/>
    </row>
    <row r="828903" spans="1:1" x14ac:dyDescent="0.25">
      <c r="A828903" s="242"/>
    </row>
    <row r="828904" spans="1:1" x14ac:dyDescent="0.25">
      <c r="A828904" s="242"/>
    </row>
    <row r="828905" spans="1:1" x14ac:dyDescent="0.25">
      <c r="A828905" s="242"/>
    </row>
    <row r="828906" spans="1:1" x14ac:dyDescent="0.25">
      <c r="A828906" s="242"/>
    </row>
    <row r="828907" spans="1:1" x14ac:dyDescent="0.25">
      <c r="A828907" s="242"/>
    </row>
    <row r="828908" spans="1:1" x14ac:dyDescent="0.25">
      <c r="A828908" s="242"/>
    </row>
    <row r="828909" spans="1:1" x14ac:dyDescent="0.25">
      <c r="A828909" s="242"/>
    </row>
    <row r="828910" spans="1:1" x14ac:dyDescent="0.25">
      <c r="A828910" s="242"/>
    </row>
    <row r="828911" spans="1:1" x14ac:dyDescent="0.25">
      <c r="A828911" s="242"/>
    </row>
    <row r="828912" spans="1:1" x14ac:dyDescent="0.25">
      <c r="A828912" s="242"/>
    </row>
    <row r="828913" spans="1:1" x14ac:dyDescent="0.25">
      <c r="A828913" s="242"/>
    </row>
    <row r="828914" spans="1:1" x14ac:dyDescent="0.25">
      <c r="A828914" s="242"/>
    </row>
    <row r="828915" spans="1:1" x14ac:dyDescent="0.25">
      <c r="A828915" s="242"/>
    </row>
    <row r="828916" spans="1:1" x14ac:dyDescent="0.25">
      <c r="A828916" s="242"/>
    </row>
    <row r="828917" spans="1:1" x14ac:dyDescent="0.25">
      <c r="A828917" s="242"/>
    </row>
    <row r="828918" spans="1:1" x14ac:dyDescent="0.25">
      <c r="A828918" s="242"/>
    </row>
    <row r="828919" spans="1:1" x14ac:dyDescent="0.25">
      <c r="A828919" s="242"/>
    </row>
    <row r="828920" spans="1:1" x14ac:dyDescent="0.25">
      <c r="A828920" s="242"/>
    </row>
    <row r="828921" spans="1:1" x14ac:dyDescent="0.25">
      <c r="A828921" s="242"/>
    </row>
    <row r="828922" spans="1:1" x14ac:dyDescent="0.25">
      <c r="A828922" s="242"/>
    </row>
    <row r="828923" spans="1:1" x14ac:dyDescent="0.25">
      <c r="A828923" s="242"/>
    </row>
    <row r="828924" spans="1:1" x14ac:dyDescent="0.25">
      <c r="A828924" s="242"/>
    </row>
    <row r="828925" spans="1:1" x14ac:dyDescent="0.25">
      <c r="A828925" s="242"/>
    </row>
    <row r="828926" spans="1:1" x14ac:dyDescent="0.25">
      <c r="A828926" s="242"/>
    </row>
    <row r="828927" spans="1:1" x14ac:dyDescent="0.25">
      <c r="A828927" s="242"/>
    </row>
    <row r="828928" spans="1:1" x14ac:dyDescent="0.25">
      <c r="A828928" s="242"/>
    </row>
    <row r="828929" spans="1:1" x14ac:dyDescent="0.25">
      <c r="A828929" s="242"/>
    </row>
    <row r="828930" spans="1:1" x14ac:dyDescent="0.25">
      <c r="A828930" s="242"/>
    </row>
    <row r="828931" spans="1:1" x14ac:dyDescent="0.25">
      <c r="A828931" s="242"/>
    </row>
    <row r="828932" spans="1:1" x14ac:dyDescent="0.25">
      <c r="A828932" s="242"/>
    </row>
    <row r="828933" spans="1:1" x14ac:dyDescent="0.25">
      <c r="A828933" s="242"/>
    </row>
    <row r="828934" spans="1:1" x14ac:dyDescent="0.25">
      <c r="A828934" s="242"/>
    </row>
    <row r="828935" spans="1:1" x14ac:dyDescent="0.25">
      <c r="A828935" s="242"/>
    </row>
    <row r="828936" spans="1:1" x14ac:dyDescent="0.25">
      <c r="A828936" s="242"/>
    </row>
    <row r="828937" spans="1:1" x14ac:dyDescent="0.25">
      <c r="A828937" s="242"/>
    </row>
    <row r="828938" spans="1:1" x14ac:dyDescent="0.25">
      <c r="A828938" s="242"/>
    </row>
    <row r="828939" spans="1:1" x14ac:dyDescent="0.25">
      <c r="A828939" s="242"/>
    </row>
    <row r="828940" spans="1:1" x14ac:dyDescent="0.25">
      <c r="A828940" s="242"/>
    </row>
    <row r="828941" spans="1:1" x14ac:dyDescent="0.25">
      <c r="A828941" s="242"/>
    </row>
    <row r="828942" spans="1:1" x14ac:dyDescent="0.25">
      <c r="A828942" s="242"/>
    </row>
    <row r="828943" spans="1:1" x14ac:dyDescent="0.25">
      <c r="A828943" s="242"/>
    </row>
    <row r="828944" spans="1:1" x14ac:dyDescent="0.25">
      <c r="A828944" s="242"/>
    </row>
    <row r="828945" spans="1:1" x14ac:dyDescent="0.25">
      <c r="A828945" s="242"/>
    </row>
    <row r="828946" spans="1:1" x14ac:dyDescent="0.25">
      <c r="A828946" s="242"/>
    </row>
    <row r="828947" spans="1:1" x14ac:dyDescent="0.25">
      <c r="A828947" s="242"/>
    </row>
    <row r="828948" spans="1:1" x14ac:dyDescent="0.25">
      <c r="A828948" s="242"/>
    </row>
    <row r="828949" spans="1:1" x14ac:dyDescent="0.25">
      <c r="A828949" s="242"/>
    </row>
    <row r="828950" spans="1:1" x14ac:dyDescent="0.25">
      <c r="A828950" s="242"/>
    </row>
    <row r="828951" spans="1:1" x14ac:dyDescent="0.25">
      <c r="A828951" s="242"/>
    </row>
    <row r="828952" spans="1:1" x14ac:dyDescent="0.25">
      <c r="A828952" s="242"/>
    </row>
    <row r="828953" spans="1:1" x14ac:dyDescent="0.25">
      <c r="A828953" s="242"/>
    </row>
    <row r="828954" spans="1:1" x14ac:dyDescent="0.25">
      <c r="A828954" s="242"/>
    </row>
    <row r="828955" spans="1:1" x14ac:dyDescent="0.25">
      <c r="A828955" s="242"/>
    </row>
    <row r="828956" spans="1:1" x14ac:dyDescent="0.25">
      <c r="A828956" s="242"/>
    </row>
    <row r="828957" spans="1:1" x14ac:dyDescent="0.25">
      <c r="A828957" s="242"/>
    </row>
    <row r="828958" spans="1:1" x14ac:dyDescent="0.25">
      <c r="A828958" s="242"/>
    </row>
    <row r="828959" spans="1:1" x14ac:dyDescent="0.25">
      <c r="A828959" s="242"/>
    </row>
    <row r="828960" spans="1:1" x14ac:dyDescent="0.25">
      <c r="A828960" s="242"/>
    </row>
    <row r="828961" spans="1:1" x14ac:dyDescent="0.25">
      <c r="A828961" s="242"/>
    </row>
    <row r="828962" spans="1:1" x14ac:dyDescent="0.25">
      <c r="A828962" s="242"/>
    </row>
    <row r="828963" spans="1:1" x14ac:dyDescent="0.25">
      <c r="A828963" s="242"/>
    </row>
    <row r="828964" spans="1:1" x14ac:dyDescent="0.25">
      <c r="A828964" s="242"/>
    </row>
    <row r="828965" spans="1:1" x14ac:dyDescent="0.25">
      <c r="A828965" s="242"/>
    </row>
    <row r="828966" spans="1:1" x14ac:dyDescent="0.25">
      <c r="A828966" s="242"/>
    </row>
    <row r="828967" spans="1:1" x14ac:dyDescent="0.25">
      <c r="A828967" s="242"/>
    </row>
    <row r="828968" spans="1:1" x14ac:dyDescent="0.25">
      <c r="A828968" s="242"/>
    </row>
    <row r="828969" spans="1:1" x14ac:dyDescent="0.25">
      <c r="A828969" s="242"/>
    </row>
    <row r="828970" spans="1:1" x14ac:dyDescent="0.25">
      <c r="A828970" s="242"/>
    </row>
    <row r="828971" spans="1:1" x14ac:dyDescent="0.25">
      <c r="A828971" s="242"/>
    </row>
    <row r="828972" spans="1:1" x14ac:dyDescent="0.25">
      <c r="A828972" s="242"/>
    </row>
    <row r="828973" spans="1:1" x14ac:dyDescent="0.25">
      <c r="A828973" s="242"/>
    </row>
    <row r="828974" spans="1:1" x14ac:dyDescent="0.25">
      <c r="A828974" s="242"/>
    </row>
    <row r="828975" spans="1:1" x14ac:dyDescent="0.25">
      <c r="A828975" s="242"/>
    </row>
    <row r="828976" spans="1:1" x14ac:dyDescent="0.25">
      <c r="A828976" s="242"/>
    </row>
    <row r="828977" spans="1:1" x14ac:dyDescent="0.25">
      <c r="A828977" s="242"/>
    </row>
    <row r="828978" spans="1:1" x14ac:dyDescent="0.25">
      <c r="A828978" s="242"/>
    </row>
    <row r="828979" spans="1:1" x14ac:dyDescent="0.25">
      <c r="A828979" s="242"/>
    </row>
    <row r="828980" spans="1:1" x14ac:dyDescent="0.25">
      <c r="A828980" s="242"/>
    </row>
    <row r="828981" spans="1:1" x14ac:dyDescent="0.25">
      <c r="A828981" s="242"/>
    </row>
    <row r="828982" spans="1:1" x14ac:dyDescent="0.25">
      <c r="A828982" s="242"/>
    </row>
    <row r="828983" spans="1:1" x14ac:dyDescent="0.25">
      <c r="A828983" s="242"/>
    </row>
    <row r="828984" spans="1:1" x14ac:dyDescent="0.25">
      <c r="A828984" s="242"/>
    </row>
    <row r="828985" spans="1:1" x14ac:dyDescent="0.25">
      <c r="A828985" s="242"/>
    </row>
    <row r="828986" spans="1:1" x14ac:dyDescent="0.25">
      <c r="A828986" s="242"/>
    </row>
    <row r="828987" spans="1:1" x14ac:dyDescent="0.25">
      <c r="A828987" s="242"/>
    </row>
    <row r="828988" spans="1:1" x14ac:dyDescent="0.25">
      <c r="A828988" s="242"/>
    </row>
    <row r="828989" spans="1:1" x14ac:dyDescent="0.25">
      <c r="A828989" s="242"/>
    </row>
    <row r="828990" spans="1:1" x14ac:dyDescent="0.25">
      <c r="A828990" s="242"/>
    </row>
    <row r="828991" spans="1:1" x14ac:dyDescent="0.25">
      <c r="A828991" s="242"/>
    </row>
    <row r="828992" spans="1:1" x14ac:dyDescent="0.25">
      <c r="A828992" s="242"/>
    </row>
    <row r="828993" spans="1:1" x14ac:dyDescent="0.25">
      <c r="A828993" s="242"/>
    </row>
    <row r="828994" spans="1:1" x14ac:dyDescent="0.25">
      <c r="A828994" s="242"/>
    </row>
    <row r="828995" spans="1:1" x14ac:dyDescent="0.25">
      <c r="A828995" s="242"/>
    </row>
    <row r="828996" spans="1:1" x14ac:dyDescent="0.25">
      <c r="A828996" s="242"/>
    </row>
    <row r="828997" spans="1:1" x14ac:dyDescent="0.25">
      <c r="A828997" s="242"/>
    </row>
    <row r="828998" spans="1:1" x14ac:dyDescent="0.25">
      <c r="A828998" s="242"/>
    </row>
    <row r="828999" spans="1:1" x14ac:dyDescent="0.25">
      <c r="A828999" s="242"/>
    </row>
    <row r="829000" spans="1:1" x14ac:dyDescent="0.25">
      <c r="A829000" s="242"/>
    </row>
    <row r="829001" spans="1:1" x14ac:dyDescent="0.25">
      <c r="A829001" s="242"/>
    </row>
    <row r="829002" spans="1:1" x14ac:dyDescent="0.25">
      <c r="A829002" s="242"/>
    </row>
    <row r="829003" spans="1:1" x14ac:dyDescent="0.25">
      <c r="A829003" s="242"/>
    </row>
    <row r="829004" spans="1:1" x14ac:dyDescent="0.25">
      <c r="A829004" s="242"/>
    </row>
    <row r="829005" spans="1:1" x14ac:dyDescent="0.25">
      <c r="A829005" s="242"/>
    </row>
    <row r="829006" spans="1:1" x14ac:dyDescent="0.25">
      <c r="A829006" s="242"/>
    </row>
    <row r="829007" spans="1:1" x14ac:dyDescent="0.25">
      <c r="A829007" s="242"/>
    </row>
    <row r="829008" spans="1:1" x14ac:dyDescent="0.25">
      <c r="A829008" s="242"/>
    </row>
  </sheetData>
  <mergeCells count="9">
    <mergeCell ref="AA1:AC1"/>
    <mergeCell ref="AG189:AI189"/>
    <mergeCell ref="AG192:AI192"/>
    <mergeCell ref="D1:F1"/>
    <mergeCell ref="G1:J1"/>
    <mergeCell ref="K1:N1"/>
    <mergeCell ref="O1:R1"/>
    <mergeCell ref="S1:V1"/>
    <mergeCell ref="W1:Z1"/>
  </mergeCell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829009"/>
  <sheetViews>
    <sheetView zoomScale="85" zoomScaleNormal="85" workbookViewId="0">
      <pane xSplit="6" ySplit="2" topLeftCell="G163" activePane="bottomRight" state="frozen"/>
      <selection pane="topRight" activeCell="G1" sqref="G1"/>
      <selection pane="bottomLeft" activeCell="A3" sqref="A3"/>
      <selection pane="bottomRight" sqref="A1:XFD1048576"/>
    </sheetView>
  </sheetViews>
  <sheetFormatPr baseColWidth="10" defaultRowHeight="15" x14ac:dyDescent="0.25"/>
  <cols>
    <col min="1" max="1" width="8.42578125" style="245" customWidth="1"/>
    <col min="2" max="2" width="27.85546875" style="245" customWidth="1"/>
    <col min="3" max="3" width="0" style="245" hidden="1" customWidth="1"/>
    <col min="4" max="4" width="9.28515625" style="245" hidden="1" customWidth="1"/>
    <col min="5" max="5" width="9.42578125" style="245" hidden="1" customWidth="1"/>
    <col min="6" max="6" width="9.85546875" style="245" hidden="1" customWidth="1"/>
    <col min="7" max="7" width="11.5703125" style="245" customWidth="1"/>
    <col min="8" max="8" width="11.42578125" style="245"/>
    <col min="9" max="9" width="11.42578125" style="246"/>
    <col min="10" max="10" width="4.140625" style="245" customWidth="1"/>
    <col min="11" max="12" width="11.42578125" style="245"/>
    <col min="13" max="13" width="11.42578125" style="246"/>
    <col min="14" max="14" width="4.7109375" style="245" customWidth="1"/>
    <col min="15" max="16" width="11.42578125" style="245"/>
    <col min="17" max="17" width="11.42578125" style="246"/>
    <col min="18" max="18" width="4" style="245" customWidth="1"/>
    <col min="19" max="20" width="11.42578125" style="245"/>
    <col min="21" max="21" width="11.42578125" style="246"/>
    <col min="22" max="22" width="3.7109375" style="245" customWidth="1"/>
    <col min="23" max="24" width="10.5703125" style="245" customWidth="1"/>
    <col min="25" max="25" width="10.5703125" style="246" customWidth="1"/>
    <col min="26" max="26" width="4.7109375" style="245" customWidth="1"/>
    <col min="27" max="28" width="10.5703125" style="245" customWidth="1"/>
    <col min="29" max="29" width="10.5703125" style="246" customWidth="1"/>
    <col min="30" max="30" width="10.5703125" style="245" customWidth="1"/>
    <col min="31" max="31" width="11.42578125" style="245"/>
    <col min="32" max="32" width="7.85546875" style="245" customWidth="1"/>
    <col min="33" max="35" width="11.42578125" style="245"/>
    <col min="36" max="36" width="11.7109375" style="245" customWidth="1"/>
    <col min="37" max="37" width="9.28515625" style="245" customWidth="1"/>
    <col min="38" max="38" width="12.140625" style="245" bestFit="1" customWidth="1"/>
    <col min="39" max="39" width="9.7109375" style="245" customWidth="1"/>
    <col min="40" max="40" width="11.42578125" style="245"/>
    <col min="41" max="41" width="10.42578125" style="245" customWidth="1"/>
    <col min="42" max="42" width="11.42578125" style="245"/>
    <col min="43" max="43" width="9.140625" style="245" customWidth="1"/>
    <col min="44" max="44" width="11.42578125" style="245"/>
    <col min="45" max="45" width="10" style="245" customWidth="1"/>
    <col min="46" max="46" width="11.42578125" style="245"/>
    <col min="47" max="47" width="11" style="245" customWidth="1"/>
    <col min="48" max="16384" width="11.42578125" style="245"/>
  </cols>
  <sheetData>
    <row r="1" spans="1:52" ht="21.75" thickBot="1" x14ac:dyDescent="0.4">
      <c r="A1" s="245">
        <v>0</v>
      </c>
      <c r="D1" s="257" t="s">
        <v>0</v>
      </c>
      <c r="E1" s="258"/>
      <c r="F1" s="258"/>
      <c r="G1" s="259">
        <v>45373</v>
      </c>
      <c r="H1" s="260"/>
      <c r="I1" s="260"/>
      <c r="J1" s="261"/>
      <c r="K1" s="262">
        <v>45375</v>
      </c>
      <c r="L1" s="263"/>
      <c r="M1" s="263"/>
      <c r="N1" s="264"/>
      <c r="O1" s="262">
        <v>45741</v>
      </c>
      <c r="P1" s="263"/>
      <c r="Q1" s="263"/>
      <c r="R1" s="264"/>
      <c r="S1" s="265">
        <v>45742</v>
      </c>
      <c r="T1" s="265"/>
      <c r="U1" s="265"/>
      <c r="V1" s="265"/>
      <c r="W1" s="266">
        <v>45743</v>
      </c>
      <c r="X1" s="267"/>
      <c r="Y1" s="267"/>
      <c r="Z1" s="268"/>
      <c r="AA1" s="251">
        <v>45744</v>
      </c>
      <c r="AB1" s="252"/>
      <c r="AC1" s="252"/>
      <c r="AQ1" s="245">
        <f>11598.72/240</f>
        <v>48.327999999999996</v>
      </c>
      <c r="AR1" s="245">
        <f>598.4/105</f>
        <v>5.6990476190476187</v>
      </c>
      <c r="AS1" s="245">
        <f>4631.45/126</f>
        <v>36.757539682539679</v>
      </c>
      <c r="AT1" s="245">
        <f>43.5-36.76</f>
        <v>6.740000000000002</v>
      </c>
    </row>
    <row r="2" spans="1:52" ht="45.75" thickBot="1" x14ac:dyDescent="0.3">
      <c r="A2" s="1" t="s">
        <v>1</v>
      </c>
      <c r="B2" s="2" t="s">
        <v>2</v>
      </c>
      <c r="C2" s="3" t="s">
        <v>3</v>
      </c>
      <c r="D2" s="4" t="s">
        <v>4</v>
      </c>
      <c r="E2" s="5" t="s">
        <v>5</v>
      </c>
      <c r="F2" s="6" t="s">
        <v>6</v>
      </c>
      <c r="G2" s="7" t="s">
        <v>4</v>
      </c>
      <c r="H2" s="8" t="s">
        <v>6</v>
      </c>
      <c r="I2" s="9" t="s">
        <v>7</v>
      </c>
      <c r="J2" s="3"/>
      <c r="K2" s="8" t="s">
        <v>4</v>
      </c>
      <c r="L2" s="8" t="s">
        <v>6</v>
      </c>
      <c r="M2" s="9" t="s">
        <v>7</v>
      </c>
      <c r="N2" s="10"/>
      <c r="O2" s="8" t="s">
        <v>4</v>
      </c>
      <c r="P2" s="8" t="s">
        <v>6</v>
      </c>
      <c r="Q2" s="9" t="s">
        <v>7</v>
      </c>
      <c r="R2" s="10"/>
      <c r="S2" s="8" t="s">
        <v>4</v>
      </c>
      <c r="T2" s="8" t="s">
        <v>6</v>
      </c>
      <c r="U2" s="9" t="s">
        <v>7</v>
      </c>
      <c r="V2" s="10"/>
      <c r="W2" s="8" t="s">
        <v>4</v>
      </c>
      <c r="X2" s="8" t="s">
        <v>6</v>
      </c>
      <c r="Y2" s="9" t="s">
        <v>7</v>
      </c>
      <c r="Z2" s="11"/>
      <c r="AA2" s="8" t="s">
        <v>4</v>
      </c>
      <c r="AB2" s="8" t="s">
        <v>6</v>
      </c>
      <c r="AC2" s="9">
        <v>0</v>
      </c>
      <c r="AD2" s="10"/>
      <c r="AE2" s="12"/>
      <c r="AF2" s="13"/>
      <c r="AG2" s="14" t="s">
        <v>8</v>
      </c>
      <c r="AH2" s="15" t="s">
        <v>9</v>
      </c>
      <c r="AI2" s="13" t="s">
        <v>10</v>
      </c>
      <c r="AJ2" s="16"/>
      <c r="AK2" s="16" t="s">
        <v>11</v>
      </c>
      <c r="AL2" s="17" t="s">
        <v>12</v>
      </c>
      <c r="AM2" s="18" t="s">
        <v>13</v>
      </c>
      <c r="AN2" s="19" t="s">
        <v>14</v>
      </c>
      <c r="AO2" s="20" t="s">
        <v>15</v>
      </c>
      <c r="AP2" s="21"/>
      <c r="AQ2" s="22"/>
      <c r="AR2" s="23" t="s">
        <v>16</v>
      </c>
      <c r="AS2" s="15" t="s">
        <v>17</v>
      </c>
      <c r="AT2" s="15" t="s">
        <v>18</v>
      </c>
      <c r="AU2" s="24" t="s">
        <v>19</v>
      </c>
      <c r="AV2" s="15" t="s">
        <v>20</v>
      </c>
      <c r="AW2" s="15" t="s">
        <v>21</v>
      </c>
      <c r="AX2" s="15" t="s">
        <v>22</v>
      </c>
      <c r="AY2" s="15" t="s">
        <v>23</v>
      </c>
      <c r="AZ2" s="25" t="s">
        <v>24</v>
      </c>
    </row>
    <row r="3" spans="1:52" ht="16.5" thickBot="1" x14ac:dyDescent="0.3">
      <c r="A3" s="26">
        <v>3300</v>
      </c>
      <c r="B3" s="27" t="s">
        <v>25</v>
      </c>
      <c r="C3" s="28"/>
      <c r="D3" s="26">
        <f>C3/3</f>
        <v>0</v>
      </c>
      <c r="E3" s="27">
        <f>C3/3</f>
        <v>0</v>
      </c>
      <c r="F3" s="29">
        <f>C3/3</f>
        <v>0</v>
      </c>
      <c r="G3" s="30">
        <v>0</v>
      </c>
      <c r="H3" s="30">
        <v>0</v>
      </c>
      <c r="I3" s="32">
        <v>0</v>
      </c>
      <c r="J3" s="32"/>
      <c r="K3" s="33">
        <v>0</v>
      </c>
      <c r="L3" s="34">
        <v>0</v>
      </c>
      <c r="M3" s="34">
        <v>0</v>
      </c>
      <c r="N3" s="35"/>
      <c r="O3" s="36">
        <v>0</v>
      </c>
      <c r="P3" s="34">
        <v>0</v>
      </c>
      <c r="Q3" s="34">
        <v>0</v>
      </c>
      <c r="R3" s="35"/>
      <c r="S3" s="37">
        <v>0</v>
      </c>
      <c r="T3" s="34">
        <v>0</v>
      </c>
      <c r="U3" s="34">
        <v>0</v>
      </c>
      <c r="V3" s="35"/>
      <c r="W3" s="38">
        <v>0</v>
      </c>
      <c r="X3" s="31">
        <v>0</v>
      </c>
      <c r="Y3" s="31">
        <v>0</v>
      </c>
      <c r="Z3" s="39"/>
      <c r="AA3" s="37">
        <v>0</v>
      </c>
      <c r="AB3" s="34">
        <v>0</v>
      </c>
      <c r="AC3" s="34">
        <v>0</v>
      </c>
      <c r="AD3" s="40"/>
      <c r="AE3" s="41"/>
      <c r="AF3" s="42"/>
      <c r="AG3" s="43">
        <f t="shared" ref="AG3:AJ35" si="0">G3+K3+O3+S3+W3+AA3</f>
        <v>0</v>
      </c>
      <c r="AH3" s="44">
        <f>H3+L3+P3+T3+X3+AB3</f>
        <v>0</v>
      </c>
      <c r="AI3" s="44">
        <f>I3+M3+Q3+U3+Y3+AC3</f>
        <v>0</v>
      </c>
      <c r="AJ3" s="45">
        <f>J3+N3+R3+V3+Z3+AD3</f>
        <v>0</v>
      </c>
      <c r="AK3" s="46">
        <f t="shared" ref="AK3:AK67" si="1">AG3+AH3+AI3</f>
        <v>0</v>
      </c>
      <c r="AL3" s="47">
        <v>2</v>
      </c>
      <c r="AM3" s="48">
        <f>AG3*AL3</f>
        <v>0</v>
      </c>
      <c r="AN3" s="48">
        <f t="shared" ref="AN3:AN74" si="2">AH3*AL3</f>
        <v>0</v>
      </c>
      <c r="AO3" s="49">
        <f>AI3*AL3</f>
        <v>0</v>
      </c>
      <c r="AP3" s="49">
        <f t="shared" ref="AP3:AP67" si="3">AJ3*AL3</f>
        <v>0</v>
      </c>
      <c r="AQ3" s="50">
        <f>AK3*60</f>
        <v>0</v>
      </c>
      <c r="AR3" s="51">
        <v>51.6</v>
      </c>
      <c r="AS3" s="52">
        <v>8.3999999999999986</v>
      </c>
      <c r="AT3" s="53">
        <f>AK3*AS3</f>
        <v>0</v>
      </c>
      <c r="AU3" s="54">
        <f>AK3*AL3</f>
        <v>0</v>
      </c>
      <c r="AV3" s="55"/>
      <c r="AW3" s="56"/>
      <c r="AX3" s="56"/>
      <c r="AY3" s="52"/>
      <c r="AZ3" s="57">
        <f>AT3-AU3-AW3-AX3-AY3</f>
        <v>0</v>
      </c>
    </row>
    <row r="4" spans="1:52" ht="16.5" thickBot="1" x14ac:dyDescent="0.3">
      <c r="A4" s="58">
        <v>3.5</v>
      </c>
      <c r="B4" s="59" t="s">
        <v>26</v>
      </c>
      <c r="C4" s="60"/>
      <c r="D4" s="26">
        <f t="shared" ref="D4:D68" si="4">C4/3</f>
        <v>0</v>
      </c>
      <c r="E4" s="27">
        <f t="shared" ref="E4:E68" si="5">C4/3</f>
        <v>0</v>
      </c>
      <c r="F4" s="29">
        <f t="shared" ref="F4:F68" si="6">C4/3</f>
        <v>0</v>
      </c>
      <c r="G4" s="30">
        <v>0</v>
      </c>
      <c r="H4" s="31">
        <v>0</v>
      </c>
      <c r="I4" s="32">
        <v>0</v>
      </c>
      <c r="J4" s="61"/>
      <c r="K4" s="33">
        <v>0</v>
      </c>
      <c r="L4" s="34">
        <v>0</v>
      </c>
      <c r="M4" s="34">
        <v>0</v>
      </c>
      <c r="N4" s="62"/>
      <c r="O4" s="34">
        <v>0</v>
      </c>
      <c r="P4" s="34">
        <v>0</v>
      </c>
      <c r="Q4" s="34">
        <v>0</v>
      </c>
      <c r="R4" s="62"/>
      <c r="S4" s="37">
        <v>0</v>
      </c>
      <c r="T4" s="34">
        <v>0</v>
      </c>
      <c r="U4" s="34">
        <v>0</v>
      </c>
      <c r="V4" s="62"/>
      <c r="W4" s="38">
        <v>0</v>
      </c>
      <c r="X4" s="31">
        <v>0</v>
      </c>
      <c r="Y4" s="31">
        <v>0</v>
      </c>
      <c r="Z4" s="63"/>
      <c r="AA4" s="37">
        <v>0</v>
      </c>
      <c r="AB4" s="34">
        <v>0</v>
      </c>
      <c r="AC4" s="34">
        <v>0</v>
      </c>
      <c r="AD4" s="64"/>
      <c r="AE4" s="65"/>
      <c r="AF4" s="40"/>
      <c r="AG4" s="43">
        <f t="shared" si="0"/>
        <v>0</v>
      </c>
      <c r="AH4" s="44">
        <f t="shared" si="0"/>
        <v>0</v>
      </c>
      <c r="AI4" s="44">
        <f t="shared" si="0"/>
        <v>0</v>
      </c>
      <c r="AJ4" s="45">
        <f>J4+N4+R4+V4+Z4+AD4</f>
        <v>0</v>
      </c>
      <c r="AK4" s="46">
        <f t="shared" si="1"/>
        <v>0</v>
      </c>
      <c r="AL4" s="66">
        <v>1.75</v>
      </c>
      <c r="AM4" s="48">
        <f t="shared" ref="AM4:AM74" si="7">AG4*AL4</f>
        <v>0</v>
      </c>
      <c r="AN4" s="48">
        <f t="shared" si="2"/>
        <v>0</v>
      </c>
      <c r="AO4" s="49">
        <f t="shared" ref="AO4:AO68" si="8">AI4*AL4</f>
        <v>0</v>
      </c>
      <c r="AP4" s="49">
        <f t="shared" si="3"/>
        <v>0</v>
      </c>
      <c r="AQ4" s="50">
        <f t="shared" ref="AQ4:AQ67" si="9">AK4*60</f>
        <v>0</v>
      </c>
      <c r="AR4" s="67"/>
      <c r="AS4" s="68"/>
      <c r="AT4" s="69"/>
      <c r="AU4" s="70"/>
      <c r="AV4" s="71"/>
      <c r="AW4" s="72"/>
      <c r="AX4" s="72"/>
      <c r="AY4" s="68"/>
      <c r="AZ4" s="73"/>
    </row>
    <row r="5" spans="1:52" ht="16.5" thickBot="1" x14ac:dyDescent="0.3">
      <c r="A5" s="74">
        <v>3030</v>
      </c>
      <c r="B5" s="75" t="s">
        <v>26</v>
      </c>
      <c r="C5" s="76">
        <v>322</v>
      </c>
      <c r="D5" s="26">
        <f>C5/3</f>
        <v>107.33333333333333</v>
      </c>
      <c r="E5" s="27">
        <f t="shared" si="5"/>
        <v>107.33333333333333</v>
      </c>
      <c r="F5" s="29">
        <f t="shared" si="6"/>
        <v>107.33333333333333</v>
      </c>
      <c r="G5" s="30">
        <v>2</v>
      </c>
      <c r="H5" s="31">
        <v>1</v>
      </c>
      <c r="I5" s="32">
        <v>3</v>
      </c>
      <c r="J5" s="77"/>
      <c r="K5" s="33">
        <v>4</v>
      </c>
      <c r="L5" s="34">
        <v>8</v>
      </c>
      <c r="M5" s="34">
        <v>8</v>
      </c>
      <c r="N5" s="62"/>
      <c r="O5" s="34">
        <v>4</v>
      </c>
      <c r="P5" s="34">
        <v>2</v>
      </c>
      <c r="Q5" s="34">
        <v>7</v>
      </c>
      <c r="R5" s="62"/>
      <c r="S5" s="37">
        <v>5</v>
      </c>
      <c r="T5" s="34">
        <v>7</v>
      </c>
      <c r="U5" s="34">
        <v>2</v>
      </c>
      <c r="V5" s="62"/>
      <c r="W5" s="38">
        <v>6</v>
      </c>
      <c r="X5" s="31">
        <v>23</v>
      </c>
      <c r="Y5" s="31">
        <v>7</v>
      </c>
      <c r="Z5" s="78"/>
      <c r="AA5" s="37">
        <v>6</v>
      </c>
      <c r="AB5" s="34">
        <v>3</v>
      </c>
      <c r="AC5" s="34">
        <v>3</v>
      </c>
      <c r="AD5" s="64"/>
      <c r="AE5" s="79"/>
      <c r="AF5" s="64"/>
      <c r="AG5" s="43">
        <f t="shared" si="0"/>
        <v>27</v>
      </c>
      <c r="AH5" s="44">
        <f t="shared" si="0"/>
        <v>44</v>
      </c>
      <c r="AI5" s="44">
        <f t="shared" si="0"/>
        <v>30</v>
      </c>
      <c r="AJ5" s="45">
        <f t="shared" si="0"/>
        <v>0</v>
      </c>
      <c r="AK5" s="80">
        <f t="shared" si="1"/>
        <v>101</v>
      </c>
      <c r="AL5" s="66">
        <v>1.75</v>
      </c>
      <c r="AM5" s="48">
        <f t="shared" si="7"/>
        <v>47.25</v>
      </c>
      <c r="AN5" s="48">
        <f t="shared" si="2"/>
        <v>77</v>
      </c>
      <c r="AO5" s="49">
        <f t="shared" si="8"/>
        <v>52.5</v>
      </c>
      <c r="AP5" s="49">
        <f t="shared" si="3"/>
        <v>0</v>
      </c>
      <c r="AQ5" s="50">
        <f t="shared" si="9"/>
        <v>6060</v>
      </c>
      <c r="AR5" s="81">
        <v>42.35</v>
      </c>
      <c r="AS5" s="82">
        <v>7.6499999999999986</v>
      </c>
      <c r="AT5" s="83">
        <f t="shared" ref="AT5:AT17" si="10">AK5*AS5</f>
        <v>772.64999999999986</v>
      </c>
      <c r="AU5" s="84">
        <f t="shared" ref="AU5:AU19" si="11">AK5*AL5</f>
        <v>176.75</v>
      </c>
      <c r="AV5" s="85">
        <v>0</v>
      </c>
      <c r="AW5" s="86"/>
      <c r="AX5" s="86"/>
      <c r="AY5" s="82"/>
      <c r="AZ5" s="87">
        <f t="shared" ref="AZ5:AZ17" si="12">AT5-AU5-AW5-AX5-AY5</f>
        <v>595.89999999999986</v>
      </c>
    </row>
    <row r="6" spans="1:52" ht="16.5" thickBot="1" x14ac:dyDescent="0.3">
      <c r="A6" s="74">
        <v>3030</v>
      </c>
      <c r="B6" s="75" t="s">
        <v>27</v>
      </c>
      <c r="C6" s="76">
        <v>64</v>
      </c>
      <c r="D6" s="26">
        <f>C6/3</f>
        <v>21.333333333333332</v>
      </c>
      <c r="E6" s="27">
        <f t="shared" si="5"/>
        <v>21.333333333333332</v>
      </c>
      <c r="F6" s="29">
        <f t="shared" si="6"/>
        <v>21.333333333333332</v>
      </c>
      <c r="G6" s="30">
        <v>2</v>
      </c>
      <c r="H6" s="31">
        <v>1</v>
      </c>
      <c r="I6" s="32">
        <v>1</v>
      </c>
      <c r="J6" s="77"/>
      <c r="K6" s="33">
        <v>3</v>
      </c>
      <c r="L6" s="34">
        <v>6</v>
      </c>
      <c r="M6" s="34">
        <v>6</v>
      </c>
      <c r="N6" s="62"/>
      <c r="O6" s="34">
        <v>2</v>
      </c>
      <c r="P6" s="34">
        <v>0</v>
      </c>
      <c r="Q6" s="34">
        <v>4</v>
      </c>
      <c r="R6" s="62"/>
      <c r="S6" s="37">
        <v>4</v>
      </c>
      <c r="T6" s="34">
        <v>5</v>
      </c>
      <c r="U6" s="34">
        <v>4</v>
      </c>
      <c r="V6" s="62"/>
      <c r="W6" s="38">
        <v>2</v>
      </c>
      <c r="X6" s="31">
        <v>9</v>
      </c>
      <c r="Y6" s="31">
        <v>3</v>
      </c>
      <c r="Z6" s="78"/>
      <c r="AA6" s="37">
        <v>1</v>
      </c>
      <c r="AB6" s="34">
        <v>0</v>
      </c>
      <c r="AC6" s="34">
        <v>3</v>
      </c>
      <c r="AD6" s="64"/>
      <c r="AE6" s="79"/>
      <c r="AF6" s="64"/>
      <c r="AG6" s="43">
        <f t="shared" si="0"/>
        <v>14</v>
      </c>
      <c r="AH6" s="44">
        <f t="shared" si="0"/>
        <v>21</v>
      </c>
      <c r="AI6" s="44">
        <f t="shared" si="0"/>
        <v>21</v>
      </c>
      <c r="AJ6" s="45">
        <f t="shared" si="0"/>
        <v>0</v>
      </c>
      <c r="AK6" s="80">
        <f t="shared" si="1"/>
        <v>56</v>
      </c>
      <c r="AL6" s="66">
        <v>1.75</v>
      </c>
      <c r="AM6" s="48">
        <f t="shared" si="7"/>
        <v>24.5</v>
      </c>
      <c r="AN6" s="48">
        <f t="shared" si="2"/>
        <v>36.75</v>
      </c>
      <c r="AO6" s="49">
        <f t="shared" si="8"/>
        <v>36.75</v>
      </c>
      <c r="AP6" s="49">
        <f t="shared" si="3"/>
        <v>0</v>
      </c>
      <c r="AQ6" s="50">
        <f t="shared" si="9"/>
        <v>3360</v>
      </c>
      <c r="AR6" s="81">
        <v>42.5</v>
      </c>
      <c r="AS6" s="82">
        <v>7.5</v>
      </c>
      <c r="AT6" s="83">
        <f t="shared" si="10"/>
        <v>420</v>
      </c>
      <c r="AU6" s="84">
        <f t="shared" si="11"/>
        <v>98</v>
      </c>
      <c r="AV6" s="85">
        <v>0</v>
      </c>
      <c r="AW6" s="86"/>
      <c r="AX6" s="86"/>
      <c r="AY6" s="82"/>
      <c r="AZ6" s="87">
        <f t="shared" si="12"/>
        <v>322</v>
      </c>
    </row>
    <row r="7" spans="1:52" ht="16.5" thickBot="1" x14ac:dyDescent="0.3">
      <c r="A7" s="74">
        <v>3030</v>
      </c>
      <c r="B7" s="75" t="s">
        <v>25</v>
      </c>
      <c r="C7" s="76">
        <v>2776</v>
      </c>
      <c r="D7" s="26">
        <f t="shared" si="4"/>
        <v>925.33333333333337</v>
      </c>
      <c r="E7" s="27">
        <f t="shared" si="5"/>
        <v>925.33333333333337</v>
      </c>
      <c r="F7" s="29">
        <f t="shared" si="6"/>
        <v>925.33333333333337</v>
      </c>
      <c r="G7" s="30">
        <v>5</v>
      </c>
      <c r="H7" s="31">
        <v>10</v>
      </c>
      <c r="I7" s="32">
        <v>24</v>
      </c>
      <c r="J7" s="77"/>
      <c r="K7" s="33">
        <v>13</v>
      </c>
      <c r="L7" s="34">
        <v>63</v>
      </c>
      <c r="M7" s="34">
        <v>24</v>
      </c>
      <c r="N7" s="62"/>
      <c r="O7" s="34">
        <v>9</v>
      </c>
      <c r="P7" s="34">
        <v>7</v>
      </c>
      <c r="Q7" s="34">
        <v>40</v>
      </c>
      <c r="R7" s="62"/>
      <c r="S7" s="37">
        <v>29</v>
      </c>
      <c r="T7" s="34">
        <v>21</v>
      </c>
      <c r="U7" s="34">
        <v>4</v>
      </c>
      <c r="V7" s="62"/>
      <c r="W7" s="38">
        <v>36</v>
      </c>
      <c r="X7" s="31">
        <v>63</v>
      </c>
      <c r="Y7" s="31">
        <v>37</v>
      </c>
      <c r="Z7" s="78"/>
      <c r="AA7" s="37">
        <v>31</v>
      </c>
      <c r="AB7" s="34">
        <v>5</v>
      </c>
      <c r="AC7" s="34">
        <v>77</v>
      </c>
      <c r="AD7" s="64"/>
      <c r="AE7" s="79"/>
      <c r="AF7" s="64"/>
      <c r="AG7" s="43">
        <f t="shared" si="0"/>
        <v>123</v>
      </c>
      <c r="AH7" s="44">
        <f t="shared" si="0"/>
        <v>169</v>
      </c>
      <c r="AI7" s="44">
        <f t="shared" si="0"/>
        <v>206</v>
      </c>
      <c r="AJ7" s="45">
        <f t="shared" si="0"/>
        <v>0</v>
      </c>
      <c r="AK7" s="80">
        <f t="shared" si="1"/>
        <v>498</v>
      </c>
      <c r="AL7" s="47">
        <v>1.5</v>
      </c>
      <c r="AM7" s="48">
        <f t="shared" si="7"/>
        <v>184.5</v>
      </c>
      <c r="AN7" s="48">
        <f t="shared" si="2"/>
        <v>253.5</v>
      </c>
      <c r="AO7" s="49">
        <f t="shared" si="8"/>
        <v>309</v>
      </c>
      <c r="AP7" s="49">
        <f t="shared" si="3"/>
        <v>0</v>
      </c>
      <c r="AQ7" s="50">
        <f t="shared" si="9"/>
        <v>29880</v>
      </c>
      <c r="AR7" s="81">
        <v>48.33</v>
      </c>
      <c r="AS7" s="82">
        <f>56-AR7</f>
        <v>7.6700000000000017</v>
      </c>
      <c r="AT7" s="83">
        <f t="shared" si="10"/>
        <v>3819.6600000000008</v>
      </c>
      <c r="AU7" s="84">
        <f t="shared" si="11"/>
        <v>747</v>
      </c>
      <c r="AV7" s="85">
        <v>0</v>
      </c>
      <c r="AW7" s="86"/>
      <c r="AX7" s="86"/>
      <c r="AY7" s="82"/>
      <c r="AZ7" s="87">
        <f t="shared" si="12"/>
        <v>3072.6600000000008</v>
      </c>
    </row>
    <row r="8" spans="1:52" ht="16.5" thickBot="1" x14ac:dyDescent="0.3">
      <c r="A8" s="74">
        <v>3030</v>
      </c>
      <c r="B8" s="75" t="s">
        <v>28</v>
      </c>
      <c r="C8" s="76">
        <v>136</v>
      </c>
      <c r="D8" s="26">
        <f t="shared" si="4"/>
        <v>45.333333333333336</v>
      </c>
      <c r="E8" s="27">
        <f t="shared" si="5"/>
        <v>45.333333333333336</v>
      </c>
      <c r="F8" s="29">
        <f t="shared" si="6"/>
        <v>45.333333333333336</v>
      </c>
      <c r="G8" s="30">
        <v>0</v>
      </c>
      <c r="H8" s="31">
        <v>0</v>
      </c>
      <c r="I8" s="32">
        <v>0</v>
      </c>
      <c r="J8" s="77"/>
      <c r="K8" s="33">
        <v>0</v>
      </c>
      <c r="L8" s="34">
        <v>4</v>
      </c>
      <c r="M8" s="34">
        <v>0</v>
      </c>
      <c r="N8" s="62"/>
      <c r="O8" s="34">
        <v>0</v>
      </c>
      <c r="P8" s="34">
        <v>0</v>
      </c>
      <c r="Q8" s="34">
        <v>2</v>
      </c>
      <c r="R8" s="62"/>
      <c r="S8" s="37">
        <v>0</v>
      </c>
      <c r="T8" s="34">
        <v>0</v>
      </c>
      <c r="U8" s="34">
        <v>1</v>
      </c>
      <c r="V8" s="62"/>
      <c r="W8" s="38">
        <v>0</v>
      </c>
      <c r="X8" s="31">
        <v>4</v>
      </c>
      <c r="Y8" s="31">
        <v>0</v>
      </c>
      <c r="Z8" s="78"/>
      <c r="AA8" s="37">
        <v>0</v>
      </c>
      <c r="AB8" s="34">
        <v>0</v>
      </c>
      <c r="AC8" s="34">
        <v>0</v>
      </c>
      <c r="AD8" s="64"/>
      <c r="AE8" s="79"/>
      <c r="AF8" s="64"/>
      <c r="AG8" s="43">
        <f t="shared" si="0"/>
        <v>0</v>
      </c>
      <c r="AH8" s="44">
        <f t="shared" si="0"/>
        <v>8</v>
      </c>
      <c r="AI8" s="44">
        <f t="shared" si="0"/>
        <v>3</v>
      </c>
      <c r="AJ8" s="45">
        <f t="shared" si="0"/>
        <v>0</v>
      </c>
      <c r="AK8" s="80">
        <f t="shared" si="1"/>
        <v>11</v>
      </c>
      <c r="AL8" s="47">
        <v>1.5</v>
      </c>
      <c r="AM8" s="48">
        <f t="shared" si="7"/>
        <v>0</v>
      </c>
      <c r="AN8" s="48">
        <f t="shared" si="2"/>
        <v>12</v>
      </c>
      <c r="AO8" s="49">
        <f t="shared" si="8"/>
        <v>4.5</v>
      </c>
      <c r="AP8" s="49">
        <f t="shared" si="3"/>
        <v>0</v>
      </c>
      <c r="AQ8" s="50">
        <f t="shared" si="9"/>
        <v>660</v>
      </c>
      <c r="AR8" s="81">
        <v>43.2</v>
      </c>
      <c r="AS8" s="82">
        <v>6.7999999999999972</v>
      </c>
      <c r="AT8" s="83">
        <f t="shared" si="10"/>
        <v>74.799999999999969</v>
      </c>
      <c r="AU8" s="84">
        <f t="shared" si="11"/>
        <v>16.5</v>
      </c>
      <c r="AV8" s="85">
        <v>0</v>
      </c>
      <c r="AW8" s="86"/>
      <c r="AX8" s="86"/>
      <c r="AY8" s="82"/>
      <c r="AZ8" s="87">
        <f t="shared" si="12"/>
        <v>58.299999999999969</v>
      </c>
    </row>
    <row r="9" spans="1:52" ht="16.5" thickBot="1" x14ac:dyDescent="0.3">
      <c r="A9" s="74">
        <v>3030</v>
      </c>
      <c r="B9" s="75" t="s">
        <v>29</v>
      </c>
      <c r="C9" s="76">
        <v>67</v>
      </c>
      <c r="D9" s="26">
        <f t="shared" si="4"/>
        <v>22.333333333333332</v>
      </c>
      <c r="E9" s="27">
        <f t="shared" si="5"/>
        <v>22.333333333333332</v>
      </c>
      <c r="F9" s="29">
        <f t="shared" si="6"/>
        <v>22.333333333333332</v>
      </c>
      <c r="G9" s="30">
        <v>0</v>
      </c>
      <c r="H9" s="31">
        <v>0</v>
      </c>
      <c r="I9" s="32">
        <v>0</v>
      </c>
      <c r="J9" s="77"/>
      <c r="K9" s="33">
        <v>0</v>
      </c>
      <c r="L9" s="34">
        <v>0</v>
      </c>
      <c r="M9" s="34">
        <v>0</v>
      </c>
      <c r="N9" s="62"/>
      <c r="O9" s="34">
        <v>0</v>
      </c>
      <c r="P9" s="34">
        <v>0</v>
      </c>
      <c r="Q9" s="34">
        <v>0</v>
      </c>
      <c r="R9" s="62"/>
      <c r="S9" s="37">
        <v>0</v>
      </c>
      <c r="T9" s="34">
        <v>0</v>
      </c>
      <c r="U9" s="34">
        <v>0</v>
      </c>
      <c r="V9" s="62"/>
      <c r="W9" s="38">
        <v>0</v>
      </c>
      <c r="X9" s="31">
        <v>0</v>
      </c>
      <c r="Y9" s="31">
        <v>0</v>
      </c>
      <c r="Z9" s="78"/>
      <c r="AA9" s="37">
        <v>0</v>
      </c>
      <c r="AB9" s="34">
        <v>0</v>
      </c>
      <c r="AC9" s="34">
        <v>0</v>
      </c>
      <c r="AD9" s="64"/>
      <c r="AE9" s="79"/>
      <c r="AF9" s="64"/>
      <c r="AG9" s="43">
        <f t="shared" si="0"/>
        <v>0</v>
      </c>
      <c r="AH9" s="44">
        <f t="shared" si="0"/>
        <v>0</v>
      </c>
      <c r="AI9" s="44">
        <f t="shared" si="0"/>
        <v>0</v>
      </c>
      <c r="AJ9" s="45">
        <f t="shared" si="0"/>
        <v>0</v>
      </c>
      <c r="AK9" s="80">
        <f t="shared" si="1"/>
        <v>0</v>
      </c>
      <c r="AL9" s="47">
        <v>1.5</v>
      </c>
      <c r="AM9" s="48">
        <f t="shared" si="7"/>
        <v>0</v>
      </c>
      <c r="AN9" s="48">
        <f t="shared" si="2"/>
        <v>0</v>
      </c>
      <c r="AO9" s="49">
        <f t="shared" si="8"/>
        <v>0</v>
      </c>
      <c r="AP9" s="49">
        <f t="shared" si="3"/>
        <v>0</v>
      </c>
      <c r="AQ9" s="50">
        <f t="shared" si="9"/>
        <v>0</v>
      </c>
      <c r="AR9" s="81">
        <v>43.2</v>
      </c>
      <c r="AS9" s="82">
        <v>6.7999999999999972</v>
      </c>
      <c r="AT9" s="83">
        <f t="shared" si="10"/>
        <v>0</v>
      </c>
      <c r="AU9" s="84">
        <f t="shared" si="11"/>
        <v>0</v>
      </c>
      <c r="AV9" s="85">
        <v>0</v>
      </c>
      <c r="AW9" s="86"/>
      <c r="AX9" s="86"/>
      <c r="AY9" s="82"/>
      <c r="AZ9" s="87">
        <f t="shared" si="12"/>
        <v>0</v>
      </c>
    </row>
    <row r="10" spans="1:52" ht="16.5" thickBot="1" x14ac:dyDescent="0.3">
      <c r="A10" s="74">
        <v>3030</v>
      </c>
      <c r="B10" s="75" t="s">
        <v>30</v>
      </c>
      <c r="C10" s="76"/>
      <c r="D10" s="26">
        <f t="shared" si="4"/>
        <v>0</v>
      </c>
      <c r="E10" s="27">
        <f t="shared" si="5"/>
        <v>0</v>
      </c>
      <c r="F10" s="29">
        <f t="shared" si="6"/>
        <v>0</v>
      </c>
      <c r="G10" s="30">
        <v>0</v>
      </c>
      <c r="H10" s="31">
        <v>0</v>
      </c>
      <c r="I10" s="32">
        <v>0</v>
      </c>
      <c r="J10" s="77"/>
      <c r="K10" s="33">
        <v>0</v>
      </c>
      <c r="L10" s="34">
        <v>0</v>
      </c>
      <c r="M10" s="34">
        <v>0</v>
      </c>
      <c r="N10" s="62"/>
      <c r="O10" s="34">
        <v>0</v>
      </c>
      <c r="P10" s="34">
        <v>0</v>
      </c>
      <c r="Q10" s="34">
        <v>0</v>
      </c>
      <c r="R10" s="62"/>
      <c r="S10" s="37">
        <v>0</v>
      </c>
      <c r="T10" s="34">
        <v>0</v>
      </c>
      <c r="U10" s="34">
        <v>0</v>
      </c>
      <c r="V10" s="62"/>
      <c r="W10" s="38">
        <v>0</v>
      </c>
      <c r="X10" s="31">
        <v>0</v>
      </c>
      <c r="Y10" s="31">
        <v>0</v>
      </c>
      <c r="Z10" s="78"/>
      <c r="AA10" s="37">
        <v>0</v>
      </c>
      <c r="AB10" s="34">
        <v>0</v>
      </c>
      <c r="AC10" s="34">
        <v>0</v>
      </c>
      <c r="AD10" s="64"/>
      <c r="AE10" s="79"/>
      <c r="AF10" s="64"/>
      <c r="AG10" s="43">
        <f t="shared" si="0"/>
        <v>0</v>
      </c>
      <c r="AH10" s="44">
        <f t="shared" si="0"/>
        <v>0</v>
      </c>
      <c r="AI10" s="44">
        <f t="shared" si="0"/>
        <v>0</v>
      </c>
      <c r="AJ10" s="45">
        <f t="shared" si="0"/>
        <v>0</v>
      </c>
      <c r="AK10" s="80">
        <f t="shared" si="1"/>
        <v>0</v>
      </c>
      <c r="AL10" s="47">
        <v>1.5</v>
      </c>
      <c r="AM10" s="48">
        <f t="shared" si="7"/>
        <v>0</v>
      </c>
      <c r="AN10" s="48">
        <f t="shared" si="2"/>
        <v>0</v>
      </c>
      <c r="AO10" s="49">
        <f t="shared" si="8"/>
        <v>0</v>
      </c>
      <c r="AP10" s="49">
        <f t="shared" si="3"/>
        <v>0</v>
      </c>
      <c r="AQ10" s="50">
        <f t="shared" si="9"/>
        <v>0</v>
      </c>
      <c r="AR10" s="81">
        <v>43.2</v>
      </c>
      <c r="AS10" s="82">
        <v>6.7999999999999972</v>
      </c>
      <c r="AT10" s="83">
        <f t="shared" si="10"/>
        <v>0</v>
      </c>
      <c r="AU10" s="84">
        <f t="shared" si="11"/>
        <v>0</v>
      </c>
      <c r="AV10" s="85">
        <v>0</v>
      </c>
      <c r="AW10" s="86"/>
      <c r="AX10" s="86"/>
      <c r="AY10" s="82"/>
      <c r="AZ10" s="87">
        <f t="shared" si="12"/>
        <v>0</v>
      </c>
    </row>
    <row r="11" spans="1:52" ht="16.5" thickBot="1" x14ac:dyDescent="0.3">
      <c r="A11" s="74">
        <v>3030</v>
      </c>
      <c r="B11" s="75" t="s">
        <v>31</v>
      </c>
      <c r="C11" s="76">
        <v>67</v>
      </c>
      <c r="D11" s="26">
        <f t="shared" si="4"/>
        <v>22.333333333333332</v>
      </c>
      <c r="E11" s="27">
        <f t="shared" si="5"/>
        <v>22.333333333333332</v>
      </c>
      <c r="F11" s="29">
        <f t="shared" si="6"/>
        <v>22.333333333333332</v>
      </c>
      <c r="G11" s="30">
        <v>0</v>
      </c>
      <c r="H11" s="31">
        <v>0</v>
      </c>
      <c r="I11" s="32">
        <v>0</v>
      </c>
      <c r="J11" s="77"/>
      <c r="K11" s="33">
        <v>0</v>
      </c>
      <c r="L11" s="34">
        <v>0</v>
      </c>
      <c r="M11" s="34">
        <v>0</v>
      </c>
      <c r="N11" s="62"/>
      <c r="O11" s="34">
        <v>0</v>
      </c>
      <c r="P11" s="34">
        <v>0</v>
      </c>
      <c r="Q11" s="34">
        <v>0</v>
      </c>
      <c r="R11" s="62"/>
      <c r="S11" s="37">
        <v>0</v>
      </c>
      <c r="T11" s="34">
        <v>0</v>
      </c>
      <c r="U11" s="34">
        <v>0</v>
      </c>
      <c r="V11" s="62"/>
      <c r="W11" s="38">
        <v>0</v>
      </c>
      <c r="X11" s="31">
        <v>0</v>
      </c>
      <c r="Y11" s="31">
        <v>0</v>
      </c>
      <c r="Z11" s="78"/>
      <c r="AA11" s="37">
        <v>0</v>
      </c>
      <c r="AB11" s="34">
        <v>0</v>
      </c>
      <c r="AC11" s="34">
        <v>0</v>
      </c>
      <c r="AD11" s="64"/>
      <c r="AE11" s="79"/>
      <c r="AF11" s="64"/>
      <c r="AG11" s="43">
        <f t="shared" si="0"/>
        <v>0</v>
      </c>
      <c r="AH11" s="44">
        <f t="shared" si="0"/>
        <v>0</v>
      </c>
      <c r="AI11" s="44">
        <f t="shared" si="0"/>
        <v>0</v>
      </c>
      <c r="AJ11" s="45">
        <f t="shared" si="0"/>
        <v>0</v>
      </c>
      <c r="AK11" s="80">
        <f t="shared" si="1"/>
        <v>0</v>
      </c>
      <c r="AL11" s="47">
        <v>1.5</v>
      </c>
      <c r="AM11" s="48">
        <f t="shared" si="7"/>
        <v>0</v>
      </c>
      <c r="AN11" s="48">
        <f t="shared" si="2"/>
        <v>0</v>
      </c>
      <c r="AO11" s="49">
        <f t="shared" si="8"/>
        <v>0</v>
      </c>
      <c r="AP11" s="49">
        <f t="shared" si="3"/>
        <v>0</v>
      </c>
      <c r="AQ11" s="50">
        <f t="shared" si="9"/>
        <v>0</v>
      </c>
      <c r="AR11" s="81">
        <v>43.2</v>
      </c>
      <c r="AS11" s="82">
        <v>6.7999999999999972</v>
      </c>
      <c r="AT11" s="83">
        <f t="shared" si="10"/>
        <v>0</v>
      </c>
      <c r="AU11" s="84">
        <f t="shared" si="11"/>
        <v>0</v>
      </c>
      <c r="AV11" s="85">
        <v>0</v>
      </c>
      <c r="AW11" s="86"/>
      <c r="AX11" s="86"/>
      <c r="AY11" s="82"/>
      <c r="AZ11" s="87">
        <f t="shared" si="12"/>
        <v>0</v>
      </c>
    </row>
    <row r="12" spans="1:52" ht="16.5" thickBot="1" x14ac:dyDescent="0.3">
      <c r="A12" s="74">
        <v>3030</v>
      </c>
      <c r="B12" s="75" t="s">
        <v>32</v>
      </c>
      <c r="C12" s="88">
        <v>0</v>
      </c>
      <c r="D12" s="26">
        <f t="shared" si="4"/>
        <v>0</v>
      </c>
      <c r="E12" s="27">
        <f t="shared" si="5"/>
        <v>0</v>
      </c>
      <c r="F12" s="29">
        <f t="shared" si="6"/>
        <v>0</v>
      </c>
      <c r="G12" s="30">
        <v>0</v>
      </c>
      <c r="H12" s="31">
        <v>0</v>
      </c>
      <c r="I12" s="32">
        <v>0</v>
      </c>
      <c r="J12" s="77"/>
      <c r="K12" s="33">
        <v>0</v>
      </c>
      <c r="L12" s="34">
        <v>0</v>
      </c>
      <c r="M12" s="34">
        <v>0</v>
      </c>
      <c r="N12" s="62"/>
      <c r="O12" s="34">
        <v>0</v>
      </c>
      <c r="P12" s="34">
        <v>0</v>
      </c>
      <c r="Q12" s="34">
        <v>0</v>
      </c>
      <c r="R12" s="62"/>
      <c r="S12" s="37">
        <v>0</v>
      </c>
      <c r="T12" s="34">
        <v>0</v>
      </c>
      <c r="U12" s="34">
        <v>0</v>
      </c>
      <c r="V12" s="62"/>
      <c r="W12" s="38">
        <v>0</v>
      </c>
      <c r="X12" s="31">
        <v>0</v>
      </c>
      <c r="Y12" s="31">
        <v>0</v>
      </c>
      <c r="Z12" s="78"/>
      <c r="AA12" s="37">
        <v>0</v>
      </c>
      <c r="AB12" s="34">
        <v>0</v>
      </c>
      <c r="AC12" s="34">
        <v>0</v>
      </c>
      <c r="AD12" s="64"/>
      <c r="AE12" s="79"/>
      <c r="AF12" s="64"/>
      <c r="AG12" s="43">
        <f t="shared" si="0"/>
        <v>0</v>
      </c>
      <c r="AH12" s="44">
        <f t="shared" si="0"/>
        <v>0</v>
      </c>
      <c r="AI12" s="44">
        <f t="shared" si="0"/>
        <v>0</v>
      </c>
      <c r="AJ12" s="45">
        <f t="shared" si="0"/>
        <v>0</v>
      </c>
      <c r="AK12" s="80">
        <f t="shared" si="1"/>
        <v>0</v>
      </c>
      <c r="AL12" s="47">
        <v>2</v>
      </c>
      <c r="AM12" s="48">
        <f t="shared" si="7"/>
        <v>0</v>
      </c>
      <c r="AN12" s="48">
        <f t="shared" si="2"/>
        <v>0</v>
      </c>
      <c r="AO12" s="49">
        <f t="shared" si="8"/>
        <v>0</v>
      </c>
      <c r="AP12" s="49">
        <f t="shared" si="3"/>
        <v>0</v>
      </c>
      <c r="AQ12" s="50">
        <f t="shared" si="9"/>
        <v>0</v>
      </c>
      <c r="AR12" s="81">
        <v>42.35</v>
      </c>
      <c r="AS12" s="82">
        <v>7.6499999999999986</v>
      </c>
      <c r="AT12" s="83">
        <f t="shared" si="10"/>
        <v>0</v>
      </c>
      <c r="AU12" s="84">
        <f t="shared" si="11"/>
        <v>0</v>
      </c>
      <c r="AV12" s="85">
        <v>0</v>
      </c>
      <c r="AW12" s="86"/>
      <c r="AX12" s="86"/>
      <c r="AY12" s="82"/>
      <c r="AZ12" s="87">
        <f t="shared" si="12"/>
        <v>0</v>
      </c>
    </row>
    <row r="13" spans="1:52" ht="16.5" thickBot="1" x14ac:dyDescent="0.3">
      <c r="A13" s="74">
        <v>2250</v>
      </c>
      <c r="B13" s="75" t="s">
        <v>25</v>
      </c>
      <c r="C13" s="76"/>
      <c r="D13" s="26">
        <f t="shared" si="4"/>
        <v>0</v>
      </c>
      <c r="E13" s="27">
        <f t="shared" si="5"/>
        <v>0</v>
      </c>
      <c r="F13" s="29">
        <f t="shared" si="6"/>
        <v>0</v>
      </c>
      <c r="G13" s="30">
        <v>0</v>
      </c>
      <c r="H13" s="31">
        <v>0</v>
      </c>
      <c r="I13" s="32">
        <v>0</v>
      </c>
      <c r="J13" s="77"/>
      <c r="K13" s="33">
        <v>0</v>
      </c>
      <c r="L13" s="34">
        <v>0</v>
      </c>
      <c r="M13" s="34">
        <v>0</v>
      </c>
      <c r="N13" s="62"/>
      <c r="O13" s="34">
        <v>0</v>
      </c>
      <c r="P13" s="34">
        <v>0</v>
      </c>
      <c r="Q13" s="34">
        <v>0</v>
      </c>
      <c r="R13" s="62"/>
      <c r="S13" s="37">
        <v>0</v>
      </c>
      <c r="T13" s="34">
        <v>0</v>
      </c>
      <c r="U13" s="34">
        <v>0</v>
      </c>
      <c r="V13" s="62"/>
      <c r="W13" s="38">
        <v>0</v>
      </c>
      <c r="X13" s="31">
        <v>0</v>
      </c>
      <c r="Y13" s="31">
        <v>0</v>
      </c>
      <c r="Z13" s="78"/>
      <c r="AA13" s="37">
        <v>0</v>
      </c>
      <c r="AB13" s="34">
        <v>0</v>
      </c>
      <c r="AC13" s="34">
        <v>0</v>
      </c>
      <c r="AD13" s="64"/>
      <c r="AE13" s="79"/>
      <c r="AF13" s="64"/>
      <c r="AG13" s="43">
        <f t="shared" si="0"/>
        <v>0</v>
      </c>
      <c r="AH13" s="44">
        <f t="shared" si="0"/>
        <v>0</v>
      </c>
      <c r="AI13" s="44">
        <f t="shared" si="0"/>
        <v>0</v>
      </c>
      <c r="AJ13" s="45">
        <f>J13+N13+R13+V13+Z13+AD13</f>
        <v>0</v>
      </c>
      <c r="AK13" s="80">
        <f t="shared" si="1"/>
        <v>0</v>
      </c>
      <c r="AL13" s="47">
        <v>1.5</v>
      </c>
      <c r="AM13" s="48">
        <f t="shared" si="7"/>
        <v>0</v>
      </c>
      <c r="AN13" s="48">
        <f t="shared" si="2"/>
        <v>0</v>
      </c>
      <c r="AO13" s="49">
        <f t="shared" si="8"/>
        <v>0</v>
      </c>
      <c r="AP13" s="49">
        <f t="shared" si="3"/>
        <v>0</v>
      </c>
      <c r="AQ13" s="50">
        <f t="shared" si="9"/>
        <v>0</v>
      </c>
      <c r="AR13" s="81">
        <v>34.68</v>
      </c>
      <c r="AS13" s="82">
        <v>5.32</v>
      </c>
      <c r="AT13" s="83">
        <f t="shared" si="10"/>
        <v>0</v>
      </c>
      <c r="AU13" s="84">
        <f t="shared" si="11"/>
        <v>0</v>
      </c>
      <c r="AV13" s="85">
        <v>0</v>
      </c>
      <c r="AW13" s="86"/>
      <c r="AX13" s="86"/>
      <c r="AY13" s="82"/>
      <c r="AZ13" s="87">
        <f t="shared" si="12"/>
        <v>0</v>
      </c>
    </row>
    <row r="14" spans="1:52" ht="16.5" thickBot="1" x14ac:dyDescent="0.3">
      <c r="A14" s="74">
        <v>2250</v>
      </c>
      <c r="B14" s="75" t="s">
        <v>33</v>
      </c>
      <c r="C14" s="76"/>
      <c r="D14" s="26">
        <f t="shared" si="4"/>
        <v>0</v>
      </c>
      <c r="E14" s="27">
        <f t="shared" si="5"/>
        <v>0</v>
      </c>
      <c r="F14" s="29">
        <f t="shared" si="6"/>
        <v>0</v>
      </c>
      <c r="G14" s="30">
        <v>0</v>
      </c>
      <c r="H14" s="31">
        <v>0</v>
      </c>
      <c r="I14" s="32">
        <v>0</v>
      </c>
      <c r="J14" s="77"/>
      <c r="K14" s="33">
        <v>0</v>
      </c>
      <c r="L14" s="34">
        <v>0</v>
      </c>
      <c r="M14" s="34">
        <v>0</v>
      </c>
      <c r="N14" s="62"/>
      <c r="O14" s="34">
        <v>0</v>
      </c>
      <c r="P14" s="34">
        <v>0</v>
      </c>
      <c r="Q14" s="34">
        <v>0</v>
      </c>
      <c r="R14" s="62"/>
      <c r="S14" s="37">
        <v>0</v>
      </c>
      <c r="T14" s="34">
        <v>0</v>
      </c>
      <c r="U14" s="34">
        <v>0</v>
      </c>
      <c r="V14" s="62"/>
      <c r="W14" s="38">
        <v>0</v>
      </c>
      <c r="X14" s="31">
        <v>0</v>
      </c>
      <c r="Y14" s="31">
        <v>0</v>
      </c>
      <c r="Z14" s="78"/>
      <c r="AA14" s="37">
        <v>0</v>
      </c>
      <c r="AB14" s="34">
        <v>0</v>
      </c>
      <c r="AC14" s="34">
        <v>0</v>
      </c>
      <c r="AD14" s="64"/>
      <c r="AE14" s="79"/>
      <c r="AF14" s="64"/>
      <c r="AG14" s="43">
        <f t="shared" si="0"/>
        <v>0</v>
      </c>
      <c r="AH14" s="44">
        <f t="shared" si="0"/>
        <v>0</v>
      </c>
      <c r="AI14" s="44">
        <f t="shared" si="0"/>
        <v>0</v>
      </c>
      <c r="AJ14" s="45">
        <f t="shared" si="0"/>
        <v>0</v>
      </c>
      <c r="AK14" s="80">
        <f t="shared" si="1"/>
        <v>0</v>
      </c>
      <c r="AL14" s="47">
        <v>1.5</v>
      </c>
      <c r="AM14" s="48">
        <f t="shared" si="7"/>
        <v>0</v>
      </c>
      <c r="AN14" s="48">
        <f t="shared" si="2"/>
        <v>0</v>
      </c>
      <c r="AO14" s="49">
        <f t="shared" si="8"/>
        <v>0</v>
      </c>
      <c r="AP14" s="49">
        <f t="shared" si="3"/>
        <v>0</v>
      </c>
      <c r="AQ14" s="50">
        <f t="shared" si="9"/>
        <v>0</v>
      </c>
      <c r="AR14" s="81">
        <v>34.68</v>
      </c>
      <c r="AS14" s="82">
        <v>5.32</v>
      </c>
      <c r="AT14" s="83">
        <f t="shared" si="10"/>
        <v>0</v>
      </c>
      <c r="AU14" s="84">
        <f t="shared" si="11"/>
        <v>0</v>
      </c>
      <c r="AV14" s="85">
        <v>0</v>
      </c>
      <c r="AW14" s="86"/>
      <c r="AX14" s="86"/>
      <c r="AY14" s="82"/>
      <c r="AZ14" s="87">
        <f t="shared" si="12"/>
        <v>0</v>
      </c>
    </row>
    <row r="15" spans="1:52" ht="16.5" thickBot="1" x14ac:dyDescent="0.3">
      <c r="A15" s="74">
        <v>1800</v>
      </c>
      <c r="B15" s="75" t="s">
        <v>34</v>
      </c>
      <c r="C15" s="76"/>
      <c r="D15" s="26">
        <f t="shared" si="4"/>
        <v>0</v>
      </c>
      <c r="E15" s="27">
        <f t="shared" si="5"/>
        <v>0</v>
      </c>
      <c r="F15" s="29">
        <f t="shared" si="6"/>
        <v>0</v>
      </c>
      <c r="G15" s="30">
        <v>0</v>
      </c>
      <c r="H15" s="31">
        <v>0</v>
      </c>
      <c r="I15" s="32">
        <v>0</v>
      </c>
      <c r="J15" s="77"/>
      <c r="K15" s="33">
        <v>0</v>
      </c>
      <c r="L15" s="34">
        <v>0</v>
      </c>
      <c r="M15" s="34">
        <v>0</v>
      </c>
      <c r="N15" s="62"/>
      <c r="O15" s="34">
        <v>0</v>
      </c>
      <c r="P15" s="34">
        <v>0</v>
      </c>
      <c r="Q15" s="34">
        <v>0</v>
      </c>
      <c r="R15" s="62"/>
      <c r="S15" s="37">
        <v>0</v>
      </c>
      <c r="T15" s="34">
        <v>0</v>
      </c>
      <c r="U15" s="34">
        <v>0</v>
      </c>
      <c r="V15" s="62"/>
      <c r="W15" s="38">
        <v>0</v>
      </c>
      <c r="X15" s="31">
        <v>0</v>
      </c>
      <c r="Y15" s="31">
        <v>0</v>
      </c>
      <c r="Z15" s="78"/>
      <c r="AA15" s="37">
        <v>0</v>
      </c>
      <c r="AB15" s="34">
        <v>0</v>
      </c>
      <c r="AC15" s="34">
        <v>0</v>
      </c>
      <c r="AD15" s="64"/>
      <c r="AE15" s="79"/>
      <c r="AF15" s="64"/>
      <c r="AG15" s="43">
        <f t="shared" si="0"/>
        <v>0</v>
      </c>
      <c r="AH15" s="44">
        <f t="shared" si="0"/>
        <v>0</v>
      </c>
      <c r="AI15" s="44">
        <f t="shared" si="0"/>
        <v>0</v>
      </c>
      <c r="AJ15" s="45">
        <f t="shared" si="0"/>
        <v>0</v>
      </c>
      <c r="AK15" s="80">
        <f t="shared" si="1"/>
        <v>0</v>
      </c>
      <c r="AL15" s="47">
        <v>1.5</v>
      </c>
      <c r="AM15" s="48">
        <f t="shared" si="7"/>
        <v>0</v>
      </c>
      <c r="AN15" s="48">
        <f t="shared" si="2"/>
        <v>0</v>
      </c>
      <c r="AO15" s="49">
        <f t="shared" si="8"/>
        <v>0</v>
      </c>
      <c r="AP15" s="49">
        <f t="shared" si="3"/>
        <v>0</v>
      </c>
      <c r="AQ15" s="50">
        <f t="shared" si="9"/>
        <v>0</v>
      </c>
      <c r="AR15" s="81">
        <v>29.54</v>
      </c>
      <c r="AS15" s="82">
        <v>5.4600000000000009</v>
      </c>
      <c r="AT15" s="83">
        <f t="shared" si="10"/>
        <v>0</v>
      </c>
      <c r="AU15" s="84">
        <f t="shared" si="11"/>
        <v>0</v>
      </c>
      <c r="AV15" s="85">
        <v>0</v>
      </c>
      <c r="AW15" s="86"/>
      <c r="AX15" s="86"/>
      <c r="AY15" s="82"/>
      <c r="AZ15" s="87">
        <f t="shared" si="12"/>
        <v>0</v>
      </c>
    </row>
    <row r="16" spans="1:52" ht="16.5" thickBot="1" x14ac:dyDescent="0.3">
      <c r="A16" s="74">
        <v>1800</v>
      </c>
      <c r="B16" s="75" t="s">
        <v>25</v>
      </c>
      <c r="C16" s="88"/>
      <c r="D16" s="26">
        <f t="shared" si="4"/>
        <v>0</v>
      </c>
      <c r="E16" s="27">
        <f t="shared" si="5"/>
        <v>0</v>
      </c>
      <c r="F16" s="29">
        <f t="shared" si="6"/>
        <v>0</v>
      </c>
      <c r="G16" s="30">
        <v>0</v>
      </c>
      <c r="H16" s="31">
        <v>0</v>
      </c>
      <c r="I16" s="32">
        <v>0</v>
      </c>
      <c r="J16" s="77"/>
      <c r="K16" s="33">
        <v>0</v>
      </c>
      <c r="L16" s="34">
        <v>0</v>
      </c>
      <c r="M16" s="34">
        <v>0</v>
      </c>
      <c r="N16" s="62"/>
      <c r="O16" s="34">
        <v>0</v>
      </c>
      <c r="P16" s="34">
        <v>0</v>
      </c>
      <c r="Q16" s="34">
        <v>0</v>
      </c>
      <c r="R16" s="62"/>
      <c r="S16" s="37">
        <v>0</v>
      </c>
      <c r="T16" s="34">
        <v>0</v>
      </c>
      <c r="U16" s="34">
        <v>0</v>
      </c>
      <c r="V16" s="62"/>
      <c r="W16" s="38">
        <v>0</v>
      </c>
      <c r="X16" s="31">
        <v>0</v>
      </c>
      <c r="Y16" s="31">
        <v>0</v>
      </c>
      <c r="Z16" s="78"/>
      <c r="AA16" s="37">
        <v>0</v>
      </c>
      <c r="AB16" s="34">
        <v>0</v>
      </c>
      <c r="AC16" s="34">
        <v>0</v>
      </c>
      <c r="AD16" s="64"/>
      <c r="AE16" s="79"/>
      <c r="AF16" s="64"/>
      <c r="AG16" s="43">
        <f t="shared" si="0"/>
        <v>0</v>
      </c>
      <c r="AH16" s="44">
        <f t="shared" si="0"/>
        <v>0</v>
      </c>
      <c r="AI16" s="44">
        <f t="shared" si="0"/>
        <v>0</v>
      </c>
      <c r="AJ16" s="45">
        <f t="shared" si="0"/>
        <v>0</v>
      </c>
      <c r="AK16" s="80">
        <f t="shared" si="1"/>
        <v>0</v>
      </c>
      <c r="AL16" s="47">
        <v>1.5</v>
      </c>
      <c r="AM16" s="48">
        <f t="shared" si="7"/>
        <v>0</v>
      </c>
      <c r="AN16" s="48">
        <f t="shared" si="2"/>
        <v>0</v>
      </c>
      <c r="AO16" s="49">
        <f t="shared" si="8"/>
        <v>0</v>
      </c>
      <c r="AP16" s="49">
        <f t="shared" si="3"/>
        <v>0</v>
      </c>
      <c r="AQ16" s="50">
        <f t="shared" si="9"/>
        <v>0</v>
      </c>
      <c r="AR16" s="81">
        <v>28.05</v>
      </c>
      <c r="AS16" s="82">
        <v>6.9499999999999993</v>
      </c>
      <c r="AT16" s="83">
        <f t="shared" si="10"/>
        <v>0</v>
      </c>
      <c r="AU16" s="84">
        <f t="shared" si="11"/>
        <v>0</v>
      </c>
      <c r="AV16" s="85">
        <v>0</v>
      </c>
      <c r="AW16" s="86"/>
      <c r="AX16" s="86"/>
      <c r="AY16" s="82"/>
      <c r="AZ16" s="87">
        <f t="shared" si="12"/>
        <v>0</v>
      </c>
    </row>
    <row r="17" spans="1:52" ht="16.5" thickBot="1" x14ac:dyDescent="0.3">
      <c r="A17" s="74">
        <v>1.3</v>
      </c>
      <c r="B17" s="75" t="s">
        <v>35</v>
      </c>
      <c r="C17" s="76">
        <v>1302</v>
      </c>
      <c r="D17" s="26">
        <f t="shared" si="4"/>
        <v>434</v>
      </c>
      <c r="E17" s="27">
        <f t="shared" si="5"/>
        <v>434</v>
      </c>
      <c r="F17" s="29">
        <f t="shared" si="6"/>
        <v>434</v>
      </c>
      <c r="G17" s="30">
        <v>1</v>
      </c>
      <c r="H17" s="31">
        <v>2</v>
      </c>
      <c r="I17" s="32">
        <v>10</v>
      </c>
      <c r="J17" s="77"/>
      <c r="K17" s="33">
        <v>10</v>
      </c>
      <c r="L17" s="34">
        <v>40</v>
      </c>
      <c r="M17" s="34">
        <v>21</v>
      </c>
      <c r="N17" s="62"/>
      <c r="O17" s="34">
        <v>7</v>
      </c>
      <c r="P17" s="34">
        <v>1</v>
      </c>
      <c r="Q17" s="34">
        <v>13</v>
      </c>
      <c r="R17" s="62"/>
      <c r="S17" s="37">
        <v>21</v>
      </c>
      <c r="T17" s="34">
        <v>4</v>
      </c>
      <c r="U17" s="34">
        <v>3</v>
      </c>
      <c r="V17" s="62"/>
      <c r="W17" s="38">
        <v>25</v>
      </c>
      <c r="X17" s="31">
        <v>28</v>
      </c>
      <c r="Y17" s="31">
        <v>14</v>
      </c>
      <c r="Z17" s="78"/>
      <c r="AA17" s="37">
        <v>2</v>
      </c>
      <c r="AB17" s="34">
        <v>1</v>
      </c>
      <c r="AC17" s="34">
        <v>49</v>
      </c>
      <c r="AD17" s="64"/>
      <c r="AE17" s="79"/>
      <c r="AF17" s="89"/>
      <c r="AG17" s="43">
        <f t="shared" si="0"/>
        <v>66</v>
      </c>
      <c r="AH17" s="44">
        <f t="shared" si="0"/>
        <v>76</v>
      </c>
      <c r="AI17" s="44">
        <f t="shared" si="0"/>
        <v>110</v>
      </c>
      <c r="AJ17" s="45">
        <f t="shared" si="0"/>
        <v>0</v>
      </c>
      <c r="AK17" s="80">
        <f t="shared" si="1"/>
        <v>252</v>
      </c>
      <c r="AL17" s="66">
        <v>1</v>
      </c>
      <c r="AM17" s="48">
        <f t="shared" si="7"/>
        <v>66</v>
      </c>
      <c r="AN17" s="48">
        <f t="shared" si="2"/>
        <v>76</v>
      </c>
      <c r="AO17" s="49">
        <f t="shared" si="8"/>
        <v>110</v>
      </c>
      <c r="AP17" s="49">
        <f t="shared" si="3"/>
        <v>0</v>
      </c>
      <c r="AQ17" s="50">
        <f t="shared" si="9"/>
        <v>15120</v>
      </c>
      <c r="AR17" s="81"/>
      <c r="AS17" s="82">
        <v>5.7</v>
      </c>
      <c r="AT17" s="83">
        <f t="shared" si="10"/>
        <v>1436.4</v>
      </c>
      <c r="AU17" s="84">
        <f t="shared" si="11"/>
        <v>252</v>
      </c>
      <c r="AV17" s="85"/>
      <c r="AW17" s="86"/>
      <c r="AX17" s="86"/>
      <c r="AY17" s="82"/>
      <c r="AZ17" s="87">
        <f t="shared" si="12"/>
        <v>1184.4000000000001</v>
      </c>
    </row>
    <row r="18" spans="1:52" ht="16.5" thickBot="1" x14ac:dyDescent="0.3">
      <c r="A18" s="74">
        <v>1.3</v>
      </c>
      <c r="B18" s="75" t="s">
        <v>36</v>
      </c>
      <c r="C18" s="76"/>
      <c r="D18" s="26">
        <f t="shared" si="4"/>
        <v>0</v>
      </c>
      <c r="E18" s="27">
        <f t="shared" si="5"/>
        <v>0</v>
      </c>
      <c r="F18" s="29">
        <f t="shared" si="6"/>
        <v>0</v>
      </c>
      <c r="G18" s="30">
        <v>0</v>
      </c>
      <c r="H18" s="31">
        <v>0</v>
      </c>
      <c r="I18" s="32">
        <v>0</v>
      </c>
      <c r="J18" s="77"/>
      <c r="K18" s="33">
        <v>0</v>
      </c>
      <c r="L18" s="34">
        <v>0</v>
      </c>
      <c r="M18" s="34">
        <v>0</v>
      </c>
      <c r="N18" s="62"/>
      <c r="O18" s="34">
        <v>0</v>
      </c>
      <c r="P18" s="34">
        <v>0</v>
      </c>
      <c r="Q18" s="34">
        <v>0</v>
      </c>
      <c r="R18" s="62"/>
      <c r="S18" s="37">
        <v>0</v>
      </c>
      <c r="T18" s="34">
        <v>0</v>
      </c>
      <c r="U18" s="34">
        <v>0</v>
      </c>
      <c r="V18" s="62"/>
      <c r="W18" s="38">
        <v>0</v>
      </c>
      <c r="X18" s="31">
        <v>0</v>
      </c>
      <c r="Y18" s="31">
        <v>0</v>
      </c>
      <c r="Z18" s="78"/>
      <c r="AA18" s="37">
        <v>0</v>
      </c>
      <c r="AB18" s="34">
        <v>0</v>
      </c>
      <c r="AC18" s="34">
        <v>0</v>
      </c>
      <c r="AD18" s="64"/>
      <c r="AE18" s="79"/>
      <c r="AF18" s="64"/>
      <c r="AG18" s="43">
        <f t="shared" si="0"/>
        <v>0</v>
      </c>
      <c r="AH18" s="44">
        <f t="shared" si="0"/>
        <v>0</v>
      </c>
      <c r="AI18" s="44">
        <f t="shared" si="0"/>
        <v>0</v>
      </c>
      <c r="AJ18" s="45">
        <f t="shared" si="0"/>
        <v>0</v>
      </c>
      <c r="AK18" s="80">
        <f t="shared" si="1"/>
        <v>0</v>
      </c>
      <c r="AL18" s="47">
        <v>1</v>
      </c>
      <c r="AM18" s="48">
        <f t="shared" si="7"/>
        <v>0</v>
      </c>
      <c r="AN18" s="48">
        <f t="shared" si="2"/>
        <v>0</v>
      </c>
      <c r="AO18" s="49">
        <f t="shared" si="8"/>
        <v>0</v>
      </c>
      <c r="AP18" s="49">
        <f t="shared" si="3"/>
        <v>0</v>
      </c>
      <c r="AQ18" s="50">
        <f t="shared" si="9"/>
        <v>0</v>
      </c>
      <c r="AR18" s="81"/>
      <c r="AS18" s="82"/>
      <c r="AT18" s="83"/>
      <c r="AU18" s="84">
        <f t="shared" si="11"/>
        <v>0</v>
      </c>
      <c r="AV18" s="85"/>
      <c r="AW18" s="86"/>
      <c r="AX18" s="86"/>
      <c r="AY18" s="82"/>
      <c r="AZ18" s="87"/>
    </row>
    <row r="19" spans="1:52" ht="16.5" thickBot="1" x14ac:dyDescent="0.3">
      <c r="A19" s="74">
        <v>1.3</v>
      </c>
      <c r="B19" s="75" t="s">
        <v>37</v>
      </c>
      <c r="C19" s="76"/>
      <c r="D19" s="26">
        <f t="shared" si="4"/>
        <v>0</v>
      </c>
      <c r="E19" s="27">
        <f t="shared" si="5"/>
        <v>0</v>
      </c>
      <c r="F19" s="29">
        <f t="shared" si="6"/>
        <v>0</v>
      </c>
      <c r="G19" s="30">
        <v>0</v>
      </c>
      <c r="H19" s="31">
        <v>0</v>
      </c>
      <c r="I19" s="32">
        <v>0</v>
      </c>
      <c r="J19" s="77"/>
      <c r="K19" s="33">
        <v>0</v>
      </c>
      <c r="L19" s="34">
        <v>0</v>
      </c>
      <c r="M19" s="34">
        <v>0</v>
      </c>
      <c r="N19" s="62"/>
      <c r="O19" s="34">
        <v>0</v>
      </c>
      <c r="P19" s="34">
        <v>0</v>
      </c>
      <c r="Q19" s="34">
        <v>0</v>
      </c>
      <c r="R19" s="62"/>
      <c r="S19" s="37">
        <v>0</v>
      </c>
      <c r="T19" s="34">
        <v>0</v>
      </c>
      <c r="U19" s="34">
        <v>0</v>
      </c>
      <c r="V19" s="62"/>
      <c r="W19" s="38">
        <v>0</v>
      </c>
      <c r="X19" s="31">
        <v>0</v>
      </c>
      <c r="Y19" s="31">
        <v>0</v>
      </c>
      <c r="Z19" s="78"/>
      <c r="AA19" s="37">
        <v>0</v>
      </c>
      <c r="AB19" s="34">
        <v>0</v>
      </c>
      <c r="AC19" s="34">
        <v>0</v>
      </c>
      <c r="AD19" s="64"/>
      <c r="AE19" s="79"/>
      <c r="AF19" s="64"/>
      <c r="AG19" s="43">
        <f t="shared" si="0"/>
        <v>0</v>
      </c>
      <c r="AH19" s="44">
        <f t="shared" si="0"/>
        <v>0</v>
      </c>
      <c r="AI19" s="44">
        <f t="shared" si="0"/>
        <v>0</v>
      </c>
      <c r="AJ19" s="45">
        <f t="shared" si="0"/>
        <v>0</v>
      </c>
      <c r="AK19" s="80">
        <f t="shared" si="1"/>
        <v>0</v>
      </c>
      <c r="AL19" s="47">
        <v>1</v>
      </c>
      <c r="AM19" s="48">
        <f t="shared" si="7"/>
        <v>0</v>
      </c>
      <c r="AN19" s="48">
        <f t="shared" si="2"/>
        <v>0</v>
      </c>
      <c r="AO19" s="49">
        <f t="shared" si="8"/>
        <v>0</v>
      </c>
      <c r="AP19" s="49">
        <f t="shared" si="3"/>
        <v>0</v>
      </c>
      <c r="AQ19" s="50">
        <f t="shared" si="9"/>
        <v>0</v>
      </c>
      <c r="AR19" s="81"/>
      <c r="AS19" s="82"/>
      <c r="AT19" s="83"/>
      <c r="AU19" s="84">
        <f t="shared" si="11"/>
        <v>0</v>
      </c>
      <c r="AV19" s="85"/>
      <c r="AW19" s="86"/>
      <c r="AX19" s="86"/>
      <c r="AY19" s="82"/>
      <c r="AZ19" s="87"/>
    </row>
    <row r="20" spans="1:52" ht="16.5" thickBot="1" x14ac:dyDescent="0.3">
      <c r="A20" s="74">
        <v>1.3</v>
      </c>
      <c r="B20" s="75" t="s">
        <v>38</v>
      </c>
      <c r="C20" s="76">
        <v>90</v>
      </c>
      <c r="D20" s="26">
        <f t="shared" si="4"/>
        <v>30</v>
      </c>
      <c r="E20" s="27">
        <f t="shared" si="5"/>
        <v>30</v>
      </c>
      <c r="F20" s="29">
        <f t="shared" si="6"/>
        <v>30</v>
      </c>
      <c r="G20" s="30">
        <v>5</v>
      </c>
      <c r="H20" s="31">
        <v>6</v>
      </c>
      <c r="I20" s="32">
        <v>1</v>
      </c>
      <c r="J20" s="77"/>
      <c r="K20" s="33">
        <v>5</v>
      </c>
      <c r="L20" s="34">
        <v>8</v>
      </c>
      <c r="M20" s="34">
        <v>9</v>
      </c>
      <c r="N20" s="62"/>
      <c r="O20" s="34">
        <v>5</v>
      </c>
      <c r="P20" s="34">
        <v>3</v>
      </c>
      <c r="Q20" s="34">
        <v>3</v>
      </c>
      <c r="R20" s="62"/>
      <c r="S20" s="37">
        <v>8</v>
      </c>
      <c r="T20" s="34">
        <v>5</v>
      </c>
      <c r="U20" s="34">
        <v>4</v>
      </c>
      <c r="V20" s="62"/>
      <c r="W20" s="38">
        <v>7</v>
      </c>
      <c r="X20" s="31">
        <v>9</v>
      </c>
      <c r="Y20" s="31">
        <v>1</v>
      </c>
      <c r="Z20" s="78"/>
      <c r="AA20" s="37">
        <v>4</v>
      </c>
      <c r="AB20" s="34">
        <v>7</v>
      </c>
      <c r="AC20" s="34">
        <v>5</v>
      </c>
      <c r="AD20" s="64"/>
      <c r="AE20" s="79"/>
      <c r="AF20" s="64"/>
      <c r="AG20" s="43">
        <f t="shared" si="0"/>
        <v>34</v>
      </c>
      <c r="AH20" s="44">
        <f t="shared" si="0"/>
        <v>38</v>
      </c>
      <c r="AI20" s="44">
        <f t="shared" si="0"/>
        <v>23</v>
      </c>
      <c r="AJ20" s="45">
        <f t="shared" si="0"/>
        <v>0</v>
      </c>
      <c r="AK20" s="80">
        <f t="shared" si="1"/>
        <v>95</v>
      </c>
      <c r="AL20" s="66">
        <v>1.1499999999999999</v>
      </c>
      <c r="AM20" s="48">
        <f t="shared" si="7"/>
        <v>39.099999999999994</v>
      </c>
      <c r="AN20" s="48">
        <f t="shared" si="2"/>
        <v>43.699999999999996</v>
      </c>
      <c r="AO20" s="49">
        <f t="shared" si="8"/>
        <v>26.45</v>
      </c>
      <c r="AP20" s="49">
        <f t="shared" si="3"/>
        <v>0</v>
      </c>
      <c r="AQ20" s="50">
        <f t="shared" si="9"/>
        <v>5700</v>
      </c>
      <c r="AR20" s="81"/>
      <c r="AS20" s="82"/>
      <c r="AT20" s="83"/>
      <c r="AU20" s="84"/>
      <c r="AV20" s="85"/>
      <c r="AW20" s="86"/>
      <c r="AX20" s="86"/>
      <c r="AY20" s="82"/>
      <c r="AZ20" s="87"/>
    </row>
    <row r="21" spans="1:52" ht="16.5" thickBot="1" x14ac:dyDescent="0.3">
      <c r="A21" s="74">
        <v>1.3</v>
      </c>
      <c r="B21" s="75" t="s">
        <v>39</v>
      </c>
      <c r="C21" s="76">
        <v>90</v>
      </c>
      <c r="D21" s="26">
        <f t="shared" si="4"/>
        <v>30</v>
      </c>
      <c r="E21" s="27">
        <f t="shared" si="5"/>
        <v>30</v>
      </c>
      <c r="F21" s="29">
        <f t="shared" si="6"/>
        <v>30</v>
      </c>
      <c r="G21" s="30">
        <v>0</v>
      </c>
      <c r="H21" s="31">
        <v>1</v>
      </c>
      <c r="I21" s="32">
        <v>0</v>
      </c>
      <c r="J21" s="77"/>
      <c r="K21" s="33">
        <v>0</v>
      </c>
      <c r="L21" s="34">
        <v>7</v>
      </c>
      <c r="M21" s="34">
        <v>10</v>
      </c>
      <c r="N21" s="62"/>
      <c r="O21" s="34">
        <v>0</v>
      </c>
      <c r="P21" s="34">
        <v>2</v>
      </c>
      <c r="Q21" s="34">
        <v>1</v>
      </c>
      <c r="R21" s="62"/>
      <c r="S21" s="37">
        <v>4</v>
      </c>
      <c r="T21" s="34">
        <v>3</v>
      </c>
      <c r="U21" s="34">
        <v>6</v>
      </c>
      <c r="V21" s="62"/>
      <c r="W21" s="38">
        <v>3</v>
      </c>
      <c r="X21" s="31">
        <v>2</v>
      </c>
      <c r="Y21" s="31">
        <v>1</v>
      </c>
      <c r="Z21" s="78"/>
      <c r="AA21" s="37">
        <v>0</v>
      </c>
      <c r="AB21" s="34">
        <v>2</v>
      </c>
      <c r="AC21" s="34">
        <v>3</v>
      </c>
      <c r="AD21" s="64"/>
      <c r="AE21" s="79"/>
      <c r="AF21" s="64"/>
      <c r="AG21" s="43">
        <f t="shared" si="0"/>
        <v>7</v>
      </c>
      <c r="AH21" s="44">
        <f t="shared" si="0"/>
        <v>17</v>
      </c>
      <c r="AI21" s="44">
        <f t="shared" si="0"/>
        <v>21</v>
      </c>
      <c r="AJ21" s="45">
        <f t="shared" si="0"/>
        <v>0</v>
      </c>
      <c r="AK21" s="80">
        <f t="shared" si="1"/>
        <v>45</v>
      </c>
      <c r="AL21" s="66">
        <v>1.1499999999999999</v>
      </c>
      <c r="AM21" s="48">
        <f t="shared" si="7"/>
        <v>8.0499999999999989</v>
      </c>
      <c r="AN21" s="48">
        <f t="shared" si="2"/>
        <v>19.549999999999997</v>
      </c>
      <c r="AO21" s="49">
        <f t="shared" si="8"/>
        <v>24.15</v>
      </c>
      <c r="AP21" s="49">
        <f t="shared" si="3"/>
        <v>0</v>
      </c>
      <c r="AQ21" s="50">
        <f t="shared" si="9"/>
        <v>2700</v>
      </c>
      <c r="AR21" s="81"/>
      <c r="AS21" s="82"/>
      <c r="AT21" s="83"/>
      <c r="AU21" s="84"/>
      <c r="AV21" s="85"/>
      <c r="AW21" s="86"/>
      <c r="AX21" s="86"/>
      <c r="AY21" s="82"/>
      <c r="AZ21" s="87"/>
    </row>
    <row r="22" spans="1:52" ht="16.5" thickBot="1" x14ac:dyDescent="0.3">
      <c r="A22" s="74">
        <v>1300</v>
      </c>
      <c r="B22" s="75" t="s">
        <v>40</v>
      </c>
      <c r="C22" s="76"/>
      <c r="D22" s="26">
        <f t="shared" si="4"/>
        <v>0</v>
      </c>
      <c r="E22" s="27">
        <f t="shared" si="5"/>
        <v>0</v>
      </c>
      <c r="F22" s="29">
        <f t="shared" si="6"/>
        <v>0</v>
      </c>
      <c r="G22" s="30">
        <v>0</v>
      </c>
      <c r="H22" s="31">
        <v>0</v>
      </c>
      <c r="I22" s="32">
        <v>0</v>
      </c>
      <c r="J22" s="77"/>
      <c r="K22" s="33">
        <v>0</v>
      </c>
      <c r="L22" s="34">
        <v>0</v>
      </c>
      <c r="M22" s="34">
        <v>0</v>
      </c>
      <c r="N22" s="62"/>
      <c r="O22" s="34">
        <v>0</v>
      </c>
      <c r="P22" s="34">
        <v>0</v>
      </c>
      <c r="Q22" s="34">
        <v>0</v>
      </c>
      <c r="R22" s="62"/>
      <c r="S22" s="37">
        <v>0</v>
      </c>
      <c r="T22" s="34">
        <v>0</v>
      </c>
      <c r="U22" s="34">
        <v>0</v>
      </c>
      <c r="V22" s="62"/>
      <c r="W22" s="38">
        <v>0</v>
      </c>
      <c r="X22" s="31">
        <v>0</v>
      </c>
      <c r="Y22" s="31">
        <v>0</v>
      </c>
      <c r="Z22" s="78"/>
      <c r="AA22" s="37">
        <v>0</v>
      </c>
      <c r="AB22" s="34">
        <v>0</v>
      </c>
      <c r="AC22" s="34">
        <v>0</v>
      </c>
      <c r="AD22" s="64"/>
      <c r="AE22" s="79"/>
      <c r="AF22" s="64"/>
      <c r="AG22" s="43">
        <f t="shared" si="0"/>
        <v>0</v>
      </c>
      <c r="AH22" s="44">
        <f t="shared" si="0"/>
        <v>0</v>
      </c>
      <c r="AI22" s="44">
        <f t="shared" si="0"/>
        <v>0</v>
      </c>
      <c r="AJ22" s="45">
        <f t="shared" si="0"/>
        <v>0</v>
      </c>
      <c r="AK22" s="80">
        <f t="shared" si="1"/>
        <v>0</v>
      </c>
      <c r="AL22" s="47">
        <v>1.5</v>
      </c>
      <c r="AM22" s="48">
        <f t="shared" si="7"/>
        <v>0</v>
      </c>
      <c r="AN22" s="48">
        <f t="shared" si="2"/>
        <v>0</v>
      </c>
      <c r="AO22" s="49">
        <f t="shared" si="8"/>
        <v>0</v>
      </c>
      <c r="AP22" s="49">
        <f t="shared" si="3"/>
        <v>0</v>
      </c>
      <c r="AQ22" s="50">
        <f t="shared" si="9"/>
        <v>0</v>
      </c>
      <c r="AR22" s="81">
        <v>43.1</v>
      </c>
      <c r="AS22" s="82">
        <v>6.8999999999999986</v>
      </c>
      <c r="AT22" s="83">
        <f>AK22*AS22</f>
        <v>0</v>
      </c>
      <c r="AU22" s="84">
        <f>AK22*AL22</f>
        <v>0</v>
      </c>
      <c r="AV22" s="85">
        <v>0</v>
      </c>
      <c r="AW22" s="86"/>
      <c r="AX22" s="86"/>
      <c r="AY22" s="82"/>
      <c r="AZ22" s="87">
        <f>AT22-AU22-AW22-AX22-AY22</f>
        <v>0</v>
      </c>
    </row>
    <row r="23" spans="1:52" ht="16.5" thickBot="1" x14ac:dyDescent="0.3">
      <c r="A23" s="74">
        <v>911</v>
      </c>
      <c r="B23" s="75" t="s">
        <v>25</v>
      </c>
      <c r="C23" s="76"/>
      <c r="D23" s="26">
        <f t="shared" si="4"/>
        <v>0</v>
      </c>
      <c r="E23" s="27">
        <f t="shared" si="5"/>
        <v>0</v>
      </c>
      <c r="F23" s="29">
        <f t="shared" si="6"/>
        <v>0</v>
      </c>
      <c r="G23" s="30">
        <v>0</v>
      </c>
      <c r="H23" s="31">
        <v>0</v>
      </c>
      <c r="I23" s="32">
        <v>0</v>
      </c>
      <c r="J23" s="77"/>
      <c r="K23" s="33">
        <v>0</v>
      </c>
      <c r="L23" s="34">
        <v>0</v>
      </c>
      <c r="M23" s="34">
        <v>0</v>
      </c>
      <c r="N23" s="62"/>
      <c r="O23" s="34">
        <v>0</v>
      </c>
      <c r="P23" s="34">
        <v>0</v>
      </c>
      <c r="Q23" s="34">
        <v>0</v>
      </c>
      <c r="R23" s="62"/>
      <c r="S23" s="37">
        <v>0</v>
      </c>
      <c r="T23" s="34">
        <v>0</v>
      </c>
      <c r="U23" s="34">
        <v>0</v>
      </c>
      <c r="V23" s="62"/>
      <c r="W23" s="38">
        <v>0</v>
      </c>
      <c r="X23" s="31">
        <v>0</v>
      </c>
      <c r="Y23" s="31">
        <v>0</v>
      </c>
      <c r="Z23" s="78"/>
      <c r="AA23" s="37">
        <v>0</v>
      </c>
      <c r="AB23" s="34">
        <v>0</v>
      </c>
      <c r="AC23" s="34">
        <v>0</v>
      </c>
      <c r="AD23" s="64"/>
      <c r="AE23" s="79"/>
      <c r="AF23" s="64"/>
      <c r="AG23" s="43">
        <f t="shared" si="0"/>
        <v>0</v>
      </c>
      <c r="AH23" s="44">
        <f t="shared" si="0"/>
        <v>0</v>
      </c>
      <c r="AI23" s="44">
        <f t="shared" si="0"/>
        <v>0</v>
      </c>
      <c r="AJ23" s="45">
        <f t="shared" si="0"/>
        <v>0</v>
      </c>
      <c r="AK23" s="80">
        <f t="shared" si="1"/>
        <v>0</v>
      </c>
      <c r="AL23" s="66">
        <v>0.65</v>
      </c>
      <c r="AM23" s="48">
        <f t="shared" si="7"/>
        <v>0</v>
      </c>
      <c r="AN23" s="48">
        <f t="shared" si="2"/>
        <v>0</v>
      </c>
      <c r="AO23" s="49">
        <f t="shared" si="8"/>
        <v>0</v>
      </c>
      <c r="AP23" s="49">
        <f t="shared" si="3"/>
        <v>0</v>
      </c>
      <c r="AQ23" s="50">
        <f t="shared" si="9"/>
        <v>0</v>
      </c>
      <c r="AR23" s="81">
        <v>17.29</v>
      </c>
      <c r="AS23" s="82">
        <v>2.7100000000000009</v>
      </c>
      <c r="AT23" s="83">
        <f>AK23*AS23</f>
        <v>0</v>
      </c>
      <c r="AU23" s="84">
        <f>AK23*AL23</f>
        <v>0</v>
      </c>
      <c r="AV23" s="85"/>
      <c r="AW23" s="86"/>
      <c r="AX23" s="86"/>
      <c r="AY23" s="82"/>
      <c r="AZ23" s="87">
        <f>AT23-AU23-AW23-AX23-AY23</f>
        <v>0</v>
      </c>
    </row>
    <row r="24" spans="1:52" ht="16.5" thickBot="1" x14ac:dyDescent="0.3">
      <c r="A24" s="74">
        <v>625</v>
      </c>
      <c r="B24" s="75" t="s">
        <v>41</v>
      </c>
      <c r="C24" s="76">
        <v>570</v>
      </c>
      <c r="D24" s="26">
        <f t="shared" si="4"/>
        <v>190</v>
      </c>
      <c r="E24" s="27">
        <f t="shared" si="5"/>
        <v>190</v>
      </c>
      <c r="F24" s="29">
        <f t="shared" si="6"/>
        <v>190</v>
      </c>
      <c r="G24" s="30">
        <v>0</v>
      </c>
      <c r="H24" s="31">
        <v>0</v>
      </c>
      <c r="I24" s="32">
        <v>0</v>
      </c>
      <c r="J24" s="77"/>
      <c r="K24" s="33">
        <v>0</v>
      </c>
      <c r="L24" s="34">
        <v>0</v>
      </c>
      <c r="M24" s="34">
        <v>0</v>
      </c>
      <c r="N24" s="62"/>
      <c r="O24" s="34">
        <v>0</v>
      </c>
      <c r="P24" s="34">
        <v>0</v>
      </c>
      <c r="Q24" s="34">
        <v>0</v>
      </c>
      <c r="R24" s="62"/>
      <c r="S24" s="37">
        <v>0</v>
      </c>
      <c r="T24" s="34">
        <v>0</v>
      </c>
      <c r="U24" s="34">
        <v>0</v>
      </c>
      <c r="V24" s="62"/>
      <c r="W24" s="38">
        <v>0</v>
      </c>
      <c r="X24" s="31">
        <v>0</v>
      </c>
      <c r="Y24" s="31">
        <v>0</v>
      </c>
      <c r="Z24" s="78"/>
      <c r="AA24" s="37">
        <v>0</v>
      </c>
      <c r="AB24" s="34">
        <v>0</v>
      </c>
      <c r="AC24" s="34">
        <v>0</v>
      </c>
      <c r="AD24" s="64"/>
      <c r="AE24" s="79"/>
      <c r="AF24" s="64"/>
      <c r="AG24" s="43">
        <f t="shared" si="0"/>
        <v>0</v>
      </c>
      <c r="AH24" s="44">
        <f t="shared" si="0"/>
        <v>0</v>
      </c>
      <c r="AI24" s="44">
        <f t="shared" si="0"/>
        <v>0</v>
      </c>
      <c r="AJ24" s="45">
        <f t="shared" si="0"/>
        <v>0</v>
      </c>
      <c r="AK24" s="80">
        <f t="shared" si="1"/>
        <v>0</v>
      </c>
      <c r="AL24" s="66">
        <v>1</v>
      </c>
      <c r="AM24" s="48">
        <f t="shared" si="7"/>
        <v>0</v>
      </c>
      <c r="AN24" s="48">
        <f t="shared" si="2"/>
        <v>0</v>
      </c>
      <c r="AO24" s="49">
        <f t="shared" si="8"/>
        <v>0</v>
      </c>
      <c r="AP24" s="49">
        <f t="shared" si="3"/>
        <v>0</v>
      </c>
      <c r="AQ24" s="50">
        <f t="shared" si="9"/>
        <v>0</v>
      </c>
      <c r="AR24" s="81"/>
      <c r="AS24" s="82">
        <v>6.74</v>
      </c>
      <c r="AT24" s="83">
        <f>AK24*AS24</f>
        <v>0</v>
      </c>
      <c r="AU24" s="84">
        <f>AK24*AL24</f>
        <v>0</v>
      </c>
      <c r="AV24" s="85">
        <v>0</v>
      </c>
      <c r="AW24" s="86"/>
      <c r="AX24" s="86"/>
      <c r="AY24" s="82"/>
      <c r="AZ24" s="87"/>
    </row>
    <row r="25" spans="1:52" ht="16.5" thickBot="1" x14ac:dyDescent="0.3">
      <c r="A25" s="74">
        <v>625</v>
      </c>
      <c r="B25" s="75" t="s">
        <v>42</v>
      </c>
      <c r="C25" s="76"/>
      <c r="D25" s="26"/>
      <c r="E25" s="27"/>
      <c r="F25" s="29"/>
      <c r="G25" s="30">
        <v>0</v>
      </c>
      <c r="H25" s="31">
        <v>0</v>
      </c>
      <c r="I25" s="32">
        <v>5</v>
      </c>
      <c r="J25" s="77"/>
      <c r="K25" s="33">
        <v>13</v>
      </c>
      <c r="L25" s="34">
        <v>6</v>
      </c>
      <c r="M25" s="34">
        <v>13</v>
      </c>
      <c r="N25" s="62"/>
      <c r="O25" s="34">
        <v>12</v>
      </c>
      <c r="P25" s="34">
        <v>4</v>
      </c>
      <c r="Q25" s="34">
        <v>8</v>
      </c>
      <c r="R25" s="62"/>
      <c r="S25" s="37">
        <v>13</v>
      </c>
      <c r="T25" s="34">
        <v>0</v>
      </c>
      <c r="U25" s="34">
        <v>0</v>
      </c>
      <c r="V25" s="62"/>
      <c r="W25" s="38">
        <v>25</v>
      </c>
      <c r="X25" s="31">
        <v>8</v>
      </c>
      <c r="Y25" s="31">
        <v>3</v>
      </c>
      <c r="Z25" s="78"/>
      <c r="AA25" s="37">
        <v>1</v>
      </c>
      <c r="AB25" s="34">
        <v>0</v>
      </c>
      <c r="AC25" s="34">
        <v>36</v>
      </c>
      <c r="AD25" s="64"/>
      <c r="AE25" s="79"/>
      <c r="AF25" s="64"/>
      <c r="AG25" s="43">
        <f t="shared" si="0"/>
        <v>64</v>
      </c>
      <c r="AH25" s="44">
        <f t="shared" si="0"/>
        <v>18</v>
      </c>
      <c r="AI25" s="44">
        <f t="shared" si="0"/>
        <v>65</v>
      </c>
      <c r="AJ25" s="45">
        <f t="shared" si="0"/>
        <v>0</v>
      </c>
      <c r="AK25" s="80">
        <f t="shared" si="1"/>
        <v>147</v>
      </c>
      <c r="AL25" s="66">
        <v>0.75</v>
      </c>
      <c r="AM25" s="48">
        <f t="shared" si="7"/>
        <v>48</v>
      </c>
      <c r="AN25" s="48">
        <f t="shared" si="2"/>
        <v>13.5</v>
      </c>
      <c r="AO25" s="49">
        <f t="shared" si="8"/>
        <v>48.75</v>
      </c>
      <c r="AP25" s="49">
        <f t="shared" si="3"/>
        <v>0</v>
      </c>
      <c r="AQ25" s="50">
        <f t="shared" si="9"/>
        <v>8820</v>
      </c>
      <c r="AR25" s="81"/>
      <c r="AS25" s="82"/>
      <c r="AT25" s="83"/>
      <c r="AU25" s="84"/>
      <c r="AV25" s="85"/>
      <c r="AW25" s="86"/>
      <c r="AX25" s="86"/>
      <c r="AY25" s="82"/>
      <c r="AZ25" s="87"/>
    </row>
    <row r="26" spans="1:52" ht="16.5" thickBot="1" x14ac:dyDescent="0.3">
      <c r="A26" s="74">
        <v>625</v>
      </c>
      <c r="B26" s="75" t="s">
        <v>36</v>
      </c>
      <c r="C26" s="76"/>
      <c r="D26" s="26">
        <f t="shared" si="4"/>
        <v>0</v>
      </c>
      <c r="E26" s="27">
        <f t="shared" si="5"/>
        <v>0</v>
      </c>
      <c r="F26" s="29">
        <f t="shared" si="6"/>
        <v>0</v>
      </c>
      <c r="G26" s="30">
        <v>0</v>
      </c>
      <c r="H26" s="31">
        <v>0</v>
      </c>
      <c r="I26" s="32">
        <v>0</v>
      </c>
      <c r="J26" s="77"/>
      <c r="K26" s="33">
        <v>0</v>
      </c>
      <c r="L26" s="34">
        <v>0</v>
      </c>
      <c r="M26" s="34">
        <v>0</v>
      </c>
      <c r="N26" s="62"/>
      <c r="O26" s="34">
        <v>0</v>
      </c>
      <c r="P26" s="34">
        <v>0</v>
      </c>
      <c r="Q26" s="34">
        <v>0</v>
      </c>
      <c r="R26" s="62"/>
      <c r="S26" s="37">
        <v>0</v>
      </c>
      <c r="T26" s="34">
        <v>0</v>
      </c>
      <c r="U26" s="34">
        <v>0</v>
      </c>
      <c r="V26" s="62"/>
      <c r="W26" s="38">
        <v>0</v>
      </c>
      <c r="X26" s="31">
        <v>0</v>
      </c>
      <c r="Y26" s="31">
        <v>0</v>
      </c>
      <c r="Z26" s="78"/>
      <c r="AA26" s="37">
        <v>0</v>
      </c>
      <c r="AB26" s="34">
        <v>0</v>
      </c>
      <c r="AC26" s="34">
        <v>0</v>
      </c>
      <c r="AD26" s="64"/>
      <c r="AE26" s="79"/>
      <c r="AF26" s="64"/>
      <c r="AG26" s="43">
        <f t="shared" si="0"/>
        <v>0</v>
      </c>
      <c r="AH26" s="44">
        <f t="shared" si="0"/>
        <v>0</v>
      </c>
      <c r="AI26" s="44">
        <f t="shared" si="0"/>
        <v>0</v>
      </c>
      <c r="AJ26" s="45">
        <f t="shared" si="0"/>
        <v>0</v>
      </c>
      <c r="AK26" s="80">
        <f t="shared" si="1"/>
        <v>0</v>
      </c>
      <c r="AL26" s="47">
        <v>1</v>
      </c>
      <c r="AM26" s="48">
        <f t="shared" si="7"/>
        <v>0</v>
      </c>
      <c r="AN26" s="48">
        <f t="shared" si="2"/>
        <v>0</v>
      </c>
      <c r="AO26" s="49">
        <f t="shared" si="8"/>
        <v>0</v>
      </c>
      <c r="AP26" s="49">
        <f t="shared" si="3"/>
        <v>0</v>
      </c>
      <c r="AQ26" s="50">
        <f t="shared" si="9"/>
        <v>0</v>
      </c>
      <c r="AR26" s="81"/>
      <c r="AS26" s="82"/>
      <c r="AT26" s="83"/>
      <c r="AU26" s="84"/>
      <c r="AV26" s="85"/>
      <c r="AW26" s="86"/>
      <c r="AX26" s="86"/>
      <c r="AY26" s="82"/>
      <c r="AZ26" s="87"/>
    </row>
    <row r="27" spans="1:52" ht="16.5" thickBot="1" x14ac:dyDescent="0.3">
      <c r="A27" s="74">
        <v>625</v>
      </c>
      <c r="B27" s="75" t="s">
        <v>37</v>
      </c>
      <c r="C27" s="76"/>
      <c r="D27" s="26">
        <f t="shared" si="4"/>
        <v>0</v>
      </c>
      <c r="E27" s="27">
        <f t="shared" si="5"/>
        <v>0</v>
      </c>
      <c r="F27" s="29">
        <f t="shared" si="6"/>
        <v>0</v>
      </c>
      <c r="G27" s="30">
        <v>0</v>
      </c>
      <c r="H27" s="31">
        <v>0</v>
      </c>
      <c r="I27" s="32">
        <v>0</v>
      </c>
      <c r="J27" s="77"/>
      <c r="K27" s="33">
        <v>0</v>
      </c>
      <c r="L27" s="34">
        <v>0</v>
      </c>
      <c r="M27" s="34">
        <v>0</v>
      </c>
      <c r="N27" s="62"/>
      <c r="O27" s="34">
        <v>0</v>
      </c>
      <c r="P27" s="34">
        <v>0</v>
      </c>
      <c r="Q27" s="34">
        <v>0</v>
      </c>
      <c r="R27" s="62"/>
      <c r="S27" s="37">
        <v>0</v>
      </c>
      <c r="T27" s="34">
        <v>0</v>
      </c>
      <c r="U27" s="34">
        <v>0</v>
      </c>
      <c r="V27" s="62"/>
      <c r="W27" s="38">
        <v>0</v>
      </c>
      <c r="X27" s="31">
        <v>0</v>
      </c>
      <c r="Y27" s="31">
        <v>0</v>
      </c>
      <c r="Z27" s="78"/>
      <c r="AA27" s="37">
        <v>0</v>
      </c>
      <c r="AB27" s="34">
        <v>0</v>
      </c>
      <c r="AC27" s="34">
        <v>0</v>
      </c>
      <c r="AD27" s="64"/>
      <c r="AE27" s="79"/>
      <c r="AF27" s="64"/>
      <c r="AG27" s="43">
        <f t="shared" si="0"/>
        <v>0</v>
      </c>
      <c r="AH27" s="44">
        <f t="shared" si="0"/>
        <v>0</v>
      </c>
      <c r="AI27" s="44">
        <f t="shared" si="0"/>
        <v>0</v>
      </c>
      <c r="AJ27" s="45">
        <f t="shared" si="0"/>
        <v>0</v>
      </c>
      <c r="AK27" s="80">
        <f t="shared" si="1"/>
        <v>0</v>
      </c>
      <c r="AL27" s="47">
        <v>1</v>
      </c>
      <c r="AM27" s="48">
        <f t="shared" si="7"/>
        <v>0</v>
      </c>
      <c r="AN27" s="48">
        <f t="shared" si="2"/>
        <v>0</v>
      </c>
      <c r="AO27" s="49">
        <f t="shared" si="8"/>
        <v>0</v>
      </c>
      <c r="AP27" s="49">
        <f t="shared" si="3"/>
        <v>0</v>
      </c>
      <c r="AQ27" s="50">
        <f t="shared" si="9"/>
        <v>0</v>
      </c>
      <c r="AR27" s="81"/>
      <c r="AS27" s="82"/>
      <c r="AT27" s="83"/>
      <c r="AU27" s="84"/>
      <c r="AV27" s="85"/>
      <c r="AW27" s="86"/>
      <c r="AX27" s="86"/>
      <c r="AY27" s="82"/>
      <c r="AZ27" s="87"/>
    </row>
    <row r="28" spans="1:52" ht="16.5" thickBot="1" x14ac:dyDescent="0.3">
      <c r="A28" s="74">
        <v>625</v>
      </c>
      <c r="B28" s="75" t="s">
        <v>43</v>
      </c>
      <c r="C28" s="76">
        <v>117</v>
      </c>
      <c r="D28" s="26">
        <f t="shared" si="4"/>
        <v>39</v>
      </c>
      <c r="E28" s="27">
        <f t="shared" si="5"/>
        <v>39</v>
      </c>
      <c r="F28" s="29">
        <f t="shared" si="6"/>
        <v>39</v>
      </c>
      <c r="G28" s="30">
        <v>1</v>
      </c>
      <c r="H28" s="31">
        <v>3</v>
      </c>
      <c r="I28" s="32">
        <v>2</v>
      </c>
      <c r="J28" s="77"/>
      <c r="K28" s="33">
        <v>0</v>
      </c>
      <c r="L28" s="34">
        <v>1</v>
      </c>
      <c r="M28" s="34">
        <v>0</v>
      </c>
      <c r="N28" s="62"/>
      <c r="O28" s="34">
        <v>10</v>
      </c>
      <c r="P28" s="34">
        <v>5</v>
      </c>
      <c r="Q28" s="34">
        <v>2</v>
      </c>
      <c r="R28" s="62"/>
      <c r="S28" s="37">
        <v>8</v>
      </c>
      <c r="T28" s="34">
        <v>5</v>
      </c>
      <c r="U28" s="34">
        <v>6</v>
      </c>
      <c r="V28" s="62"/>
      <c r="W28" s="38">
        <v>12</v>
      </c>
      <c r="X28" s="31">
        <v>8</v>
      </c>
      <c r="Y28" s="31">
        <v>1</v>
      </c>
      <c r="Z28" s="78"/>
      <c r="AA28" s="37">
        <v>7</v>
      </c>
      <c r="AB28" s="34">
        <v>10</v>
      </c>
      <c r="AC28" s="34">
        <v>5</v>
      </c>
      <c r="AD28" s="64"/>
      <c r="AE28" s="79"/>
      <c r="AF28" s="64"/>
      <c r="AG28" s="43">
        <f t="shared" si="0"/>
        <v>38</v>
      </c>
      <c r="AH28" s="44">
        <f t="shared" si="0"/>
        <v>32</v>
      </c>
      <c r="AI28" s="44">
        <f t="shared" si="0"/>
        <v>16</v>
      </c>
      <c r="AJ28" s="45">
        <f t="shared" si="0"/>
        <v>0</v>
      </c>
      <c r="AK28" s="80">
        <f t="shared" si="1"/>
        <v>86</v>
      </c>
      <c r="AL28" s="66">
        <v>1</v>
      </c>
      <c r="AM28" s="48">
        <f t="shared" si="7"/>
        <v>38</v>
      </c>
      <c r="AN28" s="48">
        <f t="shared" si="2"/>
        <v>32</v>
      </c>
      <c r="AO28" s="49">
        <f t="shared" si="8"/>
        <v>16</v>
      </c>
      <c r="AP28" s="49">
        <f t="shared" si="3"/>
        <v>0</v>
      </c>
      <c r="AQ28" s="50">
        <f t="shared" si="9"/>
        <v>5160</v>
      </c>
      <c r="AR28" s="81"/>
      <c r="AS28" s="82"/>
      <c r="AT28" s="83">
        <f>AK28*AS28</f>
        <v>0</v>
      </c>
      <c r="AU28" s="84">
        <f>AK28*AL28</f>
        <v>86</v>
      </c>
      <c r="AV28" s="85">
        <v>0</v>
      </c>
      <c r="AW28" s="86"/>
      <c r="AX28" s="86"/>
      <c r="AY28" s="82"/>
      <c r="AZ28" s="87"/>
    </row>
    <row r="29" spans="1:52" ht="16.5" thickBot="1" x14ac:dyDescent="0.3">
      <c r="A29" s="74">
        <v>625</v>
      </c>
      <c r="B29" s="75" t="s">
        <v>44</v>
      </c>
      <c r="C29" s="76"/>
      <c r="D29" s="26">
        <f t="shared" si="4"/>
        <v>0</v>
      </c>
      <c r="E29" s="27">
        <f t="shared" si="5"/>
        <v>0</v>
      </c>
      <c r="F29" s="29">
        <f t="shared" si="6"/>
        <v>0</v>
      </c>
      <c r="G29" s="30">
        <v>0</v>
      </c>
      <c r="H29" s="31">
        <v>0</v>
      </c>
      <c r="I29" s="32">
        <v>0</v>
      </c>
      <c r="J29" s="77"/>
      <c r="K29" s="33">
        <v>0</v>
      </c>
      <c r="L29" s="34">
        <v>0</v>
      </c>
      <c r="M29" s="34">
        <v>0</v>
      </c>
      <c r="N29" s="62"/>
      <c r="O29" s="34">
        <v>0</v>
      </c>
      <c r="P29" s="34">
        <v>0</v>
      </c>
      <c r="Q29" s="34">
        <v>0</v>
      </c>
      <c r="R29" s="62"/>
      <c r="S29" s="37">
        <v>0</v>
      </c>
      <c r="T29" s="34">
        <v>0</v>
      </c>
      <c r="U29" s="34">
        <v>0</v>
      </c>
      <c r="V29" s="62"/>
      <c r="W29" s="38">
        <v>0</v>
      </c>
      <c r="X29" s="31">
        <v>0</v>
      </c>
      <c r="Y29" s="31">
        <v>0</v>
      </c>
      <c r="Z29" s="78"/>
      <c r="AA29" s="37">
        <v>0</v>
      </c>
      <c r="AB29" s="34">
        <v>0</v>
      </c>
      <c r="AC29" s="34">
        <v>0</v>
      </c>
      <c r="AD29" s="64"/>
      <c r="AE29" s="79"/>
      <c r="AF29" s="64"/>
      <c r="AG29" s="43">
        <f t="shared" si="0"/>
        <v>0</v>
      </c>
      <c r="AH29" s="44">
        <f t="shared" si="0"/>
        <v>0</v>
      </c>
      <c r="AI29" s="44">
        <f t="shared" si="0"/>
        <v>0</v>
      </c>
      <c r="AJ29" s="45">
        <f t="shared" si="0"/>
        <v>0</v>
      </c>
      <c r="AK29" s="80">
        <f t="shared" si="1"/>
        <v>0</v>
      </c>
      <c r="AL29" s="47">
        <v>1</v>
      </c>
      <c r="AM29" s="48">
        <f t="shared" si="7"/>
        <v>0</v>
      </c>
      <c r="AN29" s="48">
        <f t="shared" si="2"/>
        <v>0</v>
      </c>
      <c r="AO29" s="49">
        <f t="shared" si="8"/>
        <v>0</v>
      </c>
      <c r="AP29" s="49">
        <f t="shared" si="3"/>
        <v>0</v>
      </c>
      <c r="AQ29" s="50">
        <f t="shared" si="9"/>
        <v>0</v>
      </c>
      <c r="AR29" s="81"/>
      <c r="AS29" s="82"/>
      <c r="AT29" s="83"/>
      <c r="AU29" s="84"/>
      <c r="AV29" s="85"/>
      <c r="AW29" s="86"/>
      <c r="AX29" s="86"/>
      <c r="AY29" s="82"/>
      <c r="AZ29" s="87"/>
    </row>
    <row r="30" spans="1:52" ht="16.5" thickBot="1" x14ac:dyDescent="0.3">
      <c r="A30" s="74">
        <v>625</v>
      </c>
      <c r="B30" s="75" t="s">
        <v>40</v>
      </c>
      <c r="C30" s="76"/>
      <c r="D30" s="26">
        <f t="shared" si="4"/>
        <v>0</v>
      </c>
      <c r="E30" s="27">
        <f t="shared" si="5"/>
        <v>0</v>
      </c>
      <c r="F30" s="29">
        <f t="shared" si="6"/>
        <v>0</v>
      </c>
      <c r="G30" s="30">
        <v>0</v>
      </c>
      <c r="H30" s="31">
        <v>0</v>
      </c>
      <c r="I30" s="32">
        <v>0</v>
      </c>
      <c r="J30" s="77"/>
      <c r="K30" s="33">
        <v>0</v>
      </c>
      <c r="L30" s="34">
        <v>0</v>
      </c>
      <c r="M30" s="34">
        <v>0</v>
      </c>
      <c r="N30" s="62"/>
      <c r="O30" s="34">
        <v>0</v>
      </c>
      <c r="P30" s="34">
        <v>0</v>
      </c>
      <c r="Q30" s="34">
        <v>0</v>
      </c>
      <c r="R30" s="62"/>
      <c r="S30" s="37">
        <v>0</v>
      </c>
      <c r="T30" s="34">
        <v>0</v>
      </c>
      <c r="U30" s="34">
        <v>0</v>
      </c>
      <c r="V30" s="62"/>
      <c r="W30" s="38">
        <v>0</v>
      </c>
      <c r="X30" s="31">
        <v>0</v>
      </c>
      <c r="Y30" s="31">
        <v>0</v>
      </c>
      <c r="Z30" s="78"/>
      <c r="AA30" s="37">
        <v>0</v>
      </c>
      <c r="AB30" s="34">
        <v>0</v>
      </c>
      <c r="AC30" s="34">
        <v>0</v>
      </c>
      <c r="AD30" s="64"/>
      <c r="AE30" s="79"/>
      <c r="AF30" s="64"/>
      <c r="AG30" s="43">
        <f t="shared" si="0"/>
        <v>0</v>
      </c>
      <c r="AH30" s="44">
        <f t="shared" si="0"/>
        <v>0</v>
      </c>
      <c r="AI30" s="44">
        <f t="shared" si="0"/>
        <v>0</v>
      </c>
      <c r="AJ30" s="45">
        <f t="shared" si="0"/>
        <v>0</v>
      </c>
      <c r="AK30" s="80">
        <f t="shared" si="1"/>
        <v>0</v>
      </c>
      <c r="AL30" s="47">
        <v>1</v>
      </c>
      <c r="AM30" s="48">
        <f t="shared" si="7"/>
        <v>0</v>
      </c>
      <c r="AN30" s="48">
        <f t="shared" si="2"/>
        <v>0</v>
      </c>
      <c r="AO30" s="49">
        <f t="shared" si="8"/>
        <v>0</v>
      </c>
      <c r="AP30" s="49">
        <f t="shared" si="3"/>
        <v>0</v>
      </c>
      <c r="AQ30" s="50">
        <f t="shared" si="9"/>
        <v>0</v>
      </c>
      <c r="AR30" s="81">
        <v>50.64</v>
      </c>
      <c r="AS30" s="82">
        <v>9.36</v>
      </c>
      <c r="AT30" s="83">
        <f t="shared" ref="AT30:AT48" si="13">AK30*AS30</f>
        <v>0</v>
      </c>
      <c r="AU30" s="84">
        <f t="shared" ref="AU30:AU53" si="14">AK30*AL30</f>
        <v>0</v>
      </c>
      <c r="AV30" s="85">
        <v>0</v>
      </c>
      <c r="AW30" s="86"/>
      <c r="AX30" s="86"/>
      <c r="AY30" s="82"/>
      <c r="AZ30" s="87">
        <f t="shared" ref="AZ30:AZ42" si="15">AT30-AU30-AW30-AX30-AY30</f>
        <v>0</v>
      </c>
    </row>
    <row r="31" spans="1:52" ht="16.5" thickBot="1" x14ac:dyDescent="0.3">
      <c r="A31" s="58">
        <v>400</v>
      </c>
      <c r="B31" s="59" t="s">
        <v>25</v>
      </c>
      <c r="C31" s="76"/>
      <c r="D31" s="26">
        <f t="shared" si="4"/>
        <v>0</v>
      </c>
      <c r="E31" s="27">
        <f t="shared" si="5"/>
        <v>0</v>
      </c>
      <c r="F31" s="29">
        <f t="shared" si="6"/>
        <v>0</v>
      </c>
      <c r="G31" s="30">
        <v>0</v>
      </c>
      <c r="H31" s="31">
        <v>0</v>
      </c>
      <c r="I31" s="32">
        <v>0</v>
      </c>
      <c r="J31" s="77"/>
      <c r="K31" s="33">
        <v>0</v>
      </c>
      <c r="L31" s="34">
        <v>0</v>
      </c>
      <c r="M31" s="34">
        <v>0</v>
      </c>
      <c r="N31" s="62"/>
      <c r="O31" s="34">
        <v>0</v>
      </c>
      <c r="P31" s="34">
        <v>0</v>
      </c>
      <c r="Q31" s="34">
        <v>0</v>
      </c>
      <c r="R31" s="62"/>
      <c r="S31" s="37">
        <v>0</v>
      </c>
      <c r="T31" s="34">
        <v>0</v>
      </c>
      <c r="U31" s="34">
        <v>0</v>
      </c>
      <c r="V31" s="62"/>
      <c r="W31" s="38">
        <v>0</v>
      </c>
      <c r="X31" s="31">
        <v>0</v>
      </c>
      <c r="Y31" s="31">
        <v>0</v>
      </c>
      <c r="Z31" s="78"/>
      <c r="AA31" s="37">
        <v>0</v>
      </c>
      <c r="AB31" s="34">
        <v>0</v>
      </c>
      <c r="AC31" s="34">
        <v>0</v>
      </c>
      <c r="AD31" s="64"/>
      <c r="AE31" s="79"/>
      <c r="AF31" s="64"/>
      <c r="AG31" s="43">
        <f t="shared" si="0"/>
        <v>0</v>
      </c>
      <c r="AH31" s="44">
        <f t="shared" si="0"/>
        <v>0</v>
      </c>
      <c r="AI31" s="44">
        <f t="shared" si="0"/>
        <v>0</v>
      </c>
      <c r="AJ31" s="45">
        <f t="shared" si="0"/>
        <v>0</v>
      </c>
      <c r="AK31" s="80">
        <f t="shared" si="1"/>
        <v>0</v>
      </c>
      <c r="AL31" s="66">
        <v>1.3</v>
      </c>
      <c r="AM31" s="48">
        <f t="shared" si="7"/>
        <v>0</v>
      </c>
      <c r="AN31" s="48">
        <f t="shared" si="2"/>
        <v>0</v>
      </c>
      <c r="AO31" s="49">
        <f t="shared" si="8"/>
        <v>0</v>
      </c>
      <c r="AP31" s="49">
        <f t="shared" si="3"/>
        <v>0</v>
      </c>
      <c r="AQ31" s="50">
        <f t="shared" si="9"/>
        <v>0</v>
      </c>
      <c r="AR31" s="81">
        <v>34.479999999999997</v>
      </c>
      <c r="AS31" s="82">
        <v>5.5200000000000031</v>
      </c>
      <c r="AT31" s="83">
        <f t="shared" si="13"/>
        <v>0</v>
      </c>
      <c r="AU31" s="84">
        <f t="shared" si="14"/>
        <v>0</v>
      </c>
      <c r="AV31" s="85">
        <v>0</v>
      </c>
      <c r="AW31" s="86"/>
      <c r="AX31" s="86"/>
      <c r="AY31" s="82"/>
      <c r="AZ31" s="87">
        <f t="shared" si="15"/>
        <v>0</v>
      </c>
    </row>
    <row r="32" spans="1:52" ht="16.5" thickBot="1" x14ac:dyDescent="0.3">
      <c r="A32" s="74">
        <v>400</v>
      </c>
      <c r="B32" s="75" t="s">
        <v>28</v>
      </c>
      <c r="C32" s="76"/>
      <c r="D32" s="26">
        <f t="shared" si="4"/>
        <v>0</v>
      </c>
      <c r="E32" s="27">
        <f t="shared" si="5"/>
        <v>0</v>
      </c>
      <c r="F32" s="29">
        <f t="shared" si="6"/>
        <v>0</v>
      </c>
      <c r="G32" s="30">
        <v>0</v>
      </c>
      <c r="H32" s="31">
        <v>0</v>
      </c>
      <c r="I32" s="32">
        <v>0</v>
      </c>
      <c r="J32" s="77"/>
      <c r="K32" s="33">
        <v>0</v>
      </c>
      <c r="L32" s="34">
        <v>0</v>
      </c>
      <c r="M32" s="34">
        <v>0</v>
      </c>
      <c r="N32" s="62"/>
      <c r="O32" s="34">
        <v>0</v>
      </c>
      <c r="P32" s="34">
        <v>0</v>
      </c>
      <c r="Q32" s="34">
        <v>0</v>
      </c>
      <c r="R32" s="62"/>
      <c r="S32" s="37">
        <v>0</v>
      </c>
      <c r="T32" s="34">
        <v>0</v>
      </c>
      <c r="U32" s="34">
        <v>0</v>
      </c>
      <c r="V32" s="62"/>
      <c r="W32" s="38">
        <v>0</v>
      </c>
      <c r="X32" s="31">
        <v>0</v>
      </c>
      <c r="Y32" s="31">
        <v>0</v>
      </c>
      <c r="Z32" s="78"/>
      <c r="AA32" s="37">
        <v>0</v>
      </c>
      <c r="AB32" s="34">
        <v>0</v>
      </c>
      <c r="AC32" s="34">
        <v>0</v>
      </c>
      <c r="AD32" s="64"/>
      <c r="AE32" s="79"/>
      <c r="AF32" s="64"/>
      <c r="AG32" s="43">
        <f t="shared" si="0"/>
        <v>0</v>
      </c>
      <c r="AH32" s="44">
        <f t="shared" si="0"/>
        <v>0</v>
      </c>
      <c r="AI32" s="44">
        <f t="shared" si="0"/>
        <v>0</v>
      </c>
      <c r="AJ32" s="45">
        <f t="shared" si="0"/>
        <v>0</v>
      </c>
      <c r="AK32" s="80">
        <f t="shared" si="1"/>
        <v>0</v>
      </c>
      <c r="AL32" s="66">
        <v>0.65</v>
      </c>
      <c r="AM32" s="48">
        <f t="shared" si="7"/>
        <v>0</v>
      </c>
      <c r="AN32" s="48">
        <f t="shared" si="2"/>
        <v>0</v>
      </c>
      <c r="AO32" s="49">
        <f t="shared" si="8"/>
        <v>0</v>
      </c>
      <c r="AP32" s="49">
        <f t="shared" si="3"/>
        <v>0</v>
      </c>
      <c r="AQ32" s="50">
        <f t="shared" si="9"/>
        <v>0</v>
      </c>
      <c r="AR32" s="81">
        <v>34.479999999999997</v>
      </c>
      <c r="AS32" s="82">
        <v>5.5200000000000031</v>
      </c>
      <c r="AT32" s="83">
        <f t="shared" si="13"/>
        <v>0</v>
      </c>
      <c r="AU32" s="84">
        <f t="shared" si="14"/>
        <v>0</v>
      </c>
      <c r="AV32" s="85">
        <v>0</v>
      </c>
      <c r="AW32" s="86"/>
      <c r="AX32" s="86"/>
      <c r="AY32" s="82"/>
      <c r="AZ32" s="87">
        <f t="shared" si="15"/>
        <v>0</v>
      </c>
    </row>
    <row r="33" spans="1:52" ht="16.5" thickBot="1" x14ac:dyDescent="0.3">
      <c r="A33" s="74">
        <v>400</v>
      </c>
      <c r="B33" s="75" t="s">
        <v>30</v>
      </c>
      <c r="C33" s="76"/>
      <c r="D33" s="26">
        <f t="shared" si="4"/>
        <v>0</v>
      </c>
      <c r="E33" s="27">
        <f t="shared" si="5"/>
        <v>0</v>
      </c>
      <c r="F33" s="29">
        <f t="shared" si="6"/>
        <v>0</v>
      </c>
      <c r="G33" s="30">
        <v>0</v>
      </c>
      <c r="H33" s="31">
        <v>0</v>
      </c>
      <c r="I33" s="32">
        <v>0</v>
      </c>
      <c r="J33" s="77"/>
      <c r="K33" s="33">
        <v>0</v>
      </c>
      <c r="L33" s="34">
        <v>0</v>
      </c>
      <c r="M33" s="34">
        <v>0</v>
      </c>
      <c r="N33" s="62"/>
      <c r="O33" s="34">
        <v>0</v>
      </c>
      <c r="P33" s="34">
        <v>0</v>
      </c>
      <c r="Q33" s="34">
        <v>0</v>
      </c>
      <c r="R33" s="62"/>
      <c r="S33" s="37">
        <v>0</v>
      </c>
      <c r="T33" s="34">
        <v>0</v>
      </c>
      <c r="U33" s="34">
        <v>0</v>
      </c>
      <c r="V33" s="62"/>
      <c r="W33" s="38">
        <v>0</v>
      </c>
      <c r="X33" s="31">
        <v>0</v>
      </c>
      <c r="Y33" s="31">
        <v>0</v>
      </c>
      <c r="Z33" s="78"/>
      <c r="AA33" s="37">
        <v>0</v>
      </c>
      <c r="AB33" s="34">
        <v>0</v>
      </c>
      <c r="AC33" s="34">
        <v>0</v>
      </c>
      <c r="AD33" s="64"/>
      <c r="AE33" s="79"/>
      <c r="AF33" s="64"/>
      <c r="AG33" s="43">
        <f t="shared" si="0"/>
        <v>0</v>
      </c>
      <c r="AH33" s="44">
        <f t="shared" si="0"/>
        <v>0</v>
      </c>
      <c r="AI33" s="44">
        <f t="shared" si="0"/>
        <v>0</v>
      </c>
      <c r="AJ33" s="45">
        <f t="shared" si="0"/>
        <v>0</v>
      </c>
      <c r="AK33" s="80">
        <f t="shared" si="1"/>
        <v>0</v>
      </c>
      <c r="AL33" s="66">
        <v>0.65</v>
      </c>
      <c r="AM33" s="48">
        <f t="shared" si="7"/>
        <v>0</v>
      </c>
      <c r="AN33" s="48">
        <f t="shared" si="2"/>
        <v>0</v>
      </c>
      <c r="AO33" s="49">
        <f t="shared" si="8"/>
        <v>0</v>
      </c>
      <c r="AP33" s="49">
        <f t="shared" si="3"/>
        <v>0</v>
      </c>
      <c r="AQ33" s="50">
        <f t="shared" si="9"/>
        <v>0</v>
      </c>
      <c r="AR33" s="81">
        <v>34.479999999999997</v>
      </c>
      <c r="AS33" s="82">
        <v>5.5200000000000031</v>
      </c>
      <c r="AT33" s="83">
        <f t="shared" si="13"/>
        <v>0</v>
      </c>
      <c r="AU33" s="84">
        <f t="shared" si="14"/>
        <v>0</v>
      </c>
      <c r="AV33" s="85">
        <v>0</v>
      </c>
      <c r="AW33" s="86"/>
      <c r="AX33" s="86"/>
      <c r="AY33" s="82"/>
      <c r="AZ33" s="87">
        <f t="shared" si="15"/>
        <v>0</v>
      </c>
    </row>
    <row r="34" spans="1:52" ht="16.5" thickBot="1" x14ac:dyDescent="0.3">
      <c r="A34" s="74">
        <v>360</v>
      </c>
      <c r="B34" s="75" t="s">
        <v>45</v>
      </c>
      <c r="C34" s="76"/>
      <c r="D34" s="26">
        <f t="shared" si="4"/>
        <v>0</v>
      </c>
      <c r="E34" s="27">
        <f t="shared" si="5"/>
        <v>0</v>
      </c>
      <c r="F34" s="29">
        <f t="shared" si="6"/>
        <v>0</v>
      </c>
      <c r="G34" s="30">
        <v>0</v>
      </c>
      <c r="H34" s="31">
        <v>0</v>
      </c>
      <c r="I34" s="32">
        <v>0</v>
      </c>
      <c r="J34" s="77"/>
      <c r="K34" s="33">
        <v>0</v>
      </c>
      <c r="L34" s="34">
        <v>0</v>
      </c>
      <c r="M34" s="34">
        <v>0</v>
      </c>
      <c r="N34" s="62"/>
      <c r="O34" s="34">
        <v>0</v>
      </c>
      <c r="P34" s="34">
        <v>0</v>
      </c>
      <c r="Q34" s="34">
        <v>0</v>
      </c>
      <c r="R34" s="62"/>
      <c r="S34" s="37">
        <v>10</v>
      </c>
      <c r="T34" s="34">
        <v>0</v>
      </c>
      <c r="U34" s="34">
        <v>2</v>
      </c>
      <c r="V34" s="62"/>
      <c r="W34" s="38">
        <v>10</v>
      </c>
      <c r="X34" s="31">
        <v>10</v>
      </c>
      <c r="Y34" s="31">
        <v>7</v>
      </c>
      <c r="Z34" s="78"/>
      <c r="AA34" s="37">
        <v>10</v>
      </c>
      <c r="AB34" s="34">
        <v>0</v>
      </c>
      <c r="AC34" s="34">
        <v>7</v>
      </c>
      <c r="AD34" s="64"/>
      <c r="AE34" s="79"/>
      <c r="AF34" s="64"/>
      <c r="AG34" s="43">
        <f t="shared" si="0"/>
        <v>30</v>
      </c>
      <c r="AH34" s="44">
        <f t="shared" si="0"/>
        <v>10</v>
      </c>
      <c r="AI34" s="44">
        <f t="shared" si="0"/>
        <v>16</v>
      </c>
      <c r="AJ34" s="45">
        <f t="shared" si="0"/>
        <v>0</v>
      </c>
      <c r="AK34" s="80">
        <f t="shared" si="1"/>
        <v>56</v>
      </c>
      <c r="AL34" s="66">
        <v>0.65</v>
      </c>
      <c r="AM34" s="48">
        <f t="shared" si="7"/>
        <v>19.5</v>
      </c>
      <c r="AN34" s="48">
        <f t="shared" si="2"/>
        <v>6.5</v>
      </c>
      <c r="AO34" s="49">
        <f t="shared" si="8"/>
        <v>10.4</v>
      </c>
      <c r="AP34" s="49">
        <f t="shared" si="3"/>
        <v>0</v>
      </c>
      <c r="AQ34" s="50">
        <f t="shared" si="9"/>
        <v>3360</v>
      </c>
      <c r="AR34" s="81">
        <v>34.479999999999997</v>
      </c>
      <c r="AS34" s="82">
        <v>5.5200000000000031</v>
      </c>
      <c r="AT34" s="83">
        <f t="shared" si="13"/>
        <v>309.12000000000018</v>
      </c>
      <c r="AU34" s="84">
        <f t="shared" si="14"/>
        <v>36.4</v>
      </c>
      <c r="AV34" s="85">
        <v>0</v>
      </c>
      <c r="AW34" s="86"/>
      <c r="AX34" s="86"/>
      <c r="AY34" s="82"/>
      <c r="AZ34" s="87">
        <f t="shared" si="15"/>
        <v>272.7200000000002</v>
      </c>
    </row>
    <row r="35" spans="1:52" ht="16.5" thickBot="1" x14ac:dyDescent="0.3">
      <c r="A35" s="74">
        <v>360</v>
      </c>
      <c r="B35" s="75" t="s">
        <v>46</v>
      </c>
      <c r="C35" s="76"/>
      <c r="D35" s="26">
        <f t="shared" si="4"/>
        <v>0</v>
      </c>
      <c r="E35" s="27">
        <f t="shared" si="5"/>
        <v>0</v>
      </c>
      <c r="F35" s="29">
        <f t="shared" si="6"/>
        <v>0</v>
      </c>
      <c r="G35" s="30">
        <v>0</v>
      </c>
      <c r="H35" s="31">
        <v>0</v>
      </c>
      <c r="I35" s="32">
        <v>0</v>
      </c>
      <c r="J35" s="77"/>
      <c r="K35" s="33">
        <v>0</v>
      </c>
      <c r="L35" s="34">
        <v>0</v>
      </c>
      <c r="M35" s="34">
        <v>0</v>
      </c>
      <c r="N35" s="62"/>
      <c r="O35" s="34">
        <v>0</v>
      </c>
      <c r="P35" s="34">
        <v>0</v>
      </c>
      <c r="Q35" s="34">
        <v>0</v>
      </c>
      <c r="R35" s="62"/>
      <c r="S35" s="37">
        <v>0</v>
      </c>
      <c r="T35" s="34">
        <v>0</v>
      </c>
      <c r="U35" s="34">
        <v>0</v>
      </c>
      <c r="V35" s="62"/>
      <c r="W35" s="38">
        <v>0</v>
      </c>
      <c r="X35" s="31">
        <v>0</v>
      </c>
      <c r="Y35" s="31">
        <v>0</v>
      </c>
      <c r="Z35" s="78"/>
      <c r="AA35" s="37">
        <v>0</v>
      </c>
      <c r="AB35" s="34">
        <v>0</v>
      </c>
      <c r="AC35" s="34">
        <v>0</v>
      </c>
      <c r="AD35" s="64"/>
      <c r="AE35" s="79"/>
      <c r="AF35" s="64"/>
      <c r="AG35" s="43">
        <f t="shared" si="0"/>
        <v>0</v>
      </c>
      <c r="AH35" s="44">
        <f t="shared" si="0"/>
        <v>0</v>
      </c>
      <c r="AI35" s="44">
        <f t="shared" si="0"/>
        <v>0</v>
      </c>
      <c r="AJ35" s="45">
        <f t="shared" si="0"/>
        <v>0</v>
      </c>
      <c r="AK35" s="80">
        <f t="shared" si="1"/>
        <v>0</v>
      </c>
      <c r="AL35" s="47">
        <v>0.65</v>
      </c>
      <c r="AM35" s="48">
        <f t="shared" si="7"/>
        <v>0</v>
      </c>
      <c r="AN35" s="48">
        <f t="shared" si="2"/>
        <v>0</v>
      </c>
      <c r="AO35" s="49">
        <f t="shared" si="8"/>
        <v>0</v>
      </c>
      <c r="AP35" s="49">
        <f t="shared" si="3"/>
        <v>0</v>
      </c>
      <c r="AQ35" s="50">
        <f t="shared" si="9"/>
        <v>0</v>
      </c>
      <c r="AR35" s="81">
        <v>34.479999999999997</v>
      </c>
      <c r="AS35" s="82">
        <v>5.5200000000000031</v>
      </c>
      <c r="AT35" s="83">
        <f t="shared" si="13"/>
        <v>0</v>
      </c>
      <c r="AU35" s="84">
        <f t="shared" si="14"/>
        <v>0</v>
      </c>
      <c r="AV35" s="85">
        <v>0</v>
      </c>
      <c r="AW35" s="86"/>
      <c r="AX35" s="86"/>
      <c r="AY35" s="82"/>
      <c r="AZ35" s="87">
        <f t="shared" si="15"/>
        <v>0</v>
      </c>
    </row>
    <row r="36" spans="1:52" ht="16.5" thickBot="1" x14ac:dyDescent="0.3">
      <c r="A36" s="74">
        <v>400</v>
      </c>
      <c r="B36" s="75" t="s">
        <v>47</v>
      </c>
      <c r="C36" s="76"/>
      <c r="D36" s="26">
        <f t="shared" si="4"/>
        <v>0</v>
      </c>
      <c r="E36" s="27">
        <f t="shared" si="5"/>
        <v>0</v>
      </c>
      <c r="F36" s="29">
        <f t="shared" si="6"/>
        <v>0</v>
      </c>
      <c r="G36" s="30">
        <v>0</v>
      </c>
      <c r="H36" s="31">
        <v>0</v>
      </c>
      <c r="I36" s="32">
        <v>0</v>
      </c>
      <c r="J36" s="77"/>
      <c r="K36" s="33">
        <v>0</v>
      </c>
      <c r="L36" s="34">
        <v>0</v>
      </c>
      <c r="M36" s="34">
        <v>0</v>
      </c>
      <c r="N36" s="62"/>
      <c r="O36" s="34">
        <v>0</v>
      </c>
      <c r="P36" s="34">
        <v>0</v>
      </c>
      <c r="Q36" s="34">
        <v>0</v>
      </c>
      <c r="R36" s="62"/>
      <c r="S36" s="37">
        <v>0</v>
      </c>
      <c r="T36" s="34">
        <v>0</v>
      </c>
      <c r="U36" s="34">
        <v>0</v>
      </c>
      <c r="V36" s="62"/>
      <c r="W36" s="38">
        <v>0</v>
      </c>
      <c r="X36" s="31">
        <v>0</v>
      </c>
      <c r="Y36" s="31">
        <v>0</v>
      </c>
      <c r="Z36" s="78"/>
      <c r="AA36" s="37">
        <v>0</v>
      </c>
      <c r="AB36" s="34">
        <v>0</v>
      </c>
      <c r="AC36" s="34">
        <v>0</v>
      </c>
      <c r="AD36" s="64"/>
      <c r="AE36" s="79"/>
      <c r="AF36" s="64"/>
      <c r="AG36" s="43">
        <f t="shared" ref="AG36:AJ100" si="16">G36+K36+O36+S36+W36+AA36</f>
        <v>0</v>
      </c>
      <c r="AH36" s="44">
        <f t="shared" si="16"/>
        <v>0</v>
      </c>
      <c r="AI36" s="44">
        <f t="shared" si="16"/>
        <v>0</v>
      </c>
      <c r="AJ36" s="45">
        <f t="shared" si="16"/>
        <v>0</v>
      </c>
      <c r="AK36" s="80">
        <f t="shared" si="1"/>
        <v>0</v>
      </c>
      <c r="AL36" s="47">
        <v>0.75</v>
      </c>
      <c r="AM36" s="48">
        <f t="shared" si="7"/>
        <v>0</v>
      </c>
      <c r="AN36" s="48">
        <f t="shared" si="2"/>
        <v>0</v>
      </c>
      <c r="AO36" s="49">
        <f t="shared" si="8"/>
        <v>0</v>
      </c>
      <c r="AP36" s="49">
        <f t="shared" si="3"/>
        <v>0</v>
      </c>
      <c r="AQ36" s="50">
        <f t="shared" si="9"/>
        <v>0</v>
      </c>
      <c r="AR36" s="81">
        <v>34.479999999999997</v>
      </c>
      <c r="AS36" s="82">
        <v>5.5200000000000031</v>
      </c>
      <c r="AT36" s="83">
        <f t="shared" si="13"/>
        <v>0</v>
      </c>
      <c r="AU36" s="84">
        <f t="shared" si="14"/>
        <v>0</v>
      </c>
      <c r="AV36" s="85">
        <v>0</v>
      </c>
      <c r="AW36" s="86"/>
      <c r="AX36" s="86"/>
      <c r="AY36" s="82"/>
      <c r="AZ36" s="87">
        <f t="shared" si="15"/>
        <v>0</v>
      </c>
    </row>
    <row r="37" spans="1:52" ht="16.5" thickBot="1" x14ac:dyDescent="0.3">
      <c r="A37" s="74">
        <v>400</v>
      </c>
      <c r="B37" s="75" t="s">
        <v>34</v>
      </c>
      <c r="C37" s="76">
        <v>516</v>
      </c>
      <c r="D37" s="26">
        <f t="shared" si="4"/>
        <v>172</v>
      </c>
      <c r="E37" s="27">
        <f t="shared" si="5"/>
        <v>172</v>
      </c>
      <c r="F37" s="29">
        <f t="shared" si="6"/>
        <v>172</v>
      </c>
      <c r="G37" s="30">
        <v>0</v>
      </c>
      <c r="H37" s="31">
        <v>0</v>
      </c>
      <c r="I37" s="32">
        <v>0</v>
      </c>
      <c r="J37" s="77"/>
      <c r="K37" s="33">
        <v>0</v>
      </c>
      <c r="L37" s="34">
        <v>0</v>
      </c>
      <c r="M37" s="34">
        <v>0</v>
      </c>
      <c r="N37" s="62"/>
      <c r="O37" s="34">
        <v>0</v>
      </c>
      <c r="P37" s="34">
        <v>0</v>
      </c>
      <c r="Q37" s="34">
        <v>0</v>
      </c>
      <c r="R37" s="62"/>
      <c r="S37" s="37">
        <v>0</v>
      </c>
      <c r="T37" s="34">
        <v>0</v>
      </c>
      <c r="U37" s="34">
        <v>0</v>
      </c>
      <c r="V37" s="62"/>
      <c r="W37" s="38">
        <v>0</v>
      </c>
      <c r="X37" s="31">
        <v>0</v>
      </c>
      <c r="Y37" s="31">
        <v>0</v>
      </c>
      <c r="Z37" s="78"/>
      <c r="AA37" s="37">
        <v>0</v>
      </c>
      <c r="AB37" s="34">
        <v>0</v>
      </c>
      <c r="AC37" s="34">
        <v>0</v>
      </c>
      <c r="AD37" s="64"/>
      <c r="AE37" s="79"/>
      <c r="AF37" s="64"/>
      <c r="AG37" s="43">
        <f t="shared" si="16"/>
        <v>0</v>
      </c>
      <c r="AH37" s="44">
        <f t="shared" si="16"/>
        <v>0</v>
      </c>
      <c r="AI37" s="44">
        <f t="shared" si="16"/>
        <v>0</v>
      </c>
      <c r="AJ37" s="45">
        <f t="shared" si="16"/>
        <v>0</v>
      </c>
      <c r="AK37" s="80">
        <f t="shared" si="1"/>
        <v>0</v>
      </c>
      <c r="AL37" s="66">
        <v>0.65</v>
      </c>
      <c r="AM37" s="48">
        <f t="shared" si="7"/>
        <v>0</v>
      </c>
      <c r="AN37" s="48">
        <f t="shared" si="2"/>
        <v>0</v>
      </c>
      <c r="AO37" s="49">
        <f t="shared" si="8"/>
        <v>0</v>
      </c>
      <c r="AP37" s="49">
        <f t="shared" si="3"/>
        <v>0</v>
      </c>
      <c r="AQ37" s="50">
        <f t="shared" si="9"/>
        <v>0</v>
      </c>
      <c r="AR37" s="81">
        <v>34.44</v>
      </c>
      <c r="AS37" s="82">
        <v>5.5600000000000023</v>
      </c>
      <c r="AT37" s="83">
        <f t="shared" si="13"/>
        <v>0</v>
      </c>
      <c r="AU37" s="84">
        <f t="shared" si="14"/>
        <v>0</v>
      </c>
      <c r="AV37" s="85">
        <v>0</v>
      </c>
      <c r="AW37" s="86"/>
      <c r="AX37" s="86"/>
      <c r="AY37" s="82"/>
      <c r="AZ37" s="87">
        <f t="shared" si="15"/>
        <v>0</v>
      </c>
    </row>
    <row r="38" spans="1:52" ht="16.5" thickBot="1" x14ac:dyDescent="0.3">
      <c r="A38" s="74">
        <v>400</v>
      </c>
      <c r="B38" s="75" t="s">
        <v>27</v>
      </c>
      <c r="C38" s="76">
        <v>770</v>
      </c>
      <c r="D38" s="26">
        <f t="shared" si="4"/>
        <v>256.66666666666669</v>
      </c>
      <c r="E38" s="27">
        <f t="shared" si="5"/>
        <v>256.66666666666669</v>
      </c>
      <c r="F38" s="29">
        <f t="shared" si="6"/>
        <v>256.66666666666669</v>
      </c>
      <c r="G38" s="30">
        <v>18</v>
      </c>
      <c r="H38" s="31">
        <v>2</v>
      </c>
      <c r="I38" s="32">
        <v>6</v>
      </c>
      <c r="J38" s="77"/>
      <c r="K38" s="33">
        <v>20</v>
      </c>
      <c r="L38" s="34">
        <v>12</v>
      </c>
      <c r="M38" s="34">
        <v>14</v>
      </c>
      <c r="N38" s="62"/>
      <c r="O38" s="34">
        <v>30</v>
      </c>
      <c r="P38" s="34">
        <v>15</v>
      </c>
      <c r="Q38" s="34">
        <v>18</v>
      </c>
      <c r="R38" s="62"/>
      <c r="S38" s="37">
        <v>10</v>
      </c>
      <c r="T38" s="34">
        <v>9</v>
      </c>
      <c r="U38" s="34">
        <v>2</v>
      </c>
      <c r="V38" s="62"/>
      <c r="W38" s="38">
        <v>9</v>
      </c>
      <c r="X38" s="31">
        <v>2</v>
      </c>
      <c r="Y38" s="31">
        <v>7</v>
      </c>
      <c r="Z38" s="78"/>
      <c r="AA38" s="37">
        <v>0</v>
      </c>
      <c r="AB38" s="34">
        <v>0</v>
      </c>
      <c r="AC38" s="34">
        <v>11</v>
      </c>
      <c r="AD38" s="64"/>
      <c r="AE38" s="79"/>
      <c r="AF38" s="64"/>
      <c r="AG38" s="43">
        <f t="shared" si="16"/>
        <v>87</v>
      </c>
      <c r="AH38" s="44">
        <f t="shared" si="16"/>
        <v>40</v>
      </c>
      <c r="AI38" s="44">
        <f t="shared" si="16"/>
        <v>58</v>
      </c>
      <c r="AJ38" s="45">
        <f t="shared" si="16"/>
        <v>0</v>
      </c>
      <c r="AK38" s="80">
        <f t="shared" si="1"/>
        <v>185</v>
      </c>
      <c r="AL38" s="66">
        <v>0.65</v>
      </c>
      <c r="AM38" s="48">
        <f t="shared" si="7"/>
        <v>56.550000000000004</v>
      </c>
      <c r="AN38" s="48">
        <f t="shared" si="2"/>
        <v>26</v>
      </c>
      <c r="AO38" s="49">
        <f t="shared" si="8"/>
        <v>37.700000000000003</v>
      </c>
      <c r="AP38" s="49">
        <f t="shared" si="3"/>
        <v>0</v>
      </c>
      <c r="AQ38" s="50">
        <f t="shared" si="9"/>
        <v>11100</v>
      </c>
      <c r="AR38" s="81">
        <v>34.479999999999997</v>
      </c>
      <c r="AS38" s="82">
        <v>5.5200000000000031</v>
      </c>
      <c r="AT38" s="83">
        <f t="shared" si="13"/>
        <v>1021.2000000000006</v>
      </c>
      <c r="AU38" s="84">
        <f t="shared" si="14"/>
        <v>120.25</v>
      </c>
      <c r="AV38" s="85">
        <v>0</v>
      </c>
      <c r="AW38" s="86"/>
      <c r="AX38" s="86"/>
      <c r="AY38" s="82"/>
      <c r="AZ38" s="87">
        <f t="shared" si="15"/>
        <v>900.95000000000061</v>
      </c>
    </row>
    <row r="39" spans="1:52" ht="16.5" thickBot="1" x14ac:dyDescent="0.3">
      <c r="A39" s="74">
        <v>400</v>
      </c>
      <c r="B39" s="75" t="s">
        <v>40</v>
      </c>
      <c r="C39" s="76"/>
      <c r="D39" s="26">
        <f t="shared" si="4"/>
        <v>0</v>
      </c>
      <c r="E39" s="27">
        <f t="shared" si="5"/>
        <v>0</v>
      </c>
      <c r="F39" s="29">
        <f t="shared" si="6"/>
        <v>0</v>
      </c>
      <c r="G39" s="30">
        <v>0</v>
      </c>
      <c r="H39" s="31">
        <v>0</v>
      </c>
      <c r="I39" s="32">
        <v>0</v>
      </c>
      <c r="J39" s="77"/>
      <c r="K39" s="33">
        <v>0</v>
      </c>
      <c r="L39" s="34">
        <v>0</v>
      </c>
      <c r="M39" s="34">
        <v>0</v>
      </c>
      <c r="N39" s="62"/>
      <c r="O39" s="34">
        <v>0</v>
      </c>
      <c r="P39" s="34">
        <v>0</v>
      </c>
      <c r="Q39" s="34">
        <v>0</v>
      </c>
      <c r="R39" s="62"/>
      <c r="S39" s="37">
        <v>0</v>
      </c>
      <c r="T39" s="34">
        <v>0</v>
      </c>
      <c r="U39" s="34">
        <v>0</v>
      </c>
      <c r="V39" s="62"/>
      <c r="W39" s="38">
        <v>0</v>
      </c>
      <c r="X39" s="31">
        <v>0</v>
      </c>
      <c r="Y39" s="31">
        <v>0</v>
      </c>
      <c r="Z39" s="78"/>
      <c r="AA39" s="37">
        <v>0</v>
      </c>
      <c r="AB39" s="34">
        <v>0</v>
      </c>
      <c r="AC39" s="34">
        <v>0</v>
      </c>
      <c r="AD39" s="64"/>
      <c r="AE39" s="79"/>
      <c r="AF39" s="64"/>
      <c r="AG39" s="43">
        <f t="shared" si="16"/>
        <v>0</v>
      </c>
      <c r="AH39" s="44">
        <f t="shared" si="16"/>
        <v>0</v>
      </c>
      <c r="AI39" s="44">
        <f t="shared" si="16"/>
        <v>0</v>
      </c>
      <c r="AJ39" s="45">
        <f t="shared" si="16"/>
        <v>0</v>
      </c>
      <c r="AK39" s="80">
        <f t="shared" si="1"/>
        <v>0</v>
      </c>
      <c r="AL39" s="47">
        <v>0.75</v>
      </c>
      <c r="AM39" s="48">
        <f t="shared" si="7"/>
        <v>0</v>
      </c>
      <c r="AN39" s="48">
        <f t="shared" si="2"/>
        <v>0</v>
      </c>
      <c r="AO39" s="49">
        <f t="shared" si="8"/>
        <v>0</v>
      </c>
      <c r="AP39" s="49">
        <f t="shared" si="3"/>
        <v>0</v>
      </c>
      <c r="AQ39" s="50">
        <f t="shared" si="9"/>
        <v>0</v>
      </c>
      <c r="AR39" s="81">
        <v>34.520000000000003</v>
      </c>
      <c r="AS39" s="82">
        <v>5.4799999999999969</v>
      </c>
      <c r="AT39" s="83">
        <f t="shared" si="13"/>
        <v>0</v>
      </c>
      <c r="AU39" s="84">
        <f t="shared" si="14"/>
        <v>0</v>
      </c>
      <c r="AV39" s="85">
        <v>0</v>
      </c>
      <c r="AW39" s="86"/>
      <c r="AX39" s="86"/>
      <c r="AY39" s="82"/>
      <c r="AZ39" s="87">
        <f t="shared" si="15"/>
        <v>0</v>
      </c>
    </row>
    <row r="40" spans="1:52" ht="16.5" thickBot="1" x14ac:dyDescent="0.3">
      <c r="A40" s="74">
        <v>400</v>
      </c>
      <c r="B40" s="75" t="s">
        <v>48</v>
      </c>
      <c r="C40" s="76"/>
      <c r="D40" s="26">
        <f t="shared" si="4"/>
        <v>0</v>
      </c>
      <c r="E40" s="27">
        <f t="shared" si="5"/>
        <v>0</v>
      </c>
      <c r="F40" s="29">
        <f t="shared" si="6"/>
        <v>0</v>
      </c>
      <c r="G40" s="30">
        <v>0</v>
      </c>
      <c r="H40" s="31">
        <v>0</v>
      </c>
      <c r="I40" s="32">
        <v>0</v>
      </c>
      <c r="J40" s="77"/>
      <c r="K40" s="33">
        <v>0</v>
      </c>
      <c r="L40" s="34">
        <v>0</v>
      </c>
      <c r="M40" s="34">
        <v>0</v>
      </c>
      <c r="N40" s="62"/>
      <c r="O40" s="34">
        <v>0</v>
      </c>
      <c r="P40" s="34">
        <v>0</v>
      </c>
      <c r="Q40" s="34">
        <v>0</v>
      </c>
      <c r="R40" s="62"/>
      <c r="S40" s="37">
        <v>0</v>
      </c>
      <c r="T40" s="34">
        <v>0</v>
      </c>
      <c r="U40" s="34">
        <v>0</v>
      </c>
      <c r="V40" s="62"/>
      <c r="W40" s="38">
        <v>0</v>
      </c>
      <c r="X40" s="31">
        <v>0</v>
      </c>
      <c r="Y40" s="31">
        <v>0</v>
      </c>
      <c r="Z40" s="78"/>
      <c r="AA40" s="37">
        <v>0</v>
      </c>
      <c r="AB40" s="34">
        <v>0</v>
      </c>
      <c r="AC40" s="34">
        <v>0</v>
      </c>
      <c r="AD40" s="64"/>
      <c r="AE40" s="79"/>
      <c r="AF40" s="64"/>
      <c r="AG40" s="43">
        <f t="shared" si="16"/>
        <v>0</v>
      </c>
      <c r="AH40" s="44">
        <f t="shared" si="16"/>
        <v>0</v>
      </c>
      <c r="AI40" s="44">
        <f t="shared" si="16"/>
        <v>0</v>
      </c>
      <c r="AJ40" s="45">
        <f t="shared" si="16"/>
        <v>0</v>
      </c>
      <c r="AK40" s="80">
        <f t="shared" si="1"/>
        <v>0</v>
      </c>
      <c r="AL40" s="47">
        <v>0.75</v>
      </c>
      <c r="AM40" s="48">
        <f t="shared" si="7"/>
        <v>0</v>
      </c>
      <c r="AN40" s="48">
        <f t="shared" si="2"/>
        <v>0</v>
      </c>
      <c r="AO40" s="49">
        <f t="shared" si="8"/>
        <v>0</v>
      </c>
      <c r="AP40" s="49">
        <f t="shared" si="3"/>
        <v>0</v>
      </c>
      <c r="AQ40" s="50">
        <f t="shared" si="9"/>
        <v>0</v>
      </c>
      <c r="AR40" s="81">
        <v>34.520000000000003</v>
      </c>
      <c r="AS40" s="82">
        <v>5.4799999999999969</v>
      </c>
      <c r="AT40" s="83">
        <f t="shared" si="13"/>
        <v>0</v>
      </c>
      <c r="AU40" s="84">
        <f t="shared" si="14"/>
        <v>0</v>
      </c>
      <c r="AV40" s="85">
        <v>0</v>
      </c>
      <c r="AW40" s="86"/>
      <c r="AX40" s="86"/>
      <c r="AY40" s="82"/>
      <c r="AZ40" s="87">
        <f t="shared" si="15"/>
        <v>0</v>
      </c>
    </row>
    <row r="41" spans="1:52" ht="16.5" thickBot="1" x14ac:dyDescent="0.3">
      <c r="A41" s="74">
        <v>400</v>
      </c>
      <c r="B41" s="75" t="s">
        <v>49</v>
      </c>
      <c r="C41" s="76"/>
      <c r="D41" s="26">
        <f t="shared" si="4"/>
        <v>0</v>
      </c>
      <c r="E41" s="27">
        <f t="shared" si="5"/>
        <v>0</v>
      </c>
      <c r="F41" s="29">
        <f t="shared" si="6"/>
        <v>0</v>
      </c>
      <c r="G41" s="30">
        <v>0</v>
      </c>
      <c r="H41" s="31">
        <v>0</v>
      </c>
      <c r="I41" s="32">
        <v>0</v>
      </c>
      <c r="J41" s="77"/>
      <c r="K41" s="33">
        <v>0</v>
      </c>
      <c r="L41" s="34">
        <v>0</v>
      </c>
      <c r="M41" s="34">
        <v>0</v>
      </c>
      <c r="N41" s="62"/>
      <c r="O41" s="34">
        <v>0</v>
      </c>
      <c r="P41" s="34">
        <v>0</v>
      </c>
      <c r="Q41" s="34">
        <v>0</v>
      </c>
      <c r="R41" s="62"/>
      <c r="S41" s="37">
        <v>0</v>
      </c>
      <c r="T41" s="34">
        <v>0</v>
      </c>
      <c r="U41" s="34">
        <v>0</v>
      </c>
      <c r="V41" s="62"/>
      <c r="W41" s="38">
        <v>0</v>
      </c>
      <c r="X41" s="31">
        <v>0</v>
      </c>
      <c r="Y41" s="31">
        <v>0</v>
      </c>
      <c r="Z41" s="78"/>
      <c r="AA41" s="37">
        <v>0</v>
      </c>
      <c r="AB41" s="34">
        <v>0</v>
      </c>
      <c r="AC41" s="34">
        <v>0</v>
      </c>
      <c r="AD41" s="64"/>
      <c r="AE41" s="79"/>
      <c r="AF41" s="64"/>
      <c r="AG41" s="43">
        <f t="shared" si="16"/>
        <v>0</v>
      </c>
      <c r="AH41" s="44">
        <f t="shared" si="16"/>
        <v>0</v>
      </c>
      <c r="AI41" s="44">
        <f t="shared" si="16"/>
        <v>0</v>
      </c>
      <c r="AJ41" s="45">
        <f t="shared" si="16"/>
        <v>0</v>
      </c>
      <c r="AK41" s="80">
        <f t="shared" si="1"/>
        <v>0</v>
      </c>
      <c r="AL41" s="47">
        <v>0.75</v>
      </c>
      <c r="AM41" s="48">
        <f t="shared" si="7"/>
        <v>0</v>
      </c>
      <c r="AN41" s="48">
        <f t="shared" si="2"/>
        <v>0</v>
      </c>
      <c r="AO41" s="49">
        <f t="shared" si="8"/>
        <v>0</v>
      </c>
      <c r="AP41" s="49">
        <f t="shared" si="3"/>
        <v>0</v>
      </c>
      <c r="AQ41" s="50">
        <f t="shared" si="9"/>
        <v>0</v>
      </c>
      <c r="AR41" s="81">
        <v>34.479999999999997</v>
      </c>
      <c r="AS41" s="82">
        <v>5.5200000000000031</v>
      </c>
      <c r="AT41" s="83">
        <f t="shared" si="13"/>
        <v>0</v>
      </c>
      <c r="AU41" s="84">
        <f t="shared" si="14"/>
        <v>0</v>
      </c>
      <c r="AV41" s="85">
        <v>0</v>
      </c>
      <c r="AW41" s="86"/>
      <c r="AX41" s="86"/>
      <c r="AY41" s="82"/>
      <c r="AZ41" s="87">
        <f t="shared" si="15"/>
        <v>0</v>
      </c>
    </row>
    <row r="42" spans="1:52" ht="16.5" thickBot="1" x14ac:dyDescent="0.3">
      <c r="A42" s="74">
        <v>375</v>
      </c>
      <c r="B42" s="75" t="s">
        <v>50</v>
      </c>
      <c r="C42" s="76"/>
      <c r="D42" s="26">
        <f t="shared" si="4"/>
        <v>0</v>
      </c>
      <c r="E42" s="27">
        <f t="shared" si="5"/>
        <v>0</v>
      </c>
      <c r="F42" s="29">
        <f t="shared" si="6"/>
        <v>0</v>
      </c>
      <c r="G42" s="30">
        <v>0</v>
      </c>
      <c r="H42" s="31">
        <v>0</v>
      </c>
      <c r="I42" s="32">
        <v>0</v>
      </c>
      <c r="J42" s="77"/>
      <c r="K42" s="33">
        <v>0</v>
      </c>
      <c r="L42" s="34">
        <v>0</v>
      </c>
      <c r="M42" s="34">
        <v>0</v>
      </c>
      <c r="N42" s="62"/>
      <c r="O42" s="34">
        <v>0</v>
      </c>
      <c r="P42" s="34">
        <v>0</v>
      </c>
      <c r="Q42" s="34">
        <v>0</v>
      </c>
      <c r="R42" s="62"/>
      <c r="S42" s="37">
        <v>0</v>
      </c>
      <c r="T42" s="34">
        <v>0</v>
      </c>
      <c r="U42" s="34">
        <v>0</v>
      </c>
      <c r="V42" s="62"/>
      <c r="W42" s="38">
        <v>0</v>
      </c>
      <c r="X42" s="31">
        <v>0</v>
      </c>
      <c r="Y42" s="31">
        <v>0</v>
      </c>
      <c r="Z42" s="78"/>
      <c r="AA42" s="37">
        <v>0</v>
      </c>
      <c r="AB42" s="34">
        <v>0</v>
      </c>
      <c r="AC42" s="34">
        <v>0</v>
      </c>
      <c r="AD42" s="64"/>
      <c r="AE42" s="79"/>
      <c r="AF42" s="64"/>
      <c r="AG42" s="43">
        <f t="shared" si="16"/>
        <v>0</v>
      </c>
      <c r="AH42" s="44">
        <f t="shared" si="16"/>
        <v>0</v>
      </c>
      <c r="AI42" s="44">
        <f t="shared" si="16"/>
        <v>0</v>
      </c>
      <c r="AJ42" s="45">
        <f t="shared" si="16"/>
        <v>0</v>
      </c>
      <c r="AK42" s="80">
        <f t="shared" si="1"/>
        <v>0</v>
      </c>
      <c r="AL42" s="47">
        <v>0.75</v>
      </c>
      <c r="AM42" s="48">
        <f t="shared" si="7"/>
        <v>0</v>
      </c>
      <c r="AN42" s="48">
        <f t="shared" si="2"/>
        <v>0</v>
      </c>
      <c r="AO42" s="49">
        <f t="shared" si="8"/>
        <v>0</v>
      </c>
      <c r="AP42" s="49">
        <f t="shared" si="3"/>
        <v>0</v>
      </c>
      <c r="AQ42" s="50">
        <f t="shared" si="9"/>
        <v>0</v>
      </c>
      <c r="AR42" s="81">
        <v>34.520000000000003</v>
      </c>
      <c r="AS42" s="82">
        <v>5.4799999999999969</v>
      </c>
      <c r="AT42" s="83">
        <f t="shared" si="13"/>
        <v>0</v>
      </c>
      <c r="AU42" s="84">
        <f t="shared" si="14"/>
        <v>0</v>
      </c>
      <c r="AV42" s="85">
        <v>0</v>
      </c>
      <c r="AW42" s="86"/>
      <c r="AX42" s="86"/>
      <c r="AY42" s="82"/>
      <c r="AZ42" s="87">
        <f t="shared" si="15"/>
        <v>0</v>
      </c>
    </row>
    <row r="43" spans="1:52" ht="16.5" thickBot="1" x14ac:dyDescent="0.3">
      <c r="A43" s="74">
        <v>355</v>
      </c>
      <c r="B43" s="75" t="s">
        <v>51</v>
      </c>
      <c r="C43" s="76">
        <v>20</v>
      </c>
      <c r="D43" s="26">
        <f t="shared" si="4"/>
        <v>6.666666666666667</v>
      </c>
      <c r="E43" s="27">
        <f t="shared" si="5"/>
        <v>6.666666666666667</v>
      </c>
      <c r="F43" s="29">
        <f t="shared" si="6"/>
        <v>6.666666666666667</v>
      </c>
      <c r="G43" s="30">
        <v>0</v>
      </c>
      <c r="H43" s="31">
        <v>0</v>
      </c>
      <c r="I43" s="32">
        <v>0</v>
      </c>
      <c r="J43" s="77"/>
      <c r="K43" s="33">
        <v>0</v>
      </c>
      <c r="L43" s="34">
        <v>0</v>
      </c>
      <c r="M43" s="34">
        <v>0</v>
      </c>
      <c r="N43" s="62"/>
      <c r="O43" s="34">
        <v>0</v>
      </c>
      <c r="P43" s="34">
        <v>0</v>
      </c>
      <c r="Q43" s="34">
        <v>0</v>
      </c>
      <c r="R43" s="62"/>
      <c r="S43" s="37">
        <v>0</v>
      </c>
      <c r="T43" s="34">
        <v>0</v>
      </c>
      <c r="U43" s="34">
        <v>0</v>
      </c>
      <c r="V43" s="62"/>
      <c r="W43" s="38">
        <v>0</v>
      </c>
      <c r="X43" s="31">
        <v>0</v>
      </c>
      <c r="Y43" s="31">
        <v>0</v>
      </c>
      <c r="Z43" s="78"/>
      <c r="AA43" s="37">
        <v>0</v>
      </c>
      <c r="AB43" s="34">
        <v>0</v>
      </c>
      <c r="AC43" s="34">
        <v>0</v>
      </c>
      <c r="AD43" s="64"/>
      <c r="AE43" s="79"/>
      <c r="AF43" s="64"/>
      <c r="AG43" s="43">
        <f t="shared" si="16"/>
        <v>0</v>
      </c>
      <c r="AH43" s="44">
        <f t="shared" si="16"/>
        <v>0</v>
      </c>
      <c r="AI43" s="44">
        <f t="shared" si="16"/>
        <v>0</v>
      </c>
      <c r="AJ43" s="45">
        <f t="shared" si="16"/>
        <v>0</v>
      </c>
      <c r="AK43" s="80">
        <f t="shared" si="1"/>
        <v>0</v>
      </c>
      <c r="AL43" s="47">
        <v>0.5</v>
      </c>
      <c r="AM43" s="48">
        <f t="shared" si="7"/>
        <v>0</v>
      </c>
      <c r="AN43" s="48">
        <f t="shared" si="2"/>
        <v>0</v>
      </c>
      <c r="AO43" s="49">
        <f t="shared" si="8"/>
        <v>0</v>
      </c>
      <c r="AP43" s="49">
        <f t="shared" si="3"/>
        <v>0</v>
      </c>
      <c r="AQ43" s="50">
        <f t="shared" si="9"/>
        <v>0</v>
      </c>
      <c r="AR43" s="81"/>
      <c r="AS43" s="82"/>
      <c r="AT43" s="83">
        <f t="shared" si="13"/>
        <v>0</v>
      </c>
      <c r="AU43" s="84">
        <f t="shared" si="14"/>
        <v>0</v>
      </c>
      <c r="AV43" s="85"/>
      <c r="AW43" s="86"/>
      <c r="AX43" s="86"/>
      <c r="AY43" s="82"/>
      <c r="AZ43" s="87"/>
    </row>
    <row r="44" spans="1:52" ht="16.5" thickBot="1" x14ac:dyDescent="0.3">
      <c r="A44" s="74">
        <v>300</v>
      </c>
      <c r="B44" s="75" t="s">
        <v>52</v>
      </c>
      <c r="C44" s="76">
        <v>147</v>
      </c>
      <c r="D44" s="26">
        <f t="shared" si="4"/>
        <v>49</v>
      </c>
      <c r="E44" s="27">
        <f t="shared" si="5"/>
        <v>49</v>
      </c>
      <c r="F44" s="29">
        <f t="shared" si="6"/>
        <v>49</v>
      </c>
      <c r="G44" s="30">
        <v>2</v>
      </c>
      <c r="H44" s="31">
        <v>2</v>
      </c>
      <c r="I44" s="32">
        <v>0</v>
      </c>
      <c r="J44" s="77"/>
      <c r="K44" s="33">
        <v>7</v>
      </c>
      <c r="L44" s="34">
        <v>1</v>
      </c>
      <c r="M44" s="34">
        <v>0</v>
      </c>
      <c r="N44" s="62"/>
      <c r="O44" s="34">
        <v>0</v>
      </c>
      <c r="P44" s="34">
        <v>3</v>
      </c>
      <c r="Q44" s="34">
        <v>3</v>
      </c>
      <c r="R44" s="62"/>
      <c r="S44" s="37">
        <v>2</v>
      </c>
      <c r="T44" s="34">
        <v>0</v>
      </c>
      <c r="U44" s="34">
        <v>2</v>
      </c>
      <c r="V44" s="62"/>
      <c r="W44" s="38">
        <v>0</v>
      </c>
      <c r="X44" s="31">
        <v>4</v>
      </c>
      <c r="Y44" s="31">
        <v>0</v>
      </c>
      <c r="Z44" s="78"/>
      <c r="AA44" s="37">
        <v>4</v>
      </c>
      <c r="AB44" s="34">
        <v>2</v>
      </c>
      <c r="AC44" s="34">
        <v>0</v>
      </c>
      <c r="AD44" s="64"/>
      <c r="AE44" s="79"/>
      <c r="AF44" s="64"/>
      <c r="AG44" s="43">
        <f t="shared" si="16"/>
        <v>15</v>
      </c>
      <c r="AH44" s="44">
        <f t="shared" si="16"/>
        <v>12</v>
      </c>
      <c r="AI44" s="44">
        <f t="shared" si="16"/>
        <v>5</v>
      </c>
      <c r="AJ44" s="45">
        <f t="shared" si="16"/>
        <v>0</v>
      </c>
      <c r="AK44" s="80">
        <f t="shared" si="1"/>
        <v>32</v>
      </c>
      <c r="AL44" s="47">
        <v>1</v>
      </c>
      <c r="AM44" s="48">
        <f t="shared" si="7"/>
        <v>15</v>
      </c>
      <c r="AN44" s="48">
        <f t="shared" si="2"/>
        <v>12</v>
      </c>
      <c r="AO44" s="49">
        <f t="shared" si="8"/>
        <v>5</v>
      </c>
      <c r="AP44" s="49">
        <f t="shared" si="3"/>
        <v>0</v>
      </c>
      <c r="AQ44" s="50">
        <f t="shared" si="9"/>
        <v>1920</v>
      </c>
      <c r="AR44" s="81">
        <v>51.9</v>
      </c>
      <c r="AS44" s="82">
        <v>8.1000000000000014</v>
      </c>
      <c r="AT44" s="83">
        <f t="shared" si="13"/>
        <v>259.20000000000005</v>
      </c>
      <c r="AU44" s="84">
        <f t="shared" si="14"/>
        <v>32</v>
      </c>
      <c r="AV44" s="85">
        <v>0</v>
      </c>
      <c r="AW44" s="86"/>
      <c r="AX44" s="86"/>
      <c r="AY44" s="82"/>
      <c r="AZ44" s="87">
        <f>AT44-AU44-AW44-AX44-AY44</f>
        <v>227.20000000000005</v>
      </c>
    </row>
    <row r="45" spans="1:52" ht="16.5" thickBot="1" x14ac:dyDescent="0.3">
      <c r="A45" s="74">
        <v>355</v>
      </c>
      <c r="B45" s="75" t="s">
        <v>53</v>
      </c>
      <c r="C45" s="76"/>
      <c r="D45" s="26">
        <f t="shared" si="4"/>
        <v>0</v>
      </c>
      <c r="E45" s="27">
        <f t="shared" si="5"/>
        <v>0</v>
      </c>
      <c r="F45" s="29">
        <f t="shared" si="6"/>
        <v>0</v>
      </c>
      <c r="G45" s="30">
        <v>0</v>
      </c>
      <c r="H45" s="31">
        <v>0</v>
      </c>
      <c r="I45" s="32">
        <v>0</v>
      </c>
      <c r="J45" s="77"/>
      <c r="K45" s="33">
        <v>0</v>
      </c>
      <c r="L45" s="34">
        <v>0</v>
      </c>
      <c r="M45" s="34">
        <v>0</v>
      </c>
      <c r="N45" s="62"/>
      <c r="O45" s="34">
        <v>0</v>
      </c>
      <c r="P45" s="34">
        <v>0</v>
      </c>
      <c r="Q45" s="34">
        <v>0</v>
      </c>
      <c r="R45" s="62"/>
      <c r="S45" s="37">
        <v>0</v>
      </c>
      <c r="T45" s="34">
        <v>0</v>
      </c>
      <c r="U45" s="34">
        <v>0</v>
      </c>
      <c r="V45" s="62"/>
      <c r="W45" s="38">
        <v>0</v>
      </c>
      <c r="X45" s="31">
        <v>0</v>
      </c>
      <c r="Y45" s="31">
        <v>0</v>
      </c>
      <c r="Z45" s="78"/>
      <c r="AA45" s="37">
        <v>0</v>
      </c>
      <c r="AB45" s="34">
        <v>0</v>
      </c>
      <c r="AC45" s="34">
        <v>0</v>
      </c>
      <c r="AD45" s="64"/>
      <c r="AE45" s="79"/>
      <c r="AF45" s="64"/>
      <c r="AG45" s="43">
        <f t="shared" si="16"/>
        <v>0</v>
      </c>
      <c r="AH45" s="44">
        <f t="shared" si="16"/>
        <v>0</v>
      </c>
      <c r="AI45" s="44">
        <f t="shared" si="16"/>
        <v>0</v>
      </c>
      <c r="AJ45" s="45">
        <f t="shared" si="16"/>
        <v>0</v>
      </c>
      <c r="AK45" s="80">
        <f t="shared" si="1"/>
        <v>0</v>
      </c>
      <c r="AL45" s="47">
        <v>0.5</v>
      </c>
      <c r="AM45" s="48">
        <f t="shared" si="7"/>
        <v>0</v>
      </c>
      <c r="AN45" s="48">
        <f t="shared" si="2"/>
        <v>0</v>
      </c>
      <c r="AO45" s="49">
        <f t="shared" si="8"/>
        <v>0</v>
      </c>
      <c r="AP45" s="49">
        <f t="shared" si="3"/>
        <v>0</v>
      </c>
      <c r="AQ45" s="50">
        <f t="shared" si="9"/>
        <v>0</v>
      </c>
      <c r="AR45" s="81">
        <v>15.36</v>
      </c>
      <c r="AS45" s="82">
        <v>2.14</v>
      </c>
      <c r="AT45" s="83">
        <f t="shared" si="13"/>
        <v>0</v>
      </c>
      <c r="AU45" s="84">
        <f t="shared" si="14"/>
        <v>0</v>
      </c>
      <c r="AV45" s="85"/>
      <c r="AW45" s="86"/>
      <c r="AX45" s="86"/>
      <c r="AY45" s="82"/>
      <c r="AZ45" s="87"/>
    </row>
    <row r="46" spans="1:52" ht="16.5" thickBot="1" x14ac:dyDescent="0.3">
      <c r="A46" s="74">
        <v>355</v>
      </c>
      <c r="B46" s="75" t="s">
        <v>54</v>
      </c>
      <c r="C46" s="76"/>
      <c r="D46" s="26">
        <f t="shared" si="4"/>
        <v>0</v>
      </c>
      <c r="E46" s="27">
        <f t="shared" si="5"/>
        <v>0</v>
      </c>
      <c r="F46" s="29">
        <f t="shared" si="6"/>
        <v>0</v>
      </c>
      <c r="G46" s="30">
        <v>0</v>
      </c>
      <c r="H46" s="31">
        <v>0</v>
      </c>
      <c r="I46" s="32">
        <v>0</v>
      </c>
      <c r="J46" s="77"/>
      <c r="K46" s="33">
        <v>0</v>
      </c>
      <c r="L46" s="34">
        <v>0</v>
      </c>
      <c r="M46" s="34">
        <v>0</v>
      </c>
      <c r="N46" s="62"/>
      <c r="O46" s="34">
        <v>0</v>
      </c>
      <c r="P46" s="34">
        <v>0</v>
      </c>
      <c r="Q46" s="34">
        <v>0</v>
      </c>
      <c r="R46" s="62"/>
      <c r="S46" s="37">
        <v>0</v>
      </c>
      <c r="T46" s="34">
        <v>0</v>
      </c>
      <c r="U46" s="34">
        <v>0</v>
      </c>
      <c r="V46" s="62"/>
      <c r="W46" s="38">
        <v>0</v>
      </c>
      <c r="X46" s="31">
        <v>0</v>
      </c>
      <c r="Y46" s="31">
        <v>0</v>
      </c>
      <c r="Z46" s="78"/>
      <c r="AA46" s="37">
        <v>0</v>
      </c>
      <c r="AB46" s="34">
        <v>0</v>
      </c>
      <c r="AC46" s="34">
        <v>0</v>
      </c>
      <c r="AD46" s="64"/>
      <c r="AE46" s="79"/>
      <c r="AF46" s="64"/>
      <c r="AG46" s="43">
        <f t="shared" si="16"/>
        <v>0</v>
      </c>
      <c r="AH46" s="44">
        <f t="shared" si="16"/>
        <v>0</v>
      </c>
      <c r="AI46" s="44">
        <f t="shared" si="16"/>
        <v>0</v>
      </c>
      <c r="AJ46" s="45">
        <f t="shared" si="16"/>
        <v>0</v>
      </c>
      <c r="AK46" s="80">
        <f t="shared" si="1"/>
        <v>0</v>
      </c>
      <c r="AL46" s="47">
        <v>0.5</v>
      </c>
      <c r="AM46" s="48">
        <f t="shared" si="7"/>
        <v>0</v>
      </c>
      <c r="AN46" s="48">
        <f t="shared" si="2"/>
        <v>0</v>
      </c>
      <c r="AO46" s="49">
        <f t="shared" si="8"/>
        <v>0</v>
      </c>
      <c r="AP46" s="49">
        <f t="shared" si="3"/>
        <v>0</v>
      </c>
      <c r="AQ46" s="50">
        <f t="shared" si="9"/>
        <v>0</v>
      </c>
      <c r="AR46" s="81"/>
      <c r="AS46" s="82"/>
      <c r="AT46" s="83">
        <f t="shared" si="13"/>
        <v>0</v>
      </c>
      <c r="AU46" s="84">
        <f t="shared" si="14"/>
        <v>0</v>
      </c>
      <c r="AV46" s="85"/>
      <c r="AW46" s="86"/>
      <c r="AX46" s="86"/>
      <c r="AY46" s="82"/>
      <c r="AZ46" s="87"/>
    </row>
    <row r="47" spans="1:52" ht="16.5" thickBot="1" x14ac:dyDescent="0.3">
      <c r="A47" s="74">
        <v>355</v>
      </c>
      <c r="B47" s="75" t="s">
        <v>55</v>
      </c>
      <c r="C47" s="76"/>
      <c r="D47" s="26">
        <f t="shared" si="4"/>
        <v>0</v>
      </c>
      <c r="E47" s="27">
        <f t="shared" si="5"/>
        <v>0</v>
      </c>
      <c r="F47" s="29">
        <f t="shared" si="6"/>
        <v>0</v>
      </c>
      <c r="G47" s="30">
        <v>0</v>
      </c>
      <c r="H47" s="31">
        <v>0</v>
      </c>
      <c r="I47" s="32">
        <v>0</v>
      </c>
      <c r="J47" s="77"/>
      <c r="K47" s="33">
        <v>0</v>
      </c>
      <c r="L47" s="34">
        <v>0</v>
      </c>
      <c r="M47" s="34">
        <v>0</v>
      </c>
      <c r="N47" s="62"/>
      <c r="O47" s="34">
        <v>0</v>
      </c>
      <c r="P47" s="34">
        <v>0</v>
      </c>
      <c r="Q47" s="34">
        <v>0</v>
      </c>
      <c r="R47" s="62"/>
      <c r="S47" s="37">
        <v>0</v>
      </c>
      <c r="T47" s="34">
        <v>0</v>
      </c>
      <c r="U47" s="34">
        <v>0</v>
      </c>
      <c r="V47" s="62"/>
      <c r="W47" s="38">
        <v>0</v>
      </c>
      <c r="X47" s="31">
        <v>0</v>
      </c>
      <c r="Y47" s="31">
        <v>0</v>
      </c>
      <c r="Z47" s="78"/>
      <c r="AA47" s="37">
        <v>0</v>
      </c>
      <c r="AB47" s="34">
        <v>0</v>
      </c>
      <c r="AC47" s="34">
        <v>0</v>
      </c>
      <c r="AD47" s="64"/>
      <c r="AE47" s="79"/>
      <c r="AF47" s="64"/>
      <c r="AG47" s="43">
        <f t="shared" si="16"/>
        <v>0</v>
      </c>
      <c r="AH47" s="44">
        <f t="shared" si="16"/>
        <v>0</v>
      </c>
      <c r="AI47" s="44">
        <f t="shared" si="16"/>
        <v>0</v>
      </c>
      <c r="AJ47" s="45">
        <f t="shared" si="16"/>
        <v>0</v>
      </c>
      <c r="AK47" s="80">
        <f t="shared" si="1"/>
        <v>0</v>
      </c>
      <c r="AL47" s="47">
        <v>0.5</v>
      </c>
      <c r="AM47" s="48">
        <f t="shared" si="7"/>
        <v>0</v>
      </c>
      <c r="AN47" s="48">
        <f t="shared" si="2"/>
        <v>0</v>
      </c>
      <c r="AO47" s="49">
        <f t="shared" si="8"/>
        <v>0</v>
      </c>
      <c r="AP47" s="49">
        <f t="shared" si="3"/>
        <v>0</v>
      </c>
      <c r="AQ47" s="50">
        <f t="shared" si="9"/>
        <v>0</v>
      </c>
      <c r="AR47" s="81"/>
      <c r="AS47" s="82"/>
      <c r="AT47" s="83">
        <f t="shared" si="13"/>
        <v>0</v>
      </c>
      <c r="AU47" s="84">
        <f t="shared" si="14"/>
        <v>0</v>
      </c>
      <c r="AV47" s="85"/>
      <c r="AW47" s="86"/>
      <c r="AX47" s="86"/>
      <c r="AY47" s="82"/>
      <c r="AZ47" s="87"/>
    </row>
    <row r="48" spans="1:52" ht="16.5" thickBot="1" x14ac:dyDescent="0.3">
      <c r="A48" s="74">
        <v>355</v>
      </c>
      <c r="B48" s="75" t="s">
        <v>56</v>
      </c>
      <c r="C48" s="76"/>
      <c r="D48" s="26">
        <f t="shared" si="4"/>
        <v>0</v>
      </c>
      <c r="E48" s="27">
        <f t="shared" si="5"/>
        <v>0</v>
      </c>
      <c r="F48" s="29">
        <f t="shared" si="6"/>
        <v>0</v>
      </c>
      <c r="G48" s="30">
        <v>0</v>
      </c>
      <c r="H48" s="31">
        <v>0</v>
      </c>
      <c r="I48" s="32">
        <v>0</v>
      </c>
      <c r="J48" s="77"/>
      <c r="K48" s="33">
        <v>0</v>
      </c>
      <c r="L48" s="34">
        <v>0</v>
      </c>
      <c r="M48" s="34">
        <v>0</v>
      </c>
      <c r="N48" s="62"/>
      <c r="O48" s="34">
        <v>0</v>
      </c>
      <c r="P48" s="34">
        <v>0</v>
      </c>
      <c r="Q48" s="34">
        <v>0</v>
      </c>
      <c r="R48" s="62"/>
      <c r="S48" s="37">
        <v>0</v>
      </c>
      <c r="T48" s="34">
        <v>0</v>
      </c>
      <c r="U48" s="34">
        <v>0</v>
      </c>
      <c r="V48" s="62"/>
      <c r="W48" s="38">
        <v>0</v>
      </c>
      <c r="X48" s="31">
        <v>0</v>
      </c>
      <c r="Y48" s="31">
        <v>0</v>
      </c>
      <c r="Z48" s="78"/>
      <c r="AA48" s="37">
        <v>0</v>
      </c>
      <c r="AB48" s="34">
        <v>0</v>
      </c>
      <c r="AC48" s="34">
        <v>0</v>
      </c>
      <c r="AD48" s="64"/>
      <c r="AE48" s="79"/>
      <c r="AF48" s="64"/>
      <c r="AG48" s="43">
        <f t="shared" si="16"/>
        <v>0</v>
      </c>
      <c r="AH48" s="44">
        <f t="shared" si="16"/>
        <v>0</v>
      </c>
      <c r="AI48" s="44">
        <f t="shared" si="16"/>
        <v>0</v>
      </c>
      <c r="AJ48" s="45">
        <f t="shared" si="16"/>
        <v>0</v>
      </c>
      <c r="AK48" s="80">
        <f t="shared" si="1"/>
        <v>0</v>
      </c>
      <c r="AL48" s="47">
        <v>0.5</v>
      </c>
      <c r="AM48" s="48">
        <f t="shared" si="7"/>
        <v>0</v>
      </c>
      <c r="AN48" s="48">
        <f t="shared" si="2"/>
        <v>0</v>
      </c>
      <c r="AO48" s="49">
        <f t="shared" si="8"/>
        <v>0</v>
      </c>
      <c r="AP48" s="49">
        <f t="shared" si="3"/>
        <v>0</v>
      </c>
      <c r="AQ48" s="50">
        <f t="shared" si="9"/>
        <v>0</v>
      </c>
      <c r="AR48" s="81"/>
      <c r="AS48" s="82"/>
      <c r="AT48" s="83">
        <f t="shared" si="13"/>
        <v>0</v>
      </c>
      <c r="AU48" s="84">
        <f t="shared" si="14"/>
        <v>0</v>
      </c>
      <c r="AV48" s="85"/>
      <c r="AW48" s="86"/>
      <c r="AX48" s="86"/>
      <c r="AY48" s="82"/>
      <c r="AZ48" s="87"/>
    </row>
    <row r="49" spans="1:52" ht="16.5" thickBot="1" x14ac:dyDescent="0.3">
      <c r="A49" s="74">
        <v>355</v>
      </c>
      <c r="B49" s="75" t="s">
        <v>57</v>
      </c>
      <c r="C49" s="76"/>
      <c r="D49" s="26">
        <f t="shared" si="4"/>
        <v>0</v>
      </c>
      <c r="E49" s="27">
        <f t="shared" si="5"/>
        <v>0</v>
      </c>
      <c r="F49" s="29">
        <f t="shared" si="6"/>
        <v>0</v>
      </c>
      <c r="G49" s="30">
        <v>0</v>
      </c>
      <c r="H49" s="31">
        <v>0</v>
      </c>
      <c r="I49" s="32">
        <v>0</v>
      </c>
      <c r="J49" s="77"/>
      <c r="K49" s="33">
        <v>0</v>
      </c>
      <c r="L49" s="34">
        <v>0</v>
      </c>
      <c r="M49" s="34">
        <v>0</v>
      </c>
      <c r="N49" s="62"/>
      <c r="O49" s="34">
        <v>0</v>
      </c>
      <c r="P49" s="34">
        <v>0</v>
      </c>
      <c r="Q49" s="34">
        <v>0</v>
      </c>
      <c r="R49" s="62"/>
      <c r="S49" s="37">
        <v>0</v>
      </c>
      <c r="T49" s="34">
        <v>0</v>
      </c>
      <c r="U49" s="34">
        <v>0</v>
      </c>
      <c r="V49" s="62"/>
      <c r="W49" s="38">
        <v>0</v>
      </c>
      <c r="X49" s="31">
        <v>0</v>
      </c>
      <c r="Y49" s="31">
        <v>0</v>
      </c>
      <c r="Z49" s="78"/>
      <c r="AA49" s="37">
        <v>0</v>
      </c>
      <c r="AB49" s="34">
        <v>0</v>
      </c>
      <c r="AC49" s="34">
        <v>0</v>
      </c>
      <c r="AD49" s="64"/>
      <c r="AE49" s="79"/>
      <c r="AF49" s="64"/>
      <c r="AG49" s="43">
        <f t="shared" si="16"/>
        <v>0</v>
      </c>
      <c r="AH49" s="44">
        <f t="shared" si="16"/>
        <v>0</v>
      </c>
      <c r="AI49" s="44">
        <f t="shared" si="16"/>
        <v>0</v>
      </c>
      <c r="AJ49" s="45">
        <f t="shared" si="16"/>
        <v>0</v>
      </c>
      <c r="AK49" s="80">
        <f t="shared" si="1"/>
        <v>0</v>
      </c>
      <c r="AL49" s="47">
        <v>0.5</v>
      </c>
      <c r="AM49" s="48">
        <f t="shared" si="7"/>
        <v>0</v>
      </c>
      <c r="AN49" s="48">
        <f t="shared" si="2"/>
        <v>0</v>
      </c>
      <c r="AO49" s="49">
        <f t="shared" si="8"/>
        <v>0</v>
      </c>
      <c r="AP49" s="49">
        <f t="shared" si="3"/>
        <v>0</v>
      </c>
      <c r="AQ49" s="50">
        <f t="shared" si="9"/>
        <v>0</v>
      </c>
      <c r="AR49" s="81"/>
      <c r="AS49" s="82"/>
      <c r="AT49" s="83"/>
      <c r="AU49" s="84">
        <f t="shared" si="14"/>
        <v>0</v>
      </c>
      <c r="AV49" s="85"/>
      <c r="AW49" s="86"/>
      <c r="AX49" s="86"/>
      <c r="AY49" s="82"/>
      <c r="AZ49" s="87"/>
    </row>
    <row r="50" spans="1:52" ht="16.5" thickBot="1" x14ac:dyDescent="0.3">
      <c r="A50" s="74">
        <v>625</v>
      </c>
      <c r="B50" s="75" t="s">
        <v>52</v>
      </c>
      <c r="C50" s="76"/>
      <c r="D50" s="26">
        <f t="shared" si="4"/>
        <v>0</v>
      </c>
      <c r="E50" s="27">
        <f t="shared" si="5"/>
        <v>0</v>
      </c>
      <c r="F50" s="29">
        <f t="shared" si="6"/>
        <v>0</v>
      </c>
      <c r="G50" s="30">
        <v>0</v>
      </c>
      <c r="H50" s="31">
        <v>0</v>
      </c>
      <c r="I50" s="32">
        <v>0</v>
      </c>
      <c r="J50" s="77"/>
      <c r="K50" s="33">
        <v>0</v>
      </c>
      <c r="L50" s="34">
        <v>0</v>
      </c>
      <c r="M50" s="34">
        <v>0</v>
      </c>
      <c r="N50" s="62"/>
      <c r="O50" s="34">
        <v>0</v>
      </c>
      <c r="P50" s="34">
        <v>0</v>
      </c>
      <c r="Q50" s="34">
        <v>0</v>
      </c>
      <c r="R50" s="62"/>
      <c r="S50" s="37">
        <v>0</v>
      </c>
      <c r="T50" s="34">
        <v>0</v>
      </c>
      <c r="U50" s="34">
        <v>0</v>
      </c>
      <c r="V50" s="62"/>
      <c r="W50" s="38">
        <v>0</v>
      </c>
      <c r="X50" s="31">
        <v>0</v>
      </c>
      <c r="Y50" s="31">
        <v>0</v>
      </c>
      <c r="Z50" s="78"/>
      <c r="AA50" s="37">
        <v>0</v>
      </c>
      <c r="AB50" s="34">
        <v>0</v>
      </c>
      <c r="AC50" s="34">
        <v>0</v>
      </c>
      <c r="AD50" s="64"/>
      <c r="AE50" s="79"/>
      <c r="AF50" s="64"/>
      <c r="AG50" s="43">
        <f t="shared" si="16"/>
        <v>0</v>
      </c>
      <c r="AH50" s="44">
        <f t="shared" si="16"/>
        <v>0</v>
      </c>
      <c r="AI50" s="44">
        <f t="shared" si="16"/>
        <v>0</v>
      </c>
      <c r="AJ50" s="45">
        <f t="shared" si="16"/>
        <v>0</v>
      </c>
      <c r="AK50" s="80">
        <f t="shared" si="1"/>
        <v>0</v>
      </c>
      <c r="AL50" s="47">
        <v>2</v>
      </c>
      <c r="AM50" s="48">
        <f t="shared" si="7"/>
        <v>0</v>
      </c>
      <c r="AN50" s="48">
        <f t="shared" si="2"/>
        <v>0</v>
      </c>
      <c r="AO50" s="49">
        <f t="shared" si="8"/>
        <v>0</v>
      </c>
      <c r="AP50" s="49">
        <f t="shared" si="3"/>
        <v>0</v>
      </c>
      <c r="AQ50" s="50">
        <f t="shared" si="9"/>
        <v>0</v>
      </c>
      <c r="AR50" s="81">
        <v>80.959999999999994</v>
      </c>
      <c r="AS50" s="82">
        <v>19.040000000000006</v>
      </c>
      <c r="AT50" s="83">
        <f>AK50*AS50</f>
        <v>0</v>
      </c>
      <c r="AU50" s="84">
        <f t="shared" si="14"/>
        <v>0</v>
      </c>
      <c r="AV50" s="85">
        <v>0</v>
      </c>
      <c r="AW50" s="86"/>
      <c r="AX50" s="86"/>
      <c r="AY50" s="82"/>
      <c r="AZ50" s="87">
        <f>AT50-AU50-AW50-AX50-AY50</f>
        <v>0</v>
      </c>
    </row>
    <row r="51" spans="1:52" ht="16.5" thickBot="1" x14ac:dyDescent="0.3">
      <c r="A51" s="74">
        <v>625</v>
      </c>
      <c r="B51" s="75" t="s">
        <v>58</v>
      </c>
      <c r="C51" s="76"/>
      <c r="D51" s="26">
        <f t="shared" si="4"/>
        <v>0</v>
      </c>
      <c r="E51" s="27">
        <f t="shared" si="5"/>
        <v>0</v>
      </c>
      <c r="F51" s="29">
        <f t="shared" si="6"/>
        <v>0</v>
      </c>
      <c r="G51" s="30">
        <v>0</v>
      </c>
      <c r="H51" s="31">
        <v>0</v>
      </c>
      <c r="I51" s="32">
        <v>0</v>
      </c>
      <c r="J51" s="77"/>
      <c r="K51" s="33">
        <v>0</v>
      </c>
      <c r="L51" s="34">
        <v>0</v>
      </c>
      <c r="M51" s="34">
        <v>0</v>
      </c>
      <c r="N51" s="62"/>
      <c r="O51" s="34">
        <v>0</v>
      </c>
      <c r="P51" s="34">
        <v>0</v>
      </c>
      <c r="Q51" s="34">
        <v>0</v>
      </c>
      <c r="R51" s="62"/>
      <c r="S51" s="37">
        <v>0</v>
      </c>
      <c r="T51" s="34">
        <v>0</v>
      </c>
      <c r="U51" s="34">
        <v>0</v>
      </c>
      <c r="V51" s="62"/>
      <c r="W51" s="38">
        <v>0</v>
      </c>
      <c r="X51" s="31">
        <v>0</v>
      </c>
      <c r="Y51" s="31">
        <v>0</v>
      </c>
      <c r="Z51" s="78"/>
      <c r="AA51" s="37">
        <v>0</v>
      </c>
      <c r="AB51" s="34">
        <v>0</v>
      </c>
      <c r="AC51" s="34">
        <v>0</v>
      </c>
      <c r="AD51" s="64"/>
      <c r="AE51" s="79"/>
      <c r="AF51" s="64"/>
      <c r="AG51" s="43">
        <f t="shared" si="16"/>
        <v>0</v>
      </c>
      <c r="AH51" s="44">
        <f t="shared" si="16"/>
        <v>0</v>
      </c>
      <c r="AI51" s="44">
        <f t="shared" si="16"/>
        <v>0</v>
      </c>
      <c r="AJ51" s="45">
        <f t="shared" si="16"/>
        <v>0</v>
      </c>
      <c r="AK51" s="80">
        <f t="shared" si="1"/>
        <v>0</v>
      </c>
      <c r="AL51" s="47">
        <v>1.5</v>
      </c>
      <c r="AM51" s="48">
        <f t="shared" si="7"/>
        <v>0</v>
      </c>
      <c r="AN51" s="48">
        <f t="shared" si="2"/>
        <v>0</v>
      </c>
      <c r="AO51" s="49">
        <f t="shared" si="8"/>
        <v>0</v>
      </c>
      <c r="AP51" s="49">
        <f t="shared" si="3"/>
        <v>0</v>
      </c>
      <c r="AQ51" s="50">
        <f t="shared" si="9"/>
        <v>0</v>
      </c>
      <c r="AR51" s="81">
        <v>69.84</v>
      </c>
      <c r="AS51" s="82">
        <v>10.159999999999997</v>
      </c>
      <c r="AT51" s="83">
        <f>AK51*AS51</f>
        <v>0</v>
      </c>
      <c r="AU51" s="84">
        <f t="shared" si="14"/>
        <v>0</v>
      </c>
      <c r="AV51" s="85">
        <v>0</v>
      </c>
      <c r="AW51" s="86"/>
      <c r="AX51" s="86"/>
      <c r="AY51" s="82"/>
      <c r="AZ51" s="87">
        <f>AT51-AU51-AW51-AX51-AY51</f>
        <v>0</v>
      </c>
    </row>
    <row r="52" spans="1:52" ht="16.5" thickBot="1" x14ac:dyDescent="0.3">
      <c r="A52" s="74">
        <v>360</v>
      </c>
      <c r="B52" s="75" t="s">
        <v>58</v>
      </c>
      <c r="C52" s="76">
        <v>910</v>
      </c>
      <c r="D52" s="26">
        <f t="shared" si="4"/>
        <v>303.33333333333331</v>
      </c>
      <c r="E52" s="27">
        <f t="shared" si="5"/>
        <v>303.33333333333331</v>
      </c>
      <c r="F52" s="29">
        <f t="shared" si="6"/>
        <v>303.33333333333331</v>
      </c>
      <c r="G52" s="30">
        <v>5</v>
      </c>
      <c r="H52" s="31">
        <v>2</v>
      </c>
      <c r="I52" s="32">
        <v>3</v>
      </c>
      <c r="J52" s="77"/>
      <c r="K52" s="33">
        <v>4</v>
      </c>
      <c r="L52" s="34">
        <v>0</v>
      </c>
      <c r="M52" s="34">
        <v>4</v>
      </c>
      <c r="N52" s="62"/>
      <c r="O52" s="34">
        <v>10</v>
      </c>
      <c r="P52" s="34">
        <v>0</v>
      </c>
      <c r="Q52" s="34">
        <v>32</v>
      </c>
      <c r="R52" s="62"/>
      <c r="S52" s="37">
        <v>1</v>
      </c>
      <c r="T52" s="34">
        <v>0</v>
      </c>
      <c r="U52" s="34">
        <v>5</v>
      </c>
      <c r="V52" s="62"/>
      <c r="W52" s="38">
        <v>7</v>
      </c>
      <c r="X52" s="31">
        <v>3</v>
      </c>
      <c r="Y52" s="31">
        <v>58</v>
      </c>
      <c r="Z52" s="78"/>
      <c r="AA52" s="37">
        <v>5</v>
      </c>
      <c r="AB52" s="34">
        <v>1</v>
      </c>
      <c r="AC52" s="34">
        <v>0</v>
      </c>
      <c r="AD52" s="64"/>
      <c r="AE52" s="79"/>
      <c r="AF52" s="64"/>
      <c r="AG52" s="43">
        <f t="shared" si="16"/>
        <v>32</v>
      </c>
      <c r="AH52" s="44">
        <f t="shared" si="16"/>
        <v>6</v>
      </c>
      <c r="AI52" s="44">
        <f t="shared" si="16"/>
        <v>102</v>
      </c>
      <c r="AJ52" s="45">
        <f t="shared" si="16"/>
        <v>0</v>
      </c>
      <c r="AK52" s="80">
        <f t="shared" si="1"/>
        <v>140</v>
      </c>
      <c r="AL52" s="47">
        <v>0.75</v>
      </c>
      <c r="AM52" s="48">
        <f t="shared" si="7"/>
        <v>24</v>
      </c>
      <c r="AN52" s="48">
        <f t="shared" si="2"/>
        <v>4.5</v>
      </c>
      <c r="AO52" s="49">
        <f t="shared" si="8"/>
        <v>76.5</v>
      </c>
      <c r="AP52" s="49">
        <f t="shared" si="3"/>
        <v>0</v>
      </c>
      <c r="AQ52" s="50">
        <f t="shared" si="9"/>
        <v>8400</v>
      </c>
      <c r="AR52" s="81">
        <v>35.08</v>
      </c>
      <c r="AS52" s="82">
        <v>4.9200000000000017</v>
      </c>
      <c r="AT52" s="83">
        <f>AK52*AS52</f>
        <v>688.80000000000018</v>
      </c>
      <c r="AU52" s="84">
        <f t="shared" si="14"/>
        <v>105</v>
      </c>
      <c r="AV52" s="85">
        <v>0</v>
      </c>
      <c r="AW52" s="86"/>
      <c r="AX52" s="86"/>
      <c r="AY52" s="82"/>
      <c r="AZ52" s="87">
        <f>AT52-AU52-AW52-AX52-AY52</f>
        <v>583.80000000000018</v>
      </c>
    </row>
    <row r="53" spans="1:52" ht="16.5" thickBot="1" x14ac:dyDescent="0.3">
      <c r="A53" s="74">
        <v>625</v>
      </c>
      <c r="B53" s="75" t="s">
        <v>59</v>
      </c>
      <c r="C53" s="76"/>
      <c r="D53" s="26">
        <f t="shared" si="4"/>
        <v>0</v>
      </c>
      <c r="E53" s="27">
        <f t="shared" si="5"/>
        <v>0</v>
      </c>
      <c r="F53" s="29">
        <f t="shared" si="6"/>
        <v>0</v>
      </c>
      <c r="G53" s="30">
        <v>0</v>
      </c>
      <c r="H53" s="31">
        <v>0</v>
      </c>
      <c r="I53" s="32">
        <v>0</v>
      </c>
      <c r="J53" s="77"/>
      <c r="K53" s="33">
        <v>0</v>
      </c>
      <c r="L53" s="34">
        <v>0</v>
      </c>
      <c r="M53" s="34">
        <v>0</v>
      </c>
      <c r="N53" s="62"/>
      <c r="O53" s="34">
        <v>0</v>
      </c>
      <c r="P53" s="34">
        <v>0</v>
      </c>
      <c r="Q53" s="34">
        <v>0</v>
      </c>
      <c r="R53" s="62"/>
      <c r="S53" s="37">
        <v>0</v>
      </c>
      <c r="T53" s="34">
        <v>0</v>
      </c>
      <c r="U53" s="34">
        <v>0</v>
      </c>
      <c r="V53" s="62"/>
      <c r="W53" s="38">
        <v>0</v>
      </c>
      <c r="X53" s="31">
        <v>0</v>
      </c>
      <c r="Y53" s="31">
        <v>0</v>
      </c>
      <c r="Z53" s="78"/>
      <c r="AA53" s="37">
        <v>0</v>
      </c>
      <c r="AB53" s="34">
        <v>0</v>
      </c>
      <c r="AC53" s="34">
        <v>0</v>
      </c>
      <c r="AD53" s="64"/>
      <c r="AE53" s="79"/>
      <c r="AF53" s="64"/>
      <c r="AG53" s="43">
        <f t="shared" si="16"/>
        <v>0</v>
      </c>
      <c r="AH53" s="44">
        <f t="shared" si="16"/>
        <v>0</v>
      </c>
      <c r="AI53" s="44">
        <f t="shared" si="16"/>
        <v>0</v>
      </c>
      <c r="AJ53" s="45">
        <f t="shared" si="16"/>
        <v>0</v>
      </c>
      <c r="AK53" s="80">
        <f t="shared" si="1"/>
        <v>0</v>
      </c>
      <c r="AL53" s="47">
        <v>0.6</v>
      </c>
      <c r="AM53" s="48">
        <f t="shared" si="7"/>
        <v>0</v>
      </c>
      <c r="AN53" s="48">
        <f t="shared" si="2"/>
        <v>0</v>
      </c>
      <c r="AO53" s="49">
        <f t="shared" si="8"/>
        <v>0</v>
      </c>
      <c r="AP53" s="49">
        <f t="shared" si="3"/>
        <v>0</v>
      </c>
      <c r="AQ53" s="50">
        <f t="shared" si="9"/>
        <v>0</v>
      </c>
      <c r="AR53" s="81">
        <v>18.100000000000001</v>
      </c>
      <c r="AS53" s="82">
        <v>2.8999999999999986</v>
      </c>
      <c r="AT53" s="83">
        <f>AK53*AS53</f>
        <v>0</v>
      </c>
      <c r="AU53" s="84">
        <f t="shared" si="14"/>
        <v>0</v>
      </c>
      <c r="AV53" s="85">
        <v>0</v>
      </c>
      <c r="AW53" s="86"/>
      <c r="AX53" s="86"/>
      <c r="AY53" s="82"/>
      <c r="AZ53" s="87">
        <f>AT53-AU53-AW53-AX53-AY53</f>
        <v>0</v>
      </c>
    </row>
    <row r="54" spans="1:52" s="246" customFormat="1" ht="16.5" thickBot="1" x14ac:dyDescent="0.3">
      <c r="A54" s="90">
        <v>625</v>
      </c>
      <c r="B54" s="91" t="s">
        <v>60</v>
      </c>
      <c r="C54" s="92">
        <v>1383</v>
      </c>
      <c r="D54" s="26">
        <f t="shared" si="4"/>
        <v>461</v>
      </c>
      <c r="E54" s="27">
        <f t="shared" si="5"/>
        <v>461</v>
      </c>
      <c r="F54" s="29">
        <f t="shared" si="6"/>
        <v>461</v>
      </c>
      <c r="G54" s="30">
        <v>13</v>
      </c>
      <c r="H54" s="31">
        <v>18</v>
      </c>
      <c r="I54" s="32">
        <v>8</v>
      </c>
      <c r="J54" s="77"/>
      <c r="K54" s="33">
        <v>40</v>
      </c>
      <c r="L54" s="34">
        <v>8</v>
      </c>
      <c r="M54" s="34">
        <v>10</v>
      </c>
      <c r="N54" s="62"/>
      <c r="O54" s="34">
        <v>9</v>
      </c>
      <c r="P54" s="34">
        <v>15</v>
      </c>
      <c r="Q54" s="34">
        <v>27</v>
      </c>
      <c r="R54" s="62"/>
      <c r="S54" s="37">
        <v>0</v>
      </c>
      <c r="T54" s="34">
        <v>60</v>
      </c>
      <c r="U54" s="34">
        <v>4</v>
      </c>
      <c r="V54" s="62"/>
      <c r="W54" s="38">
        <v>7</v>
      </c>
      <c r="X54" s="31">
        <v>5</v>
      </c>
      <c r="Y54" s="31">
        <v>9</v>
      </c>
      <c r="Z54" s="78"/>
      <c r="AA54" s="37">
        <v>3</v>
      </c>
      <c r="AB54" s="34">
        <v>12</v>
      </c>
      <c r="AC54" s="34">
        <v>3</v>
      </c>
      <c r="AD54" s="78"/>
      <c r="AE54" s="93"/>
      <c r="AF54" s="78"/>
      <c r="AG54" s="43">
        <f t="shared" si="16"/>
        <v>72</v>
      </c>
      <c r="AH54" s="44">
        <f t="shared" si="16"/>
        <v>118</v>
      </c>
      <c r="AI54" s="44">
        <f t="shared" si="16"/>
        <v>61</v>
      </c>
      <c r="AJ54" s="94">
        <f t="shared" si="16"/>
        <v>0</v>
      </c>
      <c r="AK54" s="95">
        <f t="shared" si="1"/>
        <v>251</v>
      </c>
      <c r="AL54" s="246">
        <v>1</v>
      </c>
      <c r="AM54" s="48">
        <f t="shared" si="7"/>
        <v>72</v>
      </c>
      <c r="AN54" s="48">
        <f t="shared" si="2"/>
        <v>118</v>
      </c>
      <c r="AO54" s="49">
        <f t="shared" si="8"/>
        <v>61</v>
      </c>
      <c r="AP54" s="97">
        <f t="shared" si="3"/>
        <v>0</v>
      </c>
      <c r="AQ54" s="50">
        <f t="shared" si="9"/>
        <v>15060</v>
      </c>
      <c r="AR54" s="98"/>
      <c r="AS54" s="94"/>
      <c r="AT54" s="99"/>
      <c r="AU54" s="100"/>
      <c r="AV54" s="101"/>
      <c r="AW54" s="102"/>
      <c r="AX54" s="102"/>
      <c r="AY54" s="94"/>
      <c r="AZ54" s="95"/>
    </row>
    <row r="55" spans="1:52" s="246" customFormat="1" ht="16.5" thickBot="1" x14ac:dyDescent="0.3">
      <c r="A55" s="90">
        <v>375</v>
      </c>
      <c r="B55" s="91" t="s">
        <v>59</v>
      </c>
      <c r="C55" s="92">
        <v>1018</v>
      </c>
      <c r="D55" s="26">
        <f t="shared" si="4"/>
        <v>339.33333333333331</v>
      </c>
      <c r="E55" s="27">
        <f t="shared" si="5"/>
        <v>339.33333333333331</v>
      </c>
      <c r="F55" s="29">
        <f t="shared" si="6"/>
        <v>339.33333333333331</v>
      </c>
      <c r="G55" s="30">
        <v>5</v>
      </c>
      <c r="H55" s="31">
        <v>16</v>
      </c>
      <c r="I55" s="32">
        <v>7</v>
      </c>
      <c r="J55" s="77"/>
      <c r="K55" s="33">
        <v>6</v>
      </c>
      <c r="L55" s="34">
        <v>6</v>
      </c>
      <c r="M55" s="34">
        <v>3</v>
      </c>
      <c r="N55" s="62"/>
      <c r="O55" s="34">
        <v>10</v>
      </c>
      <c r="P55" s="34">
        <v>15</v>
      </c>
      <c r="Q55" s="34">
        <v>3</v>
      </c>
      <c r="R55" s="62"/>
      <c r="S55" s="37">
        <v>0</v>
      </c>
      <c r="T55" s="34">
        <v>44</v>
      </c>
      <c r="U55" s="34">
        <v>5</v>
      </c>
      <c r="V55" s="62"/>
      <c r="W55" s="38">
        <v>5</v>
      </c>
      <c r="X55" s="31">
        <v>5</v>
      </c>
      <c r="Y55" s="31">
        <v>2</v>
      </c>
      <c r="Z55" s="78"/>
      <c r="AA55" s="37">
        <v>1</v>
      </c>
      <c r="AB55" s="34">
        <v>15</v>
      </c>
      <c r="AC55" s="34">
        <v>6</v>
      </c>
      <c r="AD55" s="78"/>
      <c r="AE55" s="93"/>
      <c r="AF55" s="78"/>
      <c r="AG55" s="43">
        <f t="shared" si="16"/>
        <v>27</v>
      </c>
      <c r="AH55" s="44">
        <f t="shared" si="16"/>
        <v>101</v>
      </c>
      <c r="AI55" s="44">
        <f t="shared" si="16"/>
        <v>26</v>
      </c>
      <c r="AJ55" s="94">
        <f t="shared" si="16"/>
        <v>0</v>
      </c>
      <c r="AK55" s="95">
        <f t="shared" si="1"/>
        <v>154</v>
      </c>
      <c r="AL55" s="246">
        <v>0.75</v>
      </c>
      <c r="AM55" s="48">
        <f t="shared" si="7"/>
        <v>20.25</v>
      </c>
      <c r="AN55" s="48">
        <f t="shared" si="2"/>
        <v>75.75</v>
      </c>
      <c r="AO55" s="49">
        <f t="shared" si="8"/>
        <v>19.5</v>
      </c>
      <c r="AP55" s="97">
        <f t="shared" si="3"/>
        <v>0</v>
      </c>
      <c r="AQ55" s="50">
        <f t="shared" si="9"/>
        <v>9240</v>
      </c>
      <c r="AR55" s="98">
        <v>17.260000000000002</v>
      </c>
      <c r="AS55" s="94">
        <v>2.7399999999999984</v>
      </c>
      <c r="AT55" s="99">
        <f>AK55*AS55</f>
        <v>421.95999999999975</v>
      </c>
      <c r="AU55" s="100">
        <f>AK55*AL55</f>
        <v>115.5</v>
      </c>
      <c r="AV55" s="101">
        <v>0</v>
      </c>
      <c r="AW55" s="102"/>
      <c r="AX55" s="102"/>
      <c r="AY55" s="94"/>
      <c r="AZ55" s="95">
        <f>AT55-AU55-AW55-AX55-AY55</f>
        <v>306.45999999999975</v>
      </c>
    </row>
    <row r="56" spans="1:52" s="246" customFormat="1" ht="16.5" thickBot="1" x14ac:dyDescent="0.3">
      <c r="A56" s="103">
        <v>375</v>
      </c>
      <c r="B56" s="91" t="s">
        <v>61</v>
      </c>
      <c r="C56" s="92"/>
      <c r="D56" s="26">
        <f t="shared" si="4"/>
        <v>0</v>
      </c>
      <c r="E56" s="27">
        <f t="shared" si="5"/>
        <v>0</v>
      </c>
      <c r="F56" s="29">
        <f t="shared" si="6"/>
        <v>0</v>
      </c>
      <c r="G56" s="30">
        <v>0</v>
      </c>
      <c r="H56" s="31">
        <v>0</v>
      </c>
      <c r="I56" s="32">
        <v>0</v>
      </c>
      <c r="J56" s="77"/>
      <c r="K56" s="33">
        <v>0</v>
      </c>
      <c r="L56" s="34">
        <v>0</v>
      </c>
      <c r="M56" s="34">
        <v>0</v>
      </c>
      <c r="N56" s="62"/>
      <c r="O56" s="34">
        <v>0</v>
      </c>
      <c r="P56" s="34">
        <v>0</v>
      </c>
      <c r="Q56" s="34">
        <v>0</v>
      </c>
      <c r="R56" s="62"/>
      <c r="S56" s="37">
        <v>0</v>
      </c>
      <c r="T56" s="34">
        <v>0</v>
      </c>
      <c r="U56" s="34">
        <v>0</v>
      </c>
      <c r="V56" s="62"/>
      <c r="W56" s="38">
        <v>0</v>
      </c>
      <c r="X56" s="31">
        <v>0</v>
      </c>
      <c r="Y56" s="31">
        <v>0</v>
      </c>
      <c r="Z56" s="78"/>
      <c r="AA56" s="37">
        <v>0</v>
      </c>
      <c r="AB56" s="34">
        <v>0</v>
      </c>
      <c r="AC56" s="34">
        <v>0</v>
      </c>
      <c r="AD56" s="78"/>
      <c r="AE56" s="104"/>
      <c r="AF56" s="105"/>
      <c r="AG56" s="43">
        <f t="shared" si="16"/>
        <v>0</v>
      </c>
      <c r="AH56" s="44">
        <f t="shared" si="16"/>
        <v>0</v>
      </c>
      <c r="AI56" s="44">
        <f t="shared" si="16"/>
        <v>0</v>
      </c>
      <c r="AJ56" s="94">
        <f t="shared" si="16"/>
        <v>0</v>
      </c>
      <c r="AK56" s="95">
        <f t="shared" si="1"/>
        <v>0</v>
      </c>
      <c r="AL56" s="246">
        <v>0.75</v>
      </c>
      <c r="AM56" s="48">
        <f t="shared" si="7"/>
        <v>0</v>
      </c>
      <c r="AN56" s="48">
        <f t="shared" si="2"/>
        <v>0</v>
      </c>
      <c r="AO56" s="49">
        <f t="shared" si="8"/>
        <v>0</v>
      </c>
      <c r="AP56" s="97">
        <f t="shared" si="3"/>
        <v>0</v>
      </c>
      <c r="AQ56" s="50">
        <f t="shared" si="9"/>
        <v>0</v>
      </c>
      <c r="AR56" s="106"/>
      <c r="AS56" s="107"/>
      <c r="AT56" s="108"/>
      <c r="AU56" s="100"/>
      <c r="AV56" s="109"/>
      <c r="AW56" s="110"/>
      <c r="AX56" s="110"/>
      <c r="AY56" s="107"/>
      <c r="AZ56" s="111"/>
    </row>
    <row r="57" spans="1:52" s="246" customFormat="1" ht="16.5" thickBot="1" x14ac:dyDescent="0.3">
      <c r="A57" s="91">
        <v>1.3</v>
      </c>
      <c r="B57" s="91" t="s">
        <v>192</v>
      </c>
      <c r="C57" s="112">
        <v>1425</v>
      </c>
      <c r="D57" s="26">
        <f t="shared" si="4"/>
        <v>475</v>
      </c>
      <c r="E57" s="27">
        <f t="shared" si="5"/>
        <v>475</v>
      </c>
      <c r="F57" s="29">
        <f t="shared" si="6"/>
        <v>475</v>
      </c>
      <c r="G57" s="30">
        <v>0</v>
      </c>
      <c r="H57" s="31">
        <v>0</v>
      </c>
      <c r="I57" s="32">
        <v>0</v>
      </c>
      <c r="J57" s="113"/>
      <c r="K57" s="33">
        <v>0</v>
      </c>
      <c r="L57" s="34">
        <v>0</v>
      </c>
      <c r="M57" s="34">
        <v>0</v>
      </c>
      <c r="N57" s="114"/>
      <c r="O57" s="34">
        <v>0</v>
      </c>
      <c r="P57" s="34">
        <v>0</v>
      </c>
      <c r="Q57" s="34">
        <v>0</v>
      </c>
      <c r="R57" s="114"/>
      <c r="S57" s="37">
        <v>0</v>
      </c>
      <c r="T57" s="34">
        <v>0</v>
      </c>
      <c r="U57" s="34">
        <v>0</v>
      </c>
      <c r="V57" s="114"/>
      <c r="W57" s="38">
        <v>0</v>
      </c>
      <c r="X57" s="31">
        <v>0</v>
      </c>
      <c r="Y57" s="31">
        <v>0</v>
      </c>
      <c r="Z57" s="78"/>
      <c r="AA57" s="37">
        <v>0</v>
      </c>
      <c r="AB57" s="34">
        <v>0</v>
      </c>
      <c r="AC57" s="34">
        <v>0</v>
      </c>
      <c r="AD57" s="78"/>
      <c r="AE57" s="104"/>
      <c r="AF57" s="105"/>
      <c r="AG57" s="43">
        <f t="shared" si="16"/>
        <v>0</v>
      </c>
      <c r="AH57" s="44">
        <f t="shared" si="16"/>
        <v>0</v>
      </c>
      <c r="AI57" s="44">
        <f t="shared" si="16"/>
        <v>0</v>
      </c>
      <c r="AJ57" s="94">
        <f t="shared" si="16"/>
        <v>0</v>
      </c>
      <c r="AK57" s="95">
        <f t="shared" si="1"/>
        <v>0</v>
      </c>
      <c r="AL57" s="246">
        <v>0.75</v>
      </c>
      <c r="AM57" s="48">
        <f t="shared" si="7"/>
        <v>0</v>
      </c>
      <c r="AN57" s="48">
        <f t="shared" si="2"/>
        <v>0</v>
      </c>
      <c r="AO57" s="49">
        <f t="shared" si="8"/>
        <v>0</v>
      </c>
      <c r="AP57" s="97">
        <f t="shared" si="3"/>
        <v>0</v>
      </c>
      <c r="AQ57" s="50">
        <f t="shared" si="9"/>
        <v>0</v>
      </c>
      <c r="AR57" s="106"/>
      <c r="AS57" s="107"/>
      <c r="AT57" s="115"/>
      <c r="AU57" s="100">
        <f>AK57*AL57</f>
        <v>0</v>
      </c>
      <c r="AV57" s="109"/>
      <c r="AW57" s="110"/>
      <c r="AX57" s="110"/>
      <c r="AY57" s="107"/>
      <c r="AZ57" s="116"/>
    </row>
    <row r="58" spans="1:52" s="246" customFormat="1" ht="16.5" thickBot="1" x14ac:dyDescent="0.3">
      <c r="A58" s="90">
        <v>1000</v>
      </c>
      <c r="B58" s="91" t="s">
        <v>191</v>
      </c>
      <c r="C58" s="92"/>
      <c r="D58" s="26">
        <f t="shared" si="4"/>
        <v>0</v>
      </c>
      <c r="E58" s="27">
        <f t="shared" si="5"/>
        <v>0</v>
      </c>
      <c r="F58" s="29">
        <f t="shared" si="6"/>
        <v>0</v>
      </c>
      <c r="G58" s="30">
        <v>15</v>
      </c>
      <c r="H58" s="31">
        <v>30</v>
      </c>
      <c r="I58" s="32">
        <v>6</v>
      </c>
      <c r="J58" s="77"/>
      <c r="K58" s="33">
        <v>2</v>
      </c>
      <c r="L58" s="34">
        <v>6</v>
      </c>
      <c r="M58" s="34">
        <v>4</v>
      </c>
      <c r="N58" s="62"/>
      <c r="O58" s="34">
        <v>10</v>
      </c>
      <c r="P58" s="34">
        <v>13</v>
      </c>
      <c r="Q58" s="34">
        <v>5</v>
      </c>
      <c r="R58" s="62"/>
      <c r="S58" s="37">
        <v>29</v>
      </c>
      <c r="T58" s="34">
        <v>10</v>
      </c>
      <c r="U58" s="34">
        <v>20</v>
      </c>
      <c r="V58" s="62"/>
      <c r="W58" s="38">
        <v>10</v>
      </c>
      <c r="X58" s="31">
        <v>5</v>
      </c>
      <c r="Y58" s="31">
        <v>4</v>
      </c>
      <c r="Z58" s="78"/>
      <c r="AA58" s="37">
        <v>14</v>
      </c>
      <c r="AB58" s="34">
        <v>17</v>
      </c>
      <c r="AC58" s="34">
        <v>8</v>
      </c>
      <c r="AD58" s="78"/>
      <c r="AE58" s="93"/>
      <c r="AF58" s="78"/>
      <c r="AG58" s="43">
        <f t="shared" si="16"/>
        <v>80</v>
      </c>
      <c r="AH58" s="44">
        <f t="shared" si="16"/>
        <v>81</v>
      </c>
      <c r="AI58" s="44">
        <f t="shared" si="16"/>
        <v>47</v>
      </c>
      <c r="AJ58" s="94">
        <f t="shared" si="16"/>
        <v>0</v>
      </c>
      <c r="AK58" s="95">
        <f t="shared" si="1"/>
        <v>208</v>
      </c>
      <c r="AL58" s="246">
        <v>1</v>
      </c>
      <c r="AM58" s="48">
        <f t="shared" si="7"/>
        <v>80</v>
      </c>
      <c r="AN58" s="48">
        <f t="shared" si="2"/>
        <v>81</v>
      </c>
      <c r="AO58" s="49">
        <f t="shared" si="8"/>
        <v>47</v>
      </c>
      <c r="AP58" s="97">
        <f t="shared" si="3"/>
        <v>0</v>
      </c>
      <c r="AQ58" s="50">
        <f t="shared" si="9"/>
        <v>12480</v>
      </c>
      <c r="AR58" s="98">
        <v>20.59</v>
      </c>
      <c r="AS58" s="94">
        <v>3.41</v>
      </c>
      <c r="AT58" s="99">
        <f>AK58*AS58</f>
        <v>709.28</v>
      </c>
      <c r="AU58" s="100">
        <f>AK58*AL58</f>
        <v>208</v>
      </c>
      <c r="AV58" s="101">
        <v>0</v>
      </c>
      <c r="AW58" s="102"/>
      <c r="AX58" s="102"/>
      <c r="AY58" s="94"/>
      <c r="AZ58" s="95">
        <f>AT58-AU58-AW58-AX58-AY58</f>
        <v>501.28</v>
      </c>
    </row>
    <row r="59" spans="1:52" s="246" customFormat="1" ht="16.5" thickBot="1" x14ac:dyDescent="0.3">
      <c r="A59" s="90">
        <v>3300</v>
      </c>
      <c r="B59" s="91" t="s">
        <v>62</v>
      </c>
      <c r="C59" s="92"/>
      <c r="D59" s="26">
        <f t="shared" si="4"/>
        <v>0</v>
      </c>
      <c r="E59" s="27">
        <f t="shared" si="5"/>
        <v>0</v>
      </c>
      <c r="F59" s="29">
        <f t="shared" si="6"/>
        <v>0</v>
      </c>
      <c r="G59" s="30">
        <v>0</v>
      </c>
      <c r="H59" s="31">
        <v>0</v>
      </c>
      <c r="I59" s="32">
        <v>0</v>
      </c>
      <c r="J59" s="77"/>
      <c r="K59" s="33">
        <v>0</v>
      </c>
      <c r="L59" s="34">
        <v>0</v>
      </c>
      <c r="M59" s="34">
        <v>0</v>
      </c>
      <c r="N59" s="62"/>
      <c r="O59" s="34">
        <v>0</v>
      </c>
      <c r="P59" s="34">
        <v>0</v>
      </c>
      <c r="Q59" s="34">
        <v>0</v>
      </c>
      <c r="R59" s="62"/>
      <c r="S59" s="37">
        <v>0</v>
      </c>
      <c r="T59" s="34">
        <v>0</v>
      </c>
      <c r="U59" s="34">
        <v>0</v>
      </c>
      <c r="V59" s="62"/>
      <c r="W59" s="38">
        <v>0</v>
      </c>
      <c r="X59" s="31">
        <v>0</v>
      </c>
      <c r="Y59" s="31">
        <v>0</v>
      </c>
      <c r="Z59" s="78"/>
      <c r="AA59" s="37">
        <v>0</v>
      </c>
      <c r="AB59" s="34">
        <v>0</v>
      </c>
      <c r="AC59" s="34">
        <v>0</v>
      </c>
      <c r="AD59" s="78"/>
      <c r="AE59" s="93"/>
      <c r="AF59" s="78"/>
      <c r="AG59" s="43">
        <f t="shared" si="16"/>
        <v>0</v>
      </c>
      <c r="AH59" s="44">
        <f t="shared" si="16"/>
        <v>0</v>
      </c>
      <c r="AI59" s="44">
        <f t="shared" si="16"/>
        <v>0</v>
      </c>
      <c r="AJ59" s="94">
        <f t="shared" si="16"/>
        <v>0</v>
      </c>
      <c r="AK59" s="95">
        <f t="shared" si="1"/>
        <v>0</v>
      </c>
      <c r="AL59" s="246">
        <v>1</v>
      </c>
      <c r="AM59" s="48">
        <f t="shared" si="7"/>
        <v>0</v>
      </c>
      <c r="AN59" s="48">
        <f t="shared" si="2"/>
        <v>0</v>
      </c>
      <c r="AO59" s="49">
        <f t="shared" si="8"/>
        <v>0</v>
      </c>
      <c r="AP59" s="97">
        <f t="shared" si="3"/>
        <v>0</v>
      </c>
      <c r="AQ59" s="50">
        <f t="shared" si="9"/>
        <v>0</v>
      </c>
      <c r="AR59" s="98"/>
      <c r="AS59" s="94"/>
      <c r="AT59" s="99"/>
      <c r="AU59" s="100"/>
      <c r="AV59" s="101"/>
      <c r="AW59" s="102"/>
      <c r="AX59" s="102"/>
      <c r="AY59" s="94"/>
      <c r="AZ59" s="95"/>
    </row>
    <row r="60" spans="1:52" s="246" customFormat="1" ht="16.5" thickBot="1" x14ac:dyDescent="0.3">
      <c r="A60" s="90">
        <v>145</v>
      </c>
      <c r="B60" s="91" t="s">
        <v>63</v>
      </c>
      <c r="C60" s="92">
        <v>146</v>
      </c>
      <c r="D60" s="26">
        <f t="shared" si="4"/>
        <v>48.666666666666664</v>
      </c>
      <c r="E60" s="27">
        <f t="shared" si="5"/>
        <v>48.666666666666664</v>
      </c>
      <c r="F60" s="29">
        <f t="shared" si="6"/>
        <v>48.666666666666664</v>
      </c>
      <c r="G60" s="30">
        <v>0</v>
      </c>
      <c r="H60" s="31">
        <v>0</v>
      </c>
      <c r="I60" s="32">
        <v>0</v>
      </c>
      <c r="J60" s="77"/>
      <c r="K60" s="33">
        <v>0</v>
      </c>
      <c r="L60" s="34">
        <v>0</v>
      </c>
      <c r="M60" s="34">
        <v>0</v>
      </c>
      <c r="N60" s="62"/>
      <c r="O60" s="34">
        <v>0</v>
      </c>
      <c r="P60" s="34">
        <v>0</v>
      </c>
      <c r="Q60" s="34">
        <v>0</v>
      </c>
      <c r="R60" s="62"/>
      <c r="S60" s="37">
        <v>0</v>
      </c>
      <c r="T60" s="34">
        <v>0</v>
      </c>
      <c r="U60" s="34">
        <v>0</v>
      </c>
      <c r="V60" s="62"/>
      <c r="W60" s="38">
        <v>0</v>
      </c>
      <c r="X60" s="31">
        <v>0</v>
      </c>
      <c r="Y60" s="31">
        <v>0</v>
      </c>
      <c r="Z60" s="78"/>
      <c r="AA60" s="37">
        <v>0</v>
      </c>
      <c r="AB60" s="34">
        <v>0</v>
      </c>
      <c r="AC60" s="34">
        <v>0</v>
      </c>
      <c r="AD60" s="78"/>
      <c r="AE60" s="93"/>
      <c r="AF60" s="78"/>
      <c r="AG60" s="43">
        <f t="shared" si="16"/>
        <v>0</v>
      </c>
      <c r="AH60" s="44">
        <f t="shared" si="16"/>
        <v>0</v>
      </c>
      <c r="AI60" s="44">
        <f t="shared" si="16"/>
        <v>0</v>
      </c>
      <c r="AJ60" s="94">
        <f t="shared" si="16"/>
        <v>0</v>
      </c>
      <c r="AK60" s="95">
        <f t="shared" si="1"/>
        <v>0</v>
      </c>
      <c r="AL60" s="246">
        <v>0.75</v>
      </c>
      <c r="AM60" s="48">
        <f t="shared" si="7"/>
        <v>0</v>
      </c>
      <c r="AN60" s="48">
        <f t="shared" si="2"/>
        <v>0</v>
      </c>
      <c r="AO60" s="49">
        <f t="shared" si="8"/>
        <v>0</v>
      </c>
      <c r="AP60" s="97">
        <f t="shared" si="3"/>
        <v>0</v>
      </c>
      <c r="AQ60" s="50">
        <f t="shared" si="9"/>
        <v>0</v>
      </c>
      <c r="AR60" s="98">
        <v>26.4</v>
      </c>
      <c r="AS60" s="94">
        <v>3.6000000000000014</v>
      </c>
      <c r="AT60" s="99">
        <f>AK60*AS60</f>
        <v>0</v>
      </c>
      <c r="AU60" s="100">
        <f>AK60*AL60</f>
        <v>0</v>
      </c>
      <c r="AV60" s="101">
        <v>0</v>
      </c>
      <c r="AW60" s="102"/>
      <c r="AX60" s="102"/>
      <c r="AY60" s="94"/>
      <c r="AZ60" s="95">
        <f>AT60-AU60-AW60-AX60-AY60</f>
        <v>0</v>
      </c>
    </row>
    <row r="61" spans="1:52" s="246" customFormat="1" ht="16.5" thickBot="1" x14ac:dyDescent="0.3">
      <c r="A61" s="90"/>
      <c r="B61" s="91" t="s">
        <v>64</v>
      </c>
      <c r="C61" s="92">
        <v>146</v>
      </c>
      <c r="D61" s="26">
        <f t="shared" si="4"/>
        <v>48.666666666666664</v>
      </c>
      <c r="E61" s="27">
        <f t="shared" si="5"/>
        <v>48.666666666666664</v>
      </c>
      <c r="F61" s="29">
        <f t="shared" si="6"/>
        <v>48.666666666666664</v>
      </c>
      <c r="G61" s="30">
        <v>0</v>
      </c>
      <c r="H61" s="31">
        <v>0</v>
      </c>
      <c r="I61" s="32">
        <v>0</v>
      </c>
      <c r="J61" s="77"/>
      <c r="K61" s="33">
        <v>0</v>
      </c>
      <c r="L61" s="34">
        <v>0</v>
      </c>
      <c r="M61" s="34">
        <v>0</v>
      </c>
      <c r="N61" s="62"/>
      <c r="O61" s="34">
        <v>0</v>
      </c>
      <c r="P61" s="34">
        <v>0</v>
      </c>
      <c r="Q61" s="34">
        <v>0</v>
      </c>
      <c r="R61" s="62"/>
      <c r="S61" s="37">
        <v>0</v>
      </c>
      <c r="T61" s="34">
        <v>0</v>
      </c>
      <c r="U61" s="34">
        <v>0</v>
      </c>
      <c r="V61" s="62"/>
      <c r="W61" s="38">
        <v>0</v>
      </c>
      <c r="X61" s="31">
        <v>0</v>
      </c>
      <c r="Y61" s="31">
        <v>0</v>
      </c>
      <c r="Z61" s="78"/>
      <c r="AA61" s="37">
        <v>0</v>
      </c>
      <c r="AB61" s="34">
        <v>0</v>
      </c>
      <c r="AC61" s="34">
        <v>0</v>
      </c>
      <c r="AD61" s="78"/>
      <c r="AE61" s="93"/>
      <c r="AF61" s="78"/>
      <c r="AG61" s="43">
        <f t="shared" si="16"/>
        <v>0</v>
      </c>
      <c r="AH61" s="44">
        <f t="shared" si="16"/>
        <v>0</v>
      </c>
      <c r="AI61" s="44">
        <f t="shared" si="16"/>
        <v>0</v>
      </c>
      <c r="AJ61" s="94">
        <f t="shared" si="16"/>
        <v>0</v>
      </c>
      <c r="AK61" s="95">
        <f t="shared" si="1"/>
        <v>0</v>
      </c>
      <c r="AL61" s="246">
        <v>0.75</v>
      </c>
      <c r="AM61" s="48">
        <f t="shared" si="7"/>
        <v>0</v>
      </c>
      <c r="AN61" s="48">
        <f t="shared" si="2"/>
        <v>0</v>
      </c>
      <c r="AO61" s="49">
        <f t="shared" si="8"/>
        <v>0</v>
      </c>
      <c r="AP61" s="97">
        <f t="shared" si="3"/>
        <v>0</v>
      </c>
      <c r="AQ61" s="50">
        <f t="shared" si="9"/>
        <v>0</v>
      </c>
      <c r="AR61" s="98"/>
      <c r="AS61" s="94"/>
      <c r="AT61" s="99"/>
      <c r="AU61" s="100"/>
      <c r="AV61" s="101"/>
      <c r="AW61" s="102"/>
      <c r="AX61" s="102"/>
      <c r="AY61" s="94"/>
      <c r="AZ61" s="95"/>
    </row>
    <row r="62" spans="1:52" s="246" customFormat="1" ht="16.5" thickBot="1" x14ac:dyDescent="0.3">
      <c r="A62" s="90"/>
      <c r="B62" s="91" t="s">
        <v>65</v>
      </c>
      <c r="C62" s="92"/>
      <c r="D62" s="26">
        <f t="shared" si="4"/>
        <v>0</v>
      </c>
      <c r="E62" s="27">
        <f t="shared" si="5"/>
        <v>0</v>
      </c>
      <c r="F62" s="29">
        <f t="shared" si="6"/>
        <v>0</v>
      </c>
      <c r="G62" s="30">
        <v>0</v>
      </c>
      <c r="H62" s="31">
        <v>0</v>
      </c>
      <c r="I62" s="32">
        <v>0</v>
      </c>
      <c r="J62" s="77"/>
      <c r="K62" s="33">
        <v>0</v>
      </c>
      <c r="L62" s="34">
        <v>0</v>
      </c>
      <c r="M62" s="34">
        <v>0</v>
      </c>
      <c r="N62" s="62"/>
      <c r="O62" s="34">
        <v>0</v>
      </c>
      <c r="P62" s="34">
        <v>0</v>
      </c>
      <c r="Q62" s="34">
        <v>0</v>
      </c>
      <c r="R62" s="62"/>
      <c r="S62" s="37">
        <v>0</v>
      </c>
      <c r="T62" s="34">
        <v>0</v>
      </c>
      <c r="U62" s="34">
        <v>0</v>
      </c>
      <c r="V62" s="62"/>
      <c r="W62" s="38">
        <v>0</v>
      </c>
      <c r="X62" s="31">
        <v>0</v>
      </c>
      <c r="Y62" s="31">
        <v>0</v>
      </c>
      <c r="Z62" s="78"/>
      <c r="AA62" s="37">
        <v>0</v>
      </c>
      <c r="AB62" s="34">
        <v>0</v>
      </c>
      <c r="AC62" s="34">
        <v>0</v>
      </c>
      <c r="AD62" s="78"/>
      <c r="AE62" s="93"/>
      <c r="AF62" s="78"/>
      <c r="AG62" s="43">
        <f t="shared" si="16"/>
        <v>0</v>
      </c>
      <c r="AH62" s="44">
        <f t="shared" si="16"/>
        <v>0</v>
      </c>
      <c r="AI62" s="44">
        <f t="shared" si="16"/>
        <v>0</v>
      </c>
      <c r="AJ62" s="94">
        <f t="shared" si="16"/>
        <v>0</v>
      </c>
      <c r="AK62" s="95">
        <f t="shared" si="1"/>
        <v>0</v>
      </c>
      <c r="AL62" s="246">
        <v>0.75</v>
      </c>
      <c r="AM62" s="48">
        <f t="shared" si="7"/>
        <v>0</v>
      </c>
      <c r="AN62" s="48">
        <f t="shared" si="2"/>
        <v>0</v>
      </c>
      <c r="AO62" s="49">
        <f t="shared" si="8"/>
        <v>0</v>
      </c>
      <c r="AP62" s="97">
        <f t="shared" si="3"/>
        <v>0</v>
      </c>
      <c r="AQ62" s="50">
        <f t="shared" si="9"/>
        <v>0</v>
      </c>
      <c r="AR62" s="98"/>
      <c r="AS62" s="94"/>
      <c r="AT62" s="99"/>
      <c r="AU62" s="100"/>
      <c r="AV62" s="101"/>
      <c r="AW62" s="102"/>
      <c r="AX62" s="102"/>
      <c r="AY62" s="94"/>
      <c r="AZ62" s="95"/>
    </row>
    <row r="63" spans="1:52" s="246" customFormat="1" ht="16.5" thickBot="1" x14ac:dyDescent="0.3">
      <c r="A63" s="90"/>
      <c r="B63" s="91" t="s">
        <v>66</v>
      </c>
      <c r="C63" s="92"/>
      <c r="D63" s="26">
        <f t="shared" si="4"/>
        <v>0</v>
      </c>
      <c r="E63" s="27">
        <f t="shared" si="5"/>
        <v>0</v>
      </c>
      <c r="F63" s="29">
        <f t="shared" si="6"/>
        <v>0</v>
      </c>
      <c r="G63" s="30">
        <v>0</v>
      </c>
      <c r="H63" s="31">
        <v>0</v>
      </c>
      <c r="I63" s="32">
        <v>0</v>
      </c>
      <c r="J63" s="77"/>
      <c r="K63" s="33">
        <v>0</v>
      </c>
      <c r="L63" s="34">
        <v>0</v>
      </c>
      <c r="M63" s="34">
        <v>0</v>
      </c>
      <c r="N63" s="62"/>
      <c r="O63" s="34">
        <v>0</v>
      </c>
      <c r="P63" s="34">
        <v>0</v>
      </c>
      <c r="Q63" s="34">
        <v>0</v>
      </c>
      <c r="R63" s="62"/>
      <c r="S63" s="37">
        <v>0</v>
      </c>
      <c r="T63" s="34">
        <v>0</v>
      </c>
      <c r="U63" s="34">
        <v>0</v>
      </c>
      <c r="V63" s="62"/>
      <c r="W63" s="38">
        <v>0</v>
      </c>
      <c r="X63" s="31">
        <v>0</v>
      </c>
      <c r="Y63" s="31">
        <v>0</v>
      </c>
      <c r="Z63" s="78"/>
      <c r="AA63" s="37">
        <v>0</v>
      </c>
      <c r="AB63" s="34">
        <v>0</v>
      </c>
      <c r="AC63" s="34">
        <v>0</v>
      </c>
      <c r="AD63" s="78"/>
      <c r="AE63" s="93"/>
      <c r="AF63" s="78"/>
      <c r="AG63" s="43">
        <f t="shared" si="16"/>
        <v>0</v>
      </c>
      <c r="AH63" s="44">
        <f t="shared" si="16"/>
        <v>0</v>
      </c>
      <c r="AI63" s="44">
        <f t="shared" si="16"/>
        <v>0</v>
      </c>
      <c r="AJ63" s="94">
        <f t="shared" si="16"/>
        <v>0</v>
      </c>
      <c r="AK63" s="95">
        <f t="shared" si="1"/>
        <v>0</v>
      </c>
      <c r="AL63" s="246">
        <v>0.75</v>
      </c>
      <c r="AM63" s="48">
        <f t="shared" si="7"/>
        <v>0</v>
      </c>
      <c r="AN63" s="48">
        <f t="shared" si="2"/>
        <v>0</v>
      </c>
      <c r="AO63" s="49">
        <f t="shared" si="8"/>
        <v>0</v>
      </c>
      <c r="AP63" s="97">
        <f t="shared" si="3"/>
        <v>0</v>
      </c>
      <c r="AQ63" s="50">
        <f t="shared" si="9"/>
        <v>0</v>
      </c>
      <c r="AR63" s="98"/>
      <c r="AS63" s="94"/>
      <c r="AT63" s="99"/>
      <c r="AU63" s="100"/>
      <c r="AV63" s="101"/>
      <c r="AW63" s="102"/>
      <c r="AX63" s="102"/>
      <c r="AY63" s="94"/>
      <c r="AZ63" s="95"/>
    </row>
    <row r="64" spans="1:52" s="246" customFormat="1" ht="16.5" thickBot="1" x14ac:dyDescent="0.3">
      <c r="A64" s="90">
        <v>145</v>
      </c>
      <c r="B64" s="91" t="s">
        <v>67</v>
      </c>
      <c r="C64" s="92"/>
      <c r="D64" s="26">
        <f t="shared" si="4"/>
        <v>0</v>
      </c>
      <c r="E64" s="27">
        <f t="shared" si="5"/>
        <v>0</v>
      </c>
      <c r="F64" s="29">
        <f t="shared" si="6"/>
        <v>0</v>
      </c>
      <c r="G64" s="30">
        <v>0</v>
      </c>
      <c r="H64" s="31">
        <v>0</v>
      </c>
      <c r="I64" s="32">
        <v>0</v>
      </c>
      <c r="J64" s="77"/>
      <c r="K64" s="33">
        <v>0</v>
      </c>
      <c r="L64" s="34">
        <v>0</v>
      </c>
      <c r="M64" s="34">
        <v>0</v>
      </c>
      <c r="N64" s="62"/>
      <c r="O64" s="34">
        <v>0</v>
      </c>
      <c r="P64" s="34">
        <v>0</v>
      </c>
      <c r="Q64" s="34">
        <v>0</v>
      </c>
      <c r="R64" s="62"/>
      <c r="S64" s="37">
        <v>0</v>
      </c>
      <c r="T64" s="34">
        <v>0</v>
      </c>
      <c r="U64" s="34">
        <v>0</v>
      </c>
      <c r="V64" s="62"/>
      <c r="W64" s="38">
        <v>0</v>
      </c>
      <c r="X64" s="31">
        <v>0</v>
      </c>
      <c r="Y64" s="31">
        <v>0</v>
      </c>
      <c r="Z64" s="78"/>
      <c r="AA64" s="37">
        <v>0</v>
      </c>
      <c r="AB64" s="34">
        <v>0</v>
      </c>
      <c r="AC64" s="34">
        <v>0</v>
      </c>
      <c r="AD64" s="78"/>
      <c r="AE64" s="93"/>
      <c r="AF64" s="78"/>
      <c r="AG64" s="43">
        <f t="shared" si="16"/>
        <v>0</v>
      </c>
      <c r="AH64" s="44">
        <f t="shared" si="16"/>
        <v>0</v>
      </c>
      <c r="AI64" s="44">
        <f t="shared" si="16"/>
        <v>0</v>
      </c>
      <c r="AJ64" s="94">
        <f t="shared" si="16"/>
        <v>0</v>
      </c>
      <c r="AK64" s="95">
        <f t="shared" si="1"/>
        <v>0</v>
      </c>
      <c r="AL64" s="246">
        <v>0.75</v>
      </c>
      <c r="AM64" s="48">
        <f t="shared" si="7"/>
        <v>0</v>
      </c>
      <c r="AN64" s="48">
        <f t="shared" si="2"/>
        <v>0</v>
      </c>
      <c r="AO64" s="49">
        <f t="shared" si="8"/>
        <v>0</v>
      </c>
      <c r="AP64" s="97">
        <f t="shared" si="3"/>
        <v>0</v>
      </c>
      <c r="AQ64" s="50">
        <f t="shared" si="9"/>
        <v>0</v>
      </c>
      <c r="AR64" s="98"/>
      <c r="AS64" s="94"/>
      <c r="AT64" s="99"/>
      <c r="AU64" s="100"/>
      <c r="AV64" s="101"/>
      <c r="AW64" s="102"/>
      <c r="AX64" s="102"/>
      <c r="AY64" s="94"/>
      <c r="AZ64" s="95"/>
    </row>
    <row r="65" spans="1:52" s="246" customFormat="1" ht="16.5" thickBot="1" x14ac:dyDescent="0.3">
      <c r="A65" s="90">
        <v>145</v>
      </c>
      <c r="B65" s="91" t="s">
        <v>68</v>
      </c>
      <c r="C65" s="92"/>
      <c r="D65" s="26">
        <f t="shared" si="4"/>
        <v>0</v>
      </c>
      <c r="E65" s="27">
        <f t="shared" si="5"/>
        <v>0</v>
      </c>
      <c r="F65" s="29">
        <f t="shared" si="6"/>
        <v>0</v>
      </c>
      <c r="G65" s="30">
        <v>0</v>
      </c>
      <c r="H65" s="31">
        <v>0</v>
      </c>
      <c r="I65" s="32">
        <v>0</v>
      </c>
      <c r="J65" s="77"/>
      <c r="K65" s="33">
        <v>0</v>
      </c>
      <c r="L65" s="34">
        <v>0</v>
      </c>
      <c r="M65" s="34">
        <v>0</v>
      </c>
      <c r="N65" s="62"/>
      <c r="O65" s="34">
        <v>0</v>
      </c>
      <c r="P65" s="34">
        <v>0</v>
      </c>
      <c r="Q65" s="34">
        <v>0</v>
      </c>
      <c r="R65" s="62"/>
      <c r="S65" s="37">
        <v>0</v>
      </c>
      <c r="T65" s="34">
        <v>0</v>
      </c>
      <c r="U65" s="34">
        <v>0</v>
      </c>
      <c r="V65" s="62"/>
      <c r="W65" s="38">
        <v>0</v>
      </c>
      <c r="X65" s="31">
        <v>0</v>
      </c>
      <c r="Y65" s="31">
        <v>0</v>
      </c>
      <c r="Z65" s="78"/>
      <c r="AA65" s="37">
        <v>0</v>
      </c>
      <c r="AB65" s="34">
        <v>0</v>
      </c>
      <c r="AC65" s="34">
        <v>0</v>
      </c>
      <c r="AD65" s="78"/>
      <c r="AE65" s="93"/>
      <c r="AF65" s="78"/>
      <c r="AG65" s="43">
        <f t="shared" si="16"/>
        <v>0</v>
      </c>
      <c r="AH65" s="44">
        <f t="shared" si="16"/>
        <v>0</v>
      </c>
      <c r="AI65" s="44">
        <f t="shared" si="16"/>
        <v>0</v>
      </c>
      <c r="AJ65" s="94">
        <f t="shared" si="16"/>
        <v>0</v>
      </c>
      <c r="AK65" s="95">
        <f t="shared" si="1"/>
        <v>0</v>
      </c>
      <c r="AL65" s="246">
        <v>0.75</v>
      </c>
      <c r="AM65" s="48">
        <f t="shared" si="7"/>
        <v>0</v>
      </c>
      <c r="AN65" s="48">
        <f t="shared" si="2"/>
        <v>0</v>
      </c>
      <c r="AO65" s="49">
        <f t="shared" si="8"/>
        <v>0</v>
      </c>
      <c r="AP65" s="97">
        <f t="shared" si="3"/>
        <v>0</v>
      </c>
      <c r="AQ65" s="50">
        <f t="shared" si="9"/>
        <v>0</v>
      </c>
      <c r="AR65" s="98"/>
      <c r="AS65" s="94"/>
      <c r="AT65" s="99"/>
      <c r="AU65" s="100"/>
      <c r="AV65" s="101"/>
      <c r="AW65" s="102"/>
      <c r="AX65" s="102"/>
      <c r="AY65" s="94"/>
      <c r="AZ65" s="95"/>
    </row>
    <row r="66" spans="1:52" s="246" customFormat="1" ht="16.5" thickBot="1" x14ac:dyDescent="0.3">
      <c r="A66" s="90">
        <v>145</v>
      </c>
      <c r="B66" s="91" t="s">
        <v>69</v>
      </c>
      <c r="C66" s="92"/>
      <c r="D66" s="26">
        <f t="shared" si="4"/>
        <v>0</v>
      </c>
      <c r="E66" s="27">
        <f t="shared" si="5"/>
        <v>0</v>
      </c>
      <c r="F66" s="29">
        <f t="shared" si="6"/>
        <v>0</v>
      </c>
      <c r="G66" s="30">
        <v>0</v>
      </c>
      <c r="H66" s="31">
        <v>0</v>
      </c>
      <c r="I66" s="32">
        <v>0</v>
      </c>
      <c r="J66" s="77"/>
      <c r="K66" s="33">
        <v>0</v>
      </c>
      <c r="L66" s="34">
        <v>0</v>
      </c>
      <c r="M66" s="34">
        <v>0</v>
      </c>
      <c r="N66" s="62"/>
      <c r="O66" s="34">
        <v>0</v>
      </c>
      <c r="P66" s="34">
        <v>0</v>
      </c>
      <c r="Q66" s="34">
        <v>0</v>
      </c>
      <c r="R66" s="62"/>
      <c r="S66" s="37">
        <v>0</v>
      </c>
      <c r="T66" s="34">
        <v>0</v>
      </c>
      <c r="U66" s="34">
        <v>0</v>
      </c>
      <c r="V66" s="62"/>
      <c r="W66" s="38">
        <v>0</v>
      </c>
      <c r="X66" s="31">
        <v>0</v>
      </c>
      <c r="Y66" s="31">
        <v>0</v>
      </c>
      <c r="Z66" s="78"/>
      <c r="AA66" s="37">
        <v>0</v>
      </c>
      <c r="AB66" s="34">
        <v>0</v>
      </c>
      <c r="AC66" s="34">
        <v>0</v>
      </c>
      <c r="AD66" s="78"/>
      <c r="AE66" s="93"/>
      <c r="AF66" s="78"/>
      <c r="AG66" s="43">
        <f t="shared" si="16"/>
        <v>0</v>
      </c>
      <c r="AH66" s="44">
        <f t="shared" si="16"/>
        <v>0</v>
      </c>
      <c r="AI66" s="44">
        <f t="shared" si="16"/>
        <v>0</v>
      </c>
      <c r="AJ66" s="94">
        <f t="shared" si="16"/>
        <v>0</v>
      </c>
      <c r="AK66" s="95">
        <f t="shared" si="1"/>
        <v>0</v>
      </c>
      <c r="AL66" s="246">
        <v>0.75</v>
      </c>
      <c r="AM66" s="48">
        <f t="shared" si="7"/>
        <v>0</v>
      </c>
      <c r="AN66" s="48">
        <f t="shared" si="2"/>
        <v>0</v>
      </c>
      <c r="AO66" s="49">
        <f t="shared" si="8"/>
        <v>0</v>
      </c>
      <c r="AP66" s="97">
        <f t="shared" si="3"/>
        <v>0</v>
      </c>
      <c r="AQ66" s="50">
        <f t="shared" si="9"/>
        <v>0</v>
      </c>
      <c r="AR66" s="98"/>
      <c r="AS66" s="94"/>
      <c r="AT66" s="99"/>
      <c r="AU66" s="100"/>
      <c r="AV66" s="101"/>
      <c r="AW66" s="102"/>
      <c r="AX66" s="102"/>
      <c r="AY66" s="94"/>
      <c r="AZ66" s="95"/>
    </row>
    <row r="67" spans="1:52" s="246" customFormat="1" ht="16.5" thickBot="1" x14ac:dyDescent="0.3">
      <c r="A67" s="90"/>
      <c r="B67" s="91" t="s">
        <v>70</v>
      </c>
      <c r="C67" s="92"/>
      <c r="D67" s="26">
        <f t="shared" si="4"/>
        <v>0</v>
      </c>
      <c r="E67" s="27">
        <f t="shared" si="5"/>
        <v>0</v>
      </c>
      <c r="F67" s="29">
        <f t="shared" si="6"/>
        <v>0</v>
      </c>
      <c r="G67" s="30">
        <v>0</v>
      </c>
      <c r="H67" s="31">
        <v>0</v>
      </c>
      <c r="I67" s="32">
        <v>0</v>
      </c>
      <c r="J67" s="77"/>
      <c r="K67" s="33">
        <v>0</v>
      </c>
      <c r="L67" s="34">
        <v>0</v>
      </c>
      <c r="M67" s="34">
        <v>0</v>
      </c>
      <c r="N67" s="62"/>
      <c r="O67" s="34">
        <v>0</v>
      </c>
      <c r="P67" s="34">
        <v>0</v>
      </c>
      <c r="Q67" s="34">
        <v>0</v>
      </c>
      <c r="R67" s="62"/>
      <c r="S67" s="37">
        <v>0</v>
      </c>
      <c r="T67" s="34">
        <v>0</v>
      </c>
      <c r="U67" s="34">
        <v>0</v>
      </c>
      <c r="V67" s="62"/>
      <c r="W67" s="38">
        <v>0</v>
      </c>
      <c r="X67" s="31">
        <v>0</v>
      </c>
      <c r="Y67" s="31">
        <v>0</v>
      </c>
      <c r="Z67" s="78"/>
      <c r="AA67" s="37">
        <v>0</v>
      </c>
      <c r="AB67" s="34">
        <v>0</v>
      </c>
      <c r="AC67" s="34">
        <v>0</v>
      </c>
      <c r="AD67" s="78"/>
      <c r="AE67" s="93"/>
      <c r="AF67" s="78"/>
      <c r="AG67" s="43">
        <f t="shared" si="16"/>
        <v>0</v>
      </c>
      <c r="AH67" s="44">
        <f t="shared" si="16"/>
        <v>0</v>
      </c>
      <c r="AI67" s="44">
        <f t="shared" si="16"/>
        <v>0</v>
      </c>
      <c r="AJ67" s="94">
        <f t="shared" si="16"/>
        <v>0</v>
      </c>
      <c r="AK67" s="95">
        <f t="shared" si="1"/>
        <v>0</v>
      </c>
      <c r="AL67" s="246">
        <v>0.75</v>
      </c>
      <c r="AM67" s="48">
        <f t="shared" si="7"/>
        <v>0</v>
      </c>
      <c r="AN67" s="48">
        <f t="shared" si="2"/>
        <v>0</v>
      </c>
      <c r="AO67" s="49">
        <f t="shared" si="8"/>
        <v>0</v>
      </c>
      <c r="AP67" s="97">
        <f t="shared" si="3"/>
        <v>0</v>
      </c>
      <c r="AQ67" s="50">
        <f t="shared" si="9"/>
        <v>0</v>
      </c>
      <c r="AR67" s="98"/>
      <c r="AS67" s="94"/>
      <c r="AT67" s="99"/>
      <c r="AU67" s="100"/>
      <c r="AV67" s="101"/>
      <c r="AW67" s="102"/>
      <c r="AX67" s="102"/>
      <c r="AY67" s="94"/>
      <c r="AZ67" s="95"/>
    </row>
    <row r="68" spans="1:52" s="246" customFormat="1" ht="16.5" thickBot="1" x14ac:dyDescent="0.3">
      <c r="A68" s="90"/>
      <c r="B68" s="91" t="s">
        <v>71</v>
      </c>
      <c r="C68" s="92"/>
      <c r="D68" s="26">
        <f t="shared" si="4"/>
        <v>0</v>
      </c>
      <c r="E68" s="27">
        <f t="shared" si="5"/>
        <v>0</v>
      </c>
      <c r="F68" s="29">
        <f t="shared" si="6"/>
        <v>0</v>
      </c>
      <c r="G68" s="30">
        <v>0</v>
      </c>
      <c r="H68" s="31">
        <v>0</v>
      </c>
      <c r="I68" s="32">
        <v>0</v>
      </c>
      <c r="J68" s="77"/>
      <c r="K68" s="33">
        <v>0</v>
      </c>
      <c r="L68" s="34">
        <v>0</v>
      </c>
      <c r="M68" s="34">
        <v>0</v>
      </c>
      <c r="N68" s="62"/>
      <c r="O68" s="34">
        <v>0</v>
      </c>
      <c r="P68" s="34">
        <v>0</v>
      </c>
      <c r="Q68" s="34">
        <v>0</v>
      </c>
      <c r="R68" s="62"/>
      <c r="S68" s="37">
        <v>0</v>
      </c>
      <c r="T68" s="34">
        <v>0</v>
      </c>
      <c r="U68" s="34">
        <v>0</v>
      </c>
      <c r="V68" s="62"/>
      <c r="W68" s="38">
        <v>0</v>
      </c>
      <c r="X68" s="31">
        <v>0</v>
      </c>
      <c r="Y68" s="31">
        <v>0</v>
      </c>
      <c r="Z68" s="78"/>
      <c r="AA68" s="37">
        <v>0</v>
      </c>
      <c r="AB68" s="34">
        <v>0</v>
      </c>
      <c r="AC68" s="34">
        <v>0</v>
      </c>
      <c r="AD68" s="78"/>
      <c r="AE68" s="93"/>
      <c r="AF68" s="78"/>
      <c r="AG68" s="43">
        <f t="shared" si="16"/>
        <v>0</v>
      </c>
      <c r="AH68" s="44">
        <f t="shared" si="16"/>
        <v>0</v>
      </c>
      <c r="AI68" s="44">
        <f t="shared" si="16"/>
        <v>0</v>
      </c>
      <c r="AJ68" s="94">
        <f t="shared" si="16"/>
        <v>0</v>
      </c>
      <c r="AK68" s="95">
        <f t="shared" ref="AK68:AK132" si="17">AG68+AH68+AI68</f>
        <v>0</v>
      </c>
      <c r="AL68" s="246">
        <v>0.75</v>
      </c>
      <c r="AM68" s="48">
        <f t="shared" si="7"/>
        <v>0</v>
      </c>
      <c r="AN68" s="48">
        <f t="shared" si="2"/>
        <v>0</v>
      </c>
      <c r="AO68" s="49">
        <f t="shared" si="8"/>
        <v>0</v>
      </c>
      <c r="AP68" s="97">
        <f t="shared" ref="AP68:AP132" si="18">AJ68*AL68</f>
        <v>0</v>
      </c>
      <c r="AQ68" s="50">
        <f t="shared" ref="AQ68:AQ132" si="19">AK68*60</f>
        <v>0</v>
      </c>
      <c r="AR68" s="98"/>
      <c r="AS68" s="94"/>
      <c r="AT68" s="99"/>
      <c r="AU68" s="100"/>
      <c r="AV68" s="101"/>
      <c r="AW68" s="102"/>
      <c r="AX68" s="102"/>
      <c r="AY68" s="94"/>
      <c r="AZ68" s="95"/>
    </row>
    <row r="69" spans="1:52" s="246" customFormat="1" ht="16.5" thickBot="1" x14ac:dyDescent="0.3">
      <c r="A69" s="90">
        <v>360</v>
      </c>
      <c r="B69" s="91" t="s">
        <v>64</v>
      </c>
      <c r="C69" s="92"/>
      <c r="D69" s="26"/>
      <c r="E69" s="27"/>
      <c r="F69" s="29"/>
      <c r="G69" s="30">
        <v>0</v>
      </c>
      <c r="H69" s="31">
        <v>0</v>
      </c>
      <c r="I69" s="32">
        <v>0</v>
      </c>
      <c r="J69" s="77"/>
      <c r="K69" s="33">
        <v>0</v>
      </c>
      <c r="L69" s="34">
        <v>0</v>
      </c>
      <c r="M69" s="34">
        <v>0</v>
      </c>
      <c r="N69" s="62"/>
      <c r="O69" s="34">
        <v>0</v>
      </c>
      <c r="P69" s="34">
        <v>0</v>
      </c>
      <c r="Q69" s="34">
        <v>0</v>
      </c>
      <c r="R69" s="62"/>
      <c r="S69" s="37">
        <v>0</v>
      </c>
      <c r="T69" s="34">
        <v>0</v>
      </c>
      <c r="U69" s="34">
        <v>0</v>
      </c>
      <c r="V69" s="62"/>
      <c r="W69" s="38">
        <v>9</v>
      </c>
      <c r="X69" s="31">
        <v>20</v>
      </c>
      <c r="Y69" s="31">
        <v>14</v>
      </c>
      <c r="Z69" s="78"/>
      <c r="AA69" s="37">
        <v>1</v>
      </c>
      <c r="AB69" s="34">
        <v>0</v>
      </c>
      <c r="AC69" s="34">
        <v>6</v>
      </c>
      <c r="AD69" s="78"/>
      <c r="AE69" s="93"/>
      <c r="AF69" s="78"/>
      <c r="AG69" s="43">
        <f t="shared" ref="AG69" si="20">G69+K69+O69+S69+W69+AA69</f>
        <v>10</v>
      </c>
      <c r="AH69" s="44">
        <f t="shared" ref="AH69" si="21">H69+L69+P69+T69+X69+AB69</f>
        <v>20</v>
      </c>
      <c r="AI69" s="44">
        <f t="shared" ref="AI69" si="22">I69+M69+Q69+U69+Y69+AC69</f>
        <v>20</v>
      </c>
      <c r="AJ69" s="94">
        <f t="shared" ref="AJ69" si="23">J69+N69+R69+V69+Z69+AD69</f>
        <v>0</v>
      </c>
      <c r="AK69" s="95">
        <f t="shared" ref="AK69" si="24">AG69+AH69+AI69</f>
        <v>50</v>
      </c>
      <c r="AL69" s="246">
        <v>1.75</v>
      </c>
      <c r="AM69" s="48">
        <f t="shared" ref="AM69" si="25">AG69*AL69</f>
        <v>17.5</v>
      </c>
      <c r="AN69" s="48">
        <f t="shared" ref="AN69" si="26">AH69*AL69</f>
        <v>35</v>
      </c>
      <c r="AO69" s="49">
        <f t="shared" ref="AO69" si="27">AI69*AL69</f>
        <v>35</v>
      </c>
      <c r="AP69" s="97">
        <f t="shared" ref="AP69" si="28">AJ69*AL69</f>
        <v>0</v>
      </c>
      <c r="AQ69" s="50">
        <f t="shared" ref="AQ69" si="29">AK69*60</f>
        <v>3000</v>
      </c>
      <c r="AR69" s="98"/>
      <c r="AS69" s="94"/>
      <c r="AT69" s="99"/>
      <c r="AU69" s="100"/>
      <c r="AV69" s="101"/>
      <c r="AW69" s="102"/>
      <c r="AX69" s="102"/>
      <c r="AY69" s="94"/>
      <c r="AZ69" s="95"/>
    </row>
    <row r="70" spans="1:52" s="246" customFormat="1" ht="16.5" thickBot="1" x14ac:dyDescent="0.3">
      <c r="A70" s="90">
        <v>250</v>
      </c>
      <c r="B70" s="91" t="s">
        <v>63</v>
      </c>
      <c r="C70" s="92">
        <v>52</v>
      </c>
      <c r="D70" s="26">
        <f t="shared" ref="D70:D133" si="30">C70/3</f>
        <v>17.333333333333332</v>
      </c>
      <c r="E70" s="27">
        <f t="shared" ref="E70:E133" si="31">C70/3</f>
        <v>17.333333333333332</v>
      </c>
      <c r="F70" s="29">
        <f t="shared" ref="F70:F133" si="32">C70/3</f>
        <v>17.333333333333332</v>
      </c>
      <c r="G70" s="30">
        <v>0</v>
      </c>
      <c r="H70" s="31">
        <v>0</v>
      </c>
      <c r="I70" s="32">
        <v>0</v>
      </c>
      <c r="J70" s="77"/>
      <c r="K70" s="33">
        <v>0</v>
      </c>
      <c r="L70" s="34">
        <v>0</v>
      </c>
      <c r="M70" s="34">
        <v>0</v>
      </c>
      <c r="N70" s="62"/>
      <c r="O70" s="34">
        <v>0</v>
      </c>
      <c r="P70" s="34">
        <v>0</v>
      </c>
      <c r="Q70" s="34">
        <v>0</v>
      </c>
      <c r="R70" s="62"/>
      <c r="S70" s="37">
        <v>0</v>
      </c>
      <c r="T70" s="34">
        <v>0</v>
      </c>
      <c r="U70" s="34">
        <v>0</v>
      </c>
      <c r="V70" s="62"/>
      <c r="W70" s="38">
        <v>0</v>
      </c>
      <c r="X70" s="31">
        <v>0</v>
      </c>
      <c r="Y70" s="31">
        <v>0</v>
      </c>
      <c r="Z70" s="78"/>
      <c r="AA70" s="37">
        <v>0</v>
      </c>
      <c r="AB70" s="34">
        <v>0</v>
      </c>
      <c r="AC70" s="34">
        <v>0</v>
      </c>
      <c r="AD70" s="78"/>
      <c r="AE70" s="93"/>
      <c r="AF70" s="78"/>
      <c r="AG70" s="43">
        <f t="shared" si="16"/>
        <v>0</v>
      </c>
      <c r="AH70" s="44">
        <f t="shared" si="16"/>
        <v>0</v>
      </c>
      <c r="AI70" s="44">
        <f t="shared" si="16"/>
        <v>0</v>
      </c>
      <c r="AJ70" s="94">
        <f t="shared" si="16"/>
        <v>0</v>
      </c>
      <c r="AK70" s="95">
        <f t="shared" si="17"/>
        <v>0</v>
      </c>
      <c r="AL70" s="246">
        <v>1</v>
      </c>
      <c r="AM70" s="48">
        <f t="shared" si="7"/>
        <v>0</v>
      </c>
      <c r="AN70" s="48">
        <f t="shared" si="2"/>
        <v>0</v>
      </c>
      <c r="AO70" s="49">
        <f t="shared" ref="AO70:AO133" si="33">AI70*AL70</f>
        <v>0</v>
      </c>
      <c r="AP70" s="97">
        <f t="shared" si="18"/>
        <v>0</v>
      </c>
      <c r="AQ70" s="50">
        <f t="shared" si="19"/>
        <v>0</v>
      </c>
      <c r="AR70" s="98">
        <v>34.799999999999997</v>
      </c>
      <c r="AS70" s="94">
        <v>5.2000000000000028</v>
      </c>
      <c r="AT70" s="99">
        <f>AK70*AS70</f>
        <v>0</v>
      </c>
      <c r="AU70" s="100">
        <f>AK70*AL70</f>
        <v>0</v>
      </c>
      <c r="AV70" s="101">
        <v>0</v>
      </c>
      <c r="AW70" s="102"/>
      <c r="AX70" s="102"/>
      <c r="AY70" s="94"/>
      <c r="AZ70" s="95">
        <f>AT70-AU70-AW70-AX70-AY70</f>
        <v>0</v>
      </c>
    </row>
    <row r="71" spans="1:52" ht="16.5" thickBot="1" x14ac:dyDescent="0.3">
      <c r="A71" s="74"/>
      <c r="B71" s="75" t="s">
        <v>64</v>
      </c>
      <c r="C71" s="76"/>
      <c r="D71" s="26">
        <f t="shared" si="30"/>
        <v>0</v>
      </c>
      <c r="E71" s="27">
        <f t="shared" si="31"/>
        <v>0</v>
      </c>
      <c r="F71" s="29">
        <f t="shared" si="32"/>
        <v>0</v>
      </c>
      <c r="G71" s="30">
        <v>0</v>
      </c>
      <c r="H71" s="31">
        <v>0</v>
      </c>
      <c r="I71" s="32">
        <v>0</v>
      </c>
      <c r="J71" s="77"/>
      <c r="K71" s="33">
        <v>0</v>
      </c>
      <c r="L71" s="34">
        <v>0</v>
      </c>
      <c r="M71" s="34">
        <v>0</v>
      </c>
      <c r="N71" s="62"/>
      <c r="O71" s="34">
        <v>0</v>
      </c>
      <c r="P71" s="34">
        <v>0</v>
      </c>
      <c r="Q71" s="34">
        <v>0</v>
      </c>
      <c r="R71" s="62"/>
      <c r="S71" s="37">
        <v>0</v>
      </c>
      <c r="T71" s="34">
        <v>0</v>
      </c>
      <c r="U71" s="34">
        <v>0</v>
      </c>
      <c r="V71" s="62"/>
      <c r="W71" s="38">
        <v>0</v>
      </c>
      <c r="X71" s="31">
        <v>0</v>
      </c>
      <c r="Y71" s="31">
        <v>0</v>
      </c>
      <c r="Z71" s="78"/>
      <c r="AA71" s="37">
        <v>0</v>
      </c>
      <c r="AB71" s="34">
        <v>0</v>
      </c>
      <c r="AC71" s="34">
        <v>0</v>
      </c>
      <c r="AD71" s="64"/>
      <c r="AE71" s="79"/>
      <c r="AF71" s="64"/>
      <c r="AG71" s="43">
        <f t="shared" si="16"/>
        <v>0</v>
      </c>
      <c r="AH71" s="44">
        <f t="shared" si="16"/>
        <v>0</v>
      </c>
      <c r="AI71" s="44">
        <f t="shared" si="16"/>
        <v>0</v>
      </c>
      <c r="AJ71" s="45">
        <f t="shared" si="16"/>
        <v>0</v>
      </c>
      <c r="AK71" s="80">
        <f t="shared" si="17"/>
        <v>0</v>
      </c>
      <c r="AL71" s="47">
        <v>1</v>
      </c>
      <c r="AM71" s="48">
        <f t="shared" si="7"/>
        <v>0</v>
      </c>
      <c r="AN71" s="48">
        <f t="shared" si="2"/>
        <v>0</v>
      </c>
      <c r="AO71" s="49">
        <f t="shared" si="33"/>
        <v>0</v>
      </c>
      <c r="AP71" s="49">
        <f t="shared" si="18"/>
        <v>0</v>
      </c>
      <c r="AQ71" s="50">
        <f t="shared" si="19"/>
        <v>0</v>
      </c>
      <c r="AR71" s="81"/>
      <c r="AS71" s="82"/>
      <c r="AT71" s="83"/>
      <c r="AU71" s="84"/>
      <c r="AV71" s="85"/>
      <c r="AW71" s="86"/>
      <c r="AX71" s="86"/>
      <c r="AY71" s="82"/>
      <c r="AZ71" s="87"/>
    </row>
    <row r="72" spans="1:52" ht="16.5" thickBot="1" x14ac:dyDescent="0.3">
      <c r="A72" s="74"/>
      <c r="B72" s="75" t="s">
        <v>65</v>
      </c>
      <c r="C72" s="76"/>
      <c r="D72" s="26">
        <f t="shared" si="30"/>
        <v>0</v>
      </c>
      <c r="E72" s="27">
        <f t="shared" si="31"/>
        <v>0</v>
      </c>
      <c r="F72" s="29">
        <f t="shared" si="32"/>
        <v>0</v>
      </c>
      <c r="G72" s="30">
        <v>0</v>
      </c>
      <c r="H72" s="31">
        <v>0</v>
      </c>
      <c r="I72" s="32">
        <v>0</v>
      </c>
      <c r="J72" s="77"/>
      <c r="K72" s="33">
        <v>0</v>
      </c>
      <c r="L72" s="34">
        <v>0</v>
      </c>
      <c r="M72" s="34">
        <v>0</v>
      </c>
      <c r="N72" s="62"/>
      <c r="O72" s="34">
        <v>0</v>
      </c>
      <c r="P72" s="34">
        <v>0</v>
      </c>
      <c r="Q72" s="34">
        <v>0</v>
      </c>
      <c r="R72" s="62"/>
      <c r="S72" s="37">
        <v>0</v>
      </c>
      <c r="T72" s="34">
        <v>0</v>
      </c>
      <c r="U72" s="34">
        <v>0</v>
      </c>
      <c r="V72" s="62"/>
      <c r="W72" s="38">
        <v>0</v>
      </c>
      <c r="X72" s="31">
        <v>0</v>
      </c>
      <c r="Y72" s="31">
        <v>0</v>
      </c>
      <c r="Z72" s="78"/>
      <c r="AA72" s="37">
        <v>0</v>
      </c>
      <c r="AB72" s="34">
        <v>0</v>
      </c>
      <c r="AC72" s="34">
        <v>0</v>
      </c>
      <c r="AD72" s="64"/>
      <c r="AE72" s="79"/>
      <c r="AF72" s="64"/>
      <c r="AG72" s="43">
        <f t="shared" si="16"/>
        <v>0</v>
      </c>
      <c r="AH72" s="44">
        <f t="shared" si="16"/>
        <v>0</v>
      </c>
      <c r="AI72" s="44">
        <f t="shared" si="16"/>
        <v>0</v>
      </c>
      <c r="AJ72" s="45">
        <f t="shared" si="16"/>
        <v>0</v>
      </c>
      <c r="AK72" s="80">
        <f t="shared" si="17"/>
        <v>0</v>
      </c>
      <c r="AL72" s="47">
        <v>1</v>
      </c>
      <c r="AM72" s="48">
        <f t="shared" si="7"/>
        <v>0</v>
      </c>
      <c r="AN72" s="48">
        <f t="shared" si="2"/>
        <v>0</v>
      </c>
      <c r="AO72" s="49">
        <f t="shared" si="33"/>
        <v>0</v>
      </c>
      <c r="AP72" s="49">
        <f t="shared" si="18"/>
        <v>0</v>
      </c>
      <c r="AQ72" s="50">
        <f t="shared" si="19"/>
        <v>0</v>
      </c>
      <c r="AR72" s="81"/>
      <c r="AS72" s="82"/>
      <c r="AT72" s="83"/>
      <c r="AU72" s="84"/>
      <c r="AV72" s="85"/>
      <c r="AW72" s="86"/>
      <c r="AX72" s="86"/>
      <c r="AY72" s="82"/>
      <c r="AZ72" s="87"/>
    </row>
    <row r="73" spans="1:52" ht="16.5" thickBot="1" x14ac:dyDescent="0.3">
      <c r="A73" s="74"/>
      <c r="B73" s="75" t="s">
        <v>66</v>
      </c>
      <c r="C73" s="76"/>
      <c r="D73" s="26">
        <f t="shared" si="30"/>
        <v>0</v>
      </c>
      <c r="E73" s="27">
        <f t="shared" si="31"/>
        <v>0</v>
      </c>
      <c r="F73" s="29">
        <f t="shared" si="32"/>
        <v>0</v>
      </c>
      <c r="G73" s="30">
        <v>0</v>
      </c>
      <c r="H73" s="31">
        <v>0</v>
      </c>
      <c r="I73" s="32">
        <v>0</v>
      </c>
      <c r="J73" s="77"/>
      <c r="K73" s="33">
        <v>0</v>
      </c>
      <c r="L73" s="34">
        <v>0</v>
      </c>
      <c r="M73" s="34">
        <v>0</v>
      </c>
      <c r="N73" s="62"/>
      <c r="O73" s="34">
        <v>0</v>
      </c>
      <c r="P73" s="34">
        <v>0</v>
      </c>
      <c r="Q73" s="34">
        <v>0</v>
      </c>
      <c r="R73" s="62"/>
      <c r="S73" s="37">
        <v>0</v>
      </c>
      <c r="T73" s="34">
        <v>0</v>
      </c>
      <c r="U73" s="34">
        <v>0</v>
      </c>
      <c r="V73" s="62"/>
      <c r="W73" s="38">
        <v>0</v>
      </c>
      <c r="X73" s="31">
        <v>0</v>
      </c>
      <c r="Y73" s="31">
        <v>0</v>
      </c>
      <c r="Z73" s="78"/>
      <c r="AA73" s="37">
        <v>0</v>
      </c>
      <c r="AB73" s="34">
        <v>0</v>
      </c>
      <c r="AC73" s="34">
        <v>0</v>
      </c>
      <c r="AD73" s="64"/>
      <c r="AE73" s="79"/>
      <c r="AF73" s="64"/>
      <c r="AG73" s="43">
        <f t="shared" si="16"/>
        <v>0</v>
      </c>
      <c r="AH73" s="44">
        <f t="shared" si="16"/>
        <v>0</v>
      </c>
      <c r="AI73" s="44">
        <f t="shared" si="16"/>
        <v>0</v>
      </c>
      <c r="AJ73" s="45">
        <f t="shared" si="16"/>
        <v>0</v>
      </c>
      <c r="AK73" s="80">
        <f t="shared" si="17"/>
        <v>0</v>
      </c>
      <c r="AL73" s="47">
        <v>1</v>
      </c>
      <c r="AM73" s="48">
        <f t="shared" si="7"/>
        <v>0</v>
      </c>
      <c r="AN73" s="48">
        <f t="shared" si="2"/>
        <v>0</v>
      </c>
      <c r="AO73" s="49">
        <f t="shared" si="33"/>
        <v>0</v>
      </c>
      <c r="AP73" s="49">
        <f t="shared" si="18"/>
        <v>0</v>
      </c>
      <c r="AQ73" s="50">
        <f t="shared" si="19"/>
        <v>0</v>
      </c>
      <c r="AR73" s="81"/>
      <c r="AS73" s="82"/>
      <c r="AT73" s="83"/>
      <c r="AU73" s="84"/>
      <c r="AV73" s="85"/>
      <c r="AW73" s="86"/>
      <c r="AX73" s="86"/>
      <c r="AY73" s="82"/>
      <c r="AZ73" s="87"/>
    </row>
    <row r="74" spans="1:52" ht="16.5" thickBot="1" x14ac:dyDescent="0.3">
      <c r="A74" s="74">
        <v>250</v>
      </c>
      <c r="B74" s="75" t="s">
        <v>67</v>
      </c>
      <c r="C74" s="76"/>
      <c r="D74" s="26">
        <f t="shared" si="30"/>
        <v>0</v>
      </c>
      <c r="E74" s="27">
        <f t="shared" si="31"/>
        <v>0</v>
      </c>
      <c r="F74" s="29">
        <f t="shared" si="32"/>
        <v>0</v>
      </c>
      <c r="G74" s="30">
        <v>0</v>
      </c>
      <c r="H74" s="31">
        <v>0</v>
      </c>
      <c r="I74" s="32">
        <v>0</v>
      </c>
      <c r="J74" s="77"/>
      <c r="K74" s="33">
        <v>0</v>
      </c>
      <c r="L74" s="34">
        <v>0</v>
      </c>
      <c r="M74" s="34">
        <v>0</v>
      </c>
      <c r="N74" s="62"/>
      <c r="O74" s="34">
        <v>0</v>
      </c>
      <c r="P74" s="34">
        <v>0</v>
      </c>
      <c r="Q74" s="34">
        <v>0</v>
      </c>
      <c r="R74" s="62"/>
      <c r="S74" s="37">
        <v>0</v>
      </c>
      <c r="T74" s="34">
        <v>0</v>
      </c>
      <c r="U74" s="34">
        <v>0</v>
      </c>
      <c r="V74" s="62"/>
      <c r="W74" s="38">
        <v>0</v>
      </c>
      <c r="X74" s="31">
        <v>0</v>
      </c>
      <c r="Y74" s="31">
        <v>0</v>
      </c>
      <c r="Z74" s="78"/>
      <c r="AA74" s="37">
        <v>0</v>
      </c>
      <c r="AB74" s="34">
        <v>0</v>
      </c>
      <c r="AC74" s="34">
        <v>0</v>
      </c>
      <c r="AD74" s="64"/>
      <c r="AE74" s="79"/>
      <c r="AF74" s="64"/>
      <c r="AG74" s="43">
        <f t="shared" si="16"/>
        <v>0</v>
      </c>
      <c r="AH74" s="44">
        <f t="shared" si="16"/>
        <v>0</v>
      </c>
      <c r="AI74" s="44">
        <f t="shared" si="16"/>
        <v>0</v>
      </c>
      <c r="AJ74" s="45">
        <f t="shared" si="16"/>
        <v>0</v>
      </c>
      <c r="AK74" s="80">
        <f t="shared" si="17"/>
        <v>0</v>
      </c>
      <c r="AL74" s="47">
        <v>1</v>
      </c>
      <c r="AM74" s="48">
        <f t="shared" si="7"/>
        <v>0</v>
      </c>
      <c r="AN74" s="48">
        <f t="shared" si="2"/>
        <v>0</v>
      </c>
      <c r="AO74" s="49">
        <f t="shared" si="33"/>
        <v>0</v>
      </c>
      <c r="AP74" s="49">
        <f t="shared" si="18"/>
        <v>0</v>
      </c>
      <c r="AQ74" s="50">
        <f t="shared" si="19"/>
        <v>0</v>
      </c>
      <c r="AR74" s="81"/>
      <c r="AS74" s="82"/>
      <c r="AT74" s="83"/>
      <c r="AU74" s="84"/>
      <c r="AV74" s="85"/>
      <c r="AW74" s="86"/>
      <c r="AX74" s="86"/>
      <c r="AY74" s="82"/>
      <c r="AZ74" s="87"/>
    </row>
    <row r="75" spans="1:52" ht="16.5" thickBot="1" x14ac:dyDescent="0.3">
      <c r="A75" s="74">
        <v>1000</v>
      </c>
      <c r="B75" s="75" t="s">
        <v>63</v>
      </c>
      <c r="C75" s="76">
        <v>24</v>
      </c>
      <c r="D75" s="26">
        <f t="shared" si="30"/>
        <v>8</v>
      </c>
      <c r="E75" s="27">
        <f t="shared" si="31"/>
        <v>8</v>
      </c>
      <c r="F75" s="29">
        <f t="shared" si="32"/>
        <v>8</v>
      </c>
      <c r="G75" s="30">
        <v>0</v>
      </c>
      <c r="H75" s="31">
        <v>0</v>
      </c>
      <c r="I75" s="32">
        <v>0</v>
      </c>
      <c r="J75" s="77"/>
      <c r="K75" s="33">
        <v>0</v>
      </c>
      <c r="L75" s="34">
        <v>0</v>
      </c>
      <c r="M75" s="34">
        <v>0</v>
      </c>
      <c r="N75" s="62"/>
      <c r="O75" s="34">
        <v>0</v>
      </c>
      <c r="P75" s="34">
        <v>0</v>
      </c>
      <c r="Q75" s="34">
        <v>0</v>
      </c>
      <c r="R75" s="62"/>
      <c r="S75" s="37">
        <v>0</v>
      </c>
      <c r="T75" s="34">
        <v>0</v>
      </c>
      <c r="U75" s="34">
        <v>0</v>
      </c>
      <c r="V75" s="62"/>
      <c r="W75" s="38">
        <v>0</v>
      </c>
      <c r="X75" s="31">
        <v>0</v>
      </c>
      <c r="Y75" s="31">
        <v>0</v>
      </c>
      <c r="Z75" s="78"/>
      <c r="AA75" s="37">
        <v>0</v>
      </c>
      <c r="AB75" s="34">
        <v>0</v>
      </c>
      <c r="AC75" s="34">
        <v>0</v>
      </c>
      <c r="AD75" s="64"/>
      <c r="AE75" s="79"/>
      <c r="AF75" s="64"/>
      <c r="AG75" s="43">
        <f t="shared" si="16"/>
        <v>0</v>
      </c>
      <c r="AH75" s="44">
        <f t="shared" si="16"/>
        <v>0</v>
      </c>
      <c r="AI75" s="44">
        <f t="shared" si="16"/>
        <v>0</v>
      </c>
      <c r="AJ75" s="45">
        <f t="shared" si="16"/>
        <v>0</v>
      </c>
      <c r="AK75" s="80">
        <f t="shared" si="17"/>
        <v>0</v>
      </c>
      <c r="AL75" s="47">
        <v>0.75</v>
      </c>
      <c r="AM75" s="48">
        <f t="shared" ref="AM75:AM138" si="34">AG75*AL75</f>
        <v>0</v>
      </c>
      <c r="AN75" s="48">
        <f t="shared" ref="AN75:AN138" si="35">AH75*AL75</f>
        <v>0</v>
      </c>
      <c r="AO75" s="49">
        <f t="shared" si="33"/>
        <v>0</v>
      </c>
      <c r="AP75" s="49">
        <f t="shared" si="18"/>
        <v>0</v>
      </c>
      <c r="AQ75" s="50">
        <f t="shared" si="19"/>
        <v>0</v>
      </c>
      <c r="AR75" s="117">
        <v>67.84</v>
      </c>
      <c r="AS75" s="82">
        <v>2.1599999999999966</v>
      </c>
      <c r="AT75" s="83">
        <f>AK75*AS75</f>
        <v>0</v>
      </c>
      <c r="AU75" s="84">
        <f>AK75*AL75</f>
        <v>0</v>
      </c>
      <c r="AV75" s="85">
        <v>0</v>
      </c>
      <c r="AW75" s="86"/>
      <c r="AX75" s="86"/>
      <c r="AY75" s="82"/>
      <c r="AZ75" s="87">
        <f>AT75-AU75-AW75-AX75-AY75</f>
        <v>0</v>
      </c>
    </row>
    <row r="76" spans="1:52" ht="16.5" thickBot="1" x14ac:dyDescent="0.3">
      <c r="A76" s="74">
        <v>1000</v>
      </c>
      <c r="B76" s="75" t="s">
        <v>64</v>
      </c>
      <c r="C76" s="76"/>
      <c r="D76" s="26">
        <f t="shared" si="30"/>
        <v>0</v>
      </c>
      <c r="E76" s="27">
        <f t="shared" si="31"/>
        <v>0</v>
      </c>
      <c r="F76" s="29">
        <f t="shared" si="32"/>
        <v>0</v>
      </c>
      <c r="G76" s="30">
        <v>0</v>
      </c>
      <c r="H76" s="31">
        <v>0</v>
      </c>
      <c r="I76" s="32">
        <v>0</v>
      </c>
      <c r="J76" s="77"/>
      <c r="K76" s="33">
        <v>0</v>
      </c>
      <c r="L76" s="34">
        <v>0</v>
      </c>
      <c r="M76" s="34">
        <v>0</v>
      </c>
      <c r="N76" s="62"/>
      <c r="O76" s="34">
        <v>0</v>
      </c>
      <c r="P76" s="34">
        <v>0</v>
      </c>
      <c r="Q76" s="34">
        <v>0</v>
      </c>
      <c r="R76" s="62"/>
      <c r="S76" s="37">
        <v>0</v>
      </c>
      <c r="T76" s="34">
        <v>0</v>
      </c>
      <c r="U76" s="34">
        <v>0</v>
      </c>
      <c r="V76" s="62"/>
      <c r="W76" s="38">
        <v>0</v>
      </c>
      <c r="X76" s="31">
        <v>0</v>
      </c>
      <c r="Y76" s="31">
        <v>0</v>
      </c>
      <c r="Z76" s="78"/>
      <c r="AA76" s="37">
        <v>0</v>
      </c>
      <c r="AB76" s="34">
        <v>0</v>
      </c>
      <c r="AC76" s="34">
        <v>0</v>
      </c>
      <c r="AD76" s="64"/>
      <c r="AE76" s="79"/>
      <c r="AF76" s="64"/>
      <c r="AG76" s="43">
        <f t="shared" si="16"/>
        <v>0</v>
      </c>
      <c r="AH76" s="44">
        <f t="shared" si="16"/>
        <v>0</v>
      </c>
      <c r="AI76" s="44">
        <f t="shared" si="16"/>
        <v>0</v>
      </c>
      <c r="AJ76" s="45">
        <f t="shared" si="16"/>
        <v>0</v>
      </c>
      <c r="AK76" s="80">
        <f t="shared" si="17"/>
        <v>0</v>
      </c>
      <c r="AL76" s="47">
        <v>0.75</v>
      </c>
      <c r="AM76" s="48">
        <f t="shared" si="34"/>
        <v>0</v>
      </c>
      <c r="AN76" s="48">
        <f t="shared" si="35"/>
        <v>0</v>
      </c>
      <c r="AO76" s="49">
        <f t="shared" si="33"/>
        <v>0</v>
      </c>
      <c r="AP76" s="49">
        <f t="shared" si="18"/>
        <v>0</v>
      </c>
      <c r="AQ76" s="50">
        <f t="shared" si="19"/>
        <v>0</v>
      </c>
      <c r="AR76" s="117"/>
      <c r="AS76" s="82"/>
      <c r="AT76" s="83"/>
      <c r="AU76" s="84"/>
      <c r="AV76" s="85"/>
      <c r="AW76" s="86"/>
      <c r="AX76" s="86"/>
      <c r="AY76" s="82"/>
      <c r="AZ76" s="87"/>
    </row>
    <row r="77" spans="1:52" ht="16.5" thickBot="1" x14ac:dyDescent="0.3">
      <c r="A77" s="74">
        <v>1000</v>
      </c>
      <c r="B77" s="75" t="s">
        <v>65</v>
      </c>
      <c r="C77" s="76"/>
      <c r="D77" s="26">
        <f t="shared" si="30"/>
        <v>0</v>
      </c>
      <c r="E77" s="27">
        <f t="shared" si="31"/>
        <v>0</v>
      </c>
      <c r="F77" s="29">
        <f t="shared" si="32"/>
        <v>0</v>
      </c>
      <c r="G77" s="30">
        <v>0</v>
      </c>
      <c r="H77" s="31">
        <v>0</v>
      </c>
      <c r="I77" s="32">
        <v>0</v>
      </c>
      <c r="J77" s="77"/>
      <c r="K77" s="33">
        <v>0</v>
      </c>
      <c r="L77" s="34">
        <v>0</v>
      </c>
      <c r="M77" s="34">
        <v>0</v>
      </c>
      <c r="N77" s="62"/>
      <c r="O77" s="34">
        <v>0</v>
      </c>
      <c r="P77" s="34">
        <v>0</v>
      </c>
      <c r="Q77" s="34">
        <v>0</v>
      </c>
      <c r="R77" s="62"/>
      <c r="S77" s="37">
        <v>0</v>
      </c>
      <c r="T77" s="34">
        <v>0</v>
      </c>
      <c r="U77" s="34">
        <v>0</v>
      </c>
      <c r="V77" s="62"/>
      <c r="W77" s="38">
        <v>0</v>
      </c>
      <c r="X77" s="31">
        <v>0</v>
      </c>
      <c r="Y77" s="31">
        <v>0</v>
      </c>
      <c r="Z77" s="78"/>
      <c r="AA77" s="37">
        <v>0</v>
      </c>
      <c r="AB77" s="34">
        <v>0</v>
      </c>
      <c r="AC77" s="34">
        <v>0</v>
      </c>
      <c r="AD77" s="64"/>
      <c r="AE77" s="79"/>
      <c r="AF77" s="64"/>
      <c r="AG77" s="43">
        <f t="shared" si="16"/>
        <v>0</v>
      </c>
      <c r="AH77" s="44">
        <f t="shared" si="16"/>
        <v>0</v>
      </c>
      <c r="AI77" s="44">
        <f t="shared" si="16"/>
        <v>0</v>
      </c>
      <c r="AJ77" s="45">
        <f t="shared" si="16"/>
        <v>0</v>
      </c>
      <c r="AK77" s="80">
        <f t="shared" si="17"/>
        <v>0</v>
      </c>
      <c r="AL77" s="47">
        <v>0.75</v>
      </c>
      <c r="AM77" s="48">
        <f t="shared" si="34"/>
        <v>0</v>
      </c>
      <c r="AN77" s="48">
        <f t="shared" si="35"/>
        <v>0</v>
      </c>
      <c r="AO77" s="49">
        <f t="shared" si="33"/>
        <v>0</v>
      </c>
      <c r="AP77" s="49">
        <f t="shared" si="18"/>
        <v>0</v>
      </c>
      <c r="AQ77" s="50">
        <f t="shared" si="19"/>
        <v>0</v>
      </c>
      <c r="AR77" s="117"/>
      <c r="AS77" s="82"/>
      <c r="AT77" s="83"/>
      <c r="AU77" s="84"/>
      <c r="AV77" s="85"/>
      <c r="AW77" s="86"/>
      <c r="AX77" s="86"/>
      <c r="AY77" s="82"/>
      <c r="AZ77" s="87"/>
    </row>
    <row r="78" spans="1:52" ht="16.5" thickBot="1" x14ac:dyDescent="0.3">
      <c r="A78" s="74">
        <v>1000</v>
      </c>
      <c r="B78" s="75" t="s">
        <v>66</v>
      </c>
      <c r="C78" s="76"/>
      <c r="D78" s="26">
        <f t="shared" si="30"/>
        <v>0</v>
      </c>
      <c r="E78" s="27">
        <f t="shared" si="31"/>
        <v>0</v>
      </c>
      <c r="F78" s="29">
        <f t="shared" si="32"/>
        <v>0</v>
      </c>
      <c r="G78" s="30">
        <v>0</v>
      </c>
      <c r="H78" s="31">
        <v>0</v>
      </c>
      <c r="I78" s="32">
        <v>0</v>
      </c>
      <c r="J78" s="77"/>
      <c r="K78" s="33">
        <v>0</v>
      </c>
      <c r="L78" s="34">
        <v>0</v>
      </c>
      <c r="M78" s="34">
        <v>0</v>
      </c>
      <c r="N78" s="62"/>
      <c r="O78" s="34">
        <v>0</v>
      </c>
      <c r="P78" s="34">
        <v>0</v>
      </c>
      <c r="Q78" s="34">
        <v>0</v>
      </c>
      <c r="R78" s="62"/>
      <c r="S78" s="37">
        <v>0</v>
      </c>
      <c r="T78" s="34">
        <v>0</v>
      </c>
      <c r="U78" s="34">
        <v>0</v>
      </c>
      <c r="V78" s="62"/>
      <c r="W78" s="38">
        <v>0</v>
      </c>
      <c r="X78" s="31">
        <v>0</v>
      </c>
      <c r="Y78" s="31">
        <v>0</v>
      </c>
      <c r="Z78" s="78"/>
      <c r="AA78" s="37">
        <v>0</v>
      </c>
      <c r="AB78" s="34">
        <v>0</v>
      </c>
      <c r="AC78" s="34">
        <v>0</v>
      </c>
      <c r="AD78" s="64"/>
      <c r="AE78" s="79"/>
      <c r="AF78" s="64"/>
      <c r="AG78" s="43">
        <f t="shared" si="16"/>
        <v>0</v>
      </c>
      <c r="AH78" s="44">
        <f t="shared" si="16"/>
        <v>0</v>
      </c>
      <c r="AI78" s="44">
        <f t="shared" si="16"/>
        <v>0</v>
      </c>
      <c r="AJ78" s="45">
        <f t="shared" si="16"/>
        <v>0</v>
      </c>
      <c r="AK78" s="80">
        <f t="shared" si="17"/>
        <v>0</v>
      </c>
      <c r="AL78" s="47">
        <v>0.75</v>
      </c>
      <c r="AM78" s="48">
        <f t="shared" si="34"/>
        <v>0</v>
      </c>
      <c r="AN78" s="48">
        <f t="shared" si="35"/>
        <v>0</v>
      </c>
      <c r="AO78" s="49">
        <f t="shared" si="33"/>
        <v>0</v>
      </c>
      <c r="AP78" s="49">
        <f t="shared" si="18"/>
        <v>0</v>
      </c>
      <c r="AQ78" s="50">
        <f t="shared" si="19"/>
        <v>0</v>
      </c>
      <c r="AR78" s="117"/>
      <c r="AS78" s="82"/>
      <c r="AT78" s="83"/>
      <c r="AU78" s="84"/>
      <c r="AV78" s="85"/>
      <c r="AW78" s="86"/>
      <c r="AX78" s="86"/>
      <c r="AY78" s="82"/>
      <c r="AZ78" s="87"/>
    </row>
    <row r="79" spans="1:52" ht="16.5" thickBot="1" x14ac:dyDescent="0.3">
      <c r="A79" s="74">
        <v>1000</v>
      </c>
      <c r="B79" s="75" t="s">
        <v>67</v>
      </c>
      <c r="C79" s="76"/>
      <c r="D79" s="26">
        <f t="shared" si="30"/>
        <v>0</v>
      </c>
      <c r="E79" s="27">
        <f t="shared" si="31"/>
        <v>0</v>
      </c>
      <c r="F79" s="29">
        <f t="shared" si="32"/>
        <v>0</v>
      </c>
      <c r="G79" s="30">
        <v>0</v>
      </c>
      <c r="H79" s="31">
        <v>0</v>
      </c>
      <c r="I79" s="32">
        <v>0</v>
      </c>
      <c r="J79" s="77"/>
      <c r="K79" s="33">
        <v>0</v>
      </c>
      <c r="L79" s="34">
        <v>0</v>
      </c>
      <c r="M79" s="34">
        <v>0</v>
      </c>
      <c r="N79" s="62"/>
      <c r="O79" s="34">
        <v>0</v>
      </c>
      <c r="P79" s="34">
        <v>0</v>
      </c>
      <c r="Q79" s="34">
        <v>0</v>
      </c>
      <c r="R79" s="62"/>
      <c r="S79" s="37">
        <v>0</v>
      </c>
      <c r="T79" s="34">
        <v>0</v>
      </c>
      <c r="U79" s="34">
        <v>0</v>
      </c>
      <c r="V79" s="62"/>
      <c r="W79" s="38">
        <v>0</v>
      </c>
      <c r="X79" s="31">
        <v>0</v>
      </c>
      <c r="Y79" s="31">
        <v>0</v>
      </c>
      <c r="Z79" s="78"/>
      <c r="AA79" s="37">
        <v>0</v>
      </c>
      <c r="AB79" s="34">
        <v>0</v>
      </c>
      <c r="AC79" s="34">
        <v>0</v>
      </c>
      <c r="AD79" s="64"/>
      <c r="AE79" s="79"/>
      <c r="AF79" s="64"/>
      <c r="AG79" s="43">
        <f t="shared" si="16"/>
        <v>0</v>
      </c>
      <c r="AH79" s="44">
        <f t="shared" si="16"/>
        <v>0</v>
      </c>
      <c r="AI79" s="44">
        <f t="shared" si="16"/>
        <v>0</v>
      </c>
      <c r="AJ79" s="45">
        <f t="shared" si="16"/>
        <v>0</v>
      </c>
      <c r="AK79" s="80">
        <f t="shared" si="17"/>
        <v>0</v>
      </c>
      <c r="AL79" s="47">
        <v>0.75</v>
      </c>
      <c r="AM79" s="48">
        <f t="shared" si="34"/>
        <v>0</v>
      </c>
      <c r="AN79" s="48">
        <f t="shared" si="35"/>
        <v>0</v>
      </c>
      <c r="AO79" s="49">
        <f t="shared" si="33"/>
        <v>0</v>
      </c>
      <c r="AP79" s="49">
        <f t="shared" si="18"/>
        <v>0</v>
      </c>
      <c r="AQ79" s="50">
        <f t="shared" si="19"/>
        <v>0</v>
      </c>
      <c r="AR79" s="117"/>
      <c r="AS79" s="82"/>
      <c r="AT79" s="83"/>
      <c r="AU79" s="84"/>
      <c r="AV79" s="85"/>
      <c r="AW79" s="86"/>
      <c r="AX79" s="86"/>
      <c r="AY79" s="82"/>
      <c r="AZ79" s="87"/>
    </row>
    <row r="80" spans="1:52" ht="16.5" thickBot="1" x14ac:dyDescent="0.3">
      <c r="A80" s="74">
        <v>145</v>
      </c>
      <c r="B80" s="75" t="s">
        <v>72</v>
      </c>
      <c r="C80" s="76">
        <v>684</v>
      </c>
      <c r="D80" s="26">
        <f t="shared" si="30"/>
        <v>228</v>
      </c>
      <c r="E80" s="27">
        <f t="shared" si="31"/>
        <v>228</v>
      </c>
      <c r="F80" s="29">
        <f t="shared" si="32"/>
        <v>228</v>
      </c>
      <c r="G80" s="30">
        <v>0</v>
      </c>
      <c r="H80" s="31">
        <v>0</v>
      </c>
      <c r="I80" s="32">
        <v>0</v>
      </c>
      <c r="J80" s="77"/>
      <c r="K80" s="33">
        <v>0</v>
      </c>
      <c r="L80" s="34">
        <v>0</v>
      </c>
      <c r="M80" s="34">
        <v>0</v>
      </c>
      <c r="N80" s="62"/>
      <c r="O80" s="34">
        <v>0</v>
      </c>
      <c r="P80" s="34">
        <v>0</v>
      </c>
      <c r="Q80" s="34">
        <v>0</v>
      </c>
      <c r="R80" s="62"/>
      <c r="S80" s="37">
        <v>0</v>
      </c>
      <c r="T80" s="34">
        <v>0</v>
      </c>
      <c r="U80" s="34">
        <v>0</v>
      </c>
      <c r="V80" s="62"/>
      <c r="W80" s="38">
        <v>0</v>
      </c>
      <c r="X80" s="31">
        <v>0</v>
      </c>
      <c r="Y80" s="31">
        <v>0</v>
      </c>
      <c r="Z80" s="78"/>
      <c r="AA80" s="37">
        <v>0</v>
      </c>
      <c r="AB80" s="34">
        <v>0</v>
      </c>
      <c r="AC80" s="34">
        <v>0</v>
      </c>
      <c r="AD80" s="64"/>
      <c r="AE80" s="79"/>
      <c r="AF80" s="64"/>
      <c r="AG80" s="43">
        <f t="shared" si="16"/>
        <v>0</v>
      </c>
      <c r="AH80" s="44">
        <f t="shared" si="16"/>
        <v>0</v>
      </c>
      <c r="AI80" s="44">
        <f t="shared" si="16"/>
        <v>0</v>
      </c>
      <c r="AJ80" s="45">
        <f t="shared" si="16"/>
        <v>0</v>
      </c>
      <c r="AK80" s="80">
        <f t="shared" si="17"/>
        <v>0</v>
      </c>
      <c r="AL80" s="47">
        <v>0.75</v>
      </c>
      <c r="AM80" s="48">
        <f t="shared" si="34"/>
        <v>0</v>
      </c>
      <c r="AN80" s="48">
        <f t="shared" si="35"/>
        <v>0</v>
      </c>
      <c r="AO80" s="49">
        <f t="shared" si="33"/>
        <v>0</v>
      </c>
      <c r="AP80" s="49">
        <f t="shared" si="18"/>
        <v>0</v>
      </c>
      <c r="AQ80" s="50">
        <f t="shared" si="19"/>
        <v>0</v>
      </c>
      <c r="AR80" s="81">
        <v>17.920000000000002</v>
      </c>
      <c r="AS80" s="82">
        <v>2.5799999999999983</v>
      </c>
      <c r="AT80" s="83">
        <f>AK80*AS80</f>
        <v>0</v>
      </c>
      <c r="AU80" s="84">
        <f>AK80*AL80</f>
        <v>0</v>
      </c>
      <c r="AV80" s="85">
        <v>0</v>
      </c>
      <c r="AW80" s="86"/>
      <c r="AX80" s="86"/>
      <c r="AY80" s="82"/>
      <c r="AZ80" s="87">
        <f>AT80-AU80-AW80-AX80-AY80</f>
        <v>0</v>
      </c>
    </row>
    <row r="81" spans="1:52" ht="16.5" thickBot="1" x14ac:dyDescent="0.3">
      <c r="A81" s="74"/>
      <c r="B81" s="75" t="s">
        <v>73</v>
      </c>
      <c r="C81" s="76"/>
      <c r="D81" s="26">
        <f t="shared" si="30"/>
        <v>0</v>
      </c>
      <c r="E81" s="27">
        <f t="shared" si="31"/>
        <v>0</v>
      </c>
      <c r="F81" s="29">
        <f t="shared" si="32"/>
        <v>0</v>
      </c>
      <c r="G81" s="30">
        <v>0</v>
      </c>
      <c r="H81" s="31">
        <v>0</v>
      </c>
      <c r="I81" s="32">
        <v>0</v>
      </c>
      <c r="J81" s="77"/>
      <c r="K81" s="33">
        <v>0</v>
      </c>
      <c r="L81" s="34">
        <v>0</v>
      </c>
      <c r="M81" s="34">
        <v>0</v>
      </c>
      <c r="N81" s="62"/>
      <c r="O81" s="34">
        <v>0</v>
      </c>
      <c r="P81" s="34">
        <v>0</v>
      </c>
      <c r="Q81" s="34">
        <v>0</v>
      </c>
      <c r="R81" s="62"/>
      <c r="S81" s="37">
        <v>0</v>
      </c>
      <c r="T81" s="34">
        <v>0</v>
      </c>
      <c r="U81" s="34">
        <v>0</v>
      </c>
      <c r="V81" s="62"/>
      <c r="W81" s="38">
        <v>0</v>
      </c>
      <c r="X81" s="31">
        <v>0</v>
      </c>
      <c r="Y81" s="31">
        <v>0</v>
      </c>
      <c r="Z81" s="78"/>
      <c r="AA81" s="37">
        <v>0</v>
      </c>
      <c r="AB81" s="34">
        <v>0</v>
      </c>
      <c r="AC81" s="34">
        <v>0</v>
      </c>
      <c r="AD81" s="64"/>
      <c r="AE81" s="79"/>
      <c r="AF81" s="64"/>
      <c r="AG81" s="43">
        <f t="shared" si="16"/>
        <v>0</v>
      </c>
      <c r="AH81" s="44">
        <f t="shared" si="16"/>
        <v>0</v>
      </c>
      <c r="AI81" s="44">
        <f t="shared" si="16"/>
        <v>0</v>
      </c>
      <c r="AJ81" s="45">
        <f t="shared" si="16"/>
        <v>0</v>
      </c>
      <c r="AK81" s="80">
        <f t="shared" si="17"/>
        <v>0</v>
      </c>
      <c r="AL81" s="47">
        <v>0.75</v>
      </c>
      <c r="AM81" s="48">
        <f t="shared" si="34"/>
        <v>0</v>
      </c>
      <c r="AN81" s="48">
        <f t="shared" si="35"/>
        <v>0</v>
      </c>
      <c r="AO81" s="49">
        <f t="shared" si="33"/>
        <v>0</v>
      </c>
      <c r="AP81" s="49">
        <f t="shared" si="18"/>
        <v>0</v>
      </c>
      <c r="AQ81" s="50">
        <f t="shared" si="19"/>
        <v>0</v>
      </c>
      <c r="AR81" s="81"/>
      <c r="AS81" s="82"/>
      <c r="AT81" s="83"/>
      <c r="AU81" s="84"/>
      <c r="AV81" s="85"/>
      <c r="AW81" s="86"/>
      <c r="AX81" s="86"/>
      <c r="AY81" s="82"/>
      <c r="AZ81" s="87"/>
    </row>
    <row r="82" spans="1:52" ht="16.5" thickBot="1" x14ac:dyDescent="0.3">
      <c r="A82" s="74"/>
      <c r="B82" s="75" t="s">
        <v>74</v>
      </c>
      <c r="C82" s="76"/>
      <c r="D82" s="26">
        <f t="shared" si="30"/>
        <v>0</v>
      </c>
      <c r="E82" s="27">
        <f t="shared" si="31"/>
        <v>0</v>
      </c>
      <c r="F82" s="29">
        <f t="shared" si="32"/>
        <v>0</v>
      </c>
      <c r="G82" s="30">
        <v>0</v>
      </c>
      <c r="H82" s="31">
        <v>0</v>
      </c>
      <c r="I82" s="32">
        <v>0</v>
      </c>
      <c r="J82" s="77"/>
      <c r="K82" s="33">
        <v>0</v>
      </c>
      <c r="L82" s="34">
        <v>0</v>
      </c>
      <c r="M82" s="34">
        <v>0</v>
      </c>
      <c r="N82" s="62"/>
      <c r="O82" s="34">
        <v>0</v>
      </c>
      <c r="P82" s="34">
        <v>0</v>
      </c>
      <c r="Q82" s="34">
        <v>0</v>
      </c>
      <c r="R82" s="62"/>
      <c r="S82" s="37">
        <v>0</v>
      </c>
      <c r="T82" s="34">
        <v>0</v>
      </c>
      <c r="U82" s="34">
        <v>0</v>
      </c>
      <c r="V82" s="62"/>
      <c r="W82" s="38">
        <v>0</v>
      </c>
      <c r="X82" s="31">
        <v>0</v>
      </c>
      <c r="Y82" s="31">
        <v>0</v>
      </c>
      <c r="Z82" s="78"/>
      <c r="AA82" s="37">
        <v>0</v>
      </c>
      <c r="AB82" s="34">
        <v>0</v>
      </c>
      <c r="AC82" s="34">
        <v>0</v>
      </c>
      <c r="AD82" s="64"/>
      <c r="AE82" s="79"/>
      <c r="AF82" s="64"/>
      <c r="AG82" s="43">
        <f t="shared" si="16"/>
        <v>0</v>
      </c>
      <c r="AH82" s="44">
        <f t="shared" si="16"/>
        <v>0</v>
      </c>
      <c r="AI82" s="44">
        <f t="shared" si="16"/>
        <v>0</v>
      </c>
      <c r="AJ82" s="45">
        <f t="shared" si="16"/>
        <v>0</v>
      </c>
      <c r="AK82" s="80">
        <f t="shared" si="17"/>
        <v>0</v>
      </c>
      <c r="AL82" s="47">
        <v>0.75</v>
      </c>
      <c r="AM82" s="48">
        <f t="shared" si="34"/>
        <v>0</v>
      </c>
      <c r="AN82" s="48">
        <f t="shared" si="35"/>
        <v>0</v>
      </c>
      <c r="AO82" s="49">
        <f t="shared" si="33"/>
        <v>0</v>
      </c>
      <c r="AP82" s="49">
        <f t="shared" si="18"/>
        <v>0</v>
      </c>
      <c r="AQ82" s="50">
        <f t="shared" si="19"/>
        <v>0</v>
      </c>
      <c r="AR82" s="81"/>
      <c r="AS82" s="82"/>
      <c r="AT82" s="83"/>
      <c r="AU82" s="84"/>
      <c r="AV82" s="85"/>
      <c r="AW82" s="86"/>
      <c r="AX82" s="86"/>
      <c r="AY82" s="82"/>
      <c r="AZ82" s="87"/>
    </row>
    <row r="83" spans="1:52" ht="16.5" thickBot="1" x14ac:dyDescent="0.3">
      <c r="A83" s="74">
        <v>360</v>
      </c>
      <c r="B83" s="118" t="s">
        <v>75</v>
      </c>
      <c r="C83" s="76"/>
      <c r="D83" s="26">
        <f t="shared" si="30"/>
        <v>0</v>
      </c>
      <c r="E83" s="27">
        <f t="shared" si="31"/>
        <v>0</v>
      </c>
      <c r="F83" s="29">
        <f t="shared" si="32"/>
        <v>0</v>
      </c>
      <c r="G83" s="30">
        <v>0</v>
      </c>
      <c r="H83" s="31">
        <v>0</v>
      </c>
      <c r="I83" s="32">
        <v>0</v>
      </c>
      <c r="J83" s="77"/>
      <c r="K83" s="33">
        <v>0</v>
      </c>
      <c r="L83" s="34">
        <v>0</v>
      </c>
      <c r="M83" s="34">
        <v>0</v>
      </c>
      <c r="N83" s="62"/>
      <c r="O83" s="34">
        <v>0</v>
      </c>
      <c r="P83" s="34">
        <v>0</v>
      </c>
      <c r="Q83" s="34">
        <v>0</v>
      </c>
      <c r="R83" s="62"/>
      <c r="S83" s="37">
        <v>0</v>
      </c>
      <c r="T83" s="34">
        <v>0</v>
      </c>
      <c r="U83" s="34">
        <v>0</v>
      </c>
      <c r="V83" s="62"/>
      <c r="W83" s="38">
        <v>0</v>
      </c>
      <c r="X83" s="31">
        <v>0</v>
      </c>
      <c r="Y83" s="31">
        <v>0</v>
      </c>
      <c r="Z83" s="78"/>
      <c r="AA83" s="37">
        <v>0</v>
      </c>
      <c r="AB83" s="34">
        <v>0</v>
      </c>
      <c r="AC83" s="34">
        <v>0</v>
      </c>
      <c r="AD83" s="64"/>
      <c r="AE83" s="79"/>
      <c r="AF83" s="64"/>
      <c r="AG83" s="43">
        <f t="shared" si="16"/>
        <v>0</v>
      </c>
      <c r="AH83" s="44">
        <f t="shared" si="16"/>
        <v>0</v>
      </c>
      <c r="AI83" s="44">
        <f t="shared" si="16"/>
        <v>0</v>
      </c>
      <c r="AJ83" s="45">
        <f t="shared" si="16"/>
        <v>0</v>
      </c>
      <c r="AK83" s="80">
        <f t="shared" si="17"/>
        <v>0</v>
      </c>
      <c r="AL83" s="47">
        <v>0.44</v>
      </c>
      <c r="AM83" s="48">
        <f t="shared" si="34"/>
        <v>0</v>
      </c>
      <c r="AN83" s="48">
        <f t="shared" si="35"/>
        <v>0</v>
      </c>
      <c r="AO83" s="49">
        <f t="shared" si="33"/>
        <v>0</v>
      </c>
      <c r="AP83" s="49">
        <f t="shared" si="18"/>
        <v>0</v>
      </c>
      <c r="AQ83" s="50">
        <f t="shared" si="19"/>
        <v>0</v>
      </c>
      <c r="AR83" s="81">
        <v>11.75</v>
      </c>
      <c r="AS83" s="82">
        <v>1.25</v>
      </c>
      <c r="AT83" s="83">
        <f>AK83*AS83</f>
        <v>0</v>
      </c>
      <c r="AU83" s="84">
        <f>AK83*AL83</f>
        <v>0</v>
      </c>
      <c r="AV83" s="85">
        <v>0</v>
      </c>
      <c r="AW83" s="86"/>
      <c r="AX83" s="86"/>
      <c r="AY83" s="82"/>
      <c r="AZ83" s="87">
        <f>AT83-AU83-AW83-AX83-AY83</f>
        <v>0</v>
      </c>
    </row>
    <row r="84" spans="1:52" ht="16.5" thickBot="1" x14ac:dyDescent="0.3">
      <c r="A84" s="74"/>
      <c r="B84" s="118" t="s">
        <v>76</v>
      </c>
      <c r="C84" s="76"/>
      <c r="D84" s="26">
        <f t="shared" si="30"/>
        <v>0</v>
      </c>
      <c r="E84" s="27">
        <f t="shared" si="31"/>
        <v>0</v>
      </c>
      <c r="F84" s="29">
        <f t="shared" si="32"/>
        <v>0</v>
      </c>
      <c r="G84" s="30">
        <v>0</v>
      </c>
      <c r="H84" s="31">
        <v>0</v>
      </c>
      <c r="I84" s="32">
        <v>0</v>
      </c>
      <c r="J84" s="77"/>
      <c r="K84" s="33">
        <v>0</v>
      </c>
      <c r="L84" s="34">
        <v>0</v>
      </c>
      <c r="M84" s="34">
        <v>0</v>
      </c>
      <c r="N84" s="62"/>
      <c r="O84" s="34">
        <v>0</v>
      </c>
      <c r="P84" s="34">
        <v>0</v>
      </c>
      <c r="Q84" s="34">
        <v>0</v>
      </c>
      <c r="R84" s="62"/>
      <c r="S84" s="37">
        <v>0</v>
      </c>
      <c r="T84" s="34">
        <v>0</v>
      </c>
      <c r="U84" s="34">
        <v>0</v>
      </c>
      <c r="V84" s="62"/>
      <c r="W84" s="38">
        <v>0</v>
      </c>
      <c r="X84" s="31">
        <v>0</v>
      </c>
      <c r="Y84" s="31">
        <v>0</v>
      </c>
      <c r="Z84" s="78"/>
      <c r="AA84" s="37">
        <v>0</v>
      </c>
      <c r="AB84" s="34">
        <v>0</v>
      </c>
      <c r="AC84" s="34">
        <v>0</v>
      </c>
      <c r="AD84" s="64"/>
      <c r="AE84" s="79"/>
      <c r="AF84" s="64"/>
      <c r="AG84" s="43">
        <f t="shared" si="16"/>
        <v>0</v>
      </c>
      <c r="AH84" s="44">
        <f t="shared" si="16"/>
        <v>0</v>
      </c>
      <c r="AI84" s="44">
        <f t="shared" si="16"/>
        <v>0</v>
      </c>
      <c r="AJ84" s="45">
        <f t="shared" si="16"/>
        <v>0</v>
      </c>
      <c r="AK84" s="80">
        <f t="shared" si="17"/>
        <v>0</v>
      </c>
      <c r="AL84" s="47">
        <v>0.44</v>
      </c>
      <c r="AM84" s="48">
        <f t="shared" si="34"/>
        <v>0</v>
      </c>
      <c r="AN84" s="48">
        <f t="shared" si="35"/>
        <v>0</v>
      </c>
      <c r="AO84" s="49">
        <f t="shared" si="33"/>
        <v>0</v>
      </c>
      <c r="AP84" s="49">
        <f t="shared" si="18"/>
        <v>0</v>
      </c>
      <c r="AQ84" s="50">
        <f t="shared" si="19"/>
        <v>0</v>
      </c>
      <c r="AR84" s="81"/>
      <c r="AS84" s="82"/>
      <c r="AT84" s="83"/>
      <c r="AU84" s="84"/>
      <c r="AV84" s="85"/>
      <c r="AW84" s="86"/>
      <c r="AX84" s="86"/>
      <c r="AY84" s="82"/>
      <c r="AZ84" s="87"/>
    </row>
    <row r="85" spans="1:52" ht="16.5" thickBot="1" x14ac:dyDescent="0.3">
      <c r="A85" s="74"/>
      <c r="B85" s="118" t="s">
        <v>77</v>
      </c>
      <c r="C85" s="76"/>
      <c r="D85" s="26">
        <f t="shared" si="30"/>
        <v>0</v>
      </c>
      <c r="E85" s="27">
        <f t="shared" si="31"/>
        <v>0</v>
      </c>
      <c r="F85" s="29">
        <f t="shared" si="32"/>
        <v>0</v>
      </c>
      <c r="G85" s="30">
        <v>0</v>
      </c>
      <c r="H85" s="31">
        <v>0</v>
      </c>
      <c r="I85" s="32">
        <v>0</v>
      </c>
      <c r="J85" s="77"/>
      <c r="K85" s="33">
        <v>0</v>
      </c>
      <c r="L85" s="34">
        <v>0</v>
      </c>
      <c r="M85" s="34">
        <v>0</v>
      </c>
      <c r="N85" s="62"/>
      <c r="O85" s="34">
        <v>0</v>
      </c>
      <c r="P85" s="34">
        <v>0</v>
      </c>
      <c r="Q85" s="34">
        <v>0</v>
      </c>
      <c r="R85" s="62"/>
      <c r="S85" s="37">
        <v>0</v>
      </c>
      <c r="T85" s="34">
        <v>0</v>
      </c>
      <c r="U85" s="34">
        <v>0</v>
      </c>
      <c r="V85" s="62"/>
      <c r="W85" s="38">
        <v>0</v>
      </c>
      <c r="X85" s="31">
        <v>0</v>
      </c>
      <c r="Y85" s="31">
        <v>0</v>
      </c>
      <c r="Z85" s="78"/>
      <c r="AA85" s="37">
        <v>0</v>
      </c>
      <c r="AB85" s="34">
        <v>0</v>
      </c>
      <c r="AC85" s="34">
        <v>0</v>
      </c>
      <c r="AD85" s="64"/>
      <c r="AE85" s="79"/>
      <c r="AF85" s="64"/>
      <c r="AG85" s="43">
        <f t="shared" si="16"/>
        <v>0</v>
      </c>
      <c r="AH85" s="44">
        <f t="shared" si="16"/>
        <v>0</v>
      </c>
      <c r="AI85" s="44">
        <f t="shared" si="16"/>
        <v>0</v>
      </c>
      <c r="AJ85" s="45">
        <f t="shared" si="16"/>
        <v>0</v>
      </c>
      <c r="AK85" s="80">
        <f t="shared" si="17"/>
        <v>0</v>
      </c>
      <c r="AL85" s="47">
        <v>0.44</v>
      </c>
      <c r="AM85" s="48">
        <f t="shared" si="34"/>
        <v>0</v>
      </c>
      <c r="AN85" s="48">
        <f t="shared" si="35"/>
        <v>0</v>
      </c>
      <c r="AO85" s="49">
        <f t="shared" si="33"/>
        <v>0</v>
      </c>
      <c r="AP85" s="49">
        <f t="shared" si="18"/>
        <v>0</v>
      </c>
      <c r="AQ85" s="50">
        <f t="shared" si="19"/>
        <v>0</v>
      </c>
      <c r="AR85" s="81"/>
      <c r="AS85" s="82"/>
      <c r="AT85" s="83"/>
      <c r="AU85" s="84"/>
      <c r="AV85" s="85"/>
      <c r="AW85" s="86"/>
      <c r="AX85" s="86"/>
      <c r="AY85" s="82"/>
      <c r="AZ85" s="87"/>
    </row>
    <row r="86" spans="1:52" ht="16.5" thickBot="1" x14ac:dyDescent="0.3">
      <c r="A86" s="74"/>
      <c r="B86" s="75" t="s">
        <v>78</v>
      </c>
      <c r="C86" s="76"/>
      <c r="D86" s="26">
        <f t="shared" si="30"/>
        <v>0</v>
      </c>
      <c r="E86" s="27">
        <f t="shared" si="31"/>
        <v>0</v>
      </c>
      <c r="F86" s="29">
        <f t="shared" si="32"/>
        <v>0</v>
      </c>
      <c r="G86" s="30">
        <v>0</v>
      </c>
      <c r="H86" s="31">
        <v>0</v>
      </c>
      <c r="I86" s="32">
        <v>0</v>
      </c>
      <c r="J86" s="77"/>
      <c r="K86" s="33">
        <v>0</v>
      </c>
      <c r="L86" s="34">
        <v>0</v>
      </c>
      <c r="M86" s="34">
        <v>0</v>
      </c>
      <c r="N86" s="62"/>
      <c r="O86" s="34">
        <v>0</v>
      </c>
      <c r="P86" s="34">
        <v>0</v>
      </c>
      <c r="Q86" s="34">
        <v>0</v>
      </c>
      <c r="R86" s="62"/>
      <c r="S86" s="37">
        <v>0</v>
      </c>
      <c r="T86" s="34">
        <v>0</v>
      </c>
      <c r="U86" s="34">
        <v>0</v>
      </c>
      <c r="V86" s="62"/>
      <c r="W86" s="38">
        <v>0</v>
      </c>
      <c r="X86" s="31">
        <v>0</v>
      </c>
      <c r="Y86" s="31">
        <v>0</v>
      </c>
      <c r="Z86" s="78"/>
      <c r="AA86" s="37">
        <v>0</v>
      </c>
      <c r="AB86" s="34">
        <v>0</v>
      </c>
      <c r="AC86" s="34">
        <v>0</v>
      </c>
      <c r="AD86" s="64"/>
      <c r="AE86" s="79"/>
      <c r="AF86" s="64"/>
      <c r="AG86" s="43">
        <f t="shared" si="16"/>
        <v>0</v>
      </c>
      <c r="AH86" s="44">
        <f t="shared" si="16"/>
        <v>0</v>
      </c>
      <c r="AI86" s="44">
        <f t="shared" si="16"/>
        <v>0</v>
      </c>
      <c r="AJ86" s="45">
        <f t="shared" si="16"/>
        <v>0</v>
      </c>
      <c r="AK86" s="80">
        <f t="shared" si="17"/>
        <v>0</v>
      </c>
      <c r="AL86" s="47">
        <v>0.44</v>
      </c>
      <c r="AM86" s="48">
        <f t="shared" si="34"/>
        <v>0</v>
      </c>
      <c r="AN86" s="48">
        <f t="shared" si="35"/>
        <v>0</v>
      </c>
      <c r="AO86" s="49">
        <f t="shared" si="33"/>
        <v>0</v>
      </c>
      <c r="AP86" s="49">
        <f t="shared" si="18"/>
        <v>0</v>
      </c>
      <c r="AQ86" s="50">
        <f t="shared" si="19"/>
        <v>0</v>
      </c>
      <c r="AR86" s="81"/>
      <c r="AS86" s="82"/>
      <c r="AT86" s="83"/>
      <c r="AU86" s="84"/>
      <c r="AV86" s="85"/>
      <c r="AW86" s="86"/>
      <c r="AX86" s="86"/>
      <c r="AY86" s="82"/>
      <c r="AZ86" s="87"/>
    </row>
    <row r="87" spans="1:52" ht="16.5" thickBot="1" x14ac:dyDescent="0.3">
      <c r="A87" s="74"/>
      <c r="B87" s="75" t="s">
        <v>79</v>
      </c>
      <c r="C87" s="76"/>
      <c r="D87" s="26">
        <f t="shared" si="30"/>
        <v>0</v>
      </c>
      <c r="E87" s="27">
        <f t="shared" si="31"/>
        <v>0</v>
      </c>
      <c r="F87" s="29">
        <f t="shared" si="32"/>
        <v>0</v>
      </c>
      <c r="G87" s="30">
        <v>0</v>
      </c>
      <c r="H87" s="31">
        <v>0</v>
      </c>
      <c r="I87" s="32">
        <v>0</v>
      </c>
      <c r="J87" s="77"/>
      <c r="K87" s="33">
        <v>0</v>
      </c>
      <c r="L87" s="34">
        <v>0</v>
      </c>
      <c r="M87" s="34">
        <v>0</v>
      </c>
      <c r="N87" s="62"/>
      <c r="O87" s="34">
        <v>0</v>
      </c>
      <c r="P87" s="34">
        <v>0</v>
      </c>
      <c r="Q87" s="34">
        <v>0</v>
      </c>
      <c r="R87" s="62"/>
      <c r="S87" s="37">
        <v>0</v>
      </c>
      <c r="T87" s="34">
        <v>0</v>
      </c>
      <c r="U87" s="34">
        <v>0</v>
      </c>
      <c r="V87" s="62"/>
      <c r="W87" s="38">
        <v>0</v>
      </c>
      <c r="X87" s="31">
        <v>0</v>
      </c>
      <c r="Y87" s="31">
        <v>0</v>
      </c>
      <c r="Z87" s="78"/>
      <c r="AA87" s="37">
        <v>0</v>
      </c>
      <c r="AB87" s="34">
        <v>0</v>
      </c>
      <c r="AC87" s="34">
        <v>0</v>
      </c>
      <c r="AD87" s="64"/>
      <c r="AE87" s="79"/>
      <c r="AF87" s="64"/>
      <c r="AG87" s="43">
        <f t="shared" si="16"/>
        <v>0</v>
      </c>
      <c r="AH87" s="44">
        <f t="shared" si="16"/>
        <v>0</v>
      </c>
      <c r="AI87" s="44">
        <f t="shared" si="16"/>
        <v>0</v>
      </c>
      <c r="AJ87" s="45">
        <f t="shared" si="16"/>
        <v>0</v>
      </c>
      <c r="AK87" s="80">
        <f t="shared" si="17"/>
        <v>0</v>
      </c>
      <c r="AL87" s="47">
        <v>0.44</v>
      </c>
      <c r="AM87" s="48">
        <f t="shared" si="34"/>
        <v>0</v>
      </c>
      <c r="AN87" s="48">
        <f t="shared" si="35"/>
        <v>0</v>
      </c>
      <c r="AO87" s="49">
        <f t="shared" si="33"/>
        <v>0</v>
      </c>
      <c r="AP87" s="49">
        <f t="shared" si="18"/>
        <v>0</v>
      </c>
      <c r="AQ87" s="50">
        <f t="shared" si="19"/>
        <v>0</v>
      </c>
      <c r="AR87" s="81"/>
      <c r="AS87" s="82"/>
      <c r="AT87" s="83"/>
      <c r="AU87" s="84"/>
      <c r="AV87" s="85"/>
      <c r="AW87" s="86"/>
      <c r="AX87" s="86"/>
      <c r="AY87" s="82"/>
      <c r="AZ87" s="87"/>
    </row>
    <row r="88" spans="1:52" ht="16.5" thickBot="1" x14ac:dyDescent="0.3">
      <c r="A88" s="74"/>
      <c r="B88" s="75" t="s">
        <v>80</v>
      </c>
      <c r="C88" s="76"/>
      <c r="D88" s="26">
        <f t="shared" si="30"/>
        <v>0</v>
      </c>
      <c r="E88" s="27">
        <f t="shared" si="31"/>
        <v>0</v>
      </c>
      <c r="F88" s="29">
        <f t="shared" si="32"/>
        <v>0</v>
      </c>
      <c r="G88" s="30">
        <v>0</v>
      </c>
      <c r="H88" s="31">
        <v>0</v>
      </c>
      <c r="I88" s="32">
        <v>0</v>
      </c>
      <c r="J88" s="77"/>
      <c r="K88" s="33">
        <v>0</v>
      </c>
      <c r="L88" s="34">
        <v>0</v>
      </c>
      <c r="M88" s="34">
        <v>0</v>
      </c>
      <c r="N88" s="62"/>
      <c r="O88" s="34">
        <v>0</v>
      </c>
      <c r="P88" s="34">
        <v>0</v>
      </c>
      <c r="Q88" s="34">
        <v>0</v>
      </c>
      <c r="R88" s="62"/>
      <c r="S88" s="37">
        <v>0</v>
      </c>
      <c r="T88" s="34">
        <v>0</v>
      </c>
      <c r="U88" s="34">
        <v>0</v>
      </c>
      <c r="V88" s="62"/>
      <c r="W88" s="38">
        <v>0</v>
      </c>
      <c r="X88" s="31">
        <v>0</v>
      </c>
      <c r="Y88" s="31">
        <v>0</v>
      </c>
      <c r="Z88" s="78"/>
      <c r="AA88" s="37">
        <v>0</v>
      </c>
      <c r="AB88" s="34">
        <v>0</v>
      </c>
      <c r="AC88" s="34">
        <v>0</v>
      </c>
      <c r="AD88" s="64"/>
      <c r="AE88" s="79"/>
      <c r="AF88" s="64"/>
      <c r="AG88" s="43">
        <f t="shared" si="16"/>
        <v>0</v>
      </c>
      <c r="AH88" s="44">
        <f t="shared" si="16"/>
        <v>0</v>
      </c>
      <c r="AI88" s="44">
        <f t="shared" si="16"/>
        <v>0</v>
      </c>
      <c r="AJ88" s="45">
        <f t="shared" si="16"/>
        <v>0</v>
      </c>
      <c r="AK88" s="80">
        <f t="shared" si="17"/>
        <v>0</v>
      </c>
      <c r="AL88" s="47">
        <v>0.44</v>
      </c>
      <c r="AM88" s="48">
        <f t="shared" si="34"/>
        <v>0</v>
      </c>
      <c r="AN88" s="48">
        <f t="shared" si="35"/>
        <v>0</v>
      </c>
      <c r="AO88" s="49">
        <f t="shared" si="33"/>
        <v>0</v>
      </c>
      <c r="AP88" s="49">
        <f t="shared" si="18"/>
        <v>0</v>
      </c>
      <c r="AQ88" s="50">
        <f t="shared" si="19"/>
        <v>0</v>
      </c>
      <c r="AR88" s="81"/>
      <c r="AS88" s="82"/>
      <c r="AT88" s="83"/>
      <c r="AU88" s="84"/>
      <c r="AV88" s="85"/>
      <c r="AW88" s="86"/>
      <c r="AX88" s="86"/>
      <c r="AY88" s="82"/>
      <c r="AZ88" s="87"/>
    </row>
    <row r="89" spans="1:52" ht="16.5" thickBot="1" x14ac:dyDescent="0.3">
      <c r="A89" s="74"/>
      <c r="B89" s="75" t="s">
        <v>81</v>
      </c>
      <c r="C89" s="76"/>
      <c r="D89" s="26">
        <f t="shared" si="30"/>
        <v>0</v>
      </c>
      <c r="E89" s="27">
        <f t="shared" si="31"/>
        <v>0</v>
      </c>
      <c r="F89" s="29">
        <f t="shared" si="32"/>
        <v>0</v>
      </c>
      <c r="G89" s="30">
        <v>0</v>
      </c>
      <c r="H89" s="31">
        <v>0</v>
      </c>
      <c r="I89" s="32">
        <v>0</v>
      </c>
      <c r="J89" s="77"/>
      <c r="K89" s="33">
        <v>0</v>
      </c>
      <c r="L89" s="34">
        <v>0</v>
      </c>
      <c r="M89" s="34">
        <v>0</v>
      </c>
      <c r="N89" s="62"/>
      <c r="O89" s="34">
        <v>0</v>
      </c>
      <c r="P89" s="34">
        <v>0</v>
      </c>
      <c r="Q89" s="34">
        <v>0</v>
      </c>
      <c r="R89" s="62"/>
      <c r="S89" s="37">
        <v>0</v>
      </c>
      <c r="T89" s="34">
        <v>0</v>
      </c>
      <c r="U89" s="34">
        <v>0</v>
      </c>
      <c r="V89" s="62"/>
      <c r="W89" s="38">
        <v>0</v>
      </c>
      <c r="X89" s="31">
        <v>0</v>
      </c>
      <c r="Y89" s="31">
        <v>0</v>
      </c>
      <c r="Z89" s="78"/>
      <c r="AA89" s="37">
        <v>0</v>
      </c>
      <c r="AB89" s="34">
        <v>0</v>
      </c>
      <c r="AC89" s="34">
        <v>0</v>
      </c>
      <c r="AD89" s="64"/>
      <c r="AE89" s="79"/>
      <c r="AF89" s="64"/>
      <c r="AG89" s="43">
        <f t="shared" si="16"/>
        <v>0</v>
      </c>
      <c r="AH89" s="44">
        <f t="shared" si="16"/>
        <v>0</v>
      </c>
      <c r="AI89" s="44">
        <f t="shared" si="16"/>
        <v>0</v>
      </c>
      <c r="AJ89" s="45">
        <f>J89+N89+R89+V89+Z89+AD89</f>
        <v>0</v>
      </c>
      <c r="AK89" s="80">
        <f t="shared" si="17"/>
        <v>0</v>
      </c>
      <c r="AL89" s="47">
        <v>0.44</v>
      </c>
      <c r="AM89" s="48">
        <f t="shared" si="34"/>
        <v>0</v>
      </c>
      <c r="AN89" s="48">
        <f t="shared" si="35"/>
        <v>0</v>
      </c>
      <c r="AO89" s="49">
        <f t="shared" si="33"/>
        <v>0</v>
      </c>
      <c r="AP89" s="49">
        <f t="shared" si="18"/>
        <v>0</v>
      </c>
      <c r="AQ89" s="50">
        <f t="shared" si="19"/>
        <v>0</v>
      </c>
      <c r="AR89" s="81"/>
      <c r="AS89" s="82"/>
      <c r="AT89" s="83"/>
      <c r="AU89" s="84"/>
      <c r="AV89" s="85"/>
      <c r="AW89" s="86"/>
      <c r="AX89" s="86"/>
      <c r="AY89" s="82"/>
      <c r="AZ89" s="87"/>
    </row>
    <row r="90" spans="1:52" ht="16.5" thickBot="1" x14ac:dyDescent="0.3">
      <c r="A90" s="74">
        <v>625</v>
      </c>
      <c r="B90" s="75" t="s">
        <v>75</v>
      </c>
      <c r="C90" s="76"/>
      <c r="D90" s="26">
        <f t="shared" si="30"/>
        <v>0</v>
      </c>
      <c r="E90" s="27">
        <f t="shared" si="31"/>
        <v>0</v>
      </c>
      <c r="F90" s="29">
        <f t="shared" si="32"/>
        <v>0</v>
      </c>
      <c r="G90" s="30">
        <v>11</v>
      </c>
      <c r="H90" s="31">
        <v>29</v>
      </c>
      <c r="I90" s="32">
        <v>54</v>
      </c>
      <c r="J90" s="77"/>
      <c r="K90" s="33">
        <v>0</v>
      </c>
      <c r="L90" s="34">
        <v>4</v>
      </c>
      <c r="M90" s="34">
        <v>12</v>
      </c>
      <c r="N90" s="62"/>
      <c r="O90" s="34">
        <v>16</v>
      </c>
      <c r="P90" s="34">
        <v>3</v>
      </c>
      <c r="Q90" s="34">
        <v>6</v>
      </c>
      <c r="R90" s="62"/>
      <c r="S90" s="37">
        <v>21</v>
      </c>
      <c r="T90" s="34">
        <v>30</v>
      </c>
      <c r="U90" s="34">
        <v>28</v>
      </c>
      <c r="V90" s="62"/>
      <c r="W90" s="38">
        <v>5</v>
      </c>
      <c r="X90" s="31">
        <v>15</v>
      </c>
      <c r="Y90" s="31">
        <v>7</v>
      </c>
      <c r="Z90" s="78"/>
      <c r="AA90" s="37">
        <v>5</v>
      </c>
      <c r="AB90" s="34">
        <v>38</v>
      </c>
      <c r="AC90" s="34">
        <v>25</v>
      </c>
      <c r="AD90" s="64"/>
      <c r="AE90" s="79"/>
      <c r="AF90" s="64"/>
      <c r="AG90" s="43">
        <f t="shared" si="16"/>
        <v>58</v>
      </c>
      <c r="AH90" s="44">
        <f t="shared" si="16"/>
        <v>119</v>
      </c>
      <c r="AI90" s="44">
        <f t="shared" si="16"/>
        <v>132</v>
      </c>
      <c r="AJ90" s="45">
        <f>J90+N90+R90+V90+Z90+AD90</f>
        <v>0</v>
      </c>
      <c r="AK90" s="80">
        <f t="shared" si="17"/>
        <v>309</v>
      </c>
      <c r="AL90" s="47">
        <v>0.75</v>
      </c>
      <c r="AM90" s="48">
        <f t="shared" si="34"/>
        <v>43.5</v>
      </c>
      <c r="AN90" s="48">
        <f t="shared" si="35"/>
        <v>89.25</v>
      </c>
      <c r="AO90" s="49">
        <f t="shared" si="33"/>
        <v>99</v>
      </c>
      <c r="AP90" s="49">
        <f t="shared" si="18"/>
        <v>0</v>
      </c>
      <c r="AQ90" s="50">
        <f t="shared" si="19"/>
        <v>18540</v>
      </c>
      <c r="AR90" s="81"/>
      <c r="AS90" s="82"/>
      <c r="AT90" s="83">
        <f>AK90*AS90</f>
        <v>0</v>
      </c>
      <c r="AU90" s="84">
        <f>AK90*AL90</f>
        <v>231.75</v>
      </c>
      <c r="AV90" s="85">
        <v>0</v>
      </c>
      <c r="AW90" s="86"/>
      <c r="AX90" s="86"/>
      <c r="AY90" s="82"/>
      <c r="AZ90" s="87"/>
    </row>
    <row r="91" spans="1:52" ht="16.5" thickBot="1" x14ac:dyDescent="0.3">
      <c r="A91" s="74"/>
      <c r="B91" s="75" t="s">
        <v>77</v>
      </c>
      <c r="C91" s="76"/>
      <c r="D91" s="26">
        <f t="shared" si="30"/>
        <v>0</v>
      </c>
      <c r="E91" s="27">
        <f t="shared" si="31"/>
        <v>0</v>
      </c>
      <c r="F91" s="29">
        <f t="shared" si="32"/>
        <v>0</v>
      </c>
      <c r="G91" s="30">
        <v>32</v>
      </c>
      <c r="H91" s="31">
        <v>28</v>
      </c>
      <c r="I91" s="32">
        <v>55</v>
      </c>
      <c r="J91" s="77"/>
      <c r="K91" s="33">
        <v>23</v>
      </c>
      <c r="L91" s="34">
        <v>19</v>
      </c>
      <c r="M91" s="34">
        <v>32</v>
      </c>
      <c r="N91" s="62"/>
      <c r="O91" s="34">
        <v>17</v>
      </c>
      <c r="P91" s="34">
        <v>12</v>
      </c>
      <c r="Q91" s="34">
        <v>15</v>
      </c>
      <c r="R91" s="62"/>
      <c r="S91" s="37">
        <v>29</v>
      </c>
      <c r="T91" s="34">
        <v>40</v>
      </c>
      <c r="U91" s="34">
        <v>30</v>
      </c>
      <c r="V91" s="62"/>
      <c r="W91" s="38">
        <v>7</v>
      </c>
      <c r="X91" s="31">
        <v>20</v>
      </c>
      <c r="Y91" s="31">
        <v>20</v>
      </c>
      <c r="Z91" s="78"/>
      <c r="AA91" s="37">
        <v>18</v>
      </c>
      <c r="AB91" s="34">
        <v>44</v>
      </c>
      <c r="AC91" s="34">
        <v>23</v>
      </c>
      <c r="AD91" s="64"/>
      <c r="AE91" s="79"/>
      <c r="AF91" s="64"/>
      <c r="AG91" s="43">
        <f t="shared" si="16"/>
        <v>126</v>
      </c>
      <c r="AH91" s="44">
        <f t="shared" si="16"/>
        <v>163</v>
      </c>
      <c r="AI91" s="44">
        <f t="shared" si="16"/>
        <v>175</v>
      </c>
      <c r="AJ91" s="45">
        <f>J91+N91+R91+V91+Z91+AD91</f>
        <v>0</v>
      </c>
      <c r="AK91" s="80">
        <f t="shared" si="17"/>
        <v>464</v>
      </c>
      <c r="AL91" s="47">
        <v>0.75</v>
      </c>
      <c r="AM91" s="48">
        <f t="shared" si="34"/>
        <v>94.5</v>
      </c>
      <c r="AN91" s="48">
        <f t="shared" si="35"/>
        <v>122.25</v>
      </c>
      <c r="AO91" s="49">
        <f t="shared" si="33"/>
        <v>131.25</v>
      </c>
      <c r="AP91" s="49">
        <f t="shared" si="18"/>
        <v>0</v>
      </c>
      <c r="AQ91" s="50">
        <f t="shared" si="19"/>
        <v>27840</v>
      </c>
      <c r="AR91" s="81"/>
      <c r="AS91" s="82"/>
      <c r="AT91" s="83"/>
      <c r="AU91" s="84"/>
      <c r="AV91" s="85"/>
      <c r="AW91" s="86"/>
      <c r="AX91" s="86"/>
      <c r="AY91" s="82"/>
      <c r="AZ91" s="87"/>
    </row>
    <row r="92" spans="1:52" ht="16.5" thickBot="1" x14ac:dyDescent="0.3">
      <c r="A92" s="74"/>
      <c r="B92" s="75" t="s">
        <v>82</v>
      </c>
      <c r="C92" s="76"/>
      <c r="D92" s="26">
        <f t="shared" si="30"/>
        <v>0</v>
      </c>
      <c r="E92" s="27">
        <f t="shared" si="31"/>
        <v>0</v>
      </c>
      <c r="F92" s="29">
        <f t="shared" si="32"/>
        <v>0</v>
      </c>
      <c r="G92" s="30">
        <v>30</v>
      </c>
      <c r="H92" s="31">
        <v>33</v>
      </c>
      <c r="I92" s="32">
        <v>57</v>
      </c>
      <c r="J92" s="77"/>
      <c r="K92" s="33">
        <v>9</v>
      </c>
      <c r="L92" s="34">
        <v>8</v>
      </c>
      <c r="M92" s="34">
        <v>21</v>
      </c>
      <c r="N92" s="62"/>
      <c r="O92" s="34">
        <v>14</v>
      </c>
      <c r="P92" s="34">
        <v>7</v>
      </c>
      <c r="Q92" s="34">
        <v>7</v>
      </c>
      <c r="R92" s="62"/>
      <c r="S92" s="37">
        <v>19</v>
      </c>
      <c r="T92" s="34">
        <v>40</v>
      </c>
      <c r="U92" s="34">
        <v>30</v>
      </c>
      <c r="V92" s="62"/>
      <c r="W92" s="38">
        <v>7</v>
      </c>
      <c r="X92" s="31">
        <v>20</v>
      </c>
      <c r="Y92" s="31">
        <v>20</v>
      </c>
      <c r="Z92" s="78"/>
      <c r="AA92" s="37">
        <v>18</v>
      </c>
      <c r="AB92" s="34">
        <v>50</v>
      </c>
      <c r="AC92" s="34">
        <v>25</v>
      </c>
      <c r="AD92" s="64"/>
      <c r="AE92" s="79"/>
      <c r="AF92" s="64"/>
      <c r="AG92" s="43">
        <f t="shared" si="16"/>
        <v>97</v>
      </c>
      <c r="AH92" s="44">
        <f t="shared" si="16"/>
        <v>158</v>
      </c>
      <c r="AI92" s="44">
        <f t="shared" si="16"/>
        <v>160</v>
      </c>
      <c r="AJ92" s="45">
        <f t="shared" si="16"/>
        <v>0</v>
      </c>
      <c r="AK92" s="80">
        <f t="shared" si="17"/>
        <v>415</v>
      </c>
      <c r="AL92" s="47">
        <v>0.75</v>
      </c>
      <c r="AM92" s="48">
        <f t="shared" si="34"/>
        <v>72.75</v>
      </c>
      <c r="AN92" s="48">
        <f t="shared" si="35"/>
        <v>118.5</v>
      </c>
      <c r="AO92" s="49">
        <f t="shared" si="33"/>
        <v>120</v>
      </c>
      <c r="AP92" s="49">
        <f t="shared" si="18"/>
        <v>0</v>
      </c>
      <c r="AQ92" s="50">
        <f t="shared" si="19"/>
        <v>24900</v>
      </c>
      <c r="AR92" s="81"/>
      <c r="AS92" s="82"/>
      <c r="AT92" s="83"/>
      <c r="AU92" s="84"/>
      <c r="AV92" s="85"/>
      <c r="AW92" s="86"/>
      <c r="AX92" s="86"/>
      <c r="AY92" s="82"/>
      <c r="AZ92" s="87"/>
    </row>
    <row r="93" spans="1:52" ht="16.5" thickBot="1" x14ac:dyDescent="0.3">
      <c r="A93" s="74"/>
      <c r="B93" s="75" t="s">
        <v>81</v>
      </c>
      <c r="C93" s="76"/>
      <c r="D93" s="26">
        <f t="shared" si="30"/>
        <v>0</v>
      </c>
      <c r="E93" s="27">
        <f t="shared" si="31"/>
        <v>0</v>
      </c>
      <c r="F93" s="29">
        <f t="shared" si="32"/>
        <v>0</v>
      </c>
      <c r="G93" s="30">
        <v>5</v>
      </c>
      <c r="H93" s="31">
        <v>0</v>
      </c>
      <c r="I93" s="32">
        <v>10</v>
      </c>
      <c r="J93" s="77"/>
      <c r="K93" s="33">
        <v>0</v>
      </c>
      <c r="L93" s="34">
        <v>0</v>
      </c>
      <c r="M93" s="34">
        <v>0</v>
      </c>
      <c r="N93" s="62"/>
      <c r="O93" s="34">
        <v>0</v>
      </c>
      <c r="P93" s="34">
        <v>0</v>
      </c>
      <c r="Q93" s="34">
        <v>0</v>
      </c>
      <c r="R93" s="62"/>
      <c r="S93" s="37">
        <v>0</v>
      </c>
      <c r="T93" s="34">
        <v>0</v>
      </c>
      <c r="U93" s="34">
        <v>0</v>
      </c>
      <c r="V93" s="62"/>
      <c r="W93" s="38">
        <v>0</v>
      </c>
      <c r="X93" s="31">
        <v>0</v>
      </c>
      <c r="Y93" s="31">
        <v>0</v>
      </c>
      <c r="Z93" s="78"/>
      <c r="AA93" s="37">
        <v>0</v>
      </c>
      <c r="AB93" s="34">
        <v>0</v>
      </c>
      <c r="AC93" s="34">
        <v>0</v>
      </c>
      <c r="AD93" s="64"/>
      <c r="AE93" s="79"/>
      <c r="AF93" s="64"/>
      <c r="AG93" s="43">
        <f t="shared" si="16"/>
        <v>5</v>
      </c>
      <c r="AH93" s="44">
        <f t="shared" si="16"/>
        <v>0</v>
      </c>
      <c r="AI93" s="44">
        <f t="shared" si="16"/>
        <v>10</v>
      </c>
      <c r="AJ93" s="45">
        <f t="shared" si="16"/>
        <v>0</v>
      </c>
      <c r="AK93" s="80">
        <f t="shared" si="17"/>
        <v>15</v>
      </c>
      <c r="AL93" s="47">
        <v>0.75</v>
      </c>
      <c r="AM93" s="48">
        <f t="shared" si="34"/>
        <v>3.75</v>
      </c>
      <c r="AN93" s="48">
        <f t="shared" si="35"/>
        <v>0</v>
      </c>
      <c r="AO93" s="49">
        <f t="shared" si="33"/>
        <v>7.5</v>
      </c>
      <c r="AP93" s="49">
        <f t="shared" si="18"/>
        <v>0</v>
      </c>
      <c r="AQ93" s="50">
        <f t="shared" si="19"/>
        <v>900</v>
      </c>
      <c r="AR93" s="81"/>
      <c r="AS93" s="82"/>
      <c r="AT93" s="83"/>
      <c r="AU93" s="84"/>
      <c r="AV93" s="85"/>
      <c r="AW93" s="86"/>
      <c r="AX93" s="86"/>
      <c r="AY93" s="82"/>
      <c r="AZ93" s="87"/>
    </row>
    <row r="94" spans="1:52" ht="16.5" thickBot="1" x14ac:dyDescent="0.3">
      <c r="A94" s="74"/>
      <c r="B94" s="75" t="s">
        <v>79</v>
      </c>
      <c r="C94" s="76"/>
      <c r="D94" s="26">
        <f t="shared" si="30"/>
        <v>0</v>
      </c>
      <c r="E94" s="27">
        <f t="shared" si="31"/>
        <v>0</v>
      </c>
      <c r="F94" s="29">
        <f t="shared" si="32"/>
        <v>0</v>
      </c>
      <c r="G94" s="30">
        <v>0</v>
      </c>
      <c r="H94" s="31">
        <v>0</v>
      </c>
      <c r="I94" s="32">
        <v>0</v>
      </c>
      <c r="J94" s="77"/>
      <c r="K94" s="33">
        <v>0</v>
      </c>
      <c r="L94" s="34">
        <v>0</v>
      </c>
      <c r="M94" s="34">
        <v>0</v>
      </c>
      <c r="N94" s="62"/>
      <c r="O94" s="34">
        <v>0</v>
      </c>
      <c r="P94" s="34">
        <v>0</v>
      </c>
      <c r="Q94" s="34">
        <v>0</v>
      </c>
      <c r="R94" s="62"/>
      <c r="S94" s="37">
        <v>0</v>
      </c>
      <c r="T94" s="34">
        <v>0</v>
      </c>
      <c r="U94" s="34">
        <v>0</v>
      </c>
      <c r="V94" s="62"/>
      <c r="W94" s="38">
        <v>0</v>
      </c>
      <c r="X94" s="31">
        <v>0</v>
      </c>
      <c r="Y94" s="31">
        <v>0</v>
      </c>
      <c r="Z94" s="78"/>
      <c r="AA94" s="37">
        <v>0</v>
      </c>
      <c r="AB94" s="34">
        <v>0</v>
      </c>
      <c r="AC94" s="34">
        <v>0</v>
      </c>
      <c r="AD94" s="64"/>
      <c r="AE94" s="79"/>
      <c r="AF94" s="64"/>
      <c r="AG94" s="43">
        <f t="shared" si="16"/>
        <v>0</v>
      </c>
      <c r="AH94" s="44">
        <f t="shared" si="16"/>
        <v>0</v>
      </c>
      <c r="AI94" s="44">
        <f t="shared" si="16"/>
        <v>0</v>
      </c>
      <c r="AJ94" s="45">
        <f t="shared" si="16"/>
        <v>0</v>
      </c>
      <c r="AK94" s="80">
        <f t="shared" si="17"/>
        <v>0</v>
      </c>
      <c r="AL94" s="47">
        <v>0.75</v>
      </c>
      <c r="AM94" s="48">
        <f t="shared" si="34"/>
        <v>0</v>
      </c>
      <c r="AN94" s="48">
        <f t="shared" si="35"/>
        <v>0</v>
      </c>
      <c r="AO94" s="49">
        <f t="shared" si="33"/>
        <v>0</v>
      </c>
      <c r="AP94" s="49">
        <f t="shared" si="18"/>
        <v>0</v>
      </c>
      <c r="AQ94" s="50">
        <f t="shared" si="19"/>
        <v>0</v>
      </c>
      <c r="AR94" s="81"/>
      <c r="AS94" s="82"/>
      <c r="AT94" s="83"/>
      <c r="AU94" s="84"/>
      <c r="AV94" s="85"/>
      <c r="AW94" s="86"/>
      <c r="AX94" s="86"/>
      <c r="AY94" s="82"/>
      <c r="AZ94" s="87"/>
    </row>
    <row r="95" spans="1:52" ht="16.5" thickBot="1" x14ac:dyDescent="0.3">
      <c r="A95" s="74"/>
      <c r="B95" s="75" t="s">
        <v>80</v>
      </c>
      <c r="C95" s="76"/>
      <c r="D95" s="26">
        <f t="shared" si="30"/>
        <v>0</v>
      </c>
      <c r="E95" s="27">
        <f t="shared" si="31"/>
        <v>0</v>
      </c>
      <c r="F95" s="29">
        <f t="shared" si="32"/>
        <v>0</v>
      </c>
      <c r="G95" s="30">
        <v>8</v>
      </c>
      <c r="H95" s="31">
        <v>10</v>
      </c>
      <c r="I95" s="32">
        <v>4</v>
      </c>
      <c r="J95" s="77"/>
      <c r="K95" s="33">
        <v>7</v>
      </c>
      <c r="L95" s="34">
        <v>4</v>
      </c>
      <c r="M95" s="34">
        <v>17</v>
      </c>
      <c r="N95" s="62"/>
      <c r="O95" s="34">
        <v>2</v>
      </c>
      <c r="P95" s="34">
        <v>1</v>
      </c>
      <c r="Q95" s="34">
        <v>5</v>
      </c>
      <c r="R95" s="62"/>
      <c r="S95" s="37">
        <v>6</v>
      </c>
      <c r="T95" s="34">
        <v>17</v>
      </c>
      <c r="U95" s="34">
        <v>10</v>
      </c>
      <c r="V95" s="62"/>
      <c r="W95" s="38">
        <v>2</v>
      </c>
      <c r="X95" s="31">
        <v>0</v>
      </c>
      <c r="Y95" s="31">
        <v>1</v>
      </c>
      <c r="Z95" s="78"/>
      <c r="AA95" s="37">
        <v>0</v>
      </c>
      <c r="AB95" s="34">
        <v>4</v>
      </c>
      <c r="AC95" s="34">
        <v>11</v>
      </c>
      <c r="AD95" s="64"/>
      <c r="AE95" s="79"/>
      <c r="AF95" s="64"/>
      <c r="AG95" s="43">
        <f t="shared" si="16"/>
        <v>25</v>
      </c>
      <c r="AH95" s="44">
        <f t="shared" si="16"/>
        <v>36</v>
      </c>
      <c r="AI95" s="44">
        <f t="shared" si="16"/>
        <v>48</v>
      </c>
      <c r="AJ95" s="45">
        <f t="shared" si="16"/>
        <v>0</v>
      </c>
      <c r="AK95" s="80">
        <f t="shared" si="17"/>
        <v>109</v>
      </c>
      <c r="AL95" s="47">
        <v>0.75</v>
      </c>
      <c r="AM95" s="48">
        <f t="shared" si="34"/>
        <v>18.75</v>
      </c>
      <c r="AN95" s="48">
        <f t="shared" si="35"/>
        <v>27</v>
      </c>
      <c r="AO95" s="49">
        <f t="shared" si="33"/>
        <v>36</v>
      </c>
      <c r="AP95" s="49">
        <f t="shared" si="18"/>
        <v>0</v>
      </c>
      <c r="AQ95" s="50">
        <f t="shared" si="19"/>
        <v>6540</v>
      </c>
      <c r="AR95" s="81"/>
      <c r="AS95" s="82"/>
      <c r="AT95" s="83"/>
      <c r="AU95" s="84"/>
      <c r="AV95" s="85"/>
      <c r="AW95" s="86"/>
      <c r="AX95" s="86"/>
      <c r="AY95" s="82"/>
      <c r="AZ95" s="87"/>
    </row>
    <row r="96" spans="1:52" ht="16.5" thickBot="1" x14ac:dyDescent="0.3">
      <c r="A96" s="74"/>
      <c r="B96" s="75" t="s">
        <v>78</v>
      </c>
      <c r="C96" s="76"/>
      <c r="D96" s="26">
        <f t="shared" si="30"/>
        <v>0</v>
      </c>
      <c r="E96" s="27">
        <f t="shared" si="31"/>
        <v>0</v>
      </c>
      <c r="F96" s="29">
        <f t="shared" si="32"/>
        <v>0</v>
      </c>
      <c r="G96" s="30">
        <v>0</v>
      </c>
      <c r="H96" s="31">
        <v>0</v>
      </c>
      <c r="I96" s="32">
        <v>0</v>
      </c>
      <c r="J96" s="77"/>
      <c r="K96" s="33">
        <v>0</v>
      </c>
      <c r="L96" s="34">
        <v>0</v>
      </c>
      <c r="M96" s="34">
        <v>0</v>
      </c>
      <c r="N96" s="62"/>
      <c r="O96" s="34">
        <v>0</v>
      </c>
      <c r="P96" s="34">
        <v>0</v>
      </c>
      <c r="Q96" s="34">
        <v>0</v>
      </c>
      <c r="R96" s="62"/>
      <c r="S96" s="37">
        <v>0</v>
      </c>
      <c r="T96" s="34">
        <v>0</v>
      </c>
      <c r="U96" s="34">
        <v>0</v>
      </c>
      <c r="V96" s="62"/>
      <c r="W96" s="38">
        <v>0</v>
      </c>
      <c r="X96" s="31">
        <v>0</v>
      </c>
      <c r="Y96" s="31">
        <v>0</v>
      </c>
      <c r="Z96" s="78"/>
      <c r="AA96" s="37">
        <v>0</v>
      </c>
      <c r="AB96" s="34">
        <v>0</v>
      </c>
      <c r="AC96" s="34">
        <v>0</v>
      </c>
      <c r="AD96" s="64"/>
      <c r="AE96" s="79"/>
      <c r="AF96" s="64"/>
      <c r="AG96" s="43">
        <f t="shared" si="16"/>
        <v>0</v>
      </c>
      <c r="AH96" s="44">
        <f t="shared" si="16"/>
        <v>0</v>
      </c>
      <c r="AI96" s="44">
        <f t="shared" si="16"/>
        <v>0</v>
      </c>
      <c r="AJ96" s="45">
        <f t="shared" si="16"/>
        <v>0</v>
      </c>
      <c r="AK96" s="80">
        <f t="shared" si="17"/>
        <v>0</v>
      </c>
      <c r="AL96" s="47">
        <v>0.75</v>
      </c>
      <c r="AM96" s="48">
        <f t="shared" si="34"/>
        <v>0</v>
      </c>
      <c r="AN96" s="48">
        <f t="shared" si="35"/>
        <v>0</v>
      </c>
      <c r="AO96" s="49">
        <f t="shared" si="33"/>
        <v>0</v>
      </c>
      <c r="AP96" s="49">
        <f t="shared" si="18"/>
        <v>0</v>
      </c>
      <c r="AQ96" s="50">
        <f t="shared" si="19"/>
        <v>0</v>
      </c>
      <c r="AR96" s="81"/>
      <c r="AS96" s="82"/>
      <c r="AT96" s="83"/>
      <c r="AU96" s="84"/>
      <c r="AV96" s="85"/>
      <c r="AW96" s="86"/>
      <c r="AX96" s="86"/>
      <c r="AY96" s="82"/>
      <c r="AZ96" s="87"/>
    </row>
    <row r="97" spans="1:52" ht="16.5" thickBot="1" x14ac:dyDescent="0.3">
      <c r="A97" s="74">
        <v>500</v>
      </c>
      <c r="B97" s="75" t="s">
        <v>83</v>
      </c>
      <c r="C97" s="76">
        <v>100</v>
      </c>
      <c r="D97" s="26">
        <f t="shared" si="30"/>
        <v>33.333333333333336</v>
      </c>
      <c r="E97" s="27">
        <f t="shared" si="31"/>
        <v>33.333333333333336</v>
      </c>
      <c r="F97" s="29">
        <f t="shared" si="32"/>
        <v>33.333333333333336</v>
      </c>
      <c r="G97" s="30">
        <v>0</v>
      </c>
      <c r="H97" s="31">
        <v>0</v>
      </c>
      <c r="I97" s="32">
        <v>0</v>
      </c>
      <c r="J97" s="77"/>
      <c r="K97" s="33">
        <v>0</v>
      </c>
      <c r="L97" s="34">
        <v>0</v>
      </c>
      <c r="M97" s="34">
        <v>0</v>
      </c>
      <c r="N97" s="62"/>
      <c r="O97" s="34">
        <v>0</v>
      </c>
      <c r="P97" s="34">
        <v>0</v>
      </c>
      <c r="Q97" s="34">
        <v>2</v>
      </c>
      <c r="R97" s="62"/>
      <c r="S97" s="37">
        <v>0</v>
      </c>
      <c r="T97" s="34">
        <v>0</v>
      </c>
      <c r="U97" s="34">
        <v>0</v>
      </c>
      <c r="V97" s="62"/>
      <c r="W97" s="38">
        <v>0</v>
      </c>
      <c r="X97" s="31">
        <v>0</v>
      </c>
      <c r="Y97" s="31">
        <v>1</v>
      </c>
      <c r="Z97" s="78"/>
      <c r="AA97" s="37">
        <v>0</v>
      </c>
      <c r="AB97" s="34">
        <v>0</v>
      </c>
      <c r="AC97" s="34">
        <v>0</v>
      </c>
      <c r="AD97" s="64"/>
      <c r="AE97" s="79"/>
      <c r="AF97" s="64"/>
      <c r="AG97" s="43">
        <f t="shared" si="16"/>
        <v>0</v>
      </c>
      <c r="AH97" s="44">
        <f t="shared" si="16"/>
        <v>0</v>
      </c>
      <c r="AI97" s="44">
        <f t="shared" si="16"/>
        <v>3</v>
      </c>
      <c r="AJ97" s="45">
        <f t="shared" si="16"/>
        <v>0</v>
      </c>
      <c r="AK97" s="80">
        <f t="shared" si="17"/>
        <v>3</v>
      </c>
      <c r="AL97" s="47">
        <v>1</v>
      </c>
      <c r="AM97" s="48">
        <f t="shared" si="34"/>
        <v>0</v>
      </c>
      <c r="AN97" s="48">
        <f t="shared" si="35"/>
        <v>0</v>
      </c>
      <c r="AO97" s="49">
        <f t="shared" si="33"/>
        <v>3</v>
      </c>
      <c r="AP97" s="49">
        <f t="shared" si="18"/>
        <v>0</v>
      </c>
      <c r="AQ97" s="50">
        <f t="shared" si="19"/>
        <v>180</v>
      </c>
      <c r="AR97" s="81">
        <v>26.12</v>
      </c>
      <c r="AS97" s="82">
        <v>3.879999999999999</v>
      </c>
      <c r="AT97" s="83">
        <f>AK97*AS97</f>
        <v>11.639999999999997</v>
      </c>
      <c r="AU97" s="84">
        <f t="shared" ref="AU97:AU111" si="36">AK97*AL97</f>
        <v>3</v>
      </c>
      <c r="AV97" s="85">
        <v>0</v>
      </c>
      <c r="AW97" s="86"/>
      <c r="AX97" s="86"/>
      <c r="AY97" s="82"/>
      <c r="AZ97" s="87">
        <f>AT97-AU97-AW97-AX97-AY97</f>
        <v>8.639999999999997</v>
      </c>
    </row>
    <row r="98" spans="1:52" ht="16.5" thickBot="1" x14ac:dyDescent="0.3">
      <c r="A98" s="74">
        <v>360</v>
      </c>
      <c r="B98" s="75" t="s">
        <v>83</v>
      </c>
      <c r="C98" s="76">
        <v>80</v>
      </c>
      <c r="D98" s="26">
        <f t="shared" si="30"/>
        <v>26.666666666666668</v>
      </c>
      <c r="E98" s="27">
        <f t="shared" si="31"/>
        <v>26.666666666666668</v>
      </c>
      <c r="F98" s="29">
        <f t="shared" si="32"/>
        <v>26.666666666666668</v>
      </c>
      <c r="G98" s="30">
        <v>18</v>
      </c>
      <c r="H98" s="31">
        <v>0</v>
      </c>
      <c r="I98" s="32">
        <v>0</v>
      </c>
      <c r="J98" s="77"/>
      <c r="K98" s="33">
        <v>4</v>
      </c>
      <c r="L98" s="34">
        <v>1</v>
      </c>
      <c r="M98" s="34">
        <v>3</v>
      </c>
      <c r="N98" s="62"/>
      <c r="O98" s="34">
        <v>6</v>
      </c>
      <c r="P98" s="34">
        <v>0</v>
      </c>
      <c r="Q98" s="34">
        <v>3</v>
      </c>
      <c r="R98" s="62"/>
      <c r="S98" s="37">
        <v>0</v>
      </c>
      <c r="T98" s="34">
        <v>1</v>
      </c>
      <c r="U98" s="34">
        <v>0</v>
      </c>
      <c r="V98" s="62"/>
      <c r="W98" s="38">
        <v>5</v>
      </c>
      <c r="X98" s="31">
        <v>3</v>
      </c>
      <c r="Y98" s="31">
        <v>0</v>
      </c>
      <c r="Z98" s="78"/>
      <c r="AA98" s="37">
        <v>0</v>
      </c>
      <c r="AB98" s="34">
        <v>0</v>
      </c>
      <c r="AC98" s="34">
        <v>0</v>
      </c>
      <c r="AD98" s="64"/>
      <c r="AE98" s="79"/>
      <c r="AF98" s="64"/>
      <c r="AG98" s="43">
        <f t="shared" si="16"/>
        <v>33</v>
      </c>
      <c r="AH98" s="44">
        <f t="shared" si="16"/>
        <v>5</v>
      </c>
      <c r="AI98" s="44">
        <f t="shared" si="16"/>
        <v>6</v>
      </c>
      <c r="AJ98" s="45">
        <f t="shared" si="16"/>
        <v>0</v>
      </c>
      <c r="AK98" s="80">
        <f t="shared" si="17"/>
        <v>44</v>
      </c>
      <c r="AL98" s="47">
        <v>0.5</v>
      </c>
      <c r="AM98" s="48">
        <f t="shared" si="34"/>
        <v>16.5</v>
      </c>
      <c r="AN98" s="48">
        <f t="shared" si="35"/>
        <v>2.5</v>
      </c>
      <c r="AO98" s="49">
        <f t="shared" si="33"/>
        <v>3</v>
      </c>
      <c r="AP98" s="49">
        <f t="shared" si="18"/>
        <v>0</v>
      </c>
      <c r="AQ98" s="50">
        <f t="shared" si="19"/>
        <v>2640</v>
      </c>
      <c r="AR98" s="81"/>
      <c r="AS98" s="82"/>
      <c r="AT98" s="83"/>
      <c r="AU98" s="84">
        <f t="shared" si="36"/>
        <v>22</v>
      </c>
      <c r="AV98" s="85">
        <v>0</v>
      </c>
      <c r="AW98" s="86"/>
      <c r="AX98" s="86"/>
      <c r="AY98" s="82"/>
      <c r="AZ98" s="87"/>
    </row>
    <row r="99" spans="1:52" ht="16.5" thickBot="1" x14ac:dyDescent="0.3">
      <c r="A99" s="74">
        <v>625</v>
      </c>
      <c r="B99" s="75" t="s">
        <v>84</v>
      </c>
      <c r="C99" s="88"/>
      <c r="D99" s="26">
        <f t="shared" si="30"/>
        <v>0</v>
      </c>
      <c r="E99" s="27">
        <f t="shared" si="31"/>
        <v>0</v>
      </c>
      <c r="F99" s="29">
        <f t="shared" si="32"/>
        <v>0</v>
      </c>
      <c r="G99" s="30">
        <v>0</v>
      </c>
      <c r="H99" s="31">
        <v>0</v>
      </c>
      <c r="I99" s="32">
        <v>0</v>
      </c>
      <c r="J99" s="77"/>
      <c r="K99" s="33">
        <v>0</v>
      </c>
      <c r="L99" s="34">
        <v>0</v>
      </c>
      <c r="M99" s="34">
        <v>0</v>
      </c>
      <c r="N99" s="62"/>
      <c r="O99" s="34">
        <v>0</v>
      </c>
      <c r="P99" s="34">
        <v>0</v>
      </c>
      <c r="Q99" s="34">
        <v>0</v>
      </c>
      <c r="R99" s="62"/>
      <c r="S99" s="37">
        <v>0</v>
      </c>
      <c r="T99" s="34">
        <v>0</v>
      </c>
      <c r="U99" s="34">
        <v>0</v>
      </c>
      <c r="V99" s="62"/>
      <c r="W99" s="38">
        <v>0</v>
      </c>
      <c r="X99" s="31">
        <v>0</v>
      </c>
      <c r="Y99" s="31">
        <v>0</v>
      </c>
      <c r="Z99" s="78"/>
      <c r="AA99" s="37">
        <v>0</v>
      </c>
      <c r="AB99" s="34">
        <v>0</v>
      </c>
      <c r="AC99" s="34">
        <v>0</v>
      </c>
      <c r="AD99" s="64"/>
      <c r="AE99" s="79"/>
      <c r="AF99" s="64"/>
      <c r="AG99" s="43">
        <f t="shared" si="16"/>
        <v>0</v>
      </c>
      <c r="AH99" s="44">
        <f t="shared" si="16"/>
        <v>0</v>
      </c>
      <c r="AI99" s="44">
        <f t="shared" si="16"/>
        <v>0</v>
      </c>
      <c r="AJ99" s="45">
        <f t="shared" si="16"/>
        <v>0</v>
      </c>
      <c r="AK99" s="80">
        <f t="shared" si="17"/>
        <v>0</v>
      </c>
      <c r="AL99" s="47">
        <v>1</v>
      </c>
      <c r="AM99" s="48">
        <f t="shared" si="34"/>
        <v>0</v>
      </c>
      <c r="AN99" s="48">
        <f t="shared" si="35"/>
        <v>0</v>
      </c>
      <c r="AO99" s="49">
        <f t="shared" si="33"/>
        <v>0</v>
      </c>
      <c r="AP99" s="49">
        <f t="shared" si="18"/>
        <v>0</v>
      </c>
      <c r="AQ99" s="50">
        <f t="shared" si="19"/>
        <v>0</v>
      </c>
      <c r="AR99" s="81">
        <v>50.64</v>
      </c>
      <c r="AS99" s="82">
        <v>9.36</v>
      </c>
      <c r="AT99" s="83">
        <f>AK99*AS99</f>
        <v>0</v>
      </c>
      <c r="AU99" s="84">
        <f t="shared" si="36"/>
        <v>0</v>
      </c>
      <c r="AV99" s="85">
        <v>0</v>
      </c>
      <c r="AW99" s="86"/>
      <c r="AX99" s="86"/>
      <c r="AY99" s="82"/>
      <c r="AZ99" s="87">
        <f>AT99-AU99-AW99-AX99-AY99</f>
        <v>0</v>
      </c>
    </row>
    <row r="100" spans="1:52" ht="16.5" thickBot="1" x14ac:dyDescent="0.3">
      <c r="A100" s="74">
        <v>3030</v>
      </c>
      <c r="B100" s="75" t="s">
        <v>85</v>
      </c>
      <c r="C100" s="76"/>
      <c r="D100" s="26">
        <f t="shared" si="30"/>
        <v>0</v>
      </c>
      <c r="E100" s="27">
        <f t="shared" si="31"/>
        <v>0</v>
      </c>
      <c r="F100" s="29">
        <f t="shared" si="32"/>
        <v>0</v>
      </c>
      <c r="G100" s="30">
        <v>0</v>
      </c>
      <c r="H100" s="31">
        <v>0</v>
      </c>
      <c r="I100" s="32">
        <v>0</v>
      </c>
      <c r="J100" s="77"/>
      <c r="K100" s="33">
        <v>0</v>
      </c>
      <c r="L100" s="34">
        <v>0</v>
      </c>
      <c r="M100" s="34">
        <v>0</v>
      </c>
      <c r="N100" s="62"/>
      <c r="O100" s="34">
        <v>0</v>
      </c>
      <c r="P100" s="34">
        <v>0</v>
      </c>
      <c r="Q100" s="34">
        <v>0</v>
      </c>
      <c r="R100" s="62"/>
      <c r="S100" s="37">
        <v>0</v>
      </c>
      <c r="T100" s="34">
        <v>0</v>
      </c>
      <c r="U100" s="34">
        <v>0</v>
      </c>
      <c r="V100" s="62"/>
      <c r="W100" s="38">
        <v>0</v>
      </c>
      <c r="X100" s="31">
        <v>0</v>
      </c>
      <c r="Y100" s="31">
        <v>0</v>
      </c>
      <c r="Z100" s="78"/>
      <c r="AA100" s="37">
        <v>0</v>
      </c>
      <c r="AB100" s="34">
        <v>0</v>
      </c>
      <c r="AC100" s="34">
        <v>0</v>
      </c>
      <c r="AD100" s="64"/>
      <c r="AE100" s="79"/>
      <c r="AF100" s="64"/>
      <c r="AG100" s="43">
        <f t="shared" si="16"/>
        <v>0</v>
      </c>
      <c r="AH100" s="44">
        <f t="shared" si="16"/>
        <v>0</v>
      </c>
      <c r="AI100" s="44">
        <f t="shared" si="16"/>
        <v>0</v>
      </c>
      <c r="AJ100" s="45">
        <f t="shared" si="16"/>
        <v>0</v>
      </c>
      <c r="AK100" s="80">
        <f t="shared" si="17"/>
        <v>0</v>
      </c>
      <c r="AL100" s="47">
        <v>2</v>
      </c>
      <c r="AM100" s="48">
        <f t="shared" si="34"/>
        <v>0</v>
      </c>
      <c r="AN100" s="48">
        <f t="shared" si="35"/>
        <v>0</v>
      </c>
      <c r="AO100" s="49">
        <f t="shared" si="33"/>
        <v>0</v>
      </c>
      <c r="AP100" s="49">
        <f t="shared" si="18"/>
        <v>0</v>
      </c>
      <c r="AQ100" s="50">
        <f t="shared" si="19"/>
        <v>0</v>
      </c>
      <c r="AR100" s="81">
        <v>42.35</v>
      </c>
      <c r="AS100" s="82">
        <v>7.6499999999999986</v>
      </c>
      <c r="AT100" s="83">
        <f>AK100*AS100</f>
        <v>0</v>
      </c>
      <c r="AU100" s="84">
        <f t="shared" si="36"/>
        <v>0</v>
      </c>
      <c r="AV100" s="85">
        <v>0</v>
      </c>
      <c r="AW100" s="86"/>
      <c r="AX100" s="86"/>
      <c r="AY100" s="82"/>
      <c r="AZ100" s="87">
        <f>AT100-AU100-AW100-AX100-AY100</f>
        <v>0</v>
      </c>
    </row>
    <row r="101" spans="1:52" ht="16.5" thickBot="1" x14ac:dyDescent="0.3">
      <c r="A101" s="74">
        <v>625</v>
      </c>
      <c r="B101" s="75" t="s">
        <v>86</v>
      </c>
      <c r="C101" s="88"/>
      <c r="D101" s="26">
        <f t="shared" si="30"/>
        <v>0</v>
      </c>
      <c r="E101" s="27">
        <f t="shared" si="31"/>
        <v>0</v>
      </c>
      <c r="F101" s="29">
        <f t="shared" si="32"/>
        <v>0</v>
      </c>
      <c r="G101" s="30">
        <v>0</v>
      </c>
      <c r="H101" s="31">
        <v>0</v>
      </c>
      <c r="I101" s="32">
        <v>0</v>
      </c>
      <c r="J101" s="77"/>
      <c r="K101" s="33">
        <v>0</v>
      </c>
      <c r="L101" s="34">
        <v>0</v>
      </c>
      <c r="M101" s="34">
        <v>0</v>
      </c>
      <c r="N101" s="62"/>
      <c r="O101" s="34">
        <v>0</v>
      </c>
      <c r="P101" s="34">
        <v>0</v>
      </c>
      <c r="Q101" s="34">
        <v>0</v>
      </c>
      <c r="R101" s="62"/>
      <c r="S101" s="37">
        <v>0</v>
      </c>
      <c r="T101" s="34">
        <v>0</v>
      </c>
      <c r="U101" s="34">
        <v>0</v>
      </c>
      <c r="V101" s="62"/>
      <c r="W101" s="38">
        <v>0</v>
      </c>
      <c r="X101" s="31">
        <v>0</v>
      </c>
      <c r="Y101" s="31">
        <v>0</v>
      </c>
      <c r="Z101" s="78"/>
      <c r="AA101" s="37">
        <v>0</v>
      </c>
      <c r="AB101" s="34">
        <v>0</v>
      </c>
      <c r="AC101" s="34">
        <v>0</v>
      </c>
      <c r="AD101" s="64"/>
      <c r="AE101" s="79"/>
      <c r="AF101" s="64"/>
      <c r="AG101" s="43">
        <f t="shared" ref="AG101:AJ164" si="37">G101+K101+O101+S101+W101+AA101</f>
        <v>0</v>
      </c>
      <c r="AH101" s="44">
        <f t="shared" si="37"/>
        <v>0</v>
      </c>
      <c r="AI101" s="44">
        <f t="shared" si="37"/>
        <v>0</v>
      </c>
      <c r="AJ101" s="45">
        <f t="shared" si="37"/>
        <v>0</v>
      </c>
      <c r="AK101" s="80">
        <f t="shared" si="17"/>
        <v>0</v>
      </c>
      <c r="AL101" s="47">
        <v>1</v>
      </c>
      <c r="AM101" s="48">
        <f t="shared" si="34"/>
        <v>0</v>
      </c>
      <c r="AN101" s="48">
        <f t="shared" si="35"/>
        <v>0</v>
      </c>
      <c r="AO101" s="49">
        <f t="shared" si="33"/>
        <v>0</v>
      </c>
      <c r="AP101" s="49">
        <f t="shared" si="18"/>
        <v>0</v>
      </c>
      <c r="AQ101" s="50">
        <f t="shared" si="19"/>
        <v>0</v>
      </c>
      <c r="AR101" s="81">
        <v>50.64</v>
      </c>
      <c r="AS101" s="82">
        <v>9.36</v>
      </c>
      <c r="AT101" s="119">
        <f>AK101*AS101</f>
        <v>0</v>
      </c>
      <c r="AU101" s="84">
        <f t="shared" si="36"/>
        <v>0</v>
      </c>
      <c r="AV101" s="85">
        <v>0</v>
      </c>
      <c r="AW101" s="86"/>
      <c r="AX101" s="86"/>
      <c r="AY101" s="82"/>
      <c r="AZ101" s="120">
        <f>AT101-AU101-AW101-AX101-AY101</f>
        <v>0</v>
      </c>
    </row>
    <row r="102" spans="1:52" ht="16.5" thickBot="1" x14ac:dyDescent="0.3">
      <c r="A102" s="75">
        <v>911</v>
      </c>
      <c r="B102" s="75" t="s">
        <v>87</v>
      </c>
      <c r="C102" s="121"/>
      <c r="D102" s="26">
        <f t="shared" si="30"/>
        <v>0</v>
      </c>
      <c r="E102" s="27">
        <f t="shared" si="31"/>
        <v>0</v>
      </c>
      <c r="F102" s="29">
        <f t="shared" si="32"/>
        <v>0</v>
      </c>
      <c r="G102" s="30">
        <v>0</v>
      </c>
      <c r="H102" s="31">
        <v>0</v>
      </c>
      <c r="I102" s="32">
        <v>0</v>
      </c>
      <c r="J102" s="77"/>
      <c r="K102" s="33">
        <v>0</v>
      </c>
      <c r="L102" s="34">
        <v>0</v>
      </c>
      <c r="M102" s="34">
        <v>0</v>
      </c>
      <c r="N102" s="62"/>
      <c r="O102" s="34">
        <v>0</v>
      </c>
      <c r="P102" s="34">
        <v>0</v>
      </c>
      <c r="Q102" s="34">
        <v>0</v>
      </c>
      <c r="R102" s="62"/>
      <c r="S102" s="37">
        <v>0</v>
      </c>
      <c r="T102" s="34">
        <v>0</v>
      </c>
      <c r="U102" s="34">
        <v>0</v>
      </c>
      <c r="V102" s="62"/>
      <c r="W102" s="38">
        <v>0</v>
      </c>
      <c r="X102" s="31">
        <v>0</v>
      </c>
      <c r="Y102" s="31">
        <v>0</v>
      </c>
      <c r="Z102" s="78"/>
      <c r="AA102" s="37">
        <v>0</v>
      </c>
      <c r="AB102" s="34">
        <v>0</v>
      </c>
      <c r="AC102" s="34">
        <v>0</v>
      </c>
      <c r="AD102" s="64"/>
      <c r="AE102" s="122"/>
      <c r="AF102" s="123"/>
      <c r="AG102" s="43">
        <f t="shared" si="37"/>
        <v>0</v>
      </c>
      <c r="AH102" s="44">
        <f t="shared" si="37"/>
        <v>0</v>
      </c>
      <c r="AI102" s="44">
        <f t="shared" si="37"/>
        <v>0</v>
      </c>
      <c r="AJ102" s="45">
        <f t="shared" si="37"/>
        <v>0</v>
      </c>
      <c r="AK102" s="80">
        <f t="shared" si="17"/>
        <v>0</v>
      </c>
      <c r="AL102" s="47">
        <v>0.5</v>
      </c>
      <c r="AM102" s="48">
        <f t="shared" si="34"/>
        <v>0</v>
      </c>
      <c r="AN102" s="48">
        <f t="shared" si="35"/>
        <v>0</v>
      </c>
      <c r="AO102" s="49">
        <f t="shared" si="33"/>
        <v>0</v>
      </c>
      <c r="AP102" s="49">
        <f t="shared" si="18"/>
        <v>0</v>
      </c>
      <c r="AQ102" s="50">
        <f t="shared" si="19"/>
        <v>0</v>
      </c>
      <c r="AR102" s="124"/>
      <c r="AS102" s="125"/>
      <c r="AT102" s="126"/>
      <c r="AU102" s="84">
        <f t="shared" si="36"/>
        <v>0</v>
      </c>
      <c r="AV102" s="127"/>
      <c r="AW102" s="128"/>
      <c r="AX102" s="128"/>
      <c r="AY102" s="125"/>
      <c r="AZ102" s="129"/>
    </row>
    <row r="103" spans="1:52" ht="16.5" thickBot="1" x14ac:dyDescent="0.3">
      <c r="A103" s="75">
        <v>355</v>
      </c>
      <c r="B103" s="75" t="s">
        <v>88</v>
      </c>
      <c r="C103" s="121">
        <v>24</v>
      </c>
      <c r="D103" s="26">
        <f t="shared" si="30"/>
        <v>8</v>
      </c>
      <c r="E103" s="27">
        <f t="shared" si="31"/>
        <v>8</v>
      </c>
      <c r="F103" s="29">
        <f t="shared" si="32"/>
        <v>8</v>
      </c>
      <c r="G103" s="30">
        <v>0</v>
      </c>
      <c r="H103" s="31">
        <v>0</v>
      </c>
      <c r="I103" s="32">
        <v>0</v>
      </c>
      <c r="J103" s="77"/>
      <c r="K103" s="33">
        <v>0</v>
      </c>
      <c r="L103" s="34">
        <v>0</v>
      </c>
      <c r="M103" s="34">
        <v>0</v>
      </c>
      <c r="N103" s="62"/>
      <c r="O103" s="34">
        <v>0</v>
      </c>
      <c r="P103" s="34">
        <v>0</v>
      </c>
      <c r="Q103" s="34">
        <v>0</v>
      </c>
      <c r="R103" s="62"/>
      <c r="S103" s="37">
        <v>0</v>
      </c>
      <c r="T103" s="34">
        <v>0</v>
      </c>
      <c r="U103" s="34">
        <v>0</v>
      </c>
      <c r="V103" s="62"/>
      <c r="W103" s="38">
        <v>0</v>
      </c>
      <c r="X103" s="31">
        <v>0</v>
      </c>
      <c r="Y103" s="31">
        <v>0</v>
      </c>
      <c r="Z103" s="78"/>
      <c r="AA103" s="37">
        <v>0</v>
      </c>
      <c r="AB103" s="34">
        <v>0</v>
      </c>
      <c r="AC103" s="34">
        <v>0</v>
      </c>
      <c r="AD103" s="64"/>
      <c r="AE103" s="122"/>
      <c r="AF103" s="123"/>
      <c r="AG103" s="43">
        <f t="shared" si="37"/>
        <v>0</v>
      </c>
      <c r="AH103" s="44">
        <f t="shared" si="37"/>
        <v>0</v>
      </c>
      <c r="AI103" s="44">
        <f t="shared" si="37"/>
        <v>0</v>
      </c>
      <c r="AJ103" s="45">
        <f t="shared" si="37"/>
        <v>0</v>
      </c>
      <c r="AK103" s="80">
        <f t="shared" si="17"/>
        <v>0</v>
      </c>
      <c r="AL103" s="47">
        <v>0.45</v>
      </c>
      <c r="AM103" s="48">
        <f t="shared" si="34"/>
        <v>0</v>
      </c>
      <c r="AN103" s="48">
        <f t="shared" si="35"/>
        <v>0</v>
      </c>
      <c r="AO103" s="49">
        <f t="shared" si="33"/>
        <v>0</v>
      </c>
      <c r="AP103" s="49">
        <f t="shared" si="18"/>
        <v>0</v>
      </c>
      <c r="AQ103" s="50">
        <f t="shared" si="19"/>
        <v>0</v>
      </c>
      <c r="AR103" s="124"/>
      <c r="AS103" s="125"/>
      <c r="AT103" s="126"/>
      <c r="AU103" s="84">
        <f t="shared" si="36"/>
        <v>0</v>
      </c>
      <c r="AV103" s="127"/>
      <c r="AW103" s="128"/>
      <c r="AX103" s="128"/>
      <c r="AY103" s="125"/>
      <c r="AZ103" s="129"/>
    </row>
    <row r="104" spans="1:52" ht="16.5" thickBot="1" x14ac:dyDescent="0.3">
      <c r="A104" s="75">
        <v>355</v>
      </c>
      <c r="B104" s="75" t="s">
        <v>28</v>
      </c>
      <c r="C104" s="121">
        <v>34</v>
      </c>
      <c r="D104" s="26">
        <f t="shared" si="30"/>
        <v>11.333333333333334</v>
      </c>
      <c r="E104" s="27">
        <f t="shared" si="31"/>
        <v>11.333333333333334</v>
      </c>
      <c r="F104" s="29">
        <f t="shared" si="32"/>
        <v>11.333333333333334</v>
      </c>
      <c r="G104" s="30">
        <v>0</v>
      </c>
      <c r="H104" s="31">
        <v>0</v>
      </c>
      <c r="I104" s="32">
        <v>0</v>
      </c>
      <c r="J104" s="77"/>
      <c r="K104" s="33">
        <v>0</v>
      </c>
      <c r="L104" s="34">
        <v>0</v>
      </c>
      <c r="M104" s="34">
        <v>0</v>
      </c>
      <c r="N104" s="62"/>
      <c r="O104" s="34">
        <v>0</v>
      </c>
      <c r="P104" s="34">
        <v>0</v>
      </c>
      <c r="Q104" s="34">
        <v>0</v>
      </c>
      <c r="R104" s="62"/>
      <c r="S104" s="37">
        <v>0</v>
      </c>
      <c r="T104" s="34">
        <v>0</v>
      </c>
      <c r="U104" s="34">
        <v>0</v>
      </c>
      <c r="V104" s="62"/>
      <c r="W104" s="38">
        <v>0</v>
      </c>
      <c r="X104" s="31">
        <v>0</v>
      </c>
      <c r="Y104" s="31">
        <v>0</v>
      </c>
      <c r="Z104" s="78"/>
      <c r="AA104" s="37">
        <v>0</v>
      </c>
      <c r="AB104" s="34">
        <v>0</v>
      </c>
      <c r="AC104" s="34">
        <v>0</v>
      </c>
      <c r="AD104" s="64"/>
      <c r="AE104" s="122"/>
      <c r="AF104" s="123"/>
      <c r="AG104" s="43">
        <f t="shared" si="37"/>
        <v>0</v>
      </c>
      <c r="AH104" s="44">
        <f t="shared" si="37"/>
        <v>0</v>
      </c>
      <c r="AI104" s="44">
        <f t="shared" si="37"/>
        <v>0</v>
      </c>
      <c r="AJ104" s="45">
        <f t="shared" si="37"/>
        <v>0</v>
      </c>
      <c r="AK104" s="80">
        <f t="shared" si="17"/>
        <v>0</v>
      </c>
      <c r="AL104" s="47">
        <v>0.45</v>
      </c>
      <c r="AM104" s="48">
        <f t="shared" si="34"/>
        <v>0</v>
      </c>
      <c r="AN104" s="48">
        <f t="shared" si="35"/>
        <v>0</v>
      </c>
      <c r="AO104" s="49">
        <f t="shared" si="33"/>
        <v>0</v>
      </c>
      <c r="AP104" s="49">
        <f t="shared" si="18"/>
        <v>0</v>
      </c>
      <c r="AQ104" s="50">
        <f t="shared" si="19"/>
        <v>0</v>
      </c>
      <c r="AR104" s="124"/>
      <c r="AS104" s="125"/>
      <c r="AT104" s="126"/>
      <c r="AU104" s="84">
        <f t="shared" si="36"/>
        <v>0</v>
      </c>
      <c r="AV104" s="127"/>
      <c r="AW104" s="128"/>
      <c r="AX104" s="128"/>
      <c r="AY104" s="125"/>
      <c r="AZ104" s="129"/>
    </row>
    <row r="105" spans="1:52" ht="16.5" thickBot="1" x14ac:dyDescent="0.3">
      <c r="A105" s="75">
        <v>355</v>
      </c>
      <c r="B105" s="75" t="s">
        <v>30</v>
      </c>
      <c r="C105" s="121"/>
      <c r="D105" s="26">
        <f t="shared" si="30"/>
        <v>0</v>
      </c>
      <c r="E105" s="27">
        <f t="shared" si="31"/>
        <v>0</v>
      </c>
      <c r="F105" s="29">
        <f t="shared" si="32"/>
        <v>0</v>
      </c>
      <c r="G105" s="30">
        <v>0</v>
      </c>
      <c r="H105" s="31">
        <v>0</v>
      </c>
      <c r="I105" s="32">
        <v>0</v>
      </c>
      <c r="J105" s="77"/>
      <c r="K105" s="33">
        <v>0</v>
      </c>
      <c r="L105" s="34">
        <v>0</v>
      </c>
      <c r="M105" s="34">
        <v>0</v>
      </c>
      <c r="N105" s="62"/>
      <c r="O105" s="34">
        <v>0</v>
      </c>
      <c r="P105" s="34">
        <v>0</v>
      </c>
      <c r="Q105" s="34">
        <v>0</v>
      </c>
      <c r="R105" s="62"/>
      <c r="S105" s="37">
        <v>0</v>
      </c>
      <c r="T105" s="34">
        <v>0</v>
      </c>
      <c r="U105" s="34">
        <v>0</v>
      </c>
      <c r="V105" s="62"/>
      <c r="W105" s="38">
        <v>0</v>
      </c>
      <c r="X105" s="31">
        <v>0</v>
      </c>
      <c r="Y105" s="31">
        <v>0</v>
      </c>
      <c r="Z105" s="78"/>
      <c r="AA105" s="37">
        <v>0</v>
      </c>
      <c r="AB105" s="34">
        <v>0</v>
      </c>
      <c r="AC105" s="34">
        <v>0</v>
      </c>
      <c r="AD105" s="64"/>
      <c r="AE105" s="122"/>
      <c r="AF105" s="123"/>
      <c r="AG105" s="43">
        <f t="shared" si="37"/>
        <v>0</v>
      </c>
      <c r="AH105" s="44">
        <f t="shared" si="37"/>
        <v>0</v>
      </c>
      <c r="AI105" s="44">
        <f t="shared" si="37"/>
        <v>0</v>
      </c>
      <c r="AJ105" s="45">
        <f t="shared" si="37"/>
        <v>0</v>
      </c>
      <c r="AK105" s="80">
        <f t="shared" si="17"/>
        <v>0</v>
      </c>
      <c r="AL105" s="47">
        <v>0.45</v>
      </c>
      <c r="AM105" s="48">
        <f t="shared" si="34"/>
        <v>0</v>
      </c>
      <c r="AN105" s="48">
        <f t="shared" si="35"/>
        <v>0</v>
      </c>
      <c r="AO105" s="49">
        <f t="shared" si="33"/>
        <v>0</v>
      </c>
      <c r="AP105" s="49">
        <f t="shared" si="18"/>
        <v>0</v>
      </c>
      <c r="AQ105" s="50">
        <f t="shared" si="19"/>
        <v>0</v>
      </c>
      <c r="AR105" s="124"/>
      <c r="AS105" s="125"/>
      <c r="AT105" s="126"/>
      <c r="AU105" s="84">
        <f t="shared" si="36"/>
        <v>0</v>
      </c>
      <c r="AV105" s="127"/>
      <c r="AW105" s="128"/>
      <c r="AX105" s="128"/>
      <c r="AY105" s="125"/>
      <c r="AZ105" s="129"/>
    </row>
    <row r="106" spans="1:52" ht="16.5" thickBot="1" x14ac:dyDescent="0.3">
      <c r="A106" s="75">
        <v>355</v>
      </c>
      <c r="B106" s="75" t="s">
        <v>29</v>
      </c>
      <c r="C106" s="121">
        <v>34</v>
      </c>
      <c r="D106" s="26">
        <f t="shared" si="30"/>
        <v>11.333333333333334</v>
      </c>
      <c r="E106" s="27">
        <f t="shared" si="31"/>
        <v>11.333333333333334</v>
      </c>
      <c r="F106" s="29">
        <f t="shared" si="32"/>
        <v>11.333333333333334</v>
      </c>
      <c r="G106" s="30">
        <v>0</v>
      </c>
      <c r="H106" s="31">
        <v>0</v>
      </c>
      <c r="I106" s="32">
        <v>0</v>
      </c>
      <c r="J106" s="77"/>
      <c r="K106" s="33">
        <v>0</v>
      </c>
      <c r="L106" s="34">
        <v>0</v>
      </c>
      <c r="M106" s="34">
        <v>0</v>
      </c>
      <c r="N106" s="62"/>
      <c r="O106" s="34">
        <v>0</v>
      </c>
      <c r="P106" s="34">
        <v>0</v>
      </c>
      <c r="Q106" s="34">
        <v>0</v>
      </c>
      <c r="R106" s="62"/>
      <c r="S106" s="37">
        <v>0</v>
      </c>
      <c r="T106" s="34">
        <v>0</v>
      </c>
      <c r="U106" s="34">
        <v>0</v>
      </c>
      <c r="V106" s="62"/>
      <c r="W106" s="38">
        <v>0</v>
      </c>
      <c r="X106" s="31">
        <v>0</v>
      </c>
      <c r="Y106" s="31">
        <v>0</v>
      </c>
      <c r="Z106" s="78"/>
      <c r="AA106" s="37">
        <v>0</v>
      </c>
      <c r="AB106" s="34">
        <v>0</v>
      </c>
      <c r="AC106" s="34">
        <v>0</v>
      </c>
      <c r="AD106" s="64"/>
      <c r="AE106" s="122"/>
      <c r="AF106" s="123"/>
      <c r="AG106" s="43">
        <f t="shared" si="37"/>
        <v>0</v>
      </c>
      <c r="AH106" s="44">
        <f t="shared" si="37"/>
        <v>0</v>
      </c>
      <c r="AI106" s="44">
        <f t="shared" si="37"/>
        <v>0</v>
      </c>
      <c r="AJ106" s="45">
        <f t="shared" si="37"/>
        <v>0</v>
      </c>
      <c r="AK106" s="80">
        <f t="shared" si="17"/>
        <v>0</v>
      </c>
      <c r="AL106" s="47">
        <v>0.45</v>
      </c>
      <c r="AM106" s="48">
        <f t="shared" si="34"/>
        <v>0</v>
      </c>
      <c r="AN106" s="48">
        <f t="shared" si="35"/>
        <v>0</v>
      </c>
      <c r="AO106" s="49">
        <f t="shared" si="33"/>
        <v>0</v>
      </c>
      <c r="AP106" s="49">
        <f t="shared" si="18"/>
        <v>0</v>
      </c>
      <c r="AQ106" s="50">
        <f t="shared" si="19"/>
        <v>0</v>
      </c>
      <c r="AR106" s="124"/>
      <c r="AS106" s="125"/>
      <c r="AT106" s="126"/>
      <c r="AU106" s="84">
        <f t="shared" si="36"/>
        <v>0</v>
      </c>
      <c r="AV106" s="127"/>
      <c r="AW106" s="128"/>
      <c r="AX106" s="128"/>
      <c r="AY106" s="125"/>
      <c r="AZ106" s="129"/>
    </row>
    <row r="107" spans="1:52" ht="16.5" thickBot="1" x14ac:dyDescent="0.3">
      <c r="A107" s="75">
        <v>355</v>
      </c>
      <c r="B107" s="75" t="s">
        <v>31</v>
      </c>
      <c r="C107" s="121">
        <v>14</v>
      </c>
      <c r="D107" s="26">
        <f t="shared" si="30"/>
        <v>4.666666666666667</v>
      </c>
      <c r="E107" s="27">
        <f t="shared" si="31"/>
        <v>4.666666666666667</v>
      </c>
      <c r="F107" s="29">
        <f t="shared" si="32"/>
        <v>4.666666666666667</v>
      </c>
      <c r="G107" s="30">
        <v>0</v>
      </c>
      <c r="H107" s="31">
        <v>0</v>
      </c>
      <c r="I107" s="32">
        <v>0</v>
      </c>
      <c r="J107" s="77"/>
      <c r="K107" s="33">
        <v>0</v>
      </c>
      <c r="L107" s="34">
        <v>0</v>
      </c>
      <c r="M107" s="34">
        <v>0</v>
      </c>
      <c r="N107" s="62"/>
      <c r="O107" s="34">
        <v>0</v>
      </c>
      <c r="P107" s="34">
        <v>0</v>
      </c>
      <c r="Q107" s="34">
        <v>0</v>
      </c>
      <c r="R107" s="62"/>
      <c r="S107" s="37">
        <v>0</v>
      </c>
      <c r="T107" s="34">
        <v>0</v>
      </c>
      <c r="U107" s="34">
        <v>0</v>
      </c>
      <c r="V107" s="62"/>
      <c r="W107" s="38">
        <v>0</v>
      </c>
      <c r="X107" s="31">
        <v>0</v>
      </c>
      <c r="Y107" s="31">
        <v>0</v>
      </c>
      <c r="Z107" s="78"/>
      <c r="AA107" s="37">
        <v>0</v>
      </c>
      <c r="AB107" s="34">
        <v>0</v>
      </c>
      <c r="AC107" s="34">
        <v>0</v>
      </c>
      <c r="AD107" s="64"/>
      <c r="AE107" s="122"/>
      <c r="AF107" s="123"/>
      <c r="AG107" s="43">
        <f t="shared" si="37"/>
        <v>0</v>
      </c>
      <c r="AH107" s="44">
        <f t="shared" si="37"/>
        <v>0</v>
      </c>
      <c r="AI107" s="44">
        <f t="shared" si="37"/>
        <v>0</v>
      </c>
      <c r="AJ107" s="45">
        <f t="shared" si="37"/>
        <v>0</v>
      </c>
      <c r="AK107" s="80">
        <f t="shared" si="17"/>
        <v>0</v>
      </c>
      <c r="AL107" s="47">
        <v>0.45</v>
      </c>
      <c r="AM107" s="48">
        <f t="shared" si="34"/>
        <v>0</v>
      </c>
      <c r="AN107" s="48">
        <f t="shared" si="35"/>
        <v>0</v>
      </c>
      <c r="AO107" s="49">
        <f t="shared" si="33"/>
        <v>0</v>
      </c>
      <c r="AP107" s="49">
        <f t="shared" si="18"/>
        <v>0</v>
      </c>
      <c r="AQ107" s="50">
        <f t="shared" si="19"/>
        <v>0</v>
      </c>
      <c r="AR107" s="124"/>
      <c r="AS107" s="125"/>
      <c r="AT107" s="126"/>
      <c r="AU107" s="84">
        <f t="shared" si="36"/>
        <v>0</v>
      </c>
      <c r="AV107" s="127"/>
      <c r="AW107" s="128"/>
      <c r="AX107" s="128"/>
      <c r="AY107" s="125"/>
      <c r="AZ107" s="129"/>
    </row>
    <row r="108" spans="1:52" ht="16.5" thickBot="1" x14ac:dyDescent="0.3">
      <c r="A108" s="75">
        <v>355</v>
      </c>
      <c r="B108" s="75" t="s">
        <v>47</v>
      </c>
      <c r="C108" s="121"/>
      <c r="D108" s="26">
        <f t="shared" si="30"/>
        <v>0</v>
      </c>
      <c r="E108" s="27">
        <f t="shared" si="31"/>
        <v>0</v>
      </c>
      <c r="F108" s="29">
        <f t="shared" si="32"/>
        <v>0</v>
      </c>
      <c r="G108" s="30">
        <v>0</v>
      </c>
      <c r="H108" s="31">
        <v>0</v>
      </c>
      <c r="I108" s="32">
        <v>0</v>
      </c>
      <c r="J108" s="77"/>
      <c r="K108" s="33">
        <v>0</v>
      </c>
      <c r="L108" s="34">
        <v>0</v>
      </c>
      <c r="M108" s="34">
        <v>0</v>
      </c>
      <c r="N108" s="62"/>
      <c r="O108" s="34">
        <v>0</v>
      </c>
      <c r="P108" s="34">
        <v>0</v>
      </c>
      <c r="Q108" s="34">
        <v>0</v>
      </c>
      <c r="R108" s="62"/>
      <c r="S108" s="37">
        <v>0</v>
      </c>
      <c r="T108" s="34">
        <v>0</v>
      </c>
      <c r="U108" s="34">
        <v>0</v>
      </c>
      <c r="V108" s="62"/>
      <c r="W108" s="38">
        <v>0</v>
      </c>
      <c r="X108" s="31">
        <v>0</v>
      </c>
      <c r="Y108" s="31">
        <v>0</v>
      </c>
      <c r="Z108" s="78"/>
      <c r="AA108" s="37">
        <v>0</v>
      </c>
      <c r="AB108" s="34">
        <v>0</v>
      </c>
      <c r="AC108" s="34">
        <v>0</v>
      </c>
      <c r="AD108" s="64"/>
      <c r="AE108" s="122"/>
      <c r="AF108" s="123"/>
      <c r="AG108" s="43">
        <f t="shared" si="37"/>
        <v>0</v>
      </c>
      <c r="AH108" s="44">
        <f t="shared" si="37"/>
        <v>0</v>
      </c>
      <c r="AI108" s="44">
        <f t="shared" si="37"/>
        <v>0</v>
      </c>
      <c r="AJ108" s="45">
        <f t="shared" si="37"/>
        <v>0</v>
      </c>
      <c r="AK108" s="80">
        <f t="shared" si="17"/>
        <v>0</v>
      </c>
      <c r="AL108" s="47">
        <v>0.45</v>
      </c>
      <c r="AM108" s="48">
        <f t="shared" si="34"/>
        <v>0</v>
      </c>
      <c r="AN108" s="48">
        <f t="shared" si="35"/>
        <v>0</v>
      </c>
      <c r="AO108" s="49">
        <f t="shared" si="33"/>
        <v>0</v>
      </c>
      <c r="AP108" s="49">
        <f t="shared" si="18"/>
        <v>0</v>
      </c>
      <c r="AQ108" s="50">
        <f t="shared" si="19"/>
        <v>0</v>
      </c>
      <c r="AR108" s="124"/>
      <c r="AS108" s="125"/>
      <c r="AT108" s="126"/>
      <c r="AU108" s="84">
        <f t="shared" si="36"/>
        <v>0</v>
      </c>
      <c r="AV108" s="127"/>
      <c r="AW108" s="128"/>
      <c r="AX108" s="128"/>
      <c r="AY108" s="125"/>
      <c r="AZ108" s="129"/>
    </row>
    <row r="109" spans="1:52" ht="16.5" thickBot="1" x14ac:dyDescent="0.3">
      <c r="A109" s="75">
        <v>355</v>
      </c>
      <c r="B109" s="75" t="s">
        <v>85</v>
      </c>
      <c r="C109" s="121"/>
      <c r="D109" s="26">
        <f t="shared" si="30"/>
        <v>0</v>
      </c>
      <c r="E109" s="27">
        <f t="shared" si="31"/>
        <v>0</v>
      </c>
      <c r="F109" s="29">
        <f t="shared" si="32"/>
        <v>0</v>
      </c>
      <c r="G109" s="30">
        <v>0</v>
      </c>
      <c r="H109" s="31">
        <v>0</v>
      </c>
      <c r="I109" s="32">
        <v>0</v>
      </c>
      <c r="J109" s="77"/>
      <c r="K109" s="33">
        <v>0</v>
      </c>
      <c r="L109" s="34">
        <v>0</v>
      </c>
      <c r="M109" s="34">
        <v>0</v>
      </c>
      <c r="N109" s="62"/>
      <c r="O109" s="34">
        <v>0</v>
      </c>
      <c r="P109" s="34">
        <v>0</v>
      </c>
      <c r="Q109" s="34">
        <v>0</v>
      </c>
      <c r="R109" s="62"/>
      <c r="S109" s="37">
        <v>0</v>
      </c>
      <c r="T109" s="34">
        <v>0</v>
      </c>
      <c r="U109" s="34">
        <v>0</v>
      </c>
      <c r="V109" s="62"/>
      <c r="W109" s="38">
        <v>0</v>
      </c>
      <c r="X109" s="31">
        <v>0</v>
      </c>
      <c r="Y109" s="31">
        <v>0</v>
      </c>
      <c r="Z109" s="78"/>
      <c r="AA109" s="37">
        <v>0</v>
      </c>
      <c r="AB109" s="34">
        <v>0</v>
      </c>
      <c r="AC109" s="34">
        <v>0</v>
      </c>
      <c r="AD109" s="64"/>
      <c r="AE109" s="122"/>
      <c r="AF109" s="123"/>
      <c r="AG109" s="43">
        <f t="shared" si="37"/>
        <v>0</v>
      </c>
      <c r="AH109" s="44">
        <f t="shared" si="37"/>
        <v>0</v>
      </c>
      <c r="AI109" s="44">
        <f t="shared" si="37"/>
        <v>0</v>
      </c>
      <c r="AJ109" s="45">
        <f t="shared" si="37"/>
        <v>0</v>
      </c>
      <c r="AK109" s="80">
        <f t="shared" si="17"/>
        <v>0</v>
      </c>
      <c r="AL109" s="47">
        <v>0.45</v>
      </c>
      <c r="AM109" s="48">
        <f t="shared" si="34"/>
        <v>0</v>
      </c>
      <c r="AN109" s="48">
        <f t="shared" si="35"/>
        <v>0</v>
      </c>
      <c r="AO109" s="49">
        <f t="shared" si="33"/>
        <v>0</v>
      </c>
      <c r="AP109" s="49">
        <f t="shared" si="18"/>
        <v>0</v>
      </c>
      <c r="AQ109" s="50">
        <f t="shared" si="19"/>
        <v>0</v>
      </c>
      <c r="AR109" s="124"/>
      <c r="AS109" s="125"/>
      <c r="AT109" s="126"/>
      <c r="AU109" s="84">
        <f t="shared" si="36"/>
        <v>0</v>
      </c>
      <c r="AV109" s="127"/>
      <c r="AW109" s="128"/>
      <c r="AX109" s="128"/>
      <c r="AY109" s="125"/>
      <c r="AZ109" s="129"/>
    </row>
    <row r="110" spans="1:52" ht="16.5" thickBot="1" x14ac:dyDescent="0.3">
      <c r="A110" s="75">
        <v>355</v>
      </c>
      <c r="B110" s="75" t="s">
        <v>89</v>
      </c>
      <c r="C110" s="121"/>
      <c r="D110" s="26">
        <f t="shared" si="30"/>
        <v>0</v>
      </c>
      <c r="E110" s="27">
        <f t="shared" si="31"/>
        <v>0</v>
      </c>
      <c r="F110" s="29">
        <f t="shared" si="32"/>
        <v>0</v>
      </c>
      <c r="G110" s="30">
        <v>0</v>
      </c>
      <c r="H110" s="31">
        <v>0</v>
      </c>
      <c r="I110" s="32">
        <v>0</v>
      </c>
      <c r="J110" s="130"/>
      <c r="K110" s="33">
        <v>0</v>
      </c>
      <c r="L110" s="34">
        <v>0</v>
      </c>
      <c r="M110" s="34">
        <v>0</v>
      </c>
      <c r="N110" s="62"/>
      <c r="O110" s="34">
        <v>0</v>
      </c>
      <c r="P110" s="34">
        <v>0</v>
      </c>
      <c r="Q110" s="34">
        <v>0</v>
      </c>
      <c r="R110" s="62"/>
      <c r="S110" s="37">
        <v>0</v>
      </c>
      <c r="T110" s="34">
        <v>0</v>
      </c>
      <c r="U110" s="34">
        <v>0</v>
      </c>
      <c r="V110" s="62"/>
      <c r="W110" s="38">
        <v>0</v>
      </c>
      <c r="X110" s="31">
        <v>0</v>
      </c>
      <c r="Y110" s="31">
        <v>0</v>
      </c>
      <c r="Z110" s="78"/>
      <c r="AA110" s="37">
        <v>0</v>
      </c>
      <c r="AB110" s="34">
        <v>0</v>
      </c>
      <c r="AC110" s="34">
        <v>0</v>
      </c>
      <c r="AD110" s="64"/>
      <c r="AE110" s="122"/>
      <c r="AF110" s="123"/>
      <c r="AG110" s="43">
        <f t="shared" si="37"/>
        <v>0</v>
      </c>
      <c r="AH110" s="44">
        <f t="shared" si="37"/>
        <v>0</v>
      </c>
      <c r="AI110" s="44">
        <f t="shared" si="37"/>
        <v>0</v>
      </c>
      <c r="AJ110" s="45">
        <f t="shared" si="37"/>
        <v>0</v>
      </c>
      <c r="AK110" s="80">
        <f t="shared" si="17"/>
        <v>0</v>
      </c>
      <c r="AL110" s="47">
        <v>0.45</v>
      </c>
      <c r="AM110" s="48">
        <f t="shared" si="34"/>
        <v>0</v>
      </c>
      <c r="AN110" s="48">
        <f t="shared" si="35"/>
        <v>0</v>
      </c>
      <c r="AO110" s="49">
        <f t="shared" si="33"/>
        <v>0</v>
      </c>
      <c r="AP110" s="49">
        <f t="shared" si="18"/>
        <v>0</v>
      </c>
      <c r="AQ110" s="50">
        <f t="shared" si="19"/>
        <v>0</v>
      </c>
      <c r="AR110" s="124"/>
      <c r="AS110" s="125"/>
      <c r="AT110" s="126"/>
      <c r="AU110" s="84">
        <f t="shared" si="36"/>
        <v>0</v>
      </c>
      <c r="AV110" s="127"/>
      <c r="AW110" s="128"/>
      <c r="AX110" s="128"/>
      <c r="AY110" s="125"/>
      <c r="AZ110" s="129"/>
    </row>
    <row r="111" spans="1:52" ht="16.5" thickBot="1" x14ac:dyDescent="0.3">
      <c r="A111" s="75">
        <v>145</v>
      </c>
      <c r="B111" s="131" t="s">
        <v>79</v>
      </c>
      <c r="C111" s="132"/>
      <c r="D111" s="26">
        <f t="shared" si="30"/>
        <v>0</v>
      </c>
      <c r="E111" s="27">
        <f t="shared" si="31"/>
        <v>0</v>
      </c>
      <c r="F111" s="29">
        <f t="shared" si="32"/>
        <v>0</v>
      </c>
      <c r="G111" s="30">
        <v>0</v>
      </c>
      <c r="H111" s="31">
        <v>0</v>
      </c>
      <c r="I111" s="32">
        <v>0</v>
      </c>
      <c r="J111" s="130"/>
      <c r="K111" s="33">
        <v>0</v>
      </c>
      <c r="L111" s="34">
        <v>0</v>
      </c>
      <c r="M111" s="34">
        <v>0</v>
      </c>
      <c r="N111" s="62"/>
      <c r="O111" s="34">
        <v>0</v>
      </c>
      <c r="P111" s="34">
        <v>0</v>
      </c>
      <c r="Q111" s="34">
        <v>0</v>
      </c>
      <c r="R111" s="62"/>
      <c r="S111" s="37">
        <v>0</v>
      </c>
      <c r="T111" s="34">
        <v>0</v>
      </c>
      <c r="U111" s="34">
        <v>0</v>
      </c>
      <c r="V111" s="62"/>
      <c r="W111" s="38">
        <v>0</v>
      </c>
      <c r="X111" s="31">
        <v>0</v>
      </c>
      <c r="Y111" s="31">
        <v>0</v>
      </c>
      <c r="Z111" s="78"/>
      <c r="AA111" s="37">
        <v>0</v>
      </c>
      <c r="AB111" s="34">
        <v>0</v>
      </c>
      <c r="AC111" s="34">
        <v>0</v>
      </c>
      <c r="AD111" s="64"/>
      <c r="AE111" s="122"/>
      <c r="AF111" s="123"/>
      <c r="AG111" s="43">
        <f t="shared" si="37"/>
        <v>0</v>
      </c>
      <c r="AH111" s="44">
        <f t="shared" si="37"/>
        <v>0</v>
      </c>
      <c r="AI111" s="44">
        <f t="shared" si="37"/>
        <v>0</v>
      </c>
      <c r="AJ111" s="45">
        <f t="shared" si="37"/>
        <v>0</v>
      </c>
      <c r="AK111" s="80">
        <f t="shared" si="17"/>
        <v>0</v>
      </c>
      <c r="AL111" s="47">
        <v>0.25</v>
      </c>
      <c r="AM111" s="48">
        <f t="shared" si="34"/>
        <v>0</v>
      </c>
      <c r="AN111" s="48">
        <f t="shared" si="35"/>
        <v>0</v>
      </c>
      <c r="AO111" s="49">
        <f t="shared" si="33"/>
        <v>0</v>
      </c>
      <c r="AP111" s="49">
        <f t="shared" si="18"/>
        <v>0</v>
      </c>
      <c r="AQ111" s="50">
        <f t="shared" si="19"/>
        <v>0</v>
      </c>
      <c r="AR111" s="124"/>
      <c r="AS111" s="125"/>
      <c r="AT111" s="126"/>
      <c r="AU111" s="84">
        <f t="shared" si="36"/>
        <v>0</v>
      </c>
      <c r="AV111" s="127"/>
      <c r="AW111" s="128"/>
      <c r="AX111" s="128"/>
      <c r="AY111" s="125"/>
      <c r="AZ111" s="129"/>
    </row>
    <row r="112" spans="1:52" ht="16.5" thickBot="1" x14ac:dyDescent="0.3">
      <c r="A112" s="75"/>
      <c r="B112" s="131" t="s">
        <v>77</v>
      </c>
      <c r="C112" s="132"/>
      <c r="D112" s="26">
        <f t="shared" si="30"/>
        <v>0</v>
      </c>
      <c r="E112" s="27">
        <f t="shared" si="31"/>
        <v>0</v>
      </c>
      <c r="F112" s="29">
        <f t="shared" si="32"/>
        <v>0</v>
      </c>
      <c r="G112" s="30">
        <v>0</v>
      </c>
      <c r="H112" s="31">
        <v>0</v>
      </c>
      <c r="I112" s="32">
        <v>0</v>
      </c>
      <c r="J112" s="130"/>
      <c r="K112" s="33">
        <v>0</v>
      </c>
      <c r="L112" s="34">
        <v>0</v>
      </c>
      <c r="M112" s="34">
        <v>0</v>
      </c>
      <c r="N112" s="62"/>
      <c r="O112" s="34">
        <v>0</v>
      </c>
      <c r="P112" s="34">
        <v>0</v>
      </c>
      <c r="Q112" s="34">
        <v>0</v>
      </c>
      <c r="R112" s="62"/>
      <c r="S112" s="37">
        <v>0</v>
      </c>
      <c r="T112" s="34">
        <v>0</v>
      </c>
      <c r="U112" s="34">
        <v>0</v>
      </c>
      <c r="V112" s="62"/>
      <c r="W112" s="38">
        <v>0</v>
      </c>
      <c r="X112" s="31">
        <v>0</v>
      </c>
      <c r="Y112" s="31">
        <v>0</v>
      </c>
      <c r="Z112" s="78"/>
      <c r="AA112" s="37">
        <v>0</v>
      </c>
      <c r="AB112" s="34">
        <v>0</v>
      </c>
      <c r="AC112" s="34">
        <v>0</v>
      </c>
      <c r="AD112" s="64"/>
      <c r="AE112" s="122"/>
      <c r="AF112" s="123"/>
      <c r="AG112" s="43">
        <f t="shared" si="37"/>
        <v>0</v>
      </c>
      <c r="AH112" s="44">
        <f t="shared" si="37"/>
        <v>0</v>
      </c>
      <c r="AI112" s="44">
        <f t="shared" si="37"/>
        <v>0</v>
      </c>
      <c r="AJ112" s="45">
        <f t="shared" si="37"/>
        <v>0</v>
      </c>
      <c r="AK112" s="80">
        <f t="shared" si="17"/>
        <v>0</v>
      </c>
      <c r="AL112" s="47">
        <v>0.25</v>
      </c>
      <c r="AM112" s="48">
        <f t="shared" si="34"/>
        <v>0</v>
      </c>
      <c r="AN112" s="48">
        <f t="shared" si="35"/>
        <v>0</v>
      </c>
      <c r="AO112" s="49">
        <f t="shared" si="33"/>
        <v>0</v>
      </c>
      <c r="AP112" s="49">
        <f t="shared" si="18"/>
        <v>0</v>
      </c>
      <c r="AQ112" s="50">
        <f t="shared" si="19"/>
        <v>0</v>
      </c>
      <c r="AR112" s="124"/>
      <c r="AS112" s="125"/>
      <c r="AT112" s="126"/>
      <c r="AU112" s="84"/>
      <c r="AV112" s="127"/>
      <c r="AW112" s="128"/>
      <c r="AX112" s="128"/>
      <c r="AY112" s="125"/>
      <c r="AZ112" s="129"/>
    </row>
    <row r="113" spans="1:52" ht="16.5" thickBot="1" x14ac:dyDescent="0.3">
      <c r="A113" s="75"/>
      <c r="B113" s="131" t="s">
        <v>81</v>
      </c>
      <c r="C113" s="132"/>
      <c r="D113" s="26">
        <f t="shared" si="30"/>
        <v>0</v>
      </c>
      <c r="E113" s="27">
        <f t="shared" si="31"/>
        <v>0</v>
      </c>
      <c r="F113" s="29">
        <f t="shared" si="32"/>
        <v>0</v>
      </c>
      <c r="G113" s="30">
        <v>0</v>
      </c>
      <c r="H113" s="31">
        <v>0</v>
      </c>
      <c r="I113" s="32">
        <v>0</v>
      </c>
      <c r="J113" s="130"/>
      <c r="K113" s="33">
        <v>0</v>
      </c>
      <c r="L113" s="34">
        <v>0</v>
      </c>
      <c r="M113" s="34">
        <v>0</v>
      </c>
      <c r="N113" s="62"/>
      <c r="O113" s="34">
        <v>0</v>
      </c>
      <c r="P113" s="34">
        <v>0</v>
      </c>
      <c r="Q113" s="34">
        <v>0</v>
      </c>
      <c r="R113" s="62"/>
      <c r="S113" s="37">
        <v>0</v>
      </c>
      <c r="T113" s="34">
        <v>0</v>
      </c>
      <c r="U113" s="34">
        <v>0</v>
      </c>
      <c r="V113" s="62"/>
      <c r="W113" s="38">
        <v>0</v>
      </c>
      <c r="X113" s="31">
        <v>0</v>
      </c>
      <c r="Y113" s="31">
        <v>0</v>
      </c>
      <c r="Z113" s="78"/>
      <c r="AA113" s="37">
        <v>0</v>
      </c>
      <c r="AB113" s="34">
        <v>0</v>
      </c>
      <c r="AC113" s="34">
        <v>0</v>
      </c>
      <c r="AD113" s="64"/>
      <c r="AE113" s="122"/>
      <c r="AF113" s="123"/>
      <c r="AG113" s="43">
        <f t="shared" si="37"/>
        <v>0</v>
      </c>
      <c r="AH113" s="44">
        <f t="shared" si="37"/>
        <v>0</v>
      </c>
      <c r="AI113" s="44">
        <f t="shared" si="37"/>
        <v>0</v>
      </c>
      <c r="AJ113" s="45">
        <f t="shared" si="37"/>
        <v>0</v>
      </c>
      <c r="AK113" s="80">
        <f t="shared" si="17"/>
        <v>0</v>
      </c>
      <c r="AL113" s="47">
        <v>0.25</v>
      </c>
      <c r="AM113" s="48">
        <f t="shared" si="34"/>
        <v>0</v>
      </c>
      <c r="AN113" s="48">
        <f t="shared" si="35"/>
        <v>0</v>
      </c>
      <c r="AO113" s="49">
        <f t="shared" si="33"/>
        <v>0</v>
      </c>
      <c r="AP113" s="49">
        <f t="shared" si="18"/>
        <v>0</v>
      </c>
      <c r="AQ113" s="50">
        <f t="shared" si="19"/>
        <v>0</v>
      </c>
      <c r="AR113" s="124"/>
      <c r="AS113" s="125"/>
      <c r="AT113" s="126"/>
      <c r="AU113" s="84"/>
      <c r="AV113" s="127"/>
      <c r="AW113" s="128"/>
      <c r="AX113" s="128"/>
      <c r="AY113" s="125"/>
      <c r="AZ113" s="129"/>
    </row>
    <row r="114" spans="1:52" ht="16.5" thickBot="1" x14ac:dyDescent="0.3">
      <c r="A114" s="75"/>
      <c r="B114" s="131" t="s">
        <v>75</v>
      </c>
      <c r="C114" s="132"/>
      <c r="D114" s="26">
        <f t="shared" si="30"/>
        <v>0</v>
      </c>
      <c r="E114" s="27">
        <f t="shared" si="31"/>
        <v>0</v>
      </c>
      <c r="F114" s="29">
        <f t="shared" si="32"/>
        <v>0</v>
      </c>
      <c r="G114" s="30">
        <v>0</v>
      </c>
      <c r="H114" s="31">
        <v>0</v>
      </c>
      <c r="I114" s="32">
        <v>0</v>
      </c>
      <c r="J114" s="130"/>
      <c r="K114" s="33">
        <v>0</v>
      </c>
      <c r="L114" s="34">
        <v>0</v>
      </c>
      <c r="M114" s="34">
        <v>0</v>
      </c>
      <c r="N114" s="62"/>
      <c r="O114" s="34">
        <v>0</v>
      </c>
      <c r="P114" s="34">
        <v>0</v>
      </c>
      <c r="Q114" s="34">
        <v>0</v>
      </c>
      <c r="R114" s="62"/>
      <c r="S114" s="37">
        <v>0</v>
      </c>
      <c r="T114" s="34">
        <v>0</v>
      </c>
      <c r="U114" s="34">
        <v>0</v>
      </c>
      <c r="V114" s="62"/>
      <c r="W114" s="38">
        <v>0</v>
      </c>
      <c r="X114" s="31">
        <v>0</v>
      </c>
      <c r="Y114" s="31">
        <v>0</v>
      </c>
      <c r="Z114" s="78"/>
      <c r="AA114" s="37">
        <v>0</v>
      </c>
      <c r="AB114" s="34">
        <v>0</v>
      </c>
      <c r="AC114" s="34">
        <v>0</v>
      </c>
      <c r="AD114" s="64"/>
      <c r="AE114" s="122"/>
      <c r="AF114" s="123"/>
      <c r="AG114" s="43">
        <f t="shared" si="37"/>
        <v>0</v>
      </c>
      <c r="AH114" s="44">
        <f t="shared" si="37"/>
        <v>0</v>
      </c>
      <c r="AI114" s="44">
        <f t="shared" si="37"/>
        <v>0</v>
      </c>
      <c r="AJ114" s="45">
        <f t="shared" si="37"/>
        <v>0</v>
      </c>
      <c r="AK114" s="80">
        <f t="shared" si="17"/>
        <v>0</v>
      </c>
      <c r="AL114" s="47">
        <v>0.25</v>
      </c>
      <c r="AM114" s="48">
        <f t="shared" si="34"/>
        <v>0</v>
      </c>
      <c r="AN114" s="48">
        <f t="shared" si="35"/>
        <v>0</v>
      </c>
      <c r="AO114" s="49">
        <f t="shared" si="33"/>
        <v>0</v>
      </c>
      <c r="AP114" s="49">
        <f t="shared" si="18"/>
        <v>0</v>
      </c>
      <c r="AQ114" s="50">
        <f t="shared" si="19"/>
        <v>0</v>
      </c>
      <c r="AR114" s="124"/>
      <c r="AS114" s="125"/>
      <c r="AT114" s="126"/>
      <c r="AU114" s="84"/>
      <c r="AV114" s="127"/>
      <c r="AW114" s="128"/>
      <c r="AX114" s="128"/>
      <c r="AY114" s="125"/>
      <c r="AZ114" s="129"/>
    </row>
    <row r="115" spans="1:52" ht="16.5" thickBot="1" x14ac:dyDescent="0.3">
      <c r="A115" s="75"/>
      <c r="B115" s="131" t="s">
        <v>82</v>
      </c>
      <c r="C115" s="132"/>
      <c r="D115" s="26">
        <f t="shared" si="30"/>
        <v>0</v>
      </c>
      <c r="E115" s="27">
        <f t="shared" si="31"/>
        <v>0</v>
      </c>
      <c r="F115" s="29">
        <f t="shared" si="32"/>
        <v>0</v>
      </c>
      <c r="G115" s="30">
        <v>0</v>
      </c>
      <c r="H115" s="31">
        <v>0</v>
      </c>
      <c r="I115" s="32">
        <v>0</v>
      </c>
      <c r="J115" s="130"/>
      <c r="K115" s="33">
        <v>0</v>
      </c>
      <c r="L115" s="34">
        <v>0</v>
      </c>
      <c r="M115" s="34">
        <v>0</v>
      </c>
      <c r="N115" s="62"/>
      <c r="O115" s="34">
        <v>0</v>
      </c>
      <c r="P115" s="34">
        <v>0</v>
      </c>
      <c r="Q115" s="34">
        <v>0</v>
      </c>
      <c r="R115" s="62"/>
      <c r="S115" s="37">
        <v>0</v>
      </c>
      <c r="T115" s="34">
        <v>0</v>
      </c>
      <c r="U115" s="34">
        <v>0</v>
      </c>
      <c r="V115" s="62"/>
      <c r="W115" s="38">
        <v>0</v>
      </c>
      <c r="X115" s="31">
        <v>0</v>
      </c>
      <c r="Y115" s="31">
        <v>0</v>
      </c>
      <c r="Z115" s="78"/>
      <c r="AA115" s="37">
        <v>0</v>
      </c>
      <c r="AB115" s="34">
        <v>0</v>
      </c>
      <c r="AC115" s="34">
        <v>0</v>
      </c>
      <c r="AD115" s="64"/>
      <c r="AE115" s="122"/>
      <c r="AF115" s="123"/>
      <c r="AG115" s="43">
        <f t="shared" si="37"/>
        <v>0</v>
      </c>
      <c r="AH115" s="44">
        <f t="shared" si="37"/>
        <v>0</v>
      </c>
      <c r="AI115" s="44">
        <f t="shared" si="37"/>
        <v>0</v>
      </c>
      <c r="AJ115" s="45">
        <f t="shared" si="37"/>
        <v>0</v>
      </c>
      <c r="AK115" s="80">
        <f t="shared" si="17"/>
        <v>0</v>
      </c>
      <c r="AL115" s="47">
        <v>0.25</v>
      </c>
      <c r="AM115" s="48">
        <f t="shared" si="34"/>
        <v>0</v>
      </c>
      <c r="AN115" s="48">
        <f t="shared" si="35"/>
        <v>0</v>
      </c>
      <c r="AO115" s="49">
        <f t="shared" si="33"/>
        <v>0</v>
      </c>
      <c r="AP115" s="49">
        <f t="shared" si="18"/>
        <v>0</v>
      </c>
      <c r="AQ115" s="50">
        <f t="shared" si="19"/>
        <v>0</v>
      </c>
      <c r="AR115" s="124"/>
      <c r="AS115" s="125"/>
      <c r="AT115" s="126"/>
      <c r="AU115" s="84"/>
      <c r="AV115" s="127"/>
      <c r="AW115" s="128"/>
      <c r="AX115" s="128"/>
      <c r="AY115" s="125"/>
      <c r="AZ115" s="129"/>
    </row>
    <row r="116" spans="1:52" ht="16.5" thickBot="1" x14ac:dyDescent="0.3">
      <c r="A116" s="75"/>
      <c r="B116" s="131" t="s">
        <v>78</v>
      </c>
      <c r="C116" s="132"/>
      <c r="D116" s="26">
        <f t="shared" si="30"/>
        <v>0</v>
      </c>
      <c r="E116" s="27">
        <f t="shared" si="31"/>
        <v>0</v>
      </c>
      <c r="F116" s="29">
        <f t="shared" si="32"/>
        <v>0</v>
      </c>
      <c r="G116" s="30">
        <v>0</v>
      </c>
      <c r="H116" s="31">
        <v>0</v>
      </c>
      <c r="I116" s="32">
        <v>0</v>
      </c>
      <c r="J116" s="130"/>
      <c r="K116" s="33">
        <v>0</v>
      </c>
      <c r="L116" s="34">
        <v>0</v>
      </c>
      <c r="M116" s="34">
        <v>0</v>
      </c>
      <c r="N116" s="62"/>
      <c r="O116" s="34">
        <v>0</v>
      </c>
      <c r="P116" s="34">
        <v>0</v>
      </c>
      <c r="Q116" s="34">
        <v>0</v>
      </c>
      <c r="R116" s="62"/>
      <c r="S116" s="37">
        <v>0</v>
      </c>
      <c r="T116" s="34">
        <v>0</v>
      </c>
      <c r="U116" s="34">
        <v>0</v>
      </c>
      <c r="V116" s="62"/>
      <c r="W116" s="38">
        <v>0</v>
      </c>
      <c r="X116" s="31">
        <v>0</v>
      </c>
      <c r="Y116" s="31">
        <v>0</v>
      </c>
      <c r="Z116" s="78"/>
      <c r="AA116" s="37">
        <v>0</v>
      </c>
      <c r="AB116" s="34">
        <v>0</v>
      </c>
      <c r="AC116" s="34">
        <v>0</v>
      </c>
      <c r="AD116" s="64"/>
      <c r="AE116" s="122"/>
      <c r="AF116" s="123"/>
      <c r="AG116" s="43">
        <f t="shared" si="37"/>
        <v>0</v>
      </c>
      <c r="AH116" s="44">
        <f t="shared" si="37"/>
        <v>0</v>
      </c>
      <c r="AI116" s="44">
        <f t="shared" si="37"/>
        <v>0</v>
      </c>
      <c r="AJ116" s="45">
        <f t="shared" si="37"/>
        <v>0</v>
      </c>
      <c r="AK116" s="80">
        <f t="shared" si="17"/>
        <v>0</v>
      </c>
      <c r="AL116" s="47">
        <v>0.25</v>
      </c>
      <c r="AM116" s="48">
        <f t="shared" si="34"/>
        <v>0</v>
      </c>
      <c r="AN116" s="48">
        <f t="shared" si="35"/>
        <v>0</v>
      </c>
      <c r="AO116" s="49">
        <f t="shared" si="33"/>
        <v>0</v>
      </c>
      <c r="AP116" s="49">
        <f t="shared" si="18"/>
        <v>0</v>
      </c>
      <c r="AQ116" s="50">
        <f t="shared" si="19"/>
        <v>0</v>
      </c>
      <c r="AR116" s="124"/>
      <c r="AS116" s="125"/>
      <c r="AT116" s="126"/>
      <c r="AU116" s="84"/>
      <c r="AV116" s="127"/>
      <c r="AW116" s="128"/>
      <c r="AX116" s="128"/>
      <c r="AY116" s="125"/>
      <c r="AZ116" s="129"/>
    </row>
    <row r="117" spans="1:52" ht="16.5" thickBot="1" x14ac:dyDescent="0.3">
      <c r="A117" s="75"/>
      <c r="B117" s="131" t="s">
        <v>90</v>
      </c>
      <c r="C117" s="132"/>
      <c r="D117" s="26">
        <f t="shared" si="30"/>
        <v>0</v>
      </c>
      <c r="E117" s="27">
        <f t="shared" si="31"/>
        <v>0</v>
      </c>
      <c r="F117" s="29">
        <f t="shared" si="32"/>
        <v>0</v>
      </c>
      <c r="G117" s="30">
        <v>0</v>
      </c>
      <c r="H117" s="31">
        <v>0</v>
      </c>
      <c r="I117" s="32">
        <v>0</v>
      </c>
      <c r="J117" s="130"/>
      <c r="K117" s="33">
        <v>0</v>
      </c>
      <c r="L117" s="34">
        <v>0</v>
      </c>
      <c r="M117" s="34">
        <v>0</v>
      </c>
      <c r="N117" s="62"/>
      <c r="O117" s="34">
        <v>0</v>
      </c>
      <c r="P117" s="34">
        <v>0</v>
      </c>
      <c r="Q117" s="34">
        <v>0</v>
      </c>
      <c r="R117" s="62"/>
      <c r="S117" s="37">
        <v>0</v>
      </c>
      <c r="T117" s="34">
        <v>0</v>
      </c>
      <c r="U117" s="34">
        <v>0</v>
      </c>
      <c r="V117" s="62"/>
      <c r="W117" s="38">
        <v>0</v>
      </c>
      <c r="X117" s="31">
        <v>0</v>
      </c>
      <c r="Y117" s="31">
        <v>0</v>
      </c>
      <c r="Z117" s="78"/>
      <c r="AA117" s="37">
        <v>0</v>
      </c>
      <c r="AB117" s="34">
        <v>0</v>
      </c>
      <c r="AC117" s="34">
        <v>0</v>
      </c>
      <c r="AD117" s="64"/>
      <c r="AE117" s="122"/>
      <c r="AF117" s="123"/>
      <c r="AG117" s="43">
        <f t="shared" si="37"/>
        <v>0</v>
      </c>
      <c r="AH117" s="44">
        <f t="shared" si="37"/>
        <v>0</v>
      </c>
      <c r="AI117" s="44">
        <f t="shared" si="37"/>
        <v>0</v>
      </c>
      <c r="AJ117" s="45">
        <f t="shared" si="37"/>
        <v>0</v>
      </c>
      <c r="AK117" s="80">
        <f t="shared" si="17"/>
        <v>0</v>
      </c>
      <c r="AL117" s="47">
        <v>0.25</v>
      </c>
      <c r="AM117" s="48">
        <f t="shared" si="34"/>
        <v>0</v>
      </c>
      <c r="AN117" s="48">
        <f t="shared" si="35"/>
        <v>0</v>
      </c>
      <c r="AO117" s="49">
        <f t="shared" si="33"/>
        <v>0</v>
      </c>
      <c r="AP117" s="49">
        <f t="shared" si="18"/>
        <v>0</v>
      </c>
      <c r="AQ117" s="50">
        <f t="shared" si="19"/>
        <v>0</v>
      </c>
      <c r="AR117" s="124"/>
      <c r="AS117" s="125"/>
      <c r="AT117" s="126"/>
      <c r="AU117" s="84"/>
      <c r="AV117" s="127"/>
      <c r="AW117" s="128"/>
      <c r="AX117" s="128"/>
      <c r="AY117" s="125"/>
      <c r="AZ117" s="129"/>
    </row>
    <row r="118" spans="1:52" ht="16.5" thickBot="1" x14ac:dyDescent="0.3">
      <c r="A118" s="75">
        <v>250</v>
      </c>
      <c r="B118" s="75" t="s">
        <v>26</v>
      </c>
      <c r="C118" s="133"/>
      <c r="D118" s="26">
        <f t="shared" si="30"/>
        <v>0</v>
      </c>
      <c r="E118" s="27">
        <f t="shared" si="31"/>
        <v>0</v>
      </c>
      <c r="F118" s="29">
        <f t="shared" si="32"/>
        <v>0</v>
      </c>
      <c r="G118" s="30">
        <v>0</v>
      </c>
      <c r="H118" s="31">
        <v>0</v>
      </c>
      <c r="I118" s="32">
        <v>0</v>
      </c>
      <c r="J118" s="130"/>
      <c r="K118" s="33">
        <v>0</v>
      </c>
      <c r="L118" s="34">
        <v>0</v>
      </c>
      <c r="M118" s="34">
        <v>0</v>
      </c>
      <c r="N118" s="62"/>
      <c r="O118" s="34">
        <v>0</v>
      </c>
      <c r="P118" s="34">
        <v>0</v>
      </c>
      <c r="Q118" s="34">
        <v>0</v>
      </c>
      <c r="R118" s="62"/>
      <c r="S118" s="37">
        <v>0</v>
      </c>
      <c r="T118" s="34">
        <v>0</v>
      </c>
      <c r="U118" s="34">
        <v>0</v>
      </c>
      <c r="V118" s="62"/>
      <c r="W118" s="38">
        <v>0</v>
      </c>
      <c r="X118" s="31">
        <v>0</v>
      </c>
      <c r="Y118" s="31">
        <v>0</v>
      </c>
      <c r="Z118" s="78"/>
      <c r="AA118" s="37">
        <v>0</v>
      </c>
      <c r="AB118" s="34">
        <v>0</v>
      </c>
      <c r="AC118" s="34">
        <v>0</v>
      </c>
      <c r="AD118" s="64"/>
      <c r="AE118" s="122"/>
      <c r="AF118" s="123"/>
      <c r="AG118" s="43">
        <f t="shared" si="37"/>
        <v>0</v>
      </c>
      <c r="AH118" s="44">
        <f t="shared" si="37"/>
        <v>0</v>
      </c>
      <c r="AI118" s="44">
        <f t="shared" si="37"/>
        <v>0</v>
      </c>
      <c r="AJ118" s="45">
        <f t="shared" si="37"/>
        <v>0</v>
      </c>
      <c r="AK118" s="80">
        <f t="shared" si="17"/>
        <v>0</v>
      </c>
      <c r="AL118" s="47">
        <v>1</v>
      </c>
      <c r="AM118" s="48">
        <f t="shared" si="34"/>
        <v>0</v>
      </c>
      <c r="AN118" s="48">
        <f t="shared" si="35"/>
        <v>0</v>
      </c>
      <c r="AO118" s="49">
        <f t="shared" si="33"/>
        <v>0</v>
      </c>
      <c r="AP118" s="49">
        <f t="shared" si="18"/>
        <v>0</v>
      </c>
      <c r="AQ118" s="50">
        <f t="shared" si="19"/>
        <v>0</v>
      </c>
      <c r="AR118" s="124"/>
      <c r="AS118" s="125"/>
      <c r="AT118" s="126"/>
      <c r="AU118" s="84">
        <f>AK118*AL118</f>
        <v>0</v>
      </c>
      <c r="AV118" s="127"/>
      <c r="AW118" s="128"/>
      <c r="AX118" s="128"/>
      <c r="AY118" s="125"/>
      <c r="AZ118" s="129"/>
    </row>
    <row r="119" spans="1:52" ht="16.5" thickBot="1" x14ac:dyDescent="0.3">
      <c r="A119" s="75">
        <v>250</v>
      </c>
      <c r="B119" s="75" t="s">
        <v>91</v>
      </c>
      <c r="C119" s="133"/>
      <c r="D119" s="26">
        <f t="shared" si="30"/>
        <v>0</v>
      </c>
      <c r="E119" s="27">
        <f t="shared" si="31"/>
        <v>0</v>
      </c>
      <c r="F119" s="29">
        <f t="shared" si="32"/>
        <v>0</v>
      </c>
      <c r="G119" s="30">
        <v>0</v>
      </c>
      <c r="H119" s="31">
        <v>0</v>
      </c>
      <c r="I119" s="32">
        <v>0</v>
      </c>
      <c r="J119" s="130"/>
      <c r="K119" s="33">
        <v>0</v>
      </c>
      <c r="L119" s="34">
        <v>0</v>
      </c>
      <c r="M119" s="34">
        <v>0</v>
      </c>
      <c r="N119" s="62"/>
      <c r="O119" s="34">
        <v>0</v>
      </c>
      <c r="P119" s="34">
        <v>0</v>
      </c>
      <c r="Q119" s="34">
        <v>0</v>
      </c>
      <c r="R119" s="62"/>
      <c r="S119" s="37">
        <v>0</v>
      </c>
      <c r="T119" s="34">
        <v>0</v>
      </c>
      <c r="U119" s="34">
        <v>0</v>
      </c>
      <c r="V119" s="62"/>
      <c r="W119" s="38">
        <v>0</v>
      </c>
      <c r="X119" s="31">
        <v>0</v>
      </c>
      <c r="Y119" s="31">
        <v>0</v>
      </c>
      <c r="Z119" s="78"/>
      <c r="AA119" s="37">
        <v>0</v>
      </c>
      <c r="AB119" s="34">
        <v>0</v>
      </c>
      <c r="AC119" s="34">
        <v>0</v>
      </c>
      <c r="AD119" s="64"/>
      <c r="AE119" s="122"/>
      <c r="AF119" s="123"/>
      <c r="AG119" s="43">
        <f t="shared" si="37"/>
        <v>0</v>
      </c>
      <c r="AH119" s="44">
        <f t="shared" si="37"/>
        <v>0</v>
      </c>
      <c r="AI119" s="44">
        <f t="shared" si="37"/>
        <v>0</v>
      </c>
      <c r="AJ119" s="45">
        <f t="shared" si="37"/>
        <v>0</v>
      </c>
      <c r="AK119" s="80">
        <f t="shared" si="17"/>
        <v>0</v>
      </c>
      <c r="AL119" s="47">
        <v>0.5</v>
      </c>
      <c r="AM119" s="48">
        <f t="shared" si="34"/>
        <v>0</v>
      </c>
      <c r="AN119" s="48">
        <f t="shared" si="35"/>
        <v>0</v>
      </c>
      <c r="AO119" s="49">
        <f t="shared" si="33"/>
        <v>0</v>
      </c>
      <c r="AP119" s="49">
        <f t="shared" si="18"/>
        <v>0</v>
      </c>
      <c r="AQ119" s="50">
        <f t="shared" si="19"/>
        <v>0</v>
      </c>
      <c r="AR119" s="124"/>
      <c r="AS119" s="125"/>
      <c r="AT119" s="126"/>
      <c r="AU119" s="84"/>
      <c r="AV119" s="127"/>
      <c r="AW119" s="128"/>
      <c r="AX119" s="128"/>
      <c r="AY119" s="125"/>
      <c r="AZ119" s="129"/>
    </row>
    <row r="120" spans="1:52" ht="16.5" thickBot="1" x14ac:dyDescent="0.3">
      <c r="A120" s="75">
        <v>1000</v>
      </c>
      <c r="B120" s="75" t="s">
        <v>91</v>
      </c>
      <c r="C120" s="133"/>
      <c r="D120" s="26">
        <f t="shared" si="30"/>
        <v>0</v>
      </c>
      <c r="E120" s="27">
        <f t="shared" si="31"/>
        <v>0</v>
      </c>
      <c r="F120" s="29">
        <f t="shared" si="32"/>
        <v>0</v>
      </c>
      <c r="G120" s="30">
        <v>0</v>
      </c>
      <c r="H120" s="31">
        <v>0</v>
      </c>
      <c r="I120" s="32">
        <v>0</v>
      </c>
      <c r="J120" s="130"/>
      <c r="K120" s="33">
        <v>0</v>
      </c>
      <c r="L120" s="34">
        <v>0</v>
      </c>
      <c r="M120" s="34">
        <v>0</v>
      </c>
      <c r="N120" s="62"/>
      <c r="O120" s="34">
        <v>0</v>
      </c>
      <c r="P120" s="34">
        <v>0</v>
      </c>
      <c r="Q120" s="34">
        <v>0</v>
      </c>
      <c r="R120" s="62"/>
      <c r="S120" s="37">
        <v>0</v>
      </c>
      <c r="T120" s="34">
        <v>0</v>
      </c>
      <c r="U120" s="34">
        <v>0</v>
      </c>
      <c r="V120" s="62"/>
      <c r="W120" s="38">
        <v>0</v>
      </c>
      <c r="X120" s="31">
        <v>0</v>
      </c>
      <c r="Y120" s="31">
        <v>0</v>
      </c>
      <c r="Z120" s="78"/>
      <c r="AA120" s="37">
        <v>0</v>
      </c>
      <c r="AB120" s="34">
        <v>0</v>
      </c>
      <c r="AC120" s="34">
        <v>0</v>
      </c>
      <c r="AD120" s="64"/>
      <c r="AE120" s="122"/>
      <c r="AF120" s="123"/>
      <c r="AG120" s="43">
        <f t="shared" si="37"/>
        <v>0</v>
      </c>
      <c r="AH120" s="44">
        <f t="shared" si="37"/>
        <v>0</v>
      </c>
      <c r="AI120" s="44">
        <f t="shared" si="37"/>
        <v>0</v>
      </c>
      <c r="AJ120" s="45">
        <f t="shared" si="37"/>
        <v>0</v>
      </c>
      <c r="AK120" s="80">
        <f t="shared" si="17"/>
        <v>0</v>
      </c>
      <c r="AL120" s="47">
        <v>0.5</v>
      </c>
      <c r="AM120" s="48">
        <f t="shared" si="34"/>
        <v>0</v>
      </c>
      <c r="AN120" s="48">
        <f t="shared" si="35"/>
        <v>0</v>
      </c>
      <c r="AO120" s="49">
        <f t="shared" si="33"/>
        <v>0</v>
      </c>
      <c r="AP120" s="49">
        <f t="shared" si="18"/>
        <v>0</v>
      </c>
      <c r="AQ120" s="50">
        <f t="shared" si="19"/>
        <v>0</v>
      </c>
      <c r="AR120" s="124"/>
      <c r="AS120" s="125"/>
      <c r="AT120" s="126"/>
      <c r="AU120" s="84"/>
      <c r="AV120" s="127"/>
      <c r="AW120" s="128"/>
      <c r="AX120" s="128"/>
      <c r="AY120" s="125"/>
      <c r="AZ120" s="129"/>
    </row>
    <row r="121" spans="1:52" ht="16.5" thickBot="1" x14ac:dyDescent="0.3">
      <c r="A121" s="75">
        <v>250</v>
      </c>
      <c r="B121" s="75" t="s">
        <v>92</v>
      </c>
      <c r="C121" s="133"/>
      <c r="D121" s="26">
        <f t="shared" si="30"/>
        <v>0</v>
      </c>
      <c r="E121" s="27">
        <f t="shared" si="31"/>
        <v>0</v>
      </c>
      <c r="F121" s="29">
        <f t="shared" si="32"/>
        <v>0</v>
      </c>
      <c r="G121" s="30">
        <v>0</v>
      </c>
      <c r="H121" s="31">
        <v>0</v>
      </c>
      <c r="I121" s="32">
        <v>0</v>
      </c>
      <c r="J121" s="130"/>
      <c r="K121" s="33">
        <v>0</v>
      </c>
      <c r="L121" s="34">
        <v>0</v>
      </c>
      <c r="M121" s="34">
        <v>0</v>
      </c>
      <c r="N121" s="62"/>
      <c r="O121" s="34">
        <v>0</v>
      </c>
      <c r="P121" s="34">
        <v>0</v>
      </c>
      <c r="Q121" s="34">
        <v>0</v>
      </c>
      <c r="R121" s="62"/>
      <c r="S121" s="37">
        <v>0</v>
      </c>
      <c r="T121" s="34">
        <v>0</v>
      </c>
      <c r="U121" s="34">
        <v>0</v>
      </c>
      <c r="V121" s="62"/>
      <c r="W121" s="38">
        <v>0</v>
      </c>
      <c r="X121" s="31">
        <v>0</v>
      </c>
      <c r="Y121" s="31">
        <v>0</v>
      </c>
      <c r="Z121" s="78"/>
      <c r="AA121" s="37">
        <v>0</v>
      </c>
      <c r="AB121" s="34">
        <v>0</v>
      </c>
      <c r="AC121" s="34">
        <v>0</v>
      </c>
      <c r="AD121" s="64"/>
      <c r="AE121" s="122"/>
      <c r="AF121" s="123"/>
      <c r="AG121" s="43">
        <f t="shared" si="37"/>
        <v>0</v>
      </c>
      <c r="AH121" s="44">
        <f t="shared" si="37"/>
        <v>0</v>
      </c>
      <c r="AI121" s="44">
        <f t="shared" si="37"/>
        <v>0</v>
      </c>
      <c r="AJ121" s="45">
        <f t="shared" si="37"/>
        <v>0</v>
      </c>
      <c r="AK121" s="80">
        <f t="shared" si="17"/>
        <v>0</v>
      </c>
      <c r="AL121" s="47">
        <v>0.5</v>
      </c>
      <c r="AM121" s="48">
        <f t="shared" si="34"/>
        <v>0</v>
      </c>
      <c r="AN121" s="48">
        <f t="shared" si="35"/>
        <v>0</v>
      </c>
      <c r="AO121" s="49">
        <f t="shared" si="33"/>
        <v>0</v>
      </c>
      <c r="AP121" s="49">
        <f t="shared" si="18"/>
        <v>0</v>
      </c>
      <c r="AQ121" s="50">
        <f t="shared" si="19"/>
        <v>0</v>
      </c>
      <c r="AR121" s="124"/>
      <c r="AS121" s="125"/>
      <c r="AT121" s="126"/>
      <c r="AU121" s="84"/>
      <c r="AV121" s="127"/>
      <c r="AW121" s="128"/>
      <c r="AX121" s="128"/>
      <c r="AY121" s="125"/>
      <c r="AZ121" s="129"/>
    </row>
    <row r="122" spans="1:52" ht="16.5" thickBot="1" x14ac:dyDescent="0.3">
      <c r="A122" s="75">
        <v>1.5</v>
      </c>
      <c r="B122" s="75" t="s">
        <v>93</v>
      </c>
      <c r="C122" s="133"/>
      <c r="D122" s="26">
        <f t="shared" si="30"/>
        <v>0</v>
      </c>
      <c r="E122" s="27">
        <f t="shared" si="31"/>
        <v>0</v>
      </c>
      <c r="F122" s="29">
        <f t="shared" si="32"/>
        <v>0</v>
      </c>
      <c r="G122" s="30">
        <v>1</v>
      </c>
      <c r="H122" s="31">
        <v>0</v>
      </c>
      <c r="I122" s="32">
        <v>2</v>
      </c>
      <c r="J122" s="130"/>
      <c r="K122" s="33">
        <v>0</v>
      </c>
      <c r="L122" s="34">
        <v>4</v>
      </c>
      <c r="M122" s="34">
        <v>8</v>
      </c>
      <c r="N122" s="62"/>
      <c r="O122" s="34">
        <v>4</v>
      </c>
      <c r="P122" s="34">
        <v>1</v>
      </c>
      <c r="Q122" s="34">
        <v>0</v>
      </c>
      <c r="R122" s="62"/>
      <c r="S122" s="37">
        <v>1</v>
      </c>
      <c r="T122" s="34">
        <v>5</v>
      </c>
      <c r="U122" s="34">
        <v>5</v>
      </c>
      <c r="V122" s="62"/>
      <c r="W122" s="38">
        <v>0</v>
      </c>
      <c r="X122" s="31">
        <v>0</v>
      </c>
      <c r="Y122" s="31">
        <v>0</v>
      </c>
      <c r="Z122" s="78"/>
      <c r="AA122" s="37">
        <v>1</v>
      </c>
      <c r="AB122" s="34">
        <v>4</v>
      </c>
      <c r="AC122" s="34">
        <v>0</v>
      </c>
      <c r="AD122" s="64"/>
      <c r="AE122" s="122"/>
      <c r="AF122" s="123"/>
      <c r="AG122" s="43">
        <f t="shared" si="37"/>
        <v>7</v>
      </c>
      <c r="AH122" s="44">
        <f t="shared" si="37"/>
        <v>14</v>
      </c>
      <c r="AI122" s="44">
        <f t="shared" si="37"/>
        <v>15</v>
      </c>
      <c r="AJ122" s="45">
        <f t="shared" si="37"/>
        <v>0</v>
      </c>
      <c r="AK122" s="80">
        <f t="shared" si="17"/>
        <v>36</v>
      </c>
      <c r="AL122" s="47">
        <v>0.75</v>
      </c>
      <c r="AM122" s="48">
        <f t="shared" si="34"/>
        <v>5.25</v>
      </c>
      <c r="AN122" s="48">
        <f t="shared" si="35"/>
        <v>10.5</v>
      </c>
      <c r="AO122" s="49">
        <f t="shared" si="33"/>
        <v>11.25</v>
      </c>
      <c r="AP122" s="49">
        <f t="shared" si="18"/>
        <v>0</v>
      </c>
      <c r="AQ122" s="50">
        <f t="shared" si="19"/>
        <v>2160</v>
      </c>
      <c r="AR122" s="124"/>
      <c r="AS122" s="125"/>
      <c r="AT122" s="126"/>
      <c r="AU122" s="84">
        <f>AK122*AL122</f>
        <v>27</v>
      </c>
      <c r="AV122" s="127"/>
      <c r="AW122" s="128"/>
      <c r="AX122" s="128"/>
      <c r="AY122" s="125"/>
      <c r="AZ122" s="129"/>
    </row>
    <row r="123" spans="1:52" ht="16.5" thickBot="1" x14ac:dyDescent="0.3">
      <c r="A123" s="75">
        <v>1.5</v>
      </c>
      <c r="B123" s="75" t="s">
        <v>82</v>
      </c>
      <c r="C123" s="133"/>
      <c r="D123" s="26">
        <f t="shared" si="30"/>
        <v>0</v>
      </c>
      <c r="E123" s="27">
        <f t="shared" si="31"/>
        <v>0</v>
      </c>
      <c r="F123" s="29">
        <f t="shared" si="32"/>
        <v>0</v>
      </c>
      <c r="G123" s="30">
        <v>1</v>
      </c>
      <c r="H123" s="31">
        <v>1</v>
      </c>
      <c r="I123" s="32">
        <v>3</v>
      </c>
      <c r="J123" s="130"/>
      <c r="K123" s="33">
        <v>0</v>
      </c>
      <c r="L123" s="34">
        <v>4</v>
      </c>
      <c r="M123" s="34">
        <v>7</v>
      </c>
      <c r="N123" s="62"/>
      <c r="O123" s="34">
        <v>3</v>
      </c>
      <c r="P123" s="34">
        <v>0</v>
      </c>
      <c r="Q123" s="34">
        <v>0</v>
      </c>
      <c r="R123" s="62"/>
      <c r="S123" s="37">
        <v>1</v>
      </c>
      <c r="T123" s="34">
        <v>5</v>
      </c>
      <c r="U123" s="34">
        <v>5</v>
      </c>
      <c r="V123" s="62"/>
      <c r="W123" s="38">
        <v>0</v>
      </c>
      <c r="X123" s="31">
        <v>0</v>
      </c>
      <c r="Y123" s="31">
        <v>0</v>
      </c>
      <c r="Z123" s="78"/>
      <c r="AA123" s="37">
        <v>0</v>
      </c>
      <c r="AB123" s="34">
        <v>4</v>
      </c>
      <c r="AC123" s="34">
        <v>0</v>
      </c>
      <c r="AD123" s="64"/>
      <c r="AE123" s="122"/>
      <c r="AF123" s="123"/>
      <c r="AG123" s="43">
        <f t="shared" si="37"/>
        <v>5</v>
      </c>
      <c r="AH123" s="44">
        <f t="shared" si="37"/>
        <v>14</v>
      </c>
      <c r="AI123" s="44">
        <f t="shared" si="37"/>
        <v>15</v>
      </c>
      <c r="AJ123" s="45">
        <f t="shared" si="37"/>
        <v>0</v>
      </c>
      <c r="AK123" s="80">
        <f t="shared" si="17"/>
        <v>34</v>
      </c>
      <c r="AL123" s="47">
        <v>0.75</v>
      </c>
      <c r="AM123" s="48">
        <f t="shared" si="34"/>
        <v>3.75</v>
      </c>
      <c r="AN123" s="48">
        <f t="shared" si="35"/>
        <v>10.5</v>
      </c>
      <c r="AO123" s="49">
        <f t="shared" si="33"/>
        <v>11.25</v>
      </c>
      <c r="AP123" s="49">
        <f t="shared" si="18"/>
        <v>0</v>
      </c>
      <c r="AQ123" s="50">
        <f t="shared" si="19"/>
        <v>2040</v>
      </c>
      <c r="AR123" s="124"/>
      <c r="AS123" s="125"/>
      <c r="AT123" s="126"/>
      <c r="AU123" s="84"/>
      <c r="AV123" s="127"/>
      <c r="AW123" s="128"/>
      <c r="AX123" s="128"/>
      <c r="AY123" s="125"/>
      <c r="AZ123" s="129"/>
    </row>
    <row r="124" spans="1:52" ht="16.5" thickBot="1" x14ac:dyDescent="0.3">
      <c r="A124" s="75">
        <v>250</v>
      </c>
      <c r="B124" s="75" t="s">
        <v>27</v>
      </c>
      <c r="C124" s="133"/>
      <c r="D124" s="26">
        <f t="shared" si="30"/>
        <v>0</v>
      </c>
      <c r="E124" s="27">
        <f t="shared" si="31"/>
        <v>0</v>
      </c>
      <c r="F124" s="29">
        <f t="shared" si="32"/>
        <v>0</v>
      </c>
      <c r="G124" s="30">
        <v>0</v>
      </c>
      <c r="H124" s="31">
        <v>0</v>
      </c>
      <c r="I124" s="32">
        <v>0</v>
      </c>
      <c r="J124" s="130"/>
      <c r="K124" s="33">
        <v>0</v>
      </c>
      <c r="L124" s="34">
        <v>0</v>
      </c>
      <c r="M124" s="34">
        <v>0</v>
      </c>
      <c r="N124" s="62"/>
      <c r="O124" s="34">
        <v>0</v>
      </c>
      <c r="P124" s="34">
        <v>0</v>
      </c>
      <c r="Q124" s="34">
        <v>0</v>
      </c>
      <c r="R124" s="62"/>
      <c r="S124" s="37">
        <v>0</v>
      </c>
      <c r="T124" s="34">
        <v>0</v>
      </c>
      <c r="U124" s="34">
        <v>0</v>
      </c>
      <c r="V124" s="62"/>
      <c r="W124" s="38">
        <v>0</v>
      </c>
      <c r="X124" s="31">
        <v>0</v>
      </c>
      <c r="Y124" s="31">
        <v>0</v>
      </c>
      <c r="Z124" s="78"/>
      <c r="AA124" s="37">
        <v>0</v>
      </c>
      <c r="AB124" s="34">
        <v>0</v>
      </c>
      <c r="AC124" s="34">
        <v>0</v>
      </c>
      <c r="AD124" s="64"/>
      <c r="AE124" s="122"/>
      <c r="AF124" s="123"/>
      <c r="AG124" s="43">
        <f t="shared" si="37"/>
        <v>0</v>
      </c>
      <c r="AH124" s="44">
        <f t="shared" si="37"/>
        <v>0</v>
      </c>
      <c r="AI124" s="44">
        <f t="shared" si="37"/>
        <v>0</v>
      </c>
      <c r="AJ124" s="45">
        <f t="shared" si="37"/>
        <v>0</v>
      </c>
      <c r="AK124" s="80">
        <f t="shared" si="17"/>
        <v>0</v>
      </c>
      <c r="AL124" s="47">
        <v>1</v>
      </c>
      <c r="AM124" s="48">
        <f t="shared" si="34"/>
        <v>0</v>
      </c>
      <c r="AN124" s="48">
        <f t="shared" si="35"/>
        <v>0</v>
      </c>
      <c r="AO124" s="49">
        <f t="shared" si="33"/>
        <v>0</v>
      </c>
      <c r="AP124" s="49">
        <f t="shared" si="18"/>
        <v>0</v>
      </c>
      <c r="AQ124" s="50">
        <f t="shared" si="19"/>
        <v>0</v>
      </c>
      <c r="AR124" s="124"/>
      <c r="AS124" s="125"/>
      <c r="AT124" s="126"/>
      <c r="AU124" s="84">
        <f t="shared" ref="AU124:AU133" si="38">AK124*AL124</f>
        <v>0</v>
      </c>
      <c r="AV124" s="127"/>
      <c r="AW124" s="128"/>
      <c r="AX124" s="128"/>
      <c r="AY124" s="125"/>
      <c r="AZ124" s="129"/>
    </row>
    <row r="125" spans="1:52" ht="16.5" thickBot="1" x14ac:dyDescent="0.3">
      <c r="A125" s="91">
        <v>400</v>
      </c>
      <c r="B125" s="91" t="s">
        <v>94</v>
      </c>
      <c r="C125" s="133"/>
      <c r="D125" s="26">
        <f t="shared" si="30"/>
        <v>0</v>
      </c>
      <c r="E125" s="27">
        <f t="shared" si="31"/>
        <v>0</v>
      </c>
      <c r="F125" s="29">
        <f t="shared" si="32"/>
        <v>0</v>
      </c>
      <c r="G125" s="30">
        <v>0</v>
      </c>
      <c r="H125" s="31">
        <v>0</v>
      </c>
      <c r="I125" s="32">
        <v>0</v>
      </c>
      <c r="J125" s="113"/>
      <c r="K125" s="33">
        <v>0</v>
      </c>
      <c r="L125" s="34">
        <v>0</v>
      </c>
      <c r="M125" s="34">
        <v>0</v>
      </c>
      <c r="N125" s="114"/>
      <c r="O125" s="34">
        <v>0</v>
      </c>
      <c r="P125" s="34">
        <v>0</v>
      </c>
      <c r="Q125" s="34">
        <v>0</v>
      </c>
      <c r="R125" s="114"/>
      <c r="S125" s="37">
        <v>0</v>
      </c>
      <c r="T125" s="34">
        <v>0</v>
      </c>
      <c r="U125" s="34">
        <v>0</v>
      </c>
      <c r="V125" s="114"/>
      <c r="W125" s="38">
        <v>0</v>
      </c>
      <c r="X125" s="31">
        <v>0</v>
      </c>
      <c r="Y125" s="31">
        <v>0</v>
      </c>
      <c r="Z125" s="78"/>
      <c r="AA125" s="37">
        <v>0</v>
      </c>
      <c r="AB125" s="34">
        <v>0</v>
      </c>
      <c r="AC125" s="34">
        <v>0</v>
      </c>
      <c r="AD125" s="64"/>
      <c r="AE125" s="122"/>
      <c r="AF125" s="123"/>
      <c r="AG125" s="43">
        <f t="shared" si="37"/>
        <v>0</v>
      </c>
      <c r="AH125" s="44">
        <f t="shared" si="37"/>
        <v>0</v>
      </c>
      <c r="AI125" s="44">
        <f t="shared" si="37"/>
        <v>0</v>
      </c>
      <c r="AJ125" s="45">
        <f t="shared" si="37"/>
        <v>0</v>
      </c>
      <c r="AK125" s="80">
        <f t="shared" si="17"/>
        <v>0</v>
      </c>
      <c r="AL125" s="47">
        <v>0.75</v>
      </c>
      <c r="AM125" s="48">
        <f t="shared" si="34"/>
        <v>0</v>
      </c>
      <c r="AN125" s="48">
        <f t="shared" si="35"/>
        <v>0</v>
      </c>
      <c r="AO125" s="49">
        <f t="shared" si="33"/>
        <v>0</v>
      </c>
      <c r="AP125" s="49">
        <f t="shared" si="18"/>
        <v>0</v>
      </c>
      <c r="AQ125" s="50">
        <f t="shared" si="19"/>
        <v>0</v>
      </c>
      <c r="AR125" s="124"/>
      <c r="AS125" s="125"/>
      <c r="AT125" s="126"/>
      <c r="AU125" s="84">
        <f t="shared" si="38"/>
        <v>0</v>
      </c>
      <c r="AV125" s="127"/>
      <c r="AW125" s="128"/>
      <c r="AX125" s="128"/>
      <c r="AY125" s="125"/>
      <c r="AZ125" s="129"/>
    </row>
    <row r="126" spans="1:52" ht="16.5" thickBot="1" x14ac:dyDescent="0.3">
      <c r="A126" s="91">
        <v>1000</v>
      </c>
      <c r="B126" s="91" t="s">
        <v>95</v>
      </c>
      <c r="C126" s="133"/>
      <c r="D126" s="26">
        <f t="shared" si="30"/>
        <v>0</v>
      </c>
      <c r="E126" s="27">
        <f t="shared" si="31"/>
        <v>0</v>
      </c>
      <c r="F126" s="29">
        <f t="shared" si="32"/>
        <v>0</v>
      </c>
      <c r="G126" s="30">
        <v>0</v>
      </c>
      <c r="H126" s="31">
        <v>0</v>
      </c>
      <c r="I126" s="32">
        <v>0</v>
      </c>
      <c r="J126" s="113"/>
      <c r="K126" s="33">
        <v>0</v>
      </c>
      <c r="L126" s="34">
        <v>0</v>
      </c>
      <c r="M126" s="34">
        <v>0</v>
      </c>
      <c r="N126" s="114"/>
      <c r="O126" s="34">
        <v>0</v>
      </c>
      <c r="P126" s="34">
        <v>0</v>
      </c>
      <c r="Q126" s="34">
        <v>0</v>
      </c>
      <c r="R126" s="114"/>
      <c r="S126" s="37">
        <v>0</v>
      </c>
      <c r="T126" s="34">
        <v>0</v>
      </c>
      <c r="U126" s="34">
        <v>0</v>
      </c>
      <c r="V126" s="114"/>
      <c r="W126" s="38">
        <v>0</v>
      </c>
      <c r="X126" s="31">
        <v>0</v>
      </c>
      <c r="Y126" s="31">
        <v>0</v>
      </c>
      <c r="Z126" s="78"/>
      <c r="AA126" s="37">
        <v>0</v>
      </c>
      <c r="AB126" s="34">
        <v>0</v>
      </c>
      <c r="AC126" s="34">
        <v>0</v>
      </c>
      <c r="AD126" s="64"/>
      <c r="AE126" s="122"/>
      <c r="AF126" s="123"/>
      <c r="AG126" s="43">
        <f t="shared" si="37"/>
        <v>0</v>
      </c>
      <c r="AH126" s="44">
        <f t="shared" si="37"/>
        <v>0</v>
      </c>
      <c r="AI126" s="44">
        <f t="shared" si="37"/>
        <v>0</v>
      </c>
      <c r="AJ126" s="45">
        <f t="shared" si="37"/>
        <v>0</v>
      </c>
      <c r="AK126" s="80">
        <f t="shared" si="17"/>
        <v>0</v>
      </c>
      <c r="AL126" s="47">
        <v>1</v>
      </c>
      <c r="AM126" s="48">
        <f t="shared" si="34"/>
        <v>0</v>
      </c>
      <c r="AN126" s="48">
        <f t="shared" si="35"/>
        <v>0</v>
      </c>
      <c r="AO126" s="49">
        <f t="shared" si="33"/>
        <v>0</v>
      </c>
      <c r="AP126" s="49">
        <f t="shared" si="18"/>
        <v>0</v>
      </c>
      <c r="AQ126" s="50">
        <f t="shared" si="19"/>
        <v>0</v>
      </c>
      <c r="AR126" s="124"/>
      <c r="AS126" s="125"/>
      <c r="AT126" s="126"/>
      <c r="AU126" s="84">
        <f t="shared" si="38"/>
        <v>0</v>
      </c>
      <c r="AV126" s="127"/>
      <c r="AW126" s="128"/>
      <c r="AX126" s="128"/>
      <c r="AY126" s="125"/>
      <c r="AZ126" s="129"/>
    </row>
    <row r="127" spans="1:52" ht="16.5" thickBot="1" x14ac:dyDescent="0.3">
      <c r="A127" s="134">
        <v>355</v>
      </c>
      <c r="B127" s="134" t="s">
        <v>96</v>
      </c>
      <c r="C127" s="135"/>
      <c r="D127" s="26">
        <f t="shared" si="30"/>
        <v>0</v>
      </c>
      <c r="E127" s="27">
        <f t="shared" si="31"/>
        <v>0</v>
      </c>
      <c r="F127" s="29">
        <f t="shared" si="32"/>
        <v>0</v>
      </c>
      <c r="G127" s="30">
        <v>0</v>
      </c>
      <c r="H127" s="31">
        <v>0</v>
      </c>
      <c r="I127" s="32">
        <v>0</v>
      </c>
      <c r="J127" s="136"/>
      <c r="K127" s="33">
        <v>0</v>
      </c>
      <c r="L127" s="34">
        <v>0</v>
      </c>
      <c r="M127" s="34">
        <v>0</v>
      </c>
      <c r="N127" s="114"/>
      <c r="O127" s="34">
        <v>0</v>
      </c>
      <c r="P127" s="34">
        <v>0</v>
      </c>
      <c r="Q127" s="34">
        <v>0</v>
      </c>
      <c r="R127" s="114"/>
      <c r="S127" s="37">
        <v>0</v>
      </c>
      <c r="T127" s="34">
        <v>0</v>
      </c>
      <c r="U127" s="34">
        <v>0</v>
      </c>
      <c r="V127" s="114"/>
      <c r="W127" s="38">
        <v>0</v>
      </c>
      <c r="X127" s="31">
        <v>0</v>
      </c>
      <c r="Y127" s="31">
        <v>0</v>
      </c>
      <c r="Z127" s="78"/>
      <c r="AA127" s="37">
        <v>0</v>
      </c>
      <c r="AB127" s="34">
        <v>0</v>
      </c>
      <c r="AC127" s="34">
        <v>0</v>
      </c>
      <c r="AD127" s="64"/>
      <c r="AE127" s="122"/>
      <c r="AF127" s="123"/>
      <c r="AG127" s="43">
        <f t="shared" si="37"/>
        <v>0</v>
      </c>
      <c r="AH127" s="44">
        <f t="shared" si="37"/>
        <v>0</v>
      </c>
      <c r="AI127" s="44">
        <f t="shared" si="37"/>
        <v>0</v>
      </c>
      <c r="AJ127" s="45">
        <f t="shared" si="37"/>
        <v>0</v>
      </c>
      <c r="AK127" s="137">
        <f t="shared" si="17"/>
        <v>0</v>
      </c>
      <c r="AL127" s="47">
        <v>0.45</v>
      </c>
      <c r="AM127" s="48">
        <f t="shared" si="34"/>
        <v>0</v>
      </c>
      <c r="AN127" s="48">
        <f t="shared" si="35"/>
        <v>0</v>
      </c>
      <c r="AO127" s="49">
        <f t="shared" si="33"/>
        <v>0</v>
      </c>
      <c r="AP127" s="49">
        <f t="shared" si="18"/>
        <v>0</v>
      </c>
      <c r="AQ127" s="50">
        <f t="shared" si="19"/>
        <v>0</v>
      </c>
      <c r="AR127" s="124"/>
      <c r="AS127" s="125"/>
      <c r="AT127" s="126"/>
      <c r="AU127" s="84">
        <f t="shared" si="38"/>
        <v>0</v>
      </c>
      <c r="AV127" s="127"/>
      <c r="AW127" s="128"/>
      <c r="AX127" s="128"/>
      <c r="AY127" s="125"/>
      <c r="AZ127" s="129"/>
    </row>
    <row r="128" spans="1:52" ht="16.5" thickBot="1" x14ac:dyDescent="0.3">
      <c r="A128" s="134">
        <v>330</v>
      </c>
      <c r="B128" s="134" t="s">
        <v>97</v>
      </c>
      <c r="C128" s="135"/>
      <c r="D128" s="26">
        <f t="shared" si="30"/>
        <v>0</v>
      </c>
      <c r="E128" s="27">
        <f t="shared" si="31"/>
        <v>0</v>
      </c>
      <c r="F128" s="29">
        <f t="shared" si="32"/>
        <v>0</v>
      </c>
      <c r="G128" s="30">
        <v>0</v>
      </c>
      <c r="H128" s="31">
        <v>0</v>
      </c>
      <c r="I128" s="32">
        <v>0</v>
      </c>
      <c r="J128" s="136"/>
      <c r="K128" s="33">
        <v>0</v>
      </c>
      <c r="L128" s="34">
        <v>0</v>
      </c>
      <c r="M128" s="34">
        <v>0</v>
      </c>
      <c r="N128" s="114"/>
      <c r="O128" s="34">
        <v>0</v>
      </c>
      <c r="P128" s="34">
        <v>0</v>
      </c>
      <c r="Q128" s="34">
        <v>0</v>
      </c>
      <c r="R128" s="114"/>
      <c r="S128" s="37">
        <v>0</v>
      </c>
      <c r="T128" s="34">
        <v>0</v>
      </c>
      <c r="U128" s="34">
        <v>0</v>
      </c>
      <c r="V128" s="114"/>
      <c r="W128" s="38">
        <v>0</v>
      </c>
      <c r="X128" s="31">
        <v>0</v>
      </c>
      <c r="Y128" s="31">
        <v>0</v>
      </c>
      <c r="Z128" s="78"/>
      <c r="AA128" s="37">
        <v>0</v>
      </c>
      <c r="AB128" s="34">
        <v>0</v>
      </c>
      <c r="AC128" s="34">
        <v>0</v>
      </c>
      <c r="AD128" s="64"/>
      <c r="AE128" s="122"/>
      <c r="AF128" s="123"/>
      <c r="AG128" s="43">
        <f t="shared" si="37"/>
        <v>0</v>
      </c>
      <c r="AH128" s="44">
        <f t="shared" si="37"/>
        <v>0</v>
      </c>
      <c r="AI128" s="44">
        <f t="shared" si="37"/>
        <v>0</v>
      </c>
      <c r="AJ128" s="45">
        <f t="shared" si="37"/>
        <v>0</v>
      </c>
      <c r="AK128" s="137">
        <f t="shared" si="17"/>
        <v>0</v>
      </c>
      <c r="AL128" s="47">
        <v>0.5</v>
      </c>
      <c r="AM128" s="48">
        <f t="shared" si="34"/>
        <v>0</v>
      </c>
      <c r="AN128" s="48">
        <f t="shared" si="35"/>
        <v>0</v>
      </c>
      <c r="AO128" s="49">
        <f t="shared" si="33"/>
        <v>0</v>
      </c>
      <c r="AP128" s="49">
        <f t="shared" si="18"/>
        <v>0</v>
      </c>
      <c r="AQ128" s="50">
        <f t="shared" si="19"/>
        <v>0</v>
      </c>
      <c r="AR128" s="124"/>
      <c r="AS128" s="125"/>
      <c r="AT128" s="126"/>
      <c r="AU128" s="84">
        <f t="shared" si="38"/>
        <v>0</v>
      </c>
      <c r="AV128" s="127"/>
      <c r="AW128" s="128"/>
      <c r="AX128" s="128"/>
      <c r="AY128" s="125"/>
      <c r="AZ128" s="129"/>
    </row>
    <row r="129" spans="1:52" ht="16.5" thickBot="1" x14ac:dyDescent="0.3">
      <c r="A129" s="134">
        <v>330</v>
      </c>
      <c r="B129" s="134" t="s">
        <v>98</v>
      </c>
      <c r="C129" s="135"/>
      <c r="D129" s="26">
        <f t="shared" si="30"/>
        <v>0</v>
      </c>
      <c r="E129" s="27">
        <f t="shared" si="31"/>
        <v>0</v>
      </c>
      <c r="F129" s="29">
        <f t="shared" si="32"/>
        <v>0</v>
      </c>
      <c r="G129" s="30">
        <v>0</v>
      </c>
      <c r="H129" s="31">
        <v>0</v>
      </c>
      <c r="I129" s="32">
        <v>0</v>
      </c>
      <c r="J129" s="136"/>
      <c r="K129" s="33">
        <v>0</v>
      </c>
      <c r="L129" s="34">
        <v>0</v>
      </c>
      <c r="M129" s="34">
        <v>0</v>
      </c>
      <c r="N129" s="114"/>
      <c r="O129" s="34">
        <v>0</v>
      </c>
      <c r="P129" s="34">
        <v>0</v>
      </c>
      <c r="Q129" s="34">
        <v>0</v>
      </c>
      <c r="R129" s="114"/>
      <c r="S129" s="37">
        <v>0</v>
      </c>
      <c r="T129" s="34">
        <v>0</v>
      </c>
      <c r="U129" s="34">
        <v>0</v>
      </c>
      <c r="V129" s="114"/>
      <c r="W129" s="38">
        <v>0</v>
      </c>
      <c r="X129" s="31">
        <v>0</v>
      </c>
      <c r="Y129" s="31">
        <v>0</v>
      </c>
      <c r="Z129" s="78"/>
      <c r="AA129" s="37">
        <v>0</v>
      </c>
      <c r="AB129" s="34">
        <v>0</v>
      </c>
      <c r="AC129" s="34">
        <v>0</v>
      </c>
      <c r="AD129" s="64"/>
      <c r="AE129" s="122"/>
      <c r="AF129" s="123"/>
      <c r="AG129" s="43">
        <f t="shared" si="37"/>
        <v>0</v>
      </c>
      <c r="AH129" s="44">
        <f t="shared" si="37"/>
        <v>0</v>
      </c>
      <c r="AI129" s="44">
        <f t="shared" si="37"/>
        <v>0</v>
      </c>
      <c r="AJ129" s="45">
        <f t="shared" si="37"/>
        <v>0</v>
      </c>
      <c r="AK129" s="137">
        <f t="shared" si="17"/>
        <v>0</v>
      </c>
      <c r="AL129" s="47">
        <v>0.5</v>
      </c>
      <c r="AM129" s="48">
        <f t="shared" si="34"/>
        <v>0</v>
      </c>
      <c r="AN129" s="48">
        <f t="shared" si="35"/>
        <v>0</v>
      </c>
      <c r="AO129" s="49">
        <f t="shared" si="33"/>
        <v>0</v>
      </c>
      <c r="AP129" s="49">
        <f t="shared" si="18"/>
        <v>0</v>
      </c>
      <c r="AQ129" s="50">
        <f t="shared" si="19"/>
        <v>0</v>
      </c>
      <c r="AR129" s="124"/>
      <c r="AS129" s="125"/>
      <c r="AT129" s="126"/>
      <c r="AU129" s="84">
        <f t="shared" si="38"/>
        <v>0</v>
      </c>
      <c r="AV129" s="127"/>
      <c r="AW129" s="128"/>
      <c r="AX129" s="128"/>
      <c r="AY129" s="125"/>
      <c r="AZ129" s="129"/>
    </row>
    <row r="130" spans="1:52" ht="16.5" thickBot="1" x14ac:dyDescent="0.3">
      <c r="A130" s="134">
        <v>330</v>
      </c>
      <c r="B130" s="134" t="s">
        <v>99</v>
      </c>
      <c r="C130" s="135"/>
      <c r="D130" s="26">
        <f t="shared" si="30"/>
        <v>0</v>
      </c>
      <c r="E130" s="27">
        <f t="shared" si="31"/>
        <v>0</v>
      </c>
      <c r="F130" s="29">
        <f t="shared" si="32"/>
        <v>0</v>
      </c>
      <c r="G130" s="30">
        <v>0</v>
      </c>
      <c r="H130" s="31">
        <v>0</v>
      </c>
      <c r="I130" s="32">
        <v>0</v>
      </c>
      <c r="J130" s="136"/>
      <c r="K130" s="33">
        <v>0</v>
      </c>
      <c r="L130" s="34">
        <v>0</v>
      </c>
      <c r="M130" s="34">
        <v>0</v>
      </c>
      <c r="N130" s="114"/>
      <c r="O130" s="34">
        <v>0</v>
      </c>
      <c r="P130" s="34">
        <v>0</v>
      </c>
      <c r="Q130" s="34">
        <v>0</v>
      </c>
      <c r="R130" s="114"/>
      <c r="S130" s="37">
        <v>0</v>
      </c>
      <c r="T130" s="34">
        <v>0</v>
      </c>
      <c r="U130" s="34">
        <v>0</v>
      </c>
      <c r="V130" s="114"/>
      <c r="W130" s="38">
        <v>0</v>
      </c>
      <c r="X130" s="31">
        <v>0</v>
      </c>
      <c r="Y130" s="31">
        <v>0</v>
      </c>
      <c r="Z130" s="78"/>
      <c r="AA130" s="37">
        <v>0</v>
      </c>
      <c r="AB130" s="34">
        <v>0</v>
      </c>
      <c r="AC130" s="34">
        <v>0</v>
      </c>
      <c r="AD130" s="64"/>
      <c r="AE130" s="122"/>
      <c r="AF130" s="123"/>
      <c r="AG130" s="43">
        <f t="shared" si="37"/>
        <v>0</v>
      </c>
      <c r="AH130" s="44">
        <f t="shared" si="37"/>
        <v>0</v>
      </c>
      <c r="AI130" s="44">
        <f t="shared" si="37"/>
        <v>0</v>
      </c>
      <c r="AJ130" s="45">
        <f t="shared" si="37"/>
        <v>0</v>
      </c>
      <c r="AK130" s="137">
        <f t="shared" si="17"/>
        <v>0</v>
      </c>
      <c r="AL130" s="47">
        <v>0.5</v>
      </c>
      <c r="AM130" s="48">
        <f t="shared" si="34"/>
        <v>0</v>
      </c>
      <c r="AN130" s="48">
        <f t="shared" si="35"/>
        <v>0</v>
      </c>
      <c r="AO130" s="49">
        <f t="shared" si="33"/>
        <v>0</v>
      </c>
      <c r="AP130" s="49">
        <f t="shared" si="18"/>
        <v>0</v>
      </c>
      <c r="AQ130" s="50">
        <f t="shared" si="19"/>
        <v>0</v>
      </c>
      <c r="AR130" s="124"/>
      <c r="AS130" s="125"/>
      <c r="AT130" s="126"/>
      <c r="AU130" s="84">
        <f t="shared" si="38"/>
        <v>0</v>
      </c>
      <c r="AV130" s="127"/>
      <c r="AW130" s="128"/>
      <c r="AX130" s="128"/>
      <c r="AY130" s="125"/>
      <c r="AZ130" s="129"/>
    </row>
    <row r="131" spans="1:52" ht="16.5" thickBot="1" x14ac:dyDescent="0.3">
      <c r="A131" s="134">
        <v>330</v>
      </c>
      <c r="B131" s="134" t="s">
        <v>100</v>
      </c>
      <c r="C131" s="135"/>
      <c r="D131" s="26">
        <f t="shared" si="30"/>
        <v>0</v>
      </c>
      <c r="E131" s="27">
        <f t="shared" si="31"/>
        <v>0</v>
      </c>
      <c r="F131" s="29">
        <f t="shared" si="32"/>
        <v>0</v>
      </c>
      <c r="G131" s="30">
        <v>0</v>
      </c>
      <c r="H131" s="31">
        <v>0</v>
      </c>
      <c r="I131" s="32">
        <v>0</v>
      </c>
      <c r="J131" s="136"/>
      <c r="K131" s="33">
        <v>0</v>
      </c>
      <c r="L131" s="34">
        <v>0</v>
      </c>
      <c r="M131" s="34">
        <v>0</v>
      </c>
      <c r="N131" s="114"/>
      <c r="O131" s="34">
        <v>0</v>
      </c>
      <c r="P131" s="34">
        <v>0</v>
      </c>
      <c r="Q131" s="34">
        <v>0</v>
      </c>
      <c r="R131" s="114"/>
      <c r="S131" s="37">
        <v>0</v>
      </c>
      <c r="T131" s="34">
        <v>0</v>
      </c>
      <c r="U131" s="34">
        <v>0</v>
      </c>
      <c r="V131" s="114"/>
      <c r="W131" s="38">
        <v>0</v>
      </c>
      <c r="X131" s="31">
        <v>0</v>
      </c>
      <c r="Y131" s="31">
        <v>0</v>
      </c>
      <c r="Z131" s="78"/>
      <c r="AA131" s="37">
        <v>0</v>
      </c>
      <c r="AB131" s="34">
        <v>0</v>
      </c>
      <c r="AC131" s="34">
        <v>0</v>
      </c>
      <c r="AD131" s="64"/>
      <c r="AE131" s="122"/>
      <c r="AF131" s="123"/>
      <c r="AG131" s="43">
        <f t="shared" si="37"/>
        <v>0</v>
      </c>
      <c r="AH131" s="44">
        <f t="shared" si="37"/>
        <v>0</v>
      </c>
      <c r="AI131" s="44">
        <f t="shared" si="37"/>
        <v>0</v>
      </c>
      <c r="AJ131" s="45">
        <f t="shared" si="37"/>
        <v>0</v>
      </c>
      <c r="AK131" s="137">
        <f t="shared" si="17"/>
        <v>0</v>
      </c>
      <c r="AL131" s="47">
        <v>0.5</v>
      </c>
      <c r="AM131" s="48">
        <f t="shared" si="34"/>
        <v>0</v>
      </c>
      <c r="AN131" s="48">
        <f t="shared" si="35"/>
        <v>0</v>
      </c>
      <c r="AO131" s="49">
        <f t="shared" si="33"/>
        <v>0</v>
      </c>
      <c r="AP131" s="49">
        <f t="shared" si="18"/>
        <v>0</v>
      </c>
      <c r="AQ131" s="50">
        <f t="shared" si="19"/>
        <v>0</v>
      </c>
      <c r="AR131" s="124"/>
      <c r="AS131" s="125"/>
      <c r="AT131" s="126"/>
      <c r="AU131" s="84">
        <f t="shared" si="38"/>
        <v>0</v>
      </c>
      <c r="AV131" s="127"/>
      <c r="AW131" s="128"/>
      <c r="AX131" s="128"/>
      <c r="AY131" s="125"/>
      <c r="AZ131" s="129"/>
    </row>
    <row r="132" spans="1:52" ht="16.5" thickBot="1" x14ac:dyDescent="0.3">
      <c r="A132" s="134">
        <v>330</v>
      </c>
      <c r="B132" s="134" t="s">
        <v>101</v>
      </c>
      <c r="C132" s="135"/>
      <c r="D132" s="26">
        <f t="shared" si="30"/>
        <v>0</v>
      </c>
      <c r="E132" s="27">
        <f t="shared" si="31"/>
        <v>0</v>
      </c>
      <c r="F132" s="29">
        <f t="shared" si="32"/>
        <v>0</v>
      </c>
      <c r="G132" s="30">
        <v>0</v>
      </c>
      <c r="H132" s="31">
        <v>0</v>
      </c>
      <c r="I132" s="32">
        <v>0</v>
      </c>
      <c r="J132" s="136"/>
      <c r="K132" s="33">
        <v>0</v>
      </c>
      <c r="L132" s="34">
        <v>0</v>
      </c>
      <c r="M132" s="34">
        <v>0</v>
      </c>
      <c r="N132" s="114"/>
      <c r="O132" s="34">
        <v>0</v>
      </c>
      <c r="P132" s="34">
        <v>0</v>
      </c>
      <c r="Q132" s="34">
        <v>0</v>
      </c>
      <c r="R132" s="114"/>
      <c r="S132" s="37">
        <v>0</v>
      </c>
      <c r="T132" s="34">
        <v>0</v>
      </c>
      <c r="U132" s="34">
        <v>0</v>
      </c>
      <c r="V132" s="114"/>
      <c r="W132" s="38">
        <v>0</v>
      </c>
      <c r="X132" s="31">
        <v>0</v>
      </c>
      <c r="Y132" s="31">
        <v>0</v>
      </c>
      <c r="Z132" s="78"/>
      <c r="AA132" s="37">
        <v>0</v>
      </c>
      <c r="AB132" s="34">
        <v>0</v>
      </c>
      <c r="AC132" s="34">
        <v>0</v>
      </c>
      <c r="AD132" s="64"/>
      <c r="AE132" s="122"/>
      <c r="AF132" s="123"/>
      <c r="AG132" s="43">
        <f t="shared" si="37"/>
        <v>0</v>
      </c>
      <c r="AH132" s="44">
        <f t="shared" si="37"/>
        <v>0</v>
      </c>
      <c r="AI132" s="44">
        <f t="shared" si="37"/>
        <v>0</v>
      </c>
      <c r="AJ132" s="45">
        <f t="shared" si="37"/>
        <v>0</v>
      </c>
      <c r="AK132" s="137">
        <f t="shared" si="17"/>
        <v>0</v>
      </c>
      <c r="AL132" s="47">
        <v>0.5</v>
      </c>
      <c r="AM132" s="48">
        <f t="shared" si="34"/>
        <v>0</v>
      </c>
      <c r="AN132" s="48">
        <f t="shared" si="35"/>
        <v>0</v>
      </c>
      <c r="AO132" s="49">
        <f t="shared" si="33"/>
        <v>0</v>
      </c>
      <c r="AP132" s="49">
        <f t="shared" si="18"/>
        <v>0</v>
      </c>
      <c r="AQ132" s="50">
        <f t="shared" si="19"/>
        <v>0</v>
      </c>
      <c r="AR132" s="124"/>
      <c r="AS132" s="125"/>
      <c r="AT132" s="126"/>
      <c r="AU132" s="84">
        <f t="shared" si="38"/>
        <v>0</v>
      </c>
      <c r="AV132" s="127"/>
      <c r="AW132" s="128"/>
      <c r="AX132" s="128"/>
      <c r="AY132" s="125"/>
      <c r="AZ132" s="129"/>
    </row>
    <row r="133" spans="1:52" ht="16.5" thickBot="1" x14ac:dyDescent="0.3">
      <c r="A133" s="134">
        <v>330</v>
      </c>
      <c r="B133" s="134" t="s">
        <v>102</v>
      </c>
      <c r="C133" s="135"/>
      <c r="D133" s="26">
        <f t="shared" si="30"/>
        <v>0</v>
      </c>
      <c r="E133" s="27">
        <f t="shared" si="31"/>
        <v>0</v>
      </c>
      <c r="F133" s="29">
        <f t="shared" si="32"/>
        <v>0</v>
      </c>
      <c r="G133" s="30">
        <v>0</v>
      </c>
      <c r="H133" s="31">
        <v>0</v>
      </c>
      <c r="I133" s="32">
        <v>0</v>
      </c>
      <c r="J133" s="136"/>
      <c r="K133" s="33">
        <v>0</v>
      </c>
      <c r="L133" s="34">
        <v>0</v>
      </c>
      <c r="M133" s="34">
        <v>0</v>
      </c>
      <c r="N133" s="138"/>
      <c r="O133" s="34">
        <v>0</v>
      </c>
      <c r="P133" s="34">
        <v>0</v>
      </c>
      <c r="Q133" s="34">
        <v>0</v>
      </c>
      <c r="R133" s="138"/>
      <c r="S133" s="37">
        <v>0</v>
      </c>
      <c r="T133" s="34">
        <v>0</v>
      </c>
      <c r="U133" s="34">
        <v>0</v>
      </c>
      <c r="V133" s="138"/>
      <c r="W133" s="38">
        <v>0</v>
      </c>
      <c r="X133" s="31">
        <v>0</v>
      </c>
      <c r="Y133" s="31">
        <v>0</v>
      </c>
      <c r="Z133" s="105"/>
      <c r="AA133" s="37">
        <v>0</v>
      </c>
      <c r="AB133" s="34">
        <v>0</v>
      </c>
      <c r="AC133" s="34">
        <v>0</v>
      </c>
      <c r="AD133" s="123"/>
      <c r="AE133" s="122"/>
      <c r="AF133" s="123"/>
      <c r="AG133" s="43">
        <f t="shared" si="37"/>
        <v>0</v>
      </c>
      <c r="AH133" s="44">
        <f t="shared" si="37"/>
        <v>0</v>
      </c>
      <c r="AI133" s="44">
        <f t="shared" si="37"/>
        <v>0</v>
      </c>
      <c r="AJ133" s="45">
        <f t="shared" si="37"/>
        <v>0</v>
      </c>
      <c r="AK133" s="137">
        <f t="shared" ref="AK133:AK185" si="39">AG133+AH133+AI133</f>
        <v>0</v>
      </c>
      <c r="AL133" s="47">
        <v>0.5</v>
      </c>
      <c r="AM133" s="48">
        <f t="shared" si="34"/>
        <v>0</v>
      </c>
      <c r="AN133" s="48">
        <f t="shared" si="35"/>
        <v>0</v>
      </c>
      <c r="AO133" s="49">
        <f t="shared" si="33"/>
        <v>0</v>
      </c>
      <c r="AP133" s="49">
        <f t="shared" ref="AP133:AP183" si="40">AJ133*AL133</f>
        <v>0</v>
      </c>
      <c r="AQ133" s="50">
        <f t="shared" ref="AQ133:AQ170" si="41">AK133*60</f>
        <v>0</v>
      </c>
      <c r="AR133" s="124"/>
      <c r="AS133" s="125"/>
      <c r="AT133" s="126"/>
      <c r="AU133" s="84">
        <f t="shared" si="38"/>
        <v>0</v>
      </c>
      <c r="AV133" s="127"/>
      <c r="AW133" s="128"/>
      <c r="AX133" s="128"/>
      <c r="AY133" s="125"/>
      <c r="AZ133" s="129"/>
    </row>
    <row r="134" spans="1:52" ht="16.5" thickBot="1" x14ac:dyDescent="0.3">
      <c r="A134" s="134">
        <v>330</v>
      </c>
      <c r="B134" s="134" t="s">
        <v>103</v>
      </c>
      <c r="C134" s="135"/>
      <c r="D134" s="26">
        <f t="shared" ref="D134:D184" si="42">C134/3</f>
        <v>0</v>
      </c>
      <c r="E134" s="27">
        <f t="shared" ref="E134:E184" si="43">C134/3</f>
        <v>0</v>
      </c>
      <c r="F134" s="29">
        <f t="shared" ref="F134:F184" si="44">C134/3</f>
        <v>0</v>
      </c>
      <c r="G134" s="30">
        <v>0</v>
      </c>
      <c r="H134" s="31">
        <v>0</v>
      </c>
      <c r="I134" s="32">
        <v>0</v>
      </c>
      <c r="J134" s="136"/>
      <c r="K134" s="33">
        <v>0</v>
      </c>
      <c r="L134" s="34">
        <v>0</v>
      </c>
      <c r="M134" s="34">
        <v>0</v>
      </c>
      <c r="N134" s="138"/>
      <c r="O134" s="34">
        <v>0</v>
      </c>
      <c r="P134" s="34">
        <v>0</v>
      </c>
      <c r="Q134" s="34">
        <v>0</v>
      </c>
      <c r="R134" s="138"/>
      <c r="S134" s="37">
        <v>0</v>
      </c>
      <c r="T134" s="34">
        <v>0</v>
      </c>
      <c r="U134" s="34">
        <v>0</v>
      </c>
      <c r="V134" s="138"/>
      <c r="W134" s="38">
        <v>0</v>
      </c>
      <c r="X134" s="31">
        <v>0</v>
      </c>
      <c r="Y134" s="31">
        <v>0</v>
      </c>
      <c r="Z134" s="105"/>
      <c r="AA134" s="37">
        <v>0</v>
      </c>
      <c r="AB134" s="34">
        <v>0</v>
      </c>
      <c r="AC134" s="34">
        <v>0</v>
      </c>
      <c r="AD134" s="123"/>
      <c r="AE134" s="122"/>
      <c r="AF134" s="123"/>
      <c r="AG134" s="43">
        <f t="shared" si="37"/>
        <v>0</v>
      </c>
      <c r="AH134" s="44">
        <f t="shared" si="37"/>
        <v>0</v>
      </c>
      <c r="AI134" s="44">
        <f t="shared" si="37"/>
        <v>0</v>
      </c>
      <c r="AJ134" s="45">
        <f t="shared" si="37"/>
        <v>0</v>
      </c>
      <c r="AK134" s="137">
        <f t="shared" si="39"/>
        <v>0</v>
      </c>
      <c r="AL134" s="47">
        <v>0.5</v>
      </c>
      <c r="AM134" s="48">
        <f t="shared" si="34"/>
        <v>0</v>
      </c>
      <c r="AN134" s="48">
        <f t="shared" si="35"/>
        <v>0</v>
      </c>
      <c r="AO134" s="49">
        <f t="shared" ref="AO134:AO185" si="45">AI134*AL134</f>
        <v>0</v>
      </c>
      <c r="AP134" s="49">
        <f t="shared" si="40"/>
        <v>0</v>
      </c>
      <c r="AQ134" s="50">
        <f t="shared" si="41"/>
        <v>0</v>
      </c>
      <c r="AR134" s="124"/>
      <c r="AS134" s="125"/>
      <c r="AT134" s="126"/>
      <c r="AU134" s="84"/>
      <c r="AV134" s="127"/>
      <c r="AW134" s="128"/>
      <c r="AX134" s="128"/>
      <c r="AY134" s="125"/>
      <c r="AZ134" s="129"/>
    </row>
    <row r="135" spans="1:52" ht="16.5" thickBot="1" x14ac:dyDescent="0.3">
      <c r="A135" s="134">
        <v>330</v>
      </c>
      <c r="B135" s="134" t="s">
        <v>104</v>
      </c>
      <c r="C135" s="135"/>
      <c r="D135" s="26">
        <f t="shared" si="42"/>
        <v>0</v>
      </c>
      <c r="E135" s="27">
        <f t="shared" si="43"/>
        <v>0</v>
      </c>
      <c r="F135" s="29">
        <f t="shared" si="44"/>
        <v>0</v>
      </c>
      <c r="G135" s="30">
        <v>0</v>
      </c>
      <c r="H135" s="31">
        <v>0</v>
      </c>
      <c r="I135" s="32">
        <v>0</v>
      </c>
      <c r="J135" s="136"/>
      <c r="K135" s="33">
        <v>0</v>
      </c>
      <c r="L135" s="34">
        <v>0</v>
      </c>
      <c r="M135" s="34">
        <v>0</v>
      </c>
      <c r="N135" s="138"/>
      <c r="O135" s="34">
        <v>0</v>
      </c>
      <c r="P135" s="34">
        <v>0</v>
      </c>
      <c r="Q135" s="34">
        <v>0</v>
      </c>
      <c r="R135" s="138"/>
      <c r="S135" s="37">
        <v>0</v>
      </c>
      <c r="T135" s="34">
        <v>0</v>
      </c>
      <c r="U135" s="34">
        <v>0</v>
      </c>
      <c r="V135" s="138"/>
      <c r="W135" s="38">
        <v>0</v>
      </c>
      <c r="X135" s="31">
        <v>0</v>
      </c>
      <c r="Y135" s="31">
        <v>0</v>
      </c>
      <c r="Z135" s="105"/>
      <c r="AA135" s="37">
        <v>0</v>
      </c>
      <c r="AB135" s="34">
        <v>0</v>
      </c>
      <c r="AC135" s="34">
        <v>0</v>
      </c>
      <c r="AD135" s="123"/>
      <c r="AE135" s="122"/>
      <c r="AF135" s="123"/>
      <c r="AG135" s="43">
        <f t="shared" si="37"/>
        <v>0</v>
      </c>
      <c r="AH135" s="44">
        <f t="shared" si="37"/>
        <v>0</v>
      </c>
      <c r="AI135" s="44">
        <f t="shared" si="37"/>
        <v>0</v>
      </c>
      <c r="AJ135" s="45">
        <f t="shared" si="37"/>
        <v>0</v>
      </c>
      <c r="AK135" s="137">
        <f t="shared" si="39"/>
        <v>0</v>
      </c>
      <c r="AL135" s="47">
        <v>0.5</v>
      </c>
      <c r="AM135" s="48">
        <f t="shared" si="34"/>
        <v>0</v>
      </c>
      <c r="AN135" s="48">
        <f t="shared" si="35"/>
        <v>0</v>
      </c>
      <c r="AO135" s="49">
        <f t="shared" si="45"/>
        <v>0</v>
      </c>
      <c r="AP135" s="49">
        <f t="shared" si="40"/>
        <v>0</v>
      </c>
      <c r="AQ135" s="50">
        <f t="shared" si="41"/>
        <v>0</v>
      </c>
      <c r="AR135" s="124"/>
      <c r="AS135" s="125"/>
      <c r="AT135" s="126"/>
      <c r="AU135" s="84"/>
      <c r="AV135" s="127"/>
      <c r="AW135" s="128"/>
      <c r="AX135" s="128"/>
      <c r="AY135" s="125"/>
      <c r="AZ135" s="129"/>
    </row>
    <row r="136" spans="1:52" ht="16.5" thickBot="1" x14ac:dyDescent="0.3">
      <c r="A136" s="134">
        <v>330</v>
      </c>
      <c r="B136" s="134" t="s">
        <v>105</v>
      </c>
      <c r="C136" s="135"/>
      <c r="D136" s="26">
        <f t="shared" si="42"/>
        <v>0</v>
      </c>
      <c r="E136" s="27">
        <f t="shared" si="43"/>
        <v>0</v>
      </c>
      <c r="F136" s="29">
        <f t="shared" si="44"/>
        <v>0</v>
      </c>
      <c r="G136" s="30">
        <v>0</v>
      </c>
      <c r="H136" s="31">
        <v>0</v>
      </c>
      <c r="I136" s="32">
        <v>0</v>
      </c>
      <c r="J136" s="136"/>
      <c r="K136" s="33">
        <v>0</v>
      </c>
      <c r="L136" s="34">
        <v>0</v>
      </c>
      <c r="M136" s="34">
        <v>0</v>
      </c>
      <c r="N136" s="138"/>
      <c r="O136" s="34">
        <v>0</v>
      </c>
      <c r="P136" s="34">
        <v>0</v>
      </c>
      <c r="Q136" s="34">
        <v>0</v>
      </c>
      <c r="R136" s="138"/>
      <c r="S136" s="37">
        <v>0</v>
      </c>
      <c r="T136" s="34">
        <v>0</v>
      </c>
      <c r="U136" s="34">
        <v>0</v>
      </c>
      <c r="V136" s="138"/>
      <c r="W136" s="38">
        <v>0</v>
      </c>
      <c r="X136" s="31">
        <v>0</v>
      </c>
      <c r="Y136" s="31">
        <v>0</v>
      </c>
      <c r="Z136" s="105"/>
      <c r="AA136" s="37">
        <v>0</v>
      </c>
      <c r="AB136" s="34">
        <v>0</v>
      </c>
      <c r="AC136" s="34">
        <v>0</v>
      </c>
      <c r="AD136" s="123"/>
      <c r="AE136" s="122"/>
      <c r="AF136" s="123"/>
      <c r="AG136" s="43">
        <f t="shared" si="37"/>
        <v>0</v>
      </c>
      <c r="AH136" s="44">
        <f t="shared" si="37"/>
        <v>0</v>
      </c>
      <c r="AI136" s="44">
        <f t="shared" si="37"/>
        <v>0</v>
      </c>
      <c r="AJ136" s="45">
        <f t="shared" si="37"/>
        <v>0</v>
      </c>
      <c r="AK136" s="137">
        <f t="shared" si="39"/>
        <v>0</v>
      </c>
      <c r="AL136" s="47">
        <v>0.5</v>
      </c>
      <c r="AM136" s="48">
        <f t="shared" si="34"/>
        <v>0</v>
      </c>
      <c r="AN136" s="48">
        <f t="shared" si="35"/>
        <v>0</v>
      </c>
      <c r="AO136" s="49">
        <f t="shared" si="45"/>
        <v>0</v>
      </c>
      <c r="AP136" s="49">
        <f t="shared" si="40"/>
        <v>0</v>
      </c>
      <c r="AQ136" s="50">
        <f t="shared" si="41"/>
        <v>0</v>
      </c>
      <c r="AR136" s="124"/>
      <c r="AS136" s="125"/>
      <c r="AT136" s="126"/>
      <c r="AU136" s="84"/>
      <c r="AV136" s="127"/>
      <c r="AW136" s="128"/>
      <c r="AX136" s="128"/>
      <c r="AY136" s="125"/>
      <c r="AZ136" s="129"/>
    </row>
    <row r="137" spans="1:52" ht="16.5" thickBot="1" x14ac:dyDescent="0.3">
      <c r="A137" s="134">
        <v>330</v>
      </c>
      <c r="B137" s="134" t="s">
        <v>106</v>
      </c>
      <c r="C137" s="135"/>
      <c r="D137" s="26">
        <f t="shared" si="42"/>
        <v>0</v>
      </c>
      <c r="E137" s="27">
        <f t="shared" si="43"/>
        <v>0</v>
      </c>
      <c r="F137" s="29">
        <f t="shared" si="44"/>
        <v>0</v>
      </c>
      <c r="G137" s="30">
        <v>0</v>
      </c>
      <c r="H137" s="31">
        <v>0</v>
      </c>
      <c r="I137" s="32">
        <v>0</v>
      </c>
      <c r="J137" s="136"/>
      <c r="K137" s="33">
        <v>0</v>
      </c>
      <c r="L137" s="34">
        <v>0</v>
      </c>
      <c r="M137" s="34">
        <v>0</v>
      </c>
      <c r="N137" s="138"/>
      <c r="O137" s="34">
        <v>0</v>
      </c>
      <c r="P137" s="34">
        <v>0</v>
      </c>
      <c r="Q137" s="34">
        <v>0</v>
      </c>
      <c r="R137" s="138"/>
      <c r="S137" s="37">
        <v>0</v>
      </c>
      <c r="T137" s="34">
        <v>0</v>
      </c>
      <c r="U137" s="34">
        <v>0</v>
      </c>
      <c r="V137" s="138"/>
      <c r="W137" s="38">
        <v>0</v>
      </c>
      <c r="X137" s="31">
        <v>0</v>
      </c>
      <c r="Y137" s="31">
        <v>0</v>
      </c>
      <c r="Z137" s="105"/>
      <c r="AA137" s="37">
        <v>0</v>
      </c>
      <c r="AB137" s="34">
        <v>0</v>
      </c>
      <c r="AC137" s="34">
        <v>0</v>
      </c>
      <c r="AD137" s="123"/>
      <c r="AE137" s="122"/>
      <c r="AF137" s="123"/>
      <c r="AG137" s="43">
        <f t="shared" si="37"/>
        <v>0</v>
      </c>
      <c r="AH137" s="44">
        <f t="shared" si="37"/>
        <v>0</v>
      </c>
      <c r="AI137" s="44">
        <f t="shared" si="37"/>
        <v>0</v>
      </c>
      <c r="AJ137" s="45">
        <f t="shared" si="37"/>
        <v>0</v>
      </c>
      <c r="AK137" s="137">
        <f t="shared" si="39"/>
        <v>0</v>
      </c>
      <c r="AL137" s="47">
        <v>0.5</v>
      </c>
      <c r="AM137" s="48">
        <f t="shared" si="34"/>
        <v>0</v>
      </c>
      <c r="AN137" s="48">
        <f t="shared" si="35"/>
        <v>0</v>
      </c>
      <c r="AO137" s="49">
        <f t="shared" si="45"/>
        <v>0</v>
      </c>
      <c r="AP137" s="49">
        <f t="shared" si="40"/>
        <v>0</v>
      </c>
      <c r="AQ137" s="50">
        <f t="shared" si="41"/>
        <v>0</v>
      </c>
      <c r="AR137" s="124"/>
      <c r="AS137" s="125"/>
      <c r="AT137" s="126"/>
      <c r="AU137" s="84"/>
      <c r="AV137" s="127"/>
      <c r="AW137" s="128"/>
      <c r="AX137" s="128"/>
      <c r="AY137" s="125"/>
      <c r="AZ137" s="129"/>
    </row>
    <row r="138" spans="1:52" ht="16.5" thickBot="1" x14ac:dyDescent="0.3">
      <c r="A138" s="134">
        <v>473</v>
      </c>
      <c r="B138" s="134" t="s">
        <v>54</v>
      </c>
      <c r="C138" s="135"/>
      <c r="D138" s="26">
        <f t="shared" si="42"/>
        <v>0</v>
      </c>
      <c r="E138" s="27">
        <f t="shared" si="43"/>
        <v>0</v>
      </c>
      <c r="F138" s="29">
        <f t="shared" si="44"/>
        <v>0</v>
      </c>
      <c r="G138" s="30">
        <v>0</v>
      </c>
      <c r="H138" s="31">
        <v>0</v>
      </c>
      <c r="I138" s="32">
        <v>0</v>
      </c>
      <c r="J138" s="136"/>
      <c r="K138" s="33">
        <v>0</v>
      </c>
      <c r="L138" s="34">
        <v>0</v>
      </c>
      <c r="M138" s="34">
        <v>0</v>
      </c>
      <c r="N138" s="138"/>
      <c r="O138" s="34">
        <v>0</v>
      </c>
      <c r="P138" s="34">
        <v>0</v>
      </c>
      <c r="Q138" s="34">
        <v>0</v>
      </c>
      <c r="R138" s="138"/>
      <c r="S138" s="37">
        <v>0</v>
      </c>
      <c r="T138" s="34">
        <v>0</v>
      </c>
      <c r="U138" s="34">
        <v>0</v>
      </c>
      <c r="V138" s="138"/>
      <c r="W138" s="38">
        <v>0</v>
      </c>
      <c r="X138" s="31">
        <v>0</v>
      </c>
      <c r="Y138" s="31">
        <v>0</v>
      </c>
      <c r="Z138" s="105"/>
      <c r="AA138" s="37">
        <v>0</v>
      </c>
      <c r="AB138" s="34">
        <v>0</v>
      </c>
      <c r="AC138" s="34">
        <v>0</v>
      </c>
      <c r="AD138" s="123"/>
      <c r="AE138" s="122"/>
      <c r="AF138" s="123"/>
      <c r="AG138" s="43">
        <f t="shared" si="37"/>
        <v>0</v>
      </c>
      <c r="AH138" s="44">
        <f t="shared" si="37"/>
        <v>0</v>
      </c>
      <c r="AI138" s="44">
        <f t="shared" si="37"/>
        <v>0</v>
      </c>
      <c r="AJ138" s="45">
        <f t="shared" si="37"/>
        <v>0</v>
      </c>
      <c r="AK138" s="137">
        <f t="shared" si="39"/>
        <v>0</v>
      </c>
      <c r="AL138" s="47">
        <v>0.5</v>
      </c>
      <c r="AM138" s="48">
        <f t="shared" si="34"/>
        <v>0</v>
      </c>
      <c r="AN138" s="48">
        <f t="shared" si="35"/>
        <v>0</v>
      </c>
      <c r="AO138" s="49">
        <f t="shared" si="45"/>
        <v>0</v>
      </c>
      <c r="AP138" s="49">
        <f t="shared" si="40"/>
        <v>0</v>
      </c>
      <c r="AQ138" s="50">
        <f t="shared" si="41"/>
        <v>0</v>
      </c>
      <c r="AR138" s="124"/>
      <c r="AS138" s="125"/>
      <c r="AT138" s="126"/>
      <c r="AU138" s="84"/>
      <c r="AV138" s="127"/>
      <c r="AW138" s="128"/>
      <c r="AX138" s="128"/>
      <c r="AY138" s="125"/>
      <c r="AZ138" s="129"/>
    </row>
    <row r="139" spans="1:52" ht="16.5" thickBot="1" x14ac:dyDescent="0.3">
      <c r="A139" s="134">
        <v>473</v>
      </c>
      <c r="B139" s="134" t="s">
        <v>56</v>
      </c>
      <c r="C139" s="135"/>
      <c r="D139" s="26">
        <f t="shared" si="42"/>
        <v>0</v>
      </c>
      <c r="E139" s="27">
        <f t="shared" si="43"/>
        <v>0</v>
      </c>
      <c r="F139" s="29">
        <f t="shared" si="44"/>
        <v>0</v>
      </c>
      <c r="G139" s="30">
        <v>0</v>
      </c>
      <c r="H139" s="31">
        <v>0</v>
      </c>
      <c r="I139" s="32">
        <v>0</v>
      </c>
      <c r="J139" s="136"/>
      <c r="K139" s="33">
        <v>0</v>
      </c>
      <c r="L139" s="34">
        <v>0</v>
      </c>
      <c r="M139" s="34">
        <v>0</v>
      </c>
      <c r="N139" s="138"/>
      <c r="O139" s="34">
        <v>0</v>
      </c>
      <c r="P139" s="34">
        <v>0</v>
      </c>
      <c r="Q139" s="34">
        <v>0</v>
      </c>
      <c r="R139" s="138"/>
      <c r="S139" s="37">
        <v>0</v>
      </c>
      <c r="T139" s="34">
        <v>0</v>
      </c>
      <c r="U139" s="34">
        <v>0</v>
      </c>
      <c r="V139" s="138"/>
      <c r="W139" s="38">
        <v>0</v>
      </c>
      <c r="X139" s="31">
        <v>0</v>
      </c>
      <c r="Y139" s="31">
        <v>0</v>
      </c>
      <c r="Z139" s="105"/>
      <c r="AA139" s="37">
        <v>0</v>
      </c>
      <c r="AB139" s="34">
        <v>0</v>
      </c>
      <c r="AC139" s="34">
        <v>0</v>
      </c>
      <c r="AD139" s="123"/>
      <c r="AE139" s="122"/>
      <c r="AF139" s="123"/>
      <c r="AG139" s="43">
        <f t="shared" si="37"/>
        <v>0</v>
      </c>
      <c r="AH139" s="44">
        <f t="shared" si="37"/>
        <v>0</v>
      </c>
      <c r="AI139" s="44">
        <f t="shared" si="37"/>
        <v>0</v>
      </c>
      <c r="AJ139" s="45">
        <f t="shared" si="37"/>
        <v>0</v>
      </c>
      <c r="AK139" s="137">
        <f t="shared" si="39"/>
        <v>0</v>
      </c>
      <c r="AL139" s="47">
        <v>0.5</v>
      </c>
      <c r="AM139" s="48">
        <f t="shared" ref="AM139:AM185" si="46">AG139*AL139</f>
        <v>0</v>
      </c>
      <c r="AN139" s="48">
        <f t="shared" ref="AN139:AN185" si="47">AH139*AL139</f>
        <v>0</v>
      </c>
      <c r="AO139" s="49">
        <f t="shared" si="45"/>
        <v>0</v>
      </c>
      <c r="AP139" s="49">
        <f t="shared" si="40"/>
        <v>0</v>
      </c>
      <c r="AQ139" s="50">
        <f t="shared" si="41"/>
        <v>0</v>
      </c>
      <c r="AR139" s="124"/>
      <c r="AS139" s="125"/>
      <c r="AT139" s="126"/>
      <c r="AU139" s="84"/>
      <c r="AV139" s="127"/>
      <c r="AW139" s="128"/>
      <c r="AX139" s="128"/>
      <c r="AY139" s="125"/>
      <c r="AZ139" s="129"/>
    </row>
    <row r="140" spans="1:52" ht="16.5" thickBot="1" x14ac:dyDescent="0.3">
      <c r="A140" s="134">
        <v>473</v>
      </c>
      <c r="B140" s="134" t="s">
        <v>107</v>
      </c>
      <c r="C140" s="135">
        <v>67</v>
      </c>
      <c r="D140" s="26">
        <f t="shared" si="42"/>
        <v>22.333333333333332</v>
      </c>
      <c r="E140" s="27">
        <f t="shared" si="43"/>
        <v>22.333333333333332</v>
      </c>
      <c r="F140" s="29">
        <f t="shared" si="44"/>
        <v>22.333333333333332</v>
      </c>
      <c r="G140" s="30">
        <v>0</v>
      </c>
      <c r="H140" s="31">
        <v>0</v>
      </c>
      <c r="I140" s="32">
        <v>0</v>
      </c>
      <c r="J140" s="136"/>
      <c r="K140" s="33">
        <v>0</v>
      </c>
      <c r="L140" s="34">
        <v>0</v>
      </c>
      <c r="M140" s="34">
        <v>0</v>
      </c>
      <c r="N140" s="138"/>
      <c r="O140" s="34">
        <v>0</v>
      </c>
      <c r="P140" s="34">
        <v>0</v>
      </c>
      <c r="Q140" s="34">
        <v>0</v>
      </c>
      <c r="R140" s="138"/>
      <c r="S140" s="37">
        <v>0</v>
      </c>
      <c r="T140" s="34">
        <v>0</v>
      </c>
      <c r="U140" s="34">
        <v>0</v>
      </c>
      <c r="V140" s="138"/>
      <c r="W140" s="38">
        <v>0</v>
      </c>
      <c r="X140" s="31">
        <v>0</v>
      </c>
      <c r="Y140" s="31">
        <v>0</v>
      </c>
      <c r="Z140" s="105"/>
      <c r="AA140" s="37">
        <v>0</v>
      </c>
      <c r="AB140" s="34">
        <v>0</v>
      </c>
      <c r="AC140" s="34">
        <v>0</v>
      </c>
      <c r="AD140" s="123"/>
      <c r="AE140" s="122"/>
      <c r="AF140" s="123"/>
      <c r="AG140" s="43">
        <f t="shared" si="37"/>
        <v>0</v>
      </c>
      <c r="AH140" s="44">
        <f t="shared" si="37"/>
        <v>0</v>
      </c>
      <c r="AI140" s="44">
        <f t="shared" si="37"/>
        <v>0</v>
      </c>
      <c r="AJ140" s="45">
        <f t="shared" si="37"/>
        <v>0</v>
      </c>
      <c r="AK140" s="137">
        <f t="shared" si="39"/>
        <v>0</v>
      </c>
      <c r="AL140" s="47">
        <v>0.5</v>
      </c>
      <c r="AM140" s="48">
        <f t="shared" si="46"/>
        <v>0</v>
      </c>
      <c r="AN140" s="48">
        <f t="shared" si="47"/>
        <v>0</v>
      </c>
      <c r="AO140" s="49">
        <f t="shared" si="45"/>
        <v>0</v>
      </c>
      <c r="AP140" s="49">
        <f t="shared" si="40"/>
        <v>0</v>
      </c>
      <c r="AQ140" s="50">
        <f t="shared" si="41"/>
        <v>0</v>
      </c>
      <c r="AR140" s="124"/>
      <c r="AS140" s="125"/>
      <c r="AT140" s="126"/>
      <c r="AU140" s="84"/>
      <c r="AV140" s="127"/>
      <c r="AW140" s="128"/>
      <c r="AX140" s="128"/>
      <c r="AY140" s="125"/>
      <c r="AZ140" s="129"/>
    </row>
    <row r="141" spans="1:52" ht="16.5" thickBot="1" x14ac:dyDescent="0.3">
      <c r="A141" s="134">
        <v>473</v>
      </c>
      <c r="B141" s="134" t="s">
        <v>57</v>
      </c>
      <c r="C141" s="135"/>
      <c r="D141" s="26">
        <f t="shared" si="42"/>
        <v>0</v>
      </c>
      <c r="E141" s="27">
        <f t="shared" si="43"/>
        <v>0</v>
      </c>
      <c r="F141" s="29">
        <f t="shared" si="44"/>
        <v>0</v>
      </c>
      <c r="G141" s="30">
        <v>0</v>
      </c>
      <c r="H141" s="31">
        <v>0</v>
      </c>
      <c r="I141" s="32">
        <v>0</v>
      </c>
      <c r="J141" s="136"/>
      <c r="K141" s="33">
        <v>0</v>
      </c>
      <c r="L141" s="34">
        <v>0</v>
      </c>
      <c r="M141" s="34">
        <v>0</v>
      </c>
      <c r="N141" s="138"/>
      <c r="O141" s="34">
        <v>0</v>
      </c>
      <c r="P141" s="34">
        <v>0</v>
      </c>
      <c r="Q141" s="34">
        <v>0</v>
      </c>
      <c r="R141" s="138"/>
      <c r="S141" s="37">
        <v>0</v>
      </c>
      <c r="T141" s="34">
        <v>0</v>
      </c>
      <c r="U141" s="34">
        <v>0</v>
      </c>
      <c r="V141" s="138"/>
      <c r="W141" s="38">
        <v>0</v>
      </c>
      <c r="X141" s="31">
        <v>0</v>
      </c>
      <c r="Y141" s="31">
        <v>0</v>
      </c>
      <c r="Z141" s="105"/>
      <c r="AA141" s="37">
        <v>0</v>
      </c>
      <c r="AB141" s="34">
        <v>0</v>
      </c>
      <c r="AC141" s="34">
        <v>0</v>
      </c>
      <c r="AD141" s="123"/>
      <c r="AE141" s="122"/>
      <c r="AF141" s="123"/>
      <c r="AG141" s="43">
        <f t="shared" si="37"/>
        <v>0</v>
      </c>
      <c r="AH141" s="44">
        <f t="shared" si="37"/>
        <v>0</v>
      </c>
      <c r="AI141" s="44">
        <f t="shared" si="37"/>
        <v>0</v>
      </c>
      <c r="AJ141" s="45">
        <f t="shared" si="37"/>
        <v>0</v>
      </c>
      <c r="AK141" s="137">
        <f t="shared" si="39"/>
        <v>0</v>
      </c>
      <c r="AL141" s="47">
        <v>0.5</v>
      </c>
      <c r="AM141" s="48">
        <f t="shared" si="46"/>
        <v>0</v>
      </c>
      <c r="AN141" s="48">
        <f t="shared" si="47"/>
        <v>0</v>
      </c>
      <c r="AO141" s="49">
        <f t="shared" si="45"/>
        <v>0</v>
      </c>
      <c r="AP141" s="49">
        <f t="shared" si="40"/>
        <v>0</v>
      </c>
      <c r="AQ141" s="50">
        <f t="shared" si="41"/>
        <v>0</v>
      </c>
      <c r="AR141" s="124"/>
      <c r="AS141" s="125"/>
      <c r="AT141" s="126"/>
      <c r="AU141" s="84"/>
      <c r="AV141" s="127"/>
      <c r="AW141" s="128"/>
      <c r="AX141" s="128"/>
      <c r="AY141" s="125"/>
      <c r="AZ141" s="129"/>
    </row>
    <row r="142" spans="1:52" ht="16.5" thickBot="1" x14ac:dyDescent="0.3">
      <c r="A142" s="134">
        <v>473</v>
      </c>
      <c r="B142" s="134" t="s">
        <v>108</v>
      </c>
      <c r="C142" s="135">
        <v>706</v>
      </c>
      <c r="D142" s="26">
        <f t="shared" si="42"/>
        <v>235.33333333333334</v>
      </c>
      <c r="E142" s="27">
        <f t="shared" si="43"/>
        <v>235.33333333333334</v>
      </c>
      <c r="F142" s="29">
        <f t="shared" si="44"/>
        <v>235.33333333333334</v>
      </c>
      <c r="G142" s="30">
        <v>0</v>
      </c>
      <c r="H142" s="31">
        <v>0</v>
      </c>
      <c r="I142" s="32">
        <v>0</v>
      </c>
      <c r="J142" s="136"/>
      <c r="K142" s="33">
        <v>0</v>
      </c>
      <c r="L142" s="34">
        <v>0</v>
      </c>
      <c r="M142" s="34">
        <v>0</v>
      </c>
      <c r="N142" s="138"/>
      <c r="O142" s="34">
        <v>0</v>
      </c>
      <c r="P142" s="34">
        <v>0</v>
      </c>
      <c r="Q142" s="34">
        <v>0</v>
      </c>
      <c r="R142" s="138"/>
      <c r="S142" s="37">
        <v>0</v>
      </c>
      <c r="T142" s="34">
        <v>0</v>
      </c>
      <c r="U142" s="34">
        <v>0</v>
      </c>
      <c r="V142" s="138"/>
      <c r="W142" s="38">
        <v>0</v>
      </c>
      <c r="X142" s="31">
        <v>0</v>
      </c>
      <c r="Y142" s="31">
        <v>0</v>
      </c>
      <c r="Z142" s="105"/>
      <c r="AA142" s="37">
        <v>0</v>
      </c>
      <c r="AB142" s="34">
        <v>0</v>
      </c>
      <c r="AC142" s="34">
        <v>0</v>
      </c>
      <c r="AD142" s="123"/>
      <c r="AE142" s="122"/>
      <c r="AF142" s="123"/>
      <c r="AG142" s="43">
        <f t="shared" si="37"/>
        <v>0</v>
      </c>
      <c r="AH142" s="44">
        <f t="shared" si="37"/>
        <v>0</v>
      </c>
      <c r="AI142" s="44">
        <f t="shared" si="37"/>
        <v>0</v>
      </c>
      <c r="AJ142" s="45">
        <f t="shared" si="37"/>
        <v>0</v>
      </c>
      <c r="AK142" s="137">
        <f t="shared" si="39"/>
        <v>0</v>
      </c>
      <c r="AL142" s="47">
        <v>1</v>
      </c>
      <c r="AM142" s="48">
        <f t="shared" si="46"/>
        <v>0</v>
      </c>
      <c r="AN142" s="48">
        <f t="shared" si="47"/>
        <v>0</v>
      </c>
      <c r="AO142" s="49">
        <f t="shared" si="45"/>
        <v>0</v>
      </c>
      <c r="AP142" s="49">
        <f t="shared" si="40"/>
        <v>0</v>
      </c>
      <c r="AQ142" s="50">
        <f t="shared" si="41"/>
        <v>0</v>
      </c>
      <c r="AR142" s="124"/>
      <c r="AS142" s="125"/>
      <c r="AT142" s="126"/>
      <c r="AU142" s="84"/>
      <c r="AV142" s="127"/>
      <c r="AW142" s="128"/>
      <c r="AX142" s="128"/>
      <c r="AY142" s="125"/>
      <c r="AZ142" s="129"/>
    </row>
    <row r="143" spans="1:52" ht="16.5" thickBot="1" x14ac:dyDescent="0.3">
      <c r="A143" s="134">
        <v>625</v>
      </c>
      <c r="B143" s="134" t="s">
        <v>108</v>
      </c>
      <c r="C143" s="135"/>
      <c r="D143" s="26">
        <f t="shared" si="42"/>
        <v>0</v>
      </c>
      <c r="E143" s="27">
        <f t="shared" si="43"/>
        <v>0</v>
      </c>
      <c r="F143" s="29">
        <f t="shared" si="44"/>
        <v>0</v>
      </c>
      <c r="G143" s="30">
        <v>0</v>
      </c>
      <c r="H143" s="31">
        <v>0</v>
      </c>
      <c r="I143" s="32">
        <v>0</v>
      </c>
      <c r="J143" s="136"/>
      <c r="K143" s="33">
        <v>0</v>
      </c>
      <c r="L143" s="34">
        <v>0</v>
      </c>
      <c r="M143" s="34">
        <v>0</v>
      </c>
      <c r="N143" s="138"/>
      <c r="O143" s="34">
        <v>0</v>
      </c>
      <c r="P143" s="34">
        <v>0</v>
      </c>
      <c r="Q143" s="34">
        <v>0</v>
      </c>
      <c r="R143" s="138"/>
      <c r="S143" s="37">
        <v>0</v>
      </c>
      <c r="T143" s="34">
        <v>0</v>
      </c>
      <c r="U143" s="34">
        <v>0</v>
      </c>
      <c r="V143" s="138"/>
      <c r="W143" s="38">
        <v>0</v>
      </c>
      <c r="X143" s="31">
        <v>0</v>
      </c>
      <c r="Y143" s="31">
        <v>0</v>
      </c>
      <c r="Z143" s="105"/>
      <c r="AA143" s="37">
        <v>0</v>
      </c>
      <c r="AB143" s="34">
        <v>0</v>
      </c>
      <c r="AC143" s="34">
        <v>0</v>
      </c>
      <c r="AD143" s="123"/>
      <c r="AE143" s="122"/>
      <c r="AF143" s="123"/>
      <c r="AG143" s="43">
        <f t="shared" si="37"/>
        <v>0</v>
      </c>
      <c r="AH143" s="44">
        <f t="shared" si="37"/>
        <v>0</v>
      </c>
      <c r="AI143" s="44">
        <f t="shared" si="37"/>
        <v>0</v>
      </c>
      <c r="AJ143" s="45">
        <f t="shared" si="37"/>
        <v>0</v>
      </c>
      <c r="AK143" s="137">
        <f t="shared" si="39"/>
        <v>0</v>
      </c>
      <c r="AL143" s="47">
        <v>0.5</v>
      </c>
      <c r="AM143" s="48">
        <f t="shared" si="46"/>
        <v>0</v>
      </c>
      <c r="AN143" s="48">
        <f t="shared" si="47"/>
        <v>0</v>
      </c>
      <c r="AO143" s="49">
        <f t="shared" si="45"/>
        <v>0</v>
      </c>
      <c r="AP143" s="49">
        <f t="shared" si="40"/>
        <v>0</v>
      </c>
      <c r="AQ143" s="50">
        <f t="shared" si="41"/>
        <v>0</v>
      </c>
      <c r="AR143" s="124"/>
      <c r="AS143" s="125"/>
      <c r="AT143" s="126"/>
      <c r="AU143" s="84"/>
      <c r="AV143" s="127"/>
      <c r="AW143" s="128"/>
      <c r="AX143" s="128"/>
      <c r="AY143" s="125"/>
      <c r="AZ143" s="129"/>
    </row>
    <row r="144" spans="1:52" ht="16.5" thickBot="1" x14ac:dyDescent="0.3">
      <c r="A144" s="134"/>
      <c r="B144" s="134" t="s">
        <v>109</v>
      </c>
      <c r="C144" s="135"/>
      <c r="D144" s="26">
        <f t="shared" si="42"/>
        <v>0</v>
      </c>
      <c r="E144" s="27">
        <f t="shared" si="43"/>
        <v>0</v>
      </c>
      <c r="F144" s="29">
        <f t="shared" si="44"/>
        <v>0</v>
      </c>
      <c r="G144" s="30">
        <v>0</v>
      </c>
      <c r="H144" s="31">
        <v>0</v>
      </c>
      <c r="I144" s="32">
        <v>0</v>
      </c>
      <c r="J144" s="136"/>
      <c r="K144" s="33">
        <v>0</v>
      </c>
      <c r="L144" s="34">
        <v>0</v>
      </c>
      <c r="M144" s="34">
        <v>0</v>
      </c>
      <c r="N144" s="138"/>
      <c r="O144" s="34">
        <v>0</v>
      </c>
      <c r="P144" s="34">
        <v>0</v>
      </c>
      <c r="Q144" s="34">
        <v>0</v>
      </c>
      <c r="R144" s="138"/>
      <c r="S144" s="37">
        <v>0</v>
      </c>
      <c r="T144" s="34">
        <v>0</v>
      </c>
      <c r="U144" s="34">
        <v>0</v>
      </c>
      <c r="V144" s="138"/>
      <c r="W144" s="38">
        <v>0</v>
      </c>
      <c r="X144" s="31">
        <v>0</v>
      </c>
      <c r="Y144" s="31">
        <v>0</v>
      </c>
      <c r="Z144" s="105"/>
      <c r="AA144" s="37">
        <v>0</v>
      </c>
      <c r="AB144" s="34">
        <v>0</v>
      </c>
      <c r="AC144" s="34">
        <v>0</v>
      </c>
      <c r="AD144" s="123"/>
      <c r="AE144" s="122"/>
      <c r="AF144" s="123"/>
      <c r="AG144" s="43">
        <f t="shared" si="37"/>
        <v>0</v>
      </c>
      <c r="AH144" s="44">
        <f t="shared" si="37"/>
        <v>0</v>
      </c>
      <c r="AI144" s="44">
        <f t="shared" si="37"/>
        <v>0</v>
      </c>
      <c r="AJ144" s="45">
        <f t="shared" si="37"/>
        <v>0</v>
      </c>
      <c r="AK144" s="137">
        <f t="shared" si="39"/>
        <v>0</v>
      </c>
      <c r="AL144" s="47">
        <v>1</v>
      </c>
      <c r="AM144" s="48">
        <f t="shared" si="46"/>
        <v>0</v>
      </c>
      <c r="AN144" s="48">
        <f t="shared" si="47"/>
        <v>0</v>
      </c>
      <c r="AO144" s="49">
        <f t="shared" si="45"/>
        <v>0</v>
      </c>
      <c r="AP144" s="49">
        <f t="shared" si="40"/>
        <v>0</v>
      </c>
      <c r="AQ144" s="50">
        <f t="shared" si="41"/>
        <v>0</v>
      </c>
      <c r="AR144" s="124"/>
      <c r="AS144" s="125"/>
      <c r="AT144" s="126"/>
      <c r="AU144" s="84"/>
      <c r="AV144" s="127"/>
      <c r="AW144" s="128"/>
      <c r="AX144" s="128"/>
      <c r="AY144" s="125"/>
      <c r="AZ144" s="129"/>
    </row>
    <row r="145" spans="1:52" ht="16.5" thickBot="1" x14ac:dyDescent="0.3">
      <c r="A145" s="134">
        <v>400</v>
      </c>
      <c r="B145" s="134" t="s">
        <v>110</v>
      </c>
      <c r="C145" s="135"/>
      <c r="D145" s="26">
        <f t="shared" si="42"/>
        <v>0</v>
      </c>
      <c r="E145" s="27">
        <f t="shared" si="43"/>
        <v>0</v>
      </c>
      <c r="F145" s="29">
        <f t="shared" si="44"/>
        <v>0</v>
      </c>
      <c r="G145" s="30">
        <v>0</v>
      </c>
      <c r="H145" s="31">
        <v>0</v>
      </c>
      <c r="I145" s="32">
        <v>0</v>
      </c>
      <c r="J145" s="136"/>
      <c r="K145" s="33">
        <v>0</v>
      </c>
      <c r="L145" s="34">
        <v>0</v>
      </c>
      <c r="M145" s="34">
        <v>0</v>
      </c>
      <c r="N145" s="138"/>
      <c r="O145" s="34">
        <v>0</v>
      </c>
      <c r="P145" s="34">
        <v>0</v>
      </c>
      <c r="Q145" s="34">
        <v>0</v>
      </c>
      <c r="R145" s="138"/>
      <c r="S145" s="37">
        <v>0</v>
      </c>
      <c r="T145" s="34">
        <v>0</v>
      </c>
      <c r="U145" s="34">
        <v>0</v>
      </c>
      <c r="V145" s="138"/>
      <c r="W145" s="38">
        <v>0</v>
      </c>
      <c r="X145" s="31">
        <v>0</v>
      </c>
      <c r="Y145" s="31">
        <v>0</v>
      </c>
      <c r="Z145" s="105"/>
      <c r="AA145" s="37">
        <v>0</v>
      </c>
      <c r="AB145" s="34">
        <v>0</v>
      </c>
      <c r="AC145" s="34">
        <v>0</v>
      </c>
      <c r="AD145" s="123"/>
      <c r="AE145" s="122"/>
      <c r="AF145" s="123"/>
      <c r="AG145" s="43">
        <f t="shared" si="37"/>
        <v>0</v>
      </c>
      <c r="AH145" s="44">
        <f t="shared" si="37"/>
        <v>0</v>
      </c>
      <c r="AI145" s="44">
        <f t="shared" si="37"/>
        <v>0</v>
      </c>
      <c r="AJ145" s="45">
        <f t="shared" si="37"/>
        <v>0</v>
      </c>
      <c r="AK145" s="137">
        <f t="shared" si="39"/>
        <v>0</v>
      </c>
      <c r="AL145" s="47">
        <v>0.75</v>
      </c>
      <c r="AM145" s="48">
        <f t="shared" si="46"/>
        <v>0</v>
      </c>
      <c r="AN145" s="48">
        <f t="shared" si="47"/>
        <v>0</v>
      </c>
      <c r="AO145" s="49">
        <f t="shared" si="45"/>
        <v>0</v>
      </c>
      <c r="AP145" s="49">
        <f t="shared" si="40"/>
        <v>0</v>
      </c>
      <c r="AQ145" s="50">
        <f t="shared" si="41"/>
        <v>0</v>
      </c>
      <c r="AR145" s="124"/>
      <c r="AS145" s="125"/>
      <c r="AT145" s="126"/>
      <c r="AU145" s="84"/>
      <c r="AV145" s="127"/>
      <c r="AW145" s="128"/>
      <c r="AX145" s="128"/>
      <c r="AY145" s="125"/>
      <c r="AZ145" s="129"/>
    </row>
    <row r="146" spans="1:52" ht="16.5" thickBot="1" x14ac:dyDescent="0.3">
      <c r="A146" s="134">
        <v>300</v>
      </c>
      <c r="B146" s="134" t="s">
        <v>54</v>
      </c>
      <c r="C146" s="135"/>
      <c r="D146" s="26">
        <f t="shared" si="42"/>
        <v>0</v>
      </c>
      <c r="E146" s="27">
        <f t="shared" si="43"/>
        <v>0</v>
      </c>
      <c r="F146" s="29">
        <f t="shared" si="44"/>
        <v>0</v>
      </c>
      <c r="G146" s="30">
        <v>0</v>
      </c>
      <c r="H146" s="31">
        <v>0</v>
      </c>
      <c r="I146" s="32">
        <v>0</v>
      </c>
      <c r="J146" s="136"/>
      <c r="K146" s="33">
        <v>0</v>
      </c>
      <c r="L146" s="34">
        <v>0</v>
      </c>
      <c r="M146" s="34">
        <v>0</v>
      </c>
      <c r="N146" s="138"/>
      <c r="O146" s="34">
        <v>0</v>
      </c>
      <c r="P146" s="34">
        <v>0</v>
      </c>
      <c r="Q146" s="34">
        <v>0</v>
      </c>
      <c r="R146" s="138"/>
      <c r="S146" s="37">
        <v>0</v>
      </c>
      <c r="T146" s="34">
        <v>0</v>
      </c>
      <c r="U146" s="34">
        <v>0</v>
      </c>
      <c r="V146" s="138"/>
      <c r="W146" s="38">
        <v>0</v>
      </c>
      <c r="X146" s="31">
        <v>0</v>
      </c>
      <c r="Y146" s="31">
        <v>0</v>
      </c>
      <c r="Z146" s="105"/>
      <c r="AA146" s="37">
        <v>0</v>
      </c>
      <c r="AB146" s="34">
        <v>0</v>
      </c>
      <c r="AC146" s="34">
        <v>0</v>
      </c>
      <c r="AD146" s="123"/>
      <c r="AE146" s="122"/>
      <c r="AF146" s="123"/>
      <c r="AG146" s="43">
        <f t="shared" si="37"/>
        <v>0</v>
      </c>
      <c r="AH146" s="44">
        <f t="shared" si="37"/>
        <v>0</v>
      </c>
      <c r="AI146" s="44">
        <f t="shared" si="37"/>
        <v>0</v>
      </c>
      <c r="AJ146" s="45">
        <f t="shared" si="37"/>
        <v>0</v>
      </c>
      <c r="AK146" s="137">
        <f t="shared" si="39"/>
        <v>0</v>
      </c>
      <c r="AL146" s="47">
        <v>1</v>
      </c>
      <c r="AM146" s="48">
        <f t="shared" si="46"/>
        <v>0</v>
      </c>
      <c r="AN146" s="48">
        <f t="shared" si="47"/>
        <v>0</v>
      </c>
      <c r="AO146" s="49">
        <f t="shared" si="45"/>
        <v>0</v>
      </c>
      <c r="AP146" s="49">
        <f t="shared" si="40"/>
        <v>0</v>
      </c>
      <c r="AQ146" s="50">
        <f t="shared" si="41"/>
        <v>0</v>
      </c>
      <c r="AR146" s="124"/>
      <c r="AS146" s="125"/>
      <c r="AT146" s="126"/>
      <c r="AU146" s="84"/>
      <c r="AV146" s="127"/>
      <c r="AW146" s="128"/>
      <c r="AX146" s="128"/>
      <c r="AY146" s="125"/>
      <c r="AZ146" s="129"/>
    </row>
    <row r="147" spans="1:52" ht="16.5" thickBot="1" x14ac:dyDescent="0.3">
      <c r="A147" s="134">
        <v>300</v>
      </c>
      <c r="B147" s="134" t="s">
        <v>56</v>
      </c>
      <c r="C147" s="135"/>
      <c r="D147" s="26">
        <f t="shared" si="42"/>
        <v>0</v>
      </c>
      <c r="E147" s="27">
        <f t="shared" si="43"/>
        <v>0</v>
      </c>
      <c r="F147" s="29">
        <f t="shared" si="44"/>
        <v>0</v>
      </c>
      <c r="G147" s="30">
        <v>0</v>
      </c>
      <c r="H147" s="31">
        <v>0</v>
      </c>
      <c r="I147" s="32">
        <v>0</v>
      </c>
      <c r="J147" s="136"/>
      <c r="K147" s="33">
        <v>0</v>
      </c>
      <c r="L147" s="34">
        <v>0</v>
      </c>
      <c r="M147" s="34">
        <v>0</v>
      </c>
      <c r="N147" s="138"/>
      <c r="O147" s="34">
        <v>0</v>
      </c>
      <c r="P147" s="34">
        <v>0</v>
      </c>
      <c r="Q147" s="34">
        <v>0</v>
      </c>
      <c r="R147" s="138"/>
      <c r="S147" s="37">
        <v>0</v>
      </c>
      <c r="T147" s="34">
        <v>0</v>
      </c>
      <c r="U147" s="34">
        <v>0</v>
      </c>
      <c r="V147" s="138"/>
      <c r="W147" s="38">
        <v>0</v>
      </c>
      <c r="X147" s="31">
        <v>0</v>
      </c>
      <c r="Y147" s="31">
        <v>0</v>
      </c>
      <c r="Z147" s="105"/>
      <c r="AA147" s="37">
        <v>0</v>
      </c>
      <c r="AB147" s="34">
        <v>0</v>
      </c>
      <c r="AC147" s="34">
        <v>0</v>
      </c>
      <c r="AD147" s="123"/>
      <c r="AE147" s="122"/>
      <c r="AF147" s="123"/>
      <c r="AG147" s="43">
        <f t="shared" si="37"/>
        <v>0</v>
      </c>
      <c r="AH147" s="44">
        <f t="shared" si="37"/>
        <v>0</v>
      </c>
      <c r="AI147" s="44">
        <f t="shared" si="37"/>
        <v>0</v>
      </c>
      <c r="AJ147" s="45">
        <f t="shared" si="37"/>
        <v>0</v>
      </c>
      <c r="AK147" s="137">
        <f t="shared" si="39"/>
        <v>0</v>
      </c>
      <c r="AL147" s="47">
        <v>1</v>
      </c>
      <c r="AM147" s="48">
        <f t="shared" si="46"/>
        <v>0</v>
      </c>
      <c r="AN147" s="48">
        <f t="shared" si="47"/>
        <v>0</v>
      </c>
      <c r="AO147" s="49">
        <f t="shared" si="45"/>
        <v>0</v>
      </c>
      <c r="AP147" s="49">
        <f t="shared" si="40"/>
        <v>0</v>
      </c>
      <c r="AQ147" s="50">
        <f t="shared" si="41"/>
        <v>0</v>
      </c>
      <c r="AR147" s="124"/>
      <c r="AS147" s="125"/>
      <c r="AT147" s="126"/>
      <c r="AU147" s="84"/>
      <c r="AV147" s="127"/>
      <c r="AW147" s="128"/>
      <c r="AX147" s="128"/>
      <c r="AY147" s="125"/>
      <c r="AZ147" s="129"/>
    </row>
    <row r="148" spans="1:52" ht="16.5" thickBot="1" x14ac:dyDescent="0.3">
      <c r="A148" s="134">
        <v>300</v>
      </c>
      <c r="B148" s="134" t="s">
        <v>55</v>
      </c>
      <c r="C148" s="135"/>
      <c r="D148" s="26">
        <f t="shared" si="42"/>
        <v>0</v>
      </c>
      <c r="E148" s="27">
        <f t="shared" si="43"/>
        <v>0</v>
      </c>
      <c r="F148" s="29">
        <f t="shared" si="44"/>
        <v>0</v>
      </c>
      <c r="G148" s="30">
        <v>0</v>
      </c>
      <c r="H148" s="31">
        <v>0</v>
      </c>
      <c r="I148" s="32">
        <v>0</v>
      </c>
      <c r="J148" s="136"/>
      <c r="K148" s="33">
        <v>0</v>
      </c>
      <c r="L148" s="34">
        <v>0</v>
      </c>
      <c r="M148" s="34">
        <v>0</v>
      </c>
      <c r="N148" s="138"/>
      <c r="O148" s="34">
        <v>0</v>
      </c>
      <c r="P148" s="34">
        <v>0</v>
      </c>
      <c r="Q148" s="34">
        <v>0</v>
      </c>
      <c r="R148" s="138"/>
      <c r="S148" s="37">
        <v>0</v>
      </c>
      <c r="T148" s="34">
        <v>0</v>
      </c>
      <c r="U148" s="34">
        <v>0</v>
      </c>
      <c r="V148" s="138"/>
      <c r="W148" s="38">
        <v>0</v>
      </c>
      <c r="X148" s="31">
        <v>0</v>
      </c>
      <c r="Y148" s="31">
        <v>0</v>
      </c>
      <c r="Z148" s="105"/>
      <c r="AA148" s="37">
        <v>0</v>
      </c>
      <c r="AB148" s="34">
        <v>0</v>
      </c>
      <c r="AC148" s="34">
        <v>0</v>
      </c>
      <c r="AD148" s="123"/>
      <c r="AE148" s="122"/>
      <c r="AF148" s="123"/>
      <c r="AG148" s="43">
        <f t="shared" si="37"/>
        <v>0</v>
      </c>
      <c r="AH148" s="44">
        <f t="shared" si="37"/>
        <v>0</v>
      </c>
      <c r="AI148" s="44">
        <f t="shared" si="37"/>
        <v>0</v>
      </c>
      <c r="AJ148" s="45">
        <f t="shared" si="37"/>
        <v>0</v>
      </c>
      <c r="AK148" s="137">
        <f t="shared" si="39"/>
        <v>0</v>
      </c>
      <c r="AL148" s="47">
        <v>1</v>
      </c>
      <c r="AM148" s="48">
        <f t="shared" si="46"/>
        <v>0</v>
      </c>
      <c r="AN148" s="48">
        <f t="shared" si="47"/>
        <v>0</v>
      </c>
      <c r="AO148" s="49">
        <f t="shared" si="45"/>
        <v>0</v>
      </c>
      <c r="AP148" s="49"/>
      <c r="AQ148" s="50">
        <f t="shared" si="41"/>
        <v>0</v>
      </c>
      <c r="AR148" s="124"/>
      <c r="AS148" s="125"/>
      <c r="AT148" s="126"/>
      <c r="AU148" s="84"/>
      <c r="AV148" s="127"/>
      <c r="AW148" s="128"/>
      <c r="AX148" s="128"/>
      <c r="AY148" s="125"/>
      <c r="AZ148" s="129"/>
    </row>
    <row r="149" spans="1:52" s="246" customFormat="1" ht="16.5" thickBot="1" x14ac:dyDescent="0.3">
      <c r="A149" s="134">
        <v>1090</v>
      </c>
      <c r="B149" s="134" t="s">
        <v>88</v>
      </c>
      <c r="C149" s="139"/>
      <c r="D149" s="26">
        <f t="shared" si="42"/>
        <v>0</v>
      </c>
      <c r="E149" s="27">
        <f t="shared" si="43"/>
        <v>0</v>
      </c>
      <c r="F149" s="29">
        <f t="shared" si="44"/>
        <v>0</v>
      </c>
      <c r="G149" s="30">
        <v>0</v>
      </c>
      <c r="H149" s="31">
        <v>0</v>
      </c>
      <c r="I149" s="32">
        <v>0</v>
      </c>
      <c r="J149" s="136"/>
      <c r="K149" s="33">
        <v>0</v>
      </c>
      <c r="L149" s="34">
        <v>0</v>
      </c>
      <c r="M149" s="34">
        <v>0</v>
      </c>
      <c r="N149" s="138"/>
      <c r="O149" s="34">
        <v>0</v>
      </c>
      <c r="P149" s="34">
        <v>0</v>
      </c>
      <c r="Q149" s="34">
        <v>0</v>
      </c>
      <c r="R149" s="138"/>
      <c r="S149" s="37">
        <v>0</v>
      </c>
      <c r="T149" s="34">
        <v>0</v>
      </c>
      <c r="U149" s="34">
        <v>0</v>
      </c>
      <c r="V149" s="138"/>
      <c r="W149" s="38">
        <v>0</v>
      </c>
      <c r="X149" s="31">
        <v>0</v>
      </c>
      <c r="Y149" s="31">
        <v>0</v>
      </c>
      <c r="Z149" s="105"/>
      <c r="AA149" s="37">
        <v>0</v>
      </c>
      <c r="AB149" s="34">
        <v>0</v>
      </c>
      <c r="AC149" s="34">
        <v>0</v>
      </c>
      <c r="AD149" s="105"/>
      <c r="AE149" s="104"/>
      <c r="AF149" s="105"/>
      <c r="AG149" s="43">
        <f t="shared" si="37"/>
        <v>0</v>
      </c>
      <c r="AH149" s="44">
        <f t="shared" si="37"/>
        <v>0</v>
      </c>
      <c r="AI149" s="44">
        <f t="shared" si="37"/>
        <v>0</v>
      </c>
      <c r="AJ149" s="94">
        <f t="shared" si="37"/>
        <v>0</v>
      </c>
      <c r="AK149" s="140">
        <f t="shared" si="39"/>
        <v>0</v>
      </c>
      <c r="AL149" s="246">
        <v>0.5</v>
      </c>
      <c r="AM149" s="48">
        <f t="shared" si="46"/>
        <v>0</v>
      </c>
      <c r="AN149" s="48">
        <f t="shared" si="47"/>
        <v>0</v>
      </c>
      <c r="AO149" s="49">
        <f t="shared" si="45"/>
        <v>0</v>
      </c>
      <c r="AP149" s="49">
        <f t="shared" si="40"/>
        <v>0</v>
      </c>
      <c r="AQ149" s="50">
        <f t="shared" si="41"/>
        <v>0</v>
      </c>
      <c r="AR149" s="106"/>
      <c r="AS149" s="107"/>
      <c r="AT149" s="115"/>
      <c r="AU149" s="100"/>
      <c r="AV149" s="109"/>
      <c r="AW149" s="110"/>
      <c r="AX149" s="110"/>
      <c r="AY149" s="107"/>
      <c r="AZ149" s="116"/>
    </row>
    <row r="150" spans="1:52" s="246" customFormat="1" ht="16.5" thickBot="1" x14ac:dyDescent="0.3">
      <c r="A150" s="134">
        <v>0</v>
      </c>
      <c r="B150" s="134">
        <v>0</v>
      </c>
      <c r="C150" s="139"/>
      <c r="D150" s="26">
        <f t="shared" si="42"/>
        <v>0</v>
      </c>
      <c r="E150" s="27">
        <f t="shared" si="43"/>
        <v>0</v>
      </c>
      <c r="F150" s="29">
        <f t="shared" si="44"/>
        <v>0</v>
      </c>
      <c r="G150" s="30">
        <v>0</v>
      </c>
      <c r="H150" s="31">
        <v>0</v>
      </c>
      <c r="I150" s="32">
        <v>0</v>
      </c>
      <c r="J150" s="136"/>
      <c r="K150" s="33">
        <v>0</v>
      </c>
      <c r="L150" s="34">
        <v>0</v>
      </c>
      <c r="M150" s="34">
        <v>0</v>
      </c>
      <c r="N150" s="138"/>
      <c r="O150" s="34">
        <v>0</v>
      </c>
      <c r="P150" s="34">
        <v>0</v>
      </c>
      <c r="Q150" s="34">
        <v>0</v>
      </c>
      <c r="R150" s="138"/>
      <c r="S150" s="37">
        <v>0</v>
      </c>
      <c r="T150" s="34">
        <v>0</v>
      </c>
      <c r="U150" s="34">
        <v>0</v>
      </c>
      <c r="V150" s="138"/>
      <c r="W150" s="38">
        <v>0</v>
      </c>
      <c r="X150" s="31">
        <v>0</v>
      </c>
      <c r="Y150" s="31">
        <v>0</v>
      </c>
      <c r="Z150" s="105"/>
      <c r="AA150" s="37">
        <v>0</v>
      </c>
      <c r="AB150" s="34">
        <v>0</v>
      </c>
      <c r="AC150" s="34">
        <v>0</v>
      </c>
      <c r="AD150" s="105"/>
      <c r="AE150" s="104"/>
      <c r="AF150" s="105"/>
      <c r="AG150" s="43">
        <f t="shared" si="37"/>
        <v>0</v>
      </c>
      <c r="AH150" s="44">
        <f t="shared" si="37"/>
        <v>0</v>
      </c>
      <c r="AI150" s="44">
        <f t="shared" si="37"/>
        <v>0</v>
      </c>
      <c r="AJ150" s="94">
        <f t="shared" si="37"/>
        <v>0</v>
      </c>
      <c r="AK150" s="140">
        <f t="shared" si="39"/>
        <v>0</v>
      </c>
      <c r="AL150" s="246">
        <v>0</v>
      </c>
      <c r="AM150" s="48">
        <f t="shared" si="46"/>
        <v>0</v>
      </c>
      <c r="AN150" s="48">
        <f t="shared" si="47"/>
        <v>0</v>
      </c>
      <c r="AO150" s="49">
        <f t="shared" si="45"/>
        <v>0</v>
      </c>
      <c r="AP150" s="49">
        <f t="shared" si="40"/>
        <v>0</v>
      </c>
      <c r="AQ150" s="50">
        <f t="shared" si="41"/>
        <v>0</v>
      </c>
      <c r="AR150" s="106"/>
      <c r="AS150" s="107"/>
      <c r="AT150" s="115"/>
      <c r="AU150" s="100"/>
      <c r="AV150" s="109"/>
      <c r="AW150" s="110"/>
      <c r="AX150" s="110"/>
      <c r="AY150" s="107"/>
      <c r="AZ150" s="116"/>
    </row>
    <row r="151" spans="1:52" s="246" customFormat="1" ht="16.5" thickBot="1" x14ac:dyDescent="0.3">
      <c r="A151" s="134">
        <v>250</v>
      </c>
      <c r="B151" s="134" t="s">
        <v>111</v>
      </c>
      <c r="C151" s="139"/>
      <c r="D151" s="26">
        <f t="shared" si="42"/>
        <v>0</v>
      </c>
      <c r="E151" s="27">
        <f t="shared" si="43"/>
        <v>0</v>
      </c>
      <c r="F151" s="29">
        <f t="shared" si="44"/>
        <v>0</v>
      </c>
      <c r="G151" s="30">
        <v>0</v>
      </c>
      <c r="H151" s="31">
        <v>0</v>
      </c>
      <c r="I151" s="32">
        <v>0</v>
      </c>
      <c r="J151" s="136"/>
      <c r="K151" s="33">
        <v>0</v>
      </c>
      <c r="L151" s="34">
        <v>0</v>
      </c>
      <c r="M151" s="34">
        <v>0</v>
      </c>
      <c r="N151" s="138"/>
      <c r="O151" s="34">
        <v>0</v>
      </c>
      <c r="P151" s="34">
        <v>0</v>
      </c>
      <c r="Q151" s="34">
        <v>0</v>
      </c>
      <c r="R151" s="138"/>
      <c r="S151" s="37">
        <v>0</v>
      </c>
      <c r="T151" s="34">
        <v>0</v>
      </c>
      <c r="U151" s="34">
        <v>0</v>
      </c>
      <c r="V151" s="138"/>
      <c r="W151" s="38">
        <v>0</v>
      </c>
      <c r="X151" s="31">
        <v>0</v>
      </c>
      <c r="Y151" s="31">
        <v>0</v>
      </c>
      <c r="Z151" s="105"/>
      <c r="AA151" s="37">
        <v>0</v>
      </c>
      <c r="AB151" s="34">
        <v>0</v>
      </c>
      <c r="AC151" s="34">
        <v>0</v>
      </c>
      <c r="AD151" s="105"/>
      <c r="AE151" s="104"/>
      <c r="AF151" s="105"/>
      <c r="AG151" s="43">
        <f t="shared" si="37"/>
        <v>0</v>
      </c>
      <c r="AH151" s="44">
        <f t="shared" si="37"/>
        <v>0</v>
      </c>
      <c r="AI151" s="44">
        <f t="shared" si="37"/>
        <v>0</v>
      </c>
      <c r="AJ151" s="94">
        <f t="shared" si="37"/>
        <v>0</v>
      </c>
      <c r="AK151" s="140">
        <f t="shared" si="39"/>
        <v>0</v>
      </c>
      <c r="AL151" s="47">
        <v>1</v>
      </c>
      <c r="AM151" s="48">
        <f t="shared" si="46"/>
        <v>0</v>
      </c>
      <c r="AN151" s="48">
        <f t="shared" si="47"/>
        <v>0</v>
      </c>
      <c r="AO151" s="49">
        <f t="shared" si="45"/>
        <v>0</v>
      </c>
      <c r="AP151" s="49">
        <f t="shared" si="40"/>
        <v>0</v>
      </c>
      <c r="AQ151" s="50">
        <f t="shared" si="41"/>
        <v>0</v>
      </c>
      <c r="AR151" s="106"/>
      <c r="AS151" s="107"/>
      <c r="AT151" s="115"/>
      <c r="AU151" s="100"/>
      <c r="AV151" s="109"/>
      <c r="AW151" s="110"/>
      <c r="AX151" s="110"/>
      <c r="AY151" s="107"/>
      <c r="AZ151" s="116"/>
    </row>
    <row r="152" spans="1:52" s="246" customFormat="1" ht="16.5" thickBot="1" x14ac:dyDescent="0.3">
      <c r="A152" s="134">
        <v>250</v>
      </c>
      <c r="B152" s="134" t="s">
        <v>112</v>
      </c>
      <c r="C152" s="139"/>
      <c r="D152" s="26">
        <f t="shared" si="42"/>
        <v>0</v>
      </c>
      <c r="E152" s="27">
        <f t="shared" si="43"/>
        <v>0</v>
      </c>
      <c r="F152" s="29">
        <f t="shared" si="44"/>
        <v>0</v>
      </c>
      <c r="G152" s="30">
        <v>0</v>
      </c>
      <c r="H152" s="31">
        <v>0</v>
      </c>
      <c r="I152" s="32">
        <v>0</v>
      </c>
      <c r="J152" s="136"/>
      <c r="K152" s="33">
        <v>0</v>
      </c>
      <c r="L152" s="34">
        <v>0</v>
      </c>
      <c r="M152" s="34">
        <v>0</v>
      </c>
      <c r="N152" s="138"/>
      <c r="O152" s="34">
        <v>0</v>
      </c>
      <c r="P152" s="34">
        <v>0</v>
      </c>
      <c r="Q152" s="34">
        <v>0</v>
      </c>
      <c r="R152" s="138"/>
      <c r="S152" s="37">
        <v>0</v>
      </c>
      <c r="T152" s="34">
        <v>0</v>
      </c>
      <c r="U152" s="34">
        <v>0</v>
      </c>
      <c r="V152" s="138"/>
      <c r="W152" s="38">
        <v>0</v>
      </c>
      <c r="X152" s="31">
        <v>0</v>
      </c>
      <c r="Y152" s="31">
        <v>0</v>
      </c>
      <c r="Z152" s="105"/>
      <c r="AA152" s="37">
        <v>0</v>
      </c>
      <c r="AB152" s="34">
        <v>0</v>
      </c>
      <c r="AC152" s="34">
        <v>0</v>
      </c>
      <c r="AD152" s="105"/>
      <c r="AE152" s="104"/>
      <c r="AF152" s="105"/>
      <c r="AG152" s="43">
        <f t="shared" si="37"/>
        <v>0</v>
      </c>
      <c r="AH152" s="44">
        <f t="shared" si="37"/>
        <v>0</v>
      </c>
      <c r="AI152" s="44">
        <f t="shared" si="37"/>
        <v>0</v>
      </c>
      <c r="AJ152" s="94">
        <f t="shared" si="37"/>
        <v>0</v>
      </c>
      <c r="AK152" s="140">
        <f t="shared" si="39"/>
        <v>0</v>
      </c>
      <c r="AL152" s="47">
        <v>1</v>
      </c>
      <c r="AM152" s="48">
        <f t="shared" si="46"/>
        <v>0</v>
      </c>
      <c r="AN152" s="48">
        <f t="shared" si="47"/>
        <v>0</v>
      </c>
      <c r="AO152" s="49">
        <f t="shared" si="45"/>
        <v>0</v>
      </c>
      <c r="AP152" s="49">
        <f t="shared" si="40"/>
        <v>0</v>
      </c>
      <c r="AQ152" s="50">
        <f t="shared" si="41"/>
        <v>0</v>
      </c>
      <c r="AR152" s="106"/>
      <c r="AS152" s="107"/>
      <c r="AT152" s="115"/>
      <c r="AU152" s="100"/>
      <c r="AV152" s="109"/>
      <c r="AW152" s="110"/>
      <c r="AX152" s="110"/>
      <c r="AY152" s="107"/>
      <c r="AZ152" s="116"/>
    </row>
    <row r="153" spans="1:52" s="246" customFormat="1" ht="16.5" thickBot="1" x14ac:dyDescent="0.3">
      <c r="A153" s="134"/>
      <c r="B153" s="134" t="s">
        <v>30</v>
      </c>
      <c r="C153" s="139"/>
      <c r="D153" s="26">
        <f t="shared" si="42"/>
        <v>0</v>
      </c>
      <c r="E153" s="27">
        <f t="shared" si="43"/>
        <v>0</v>
      </c>
      <c r="F153" s="29">
        <f t="shared" si="44"/>
        <v>0</v>
      </c>
      <c r="G153" s="30">
        <v>0</v>
      </c>
      <c r="H153" s="31">
        <v>0</v>
      </c>
      <c r="I153" s="32">
        <v>0</v>
      </c>
      <c r="J153" s="136"/>
      <c r="K153" s="33">
        <v>0</v>
      </c>
      <c r="L153" s="34">
        <v>0</v>
      </c>
      <c r="M153" s="34">
        <v>0</v>
      </c>
      <c r="N153" s="138"/>
      <c r="O153" s="34">
        <v>0</v>
      </c>
      <c r="P153" s="34">
        <v>0</v>
      </c>
      <c r="Q153" s="34">
        <v>0</v>
      </c>
      <c r="R153" s="138"/>
      <c r="S153" s="37">
        <v>0</v>
      </c>
      <c r="T153" s="34">
        <v>0</v>
      </c>
      <c r="U153" s="34">
        <v>0</v>
      </c>
      <c r="V153" s="138"/>
      <c r="W153" s="38">
        <v>0</v>
      </c>
      <c r="X153" s="31">
        <v>0</v>
      </c>
      <c r="Y153" s="31">
        <v>0</v>
      </c>
      <c r="Z153" s="105"/>
      <c r="AA153" s="37">
        <v>0</v>
      </c>
      <c r="AB153" s="34">
        <v>0</v>
      </c>
      <c r="AC153" s="34">
        <v>0</v>
      </c>
      <c r="AD153" s="105"/>
      <c r="AE153" s="104"/>
      <c r="AF153" s="105"/>
      <c r="AG153" s="43">
        <f t="shared" si="37"/>
        <v>0</v>
      </c>
      <c r="AH153" s="44">
        <f t="shared" si="37"/>
        <v>0</v>
      </c>
      <c r="AI153" s="44">
        <f t="shared" si="37"/>
        <v>0</v>
      </c>
      <c r="AJ153" s="94">
        <f t="shared" si="37"/>
        <v>0</v>
      </c>
      <c r="AK153" s="140">
        <f t="shared" si="39"/>
        <v>0</v>
      </c>
      <c r="AL153" s="47">
        <v>1</v>
      </c>
      <c r="AM153" s="48">
        <f t="shared" si="46"/>
        <v>0</v>
      </c>
      <c r="AN153" s="48">
        <f t="shared" si="47"/>
        <v>0</v>
      </c>
      <c r="AO153" s="49">
        <f t="shared" si="45"/>
        <v>0</v>
      </c>
      <c r="AP153" s="49">
        <f t="shared" si="40"/>
        <v>0</v>
      </c>
      <c r="AQ153" s="50">
        <f t="shared" si="41"/>
        <v>0</v>
      </c>
      <c r="AR153" s="106"/>
      <c r="AS153" s="107"/>
      <c r="AT153" s="115"/>
      <c r="AU153" s="100"/>
      <c r="AV153" s="109"/>
      <c r="AW153" s="110"/>
      <c r="AX153" s="110"/>
      <c r="AY153" s="107"/>
      <c r="AZ153" s="116"/>
    </row>
    <row r="154" spans="1:52" s="246" customFormat="1" ht="16.5" thickBot="1" x14ac:dyDescent="0.3">
      <c r="A154" s="134"/>
      <c r="B154" s="134" t="s">
        <v>113</v>
      </c>
      <c r="C154" s="139"/>
      <c r="D154" s="26">
        <f t="shared" si="42"/>
        <v>0</v>
      </c>
      <c r="E154" s="27">
        <f t="shared" si="43"/>
        <v>0</v>
      </c>
      <c r="F154" s="29">
        <f t="shared" si="44"/>
        <v>0</v>
      </c>
      <c r="G154" s="30">
        <v>0</v>
      </c>
      <c r="H154" s="31">
        <v>0</v>
      </c>
      <c r="I154" s="32">
        <v>0</v>
      </c>
      <c r="J154" s="136"/>
      <c r="K154" s="33">
        <v>0</v>
      </c>
      <c r="L154" s="34">
        <v>0</v>
      </c>
      <c r="M154" s="34">
        <v>0</v>
      </c>
      <c r="N154" s="138"/>
      <c r="O154" s="34">
        <v>0</v>
      </c>
      <c r="P154" s="34">
        <v>0</v>
      </c>
      <c r="Q154" s="34">
        <v>0</v>
      </c>
      <c r="R154" s="138"/>
      <c r="S154" s="37">
        <v>0</v>
      </c>
      <c r="T154" s="34">
        <v>0</v>
      </c>
      <c r="U154" s="34">
        <v>0</v>
      </c>
      <c r="V154" s="138"/>
      <c r="W154" s="38">
        <v>0</v>
      </c>
      <c r="X154" s="31">
        <v>0</v>
      </c>
      <c r="Y154" s="31">
        <v>0</v>
      </c>
      <c r="Z154" s="105"/>
      <c r="AA154" s="37">
        <v>0</v>
      </c>
      <c r="AB154" s="34">
        <v>0</v>
      </c>
      <c r="AC154" s="34">
        <v>0</v>
      </c>
      <c r="AD154" s="105"/>
      <c r="AE154" s="104"/>
      <c r="AF154" s="105"/>
      <c r="AG154" s="43">
        <f t="shared" si="37"/>
        <v>0</v>
      </c>
      <c r="AH154" s="44">
        <f t="shared" si="37"/>
        <v>0</v>
      </c>
      <c r="AI154" s="44">
        <f t="shared" si="37"/>
        <v>0</v>
      </c>
      <c r="AJ154" s="94">
        <f t="shared" si="37"/>
        <v>0</v>
      </c>
      <c r="AK154" s="140">
        <f t="shared" si="39"/>
        <v>0</v>
      </c>
      <c r="AL154" s="47">
        <v>1</v>
      </c>
      <c r="AM154" s="48">
        <f t="shared" si="46"/>
        <v>0</v>
      </c>
      <c r="AN154" s="48">
        <f t="shared" si="47"/>
        <v>0</v>
      </c>
      <c r="AO154" s="49">
        <f t="shared" si="45"/>
        <v>0</v>
      </c>
      <c r="AP154" s="49">
        <f t="shared" si="40"/>
        <v>0</v>
      </c>
      <c r="AQ154" s="50">
        <f t="shared" si="41"/>
        <v>0</v>
      </c>
      <c r="AR154" s="106"/>
      <c r="AS154" s="107"/>
      <c r="AT154" s="115"/>
      <c r="AU154" s="100"/>
      <c r="AV154" s="109"/>
      <c r="AW154" s="110"/>
      <c r="AX154" s="110"/>
      <c r="AY154" s="107"/>
      <c r="AZ154" s="116"/>
    </row>
    <row r="155" spans="1:52" s="246" customFormat="1" ht="16.5" thickBot="1" x14ac:dyDescent="0.3">
      <c r="A155" s="134"/>
      <c r="B155" s="134" t="s">
        <v>114</v>
      </c>
      <c r="C155" s="139"/>
      <c r="D155" s="26">
        <f t="shared" si="42"/>
        <v>0</v>
      </c>
      <c r="E155" s="27">
        <f t="shared" si="43"/>
        <v>0</v>
      </c>
      <c r="F155" s="29">
        <f t="shared" si="44"/>
        <v>0</v>
      </c>
      <c r="G155" s="30">
        <v>0</v>
      </c>
      <c r="H155" s="31">
        <v>0</v>
      </c>
      <c r="I155" s="32">
        <v>0</v>
      </c>
      <c r="J155" s="136"/>
      <c r="K155" s="33">
        <v>0</v>
      </c>
      <c r="L155" s="34">
        <v>0</v>
      </c>
      <c r="M155" s="34">
        <v>0</v>
      </c>
      <c r="N155" s="138"/>
      <c r="O155" s="34">
        <v>0</v>
      </c>
      <c r="P155" s="34">
        <v>0</v>
      </c>
      <c r="Q155" s="34">
        <v>0</v>
      </c>
      <c r="R155" s="138"/>
      <c r="S155" s="37">
        <v>0</v>
      </c>
      <c r="T155" s="34">
        <v>0</v>
      </c>
      <c r="U155" s="34">
        <v>0</v>
      </c>
      <c r="V155" s="138"/>
      <c r="W155" s="38">
        <v>0</v>
      </c>
      <c r="X155" s="31">
        <v>0</v>
      </c>
      <c r="Y155" s="31">
        <v>0</v>
      </c>
      <c r="Z155" s="105"/>
      <c r="AA155" s="37">
        <v>0</v>
      </c>
      <c r="AB155" s="34">
        <v>0</v>
      </c>
      <c r="AC155" s="34">
        <v>0</v>
      </c>
      <c r="AD155" s="105"/>
      <c r="AE155" s="104"/>
      <c r="AF155" s="105"/>
      <c r="AG155" s="43">
        <f t="shared" si="37"/>
        <v>0</v>
      </c>
      <c r="AH155" s="44">
        <f t="shared" si="37"/>
        <v>0</v>
      </c>
      <c r="AI155" s="44">
        <f t="shared" si="37"/>
        <v>0</v>
      </c>
      <c r="AJ155" s="94">
        <f t="shared" si="37"/>
        <v>0</v>
      </c>
      <c r="AK155" s="140">
        <f t="shared" si="39"/>
        <v>0</v>
      </c>
      <c r="AL155" s="47">
        <v>1</v>
      </c>
      <c r="AM155" s="48">
        <f t="shared" si="46"/>
        <v>0</v>
      </c>
      <c r="AN155" s="48">
        <f t="shared" si="47"/>
        <v>0</v>
      </c>
      <c r="AO155" s="49">
        <f t="shared" si="45"/>
        <v>0</v>
      </c>
      <c r="AP155" s="49">
        <f t="shared" si="40"/>
        <v>0</v>
      </c>
      <c r="AQ155" s="50">
        <f t="shared" si="41"/>
        <v>0</v>
      </c>
      <c r="AR155" s="106"/>
      <c r="AS155" s="107"/>
      <c r="AT155" s="115"/>
      <c r="AU155" s="100"/>
      <c r="AV155" s="109"/>
      <c r="AW155" s="110"/>
      <c r="AX155" s="110"/>
      <c r="AY155" s="107"/>
      <c r="AZ155" s="116"/>
    </row>
    <row r="156" spans="1:52" s="246" customFormat="1" ht="16.5" thickBot="1" x14ac:dyDescent="0.3">
      <c r="A156" s="134"/>
      <c r="B156" s="134" t="s">
        <v>47</v>
      </c>
      <c r="C156" s="139"/>
      <c r="D156" s="26">
        <f t="shared" si="42"/>
        <v>0</v>
      </c>
      <c r="E156" s="27">
        <f t="shared" si="43"/>
        <v>0</v>
      </c>
      <c r="F156" s="29">
        <f t="shared" si="44"/>
        <v>0</v>
      </c>
      <c r="G156" s="30">
        <v>0</v>
      </c>
      <c r="H156" s="31">
        <v>0</v>
      </c>
      <c r="I156" s="32">
        <v>0</v>
      </c>
      <c r="J156" s="136"/>
      <c r="K156" s="33">
        <v>0</v>
      </c>
      <c r="L156" s="34">
        <v>0</v>
      </c>
      <c r="M156" s="34">
        <v>0</v>
      </c>
      <c r="N156" s="138"/>
      <c r="O156" s="34">
        <v>0</v>
      </c>
      <c r="P156" s="34">
        <v>0</v>
      </c>
      <c r="Q156" s="34">
        <v>0</v>
      </c>
      <c r="R156" s="138"/>
      <c r="S156" s="37">
        <v>0</v>
      </c>
      <c r="T156" s="34">
        <v>0</v>
      </c>
      <c r="U156" s="34">
        <v>0</v>
      </c>
      <c r="V156" s="138"/>
      <c r="W156" s="38">
        <v>0</v>
      </c>
      <c r="X156" s="31">
        <v>0</v>
      </c>
      <c r="Y156" s="31">
        <v>0</v>
      </c>
      <c r="Z156" s="105"/>
      <c r="AA156" s="37">
        <v>0</v>
      </c>
      <c r="AB156" s="34">
        <v>0</v>
      </c>
      <c r="AC156" s="34">
        <v>0</v>
      </c>
      <c r="AD156" s="105"/>
      <c r="AE156" s="104"/>
      <c r="AF156" s="105"/>
      <c r="AG156" s="43">
        <f t="shared" si="37"/>
        <v>0</v>
      </c>
      <c r="AH156" s="44">
        <f t="shared" si="37"/>
        <v>0</v>
      </c>
      <c r="AI156" s="44">
        <f t="shared" si="37"/>
        <v>0</v>
      </c>
      <c r="AJ156" s="94">
        <f t="shared" si="37"/>
        <v>0</v>
      </c>
      <c r="AK156" s="140">
        <f t="shared" si="39"/>
        <v>0</v>
      </c>
      <c r="AL156" s="47">
        <v>1</v>
      </c>
      <c r="AM156" s="48">
        <f t="shared" si="46"/>
        <v>0</v>
      </c>
      <c r="AN156" s="48">
        <f t="shared" si="47"/>
        <v>0</v>
      </c>
      <c r="AO156" s="49">
        <f t="shared" si="45"/>
        <v>0</v>
      </c>
      <c r="AP156" s="49">
        <f t="shared" si="40"/>
        <v>0</v>
      </c>
      <c r="AQ156" s="50">
        <f t="shared" si="41"/>
        <v>0</v>
      </c>
      <c r="AR156" s="106"/>
      <c r="AS156" s="107"/>
      <c r="AT156" s="115"/>
      <c r="AU156" s="100"/>
      <c r="AV156" s="109"/>
      <c r="AW156" s="110"/>
      <c r="AX156" s="110"/>
      <c r="AY156" s="107"/>
      <c r="AZ156" s="116"/>
    </row>
    <row r="157" spans="1:52" s="246" customFormat="1" ht="16.5" thickBot="1" x14ac:dyDescent="0.3">
      <c r="A157" s="134"/>
      <c r="B157" s="134" t="s">
        <v>115</v>
      </c>
      <c r="C157" s="139">
        <v>52</v>
      </c>
      <c r="D157" s="26">
        <f t="shared" si="42"/>
        <v>17.333333333333332</v>
      </c>
      <c r="E157" s="27">
        <f t="shared" si="43"/>
        <v>17.333333333333332</v>
      </c>
      <c r="F157" s="29">
        <f t="shared" si="44"/>
        <v>17.333333333333332</v>
      </c>
      <c r="G157" s="30">
        <v>0</v>
      </c>
      <c r="H157" s="31">
        <v>0</v>
      </c>
      <c r="I157" s="32">
        <v>0</v>
      </c>
      <c r="J157" s="136"/>
      <c r="K157" s="33">
        <v>0</v>
      </c>
      <c r="L157" s="34">
        <v>0</v>
      </c>
      <c r="M157" s="34">
        <v>0</v>
      </c>
      <c r="N157" s="138"/>
      <c r="O157" s="34">
        <v>0</v>
      </c>
      <c r="P157" s="34">
        <v>0</v>
      </c>
      <c r="Q157" s="34">
        <v>0</v>
      </c>
      <c r="R157" s="138"/>
      <c r="S157" s="37">
        <v>0</v>
      </c>
      <c r="T157" s="34">
        <v>0</v>
      </c>
      <c r="U157" s="34">
        <v>0</v>
      </c>
      <c r="V157" s="138"/>
      <c r="W157" s="38">
        <v>0</v>
      </c>
      <c r="X157" s="31">
        <v>0</v>
      </c>
      <c r="Y157" s="31">
        <v>0</v>
      </c>
      <c r="Z157" s="105"/>
      <c r="AA157" s="37">
        <v>0</v>
      </c>
      <c r="AB157" s="34">
        <v>0</v>
      </c>
      <c r="AC157" s="34">
        <v>0</v>
      </c>
      <c r="AD157" s="105"/>
      <c r="AE157" s="104"/>
      <c r="AF157" s="105"/>
      <c r="AG157" s="43">
        <f t="shared" si="37"/>
        <v>0</v>
      </c>
      <c r="AH157" s="44">
        <f t="shared" si="37"/>
        <v>0</v>
      </c>
      <c r="AI157" s="44">
        <f t="shared" si="37"/>
        <v>0</v>
      </c>
      <c r="AJ157" s="94">
        <f t="shared" si="37"/>
        <v>0</v>
      </c>
      <c r="AK157" s="140">
        <f t="shared" si="39"/>
        <v>0</v>
      </c>
      <c r="AL157" s="47">
        <v>1</v>
      </c>
      <c r="AM157" s="48">
        <f t="shared" si="46"/>
        <v>0</v>
      </c>
      <c r="AN157" s="48">
        <f t="shared" si="47"/>
        <v>0</v>
      </c>
      <c r="AO157" s="49">
        <f t="shared" si="45"/>
        <v>0</v>
      </c>
      <c r="AP157" s="49">
        <f t="shared" si="40"/>
        <v>0</v>
      </c>
      <c r="AQ157" s="50">
        <f t="shared" si="41"/>
        <v>0</v>
      </c>
      <c r="AR157" s="106"/>
      <c r="AS157" s="107"/>
      <c r="AT157" s="115"/>
      <c r="AU157" s="100"/>
      <c r="AV157" s="109"/>
      <c r="AW157" s="110"/>
      <c r="AX157" s="110"/>
      <c r="AY157" s="107"/>
      <c r="AZ157" s="116"/>
    </row>
    <row r="158" spans="1:52" s="246" customFormat="1" ht="16.5" thickBot="1" x14ac:dyDescent="0.3">
      <c r="A158" s="134">
        <v>360</v>
      </c>
      <c r="B158" s="134" t="s">
        <v>28</v>
      </c>
      <c r="C158" s="139">
        <v>137</v>
      </c>
      <c r="D158" s="26">
        <f t="shared" si="42"/>
        <v>45.666666666666664</v>
      </c>
      <c r="E158" s="27">
        <f t="shared" si="43"/>
        <v>45.666666666666664</v>
      </c>
      <c r="F158" s="29">
        <f t="shared" si="44"/>
        <v>45.666666666666664</v>
      </c>
      <c r="G158" s="30">
        <v>0</v>
      </c>
      <c r="H158" s="31">
        <v>0</v>
      </c>
      <c r="I158" s="32">
        <v>0</v>
      </c>
      <c r="J158" s="136"/>
      <c r="K158" s="33">
        <v>0</v>
      </c>
      <c r="L158" s="34">
        <v>0</v>
      </c>
      <c r="M158" s="34">
        <v>0</v>
      </c>
      <c r="N158" s="138"/>
      <c r="O158" s="34">
        <v>0</v>
      </c>
      <c r="P158" s="34">
        <v>0</v>
      </c>
      <c r="Q158" s="34">
        <v>0</v>
      </c>
      <c r="R158" s="138"/>
      <c r="S158" s="37">
        <v>8</v>
      </c>
      <c r="T158" s="34">
        <v>0</v>
      </c>
      <c r="U158" s="34">
        <v>3</v>
      </c>
      <c r="V158" s="138"/>
      <c r="W158" s="38">
        <v>5</v>
      </c>
      <c r="X158" s="31">
        <v>9</v>
      </c>
      <c r="Y158" s="31">
        <v>2</v>
      </c>
      <c r="Z158" s="105"/>
      <c r="AA158" s="37">
        <v>2</v>
      </c>
      <c r="AB158" s="34">
        <v>0</v>
      </c>
      <c r="AC158" s="34">
        <v>7</v>
      </c>
      <c r="AD158" s="105"/>
      <c r="AE158" s="104"/>
      <c r="AF158" s="105"/>
      <c r="AG158" s="43">
        <f t="shared" si="37"/>
        <v>15</v>
      </c>
      <c r="AH158" s="44">
        <f t="shared" si="37"/>
        <v>9</v>
      </c>
      <c r="AI158" s="44">
        <f t="shared" si="37"/>
        <v>12</v>
      </c>
      <c r="AJ158" s="94">
        <f t="shared" si="37"/>
        <v>0</v>
      </c>
      <c r="AK158" s="140">
        <f t="shared" si="39"/>
        <v>36</v>
      </c>
      <c r="AL158" s="47">
        <v>1.3</v>
      </c>
      <c r="AM158" s="48">
        <f t="shared" si="46"/>
        <v>19.5</v>
      </c>
      <c r="AN158" s="48">
        <f t="shared" si="47"/>
        <v>11.700000000000001</v>
      </c>
      <c r="AO158" s="49">
        <f t="shared" si="45"/>
        <v>15.600000000000001</v>
      </c>
      <c r="AP158" s="49">
        <f t="shared" si="40"/>
        <v>0</v>
      </c>
      <c r="AQ158" s="50">
        <f t="shared" si="41"/>
        <v>2160</v>
      </c>
      <c r="AR158" s="106"/>
      <c r="AS158" s="107"/>
      <c r="AT158" s="115"/>
      <c r="AU158" s="100"/>
      <c r="AV158" s="109"/>
      <c r="AW158" s="110"/>
      <c r="AX158" s="110"/>
      <c r="AY158" s="107"/>
      <c r="AZ158" s="116"/>
    </row>
    <row r="159" spans="1:52" s="246" customFormat="1" ht="16.5" thickBot="1" x14ac:dyDescent="0.3">
      <c r="A159" s="134">
        <v>360</v>
      </c>
      <c r="B159" s="134" t="s">
        <v>31</v>
      </c>
      <c r="C159" s="139">
        <v>135</v>
      </c>
      <c r="D159" s="26">
        <f t="shared" si="42"/>
        <v>45</v>
      </c>
      <c r="E159" s="27">
        <f t="shared" si="43"/>
        <v>45</v>
      </c>
      <c r="F159" s="29">
        <f t="shared" si="44"/>
        <v>45</v>
      </c>
      <c r="G159" s="30">
        <v>0</v>
      </c>
      <c r="H159" s="31">
        <v>0</v>
      </c>
      <c r="I159" s="32">
        <v>0</v>
      </c>
      <c r="J159" s="136"/>
      <c r="K159" s="33">
        <v>0</v>
      </c>
      <c r="L159" s="34">
        <v>0</v>
      </c>
      <c r="M159" s="34">
        <v>0</v>
      </c>
      <c r="N159" s="138"/>
      <c r="O159" s="34">
        <v>0</v>
      </c>
      <c r="P159" s="34">
        <v>0</v>
      </c>
      <c r="Q159" s="34">
        <v>0</v>
      </c>
      <c r="R159" s="138"/>
      <c r="S159" s="37">
        <v>0</v>
      </c>
      <c r="T159" s="34">
        <v>0</v>
      </c>
      <c r="U159" s="34">
        <v>0</v>
      </c>
      <c r="V159" s="138"/>
      <c r="W159" s="38">
        <v>0</v>
      </c>
      <c r="X159" s="31">
        <v>0</v>
      </c>
      <c r="Y159" s="31">
        <v>0</v>
      </c>
      <c r="Z159" s="105"/>
      <c r="AA159" s="37">
        <v>0</v>
      </c>
      <c r="AB159" s="34">
        <v>0</v>
      </c>
      <c r="AC159" s="34">
        <v>0</v>
      </c>
      <c r="AD159" s="105"/>
      <c r="AE159" s="104"/>
      <c r="AF159" s="105"/>
      <c r="AG159" s="43">
        <f t="shared" si="37"/>
        <v>0</v>
      </c>
      <c r="AH159" s="44">
        <f t="shared" si="37"/>
        <v>0</v>
      </c>
      <c r="AI159" s="44">
        <f t="shared" si="37"/>
        <v>0</v>
      </c>
      <c r="AJ159" s="94">
        <f t="shared" si="37"/>
        <v>0</v>
      </c>
      <c r="AK159" s="140">
        <f t="shared" si="39"/>
        <v>0</v>
      </c>
      <c r="AL159" s="47">
        <v>1.3</v>
      </c>
      <c r="AM159" s="48">
        <f t="shared" si="46"/>
        <v>0</v>
      </c>
      <c r="AN159" s="48">
        <f t="shared" si="47"/>
        <v>0</v>
      </c>
      <c r="AO159" s="49">
        <f t="shared" si="45"/>
        <v>0</v>
      </c>
      <c r="AP159" s="49">
        <f t="shared" si="40"/>
        <v>0</v>
      </c>
      <c r="AQ159" s="50">
        <f t="shared" si="41"/>
        <v>0</v>
      </c>
      <c r="AR159" s="106"/>
      <c r="AS159" s="107"/>
      <c r="AT159" s="115"/>
      <c r="AU159" s="100"/>
      <c r="AV159" s="109"/>
      <c r="AW159" s="110"/>
      <c r="AX159" s="110"/>
      <c r="AY159" s="107"/>
      <c r="AZ159" s="116"/>
    </row>
    <row r="160" spans="1:52" s="246" customFormat="1" ht="16.5" thickBot="1" x14ac:dyDescent="0.3">
      <c r="A160" s="134">
        <v>250</v>
      </c>
      <c r="B160" s="134" t="s">
        <v>116</v>
      </c>
      <c r="C160" s="139"/>
      <c r="D160" s="26">
        <f t="shared" si="42"/>
        <v>0</v>
      </c>
      <c r="E160" s="27">
        <f t="shared" si="43"/>
        <v>0</v>
      </c>
      <c r="F160" s="29">
        <f t="shared" si="44"/>
        <v>0</v>
      </c>
      <c r="G160" s="30">
        <v>0</v>
      </c>
      <c r="H160" s="31">
        <v>0</v>
      </c>
      <c r="I160" s="32">
        <v>0</v>
      </c>
      <c r="J160" s="136"/>
      <c r="K160" s="33">
        <v>0</v>
      </c>
      <c r="L160" s="34">
        <v>0</v>
      </c>
      <c r="M160" s="34">
        <v>0</v>
      </c>
      <c r="N160" s="138"/>
      <c r="O160" s="34">
        <v>0</v>
      </c>
      <c r="P160" s="34">
        <v>0</v>
      </c>
      <c r="Q160" s="34">
        <v>0</v>
      </c>
      <c r="R160" s="138"/>
      <c r="S160" s="37">
        <v>0</v>
      </c>
      <c r="T160" s="34">
        <v>0</v>
      </c>
      <c r="U160" s="34">
        <v>0</v>
      </c>
      <c r="V160" s="138"/>
      <c r="W160" s="38">
        <v>0</v>
      </c>
      <c r="X160" s="31">
        <v>0</v>
      </c>
      <c r="Y160" s="31">
        <v>0</v>
      </c>
      <c r="Z160" s="105"/>
      <c r="AA160" s="37">
        <v>0</v>
      </c>
      <c r="AB160" s="34">
        <v>0</v>
      </c>
      <c r="AC160" s="34">
        <v>0</v>
      </c>
      <c r="AD160" s="105"/>
      <c r="AE160" s="104"/>
      <c r="AF160" s="105"/>
      <c r="AG160" s="43">
        <f t="shared" si="37"/>
        <v>0</v>
      </c>
      <c r="AH160" s="44">
        <f t="shared" si="37"/>
        <v>0</v>
      </c>
      <c r="AI160" s="44">
        <f t="shared" si="37"/>
        <v>0</v>
      </c>
      <c r="AJ160" s="94">
        <f t="shared" si="37"/>
        <v>0</v>
      </c>
      <c r="AK160" s="140">
        <f t="shared" si="39"/>
        <v>0</v>
      </c>
      <c r="AL160" s="47">
        <v>0.5</v>
      </c>
      <c r="AM160" s="48">
        <f t="shared" si="46"/>
        <v>0</v>
      </c>
      <c r="AN160" s="48">
        <f t="shared" si="47"/>
        <v>0</v>
      </c>
      <c r="AO160" s="49">
        <f t="shared" si="45"/>
        <v>0</v>
      </c>
      <c r="AP160" s="49">
        <f t="shared" si="40"/>
        <v>0</v>
      </c>
      <c r="AQ160" s="50">
        <f t="shared" si="41"/>
        <v>0</v>
      </c>
      <c r="AR160" s="106"/>
      <c r="AS160" s="107"/>
      <c r="AT160" s="115"/>
      <c r="AU160" s="100"/>
      <c r="AV160" s="109"/>
      <c r="AW160" s="110"/>
      <c r="AX160" s="110"/>
      <c r="AY160" s="107"/>
      <c r="AZ160" s="116"/>
    </row>
    <row r="161" spans="1:52" s="246" customFormat="1" ht="16.5" thickBot="1" x14ac:dyDescent="0.3">
      <c r="A161" s="134">
        <v>250</v>
      </c>
      <c r="B161" s="134" t="s">
        <v>117</v>
      </c>
      <c r="C161" s="139"/>
      <c r="D161" s="26">
        <f t="shared" si="42"/>
        <v>0</v>
      </c>
      <c r="E161" s="27">
        <f t="shared" si="43"/>
        <v>0</v>
      </c>
      <c r="F161" s="29">
        <f t="shared" si="44"/>
        <v>0</v>
      </c>
      <c r="G161" s="30">
        <v>0</v>
      </c>
      <c r="H161" s="31">
        <v>0</v>
      </c>
      <c r="I161" s="32">
        <v>0</v>
      </c>
      <c r="J161" s="136"/>
      <c r="K161" s="33">
        <v>0</v>
      </c>
      <c r="L161" s="34">
        <v>0</v>
      </c>
      <c r="M161" s="34">
        <v>0</v>
      </c>
      <c r="N161" s="138"/>
      <c r="O161" s="34">
        <v>0</v>
      </c>
      <c r="P161" s="34">
        <v>0</v>
      </c>
      <c r="Q161" s="34">
        <v>0</v>
      </c>
      <c r="R161" s="138"/>
      <c r="S161" s="37">
        <v>0</v>
      </c>
      <c r="T161" s="34">
        <v>0</v>
      </c>
      <c r="U161" s="34">
        <v>0</v>
      </c>
      <c r="V161" s="138"/>
      <c r="W161" s="38">
        <v>0</v>
      </c>
      <c r="X161" s="31">
        <v>0</v>
      </c>
      <c r="Y161" s="31">
        <v>0</v>
      </c>
      <c r="Z161" s="105"/>
      <c r="AA161" s="37">
        <v>0</v>
      </c>
      <c r="AB161" s="34">
        <v>0</v>
      </c>
      <c r="AC161" s="34">
        <v>0</v>
      </c>
      <c r="AD161" s="105"/>
      <c r="AE161" s="104"/>
      <c r="AF161" s="105"/>
      <c r="AG161" s="43">
        <f t="shared" si="37"/>
        <v>0</v>
      </c>
      <c r="AH161" s="44">
        <f t="shared" si="37"/>
        <v>0</v>
      </c>
      <c r="AI161" s="44">
        <f t="shared" si="37"/>
        <v>0</v>
      </c>
      <c r="AJ161" s="94">
        <f t="shared" si="37"/>
        <v>0</v>
      </c>
      <c r="AK161" s="140">
        <f t="shared" si="39"/>
        <v>0</v>
      </c>
      <c r="AL161" s="47">
        <v>0.5</v>
      </c>
      <c r="AM161" s="48">
        <f t="shared" si="46"/>
        <v>0</v>
      </c>
      <c r="AN161" s="48">
        <f t="shared" si="47"/>
        <v>0</v>
      </c>
      <c r="AO161" s="49">
        <f t="shared" si="45"/>
        <v>0</v>
      </c>
      <c r="AP161" s="49">
        <f t="shared" si="40"/>
        <v>0</v>
      </c>
      <c r="AQ161" s="50">
        <f t="shared" si="41"/>
        <v>0</v>
      </c>
      <c r="AR161" s="106"/>
      <c r="AS161" s="107"/>
      <c r="AT161" s="115"/>
      <c r="AU161" s="100"/>
      <c r="AV161" s="109"/>
      <c r="AW161" s="110"/>
      <c r="AX161" s="110"/>
      <c r="AY161" s="107"/>
      <c r="AZ161" s="116"/>
    </row>
    <row r="162" spans="1:52" s="246" customFormat="1" ht="16.5" thickBot="1" x14ac:dyDescent="0.3">
      <c r="A162" s="134">
        <v>360</v>
      </c>
      <c r="B162" s="134" t="s">
        <v>29</v>
      </c>
      <c r="C162" s="139">
        <v>137</v>
      </c>
      <c r="D162" s="26">
        <f t="shared" si="42"/>
        <v>45.666666666666664</v>
      </c>
      <c r="E162" s="27">
        <f t="shared" si="43"/>
        <v>45.666666666666664</v>
      </c>
      <c r="F162" s="29">
        <f t="shared" si="44"/>
        <v>45.666666666666664</v>
      </c>
      <c r="G162" s="30">
        <v>0</v>
      </c>
      <c r="H162" s="31">
        <v>0</v>
      </c>
      <c r="I162" s="32">
        <v>0</v>
      </c>
      <c r="J162" s="136"/>
      <c r="K162" s="33">
        <v>0</v>
      </c>
      <c r="L162" s="34">
        <v>0</v>
      </c>
      <c r="M162" s="34">
        <v>0</v>
      </c>
      <c r="N162" s="138"/>
      <c r="O162" s="34">
        <v>0</v>
      </c>
      <c r="P162" s="34">
        <v>0</v>
      </c>
      <c r="Q162" s="34">
        <v>0</v>
      </c>
      <c r="R162" s="138"/>
      <c r="S162" s="37">
        <v>0</v>
      </c>
      <c r="T162" s="34">
        <v>0</v>
      </c>
      <c r="U162" s="34">
        <v>0</v>
      </c>
      <c r="V162" s="138"/>
      <c r="W162" s="38">
        <v>0</v>
      </c>
      <c r="X162" s="31">
        <v>0</v>
      </c>
      <c r="Y162" s="31">
        <v>0</v>
      </c>
      <c r="Z162" s="105"/>
      <c r="AA162" s="37">
        <v>0</v>
      </c>
      <c r="AB162" s="34">
        <v>0</v>
      </c>
      <c r="AC162" s="34">
        <v>0</v>
      </c>
      <c r="AD162" s="105"/>
      <c r="AE162" s="104"/>
      <c r="AF162" s="105"/>
      <c r="AG162" s="43">
        <f t="shared" si="37"/>
        <v>0</v>
      </c>
      <c r="AH162" s="44">
        <f t="shared" si="37"/>
        <v>0</v>
      </c>
      <c r="AI162" s="44">
        <f t="shared" si="37"/>
        <v>0</v>
      </c>
      <c r="AJ162" s="94">
        <f t="shared" si="37"/>
        <v>0</v>
      </c>
      <c r="AK162" s="140">
        <f t="shared" si="39"/>
        <v>0</v>
      </c>
      <c r="AL162" s="47">
        <v>1.3</v>
      </c>
      <c r="AM162" s="48">
        <f t="shared" si="46"/>
        <v>0</v>
      </c>
      <c r="AN162" s="48">
        <f t="shared" si="47"/>
        <v>0</v>
      </c>
      <c r="AO162" s="49">
        <f t="shared" si="45"/>
        <v>0</v>
      </c>
      <c r="AP162" s="49">
        <f t="shared" si="40"/>
        <v>0</v>
      </c>
      <c r="AQ162" s="50">
        <f t="shared" si="41"/>
        <v>0</v>
      </c>
      <c r="AR162" s="106"/>
      <c r="AS162" s="107"/>
      <c r="AT162" s="115"/>
      <c r="AU162" s="100"/>
      <c r="AV162" s="109"/>
      <c r="AW162" s="110"/>
      <c r="AX162" s="110"/>
      <c r="AY162" s="107"/>
      <c r="AZ162" s="116"/>
    </row>
    <row r="163" spans="1:52" s="246" customFormat="1" ht="16.5" thickBot="1" x14ac:dyDescent="0.3">
      <c r="A163" s="134"/>
      <c r="B163" s="134" t="s">
        <v>118</v>
      </c>
      <c r="C163" s="139">
        <v>78</v>
      </c>
      <c r="D163" s="26">
        <f t="shared" si="42"/>
        <v>26</v>
      </c>
      <c r="E163" s="27">
        <f t="shared" si="43"/>
        <v>26</v>
      </c>
      <c r="F163" s="29">
        <f t="shared" si="44"/>
        <v>26</v>
      </c>
      <c r="G163" s="30">
        <v>0</v>
      </c>
      <c r="H163" s="31">
        <v>0</v>
      </c>
      <c r="I163" s="32">
        <v>0</v>
      </c>
      <c r="J163" s="136"/>
      <c r="K163" s="33">
        <v>0</v>
      </c>
      <c r="L163" s="34">
        <v>0</v>
      </c>
      <c r="M163" s="34">
        <v>0</v>
      </c>
      <c r="N163" s="138"/>
      <c r="O163" s="34">
        <v>0</v>
      </c>
      <c r="P163" s="34">
        <v>0</v>
      </c>
      <c r="Q163" s="34">
        <v>0</v>
      </c>
      <c r="R163" s="138"/>
      <c r="S163" s="37">
        <v>0</v>
      </c>
      <c r="T163" s="34">
        <v>0</v>
      </c>
      <c r="U163" s="34">
        <v>0</v>
      </c>
      <c r="V163" s="138"/>
      <c r="W163" s="38">
        <v>0</v>
      </c>
      <c r="X163" s="31">
        <v>0</v>
      </c>
      <c r="Y163" s="31">
        <v>0</v>
      </c>
      <c r="Z163" s="105"/>
      <c r="AA163" s="37">
        <v>0</v>
      </c>
      <c r="AB163" s="34">
        <v>0</v>
      </c>
      <c r="AC163" s="34">
        <v>0</v>
      </c>
      <c r="AD163" s="105"/>
      <c r="AE163" s="104"/>
      <c r="AF163" s="105"/>
      <c r="AG163" s="43">
        <f t="shared" si="37"/>
        <v>0</v>
      </c>
      <c r="AH163" s="44">
        <f t="shared" si="37"/>
        <v>0</v>
      </c>
      <c r="AI163" s="44">
        <f t="shared" si="37"/>
        <v>0</v>
      </c>
      <c r="AJ163" s="94">
        <f t="shared" si="37"/>
        <v>0</v>
      </c>
      <c r="AK163" s="140">
        <f t="shared" si="39"/>
        <v>0</v>
      </c>
      <c r="AL163" s="47">
        <v>1.5</v>
      </c>
      <c r="AM163" s="48">
        <f t="shared" si="46"/>
        <v>0</v>
      </c>
      <c r="AN163" s="48">
        <f t="shared" si="47"/>
        <v>0</v>
      </c>
      <c r="AO163" s="49">
        <f t="shared" si="45"/>
        <v>0</v>
      </c>
      <c r="AP163" s="49">
        <f t="shared" si="40"/>
        <v>0</v>
      </c>
      <c r="AQ163" s="50">
        <f t="shared" si="41"/>
        <v>0</v>
      </c>
      <c r="AR163" s="106"/>
      <c r="AS163" s="107"/>
      <c r="AT163" s="115"/>
      <c r="AU163" s="100"/>
      <c r="AV163" s="109"/>
      <c r="AW163" s="110"/>
      <c r="AX163" s="110"/>
      <c r="AY163" s="107"/>
      <c r="AZ163" s="116"/>
    </row>
    <row r="164" spans="1:52" s="246" customFormat="1" ht="16.5" thickBot="1" x14ac:dyDescent="0.3">
      <c r="A164" s="134"/>
      <c r="B164" s="134" t="s">
        <v>119</v>
      </c>
      <c r="C164" s="139">
        <v>77</v>
      </c>
      <c r="D164" s="26">
        <f t="shared" si="42"/>
        <v>25.666666666666668</v>
      </c>
      <c r="E164" s="27">
        <f t="shared" si="43"/>
        <v>25.666666666666668</v>
      </c>
      <c r="F164" s="29">
        <f t="shared" si="44"/>
        <v>25.666666666666668</v>
      </c>
      <c r="G164" s="30">
        <v>0</v>
      </c>
      <c r="H164" s="31">
        <v>0</v>
      </c>
      <c r="I164" s="32">
        <v>0</v>
      </c>
      <c r="J164" s="136"/>
      <c r="K164" s="33">
        <v>0</v>
      </c>
      <c r="L164" s="34">
        <v>0</v>
      </c>
      <c r="M164" s="34">
        <v>0</v>
      </c>
      <c r="N164" s="138"/>
      <c r="O164" s="34">
        <v>0</v>
      </c>
      <c r="P164" s="34">
        <v>0</v>
      </c>
      <c r="Q164" s="34">
        <v>0</v>
      </c>
      <c r="R164" s="138"/>
      <c r="S164" s="37">
        <v>0</v>
      </c>
      <c r="T164" s="34">
        <v>0</v>
      </c>
      <c r="U164" s="34">
        <v>0</v>
      </c>
      <c r="V164" s="138"/>
      <c r="W164" s="38">
        <v>0</v>
      </c>
      <c r="X164" s="31">
        <v>0</v>
      </c>
      <c r="Y164" s="31">
        <v>0</v>
      </c>
      <c r="Z164" s="105"/>
      <c r="AA164" s="37">
        <v>0</v>
      </c>
      <c r="AB164" s="34">
        <v>0</v>
      </c>
      <c r="AC164" s="34">
        <v>0</v>
      </c>
      <c r="AD164" s="105"/>
      <c r="AE164" s="104"/>
      <c r="AF164" s="105"/>
      <c r="AG164" s="43">
        <f t="shared" si="37"/>
        <v>0</v>
      </c>
      <c r="AH164" s="44">
        <f t="shared" si="37"/>
        <v>0</v>
      </c>
      <c r="AI164" s="44">
        <f t="shared" si="37"/>
        <v>0</v>
      </c>
      <c r="AJ164" s="94">
        <f t="shared" ref="AJ164:AJ182" si="48">J164+N164+R164+V164+Z164+AD164</f>
        <v>0</v>
      </c>
      <c r="AK164" s="140">
        <f t="shared" si="39"/>
        <v>0</v>
      </c>
      <c r="AL164" s="47">
        <v>1.5</v>
      </c>
      <c r="AM164" s="48">
        <f t="shared" si="46"/>
        <v>0</v>
      </c>
      <c r="AN164" s="48">
        <f t="shared" si="47"/>
        <v>0</v>
      </c>
      <c r="AO164" s="49">
        <f t="shared" si="45"/>
        <v>0</v>
      </c>
      <c r="AP164" s="49">
        <f t="shared" si="40"/>
        <v>0</v>
      </c>
      <c r="AQ164" s="50">
        <f t="shared" si="41"/>
        <v>0</v>
      </c>
      <c r="AR164" s="106"/>
      <c r="AS164" s="107"/>
      <c r="AT164" s="115"/>
      <c r="AU164" s="100"/>
      <c r="AV164" s="109"/>
      <c r="AW164" s="110"/>
      <c r="AX164" s="110"/>
      <c r="AY164" s="107"/>
      <c r="AZ164" s="116"/>
    </row>
    <row r="165" spans="1:52" s="246" customFormat="1" ht="16.5" thickBot="1" x14ac:dyDescent="0.3">
      <c r="A165" s="134"/>
      <c r="B165" s="134" t="s">
        <v>120</v>
      </c>
      <c r="C165" s="139">
        <v>103</v>
      </c>
      <c r="D165" s="26">
        <f t="shared" si="42"/>
        <v>34.333333333333336</v>
      </c>
      <c r="E165" s="27">
        <f t="shared" si="43"/>
        <v>34.333333333333336</v>
      </c>
      <c r="F165" s="29">
        <f t="shared" si="44"/>
        <v>34.333333333333336</v>
      </c>
      <c r="G165" s="30">
        <v>0</v>
      </c>
      <c r="H165" s="31">
        <v>0</v>
      </c>
      <c r="I165" s="32">
        <v>0</v>
      </c>
      <c r="J165" s="136"/>
      <c r="K165" s="33">
        <v>0</v>
      </c>
      <c r="L165" s="34">
        <v>0</v>
      </c>
      <c r="M165" s="34">
        <v>0</v>
      </c>
      <c r="N165" s="138"/>
      <c r="O165" s="34">
        <v>0</v>
      </c>
      <c r="P165" s="34">
        <v>0</v>
      </c>
      <c r="Q165" s="34">
        <v>0</v>
      </c>
      <c r="R165" s="138"/>
      <c r="S165" s="37">
        <v>0</v>
      </c>
      <c r="T165" s="34">
        <v>0</v>
      </c>
      <c r="U165" s="34">
        <v>0</v>
      </c>
      <c r="V165" s="138"/>
      <c r="W165" s="38">
        <v>0</v>
      </c>
      <c r="X165" s="31">
        <v>0</v>
      </c>
      <c r="Y165" s="31">
        <v>0</v>
      </c>
      <c r="Z165" s="105"/>
      <c r="AA165" s="37">
        <v>0</v>
      </c>
      <c r="AB165" s="34">
        <v>0</v>
      </c>
      <c r="AC165" s="34">
        <v>0</v>
      </c>
      <c r="AD165" s="105"/>
      <c r="AE165" s="104"/>
      <c r="AF165" s="105"/>
      <c r="AG165" s="43">
        <f t="shared" ref="AG165:AI184" si="49">G165+K165+O165+S165+W165+AA165</f>
        <v>0</v>
      </c>
      <c r="AH165" s="44">
        <f t="shared" si="49"/>
        <v>0</v>
      </c>
      <c r="AI165" s="44">
        <f t="shared" si="49"/>
        <v>0</v>
      </c>
      <c r="AJ165" s="94">
        <f t="shared" si="48"/>
        <v>0</v>
      </c>
      <c r="AK165" s="140">
        <f t="shared" si="39"/>
        <v>0</v>
      </c>
      <c r="AL165" s="47">
        <v>0.4</v>
      </c>
      <c r="AM165" s="48">
        <f t="shared" si="46"/>
        <v>0</v>
      </c>
      <c r="AN165" s="48">
        <f t="shared" si="47"/>
        <v>0</v>
      </c>
      <c r="AO165" s="49">
        <f t="shared" si="45"/>
        <v>0</v>
      </c>
      <c r="AP165" s="49">
        <f t="shared" si="40"/>
        <v>0</v>
      </c>
      <c r="AQ165" s="50">
        <f t="shared" si="41"/>
        <v>0</v>
      </c>
      <c r="AR165" s="106"/>
      <c r="AS165" s="107"/>
      <c r="AT165" s="115"/>
      <c r="AU165" s="100"/>
      <c r="AV165" s="109"/>
      <c r="AW165" s="110"/>
      <c r="AX165" s="110"/>
      <c r="AY165" s="107"/>
      <c r="AZ165" s="116"/>
    </row>
    <row r="166" spans="1:52" s="246" customFormat="1" ht="16.5" thickBot="1" x14ac:dyDescent="0.3">
      <c r="A166" s="134"/>
      <c r="B166" s="134" t="s">
        <v>121</v>
      </c>
      <c r="C166" s="139">
        <v>155</v>
      </c>
      <c r="D166" s="26">
        <f t="shared" si="42"/>
        <v>51.666666666666664</v>
      </c>
      <c r="E166" s="27">
        <f t="shared" si="43"/>
        <v>51.666666666666664</v>
      </c>
      <c r="F166" s="29">
        <f t="shared" si="44"/>
        <v>51.666666666666664</v>
      </c>
      <c r="G166" s="30">
        <v>1</v>
      </c>
      <c r="H166" s="31">
        <v>0</v>
      </c>
      <c r="I166" s="32">
        <v>0</v>
      </c>
      <c r="J166" s="136"/>
      <c r="K166" s="33">
        <v>1</v>
      </c>
      <c r="L166" s="34">
        <v>0</v>
      </c>
      <c r="M166" s="34">
        <v>2</v>
      </c>
      <c r="N166" s="138"/>
      <c r="O166" s="34">
        <v>0</v>
      </c>
      <c r="P166" s="34">
        <v>0</v>
      </c>
      <c r="Q166" s="34">
        <v>1</v>
      </c>
      <c r="R166" s="138"/>
      <c r="S166" s="37">
        <v>0</v>
      </c>
      <c r="T166" s="34">
        <v>0</v>
      </c>
      <c r="U166" s="34">
        <v>0</v>
      </c>
      <c r="V166" s="138"/>
      <c r="W166" s="38">
        <v>0</v>
      </c>
      <c r="X166" s="31">
        <v>0</v>
      </c>
      <c r="Y166" s="31">
        <v>0</v>
      </c>
      <c r="Z166" s="105"/>
      <c r="AA166" s="37">
        <v>0</v>
      </c>
      <c r="AB166" s="34">
        <v>0</v>
      </c>
      <c r="AC166" s="34">
        <v>2</v>
      </c>
      <c r="AD166" s="105"/>
      <c r="AE166" s="104"/>
      <c r="AF166" s="105"/>
      <c r="AG166" s="43">
        <f t="shared" si="49"/>
        <v>2</v>
      </c>
      <c r="AH166" s="44">
        <f t="shared" si="49"/>
        <v>0</v>
      </c>
      <c r="AI166" s="44">
        <f t="shared" si="49"/>
        <v>5</v>
      </c>
      <c r="AJ166" s="94">
        <f t="shared" si="48"/>
        <v>0</v>
      </c>
      <c r="AK166" s="140">
        <f t="shared" si="39"/>
        <v>7</v>
      </c>
      <c r="AL166" s="47">
        <v>1.5</v>
      </c>
      <c r="AM166" s="48">
        <f t="shared" si="46"/>
        <v>3</v>
      </c>
      <c r="AN166" s="48">
        <f t="shared" si="47"/>
        <v>0</v>
      </c>
      <c r="AO166" s="49">
        <f t="shared" si="45"/>
        <v>7.5</v>
      </c>
      <c r="AP166" s="49">
        <f t="shared" si="40"/>
        <v>0</v>
      </c>
      <c r="AQ166" s="50">
        <f t="shared" si="41"/>
        <v>420</v>
      </c>
      <c r="AR166" s="106"/>
      <c r="AS166" s="107"/>
      <c r="AT166" s="115"/>
      <c r="AU166" s="100"/>
      <c r="AV166" s="109"/>
      <c r="AW166" s="110"/>
      <c r="AX166" s="110"/>
      <c r="AY166" s="107"/>
      <c r="AZ166" s="116"/>
    </row>
    <row r="167" spans="1:52" s="246" customFormat="1" ht="16.5" thickBot="1" x14ac:dyDescent="0.3">
      <c r="A167" s="134">
        <v>300</v>
      </c>
      <c r="B167" s="134" t="s">
        <v>25</v>
      </c>
      <c r="C167" s="139"/>
      <c r="D167" s="26">
        <f t="shared" si="42"/>
        <v>0</v>
      </c>
      <c r="E167" s="27">
        <f t="shared" si="43"/>
        <v>0</v>
      </c>
      <c r="F167" s="29">
        <f t="shared" si="44"/>
        <v>0</v>
      </c>
      <c r="G167" s="30">
        <v>0</v>
      </c>
      <c r="H167" s="31">
        <v>0</v>
      </c>
      <c r="I167" s="32">
        <v>0</v>
      </c>
      <c r="J167" s="136"/>
      <c r="K167" s="33">
        <v>0</v>
      </c>
      <c r="L167" s="34">
        <v>0</v>
      </c>
      <c r="M167" s="34">
        <v>0</v>
      </c>
      <c r="N167" s="138"/>
      <c r="O167" s="34">
        <v>0</v>
      </c>
      <c r="P167" s="34">
        <v>0</v>
      </c>
      <c r="Q167" s="34">
        <v>0</v>
      </c>
      <c r="R167" s="138"/>
      <c r="S167" s="37">
        <v>0</v>
      </c>
      <c r="T167" s="34">
        <v>0</v>
      </c>
      <c r="U167" s="34">
        <v>0</v>
      </c>
      <c r="V167" s="138"/>
      <c r="W167" s="38">
        <v>0</v>
      </c>
      <c r="X167" s="31">
        <v>0</v>
      </c>
      <c r="Y167" s="31">
        <v>0</v>
      </c>
      <c r="Z167" s="105"/>
      <c r="AA167" s="37">
        <v>0</v>
      </c>
      <c r="AB167" s="34">
        <v>0</v>
      </c>
      <c r="AC167" s="34">
        <v>0</v>
      </c>
      <c r="AD167" s="105"/>
      <c r="AE167" s="104"/>
      <c r="AF167" s="105"/>
      <c r="AG167" s="43">
        <f t="shared" si="49"/>
        <v>0</v>
      </c>
      <c r="AH167" s="44">
        <f t="shared" si="49"/>
        <v>0</v>
      </c>
      <c r="AI167" s="44">
        <f t="shared" si="49"/>
        <v>0</v>
      </c>
      <c r="AJ167" s="94">
        <f t="shared" si="48"/>
        <v>0</v>
      </c>
      <c r="AK167" s="140">
        <f t="shared" si="39"/>
        <v>0</v>
      </c>
      <c r="AL167" s="47">
        <v>1.3</v>
      </c>
      <c r="AM167" s="48">
        <f t="shared" si="46"/>
        <v>0</v>
      </c>
      <c r="AN167" s="48">
        <f t="shared" si="47"/>
        <v>0</v>
      </c>
      <c r="AO167" s="49">
        <f t="shared" si="45"/>
        <v>0</v>
      </c>
      <c r="AP167" s="49">
        <f t="shared" si="40"/>
        <v>0</v>
      </c>
      <c r="AQ167" s="50">
        <f t="shared" si="41"/>
        <v>0</v>
      </c>
      <c r="AR167" s="106"/>
      <c r="AS167" s="107"/>
      <c r="AT167" s="115"/>
      <c r="AU167" s="100"/>
      <c r="AV167" s="109"/>
      <c r="AW167" s="110"/>
      <c r="AX167" s="110"/>
      <c r="AY167" s="107"/>
      <c r="AZ167" s="116"/>
    </row>
    <row r="168" spans="1:52" s="246" customFormat="1" ht="16.5" thickBot="1" x14ac:dyDescent="0.3">
      <c r="A168" s="134"/>
      <c r="B168" s="134" t="s">
        <v>188</v>
      </c>
      <c r="C168" s="139">
        <v>155</v>
      </c>
      <c r="D168" s="26">
        <f t="shared" si="42"/>
        <v>51.666666666666664</v>
      </c>
      <c r="E168" s="27">
        <f t="shared" si="43"/>
        <v>51.666666666666664</v>
      </c>
      <c r="F168" s="29">
        <f t="shared" si="44"/>
        <v>51.666666666666664</v>
      </c>
      <c r="G168" s="30">
        <v>0</v>
      </c>
      <c r="H168" s="31">
        <v>0</v>
      </c>
      <c r="I168" s="32">
        <v>0</v>
      </c>
      <c r="J168" s="136"/>
      <c r="K168" s="33">
        <v>0</v>
      </c>
      <c r="L168" s="34">
        <v>0</v>
      </c>
      <c r="M168" s="34">
        <v>0</v>
      </c>
      <c r="N168" s="138"/>
      <c r="O168" s="34">
        <v>0</v>
      </c>
      <c r="P168" s="34">
        <v>0</v>
      </c>
      <c r="Q168" s="34">
        <v>0</v>
      </c>
      <c r="R168" s="138"/>
      <c r="S168" s="37">
        <v>0</v>
      </c>
      <c r="T168" s="34">
        <v>0</v>
      </c>
      <c r="U168" s="34">
        <v>0</v>
      </c>
      <c r="V168" s="138"/>
      <c r="W168" s="38">
        <v>0</v>
      </c>
      <c r="X168" s="31">
        <v>0</v>
      </c>
      <c r="Y168" s="31">
        <v>0</v>
      </c>
      <c r="Z168" s="105"/>
      <c r="AA168" s="37">
        <v>0</v>
      </c>
      <c r="AB168" s="34">
        <v>0</v>
      </c>
      <c r="AC168" s="34">
        <v>0</v>
      </c>
      <c r="AD168" s="105"/>
      <c r="AE168" s="104"/>
      <c r="AF168" s="105"/>
      <c r="AG168" s="43">
        <f t="shared" si="49"/>
        <v>0</v>
      </c>
      <c r="AH168" s="44">
        <f t="shared" si="49"/>
        <v>0</v>
      </c>
      <c r="AI168" s="44">
        <f t="shared" si="49"/>
        <v>0</v>
      </c>
      <c r="AJ168" s="94">
        <f t="shared" si="48"/>
        <v>0</v>
      </c>
      <c r="AK168" s="140">
        <f t="shared" si="39"/>
        <v>0</v>
      </c>
      <c r="AL168" s="47">
        <v>0.5</v>
      </c>
      <c r="AM168" s="48">
        <f t="shared" si="46"/>
        <v>0</v>
      </c>
      <c r="AN168" s="48">
        <f t="shared" si="47"/>
        <v>0</v>
      </c>
      <c r="AO168" s="49">
        <f t="shared" si="45"/>
        <v>0</v>
      </c>
      <c r="AP168" s="49">
        <f t="shared" si="40"/>
        <v>0</v>
      </c>
      <c r="AQ168" s="50">
        <f t="shared" si="41"/>
        <v>0</v>
      </c>
      <c r="AR168" s="106"/>
      <c r="AS168" s="107"/>
      <c r="AT168" s="115"/>
      <c r="AU168" s="100"/>
      <c r="AV168" s="109"/>
      <c r="AW168" s="110"/>
      <c r="AX168" s="110"/>
      <c r="AY168" s="107"/>
      <c r="AZ168" s="116"/>
    </row>
    <row r="169" spans="1:52" s="246" customFormat="1" ht="16.5" thickBot="1" x14ac:dyDescent="0.3">
      <c r="A169" s="134"/>
      <c r="B169" s="134" t="s">
        <v>187</v>
      </c>
      <c r="C169" s="139"/>
      <c r="D169" s="26"/>
      <c r="E169" s="27"/>
      <c r="F169" s="29"/>
      <c r="G169" s="30">
        <v>1</v>
      </c>
      <c r="H169" s="31">
        <v>0</v>
      </c>
      <c r="I169" s="32">
        <v>0</v>
      </c>
      <c r="J169" s="136"/>
      <c r="K169" s="33">
        <v>0</v>
      </c>
      <c r="L169" s="34">
        <v>0</v>
      </c>
      <c r="M169" s="34">
        <v>0</v>
      </c>
      <c r="N169" s="138"/>
      <c r="O169" s="34">
        <v>0</v>
      </c>
      <c r="P169" s="34">
        <v>0</v>
      </c>
      <c r="Q169" s="34">
        <v>0</v>
      </c>
      <c r="R169" s="138"/>
      <c r="S169" s="37">
        <v>0</v>
      </c>
      <c r="T169" s="34">
        <v>0</v>
      </c>
      <c r="U169" s="34">
        <v>0</v>
      </c>
      <c r="V169" s="138"/>
      <c r="W169" s="38">
        <v>0</v>
      </c>
      <c r="X169" s="31">
        <v>0</v>
      </c>
      <c r="Y169" s="31">
        <v>0</v>
      </c>
      <c r="Z169" s="105"/>
      <c r="AA169" s="37">
        <v>0</v>
      </c>
      <c r="AB169" s="34">
        <v>0</v>
      </c>
      <c r="AC169" s="34">
        <v>0</v>
      </c>
      <c r="AD169" s="105"/>
      <c r="AE169" s="104"/>
      <c r="AF169" s="105"/>
      <c r="AG169" s="43"/>
      <c r="AH169" s="44"/>
      <c r="AI169" s="44"/>
      <c r="AJ169" s="94"/>
      <c r="AK169" s="140"/>
      <c r="AL169" s="47"/>
      <c r="AM169" s="48"/>
      <c r="AN169" s="48"/>
      <c r="AO169" s="49"/>
      <c r="AP169" s="49"/>
      <c r="AQ169" s="50"/>
      <c r="AR169" s="106"/>
      <c r="AS169" s="107"/>
      <c r="AT169" s="115"/>
      <c r="AU169" s="100"/>
      <c r="AV169" s="109"/>
      <c r="AW169" s="110"/>
      <c r="AX169" s="110"/>
      <c r="AY169" s="107"/>
      <c r="AZ169" s="116"/>
    </row>
    <row r="170" spans="1:52" s="246" customFormat="1" ht="16.5" thickBot="1" x14ac:dyDescent="0.3">
      <c r="A170" s="134">
        <v>360</v>
      </c>
      <c r="B170" s="134" t="s">
        <v>88</v>
      </c>
      <c r="C170" s="139">
        <v>948</v>
      </c>
      <c r="D170" s="26">
        <f t="shared" si="42"/>
        <v>316</v>
      </c>
      <c r="E170" s="27">
        <f t="shared" si="43"/>
        <v>316</v>
      </c>
      <c r="F170" s="29">
        <f t="shared" si="44"/>
        <v>316</v>
      </c>
      <c r="G170" s="30">
        <v>2</v>
      </c>
      <c r="H170" s="31">
        <v>1</v>
      </c>
      <c r="I170" s="32">
        <v>81</v>
      </c>
      <c r="J170" s="136"/>
      <c r="K170" s="33">
        <v>4</v>
      </c>
      <c r="L170" s="34">
        <v>7</v>
      </c>
      <c r="M170" s="34">
        <v>10</v>
      </c>
      <c r="N170" s="138"/>
      <c r="O170" s="34">
        <v>5</v>
      </c>
      <c r="P170" s="34">
        <v>4</v>
      </c>
      <c r="Q170" s="34">
        <v>27</v>
      </c>
      <c r="R170" s="138"/>
      <c r="S170" s="37">
        <v>7</v>
      </c>
      <c r="T170" s="34">
        <v>1</v>
      </c>
      <c r="U170" s="34">
        <v>2</v>
      </c>
      <c r="V170" s="138"/>
      <c r="W170" s="38">
        <v>9</v>
      </c>
      <c r="X170" s="31">
        <v>5</v>
      </c>
      <c r="Y170" s="31">
        <v>7</v>
      </c>
      <c r="Z170" s="105"/>
      <c r="AA170" s="37">
        <v>0</v>
      </c>
      <c r="AB170" s="34">
        <v>0</v>
      </c>
      <c r="AC170" s="34">
        <v>4</v>
      </c>
      <c r="AD170" s="105"/>
      <c r="AE170" s="104"/>
      <c r="AF170" s="105"/>
      <c r="AG170" s="43">
        <f t="shared" si="49"/>
        <v>27</v>
      </c>
      <c r="AH170" s="44">
        <f t="shared" si="49"/>
        <v>18</v>
      </c>
      <c r="AI170" s="44">
        <f t="shared" si="49"/>
        <v>131</v>
      </c>
      <c r="AJ170" s="94">
        <f t="shared" si="48"/>
        <v>0</v>
      </c>
      <c r="AK170" s="140">
        <f t="shared" si="39"/>
        <v>176</v>
      </c>
      <c r="AL170" s="47">
        <v>1.3</v>
      </c>
      <c r="AM170" s="48">
        <f t="shared" si="46"/>
        <v>35.1</v>
      </c>
      <c r="AN170" s="48">
        <f t="shared" si="47"/>
        <v>23.400000000000002</v>
      </c>
      <c r="AO170" s="49">
        <f t="shared" si="45"/>
        <v>170.3</v>
      </c>
      <c r="AP170" s="49">
        <f t="shared" si="40"/>
        <v>0</v>
      </c>
      <c r="AQ170" s="50">
        <f t="shared" si="41"/>
        <v>10560</v>
      </c>
      <c r="AR170" s="106"/>
      <c r="AS170" s="107"/>
      <c r="AT170" s="115"/>
      <c r="AU170" s="100"/>
      <c r="AV170" s="109"/>
      <c r="AW170" s="110"/>
      <c r="AX170" s="110"/>
      <c r="AY170" s="107"/>
      <c r="AZ170" s="116"/>
    </row>
    <row r="171" spans="1:52" s="246" customFormat="1" ht="16.5" thickBot="1" x14ac:dyDescent="0.3">
      <c r="A171" s="134">
        <v>360</v>
      </c>
      <c r="B171" s="134" t="s">
        <v>122</v>
      </c>
      <c r="C171" s="139">
        <v>655</v>
      </c>
      <c r="D171" s="26">
        <f t="shared" si="42"/>
        <v>218.33333333333334</v>
      </c>
      <c r="E171" s="27">
        <f t="shared" si="43"/>
        <v>218.33333333333334</v>
      </c>
      <c r="F171" s="29">
        <f t="shared" si="44"/>
        <v>218.33333333333334</v>
      </c>
      <c r="G171" s="30">
        <v>26</v>
      </c>
      <c r="H171" s="31">
        <v>33</v>
      </c>
      <c r="I171" s="32">
        <v>45</v>
      </c>
      <c r="J171" s="136"/>
      <c r="K171" s="33">
        <v>27</v>
      </c>
      <c r="L171" s="34">
        <v>15</v>
      </c>
      <c r="M171" s="34">
        <v>22</v>
      </c>
      <c r="N171" s="138"/>
      <c r="O171" s="34">
        <v>30</v>
      </c>
      <c r="P171" s="34">
        <v>19</v>
      </c>
      <c r="Q171" s="34">
        <v>13</v>
      </c>
      <c r="R171" s="138"/>
      <c r="S171" s="37">
        <v>21</v>
      </c>
      <c r="T171" s="34">
        <v>35</v>
      </c>
      <c r="U171" s="34">
        <v>9</v>
      </c>
      <c r="V171" s="138"/>
      <c r="W171" s="38">
        <v>10</v>
      </c>
      <c r="X171" s="31">
        <v>2</v>
      </c>
      <c r="Y171" s="31">
        <v>12</v>
      </c>
      <c r="Z171" s="105"/>
      <c r="AA171" s="37">
        <v>31</v>
      </c>
      <c r="AB171" s="34">
        <v>32</v>
      </c>
      <c r="AC171" s="34">
        <v>28</v>
      </c>
      <c r="AD171" s="105"/>
      <c r="AE171" s="104"/>
      <c r="AF171" s="105"/>
      <c r="AG171" s="43">
        <f t="shared" si="49"/>
        <v>145</v>
      </c>
      <c r="AH171" s="44">
        <f t="shared" si="49"/>
        <v>136</v>
      </c>
      <c r="AI171" s="44">
        <f t="shared" si="49"/>
        <v>129</v>
      </c>
      <c r="AJ171" s="94">
        <f t="shared" si="48"/>
        <v>0</v>
      </c>
      <c r="AK171" s="140">
        <f t="shared" si="39"/>
        <v>410</v>
      </c>
      <c r="AL171" s="47">
        <v>0.75</v>
      </c>
      <c r="AM171" s="48">
        <f t="shared" si="46"/>
        <v>108.75</v>
      </c>
      <c r="AN171" s="48">
        <f t="shared" si="47"/>
        <v>102</v>
      </c>
      <c r="AO171" s="49">
        <f t="shared" si="45"/>
        <v>96.75</v>
      </c>
      <c r="AP171" s="49">
        <f t="shared" si="40"/>
        <v>0</v>
      </c>
      <c r="AQ171" s="71"/>
      <c r="AR171" s="106"/>
      <c r="AS171" s="107"/>
      <c r="AT171" s="115"/>
      <c r="AU171" s="100"/>
      <c r="AV171" s="109"/>
      <c r="AW171" s="110"/>
      <c r="AX171" s="110"/>
      <c r="AY171" s="107"/>
      <c r="AZ171" s="116"/>
    </row>
    <row r="172" spans="1:52" s="246" customFormat="1" ht="16.5" thickBot="1" x14ac:dyDescent="0.3">
      <c r="A172" s="134">
        <v>360</v>
      </c>
      <c r="B172" s="134" t="s">
        <v>123</v>
      </c>
      <c r="C172" s="139">
        <v>330</v>
      </c>
      <c r="D172" s="26">
        <f t="shared" si="42"/>
        <v>110</v>
      </c>
      <c r="E172" s="27">
        <f t="shared" si="43"/>
        <v>110</v>
      </c>
      <c r="F172" s="29">
        <f t="shared" si="44"/>
        <v>110</v>
      </c>
      <c r="G172" s="30">
        <v>23</v>
      </c>
      <c r="H172" s="31">
        <v>28</v>
      </c>
      <c r="I172" s="32">
        <v>46</v>
      </c>
      <c r="J172" s="136"/>
      <c r="K172" s="33">
        <v>2</v>
      </c>
      <c r="L172" s="34">
        <v>8</v>
      </c>
      <c r="M172" s="34">
        <v>0</v>
      </c>
      <c r="N172" s="138"/>
      <c r="O172" s="34">
        <v>30</v>
      </c>
      <c r="P172" s="34">
        <v>13</v>
      </c>
      <c r="Q172" s="34">
        <v>8</v>
      </c>
      <c r="R172" s="138"/>
      <c r="S172" s="37">
        <v>18</v>
      </c>
      <c r="T172" s="34">
        <v>49</v>
      </c>
      <c r="U172" s="34">
        <v>13</v>
      </c>
      <c r="V172" s="138"/>
      <c r="W172" s="38">
        <v>14</v>
      </c>
      <c r="X172" s="31">
        <v>11</v>
      </c>
      <c r="Y172" s="31">
        <v>11</v>
      </c>
      <c r="Z172" s="105"/>
      <c r="AA172" s="37">
        <v>3</v>
      </c>
      <c r="AB172" s="34">
        <v>10</v>
      </c>
      <c r="AC172" s="34">
        <v>30</v>
      </c>
      <c r="AD172" s="105"/>
      <c r="AE172" s="104"/>
      <c r="AF172" s="105"/>
      <c r="AG172" s="43">
        <f t="shared" si="49"/>
        <v>90</v>
      </c>
      <c r="AH172" s="44">
        <f t="shared" si="49"/>
        <v>119</v>
      </c>
      <c r="AI172" s="44">
        <f t="shared" si="49"/>
        <v>108</v>
      </c>
      <c r="AJ172" s="94">
        <f t="shared" si="48"/>
        <v>0</v>
      </c>
      <c r="AK172" s="140">
        <f t="shared" si="39"/>
        <v>317</v>
      </c>
      <c r="AL172" s="47">
        <v>0.75</v>
      </c>
      <c r="AM172" s="48">
        <f t="shared" si="46"/>
        <v>67.5</v>
      </c>
      <c r="AN172" s="48">
        <f t="shared" si="47"/>
        <v>89.25</v>
      </c>
      <c r="AO172" s="49">
        <f t="shared" si="45"/>
        <v>81</v>
      </c>
      <c r="AP172" s="49">
        <f t="shared" si="40"/>
        <v>0</v>
      </c>
      <c r="AQ172" s="71"/>
      <c r="AR172" s="106"/>
      <c r="AS172" s="107"/>
      <c r="AT172" s="115"/>
      <c r="AU172" s="100"/>
      <c r="AV172" s="109"/>
      <c r="AW172" s="110"/>
      <c r="AX172" s="110"/>
      <c r="AY172" s="107"/>
      <c r="AZ172" s="116"/>
    </row>
    <row r="173" spans="1:52" s="246" customFormat="1" ht="16.5" thickBot="1" x14ac:dyDescent="0.3">
      <c r="A173" s="134">
        <v>360</v>
      </c>
      <c r="B173" s="134" t="s">
        <v>124</v>
      </c>
      <c r="C173" s="139">
        <v>2313</v>
      </c>
      <c r="D173" s="26">
        <f t="shared" si="42"/>
        <v>771</v>
      </c>
      <c r="E173" s="27">
        <f t="shared" si="43"/>
        <v>771</v>
      </c>
      <c r="F173" s="29">
        <f t="shared" si="44"/>
        <v>771</v>
      </c>
      <c r="G173" s="30">
        <v>25</v>
      </c>
      <c r="H173" s="31">
        <v>33</v>
      </c>
      <c r="I173" s="32">
        <v>65</v>
      </c>
      <c r="J173" s="136"/>
      <c r="K173" s="33">
        <v>17</v>
      </c>
      <c r="L173" s="34">
        <v>20</v>
      </c>
      <c r="M173" s="34">
        <v>20</v>
      </c>
      <c r="N173" s="138"/>
      <c r="O173" s="34">
        <v>28</v>
      </c>
      <c r="P173" s="34">
        <v>18</v>
      </c>
      <c r="Q173" s="34">
        <v>15</v>
      </c>
      <c r="R173" s="138"/>
      <c r="S173" s="37">
        <v>21</v>
      </c>
      <c r="T173" s="34">
        <v>46</v>
      </c>
      <c r="U173" s="34">
        <v>11</v>
      </c>
      <c r="V173" s="138"/>
      <c r="W173" s="38">
        <v>16</v>
      </c>
      <c r="X173" s="31">
        <v>11</v>
      </c>
      <c r="Y173" s="31">
        <v>11</v>
      </c>
      <c r="Z173" s="105"/>
      <c r="AA173" s="37">
        <v>45</v>
      </c>
      <c r="AB173" s="34">
        <v>32</v>
      </c>
      <c r="AC173" s="34">
        <v>27</v>
      </c>
      <c r="AD173" s="105"/>
      <c r="AE173" s="104"/>
      <c r="AF173" s="105"/>
      <c r="AG173" s="43">
        <f t="shared" si="49"/>
        <v>152</v>
      </c>
      <c r="AH173" s="44">
        <f t="shared" si="49"/>
        <v>160</v>
      </c>
      <c r="AI173" s="44">
        <f t="shared" si="49"/>
        <v>149</v>
      </c>
      <c r="AJ173" s="94">
        <f t="shared" si="48"/>
        <v>0</v>
      </c>
      <c r="AK173" s="140">
        <f t="shared" si="39"/>
        <v>461</v>
      </c>
      <c r="AL173" s="47">
        <v>0.75</v>
      </c>
      <c r="AM173" s="48">
        <f t="shared" si="46"/>
        <v>114</v>
      </c>
      <c r="AN173" s="48">
        <f t="shared" si="47"/>
        <v>120</v>
      </c>
      <c r="AO173" s="49">
        <f t="shared" si="45"/>
        <v>111.75</v>
      </c>
      <c r="AP173" s="49">
        <f t="shared" si="40"/>
        <v>0</v>
      </c>
      <c r="AQ173" s="71"/>
      <c r="AR173" s="106"/>
      <c r="AS173" s="107"/>
      <c r="AT173" s="115"/>
      <c r="AU173" s="100"/>
      <c r="AV173" s="109"/>
      <c r="AW173" s="110"/>
      <c r="AX173" s="110"/>
      <c r="AY173" s="107"/>
      <c r="AZ173" s="116"/>
    </row>
    <row r="174" spans="1:52" s="246" customFormat="1" ht="16.5" thickBot="1" x14ac:dyDescent="0.3">
      <c r="A174" s="134">
        <v>360</v>
      </c>
      <c r="B174" s="134" t="s">
        <v>125</v>
      </c>
      <c r="C174" s="139">
        <v>330</v>
      </c>
      <c r="D174" s="26">
        <f t="shared" si="42"/>
        <v>110</v>
      </c>
      <c r="E174" s="27">
        <f t="shared" si="43"/>
        <v>110</v>
      </c>
      <c r="F174" s="29">
        <f t="shared" si="44"/>
        <v>110</v>
      </c>
      <c r="G174" s="30">
        <v>0</v>
      </c>
      <c r="H174" s="31">
        <v>0</v>
      </c>
      <c r="I174" s="32">
        <v>0</v>
      </c>
      <c r="J174" s="136"/>
      <c r="K174" s="33">
        <v>0</v>
      </c>
      <c r="L174" s="34">
        <v>0</v>
      </c>
      <c r="M174" s="34">
        <v>0</v>
      </c>
      <c r="N174" s="138"/>
      <c r="O174" s="34">
        <v>0</v>
      </c>
      <c r="P174" s="34">
        <v>0</v>
      </c>
      <c r="Q174" s="34">
        <v>0</v>
      </c>
      <c r="R174" s="138"/>
      <c r="S174" s="37">
        <v>0</v>
      </c>
      <c r="T174" s="34">
        <v>0</v>
      </c>
      <c r="U174" s="34">
        <v>0</v>
      </c>
      <c r="V174" s="138"/>
      <c r="W174" s="38">
        <v>0</v>
      </c>
      <c r="X174" s="31">
        <v>0</v>
      </c>
      <c r="Y174" s="31">
        <v>0</v>
      </c>
      <c r="Z174" s="105"/>
      <c r="AA174" s="37">
        <v>0</v>
      </c>
      <c r="AB174" s="34">
        <v>0</v>
      </c>
      <c r="AC174" s="34">
        <v>0</v>
      </c>
      <c r="AD174" s="105"/>
      <c r="AE174" s="104"/>
      <c r="AF174" s="105"/>
      <c r="AG174" s="43">
        <f t="shared" si="49"/>
        <v>0</v>
      </c>
      <c r="AH174" s="44">
        <f t="shared" si="49"/>
        <v>0</v>
      </c>
      <c r="AI174" s="44">
        <f t="shared" si="49"/>
        <v>0</v>
      </c>
      <c r="AJ174" s="94">
        <f t="shared" si="48"/>
        <v>0</v>
      </c>
      <c r="AK174" s="140">
        <f t="shared" si="39"/>
        <v>0</v>
      </c>
      <c r="AL174" s="47">
        <v>0.75</v>
      </c>
      <c r="AM174" s="48">
        <f t="shared" si="46"/>
        <v>0</v>
      </c>
      <c r="AN174" s="48">
        <f t="shared" si="47"/>
        <v>0</v>
      </c>
      <c r="AO174" s="49">
        <f t="shared" si="45"/>
        <v>0</v>
      </c>
      <c r="AP174" s="49">
        <f t="shared" si="40"/>
        <v>0</v>
      </c>
      <c r="AQ174" s="71"/>
      <c r="AR174" s="106"/>
      <c r="AS174" s="107"/>
      <c r="AT174" s="115"/>
      <c r="AU174" s="100"/>
      <c r="AV174" s="109"/>
      <c r="AW174" s="110"/>
      <c r="AX174" s="110"/>
      <c r="AY174" s="107"/>
      <c r="AZ174" s="116"/>
    </row>
    <row r="175" spans="1:52" s="246" customFormat="1" ht="16.5" thickBot="1" x14ac:dyDescent="0.3">
      <c r="A175" s="134">
        <v>360</v>
      </c>
      <c r="B175" s="134" t="s">
        <v>126</v>
      </c>
      <c r="C175" s="139">
        <v>328</v>
      </c>
      <c r="D175" s="26">
        <f t="shared" si="42"/>
        <v>109.33333333333333</v>
      </c>
      <c r="E175" s="27">
        <f t="shared" si="43"/>
        <v>109.33333333333333</v>
      </c>
      <c r="F175" s="29">
        <f t="shared" si="44"/>
        <v>109.33333333333333</v>
      </c>
      <c r="G175" s="30">
        <v>0</v>
      </c>
      <c r="H175" s="31">
        <v>0</v>
      </c>
      <c r="I175" s="32">
        <v>0</v>
      </c>
      <c r="J175" s="136"/>
      <c r="K175" s="33">
        <v>0</v>
      </c>
      <c r="L175" s="34">
        <v>0</v>
      </c>
      <c r="M175" s="34">
        <v>0</v>
      </c>
      <c r="N175" s="138"/>
      <c r="O175" s="34">
        <v>0</v>
      </c>
      <c r="P175" s="34">
        <v>0</v>
      </c>
      <c r="Q175" s="34">
        <v>0</v>
      </c>
      <c r="R175" s="138"/>
      <c r="S175" s="37">
        <v>0</v>
      </c>
      <c r="T175" s="34">
        <v>0</v>
      </c>
      <c r="U175" s="34">
        <v>0</v>
      </c>
      <c r="V175" s="138"/>
      <c r="W175" s="38">
        <v>0</v>
      </c>
      <c r="X175" s="31">
        <v>0</v>
      </c>
      <c r="Y175" s="31">
        <v>0</v>
      </c>
      <c r="Z175" s="105"/>
      <c r="AA175" s="37">
        <v>0</v>
      </c>
      <c r="AB175" s="34">
        <v>0</v>
      </c>
      <c r="AC175" s="34">
        <v>0</v>
      </c>
      <c r="AD175" s="105"/>
      <c r="AE175" s="104"/>
      <c r="AF175" s="105"/>
      <c r="AG175" s="43">
        <f t="shared" si="49"/>
        <v>0</v>
      </c>
      <c r="AH175" s="44">
        <f t="shared" si="49"/>
        <v>0</v>
      </c>
      <c r="AI175" s="44">
        <f t="shared" si="49"/>
        <v>0</v>
      </c>
      <c r="AJ175" s="94">
        <f t="shared" si="48"/>
        <v>0</v>
      </c>
      <c r="AK175" s="140">
        <f t="shared" si="39"/>
        <v>0</v>
      </c>
      <c r="AL175" s="47">
        <v>0.75</v>
      </c>
      <c r="AM175" s="48">
        <f t="shared" si="46"/>
        <v>0</v>
      </c>
      <c r="AN175" s="48">
        <f t="shared" si="47"/>
        <v>0</v>
      </c>
      <c r="AO175" s="49">
        <f t="shared" si="45"/>
        <v>0</v>
      </c>
      <c r="AP175" s="49"/>
      <c r="AQ175" s="71"/>
      <c r="AR175" s="106"/>
      <c r="AS175" s="107"/>
      <c r="AT175" s="115"/>
      <c r="AU175" s="100"/>
      <c r="AV175" s="109"/>
      <c r="AW175" s="110"/>
      <c r="AX175" s="110"/>
      <c r="AY175" s="107"/>
      <c r="AZ175" s="116"/>
    </row>
    <row r="176" spans="1:52" s="246" customFormat="1" ht="16.5" thickBot="1" x14ac:dyDescent="0.3">
      <c r="A176" s="134">
        <v>360</v>
      </c>
      <c r="B176" s="134" t="s">
        <v>127</v>
      </c>
      <c r="C176" s="139">
        <v>655</v>
      </c>
      <c r="D176" s="26">
        <f t="shared" si="42"/>
        <v>218.33333333333334</v>
      </c>
      <c r="E176" s="27">
        <f t="shared" si="43"/>
        <v>218.33333333333334</v>
      </c>
      <c r="F176" s="29">
        <f t="shared" si="44"/>
        <v>218.33333333333334</v>
      </c>
      <c r="G176" s="30">
        <v>0</v>
      </c>
      <c r="H176" s="31">
        <v>0</v>
      </c>
      <c r="I176" s="32">
        <v>0</v>
      </c>
      <c r="J176" s="136"/>
      <c r="K176" s="33">
        <v>0</v>
      </c>
      <c r="L176" s="34">
        <v>0</v>
      </c>
      <c r="M176" s="34">
        <v>0</v>
      </c>
      <c r="N176" s="138"/>
      <c r="O176" s="34">
        <v>0</v>
      </c>
      <c r="P176" s="34">
        <v>0</v>
      </c>
      <c r="Q176" s="34">
        <v>0</v>
      </c>
      <c r="R176" s="138"/>
      <c r="S176" s="37">
        <v>0</v>
      </c>
      <c r="T176" s="34">
        <v>0</v>
      </c>
      <c r="U176" s="34">
        <v>0</v>
      </c>
      <c r="V176" s="138"/>
      <c r="W176" s="38">
        <v>0</v>
      </c>
      <c r="X176" s="31">
        <v>0</v>
      </c>
      <c r="Y176" s="31">
        <v>0</v>
      </c>
      <c r="Z176" s="105"/>
      <c r="AA176" s="37">
        <v>0</v>
      </c>
      <c r="AB176" s="34">
        <v>0</v>
      </c>
      <c r="AC176" s="34">
        <v>0</v>
      </c>
      <c r="AD176" s="105"/>
      <c r="AE176" s="104"/>
      <c r="AF176" s="105"/>
      <c r="AG176" s="43">
        <f t="shared" si="49"/>
        <v>0</v>
      </c>
      <c r="AH176" s="44">
        <f t="shared" si="49"/>
        <v>0</v>
      </c>
      <c r="AI176" s="44">
        <f t="shared" si="49"/>
        <v>0</v>
      </c>
      <c r="AJ176" s="94">
        <f t="shared" si="48"/>
        <v>0</v>
      </c>
      <c r="AK176" s="140">
        <f t="shared" si="39"/>
        <v>0</v>
      </c>
      <c r="AL176" s="47">
        <v>0.75</v>
      </c>
      <c r="AM176" s="48">
        <f t="shared" si="46"/>
        <v>0</v>
      </c>
      <c r="AN176" s="48">
        <f t="shared" si="47"/>
        <v>0</v>
      </c>
      <c r="AO176" s="49">
        <f t="shared" si="45"/>
        <v>0</v>
      </c>
      <c r="AP176" s="49"/>
      <c r="AQ176" s="71"/>
      <c r="AR176" s="106"/>
      <c r="AS176" s="107"/>
      <c r="AT176" s="115"/>
      <c r="AU176" s="100"/>
      <c r="AV176" s="109"/>
      <c r="AW176" s="110"/>
      <c r="AX176" s="110"/>
      <c r="AY176" s="107"/>
      <c r="AZ176" s="116"/>
    </row>
    <row r="177" spans="1:52" s="246" customFormat="1" ht="16.5" thickBot="1" x14ac:dyDescent="0.3">
      <c r="A177" s="134">
        <v>360</v>
      </c>
      <c r="B177" s="134" t="s">
        <v>128</v>
      </c>
      <c r="C177" s="139">
        <v>330</v>
      </c>
      <c r="D177" s="26">
        <f t="shared" si="42"/>
        <v>110</v>
      </c>
      <c r="E177" s="27">
        <f t="shared" si="43"/>
        <v>110</v>
      </c>
      <c r="F177" s="29">
        <f t="shared" si="44"/>
        <v>110</v>
      </c>
      <c r="G177" s="30">
        <v>0</v>
      </c>
      <c r="H177" s="31">
        <v>0</v>
      </c>
      <c r="I177" s="32">
        <v>0</v>
      </c>
      <c r="J177" s="136"/>
      <c r="K177" s="33">
        <v>0</v>
      </c>
      <c r="L177" s="34">
        <v>0</v>
      </c>
      <c r="M177" s="34">
        <v>0</v>
      </c>
      <c r="N177" s="138"/>
      <c r="O177" s="34">
        <v>0</v>
      </c>
      <c r="P177" s="34">
        <v>0</v>
      </c>
      <c r="Q177" s="34">
        <v>0</v>
      </c>
      <c r="R177" s="138"/>
      <c r="S177" s="37">
        <v>0</v>
      </c>
      <c r="T177" s="34">
        <v>0</v>
      </c>
      <c r="U177" s="34">
        <v>0</v>
      </c>
      <c r="V177" s="138"/>
      <c r="W177" s="38">
        <v>0</v>
      </c>
      <c r="X177" s="31">
        <v>0</v>
      </c>
      <c r="Y177" s="31">
        <v>0</v>
      </c>
      <c r="Z177" s="105"/>
      <c r="AA177" s="37">
        <v>0</v>
      </c>
      <c r="AB177" s="34">
        <v>0</v>
      </c>
      <c r="AC177" s="34">
        <v>0</v>
      </c>
      <c r="AD177" s="105"/>
      <c r="AE177" s="104"/>
      <c r="AF177" s="105"/>
      <c r="AG177" s="43">
        <f t="shared" si="49"/>
        <v>0</v>
      </c>
      <c r="AH177" s="44">
        <f t="shared" si="49"/>
        <v>0</v>
      </c>
      <c r="AI177" s="44">
        <f t="shared" si="49"/>
        <v>0</v>
      </c>
      <c r="AJ177" s="94">
        <f t="shared" si="48"/>
        <v>0</v>
      </c>
      <c r="AK177" s="140">
        <f t="shared" si="39"/>
        <v>0</v>
      </c>
      <c r="AL177" s="47">
        <v>0.75</v>
      </c>
      <c r="AM177" s="48">
        <f t="shared" si="46"/>
        <v>0</v>
      </c>
      <c r="AN177" s="48">
        <f t="shared" si="47"/>
        <v>0</v>
      </c>
      <c r="AO177" s="49">
        <f t="shared" si="45"/>
        <v>0</v>
      </c>
      <c r="AP177" s="49"/>
      <c r="AQ177" s="71"/>
      <c r="AR177" s="106"/>
      <c r="AS177" s="107"/>
      <c r="AT177" s="115"/>
      <c r="AU177" s="100"/>
      <c r="AV177" s="109"/>
      <c r="AW177" s="110"/>
      <c r="AX177" s="110"/>
      <c r="AY177" s="107"/>
      <c r="AZ177" s="116"/>
    </row>
    <row r="178" spans="1:52" s="246" customFormat="1" ht="16.5" thickBot="1" x14ac:dyDescent="0.3">
      <c r="A178" s="134">
        <v>600</v>
      </c>
      <c r="B178" s="134" t="s">
        <v>129</v>
      </c>
      <c r="C178" s="139">
        <v>693</v>
      </c>
      <c r="D178" s="26">
        <f t="shared" si="42"/>
        <v>231</v>
      </c>
      <c r="E178" s="27">
        <f t="shared" si="43"/>
        <v>231</v>
      </c>
      <c r="F178" s="29">
        <f t="shared" si="44"/>
        <v>231</v>
      </c>
      <c r="G178" s="30">
        <v>0</v>
      </c>
      <c r="H178" s="31">
        <v>0</v>
      </c>
      <c r="I178" s="32">
        <v>0</v>
      </c>
      <c r="J178" s="136"/>
      <c r="K178" s="33">
        <v>0</v>
      </c>
      <c r="L178" s="34">
        <v>0</v>
      </c>
      <c r="M178" s="34">
        <v>0</v>
      </c>
      <c r="N178" s="138"/>
      <c r="O178" s="34">
        <v>0</v>
      </c>
      <c r="P178" s="34">
        <v>0</v>
      </c>
      <c r="Q178" s="34">
        <v>0</v>
      </c>
      <c r="R178" s="138"/>
      <c r="S178" s="37">
        <v>0</v>
      </c>
      <c r="T178" s="34">
        <v>0</v>
      </c>
      <c r="U178" s="34">
        <v>0</v>
      </c>
      <c r="V178" s="138"/>
      <c r="W178" s="38">
        <v>0</v>
      </c>
      <c r="X178" s="31">
        <v>0</v>
      </c>
      <c r="Y178" s="31">
        <v>0</v>
      </c>
      <c r="Z178" s="105"/>
      <c r="AA178" s="37">
        <v>0</v>
      </c>
      <c r="AB178" s="34">
        <v>0</v>
      </c>
      <c r="AC178" s="34">
        <v>0</v>
      </c>
      <c r="AD178" s="105"/>
      <c r="AE178" s="104"/>
      <c r="AF178" s="105"/>
      <c r="AG178" s="43">
        <f t="shared" si="49"/>
        <v>0</v>
      </c>
      <c r="AH178" s="44">
        <f t="shared" si="49"/>
        <v>0</v>
      </c>
      <c r="AI178" s="44">
        <f t="shared" si="49"/>
        <v>0</v>
      </c>
      <c r="AJ178" s="94">
        <f t="shared" si="48"/>
        <v>0</v>
      </c>
      <c r="AK178" s="140">
        <f t="shared" si="39"/>
        <v>0</v>
      </c>
      <c r="AL178" s="47">
        <v>0.75</v>
      </c>
      <c r="AM178" s="48">
        <f t="shared" si="46"/>
        <v>0</v>
      </c>
      <c r="AN178" s="48">
        <f t="shared" si="47"/>
        <v>0</v>
      </c>
      <c r="AO178" s="49">
        <f t="shared" si="45"/>
        <v>0</v>
      </c>
      <c r="AP178" s="49"/>
      <c r="AQ178" s="71"/>
      <c r="AR178" s="106"/>
      <c r="AS178" s="107"/>
      <c r="AT178" s="115"/>
      <c r="AU178" s="100"/>
      <c r="AV178" s="109"/>
      <c r="AW178" s="110"/>
      <c r="AX178" s="110"/>
      <c r="AY178" s="107"/>
      <c r="AZ178" s="116"/>
    </row>
    <row r="179" spans="1:52" s="246" customFormat="1" ht="16.5" thickBot="1" x14ac:dyDescent="0.3">
      <c r="A179" s="134">
        <v>600</v>
      </c>
      <c r="B179" s="134" t="s">
        <v>124</v>
      </c>
      <c r="C179" s="139">
        <v>3463</v>
      </c>
      <c r="D179" s="26">
        <f t="shared" si="42"/>
        <v>1154.3333333333333</v>
      </c>
      <c r="E179" s="27">
        <f t="shared" si="43"/>
        <v>1154.3333333333333</v>
      </c>
      <c r="F179" s="29">
        <f t="shared" si="44"/>
        <v>1154.3333333333333</v>
      </c>
      <c r="G179" s="30">
        <v>0</v>
      </c>
      <c r="H179" s="31">
        <v>0</v>
      </c>
      <c r="I179" s="32">
        <v>0</v>
      </c>
      <c r="J179" s="136"/>
      <c r="K179" s="33">
        <v>0</v>
      </c>
      <c r="L179" s="34">
        <v>0</v>
      </c>
      <c r="M179" s="34">
        <v>0</v>
      </c>
      <c r="N179" s="138"/>
      <c r="O179" s="34">
        <v>0</v>
      </c>
      <c r="P179" s="34">
        <v>0</v>
      </c>
      <c r="Q179" s="34">
        <v>0</v>
      </c>
      <c r="R179" s="138"/>
      <c r="S179" s="37">
        <v>0</v>
      </c>
      <c r="T179" s="34">
        <v>0</v>
      </c>
      <c r="U179" s="34">
        <v>0</v>
      </c>
      <c r="V179" s="138"/>
      <c r="W179" s="38">
        <v>0</v>
      </c>
      <c r="X179" s="31">
        <v>0</v>
      </c>
      <c r="Y179" s="31">
        <v>0</v>
      </c>
      <c r="Z179" s="105"/>
      <c r="AA179" s="37">
        <v>0</v>
      </c>
      <c r="AB179" s="34">
        <v>0</v>
      </c>
      <c r="AC179" s="34">
        <v>0</v>
      </c>
      <c r="AD179" s="105"/>
      <c r="AE179" s="104"/>
      <c r="AF179" s="105"/>
      <c r="AG179" s="43">
        <f t="shared" si="49"/>
        <v>0</v>
      </c>
      <c r="AH179" s="44">
        <f t="shared" si="49"/>
        <v>0</v>
      </c>
      <c r="AI179" s="44">
        <f t="shared" si="49"/>
        <v>0</v>
      </c>
      <c r="AJ179" s="94">
        <f t="shared" si="48"/>
        <v>0</v>
      </c>
      <c r="AK179" s="140">
        <f t="shared" si="39"/>
        <v>0</v>
      </c>
      <c r="AL179" s="47">
        <v>0.75</v>
      </c>
      <c r="AM179" s="48">
        <f t="shared" si="46"/>
        <v>0</v>
      </c>
      <c r="AN179" s="48">
        <f t="shared" si="47"/>
        <v>0</v>
      </c>
      <c r="AO179" s="49">
        <f t="shared" si="45"/>
        <v>0</v>
      </c>
      <c r="AP179" s="49">
        <f>AJ179*AL179</f>
        <v>0</v>
      </c>
      <c r="AQ179" s="71"/>
      <c r="AR179" s="106"/>
      <c r="AS179" s="107"/>
      <c r="AT179" s="115"/>
      <c r="AU179" s="100"/>
      <c r="AV179" s="109"/>
      <c r="AW179" s="110"/>
      <c r="AX179" s="110"/>
      <c r="AY179" s="107"/>
      <c r="AZ179" s="116"/>
    </row>
    <row r="180" spans="1:52" s="246" customFormat="1" ht="16.5" thickBot="1" x14ac:dyDescent="0.3">
      <c r="A180" s="134">
        <v>600</v>
      </c>
      <c r="B180" s="134" t="s">
        <v>123</v>
      </c>
      <c r="C180" s="139">
        <v>922</v>
      </c>
      <c r="D180" s="26">
        <f t="shared" si="42"/>
        <v>307.33333333333331</v>
      </c>
      <c r="E180" s="27">
        <f t="shared" si="43"/>
        <v>307.33333333333331</v>
      </c>
      <c r="F180" s="29">
        <f t="shared" si="44"/>
        <v>307.33333333333331</v>
      </c>
      <c r="G180" s="30">
        <v>0</v>
      </c>
      <c r="H180" s="31">
        <v>0</v>
      </c>
      <c r="I180" s="32">
        <v>0</v>
      </c>
      <c r="J180" s="136"/>
      <c r="K180" s="33">
        <v>0</v>
      </c>
      <c r="L180" s="34">
        <v>0</v>
      </c>
      <c r="M180" s="34">
        <v>0</v>
      </c>
      <c r="N180" s="138"/>
      <c r="O180" s="34">
        <v>0</v>
      </c>
      <c r="P180" s="34">
        <v>0</v>
      </c>
      <c r="Q180" s="34">
        <v>0</v>
      </c>
      <c r="R180" s="138"/>
      <c r="S180" s="37">
        <v>0</v>
      </c>
      <c r="T180" s="34">
        <v>0</v>
      </c>
      <c r="U180" s="34">
        <v>0</v>
      </c>
      <c r="V180" s="138"/>
      <c r="W180" s="38">
        <v>0</v>
      </c>
      <c r="X180" s="31">
        <v>0</v>
      </c>
      <c r="Y180" s="31">
        <v>0</v>
      </c>
      <c r="Z180" s="105"/>
      <c r="AA180" s="37">
        <v>0</v>
      </c>
      <c r="AB180" s="34">
        <v>0</v>
      </c>
      <c r="AC180" s="34">
        <v>0</v>
      </c>
      <c r="AD180" s="105"/>
      <c r="AE180" s="104"/>
      <c r="AF180" s="105"/>
      <c r="AG180" s="43">
        <f t="shared" si="49"/>
        <v>0</v>
      </c>
      <c r="AH180" s="44">
        <f t="shared" si="49"/>
        <v>0</v>
      </c>
      <c r="AI180" s="44">
        <f t="shared" si="49"/>
        <v>0</v>
      </c>
      <c r="AJ180" s="94">
        <f t="shared" si="48"/>
        <v>0</v>
      </c>
      <c r="AK180" s="140">
        <f t="shared" si="39"/>
        <v>0</v>
      </c>
      <c r="AL180" s="47">
        <v>0.75</v>
      </c>
      <c r="AM180" s="48">
        <f t="shared" si="46"/>
        <v>0</v>
      </c>
      <c r="AN180" s="48">
        <f t="shared" si="47"/>
        <v>0</v>
      </c>
      <c r="AO180" s="49">
        <f t="shared" si="45"/>
        <v>0</v>
      </c>
      <c r="AP180" s="49"/>
      <c r="AQ180" s="71"/>
      <c r="AR180" s="106"/>
      <c r="AS180" s="107"/>
      <c r="AT180" s="115"/>
      <c r="AU180" s="100"/>
      <c r="AV180" s="109"/>
      <c r="AW180" s="110"/>
      <c r="AX180" s="110"/>
      <c r="AY180" s="107"/>
      <c r="AZ180" s="116"/>
    </row>
    <row r="181" spans="1:52" s="246" customFormat="1" ht="16.5" thickBot="1" x14ac:dyDescent="0.3">
      <c r="A181" s="134">
        <v>625</v>
      </c>
      <c r="B181" s="134" t="s">
        <v>128</v>
      </c>
      <c r="C181" s="139">
        <v>220</v>
      </c>
      <c r="D181" s="26">
        <f t="shared" si="42"/>
        <v>73.333333333333329</v>
      </c>
      <c r="E181" s="27">
        <f t="shared" si="43"/>
        <v>73.333333333333329</v>
      </c>
      <c r="F181" s="29">
        <f t="shared" si="44"/>
        <v>73.333333333333329</v>
      </c>
      <c r="G181" s="30">
        <v>0</v>
      </c>
      <c r="H181" s="31">
        <v>0</v>
      </c>
      <c r="I181" s="32">
        <v>0</v>
      </c>
      <c r="J181" s="136"/>
      <c r="K181" s="33">
        <v>0</v>
      </c>
      <c r="L181" s="34">
        <v>0</v>
      </c>
      <c r="M181" s="34">
        <v>0</v>
      </c>
      <c r="N181" s="138"/>
      <c r="O181" s="34">
        <v>0</v>
      </c>
      <c r="P181" s="34">
        <v>0</v>
      </c>
      <c r="Q181" s="34">
        <v>0</v>
      </c>
      <c r="R181" s="138"/>
      <c r="S181" s="37">
        <v>0</v>
      </c>
      <c r="T181" s="34">
        <v>0</v>
      </c>
      <c r="U181" s="34">
        <v>0</v>
      </c>
      <c r="V181" s="138"/>
      <c r="W181" s="38">
        <v>0</v>
      </c>
      <c r="X181" s="31">
        <v>0</v>
      </c>
      <c r="Y181" s="31">
        <v>0</v>
      </c>
      <c r="Z181" s="105"/>
      <c r="AA181" s="37">
        <v>0</v>
      </c>
      <c r="AB181" s="34">
        <v>0</v>
      </c>
      <c r="AC181" s="34">
        <v>0</v>
      </c>
      <c r="AD181" s="105"/>
      <c r="AE181" s="104"/>
      <c r="AF181" s="105"/>
      <c r="AG181" s="43">
        <f t="shared" si="49"/>
        <v>0</v>
      </c>
      <c r="AH181" s="44">
        <f t="shared" si="49"/>
        <v>0</v>
      </c>
      <c r="AI181" s="44">
        <f t="shared" si="49"/>
        <v>0</v>
      </c>
      <c r="AJ181" s="94"/>
      <c r="AK181" s="140">
        <f t="shared" si="39"/>
        <v>0</v>
      </c>
      <c r="AL181" s="47">
        <v>0.75</v>
      </c>
      <c r="AM181" s="48">
        <f t="shared" si="46"/>
        <v>0</v>
      </c>
      <c r="AN181" s="48">
        <f t="shared" si="47"/>
        <v>0</v>
      </c>
      <c r="AO181" s="49">
        <f t="shared" si="45"/>
        <v>0</v>
      </c>
      <c r="AP181" s="49"/>
      <c r="AQ181" s="71"/>
      <c r="AR181" s="106"/>
      <c r="AS181" s="107"/>
      <c r="AT181" s="115"/>
      <c r="AU181" s="100"/>
      <c r="AV181" s="109"/>
      <c r="AW181" s="110"/>
      <c r="AX181" s="110"/>
      <c r="AY181" s="107"/>
      <c r="AZ181" s="116"/>
    </row>
    <row r="182" spans="1:52" s="246" customFormat="1" ht="16.5" thickBot="1" x14ac:dyDescent="0.3">
      <c r="A182" s="134">
        <v>625</v>
      </c>
      <c r="B182" s="134" t="s">
        <v>127</v>
      </c>
      <c r="C182" s="139">
        <v>660</v>
      </c>
      <c r="D182" s="26">
        <f t="shared" si="42"/>
        <v>220</v>
      </c>
      <c r="E182" s="27">
        <f t="shared" si="43"/>
        <v>220</v>
      </c>
      <c r="F182" s="29">
        <f t="shared" si="44"/>
        <v>220</v>
      </c>
      <c r="G182" s="30">
        <v>0</v>
      </c>
      <c r="H182" s="31">
        <v>0</v>
      </c>
      <c r="I182" s="32">
        <v>0</v>
      </c>
      <c r="J182" s="136"/>
      <c r="K182" s="33">
        <v>0</v>
      </c>
      <c r="L182" s="34">
        <v>0</v>
      </c>
      <c r="M182" s="34">
        <v>0</v>
      </c>
      <c r="N182" s="138"/>
      <c r="O182" s="34">
        <v>0</v>
      </c>
      <c r="P182" s="34">
        <v>0</v>
      </c>
      <c r="Q182" s="34">
        <v>0</v>
      </c>
      <c r="R182" s="138"/>
      <c r="S182" s="37">
        <v>0</v>
      </c>
      <c r="T182" s="34">
        <v>0</v>
      </c>
      <c r="U182" s="34">
        <v>0</v>
      </c>
      <c r="V182" s="138"/>
      <c r="W182" s="38">
        <v>0</v>
      </c>
      <c r="X182" s="31">
        <v>0</v>
      </c>
      <c r="Y182" s="31">
        <v>0</v>
      </c>
      <c r="Z182" s="105"/>
      <c r="AA182" s="37">
        <v>0</v>
      </c>
      <c r="AB182" s="34">
        <v>0</v>
      </c>
      <c r="AC182" s="34">
        <v>0</v>
      </c>
      <c r="AD182" s="105"/>
      <c r="AE182" s="104"/>
      <c r="AF182" s="105"/>
      <c r="AG182" s="43">
        <f t="shared" si="49"/>
        <v>0</v>
      </c>
      <c r="AH182" s="44">
        <f t="shared" si="49"/>
        <v>0</v>
      </c>
      <c r="AI182" s="44">
        <f t="shared" si="49"/>
        <v>0</v>
      </c>
      <c r="AJ182" s="94">
        <f t="shared" si="48"/>
        <v>0</v>
      </c>
      <c r="AK182" s="140">
        <f t="shared" si="39"/>
        <v>0</v>
      </c>
      <c r="AL182" s="47">
        <v>0.75</v>
      </c>
      <c r="AM182" s="48">
        <f t="shared" si="46"/>
        <v>0</v>
      </c>
      <c r="AN182" s="48">
        <f t="shared" si="47"/>
        <v>0</v>
      </c>
      <c r="AO182" s="49">
        <f t="shared" si="45"/>
        <v>0</v>
      </c>
      <c r="AP182" s="49">
        <f t="shared" si="40"/>
        <v>0</v>
      </c>
      <c r="AQ182" s="71"/>
      <c r="AR182" s="106"/>
      <c r="AS182" s="107"/>
      <c r="AT182" s="115"/>
      <c r="AU182" s="100"/>
      <c r="AV182" s="109"/>
      <c r="AW182" s="110"/>
      <c r="AX182" s="110"/>
      <c r="AY182" s="107"/>
      <c r="AZ182" s="116"/>
    </row>
    <row r="183" spans="1:52" s="246" customFormat="1" ht="16.5" thickBot="1" x14ac:dyDescent="0.3">
      <c r="A183" s="134">
        <v>625</v>
      </c>
      <c r="B183" s="134" t="s">
        <v>130</v>
      </c>
      <c r="C183" s="139">
        <v>440</v>
      </c>
      <c r="D183" s="26">
        <f t="shared" si="42"/>
        <v>146.66666666666666</v>
      </c>
      <c r="E183" s="27">
        <f t="shared" si="43"/>
        <v>146.66666666666666</v>
      </c>
      <c r="F183" s="29">
        <f t="shared" si="44"/>
        <v>146.66666666666666</v>
      </c>
      <c r="G183" s="30">
        <v>0</v>
      </c>
      <c r="H183" s="31">
        <v>0</v>
      </c>
      <c r="I183" s="32">
        <v>0</v>
      </c>
      <c r="J183" s="136"/>
      <c r="K183" s="33">
        <v>0</v>
      </c>
      <c r="L183" s="34">
        <v>0</v>
      </c>
      <c r="M183" s="34">
        <v>0</v>
      </c>
      <c r="N183" s="138"/>
      <c r="O183" s="34">
        <v>0</v>
      </c>
      <c r="P183" s="34">
        <v>0</v>
      </c>
      <c r="Q183" s="34">
        <v>0</v>
      </c>
      <c r="R183" s="138"/>
      <c r="S183" s="37">
        <v>0</v>
      </c>
      <c r="T183" s="34">
        <v>0</v>
      </c>
      <c r="U183" s="34">
        <v>0</v>
      </c>
      <c r="V183" s="138"/>
      <c r="W183" s="38">
        <v>0</v>
      </c>
      <c r="X183" s="31">
        <v>0</v>
      </c>
      <c r="Y183" s="31">
        <v>0</v>
      </c>
      <c r="Z183" s="105"/>
      <c r="AA183" s="37">
        <v>0</v>
      </c>
      <c r="AB183" s="34">
        <v>0</v>
      </c>
      <c r="AC183" s="34">
        <v>0</v>
      </c>
      <c r="AD183" s="105"/>
      <c r="AE183" s="104"/>
      <c r="AF183" s="105"/>
      <c r="AG183" s="43">
        <f t="shared" si="49"/>
        <v>0</v>
      </c>
      <c r="AH183" s="44">
        <f t="shared" si="49"/>
        <v>0</v>
      </c>
      <c r="AI183" s="44">
        <f t="shared" si="49"/>
        <v>0</v>
      </c>
      <c r="AJ183" s="94">
        <f>J183+N183+R183+V183+Z183+AD183</f>
        <v>0</v>
      </c>
      <c r="AK183" s="140">
        <f t="shared" si="39"/>
        <v>0</v>
      </c>
      <c r="AL183" s="47">
        <v>0.75</v>
      </c>
      <c r="AM183" s="48">
        <f t="shared" si="46"/>
        <v>0</v>
      </c>
      <c r="AN183" s="48">
        <f t="shared" si="47"/>
        <v>0</v>
      </c>
      <c r="AO183" s="49">
        <f t="shared" si="45"/>
        <v>0</v>
      </c>
      <c r="AP183" s="49">
        <f t="shared" si="40"/>
        <v>0</v>
      </c>
      <c r="AQ183" s="71"/>
      <c r="AR183" s="106"/>
      <c r="AS183" s="107"/>
      <c r="AT183" s="115"/>
      <c r="AU183" s="100"/>
      <c r="AV183" s="109"/>
      <c r="AW183" s="110"/>
      <c r="AX183" s="110"/>
      <c r="AY183" s="107"/>
      <c r="AZ183" s="116"/>
    </row>
    <row r="184" spans="1:52" s="246" customFormat="1" ht="16.5" thickBot="1" x14ac:dyDescent="0.3">
      <c r="A184" s="134">
        <v>625</v>
      </c>
      <c r="B184" s="134" t="s">
        <v>131</v>
      </c>
      <c r="C184" s="139">
        <v>220</v>
      </c>
      <c r="D184" s="26">
        <f t="shared" si="42"/>
        <v>73.333333333333329</v>
      </c>
      <c r="E184" s="27">
        <f t="shared" si="43"/>
        <v>73.333333333333329</v>
      </c>
      <c r="F184" s="29">
        <f t="shared" si="44"/>
        <v>73.333333333333329</v>
      </c>
      <c r="G184" s="30">
        <v>0</v>
      </c>
      <c r="H184" s="31">
        <v>0</v>
      </c>
      <c r="I184" s="32">
        <v>0</v>
      </c>
      <c r="J184" s="136"/>
      <c r="K184" s="33">
        <v>0</v>
      </c>
      <c r="L184" s="34">
        <v>0</v>
      </c>
      <c r="M184" s="34">
        <v>0</v>
      </c>
      <c r="N184" s="138"/>
      <c r="O184" s="34">
        <v>0</v>
      </c>
      <c r="P184" s="34">
        <v>0</v>
      </c>
      <c r="Q184" s="34">
        <v>0</v>
      </c>
      <c r="R184" s="138"/>
      <c r="S184" s="37">
        <v>0</v>
      </c>
      <c r="T184" s="34">
        <v>0</v>
      </c>
      <c r="U184" s="34">
        <v>0</v>
      </c>
      <c r="V184" s="138"/>
      <c r="W184" s="38">
        <v>0</v>
      </c>
      <c r="X184" s="31">
        <v>0</v>
      </c>
      <c r="Y184" s="31">
        <v>0</v>
      </c>
      <c r="Z184" s="105"/>
      <c r="AA184" s="37">
        <v>0</v>
      </c>
      <c r="AB184" s="34">
        <v>0</v>
      </c>
      <c r="AC184" s="34">
        <v>0</v>
      </c>
      <c r="AD184" s="105"/>
      <c r="AE184" s="104"/>
      <c r="AF184" s="105"/>
      <c r="AG184" s="43">
        <f t="shared" si="49"/>
        <v>0</v>
      </c>
      <c r="AH184" s="44">
        <f t="shared" si="49"/>
        <v>0</v>
      </c>
      <c r="AI184" s="44">
        <f t="shared" si="49"/>
        <v>0</v>
      </c>
      <c r="AJ184" s="94"/>
      <c r="AK184" s="140">
        <f t="shared" si="39"/>
        <v>0</v>
      </c>
      <c r="AL184" s="47">
        <v>0.75</v>
      </c>
      <c r="AM184" s="48">
        <f t="shared" si="46"/>
        <v>0</v>
      </c>
      <c r="AN184" s="48">
        <f t="shared" si="47"/>
        <v>0</v>
      </c>
      <c r="AO184" s="49">
        <f t="shared" si="45"/>
        <v>0</v>
      </c>
      <c r="AP184" s="49"/>
      <c r="AQ184" s="71"/>
      <c r="AR184" s="106"/>
      <c r="AS184" s="107"/>
      <c r="AT184" s="115"/>
      <c r="AU184" s="100"/>
      <c r="AV184" s="109"/>
      <c r="AW184" s="110"/>
      <c r="AX184" s="110"/>
      <c r="AY184" s="107"/>
      <c r="AZ184" s="116"/>
    </row>
    <row r="185" spans="1:52" s="246" customFormat="1" ht="16.5" thickBot="1" x14ac:dyDescent="0.3">
      <c r="A185" s="134"/>
      <c r="B185" s="134" t="s">
        <v>132</v>
      </c>
      <c r="C185" s="139"/>
      <c r="D185" s="141"/>
      <c r="E185" s="142"/>
      <c r="F185" s="143"/>
      <c r="G185" s="144">
        <v>1</v>
      </c>
      <c r="H185" s="145">
        <v>0</v>
      </c>
      <c r="I185" s="146">
        <v>0</v>
      </c>
      <c r="J185" s="136"/>
      <c r="K185" s="144">
        <v>4</v>
      </c>
      <c r="L185" s="34">
        <v>0</v>
      </c>
      <c r="M185" s="34">
        <v>0</v>
      </c>
      <c r="N185" s="138"/>
      <c r="O185" s="34">
        <v>3</v>
      </c>
      <c r="P185" s="34">
        <v>0</v>
      </c>
      <c r="Q185" s="34">
        <v>0</v>
      </c>
      <c r="R185" s="138"/>
      <c r="S185" s="37">
        <v>0</v>
      </c>
      <c r="T185" s="34">
        <v>0</v>
      </c>
      <c r="U185" s="34">
        <v>0</v>
      </c>
      <c r="V185" s="138"/>
      <c r="W185" s="38">
        <v>8</v>
      </c>
      <c r="X185" s="31">
        <v>0</v>
      </c>
      <c r="Y185" s="31">
        <v>0</v>
      </c>
      <c r="Z185" s="105"/>
      <c r="AA185" s="37">
        <v>7</v>
      </c>
      <c r="AB185" s="145">
        <v>0</v>
      </c>
      <c r="AC185" s="145">
        <v>1</v>
      </c>
      <c r="AD185" s="105"/>
      <c r="AE185" s="104"/>
      <c r="AF185" s="105"/>
      <c r="AG185" s="43">
        <f>G185+K185+O185+S185+W185+AA185</f>
        <v>23</v>
      </c>
      <c r="AH185" s="44">
        <f>H185+L185+P185+T185+X185+AB185</f>
        <v>0</v>
      </c>
      <c r="AI185" s="44">
        <f>I185+M185+Q185+U185+Y185+AC185</f>
        <v>1</v>
      </c>
      <c r="AJ185" s="94"/>
      <c r="AK185" s="140">
        <f t="shared" si="39"/>
        <v>24</v>
      </c>
      <c r="AL185" s="47">
        <v>0.25</v>
      </c>
      <c r="AM185" s="48">
        <f t="shared" si="46"/>
        <v>5.75</v>
      </c>
      <c r="AN185" s="48">
        <f t="shared" si="47"/>
        <v>0</v>
      </c>
      <c r="AO185" s="49">
        <f t="shared" si="45"/>
        <v>0.25</v>
      </c>
      <c r="AP185" s="49"/>
      <c r="AQ185" s="71"/>
      <c r="AR185" s="106"/>
      <c r="AS185" s="107"/>
      <c r="AT185" s="115"/>
      <c r="AU185" s="100"/>
      <c r="AV185" s="109"/>
      <c r="AW185" s="110"/>
      <c r="AX185" s="110"/>
      <c r="AY185" s="107"/>
      <c r="AZ185" s="116"/>
    </row>
    <row r="186" spans="1:52" ht="16.5" thickBot="1" x14ac:dyDescent="0.3">
      <c r="A186" s="147"/>
      <c r="B186" s="147" t="s">
        <v>133</v>
      </c>
      <c r="C186" s="148"/>
      <c r="D186" s="148"/>
      <c r="E186" s="148"/>
      <c r="F186" s="149"/>
      <c r="G186" s="150">
        <f>SUM(G3:G185)</f>
        <v>259</v>
      </c>
      <c r="H186" s="151">
        <f>SUM(H3:H185)</f>
        <v>290</v>
      </c>
      <c r="I186" s="152">
        <f>SUM(I3:I185)</f>
        <v>498</v>
      </c>
      <c r="J186" s="152"/>
      <c r="K186" s="150">
        <f>SUM(K3:K185)</f>
        <v>225</v>
      </c>
      <c r="L186" s="34">
        <f>SUM(L3:L185)</f>
        <v>270</v>
      </c>
      <c r="M186" s="34">
        <f>SUM(M3:M185)</f>
        <v>280</v>
      </c>
      <c r="N186" s="153"/>
      <c r="O186" s="34">
        <f>SUM(O3:O185)</f>
        <v>276</v>
      </c>
      <c r="P186" s="34">
        <f>SUM(P3:P185)</f>
        <v>163</v>
      </c>
      <c r="Q186" s="34">
        <f>SUM(Q3:Q185)</f>
        <v>270</v>
      </c>
      <c r="R186" s="153"/>
      <c r="S186" s="37">
        <f>SUM(S3:S185)</f>
        <v>296</v>
      </c>
      <c r="T186" s="34">
        <f>SUM(T3:T185)</f>
        <v>442</v>
      </c>
      <c r="U186" s="34">
        <f>SUM(U3:U185)</f>
        <v>216</v>
      </c>
      <c r="V186" s="153"/>
      <c r="W186" s="38">
        <f>SUM(W3:W185)</f>
        <v>261</v>
      </c>
      <c r="X186" s="31">
        <f>SUM(X3:X185)</f>
        <v>304</v>
      </c>
      <c r="Y186" s="31">
        <f>SUM(Y3:Y185)</f>
        <v>260</v>
      </c>
      <c r="Z186" s="153"/>
      <c r="AA186" s="37">
        <f>SUM(AA3:AA185)</f>
        <v>220</v>
      </c>
      <c r="AB186" s="151">
        <f>SUM(AB3:AB185)</f>
        <v>293</v>
      </c>
      <c r="AC186" s="151">
        <f>SUM(AC3:AC185)</f>
        <v>405</v>
      </c>
      <c r="AD186" s="154"/>
      <c r="AE186" s="155"/>
      <c r="AF186" s="154"/>
      <c r="AG186" s="43">
        <f>SUM(AG3:AG184)</f>
        <v>1513</v>
      </c>
      <c r="AH186" s="44">
        <f>SUM(AH3:AH184)</f>
        <v>1762</v>
      </c>
      <c r="AI186" s="44">
        <f>SUM(AI3:AI184)</f>
        <v>1928</v>
      </c>
      <c r="AJ186" s="44">
        <f>SUM(AJ3:AJ183)</f>
        <v>0</v>
      </c>
      <c r="AK186" s="156">
        <f>SUM(AK4:AK183)</f>
        <v>5203</v>
      </c>
      <c r="AL186" s="47"/>
      <c r="AM186" s="48">
        <f>SUM(AM3:AM184)</f>
        <v>1366.8</v>
      </c>
      <c r="AN186" s="48">
        <f>SUM(AN3:AN184)</f>
        <v>1649.6000000000001</v>
      </c>
      <c r="AO186" s="49">
        <f>SUM(AO3:AO184)</f>
        <v>1825.35</v>
      </c>
      <c r="AP186" s="49">
        <f>AJ186*AL186</f>
        <v>0</v>
      </c>
      <c r="AQ186" s="71">
        <f>SUM(AQ3:AQ163)</f>
        <v>229920</v>
      </c>
      <c r="AR186" s="157"/>
      <c r="AS186" s="158"/>
      <c r="AT186" s="159">
        <v>21225.76500000001</v>
      </c>
      <c r="AU186" s="84">
        <f>SUM(AU3:AU133)</f>
        <v>2277.15</v>
      </c>
      <c r="AV186" s="160"/>
      <c r="AW186" s="161">
        <v>2700</v>
      </c>
      <c r="AX186" s="161">
        <v>1500</v>
      </c>
      <c r="AY186" s="161"/>
      <c r="AZ186" s="162">
        <f>SUM(AZ3:AZ109)</f>
        <v>8034.3100000000013</v>
      </c>
    </row>
    <row r="187" spans="1:52" ht="15.75" x14ac:dyDescent="0.25">
      <c r="C187" s="245" t="s">
        <v>134</v>
      </c>
      <c r="F187" s="163" t="s">
        <v>135</v>
      </c>
      <c r="G187" s="164"/>
      <c r="H187" s="165"/>
      <c r="I187" s="166"/>
      <c r="J187" s="166"/>
      <c r="K187" s="164"/>
      <c r="L187" s="165"/>
      <c r="M187" s="34"/>
      <c r="N187" s="167"/>
      <c r="O187" s="168"/>
      <c r="P187" s="34"/>
      <c r="Q187" s="165"/>
      <c r="R187" s="167"/>
      <c r="S187" s="168"/>
      <c r="T187" s="165"/>
      <c r="U187" s="165"/>
      <c r="V187" s="167"/>
      <c r="W187" s="168"/>
      <c r="X187" s="165"/>
      <c r="Y187" s="165"/>
      <c r="Z187" s="167"/>
      <c r="AA187" s="168"/>
      <c r="AB187" s="165"/>
      <c r="AC187" s="165"/>
      <c r="AD187" s="40"/>
      <c r="AE187" s="169"/>
      <c r="AF187" s="169"/>
      <c r="AG187" s="170"/>
      <c r="AH187" s="170"/>
      <c r="AI187" s="170"/>
      <c r="AJ187" s="170"/>
      <c r="AK187" s="171"/>
      <c r="AL187" s="172"/>
      <c r="AM187" s="172"/>
      <c r="AN187" s="172"/>
      <c r="AO187" s="72"/>
      <c r="AP187" s="49"/>
      <c r="AQ187" s="173"/>
      <c r="AR187" s="172"/>
      <c r="AS187" s="174"/>
      <c r="AT187" s="173"/>
      <c r="AU187" s="173" t="s">
        <v>136</v>
      </c>
      <c r="AV187" s="173"/>
      <c r="AW187" s="173"/>
      <c r="AX187" s="173"/>
    </row>
    <row r="188" spans="1:52" ht="16.5" thickBot="1" x14ac:dyDescent="0.3">
      <c r="F188" s="175" t="s">
        <v>137</v>
      </c>
      <c r="G188" s="176"/>
      <c r="H188" s="177"/>
      <c r="I188" s="178"/>
      <c r="J188" s="178"/>
      <c r="K188" s="176"/>
      <c r="L188" s="177"/>
      <c r="M188" s="34"/>
      <c r="N188" s="179"/>
      <c r="O188" s="180"/>
      <c r="P188" s="34"/>
      <c r="Q188" s="177"/>
      <c r="R188" s="179"/>
      <c r="S188" s="180"/>
      <c r="T188" s="177"/>
      <c r="U188" s="177"/>
      <c r="V188" s="179"/>
      <c r="W188" s="180"/>
      <c r="X188" s="177"/>
      <c r="Y188" s="177"/>
      <c r="Z188" s="179"/>
      <c r="AA188" s="180"/>
      <c r="AB188" s="177"/>
      <c r="AC188" s="177"/>
      <c r="AD188" s="154"/>
      <c r="AE188" s="181"/>
      <c r="AJ188" s="170"/>
      <c r="AK188" s="171"/>
      <c r="AN188" s="50"/>
      <c r="AO188" s="182"/>
      <c r="AP188" s="49"/>
      <c r="AS188" s="171"/>
      <c r="AX188" s="183">
        <f>AZ186-AW186-AX186</f>
        <v>3834.3100000000013</v>
      </c>
    </row>
    <row r="189" spans="1:52" ht="15.75" thickBot="1" x14ac:dyDescent="0.3">
      <c r="F189" s="184"/>
      <c r="G189" s="185">
        <f t="shared" ref="G189:AD189" si="50">G187/50</f>
        <v>0</v>
      </c>
      <c r="H189" s="185">
        <f t="shared" si="50"/>
        <v>0</v>
      </c>
      <c r="I189" s="248">
        <f t="shared" si="50"/>
        <v>0</v>
      </c>
      <c r="J189" s="185">
        <f t="shared" si="50"/>
        <v>0</v>
      </c>
      <c r="K189" s="185">
        <f>K187/50</f>
        <v>0</v>
      </c>
      <c r="L189" s="185">
        <f>L187/50</f>
        <v>0</v>
      </c>
      <c r="M189" s="185">
        <f t="shared" si="50"/>
        <v>0</v>
      </c>
      <c r="N189" s="185">
        <f t="shared" si="50"/>
        <v>0</v>
      </c>
      <c r="O189" s="185">
        <f>O187/50</f>
        <v>0</v>
      </c>
      <c r="P189" s="185">
        <f t="shared" si="50"/>
        <v>0</v>
      </c>
      <c r="Q189" s="185">
        <f t="shared" si="50"/>
        <v>0</v>
      </c>
      <c r="R189" s="185">
        <f t="shared" si="50"/>
        <v>0</v>
      </c>
      <c r="S189" s="185">
        <f>S187/50</f>
        <v>0</v>
      </c>
      <c r="T189" s="185">
        <f t="shared" si="50"/>
        <v>0</v>
      </c>
      <c r="U189" s="185">
        <f t="shared" si="50"/>
        <v>0</v>
      </c>
      <c r="V189" s="185">
        <f t="shared" si="50"/>
        <v>0</v>
      </c>
      <c r="W189" s="185">
        <f>W187/50</f>
        <v>0</v>
      </c>
      <c r="X189" s="185">
        <f t="shared" si="50"/>
        <v>0</v>
      </c>
      <c r="Y189" s="185">
        <f t="shared" si="50"/>
        <v>0</v>
      </c>
      <c r="Z189" s="185">
        <f t="shared" si="50"/>
        <v>0</v>
      </c>
      <c r="AA189" s="185">
        <f>AA187/50</f>
        <v>0</v>
      </c>
      <c r="AB189" s="185">
        <f t="shared" si="50"/>
        <v>0</v>
      </c>
      <c r="AC189" s="185">
        <f t="shared" si="50"/>
        <v>0</v>
      </c>
      <c r="AD189" s="185">
        <f t="shared" si="50"/>
        <v>0</v>
      </c>
      <c r="AJ189" s="170"/>
      <c r="AK189" s="171"/>
      <c r="AN189" s="187" t="s">
        <v>138</v>
      </c>
      <c r="AO189" s="182" t="s">
        <v>139</v>
      </c>
      <c r="AP189" s="188" t="s">
        <v>140</v>
      </c>
      <c r="AQ189" s="189" t="s">
        <v>134</v>
      </c>
      <c r="AR189" s="189" t="s">
        <v>141</v>
      </c>
      <c r="AS189" s="190" t="s">
        <v>142</v>
      </c>
    </row>
    <row r="190" spans="1:52" ht="15.75" thickBot="1" x14ac:dyDescent="0.3">
      <c r="F190" s="191"/>
      <c r="G190" s="191">
        <f t="shared" ref="G190:AD190" si="51">G188+G189</f>
        <v>0</v>
      </c>
      <c r="H190" s="192">
        <f t="shared" si="51"/>
        <v>0</v>
      </c>
      <c r="I190" s="249">
        <f t="shared" si="51"/>
        <v>0</v>
      </c>
      <c r="J190" s="192">
        <f t="shared" si="51"/>
        <v>0</v>
      </c>
      <c r="K190" s="194">
        <f t="shared" si="51"/>
        <v>0</v>
      </c>
      <c r="L190" s="148">
        <f t="shared" si="51"/>
        <v>0</v>
      </c>
      <c r="M190" s="243">
        <f>M188+M189</f>
        <v>0</v>
      </c>
      <c r="N190" s="148">
        <f t="shared" si="51"/>
        <v>0</v>
      </c>
      <c r="O190" s="155"/>
      <c r="P190" s="148">
        <f t="shared" si="51"/>
        <v>0</v>
      </c>
      <c r="Q190" s="195">
        <f t="shared" si="51"/>
        <v>0</v>
      </c>
      <c r="R190" s="148">
        <f t="shared" si="51"/>
        <v>0</v>
      </c>
      <c r="S190" s="155">
        <f>S188+S189</f>
        <v>0</v>
      </c>
      <c r="T190" s="148">
        <f t="shared" si="51"/>
        <v>0</v>
      </c>
      <c r="U190" s="195">
        <f t="shared" si="51"/>
        <v>0</v>
      </c>
      <c r="V190" s="148">
        <f t="shared" si="51"/>
        <v>0</v>
      </c>
      <c r="W190" s="155">
        <f>W188+W189</f>
        <v>0</v>
      </c>
      <c r="X190" s="148">
        <f t="shared" si="51"/>
        <v>0</v>
      </c>
      <c r="Y190" s="195">
        <f t="shared" si="51"/>
        <v>0</v>
      </c>
      <c r="Z190" s="148">
        <f t="shared" si="51"/>
        <v>0</v>
      </c>
      <c r="AA190" s="155">
        <f>AA188+AA189</f>
        <v>0</v>
      </c>
      <c r="AB190" s="148">
        <f t="shared" si="51"/>
        <v>0</v>
      </c>
      <c r="AC190" s="195">
        <f t="shared" si="51"/>
        <v>0</v>
      </c>
      <c r="AD190" s="148">
        <f t="shared" si="51"/>
        <v>0</v>
      </c>
      <c r="AG190" s="253" t="s">
        <v>143</v>
      </c>
      <c r="AH190" s="253"/>
      <c r="AI190" s="253"/>
      <c r="AJ190" s="196"/>
      <c r="AK190" s="171"/>
      <c r="AL190" s="197" t="s">
        <v>4</v>
      </c>
      <c r="AM190" s="133" t="s">
        <v>144</v>
      </c>
      <c r="AN190" s="198">
        <v>400</v>
      </c>
      <c r="AO190" s="72">
        <f>AM186*0.5</f>
        <v>683.4</v>
      </c>
      <c r="AP190" s="199">
        <f>AN190+AO190</f>
        <v>1083.4000000000001</v>
      </c>
      <c r="AQ190" s="86">
        <f>AG191*0.5</f>
        <v>0</v>
      </c>
      <c r="AR190" s="200">
        <f>AP190-AQ190</f>
        <v>1083.4000000000001</v>
      </c>
      <c r="AS190" s="44"/>
      <c r="AT190" s="86">
        <f>AR190-AS190</f>
        <v>1083.4000000000001</v>
      </c>
      <c r="AU190" s="201">
        <v>1080</v>
      </c>
    </row>
    <row r="191" spans="1:52" ht="15.75" thickBot="1" x14ac:dyDescent="0.3">
      <c r="B191" s="245" t="s">
        <v>145</v>
      </c>
      <c r="F191" s="202"/>
      <c r="G191" s="247">
        <f>G190*0.5</f>
        <v>0</v>
      </c>
      <c r="H191" s="247">
        <f t="shared" ref="H191:AC191" si="52">H190*0.5</f>
        <v>0</v>
      </c>
      <c r="I191" s="247">
        <f t="shared" si="52"/>
        <v>0</v>
      </c>
      <c r="J191" s="247">
        <f t="shared" si="52"/>
        <v>0</v>
      </c>
      <c r="K191" s="247">
        <f t="shared" si="52"/>
        <v>0</v>
      </c>
      <c r="L191" s="247">
        <f t="shared" si="52"/>
        <v>0</v>
      </c>
      <c r="M191" s="247">
        <f t="shared" si="52"/>
        <v>0</v>
      </c>
      <c r="N191" s="247">
        <f t="shared" si="52"/>
        <v>0</v>
      </c>
      <c r="O191" s="247">
        <f t="shared" si="52"/>
        <v>0</v>
      </c>
      <c r="P191" s="247">
        <f t="shared" si="52"/>
        <v>0</v>
      </c>
      <c r="Q191" s="247">
        <f t="shared" si="52"/>
        <v>0</v>
      </c>
      <c r="R191" s="247">
        <f t="shared" si="52"/>
        <v>0</v>
      </c>
      <c r="S191" s="247">
        <f t="shared" si="52"/>
        <v>0</v>
      </c>
      <c r="T191" s="247">
        <f t="shared" si="52"/>
        <v>0</v>
      </c>
      <c r="U191" s="247">
        <f t="shared" si="52"/>
        <v>0</v>
      </c>
      <c r="V191" s="247">
        <f t="shared" si="52"/>
        <v>0</v>
      </c>
      <c r="W191" s="247">
        <f t="shared" si="52"/>
        <v>0</v>
      </c>
      <c r="X191" s="247">
        <f t="shared" si="52"/>
        <v>0</v>
      </c>
      <c r="Y191" s="247">
        <f t="shared" si="52"/>
        <v>0</v>
      </c>
      <c r="Z191" s="247">
        <f t="shared" si="52"/>
        <v>0</v>
      </c>
      <c r="AA191" s="247">
        <f t="shared" si="52"/>
        <v>0</v>
      </c>
      <c r="AB191" s="247">
        <f t="shared" si="52"/>
        <v>0</v>
      </c>
      <c r="AC191" s="247">
        <f t="shared" si="52"/>
        <v>0</v>
      </c>
      <c r="AD191" s="204">
        <f>AD190*25</f>
        <v>0</v>
      </c>
      <c r="AG191" s="205">
        <f>G191+K191+O191+S191+W191+AA191</f>
        <v>0</v>
      </c>
      <c r="AH191" s="205">
        <f>H191+L191+P191+T191+X191+AB191</f>
        <v>0</v>
      </c>
      <c r="AI191" s="205">
        <f>I191+M191+Q191+U191+Y191+AC191</f>
        <v>0</v>
      </c>
      <c r="AJ191" s="205">
        <f>J191+N191+R191+V191+Z191+AD191</f>
        <v>0</v>
      </c>
      <c r="AK191" s="171"/>
      <c r="AL191" s="197" t="s">
        <v>189</v>
      </c>
      <c r="AM191" s="133" t="s">
        <v>146</v>
      </c>
      <c r="AN191" s="206">
        <v>400</v>
      </c>
      <c r="AO191" s="72">
        <f>AM186*0.5</f>
        <v>683.4</v>
      </c>
      <c r="AP191" s="199">
        <f>AN191+AO191</f>
        <v>1083.4000000000001</v>
      </c>
      <c r="AQ191" s="86">
        <f>AG191*0.5</f>
        <v>0</v>
      </c>
      <c r="AR191" s="200">
        <f>AP191-AQ191</f>
        <v>1083.4000000000001</v>
      </c>
      <c r="AS191" s="44"/>
      <c r="AT191" s="86">
        <f>AR191-AS191</f>
        <v>1083.4000000000001</v>
      </c>
      <c r="AU191" s="207">
        <v>1080</v>
      </c>
    </row>
    <row r="192" spans="1:52" ht="15.75" thickBot="1" x14ac:dyDescent="0.3">
      <c r="B192" s="245" t="s">
        <v>147</v>
      </c>
      <c r="C192" s="245">
        <v>110203550</v>
      </c>
      <c r="AF192" s="171"/>
      <c r="AG192" s="171"/>
      <c r="AH192" s="171"/>
      <c r="AI192" s="171"/>
      <c r="AJ192" s="171"/>
      <c r="AK192" s="171"/>
      <c r="AL192" s="197"/>
      <c r="AM192" s="133" t="s">
        <v>148</v>
      </c>
      <c r="AN192" s="208"/>
      <c r="AO192" s="72"/>
      <c r="AP192" s="199">
        <f>AN192+AO192</f>
        <v>0</v>
      </c>
      <c r="AQ192" s="86"/>
      <c r="AR192" s="200">
        <f t="shared" ref="AR192:AR197" si="53">AP192-AQ192</f>
        <v>0</v>
      </c>
      <c r="AS192" s="209"/>
      <c r="AT192" s="86">
        <f>AR192-AS192</f>
        <v>0</v>
      </c>
      <c r="AU192" s="201"/>
    </row>
    <row r="193" spans="1:49 16384:16384" ht="19.5" thickBot="1" x14ac:dyDescent="0.35">
      <c r="A193" s="246"/>
      <c r="B193" s="246" t="s">
        <v>149</v>
      </c>
      <c r="C193" s="246">
        <v>110203550</v>
      </c>
      <c r="D193" s="246"/>
      <c r="E193" s="246"/>
      <c r="F193" s="246"/>
      <c r="G193" s="246"/>
      <c r="H193" s="246"/>
      <c r="J193" s="246"/>
      <c r="K193" s="246"/>
      <c r="L193" s="246"/>
      <c r="M193" s="210"/>
      <c r="N193" s="210"/>
      <c r="O193" s="210"/>
      <c r="P193" s="210"/>
      <c r="Q193" s="210"/>
      <c r="R193" s="246"/>
      <c r="S193" s="246"/>
      <c r="T193" s="246"/>
      <c r="V193" s="246"/>
      <c r="W193" s="246"/>
      <c r="X193" s="246"/>
      <c r="AF193" s="171"/>
      <c r="AG193" s="254">
        <f>AG191+AH191+AI191</f>
        <v>0</v>
      </c>
      <c r="AH193" s="255"/>
      <c r="AI193" s="256"/>
      <c r="AJ193" s="50">
        <f>AG193/2</f>
        <v>0</v>
      </c>
      <c r="AK193" s="171"/>
      <c r="AO193" s="44"/>
      <c r="AQ193" s="133"/>
      <c r="AR193" s="200">
        <f t="shared" si="53"/>
        <v>0</v>
      </c>
      <c r="AS193" s="209"/>
      <c r="AT193" s="133"/>
      <c r="AU193" s="201"/>
    </row>
    <row r="194" spans="1:49 16384:16384" x14ac:dyDescent="0.25">
      <c r="B194" s="246" t="s">
        <v>150</v>
      </c>
      <c r="C194" s="245" t="s">
        <v>151</v>
      </c>
      <c r="F194" s="246"/>
      <c r="G194" s="246"/>
      <c r="H194" s="246"/>
      <c r="J194" s="246"/>
      <c r="K194" s="246"/>
      <c r="L194" s="246"/>
      <c r="N194" s="246"/>
      <c r="O194" s="246"/>
      <c r="P194" s="246"/>
      <c r="R194" s="246"/>
      <c r="S194" s="246"/>
      <c r="T194" s="246"/>
      <c r="V194" s="246"/>
      <c r="W194" s="246"/>
      <c r="X194" s="246"/>
      <c r="AF194" s="171"/>
      <c r="AG194" s="181"/>
      <c r="AH194" s="210"/>
      <c r="AI194" s="211"/>
      <c r="AJ194" s="212"/>
      <c r="AK194" s="213"/>
      <c r="AL194" s="197" t="s">
        <v>6</v>
      </c>
      <c r="AM194" s="79" t="s">
        <v>144</v>
      </c>
      <c r="AN194" s="198">
        <v>400</v>
      </c>
      <c r="AO194" s="72">
        <f>AN186*0.55</f>
        <v>907.2800000000002</v>
      </c>
      <c r="AP194" s="214">
        <f>AN194+AO194</f>
        <v>1307.2800000000002</v>
      </c>
      <c r="AQ194" s="86">
        <f>AH191*0.5</f>
        <v>0</v>
      </c>
      <c r="AR194" s="200">
        <f>AP194-AQ194</f>
        <v>1307.2800000000002</v>
      </c>
      <c r="AS194" s="215">
        <v>14</v>
      </c>
      <c r="AT194" s="86">
        <f>AR194-AS194</f>
        <v>1293.2800000000002</v>
      </c>
      <c r="AU194" s="207">
        <v>1295</v>
      </c>
      <c r="XFD194" s="245" t="s">
        <v>152</v>
      </c>
    </row>
    <row r="195" spans="1:49 16384:16384" x14ac:dyDescent="0.25">
      <c r="F195" s="246"/>
      <c r="G195" s="246"/>
      <c r="H195" s="246"/>
      <c r="J195" s="246"/>
      <c r="K195" s="246"/>
      <c r="L195" s="246"/>
      <c r="N195" s="246"/>
      <c r="O195" s="246"/>
      <c r="P195" s="246"/>
      <c r="R195" s="246"/>
      <c r="S195" s="246"/>
      <c r="T195" s="246"/>
      <c r="V195" s="246"/>
      <c r="W195" s="246"/>
      <c r="X195" s="246"/>
      <c r="AF195" s="171"/>
      <c r="AG195" s="181"/>
      <c r="AH195" s="210"/>
      <c r="AI195" s="216"/>
      <c r="AJ195" s="212"/>
      <c r="AK195" s="213"/>
      <c r="AL195" s="197"/>
      <c r="AM195" s="79" t="s">
        <v>186</v>
      </c>
      <c r="AN195" s="208">
        <v>0</v>
      </c>
      <c r="AO195" s="72"/>
      <c r="AP195" s="214">
        <f>AN195+AO195</f>
        <v>0</v>
      </c>
      <c r="AQ195" s="86"/>
      <c r="AR195" s="200">
        <f>AP195-AQ195</f>
        <v>0</v>
      </c>
      <c r="AS195" s="215"/>
      <c r="AT195" s="86">
        <f>AR195-AS195</f>
        <v>0</v>
      </c>
      <c r="AU195" s="207"/>
    </row>
    <row r="196" spans="1:49 16384:16384" x14ac:dyDescent="0.25">
      <c r="B196" s="245" t="s">
        <v>153</v>
      </c>
      <c r="F196" s="246"/>
      <c r="G196" s="246"/>
      <c r="H196" s="246"/>
      <c r="J196" s="246"/>
      <c r="K196" s="246"/>
      <c r="L196" s="246"/>
      <c r="N196" s="246"/>
      <c r="O196" s="246"/>
      <c r="P196" s="246"/>
      <c r="R196" s="246"/>
      <c r="S196" s="246"/>
      <c r="T196" s="246"/>
      <c r="V196" s="246"/>
      <c r="W196" s="246"/>
      <c r="X196" s="246"/>
      <c r="AF196" s="171"/>
      <c r="AG196" s="181"/>
      <c r="AH196" s="210"/>
      <c r="AI196" s="216"/>
      <c r="AJ196" s="212"/>
      <c r="AK196" s="213"/>
      <c r="AL196" s="197" t="s">
        <v>195</v>
      </c>
      <c r="AM196" s="93" t="s">
        <v>146</v>
      </c>
      <c r="AN196" s="206">
        <v>400</v>
      </c>
      <c r="AO196" s="72">
        <f>AN186*0.45</f>
        <v>742.32</v>
      </c>
      <c r="AP196" s="217">
        <f>AN196+AO196</f>
        <v>1142.3200000000002</v>
      </c>
      <c r="AQ196" s="86">
        <f>AH191*0.5</f>
        <v>0</v>
      </c>
      <c r="AR196" s="200">
        <f>AP196-AQ196</f>
        <v>1142.3200000000002</v>
      </c>
      <c r="AS196" s="215">
        <v>14</v>
      </c>
      <c r="AT196" s="86">
        <f>AR196-AS196</f>
        <v>1128.3200000000002</v>
      </c>
      <c r="AU196" s="201">
        <v>1125</v>
      </c>
    </row>
    <row r="197" spans="1:49 16384:16384" x14ac:dyDescent="0.25">
      <c r="X197" s="246"/>
      <c r="AB197" s="218"/>
      <c r="AC197" s="218"/>
      <c r="AD197" s="218"/>
      <c r="AF197" s="171"/>
      <c r="AG197" s="210"/>
      <c r="AH197" s="210"/>
      <c r="AI197" s="210"/>
      <c r="AJ197" s="210"/>
      <c r="AK197" s="210"/>
      <c r="AL197" s="133"/>
      <c r="AO197" s="219"/>
      <c r="AQ197" s="133"/>
      <c r="AR197" s="200">
        <f t="shared" si="53"/>
        <v>0</v>
      </c>
      <c r="AS197" s="209"/>
      <c r="AT197" s="133"/>
      <c r="AU197" s="201"/>
    </row>
    <row r="198" spans="1:49 16384:16384" x14ac:dyDescent="0.25">
      <c r="B198" s="245" t="s">
        <v>154</v>
      </c>
      <c r="X198" s="246"/>
      <c r="AF198" s="171"/>
      <c r="AG198" s="181"/>
      <c r="AH198" s="210"/>
      <c r="AI198" s="211"/>
      <c r="AJ198" s="212"/>
      <c r="AK198" s="213"/>
      <c r="AL198" s="197" t="s">
        <v>7</v>
      </c>
      <c r="AM198" s="79" t="s">
        <v>144</v>
      </c>
      <c r="AN198" s="198">
        <v>400</v>
      </c>
      <c r="AO198" s="72">
        <f>AO186*0.35</f>
        <v>638.87249999999995</v>
      </c>
      <c r="AP198" s="214">
        <f>AN198+AO198</f>
        <v>1038.8724999999999</v>
      </c>
      <c r="AQ198" s="86">
        <f>AI191*0.5</f>
        <v>0</v>
      </c>
      <c r="AR198" s="200">
        <f>AP198-AQ198</f>
        <v>1038.8724999999999</v>
      </c>
      <c r="AS198" s="220"/>
      <c r="AT198" s="86">
        <f>AR198-AS198</f>
        <v>1038.8724999999999</v>
      </c>
      <c r="AU198" s="201">
        <v>1040</v>
      </c>
    </row>
    <row r="199" spans="1:49 16384:16384" ht="15.75" thickBot="1" x14ac:dyDescent="0.3">
      <c r="B199" s="245" t="s">
        <v>155</v>
      </c>
      <c r="C199" s="245" t="s">
        <v>156</v>
      </c>
      <c r="X199" s="246"/>
      <c r="AI199" s="221">
        <f>25*AG193/15</f>
        <v>0</v>
      </c>
      <c r="AJ199" s="50"/>
      <c r="AK199" s="213"/>
      <c r="AL199" s="197" t="s">
        <v>157</v>
      </c>
      <c r="AM199" s="79" t="s">
        <v>146</v>
      </c>
      <c r="AN199" s="198">
        <v>400</v>
      </c>
      <c r="AO199" s="72">
        <f>AO186*0.33</f>
        <v>602.3655</v>
      </c>
      <c r="AP199" s="214">
        <f>AN199+AO199</f>
        <v>1002.3655</v>
      </c>
      <c r="AQ199" s="86">
        <f>AI191*0.5</f>
        <v>0</v>
      </c>
      <c r="AR199" s="200">
        <f>AP199-AQ199</f>
        <v>1002.3655</v>
      </c>
      <c r="AS199" s="44"/>
      <c r="AT199" s="86">
        <f>AR199-AS199</f>
        <v>1002.3655</v>
      </c>
      <c r="AU199" s="201">
        <v>1000</v>
      </c>
    </row>
    <row r="200" spans="1:49 16384:16384" ht="15.75" thickBot="1" x14ac:dyDescent="0.3">
      <c r="B200" s="245" t="s">
        <v>158</v>
      </c>
      <c r="X200" s="246"/>
      <c r="AG200" s="222" t="s">
        <v>13</v>
      </c>
      <c r="AH200" s="222" t="s">
        <v>14</v>
      </c>
      <c r="AI200" s="222" t="s">
        <v>15</v>
      </c>
      <c r="AK200" s="213"/>
      <c r="AL200" s="197" t="s">
        <v>159</v>
      </c>
      <c r="AM200" s="79" t="s">
        <v>148</v>
      </c>
      <c r="AN200" s="244">
        <v>400</v>
      </c>
      <c r="AO200" s="72">
        <f>AO186*0.32</f>
        <v>584.11199999999997</v>
      </c>
      <c r="AP200" s="214">
        <f>AN200+AO200</f>
        <v>984.11199999999997</v>
      </c>
      <c r="AQ200" s="86">
        <v>0</v>
      </c>
      <c r="AR200" s="223">
        <f>AP200-AQ200</f>
        <v>984.11199999999997</v>
      </c>
      <c r="AS200" s="44">
        <v>0</v>
      </c>
      <c r="AT200" s="86">
        <f>AR200-AS200</f>
        <v>984.11199999999997</v>
      </c>
      <c r="AU200" s="201">
        <v>985</v>
      </c>
    </row>
    <row r="201" spans="1:49 16384:16384" ht="15.75" thickBot="1" x14ac:dyDescent="0.3">
      <c r="A201" s="245" t="s">
        <v>160</v>
      </c>
      <c r="AG201" s="224">
        <f>AG191/23.5</f>
        <v>0</v>
      </c>
      <c r="AH201" s="225">
        <f>AH191/47</f>
        <v>0</v>
      </c>
      <c r="AI201" s="226">
        <f>AI191/23.5</f>
        <v>0</v>
      </c>
      <c r="AK201" s="212"/>
      <c r="AO201" s="227"/>
      <c r="AP201" s="50"/>
      <c r="AQ201" s="50"/>
      <c r="AR201" s="213"/>
      <c r="AS201" s="213"/>
      <c r="AT201" s="50"/>
      <c r="AU201" s="213">
        <f>SUM(AU190:AU200)</f>
        <v>7605</v>
      </c>
      <c r="AV201" s="210"/>
      <c r="AW201" s="213"/>
    </row>
    <row r="202" spans="1:49 16384:16384" x14ac:dyDescent="0.25">
      <c r="B202" s="245" t="s">
        <v>161</v>
      </c>
      <c r="AL202" s="181"/>
      <c r="AS202" s="212"/>
      <c r="AT202" s="212" t="s">
        <v>162</v>
      </c>
      <c r="AU202" s="228">
        <v>1200</v>
      </c>
    </row>
    <row r="203" spans="1:49 16384:16384" x14ac:dyDescent="0.25">
      <c r="B203" s="245" t="s">
        <v>163</v>
      </c>
      <c r="AG203" s="171"/>
      <c r="AJ203" s="210"/>
      <c r="AK203" s="216"/>
      <c r="AL203" s="216"/>
      <c r="AT203" s="245" t="s">
        <v>164</v>
      </c>
      <c r="AU203" s="210">
        <v>500</v>
      </c>
      <c r="AV203" s="242"/>
    </row>
    <row r="204" spans="1:49 16384:16384" x14ac:dyDescent="0.25">
      <c r="B204" s="245" t="s">
        <v>165</v>
      </c>
      <c r="AJ204" s="181"/>
      <c r="AK204" s="229"/>
      <c r="AL204" s="229"/>
      <c r="AT204" s="245" t="s">
        <v>166</v>
      </c>
      <c r="AU204" s="210">
        <v>100</v>
      </c>
      <c r="AV204" s="242"/>
    </row>
    <row r="205" spans="1:49 16384:16384" x14ac:dyDescent="0.25">
      <c r="C205" s="245">
        <v>100</v>
      </c>
      <c r="D205" s="245">
        <v>100</v>
      </c>
      <c r="AJ205" s="181"/>
      <c r="AK205" s="229"/>
      <c r="AL205" s="229"/>
      <c r="AR205" s="245" t="s">
        <v>136</v>
      </c>
      <c r="AT205" s="212" t="s">
        <v>167</v>
      </c>
      <c r="AU205" s="210">
        <v>200</v>
      </c>
    </row>
    <row r="206" spans="1:49 16384:16384" x14ac:dyDescent="0.25">
      <c r="A206" s="230" t="s">
        <v>168</v>
      </c>
      <c r="B206" s="230" t="s">
        <v>169</v>
      </c>
      <c r="C206" s="231">
        <v>44891</v>
      </c>
      <c r="D206" s="232">
        <v>44922</v>
      </c>
      <c r="AJ206" s="181"/>
      <c r="AK206" s="229"/>
      <c r="AL206" s="229"/>
      <c r="AR206" s="213"/>
      <c r="AU206" s="233">
        <f>SUM(AU201:AU205)</f>
        <v>9605</v>
      </c>
    </row>
    <row r="207" spans="1:49 16384:16384" x14ac:dyDescent="0.25">
      <c r="AG207" s="201" t="s">
        <v>170</v>
      </c>
      <c r="AH207" s="201" t="s">
        <v>171</v>
      </c>
      <c r="AU207" s="210"/>
    </row>
    <row r="208" spans="1:49 16384:16384" x14ac:dyDescent="0.25">
      <c r="B208" s="245" t="s">
        <v>172</v>
      </c>
      <c r="I208" s="245"/>
      <c r="J208" s="246"/>
      <c r="M208" s="245"/>
      <c r="N208" s="246"/>
      <c r="Q208" s="245"/>
      <c r="R208" s="246"/>
      <c r="U208" s="245"/>
      <c r="V208" s="246"/>
      <c r="Y208" s="245"/>
      <c r="Z208" s="246"/>
      <c r="AC208" s="245"/>
      <c r="AD208" s="246"/>
      <c r="AG208" s="234"/>
      <c r="AH208" s="133">
        <f>2844.55/22050</f>
        <v>0.1290045351473923</v>
      </c>
      <c r="AM208" s="210"/>
      <c r="AU208" s="235">
        <f>+AU206+AU207</f>
        <v>9605</v>
      </c>
      <c r="AV208" s="210"/>
      <c r="AW208" s="50"/>
    </row>
    <row r="209" spans="2:47" x14ac:dyDescent="0.25">
      <c r="B209" s="245" t="s">
        <v>173</v>
      </c>
      <c r="I209" s="245"/>
      <c r="J209" s="246"/>
      <c r="M209" s="245"/>
      <c r="N209" s="246"/>
      <c r="Q209" s="245"/>
      <c r="R209" s="246"/>
      <c r="U209" s="245"/>
      <c r="V209" s="246"/>
      <c r="Y209" s="245"/>
      <c r="Z209" s="246"/>
      <c r="AC209" s="245"/>
      <c r="AD209" s="246"/>
      <c r="AF209" s="210"/>
      <c r="AG209" s="201" t="s">
        <v>174</v>
      </c>
      <c r="AH209" s="112">
        <f>19205.55/441</f>
        <v>43.55</v>
      </c>
      <c r="AI209" s="210"/>
      <c r="AJ209" s="210"/>
      <c r="AK209" s="210"/>
      <c r="AL209" s="210"/>
      <c r="AM209" s="210"/>
      <c r="AN209" s="236"/>
      <c r="AU209" s="50">
        <f>AU208</f>
        <v>9605</v>
      </c>
    </row>
    <row r="210" spans="2:47" x14ac:dyDescent="0.25">
      <c r="B210" s="245" t="s">
        <v>175</v>
      </c>
      <c r="I210" s="245"/>
      <c r="J210" s="246"/>
      <c r="M210" s="245"/>
      <c r="N210" s="246"/>
      <c r="Q210" s="245"/>
      <c r="R210" s="246"/>
      <c r="U210" s="245"/>
      <c r="V210" s="246"/>
      <c r="Y210" s="245"/>
      <c r="Z210" s="246"/>
      <c r="AC210" s="245"/>
      <c r="AD210" s="246"/>
      <c r="AF210" s="181"/>
      <c r="AG210" s="237"/>
      <c r="AH210" s="237"/>
      <c r="AI210" s="237"/>
      <c r="AJ210" s="237"/>
      <c r="AK210" s="210"/>
      <c r="AL210" s="210"/>
      <c r="AN210" s="181"/>
      <c r="AO210" s="229"/>
      <c r="AP210" s="229"/>
      <c r="AQ210" s="210"/>
    </row>
    <row r="211" spans="2:47" x14ac:dyDescent="0.25">
      <c r="B211" s="245" t="s">
        <v>176</v>
      </c>
      <c r="I211" s="245"/>
      <c r="J211" s="246"/>
      <c r="M211" s="245"/>
      <c r="N211" s="246"/>
      <c r="Q211" s="245"/>
      <c r="R211" s="246"/>
      <c r="U211" s="245"/>
      <c r="V211" s="246"/>
      <c r="Y211" s="245"/>
      <c r="Z211" s="246"/>
      <c r="AC211" s="245"/>
      <c r="AD211" s="246"/>
      <c r="AF211" s="181"/>
      <c r="AG211" s="237"/>
      <c r="AH211" s="237"/>
      <c r="AI211" s="237"/>
      <c r="AJ211" s="237"/>
      <c r="AK211" s="210"/>
      <c r="AL211" s="210"/>
      <c r="AN211" s="181"/>
      <c r="AO211" s="229"/>
      <c r="AP211" s="229"/>
      <c r="AQ211" s="210"/>
      <c r="AS211" s="50"/>
      <c r="AU211" s="238"/>
    </row>
    <row r="212" spans="2:47" x14ac:dyDescent="0.25">
      <c r="B212" s="245" t="s">
        <v>177</v>
      </c>
      <c r="I212" s="245"/>
      <c r="J212" s="246"/>
      <c r="M212" s="245"/>
      <c r="N212" s="246"/>
      <c r="Q212" s="245"/>
      <c r="R212" s="246"/>
      <c r="U212" s="245"/>
      <c r="V212" s="246"/>
      <c r="Y212" s="245"/>
      <c r="Z212" s="246"/>
      <c r="AC212" s="245"/>
      <c r="AD212" s="246"/>
      <c r="AF212" s="181"/>
      <c r="AG212" s="237"/>
      <c r="AH212" s="237"/>
      <c r="AI212" s="237"/>
      <c r="AJ212" s="237"/>
      <c r="AK212" s="210"/>
      <c r="AL212" s="210"/>
      <c r="AN212" s="181"/>
      <c r="AO212" s="229"/>
      <c r="AP212" s="229"/>
      <c r="AQ212" s="210"/>
      <c r="AR212" s="50"/>
    </row>
    <row r="213" spans="2:47" x14ac:dyDescent="0.25">
      <c r="B213" s="245">
        <v>123456</v>
      </c>
      <c r="I213" s="245"/>
      <c r="J213" s="246"/>
      <c r="M213" s="245"/>
      <c r="N213" s="246"/>
      <c r="Q213" s="245"/>
      <c r="R213" s="246"/>
      <c r="U213" s="245"/>
      <c r="V213" s="246"/>
      <c r="Y213" s="245"/>
      <c r="Z213" s="246"/>
      <c r="AC213" s="245"/>
      <c r="AD213" s="246"/>
      <c r="AF213" s="181"/>
      <c r="AG213" s="237"/>
      <c r="AH213" s="237"/>
      <c r="AI213" s="237"/>
      <c r="AJ213" s="237"/>
      <c r="AK213" s="210"/>
      <c r="AL213" s="210"/>
      <c r="AN213" s="181"/>
      <c r="AO213" s="229"/>
      <c r="AP213" s="229"/>
      <c r="AQ213" s="210"/>
    </row>
    <row r="214" spans="2:47" x14ac:dyDescent="0.25">
      <c r="I214" s="245"/>
      <c r="J214" s="246"/>
      <c r="M214" s="245"/>
      <c r="N214" s="246"/>
      <c r="Q214" s="245"/>
      <c r="R214" s="246"/>
      <c r="U214" s="245"/>
      <c r="V214" s="246"/>
      <c r="Y214" s="245"/>
      <c r="Z214" s="246"/>
      <c r="AC214" s="245"/>
      <c r="AD214" s="246"/>
      <c r="AF214" s="181"/>
      <c r="AG214" s="237"/>
      <c r="AH214" s="237"/>
      <c r="AI214" s="237"/>
      <c r="AJ214" s="237"/>
      <c r="AK214" s="210"/>
      <c r="AL214" s="210"/>
      <c r="AN214" s="181"/>
      <c r="AO214" s="229"/>
      <c r="AP214" s="239"/>
      <c r="AQ214" s="210"/>
    </row>
    <row r="215" spans="2:47" x14ac:dyDescent="0.25">
      <c r="I215" s="245"/>
      <c r="J215" s="246"/>
      <c r="M215" s="245"/>
      <c r="N215" s="246"/>
      <c r="Q215" s="245"/>
      <c r="R215" s="246"/>
      <c r="U215" s="245"/>
      <c r="V215" s="246"/>
      <c r="Y215" s="245"/>
      <c r="Z215" s="246"/>
      <c r="AC215" s="245"/>
      <c r="AD215" s="246"/>
      <c r="AF215" s="181"/>
      <c r="AG215" s="237"/>
      <c r="AH215" s="237"/>
      <c r="AI215" s="237"/>
      <c r="AJ215" s="237"/>
      <c r="AK215" s="210"/>
      <c r="AL215" s="210"/>
      <c r="AN215" s="181"/>
      <c r="AO215" s="229"/>
      <c r="AP215" s="210"/>
      <c r="AQ215" s="210"/>
    </row>
    <row r="216" spans="2:47" x14ac:dyDescent="0.25">
      <c r="AF216" s="210"/>
      <c r="AG216" s="239"/>
      <c r="AH216" s="239"/>
      <c r="AI216" s="239"/>
      <c r="AJ216" s="239"/>
      <c r="AK216" s="210"/>
      <c r="AL216" s="210"/>
      <c r="AN216" s="210"/>
      <c r="AO216" s="239"/>
      <c r="AP216" s="246"/>
      <c r="AQ216" s="210"/>
    </row>
    <row r="217" spans="2:47" x14ac:dyDescent="0.25">
      <c r="AH217" s="210"/>
      <c r="AN217" s="210"/>
    </row>
    <row r="218" spans="2:47" x14ac:dyDescent="0.25">
      <c r="AH218" s="210"/>
    </row>
    <row r="219" spans="2:47" x14ac:dyDescent="0.25">
      <c r="AH219" s="210"/>
    </row>
    <row r="220" spans="2:47" x14ac:dyDescent="0.25">
      <c r="AM220" s="210"/>
    </row>
    <row r="221" spans="2:47" x14ac:dyDescent="0.25">
      <c r="AK221" s="240">
        <v>45283</v>
      </c>
      <c r="AM221" s="210"/>
    </row>
    <row r="222" spans="2:47" x14ac:dyDescent="0.25">
      <c r="AK222" s="133"/>
      <c r="AL222" s="133" t="s">
        <v>178</v>
      </c>
      <c r="AM222" s="112" t="s">
        <v>179</v>
      </c>
      <c r="AN222" s="133" t="s">
        <v>180</v>
      </c>
    </row>
    <row r="223" spans="2:47" x14ac:dyDescent="0.25">
      <c r="AK223" s="133" t="s">
        <v>181</v>
      </c>
      <c r="AL223" s="133">
        <v>225</v>
      </c>
      <c r="AM223" s="112">
        <v>5</v>
      </c>
      <c r="AN223" s="133">
        <f>AL223*AM223</f>
        <v>1125</v>
      </c>
      <c r="AQ223" s="245">
        <f>200*12</f>
        <v>2400</v>
      </c>
    </row>
    <row r="224" spans="2:47" x14ac:dyDescent="0.25">
      <c r="AK224" s="133" t="s">
        <v>182</v>
      </c>
      <c r="AL224" s="133">
        <v>200</v>
      </c>
      <c r="AM224" s="112">
        <v>5</v>
      </c>
      <c r="AN224" s="133">
        <f>AL224*AM224</f>
        <v>1000</v>
      </c>
      <c r="AQ224" s="245">
        <f>2400*4</f>
        <v>9600</v>
      </c>
    </row>
    <row r="225" spans="37:43" x14ac:dyDescent="0.25">
      <c r="AK225" s="133" t="s">
        <v>183</v>
      </c>
      <c r="AL225" s="133">
        <v>150</v>
      </c>
      <c r="AM225" s="112">
        <v>7</v>
      </c>
      <c r="AN225" s="133">
        <f>AL225*AM225</f>
        <v>1050</v>
      </c>
      <c r="AQ225" s="245">
        <f>600*12</f>
        <v>7200</v>
      </c>
    </row>
    <row r="226" spans="37:43" x14ac:dyDescent="0.25">
      <c r="AK226" s="133" t="s">
        <v>184</v>
      </c>
      <c r="AL226" s="133">
        <v>185</v>
      </c>
      <c r="AM226" s="112">
        <v>5</v>
      </c>
      <c r="AN226" s="133">
        <f>AL226*AM226</f>
        <v>925</v>
      </c>
    </row>
    <row r="227" spans="37:43" x14ac:dyDescent="0.25">
      <c r="AM227" s="210"/>
      <c r="AN227" s="241">
        <f>SUM(AN223:AN226)</f>
        <v>4100</v>
      </c>
    </row>
    <row r="228" spans="37:43" x14ac:dyDescent="0.25">
      <c r="AM228" s="210"/>
    </row>
    <row r="229" spans="37:43" x14ac:dyDescent="0.25">
      <c r="AK229" s="210" t="s">
        <v>185</v>
      </c>
      <c r="AM229" s="210"/>
      <c r="AN229" s="241">
        <v>16000</v>
      </c>
    </row>
    <row r="230" spans="37:43" x14ac:dyDescent="0.25">
      <c r="AM230" s="210"/>
    </row>
    <row r="231" spans="37:43" x14ac:dyDescent="0.25">
      <c r="AM231" s="210"/>
    </row>
    <row r="232" spans="37:43" x14ac:dyDescent="0.25">
      <c r="AM232" s="210"/>
    </row>
    <row r="233" spans="37:43" x14ac:dyDescent="0.25">
      <c r="AM233" s="210"/>
    </row>
    <row r="234" spans="37:43" x14ac:dyDescent="0.25">
      <c r="AM234" s="210"/>
    </row>
    <row r="235" spans="37:43" x14ac:dyDescent="0.25">
      <c r="AM235" s="210"/>
    </row>
    <row r="236" spans="37:43" x14ac:dyDescent="0.25">
      <c r="AM236" s="210"/>
    </row>
    <row r="237" spans="37:43" x14ac:dyDescent="0.25">
      <c r="AM237" s="210"/>
    </row>
    <row r="238" spans="37:43" x14ac:dyDescent="0.25">
      <c r="AM238" s="210"/>
    </row>
    <row r="239" spans="37:43" x14ac:dyDescent="0.25">
      <c r="AM239" s="210"/>
    </row>
    <row r="240" spans="37:43" x14ac:dyDescent="0.25">
      <c r="AM240" s="210"/>
    </row>
    <row r="241" spans="39:39" x14ac:dyDescent="0.25">
      <c r="AM241" s="210"/>
    </row>
    <row r="242" spans="39:39" x14ac:dyDescent="0.25">
      <c r="AM242" s="210"/>
    </row>
    <row r="243" spans="39:39" x14ac:dyDescent="0.25">
      <c r="AM243" s="210"/>
    </row>
    <row r="244" spans="39:39" x14ac:dyDescent="0.25">
      <c r="AM244" s="210"/>
    </row>
    <row r="245" spans="39:39" x14ac:dyDescent="0.25">
      <c r="AM245" s="210"/>
    </row>
    <row r="246" spans="39:39" x14ac:dyDescent="0.25">
      <c r="AM246" s="210"/>
    </row>
    <row r="247" spans="39:39" x14ac:dyDescent="0.25">
      <c r="AM247" s="210"/>
    </row>
    <row r="248" spans="39:39" x14ac:dyDescent="0.25">
      <c r="AM248" s="210"/>
    </row>
    <row r="249" spans="39:39" x14ac:dyDescent="0.25">
      <c r="AM249" s="210"/>
    </row>
    <row r="250" spans="39:39" x14ac:dyDescent="0.25">
      <c r="AM250" s="210"/>
    </row>
    <row r="251" spans="39:39" x14ac:dyDescent="0.25">
      <c r="AM251" s="210"/>
    </row>
    <row r="252" spans="39:39" x14ac:dyDescent="0.25">
      <c r="AM252" s="210"/>
    </row>
    <row r="253" spans="39:39" x14ac:dyDescent="0.25">
      <c r="AM253" s="210"/>
    </row>
    <row r="254" spans="39:39" x14ac:dyDescent="0.25">
      <c r="AM254" s="210"/>
    </row>
    <row r="255" spans="39:39" x14ac:dyDescent="0.25">
      <c r="AM255" s="210"/>
    </row>
    <row r="256" spans="39:39" x14ac:dyDescent="0.25">
      <c r="AM256" s="210"/>
    </row>
    <row r="257" spans="39:39" x14ac:dyDescent="0.25">
      <c r="AM257" s="210"/>
    </row>
    <row r="258" spans="39:39" x14ac:dyDescent="0.25">
      <c r="AM258" s="210"/>
    </row>
    <row r="259" spans="39:39" x14ac:dyDescent="0.25">
      <c r="AM259" s="210"/>
    </row>
    <row r="260" spans="39:39" x14ac:dyDescent="0.25">
      <c r="AM260" s="210"/>
    </row>
    <row r="261" spans="39:39" x14ac:dyDescent="0.25">
      <c r="AM261" s="210"/>
    </row>
    <row r="262" spans="39:39" x14ac:dyDescent="0.25">
      <c r="AM262" s="210"/>
    </row>
    <row r="263" spans="39:39" x14ac:dyDescent="0.25">
      <c r="AM263" s="210"/>
    </row>
    <row r="264" spans="39:39" x14ac:dyDescent="0.25">
      <c r="AM264" s="210"/>
    </row>
    <row r="265" spans="39:39" x14ac:dyDescent="0.25">
      <c r="AM265" s="210"/>
    </row>
    <row r="266" spans="39:39" x14ac:dyDescent="0.25">
      <c r="AM266" s="210"/>
    </row>
    <row r="267" spans="39:39" x14ac:dyDescent="0.25">
      <c r="AM267" s="210"/>
    </row>
    <row r="268" spans="39:39" x14ac:dyDescent="0.25">
      <c r="AM268" s="210"/>
    </row>
    <row r="269" spans="39:39" x14ac:dyDescent="0.25">
      <c r="AM269" s="210"/>
    </row>
    <row r="270" spans="39:39" x14ac:dyDescent="0.25">
      <c r="AM270" s="210"/>
    </row>
    <row r="271" spans="39:39" x14ac:dyDescent="0.25">
      <c r="AM271" s="210"/>
    </row>
    <row r="272" spans="39:39" x14ac:dyDescent="0.25">
      <c r="AM272" s="210"/>
    </row>
    <row r="273" spans="39:39" x14ac:dyDescent="0.25">
      <c r="AM273" s="210"/>
    </row>
    <row r="274" spans="39:39" x14ac:dyDescent="0.25">
      <c r="AM274" s="210"/>
    </row>
    <row r="275" spans="39:39" x14ac:dyDescent="0.25">
      <c r="AM275" s="210"/>
    </row>
    <row r="276" spans="39:39" x14ac:dyDescent="0.25">
      <c r="AM276" s="210"/>
    </row>
    <row r="277" spans="39:39" x14ac:dyDescent="0.25">
      <c r="AM277" s="210"/>
    </row>
    <row r="278" spans="39:39" x14ac:dyDescent="0.25">
      <c r="AM278" s="210"/>
    </row>
    <row r="279" spans="39:39" x14ac:dyDescent="0.25">
      <c r="AM279" s="210"/>
    </row>
    <row r="280" spans="39:39" x14ac:dyDescent="0.25">
      <c r="AM280" s="210"/>
    </row>
    <row r="281" spans="39:39" x14ac:dyDescent="0.25">
      <c r="AM281" s="210"/>
    </row>
    <row r="282" spans="39:39" x14ac:dyDescent="0.25">
      <c r="AM282" s="210"/>
    </row>
    <row r="283" spans="39:39" x14ac:dyDescent="0.25">
      <c r="AM283" s="210"/>
    </row>
    <row r="284" spans="39:39" x14ac:dyDescent="0.25">
      <c r="AM284" s="210"/>
    </row>
    <row r="285" spans="39:39" x14ac:dyDescent="0.25">
      <c r="AM285" s="210"/>
    </row>
    <row r="286" spans="39:39" x14ac:dyDescent="0.25">
      <c r="AM286" s="210"/>
    </row>
    <row r="287" spans="39:39" x14ac:dyDescent="0.25">
      <c r="AM287" s="210"/>
    </row>
    <row r="288" spans="39:39" x14ac:dyDescent="0.25">
      <c r="AM288" s="210"/>
    </row>
    <row r="289" spans="39:39" x14ac:dyDescent="0.25">
      <c r="AM289" s="210"/>
    </row>
    <row r="290" spans="39:39" x14ac:dyDescent="0.25">
      <c r="AM290" s="210"/>
    </row>
    <row r="291" spans="39:39" x14ac:dyDescent="0.25">
      <c r="AM291" s="210"/>
    </row>
    <row r="292" spans="39:39" x14ac:dyDescent="0.25">
      <c r="AM292" s="210"/>
    </row>
    <row r="293" spans="39:39" x14ac:dyDescent="0.25">
      <c r="AM293" s="210"/>
    </row>
    <row r="294" spans="39:39" x14ac:dyDescent="0.25">
      <c r="AM294" s="210"/>
    </row>
    <row r="295" spans="39:39" x14ac:dyDescent="0.25">
      <c r="AM295" s="210"/>
    </row>
    <row r="296" spans="39:39" x14ac:dyDescent="0.25">
      <c r="AM296" s="210"/>
    </row>
    <row r="297" spans="39:39" x14ac:dyDescent="0.25">
      <c r="AM297" s="210"/>
    </row>
    <row r="298" spans="39:39" x14ac:dyDescent="0.25">
      <c r="AM298" s="210"/>
    </row>
    <row r="299" spans="39:39" x14ac:dyDescent="0.25">
      <c r="AM299" s="210"/>
    </row>
    <row r="300" spans="39:39" x14ac:dyDescent="0.25">
      <c r="AM300" s="210"/>
    </row>
    <row r="301" spans="39:39" x14ac:dyDescent="0.25">
      <c r="AM301" s="210"/>
    </row>
    <row r="302" spans="39:39" x14ac:dyDescent="0.25">
      <c r="AM302" s="210"/>
    </row>
    <row r="303" spans="39:39" x14ac:dyDescent="0.25">
      <c r="AM303" s="210"/>
    </row>
    <row r="304" spans="39:39" x14ac:dyDescent="0.25">
      <c r="AM304" s="210"/>
    </row>
    <row r="305" spans="39:39" x14ac:dyDescent="0.25">
      <c r="AM305" s="210"/>
    </row>
    <row r="306" spans="39:39" x14ac:dyDescent="0.25">
      <c r="AM306" s="210"/>
    </row>
    <row r="307" spans="39:39" x14ac:dyDescent="0.25">
      <c r="AM307" s="210"/>
    </row>
    <row r="308" spans="39:39" x14ac:dyDescent="0.25">
      <c r="AM308" s="210"/>
    </row>
    <row r="309" spans="39:39" x14ac:dyDescent="0.25">
      <c r="AM309" s="210"/>
    </row>
    <row r="310" spans="39:39" x14ac:dyDescent="0.25">
      <c r="AM310" s="210"/>
    </row>
    <row r="311" spans="39:39" x14ac:dyDescent="0.25">
      <c r="AM311" s="210"/>
    </row>
    <row r="312" spans="39:39" x14ac:dyDescent="0.25">
      <c r="AM312" s="210"/>
    </row>
    <row r="313" spans="39:39" x14ac:dyDescent="0.25">
      <c r="AM313" s="210"/>
    </row>
    <row r="314" spans="39:39" x14ac:dyDescent="0.25">
      <c r="AM314" s="210"/>
    </row>
    <row r="315" spans="39:39" x14ac:dyDescent="0.25">
      <c r="AM315" s="210"/>
    </row>
    <row r="316" spans="39:39" x14ac:dyDescent="0.25">
      <c r="AM316" s="210"/>
    </row>
    <row r="317" spans="39:39" x14ac:dyDescent="0.25">
      <c r="AM317" s="210"/>
    </row>
    <row r="318" spans="39:39" x14ac:dyDescent="0.25">
      <c r="AM318" s="210"/>
    </row>
    <row r="319" spans="39:39" x14ac:dyDescent="0.25">
      <c r="AM319" s="210"/>
    </row>
    <row r="320" spans="39:39" x14ac:dyDescent="0.25">
      <c r="AM320" s="210"/>
    </row>
    <row r="321" spans="39:39" x14ac:dyDescent="0.25">
      <c r="AM321" s="210"/>
    </row>
    <row r="322" spans="39:39" x14ac:dyDescent="0.25">
      <c r="AM322" s="210"/>
    </row>
    <row r="323" spans="39:39" x14ac:dyDescent="0.25">
      <c r="AM323" s="210"/>
    </row>
    <row r="324" spans="39:39" x14ac:dyDescent="0.25">
      <c r="AM324" s="210"/>
    </row>
    <row r="325" spans="39:39" x14ac:dyDescent="0.25">
      <c r="AM325" s="210"/>
    </row>
    <row r="326" spans="39:39" x14ac:dyDescent="0.25">
      <c r="AM326" s="210"/>
    </row>
    <row r="327" spans="39:39" x14ac:dyDescent="0.25">
      <c r="AM327" s="210"/>
    </row>
    <row r="328" spans="39:39" x14ac:dyDescent="0.25">
      <c r="AM328" s="210"/>
    </row>
    <row r="329" spans="39:39" x14ac:dyDescent="0.25">
      <c r="AM329" s="210"/>
    </row>
    <row r="330" spans="39:39" x14ac:dyDescent="0.25">
      <c r="AM330" s="210"/>
    </row>
    <row r="331" spans="39:39" x14ac:dyDescent="0.25">
      <c r="AM331" s="210"/>
    </row>
    <row r="332" spans="39:39" x14ac:dyDescent="0.25">
      <c r="AM332" s="210"/>
    </row>
    <row r="333" spans="39:39" x14ac:dyDescent="0.25">
      <c r="AM333" s="210"/>
    </row>
    <row r="334" spans="39:39" x14ac:dyDescent="0.25">
      <c r="AM334" s="210"/>
    </row>
    <row r="335" spans="39:39" x14ac:dyDescent="0.25">
      <c r="AM335" s="210"/>
    </row>
    <row r="819065" spans="1:1" x14ac:dyDescent="0.25">
      <c r="A819065" s="242"/>
    </row>
    <row r="819066" spans="1:1" x14ac:dyDescent="0.25">
      <c r="A819066" s="242"/>
    </row>
    <row r="819067" spans="1:1" x14ac:dyDescent="0.25">
      <c r="A819067" s="242"/>
    </row>
    <row r="819068" spans="1:1" x14ac:dyDescent="0.25">
      <c r="A819068" s="242"/>
    </row>
    <row r="819069" spans="1:1" x14ac:dyDescent="0.25">
      <c r="A819069" s="242"/>
    </row>
    <row r="819070" spans="1:1" x14ac:dyDescent="0.25">
      <c r="A819070" s="242"/>
    </row>
    <row r="819071" spans="1:1" x14ac:dyDescent="0.25">
      <c r="A819071" s="242"/>
    </row>
    <row r="819072" spans="1:1" x14ac:dyDescent="0.25">
      <c r="A819072" s="242"/>
    </row>
    <row r="819073" spans="1:1" x14ac:dyDescent="0.25">
      <c r="A819073" s="242"/>
    </row>
    <row r="819074" spans="1:1" x14ac:dyDescent="0.25">
      <c r="A819074" s="242"/>
    </row>
    <row r="819075" spans="1:1" x14ac:dyDescent="0.25">
      <c r="A819075" s="242"/>
    </row>
    <row r="819076" spans="1:1" x14ac:dyDescent="0.25">
      <c r="A819076" s="242"/>
    </row>
    <row r="819077" spans="1:1" x14ac:dyDescent="0.25">
      <c r="A819077" s="242"/>
    </row>
    <row r="819078" spans="1:1" x14ac:dyDescent="0.25">
      <c r="A819078" s="242"/>
    </row>
    <row r="819079" spans="1:1" x14ac:dyDescent="0.25">
      <c r="A819079" s="242"/>
    </row>
    <row r="819080" spans="1:1" x14ac:dyDescent="0.25">
      <c r="A819080" s="242"/>
    </row>
    <row r="819081" spans="1:1" x14ac:dyDescent="0.25">
      <c r="A819081" s="242"/>
    </row>
    <row r="819082" spans="1:1" x14ac:dyDescent="0.25">
      <c r="A819082" s="242"/>
    </row>
    <row r="819083" spans="1:1" x14ac:dyDescent="0.25">
      <c r="A819083" s="242"/>
    </row>
    <row r="819084" spans="1:1" x14ac:dyDescent="0.25">
      <c r="A819084" s="242"/>
    </row>
    <row r="819085" spans="1:1" x14ac:dyDescent="0.25">
      <c r="A819085" s="242"/>
    </row>
    <row r="819086" spans="1:1" x14ac:dyDescent="0.25">
      <c r="A819086" s="242"/>
    </row>
    <row r="819087" spans="1:1" x14ac:dyDescent="0.25">
      <c r="A819087" s="242"/>
    </row>
    <row r="819088" spans="1:1" x14ac:dyDescent="0.25">
      <c r="A819088" s="242"/>
    </row>
    <row r="819089" spans="1:1" x14ac:dyDescent="0.25">
      <c r="A819089" s="242"/>
    </row>
    <row r="819090" spans="1:1" x14ac:dyDescent="0.25">
      <c r="A819090" s="242"/>
    </row>
    <row r="819091" spans="1:1" x14ac:dyDescent="0.25">
      <c r="A819091" s="242"/>
    </row>
    <row r="819092" spans="1:1" x14ac:dyDescent="0.25">
      <c r="A819092" s="242"/>
    </row>
    <row r="819093" spans="1:1" x14ac:dyDescent="0.25">
      <c r="A819093" s="242"/>
    </row>
    <row r="819094" spans="1:1" x14ac:dyDescent="0.25">
      <c r="A819094" s="242"/>
    </row>
    <row r="819095" spans="1:1" x14ac:dyDescent="0.25">
      <c r="A819095" s="242"/>
    </row>
    <row r="819096" spans="1:1" x14ac:dyDescent="0.25">
      <c r="A819096" s="242"/>
    </row>
    <row r="819097" spans="1:1" x14ac:dyDescent="0.25">
      <c r="A819097" s="242"/>
    </row>
    <row r="819098" spans="1:1" x14ac:dyDescent="0.25">
      <c r="A819098" s="242"/>
    </row>
    <row r="819099" spans="1:1" x14ac:dyDescent="0.25">
      <c r="A819099" s="242"/>
    </row>
    <row r="819100" spans="1:1" x14ac:dyDescent="0.25">
      <c r="A819100" s="242"/>
    </row>
    <row r="819101" spans="1:1" x14ac:dyDescent="0.25">
      <c r="A819101" s="242"/>
    </row>
    <row r="819102" spans="1:1" x14ac:dyDescent="0.25">
      <c r="A819102" s="242"/>
    </row>
    <row r="819103" spans="1:1" x14ac:dyDescent="0.25">
      <c r="A819103" s="242"/>
    </row>
    <row r="819104" spans="1:1" x14ac:dyDescent="0.25">
      <c r="A819104" s="242"/>
    </row>
    <row r="819105" spans="1:1" x14ac:dyDescent="0.25">
      <c r="A819105" s="242"/>
    </row>
    <row r="819106" spans="1:1" x14ac:dyDescent="0.25">
      <c r="A819106" s="242"/>
    </row>
    <row r="819107" spans="1:1" x14ac:dyDescent="0.25">
      <c r="A819107" s="242"/>
    </row>
    <row r="819108" spans="1:1" x14ac:dyDescent="0.25">
      <c r="A819108" s="242"/>
    </row>
    <row r="819109" spans="1:1" x14ac:dyDescent="0.25">
      <c r="A819109" s="242"/>
    </row>
    <row r="819110" spans="1:1" x14ac:dyDescent="0.25">
      <c r="A819110" s="242"/>
    </row>
    <row r="819111" spans="1:1" x14ac:dyDescent="0.25">
      <c r="A819111" s="242"/>
    </row>
    <row r="819112" spans="1:1" x14ac:dyDescent="0.25">
      <c r="A819112" s="242"/>
    </row>
    <row r="819113" spans="1:1" x14ac:dyDescent="0.25">
      <c r="A819113" s="242"/>
    </row>
    <row r="819114" spans="1:1" x14ac:dyDescent="0.25">
      <c r="A819114" s="242"/>
    </row>
    <row r="819115" spans="1:1" x14ac:dyDescent="0.25">
      <c r="A819115" s="242"/>
    </row>
    <row r="819116" spans="1:1" x14ac:dyDescent="0.25">
      <c r="A819116" s="242"/>
    </row>
    <row r="819117" spans="1:1" x14ac:dyDescent="0.25">
      <c r="A819117" s="242"/>
    </row>
    <row r="819118" spans="1:1" x14ac:dyDescent="0.25">
      <c r="A819118" s="242"/>
    </row>
    <row r="819119" spans="1:1" x14ac:dyDescent="0.25">
      <c r="A819119" s="242"/>
    </row>
    <row r="819120" spans="1:1" x14ac:dyDescent="0.25">
      <c r="A819120" s="242"/>
    </row>
    <row r="819121" spans="1:1" x14ac:dyDescent="0.25">
      <c r="A819121" s="242"/>
    </row>
    <row r="819122" spans="1:1" x14ac:dyDescent="0.25">
      <c r="A819122" s="242"/>
    </row>
    <row r="819123" spans="1:1" x14ac:dyDescent="0.25">
      <c r="A819123" s="242"/>
    </row>
    <row r="819124" spans="1:1" x14ac:dyDescent="0.25">
      <c r="A819124" s="242"/>
    </row>
    <row r="819125" spans="1:1" x14ac:dyDescent="0.25">
      <c r="A819125" s="242"/>
    </row>
    <row r="819126" spans="1:1" x14ac:dyDescent="0.25">
      <c r="A819126" s="242"/>
    </row>
    <row r="819127" spans="1:1" x14ac:dyDescent="0.25">
      <c r="A819127" s="242"/>
    </row>
    <row r="819128" spans="1:1" x14ac:dyDescent="0.25">
      <c r="A819128" s="242"/>
    </row>
    <row r="819129" spans="1:1" x14ac:dyDescent="0.25">
      <c r="A819129" s="242"/>
    </row>
    <row r="819130" spans="1:1" x14ac:dyDescent="0.25">
      <c r="A819130" s="242"/>
    </row>
    <row r="819131" spans="1:1" x14ac:dyDescent="0.25">
      <c r="A819131" s="242"/>
    </row>
    <row r="819132" spans="1:1" x14ac:dyDescent="0.25">
      <c r="A819132" s="242"/>
    </row>
    <row r="819133" spans="1:1" x14ac:dyDescent="0.25">
      <c r="A819133" s="242"/>
    </row>
    <row r="819134" spans="1:1" x14ac:dyDescent="0.25">
      <c r="A819134" s="242"/>
    </row>
    <row r="819135" spans="1:1" x14ac:dyDescent="0.25">
      <c r="A819135" s="242"/>
    </row>
    <row r="819136" spans="1:1" x14ac:dyDescent="0.25">
      <c r="A819136" s="242"/>
    </row>
    <row r="819137" spans="1:1" x14ac:dyDescent="0.25">
      <c r="A819137" s="242"/>
    </row>
    <row r="819138" spans="1:1" x14ac:dyDescent="0.25">
      <c r="A819138" s="242"/>
    </row>
    <row r="819139" spans="1:1" x14ac:dyDescent="0.25">
      <c r="A819139" s="242"/>
    </row>
    <row r="819140" spans="1:1" x14ac:dyDescent="0.25">
      <c r="A819140" s="242"/>
    </row>
    <row r="819141" spans="1:1" x14ac:dyDescent="0.25">
      <c r="A819141" s="242"/>
    </row>
    <row r="819142" spans="1:1" x14ac:dyDescent="0.25">
      <c r="A819142" s="242"/>
    </row>
    <row r="819143" spans="1:1" x14ac:dyDescent="0.25">
      <c r="A819143" s="242"/>
    </row>
    <row r="819144" spans="1:1" x14ac:dyDescent="0.25">
      <c r="A819144" s="242"/>
    </row>
    <row r="819145" spans="1:1" x14ac:dyDescent="0.25">
      <c r="A819145" s="242"/>
    </row>
    <row r="819146" spans="1:1" x14ac:dyDescent="0.25">
      <c r="A819146" s="242"/>
    </row>
    <row r="819147" spans="1:1" x14ac:dyDescent="0.25">
      <c r="A819147" s="242"/>
    </row>
    <row r="819148" spans="1:1" x14ac:dyDescent="0.25">
      <c r="A819148" s="242"/>
    </row>
    <row r="819149" spans="1:1" x14ac:dyDescent="0.25">
      <c r="A819149" s="242"/>
    </row>
    <row r="819150" spans="1:1" x14ac:dyDescent="0.25">
      <c r="A819150" s="242"/>
    </row>
    <row r="819151" spans="1:1" x14ac:dyDescent="0.25">
      <c r="A819151" s="242"/>
    </row>
    <row r="819152" spans="1:1" x14ac:dyDescent="0.25">
      <c r="A819152" s="242"/>
    </row>
    <row r="819153" spans="1:1" x14ac:dyDescent="0.25">
      <c r="A819153" s="242"/>
    </row>
    <row r="819154" spans="1:1" x14ac:dyDescent="0.25">
      <c r="A819154" s="242"/>
    </row>
    <row r="819155" spans="1:1" x14ac:dyDescent="0.25">
      <c r="A819155" s="242"/>
    </row>
    <row r="819156" spans="1:1" x14ac:dyDescent="0.25">
      <c r="A819156" s="242"/>
    </row>
    <row r="819157" spans="1:1" x14ac:dyDescent="0.25">
      <c r="A819157" s="242"/>
    </row>
    <row r="819158" spans="1:1" x14ac:dyDescent="0.25">
      <c r="A819158" s="242"/>
    </row>
    <row r="819159" spans="1:1" x14ac:dyDescent="0.25">
      <c r="A819159" s="242"/>
    </row>
    <row r="819160" spans="1:1" x14ac:dyDescent="0.25">
      <c r="A819160" s="242"/>
    </row>
    <row r="819161" spans="1:1" x14ac:dyDescent="0.25">
      <c r="A819161" s="242"/>
    </row>
    <row r="819162" spans="1:1" x14ac:dyDescent="0.25">
      <c r="A819162" s="242"/>
    </row>
    <row r="819163" spans="1:1" x14ac:dyDescent="0.25">
      <c r="A819163" s="242"/>
    </row>
    <row r="819164" spans="1:1" x14ac:dyDescent="0.25">
      <c r="A819164" s="242"/>
    </row>
    <row r="819165" spans="1:1" x14ac:dyDescent="0.25">
      <c r="A819165" s="242"/>
    </row>
    <row r="819166" spans="1:1" x14ac:dyDescent="0.25">
      <c r="A819166" s="242"/>
    </row>
    <row r="819167" spans="1:1" x14ac:dyDescent="0.25">
      <c r="A819167" s="242"/>
    </row>
    <row r="819168" spans="1:1" x14ac:dyDescent="0.25">
      <c r="A819168" s="242"/>
    </row>
    <row r="819169" spans="1:1" x14ac:dyDescent="0.25">
      <c r="A819169" s="242"/>
    </row>
    <row r="819170" spans="1:1" x14ac:dyDescent="0.25">
      <c r="A819170" s="242"/>
    </row>
    <row r="819171" spans="1:1" x14ac:dyDescent="0.25">
      <c r="A819171" s="242"/>
    </row>
    <row r="819172" spans="1:1" x14ac:dyDescent="0.25">
      <c r="A819172" s="242"/>
    </row>
    <row r="819173" spans="1:1" x14ac:dyDescent="0.25">
      <c r="A819173" s="242"/>
    </row>
    <row r="819174" spans="1:1" x14ac:dyDescent="0.25">
      <c r="A819174" s="242"/>
    </row>
    <row r="819175" spans="1:1" x14ac:dyDescent="0.25">
      <c r="A819175" s="242"/>
    </row>
    <row r="819176" spans="1:1" x14ac:dyDescent="0.25">
      <c r="A819176" s="242"/>
    </row>
    <row r="819177" spans="1:1" x14ac:dyDescent="0.25">
      <c r="A819177" s="242"/>
    </row>
    <row r="819178" spans="1:1" x14ac:dyDescent="0.25">
      <c r="A819178" s="242"/>
    </row>
    <row r="819179" spans="1:1" x14ac:dyDescent="0.25">
      <c r="A819179" s="242"/>
    </row>
    <row r="819180" spans="1:1" x14ac:dyDescent="0.25">
      <c r="A819180" s="242"/>
    </row>
    <row r="819181" spans="1:1" x14ac:dyDescent="0.25">
      <c r="A819181" s="242"/>
    </row>
    <row r="819182" spans="1:1" x14ac:dyDescent="0.25">
      <c r="A819182" s="242"/>
    </row>
    <row r="819183" spans="1:1" x14ac:dyDescent="0.25">
      <c r="A819183" s="242"/>
    </row>
    <row r="819184" spans="1:1" x14ac:dyDescent="0.25">
      <c r="A819184" s="242"/>
    </row>
    <row r="819185" spans="1:1" x14ac:dyDescent="0.25">
      <c r="A819185" s="242"/>
    </row>
    <row r="819186" spans="1:1" x14ac:dyDescent="0.25">
      <c r="A819186" s="242"/>
    </row>
    <row r="819187" spans="1:1" x14ac:dyDescent="0.25">
      <c r="A819187" s="242"/>
    </row>
    <row r="819188" spans="1:1" x14ac:dyDescent="0.25">
      <c r="A819188" s="242"/>
    </row>
    <row r="819189" spans="1:1" x14ac:dyDescent="0.25">
      <c r="A819189" s="242"/>
    </row>
    <row r="819190" spans="1:1" x14ac:dyDescent="0.25">
      <c r="A819190" s="242"/>
    </row>
    <row r="819191" spans="1:1" x14ac:dyDescent="0.25">
      <c r="A819191" s="242"/>
    </row>
    <row r="819192" spans="1:1" x14ac:dyDescent="0.25">
      <c r="A819192" s="242"/>
    </row>
    <row r="819193" spans="1:1" x14ac:dyDescent="0.25">
      <c r="A819193" s="242"/>
    </row>
    <row r="819194" spans="1:1" x14ac:dyDescent="0.25">
      <c r="A819194" s="242"/>
    </row>
    <row r="819195" spans="1:1" x14ac:dyDescent="0.25">
      <c r="A819195" s="242"/>
    </row>
    <row r="819196" spans="1:1" x14ac:dyDescent="0.25">
      <c r="A819196" s="242"/>
    </row>
    <row r="819197" spans="1:1" x14ac:dyDescent="0.25">
      <c r="A819197" s="242"/>
    </row>
    <row r="819198" spans="1:1" x14ac:dyDescent="0.25">
      <c r="A819198" s="242"/>
    </row>
    <row r="819199" spans="1:1" x14ac:dyDescent="0.25">
      <c r="A819199" s="242"/>
    </row>
    <row r="819200" spans="1:1" x14ac:dyDescent="0.25">
      <c r="A819200" s="242"/>
    </row>
    <row r="819201" spans="1:1" x14ac:dyDescent="0.25">
      <c r="A819201" s="242"/>
    </row>
    <row r="819202" spans="1:1" x14ac:dyDescent="0.25">
      <c r="A819202" s="242"/>
    </row>
    <row r="819203" spans="1:1" x14ac:dyDescent="0.25">
      <c r="A819203" s="242"/>
    </row>
    <row r="819204" spans="1:1" x14ac:dyDescent="0.25">
      <c r="A819204" s="242"/>
    </row>
    <row r="819205" spans="1:1" x14ac:dyDescent="0.25">
      <c r="A819205" s="242"/>
    </row>
    <row r="819206" spans="1:1" x14ac:dyDescent="0.25">
      <c r="A819206" s="242"/>
    </row>
    <row r="819207" spans="1:1" x14ac:dyDescent="0.25">
      <c r="A819207" s="242"/>
    </row>
    <row r="819208" spans="1:1" x14ac:dyDescent="0.25">
      <c r="A819208" s="242"/>
    </row>
    <row r="819209" spans="1:1" x14ac:dyDescent="0.25">
      <c r="A819209" s="242"/>
    </row>
    <row r="819210" spans="1:1" x14ac:dyDescent="0.25">
      <c r="A819210" s="242"/>
    </row>
    <row r="819211" spans="1:1" x14ac:dyDescent="0.25">
      <c r="A819211" s="242"/>
    </row>
    <row r="819212" spans="1:1" x14ac:dyDescent="0.25">
      <c r="A819212" s="242"/>
    </row>
    <row r="819213" spans="1:1" x14ac:dyDescent="0.25">
      <c r="A819213" s="242"/>
    </row>
    <row r="819214" spans="1:1" x14ac:dyDescent="0.25">
      <c r="A819214" s="242"/>
    </row>
    <row r="819215" spans="1:1" x14ac:dyDescent="0.25">
      <c r="A819215" s="242"/>
    </row>
    <row r="819216" spans="1:1" x14ac:dyDescent="0.25">
      <c r="A819216" s="242"/>
    </row>
    <row r="819217" spans="1:1" x14ac:dyDescent="0.25">
      <c r="A819217" s="242"/>
    </row>
    <row r="819218" spans="1:1" x14ac:dyDescent="0.25">
      <c r="A819218" s="242"/>
    </row>
    <row r="819219" spans="1:1" x14ac:dyDescent="0.25">
      <c r="A819219" s="242"/>
    </row>
    <row r="819220" spans="1:1" x14ac:dyDescent="0.25">
      <c r="A819220" s="242"/>
    </row>
    <row r="819221" spans="1:1" x14ac:dyDescent="0.25">
      <c r="A819221" s="242"/>
    </row>
    <row r="819222" spans="1:1" x14ac:dyDescent="0.25">
      <c r="A819222" s="242"/>
    </row>
    <row r="819223" spans="1:1" x14ac:dyDescent="0.25">
      <c r="A819223" s="242"/>
    </row>
    <row r="819224" spans="1:1" x14ac:dyDescent="0.25">
      <c r="A819224" s="242"/>
    </row>
    <row r="819225" spans="1:1" x14ac:dyDescent="0.25">
      <c r="A819225" s="242"/>
    </row>
    <row r="819226" spans="1:1" x14ac:dyDescent="0.25">
      <c r="A819226" s="242"/>
    </row>
    <row r="819227" spans="1:1" x14ac:dyDescent="0.25">
      <c r="A819227" s="242"/>
    </row>
    <row r="819228" spans="1:1" x14ac:dyDescent="0.25">
      <c r="A819228" s="242"/>
    </row>
    <row r="819229" spans="1:1" x14ac:dyDescent="0.25">
      <c r="A819229" s="242"/>
    </row>
    <row r="819230" spans="1:1" x14ac:dyDescent="0.25">
      <c r="A819230" s="242"/>
    </row>
    <row r="819231" spans="1:1" x14ac:dyDescent="0.25">
      <c r="A819231" s="242"/>
    </row>
    <row r="819232" spans="1:1" x14ac:dyDescent="0.25">
      <c r="A819232" s="242"/>
    </row>
    <row r="819233" spans="1:1" x14ac:dyDescent="0.25">
      <c r="A819233" s="242"/>
    </row>
    <row r="819234" spans="1:1" x14ac:dyDescent="0.25">
      <c r="A819234" s="242"/>
    </row>
    <row r="819235" spans="1:1" x14ac:dyDescent="0.25">
      <c r="A819235" s="242"/>
    </row>
    <row r="819236" spans="1:1" x14ac:dyDescent="0.25">
      <c r="A819236" s="242"/>
    </row>
    <row r="819237" spans="1:1" x14ac:dyDescent="0.25">
      <c r="A819237" s="242"/>
    </row>
    <row r="819238" spans="1:1" x14ac:dyDescent="0.25">
      <c r="A819238" s="242"/>
    </row>
    <row r="819239" spans="1:1" x14ac:dyDescent="0.25">
      <c r="A819239" s="242"/>
    </row>
    <row r="819240" spans="1:1" x14ac:dyDescent="0.25">
      <c r="A819240" s="242"/>
    </row>
    <row r="819241" spans="1:1" x14ac:dyDescent="0.25">
      <c r="A819241" s="242"/>
    </row>
    <row r="819242" spans="1:1" x14ac:dyDescent="0.25">
      <c r="A819242" s="242"/>
    </row>
    <row r="819243" spans="1:1" x14ac:dyDescent="0.25">
      <c r="A819243" s="242"/>
    </row>
    <row r="819244" spans="1:1" x14ac:dyDescent="0.25">
      <c r="A819244" s="242"/>
    </row>
    <row r="819245" spans="1:1" x14ac:dyDescent="0.25">
      <c r="A819245" s="242"/>
    </row>
    <row r="819246" spans="1:1" x14ac:dyDescent="0.25">
      <c r="A819246" s="242"/>
    </row>
    <row r="819247" spans="1:1" x14ac:dyDescent="0.25">
      <c r="A819247" s="242"/>
    </row>
    <row r="819248" spans="1:1" x14ac:dyDescent="0.25">
      <c r="A819248" s="242"/>
    </row>
    <row r="819249" spans="1:1" x14ac:dyDescent="0.25">
      <c r="A819249" s="242"/>
    </row>
    <row r="819250" spans="1:1" x14ac:dyDescent="0.25">
      <c r="A819250" s="242"/>
    </row>
    <row r="819251" spans="1:1" x14ac:dyDescent="0.25">
      <c r="A819251" s="242"/>
    </row>
    <row r="819252" spans="1:1" x14ac:dyDescent="0.25">
      <c r="A819252" s="242"/>
    </row>
    <row r="819253" spans="1:1" x14ac:dyDescent="0.25">
      <c r="A819253" s="242"/>
    </row>
    <row r="819254" spans="1:1" x14ac:dyDescent="0.25">
      <c r="A819254" s="242"/>
    </row>
    <row r="819255" spans="1:1" x14ac:dyDescent="0.25">
      <c r="A819255" s="242"/>
    </row>
    <row r="819256" spans="1:1" x14ac:dyDescent="0.25">
      <c r="A819256" s="242"/>
    </row>
    <row r="819257" spans="1:1" x14ac:dyDescent="0.25">
      <c r="A819257" s="242"/>
    </row>
    <row r="819258" spans="1:1" x14ac:dyDescent="0.25">
      <c r="A819258" s="242"/>
    </row>
    <row r="819259" spans="1:1" x14ac:dyDescent="0.25">
      <c r="A819259" s="242"/>
    </row>
    <row r="819260" spans="1:1" x14ac:dyDescent="0.25">
      <c r="A819260" s="242"/>
    </row>
    <row r="819261" spans="1:1" x14ac:dyDescent="0.25">
      <c r="A819261" s="242"/>
    </row>
    <row r="819262" spans="1:1" x14ac:dyDescent="0.25">
      <c r="A819262" s="242"/>
    </row>
    <row r="819263" spans="1:1" x14ac:dyDescent="0.25">
      <c r="A819263" s="242"/>
    </row>
    <row r="819264" spans="1:1" x14ac:dyDescent="0.25">
      <c r="A819264" s="242"/>
    </row>
    <row r="819265" spans="1:1" x14ac:dyDescent="0.25">
      <c r="A819265" s="242"/>
    </row>
    <row r="819266" spans="1:1" x14ac:dyDescent="0.25">
      <c r="A819266" s="242"/>
    </row>
    <row r="819267" spans="1:1" x14ac:dyDescent="0.25">
      <c r="A819267" s="242"/>
    </row>
    <row r="819268" spans="1:1" x14ac:dyDescent="0.25">
      <c r="A819268" s="242"/>
    </row>
    <row r="819269" spans="1:1" x14ac:dyDescent="0.25">
      <c r="A819269" s="242"/>
    </row>
    <row r="819270" spans="1:1" x14ac:dyDescent="0.25">
      <c r="A819270" s="242"/>
    </row>
    <row r="819271" spans="1:1" x14ac:dyDescent="0.25">
      <c r="A819271" s="242"/>
    </row>
    <row r="819272" spans="1:1" x14ac:dyDescent="0.25">
      <c r="A819272" s="242"/>
    </row>
    <row r="819273" spans="1:1" x14ac:dyDescent="0.25">
      <c r="A819273" s="242"/>
    </row>
    <row r="819274" spans="1:1" x14ac:dyDescent="0.25">
      <c r="A819274" s="242"/>
    </row>
    <row r="819275" spans="1:1" x14ac:dyDescent="0.25">
      <c r="A819275" s="242"/>
    </row>
    <row r="819276" spans="1:1" x14ac:dyDescent="0.25">
      <c r="A819276" s="242"/>
    </row>
    <row r="819277" spans="1:1" x14ac:dyDescent="0.25">
      <c r="A819277" s="242"/>
    </row>
    <row r="819278" spans="1:1" x14ac:dyDescent="0.25">
      <c r="A819278" s="242"/>
    </row>
    <row r="819279" spans="1:1" x14ac:dyDescent="0.25">
      <c r="A819279" s="242"/>
    </row>
    <row r="819280" spans="1:1" x14ac:dyDescent="0.25">
      <c r="A819280" s="242"/>
    </row>
    <row r="819281" spans="1:1" x14ac:dyDescent="0.25">
      <c r="A819281" s="242"/>
    </row>
    <row r="819282" spans="1:1" x14ac:dyDescent="0.25">
      <c r="A819282" s="242"/>
    </row>
    <row r="819283" spans="1:1" x14ac:dyDescent="0.25">
      <c r="A819283" s="242"/>
    </row>
    <row r="819284" spans="1:1" x14ac:dyDescent="0.25">
      <c r="A819284" s="242"/>
    </row>
    <row r="819285" spans="1:1" x14ac:dyDescent="0.25">
      <c r="A819285" s="242"/>
    </row>
    <row r="819286" spans="1:1" x14ac:dyDescent="0.25">
      <c r="A819286" s="242"/>
    </row>
    <row r="819287" spans="1:1" x14ac:dyDescent="0.25">
      <c r="A819287" s="242"/>
    </row>
    <row r="819288" spans="1:1" x14ac:dyDescent="0.25">
      <c r="A819288" s="242"/>
    </row>
    <row r="819289" spans="1:1" x14ac:dyDescent="0.25">
      <c r="A819289" s="242"/>
    </row>
    <row r="819290" spans="1:1" x14ac:dyDescent="0.25">
      <c r="A819290" s="242"/>
    </row>
    <row r="819291" spans="1:1" x14ac:dyDescent="0.25">
      <c r="A819291" s="242"/>
    </row>
    <row r="819292" spans="1:1" x14ac:dyDescent="0.25">
      <c r="A819292" s="242"/>
    </row>
    <row r="819293" spans="1:1" x14ac:dyDescent="0.25">
      <c r="A819293" s="242"/>
    </row>
    <row r="819294" spans="1:1" x14ac:dyDescent="0.25">
      <c r="A819294" s="242"/>
    </row>
    <row r="819295" spans="1:1" x14ac:dyDescent="0.25">
      <c r="A819295" s="242"/>
    </row>
    <row r="819296" spans="1:1" x14ac:dyDescent="0.25">
      <c r="A819296" s="242"/>
    </row>
    <row r="819297" spans="1:1" x14ac:dyDescent="0.25">
      <c r="A819297" s="242"/>
    </row>
    <row r="819298" spans="1:1" x14ac:dyDescent="0.25">
      <c r="A819298" s="242"/>
    </row>
    <row r="819299" spans="1:1" x14ac:dyDescent="0.25">
      <c r="A819299" s="242"/>
    </row>
    <row r="819300" spans="1:1" x14ac:dyDescent="0.25">
      <c r="A819300" s="242"/>
    </row>
    <row r="819301" spans="1:1" x14ac:dyDescent="0.25">
      <c r="A819301" s="242"/>
    </row>
    <row r="819302" spans="1:1" x14ac:dyDescent="0.25">
      <c r="A819302" s="242"/>
    </row>
    <row r="819303" spans="1:1" x14ac:dyDescent="0.25">
      <c r="A819303" s="242"/>
    </row>
    <row r="819304" spans="1:1" x14ac:dyDescent="0.25">
      <c r="A819304" s="242"/>
    </row>
    <row r="819305" spans="1:1" x14ac:dyDescent="0.25">
      <c r="A819305" s="242"/>
    </row>
    <row r="819306" spans="1:1" x14ac:dyDescent="0.25">
      <c r="A819306" s="242"/>
    </row>
    <row r="819307" spans="1:1" x14ac:dyDescent="0.25">
      <c r="A819307" s="242"/>
    </row>
    <row r="819308" spans="1:1" x14ac:dyDescent="0.25">
      <c r="A819308" s="242"/>
    </row>
    <row r="819309" spans="1:1" x14ac:dyDescent="0.25">
      <c r="A819309" s="242"/>
    </row>
    <row r="819310" spans="1:1" x14ac:dyDescent="0.25">
      <c r="A819310" s="242"/>
    </row>
    <row r="819311" spans="1:1" x14ac:dyDescent="0.25">
      <c r="A819311" s="242"/>
    </row>
    <row r="819312" spans="1:1" x14ac:dyDescent="0.25">
      <c r="A819312" s="242"/>
    </row>
    <row r="819313" spans="1:1" x14ac:dyDescent="0.25">
      <c r="A819313" s="242"/>
    </row>
    <row r="819314" spans="1:1" x14ac:dyDescent="0.25">
      <c r="A819314" s="242"/>
    </row>
    <row r="819315" spans="1:1" x14ac:dyDescent="0.25">
      <c r="A819315" s="242"/>
    </row>
    <row r="819316" spans="1:1" x14ac:dyDescent="0.25">
      <c r="A819316" s="242"/>
    </row>
    <row r="819317" spans="1:1" x14ac:dyDescent="0.25">
      <c r="A819317" s="242"/>
    </row>
    <row r="819318" spans="1:1" x14ac:dyDescent="0.25">
      <c r="A819318" s="242"/>
    </row>
    <row r="819319" spans="1:1" x14ac:dyDescent="0.25">
      <c r="A819319" s="242"/>
    </row>
    <row r="819320" spans="1:1" x14ac:dyDescent="0.25">
      <c r="A819320" s="242"/>
    </row>
    <row r="819321" spans="1:1" x14ac:dyDescent="0.25">
      <c r="A819321" s="242"/>
    </row>
    <row r="819322" spans="1:1" x14ac:dyDescent="0.25">
      <c r="A819322" s="242"/>
    </row>
    <row r="819323" spans="1:1" x14ac:dyDescent="0.25">
      <c r="A819323" s="242"/>
    </row>
    <row r="819324" spans="1:1" x14ac:dyDescent="0.25">
      <c r="A819324" s="242"/>
    </row>
    <row r="819325" spans="1:1" x14ac:dyDescent="0.25">
      <c r="A819325" s="242"/>
    </row>
    <row r="819326" spans="1:1" x14ac:dyDescent="0.25">
      <c r="A819326" s="242"/>
    </row>
    <row r="819327" spans="1:1" x14ac:dyDescent="0.25">
      <c r="A819327" s="242"/>
    </row>
    <row r="819328" spans="1:1" x14ac:dyDescent="0.25">
      <c r="A819328" s="242"/>
    </row>
    <row r="819329" spans="1:1" x14ac:dyDescent="0.25">
      <c r="A819329" s="242"/>
    </row>
    <row r="819330" spans="1:1" x14ac:dyDescent="0.25">
      <c r="A819330" s="242"/>
    </row>
    <row r="819331" spans="1:1" x14ac:dyDescent="0.25">
      <c r="A819331" s="242"/>
    </row>
    <row r="819332" spans="1:1" x14ac:dyDescent="0.25">
      <c r="A819332" s="242"/>
    </row>
    <row r="819333" spans="1:1" x14ac:dyDescent="0.25">
      <c r="A819333" s="242"/>
    </row>
    <row r="819334" spans="1:1" x14ac:dyDescent="0.25">
      <c r="A819334" s="242"/>
    </row>
    <row r="819335" spans="1:1" x14ac:dyDescent="0.25">
      <c r="A819335" s="242"/>
    </row>
    <row r="819336" spans="1:1" x14ac:dyDescent="0.25">
      <c r="A819336" s="242"/>
    </row>
    <row r="819337" spans="1:1" x14ac:dyDescent="0.25">
      <c r="A819337" s="242"/>
    </row>
    <row r="819338" spans="1:1" x14ac:dyDescent="0.25">
      <c r="A819338" s="242"/>
    </row>
    <row r="819339" spans="1:1" x14ac:dyDescent="0.25">
      <c r="A819339" s="242"/>
    </row>
    <row r="819340" spans="1:1" x14ac:dyDescent="0.25">
      <c r="A819340" s="242"/>
    </row>
    <row r="819341" spans="1:1" x14ac:dyDescent="0.25">
      <c r="A819341" s="242"/>
    </row>
    <row r="819342" spans="1:1" x14ac:dyDescent="0.25">
      <c r="A819342" s="242"/>
    </row>
    <row r="819343" spans="1:1" x14ac:dyDescent="0.25">
      <c r="A819343" s="242"/>
    </row>
    <row r="819344" spans="1:1" x14ac:dyDescent="0.25">
      <c r="A819344" s="242"/>
    </row>
    <row r="819345" spans="1:1" x14ac:dyDescent="0.25">
      <c r="A819345" s="242"/>
    </row>
    <row r="819346" spans="1:1" x14ac:dyDescent="0.25">
      <c r="A819346" s="242"/>
    </row>
    <row r="819347" spans="1:1" x14ac:dyDescent="0.25">
      <c r="A819347" s="242"/>
    </row>
    <row r="819348" spans="1:1" x14ac:dyDescent="0.25">
      <c r="A819348" s="242"/>
    </row>
    <row r="819349" spans="1:1" x14ac:dyDescent="0.25">
      <c r="A819349" s="242"/>
    </row>
    <row r="819350" spans="1:1" x14ac:dyDescent="0.25">
      <c r="A819350" s="242"/>
    </row>
    <row r="819351" spans="1:1" x14ac:dyDescent="0.25">
      <c r="A819351" s="242"/>
    </row>
    <row r="819352" spans="1:1" x14ac:dyDescent="0.25">
      <c r="A819352" s="242"/>
    </row>
    <row r="819353" spans="1:1" x14ac:dyDescent="0.25">
      <c r="A819353" s="242"/>
    </row>
    <row r="819354" spans="1:1" x14ac:dyDescent="0.25">
      <c r="A819354" s="242"/>
    </row>
    <row r="819355" spans="1:1" x14ac:dyDescent="0.25">
      <c r="A819355" s="242"/>
    </row>
    <row r="819356" spans="1:1" x14ac:dyDescent="0.25">
      <c r="A819356" s="242"/>
    </row>
    <row r="819357" spans="1:1" x14ac:dyDescent="0.25">
      <c r="A819357" s="242"/>
    </row>
    <row r="819358" spans="1:1" x14ac:dyDescent="0.25">
      <c r="A819358" s="242"/>
    </row>
    <row r="819359" spans="1:1" x14ac:dyDescent="0.25">
      <c r="A819359" s="242"/>
    </row>
    <row r="819360" spans="1:1" x14ac:dyDescent="0.25">
      <c r="A819360" s="242"/>
    </row>
    <row r="819361" spans="1:1" x14ac:dyDescent="0.25">
      <c r="A819361" s="242"/>
    </row>
    <row r="819362" spans="1:1" x14ac:dyDescent="0.25">
      <c r="A819362" s="242"/>
    </row>
    <row r="819363" spans="1:1" x14ac:dyDescent="0.25">
      <c r="A819363" s="242"/>
    </row>
    <row r="819364" spans="1:1" x14ac:dyDescent="0.25">
      <c r="A819364" s="242"/>
    </row>
    <row r="819365" spans="1:1" x14ac:dyDescent="0.25">
      <c r="A819365" s="242"/>
    </row>
    <row r="819366" spans="1:1" x14ac:dyDescent="0.25">
      <c r="A819366" s="242"/>
    </row>
    <row r="819367" spans="1:1" x14ac:dyDescent="0.25">
      <c r="A819367" s="242"/>
    </row>
    <row r="819368" spans="1:1" x14ac:dyDescent="0.25">
      <c r="A819368" s="242"/>
    </row>
    <row r="819369" spans="1:1" x14ac:dyDescent="0.25">
      <c r="A819369" s="242"/>
    </row>
    <row r="819370" spans="1:1" x14ac:dyDescent="0.25">
      <c r="A819370" s="242"/>
    </row>
    <row r="819371" spans="1:1" x14ac:dyDescent="0.25">
      <c r="A819371" s="242"/>
    </row>
    <row r="819372" spans="1:1" x14ac:dyDescent="0.25">
      <c r="A819372" s="242"/>
    </row>
    <row r="819373" spans="1:1" x14ac:dyDescent="0.25">
      <c r="A819373" s="242"/>
    </row>
    <row r="819374" spans="1:1" x14ac:dyDescent="0.25">
      <c r="A819374" s="242"/>
    </row>
    <row r="819375" spans="1:1" x14ac:dyDescent="0.25">
      <c r="A819375" s="242"/>
    </row>
    <row r="819376" spans="1:1" x14ac:dyDescent="0.25">
      <c r="A819376" s="242"/>
    </row>
    <row r="819377" spans="1:1" x14ac:dyDescent="0.25">
      <c r="A819377" s="242"/>
    </row>
    <row r="819378" spans="1:1" x14ac:dyDescent="0.25">
      <c r="A819378" s="242"/>
    </row>
    <row r="819379" spans="1:1" x14ac:dyDescent="0.25">
      <c r="A819379" s="242"/>
    </row>
    <row r="819380" spans="1:1" x14ac:dyDescent="0.25">
      <c r="A819380" s="242"/>
    </row>
    <row r="819381" spans="1:1" x14ac:dyDescent="0.25">
      <c r="A819381" s="242"/>
    </row>
    <row r="819382" spans="1:1" x14ac:dyDescent="0.25">
      <c r="A819382" s="242"/>
    </row>
    <row r="819383" spans="1:1" x14ac:dyDescent="0.25">
      <c r="A819383" s="242"/>
    </row>
    <row r="819384" spans="1:1" x14ac:dyDescent="0.25">
      <c r="A819384" s="242"/>
    </row>
    <row r="819385" spans="1:1" x14ac:dyDescent="0.25">
      <c r="A819385" s="242"/>
    </row>
    <row r="819386" spans="1:1" x14ac:dyDescent="0.25">
      <c r="A819386" s="242"/>
    </row>
    <row r="819387" spans="1:1" x14ac:dyDescent="0.25">
      <c r="A819387" s="242"/>
    </row>
    <row r="819388" spans="1:1" x14ac:dyDescent="0.25">
      <c r="A819388" s="242"/>
    </row>
    <row r="819389" spans="1:1" x14ac:dyDescent="0.25">
      <c r="A819389" s="242"/>
    </row>
    <row r="819390" spans="1:1" x14ac:dyDescent="0.25">
      <c r="A819390" s="242"/>
    </row>
    <row r="819391" spans="1:1" x14ac:dyDescent="0.25">
      <c r="A819391" s="242"/>
    </row>
    <row r="819392" spans="1:1" x14ac:dyDescent="0.25">
      <c r="A819392" s="242"/>
    </row>
    <row r="819393" spans="1:1" x14ac:dyDescent="0.25">
      <c r="A819393" s="242"/>
    </row>
    <row r="819394" spans="1:1" x14ac:dyDescent="0.25">
      <c r="A819394" s="242"/>
    </row>
    <row r="819395" spans="1:1" x14ac:dyDescent="0.25">
      <c r="A819395" s="242"/>
    </row>
    <row r="819396" spans="1:1" x14ac:dyDescent="0.25">
      <c r="A819396" s="242"/>
    </row>
    <row r="819397" spans="1:1" x14ac:dyDescent="0.25">
      <c r="A819397" s="242"/>
    </row>
    <row r="819398" spans="1:1" x14ac:dyDescent="0.25">
      <c r="A819398" s="242"/>
    </row>
    <row r="819399" spans="1:1" x14ac:dyDescent="0.25">
      <c r="A819399" s="242"/>
    </row>
    <row r="819400" spans="1:1" x14ac:dyDescent="0.25">
      <c r="A819400" s="242"/>
    </row>
    <row r="819401" spans="1:1" x14ac:dyDescent="0.25">
      <c r="A819401" s="242"/>
    </row>
    <row r="819402" spans="1:1" x14ac:dyDescent="0.25">
      <c r="A819402" s="242"/>
    </row>
    <row r="819403" spans="1:1" x14ac:dyDescent="0.25">
      <c r="A819403" s="242"/>
    </row>
    <row r="819404" spans="1:1" x14ac:dyDescent="0.25">
      <c r="A819404" s="242"/>
    </row>
    <row r="819405" spans="1:1" x14ac:dyDescent="0.25">
      <c r="A819405" s="242"/>
    </row>
    <row r="819406" spans="1:1" x14ac:dyDescent="0.25">
      <c r="A819406" s="242"/>
    </row>
    <row r="819407" spans="1:1" x14ac:dyDescent="0.25">
      <c r="A819407" s="242"/>
    </row>
    <row r="819408" spans="1:1" x14ac:dyDescent="0.25">
      <c r="A819408" s="242"/>
    </row>
    <row r="819409" spans="1:1" x14ac:dyDescent="0.25">
      <c r="A819409" s="242"/>
    </row>
    <row r="819410" spans="1:1" x14ac:dyDescent="0.25">
      <c r="A819410" s="242"/>
    </row>
    <row r="819411" spans="1:1" x14ac:dyDescent="0.25">
      <c r="A819411" s="242"/>
    </row>
    <row r="819412" spans="1:1" x14ac:dyDescent="0.25">
      <c r="A819412" s="242"/>
    </row>
    <row r="819413" spans="1:1" x14ac:dyDescent="0.25">
      <c r="A819413" s="242"/>
    </row>
    <row r="819414" spans="1:1" x14ac:dyDescent="0.25">
      <c r="A819414" s="242"/>
    </row>
    <row r="819415" spans="1:1" x14ac:dyDescent="0.25">
      <c r="A819415" s="242"/>
    </row>
    <row r="819416" spans="1:1" x14ac:dyDescent="0.25">
      <c r="A819416" s="242"/>
    </row>
    <row r="819417" spans="1:1" x14ac:dyDescent="0.25">
      <c r="A819417" s="242"/>
    </row>
    <row r="819418" spans="1:1" x14ac:dyDescent="0.25">
      <c r="A819418" s="242"/>
    </row>
    <row r="819419" spans="1:1" x14ac:dyDescent="0.25">
      <c r="A819419" s="242"/>
    </row>
    <row r="819420" spans="1:1" x14ac:dyDescent="0.25">
      <c r="A819420" s="242"/>
    </row>
    <row r="819421" spans="1:1" x14ac:dyDescent="0.25">
      <c r="A819421" s="242"/>
    </row>
    <row r="819422" spans="1:1" x14ac:dyDescent="0.25">
      <c r="A819422" s="242"/>
    </row>
    <row r="819423" spans="1:1" x14ac:dyDescent="0.25">
      <c r="A819423" s="242"/>
    </row>
    <row r="819424" spans="1:1" x14ac:dyDescent="0.25">
      <c r="A819424" s="242"/>
    </row>
    <row r="819425" spans="1:1" x14ac:dyDescent="0.25">
      <c r="A819425" s="242"/>
    </row>
    <row r="819426" spans="1:1" x14ac:dyDescent="0.25">
      <c r="A819426" s="242"/>
    </row>
    <row r="819427" spans="1:1" x14ac:dyDescent="0.25">
      <c r="A819427" s="242"/>
    </row>
    <row r="819428" spans="1:1" x14ac:dyDescent="0.25">
      <c r="A819428" s="242"/>
    </row>
    <row r="819429" spans="1:1" x14ac:dyDescent="0.25">
      <c r="A819429" s="242"/>
    </row>
    <row r="819430" spans="1:1" x14ac:dyDescent="0.25">
      <c r="A819430" s="242"/>
    </row>
    <row r="819431" spans="1:1" x14ac:dyDescent="0.25">
      <c r="A819431" s="242"/>
    </row>
    <row r="819432" spans="1:1" x14ac:dyDescent="0.25">
      <c r="A819432" s="242"/>
    </row>
    <row r="819433" spans="1:1" x14ac:dyDescent="0.25">
      <c r="A819433" s="242"/>
    </row>
    <row r="819434" spans="1:1" x14ac:dyDescent="0.25">
      <c r="A819434" s="242"/>
    </row>
    <row r="819435" spans="1:1" x14ac:dyDescent="0.25">
      <c r="A819435" s="242"/>
    </row>
    <row r="819436" spans="1:1" x14ac:dyDescent="0.25">
      <c r="A819436" s="242"/>
    </row>
    <row r="819437" spans="1:1" x14ac:dyDescent="0.25">
      <c r="A819437" s="242"/>
    </row>
    <row r="819438" spans="1:1" x14ac:dyDescent="0.25">
      <c r="A819438" s="242"/>
    </row>
    <row r="819439" spans="1:1" x14ac:dyDescent="0.25">
      <c r="A819439" s="242"/>
    </row>
    <row r="819440" spans="1:1" x14ac:dyDescent="0.25">
      <c r="A819440" s="242"/>
    </row>
    <row r="819441" spans="1:1" x14ac:dyDescent="0.25">
      <c r="A819441" s="242"/>
    </row>
    <row r="819442" spans="1:1" x14ac:dyDescent="0.25">
      <c r="A819442" s="242"/>
    </row>
    <row r="819443" spans="1:1" x14ac:dyDescent="0.25">
      <c r="A819443" s="242"/>
    </row>
    <row r="819444" spans="1:1" x14ac:dyDescent="0.25">
      <c r="A819444" s="242"/>
    </row>
    <row r="819445" spans="1:1" x14ac:dyDescent="0.25">
      <c r="A819445" s="242"/>
    </row>
    <row r="819446" spans="1:1" x14ac:dyDescent="0.25">
      <c r="A819446" s="242"/>
    </row>
    <row r="819447" spans="1:1" x14ac:dyDescent="0.25">
      <c r="A819447" s="242"/>
    </row>
    <row r="819448" spans="1:1" x14ac:dyDescent="0.25">
      <c r="A819448" s="242"/>
    </row>
    <row r="819449" spans="1:1" x14ac:dyDescent="0.25">
      <c r="A819449" s="242"/>
    </row>
    <row r="819450" spans="1:1" x14ac:dyDescent="0.25">
      <c r="A819450" s="242"/>
    </row>
    <row r="819451" spans="1:1" x14ac:dyDescent="0.25">
      <c r="A819451" s="242"/>
    </row>
    <row r="819452" spans="1:1" x14ac:dyDescent="0.25">
      <c r="A819452" s="242"/>
    </row>
    <row r="819453" spans="1:1" x14ac:dyDescent="0.25">
      <c r="A819453" s="242"/>
    </row>
    <row r="819454" spans="1:1" x14ac:dyDescent="0.25">
      <c r="A819454" s="242"/>
    </row>
    <row r="819455" spans="1:1" x14ac:dyDescent="0.25">
      <c r="A819455" s="242"/>
    </row>
    <row r="819456" spans="1:1" x14ac:dyDescent="0.25">
      <c r="A819456" s="242"/>
    </row>
    <row r="819457" spans="1:1" x14ac:dyDescent="0.25">
      <c r="A819457" s="242"/>
    </row>
    <row r="819458" spans="1:1" x14ac:dyDescent="0.25">
      <c r="A819458" s="242"/>
    </row>
    <row r="819459" spans="1:1" x14ac:dyDescent="0.25">
      <c r="A819459" s="242"/>
    </row>
    <row r="819460" spans="1:1" x14ac:dyDescent="0.25">
      <c r="A819460" s="242"/>
    </row>
    <row r="819461" spans="1:1" x14ac:dyDescent="0.25">
      <c r="A819461" s="242"/>
    </row>
    <row r="819462" spans="1:1" x14ac:dyDescent="0.25">
      <c r="A819462" s="242"/>
    </row>
    <row r="819463" spans="1:1" x14ac:dyDescent="0.25">
      <c r="A819463" s="242"/>
    </row>
    <row r="819464" spans="1:1" x14ac:dyDescent="0.25">
      <c r="A819464" s="242"/>
    </row>
    <row r="819465" spans="1:1" x14ac:dyDescent="0.25">
      <c r="A819465" s="242"/>
    </row>
    <row r="819466" spans="1:1" x14ac:dyDescent="0.25">
      <c r="A819466" s="242"/>
    </row>
    <row r="819467" spans="1:1" x14ac:dyDescent="0.25">
      <c r="A819467" s="242"/>
    </row>
    <row r="819468" spans="1:1" x14ac:dyDescent="0.25">
      <c r="A819468" s="242"/>
    </row>
    <row r="819469" spans="1:1" x14ac:dyDescent="0.25">
      <c r="A819469" s="242"/>
    </row>
    <row r="819470" spans="1:1" x14ac:dyDescent="0.25">
      <c r="A819470" s="242"/>
    </row>
    <row r="819471" spans="1:1" x14ac:dyDescent="0.25">
      <c r="A819471" s="242"/>
    </row>
    <row r="819472" spans="1:1" x14ac:dyDescent="0.25">
      <c r="A819472" s="242"/>
    </row>
    <row r="819473" spans="1:1" x14ac:dyDescent="0.25">
      <c r="A819473" s="242"/>
    </row>
    <row r="819474" spans="1:1" x14ac:dyDescent="0.25">
      <c r="A819474" s="242"/>
    </row>
    <row r="819475" spans="1:1" x14ac:dyDescent="0.25">
      <c r="A819475" s="242"/>
    </row>
    <row r="819476" spans="1:1" x14ac:dyDescent="0.25">
      <c r="A819476" s="242"/>
    </row>
    <row r="819477" spans="1:1" x14ac:dyDescent="0.25">
      <c r="A819477" s="242"/>
    </row>
    <row r="819478" spans="1:1" x14ac:dyDescent="0.25">
      <c r="A819478" s="242"/>
    </row>
    <row r="819479" spans="1:1" x14ac:dyDescent="0.25">
      <c r="A819479" s="242"/>
    </row>
    <row r="819480" spans="1:1" x14ac:dyDescent="0.25">
      <c r="A819480" s="242"/>
    </row>
    <row r="819481" spans="1:1" x14ac:dyDescent="0.25">
      <c r="A819481" s="242"/>
    </row>
    <row r="819482" spans="1:1" x14ac:dyDescent="0.25">
      <c r="A819482" s="242"/>
    </row>
    <row r="819483" spans="1:1" x14ac:dyDescent="0.25">
      <c r="A819483" s="242"/>
    </row>
    <row r="819484" spans="1:1" x14ac:dyDescent="0.25">
      <c r="A819484" s="242"/>
    </row>
    <row r="819485" spans="1:1" x14ac:dyDescent="0.25">
      <c r="A819485" s="242"/>
    </row>
    <row r="819486" spans="1:1" x14ac:dyDescent="0.25">
      <c r="A819486" s="242"/>
    </row>
    <row r="819487" spans="1:1" x14ac:dyDescent="0.25">
      <c r="A819487" s="242"/>
    </row>
    <row r="819488" spans="1:1" x14ac:dyDescent="0.25">
      <c r="A819488" s="242"/>
    </row>
    <row r="819489" spans="1:1" x14ac:dyDescent="0.25">
      <c r="A819489" s="242"/>
    </row>
    <row r="819490" spans="1:1" x14ac:dyDescent="0.25">
      <c r="A819490" s="242"/>
    </row>
    <row r="819491" spans="1:1" x14ac:dyDescent="0.25">
      <c r="A819491" s="242"/>
    </row>
    <row r="819492" spans="1:1" x14ac:dyDescent="0.25">
      <c r="A819492" s="242"/>
    </row>
    <row r="819493" spans="1:1" x14ac:dyDescent="0.25">
      <c r="A819493" s="242"/>
    </row>
    <row r="819494" spans="1:1" x14ac:dyDescent="0.25">
      <c r="A819494" s="242"/>
    </row>
    <row r="819495" spans="1:1" x14ac:dyDescent="0.25">
      <c r="A819495" s="242"/>
    </row>
    <row r="819496" spans="1:1" x14ac:dyDescent="0.25">
      <c r="A819496" s="242"/>
    </row>
    <row r="819497" spans="1:1" x14ac:dyDescent="0.25">
      <c r="A819497" s="242"/>
    </row>
    <row r="819498" spans="1:1" x14ac:dyDescent="0.25">
      <c r="A819498" s="242"/>
    </row>
    <row r="819499" spans="1:1" x14ac:dyDescent="0.25">
      <c r="A819499" s="242"/>
    </row>
    <row r="819500" spans="1:1" x14ac:dyDescent="0.25">
      <c r="A819500" s="242"/>
    </row>
    <row r="819501" spans="1:1" x14ac:dyDescent="0.25">
      <c r="A819501" s="242"/>
    </row>
    <row r="819502" spans="1:1" x14ac:dyDescent="0.25">
      <c r="A819502" s="242"/>
    </row>
    <row r="819503" spans="1:1" x14ac:dyDescent="0.25">
      <c r="A819503" s="242"/>
    </row>
    <row r="819504" spans="1:1" x14ac:dyDescent="0.25">
      <c r="A819504" s="242"/>
    </row>
    <row r="819505" spans="1:1" x14ac:dyDescent="0.25">
      <c r="A819505" s="242"/>
    </row>
    <row r="819506" spans="1:1" x14ac:dyDescent="0.25">
      <c r="A819506" s="242"/>
    </row>
    <row r="819507" spans="1:1" x14ac:dyDescent="0.25">
      <c r="A819507" s="242"/>
    </row>
    <row r="819508" spans="1:1" x14ac:dyDescent="0.25">
      <c r="A819508" s="242"/>
    </row>
    <row r="819509" spans="1:1" x14ac:dyDescent="0.25">
      <c r="A819509" s="242"/>
    </row>
    <row r="819510" spans="1:1" x14ac:dyDescent="0.25">
      <c r="A819510" s="242"/>
    </row>
    <row r="819511" spans="1:1" x14ac:dyDescent="0.25">
      <c r="A819511" s="242"/>
    </row>
    <row r="819512" spans="1:1" x14ac:dyDescent="0.25">
      <c r="A819512" s="242"/>
    </row>
    <row r="819513" spans="1:1" x14ac:dyDescent="0.25">
      <c r="A819513" s="242"/>
    </row>
    <row r="819514" spans="1:1" x14ac:dyDescent="0.25">
      <c r="A819514" s="242"/>
    </row>
    <row r="819515" spans="1:1" x14ac:dyDescent="0.25">
      <c r="A819515" s="242"/>
    </row>
    <row r="819516" spans="1:1" x14ac:dyDescent="0.25">
      <c r="A819516" s="242"/>
    </row>
    <row r="819517" spans="1:1" x14ac:dyDescent="0.25">
      <c r="A819517" s="242"/>
    </row>
    <row r="819518" spans="1:1" x14ac:dyDescent="0.25">
      <c r="A819518" s="242"/>
    </row>
    <row r="819519" spans="1:1" x14ac:dyDescent="0.25">
      <c r="A819519" s="242"/>
    </row>
    <row r="819520" spans="1:1" x14ac:dyDescent="0.25">
      <c r="A819520" s="242"/>
    </row>
    <row r="819521" spans="1:1" x14ac:dyDescent="0.25">
      <c r="A819521" s="242"/>
    </row>
    <row r="819522" spans="1:1" x14ac:dyDescent="0.25">
      <c r="A819522" s="242"/>
    </row>
    <row r="819523" spans="1:1" x14ac:dyDescent="0.25">
      <c r="A819523" s="242"/>
    </row>
    <row r="819524" spans="1:1" x14ac:dyDescent="0.25">
      <c r="A819524" s="242"/>
    </row>
    <row r="819525" spans="1:1" x14ac:dyDescent="0.25">
      <c r="A819525" s="242"/>
    </row>
    <row r="819526" spans="1:1" x14ac:dyDescent="0.25">
      <c r="A819526" s="242"/>
    </row>
    <row r="819527" spans="1:1" x14ac:dyDescent="0.25">
      <c r="A819527" s="242"/>
    </row>
    <row r="819528" spans="1:1" x14ac:dyDescent="0.25">
      <c r="A819528" s="242"/>
    </row>
    <row r="819529" spans="1:1" x14ac:dyDescent="0.25">
      <c r="A819529" s="242"/>
    </row>
    <row r="819530" spans="1:1" x14ac:dyDescent="0.25">
      <c r="A819530" s="242"/>
    </row>
    <row r="819531" spans="1:1" x14ac:dyDescent="0.25">
      <c r="A819531" s="242"/>
    </row>
    <row r="819532" spans="1:1" x14ac:dyDescent="0.25">
      <c r="A819532" s="242"/>
    </row>
    <row r="819533" spans="1:1" x14ac:dyDescent="0.25">
      <c r="A819533" s="242"/>
    </row>
    <row r="819534" spans="1:1" x14ac:dyDescent="0.25">
      <c r="A819534" s="242"/>
    </row>
    <row r="819535" spans="1:1" x14ac:dyDescent="0.25">
      <c r="A819535" s="242"/>
    </row>
    <row r="819536" spans="1:1" x14ac:dyDescent="0.25">
      <c r="A819536" s="242"/>
    </row>
    <row r="819537" spans="1:1" x14ac:dyDescent="0.25">
      <c r="A819537" s="242"/>
    </row>
    <row r="819538" spans="1:1" x14ac:dyDescent="0.25">
      <c r="A819538" s="242"/>
    </row>
    <row r="819539" spans="1:1" x14ac:dyDescent="0.25">
      <c r="A819539" s="242"/>
    </row>
    <row r="819540" spans="1:1" x14ac:dyDescent="0.25">
      <c r="A819540" s="242"/>
    </row>
    <row r="819541" spans="1:1" x14ac:dyDescent="0.25">
      <c r="A819541" s="242"/>
    </row>
    <row r="819542" spans="1:1" x14ac:dyDescent="0.25">
      <c r="A819542" s="242"/>
    </row>
    <row r="819543" spans="1:1" x14ac:dyDescent="0.25">
      <c r="A819543" s="242"/>
    </row>
    <row r="819544" spans="1:1" x14ac:dyDescent="0.25">
      <c r="A819544" s="242"/>
    </row>
    <row r="819545" spans="1:1" x14ac:dyDescent="0.25">
      <c r="A819545" s="242"/>
    </row>
    <row r="819546" spans="1:1" x14ac:dyDescent="0.25">
      <c r="A819546" s="242"/>
    </row>
    <row r="819547" spans="1:1" x14ac:dyDescent="0.25">
      <c r="A819547" s="242"/>
    </row>
    <row r="819548" spans="1:1" x14ac:dyDescent="0.25">
      <c r="A819548" s="242"/>
    </row>
    <row r="819549" spans="1:1" x14ac:dyDescent="0.25">
      <c r="A819549" s="242"/>
    </row>
    <row r="819550" spans="1:1" x14ac:dyDescent="0.25">
      <c r="A819550" s="242"/>
    </row>
    <row r="819551" spans="1:1" x14ac:dyDescent="0.25">
      <c r="A819551" s="242"/>
    </row>
    <row r="819552" spans="1:1" x14ac:dyDescent="0.25">
      <c r="A819552" s="242"/>
    </row>
    <row r="819553" spans="1:1" x14ac:dyDescent="0.25">
      <c r="A819553" s="242"/>
    </row>
    <row r="819554" spans="1:1" x14ac:dyDescent="0.25">
      <c r="A819554" s="242"/>
    </row>
    <row r="819555" spans="1:1" x14ac:dyDescent="0.25">
      <c r="A819555" s="242"/>
    </row>
    <row r="819556" spans="1:1" x14ac:dyDescent="0.25">
      <c r="A819556" s="242"/>
    </row>
    <row r="819557" spans="1:1" x14ac:dyDescent="0.25">
      <c r="A819557" s="242"/>
    </row>
    <row r="819558" spans="1:1" x14ac:dyDescent="0.25">
      <c r="A819558" s="242"/>
    </row>
    <row r="819559" spans="1:1" x14ac:dyDescent="0.25">
      <c r="A819559" s="242"/>
    </row>
    <row r="819560" spans="1:1" x14ac:dyDescent="0.25">
      <c r="A819560" s="242"/>
    </row>
    <row r="819561" spans="1:1" x14ac:dyDescent="0.25">
      <c r="A819561" s="242"/>
    </row>
    <row r="819562" spans="1:1" x14ac:dyDescent="0.25">
      <c r="A819562" s="242"/>
    </row>
    <row r="819563" spans="1:1" x14ac:dyDescent="0.25">
      <c r="A819563" s="242"/>
    </row>
    <row r="819564" spans="1:1" x14ac:dyDescent="0.25">
      <c r="A819564" s="242"/>
    </row>
    <row r="819565" spans="1:1" x14ac:dyDescent="0.25">
      <c r="A819565" s="242"/>
    </row>
    <row r="819566" spans="1:1" x14ac:dyDescent="0.25">
      <c r="A819566" s="242"/>
    </row>
    <row r="819567" spans="1:1" x14ac:dyDescent="0.25">
      <c r="A819567" s="242"/>
    </row>
    <row r="819568" spans="1:1" x14ac:dyDescent="0.25">
      <c r="A819568" s="242"/>
    </row>
    <row r="819569" spans="1:1" x14ac:dyDescent="0.25">
      <c r="A819569" s="242"/>
    </row>
    <row r="819570" spans="1:1" x14ac:dyDescent="0.25">
      <c r="A819570" s="242"/>
    </row>
    <row r="819571" spans="1:1" x14ac:dyDescent="0.25">
      <c r="A819571" s="242"/>
    </row>
    <row r="819572" spans="1:1" x14ac:dyDescent="0.25">
      <c r="A819572" s="242"/>
    </row>
    <row r="819573" spans="1:1" x14ac:dyDescent="0.25">
      <c r="A819573" s="242"/>
    </row>
    <row r="819574" spans="1:1" x14ac:dyDescent="0.25">
      <c r="A819574" s="242"/>
    </row>
    <row r="819575" spans="1:1" x14ac:dyDescent="0.25">
      <c r="A819575" s="242"/>
    </row>
    <row r="819576" spans="1:1" x14ac:dyDescent="0.25">
      <c r="A819576" s="242"/>
    </row>
    <row r="819577" spans="1:1" x14ac:dyDescent="0.25">
      <c r="A819577" s="242"/>
    </row>
    <row r="819578" spans="1:1" x14ac:dyDescent="0.25">
      <c r="A819578" s="242"/>
    </row>
    <row r="819579" spans="1:1" x14ac:dyDescent="0.25">
      <c r="A819579" s="242"/>
    </row>
    <row r="819580" spans="1:1" x14ac:dyDescent="0.25">
      <c r="A819580" s="242"/>
    </row>
    <row r="819581" spans="1:1" x14ac:dyDescent="0.25">
      <c r="A819581" s="242"/>
    </row>
    <row r="819582" spans="1:1" x14ac:dyDescent="0.25">
      <c r="A819582" s="242"/>
    </row>
    <row r="819583" spans="1:1" x14ac:dyDescent="0.25">
      <c r="A819583" s="242"/>
    </row>
    <row r="819584" spans="1:1" x14ac:dyDescent="0.25">
      <c r="A819584" s="242"/>
    </row>
    <row r="819585" spans="1:1" x14ac:dyDescent="0.25">
      <c r="A819585" s="242"/>
    </row>
    <row r="819586" spans="1:1" x14ac:dyDescent="0.25">
      <c r="A819586" s="242"/>
    </row>
    <row r="819587" spans="1:1" x14ac:dyDescent="0.25">
      <c r="A819587" s="242"/>
    </row>
    <row r="819588" spans="1:1" x14ac:dyDescent="0.25">
      <c r="A819588" s="242"/>
    </row>
    <row r="819589" spans="1:1" x14ac:dyDescent="0.25">
      <c r="A819589" s="242"/>
    </row>
    <row r="819590" spans="1:1" x14ac:dyDescent="0.25">
      <c r="A819590" s="242"/>
    </row>
    <row r="819591" spans="1:1" x14ac:dyDescent="0.25">
      <c r="A819591" s="242"/>
    </row>
    <row r="819592" spans="1:1" x14ac:dyDescent="0.25">
      <c r="A819592" s="242"/>
    </row>
    <row r="819593" spans="1:1" x14ac:dyDescent="0.25">
      <c r="A819593" s="242"/>
    </row>
    <row r="819594" spans="1:1" x14ac:dyDescent="0.25">
      <c r="A819594" s="242"/>
    </row>
    <row r="819595" spans="1:1" x14ac:dyDescent="0.25">
      <c r="A819595" s="242"/>
    </row>
    <row r="819596" spans="1:1" x14ac:dyDescent="0.25">
      <c r="A819596" s="242"/>
    </row>
    <row r="819597" spans="1:1" x14ac:dyDescent="0.25">
      <c r="A819597" s="242"/>
    </row>
    <row r="819598" spans="1:1" x14ac:dyDescent="0.25">
      <c r="A819598" s="242"/>
    </row>
    <row r="819599" spans="1:1" x14ac:dyDescent="0.25">
      <c r="A819599" s="242"/>
    </row>
    <row r="819600" spans="1:1" x14ac:dyDescent="0.25">
      <c r="A819600" s="242"/>
    </row>
    <row r="819601" spans="1:1" x14ac:dyDescent="0.25">
      <c r="A819601" s="242"/>
    </row>
    <row r="819602" spans="1:1" x14ac:dyDescent="0.25">
      <c r="A819602" s="242"/>
    </row>
    <row r="819603" spans="1:1" x14ac:dyDescent="0.25">
      <c r="A819603" s="242"/>
    </row>
    <row r="819604" spans="1:1" x14ac:dyDescent="0.25">
      <c r="A819604" s="242"/>
    </row>
    <row r="819605" spans="1:1" x14ac:dyDescent="0.25">
      <c r="A819605" s="242"/>
    </row>
    <row r="819606" spans="1:1" x14ac:dyDescent="0.25">
      <c r="A819606" s="242"/>
    </row>
    <row r="819607" spans="1:1" x14ac:dyDescent="0.25">
      <c r="A819607" s="242"/>
    </row>
    <row r="819608" spans="1:1" x14ac:dyDescent="0.25">
      <c r="A819608" s="242"/>
    </row>
    <row r="819609" spans="1:1" x14ac:dyDescent="0.25">
      <c r="A819609" s="242"/>
    </row>
    <row r="819610" spans="1:1" x14ac:dyDescent="0.25">
      <c r="A819610" s="242"/>
    </row>
    <row r="819611" spans="1:1" x14ac:dyDescent="0.25">
      <c r="A819611" s="242"/>
    </row>
    <row r="819612" spans="1:1" x14ac:dyDescent="0.25">
      <c r="A819612" s="242"/>
    </row>
    <row r="819613" spans="1:1" x14ac:dyDescent="0.25">
      <c r="A819613" s="242"/>
    </row>
    <row r="819614" spans="1:1" x14ac:dyDescent="0.25">
      <c r="A819614" s="242"/>
    </row>
    <row r="819615" spans="1:1" x14ac:dyDescent="0.25">
      <c r="A819615" s="242"/>
    </row>
    <row r="819616" spans="1:1" x14ac:dyDescent="0.25">
      <c r="A819616" s="242"/>
    </row>
    <row r="819617" spans="1:1" x14ac:dyDescent="0.25">
      <c r="A819617" s="242"/>
    </row>
    <row r="819618" spans="1:1" x14ac:dyDescent="0.25">
      <c r="A819618" s="242"/>
    </row>
    <row r="819619" spans="1:1" x14ac:dyDescent="0.25">
      <c r="A819619" s="242"/>
    </row>
    <row r="819620" spans="1:1" x14ac:dyDescent="0.25">
      <c r="A819620" s="242"/>
    </row>
    <row r="819621" spans="1:1" x14ac:dyDescent="0.25">
      <c r="A819621" s="242"/>
    </row>
    <row r="819622" spans="1:1" x14ac:dyDescent="0.25">
      <c r="A819622" s="242"/>
    </row>
    <row r="819623" spans="1:1" x14ac:dyDescent="0.25">
      <c r="A819623" s="242"/>
    </row>
    <row r="819624" spans="1:1" x14ac:dyDescent="0.25">
      <c r="A819624" s="242"/>
    </row>
    <row r="819625" spans="1:1" x14ac:dyDescent="0.25">
      <c r="A819625" s="242"/>
    </row>
    <row r="819626" spans="1:1" x14ac:dyDescent="0.25">
      <c r="A819626" s="242"/>
    </row>
    <row r="819627" spans="1:1" x14ac:dyDescent="0.25">
      <c r="A819627" s="242"/>
    </row>
    <row r="819628" spans="1:1" x14ac:dyDescent="0.25">
      <c r="A819628" s="242"/>
    </row>
    <row r="819629" spans="1:1" x14ac:dyDescent="0.25">
      <c r="A819629" s="242"/>
    </row>
    <row r="819630" spans="1:1" x14ac:dyDescent="0.25">
      <c r="A819630" s="242"/>
    </row>
    <row r="819631" spans="1:1" x14ac:dyDescent="0.25">
      <c r="A819631" s="242"/>
    </row>
    <row r="819632" spans="1:1" x14ac:dyDescent="0.25">
      <c r="A819632" s="242"/>
    </row>
    <row r="819633" spans="1:1" x14ac:dyDescent="0.25">
      <c r="A819633" s="242"/>
    </row>
    <row r="819634" spans="1:1" x14ac:dyDescent="0.25">
      <c r="A819634" s="242"/>
    </row>
    <row r="819635" spans="1:1" x14ac:dyDescent="0.25">
      <c r="A819635" s="242"/>
    </row>
    <row r="819636" spans="1:1" x14ac:dyDescent="0.25">
      <c r="A819636" s="242"/>
    </row>
    <row r="819637" spans="1:1" x14ac:dyDescent="0.25">
      <c r="A819637" s="242"/>
    </row>
    <row r="819638" spans="1:1" x14ac:dyDescent="0.25">
      <c r="A819638" s="242"/>
    </row>
    <row r="819639" spans="1:1" x14ac:dyDescent="0.25">
      <c r="A819639" s="242"/>
    </row>
    <row r="819640" spans="1:1" x14ac:dyDescent="0.25">
      <c r="A819640" s="242"/>
    </row>
    <row r="819641" spans="1:1" x14ac:dyDescent="0.25">
      <c r="A819641" s="242"/>
    </row>
    <row r="819642" spans="1:1" x14ac:dyDescent="0.25">
      <c r="A819642" s="242"/>
    </row>
    <row r="819643" spans="1:1" x14ac:dyDescent="0.25">
      <c r="A819643" s="242"/>
    </row>
    <row r="819644" spans="1:1" x14ac:dyDescent="0.25">
      <c r="A819644" s="242"/>
    </row>
    <row r="819645" spans="1:1" x14ac:dyDescent="0.25">
      <c r="A819645" s="242"/>
    </row>
    <row r="819646" spans="1:1" x14ac:dyDescent="0.25">
      <c r="A819646" s="242"/>
    </row>
    <row r="819647" spans="1:1" x14ac:dyDescent="0.25">
      <c r="A819647" s="242"/>
    </row>
    <row r="819648" spans="1:1" x14ac:dyDescent="0.25">
      <c r="A819648" s="242"/>
    </row>
    <row r="819649" spans="1:1" x14ac:dyDescent="0.25">
      <c r="A819649" s="242"/>
    </row>
    <row r="819650" spans="1:1" x14ac:dyDescent="0.25">
      <c r="A819650" s="242"/>
    </row>
    <row r="819651" spans="1:1" x14ac:dyDescent="0.25">
      <c r="A819651" s="242"/>
    </row>
    <row r="819652" spans="1:1" x14ac:dyDescent="0.25">
      <c r="A819652" s="242"/>
    </row>
    <row r="819653" spans="1:1" x14ac:dyDescent="0.25">
      <c r="A819653" s="242"/>
    </row>
    <row r="819654" spans="1:1" x14ac:dyDescent="0.25">
      <c r="A819654" s="242"/>
    </row>
    <row r="819655" spans="1:1" x14ac:dyDescent="0.25">
      <c r="A819655" s="242"/>
    </row>
    <row r="819656" spans="1:1" x14ac:dyDescent="0.25">
      <c r="A819656" s="242"/>
    </row>
    <row r="819657" spans="1:1" x14ac:dyDescent="0.25">
      <c r="A819657" s="242"/>
    </row>
    <row r="819658" spans="1:1" x14ac:dyDescent="0.25">
      <c r="A819658" s="242"/>
    </row>
    <row r="819659" spans="1:1" x14ac:dyDescent="0.25">
      <c r="A819659" s="242"/>
    </row>
    <row r="819660" spans="1:1" x14ac:dyDescent="0.25">
      <c r="A819660" s="242"/>
    </row>
    <row r="819661" spans="1:1" x14ac:dyDescent="0.25">
      <c r="A819661" s="242"/>
    </row>
    <row r="819662" spans="1:1" x14ac:dyDescent="0.25">
      <c r="A819662" s="242"/>
    </row>
    <row r="819663" spans="1:1" x14ac:dyDescent="0.25">
      <c r="A819663" s="242"/>
    </row>
    <row r="819664" spans="1:1" x14ac:dyDescent="0.25">
      <c r="A819664" s="242"/>
    </row>
    <row r="819665" spans="1:1" x14ac:dyDescent="0.25">
      <c r="A819665" s="242"/>
    </row>
    <row r="819666" spans="1:1" x14ac:dyDescent="0.25">
      <c r="A819666" s="242"/>
    </row>
    <row r="819667" spans="1:1" x14ac:dyDescent="0.25">
      <c r="A819667" s="242"/>
    </row>
    <row r="819668" spans="1:1" x14ac:dyDescent="0.25">
      <c r="A819668" s="242"/>
    </row>
    <row r="819669" spans="1:1" x14ac:dyDescent="0.25">
      <c r="A819669" s="242"/>
    </row>
    <row r="819670" spans="1:1" x14ac:dyDescent="0.25">
      <c r="A819670" s="242"/>
    </row>
    <row r="819671" spans="1:1" x14ac:dyDescent="0.25">
      <c r="A819671" s="242"/>
    </row>
    <row r="819672" spans="1:1" x14ac:dyDescent="0.25">
      <c r="A819672" s="242"/>
    </row>
    <row r="819673" spans="1:1" x14ac:dyDescent="0.25">
      <c r="A819673" s="242"/>
    </row>
    <row r="819674" spans="1:1" x14ac:dyDescent="0.25">
      <c r="A819674" s="242"/>
    </row>
    <row r="819675" spans="1:1" x14ac:dyDescent="0.25">
      <c r="A819675" s="242"/>
    </row>
    <row r="819676" spans="1:1" x14ac:dyDescent="0.25">
      <c r="A819676" s="242"/>
    </row>
    <row r="819677" spans="1:1" x14ac:dyDescent="0.25">
      <c r="A819677" s="242"/>
    </row>
    <row r="819678" spans="1:1" x14ac:dyDescent="0.25">
      <c r="A819678" s="242"/>
    </row>
    <row r="819679" spans="1:1" x14ac:dyDescent="0.25">
      <c r="A819679" s="242"/>
    </row>
    <row r="819680" spans="1:1" x14ac:dyDescent="0.25">
      <c r="A819680" s="242"/>
    </row>
    <row r="819681" spans="1:1" x14ac:dyDescent="0.25">
      <c r="A819681" s="242"/>
    </row>
    <row r="819682" spans="1:1" x14ac:dyDescent="0.25">
      <c r="A819682" s="242"/>
    </row>
    <row r="819683" spans="1:1" x14ac:dyDescent="0.25">
      <c r="A819683" s="242"/>
    </row>
    <row r="819684" spans="1:1" x14ac:dyDescent="0.25">
      <c r="A819684" s="242"/>
    </row>
    <row r="819685" spans="1:1" x14ac:dyDescent="0.25">
      <c r="A819685" s="242"/>
    </row>
    <row r="819686" spans="1:1" x14ac:dyDescent="0.25">
      <c r="A819686" s="242"/>
    </row>
    <row r="819687" spans="1:1" x14ac:dyDescent="0.25">
      <c r="A819687" s="242"/>
    </row>
    <row r="819688" spans="1:1" x14ac:dyDescent="0.25">
      <c r="A819688" s="242"/>
    </row>
    <row r="819689" spans="1:1" x14ac:dyDescent="0.25">
      <c r="A819689" s="242"/>
    </row>
    <row r="819690" spans="1:1" x14ac:dyDescent="0.25">
      <c r="A819690" s="242"/>
    </row>
    <row r="819691" spans="1:1" x14ac:dyDescent="0.25">
      <c r="A819691" s="242"/>
    </row>
    <row r="819692" spans="1:1" x14ac:dyDescent="0.25">
      <c r="A819692" s="242"/>
    </row>
    <row r="819693" spans="1:1" x14ac:dyDescent="0.25">
      <c r="A819693" s="242"/>
    </row>
    <row r="819694" spans="1:1" x14ac:dyDescent="0.25">
      <c r="A819694" s="242"/>
    </row>
    <row r="819695" spans="1:1" x14ac:dyDescent="0.25">
      <c r="A819695" s="242"/>
    </row>
    <row r="819696" spans="1:1" x14ac:dyDescent="0.25">
      <c r="A819696" s="242"/>
    </row>
    <row r="819697" spans="1:1" x14ac:dyDescent="0.25">
      <c r="A819697" s="242"/>
    </row>
    <row r="819698" spans="1:1" x14ac:dyDescent="0.25">
      <c r="A819698" s="242"/>
    </row>
    <row r="819699" spans="1:1" x14ac:dyDescent="0.25">
      <c r="A819699" s="242"/>
    </row>
    <row r="819700" spans="1:1" x14ac:dyDescent="0.25">
      <c r="A819700" s="242"/>
    </row>
    <row r="819701" spans="1:1" x14ac:dyDescent="0.25">
      <c r="A819701" s="242"/>
    </row>
    <row r="819702" spans="1:1" x14ac:dyDescent="0.25">
      <c r="A819702" s="242"/>
    </row>
    <row r="819703" spans="1:1" x14ac:dyDescent="0.25">
      <c r="A819703" s="242"/>
    </row>
    <row r="819704" spans="1:1" x14ac:dyDescent="0.25">
      <c r="A819704" s="242"/>
    </row>
    <row r="819705" spans="1:1" x14ac:dyDescent="0.25">
      <c r="A819705" s="242"/>
    </row>
    <row r="819706" spans="1:1" x14ac:dyDescent="0.25">
      <c r="A819706" s="242"/>
    </row>
    <row r="819707" spans="1:1" x14ac:dyDescent="0.25">
      <c r="A819707" s="242"/>
    </row>
    <row r="819708" spans="1:1" x14ac:dyDescent="0.25">
      <c r="A819708" s="242"/>
    </row>
    <row r="819709" spans="1:1" x14ac:dyDescent="0.25">
      <c r="A819709" s="242"/>
    </row>
    <row r="819710" spans="1:1" x14ac:dyDescent="0.25">
      <c r="A819710" s="242"/>
    </row>
    <row r="819711" spans="1:1" x14ac:dyDescent="0.25">
      <c r="A819711" s="242"/>
    </row>
    <row r="819712" spans="1:1" x14ac:dyDescent="0.25">
      <c r="A819712" s="242"/>
    </row>
    <row r="819713" spans="1:1" x14ac:dyDescent="0.25">
      <c r="A819713" s="242"/>
    </row>
    <row r="819714" spans="1:1" x14ac:dyDescent="0.25">
      <c r="A819714" s="242"/>
    </row>
    <row r="819715" spans="1:1" x14ac:dyDescent="0.25">
      <c r="A819715" s="242"/>
    </row>
    <row r="819716" spans="1:1" x14ac:dyDescent="0.25">
      <c r="A819716" s="242"/>
    </row>
    <row r="819717" spans="1:1" x14ac:dyDescent="0.25">
      <c r="A819717" s="242"/>
    </row>
    <row r="819718" spans="1:1" x14ac:dyDescent="0.25">
      <c r="A819718" s="242"/>
    </row>
    <row r="819719" spans="1:1" x14ac:dyDescent="0.25">
      <c r="A819719" s="242"/>
    </row>
    <row r="819720" spans="1:1" x14ac:dyDescent="0.25">
      <c r="A819720" s="242"/>
    </row>
    <row r="819721" spans="1:1" x14ac:dyDescent="0.25">
      <c r="A819721" s="242"/>
    </row>
    <row r="819722" spans="1:1" x14ac:dyDescent="0.25">
      <c r="A819722" s="242"/>
    </row>
    <row r="819723" spans="1:1" x14ac:dyDescent="0.25">
      <c r="A819723" s="242"/>
    </row>
    <row r="819724" spans="1:1" x14ac:dyDescent="0.25">
      <c r="A819724" s="242"/>
    </row>
    <row r="819725" spans="1:1" x14ac:dyDescent="0.25">
      <c r="A819725" s="242"/>
    </row>
    <row r="819726" spans="1:1" x14ac:dyDescent="0.25">
      <c r="A819726" s="242"/>
    </row>
    <row r="819727" spans="1:1" x14ac:dyDescent="0.25">
      <c r="A819727" s="242"/>
    </row>
    <row r="819728" spans="1:1" x14ac:dyDescent="0.25">
      <c r="A819728" s="242"/>
    </row>
    <row r="819729" spans="1:1" x14ac:dyDescent="0.25">
      <c r="A819729" s="242"/>
    </row>
    <row r="819730" spans="1:1" x14ac:dyDescent="0.25">
      <c r="A819730" s="242"/>
    </row>
    <row r="819731" spans="1:1" x14ac:dyDescent="0.25">
      <c r="A819731" s="242"/>
    </row>
    <row r="819732" spans="1:1" x14ac:dyDescent="0.25">
      <c r="A819732" s="242"/>
    </row>
    <row r="819733" spans="1:1" x14ac:dyDescent="0.25">
      <c r="A819733" s="242"/>
    </row>
    <row r="819734" spans="1:1" x14ac:dyDescent="0.25">
      <c r="A819734" s="242"/>
    </row>
    <row r="819735" spans="1:1" x14ac:dyDescent="0.25">
      <c r="A819735" s="242"/>
    </row>
    <row r="819736" spans="1:1" x14ac:dyDescent="0.25">
      <c r="A819736" s="242"/>
    </row>
    <row r="819737" spans="1:1" x14ac:dyDescent="0.25">
      <c r="A819737" s="242"/>
    </row>
    <row r="819738" spans="1:1" x14ac:dyDescent="0.25">
      <c r="A819738" s="242"/>
    </row>
    <row r="819739" spans="1:1" x14ac:dyDescent="0.25">
      <c r="A819739" s="242"/>
    </row>
    <row r="819740" spans="1:1" x14ac:dyDescent="0.25">
      <c r="A819740" s="242"/>
    </row>
    <row r="819741" spans="1:1" x14ac:dyDescent="0.25">
      <c r="A819741" s="242"/>
    </row>
    <row r="819742" spans="1:1" x14ac:dyDescent="0.25">
      <c r="A819742" s="242"/>
    </row>
    <row r="819743" spans="1:1" x14ac:dyDescent="0.25">
      <c r="A819743" s="242"/>
    </row>
    <row r="819744" spans="1:1" x14ac:dyDescent="0.25">
      <c r="A819744" s="242"/>
    </row>
    <row r="819745" spans="1:1" x14ac:dyDescent="0.25">
      <c r="A819745" s="242"/>
    </row>
    <row r="819746" spans="1:1" x14ac:dyDescent="0.25">
      <c r="A819746" s="242"/>
    </row>
    <row r="819747" spans="1:1" x14ac:dyDescent="0.25">
      <c r="A819747" s="242"/>
    </row>
    <row r="819748" spans="1:1" x14ac:dyDescent="0.25">
      <c r="A819748" s="242"/>
    </row>
    <row r="819749" spans="1:1" x14ac:dyDescent="0.25">
      <c r="A819749" s="242"/>
    </row>
    <row r="819750" spans="1:1" x14ac:dyDescent="0.25">
      <c r="A819750" s="242"/>
    </row>
    <row r="819751" spans="1:1" x14ac:dyDescent="0.25">
      <c r="A819751" s="242"/>
    </row>
    <row r="819752" spans="1:1" x14ac:dyDescent="0.25">
      <c r="A819752" s="242"/>
    </row>
    <row r="819753" spans="1:1" x14ac:dyDescent="0.25">
      <c r="A819753" s="242"/>
    </row>
    <row r="819754" spans="1:1" x14ac:dyDescent="0.25">
      <c r="A819754" s="242"/>
    </row>
    <row r="819755" spans="1:1" x14ac:dyDescent="0.25">
      <c r="A819755" s="242"/>
    </row>
    <row r="819756" spans="1:1" x14ac:dyDescent="0.25">
      <c r="A819756" s="242"/>
    </row>
    <row r="819757" spans="1:1" x14ac:dyDescent="0.25">
      <c r="A819757" s="242"/>
    </row>
    <row r="819758" spans="1:1" x14ac:dyDescent="0.25">
      <c r="A819758" s="242"/>
    </row>
    <row r="819759" spans="1:1" x14ac:dyDescent="0.25">
      <c r="A819759" s="242"/>
    </row>
    <row r="819760" spans="1:1" x14ac:dyDescent="0.25">
      <c r="A819760" s="242"/>
    </row>
    <row r="819761" spans="1:1" x14ac:dyDescent="0.25">
      <c r="A819761" s="242"/>
    </row>
    <row r="819762" spans="1:1" x14ac:dyDescent="0.25">
      <c r="A819762" s="242"/>
    </row>
    <row r="819763" spans="1:1" x14ac:dyDescent="0.25">
      <c r="A819763" s="242"/>
    </row>
    <row r="819764" spans="1:1" x14ac:dyDescent="0.25">
      <c r="A819764" s="242"/>
    </row>
    <row r="819765" spans="1:1" x14ac:dyDescent="0.25">
      <c r="A819765" s="242"/>
    </row>
    <row r="819766" spans="1:1" x14ac:dyDescent="0.25">
      <c r="A819766" s="242"/>
    </row>
    <row r="819767" spans="1:1" x14ac:dyDescent="0.25">
      <c r="A819767" s="242"/>
    </row>
    <row r="819768" spans="1:1" x14ac:dyDescent="0.25">
      <c r="A819768" s="242"/>
    </row>
    <row r="819769" spans="1:1" x14ac:dyDescent="0.25">
      <c r="A819769" s="242"/>
    </row>
    <row r="819770" spans="1:1" x14ac:dyDescent="0.25">
      <c r="A819770" s="242"/>
    </row>
    <row r="819771" spans="1:1" x14ac:dyDescent="0.25">
      <c r="A819771" s="242"/>
    </row>
    <row r="819772" spans="1:1" x14ac:dyDescent="0.25">
      <c r="A819772" s="242"/>
    </row>
    <row r="819773" spans="1:1" x14ac:dyDescent="0.25">
      <c r="A819773" s="242"/>
    </row>
    <row r="819774" spans="1:1" x14ac:dyDescent="0.25">
      <c r="A819774" s="242"/>
    </row>
    <row r="819775" spans="1:1" x14ac:dyDescent="0.25">
      <c r="A819775" s="242"/>
    </row>
    <row r="819776" spans="1:1" x14ac:dyDescent="0.25">
      <c r="A819776" s="242"/>
    </row>
    <row r="819777" spans="1:1" x14ac:dyDescent="0.25">
      <c r="A819777" s="242"/>
    </row>
    <row r="819778" spans="1:1" x14ac:dyDescent="0.25">
      <c r="A819778" s="242"/>
    </row>
    <row r="819779" spans="1:1" x14ac:dyDescent="0.25">
      <c r="A819779" s="242"/>
    </row>
    <row r="819780" spans="1:1" x14ac:dyDescent="0.25">
      <c r="A819780" s="242"/>
    </row>
    <row r="819781" spans="1:1" x14ac:dyDescent="0.25">
      <c r="A819781" s="242"/>
    </row>
    <row r="819782" spans="1:1" x14ac:dyDescent="0.25">
      <c r="A819782" s="242"/>
    </row>
    <row r="819783" spans="1:1" x14ac:dyDescent="0.25">
      <c r="A819783" s="242"/>
    </row>
    <row r="819784" spans="1:1" x14ac:dyDescent="0.25">
      <c r="A819784" s="242"/>
    </row>
    <row r="819785" spans="1:1" x14ac:dyDescent="0.25">
      <c r="A819785" s="242"/>
    </row>
    <row r="819786" spans="1:1" x14ac:dyDescent="0.25">
      <c r="A819786" s="242"/>
    </row>
    <row r="819787" spans="1:1" x14ac:dyDescent="0.25">
      <c r="A819787" s="242"/>
    </row>
    <row r="819788" spans="1:1" x14ac:dyDescent="0.25">
      <c r="A819788" s="242"/>
    </row>
    <row r="819789" spans="1:1" x14ac:dyDescent="0.25">
      <c r="A819789" s="242"/>
    </row>
    <row r="819790" spans="1:1" x14ac:dyDescent="0.25">
      <c r="A819790" s="242"/>
    </row>
    <row r="819791" spans="1:1" x14ac:dyDescent="0.25">
      <c r="A819791" s="242"/>
    </row>
    <row r="819792" spans="1:1" x14ac:dyDescent="0.25">
      <c r="A819792" s="242"/>
    </row>
    <row r="819793" spans="1:1" x14ac:dyDescent="0.25">
      <c r="A819793" s="242"/>
    </row>
    <row r="819794" spans="1:1" x14ac:dyDescent="0.25">
      <c r="A819794" s="242"/>
    </row>
    <row r="819795" spans="1:1" x14ac:dyDescent="0.25">
      <c r="A819795" s="242"/>
    </row>
    <row r="819796" spans="1:1" x14ac:dyDescent="0.25">
      <c r="A819796" s="242"/>
    </row>
    <row r="819797" spans="1:1" x14ac:dyDescent="0.25">
      <c r="A819797" s="242"/>
    </row>
    <row r="819798" spans="1:1" x14ac:dyDescent="0.25">
      <c r="A819798" s="242"/>
    </row>
    <row r="819799" spans="1:1" x14ac:dyDescent="0.25">
      <c r="A819799" s="242"/>
    </row>
    <row r="819800" spans="1:1" x14ac:dyDescent="0.25">
      <c r="A819800" s="242"/>
    </row>
    <row r="819801" spans="1:1" x14ac:dyDescent="0.25">
      <c r="A819801" s="242"/>
    </row>
    <row r="819802" spans="1:1" x14ac:dyDescent="0.25">
      <c r="A819802" s="242"/>
    </row>
    <row r="819803" spans="1:1" x14ac:dyDescent="0.25">
      <c r="A819803" s="242"/>
    </row>
    <row r="819804" spans="1:1" x14ac:dyDescent="0.25">
      <c r="A819804" s="242"/>
    </row>
    <row r="819805" spans="1:1" x14ac:dyDescent="0.25">
      <c r="A819805" s="242"/>
    </row>
    <row r="819806" spans="1:1" x14ac:dyDescent="0.25">
      <c r="A819806" s="242"/>
    </row>
    <row r="819807" spans="1:1" x14ac:dyDescent="0.25">
      <c r="A819807" s="242"/>
    </row>
    <row r="819808" spans="1:1" x14ac:dyDescent="0.25">
      <c r="A819808" s="242"/>
    </row>
    <row r="819809" spans="1:1" x14ac:dyDescent="0.25">
      <c r="A819809" s="242"/>
    </row>
    <row r="819810" spans="1:1" x14ac:dyDescent="0.25">
      <c r="A819810" s="242"/>
    </row>
    <row r="819811" spans="1:1" x14ac:dyDescent="0.25">
      <c r="A819811" s="242"/>
    </row>
    <row r="819812" spans="1:1" x14ac:dyDescent="0.25">
      <c r="A819812" s="242"/>
    </row>
    <row r="819813" spans="1:1" x14ac:dyDescent="0.25">
      <c r="A819813" s="242"/>
    </row>
    <row r="819814" spans="1:1" x14ac:dyDescent="0.25">
      <c r="A819814" s="242"/>
    </row>
    <row r="819815" spans="1:1" x14ac:dyDescent="0.25">
      <c r="A819815" s="242"/>
    </row>
    <row r="819816" spans="1:1" x14ac:dyDescent="0.25">
      <c r="A819816" s="242"/>
    </row>
    <row r="819817" spans="1:1" x14ac:dyDescent="0.25">
      <c r="A819817" s="242"/>
    </row>
    <row r="819818" spans="1:1" x14ac:dyDescent="0.25">
      <c r="A819818" s="242"/>
    </row>
    <row r="819819" spans="1:1" x14ac:dyDescent="0.25">
      <c r="A819819" s="242"/>
    </row>
    <row r="819820" spans="1:1" x14ac:dyDescent="0.25">
      <c r="A819820" s="242"/>
    </row>
    <row r="819821" spans="1:1" x14ac:dyDescent="0.25">
      <c r="A819821" s="242"/>
    </row>
    <row r="819822" spans="1:1" x14ac:dyDescent="0.25">
      <c r="A819822" s="242"/>
    </row>
    <row r="819823" spans="1:1" x14ac:dyDescent="0.25">
      <c r="A819823" s="242"/>
    </row>
    <row r="819824" spans="1:1" x14ac:dyDescent="0.25">
      <c r="A819824" s="242"/>
    </row>
    <row r="819825" spans="1:1" x14ac:dyDescent="0.25">
      <c r="A819825" s="242"/>
    </row>
    <row r="819826" spans="1:1" x14ac:dyDescent="0.25">
      <c r="A819826" s="242"/>
    </row>
    <row r="819827" spans="1:1" x14ac:dyDescent="0.25">
      <c r="A819827" s="242"/>
    </row>
    <row r="819828" spans="1:1" x14ac:dyDescent="0.25">
      <c r="A819828" s="242"/>
    </row>
    <row r="819829" spans="1:1" x14ac:dyDescent="0.25">
      <c r="A819829" s="242"/>
    </row>
    <row r="819830" spans="1:1" x14ac:dyDescent="0.25">
      <c r="A819830" s="242"/>
    </row>
    <row r="819831" spans="1:1" x14ac:dyDescent="0.25">
      <c r="A819831" s="242"/>
    </row>
    <row r="819832" spans="1:1" x14ac:dyDescent="0.25">
      <c r="A819832" s="242"/>
    </row>
    <row r="819833" spans="1:1" x14ac:dyDescent="0.25">
      <c r="A819833" s="242"/>
    </row>
    <row r="819834" spans="1:1" x14ac:dyDescent="0.25">
      <c r="A819834" s="242"/>
    </row>
    <row r="819835" spans="1:1" x14ac:dyDescent="0.25">
      <c r="A819835" s="242"/>
    </row>
    <row r="819836" spans="1:1" x14ac:dyDescent="0.25">
      <c r="A819836" s="242"/>
    </row>
    <row r="819837" spans="1:1" x14ac:dyDescent="0.25">
      <c r="A819837" s="242"/>
    </row>
    <row r="819838" spans="1:1" x14ac:dyDescent="0.25">
      <c r="A819838" s="242"/>
    </row>
    <row r="819839" spans="1:1" x14ac:dyDescent="0.25">
      <c r="A819839" s="242"/>
    </row>
    <row r="819840" spans="1:1" x14ac:dyDescent="0.25">
      <c r="A819840" s="242"/>
    </row>
    <row r="819841" spans="1:1" x14ac:dyDescent="0.25">
      <c r="A819841" s="242"/>
    </row>
    <row r="819842" spans="1:1" x14ac:dyDescent="0.25">
      <c r="A819842" s="242"/>
    </row>
    <row r="819843" spans="1:1" x14ac:dyDescent="0.25">
      <c r="A819843" s="242"/>
    </row>
    <row r="819844" spans="1:1" x14ac:dyDescent="0.25">
      <c r="A819844" s="242"/>
    </row>
    <row r="819845" spans="1:1" x14ac:dyDescent="0.25">
      <c r="A819845" s="242"/>
    </row>
    <row r="819846" spans="1:1" x14ac:dyDescent="0.25">
      <c r="A819846" s="242"/>
    </row>
    <row r="819847" spans="1:1" x14ac:dyDescent="0.25">
      <c r="A819847" s="242"/>
    </row>
    <row r="819848" spans="1:1" x14ac:dyDescent="0.25">
      <c r="A819848" s="242"/>
    </row>
    <row r="819849" spans="1:1" x14ac:dyDescent="0.25">
      <c r="A819849" s="242"/>
    </row>
    <row r="819850" spans="1:1" x14ac:dyDescent="0.25">
      <c r="A819850" s="242"/>
    </row>
    <row r="819851" spans="1:1" x14ac:dyDescent="0.25">
      <c r="A819851" s="242"/>
    </row>
    <row r="819852" spans="1:1" x14ac:dyDescent="0.25">
      <c r="A819852" s="242"/>
    </row>
    <row r="819853" spans="1:1" x14ac:dyDescent="0.25">
      <c r="A819853" s="242"/>
    </row>
    <row r="819854" spans="1:1" x14ac:dyDescent="0.25">
      <c r="A819854" s="242"/>
    </row>
    <row r="819855" spans="1:1" x14ac:dyDescent="0.25">
      <c r="A819855" s="242"/>
    </row>
    <row r="819856" spans="1:1" x14ac:dyDescent="0.25">
      <c r="A819856" s="242"/>
    </row>
    <row r="819857" spans="1:1" x14ac:dyDescent="0.25">
      <c r="A819857" s="242"/>
    </row>
    <row r="819858" spans="1:1" x14ac:dyDescent="0.25">
      <c r="A819858" s="242"/>
    </row>
    <row r="819859" spans="1:1" x14ac:dyDescent="0.25">
      <c r="A819859" s="242"/>
    </row>
    <row r="819860" spans="1:1" x14ac:dyDescent="0.25">
      <c r="A819860" s="242"/>
    </row>
    <row r="819861" spans="1:1" x14ac:dyDescent="0.25">
      <c r="A819861" s="242"/>
    </row>
    <row r="819862" spans="1:1" x14ac:dyDescent="0.25">
      <c r="A819862" s="242"/>
    </row>
    <row r="819863" spans="1:1" x14ac:dyDescent="0.25">
      <c r="A819863" s="242"/>
    </row>
    <row r="819864" spans="1:1" x14ac:dyDescent="0.25">
      <c r="A819864" s="242"/>
    </row>
    <row r="819865" spans="1:1" x14ac:dyDescent="0.25">
      <c r="A819865" s="242"/>
    </row>
    <row r="819866" spans="1:1" x14ac:dyDescent="0.25">
      <c r="A819866" s="242"/>
    </row>
    <row r="819867" spans="1:1" x14ac:dyDescent="0.25">
      <c r="A819867" s="242"/>
    </row>
    <row r="819868" spans="1:1" x14ac:dyDescent="0.25">
      <c r="A819868" s="242"/>
    </row>
    <row r="819869" spans="1:1" x14ac:dyDescent="0.25">
      <c r="A819869" s="242"/>
    </row>
    <row r="819870" spans="1:1" x14ac:dyDescent="0.25">
      <c r="A819870" s="242"/>
    </row>
    <row r="819871" spans="1:1" x14ac:dyDescent="0.25">
      <c r="A819871" s="242"/>
    </row>
    <row r="819872" spans="1:1" x14ac:dyDescent="0.25">
      <c r="A819872" s="242"/>
    </row>
    <row r="819873" spans="1:1" x14ac:dyDescent="0.25">
      <c r="A819873" s="242"/>
    </row>
    <row r="819874" spans="1:1" x14ac:dyDescent="0.25">
      <c r="A819874" s="242"/>
    </row>
    <row r="819875" spans="1:1" x14ac:dyDescent="0.25">
      <c r="A819875" s="242"/>
    </row>
    <row r="819876" spans="1:1" x14ac:dyDescent="0.25">
      <c r="A819876" s="242"/>
    </row>
    <row r="819877" spans="1:1" x14ac:dyDescent="0.25">
      <c r="A819877" s="242"/>
    </row>
    <row r="819878" spans="1:1" x14ac:dyDescent="0.25">
      <c r="A819878" s="242"/>
    </row>
    <row r="819879" spans="1:1" x14ac:dyDescent="0.25">
      <c r="A819879" s="242"/>
    </row>
    <row r="819880" spans="1:1" x14ac:dyDescent="0.25">
      <c r="A819880" s="242"/>
    </row>
    <row r="819881" spans="1:1" x14ac:dyDescent="0.25">
      <c r="A819881" s="242"/>
    </row>
    <row r="819882" spans="1:1" x14ac:dyDescent="0.25">
      <c r="A819882" s="242"/>
    </row>
    <row r="819883" spans="1:1" x14ac:dyDescent="0.25">
      <c r="A819883" s="242"/>
    </row>
    <row r="819884" spans="1:1" x14ac:dyDescent="0.25">
      <c r="A819884" s="242"/>
    </row>
    <row r="819885" spans="1:1" x14ac:dyDescent="0.25">
      <c r="A819885" s="242"/>
    </row>
    <row r="819886" spans="1:1" x14ac:dyDescent="0.25">
      <c r="A819886" s="242"/>
    </row>
    <row r="819887" spans="1:1" x14ac:dyDescent="0.25">
      <c r="A819887" s="242"/>
    </row>
    <row r="819888" spans="1:1" x14ac:dyDescent="0.25">
      <c r="A819888" s="242"/>
    </row>
    <row r="819889" spans="1:1" x14ac:dyDescent="0.25">
      <c r="A819889" s="242"/>
    </row>
    <row r="819890" spans="1:1" x14ac:dyDescent="0.25">
      <c r="A819890" s="242"/>
    </row>
    <row r="819891" spans="1:1" x14ac:dyDescent="0.25">
      <c r="A819891" s="242"/>
    </row>
    <row r="819892" spans="1:1" x14ac:dyDescent="0.25">
      <c r="A819892" s="242"/>
    </row>
    <row r="819893" spans="1:1" x14ac:dyDescent="0.25">
      <c r="A819893" s="242"/>
    </row>
    <row r="819894" spans="1:1" x14ac:dyDescent="0.25">
      <c r="A819894" s="242"/>
    </row>
    <row r="819895" spans="1:1" x14ac:dyDescent="0.25">
      <c r="A819895" s="242"/>
    </row>
    <row r="819896" spans="1:1" x14ac:dyDescent="0.25">
      <c r="A819896" s="242"/>
    </row>
    <row r="819897" spans="1:1" x14ac:dyDescent="0.25">
      <c r="A819897" s="242"/>
    </row>
    <row r="819898" spans="1:1" x14ac:dyDescent="0.25">
      <c r="A819898" s="242"/>
    </row>
    <row r="819899" spans="1:1" x14ac:dyDescent="0.25">
      <c r="A819899" s="242"/>
    </row>
    <row r="819900" spans="1:1" x14ac:dyDescent="0.25">
      <c r="A819900" s="242"/>
    </row>
    <row r="819901" spans="1:1" x14ac:dyDescent="0.25">
      <c r="A819901" s="242"/>
    </row>
    <row r="819902" spans="1:1" x14ac:dyDescent="0.25">
      <c r="A819902" s="242"/>
    </row>
    <row r="819903" spans="1:1" x14ac:dyDescent="0.25">
      <c r="A819903" s="242"/>
    </row>
    <row r="819904" spans="1:1" x14ac:dyDescent="0.25">
      <c r="A819904" s="242"/>
    </row>
    <row r="819905" spans="1:1" x14ac:dyDescent="0.25">
      <c r="A819905" s="242"/>
    </row>
    <row r="819906" spans="1:1" x14ac:dyDescent="0.25">
      <c r="A819906" s="242"/>
    </row>
    <row r="819907" spans="1:1" x14ac:dyDescent="0.25">
      <c r="A819907" s="242"/>
    </row>
    <row r="819908" spans="1:1" x14ac:dyDescent="0.25">
      <c r="A819908" s="242"/>
    </row>
    <row r="819909" spans="1:1" x14ac:dyDescent="0.25">
      <c r="A819909" s="242"/>
    </row>
    <row r="819910" spans="1:1" x14ac:dyDescent="0.25">
      <c r="A819910" s="242"/>
    </row>
    <row r="819911" spans="1:1" x14ac:dyDescent="0.25">
      <c r="A819911" s="242"/>
    </row>
    <row r="819912" spans="1:1" x14ac:dyDescent="0.25">
      <c r="A819912" s="242"/>
    </row>
    <row r="819913" spans="1:1" x14ac:dyDescent="0.25">
      <c r="A819913" s="242"/>
    </row>
    <row r="819914" spans="1:1" x14ac:dyDescent="0.25">
      <c r="A819914" s="242"/>
    </row>
    <row r="819915" spans="1:1" x14ac:dyDescent="0.25">
      <c r="A819915" s="242"/>
    </row>
    <row r="819916" spans="1:1" x14ac:dyDescent="0.25">
      <c r="A819916" s="242"/>
    </row>
    <row r="819917" spans="1:1" x14ac:dyDescent="0.25">
      <c r="A819917" s="242"/>
    </row>
    <row r="819918" spans="1:1" x14ac:dyDescent="0.25">
      <c r="A819918" s="242"/>
    </row>
    <row r="819919" spans="1:1" x14ac:dyDescent="0.25">
      <c r="A819919" s="242"/>
    </row>
    <row r="819920" spans="1:1" x14ac:dyDescent="0.25">
      <c r="A819920" s="242"/>
    </row>
    <row r="819921" spans="1:1" x14ac:dyDescent="0.25">
      <c r="A819921" s="242"/>
    </row>
    <row r="819922" spans="1:1" x14ac:dyDescent="0.25">
      <c r="A819922" s="242"/>
    </row>
    <row r="819923" spans="1:1" x14ac:dyDescent="0.25">
      <c r="A819923" s="242"/>
    </row>
    <row r="819924" spans="1:1" x14ac:dyDescent="0.25">
      <c r="A819924" s="242"/>
    </row>
    <row r="819925" spans="1:1" x14ac:dyDescent="0.25">
      <c r="A819925" s="242"/>
    </row>
    <row r="819926" spans="1:1" x14ac:dyDescent="0.25">
      <c r="A819926" s="242"/>
    </row>
    <row r="819927" spans="1:1" x14ac:dyDescent="0.25">
      <c r="A819927" s="242"/>
    </row>
    <row r="819928" spans="1:1" x14ac:dyDescent="0.25">
      <c r="A819928" s="242"/>
    </row>
    <row r="819929" spans="1:1" x14ac:dyDescent="0.25">
      <c r="A819929" s="242"/>
    </row>
    <row r="819930" spans="1:1" x14ac:dyDescent="0.25">
      <c r="A819930" s="242"/>
    </row>
    <row r="819931" spans="1:1" x14ac:dyDescent="0.25">
      <c r="A819931" s="242"/>
    </row>
    <row r="819932" spans="1:1" x14ac:dyDescent="0.25">
      <c r="A819932" s="242"/>
    </row>
    <row r="819933" spans="1:1" x14ac:dyDescent="0.25">
      <c r="A819933" s="242"/>
    </row>
    <row r="819934" spans="1:1" x14ac:dyDescent="0.25">
      <c r="A819934" s="242"/>
    </row>
    <row r="819935" spans="1:1" x14ac:dyDescent="0.25">
      <c r="A819935" s="242"/>
    </row>
    <row r="819936" spans="1:1" x14ac:dyDescent="0.25">
      <c r="A819936" s="242"/>
    </row>
    <row r="819937" spans="1:1" x14ac:dyDescent="0.25">
      <c r="A819937" s="242"/>
    </row>
    <row r="819938" spans="1:1" x14ac:dyDescent="0.25">
      <c r="A819938" s="242"/>
    </row>
    <row r="819939" spans="1:1" x14ac:dyDescent="0.25">
      <c r="A819939" s="242"/>
    </row>
    <row r="819940" spans="1:1" x14ac:dyDescent="0.25">
      <c r="A819940" s="242"/>
    </row>
    <row r="819941" spans="1:1" x14ac:dyDescent="0.25">
      <c r="A819941" s="242"/>
    </row>
    <row r="819942" spans="1:1" x14ac:dyDescent="0.25">
      <c r="A819942" s="242"/>
    </row>
    <row r="819943" spans="1:1" x14ac:dyDescent="0.25">
      <c r="A819943" s="242"/>
    </row>
    <row r="819944" spans="1:1" x14ac:dyDescent="0.25">
      <c r="A819944" s="242"/>
    </row>
    <row r="819945" spans="1:1" x14ac:dyDescent="0.25">
      <c r="A819945" s="242"/>
    </row>
    <row r="819946" spans="1:1" x14ac:dyDescent="0.25">
      <c r="A819946" s="242"/>
    </row>
    <row r="819947" spans="1:1" x14ac:dyDescent="0.25">
      <c r="A819947" s="242"/>
    </row>
    <row r="819948" spans="1:1" x14ac:dyDescent="0.25">
      <c r="A819948" s="242"/>
    </row>
    <row r="819949" spans="1:1" x14ac:dyDescent="0.25">
      <c r="A819949" s="242"/>
    </row>
    <row r="819950" spans="1:1" x14ac:dyDescent="0.25">
      <c r="A819950" s="242"/>
    </row>
    <row r="819951" spans="1:1" x14ac:dyDescent="0.25">
      <c r="A819951" s="242"/>
    </row>
    <row r="819952" spans="1:1" x14ac:dyDescent="0.25">
      <c r="A819952" s="242"/>
    </row>
    <row r="819953" spans="1:1" x14ac:dyDescent="0.25">
      <c r="A819953" s="242"/>
    </row>
    <row r="819954" spans="1:1" x14ac:dyDescent="0.25">
      <c r="A819954" s="242"/>
    </row>
    <row r="819955" spans="1:1" x14ac:dyDescent="0.25">
      <c r="A819955" s="242"/>
    </row>
    <row r="819956" spans="1:1" x14ac:dyDescent="0.25">
      <c r="A819956" s="242"/>
    </row>
    <row r="819957" spans="1:1" x14ac:dyDescent="0.25">
      <c r="A819957" s="242"/>
    </row>
    <row r="819958" spans="1:1" x14ac:dyDescent="0.25">
      <c r="A819958" s="242"/>
    </row>
    <row r="819959" spans="1:1" x14ac:dyDescent="0.25">
      <c r="A819959" s="242"/>
    </row>
    <row r="819960" spans="1:1" x14ac:dyDescent="0.25">
      <c r="A819960" s="242"/>
    </row>
    <row r="819961" spans="1:1" x14ac:dyDescent="0.25">
      <c r="A819961" s="242"/>
    </row>
    <row r="819962" spans="1:1" x14ac:dyDescent="0.25">
      <c r="A819962" s="242"/>
    </row>
    <row r="819963" spans="1:1" x14ac:dyDescent="0.25">
      <c r="A819963" s="242"/>
    </row>
    <row r="819964" spans="1:1" x14ac:dyDescent="0.25">
      <c r="A819964" s="242"/>
    </row>
    <row r="819965" spans="1:1" x14ac:dyDescent="0.25">
      <c r="A819965" s="242"/>
    </row>
    <row r="819966" spans="1:1" x14ac:dyDescent="0.25">
      <c r="A819966" s="242"/>
    </row>
    <row r="819967" spans="1:1" x14ac:dyDescent="0.25">
      <c r="A819967" s="242"/>
    </row>
    <row r="819968" spans="1:1" x14ac:dyDescent="0.25">
      <c r="A819968" s="242"/>
    </row>
    <row r="819969" spans="1:1" x14ac:dyDescent="0.25">
      <c r="A819969" s="242"/>
    </row>
    <row r="819970" spans="1:1" x14ac:dyDescent="0.25">
      <c r="A819970" s="242"/>
    </row>
    <row r="819971" spans="1:1" x14ac:dyDescent="0.25">
      <c r="A819971" s="242"/>
    </row>
    <row r="819972" spans="1:1" x14ac:dyDescent="0.25">
      <c r="A819972" s="242"/>
    </row>
    <row r="819973" spans="1:1" x14ac:dyDescent="0.25">
      <c r="A819973" s="242"/>
    </row>
    <row r="819974" spans="1:1" x14ac:dyDescent="0.25">
      <c r="A819974" s="242"/>
    </row>
    <row r="819975" spans="1:1" x14ac:dyDescent="0.25">
      <c r="A819975" s="242"/>
    </row>
    <row r="819976" spans="1:1" x14ac:dyDescent="0.25">
      <c r="A819976" s="242"/>
    </row>
    <row r="819977" spans="1:1" x14ac:dyDescent="0.25">
      <c r="A819977" s="242"/>
    </row>
    <row r="819978" spans="1:1" x14ac:dyDescent="0.25">
      <c r="A819978" s="242"/>
    </row>
    <row r="819979" spans="1:1" x14ac:dyDescent="0.25">
      <c r="A819979" s="242"/>
    </row>
    <row r="819980" spans="1:1" x14ac:dyDescent="0.25">
      <c r="A819980" s="242"/>
    </row>
    <row r="819981" spans="1:1" x14ac:dyDescent="0.25">
      <c r="A819981" s="242"/>
    </row>
    <row r="819982" spans="1:1" x14ac:dyDescent="0.25">
      <c r="A819982" s="242"/>
    </row>
    <row r="819983" spans="1:1" x14ac:dyDescent="0.25">
      <c r="A819983" s="242"/>
    </row>
    <row r="819984" spans="1:1" x14ac:dyDescent="0.25">
      <c r="A819984" s="242"/>
    </row>
    <row r="819985" spans="1:1" x14ac:dyDescent="0.25">
      <c r="A819985" s="242"/>
    </row>
    <row r="819986" spans="1:1" x14ac:dyDescent="0.25">
      <c r="A819986" s="242"/>
    </row>
    <row r="819987" spans="1:1" x14ac:dyDescent="0.25">
      <c r="A819987" s="242"/>
    </row>
    <row r="819988" spans="1:1" x14ac:dyDescent="0.25">
      <c r="A819988" s="242"/>
    </row>
    <row r="819989" spans="1:1" x14ac:dyDescent="0.25">
      <c r="A819989" s="242"/>
    </row>
    <row r="819990" spans="1:1" x14ac:dyDescent="0.25">
      <c r="A819990" s="242"/>
    </row>
    <row r="819991" spans="1:1" x14ac:dyDescent="0.25">
      <c r="A819991" s="242"/>
    </row>
    <row r="819992" spans="1:1" x14ac:dyDescent="0.25">
      <c r="A819992" s="242"/>
    </row>
    <row r="819993" spans="1:1" x14ac:dyDescent="0.25">
      <c r="A819993" s="242"/>
    </row>
    <row r="819994" spans="1:1" x14ac:dyDescent="0.25">
      <c r="A819994" s="242"/>
    </row>
    <row r="819995" spans="1:1" x14ac:dyDescent="0.25">
      <c r="A819995" s="242"/>
    </row>
    <row r="819996" spans="1:1" x14ac:dyDescent="0.25">
      <c r="A819996" s="242"/>
    </row>
    <row r="819997" spans="1:1" x14ac:dyDescent="0.25">
      <c r="A819997" s="242"/>
    </row>
    <row r="819998" spans="1:1" x14ac:dyDescent="0.25">
      <c r="A819998" s="242"/>
    </row>
    <row r="819999" spans="1:1" x14ac:dyDescent="0.25">
      <c r="A819999" s="242"/>
    </row>
    <row r="820000" spans="1:1" x14ac:dyDescent="0.25">
      <c r="A820000" s="242"/>
    </row>
    <row r="820001" spans="1:1" x14ac:dyDescent="0.25">
      <c r="A820001" s="242"/>
    </row>
    <row r="820002" spans="1:1" x14ac:dyDescent="0.25">
      <c r="A820002" s="242"/>
    </row>
    <row r="820003" spans="1:1" x14ac:dyDescent="0.25">
      <c r="A820003" s="242"/>
    </row>
    <row r="820004" spans="1:1" x14ac:dyDescent="0.25">
      <c r="A820004" s="242"/>
    </row>
    <row r="820005" spans="1:1" x14ac:dyDescent="0.25">
      <c r="A820005" s="242"/>
    </row>
    <row r="820006" spans="1:1" x14ac:dyDescent="0.25">
      <c r="A820006" s="242"/>
    </row>
    <row r="820007" spans="1:1" x14ac:dyDescent="0.25">
      <c r="A820007" s="242"/>
    </row>
    <row r="820008" spans="1:1" x14ac:dyDescent="0.25">
      <c r="A820008" s="242"/>
    </row>
    <row r="820009" spans="1:1" x14ac:dyDescent="0.25">
      <c r="A820009" s="242"/>
    </row>
    <row r="820010" spans="1:1" x14ac:dyDescent="0.25">
      <c r="A820010" s="242"/>
    </row>
    <row r="820011" spans="1:1" x14ac:dyDescent="0.25">
      <c r="A820011" s="242"/>
    </row>
    <row r="820012" spans="1:1" x14ac:dyDescent="0.25">
      <c r="A820012" s="242"/>
    </row>
    <row r="820013" spans="1:1" x14ac:dyDescent="0.25">
      <c r="A820013" s="242"/>
    </row>
    <row r="820014" spans="1:1" x14ac:dyDescent="0.25">
      <c r="A820014" s="242"/>
    </row>
    <row r="820015" spans="1:1" x14ac:dyDescent="0.25">
      <c r="A820015" s="242"/>
    </row>
    <row r="820016" spans="1:1" x14ac:dyDescent="0.25">
      <c r="A820016" s="242"/>
    </row>
    <row r="820017" spans="1:1" x14ac:dyDescent="0.25">
      <c r="A820017" s="242"/>
    </row>
    <row r="820018" spans="1:1" x14ac:dyDescent="0.25">
      <c r="A820018" s="242"/>
    </row>
    <row r="820019" spans="1:1" x14ac:dyDescent="0.25">
      <c r="A820019" s="242"/>
    </row>
    <row r="820020" spans="1:1" x14ac:dyDescent="0.25">
      <c r="A820020" s="242"/>
    </row>
    <row r="820021" spans="1:1" x14ac:dyDescent="0.25">
      <c r="A820021" s="242"/>
    </row>
    <row r="820022" spans="1:1" x14ac:dyDescent="0.25">
      <c r="A820022" s="242"/>
    </row>
    <row r="820023" spans="1:1" x14ac:dyDescent="0.25">
      <c r="A820023" s="242"/>
    </row>
    <row r="820024" spans="1:1" x14ac:dyDescent="0.25">
      <c r="A820024" s="242"/>
    </row>
    <row r="820025" spans="1:1" x14ac:dyDescent="0.25">
      <c r="A820025" s="242"/>
    </row>
    <row r="820026" spans="1:1" x14ac:dyDescent="0.25">
      <c r="A820026" s="242"/>
    </row>
    <row r="820027" spans="1:1" x14ac:dyDescent="0.25">
      <c r="A820027" s="242"/>
    </row>
    <row r="820028" spans="1:1" x14ac:dyDescent="0.25">
      <c r="A820028" s="242"/>
    </row>
    <row r="820029" spans="1:1" x14ac:dyDescent="0.25">
      <c r="A820029" s="242"/>
    </row>
    <row r="820030" spans="1:1" x14ac:dyDescent="0.25">
      <c r="A820030" s="242"/>
    </row>
    <row r="820031" spans="1:1" x14ac:dyDescent="0.25">
      <c r="A820031" s="242"/>
    </row>
    <row r="820032" spans="1:1" x14ac:dyDescent="0.25">
      <c r="A820032" s="242"/>
    </row>
    <row r="820033" spans="1:1" x14ac:dyDescent="0.25">
      <c r="A820033" s="242"/>
    </row>
    <row r="820034" spans="1:1" x14ac:dyDescent="0.25">
      <c r="A820034" s="242"/>
    </row>
    <row r="820035" spans="1:1" x14ac:dyDescent="0.25">
      <c r="A820035" s="242"/>
    </row>
    <row r="820036" spans="1:1" x14ac:dyDescent="0.25">
      <c r="A820036" s="242"/>
    </row>
    <row r="820037" spans="1:1" x14ac:dyDescent="0.25">
      <c r="A820037" s="242"/>
    </row>
    <row r="820038" spans="1:1" x14ac:dyDescent="0.25">
      <c r="A820038" s="242"/>
    </row>
    <row r="820039" spans="1:1" x14ac:dyDescent="0.25">
      <c r="A820039" s="242"/>
    </row>
    <row r="820040" spans="1:1" x14ac:dyDescent="0.25">
      <c r="A820040" s="242"/>
    </row>
    <row r="820041" spans="1:1" x14ac:dyDescent="0.25">
      <c r="A820041" s="242"/>
    </row>
    <row r="820042" spans="1:1" x14ac:dyDescent="0.25">
      <c r="A820042" s="242"/>
    </row>
    <row r="820043" spans="1:1" x14ac:dyDescent="0.25">
      <c r="A820043" s="242"/>
    </row>
    <row r="820044" spans="1:1" x14ac:dyDescent="0.25">
      <c r="A820044" s="242"/>
    </row>
    <row r="820045" spans="1:1" x14ac:dyDescent="0.25">
      <c r="A820045" s="242"/>
    </row>
    <row r="820046" spans="1:1" x14ac:dyDescent="0.25">
      <c r="A820046" s="242"/>
    </row>
    <row r="820047" spans="1:1" x14ac:dyDescent="0.25">
      <c r="A820047" s="242"/>
    </row>
    <row r="820048" spans="1:1" x14ac:dyDescent="0.25">
      <c r="A820048" s="242"/>
    </row>
    <row r="820049" spans="1:1" x14ac:dyDescent="0.25">
      <c r="A820049" s="242"/>
    </row>
    <row r="820050" spans="1:1" x14ac:dyDescent="0.25">
      <c r="A820050" s="242"/>
    </row>
    <row r="820051" spans="1:1" x14ac:dyDescent="0.25">
      <c r="A820051" s="242"/>
    </row>
    <row r="820052" spans="1:1" x14ac:dyDescent="0.25">
      <c r="A820052" s="242"/>
    </row>
    <row r="820053" spans="1:1" x14ac:dyDescent="0.25">
      <c r="A820053" s="242"/>
    </row>
    <row r="820054" spans="1:1" x14ac:dyDescent="0.25">
      <c r="A820054" s="242"/>
    </row>
    <row r="820055" spans="1:1" x14ac:dyDescent="0.25">
      <c r="A820055" s="242"/>
    </row>
    <row r="820056" spans="1:1" x14ac:dyDescent="0.25">
      <c r="A820056" s="242"/>
    </row>
    <row r="820057" spans="1:1" x14ac:dyDescent="0.25">
      <c r="A820057" s="242"/>
    </row>
    <row r="820058" spans="1:1" x14ac:dyDescent="0.25">
      <c r="A820058" s="242"/>
    </row>
    <row r="820059" spans="1:1" x14ac:dyDescent="0.25">
      <c r="A820059" s="242"/>
    </row>
    <row r="820060" spans="1:1" x14ac:dyDescent="0.25">
      <c r="A820060" s="242"/>
    </row>
    <row r="820061" spans="1:1" x14ac:dyDescent="0.25">
      <c r="A820061" s="242"/>
    </row>
    <row r="820062" spans="1:1" x14ac:dyDescent="0.25">
      <c r="A820062" s="242"/>
    </row>
    <row r="820063" spans="1:1" x14ac:dyDescent="0.25">
      <c r="A820063" s="242"/>
    </row>
    <row r="820064" spans="1:1" x14ac:dyDescent="0.25">
      <c r="A820064" s="242"/>
    </row>
    <row r="820065" spans="1:1" x14ac:dyDescent="0.25">
      <c r="A820065" s="242"/>
    </row>
    <row r="820066" spans="1:1" x14ac:dyDescent="0.25">
      <c r="A820066" s="242"/>
    </row>
    <row r="820067" spans="1:1" x14ac:dyDescent="0.25">
      <c r="A820067" s="242"/>
    </row>
    <row r="820068" spans="1:1" x14ac:dyDescent="0.25">
      <c r="A820068" s="242"/>
    </row>
    <row r="820069" spans="1:1" x14ac:dyDescent="0.25">
      <c r="A820069" s="242"/>
    </row>
    <row r="820070" spans="1:1" x14ac:dyDescent="0.25">
      <c r="A820070" s="242"/>
    </row>
    <row r="820071" spans="1:1" x14ac:dyDescent="0.25">
      <c r="A820071" s="242"/>
    </row>
    <row r="820072" spans="1:1" x14ac:dyDescent="0.25">
      <c r="A820072" s="242"/>
    </row>
    <row r="820073" spans="1:1" x14ac:dyDescent="0.25">
      <c r="A820073" s="242"/>
    </row>
    <row r="820074" spans="1:1" x14ac:dyDescent="0.25">
      <c r="A820074" s="242"/>
    </row>
    <row r="820075" spans="1:1" x14ac:dyDescent="0.25">
      <c r="A820075" s="242"/>
    </row>
    <row r="820076" spans="1:1" x14ac:dyDescent="0.25">
      <c r="A820076" s="242"/>
    </row>
    <row r="820077" spans="1:1" x14ac:dyDescent="0.25">
      <c r="A820077" s="242"/>
    </row>
    <row r="820078" spans="1:1" x14ac:dyDescent="0.25">
      <c r="A820078" s="242"/>
    </row>
    <row r="820079" spans="1:1" x14ac:dyDescent="0.25">
      <c r="A820079" s="242"/>
    </row>
    <row r="820080" spans="1:1" x14ac:dyDescent="0.25">
      <c r="A820080" s="242"/>
    </row>
    <row r="820081" spans="1:1" x14ac:dyDescent="0.25">
      <c r="A820081" s="242"/>
    </row>
    <row r="820082" spans="1:1" x14ac:dyDescent="0.25">
      <c r="A820082" s="242"/>
    </row>
    <row r="820083" spans="1:1" x14ac:dyDescent="0.25">
      <c r="A820083" s="242"/>
    </row>
    <row r="820084" spans="1:1" x14ac:dyDescent="0.25">
      <c r="A820084" s="242"/>
    </row>
    <row r="820085" spans="1:1" x14ac:dyDescent="0.25">
      <c r="A820085" s="242"/>
    </row>
    <row r="820086" spans="1:1" x14ac:dyDescent="0.25">
      <c r="A820086" s="242"/>
    </row>
    <row r="820087" spans="1:1" x14ac:dyDescent="0.25">
      <c r="A820087" s="242"/>
    </row>
    <row r="820088" spans="1:1" x14ac:dyDescent="0.25">
      <c r="A820088" s="242"/>
    </row>
    <row r="820089" spans="1:1" x14ac:dyDescent="0.25">
      <c r="A820089" s="242"/>
    </row>
    <row r="820090" spans="1:1" x14ac:dyDescent="0.25">
      <c r="A820090" s="242"/>
    </row>
    <row r="820091" spans="1:1" x14ac:dyDescent="0.25">
      <c r="A820091" s="242"/>
    </row>
    <row r="820092" spans="1:1" x14ac:dyDescent="0.25">
      <c r="A820092" s="242"/>
    </row>
    <row r="820093" spans="1:1" x14ac:dyDescent="0.25">
      <c r="A820093" s="242"/>
    </row>
    <row r="820094" spans="1:1" x14ac:dyDescent="0.25">
      <c r="A820094" s="242"/>
    </row>
    <row r="820095" spans="1:1" x14ac:dyDescent="0.25">
      <c r="A820095" s="242"/>
    </row>
    <row r="820096" spans="1:1" x14ac:dyDescent="0.25">
      <c r="A820096" s="242"/>
    </row>
    <row r="820097" spans="1:1" x14ac:dyDescent="0.25">
      <c r="A820097" s="242"/>
    </row>
    <row r="820098" spans="1:1" x14ac:dyDescent="0.25">
      <c r="A820098" s="242"/>
    </row>
    <row r="820099" spans="1:1" x14ac:dyDescent="0.25">
      <c r="A820099" s="242"/>
    </row>
    <row r="820100" spans="1:1" x14ac:dyDescent="0.25">
      <c r="A820100" s="242"/>
    </row>
    <row r="820101" spans="1:1" x14ac:dyDescent="0.25">
      <c r="A820101" s="242"/>
    </row>
    <row r="820102" spans="1:1" x14ac:dyDescent="0.25">
      <c r="A820102" s="242"/>
    </row>
    <row r="820103" spans="1:1" x14ac:dyDescent="0.25">
      <c r="A820103" s="242"/>
    </row>
    <row r="820104" spans="1:1" x14ac:dyDescent="0.25">
      <c r="A820104" s="242"/>
    </row>
    <row r="820105" spans="1:1" x14ac:dyDescent="0.25">
      <c r="A820105" s="242"/>
    </row>
    <row r="820106" spans="1:1" x14ac:dyDescent="0.25">
      <c r="A820106" s="242"/>
    </row>
    <row r="820107" spans="1:1" x14ac:dyDescent="0.25">
      <c r="A820107" s="242"/>
    </row>
    <row r="820108" spans="1:1" x14ac:dyDescent="0.25">
      <c r="A820108" s="242"/>
    </row>
    <row r="820109" spans="1:1" x14ac:dyDescent="0.25">
      <c r="A820109" s="242"/>
    </row>
    <row r="820110" spans="1:1" x14ac:dyDescent="0.25">
      <c r="A820110" s="242"/>
    </row>
    <row r="820111" spans="1:1" x14ac:dyDescent="0.25">
      <c r="A820111" s="242"/>
    </row>
    <row r="820112" spans="1:1" x14ac:dyDescent="0.25">
      <c r="A820112" s="242"/>
    </row>
    <row r="820113" spans="1:1" x14ac:dyDescent="0.25">
      <c r="A820113" s="242"/>
    </row>
    <row r="820114" spans="1:1" x14ac:dyDescent="0.25">
      <c r="A820114" s="242"/>
    </row>
    <row r="820115" spans="1:1" x14ac:dyDescent="0.25">
      <c r="A820115" s="242"/>
    </row>
    <row r="820116" spans="1:1" x14ac:dyDescent="0.25">
      <c r="A820116" s="242"/>
    </row>
    <row r="820117" spans="1:1" x14ac:dyDescent="0.25">
      <c r="A820117" s="242"/>
    </row>
    <row r="820118" spans="1:1" x14ac:dyDescent="0.25">
      <c r="A820118" s="242"/>
    </row>
    <row r="820119" spans="1:1" x14ac:dyDescent="0.25">
      <c r="A820119" s="242"/>
    </row>
    <row r="820120" spans="1:1" x14ac:dyDescent="0.25">
      <c r="A820120" s="242"/>
    </row>
    <row r="820121" spans="1:1" x14ac:dyDescent="0.25">
      <c r="A820121" s="242"/>
    </row>
    <row r="820122" spans="1:1" x14ac:dyDescent="0.25">
      <c r="A820122" s="242"/>
    </row>
    <row r="820123" spans="1:1" x14ac:dyDescent="0.25">
      <c r="A820123" s="242"/>
    </row>
    <row r="820124" spans="1:1" x14ac:dyDescent="0.25">
      <c r="A820124" s="242"/>
    </row>
    <row r="820125" spans="1:1" x14ac:dyDescent="0.25">
      <c r="A820125" s="242"/>
    </row>
    <row r="820126" spans="1:1" x14ac:dyDescent="0.25">
      <c r="A820126" s="242"/>
    </row>
    <row r="820127" spans="1:1" x14ac:dyDescent="0.25">
      <c r="A820127" s="242"/>
    </row>
    <row r="820128" spans="1:1" x14ac:dyDescent="0.25">
      <c r="A820128" s="242"/>
    </row>
    <row r="820129" spans="1:1" x14ac:dyDescent="0.25">
      <c r="A820129" s="242"/>
    </row>
    <row r="820130" spans="1:1" x14ac:dyDescent="0.25">
      <c r="A820130" s="242"/>
    </row>
    <row r="820131" spans="1:1" x14ac:dyDescent="0.25">
      <c r="A820131" s="242"/>
    </row>
    <row r="820132" spans="1:1" x14ac:dyDescent="0.25">
      <c r="A820132" s="242"/>
    </row>
    <row r="820133" spans="1:1" x14ac:dyDescent="0.25">
      <c r="A820133" s="242"/>
    </row>
    <row r="820134" spans="1:1" x14ac:dyDescent="0.25">
      <c r="A820134" s="242"/>
    </row>
    <row r="820135" spans="1:1" x14ac:dyDescent="0.25">
      <c r="A820135" s="242"/>
    </row>
    <row r="820136" spans="1:1" x14ac:dyDescent="0.25">
      <c r="A820136" s="242"/>
    </row>
    <row r="820137" spans="1:1" x14ac:dyDescent="0.25">
      <c r="A820137" s="242"/>
    </row>
    <row r="820138" spans="1:1" x14ac:dyDescent="0.25">
      <c r="A820138" s="242"/>
    </row>
    <row r="820139" spans="1:1" x14ac:dyDescent="0.25">
      <c r="A820139" s="242"/>
    </row>
    <row r="820140" spans="1:1" x14ac:dyDescent="0.25">
      <c r="A820140" s="242"/>
    </row>
    <row r="820141" spans="1:1" x14ac:dyDescent="0.25">
      <c r="A820141" s="242"/>
    </row>
    <row r="820142" spans="1:1" x14ac:dyDescent="0.25">
      <c r="A820142" s="242"/>
    </row>
    <row r="820143" spans="1:1" x14ac:dyDescent="0.25">
      <c r="A820143" s="242"/>
    </row>
    <row r="820144" spans="1:1" x14ac:dyDescent="0.25">
      <c r="A820144" s="242"/>
    </row>
    <row r="820145" spans="1:1" x14ac:dyDescent="0.25">
      <c r="A820145" s="242"/>
    </row>
    <row r="820146" spans="1:1" x14ac:dyDescent="0.25">
      <c r="A820146" s="242"/>
    </row>
    <row r="820147" spans="1:1" x14ac:dyDescent="0.25">
      <c r="A820147" s="242"/>
    </row>
    <row r="820148" spans="1:1" x14ac:dyDescent="0.25">
      <c r="A820148" s="242"/>
    </row>
    <row r="820149" spans="1:1" x14ac:dyDescent="0.25">
      <c r="A820149" s="242"/>
    </row>
    <row r="820150" spans="1:1" x14ac:dyDescent="0.25">
      <c r="A820150" s="242"/>
    </row>
    <row r="820151" spans="1:1" x14ac:dyDescent="0.25">
      <c r="A820151" s="242"/>
    </row>
    <row r="820152" spans="1:1" x14ac:dyDescent="0.25">
      <c r="A820152" s="242"/>
    </row>
    <row r="820153" spans="1:1" x14ac:dyDescent="0.25">
      <c r="A820153" s="242"/>
    </row>
    <row r="820154" spans="1:1" x14ac:dyDescent="0.25">
      <c r="A820154" s="242"/>
    </row>
    <row r="820155" spans="1:1" x14ac:dyDescent="0.25">
      <c r="A820155" s="242"/>
    </row>
    <row r="820156" spans="1:1" x14ac:dyDescent="0.25">
      <c r="A820156" s="242"/>
    </row>
    <row r="820157" spans="1:1" x14ac:dyDescent="0.25">
      <c r="A820157" s="242"/>
    </row>
    <row r="820158" spans="1:1" x14ac:dyDescent="0.25">
      <c r="A820158" s="242"/>
    </row>
    <row r="820159" spans="1:1" x14ac:dyDescent="0.25">
      <c r="A820159" s="242"/>
    </row>
    <row r="820160" spans="1:1" x14ac:dyDescent="0.25">
      <c r="A820160" s="242"/>
    </row>
    <row r="820161" spans="1:1" x14ac:dyDescent="0.25">
      <c r="A820161" s="242"/>
    </row>
    <row r="820162" spans="1:1" x14ac:dyDescent="0.25">
      <c r="A820162" s="242"/>
    </row>
    <row r="820163" spans="1:1" x14ac:dyDescent="0.25">
      <c r="A820163" s="242"/>
    </row>
    <row r="820164" spans="1:1" x14ac:dyDescent="0.25">
      <c r="A820164" s="242"/>
    </row>
    <row r="820165" spans="1:1" x14ac:dyDescent="0.25">
      <c r="A820165" s="242"/>
    </row>
    <row r="820166" spans="1:1" x14ac:dyDescent="0.25">
      <c r="A820166" s="242"/>
    </row>
    <row r="820167" spans="1:1" x14ac:dyDescent="0.25">
      <c r="A820167" s="242"/>
    </row>
    <row r="820168" spans="1:1" x14ac:dyDescent="0.25">
      <c r="A820168" s="242"/>
    </row>
    <row r="820169" spans="1:1" x14ac:dyDescent="0.25">
      <c r="A820169" s="242"/>
    </row>
    <row r="820170" spans="1:1" x14ac:dyDescent="0.25">
      <c r="A820170" s="242"/>
    </row>
    <row r="820171" spans="1:1" x14ac:dyDescent="0.25">
      <c r="A820171" s="242"/>
    </row>
    <row r="820172" spans="1:1" x14ac:dyDescent="0.25">
      <c r="A820172" s="242"/>
    </row>
    <row r="820173" spans="1:1" x14ac:dyDescent="0.25">
      <c r="A820173" s="242"/>
    </row>
    <row r="820174" spans="1:1" x14ac:dyDescent="0.25">
      <c r="A820174" s="242"/>
    </row>
    <row r="820175" spans="1:1" x14ac:dyDescent="0.25">
      <c r="A820175" s="242"/>
    </row>
    <row r="820176" spans="1:1" x14ac:dyDescent="0.25">
      <c r="A820176" s="242"/>
    </row>
    <row r="820177" spans="1:1" x14ac:dyDescent="0.25">
      <c r="A820177" s="242"/>
    </row>
    <row r="820178" spans="1:1" x14ac:dyDescent="0.25">
      <c r="A820178" s="242"/>
    </row>
    <row r="820179" spans="1:1" x14ac:dyDescent="0.25">
      <c r="A820179" s="242"/>
    </row>
    <row r="820180" spans="1:1" x14ac:dyDescent="0.25">
      <c r="A820180" s="242"/>
    </row>
    <row r="820181" spans="1:1" x14ac:dyDescent="0.25">
      <c r="A820181" s="242"/>
    </row>
    <row r="820182" spans="1:1" x14ac:dyDescent="0.25">
      <c r="A820182" s="242"/>
    </row>
    <row r="820183" spans="1:1" x14ac:dyDescent="0.25">
      <c r="A820183" s="242"/>
    </row>
    <row r="820184" spans="1:1" x14ac:dyDescent="0.25">
      <c r="A820184" s="242"/>
    </row>
    <row r="820185" spans="1:1" x14ac:dyDescent="0.25">
      <c r="A820185" s="242"/>
    </row>
    <row r="820186" spans="1:1" x14ac:dyDescent="0.25">
      <c r="A820186" s="242"/>
    </row>
    <row r="820187" spans="1:1" x14ac:dyDescent="0.25">
      <c r="A820187" s="242"/>
    </row>
    <row r="820188" spans="1:1" x14ac:dyDescent="0.25">
      <c r="A820188" s="242"/>
    </row>
    <row r="820189" spans="1:1" x14ac:dyDescent="0.25">
      <c r="A820189" s="242"/>
    </row>
    <row r="820190" spans="1:1" x14ac:dyDescent="0.25">
      <c r="A820190" s="242"/>
    </row>
    <row r="820191" spans="1:1" x14ac:dyDescent="0.25">
      <c r="A820191" s="242"/>
    </row>
    <row r="820192" spans="1:1" x14ac:dyDescent="0.25">
      <c r="A820192" s="242"/>
    </row>
    <row r="820193" spans="1:1" x14ac:dyDescent="0.25">
      <c r="A820193" s="242"/>
    </row>
    <row r="820194" spans="1:1" x14ac:dyDescent="0.25">
      <c r="A820194" s="242"/>
    </row>
    <row r="820195" spans="1:1" x14ac:dyDescent="0.25">
      <c r="A820195" s="242"/>
    </row>
    <row r="820196" spans="1:1" x14ac:dyDescent="0.25">
      <c r="A820196" s="242"/>
    </row>
    <row r="820197" spans="1:1" x14ac:dyDescent="0.25">
      <c r="A820197" s="242"/>
    </row>
    <row r="820198" spans="1:1" x14ac:dyDescent="0.25">
      <c r="A820198" s="242"/>
    </row>
    <row r="820199" spans="1:1" x14ac:dyDescent="0.25">
      <c r="A820199" s="242"/>
    </row>
    <row r="820200" spans="1:1" x14ac:dyDescent="0.25">
      <c r="A820200" s="242"/>
    </row>
    <row r="820201" spans="1:1" x14ac:dyDescent="0.25">
      <c r="A820201" s="242"/>
    </row>
    <row r="820202" spans="1:1" x14ac:dyDescent="0.25">
      <c r="A820202" s="242"/>
    </row>
    <row r="820203" spans="1:1" x14ac:dyDescent="0.25">
      <c r="A820203" s="242"/>
    </row>
    <row r="820204" spans="1:1" x14ac:dyDescent="0.25">
      <c r="A820204" s="242"/>
    </row>
    <row r="820205" spans="1:1" x14ac:dyDescent="0.25">
      <c r="A820205" s="242"/>
    </row>
    <row r="820206" spans="1:1" x14ac:dyDescent="0.25">
      <c r="A820206" s="242"/>
    </row>
    <row r="820207" spans="1:1" x14ac:dyDescent="0.25">
      <c r="A820207" s="242"/>
    </row>
    <row r="820208" spans="1:1" x14ac:dyDescent="0.25">
      <c r="A820208" s="242"/>
    </row>
    <row r="820209" spans="1:1" x14ac:dyDescent="0.25">
      <c r="A820209" s="242"/>
    </row>
    <row r="820210" spans="1:1" x14ac:dyDescent="0.25">
      <c r="A820210" s="242"/>
    </row>
    <row r="820211" spans="1:1" x14ac:dyDescent="0.25">
      <c r="A820211" s="242"/>
    </row>
    <row r="820212" spans="1:1" x14ac:dyDescent="0.25">
      <c r="A820212" s="242"/>
    </row>
    <row r="820213" spans="1:1" x14ac:dyDescent="0.25">
      <c r="A820213" s="242"/>
    </row>
    <row r="820214" spans="1:1" x14ac:dyDescent="0.25">
      <c r="A820214" s="242"/>
    </row>
    <row r="820215" spans="1:1" x14ac:dyDescent="0.25">
      <c r="A820215" s="242"/>
    </row>
    <row r="820216" spans="1:1" x14ac:dyDescent="0.25">
      <c r="A820216" s="242"/>
    </row>
    <row r="820217" spans="1:1" x14ac:dyDescent="0.25">
      <c r="A820217" s="242"/>
    </row>
    <row r="820218" spans="1:1" x14ac:dyDescent="0.25">
      <c r="A820218" s="242"/>
    </row>
    <row r="820219" spans="1:1" x14ac:dyDescent="0.25">
      <c r="A820219" s="242"/>
    </row>
    <row r="820220" spans="1:1" x14ac:dyDescent="0.25">
      <c r="A820220" s="242"/>
    </row>
    <row r="820221" spans="1:1" x14ac:dyDescent="0.25">
      <c r="A820221" s="242"/>
    </row>
    <row r="820222" spans="1:1" x14ac:dyDescent="0.25">
      <c r="A820222" s="242"/>
    </row>
    <row r="820223" spans="1:1" x14ac:dyDescent="0.25">
      <c r="A820223" s="242"/>
    </row>
    <row r="820224" spans="1:1" x14ac:dyDescent="0.25">
      <c r="A820224" s="242"/>
    </row>
    <row r="820225" spans="1:1" x14ac:dyDescent="0.25">
      <c r="A820225" s="242"/>
    </row>
    <row r="820226" spans="1:1" x14ac:dyDescent="0.25">
      <c r="A820226" s="242"/>
    </row>
    <row r="820227" spans="1:1" x14ac:dyDescent="0.25">
      <c r="A820227" s="242"/>
    </row>
    <row r="820228" spans="1:1" x14ac:dyDescent="0.25">
      <c r="A820228" s="242"/>
    </row>
    <row r="820229" spans="1:1" x14ac:dyDescent="0.25">
      <c r="A820229" s="242"/>
    </row>
    <row r="820230" spans="1:1" x14ac:dyDescent="0.25">
      <c r="A820230" s="242"/>
    </row>
    <row r="820231" spans="1:1" x14ac:dyDescent="0.25">
      <c r="A820231" s="242"/>
    </row>
    <row r="820232" spans="1:1" x14ac:dyDescent="0.25">
      <c r="A820232" s="242"/>
    </row>
    <row r="820233" spans="1:1" x14ac:dyDescent="0.25">
      <c r="A820233" s="242"/>
    </row>
    <row r="820234" spans="1:1" x14ac:dyDescent="0.25">
      <c r="A820234" s="242"/>
    </row>
    <row r="820235" spans="1:1" x14ac:dyDescent="0.25">
      <c r="A820235" s="242"/>
    </row>
    <row r="820236" spans="1:1" x14ac:dyDescent="0.25">
      <c r="A820236" s="242"/>
    </row>
    <row r="820237" spans="1:1" x14ac:dyDescent="0.25">
      <c r="A820237" s="242"/>
    </row>
    <row r="820238" spans="1:1" x14ac:dyDescent="0.25">
      <c r="A820238" s="242"/>
    </row>
    <row r="820239" spans="1:1" x14ac:dyDescent="0.25">
      <c r="A820239" s="242"/>
    </row>
    <row r="820240" spans="1:1" x14ac:dyDescent="0.25">
      <c r="A820240" s="242"/>
    </row>
    <row r="820241" spans="1:1" x14ac:dyDescent="0.25">
      <c r="A820241" s="242"/>
    </row>
    <row r="820242" spans="1:1" x14ac:dyDescent="0.25">
      <c r="A820242" s="242"/>
    </row>
    <row r="820243" spans="1:1" x14ac:dyDescent="0.25">
      <c r="A820243" s="242"/>
    </row>
    <row r="820244" spans="1:1" x14ac:dyDescent="0.25">
      <c r="A820244" s="242"/>
    </row>
    <row r="820245" spans="1:1" x14ac:dyDescent="0.25">
      <c r="A820245" s="242"/>
    </row>
    <row r="820246" spans="1:1" x14ac:dyDescent="0.25">
      <c r="A820246" s="242"/>
    </row>
    <row r="820247" spans="1:1" x14ac:dyDescent="0.25">
      <c r="A820247" s="242"/>
    </row>
    <row r="820248" spans="1:1" x14ac:dyDescent="0.25">
      <c r="A820248" s="242"/>
    </row>
    <row r="820249" spans="1:1" x14ac:dyDescent="0.25">
      <c r="A820249" s="242"/>
    </row>
    <row r="820250" spans="1:1" x14ac:dyDescent="0.25">
      <c r="A820250" s="242"/>
    </row>
    <row r="820251" spans="1:1" x14ac:dyDescent="0.25">
      <c r="A820251" s="242"/>
    </row>
    <row r="820252" spans="1:1" x14ac:dyDescent="0.25">
      <c r="A820252" s="242"/>
    </row>
    <row r="820253" spans="1:1" x14ac:dyDescent="0.25">
      <c r="A820253" s="242"/>
    </row>
    <row r="820254" spans="1:1" x14ac:dyDescent="0.25">
      <c r="A820254" s="242"/>
    </row>
    <row r="820255" spans="1:1" x14ac:dyDescent="0.25">
      <c r="A820255" s="242"/>
    </row>
    <row r="820256" spans="1:1" x14ac:dyDescent="0.25">
      <c r="A820256" s="242"/>
    </row>
    <row r="820257" spans="1:1" x14ac:dyDescent="0.25">
      <c r="A820257" s="242"/>
    </row>
    <row r="820258" spans="1:1" x14ac:dyDescent="0.25">
      <c r="A820258" s="242"/>
    </row>
    <row r="820259" spans="1:1" x14ac:dyDescent="0.25">
      <c r="A820259" s="242"/>
    </row>
    <row r="820260" spans="1:1" x14ac:dyDescent="0.25">
      <c r="A820260" s="242"/>
    </row>
    <row r="820261" spans="1:1" x14ac:dyDescent="0.25">
      <c r="A820261" s="242"/>
    </row>
    <row r="820262" spans="1:1" x14ac:dyDescent="0.25">
      <c r="A820262" s="242"/>
    </row>
    <row r="820263" spans="1:1" x14ac:dyDescent="0.25">
      <c r="A820263" s="242"/>
    </row>
    <row r="820264" spans="1:1" x14ac:dyDescent="0.25">
      <c r="A820264" s="242"/>
    </row>
    <row r="820265" spans="1:1" x14ac:dyDescent="0.25">
      <c r="A820265" s="242"/>
    </row>
    <row r="820266" spans="1:1" x14ac:dyDescent="0.25">
      <c r="A820266" s="242"/>
    </row>
    <row r="820267" spans="1:1" x14ac:dyDescent="0.25">
      <c r="A820267" s="242"/>
    </row>
    <row r="820268" spans="1:1" x14ac:dyDescent="0.25">
      <c r="A820268" s="242"/>
    </row>
    <row r="820269" spans="1:1" x14ac:dyDescent="0.25">
      <c r="A820269" s="242"/>
    </row>
    <row r="820270" spans="1:1" x14ac:dyDescent="0.25">
      <c r="A820270" s="242"/>
    </row>
    <row r="820271" spans="1:1" x14ac:dyDescent="0.25">
      <c r="A820271" s="242"/>
    </row>
    <row r="820272" spans="1:1" x14ac:dyDescent="0.25">
      <c r="A820272" s="242"/>
    </row>
    <row r="820273" spans="1:1" x14ac:dyDescent="0.25">
      <c r="A820273" s="242"/>
    </row>
    <row r="820274" spans="1:1" x14ac:dyDescent="0.25">
      <c r="A820274" s="242"/>
    </row>
    <row r="820275" spans="1:1" x14ac:dyDescent="0.25">
      <c r="A820275" s="242"/>
    </row>
    <row r="820276" spans="1:1" x14ac:dyDescent="0.25">
      <c r="A820276" s="242"/>
    </row>
    <row r="820277" spans="1:1" x14ac:dyDescent="0.25">
      <c r="A820277" s="242"/>
    </row>
    <row r="820278" spans="1:1" x14ac:dyDescent="0.25">
      <c r="A820278" s="242"/>
    </row>
    <row r="820279" spans="1:1" x14ac:dyDescent="0.25">
      <c r="A820279" s="242"/>
    </row>
    <row r="820280" spans="1:1" x14ac:dyDescent="0.25">
      <c r="A820280" s="242"/>
    </row>
    <row r="820281" spans="1:1" x14ac:dyDescent="0.25">
      <c r="A820281" s="242"/>
    </row>
    <row r="820282" spans="1:1" x14ac:dyDescent="0.25">
      <c r="A820282" s="242"/>
    </row>
    <row r="820283" spans="1:1" x14ac:dyDescent="0.25">
      <c r="A820283" s="242"/>
    </row>
    <row r="820284" spans="1:1" x14ac:dyDescent="0.25">
      <c r="A820284" s="242"/>
    </row>
    <row r="820285" spans="1:1" x14ac:dyDescent="0.25">
      <c r="A820285" s="242"/>
    </row>
    <row r="820286" spans="1:1" x14ac:dyDescent="0.25">
      <c r="A820286" s="242"/>
    </row>
    <row r="820287" spans="1:1" x14ac:dyDescent="0.25">
      <c r="A820287" s="242"/>
    </row>
    <row r="820288" spans="1:1" x14ac:dyDescent="0.25">
      <c r="A820288" s="242"/>
    </row>
    <row r="820289" spans="1:1" x14ac:dyDescent="0.25">
      <c r="A820289" s="242"/>
    </row>
    <row r="820290" spans="1:1" x14ac:dyDescent="0.25">
      <c r="A820290" s="242"/>
    </row>
    <row r="820291" spans="1:1" x14ac:dyDescent="0.25">
      <c r="A820291" s="242"/>
    </row>
    <row r="820292" spans="1:1" x14ac:dyDescent="0.25">
      <c r="A820292" s="242"/>
    </row>
    <row r="820293" spans="1:1" x14ac:dyDescent="0.25">
      <c r="A820293" s="242"/>
    </row>
    <row r="820294" spans="1:1" x14ac:dyDescent="0.25">
      <c r="A820294" s="242"/>
    </row>
    <row r="820295" spans="1:1" x14ac:dyDescent="0.25">
      <c r="A820295" s="242"/>
    </row>
    <row r="820296" spans="1:1" x14ac:dyDescent="0.25">
      <c r="A820296" s="242"/>
    </row>
    <row r="820297" spans="1:1" x14ac:dyDescent="0.25">
      <c r="A820297" s="242"/>
    </row>
    <row r="820298" spans="1:1" x14ac:dyDescent="0.25">
      <c r="A820298" s="242"/>
    </row>
    <row r="820299" spans="1:1" x14ac:dyDescent="0.25">
      <c r="A820299" s="242"/>
    </row>
    <row r="820300" spans="1:1" x14ac:dyDescent="0.25">
      <c r="A820300" s="242"/>
    </row>
    <row r="820301" spans="1:1" x14ac:dyDescent="0.25">
      <c r="A820301" s="242"/>
    </row>
    <row r="820302" spans="1:1" x14ac:dyDescent="0.25">
      <c r="A820302" s="242"/>
    </row>
    <row r="820303" spans="1:1" x14ac:dyDescent="0.25">
      <c r="A820303" s="242"/>
    </row>
    <row r="820304" spans="1:1" x14ac:dyDescent="0.25">
      <c r="A820304" s="242"/>
    </row>
    <row r="820305" spans="1:1" x14ac:dyDescent="0.25">
      <c r="A820305" s="242"/>
    </row>
    <row r="820306" spans="1:1" x14ac:dyDescent="0.25">
      <c r="A820306" s="242"/>
    </row>
    <row r="820307" spans="1:1" x14ac:dyDescent="0.25">
      <c r="A820307" s="242"/>
    </row>
    <row r="820308" spans="1:1" x14ac:dyDescent="0.25">
      <c r="A820308" s="242"/>
    </row>
    <row r="820309" spans="1:1" x14ac:dyDescent="0.25">
      <c r="A820309" s="242"/>
    </row>
    <row r="820310" spans="1:1" x14ac:dyDescent="0.25">
      <c r="A820310" s="242"/>
    </row>
    <row r="820311" spans="1:1" x14ac:dyDescent="0.25">
      <c r="A820311" s="242"/>
    </row>
    <row r="820312" spans="1:1" x14ac:dyDescent="0.25">
      <c r="A820312" s="242"/>
    </row>
    <row r="820313" spans="1:1" x14ac:dyDescent="0.25">
      <c r="A820313" s="242"/>
    </row>
    <row r="820314" spans="1:1" x14ac:dyDescent="0.25">
      <c r="A820314" s="242"/>
    </row>
    <row r="820315" spans="1:1" x14ac:dyDescent="0.25">
      <c r="A820315" s="242"/>
    </row>
    <row r="820316" spans="1:1" x14ac:dyDescent="0.25">
      <c r="A820316" s="242"/>
    </row>
    <row r="820317" spans="1:1" x14ac:dyDescent="0.25">
      <c r="A820317" s="242"/>
    </row>
    <row r="820318" spans="1:1" x14ac:dyDescent="0.25">
      <c r="A820318" s="242"/>
    </row>
    <row r="820319" spans="1:1" x14ac:dyDescent="0.25">
      <c r="A820319" s="242"/>
    </row>
    <row r="820320" spans="1:1" x14ac:dyDescent="0.25">
      <c r="A820320" s="242"/>
    </row>
    <row r="820321" spans="1:1" x14ac:dyDescent="0.25">
      <c r="A820321" s="242"/>
    </row>
    <row r="820322" spans="1:1" x14ac:dyDescent="0.25">
      <c r="A820322" s="242"/>
    </row>
    <row r="820323" spans="1:1" x14ac:dyDescent="0.25">
      <c r="A820323" s="242"/>
    </row>
    <row r="820324" spans="1:1" x14ac:dyDescent="0.25">
      <c r="A820324" s="242"/>
    </row>
    <row r="820325" spans="1:1" x14ac:dyDescent="0.25">
      <c r="A820325" s="242"/>
    </row>
    <row r="820326" spans="1:1" x14ac:dyDescent="0.25">
      <c r="A820326" s="242"/>
    </row>
    <row r="820327" spans="1:1" x14ac:dyDescent="0.25">
      <c r="A820327" s="242"/>
    </row>
    <row r="820328" spans="1:1" x14ac:dyDescent="0.25">
      <c r="A820328" s="242"/>
    </row>
    <row r="820329" spans="1:1" x14ac:dyDescent="0.25">
      <c r="A820329" s="242"/>
    </row>
    <row r="820330" spans="1:1" x14ac:dyDescent="0.25">
      <c r="A820330" s="242"/>
    </row>
    <row r="820331" spans="1:1" x14ac:dyDescent="0.25">
      <c r="A820331" s="242"/>
    </row>
    <row r="820332" spans="1:1" x14ac:dyDescent="0.25">
      <c r="A820332" s="242"/>
    </row>
    <row r="820333" spans="1:1" x14ac:dyDescent="0.25">
      <c r="A820333" s="242"/>
    </row>
    <row r="820334" spans="1:1" x14ac:dyDescent="0.25">
      <c r="A820334" s="242"/>
    </row>
    <row r="820335" spans="1:1" x14ac:dyDescent="0.25">
      <c r="A820335" s="242"/>
    </row>
    <row r="820336" spans="1:1" x14ac:dyDescent="0.25">
      <c r="A820336" s="242"/>
    </row>
    <row r="820337" spans="1:1" x14ac:dyDescent="0.25">
      <c r="A820337" s="242"/>
    </row>
    <row r="820338" spans="1:1" x14ac:dyDescent="0.25">
      <c r="A820338" s="242"/>
    </row>
    <row r="820339" spans="1:1" x14ac:dyDescent="0.25">
      <c r="A820339" s="242"/>
    </row>
    <row r="820340" spans="1:1" x14ac:dyDescent="0.25">
      <c r="A820340" s="242"/>
    </row>
    <row r="820341" spans="1:1" x14ac:dyDescent="0.25">
      <c r="A820341" s="242"/>
    </row>
    <row r="820342" spans="1:1" x14ac:dyDescent="0.25">
      <c r="A820342" s="242"/>
    </row>
    <row r="820343" spans="1:1" x14ac:dyDescent="0.25">
      <c r="A820343" s="242"/>
    </row>
    <row r="820344" spans="1:1" x14ac:dyDescent="0.25">
      <c r="A820344" s="242"/>
    </row>
    <row r="820345" spans="1:1" x14ac:dyDescent="0.25">
      <c r="A820345" s="242"/>
    </row>
    <row r="820346" spans="1:1" x14ac:dyDescent="0.25">
      <c r="A820346" s="242"/>
    </row>
    <row r="820347" spans="1:1" x14ac:dyDescent="0.25">
      <c r="A820347" s="242"/>
    </row>
    <row r="820348" spans="1:1" x14ac:dyDescent="0.25">
      <c r="A820348" s="242"/>
    </row>
    <row r="820349" spans="1:1" x14ac:dyDescent="0.25">
      <c r="A820349" s="242"/>
    </row>
    <row r="820350" spans="1:1" x14ac:dyDescent="0.25">
      <c r="A820350" s="242"/>
    </row>
    <row r="820351" spans="1:1" x14ac:dyDescent="0.25">
      <c r="A820351" s="242"/>
    </row>
    <row r="820352" spans="1:1" x14ac:dyDescent="0.25">
      <c r="A820352" s="242"/>
    </row>
    <row r="820353" spans="1:1" x14ac:dyDescent="0.25">
      <c r="A820353" s="242"/>
    </row>
    <row r="820354" spans="1:1" x14ac:dyDescent="0.25">
      <c r="A820354" s="242"/>
    </row>
    <row r="820355" spans="1:1" x14ac:dyDescent="0.25">
      <c r="A820355" s="242"/>
    </row>
    <row r="820356" spans="1:1" x14ac:dyDescent="0.25">
      <c r="A820356" s="242"/>
    </row>
    <row r="820357" spans="1:1" x14ac:dyDescent="0.25">
      <c r="A820357" s="242"/>
    </row>
    <row r="820358" spans="1:1" x14ac:dyDescent="0.25">
      <c r="A820358" s="242"/>
    </row>
    <row r="820359" spans="1:1" x14ac:dyDescent="0.25">
      <c r="A820359" s="242"/>
    </row>
    <row r="820360" spans="1:1" x14ac:dyDescent="0.25">
      <c r="A820360" s="242"/>
    </row>
    <row r="820361" spans="1:1" x14ac:dyDescent="0.25">
      <c r="A820361" s="242"/>
    </row>
    <row r="820362" spans="1:1" x14ac:dyDescent="0.25">
      <c r="A820362" s="242"/>
    </row>
    <row r="820363" spans="1:1" x14ac:dyDescent="0.25">
      <c r="A820363" s="242"/>
    </row>
    <row r="820364" spans="1:1" x14ac:dyDescent="0.25">
      <c r="A820364" s="242"/>
    </row>
    <row r="820365" spans="1:1" x14ac:dyDescent="0.25">
      <c r="A820365" s="242"/>
    </row>
    <row r="820366" spans="1:1" x14ac:dyDescent="0.25">
      <c r="A820366" s="242"/>
    </row>
    <row r="820367" spans="1:1" x14ac:dyDescent="0.25">
      <c r="A820367" s="242"/>
    </row>
    <row r="820368" spans="1:1" x14ac:dyDescent="0.25">
      <c r="A820368" s="242"/>
    </row>
    <row r="820369" spans="1:1" x14ac:dyDescent="0.25">
      <c r="A820369" s="242"/>
    </row>
    <row r="820370" spans="1:1" x14ac:dyDescent="0.25">
      <c r="A820370" s="242"/>
    </row>
    <row r="820371" spans="1:1" x14ac:dyDescent="0.25">
      <c r="A820371" s="242"/>
    </row>
    <row r="820372" spans="1:1" x14ac:dyDescent="0.25">
      <c r="A820372" s="242"/>
    </row>
    <row r="820373" spans="1:1" x14ac:dyDescent="0.25">
      <c r="A820373" s="242"/>
    </row>
    <row r="820374" spans="1:1" x14ac:dyDescent="0.25">
      <c r="A820374" s="242"/>
    </row>
    <row r="820375" spans="1:1" x14ac:dyDescent="0.25">
      <c r="A820375" s="242"/>
    </row>
    <row r="820376" spans="1:1" x14ac:dyDescent="0.25">
      <c r="A820376" s="242"/>
    </row>
    <row r="820377" spans="1:1" x14ac:dyDescent="0.25">
      <c r="A820377" s="242"/>
    </row>
    <row r="820378" spans="1:1" x14ac:dyDescent="0.25">
      <c r="A820378" s="242"/>
    </row>
    <row r="820379" spans="1:1" x14ac:dyDescent="0.25">
      <c r="A820379" s="242"/>
    </row>
    <row r="820380" spans="1:1" x14ac:dyDescent="0.25">
      <c r="A820380" s="242"/>
    </row>
    <row r="820381" spans="1:1" x14ac:dyDescent="0.25">
      <c r="A820381" s="242"/>
    </row>
    <row r="820382" spans="1:1" x14ac:dyDescent="0.25">
      <c r="A820382" s="242"/>
    </row>
    <row r="820383" spans="1:1" x14ac:dyDescent="0.25">
      <c r="A820383" s="242"/>
    </row>
    <row r="820384" spans="1:1" x14ac:dyDescent="0.25">
      <c r="A820384" s="242"/>
    </row>
    <row r="820385" spans="1:1" x14ac:dyDescent="0.25">
      <c r="A820385" s="242"/>
    </row>
    <row r="820386" spans="1:1" x14ac:dyDescent="0.25">
      <c r="A820386" s="242"/>
    </row>
    <row r="820387" spans="1:1" x14ac:dyDescent="0.25">
      <c r="A820387" s="242"/>
    </row>
    <row r="820388" spans="1:1" x14ac:dyDescent="0.25">
      <c r="A820388" s="242"/>
    </row>
    <row r="820389" spans="1:1" x14ac:dyDescent="0.25">
      <c r="A820389" s="242"/>
    </row>
    <row r="820390" spans="1:1" x14ac:dyDescent="0.25">
      <c r="A820390" s="242"/>
    </row>
    <row r="820391" spans="1:1" x14ac:dyDescent="0.25">
      <c r="A820391" s="242"/>
    </row>
    <row r="820392" spans="1:1" x14ac:dyDescent="0.25">
      <c r="A820392" s="242"/>
    </row>
    <row r="820393" spans="1:1" x14ac:dyDescent="0.25">
      <c r="A820393" s="242"/>
    </row>
    <row r="820394" spans="1:1" x14ac:dyDescent="0.25">
      <c r="A820394" s="242"/>
    </row>
    <row r="820395" spans="1:1" x14ac:dyDescent="0.25">
      <c r="A820395" s="242"/>
    </row>
    <row r="820396" spans="1:1" x14ac:dyDescent="0.25">
      <c r="A820396" s="242"/>
    </row>
    <row r="820397" spans="1:1" x14ac:dyDescent="0.25">
      <c r="A820397" s="242"/>
    </row>
    <row r="820398" spans="1:1" x14ac:dyDescent="0.25">
      <c r="A820398" s="242"/>
    </row>
    <row r="820399" spans="1:1" x14ac:dyDescent="0.25">
      <c r="A820399" s="242"/>
    </row>
    <row r="820400" spans="1:1" x14ac:dyDescent="0.25">
      <c r="A820400" s="242"/>
    </row>
    <row r="820401" spans="1:1" x14ac:dyDescent="0.25">
      <c r="A820401" s="242"/>
    </row>
    <row r="820402" spans="1:1" x14ac:dyDescent="0.25">
      <c r="A820402" s="242"/>
    </row>
    <row r="820403" spans="1:1" x14ac:dyDescent="0.25">
      <c r="A820403" s="242"/>
    </row>
    <row r="820404" spans="1:1" x14ac:dyDescent="0.25">
      <c r="A820404" s="242"/>
    </row>
    <row r="820405" spans="1:1" x14ac:dyDescent="0.25">
      <c r="A820405" s="242"/>
    </row>
    <row r="820406" spans="1:1" x14ac:dyDescent="0.25">
      <c r="A820406" s="242"/>
    </row>
    <row r="820407" spans="1:1" x14ac:dyDescent="0.25">
      <c r="A820407" s="242"/>
    </row>
    <row r="820408" spans="1:1" x14ac:dyDescent="0.25">
      <c r="A820408" s="242"/>
    </row>
    <row r="820409" spans="1:1" x14ac:dyDescent="0.25">
      <c r="A820409" s="242"/>
    </row>
    <row r="820410" spans="1:1" x14ac:dyDescent="0.25">
      <c r="A820410" s="242"/>
    </row>
    <row r="820411" spans="1:1" x14ac:dyDescent="0.25">
      <c r="A820411" s="242"/>
    </row>
    <row r="820412" spans="1:1" x14ac:dyDescent="0.25">
      <c r="A820412" s="242"/>
    </row>
    <row r="820413" spans="1:1" x14ac:dyDescent="0.25">
      <c r="A820413" s="242"/>
    </row>
    <row r="820414" spans="1:1" x14ac:dyDescent="0.25">
      <c r="A820414" s="242"/>
    </row>
    <row r="820415" spans="1:1" x14ac:dyDescent="0.25">
      <c r="A820415" s="242"/>
    </row>
    <row r="820416" spans="1:1" x14ac:dyDescent="0.25">
      <c r="A820416" s="242"/>
    </row>
    <row r="820417" spans="1:1" x14ac:dyDescent="0.25">
      <c r="A820417" s="242"/>
    </row>
    <row r="820418" spans="1:1" x14ac:dyDescent="0.25">
      <c r="A820418" s="242"/>
    </row>
    <row r="820419" spans="1:1" x14ac:dyDescent="0.25">
      <c r="A820419" s="242"/>
    </row>
    <row r="820420" spans="1:1" x14ac:dyDescent="0.25">
      <c r="A820420" s="242"/>
    </row>
    <row r="820421" spans="1:1" x14ac:dyDescent="0.25">
      <c r="A820421" s="242"/>
    </row>
    <row r="820422" spans="1:1" x14ac:dyDescent="0.25">
      <c r="A820422" s="242"/>
    </row>
    <row r="820423" spans="1:1" x14ac:dyDescent="0.25">
      <c r="A820423" s="242"/>
    </row>
    <row r="820424" spans="1:1" x14ac:dyDescent="0.25">
      <c r="A820424" s="242"/>
    </row>
    <row r="820425" spans="1:1" x14ac:dyDescent="0.25">
      <c r="A820425" s="242"/>
    </row>
    <row r="820426" spans="1:1" x14ac:dyDescent="0.25">
      <c r="A820426" s="242"/>
    </row>
    <row r="820427" spans="1:1" x14ac:dyDescent="0.25">
      <c r="A820427" s="242"/>
    </row>
    <row r="820428" spans="1:1" x14ac:dyDescent="0.25">
      <c r="A820428" s="242"/>
    </row>
    <row r="820429" spans="1:1" x14ac:dyDescent="0.25">
      <c r="A820429" s="242"/>
    </row>
    <row r="820430" spans="1:1" x14ac:dyDescent="0.25">
      <c r="A820430" s="242"/>
    </row>
    <row r="820431" spans="1:1" x14ac:dyDescent="0.25">
      <c r="A820431" s="242"/>
    </row>
    <row r="820432" spans="1:1" x14ac:dyDescent="0.25">
      <c r="A820432" s="242"/>
    </row>
    <row r="820433" spans="1:1" x14ac:dyDescent="0.25">
      <c r="A820433" s="242"/>
    </row>
    <row r="820434" spans="1:1" x14ac:dyDescent="0.25">
      <c r="A820434" s="242"/>
    </row>
    <row r="820435" spans="1:1" x14ac:dyDescent="0.25">
      <c r="A820435" s="242"/>
    </row>
    <row r="820436" spans="1:1" x14ac:dyDescent="0.25">
      <c r="A820436" s="242"/>
    </row>
    <row r="820437" spans="1:1" x14ac:dyDescent="0.25">
      <c r="A820437" s="242"/>
    </row>
    <row r="820438" spans="1:1" x14ac:dyDescent="0.25">
      <c r="A820438" s="242"/>
    </row>
    <row r="820439" spans="1:1" x14ac:dyDescent="0.25">
      <c r="A820439" s="242"/>
    </row>
    <row r="820440" spans="1:1" x14ac:dyDescent="0.25">
      <c r="A820440" s="242"/>
    </row>
    <row r="820441" spans="1:1" x14ac:dyDescent="0.25">
      <c r="A820441" s="242"/>
    </row>
    <row r="820442" spans="1:1" x14ac:dyDescent="0.25">
      <c r="A820442" s="242"/>
    </row>
    <row r="820443" spans="1:1" x14ac:dyDescent="0.25">
      <c r="A820443" s="242"/>
    </row>
    <row r="820444" spans="1:1" x14ac:dyDescent="0.25">
      <c r="A820444" s="242"/>
    </row>
    <row r="820445" spans="1:1" x14ac:dyDescent="0.25">
      <c r="A820445" s="242"/>
    </row>
    <row r="820446" spans="1:1" x14ac:dyDescent="0.25">
      <c r="A820446" s="242"/>
    </row>
    <row r="820447" spans="1:1" x14ac:dyDescent="0.25">
      <c r="A820447" s="242"/>
    </row>
    <row r="820448" spans="1:1" x14ac:dyDescent="0.25">
      <c r="A820448" s="242"/>
    </row>
    <row r="820449" spans="1:1" x14ac:dyDescent="0.25">
      <c r="A820449" s="242"/>
    </row>
    <row r="820450" spans="1:1" x14ac:dyDescent="0.25">
      <c r="A820450" s="242"/>
    </row>
    <row r="820451" spans="1:1" x14ac:dyDescent="0.25">
      <c r="A820451" s="242"/>
    </row>
    <row r="820452" spans="1:1" x14ac:dyDescent="0.25">
      <c r="A820452" s="242"/>
    </row>
    <row r="820453" spans="1:1" x14ac:dyDescent="0.25">
      <c r="A820453" s="242"/>
    </row>
    <row r="820454" spans="1:1" x14ac:dyDescent="0.25">
      <c r="A820454" s="242"/>
    </row>
    <row r="820455" spans="1:1" x14ac:dyDescent="0.25">
      <c r="A820455" s="242"/>
    </row>
    <row r="820456" spans="1:1" x14ac:dyDescent="0.25">
      <c r="A820456" s="242"/>
    </row>
    <row r="820457" spans="1:1" x14ac:dyDescent="0.25">
      <c r="A820457" s="242"/>
    </row>
    <row r="820458" spans="1:1" x14ac:dyDescent="0.25">
      <c r="A820458" s="242"/>
    </row>
    <row r="820459" spans="1:1" x14ac:dyDescent="0.25">
      <c r="A820459" s="242"/>
    </row>
    <row r="820460" spans="1:1" x14ac:dyDescent="0.25">
      <c r="A820460" s="242"/>
    </row>
    <row r="820461" spans="1:1" x14ac:dyDescent="0.25">
      <c r="A820461" s="242"/>
    </row>
    <row r="820462" spans="1:1" x14ac:dyDescent="0.25">
      <c r="A820462" s="242"/>
    </row>
    <row r="820463" spans="1:1" x14ac:dyDescent="0.25">
      <c r="A820463" s="242"/>
    </row>
    <row r="820464" spans="1:1" x14ac:dyDescent="0.25">
      <c r="A820464" s="242"/>
    </row>
    <row r="820465" spans="1:1" x14ac:dyDescent="0.25">
      <c r="A820465" s="242"/>
    </row>
    <row r="820466" spans="1:1" x14ac:dyDescent="0.25">
      <c r="A820466" s="242"/>
    </row>
    <row r="820467" spans="1:1" x14ac:dyDescent="0.25">
      <c r="A820467" s="242"/>
    </row>
    <row r="820468" spans="1:1" x14ac:dyDescent="0.25">
      <c r="A820468" s="242"/>
    </row>
    <row r="820469" spans="1:1" x14ac:dyDescent="0.25">
      <c r="A820469" s="242"/>
    </row>
    <row r="820470" spans="1:1" x14ac:dyDescent="0.25">
      <c r="A820470" s="242"/>
    </row>
    <row r="820471" spans="1:1" x14ac:dyDescent="0.25">
      <c r="A820471" s="242"/>
    </row>
    <row r="820472" spans="1:1" x14ac:dyDescent="0.25">
      <c r="A820472" s="242"/>
    </row>
    <row r="820473" spans="1:1" x14ac:dyDescent="0.25">
      <c r="A820473" s="242"/>
    </row>
    <row r="820474" spans="1:1" x14ac:dyDescent="0.25">
      <c r="A820474" s="242"/>
    </row>
    <row r="820475" spans="1:1" x14ac:dyDescent="0.25">
      <c r="A820475" s="242"/>
    </row>
    <row r="820476" spans="1:1" x14ac:dyDescent="0.25">
      <c r="A820476" s="242"/>
    </row>
    <row r="820477" spans="1:1" x14ac:dyDescent="0.25">
      <c r="A820477" s="242"/>
    </row>
    <row r="820478" spans="1:1" x14ac:dyDescent="0.25">
      <c r="A820478" s="242"/>
    </row>
    <row r="820479" spans="1:1" x14ac:dyDescent="0.25">
      <c r="A820479" s="242"/>
    </row>
    <row r="820480" spans="1:1" x14ac:dyDescent="0.25">
      <c r="A820480" s="242"/>
    </row>
    <row r="820481" spans="1:1" x14ac:dyDescent="0.25">
      <c r="A820481" s="242"/>
    </row>
    <row r="820482" spans="1:1" x14ac:dyDescent="0.25">
      <c r="A820482" s="242"/>
    </row>
    <row r="820483" spans="1:1" x14ac:dyDescent="0.25">
      <c r="A820483" s="242"/>
    </row>
    <row r="820484" spans="1:1" x14ac:dyDescent="0.25">
      <c r="A820484" s="242"/>
    </row>
    <row r="820485" spans="1:1" x14ac:dyDescent="0.25">
      <c r="A820485" s="242"/>
    </row>
    <row r="820486" spans="1:1" x14ac:dyDescent="0.25">
      <c r="A820486" s="242"/>
    </row>
    <row r="820487" spans="1:1" x14ac:dyDescent="0.25">
      <c r="A820487" s="242"/>
    </row>
    <row r="820488" spans="1:1" x14ac:dyDescent="0.25">
      <c r="A820488" s="242"/>
    </row>
    <row r="820489" spans="1:1" x14ac:dyDescent="0.25">
      <c r="A820489" s="242"/>
    </row>
    <row r="820490" spans="1:1" x14ac:dyDescent="0.25">
      <c r="A820490" s="242"/>
    </row>
    <row r="820491" spans="1:1" x14ac:dyDescent="0.25">
      <c r="A820491" s="242"/>
    </row>
    <row r="820492" spans="1:1" x14ac:dyDescent="0.25">
      <c r="A820492" s="242"/>
    </row>
    <row r="820493" spans="1:1" x14ac:dyDescent="0.25">
      <c r="A820493" s="242"/>
    </row>
    <row r="820494" spans="1:1" x14ac:dyDescent="0.25">
      <c r="A820494" s="242"/>
    </row>
    <row r="820495" spans="1:1" x14ac:dyDescent="0.25">
      <c r="A820495" s="242"/>
    </row>
    <row r="820496" spans="1:1" x14ac:dyDescent="0.25">
      <c r="A820496" s="242"/>
    </row>
    <row r="820497" spans="1:1" x14ac:dyDescent="0.25">
      <c r="A820497" s="242"/>
    </row>
    <row r="820498" spans="1:1" x14ac:dyDescent="0.25">
      <c r="A820498" s="242"/>
    </row>
    <row r="820499" spans="1:1" x14ac:dyDescent="0.25">
      <c r="A820499" s="242"/>
    </row>
    <row r="820500" spans="1:1" x14ac:dyDescent="0.25">
      <c r="A820500" s="242"/>
    </row>
    <row r="820501" spans="1:1" x14ac:dyDescent="0.25">
      <c r="A820501" s="242"/>
    </row>
    <row r="820502" spans="1:1" x14ac:dyDescent="0.25">
      <c r="A820502" s="242"/>
    </row>
    <row r="820503" spans="1:1" x14ac:dyDescent="0.25">
      <c r="A820503" s="242"/>
    </row>
    <row r="820504" spans="1:1" x14ac:dyDescent="0.25">
      <c r="A820504" s="242"/>
    </row>
    <row r="820505" spans="1:1" x14ac:dyDescent="0.25">
      <c r="A820505" s="242"/>
    </row>
    <row r="820506" spans="1:1" x14ac:dyDescent="0.25">
      <c r="A820506" s="242"/>
    </row>
    <row r="820507" spans="1:1" x14ac:dyDescent="0.25">
      <c r="A820507" s="242"/>
    </row>
    <row r="820508" spans="1:1" x14ac:dyDescent="0.25">
      <c r="A820508" s="242"/>
    </row>
    <row r="820509" spans="1:1" x14ac:dyDescent="0.25">
      <c r="A820509" s="242"/>
    </row>
    <row r="820510" spans="1:1" x14ac:dyDescent="0.25">
      <c r="A820510" s="242"/>
    </row>
    <row r="820511" spans="1:1" x14ac:dyDescent="0.25">
      <c r="A820511" s="242"/>
    </row>
    <row r="820512" spans="1:1" x14ac:dyDescent="0.25">
      <c r="A820512" s="242"/>
    </row>
    <row r="820513" spans="1:1" x14ac:dyDescent="0.25">
      <c r="A820513" s="242"/>
    </row>
    <row r="820514" spans="1:1" x14ac:dyDescent="0.25">
      <c r="A820514" s="242"/>
    </row>
    <row r="820515" spans="1:1" x14ac:dyDescent="0.25">
      <c r="A820515" s="242"/>
    </row>
    <row r="820516" spans="1:1" x14ac:dyDescent="0.25">
      <c r="A820516" s="242"/>
    </row>
    <row r="820517" spans="1:1" x14ac:dyDescent="0.25">
      <c r="A820517" s="242"/>
    </row>
    <row r="820518" spans="1:1" x14ac:dyDescent="0.25">
      <c r="A820518" s="242"/>
    </row>
    <row r="820519" spans="1:1" x14ac:dyDescent="0.25">
      <c r="A820519" s="242"/>
    </row>
    <row r="820520" spans="1:1" x14ac:dyDescent="0.25">
      <c r="A820520" s="242"/>
    </row>
    <row r="820521" spans="1:1" x14ac:dyDescent="0.25">
      <c r="A820521" s="242"/>
    </row>
    <row r="820522" spans="1:1" x14ac:dyDescent="0.25">
      <c r="A820522" s="242"/>
    </row>
    <row r="820523" spans="1:1" x14ac:dyDescent="0.25">
      <c r="A820523" s="242"/>
    </row>
    <row r="820524" spans="1:1" x14ac:dyDescent="0.25">
      <c r="A820524" s="242"/>
    </row>
    <row r="820525" spans="1:1" x14ac:dyDescent="0.25">
      <c r="A820525" s="242"/>
    </row>
    <row r="820526" spans="1:1" x14ac:dyDescent="0.25">
      <c r="A820526" s="242"/>
    </row>
    <row r="820527" spans="1:1" x14ac:dyDescent="0.25">
      <c r="A820527" s="242"/>
    </row>
    <row r="820528" spans="1:1" x14ac:dyDescent="0.25">
      <c r="A820528" s="242"/>
    </row>
    <row r="820529" spans="1:1" x14ac:dyDescent="0.25">
      <c r="A820529" s="242"/>
    </row>
    <row r="820530" spans="1:1" x14ac:dyDescent="0.25">
      <c r="A820530" s="242"/>
    </row>
    <row r="820531" spans="1:1" x14ac:dyDescent="0.25">
      <c r="A820531" s="242"/>
    </row>
    <row r="820532" spans="1:1" x14ac:dyDescent="0.25">
      <c r="A820532" s="242"/>
    </row>
    <row r="820533" spans="1:1" x14ac:dyDescent="0.25">
      <c r="A820533" s="242"/>
    </row>
    <row r="820534" spans="1:1" x14ac:dyDescent="0.25">
      <c r="A820534" s="242"/>
    </row>
    <row r="820535" spans="1:1" x14ac:dyDescent="0.25">
      <c r="A820535" s="242"/>
    </row>
    <row r="820536" spans="1:1" x14ac:dyDescent="0.25">
      <c r="A820536" s="242"/>
    </row>
    <row r="820537" spans="1:1" x14ac:dyDescent="0.25">
      <c r="A820537" s="242"/>
    </row>
    <row r="820538" spans="1:1" x14ac:dyDescent="0.25">
      <c r="A820538" s="242"/>
    </row>
    <row r="820539" spans="1:1" x14ac:dyDescent="0.25">
      <c r="A820539" s="242"/>
    </row>
    <row r="820540" spans="1:1" x14ac:dyDescent="0.25">
      <c r="A820540" s="242"/>
    </row>
    <row r="820541" spans="1:1" x14ac:dyDescent="0.25">
      <c r="A820541" s="242"/>
    </row>
    <row r="820542" spans="1:1" x14ac:dyDescent="0.25">
      <c r="A820542" s="242"/>
    </row>
    <row r="820543" spans="1:1" x14ac:dyDescent="0.25">
      <c r="A820543" s="242"/>
    </row>
    <row r="820544" spans="1:1" x14ac:dyDescent="0.25">
      <c r="A820544" s="242"/>
    </row>
    <row r="820545" spans="1:1" x14ac:dyDescent="0.25">
      <c r="A820545" s="242"/>
    </row>
    <row r="820546" spans="1:1" x14ac:dyDescent="0.25">
      <c r="A820546" s="242"/>
    </row>
    <row r="820547" spans="1:1" x14ac:dyDescent="0.25">
      <c r="A820547" s="242"/>
    </row>
    <row r="820548" spans="1:1" x14ac:dyDescent="0.25">
      <c r="A820548" s="242"/>
    </row>
    <row r="820549" spans="1:1" x14ac:dyDescent="0.25">
      <c r="A820549" s="242"/>
    </row>
    <row r="820550" spans="1:1" x14ac:dyDescent="0.25">
      <c r="A820550" s="242"/>
    </row>
    <row r="820551" spans="1:1" x14ac:dyDescent="0.25">
      <c r="A820551" s="242"/>
    </row>
    <row r="820552" spans="1:1" x14ac:dyDescent="0.25">
      <c r="A820552" s="242"/>
    </row>
    <row r="820553" spans="1:1" x14ac:dyDescent="0.25">
      <c r="A820553" s="242"/>
    </row>
    <row r="820554" spans="1:1" x14ac:dyDescent="0.25">
      <c r="A820554" s="242"/>
    </row>
    <row r="820555" spans="1:1" x14ac:dyDescent="0.25">
      <c r="A820555" s="242"/>
    </row>
    <row r="820556" spans="1:1" x14ac:dyDescent="0.25">
      <c r="A820556" s="242"/>
    </row>
    <row r="820557" spans="1:1" x14ac:dyDescent="0.25">
      <c r="A820557" s="242"/>
    </row>
    <row r="820558" spans="1:1" x14ac:dyDescent="0.25">
      <c r="A820558" s="242"/>
    </row>
    <row r="820559" spans="1:1" x14ac:dyDescent="0.25">
      <c r="A820559" s="242"/>
    </row>
    <row r="820560" spans="1:1" x14ac:dyDescent="0.25">
      <c r="A820560" s="242"/>
    </row>
    <row r="820561" spans="1:1" x14ac:dyDescent="0.25">
      <c r="A820561" s="242"/>
    </row>
    <row r="820562" spans="1:1" x14ac:dyDescent="0.25">
      <c r="A820562" s="242"/>
    </row>
    <row r="820563" spans="1:1" x14ac:dyDescent="0.25">
      <c r="A820563" s="242"/>
    </row>
    <row r="820564" spans="1:1" x14ac:dyDescent="0.25">
      <c r="A820564" s="242"/>
    </row>
    <row r="820565" spans="1:1" x14ac:dyDescent="0.25">
      <c r="A820565" s="242"/>
    </row>
    <row r="820566" spans="1:1" x14ac:dyDescent="0.25">
      <c r="A820566" s="242"/>
    </row>
    <row r="820567" spans="1:1" x14ac:dyDescent="0.25">
      <c r="A820567" s="242"/>
    </row>
    <row r="820568" spans="1:1" x14ac:dyDescent="0.25">
      <c r="A820568" s="242"/>
    </row>
    <row r="820569" spans="1:1" x14ac:dyDescent="0.25">
      <c r="A820569" s="242"/>
    </row>
    <row r="820570" spans="1:1" x14ac:dyDescent="0.25">
      <c r="A820570" s="242"/>
    </row>
    <row r="820571" spans="1:1" x14ac:dyDescent="0.25">
      <c r="A820571" s="242"/>
    </row>
    <row r="820572" spans="1:1" x14ac:dyDescent="0.25">
      <c r="A820572" s="242"/>
    </row>
    <row r="820573" spans="1:1" x14ac:dyDescent="0.25">
      <c r="A820573" s="242"/>
    </row>
    <row r="820574" spans="1:1" x14ac:dyDescent="0.25">
      <c r="A820574" s="242"/>
    </row>
    <row r="820575" spans="1:1" x14ac:dyDescent="0.25">
      <c r="A820575" s="242"/>
    </row>
    <row r="820576" spans="1:1" x14ac:dyDescent="0.25">
      <c r="A820576" s="242"/>
    </row>
    <row r="820577" spans="1:1" x14ac:dyDescent="0.25">
      <c r="A820577" s="242"/>
    </row>
    <row r="820578" spans="1:1" x14ac:dyDescent="0.25">
      <c r="A820578" s="242"/>
    </row>
    <row r="820579" spans="1:1" x14ac:dyDescent="0.25">
      <c r="A820579" s="242"/>
    </row>
    <row r="820580" spans="1:1" x14ac:dyDescent="0.25">
      <c r="A820580" s="242"/>
    </row>
    <row r="820581" spans="1:1" x14ac:dyDescent="0.25">
      <c r="A820581" s="242"/>
    </row>
    <row r="820582" spans="1:1" x14ac:dyDescent="0.25">
      <c r="A820582" s="242"/>
    </row>
    <row r="820583" spans="1:1" x14ac:dyDescent="0.25">
      <c r="A820583" s="242"/>
    </row>
    <row r="820584" spans="1:1" x14ac:dyDescent="0.25">
      <c r="A820584" s="242"/>
    </row>
    <row r="820585" spans="1:1" x14ac:dyDescent="0.25">
      <c r="A820585" s="242"/>
    </row>
    <row r="820586" spans="1:1" x14ac:dyDescent="0.25">
      <c r="A820586" s="242"/>
    </row>
    <row r="820587" spans="1:1" x14ac:dyDescent="0.25">
      <c r="A820587" s="242"/>
    </row>
    <row r="820588" spans="1:1" x14ac:dyDescent="0.25">
      <c r="A820588" s="242"/>
    </row>
    <row r="820589" spans="1:1" x14ac:dyDescent="0.25">
      <c r="A820589" s="242"/>
    </row>
    <row r="820590" spans="1:1" x14ac:dyDescent="0.25">
      <c r="A820590" s="242"/>
    </row>
    <row r="820591" spans="1:1" x14ac:dyDescent="0.25">
      <c r="A820591" s="242"/>
    </row>
    <row r="820592" spans="1:1" x14ac:dyDescent="0.25">
      <c r="A820592" s="242"/>
    </row>
    <row r="820593" spans="1:1" x14ac:dyDescent="0.25">
      <c r="A820593" s="242"/>
    </row>
    <row r="820594" spans="1:1" x14ac:dyDescent="0.25">
      <c r="A820594" s="242"/>
    </row>
    <row r="820595" spans="1:1" x14ac:dyDescent="0.25">
      <c r="A820595" s="242"/>
    </row>
    <row r="820596" spans="1:1" x14ac:dyDescent="0.25">
      <c r="A820596" s="242"/>
    </row>
    <row r="820597" spans="1:1" x14ac:dyDescent="0.25">
      <c r="A820597" s="242"/>
    </row>
    <row r="820598" spans="1:1" x14ac:dyDescent="0.25">
      <c r="A820598" s="242"/>
    </row>
    <row r="820599" spans="1:1" x14ac:dyDescent="0.25">
      <c r="A820599" s="242"/>
    </row>
    <row r="820600" spans="1:1" x14ac:dyDescent="0.25">
      <c r="A820600" s="242"/>
    </row>
    <row r="820601" spans="1:1" x14ac:dyDescent="0.25">
      <c r="A820601" s="242"/>
    </row>
    <row r="820602" spans="1:1" x14ac:dyDescent="0.25">
      <c r="A820602" s="242"/>
    </row>
    <row r="820603" spans="1:1" x14ac:dyDescent="0.25">
      <c r="A820603" s="242"/>
    </row>
    <row r="820604" spans="1:1" x14ac:dyDescent="0.25">
      <c r="A820604" s="242"/>
    </row>
    <row r="820605" spans="1:1" x14ac:dyDescent="0.25">
      <c r="A820605" s="242"/>
    </row>
    <row r="820606" spans="1:1" x14ac:dyDescent="0.25">
      <c r="A820606" s="242"/>
    </row>
    <row r="820607" spans="1:1" x14ac:dyDescent="0.25">
      <c r="A820607" s="242"/>
    </row>
    <row r="820608" spans="1:1" x14ac:dyDescent="0.25">
      <c r="A820608" s="242"/>
    </row>
    <row r="820609" spans="1:1" x14ac:dyDescent="0.25">
      <c r="A820609" s="242"/>
    </row>
    <row r="820610" spans="1:1" x14ac:dyDescent="0.25">
      <c r="A820610" s="242"/>
    </row>
    <row r="820611" spans="1:1" x14ac:dyDescent="0.25">
      <c r="A820611" s="242"/>
    </row>
    <row r="820612" spans="1:1" x14ac:dyDescent="0.25">
      <c r="A820612" s="242"/>
    </row>
    <row r="820613" spans="1:1" x14ac:dyDescent="0.25">
      <c r="A820613" s="242"/>
    </row>
    <row r="820614" spans="1:1" x14ac:dyDescent="0.25">
      <c r="A820614" s="242"/>
    </row>
    <row r="820615" spans="1:1" x14ac:dyDescent="0.25">
      <c r="A820615" s="242"/>
    </row>
    <row r="820616" spans="1:1" x14ac:dyDescent="0.25">
      <c r="A820616" s="242"/>
    </row>
    <row r="820617" spans="1:1" x14ac:dyDescent="0.25">
      <c r="A820617" s="242"/>
    </row>
    <row r="820618" spans="1:1" x14ac:dyDescent="0.25">
      <c r="A820618" s="242"/>
    </row>
    <row r="820619" spans="1:1" x14ac:dyDescent="0.25">
      <c r="A820619" s="242"/>
    </row>
    <row r="820620" spans="1:1" x14ac:dyDescent="0.25">
      <c r="A820620" s="242"/>
    </row>
    <row r="820621" spans="1:1" x14ac:dyDescent="0.25">
      <c r="A820621" s="242"/>
    </row>
    <row r="820622" spans="1:1" x14ac:dyDescent="0.25">
      <c r="A820622" s="242"/>
    </row>
    <row r="820623" spans="1:1" x14ac:dyDescent="0.25">
      <c r="A820623" s="242"/>
    </row>
    <row r="820624" spans="1:1" x14ac:dyDescent="0.25">
      <c r="A820624" s="242"/>
    </row>
    <row r="820625" spans="1:1" x14ac:dyDescent="0.25">
      <c r="A820625" s="242"/>
    </row>
    <row r="820626" spans="1:1" x14ac:dyDescent="0.25">
      <c r="A820626" s="242"/>
    </row>
    <row r="820627" spans="1:1" x14ac:dyDescent="0.25">
      <c r="A820627" s="242"/>
    </row>
    <row r="820628" spans="1:1" x14ac:dyDescent="0.25">
      <c r="A820628" s="242"/>
    </row>
    <row r="820629" spans="1:1" x14ac:dyDescent="0.25">
      <c r="A820629" s="242"/>
    </row>
    <row r="820630" spans="1:1" x14ac:dyDescent="0.25">
      <c r="A820630" s="242"/>
    </row>
    <row r="820631" spans="1:1" x14ac:dyDescent="0.25">
      <c r="A820631" s="242"/>
    </row>
    <row r="820632" spans="1:1" x14ac:dyDescent="0.25">
      <c r="A820632" s="242"/>
    </row>
    <row r="820633" spans="1:1" x14ac:dyDescent="0.25">
      <c r="A820633" s="242"/>
    </row>
    <row r="820634" spans="1:1" x14ac:dyDescent="0.25">
      <c r="A820634" s="242"/>
    </row>
    <row r="820635" spans="1:1" x14ac:dyDescent="0.25">
      <c r="A820635" s="242"/>
    </row>
    <row r="820636" spans="1:1" x14ac:dyDescent="0.25">
      <c r="A820636" s="242"/>
    </row>
    <row r="820637" spans="1:1" x14ac:dyDescent="0.25">
      <c r="A820637" s="242"/>
    </row>
    <row r="820638" spans="1:1" x14ac:dyDescent="0.25">
      <c r="A820638" s="242"/>
    </row>
    <row r="820639" spans="1:1" x14ac:dyDescent="0.25">
      <c r="A820639" s="242"/>
    </row>
    <row r="820640" spans="1:1" x14ac:dyDescent="0.25">
      <c r="A820640" s="242"/>
    </row>
    <row r="820641" spans="1:1" x14ac:dyDescent="0.25">
      <c r="A820641" s="242"/>
    </row>
    <row r="820642" spans="1:1" x14ac:dyDescent="0.25">
      <c r="A820642" s="242"/>
    </row>
    <row r="820643" spans="1:1" x14ac:dyDescent="0.25">
      <c r="A820643" s="242"/>
    </row>
    <row r="820644" spans="1:1" x14ac:dyDescent="0.25">
      <c r="A820644" s="242"/>
    </row>
    <row r="820645" spans="1:1" x14ac:dyDescent="0.25">
      <c r="A820645" s="242"/>
    </row>
    <row r="820646" spans="1:1" x14ac:dyDescent="0.25">
      <c r="A820646" s="242"/>
    </row>
    <row r="820647" spans="1:1" x14ac:dyDescent="0.25">
      <c r="A820647" s="242"/>
    </row>
    <row r="820648" spans="1:1" x14ac:dyDescent="0.25">
      <c r="A820648" s="242"/>
    </row>
    <row r="820649" spans="1:1" x14ac:dyDescent="0.25">
      <c r="A820649" s="242"/>
    </row>
    <row r="820650" spans="1:1" x14ac:dyDescent="0.25">
      <c r="A820650" s="242"/>
    </row>
    <row r="820651" spans="1:1" x14ac:dyDescent="0.25">
      <c r="A820651" s="242"/>
    </row>
    <row r="820652" spans="1:1" x14ac:dyDescent="0.25">
      <c r="A820652" s="242"/>
    </row>
    <row r="820653" spans="1:1" x14ac:dyDescent="0.25">
      <c r="A820653" s="242"/>
    </row>
    <row r="820654" spans="1:1" x14ac:dyDescent="0.25">
      <c r="A820654" s="242"/>
    </row>
    <row r="820655" spans="1:1" x14ac:dyDescent="0.25">
      <c r="A820655" s="242"/>
    </row>
    <row r="820656" spans="1:1" x14ac:dyDescent="0.25">
      <c r="A820656" s="242"/>
    </row>
    <row r="820657" spans="1:1" x14ac:dyDescent="0.25">
      <c r="A820657" s="242"/>
    </row>
    <row r="820658" spans="1:1" x14ac:dyDescent="0.25">
      <c r="A820658" s="242"/>
    </row>
    <row r="820659" spans="1:1" x14ac:dyDescent="0.25">
      <c r="A820659" s="242"/>
    </row>
    <row r="820660" spans="1:1" x14ac:dyDescent="0.25">
      <c r="A820660" s="242"/>
    </row>
    <row r="820661" spans="1:1" x14ac:dyDescent="0.25">
      <c r="A820661" s="242"/>
    </row>
    <row r="820662" spans="1:1" x14ac:dyDescent="0.25">
      <c r="A820662" s="242"/>
    </row>
    <row r="820663" spans="1:1" x14ac:dyDescent="0.25">
      <c r="A820663" s="242"/>
    </row>
    <row r="820664" spans="1:1" x14ac:dyDescent="0.25">
      <c r="A820664" s="242"/>
    </row>
    <row r="820665" spans="1:1" x14ac:dyDescent="0.25">
      <c r="A820665" s="242"/>
    </row>
    <row r="820666" spans="1:1" x14ac:dyDescent="0.25">
      <c r="A820666" s="242"/>
    </row>
    <row r="820667" spans="1:1" x14ac:dyDescent="0.25">
      <c r="A820667" s="242"/>
    </row>
    <row r="820668" spans="1:1" x14ac:dyDescent="0.25">
      <c r="A820668" s="242"/>
    </row>
    <row r="820669" spans="1:1" x14ac:dyDescent="0.25">
      <c r="A820669" s="242"/>
    </row>
    <row r="820670" spans="1:1" x14ac:dyDescent="0.25">
      <c r="A820670" s="242"/>
    </row>
    <row r="820671" spans="1:1" x14ac:dyDescent="0.25">
      <c r="A820671" s="242"/>
    </row>
    <row r="820672" spans="1:1" x14ac:dyDescent="0.25">
      <c r="A820672" s="242"/>
    </row>
    <row r="820673" spans="1:1" x14ac:dyDescent="0.25">
      <c r="A820673" s="242"/>
    </row>
    <row r="820674" spans="1:1" x14ac:dyDescent="0.25">
      <c r="A820674" s="242"/>
    </row>
    <row r="820675" spans="1:1" x14ac:dyDescent="0.25">
      <c r="A820675" s="242"/>
    </row>
    <row r="820676" spans="1:1" x14ac:dyDescent="0.25">
      <c r="A820676" s="242"/>
    </row>
    <row r="820677" spans="1:1" x14ac:dyDescent="0.25">
      <c r="A820677" s="242"/>
    </row>
    <row r="820678" spans="1:1" x14ac:dyDescent="0.25">
      <c r="A820678" s="242"/>
    </row>
    <row r="820679" spans="1:1" x14ac:dyDescent="0.25">
      <c r="A820679" s="242"/>
    </row>
    <row r="820680" spans="1:1" x14ac:dyDescent="0.25">
      <c r="A820680" s="242"/>
    </row>
    <row r="820681" spans="1:1" x14ac:dyDescent="0.25">
      <c r="A820681" s="242"/>
    </row>
    <row r="820682" spans="1:1" x14ac:dyDescent="0.25">
      <c r="A820682" s="242"/>
    </row>
    <row r="820683" spans="1:1" x14ac:dyDescent="0.25">
      <c r="A820683" s="242"/>
    </row>
    <row r="820684" spans="1:1" x14ac:dyDescent="0.25">
      <c r="A820684" s="242"/>
    </row>
    <row r="820685" spans="1:1" x14ac:dyDescent="0.25">
      <c r="A820685" s="242"/>
    </row>
    <row r="820686" spans="1:1" x14ac:dyDescent="0.25">
      <c r="A820686" s="242"/>
    </row>
    <row r="820687" spans="1:1" x14ac:dyDescent="0.25">
      <c r="A820687" s="242"/>
    </row>
    <row r="820688" spans="1:1" x14ac:dyDescent="0.25">
      <c r="A820688" s="242"/>
    </row>
    <row r="820689" spans="1:1" x14ac:dyDescent="0.25">
      <c r="A820689" s="242"/>
    </row>
    <row r="820690" spans="1:1" x14ac:dyDescent="0.25">
      <c r="A820690" s="242"/>
    </row>
    <row r="820691" spans="1:1" x14ac:dyDescent="0.25">
      <c r="A820691" s="242"/>
    </row>
    <row r="820692" spans="1:1" x14ac:dyDescent="0.25">
      <c r="A820692" s="242"/>
    </row>
    <row r="820693" spans="1:1" x14ac:dyDescent="0.25">
      <c r="A820693" s="242"/>
    </row>
    <row r="820694" spans="1:1" x14ac:dyDescent="0.25">
      <c r="A820694" s="242"/>
    </row>
    <row r="820695" spans="1:1" x14ac:dyDescent="0.25">
      <c r="A820695" s="242"/>
    </row>
    <row r="820696" spans="1:1" x14ac:dyDescent="0.25">
      <c r="A820696" s="242"/>
    </row>
    <row r="820697" spans="1:1" x14ac:dyDescent="0.25">
      <c r="A820697" s="242"/>
    </row>
    <row r="820698" spans="1:1" x14ac:dyDescent="0.25">
      <c r="A820698" s="242"/>
    </row>
    <row r="820699" spans="1:1" x14ac:dyDescent="0.25">
      <c r="A820699" s="242"/>
    </row>
    <row r="820700" spans="1:1" x14ac:dyDescent="0.25">
      <c r="A820700" s="242"/>
    </row>
    <row r="820701" spans="1:1" x14ac:dyDescent="0.25">
      <c r="A820701" s="242"/>
    </row>
    <row r="820702" spans="1:1" x14ac:dyDescent="0.25">
      <c r="A820702" s="242"/>
    </row>
    <row r="820703" spans="1:1" x14ac:dyDescent="0.25">
      <c r="A820703" s="242"/>
    </row>
    <row r="820704" spans="1:1" x14ac:dyDescent="0.25">
      <c r="A820704" s="242"/>
    </row>
    <row r="820705" spans="1:1" x14ac:dyDescent="0.25">
      <c r="A820705" s="242"/>
    </row>
    <row r="820706" spans="1:1" x14ac:dyDescent="0.25">
      <c r="A820706" s="242"/>
    </row>
    <row r="820707" spans="1:1" x14ac:dyDescent="0.25">
      <c r="A820707" s="242"/>
    </row>
    <row r="820708" spans="1:1" x14ac:dyDescent="0.25">
      <c r="A820708" s="242"/>
    </row>
    <row r="820709" spans="1:1" x14ac:dyDescent="0.25">
      <c r="A820709" s="242"/>
    </row>
    <row r="820710" spans="1:1" x14ac:dyDescent="0.25">
      <c r="A820710" s="242"/>
    </row>
    <row r="820711" spans="1:1" x14ac:dyDescent="0.25">
      <c r="A820711" s="242"/>
    </row>
    <row r="820712" spans="1:1" x14ac:dyDescent="0.25">
      <c r="A820712" s="242"/>
    </row>
    <row r="820713" spans="1:1" x14ac:dyDescent="0.25">
      <c r="A820713" s="242"/>
    </row>
    <row r="820714" spans="1:1" x14ac:dyDescent="0.25">
      <c r="A820714" s="242"/>
    </row>
    <row r="820715" spans="1:1" x14ac:dyDescent="0.25">
      <c r="A820715" s="242"/>
    </row>
    <row r="820716" spans="1:1" x14ac:dyDescent="0.25">
      <c r="A820716" s="242"/>
    </row>
    <row r="820717" spans="1:1" x14ac:dyDescent="0.25">
      <c r="A820717" s="242"/>
    </row>
    <row r="820718" spans="1:1" x14ac:dyDescent="0.25">
      <c r="A820718" s="242"/>
    </row>
    <row r="820719" spans="1:1" x14ac:dyDescent="0.25">
      <c r="A820719" s="242"/>
    </row>
    <row r="820720" spans="1:1" x14ac:dyDescent="0.25">
      <c r="A820720" s="242"/>
    </row>
    <row r="820721" spans="1:1" x14ac:dyDescent="0.25">
      <c r="A820721" s="242"/>
    </row>
    <row r="820722" spans="1:1" x14ac:dyDescent="0.25">
      <c r="A820722" s="242"/>
    </row>
    <row r="820723" spans="1:1" x14ac:dyDescent="0.25">
      <c r="A820723" s="242"/>
    </row>
    <row r="820724" spans="1:1" x14ac:dyDescent="0.25">
      <c r="A820724" s="242"/>
    </row>
    <row r="820725" spans="1:1" x14ac:dyDescent="0.25">
      <c r="A820725" s="242"/>
    </row>
    <row r="820726" spans="1:1" x14ac:dyDescent="0.25">
      <c r="A820726" s="242"/>
    </row>
    <row r="820727" spans="1:1" x14ac:dyDescent="0.25">
      <c r="A820727" s="242"/>
    </row>
    <row r="820728" spans="1:1" x14ac:dyDescent="0.25">
      <c r="A820728" s="242"/>
    </row>
    <row r="820729" spans="1:1" x14ac:dyDescent="0.25">
      <c r="A820729" s="242"/>
    </row>
    <row r="820730" spans="1:1" x14ac:dyDescent="0.25">
      <c r="A820730" s="242"/>
    </row>
    <row r="820731" spans="1:1" x14ac:dyDescent="0.25">
      <c r="A820731" s="242"/>
    </row>
    <row r="820732" spans="1:1" x14ac:dyDescent="0.25">
      <c r="A820732" s="242"/>
    </row>
    <row r="820733" spans="1:1" x14ac:dyDescent="0.25">
      <c r="A820733" s="242"/>
    </row>
    <row r="820734" spans="1:1" x14ac:dyDescent="0.25">
      <c r="A820734" s="242"/>
    </row>
    <row r="820735" spans="1:1" x14ac:dyDescent="0.25">
      <c r="A820735" s="242"/>
    </row>
    <row r="820736" spans="1:1" x14ac:dyDescent="0.25">
      <c r="A820736" s="242"/>
    </row>
    <row r="820737" spans="1:1" x14ac:dyDescent="0.25">
      <c r="A820737" s="242"/>
    </row>
    <row r="820738" spans="1:1" x14ac:dyDescent="0.25">
      <c r="A820738" s="242"/>
    </row>
    <row r="820739" spans="1:1" x14ac:dyDescent="0.25">
      <c r="A820739" s="242"/>
    </row>
    <row r="820740" spans="1:1" x14ac:dyDescent="0.25">
      <c r="A820740" s="242"/>
    </row>
    <row r="820741" spans="1:1" x14ac:dyDescent="0.25">
      <c r="A820741" s="242"/>
    </row>
    <row r="820742" spans="1:1" x14ac:dyDescent="0.25">
      <c r="A820742" s="242"/>
    </row>
    <row r="820743" spans="1:1" x14ac:dyDescent="0.25">
      <c r="A820743" s="242"/>
    </row>
    <row r="820744" spans="1:1" x14ac:dyDescent="0.25">
      <c r="A820744" s="242"/>
    </row>
    <row r="820745" spans="1:1" x14ac:dyDescent="0.25">
      <c r="A820745" s="242"/>
    </row>
    <row r="820746" spans="1:1" x14ac:dyDescent="0.25">
      <c r="A820746" s="242"/>
    </row>
    <row r="820747" spans="1:1" x14ac:dyDescent="0.25">
      <c r="A820747" s="242"/>
    </row>
    <row r="820748" spans="1:1" x14ac:dyDescent="0.25">
      <c r="A820748" s="242"/>
    </row>
    <row r="820749" spans="1:1" x14ac:dyDescent="0.25">
      <c r="A820749" s="242"/>
    </row>
    <row r="820750" spans="1:1" x14ac:dyDescent="0.25">
      <c r="A820750" s="242"/>
    </row>
    <row r="820751" spans="1:1" x14ac:dyDescent="0.25">
      <c r="A820751" s="242"/>
    </row>
    <row r="820752" spans="1:1" x14ac:dyDescent="0.25">
      <c r="A820752" s="242"/>
    </row>
    <row r="820753" spans="1:1" x14ac:dyDescent="0.25">
      <c r="A820753" s="242"/>
    </row>
    <row r="820754" spans="1:1" x14ac:dyDescent="0.25">
      <c r="A820754" s="242"/>
    </row>
    <row r="820755" spans="1:1" x14ac:dyDescent="0.25">
      <c r="A820755" s="242"/>
    </row>
    <row r="820756" spans="1:1" x14ac:dyDescent="0.25">
      <c r="A820756" s="242"/>
    </row>
    <row r="820757" spans="1:1" x14ac:dyDescent="0.25">
      <c r="A820757" s="242"/>
    </row>
    <row r="820758" spans="1:1" x14ac:dyDescent="0.25">
      <c r="A820758" s="242"/>
    </row>
    <row r="820759" spans="1:1" x14ac:dyDescent="0.25">
      <c r="A820759" s="242"/>
    </row>
    <row r="820760" spans="1:1" x14ac:dyDescent="0.25">
      <c r="A820760" s="242"/>
    </row>
    <row r="820761" spans="1:1" x14ac:dyDescent="0.25">
      <c r="A820761" s="242"/>
    </row>
    <row r="820762" spans="1:1" x14ac:dyDescent="0.25">
      <c r="A820762" s="242"/>
    </row>
    <row r="820763" spans="1:1" x14ac:dyDescent="0.25">
      <c r="A820763" s="242"/>
    </row>
    <row r="820764" spans="1:1" x14ac:dyDescent="0.25">
      <c r="A820764" s="242"/>
    </row>
    <row r="820765" spans="1:1" x14ac:dyDescent="0.25">
      <c r="A820765" s="242"/>
    </row>
    <row r="820766" spans="1:1" x14ac:dyDescent="0.25">
      <c r="A820766" s="242"/>
    </row>
    <row r="820767" spans="1:1" x14ac:dyDescent="0.25">
      <c r="A820767" s="242"/>
    </row>
    <row r="820768" spans="1:1" x14ac:dyDescent="0.25">
      <c r="A820768" s="242"/>
    </row>
    <row r="820769" spans="1:1" x14ac:dyDescent="0.25">
      <c r="A820769" s="242"/>
    </row>
    <row r="820770" spans="1:1" x14ac:dyDescent="0.25">
      <c r="A820770" s="242"/>
    </row>
    <row r="820771" spans="1:1" x14ac:dyDescent="0.25">
      <c r="A820771" s="242"/>
    </row>
    <row r="820772" spans="1:1" x14ac:dyDescent="0.25">
      <c r="A820772" s="242"/>
    </row>
    <row r="820773" spans="1:1" x14ac:dyDescent="0.25">
      <c r="A820773" s="242"/>
    </row>
    <row r="820774" spans="1:1" x14ac:dyDescent="0.25">
      <c r="A820774" s="242"/>
    </row>
    <row r="820775" spans="1:1" x14ac:dyDescent="0.25">
      <c r="A820775" s="242"/>
    </row>
    <row r="820776" spans="1:1" x14ac:dyDescent="0.25">
      <c r="A820776" s="242"/>
    </row>
    <row r="820777" spans="1:1" x14ac:dyDescent="0.25">
      <c r="A820777" s="242"/>
    </row>
    <row r="820778" spans="1:1" x14ac:dyDescent="0.25">
      <c r="A820778" s="242"/>
    </row>
    <row r="820779" spans="1:1" x14ac:dyDescent="0.25">
      <c r="A820779" s="242"/>
    </row>
    <row r="820780" spans="1:1" x14ac:dyDescent="0.25">
      <c r="A820780" s="242"/>
    </row>
    <row r="820781" spans="1:1" x14ac:dyDescent="0.25">
      <c r="A820781" s="242"/>
    </row>
    <row r="820782" spans="1:1" x14ac:dyDescent="0.25">
      <c r="A820782" s="242"/>
    </row>
    <row r="820783" spans="1:1" x14ac:dyDescent="0.25">
      <c r="A820783" s="242"/>
    </row>
    <row r="820784" spans="1:1" x14ac:dyDescent="0.25">
      <c r="A820784" s="242"/>
    </row>
    <row r="820785" spans="1:1" x14ac:dyDescent="0.25">
      <c r="A820785" s="242"/>
    </row>
    <row r="820786" spans="1:1" x14ac:dyDescent="0.25">
      <c r="A820786" s="242"/>
    </row>
    <row r="820787" spans="1:1" x14ac:dyDescent="0.25">
      <c r="A820787" s="242"/>
    </row>
    <row r="820788" spans="1:1" x14ac:dyDescent="0.25">
      <c r="A820788" s="242"/>
    </row>
    <row r="820789" spans="1:1" x14ac:dyDescent="0.25">
      <c r="A820789" s="242"/>
    </row>
    <row r="820790" spans="1:1" x14ac:dyDescent="0.25">
      <c r="A820790" s="242"/>
    </row>
    <row r="820791" spans="1:1" x14ac:dyDescent="0.25">
      <c r="A820791" s="242"/>
    </row>
    <row r="820792" spans="1:1" x14ac:dyDescent="0.25">
      <c r="A820792" s="242"/>
    </row>
    <row r="820793" spans="1:1" x14ac:dyDescent="0.25">
      <c r="A820793" s="242"/>
    </row>
    <row r="820794" spans="1:1" x14ac:dyDescent="0.25">
      <c r="A820794" s="242"/>
    </row>
    <row r="820795" spans="1:1" x14ac:dyDescent="0.25">
      <c r="A820795" s="242"/>
    </row>
    <row r="820796" spans="1:1" x14ac:dyDescent="0.25">
      <c r="A820796" s="242"/>
    </row>
    <row r="820797" spans="1:1" x14ac:dyDescent="0.25">
      <c r="A820797" s="242"/>
    </row>
    <row r="820798" spans="1:1" x14ac:dyDescent="0.25">
      <c r="A820798" s="242"/>
    </row>
    <row r="820799" spans="1:1" x14ac:dyDescent="0.25">
      <c r="A820799" s="242"/>
    </row>
    <row r="820800" spans="1:1" x14ac:dyDescent="0.25">
      <c r="A820800" s="242"/>
    </row>
    <row r="820801" spans="1:1" x14ac:dyDescent="0.25">
      <c r="A820801" s="242"/>
    </row>
    <row r="820802" spans="1:1" x14ac:dyDescent="0.25">
      <c r="A820802" s="242"/>
    </row>
    <row r="820803" spans="1:1" x14ac:dyDescent="0.25">
      <c r="A820803" s="242"/>
    </row>
    <row r="820804" spans="1:1" x14ac:dyDescent="0.25">
      <c r="A820804" s="242"/>
    </row>
    <row r="820805" spans="1:1" x14ac:dyDescent="0.25">
      <c r="A820805" s="242"/>
    </row>
    <row r="820806" spans="1:1" x14ac:dyDescent="0.25">
      <c r="A820806" s="242"/>
    </row>
    <row r="820807" spans="1:1" x14ac:dyDescent="0.25">
      <c r="A820807" s="242"/>
    </row>
    <row r="820808" spans="1:1" x14ac:dyDescent="0.25">
      <c r="A820808" s="242"/>
    </row>
    <row r="820809" spans="1:1" x14ac:dyDescent="0.25">
      <c r="A820809" s="242"/>
    </row>
    <row r="820810" spans="1:1" x14ac:dyDescent="0.25">
      <c r="A820810" s="242"/>
    </row>
    <row r="820811" spans="1:1" x14ac:dyDescent="0.25">
      <c r="A820811" s="242"/>
    </row>
    <row r="820812" spans="1:1" x14ac:dyDescent="0.25">
      <c r="A820812" s="242"/>
    </row>
    <row r="820813" spans="1:1" x14ac:dyDescent="0.25">
      <c r="A820813" s="242"/>
    </row>
    <row r="820814" spans="1:1" x14ac:dyDescent="0.25">
      <c r="A820814" s="242"/>
    </row>
    <row r="820815" spans="1:1" x14ac:dyDescent="0.25">
      <c r="A820815" s="242"/>
    </row>
    <row r="820816" spans="1:1" x14ac:dyDescent="0.25">
      <c r="A820816" s="242"/>
    </row>
    <row r="820817" spans="1:1" x14ac:dyDescent="0.25">
      <c r="A820817" s="242"/>
    </row>
    <row r="820818" spans="1:1" x14ac:dyDescent="0.25">
      <c r="A820818" s="242"/>
    </row>
    <row r="820819" spans="1:1" x14ac:dyDescent="0.25">
      <c r="A820819" s="242"/>
    </row>
    <row r="820820" spans="1:1" x14ac:dyDescent="0.25">
      <c r="A820820" s="242"/>
    </row>
    <row r="820821" spans="1:1" x14ac:dyDescent="0.25">
      <c r="A820821" s="242"/>
    </row>
    <row r="820822" spans="1:1" x14ac:dyDescent="0.25">
      <c r="A820822" s="242"/>
    </row>
    <row r="820823" spans="1:1" x14ac:dyDescent="0.25">
      <c r="A820823" s="242"/>
    </row>
    <row r="820824" spans="1:1" x14ac:dyDescent="0.25">
      <c r="A820824" s="242"/>
    </row>
    <row r="820825" spans="1:1" x14ac:dyDescent="0.25">
      <c r="A820825" s="242"/>
    </row>
    <row r="820826" spans="1:1" x14ac:dyDescent="0.25">
      <c r="A820826" s="242"/>
    </row>
    <row r="820827" spans="1:1" x14ac:dyDescent="0.25">
      <c r="A820827" s="242"/>
    </row>
    <row r="820828" spans="1:1" x14ac:dyDescent="0.25">
      <c r="A820828" s="242"/>
    </row>
    <row r="820829" spans="1:1" x14ac:dyDescent="0.25">
      <c r="A820829" s="242"/>
    </row>
    <row r="820830" spans="1:1" x14ac:dyDescent="0.25">
      <c r="A820830" s="242"/>
    </row>
    <row r="820831" spans="1:1" x14ac:dyDescent="0.25">
      <c r="A820831" s="242"/>
    </row>
    <row r="820832" spans="1:1" x14ac:dyDescent="0.25">
      <c r="A820832" s="242"/>
    </row>
    <row r="820833" spans="1:1" x14ac:dyDescent="0.25">
      <c r="A820833" s="242"/>
    </row>
    <row r="820834" spans="1:1" x14ac:dyDescent="0.25">
      <c r="A820834" s="242"/>
    </row>
    <row r="820835" spans="1:1" x14ac:dyDescent="0.25">
      <c r="A820835" s="242"/>
    </row>
    <row r="820836" spans="1:1" x14ac:dyDescent="0.25">
      <c r="A820836" s="242"/>
    </row>
    <row r="820837" spans="1:1" x14ac:dyDescent="0.25">
      <c r="A820837" s="242"/>
    </row>
    <row r="820838" spans="1:1" x14ac:dyDescent="0.25">
      <c r="A820838" s="242"/>
    </row>
    <row r="820839" spans="1:1" x14ac:dyDescent="0.25">
      <c r="A820839" s="242"/>
    </row>
    <row r="820840" spans="1:1" x14ac:dyDescent="0.25">
      <c r="A820840" s="242"/>
    </row>
    <row r="820841" spans="1:1" x14ac:dyDescent="0.25">
      <c r="A820841" s="242"/>
    </row>
    <row r="820842" spans="1:1" x14ac:dyDescent="0.25">
      <c r="A820842" s="242"/>
    </row>
    <row r="820843" spans="1:1" x14ac:dyDescent="0.25">
      <c r="A820843" s="242"/>
    </row>
    <row r="820844" spans="1:1" x14ac:dyDescent="0.25">
      <c r="A820844" s="242"/>
    </row>
    <row r="820845" spans="1:1" x14ac:dyDescent="0.25">
      <c r="A820845" s="242"/>
    </row>
    <row r="820846" spans="1:1" x14ac:dyDescent="0.25">
      <c r="A820846" s="242"/>
    </row>
    <row r="820847" spans="1:1" x14ac:dyDescent="0.25">
      <c r="A820847" s="242"/>
    </row>
    <row r="820848" spans="1:1" x14ac:dyDescent="0.25">
      <c r="A820848" s="242"/>
    </row>
    <row r="820849" spans="1:1" x14ac:dyDescent="0.25">
      <c r="A820849" s="242"/>
    </row>
    <row r="820850" spans="1:1" x14ac:dyDescent="0.25">
      <c r="A820850" s="242"/>
    </row>
    <row r="820851" spans="1:1" x14ac:dyDescent="0.25">
      <c r="A820851" s="242"/>
    </row>
    <row r="820852" spans="1:1" x14ac:dyDescent="0.25">
      <c r="A820852" s="242"/>
    </row>
    <row r="820853" spans="1:1" x14ac:dyDescent="0.25">
      <c r="A820853" s="242"/>
    </row>
    <row r="820854" spans="1:1" x14ac:dyDescent="0.25">
      <c r="A820854" s="242"/>
    </row>
    <row r="820855" spans="1:1" x14ac:dyDescent="0.25">
      <c r="A820855" s="242"/>
    </row>
    <row r="820856" spans="1:1" x14ac:dyDescent="0.25">
      <c r="A820856" s="242"/>
    </row>
    <row r="820857" spans="1:1" x14ac:dyDescent="0.25">
      <c r="A820857" s="242"/>
    </row>
    <row r="820858" spans="1:1" x14ac:dyDescent="0.25">
      <c r="A820858" s="242"/>
    </row>
    <row r="820859" spans="1:1" x14ac:dyDescent="0.25">
      <c r="A820859" s="242"/>
    </row>
    <row r="820860" spans="1:1" x14ac:dyDescent="0.25">
      <c r="A820860" s="242"/>
    </row>
    <row r="820861" spans="1:1" x14ac:dyDescent="0.25">
      <c r="A820861" s="242"/>
    </row>
    <row r="820862" spans="1:1" x14ac:dyDescent="0.25">
      <c r="A820862" s="242"/>
    </row>
    <row r="820863" spans="1:1" x14ac:dyDescent="0.25">
      <c r="A820863" s="242"/>
    </row>
    <row r="820864" spans="1:1" x14ac:dyDescent="0.25">
      <c r="A820864" s="242"/>
    </row>
    <row r="820865" spans="1:1" x14ac:dyDescent="0.25">
      <c r="A820865" s="242"/>
    </row>
    <row r="820866" spans="1:1" x14ac:dyDescent="0.25">
      <c r="A820866" s="242"/>
    </row>
    <row r="820867" spans="1:1" x14ac:dyDescent="0.25">
      <c r="A820867" s="242"/>
    </row>
    <row r="820868" spans="1:1" x14ac:dyDescent="0.25">
      <c r="A820868" s="242"/>
    </row>
    <row r="820869" spans="1:1" x14ac:dyDescent="0.25">
      <c r="A820869" s="242"/>
    </row>
    <row r="820870" spans="1:1" x14ac:dyDescent="0.25">
      <c r="A820870" s="242"/>
    </row>
    <row r="820871" spans="1:1" x14ac:dyDescent="0.25">
      <c r="A820871" s="242"/>
    </row>
    <row r="820872" spans="1:1" x14ac:dyDescent="0.25">
      <c r="A820872" s="242"/>
    </row>
    <row r="820873" spans="1:1" x14ac:dyDescent="0.25">
      <c r="A820873" s="242"/>
    </row>
    <row r="820874" spans="1:1" x14ac:dyDescent="0.25">
      <c r="A820874" s="242"/>
    </row>
    <row r="820875" spans="1:1" x14ac:dyDescent="0.25">
      <c r="A820875" s="242"/>
    </row>
    <row r="820876" spans="1:1" x14ac:dyDescent="0.25">
      <c r="A820876" s="242"/>
    </row>
    <row r="820877" spans="1:1" x14ac:dyDescent="0.25">
      <c r="A820877" s="242"/>
    </row>
    <row r="820878" spans="1:1" x14ac:dyDescent="0.25">
      <c r="A820878" s="242"/>
    </row>
    <row r="820879" spans="1:1" x14ac:dyDescent="0.25">
      <c r="A820879" s="242"/>
    </row>
    <row r="820880" spans="1:1" x14ac:dyDescent="0.25">
      <c r="A820880" s="242"/>
    </row>
    <row r="820881" spans="1:1" x14ac:dyDescent="0.25">
      <c r="A820881" s="242"/>
    </row>
    <row r="820882" spans="1:1" x14ac:dyDescent="0.25">
      <c r="A820882" s="242"/>
    </row>
    <row r="820883" spans="1:1" x14ac:dyDescent="0.25">
      <c r="A820883" s="242"/>
    </row>
    <row r="820884" spans="1:1" x14ac:dyDescent="0.25">
      <c r="A820884" s="242"/>
    </row>
    <row r="820885" spans="1:1" x14ac:dyDescent="0.25">
      <c r="A820885" s="242"/>
    </row>
    <row r="820886" spans="1:1" x14ac:dyDescent="0.25">
      <c r="A820886" s="242"/>
    </row>
    <row r="820887" spans="1:1" x14ac:dyDescent="0.25">
      <c r="A820887" s="242"/>
    </row>
    <row r="820888" spans="1:1" x14ac:dyDescent="0.25">
      <c r="A820888" s="242"/>
    </row>
    <row r="820889" spans="1:1" x14ac:dyDescent="0.25">
      <c r="A820889" s="242"/>
    </row>
    <row r="820890" spans="1:1" x14ac:dyDescent="0.25">
      <c r="A820890" s="242"/>
    </row>
    <row r="820891" spans="1:1" x14ac:dyDescent="0.25">
      <c r="A820891" s="242"/>
    </row>
    <row r="820892" spans="1:1" x14ac:dyDescent="0.25">
      <c r="A820892" s="242"/>
    </row>
    <row r="820893" spans="1:1" x14ac:dyDescent="0.25">
      <c r="A820893" s="242"/>
    </row>
    <row r="820894" spans="1:1" x14ac:dyDescent="0.25">
      <c r="A820894" s="242"/>
    </row>
    <row r="820895" spans="1:1" x14ac:dyDescent="0.25">
      <c r="A820895" s="242"/>
    </row>
    <row r="820896" spans="1:1" x14ac:dyDescent="0.25">
      <c r="A820896" s="242"/>
    </row>
    <row r="820897" spans="1:1" x14ac:dyDescent="0.25">
      <c r="A820897" s="242"/>
    </row>
    <row r="820898" spans="1:1" x14ac:dyDescent="0.25">
      <c r="A820898" s="242"/>
    </row>
    <row r="820899" spans="1:1" x14ac:dyDescent="0.25">
      <c r="A820899" s="242"/>
    </row>
    <row r="820900" spans="1:1" x14ac:dyDescent="0.25">
      <c r="A820900" s="242"/>
    </row>
    <row r="820901" spans="1:1" x14ac:dyDescent="0.25">
      <c r="A820901" s="242"/>
    </row>
    <row r="820902" spans="1:1" x14ac:dyDescent="0.25">
      <c r="A820902" s="242"/>
    </row>
    <row r="820903" spans="1:1" x14ac:dyDescent="0.25">
      <c r="A820903" s="242"/>
    </row>
    <row r="820904" spans="1:1" x14ac:dyDescent="0.25">
      <c r="A820904" s="242"/>
    </row>
    <row r="820905" spans="1:1" x14ac:dyDescent="0.25">
      <c r="A820905" s="242"/>
    </row>
    <row r="820906" spans="1:1" x14ac:dyDescent="0.25">
      <c r="A820906" s="242"/>
    </row>
    <row r="820907" spans="1:1" x14ac:dyDescent="0.25">
      <c r="A820907" s="242"/>
    </row>
    <row r="820908" spans="1:1" x14ac:dyDescent="0.25">
      <c r="A820908" s="242"/>
    </row>
    <row r="820909" spans="1:1" x14ac:dyDescent="0.25">
      <c r="A820909" s="242"/>
    </row>
    <row r="820910" spans="1:1" x14ac:dyDescent="0.25">
      <c r="A820910" s="242"/>
    </row>
    <row r="820911" spans="1:1" x14ac:dyDescent="0.25">
      <c r="A820911" s="242"/>
    </row>
    <row r="820912" spans="1:1" x14ac:dyDescent="0.25">
      <c r="A820912" s="242"/>
    </row>
    <row r="820913" spans="1:1" x14ac:dyDescent="0.25">
      <c r="A820913" s="242"/>
    </row>
    <row r="820914" spans="1:1" x14ac:dyDescent="0.25">
      <c r="A820914" s="242"/>
    </row>
    <row r="820915" spans="1:1" x14ac:dyDescent="0.25">
      <c r="A820915" s="242"/>
    </row>
    <row r="820916" spans="1:1" x14ac:dyDescent="0.25">
      <c r="A820916" s="242"/>
    </row>
    <row r="820917" spans="1:1" x14ac:dyDescent="0.25">
      <c r="A820917" s="242"/>
    </row>
    <row r="820918" spans="1:1" x14ac:dyDescent="0.25">
      <c r="A820918" s="242"/>
    </row>
    <row r="820919" spans="1:1" x14ac:dyDescent="0.25">
      <c r="A820919" s="242"/>
    </row>
    <row r="820920" spans="1:1" x14ac:dyDescent="0.25">
      <c r="A820920" s="242"/>
    </row>
    <row r="820921" spans="1:1" x14ac:dyDescent="0.25">
      <c r="A820921" s="242"/>
    </row>
    <row r="820922" spans="1:1" x14ac:dyDescent="0.25">
      <c r="A820922" s="242"/>
    </row>
    <row r="820923" spans="1:1" x14ac:dyDescent="0.25">
      <c r="A820923" s="242"/>
    </row>
    <row r="820924" spans="1:1" x14ac:dyDescent="0.25">
      <c r="A820924" s="242"/>
    </row>
    <row r="820925" spans="1:1" x14ac:dyDescent="0.25">
      <c r="A820925" s="242"/>
    </row>
    <row r="820926" spans="1:1" x14ac:dyDescent="0.25">
      <c r="A820926" s="242"/>
    </row>
    <row r="820927" spans="1:1" x14ac:dyDescent="0.25">
      <c r="A820927" s="242"/>
    </row>
    <row r="820928" spans="1:1" x14ac:dyDescent="0.25">
      <c r="A820928" s="242"/>
    </row>
    <row r="820929" spans="1:1" x14ac:dyDescent="0.25">
      <c r="A820929" s="242"/>
    </row>
    <row r="820930" spans="1:1" x14ac:dyDescent="0.25">
      <c r="A820930" s="242"/>
    </row>
    <row r="820931" spans="1:1" x14ac:dyDescent="0.25">
      <c r="A820931" s="242"/>
    </row>
    <row r="820932" spans="1:1" x14ac:dyDescent="0.25">
      <c r="A820932" s="242"/>
    </row>
    <row r="820933" spans="1:1" x14ac:dyDescent="0.25">
      <c r="A820933" s="242"/>
    </row>
    <row r="820934" spans="1:1" x14ac:dyDescent="0.25">
      <c r="A820934" s="242"/>
    </row>
    <row r="820935" spans="1:1" x14ac:dyDescent="0.25">
      <c r="A820935" s="242"/>
    </row>
    <row r="820936" spans="1:1" x14ac:dyDescent="0.25">
      <c r="A820936" s="242"/>
    </row>
    <row r="820937" spans="1:1" x14ac:dyDescent="0.25">
      <c r="A820937" s="242"/>
    </row>
    <row r="820938" spans="1:1" x14ac:dyDescent="0.25">
      <c r="A820938" s="242"/>
    </row>
    <row r="820939" spans="1:1" x14ac:dyDescent="0.25">
      <c r="A820939" s="242"/>
    </row>
    <row r="820940" spans="1:1" x14ac:dyDescent="0.25">
      <c r="A820940" s="242"/>
    </row>
    <row r="820941" spans="1:1" x14ac:dyDescent="0.25">
      <c r="A820941" s="242"/>
    </row>
    <row r="820942" spans="1:1" x14ac:dyDescent="0.25">
      <c r="A820942" s="242"/>
    </row>
    <row r="820943" spans="1:1" x14ac:dyDescent="0.25">
      <c r="A820943" s="242"/>
    </row>
    <row r="820944" spans="1:1" x14ac:dyDescent="0.25">
      <c r="A820944" s="242"/>
    </row>
    <row r="820945" spans="1:1" x14ac:dyDescent="0.25">
      <c r="A820945" s="242"/>
    </row>
    <row r="820946" spans="1:1" x14ac:dyDescent="0.25">
      <c r="A820946" s="242"/>
    </row>
    <row r="820947" spans="1:1" x14ac:dyDescent="0.25">
      <c r="A820947" s="242"/>
    </row>
    <row r="820948" spans="1:1" x14ac:dyDescent="0.25">
      <c r="A820948" s="242"/>
    </row>
    <row r="820949" spans="1:1" x14ac:dyDescent="0.25">
      <c r="A820949" s="242"/>
    </row>
    <row r="820950" spans="1:1" x14ac:dyDescent="0.25">
      <c r="A820950" s="242"/>
    </row>
    <row r="820951" spans="1:1" x14ac:dyDescent="0.25">
      <c r="A820951" s="242"/>
    </row>
    <row r="820952" spans="1:1" x14ac:dyDescent="0.25">
      <c r="A820952" s="242"/>
    </row>
    <row r="820953" spans="1:1" x14ac:dyDescent="0.25">
      <c r="A820953" s="242"/>
    </row>
    <row r="820954" spans="1:1" x14ac:dyDescent="0.25">
      <c r="A820954" s="242"/>
    </row>
    <row r="820955" spans="1:1" x14ac:dyDescent="0.25">
      <c r="A820955" s="242"/>
    </row>
    <row r="820956" spans="1:1" x14ac:dyDescent="0.25">
      <c r="A820956" s="242"/>
    </row>
    <row r="820957" spans="1:1" x14ac:dyDescent="0.25">
      <c r="A820957" s="242"/>
    </row>
    <row r="820958" spans="1:1" x14ac:dyDescent="0.25">
      <c r="A820958" s="242"/>
    </row>
    <row r="820959" spans="1:1" x14ac:dyDescent="0.25">
      <c r="A820959" s="242"/>
    </row>
    <row r="820960" spans="1:1" x14ac:dyDescent="0.25">
      <c r="A820960" s="242"/>
    </row>
    <row r="820961" spans="1:1" x14ac:dyDescent="0.25">
      <c r="A820961" s="242"/>
    </row>
    <row r="820962" spans="1:1" x14ac:dyDescent="0.25">
      <c r="A820962" s="242"/>
    </row>
    <row r="820963" spans="1:1" x14ac:dyDescent="0.25">
      <c r="A820963" s="242"/>
    </row>
    <row r="820964" spans="1:1" x14ac:dyDescent="0.25">
      <c r="A820964" s="242"/>
    </row>
    <row r="820965" spans="1:1" x14ac:dyDescent="0.25">
      <c r="A820965" s="242"/>
    </row>
    <row r="820966" spans="1:1" x14ac:dyDescent="0.25">
      <c r="A820966" s="242"/>
    </row>
    <row r="820967" spans="1:1" x14ac:dyDescent="0.25">
      <c r="A820967" s="242"/>
    </row>
    <row r="820968" spans="1:1" x14ac:dyDescent="0.25">
      <c r="A820968" s="242"/>
    </row>
    <row r="820969" spans="1:1" x14ac:dyDescent="0.25">
      <c r="A820969" s="242"/>
    </row>
    <row r="820970" spans="1:1" x14ac:dyDescent="0.25">
      <c r="A820970" s="242"/>
    </row>
    <row r="820971" spans="1:1" x14ac:dyDescent="0.25">
      <c r="A820971" s="242"/>
    </row>
    <row r="820972" spans="1:1" x14ac:dyDescent="0.25">
      <c r="A820972" s="242"/>
    </row>
    <row r="820973" spans="1:1" x14ac:dyDescent="0.25">
      <c r="A820973" s="242"/>
    </row>
    <row r="820974" spans="1:1" x14ac:dyDescent="0.25">
      <c r="A820974" s="242"/>
    </row>
    <row r="820975" spans="1:1" x14ac:dyDescent="0.25">
      <c r="A820975" s="242"/>
    </row>
    <row r="820976" spans="1:1" x14ac:dyDescent="0.25">
      <c r="A820976" s="242"/>
    </row>
    <row r="820977" spans="1:1" x14ac:dyDescent="0.25">
      <c r="A820977" s="242"/>
    </row>
    <row r="820978" spans="1:1" x14ac:dyDescent="0.25">
      <c r="A820978" s="242"/>
    </row>
    <row r="820979" spans="1:1" x14ac:dyDescent="0.25">
      <c r="A820979" s="242"/>
    </row>
    <row r="820980" spans="1:1" x14ac:dyDescent="0.25">
      <c r="A820980" s="242"/>
    </row>
    <row r="820981" spans="1:1" x14ac:dyDescent="0.25">
      <c r="A820981" s="242"/>
    </row>
    <row r="820982" spans="1:1" x14ac:dyDescent="0.25">
      <c r="A820982" s="242"/>
    </row>
    <row r="820983" spans="1:1" x14ac:dyDescent="0.25">
      <c r="A820983" s="242"/>
    </row>
    <row r="820984" spans="1:1" x14ac:dyDescent="0.25">
      <c r="A820984" s="242"/>
    </row>
    <row r="820985" spans="1:1" x14ac:dyDescent="0.25">
      <c r="A820985" s="242"/>
    </row>
    <row r="820986" spans="1:1" x14ac:dyDescent="0.25">
      <c r="A820986" s="242"/>
    </row>
    <row r="820987" spans="1:1" x14ac:dyDescent="0.25">
      <c r="A820987" s="242"/>
    </row>
    <row r="820988" spans="1:1" x14ac:dyDescent="0.25">
      <c r="A820988" s="242"/>
    </row>
    <row r="820989" spans="1:1" x14ac:dyDescent="0.25">
      <c r="A820989" s="242"/>
    </row>
    <row r="820990" spans="1:1" x14ac:dyDescent="0.25">
      <c r="A820990" s="242"/>
    </row>
    <row r="820991" spans="1:1" x14ac:dyDescent="0.25">
      <c r="A820991" s="242"/>
    </row>
    <row r="820992" spans="1:1" x14ac:dyDescent="0.25">
      <c r="A820992" s="242"/>
    </row>
    <row r="820993" spans="1:1" x14ac:dyDescent="0.25">
      <c r="A820993" s="242"/>
    </row>
    <row r="820994" spans="1:1" x14ac:dyDescent="0.25">
      <c r="A820994" s="242"/>
    </row>
    <row r="820995" spans="1:1" x14ac:dyDescent="0.25">
      <c r="A820995" s="242"/>
    </row>
    <row r="820996" spans="1:1" x14ac:dyDescent="0.25">
      <c r="A820996" s="242"/>
    </row>
    <row r="820997" spans="1:1" x14ac:dyDescent="0.25">
      <c r="A820997" s="242"/>
    </row>
    <row r="820998" spans="1:1" x14ac:dyDescent="0.25">
      <c r="A820998" s="242"/>
    </row>
    <row r="820999" spans="1:1" x14ac:dyDescent="0.25">
      <c r="A820999" s="242"/>
    </row>
    <row r="821000" spans="1:1" x14ac:dyDescent="0.25">
      <c r="A821000" s="242"/>
    </row>
    <row r="821001" spans="1:1" x14ac:dyDescent="0.25">
      <c r="A821001" s="242"/>
    </row>
    <row r="821002" spans="1:1" x14ac:dyDescent="0.25">
      <c r="A821002" s="242"/>
    </row>
    <row r="821003" spans="1:1" x14ac:dyDescent="0.25">
      <c r="A821003" s="242"/>
    </row>
    <row r="821004" spans="1:1" x14ac:dyDescent="0.25">
      <c r="A821004" s="242"/>
    </row>
    <row r="821005" spans="1:1" x14ac:dyDescent="0.25">
      <c r="A821005" s="242"/>
    </row>
    <row r="821006" spans="1:1" x14ac:dyDescent="0.25">
      <c r="A821006" s="242"/>
    </row>
    <row r="821007" spans="1:1" x14ac:dyDescent="0.25">
      <c r="A821007" s="242"/>
    </row>
    <row r="821008" spans="1:1" x14ac:dyDescent="0.25">
      <c r="A821008" s="242"/>
    </row>
    <row r="821009" spans="1:1" x14ac:dyDescent="0.25">
      <c r="A821009" s="242"/>
    </row>
    <row r="821010" spans="1:1" x14ac:dyDescent="0.25">
      <c r="A821010" s="242"/>
    </row>
    <row r="821011" spans="1:1" x14ac:dyDescent="0.25">
      <c r="A821011" s="242"/>
    </row>
    <row r="821012" spans="1:1" x14ac:dyDescent="0.25">
      <c r="A821012" s="242"/>
    </row>
    <row r="821013" spans="1:1" x14ac:dyDescent="0.25">
      <c r="A821013" s="242"/>
    </row>
    <row r="821014" spans="1:1" x14ac:dyDescent="0.25">
      <c r="A821014" s="242"/>
    </row>
    <row r="821015" spans="1:1" x14ac:dyDescent="0.25">
      <c r="A821015" s="242"/>
    </row>
    <row r="821016" spans="1:1" x14ac:dyDescent="0.25">
      <c r="A821016" s="242"/>
    </row>
    <row r="821017" spans="1:1" x14ac:dyDescent="0.25">
      <c r="A821017" s="242"/>
    </row>
    <row r="821018" spans="1:1" x14ac:dyDescent="0.25">
      <c r="A821018" s="242"/>
    </row>
    <row r="821019" spans="1:1" x14ac:dyDescent="0.25">
      <c r="A821019" s="242"/>
    </row>
    <row r="821020" spans="1:1" x14ac:dyDescent="0.25">
      <c r="A821020" s="242"/>
    </row>
    <row r="821021" spans="1:1" x14ac:dyDescent="0.25">
      <c r="A821021" s="242"/>
    </row>
    <row r="821022" spans="1:1" x14ac:dyDescent="0.25">
      <c r="A821022" s="242"/>
    </row>
    <row r="821023" spans="1:1" x14ac:dyDescent="0.25">
      <c r="A821023" s="242"/>
    </row>
    <row r="821024" spans="1:1" x14ac:dyDescent="0.25">
      <c r="A821024" s="242"/>
    </row>
    <row r="821025" spans="1:1" x14ac:dyDescent="0.25">
      <c r="A821025" s="242"/>
    </row>
    <row r="821026" spans="1:1" x14ac:dyDescent="0.25">
      <c r="A821026" s="242"/>
    </row>
    <row r="821027" spans="1:1" x14ac:dyDescent="0.25">
      <c r="A821027" s="242"/>
    </row>
    <row r="821028" spans="1:1" x14ac:dyDescent="0.25">
      <c r="A821028" s="242"/>
    </row>
    <row r="821029" spans="1:1" x14ac:dyDescent="0.25">
      <c r="A821029" s="242"/>
    </row>
    <row r="821030" spans="1:1" x14ac:dyDescent="0.25">
      <c r="A821030" s="242"/>
    </row>
    <row r="821031" spans="1:1" x14ac:dyDescent="0.25">
      <c r="A821031" s="242"/>
    </row>
    <row r="821032" spans="1:1" x14ac:dyDescent="0.25">
      <c r="A821032" s="242"/>
    </row>
    <row r="821033" spans="1:1" x14ac:dyDescent="0.25">
      <c r="A821033" s="242"/>
    </row>
    <row r="821034" spans="1:1" x14ac:dyDescent="0.25">
      <c r="A821034" s="242"/>
    </row>
    <row r="821035" spans="1:1" x14ac:dyDescent="0.25">
      <c r="A821035" s="242"/>
    </row>
    <row r="821036" spans="1:1" x14ac:dyDescent="0.25">
      <c r="A821036" s="242"/>
    </row>
    <row r="821037" spans="1:1" x14ac:dyDescent="0.25">
      <c r="A821037" s="242"/>
    </row>
    <row r="821038" spans="1:1" x14ac:dyDescent="0.25">
      <c r="A821038" s="242"/>
    </row>
    <row r="821039" spans="1:1" x14ac:dyDescent="0.25">
      <c r="A821039" s="242"/>
    </row>
    <row r="821040" spans="1:1" x14ac:dyDescent="0.25">
      <c r="A821040" s="242"/>
    </row>
    <row r="821041" spans="1:1" x14ac:dyDescent="0.25">
      <c r="A821041" s="242"/>
    </row>
    <row r="821042" spans="1:1" x14ac:dyDescent="0.25">
      <c r="A821042" s="242"/>
    </row>
    <row r="821043" spans="1:1" x14ac:dyDescent="0.25">
      <c r="A821043" s="242"/>
    </row>
    <row r="821044" spans="1:1" x14ac:dyDescent="0.25">
      <c r="A821044" s="242"/>
    </row>
    <row r="821045" spans="1:1" x14ac:dyDescent="0.25">
      <c r="A821045" s="242"/>
    </row>
    <row r="821046" spans="1:1" x14ac:dyDescent="0.25">
      <c r="A821046" s="242"/>
    </row>
    <row r="821047" spans="1:1" x14ac:dyDescent="0.25">
      <c r="A821047" s="242"/>
    </row>
    <row r="821048" spans="1:1" x14ac:dyDescent="0.25">
      <c r="A821048" s="242"/>
    </row>
    <row r="821049" spans="1:1" x14ac:dyDescent="0.25">
      <c r="A821049" s="242"/>
    </row>
    <row r="821050" spans="1:1" x14ac:dyDescent="0.25">
      <c r="A821050" s="242"/>
    </row>
    <row r="821051" spans="1:1" x14ac:dyDescent="0.25">
      <c r="A821051" s="242"/>
    </row>
    <row r="821052" spans="1:1" x14ac:dyDescent="0.25">
      <c r="A821052" s="242"/>
    </row>
    <row r="821053" spans="1:1" x14ac:dyDescent="0.25">
      <c r="A821053" s="242"/>
    </row>
    <row r="821054" spans="1:1" x14ac:dyDescent="0.25">
      <c r="A821054" s="242"/>
    </row>
    <row r="821055" spans="1:1" x14ac:dyDescent="0.25">
      <c r="A821055" s="242"/>
    </row>
    <row r="821056" spans="1:1" x14ac:dyDescent="0.25">
      <c r="A821056" s="242"/>
    </row>
    <row r="821057" spans="1:1" x14ac:dyDescent="0.25">
      <c r="A821057" s="242"/>
    </row>
    <row r="821058" spans="1:1" x14ac:dyDescent="0.25">
      <c r="A821058" s="242"/>
    </row>
    <row r="821059" spans="1:1" x14ac:dyDescent="0.25">
      <c r="A821059" s="242"/>
    </row>
    <row r="821060" spans="1:1" x14ac:dyDescent="0.25">
      <c r="A821060" s="242"/>
    </row>
    <row r="821061" spans="1:1" x14ac:dyDescent="0.25">
      <c r="A821061" s="242"/>
    </row>
    <row r="821062" spans="1:1" x14ac:dyDescent="0.25">
      <c r="A821062" s="242"/>
    </row>
    <row r="821063" spans="1:1" x14ac:dyDescent="0.25">
      <c r="A821063" s="242"/>
    </row>
    <row r="821064" spans="1:1" x14ac:dyDescent="0.25">
      <c r="A821064" s="242"/>
    </row>
    <row r="821065" spans="1:1" x14ac:dyDescent="0.25">
      <c r="A821065" s="242"/>
    </row>
    <row r="821066" spans="1:1" x14ac:dyDescent="0.25">
      <c r="A821066" s="242"/>
    </row>
    <row r="821067" spans="1:1" x14ac:dyDescent="0.25">
      <c r="A821067" s="242"/>
    </row>
    <row r="821068" spans="1:1" x14ac:dyDescent="0.25">
      <c r="A821068" s="242"/>
    </row>
    <row r="821069" spans="1:1" x14ac:dyDescent="0.25">
      <c r="A821069" s="242"/>
    </row>
    <row r="821070" spans="1:1" x14ac:dyDescent="0.25">
      <c r="A821070" s="242"/>
    </row>
    <row r="821071" spans="1:1" x14ac:dyDescent="0.25">
      <c r="A821071" s="242"/>
    </row>
    <row r="821072" spans="1:1" x14ac:dyDescent="0.25">
      <c r="A821072" s="242"/>
    </row>
    <row r="821073" spans="1:1" x14ac:dyDescent="0.25">
      <c r="A821073" s="242"/>
    </row>
    <row r="821074" spans="1:1" x14ac:dyDescent="0.25">
      <c r="A821074" s="242"/>
    </row>
    <row r="821075" spans="1:1" x14ac:dyDescent="0.25">
      <c r="A821075" s="242"/>
    </row>
    <row r="821076" spans="1:1" x14ac:dyDescent="0.25">
      <c r="A821076" s="242"/>
    </row>
    <row r="821077" spans="1:1" x14ac:dyDescent="0.25">
      <c r="A821077" s="242"/>
    </row>
    <row r="821078" spans="1:1" x14ac:dyDescent="0.25">
      <c r="A821078" s="242"/>
    </row>
    <row r="821079" spans="1:1" x14ac:dyDescent="0.25">
      <c r="A821079" s="242"/>
    </row>
    <row r="821080" spans="1:1" x14ac:dyDescent="0.25">
      <c r="A821080" s="242"/>
    </row>
    <row r="821081" spans="1:1" x14ac:dyDescent="0.25">
      <c r="A821081" s="242"/>
    </row>
    <row r="821082" spans="1:1" x14ac:dyDescent="0.25">
      <c r="A821082" s="242"/>
    </row>
    <row r="821083" spans="1:1" x14ac:dyDescent="0.25">
      <c r="A821083" s="242"/>
    </row>
    <row r="821084" spans="1:1" x14ac:dyDescent="0.25">
      <c r="A821084" s="242"/>
    </row>
    <row r="821085" spans="1:1" x14ac:dyDescent="0.25">
      <c r="A821085" s="242"/>
    </row>
    <row r="821086" spans="1:1" x14ac:dyDescent="0.25">
      <c r="A821086" s="242"/>
    </row>
    <row r="821087" spans="1:1" x14ac:dyDescent="0.25">
      <c r="A821087" s="242"/>
    </row>
    <row r="821088" spans="1:1" x14ac:dyDescent="0.25">
      <c r="A821088" s="242"/>
    </row>
    <row r="821089" spans="1:1" x14ac:dyDescent="0.25">
      <c r="A821089" s="242"/>
    </row>
    <row r="821090" spans="1:1" x14ac:dyDescent="0.25">
      <c r="A821090" s="242"/>
    </row>
    <row r="821091" spans="1:1" x14ac:dyDescent="0.25">
      <c r="A821091" s="242"/>
    </row>
    <row r="821092" spans="1:1" x14ac:dyDescent="0.25">
      <c r="A821092" s="242"/>
    </row>
    <row r="821093" spans="1:1" x14ac:dyDescent="0.25">
      <c r="A821093" s="242"/>
    </row>
    <row r="821094" spans="1:1" x14ac:dyDescent="0.25">
      <c r="A821094" s="242"/>
    </row>
    <row r="821095" spans="1:1" x14ac:dyDescent="0.25">
      <c r="A821095" s="242"/>
    </row>
    <row r="821096" spans="1:1" x14ac:dyDescent="0.25">
      <c r="A821096" s="242"/>
    </row>
    <row r="821097" spans="1:1" x14ac:dyDescent="0.25">
      <c r="A821097" s="242"/>
    </row>
    <row r="821098" spans="1:1" x14ac:dyDescent="0.25">
      <c r="A821098" s="242"/>
    </row>
    <row r="821099" spans="1:1" x14ac:dyDescent="0.25">
      <c r="A821099" s="242"/>
    </row>
    <row r="821100" spans="1:1" x14ac:dyDescent="0.25">
      <c r="A821100" s="242"/>
    </row>
    <row r="821101" spans="1:1" x14ac:dyDescent="0.25">
      <c r="A821101" s="242"/>
    </row>
    <row r="821102" spans="1:1" x14ac:dyDescent="0.25">
      <c r="A821102" s="242"/>
    </row>
    <row r="821103" spans="1:1" x14ac:dyDescent="0.25">
      <c r="A821103" s="242"/>
    </row>
    <row r="821104" spans="1:1" x14ac:dyDescent="0.25">
      <c r="A821104" s="242"/>
    </row>
    <row r="821105" spans="1:1" x14ac:dyDescent="0.25">
      <c r="A821105" s="242"/>
    </row>
    <row r="821106" spans="1:1" x14ac:dyDescent="0.25">
      <c r="A821106" s="242"/>
    </row>
    <row r="821107" spans="1:1" x14ac:dyDescent="0.25">
      <c r="A821107" s="242"/>
    </row>
    <row r="821108" spans="1:1" x14ac:dyDescent="0.25">
      <c r="A821108" s="242"/>
    </row>
    <row r="821109" spans="1:1" x14ac:dyDescent="0.25">
      <c r="A821109" s="242"/>
    </row>
    <row r="821110" spans="1:1" x14ac:dyDescent="0.25">
      <c r="A821110" s="242"/>
    </row>
    <row r="821111" spans="1:1" x14ac:dyDescent="0.25">
      <c r="A821111" s="242"/>
    </row>
    <row r="821112" spans="1:1" x14ac:dyDescent="0.25">
      <c r="A821112" s="242"/>
    </row>
    <row r="821113" spans="1:1" x14ac:dyDescent="0.25">
      <c r="A821113" s="242"/>
    </row>
    <row r="821114" spans="1:1" x14ac:dyDescent="0.25">
      <c r="A821114" s="242"/>
    </row>
    <row r="821115" spans="1:1" x14ac:dyDescent="0.25">
      <c r="A821115" s="242"/>
    </row>
    <row r="821116" spans="1:1" x14ac:dyDescent="0.25">
      <c r="A821116" s="242"/>
    </row>
    <row r="821117" spans="1:1" x14ac:dyDescent="0.25">
      <c r="A821117" s="242"/>
    </row>
    <row r="821118" spans="1:1" x14ac:dyDescent="0.25">
      <c r="A821118" s="242"/>
    </row>
    <row r="821119" spans="1:1" x14ac:dyDescent="0.25">
      <c r="A821119" s="242"/>
    </row>
    <row r="821120" spans="1:1" x14ac:dyDescent="0.25">
      <c r="A821120" s="242"/>
    </row>
    <row r="821121" spans="1:1" x14ac:dyDescent="0.25">
      <c r="A821121" s="242"/>
    </row>
    <row r="821122" spans="1:1" x14ac:dyDescent="0.25">
      <c r="A821122" s="242"/>
    </row>
    <row r="821123" spans="1:1" x14ac:dyDescent="0.25">
      <c r="A821123" s="242"/>
    </row>
    <row r="821124" spans="1:1" x14ac:dyDescent="0.25">
      <c r="A821124" s="242"/>
    </row>
    <row r="821125" spans="1:1" x14ac:dyDescent="0.25">
      <c r="A821125" s="242"/>
    </row>
    <row r="821126" spans="1:1" x14ac:dyDescent="0.25">
      <c r="A821126" s="242"/>
    </row>
    <row r="821127" spans="1:1" x14ac:dyDescent="0.25">
      <c r="A821127" s="242"/>
    </row>
    <row r="821128" spans="1:1" x14ac:dyDescent="0.25">
      <c r="A821128" s="242"/>
    </row>
    <row r="821129" spans="1:1" x14ac:dyDescent="0.25">
      <c r="A821129" s="242"/>
    </row>
    <row r="821130" spans="1:1" x14ac:dyDescent="0.25">
      <c r="A821130" s="242"/>
    </row>
    <row r="821131" spans="1:1" x14ac:dyDescent="0.25">
      <c r="A821131" s="242"/>
    </row>
    <row r="821132" spans="1:1" x14ac:dyDescent="0.25">
      <c r="A821132" s="242"/>
    </row>
    <row r="821133" spans="1:1" x14ac:dyDescent="0.25">
      <c r="A821133" s="242"/>
    </row>
    <row r="821134" spans="1:1" x14ac:dyDescent="0.25">
      <c r="A821134" s="242"/>
    </row>
    <row r="821135" spans="1:1" x14ac:dyDescent="0.25">
      <c r="A821135" s="242"/>
    </row>
    <row r="821136" spans="1:1" x14ac:dyDescent="0.25">
      <c r="A821136" s="242"/>
    </row>
    <row r="821137" spans="1:1" x14ac:dyDescent="0.25">
      <c r="A821137" s="242"/>
    </row>
    <row r="821138" spans="1:1" x14ac:dyDescent="0.25">
      <c r="A821138" s="242"/>
    </row>
    <row r="821139" spans="1:1" x14ac:dyDescent="0.25">
      <c r="A821139" s="242"/>
    </row>
    <row r="821140" spans="1:1" x14ac:dyDescent="0.25">
      <c r="A821140" s="242"/>
    </row>
    <row r="821141" spans="1:1" x14ac:dyDescent="0.25">
      <c r="A821141" s="242"/>
    </row>
    <row r="821142" spans="1:1" x14ac:dyDescent="0.25">
      <c r="A821142" s="242"/>
    </row>
    <row r="821143" spans="1:1" x14ac:dyDescent="0.25">
      <c r="A821143" s="242"/>
    </row>
    <row r="821144" spans="1:1" x14ac:dyDescent="0.25">
      <c r="A821144" s="242"/>
    </row>
    <row r="821145" spans="1:1" x14ac:dyDescent="0.25">
      <c r="A821145" s="242"/>
    </row>
    <row r="821146" spans="1:1" x14ac:dyDescent="0.25">
      <c r="A821146" s="242"/>
    </row>
    <row r="821147" spans="1:1" x14ac:dyDescent="0.25">
      <c r="A821147" s="242"/>
    </row>
    <row r="821148" spans="1:1" x14ac:dyDescent="0.25">
      <c r="A821148" s="242"/>
    </row>
    <row r="821149" spans="1:1" x14ac:dyDescent="0.25">
      <c r="A821149" s="242"/>
    </row>
    <row r="821150" spans="1:1" x14ac:dyDescent="0.25">
      <c r="A821150" s="242"/>
    </row>
    <row r="821151" spans="1:1" x14ac:dyDescent="0.25">
      <c r="A821151" s="242"/>
    </row>
    <row r="821152" spans="1:1" x14ac:dyDescent="0.25">
      <c r="A821152" s="242"/>
    </row>
    <row r="821153" spans="1:1" x14ac:dyDescent="0.25">
      <c r="A821153" s="242"/>
    </row>
    <row r="821154" spans="1:1" x14ac:dyDescent="0.25">
      <c r="A821154" s="242"/>
    </row>
    <row r="821155" spans="1:1" x14ac:dyDescent="0.25">
      <c r="A821155" s="242"/>
    </row>
    <row r="821156" spans="1:1" x14ac:dyDescent="0.25">
      <c r="A821156" s="242"/>
    </row>
    <row r="821157" spans="1:1" x14ac:dyDescent="0.25">
      <c r="A821157" s="242"/>
    </row>
    <row r="821158" spans="1:1" x14ac:dyDescent="0.25">
      <c r="A821158" s="242"/>
    </row>
    <row r="821159" spans="1:1" x14ac:dyDescent="0.25">
      <c r="A821159" s="242"/>
    </row>
    <row r="821160" spans="1:1" x14ac:dyDescent="0.25">
      <c r="A821160" s="242"/>
    </row>
    <row r="821161" spans="1:1" x14ac:dyDescent="0.25">
      <c r="A821161" s="242"/>
    </row>
    <row r="821162" spans="1:1" x14ac:dyDescent="0.25">
      <c r="A821162" s="242"/>
    </row>
    <row r="821163" spans="1:1" x14ac:dyDescent="0.25">
      <c r="A821163" s="242"/>
    </row>
    <row r="821164" spans="1:1" x14ac:dyDescent="0.25">
      <c r="A821164" s="242"/>
    </row>
    <row r="821165" spans="1:1" x14ac:dyDescent="0.25">
      <c r="A821165" s="242"/>
    </row>
    <row r="821166" spans="1:1" x14ac:dyDescent="0.25">
      <c r="A821166" s="242"/>
    </row>
    <row r="821167" spans="1:1" x14ac:dyDescent="0.25">
      <c r="A821167" s="242"/>
    </row>
    <row r="821168" spans="1:1" x14ac:dyDescent="0.25">
      <c r="A821168" s="242"/>
    </row>
    <row r="821169" spans="1:1" x14ac:dyDescent="0.25">
      <c r="A821169" s="242"/>
    </row>
    <row r="821170" spans="1:1" x14ac:dyDescent="0.25">
      <c r="A821170" s="242"/>
    </row>
    <row r="821171" spans="1:1" x14ac:dyDescent="0.25">
      <c r="A821171" s="242"/>
    </row>
    <row r="821172" spans="1:1" x14ac:dyDescent="0.25">
      <c r="A821172" s="242"/>
    </row>
    <row r="821173" spans="1:1" x14ac:dyDescent="0.25">
      <c r="A821173" s="242"/>
    </row>
    <row r="821174" spans="1:1" x14ac:dyDescent="0.25">
      <c r="A821174" s="242"/>
    </row>
    <row r="821175" spans="1:1" x14ac:dyDescent="0.25">
      <c r="A821175" s="242"/>
    </row>
    <row r="821176" spans="1:1" x14ac:dyDescent="0.25">
      <c r="A821176" s="242"/>
    </row>
    <row r="821177" spans="1:1" x14ac:dyDescent="0.25">
      <c r="A821177" s="242"/>
    </row>
    <row r="821178" spans="1:1" x14ac:dyDescent="0.25">
      <c r="A821178" s="242"/>
    </row>
    <row r="821179" spans="1:1" x14ac:dyDescent="0.25">
      <c r="A821179" s="242"/>
    </row>
    <row r="821180" spans="1:1" x14ac:dyDescent="0.25">
      <c r="A821180" s="242"/>
    </row>
    <row r="821181" spans="1:1" x14ac:dyDescent="0.25">
      <c r="A821181" s="242"/>
    </row>
    <row r="821182" spans="1:1" x14ac:dyDescent="0.25">
      <c r="A821182" s="242"/>
    </row>
    <row r="821183" spans="1:1" x14ac:dyDescent="0.25">
      <c r="A821183" s="242"/>
    </row>
    <row r="821184" spans="1:1" x14ac:dyDescent="0.25">
      <c r="A821184" s="242"/>
    </row>
    <row r="821185" spans="1:1" x14ac:dyDescent="0.25">
      <c r="A821185" s="242"/>
    </row>
    <row r="821186" spans="1:1" x14ac:dyDescent="0.25">
      <c r="A821186" s="242"/>
    </row>
    <row r="821187" spans="1:1" x14ac:dyDescent="0.25">
      <c r="A821187" s="242"/>
    </row>
    <row r="821188" spans="1:1" x14ac:dyDescent="0.25">
      <c r="A821188" s="242"/>
    </row>
    <row r="821189" spans="1:1" x14ac:dyDescent="0.25">
      <c r="A821189" s="242"/>
    </row>
    <row r="821190" spans="1:1" x14ac:dyDescent="0.25">
      <c r="A821190" s="242"/>
    </row>
    <row r="821191" spans="1:1" x14ac:dyDescent="0.25">
      <c r="A821191" s="242"/>
    </row>
    <row r="821192" spans="1:1" x14ac:dyDescent="0.25">
      <c r="A821192" s="242"/>
    </row>
    <row r="821193" spans="1:1" x14ac:dyDescent="0.25">
      <c r="A821193" s="242"/>
    </row>
    <row r="821194" spans="1:1" x14ac:dyDescent="0.25">
      <c r="A821194" s="242"/>
    </row>
    <row r="821195" spans="1:1" x14ac:dyDescent="0.25">
      <c r="A821195" s="242"/>
    </row>
    <row r="821196" spans="1:1" x14ac:dyDescent="0.25">
      <c r="A821196" s="242"/>
    </row>
    <row r="821197" spans="1:1" x14ac:dyDescent="0.25">
      <c r="A821197" s="242"/>
    </row>
    <row r="821198" spans="1:1" x14ac:dyDescent="0.25">
      <c r="A821198" s="242"/>
    </row>
    <row r="821199" spans="1:1" x14ac:dyDescent="0.25">
      <c r="A821199" s="242"/>
    </row>
    <row r="821200" spans="1:1" x14ac:dyDescent="0.25">
      <c r="A821200" s="242"/>
    </row>
    <row r="821201" spans="1:1" x14ac:dyDescent="0.25">
      <c r="A821201" s="242"/>
    </row>
    <row r="821202" spans="1:1" x14ac:dyDescent="0.25">
      <c r="A821202" s="242"/>
    </row>
    <row r="821203" spans="1:1" x14ac:dyDescent="0.25">
      <c r="A821203" s="242"/>
    </row>
    <row r="821204" spans="1:1" x14ac:dyDescent="0.25">
      <c r="A821204" s="242"/>
    </row>
    <row r="821205" spans="1:1" x14ac:dyDescent="0.25">
      <c r="A821205" s="242"/>
    </row>
    <row r="821206" spans="1:1" x14ac:dyDescent="0.25">
      <c r="A821206" s="242"/>
    </row>
    <row r="821207" spans="1:1" x14ac:dyDescent="0.25">
      <c r="A821207" s="242"/>
    </row>
    <row r="821208" spans="1:1" x14ac:dyDescent="0.25">
      <c r="A821208" s="242"/>
    </row>
    <row r="821209" spans="1:1" x14ac:dyDescent="0.25">
      <c r="A821209" s="242"/>
    </row>
    <row r="821210" spans="1:1" x14ac:dyDescent="0.25">
      <c r="A821210" s="242"/>
    </row>
    <row r="821211" spans="1:1" x14ac:dyDescent="0.25">
      <c r="A821211" s="242"/>
    </row>
    <row r="821212" spans="1:1" x14ac:dyDescent="0.25">
      <c r="A821212" s="242"/>
    </row>
    <row r="821213" spans="1:1" x14ac:dyDescent="0.25">
      <c r="A821213" s="242"/>
    </row>
    <row r="821214" spans="1:1" x14ac:dyDescent="0.25">
      <c r="A821214" s="242"/>
    </row>
    <row r="821215" spans="1:1" x14ac:dyDescent="0.25">
      <c r="A821215" s="242"/>
    </row>
    <row r="821216" spans="1:1" x14ac:dyDescent="0.25">
      <c r="A821216" s="242"/>
    </row>
    <row r="821217" spans="1:1" x14ac:dyDescent="0.25">
      <c r="A821217" s="242"/>
    </row>
    <row r="821218" spans="1:1" x14ac:dyDescent="0.25">
      <c r="A821218" s="242"/>
    </row>
    <row r="821219" spans="1:1" x14ac:dyDescent="0.25">
      <c r="A821219" s="242"/>
    </row>
    <row r="821220" spans="1:1" x14ac:dyDescent="0.25">
      <c r="A821220" s="242"/>
    </row>
    <row r="821221" spans="1:1" x14ac:dyDescent="0.25">
      <c r="A821221" s="242"/>
    </row>
    <row r="821222" spans="1:1" x14ac:dyDescent="0.25">
      <c r="A821222" s="242"/>
    </row>
    <row r="821223" spans="1:1" x14ac:dyDescent="0.25">
      <c r="A821223" s="242"/>
    </row>
    <row r="821224" spans="1:1" x14ac:dyDescent="0.25">
      <c r="A821224" s="242"/>
    </row>
    <row r="821225" spans="1:1" x14ac:dyDescent="0.25">
      <c r="A821225" s="242"/>
    </row>
    <row r="821226" spans="1:1" x14ac:dyDescent="0.25">
      <c r="A821226" s="242"/>
    </row>
    <row r="821227" spans="1:1" x14ac:dyDescent="0.25">
      <c r="A821227" s="242"/>
    </row>
    <row r="821228" spans="1:1" x14ac:dyDescent="0.25">
      <c r="A821228" s="242"/>
    </row>
    <row r="821229" spans="1:1" x14ac:dyDescent="0.25">
      <c r="A821229" s="242"/>
    </row>
    <row r="821230" spans="1:1" x14ac:dyDescent="0.25">
      <c r="A821230" s="242"/>
    </row>
    <row r="821231" spans="1:1" x14ac:dyDescent="0.25">
      <c r="A821231" s="242"/>
    </row>
    <row r="821232" spans="1:1" x14ac:dyDescent="0.25">
      <c r="A821232" s="242"/>
    </row>
    <row r="821233" spans="1:1" x14ac:dyDescent="0.25">
      <c r="A821233" s="242"/>
    </row>
    <row r="821234" spans="1:1" x14ac:dyDescent="0.25">
      <c r="A821234" s="242"/>
    </row>
    <row r="821235" spans="1:1" x14ac:dyDescent="0.25">
      <c r="A821235" s="242"/>
    </row>
    <row r="821236" spans="1:1" x14ac:dyDescent="0.25">
      <c r="A821236" s="242"/>
    </row>
    <row r="821237" spans="1:1" x14ac:dyDescent="0.25">
      <c r="A821237" s="242"/>
    </row>
    <row r="821238" spans="1:1" x14ac:dyDescent="0.25">
      <c r="A821238" s="242"/>
    </row>
    <row r="821239" spans="1:1" x14ac:dyDescent="0.25">
      <c r="A821239" s="242"/>
    </row>
    <row r="821240" spans="1:1" x14ac:dyDescent="0.25">
      <c r="A821240" s="242"/>
    </row>
    <row r="821241" spans="1:1" x14ac:dyDescent="0.25">
      <c r="A821241" s="242"/>
    </row>
    <row r="821242" spans="1:1" x14ac:dyDescent="0.25">
      <c r="A821242" s="242"/>
    </row>
    <row r="821243" spans="1:1" x14ac:dyDescent="0.25">
      <c r="A821243" s="242"/>
    </row>
    <row r="821244" spans="1:1" x14ac:dyDescent="0.25">
      <c r="A821244" s="242"/>
    </row>
    <row r="821245" spans="1:1" x14ac:dyDescent="0.25">
      <c r="A821245" s="242"/>
    </row>
    <row r="821246" spans="1:1" x14ac:dyDescent="0.25">
      <c r="A821246" s="242"/>
    </row>
    <row r="821247" spans="1:1" x14ac:dyDescent="0.25">
      <c r="A821247" s="242"/>
    </row>
    <row r="821248" spans="1:1" x14ac:dyDescent="0.25">
      <c r="A821248" s="242"/>
    </row>
    <row r="821249" spans="1:1" x14ac:dyDescent="0.25">
      <c r="A821249" s="242"/>
    </row>
    <row r="821250" spans="1:1" x14ac:dyDescent="0.25">
      <c r="A821250" s="242"/>
    </row>
    <row r="821251" spans="1:1" x14ac:dyDescent="0.25">
      <c r="A821251" s="242"/>
    </row>
    <row r="821252" spans="1:1" x14ac:dyDescent="0.25">
      <c r="A821252" s="242"/>
    </row>
    <row r="821253" spans="1:1" x14ac:dyDescent="0.25">
      <c r="A821253" s="242"/>
    </row>
    <row r="821254" spans="1:1" x14ac:dyDescent="0.25">
      <c r="A821254" s="242"/>
    </row>
    <row r="821255" spans="1:1" x14ac:dyDescent="0.25">
      <c r="A821255" s="242"/>
    </row>
    <row r="821256" spans="1:1" x14ac:dyDescent="0.25">
      <c r="A821256" s="242"/>
    </row>
    <row r="821257" spans="1:1" x14ac:dyDescent="0.25">
      <c r="A821257" s="242"/>
    </row>
    <row r="821258" spans="1:1" x14ac:dyDescent="0.25">
      <c r="A821258" s="242"/>
    </row>
    <row r="821259" spans="1:1" x14ac:dyDescent="0.25">
      <c r="A821259" s="242"/>
    </row>
    <row r="821260" spans="1:1" x14ac:dyDescent="0.25">
      <c r="A821260" s="242"/>
    </row>
    <row r="821261" spans="1:1" x14ac:dyDescent="0.25">
      <c r="A821261" s="242"/>
    </row>
    <row r="821262" spans="1:1" x14ac:dyDescent="0.25">
      <c r="A821262" s="242"/>
    </row>
    <row r="821263" spans="1:1" x14ac:dyDescent="0.25">
      <c r="A821263" s="242"/>
    </row>
    <row r="821264" spans="1:1" x14ac:dyDescent="0.25">
      <c r="A821264" s="242"/>
    </row>
    <row r="821265" spans="1:1" x14ac:dyDescent="0.25">
      <c r="A821265" s="242"/>
    </row>
    <row r="821266" spans="1:1" x14ac:dyDescent="0.25">
      <c r="A821266" s="242"/>
    </row>
    <row r="821267" spans="1:1" x14ac:dyDescent="0.25">
      <c r="A821267" s="242"/>
    </row>
    <row r="821268" spans="1:1" x14ac:dyDescent="0.25">
      <c r="A821268" s="242"/>
    </row>
    <row r="821269" spans="1:1" x14ac:dyDescent="0.25">
      <c r="A821269" s="242"/>
    </row>
    <row r="821270" spans="1:1" x14ac:dyDescent="0.25">
      <c r="A821270" s="242"/>
    </row>
    <row r="821271" spans="1:1" x14ac:dyDescent="0.25">
      <c r="A821271" s="242"/>
    </row>
    <row r="821272" spans="1:1" x14ac:dyDescent="0.25">
      <c r="A821272" s="242"/>
    </row>
    <row r="821273" spans="1:1" x14ac:dyDescent="0.25">
      <c r="A821273" s="242"/>
    </row>
    <row r="821274" spans="1:1" x14ac:dyDescent="0.25">
      <c r="A821274" s="242"/>
    </row>
    <row r="821275" spans="1:1" x14ac:dyDescent="0.25">
      <c r="A821275" s="242"/>
    </row>
    <row r="821276" spans="1:1" x14ac:dyDescent="0.25">
      <c r="A821276" s="242"/>
    </row>
    <row r="821277" spans="1:1" x14ac:dyDescent="0.25">
      <c r="A821277" s="242"/>
    </row>
    <row r="821278" spans="1:1" x14ac:dyDescent="0.25">
      <c r="A821278" s="242"/>
    </row>
    <row r="821279" spans="1:1" x14ac:dyDescent="0.25">
      <c r="A821279" s="242"/>
    </row>
    <row r="821280" spans="1:1" x14ac:dyDescent="0.25">
      <c r="A821280" s="242"/>
    </row>
    <row r="821281" spans="1:1" x14ac:dyDescent="0.25">
      <c r="A821281" s="242"/>
    </row>
    <row r="821282" spans="1:1" x14ac:dyDescent="0.25">
      <c r="A821282" s="242"/>
    </row>
    <row r="821283" spans="1:1" x14ac:dyDescent="0.25">
      <c r="A821283" s="242"/>
    </row>
    <row r="821284" spans="1:1" x14ac:dyDescent="0.25">
      <c r="A821284" s="242"/>
    </row>
    <row r="821285" spans="1:1" x14ac:dyDescent="0.25">
      <c r="A821285" s="242"/>
    </row>
    <row r="821286" spans="1:1" x14ac:dyDescent="0.25">
      <c r="A821286" s="242"/>
    </row>
    <row r="821287" spans="1:1" x14ac:dyDescent="0.25">
      <c r="A821287" s="242"/>
    </row>
    <row r="821288" spans="1:1" x14ac:dyDescent="0.25">
      <c r="A821288" s="242"/>
    </row>
    <row r="821289" spans="1:1" x14ac:dyDescent="0.25">
      <c r="A821289" s="242"/>
    </row>
    <row r="821290" spans="1:1" x14ac:dyDescent="0.25">
      <c r="A821290" s="242"/>
    </row>
    <row r="821291" spans="1:1" x14ac:dyDescent="0.25">
      <c r="A821291" s="242"/>
    </row>
    <row r="821292" spans="1:1" x14ac:dyDescent="0.25">
      <c r="A821292" s="242"/>
    </row>
    <row r="821293" spans="1:1" x14ac:dyDescent="0.25">
      <c r="A821293" s="242"/>
    </row>
    <row r="821294" spans="1:1" x14ac:dyDescent="0.25">
      <c r="A821294" s="242"/>
    </row>
    <row r="821295" spans="1:1" x14ac:dyDescent="0.25">
      <c r="A821295" s="242"/>
    </row>
    <row r="821296" spans="1:1" x14ac:dyDescent="0.25">
      <c r="A821296" s="242"/>
    </row>
    <row r="821297" spans="1:1" x14ac:dyDescent="0.25">
      <c r="A821297" s="242"/>
    </row>
    <row r="821298" spans="1:1" x14ac:dyDescent="0.25">
      <c r="A821298" s="242"/>
    </row>
    <row r="821299" spans="1:1" x14ac:dyDescent="0.25">
      <c r="A821299" s="242"/>
    </row>
    <row r="821300" spans="1:1" x14ac:dyDescent="0.25">
      <c r="A821300" s="242"/>
    </row>
    <row r="821301" spans="1:1" x14ac:dyDescent="0.25">
      <c r="A821301" s="242"/>
    </row>
    <row r="821302" spans="1:1" x14ac:dyDescent="0.25">
      <c r="A821302" s="242"/>
    </row>
    <row r="821303" spans="1:1" x14ac:dyDescent="0.25">
      <c r="A821303" s="242"/>
    </row>
    <row r="821304" spans="1:1" x14ac:dyDescent="0.25">
      <c r="A821304" s="242"/>
    </row>
    <row r="821305" spans="1:1" x14ac:dyDescent="0.25">
      <c r="A821305" s="242"/>
    </row>
    <row r="821306" spans="1:1" x14ac:dyDescent="0.25">
      <c r="A821306" s="242"/>
    </row>
    <row r="821307" spans="1:1" x14ac:dyDescent="0.25">
      <c r="A821307" s="242"/>
    </row>
    <row r="821308" spans="1:1" x14ac:dyDescent="0.25">
      <c r="A821308" s="242"/>
    </row>
    <row r="821309" spans="1:1" x14ac:dyDescent="0.25">
      <c r="A821309" s="242"/>
    </row>
    <row r="821310" spans="1:1" x14ac:dyDescent="0.25">
      <c r="A821310" s="242"/>
    </row>
    <row r="821311" spans="1:1" x14ac:dyDescent="0.25">
      <c r="A821311" s="242"/>
    </row>
    <row r="821312" spans="1:1" x14ac:dyDescent="0.25">
      <c r="A821312" s="242"/>
    </row>
    <row r="821313" spans="1:1" x14ac:dyDescent="0.25">
      <c r="A821313" s="242"/>
    </row>
    <row r="821314" spans="1:1" x14ac:dyDescent="0.25">
      <c r="A821314" s="242"/>
    </row>
    <row r="821315" spans="1:1" x14ac:dyDescent="0.25">
      <c r="A821315" s="242"/>
    </row>
    <row r="821316" spans="1:1" x14ac:dyDescent="0.25">
      <c r="A821316" s="242"/>
    </row>
    <row r="821317" spans="1:1" x14ac:dyDescent="0.25">
      <c r="A821317" s="242"/>
    </row>
    <row r="821318" spans="1:1" x14ac:dyDescent="0.25">
      <c r="A821318" s="242"/>
    </row>
    <row r="821319" spans="1:1" x14ac:dyDescent="0.25">
      <c r="A821319" s="242"/>
    </row>
    <row r="821320" spans="1:1" x14ac:dyDescent="0.25">
      <c r="A821320" s="242"/>
    </row>
    <row r="821321" spans="1:1" x14ac:dyDescent="0.25">
      <c r="A821321" s="242"/>
    </row>
    <row r="821322" spans="1:1" x14ac:dyDescent="0.25">
      <c r="A821322" s="242"/>
    </row>
    <row r="821323" spans="1:1" x14ac:dyDescent="0.25">
      <c r="A821323" s="242"/>
    </row>
    <row r="821324" spans="1:1" x14ac:dyDescent="0.25">
      <c r="A821324" s="242"/>
    </row>
    <row r="821325" spans="1:1" x14ac:dyDescent="0.25">
      <c r="A821325" s="242"/>
    </row>
    <row r="821326" spans="1:1" x14ac:dyDescent="0.25">
      <c r="A821326" s="242"/>
    </row>
    <row r="821327" spans="1:1" x14ac:dyDescent="0.25">
      <c r="A821327" s="242"/>
    </row>
    <row r="821328" spans="1:1" x14ac:dyDescent="0.25">
      <c r="A821328" s="242"/>
    </row>
    <row r="821329" spans="1:1" x14ac:dyDescent="0.25">
      <c r="A821329" s="242"/>
    </row>
    <row r="821330" spans="1:1" x14ac:dyDescent="0.25">
      <c r="A821330" s="242"/>
    </row>
    <row r="821331" spans="1:1" x14ac:dyDescent="0.25">
      <c r="A821331" s="242"/>
    </row>
    <row r="821332" spans="1:1" x14ac:dyDescent="0.25">
      <c r="A821332" s="242"/>
    </row>
    <row r="821333" spans="1:1" x14ac:dyDescent="0.25">
      <c r="A821333" s="242"/>
    </row>
    <row r="821334" spans="1:1" x14ac:dyDescent="0.25">
      <c r="A821334" s="242"/>
    </row>
    <row r="821335" spans="1:1" x14ac:dyDescent="0.25">
      <c r="A821335" s="242"/>
    </row>
    <row r="821336" spans="1:1" x14ac:dyDescent="0.25">
      <c r="A821336" s="242"/>
    </row>
    <row r="821337" spans="1:1" x14ac:dyDescent="0.25">
      <c r="A821337" s="242"/>
    </row>
    <row r="821338" spans="1:1" x14ac:dyDescent="0.25">
      <c r="A821338" s="242"/>
    </row>
    <row r="821339" spans="1:1" x14ac:dyDescent="0.25">
      <c r="A821339" s="242"/>
    </row>
    <row r="821340" spans="1:1" x14ac:dyDescent="0.25">
      <c r="A821340" s="242"/>
    </row>
    <row r="821341" spans="1:1" x14ac:dyDescent="0.25">
      <c r="A821341" s="242"/>
    </row>
    <row r="821342" spans="1:1" x14ac:dyDescent="0.25">
      <c r="A821342" s="242"/>
    </row>
    <row r="821343" spans="1:1" x14ac:dyDescent="0.25">
      <c r="A821343" s="242"/>
    </row>
    <row r="821344" spans="1:1" x14ac:dyDescent="0.25">
      <c r="A821344" s="242"/>
    </row>
    <row r="821345" spans="1:1" x14ac:dyDescent="0.25">
      <c r="A821345" s="242"/>
    </row>
    <row r="821346" spans="1:1" x14ac:dyDescent="0.25">
      <c r="A821346" s="242"/>
    </row>
    <row r="821347" spans="1:1" x14ac:dyDescent="0.25">
      <c r="A821347" s="242"/>
    </row>
    <row r="821348" spans="1:1" x14ac:dyDescent="0.25">
      <c r="A821348" s="242"/>
    </row>
    <row r="821349" spans="1:1" x14ac:dyDescent="0.25">
      <c r="A821349" s="242"/>
    </row>
    <row r="821350" spans="1:1" x14ac:dyDescent="0.25">
      <c r="A821350" s="242"/>
    </row>
    <row r="821351" spans="1:1" x14ac:dyDescent="0.25">
      <c r="A821351" s="242"/>
    </row>
    <row r="821352" spans="1:1" x14ac:dyDescent="0.25">
      <c r="A821352" s="242"/>
    </row>
    <row r="821353" spans="1:1" x14ac:dyDescent="0.25">
      <c r="A821353" s="242"/>
    </row>
    <row r="821354" spans="1:1" x14ac:dyDescent="0.25">
      <c r="A821354" s="242"/>
    </row>
    <row r="821355" spans="1:1" x14ac:dyDescent="0.25">
      <c r="A821355" s="242"/>
    </row>
    <row r="821356" spans="1:1" x14ac:dyDescent="0.25">
      <c r="A821356" s="242"/>
    </row>
    <row r="821357" spans="1:1" x14ac:dyDescent="0.25">
      <c r="A821357" s="242"/>
    </row>
    <row r="821358" spans="1:1" x14ac:dyDescent="0.25">
      <c r="A821358" s="242"/>
    </row>
    <row r="821359" spans="1:1" x14ac:dyDescent="0.25">
      <c r="A821359" s="242"/>
    </row>
    <row r="821360" spans="1:1" x14ac:dyDescent="0.25">
      <c r="A821360" s="242"/>
    </row>
    <row r="821361" spans="1:1" x14ac:dyDescent="0.25">
      <c r="A821361" s="242"/>
    </row>
    <row r="821362" spans="1:1" x14ac:dyDescent="0.25">
      <c r="A821362" s="242"/>
    </row>
    <row r="821363" spans="1:1" x14ac:dyDescent="0.25">
      <c r="A821363" s="242"/>
    </row>
    <row r="821364" spans="1:1" x14ac:dyDescent="0.25">
      <c r="A821364" s="242"/>
    </row>
    <row r="821365" spans="1:1" x14ac:dyDescent="0.25">
      <c r="A821365" s="242"/>
    </row>
    <row r="821366" spans="1:1" x14ac:dyDescent="0.25">
      <c r="A821366" s="242"/>
    </row>
    <row r="821367" spans="1:1" x14ac:dyDescent="0.25">
      <c r="A821367" s="242"/>
    </row>
    <row r="821368" spans="1:1" x14ac:dyDescent="0.25">
      <c r="A821368" s="242"/>
    </row>
    <row r="821369" spans="1:1" x14ac:dyDescent="0.25">
      <c r="A821369" s="242"/>
    </row>
    <row r="821370" spans="1:1" x14ac:dyDescent="0.25">
      <c r="A821370" s="242"/>
    </row>
    <row r="821371" spans="1:1" x14ac:dyDescent="0.25">
      <c r="A821371" s="242"/>
    </row>
    <row r="821372" spans="1:1" x14ac:dyDescent="0.25">
      <c r="A821372" s="242"/>
    </row>
    <row r="821373" spans="1:1" x14ac:dyDescent="0.25">
      <c r="A821373" s="242"/>
    </row>
    <row r="821374" spans="1:1" x14ac:dyDescent="0.25">
      <c r="A821374" s="242"/>
    </row>
    <row r="821375" spans="1:1" x14ac:dyDescent="0.25">
      <c r="A821375" s="242"/>
    </row>
    <row r="821376" spans="1:1" x14ac:dyDescent="0.25">
      <c r="A821376" s="242"/>
    </row>
    <row r="821377" spans="1:1" x14ac:dyDescent="0.25">
      <c r="A821377" s="242"/>
    </row>
    <row r="821378" spans="1:1" x14ac:dyDescent="0.25">
      <c r="A821378" s="242"/>
    </row>
    <row r="821379" spans="1:1" x14ac:dyDescent="0.25">
      <c r="A821379" s="242"/>
    </row>
    <row r="821380" spans="1:1" x14ac:dyDescent="0.25">
      <c r="A821380" s="242"/>
    </row>
    <row r="821381" spans="1:1" x14ac:dyDescent="0.25">
      <c r="A821381" s="242"/>
    </row>
    <row r="821382" spans="1:1" x14ac:dyDescent="0.25">
      <c r="A821382" s="242"/>
    </row>
    <row r="821383" spans="1:1" x14ac:dyDescent="0.25">
      <c r="A821383" s="242"/>
    </row>
    <row r="821384" spans="1:1" x14ac:dyDescent="0.25">
      <c r="A821384" s="242"/>
    </row>
    <row r="821385" spans="1:1" x14ac:dyDescent="0.25">
      <c r="A821385" s="242"/>
    </row>
    <row r="821386" spans="1:1" x14ac:dyDescent="0.25">
      <c r="A821386" s="242"/>
    </row>
    <row r="821387" spans="1:1" x14ac:dyDescent="0.25">
      <c r="A821387" s="242"/>
    </row>
    <row r="821388" spans="1:1" x14ac:dyDescent="0.25">
      <c r="A821388" s="242"/>
    </row>
    <row r="821389" spans="1:1" x14ac:dyDescent="0.25">
      <c r="A821389" s="242"/>
    </row>
    <row r="821390" spans="1:1" x14ac:dyDescent="0.25">
      <c r="A821390" s="242"/>
    </row>
    <row r="821391" spans="1:1" x14ac:dyDescent="0.25">
      <c r="A821391" s="242"/>
    </row>
    <row r="821392" spans="1:1" x14ac:dyDescent="0.25">
      <c r="A821392" s="242"/>
    </row>
    <row r="821393" spans="1:1" x14ac:dyDescent="0.25">
      <c r="A821393" s="242"/>
    </row>
    <row r="821394" spans="1:1" x14ac:dyDescent="0.25">
      <c r="A821394" s="242"/>
    </row>
    <row r="821395" spans="1:1" x14ac:dyDescent="0.25">
      <c r="A821395" s="242"/>
    </row>
    <row r="821396" spans="1:1" x14ac:dyDescent="0.25">
      <c r="A821396" s="242"/>
    </row>
    <row r="821397" spans="1:1" x14ac:dyDescent="0.25">
      <c r="A821397" s="242"/>
    </row>
    <row r="821398" spans="1:1" x14ac:dyDescent="0.25">
      <c r="A821398" s="242"/>
    </row>
    <row r="821399" spans="1:1" x14ac:dyDescent="0.25">
      <c r="A821399" s="242"/>
    </row>
    <row r="821400" spans="1:1" x14ac:dyDescent="0.25">
      <c r="A821400" s="242"/>
    </row>
    <row r="821401" spans="1:1" x14ac:dyDescent="0.25">
      <c r="A821401" s="242"/>
    </row>
    <row r="821402" spans="1:1" x14ac:dyDescent="0.25">
      <c r="A821402" s="242"/>
    </row>
    <row r="821403" spans="1:1" x14ac:dyDescent="0.25">
      <c r="A821403" s="242"/>
    </row>
    <row r="821404" spans="1:1" x14ac:dyDescent="0.25">
      <c r="A821404" s="242"/>
    </row>
    <row r="821405" spans="1:1" x14ac:dyDescent="0.25">
      <c r="A821405" s="242"/>
    </row>
    <row r="821406" spans="1:1" x14ac:dyDescent="0.25">
      <c r="A821406" s="242"/>
    </row>
    <row r="821407" spans="1:1" x14ac:dyDescent="0.25">
      <c r="A821407" s="242"/>
    </row>
    <row r="821408" spans="1:1" x14ac:dyDescent="0.25">
      <c r="A821408" s="242"/>
    </row>
    <row r="821409" spans="1:1" x14ac:dyDescent="0.25">
      <c r="A821409" s="242"/>
    </row>
    <row r="821410" spans="1:1" x14ac:dyDescent="0.25">
      <c r="A821410" s="242"/>
    </row>
    <row r="821411" spans="1:1" x14ac:dyDescent="0.25">
      <c r="A821411" s="242"/>
    </row>
    <row r="821412" spans="1:1" x14ac:dyDescent="0.25">
      <c r="A821412" s="242"/>
    </row>
    <row r="821413" spans="1:1" x14ac:dyDescent="0.25">
      <c r="A821413" s="242"/>
    </row>
    <row r="821414" spans="1:1" x14ac:dyDescent="0.25">
      <c r="A821414" s="242"/>
    </row>
    <row r="821415" spans="1:1" x14ac:dyDescent="0.25">
      <c r="A821415" s="242"/>
    </row>
    <row r="821416" spans="1:1" x14ac:dyDescent="0.25">
      <c r="A821416" s="242"/>
    </row>
    <row r="821417" spans="1:1" x14ac:dyDescent="0.25">
      <c r="A821417" s="242"/>
    </row>
    <row r="821418" spans="1:1" x14ac:dyDescent="0.25">
      <c r="A821418" s="242"/>
    </row>
    <row r="821419" spans="1:1" x14ac:dyDescent="0.25">
      <c r="A821419" s="242"/>
    </row>
    <row r="821420" spans="1:1" x14ac:dyDescent="0.25">
      <c r="A821420" s="242"/>
    </row>
    <row r="821421" spans="1:1" x14ac:dyDescent="0.25">
      <c r="A821421" s="242"/>
    </row>
    <row r="821422" spans="1:1" x14ac:dyDescent="0.25">
      <c r="A821422" s="242"/>
    </row>
    <row r="821423" spans="1:1" x14ac:dyDescent="0.25">
      <c r="A821423" s="242"/>
    </row>
    <row r="821424" spans="1:1" x14ac:dyDescent="0.25">
      <c r="A821424" s="242"/>
    </row>
    <row r="821425" spans="1:1" x14ac:dyDescent="0.25">
      <c r="A821425" s="242"/>
    </row>
    <row r="821426" spans="1:1" x14ac:dyDescent="0.25">
      <c r="A821426" s="242"/>
    </row>
    <row r="821427" spans="1:1" x14ac:dyDescent="0.25">
      <c r="A821427" s="242"/>
    </row>
    <row r="821428" spans="1:1" x14ac:dyDescent="0.25">
      <c r="A821428" s="242"/>
    </row>
    <row r="821429" spans="1:1" x14ac:dyDescent="0.25">
      <c r="A821429" s="242"/>
    </row>
    <row r="821430" spans="1:1" x14ac:dyDescent="0.25">
      <c r="A821430" s="242"/>
    </row>
    <row r="821431" spans="1:1" x14ac:dyDescent="0.25">
      <c r="A821431" s="242"/>
    </row>
    <row r="821432" spans="1:1" x14ac:dyDescent="0.25">
      <c r="A821432" s="242"/>
    </row>
    <row r="821433" spans="1:1" x14ac:dyDescent="0.25">
      <c r="A821433" s="242"/>
    </row>
    <row r="821434" spans="1:1" x14ac:dyDescent="0.25">
      <c r="A821434" s="242"/>
    </row>
    <row r="821435" spans="1:1" x14ac:dyDescent="0.25">
      <c r="A821435" s="242"/>
    </row>
    <row r="821436" spans="1:1" x14ac:dyDescent="0.25">
      <c r="A821436" s="242"/>
    </row>
    <row r="821437" spans="1:1" x14ac:dyDescent="0.25">
      <c r="A821437" s="242"/>
    </row>
    <row r="821438" spans="1:1" x14ac:dyDescent="0.25">
      <c r="A821438" s="242"/>
    </row>
    <row r="821439" spans="1:1" x14ac:dyDescent="0.25">
      <c r="A821439" s="242"/>
    </row>
    <row r="821440" spans="1:1" x14ac:dyDescent="0.25">
      <c r="A821440" s="242"/>
    </row>
    <row r="821441" spans="1:1" x14ac:dyDescent="0.25">
      <c r="A821441" s="242"/>
    </row>
    <row r="821442" spans="1:1" x14ac:dyDescent="0.25">
      <c r="A821442" s="242"/>
    </row>
    <row r="821443" spans="1:1" x14ac:dyDescent="0.25">
      <c r="A821443" s="242"/>
    </row>
    <row r="821444" spans="1:1" x14ac:dyDescent="0.25">
      <c r="A821444" s="242"/>
    </row>
    <row r="821445" spans="1:1" x14ac:dyDescent="0.25">
      <c r="A821445" s="242"/>
    </row>
    <row r="821446" spans="1:1" x14ac:dyDescent="0.25">
      <c r="A821446" s="242"/>
    </row>
    <row r="821447" spans="1:1" x14ac:dyDescent="0.25">
      <c r="A821447" s="242"/>
    </row>
    <row r="821448" spans="1:1" x14ac:dyDescent="0.25">
      <c r="A821448" s="242"/>
    </row>
    <row r="821449" spans="1:1" x14ac:dyDescent="0.25">
      <c r="A821449" s="242"/>
    </row>
    <row r="821450" spans="1:1" x14ac:dyDescent="0.25">
      <c r="A821450" s="242"/>
    </row>
    <row r="821451" spans="1:1" x14ac:dyDescent="0.25">
      <c r="A821451" s="242"/>
    </row>
    <row r="821452" spans="1:1" x14ac:dyDescent="0.25">
      <c r="A821452" s="242"/>
    </row>
    <row r="821453" spans="1:1" x14ac:dyDescent="0.25">
      <c r="A821453" s="242"/>
    </row>
    <row r="821454" spans="1:1" x14ac:dyDescent="0.25">
      <c r="A821454" s="242"/>
    </row>
    <row r="821455" spans="1:1" x14ac:dyDescent="0.25">
      <c r="A821455" s="242"/>
    </row>
    <row r="821456" spans="1:1" x14ac:dyDescent="0.25">
      <c r="A821456" s="242"/>
    </row>
    <row r="821457" spans="1:1" x14ac:dyDescent="0.25">
      <c r="A821457" s="242"/>
    </row>
    <row r="821458" spans="1:1" x14ac:dyDescent="0.25">
      <c r="A821458" s="242"/>
    </row>
    <row r="821459" spans="1:1" x14ac:dyDescent="0.25">
      <c r="A821459" s="242"/>
    </row>
    <row r="821460" spans="1:1" x14ac:dyDescent="0.25">
      <c r="A821460" s="242"/>
    </row>
    <row r="821461" spans="1:1" x14ac:dyDescent="0.25">
      <c r="A821461" s="242"/>
    </row>
    <row r="821462" spans="1:1" x14ac:dyDescent="0.25">
      <c r="A821462" s="242"/>
    </row>
    <row r="821463" spans="1:1" x14ac:dyDescent="0.25">
      <c r="A821463" s="242"/>
    </row>
    <row r="821464" spans="1:1" x14ac:dyDescent="0.25">
      <c r="A821464" s="242"/>
    </row>
    <row r="821465" spans="1:1" x14ac:dyDescent="0.25">
      <c r="A821465" s="242"/>
    </row>
    <row r="821466" spans="1:1" x14ac:dyDescent="0.25">
      <c r="A821466" s="242"/>
    </row>
    <row r="821467" spans="1:1" x14ac:dyDescent="0.25">
      <c r="A821467" s="242"/>
    </row>
    <row r="821468" spans="1:1" x14ac:dyDescent="0.25">
      <c r="A821468" s="242"/>
    </row>
    <row r="821469" spans="1:1" x14ac:dyDescent="0.25">
      <c r="A821469" s="242"/>
    </row>
    <row r="821470" spans="1:1" x14ac:dyDescent="0.25">
      <c r="A821470" s="242"/>
    </row>
    <row r="821471" spans="1:1" x14ac:dyDescent="0.25">
      <c r="A821471" s="242"/>
    </row>
    <row r="821472" spans="1:1" x14ac:dyDescent="0.25">
      <c r="A821472" s="242"/>
    </row>
    <row r="821473" spans="1:1" x14ac:dyDescent="0.25">
      <c r="A821473" s="242"/>
    </row>
    <row r="821474" spans="1:1" x14ac:dyDescent="0.25">
      <c r="A821474" s="242"/>
    </row>
    <row r="821475" spans="1:1" x14ac:dyDescent="0.25">
      <c r="A821475" s="242"/>
    </row>
    <row r="821476" spans="1:1" x14ac:dyDescent="0.25">
      <c r="A821476" s="242"/>
    </row>
    <row r="821477" spans="1:1" x14ac:dyDescent="0.25">
      <c r="A821477" s="242"/>
    </row>
    <row r="821478" spans="1:1" x14ac:dyDescent="0.25">
      <c r="A821478" s="242"/>
    </row>
    <row r="821479" spans="1:1" x14ac:dyDescent="0.25">
      <c r="A821479" s="242"/>
    </row>
    <row r="821480" spans="1:1" x14ac:dyDescent="0.25">
      <c r="A821480" s="242"/>
    </row>
    <row r="821481" spans="1:1" x14ac:dyDescent="0.25">
      <c r="A821481" s="242"/>
    </row>
    <row r="821482" spans="1:1" x14ac:dyDescent="0.25">
      <c r="A821482" s="242"/>
    </row>
    <row r="821483" spans="1:1" x14ac:dyDescent="0.25">
      <c r="A821483" s="242"/>
    </row>
    <row r="821484" spans="1:1" x14ac:dyDescent="0.25">
      <c r="A821484" s="242"/>
    </row>
    <row r="821485" spans="1:1" x14ac:dyDescent="0.25">
      <c r="A821485" s="242"/>
    </row>
    <row r="821486" spans="1:1" x14ac:dyDescent="0.25">
      <c r="A821486" s="242"/>
    </row>
    <row r="821487" spans="1:1" x14ac:dyDescent="0.25">
      <c r="A821487" s="242"/>
    </row>
    <row r="821488" spans="1:1" x14ac:dyDescent="0.25">
      <c r="A821488" s="242"/>
    </row>
    <row r="821489" spans="1:1" x14ac:dyDescent="0.25">
      <c r="A821489" s="242"/>
    </row>
    <row r="821490" spans="1:1" x14ac:dyDescent="0.25">
      <c r="A821490" s="242"/>
    </row>
    <row r="821491" spans="1:1" x14ac:dyDescent="0.25">
      <c r="A821491" s="242"/>
    </row>
    <row r="821492" spans="1:1" x14ac:dyDescent="0.25">
      <c r="A821492" s="242"/>
    </row>
    <row r="821493" spans="1:1" x14ac:dyDescent="0.25">
      <c r="A821493" s="242"/>
    </row>
    <row r="821494" spans="1:1" x14ac:dyDescent="0.25">
      <c r="A821494" s="242"/>
    </row>
    <row r="821495" spans="1:1" x14ac:dyDescent="0.25">
      <c r="A821495" s="242"/>
    </row>
    <row r="821496" spans="1:1" x14ac:dyDescent="0.25">
      <c r="A821496" s="242"/>
    </row>
    <row r="821497" spans="1:1" x14ac:dyDescent="0.25">
      <c r="A821497" s="242"/>
    </row>
    <row r="821498" spans="1:1" x14ac:dyDescent="0.25">
      <c r="A821498" s="242"/>
    </row>
    <row r="821499" spans="1:1" x14ac:dyDescent="0.25">
      <c r="A821499" s="242"/>
    </row>
    <row r="821500" spans="1:1" x14ac:dyDescent="0.25">
      <c r="A821500" s="242"/>
    </row>
    <row r="821501" spans="1:1" x14ac:dyDescent="0.25">
      <c r="A821501" s="242"/>
    </row>
    <row r="821502" spans="1:1" x14ac:dyDescent="0.25">
      <c r="A821502" s="242"/>
    </row>
    <row r="821503" spans="1:1" x14ac:dyDescent="0.25">
      <c r="A821503" s="242"/>
    </row>
    <row r="821504" spans="1:1" x14ac:dyDescent="0.25">
      <c r="A821504" s="242"/>
    </row>
    <row r="821505" spans="1:1" x14ac:dyDescent="0.25">
      <c r="A821505" s="242"/>
    </row>
    <row r="821506" spans="1:1" x14ac:dyDescent="0.25">
      <c r="A821506" s="242"/>
    </row>
    <row r="821507" spans="1:1" x14ac:dyDescent="0.25">
      <c r="A821507" s="242"/>
    </row>
    <row r="821508" spans="1:1" x14ac:dyDescent="0.25">
      <c r="A821508" s="242"/>
    </row>
    <row r="821509" spans="1:1" x14ac:dyDescent="0.25">
      <c r="A821509" s="242"/>
    </row>
    <row r="821510" spans="1:1" x14ac:dyDescent="0.25">
      <c r="A821510" s="242"/>
    </row>
    <row r="821511" spans="1:1" x14ac:dyDescent="0.25">
      <c r="A821511" s="242"/>
    </row>
    <row r="821512" spans="1:1" x14ac:dyDescent="0.25">
      <c r="A821512" s="242"/>
    </row>
    <row r="821513" spans="1:1" x14ac:dyDescent="0.25">
      <c r="A821513" s="242"/>
    </row>
    <row r="821514" spans="1:1" x14ac:dyDescent="0.25">
      <c r="A821514" s="242"/>
    </row>
    <row r="821515" spans="1:1" x14ac:dyDescent="0.25">
      <c r="A821515" s="242"/>
    </row>
    <row r="821516" spans="1:1" x14ac:dyDescent="0.25">
      <c r="A821516" s="242"/>
    </row>
    <row r="821517" spans="1:1" x14ac:dyDescent="0.25">
      <c r="A821517" s="242"/>
    </row>
    <row r="821518" spans="1:1" x14ac:dyDescent="0.25">
      <c r="A821518" s="242"/>
    </row>
    <row r="821519" spans="1:1" x14ac:dyDescent="0.25">
      <c r="A821519" s="242"/>
    </row>
    <row r="821520" spans="1:1" x14ac:dyDescent="0.25">
      <c r="A821520" s="242"/>
    </row>
    <row r="821521" spans="1:1" x14ac:dyDescent="0.25">
      <c r="A821521" s="242"/>
    </row>
    <row r="821522" spans="1:1" x14ac:dyDescent="0.25">
      <c r="A821522" s="242"/>
    </row>
    <row r="821523" spans="1:1" x14ac:dyDescent="0.25">
      <c r="A821523" s="242"/>
    </row>
    <row r="821524" spans="1:1" x14ac:dyDescent="0.25">
      <c r="A821524" s="242"/>
    </row>
    <row r="821525" spans="1:1" x14ac:dyDescent="0.25">
      <c r="A821525" s="242"/>
    </row>
    <row r="821526" spans="1:1" x14ac:dyDescent="0.25">
      <c r="A821526" s="242"/>
    </row>
    <row r="821527" spans="1:1" x14ac:dyDescent="0.25">
      <c r="A821527" s="242"/>
    </row>
    <row r="821528" spans="1:1" x14ac:dyDescent="0.25">
      <c r="A821528" s="242"/>
    </row>
    <row r="821529" spans="1:1" x14ac:dyDescent="0.25">
      <c r="A821529" s="242"/>
    </row>
    <row r="821530" spans="1:1" x14ac:dyDescent="0.25">
      <c r="A821530" s="242"/>
    </row>
    <row r="821531" spans="1:1" x14ac:dyDescent="0.25">
      <c r="A821531" s="242"/>
    </row>
    <row r="821532" spans="1:1" x14ac:dyDescent="0.25">
      <c r="A821532" s="242"/>
    </row>
    <row r="821533" spans="1:1" x14ac:dyDescent="0.25">
      <c r="A821533" s="242"/>
    </row>
    <row r="821534" spans="1:1" x14ac:dyDescent="0.25">
      <c r="A821534" s="242"/>
    </row>
    <row r="821535" spans="1:1" x14ac:dyDescent="0.25">
      <c r="A821535" s="242"/>
    </row>
    <row r="821536" spans="1:1" x14ac:dyDescent="0.25">
      <c r="A821536" s="242"/>
    </row>
    <row r="821537" spans="1:1" x14ac:dyDescent="0.25">
      <c r="A821537" s="242"/>
    </row>
    <row r="821538" spans="1:1" x14ac:dyDescent="0.25">
      <c r="A821538" s="242"/>
    </row>
    <row r="821539" spans="1:1" x14ac:dyDescent="0.25">
      <c r="A821539" s="242"/>
    </row>
    <row r="821540" spans="1:1" x14ac:dyDescent="0.25">
      <c r="A821540" s="242"/>
    </row>
    <row r="821541" spans="1:1" x14ac:dyDescent="0.25">
      <c r="A821541" s="242"/>
    </row>
    <row r="821542" spans="1:1" x14ac:dyDescent="0.25">
      <c r="A821542" s="242"/>
    </row>
    <row r="821543" spans="1:1" x14ac:dyDescent="0.25">
      <c r="A821543" s="242"/>
    </row>
    <row r="821544" spans="1:1" x14ac:dyDescent="0.25">
      <c r="A821544" s="242"/>
    </row>
    <row r="821545" spans="1:1" x14ac:dyDescent="0.25">
      <c r="A821545" s="242"/>
    </row>
    <row r="821546" spans="1:1" x14ac:dyDescent="0.25">
      <c r="A821546" s="242"/>
    </row>
    <row r="821547" spans="1:1" x14ac:dyDescent="0.25">
      <c r="A821547" s="242"/>
    </row>
    <row r="821548" spans="1:1" x14ac:dyDescent="0.25">
      <c r="A821548" s="242"/>
    </row>
    <row r="821549" spans="1:1" x14ac:dyDescent="0.25">
      <c r="A821549" s="242"/>
    </row>
    <row r="821550" spans="1:1" x14ac:dyDescent="0.25">
      <c r="A821550" s="242"/>
    </row>
    <row r="821551" spans="1:1" x14ac:dyDescent="0.25">
      <c r="A821551" s="242"/>
    </row>
    <row r="821552" spans="1:1" x14ac:dyDescent="0.25">
      <c r="A821552" s="242"/>
    </row>
    <row r="821553" spans="1:1" x14ac:dyDescent="0.25">
      <c r="A821553" s="242"/>
    </row>
    <row r="821554" spans="1:1" x14ac:dyDescent="0.25">
      <c r="A821554" s="242"/>
    </row>
    <row r="821555" spans="1:1" x14ac:dyDescent="0.25">
      <c r="A821555" s="242"/>
    </row>
    <row r="821556" spans="1:1" x14ac:dyDescent="0.25">
      <c r="A821556" s="242"/>
    </row>
    <row r="821557" spans="1:1" x14ac:dyDescent="0.25">
      <c r="A821557" s="242"/>
    </row>
    <row r="821558" spans="1:1" x14ac:dyDescent="0.25">
      <c r="A821558" s="242"/>
    </row>
    <row r="821559" spans="1:1" x14ac:dyDescent="0.25">
      <c r="A821559" s="242"/>
    </row>
    <row r="821560" spans="1:1" x14ac:dyDescent="0.25">
      <c r="A821560" s="242"/>
    </row>
    <row r="821561" spans="1:1" x14ac:dyDescent="0.25">
      <c r="A821561" s="242"/>
    </row>
    <row r="821562" spans="1:1" x14ac:dyDescent="0.25">
      <c r="A821562" s="242"/>
    </row>
    <row r="821563" spans="1:1" x14ac:dyDescent="0.25">
      <c r="A821563" s="242"/>
    </row>
    <row r="821564" spans="1:1" x14ac:dyDescent="0.25">
      <c r="A821564" s="242"/>
    </row>
    <row r="821565" spans="1:1" x14ac:dyDescent="0.25">
      <c r="A821565" s="242"/>
    </row>
    <row r="821566" spans="1:1" x14ac:dyDescent="0.25">
      <c r="A821566" s="242"/>
    </row>
    <row r="821567" spans="1:1" x14ac:dyDescent="0.25">
      <c r="A821567" s="242"/>
    </row>
    <row r="821568" spans="1:1" x14ac:dyDescent="0.25">
      <c r="A821568" s="242"/>
    </row>
    <row r="821569" spans="1:1" x14ac:dyDescent="0.25">
      <c r="A821569" s="242"/>
    </row>
    <row r="821570" spans="1:1" x14ac:dyDescent="0.25">
      <c r="A821570" s="242"/>
    </row>
    <row r="821571" spans="1:1" x14ac:dyDescent="0.25">
      <c r="A821571" s="242"/>
    </row>
    <row r="821572" spans="1:1" x14ac:dyDescent="0.25">
      <c r="A821572" s="242"/>
    </row>
    <row r="821573" spans="1:1" x14ac:dyDescent="0.25">
      <c r="A821573" s="242"/>
    </row>
    <row r="821574" spans="1:1" x14ac:dyDescent="0.25">
      <c r="A821574" s="242"/>
    </row>
    <row r="821575" spans="1:1" x14ac:dyDescent="0.25">
      <c r="A821575" s="242"/>
    </row>
    <row r="821576" spans="1:1" x14ac:dyDescent="0.25">
      <c r="A821576" s="242"/>
    </row>
    <row r="821577" spans="1:1" x14ac:dyDescent="0.25">
      <c r="A821577" s="242"/>
    </row>
    <row r="821578" spans="1:1" x14ac:dyDescent="0.25">
      <c r="A821578" s="242"/>
    </row>
    <row r="821579" spans="1:1" x14ac:dyDescent="0.25">
      <c r="A821579" s="242"/>
    </row>
    <row r="821580" spans="1:1" x14ac:dyDescent="0.25">
      <c r="A821580" s="242"/>
    </row>
    <row r="821581" spans="1:1" x14ac:dyDescent="0.25">
      <c r="A821581" s="242"/>
    </row>
    <row r="821582" spans="1:1" x14ac:dyDescent="0.25">
      <c r="A821582" s="242"/>
    </row>
    <row r="821583" spans="1:1" x14ac:dyDescent="0.25">
      <c r="A821583" s="242"/>
    </row>
    <row r="821584" spans="1:1" x14ac:dyDescent="0.25">
      <c r="A821584" s="242"/>
    </row>
    <row r="821585" spans="1:1" x14ac:dyDescent="0.25">
      <c r="A821585" s="242"/>
    </row>
    <row r="821586" spans="1:1" x14ac:dyDescent="0.25">
      <c r="A821586" s="242"/>
    </row>
    <row r="821587" spans="1:1" x14ac:dyDescent="0.25">
      <c r="A821587" s="242"/>
    </row>
    <row r="821588" spans="1:1" x14ac:dyDescent="0.25">
      <c r="A821588" s="242"/>
    </row>
    <row r="821589" spans="1:1" x14ac:dyDescent="0.25">
      <c r="A821589" s="242"/>
    </row>
    <row r="821590" spans="1:1" x14ac:dyDescent="0.25">
      <c r="A821590" s="242"/>
    </row>
    <row r="821591" spans="1:1" x14ac:dyDescent="0.25">
      <c r="A821591" s="242"/>
    </row>
    <row r="821592" spans="1:1" x14ac:dyDescent="0.25">
      <c r="A821592" s="242"/>
    </row>
    <row r="821593" spans="1:1" x14ac:dyDescent="0.25">
      <c r="A821593" s="242"/>
    </row>
    <row r="821594" spans="1:1" x14ac:dyDescent="0.25">
      <c r="A821594" s="242"/>
    </row>
    <row r="821595" spans="1:1" x14ac:dyDescent="0.25">
      <c r="A821595" s="242"/>
    </row>
    <row r="821596" spans="1:1" x14ac:dyDescent="0.25">
      <c r="A821596" s="242"/>
    </row>
    <row r="821597" spans="1:1" x14ac:dyDescent="0.25">
      <c r="A821597" s="242"/>
    </row>
    <row r="821598" spans="1:1" x14ac:dyDescent="0.25">
      <c r="A821598" s="242"/>
    </row>
    <row r="821599" spans="1:1" x14ac:dyDescent="0.25">
      <c r="A821599" s="242"/>
    </row>
    <row r="821600" spans="1:1" x14ac:dyDescent="0.25">
      <c r="A821600" s="242"/>
    </row>
    <row r="821601" spans="1:1" x14ac:dyDescent="0.25">
      <c r="A821601" s="242"/>
    </row>
    <row r="821602" spans="1:1" x14ac:dyDescent="0.25">
      <c r="A821602" s="242"/>
    </row>
    <row r="821603" spans="1:1" x14ac:dyDescent="0.25">
      <c r="A821603" s="242"/>
    </row>
    <row r="821604" spans="1:1" x14ac:dyDescent="0.25">
      <c r="A821604" s="242"/>
    </row>
    <row r="821605" spans="1:1" x14ac:dyDescent="0.25">
      <c r="A821605" s="242"/>
    </row>
    <row r="821606" spans="1:1" x14ac:dyDescent="0.25">
      <c r="A821606" s="242"/>
    </row>
    <row r="821607" spans="1:1" x14ac:dyDescent="0.25">
      <c r="A821607" s="242"/>
    </row>
    <row r="821608" spans="1:1" x14ac:dyDescent="0.25">
      <c r="A821608" s="242"/>
    </row>
    <row r="821609" spans="1:1" x14ac:dyDescent="0.25">
      <c r="A821609" s="242"/>
    </row>
    <row r="821610" spans="1:1" x14ac:dyDescent="0.25">
      <c r="A821610" s="242"/>
    </row>
    <row r="821611" spans="1:1" x14ac:dyDescent="0.25">
      <c r="A821611" s="242"/>
    </row>
    <row r="821612" spans="1:1" x14ac:dyDescent="0.25">
      <c r="A821612" s="242"/>
    </row>
    <row r="821613" spans="1:1" x14ac:dyDescent="0.25">
      <c r="A821613" s="242"/>
    </row>
    <row r="821614" spans="1:1" x14ac:dyDescent="0.25">
      <c r="A821614" s="242"/>
    </row>
    <row r="821615" spans="1:1" x14ac:dyDescent="0.25">
      <c r="A821615" s="242"/>
    </row>
    <row r="821616" spans="1:1" x14ac:dyDescent="0.25">
      <c r="A821616" s="242"/>
    </row>
    <row r="821617" spans="1:1" x14ac:dyDescent="0.25">
      <c r="A821617" s="242"/>
    </row>
    <row r="821618" spans="1:1" x14ac:dyDescent="0.25">
      <c r="A821618" s="242"/>
    </row>
    <row r="821619" spans="1:1" x14ac:dyDescent="0.25">
      <c r="A821619" s="242"/>
    </row>
    <row r="821620" spans="1:1" x14ac:dyDescent="0.25">
      <c r="A821620" s="242"/>
    </row>
    <row r="821621" spans="1:1" x14ac:dyDescent="0.25">
      <c r="A821621" s="242"/>
    </row>
    <row r="821622" spans="1:1" x14ac:dyDescent="0.25">
      <c r="A821622" s="242"/>
    </row>
    <row r="821623" spans="1:1" x14ac:dyDescent="0.25">
      <c r="A821623" s="242"/>
    </row>
    <row r="821624" spans="1:1" x14ac:dyDescent="0.25">
      <c r="A821624" s="242"/>
    </row>
    <row r="821625" spans="1:1" x14ac:dyDescent="0.25">
      <c r="A821625" s="242"/>
    </row>
    <row r="821626" spans="1:1" x14ac:dyDescent="0.25">
      <c r="A821626" s="242"/>
    </row>
    <row r="821627" spans="1:1" x14ac:dyDescent="0.25">
      <c r="A821627" s="242"/>
    </row>
    <row r="821628" spans="1:1" x14ac:dyDescent="0.25">
      <c r="A821628" s="242"/>
    </row>
    <row r="821629" spans="1:1" x14ac:dyDescent="0.25">
      <c r="A821629" s="242"/>
    </row>
    <row r="821630" spans="1:1" x14ac:dyDescent="0.25">
      <c r="A821630" s="242"/>
    </row>
    <row r="821631" spans="1:1" x14ac:dyDescent="0.25">
      <c r="A821631" s="242"/>
    </row>
    <row r="821632" spans="1:1" x14ac:dyDescent="0.25">
      <c r="A821632" s="242"/>
    </row>
    <row r="821633" spans="1:1" x14ac:dyDescent="0.25">
      <c r="A821633" s="242"/>
    </row>
    <row r="821634" spans="1:1" x14ac:dyDescent="0.25">
      <c r="A821634" s="242"/>
    </row>
    <row r="821635" spans="1:1" x14ac:dyDescent="0.25">
      <c r="A821635" s="242"/>
    </row>
    <row r="821636" spans="1:1" x14ac:dyDescent="0.25">
      <c r="A821636" s="242"/>
    </row>
    <row r="821637" spans="1:1" x14ac:dyDescent="0.25">
      <c r="A821637" s="242"/>
    </row>
    <row r="821638" spans="1:1" x14ac:dyDescent="0.25">
      <c r="A821638" s="242"/>
    </row>
    <row r="821639" spans="1:1" x14ac:dyDescent="0.25">
      <c r="A821639" s="242"/>
    </row>
    <row r="821640" spans="1:1" x14ac:dyDescent="0.25">
      <c r="A821640" s="242"/>
    </row>
    <row r="821641" spans="1:1" x14ac:dyDescent="0.25">
      <c r="A821641" s="242"/>
    </row>
    <row r="821642" spans="1:1" x14ac:dyDescent="0.25">
      <c r="A821642" s="242"/>
    </row>
    <row r="821643" spans="1:1" x14ac:dyDescent="0.25">
      <c r="A821643" s="242"/>
    </row>
    <row r="821644" spans="1:1" x14ac:dyDescent="0.25">
      <c r="A821644" s="242"/>
    </row>
    <row r="821645" spans="1:1" x14ac:dyDescent="0.25">
      <c r="A821645" s="242"/>
    </row>
    <row r="821646" spans="1:1" x14ac:dyDescent="0.25">
      <c r="A821646" s="242"/>
    </row>
    <row r="821647" spans="1:1" x14ac:dyDescent="0.25">
      <c r="A821647" s="242"/>
    </row>
    <row r="821648" spans="1:1" x14ac:dyDescent="0.25">
      <c r="A821648" s="242"/>
    </row>
    <row r="821649" spans="1:1" x14ac:dyDescent="0.25">
      <c r="A821649" s="242"/>
    </row>
    <row r="821650" spans="1:1" x14ac:dyDescent="0.25">
      <c r="A821650" s="242"/>
    </row>
    <row r="821651" spans="1:1" x14ac:dyDescent="0.25">
      <c r="A821651" s="242"/>
    </row>
    <row r="821652" spans="1:1" x14ac:dyDescent="0.25">
      <c r="A821652" s="242"/>
    </row>
    <row r="821653" spans="1:1" x14ac:dyDescent="0.25">
      <c r="A821653" s="242"/>
    </row>
    <row r="821654" spans="1:1" x14ac:dyDescent="0.25">
      <c r="A821654" s="242"/>
    </row>
    <row r="821655" spans="1:1" x14ac:dyDescent="0.25">
      <c r="A821655" s="242"/>
    </row>
    <row r="821656" spans="1:1" x14ac:dyDescent="0.25">
      <c r="A821656" s="242"/>
    </row>
    <row r="821657" spans="1:1" x14ac:dyDescent="0.25">
      <c r="A821657" s="242"/>
    </row>
    <row r="821658" spans="1:1" x14ac:dyDescent="0.25">
      <c r="A821658" s="242"/>
    </row>
    <row r="821659" spans="1:1" x14ac:dyDescent="0.25">
      <c r="A821659" s="242"/>
    </row>
    <row r="821660" spans="1:1" x14ac:dyDescent="0.25">
      <c r="A821660" s="242"/>
    </row>
    <row r="821661" spans="1:1" x14ac:dyDescent="0.25">
      <c r="A821661" s="242"/>
    </row>
    <row r="821662" spans="1:1" x14ac:dyDescent="0.25">
      <c r="A821662" s="242"/>
    </row>
    <row r="821663" spans="1:1" x14ac:dyDescent="0.25">
      <c r="A821663" s="242"/>
    </row>
    <row r="821664" spans="1:1" x14ac:dyDescent="0.25">
      <c r="A821664" s="242"/>
    </row>
    <row r="821665" spans="1:1" x14ac:dyDescent="0.25">
      <c r="A821665" s="242"/>
    </row>
    <row r="821666" spans="1:1" x14ac:dyDescent="0.25">
      <c r="A821666" s="242"/>
    </row>
    <row r="821667" spans="1:1" x14ac:dyDescent="0.25">
      <c r="A821667" s="242"/>
    </row>
    <row r="821668" spans="1:1" x14ac:dyDescent="0.25">
      <c r="A821668" s="242"/>
    </row>
    <row r="821669" spans="1:1" x14ac:dyDescent="0.25">
      <c r="A821669" s="242"/>
    </row>
    <row r="821670" spans="1:1" x14ac:dyDescent="0.25">
      <c r="A821670" s="242"/>
    </row>
    <row r="821671" spans="1:1" x14ac:dyDescent="0.25">
      <c r="A821671" s="242"/>
    </row>
    <row r="821672" spans="1:1" x14ac:dyDescent="0.25">
      <c r="A821672" s="242"/>
    </row>
    <row r="821673" spans="1:1" x14ac:dyDescent="0.25">
      <c r="A821673" s="242"/>
    </row>
    <row r="821674" spans="1:1" x14ac:dyDescent="0.25">
      <c r="A821674" s="242"/>
    </row>
    <row r="821675" spans="1:1" x14ac:dyDescent="0.25">
      <c r="A821675" s="242"/>
    </row>
    <row r="821676" spans="1:1" x14ac:dyDescent="0.25">
      <c r="A821676" s="242"/>
    </row>
    <row r="821677" spans="1:1" x14ac:dyDescent="0.25">
      <c r="A821677" s="242"/>
    </row>
    <row r="821678" spans="1:1" x14ac:dyDescent="0.25">
      <c r="A821678" s="242"/>
    </row>
    <row r="821679" spans="1:1" x14ac:dyDescent="0.25">
      <c r="A821679" s="242"/>
    </row>
    <row r="821680" spans="1:1" x14ac:dyDescent="0.25">
      <c r="A821680" s="242"/>
    </row>
    <row r="821681" spans="1:1" x14ac:dyDescent="0.25">
      <c r="A821681" s="242"/>
    </row>
    <row r="821682" spans="1:1" x14ac:dyDescent="0.25">
      <c r="A821682" s="242"/>
    </row>
    <row r="821683" spans="1:1" x14ac:dyDescent="0.25">
      <c r="A821683" s="242"/>
    </row>
    <row r="821684" spans="1:1" x14ac:dyDescent="0.25">
      <c r="A821684" s="242"/>
    </row>
    <row r="821685" spans="1:1" x14ac:dyDescent="0.25">
      <c r="A821685" s="242"/>
    </row>
    <row r="821686" spans="1:1" x14ac:dyDescent="0.25">
      <c r="A821686" s="242"/>
    </row>
    <row r="821687" spans="1:1" x14ac:dyDescent="0.25">
      <c r="A821687" s="242"/>
    </row>
    <row r="821688" spans="1:1" x14ac:dyDescent="0.25">
      <c r="A821688" s="242"/>
    </row>
    <row r="821689" spans="1:1" x14ac:dyDescent="0.25">
      <c r="A821689" s="242"/>
    </row>
    <row r="821690" spans="1:1" x14ac:dyDescent="0.25">
      <c r="A821690" s="242"/>
    </row>
    <row r="821691" spans="1:1" x14ac:dyDescent="0.25">
      <c r="A821691" s="242"/>
    </row>
    <row r="821692" spans="1:1" x14ac:dyDescent="0.25">
      <c r="A821692" s="242"/>
    </row>
    <row r="821693" spans="1:1" x14ac:dyDescent="0.25">
      <c r="A821693" s="242"/>
    </row>
    <row r="821694" spans="1:1" x14ac:dyDescent="0.25">
      <c r="A821694" s="242"/>
    </row>
    <row r="821695" spans="1:1" x14ac:dyDescent="0.25">
      <c r="A821695" s="242"/>
    </row>
    <row r="821696" spans="1:1" x14ac:dyDescent="0.25">
      <c r="A821696" s="242"/>
    </row>
    <row r="821697" spans="1:1" x14ac:dyDescent="0.25">
      <c r="A821697" s="242"/>
    </row>
    <row r="821698" spans="1:1" x14ac:dyDescent="0.25">
      <c r="A821698" s="242"/>
    </row>
    <row r="821699" spans="1:1" x14ac:dyDescent="0.25">
      <c r="A821699" s="242"/>
    </row>
    <row r="821700" spans="1:1" x14ac:dyDescent="0.25">
      <c r="A821700" s="242"/>
    </row>
    <row r="821701" spans="1:1" x14ac:dyDescent="0.25">
      <c r="A821701" s="242"/>
    </row>
    <row r="821702" spans="1:1" x14ac:dyDescent="0.25">
      <c r="A821702" s="242"/>
    </row>
    <row r="821703" spans="1:1" x14ac:dyDescent="0.25">
      <c r="A821703" s="242"/>
    </row>
    <row r="821704" spans="1:1" x14ac:dyDescent="0.25">
      <c r="A821704" s="242"/>
    </row>
    <row r="821705" spans="1:1" x14ac:dyDescent="0.25">
      <c r="A821705" s="242"/>
    </row>
    <row r="821706" spans="1:1" x14ac:dyDescent="0.25">
      <c r="A821706" s="242"/>
    </row>
    <row r="821707" spans="1:1" x14ac:dyDescent="0.25">
      <c r="A821707" s="242"/>
    </row>
    <row r="821708" spans="1:1" x14ac:dyDescent="0.25">
      <c r="A821708" s="242"/>
    </row>
    <row r="821709" spans="1:1" x14ac:dyDescent="0.25">
      <c r="A821709" s="242"/>
    </row>
    <row r="821710" spans="1:1" x14ac:dyDescent="0.25">
      <c r="A821710" s="242"/>
    </row>
    <row r="821711" spans="1:1" x14ac:dyDescent="0.25">
      <c r="A821711" s="242"/>
    </row>
    <row r="821712" spans="1:1" x14ac:dyDescent="0.25">
      <c r="A821712" s="242"/>
    </row>
    <row r="821713" spans="1:1" x14ac:dyDescent="0.25">
      <c r="A821713" s="242"/>
    </row>
    <row r="821714" spans="1:1" x14ac:dyDescent="0.25">
      <c r="A821714" s="242"/>
    </row>
    <row r="821715" spans="1:1" x14ac:dyDescent="0.25">
      <c r="A821715" s="242"/>
    </row>
    <row r="821716" spans="1:1" x14ac:dyDescent="0.25">
      <c r="A821716" s="242"/>
    </row>
    <row r="821717" spans="1:1" x14ac:dyDescent="0.25">
      <c r="A821717" s="242"/>
    </row>
    <row r="821718" spans="1:1" x14ac:dyDescent="0.25">
      <c r="A821718" s="242"/>
    </row>
    <row r="821719" spans="1:1" x14ac:dyDescent="0.25">
      <c r="A821719" s="242"/>
    </row>
    <row r="821720" spans="1:1" x14ac:dyDescent="0.25">
      <c r="A821720" s="242"/>
    </row>
    <row r="821721" spans="1:1" x14ac:dyDescent="0.25">
      <c r="A821721" s="242"/>
    </row>
    <row r="821722" spans="1:1" x14ac:dyDescent="0.25">
      <c r="A821722" s="242"/>
    </row>
    <row r="821723" spans="1:1" x14ac:dyDescent="0.25">
      <c r="A821723" s="242"/>
    </row>
    <row r="821724" spans="1:1" x14ac:dyDescent="0.25">
      <c r="A821724" s="242"/>
    </row>
    <row r="821725" spans="1:1" x14ac:dyDescent="0.25">
      <c r="A821725" s="242"/>
    </row>
    <row r="821726" spans="1:1" x14ac:dyDescent="0.25">
      <c r="A821726" s="242"/>
    </row>
    <row r="821727" spans="1:1" x14ac:dyDescent="0.25">
      <c r="A821727" s="242"/>
    </row>
    <row r="821728" spans="1:1" x14ac:dyDescent="0.25">
      <c r="A821728" s="242"/>
    </row>
    <row r="821729" spans="1:1" x14ac:dyDescent="0.25">
      <c r="A821729" s="242"/>
    </row>
    <row r="821730" spans="1:1" x14ac:dyDescent="0.25">
      <c r="A821730" s="242"/>
    </row>
    <row r="821731" spans="1:1" x14ac:dyDescent="0.25">
      <c r="A821731" s="242"/>
    </row>
    <row r="821732" spans="1:1" x14ac:dyDescent="0.25">
      <c r="A821732" s="242"/>
    </row>
    <row r="821733" spans="1:1" x14ac:dyDescent="0.25">
      <c r="A821733" s="242"/>
    </row>
    <row r="821734" spans="1:1" x14ac:dyDescent="0.25">
      <c r="A821734" s="242"/>
    </row>
    <row r="821735" spans="1:1" x14ac:dyDescent="0.25">
      <c r="A821735" s="242"/>
    </row>
    <row r="821736" spans="1:1" x14ac:dyDescent="0.25">
      <c r="A821736" s="242"/>
    </row>
    <row r="821737" spans="1:1" x14ac:dyDescent="0.25">
      <c r="A821737" s="242"/>
    </row>
    <row r="821738" spans="1:1" x14ac:dyDescent="0.25">
      <c r="A821738" s="242"/>
    </row>
    <row r="821739" spans="1:1" x14ac:dyDescent="0.25">
      <c r="A821739" s="242"/>
    </row>
    <row r="821740" spans="1:1" x14ac:dyDescent="0.25">
      <c r="A821740" s="242"/>
    </row>
    <row r="821741" spans="1:1" x14ac:dyDescent="0.25">
      <c r="A821741" s="242"/>
    </row>
    <row r="821742" spans="1:1" x14ac:dyDescent="0.25">
      <c r="A821742" s="242"/>
    </row>
    <row r="821743" spans="1:1" x14ac:dyDescent="0.25">
      <c r="A821743" s="242"/>
    </row>
    <row r="821744" spans="1:1" x14ac:dyDescent="0.25">
      <c r="A821744" s="242"/>
    </row>
    <row r="821745" spans="1:1" x14ac:dyDescent="0.25">
      <c r="A821745" s="242"/>
    </row>
    <row r="821746" spans="1:1" x14ac:dyDescent="0.25">
      <c r="A821746" s="242"/>
    </row>
    <row r="821747" spans="1:1" x14ac:dyDescent="0.25">
      <c r="A821747" s="242"/>
    </row>
    <row r="821748" spans="1:1" x14ac:dyDescent="0.25">
      <c r="A821748" s="242"/>
    </row>
    <row r="821749" spans="1:1" x14ac:dyDescent="0.25">
      <c r="A821749" s="242"/>
    </row>
    <row r="821750" spans="1:1" x14ac:dyDescent="0.25">
      <c r="A821750" s="242"/>
    </row>
    <row r="821751" spans="1:1" x14ac:dyDescent="0.25">
      <c r="A821751" s="242"/>
    </row>
    <row r="821752" spans="1:1" x14ac:dyDescent="0.25">
      <c r="A821752" s="242"/>
    </row>
    <row r="821753" spans="1:1" x14ac:dyDescent="0.25">
      <c r="A821753" s="242"/>
    </row>
    <row r="821754" spans="1:1" x14ac:dyDescent="0.25">
      <c r="A821754" s="242"/>
    </row>
    <row r="821755" spans="1:1" x14ac:dyDescent="0.25">
      <c r="A821755" s="242"/>
    </row>
    <row r="821756" spans="1:1" x14ac:dyDescent="0.25">
      <c r="A821756" s="242"/>
    </row>
    <row r="821757" spans="1:1" x14ac:dyDescent="0.25">
      <c r="A821757" s="242"/>
    </row>
    <row r="821758" spans="1:1" x14ac:dyDescent="0.25">
      <c r="A821758" s="242"/>
    </row>
    <row r="821759" spans="1:1" x14ac:dyDescent="0.25">
      <c r="A821759" s="242"/>
    </row>
    <row r="821760" spans="1:1" x14ac:dyDescent="0.25">
      <c r="A821760" s="242"/>
    </row>
    <row r="821761" spans="1:1" x14ac:dyDescent="0.25">
      <c r="A821761" s="242"/>
    </row>
    <row r="821762" spans="1:1" x14ac:dyDescent="0.25">
      <c r="A821762" s="242"/>
    </row>
    <row r="821763" spans="1:1" x14ac:dyDescent="0.25">
      <c r="A821763" s="242"/>
    </row>
    <row r="821764" spans="1:1" x14ac:dyDescent="0.25">
      <c r="A821764" s="242"/>
    </row>
    <row r="821765" spans="1:1" x14ac:dyDescent="0.25">
      <c r="A821765" s="242"/>
    </row>
    <row r="821766" spans="1:1" x14ac:dyDescent="0.25">
      <c r="A821766" s="242"/>
    </row>
    <row r="821767" spans="1:1" x14ac:dyDescent="0.25">
      <c r="A821767" s="242"/>
    </row>
    <row r="821768" spans="1:1" x14ac:dyDescent="0.25">
      <c r="A821768" s="242"/>
    </row>
    <row r="821769" spans="1:1" x14ac:dyDescent="0.25">
      <c r="A821769" s="242"/>
    </row>
    <row r="821770" spans="1:1" x14ac:dyDescent="0.25">
      <c r="A821770" s="242"/>
    </row>
    <row r="821771" spans="1:1" x14ac:dyDescent="0.25">
      <c r="A821771" s="242"/>
    </row>
    <row r="821772" spans="1:1" x14ac:dyDescent="0.25">
      <c r="A821772" s="242"/>
    </row>
    <row r="821773" spans="1:1" x14ac:dyDescent="0.25">
      <c r="A821773" s="242"/>
    </row>
    <row r="821774" spans="1:1" x14ac:dyDescent="0.25">
      <c r="A821774" s="242"/>
    </row>
    <row r="821775" spans="1:1" x14ac:dyDescent="0.25">
      <c r="A821775" s="242"/>
    </row>
    <row r="821776" spans="1:1" x14ac:dyDescent="0.25">
      <c r="A821776" s="242"/>
    </row>
    <row r="821777" spans="1:1" x14ac:dyDescent="0.25">
      <c r="A821777" s="242"/>
    </row>
    <row r="821778" spans="1:1" x14ac:dyDescent="0.25">
      <c r="A821778" s="242"/>
    </row>
    <row r="821779" spans="1:1" x14ac:dyDescent="0.25">
      <c r="A821779" s="242"/>
    </row>
    <row r="821780" spans="1:1" x14ac:dyDescent="0.25">
      <c r="A821780" s="242"/>
    </row>
    <row r="821781" spans="1:1" x14ac:dyDescent="0.25">
      <c r="A821781" s="242"/>
    </row>
    <row r="821782" spans="1:1" x14ac:dyDescent="0.25">
      <c r="A821782" s="242"/>
    </row>
    <row r="821783" spans="1:1" x14ac:dyDescent="0.25">
      <c r="A821783" s="242"/>
    </row>
    <row r="821784" spans="1:1" x14ac:dyDescent="0.25">
      <c r="A821784" s="242"/>
    </row>
    <row r="821785" spans="1:1" x14ac:dyDescent="0.25">
      <c r="A821785" s="242"/>
    </row>
    <row r="821786" spans="1:1" x14ac:dyDescent="0.25">
      <c r="A821786" s="242"/>
    </row>
    <row r="821787" spans="1:1" x14ac:dyDescent="0.25">
      <c r="A821787" s="242"/>
    </row>
    <row r="821788" spans="1:1" x14ac:dyDescent="0.25">
      <c r="A821788" s="242"/>
    </row>
    <row r="821789" spans="1:1" x14ac:dyDescent="0.25">
      <c r="A821789" s="242"/>
    </row>
    <row r="821790" spans="1:1" x14ac:dyDescent="0.25">
      <c r="A821790" s="242"/>
    </row>
    <row r="821791" spans="1:1" x14ac:dyDescent="0.25">
      <c r="A821791" s="242"/>
    </row>
    <row r="821792" spans="1:1" x14ac:dyDescent="0.25">
      <c r="A821792" s="242"/>
    </row>
    <row r="821793" spans="1:1" x14ac:dyDescent="0.25">
      <c r="A821793" s="242"/>
    </row>
    <row r="821794" spans="1:1" x14ac:dyDescent="0.25">
      <c r="A821794" s="242"/>
    </row>
    <row r="821795" spans="1:1" x14ac:dyDescent="0.25">
      <c r="A821795" s="242"/>
    </row>
    <row r="821796" spans="1:1" x14ac:dyDescent="0.25">
      <c r="A821796" s="242"/>
    </row>
    <row r="821797" spans="1:1" x14ac:dyDescent="0.25">
      <c r="A821797" s="242"/>
    </row>
    <row r="821798" spans="1:1" x14ac:dyDescent="0.25">
      <c r="A821798" s="242"/>
    </row>
    <row r="821799" spans="1:1" x14ac:dyDescent="0.25">
      <c r="A821799" s="242"/>
    </row>
    <row r="821800" spans="1:1" x14ac:dyDescent="0.25">
      <c r="A821800" s="242"/>
    </row>
    <row r="821801" spans="1:1" x14ac:dyDescent="0.25">
      <c r="A821801" s="242"/>
    </row>
    <row r="821802" spans="1:1" x14ac:dyDescent="0.25">
      <c r="A821802" s="242"/>
    </row>
    <row r="821803" spans="1:1" x14ac:dyDescent="0.25">
      <c r="A821803" s="242"/>
    </row>
    <row r="821804" spans="1:1" x14ac:dyDescent="0.25">
      <c r="A821804" s="242"/>
    </row>
    <row r="821805" spans="1:1" x14ac:dyDescent="0.25">
      <c r="A821805" s="242"/>
    </row>
    <row r="821806" spans="1:1" x14ac:dyDescent="0.25">
      <c r="A821806" s="242"/>
    </row>
    <row r="821807" spans="1:1" x14ac:dyDescent="0.25">
      <c r="A821807" s="242"/>
    </row>
    <row r="821808" spans="1:1" x14ac:dyDescent="0.25">
      <c r="A821808" s="242"/>
    </row>
    <row r="821809" spans="1:1" x14ac:dyDescent="0.25">
      <c r="A821809" s="242"/>
    </row>
    <row r="821810" spans="1:1" x14ac:dyDescent="0.25">
      <c r="A821810" s="242"/>
    </row>
    <row r="821811" spans="1:1" x14ac:dyDescent="0.25">
      <c r="A821811" s="242"/>
    </row>
    <row r="821812" spans="1:1" x14ac:dyDescent="0.25">
      <c r="A821812" s="242"/>
    </row>
    <row r="821813" spans="1:1" x14ac:dyDescent="0.25">
      <c r="A821813" s="242"/>
    </row>
    <row r="821814" spans="1:1" x14ac:dyDescent="0.25">
      <c r="A821814" s="242"/>
    </row>
    <row r="821815" spans="1:1" x14ac:dyDescent="0.25">
      <c r="A821815" s="242"/>
    </row>
    <row r="821816" spans="1:1" x14ac:dyDescent="0.25">
      <c r="A821816" s="242"/>
    </row>
    <row r="821817" spans="1:1" x14ac:dyDescent="0.25">
      <c r="A821817" s="242"/>
    </row>
    <row r="821818" spans="1:1" x14ac:dyDescent="0.25">
      <c r="A821818" s="242"/>
    </row>
    <row r="821819" spans="1:1" x14ac:dyDescent="0.25">
      <c r="A821819" s="242"/>
    </row>
    <row r="821820" spans="1:1" x14ac:dyDescent="0.25">
      <c r="A821820" s="242"/>
    </row>
    <row r="821821" spans="1:1" x14ac:dyDescent="0.25">
      <c r="A821821" s="242"/>
    </row>
    <row r="821822" spans="1:1" x14ac:dyDescent="0.25">
      <c r="A821822" s="242"/>
    </row>
    <row r="821823" spans="1:1" x14ac:dyDescent="0.25">
      <c r="A821823" s="242"/>
    </row>
    <row r="821824" spans="1:1" x14ac:dyDescent="0.25">
      <c r="A821824" s="242"/>
    </row>
    <row r="821825" spans="1:1" x14ac:dyDescent="0.25">
      <c r="A821825" s="242"/>
    </row>
    <row r="821826" spans="1:1" x14ac:dyDescent="0.25">
      <c r="A821826" s="242"/>
    </row>
    <row r="821827" spans="1:1" x14ac:dyDescent="0.25">
      <c r="A821827" s="242"/>
    </row>
    <row r="821828" spans="1:1" x14ac:dyDescent="0.25">
      <c r="A821828" s="242"/>
    </row>
    <row r="821829" spans="1:1" x14ac:dyDescent="0.25">
      <c r="A821829" s="242"/>
    </row>
    <row r="821830" spans="1:1" x14ac:dyDescent="0.25">
      <c r="A821830" s="242"/>
    </row>
    <row r="821831" spans="1:1" x14ac:dyDescent="0.25">
      <c r="A821831" s="242"/>
    </row>
    <row r="821832" spans="1:1" x14ac:dyDescent="0.25">
      <c r="A821832" s="242"/>
    </row>
    <row r="821833" spans="1:1" x14ac:dyDescent="0.25">
      <c r="A821833" s="242"/>
    </row>
    <row r="821834" spans="1:1" x14ac:dyDescent="0.25">
      <c r="A821834" s="242"/>
    </row>
    <row r="821835" spans="1:1" x14ac:dyDescent="0.25">
      <c r="A821835" s="242"/>
    </row>
    <row r="821836" spans="1:1" x14ac:dyDescent="0.25">
      <c r="A821836" s="242"/>
    </row>
    <row r="821837" spans="1:1" x14ac:dyDescent="0.25">
      <c r="A821837" s="242"/>
    </row>
    <row r="821838" spans="1:1" x14ac:dyDescent="0.25">
      <c r="A821838" s="242"/>
    </row>
    <row r="821839" spans="1:1" x14ac:dyDescent="0.25">
      <c r="A821839" s="242"/>
    </row>
    <row r="821840" spans="1:1" x14ac:dyDescent="0.25">
      <c r="A821840" s="242"/>
    </row>
    <row r="821841" spans="1:1" x14ac:dyDescent="0.25">
      <c r="A821841" s="242"/>
    </row>
    <row r="821842" spans="1:1" x14ac:dyDescent="0.25">
      <c r="A821842" s="242"/>
    </row>
    <row r="821843" spans="1:1" x14ac:dyDescent="0.25">
      <c r="A821843" s="242"/>
    </row>
    <row r="821844" spans="1:1" x14ac:dyDescent="0.25">
      <c r="A821844" s="242"/>
    </row>
    <row r="821845" spans="1:1" x14ac:dyDescent="0.25">
      <c r="A821845" s="242"/>
    </row>
    <row r="821846" spans="1:1" x14ac:dyDescent="0.25">
      <c r="A821846" s="242"/>
    </row>
    <row r="821847" spans="1:1" x14ac:dyDescent="0.25">
      <c r="A821847" s="242"/>
    </row>
    <row r="821848" spans="1:1" x14ac:dyDescent="0.25">
      <c r="A821848" s="242"/>
    </row>
    <row r="821849" spans="1:1" x14ac:dyDescent="0.25">
      <c r="A821849" s="242"/>
    </row>
    <row r="821850" spans="1:1" x14ac:dyDescent="0.25">
      <c r="A821850" s="242"/>
    </row>
    <row r="821851" spans="1:1" x14ac:dyDescent="0.25">
      <c r="A821851" s="242"/>
    </row>
    <row r="821852" spans="1:1" x14ac:dyDescent="0.25">
      <c r="A821852" s="242"/>
    </row>
    <row r="821853" spans="1:1" x14ac:dyDescent="0.25">
      <c r="A821853" s="242"/>
    </row>
    <row r="821854" spans="1:1" x14ac:dyDescent="0.25">
      <c r="A821854" s="242"/>
    </row>
    <row r="821855" spans="1:1" x14ac:dyDescent="0.25">
      <c r="A821855" s="242"/>
    </row>
    <row r="821856" spans="1:1" x14ac:dyDescent="0.25">
      <c r="A821856" s="242"/>
    </row>
    <row r="821857" spans="1:1" x14ac:dyDescent="0.25">
      <c r="A821857" s="242"/>
    </row>
    <row r="821858" spans="1:1" x14ac:dyDescent="0.25">
      <c r="A821858" s="242"/>
    </row>
    <row r="821859" spans="1:1" x14ac:dyDescent="0.25">
      <c r="A821859" s="242"/>
    </row>
    <row r="821860" spans="1:1" x14ac:dyDescent="0.25">
      <c r="A821860" s="242"/>
    </row>
    <row r="821861" spans="1:1" x14ac:dyDescent="0.25">
      <c r="A821861" s="242"/>
    </row>
    <row r="821862" spans="1:1" x14ac:dyDescent="0.25">
      <c r="A821862" s="242"/>
    </row>
    <row r="821863" spans="1:1" x14ac:dyDescent="0.25">
      <c r="A821863" s="242"/>
    </row>
    <row r="821864" spans="1:1" x14ac:dyDescent="0.25">
      <c r="A821864" s="242"/>
    </row>
    <row r="821865" spans="1:1" x14ac:dyDescent="0.25">
      <c r="A821865" s="242"/>
    </row>
    <row r="821866" spans="1:1" x14ac:dyDescent="0.25">
      <c r="A821866" s="242"/>
    </row>
    <row r="821867" spans="1:1" x14ac:dyDescent="0.25">
      <c r="A821867" s="242"/>
    </row>
    <row r="821868" spans="1:1" x14ac:dyDescent="0.25">
      <c r="A821868" s="242"/>
    </row>
    <row r="821869" spans="1:1" x14ac:dyDescent="0.25">
      <c r="A821869" s="242"/>
    </row>
    <row r="821870" spans="1:1" x14ac:dyDescent="0.25">
      <c r="A821870" s="242"/>
    </row>
    <row r="821871" spans="1:1" x14ac:dyDescent="0.25">
      <c r="A821871" s="242"/>
    </row>
    <row r="821872" spans="1:1" x14ac:dyDescent="0.25">
      <c r="A821872" s="242"/>
    </row>
    <row r="821873" spans="1:1" x14ac:dyDescent="0.25">
      <c r="A821873" s="242"/>
    </row>
    <row r="821874" spans="1:1" x14ac:dyDescent="0.25">
      <c r="A821874" s="242"/>
    </row>
    <row r="821875" spans="1:1" x14ac:dyDescent="0.25">
      <c r="A821875" s="242"/>
    </row>
    <row r="821876" spans="1:1" x14ac:dyDescent="0.25">
      <c r="A821876" s="242"/>
    </row>
    <row r="821877" spans="1:1" x14ac:dyDescent="0.25">
      <c r="A821877" s="242"/>
    </row>
    <row r="821878" spans="1:1" x14ac:dyDescent="0.25">
      <c r="A821878" s="242"/>
    </row>
    <row r="821879" spans="1:1" x14ac:dyDescent="0.25">
      <c r="A821879" s="242"/>
    </row>
    <row r="821880" spans="1:1" x14ac:dyDescent="0.25">
      <c r="A821880" s="242"/>
    </row>
    <row r="821881" spans="1:1" x14ac:dyDescent="0.25">
      <c r="A821881" s="242"/>
    </row>
    <row r="821882" spans="1:1" x14ac:dyDescent="0.25">
      <c r="A821882" s="242"/>
    </row>
    <row r="821883" spans="1:1" x14ac:dyDescent="0.25">
      <c r="A821883" s="242"/>
    </row>
    <row r="821884" spans="1:1" x14ac:dyDescent="0.25">
      <c r="A821884" s="242"/>
    </row>
    <row r="821885" spans="1:1" x14ac:dyDescent="0.25">
      <c r="A821885" s="242"/>
    </row>
    <row r="821886" spans="1:1" x14ac:dyDescent="0.25">
      <c r="A821886" s="242"/>
    </row>
    <row r="821887" spans="1:1" x14ac:dyDescent="0.25">
      <c r="A821887" s="242"/>
    </row>
    <row r="821888" spans="1:1" x14ac:dyDescent="0.25">
      <c r="A821888" s="242"/>
    </row>
    <row r="821889" spans="1:1" x14ac:dyDescent="0.25">
      <c r="A821889" s="242"/>
    </row>
    <row r="821890" spans="1:1" x14ac:dyDescent="0.25">
      <c r="A821890" s="242"/>
    </row>
    <row r="821891" spans="1:1" x14ac:dyDescent="0.25">
      <c r="A821891" s="242"/>
    </row>
    <row r="821892" spans="1:1" x14ac:dyDescent="0.25">
      <c r="A821892" s="242"/>
    </row>
    <row r="821893" spans="1:1" x14ac:dyDescent="0.25">
      <c r="A821893" s="242"/>
    </row>
    <row r="821894" spans="1:1" x14ac:dyDescent="0.25">
      <c r="A821894" s="242"/>
    </row>
    <row r="821895" spans="1:1" x14ac:dyDescent="0.25">
      <c r="A821895" s="242"/>
    </row>
    <row r="821896" spans="1:1" x14ac:dyDescent="0.25">
      <c r="A821896" s="242"/>
    </row>
    <row r="821897" spans="1:1" x14ac:dyDescent="0.25">
      <c r="A821897" s="242"/>
    </row>
    <row r="821898" spans="1:1" x14ac:dyDescent="0.25">
      <c r="A821898" s="242"/>
    </row>
    <row r="821899" spans="1:1" x14ac:dyDescent="0.25">
      <c r="A821899" s="242"/>
    </row>
    <row r="821900" spans="1:1" x14ac:dyDescent="0.25">
      <c r="A821900" s="242"/>
    </row>
    <row r="821901" spans="1:1" x14ac:dyDescent="0.25">
      <c r="A821901" s="242"/>
    </row>
    <row r="821902" spans="1:1" x14ac:dyDescent="0.25">
      <c r="A821902" s="242"/>
    </row>
    <row r="821903" spans="1:1" x14ac:dyDescent="0.25">
      <c r="A821903" s="242"/>
    </row>
    <row r="821904" spans="1:1" x14ac:dyDescent="0.25">
      <c r="A821904" s="242"/>
    </row>
    <row r="821905" spans="1:1" x14ac:dyDescent="0.25">
      <c r="A821905" s="242"/>
    </row>
    <row r="821906" spans="1:1" x14ac:dyDescent="0.25">
      <c r="A821906" s="242"/>
    </row>
    <row r="821907" spans="1:1" x14ac:dyDescent="0.25">
      <c r="A821907" s="242"/>
    </row>
    <row r="821908" spans="1:1" x14ac:dyDescent="0.25">
      <c r="A821908" s="242"/>
    </row>
    <row r="821909" spans="1:1" x14ac:dyDescent="0.25">
      <c r="A821909" s="242"/>
    </row>
    <row r="821910" spans="1:1" x14ac:dyDescent="0.25">
      <c r="A821910" s="242"/>
    </row>
    <row r="821911" spans="1:1" x14ac:dyDescent="0.25">
      <c r="A821911" s="242"/>
    </row>
    <row r="821912" spans="1:1" x14ac:dyDescent="0.25">
      <c r="A821912" s="242"/>
    </row>
    <row r="821913" spans="1:1" x14ac:dyDescent="0.25">
      <c r="A821913" s="242"/>
    </row>
    <row r="821914" spans="1:1" x14ac:dyDescent="0.25">
      <c r="A821914" s="242"/>
    </row>
    <row r="821915" spans="1:1" x14ac:dyDescent="0.25">
      <c r="A821915" s="242"/>
    </row>
    <row r="821916" spans="1:1" x14ac:dyDescent="0.25">
      <c r="A821916" s="242"/>
    </row>
    <row r="821917" spans="1:1" x14ac:dyDescent="0.25">
      <c r="A821917" s="242"/>
    </row>
    <row r="821918" spans="1:1" x14ac:dyDescent="0.25">
      <c r="A821918" s="242"/>
    </row>
    <row r="821919" spans="1:1" x14ac:dyDescent="0.25">
      <c r="A821919" s="242"/>
    </row>
    <row r="821920" spans="1:1" x14ac:dyDescent="0.25">
      <c r="A821920" s="242"/>
    </row>
    <row r="821921" spans="1:1" x14ac:dyDescent="0.25">
      <c r="A821921" s="242"/>
    </row>
    <row r="821922" spans="1:1" x14ac:dyDescent="0.25">
      <c r="A821922" s="242"/>
    </row>
    <row r="821923" spans="1:1" x14ac:dyDescent="0.25">
      <c r="A821923" s="242"/>
    </row>
    <row r="821924" spans="1:1" x14ac:dyDescent="0.25">
      <c r="A821924" s="242"/>
    </row>
    <row r="821925" spans="1:1" x14ac:dyDescent="0.25">
      <c r="A821925" s="242"/>
    </row>
    <row r="821926" spans="1:1" x14ac:dyDescent="0.25">
      <c r="A821926" s="242"/>
    </row>
    <row r="821927" spans="1:1" x14ac:dyDescent="0.25">
      <c r="A821927" s="242"/>
    </row>
    <row r="821928" spans="1:1" x14ac:dyDescent="0.25">
      <c r="A821928" s="242"/>
    </row>
    <row r="821929" spans="1:1" x14ac:dyDescent="0.25">
      <c r="A821929" s="242"/>
    </row>
    <row r="821930" spans="1:1" x14ac:dyDescent="0.25">
      <c r="A821930" s="242"/>
    </row>
    <row r="821931" spans="1:1" x14ac:dyDescent="0.25">
      <c r="A821931" s="242"/>
    </row>
    <row r="821932" spans="1:1" x14ac:dyDescent="0.25">
      <c r="A821932" s="242"/>
    </row>
    <row r="821933" spans="1:1" x14ac:dyDescent="0.25">
      <c r="A821933" s="242"/>
    </row>
    <row r="821934" spans="1:1" x14ac:dyDescent="0.25">
      <c r="A821934" s="242"/>
    </row>
    <row r="821935" spans="1:1" x14ac:dyDescent="0.25">
      <c r="A821935" s="242"/>
    </row>
    <row r="821936" spans="1:1" x14ac:dyDescent="0.25">
      <c r="A821936" s="242"/>
    </row>
    <row r="821937" spans="1:1" x14ac:dyDescent="0.25">
      <c r="A821937" s="242"/>
    </row>
    <row r="821938" spans="1:1" x14ac:dyDescent="0.25">
      <c r="A821938" s="242"/>
    </row>
    <row r="821939" spans="1:1" x14ac:dyDescent="0.25">
      <c r="A821939" s="242"/>
    </row>
    <row r="821940" spans="1:1" x14ac:dyDescent="0.25">
      <c r="A821940" s="242"/>
    </row>
    <row r="821941" spans="1:1" x14ac:dyDescent="0.25">
      <c r="A821941" s="242"/>
    </row>
    <row r="821942" spans="1:1" x14ac:dyDescent="0.25">
      <c r="A821942" s="242"/>
    </row>
    <row r="821943" spans="1:1" x14ac:dyDescent="0.25">
      <c r="A821943" s="242"/>
    </row>
    <row r="821944" spans="1:1" x14ac:dyDescent="0.25">
      <c r="A821944" s="242"/>
    </row>
    <row r="821945" spans="1:1" x14ac:dyDescent="0.25">
      <c r="A821945" s="242"/>
    </row>
    <row r="821946" spans="1:1" x14ac:dyDescent="0.25">
      <c r="A821946" s="242"/>
    </row>
    <row r="821947" spans="1:1" x14ac:dyDescent="0.25">
      <c r="A821947" s="242"/>
    </row>
    <row r="821948" spans="1:1" x14ac:dyDescent="0.25">
      <c r="A821948" s="242"/>
    </row>
    <row r="821949" spans="1:1" x14ac:dyDescent="0.25">
      <c r="A821949" s="242"/>
    </row>
    <row r="821950" spans="1:1" x14ac:dyDescent="0.25">
      <c r="A821950" s="242"/>
    </row>
    <row r="821951" spans="1:1" x14ac:dyDescent="0.25">
      <c r="A821951" s="242"/>
    </row>
    <row r="821952" spans="1:1" x14ac:dyDescent="0.25">
      <c r="A821952" s="242"/>
    </row>
    <row r="821953" spans="1:1" x14ac:dyDescent="0.25">
      <c r="A821953" s="242"/>
    </row>
    <row r="821954" spans="1:1" x14ac:dyDescent="0.25">
      <c r="A821954" s="242"/>
    </row>
    <row r="821955" spans="1:1" x14ac:dyDescent="0.25">
      <c r="A821955" s="242"/>
    </row>
    <row r="821956" spans="1:1" x14ac:dyDescent="0.25">
      <c r="A821956" s="242"/>
    </row>
    <row r="821957" spans="1:1" x14ac:dyDescent="0.25">
      <c r="A821957" s="242"/>
    </row>
    <row r="821958" spans="1:1" x14ac:dyDescent="0.25">
      <c r="A821958" s="242"/>
    </row>
    <row r="821959" spans="1:1" x14ac:dyDescent="0.25">
      <c r="A821959" s="242"/>
    </row>
    <row r="821960" spans="1:1" x14ac:dyDescent="0.25">
      <c r="A821960" s="242"/>
    </row>
    <row r="821961" spans="1:1" x14ac:dyDescent="0.25">
      <c r="A821961" s="242"/>
    </row>
    <row r="821962" spans="1:1" x14ac:dyDescent="0.25">
      <c r="A821962" s="242"/>
    </row>
    <row r="821963" spans="1:1" x14ac:dyDescent="0.25">
      <c r="A821963" s="242"/>
    </row>
    <row r="821964" spans="1:1" x14ac:dyDescent="0.25">
      <c r="A821964" s="242"/>
    </row>
    <row r="821965" spans="1:1" x14ac:dyDescent="0.25">
      <c r="A821965" s="242"/>
    </row>
    <row r="821966" spans="1:1" x14ac:dyDescent="0.25">
      <c r="A821966" s="242"/>
    </row>
    <row r="821967" spans="1:1" x14ac:dyDescent="0.25">
      <c r="A821967" s="242"/>
    </row>
    <row r="821968" spans="1:1" x14ac:dyDescent="0.25">
      <c r="A821968" s="242"/>
    </row>
    <row r="821969" spans="1:1" x14ac:dyDescent="0.25">
      <c r="A821969" s="242"/>
    </row>
    <row r="821970" spans="1:1" x14ac:dyDescent="0.25">
      <c r="A821970" s="242"/>
    </row>
    <row r="821971" spans="1:1" x14ac:dyDescent="0.25">
      <c r="A821971" s="242"/>
    </row>
    <row r="821972" spans="1:1" x14ac:dyDescent="0.25">
      <c r="A821972" s="242"/>
    </row>
    <row r="821973" spans="1:1" x14ac:dyDescent="0.25">
      <c r="A821973" s="242"/>
    </row>
    <row r="821974" spans="1:1" x14ac:dyDescent="0.25">
      <c r="A821974" s="242"/>
    </row>
    <row r="821975" spans="1:1" x14ac:dyDescent="0.25">
      <c r="A821975" s="242"/>
    </row>
    <row r="821976" spans="1:1" x14ac:dyDescent="0.25">
      <c r="A821976" s="242"/>
    </row>
    <row r="821977" spans="1:1" x14ac:dyDescent="0.25">
      <c r="A821977" s="242"/>
    </row>
    <row r="821978" spans="1:1" x14ac:dyDescent="0.25">
      <c r="A821978" s="242"/>
    </row>
    <row r="821979" spans="1:1" x14ac:dyDescent="0.25">
      <c r="A821979" s="242"/>
    </row>
    <row r="821980" spans="1:1" x14ac:dyDescent="0.25">
      <c r="A821980" s="242"/>
    </row>
    <row r="821981" spans="1:1" x14ac:dyDescent="0.25">
      <c r="A821981" s="242"/>
    </row>
    <row r="821982" spans="1:1" x14ac:dyDescent="0.25">
      <c r="A821982" s="242"/>
    </row>
    <row r="821983" spans="1:1" x14ac:dyDescent="0.25">
      <c r="A821983" s="242"/>
    </row>
    <row r="821984" spans="1:1" x14ac:dyDescent="0.25">
      <c r="A821984" s="242"/>
    </row>
    <row r="821985" spans="1:1" x14ac:dyDescent="0.25">
      <c r="A821985" s="242"/>
    </row>
    <row r="821986" spans="1:1" x14ac:dyDescent="0.25">
      <c r="A821986" s="242"/>
    </row>
    <row r="821987" spans="1:1" x14ac:dyDescent="0.25">
      <c r="A821987" s="242"/>
    </row>
    <row r="821988" spans="1:1" x14ac:dyDescent="0.25">
      <c r="A821988" s="242"/>
    </row>
    <row r="821989" spans="1:1" x14ac:dyDescent="0.25">
      <c r="A821989" s="242"/>
    </row>
    <row r="821990" spans="1:1" x14ac:dyDescent="0.25">
      <c r="A821990" s="242"/>
    </row>
    <row r="821991" spans="1:1" x14ac:dyDescent="0.25">
      <c r="A821991" s="242"/>
    </row>
    <row r="821992" spans="1:1" x14ac:dyDescent="0.25">
      <c r="A821992" s="242"/>
    </row>
    <row r="821993" spans="1:1" x14ac:dyDescent="0.25">
      <c r="A821993" s="242"/>
    </row>
    <row r="821994" spans="1:1" x14ac:dyDescent="0.25">
      <c r="A821994" s="242"/>
    </row>
    <row r="821995" spans="1:1" x14ac:dyDescent="0.25">
      <c r="A821995" s="242"/>
    </row>
    <row r="821996" spans="1:1" x14ac:dyDescent="0.25">
      <c r="A821996" s="242"/>
    </row>
    <row r="821997" spans="1:1" x14ac:dyDescent="0.25">
      <c r="A821997" s="242"/>
    </row>
    <row r="821998" spans="1:1" x14ac:dyDescent="0.25">
      <c r="A821998" s="242"/>
    </row>
    <row r="821999" spans="1:1" x14ac:dyDescent="0.25">
      <c r="A821999" s="242"/>
    </row>
    <row r="822000" spans="1:1" x14ac:dyDescent="0.25">
      <c r="A822000" s="242"/>
    </row>
    <row r="822001" spans="1:1" x14ac:dyDescent="0.25">
      <c r="A822001" s="242"/>
    </row>
    <row r="822002" spans="1:1" x14ac:dyDescent="0.25">
      <c r="A822002" s="242"/>
    </row>
    <row r="822003" spans="1:1" x14ac:dyDescent="0.25">
      <c r="A822003" s="242"/>
    </row>
    <row r="822004" spans="1:1" x14ac:dyDescent="0.25">
      <c r="A822004" s="242"/>
    </row>
    <row r="822005" spans="1:1" x14ac:dyDescent="0.25">
      <c r="A822005" s="242"/>
    </row>
    <row r="822006" spans="1:1" x14ac:dyDescent="0.25">
      <c r="A822006" s="242"/>
    </row>
    <row r="822007" spans="1:1" x14ac:dyDescent="0.25">
      <c r="A822007" s="242"/>
    </row>
    <row r="822008" spans="1:1" x14ac:dyDescent="0.25">
      <c r="A822008" s="242"/>
    </row>
    <row r="822009" spans="1:1" x14ac:dyDescent="0.25">
      <c r="A822009" s="242"/>
    </row>
    <row r="822010" spans="1:1" x14ac:dyDescent="0.25">
      <c r="A822010" s="242"/>
    </row>
    <row r="822011" spans="1:1" x14ac:dyDescent="0.25">
      <c r="A822011" s="242"/>
    </row>
    <row r="822012" spans="1:1" x14ac:dyDescent="0.25">
      <c r="A822012" s="242"/>
    </row>
    <row r="822013" spans="1:1" x14ac:dyDescent="0.25">
      <c r="A822013" s="242"/>
    </row>
    <row r="822014" spans="1:1" x14ac:dyDescent="0.25">
      <c r="A822014" s="242"/>
    </row>
    <row r="822015" spans="1:1" x14ac:dyDescent="0.25">
      <c r="A822015" s="242"/>
    </row>
    <row r="822016" spans="1:1" x14ac:dyDescent="0.25">
      <c r="A822016" s="242"/>
    </row>
    <row r="822017" spans="1:1" x14ac:dyDescent="0.25">
      <c r="A822017" s="242"/>
    </row>
    <row r="822018" spans="1:1" x14ac:dyDescent="0.25">
      <c r="A822018" s="242"/>
    </row>
    <row r="822019" spans="1:1" x14ac:dyDescent="0.25">
      <c r="A822019" s="242"/>
    </row>
    <row r="822020" spans="1:1" x14ac:dyDescent="0.25">
      <c r="A822020" s="242"/>
    </row>
    <row r="822021" spans="1:1" x14ac:dyDescent="0.25">
      <c r="A822021" s="242"/>
    </row>
    <row r="822022" spans="1:1" x14ac:dyDescent="0.25">
      <c r="A822022" s="242"/>
    </row>
    <row r="822023" spans="1:1" x14ac:dyDescent="0.25">
      <c r="A822023" s="242"/>
    </row>
    <row r="822024" spans="1:1" x14ac:dyDescent="0.25">
      <c r="A822024" s="242"/>
    </row>
    <row r="822025" spans="1:1" x14ac:dyDescent="0.25">
      <c r="A822025" s="242"/>
    </row>
    <row r="822026" spans="1:1" x14ac:dyDescent="0.25">
      <c r="A822026" s="242"/>
    </row>
    <row r="822027" spans="1:1" x14ac:dyDescent="0.25">
      <c r="A822027" s="242"/>
    </row>
    <row r="822028" spans="1:1" x14ac:dyDescent="0.25">
      <c r="A822028" s="242"/>
    </row>
    <row r="822029" spans="1:1" x14ac:dyDescent="0.25">
      <c r="A822029" s="242"/>
    </row>
    <row r="822030" spans="1:1" x14ac:dyDescent="0.25">
      <c r="A822030" s="242"/>
    </row>
    <row r="822031" spans="1:1" x14ac:dyDescent="0.25">
      <c r="A822031" s="242"/>
    </row>
    <row r="822032" spans="1:1" x14ac:dyDescent="0.25">
      <c r="A822032" s="242"/>
    </row>
    <row r="822033" spans="1:1" x14ac:dyDescent="0.25">
      <c r="A822033" s="242"/>
    </row>
    <row r="822034" spans="1:1" x14ac:dyDescent="0.25">
      <c r="A822034" s="242"/>
    </row>
    <row r="822035" spans="1:1" x14ac:dyDescent="0.25">
      <c r="A822035" s="242"/>
    </row>
    <row r="822036" spans="1:1" x14ac:dyDescent="0.25">
      <c r="A822036" s="242"/>
    </row>
    <row r="822037" spans="1:1" x14ac:dyDescent="0.25">
      <c r="A822037" s="242"/>
    </row>
    <row r="822038" spans="1:1" x14ac:dyDescent="0.25">
      <c r="A822038" s="242"/>
    </row>
    <row r="822039" spans="1:1" x14ac:dyDescent="0.25">
      <c r="A822039" s="242"/>
    </row>
    <row r="822040" spans="1:1" x14ac:dyDescent="0.25">
      <c r="A822040" s="242"/>
    </row>
    <row r="822041" spans="1:1" x14ac:dyDescent="0.25">
      <c r="A822041" s="242"/>
    </row>
    <row r="822042" spans="1:1" x14ac:dyDescent="0.25">
      <c r="A822042" s="242"/>
    </row>
    <row r="822043" spans="1:1" x14ac:dyDescent="0.25">
      <c r="A822043" s="242"/>
    </row>
    <row r="822044" spans="1:1" x14ac:dyDescent="0.25">
      <c r="A822044" s="242"/>
    </row>
    <row r="822045" spans="1:1" x14ac:dyDescent="0.25">
      <c r="A822045" s="242"/>
    </row>
    <row r="822046" spans="1:1" x14ac:dyDescent="0.25">
      <c r="A822046" s="242"/>
    </row>
    <row r="822047" spans="1:1" x14ac:dyDescent="0.25">
      <c r="A822047" s="242"/>
    </row>
    <row r="822048" spans="1:1" x14ac:dyDescent="0.25">
      <c r="A822048" s="242"/>
    </row>
    <row r="822049" spans="1:1" x14ac:dyDescent="0.25">
      <c r="A822049" s="242"/>
    </row>
    <row r="822050" spans="1:1" x14ac:dyDescent="0.25">
      <c r="A822050" s="242"/>
    </row>
    <row r="822051" spans="1:1" x14ac:dyDescent="0.25">
      <c r="A822051" s="242"/>
    </row>
    <row r="822052" spans="1:1" x14ac:dyDescent="0.25">
      <c r="A822052" s="242"/>
    </row>
    <row r="822053" spans="1:1" x14ac:dyDescent="0.25">
      <c r="A822053" s="242"/>
    </row>
    <row r="822054" spans="1:1" x14ac:dyDescent="0.25">
      <c r="A822054" s="242"/>
    </row>
    <row r="822055" spans="1:1" x14ac:dyDescent="0.25">
      <c r="A822055" s="242"/>
    </row>
    <row r="822056" spans="1:1" x14ac:dyDescent="0.25">
      <c r="A822056" s="242"/>
    </row>
    <row r="822057" spans="1:1" x14ac:dyDescent="0.25">
      <c r="A822057" s="242"/>
    </row>
    <row r="822058" spans="1:1" x14ac:dyDescent="0.25">
      <c r="A822058" s="242"/>
    </row>
    <row r="822059" spans="1:1" x14ac:dyDescent="0.25">
      <c r="A822059" s="242"/>
    </row>
    <row r="822060" spans="1:1" x14ac:dyDescent="0.25">
      <c r="A822060" s="242"/>
    </row>
    <row r="822061" spans="1:1" x14ac:dyDescent="0.25">
      <c r="A822061" s="242"/>
    </row>
    <row r="822062" spans="1:1" x14ac:dyDescent="0.25">
      <c r="A822062" s="242"/>
    </row>
    <row r="822063" spans="1:1" x14ac:dyDescent="0.25">
      <c r="A822063" s="242"/>
    </row>
    <row r="822064" spans="1:1" x14ac:dyDescent="0.25">
      <c r="A822064" s="242"/>
    </row>
    <row r="822065" spans="1:1" x14ac:dyDescent="0.25">
      <c r="A822065" s="242"/>
    </row>
    <row r="822066" spans="1:1" x14ac:dyDescent="0.25">
      <c r="A822066" s="242"/>
    </row>
    <row r="822067" spans="1:1" x14ac:dyDescent="0.25">
      <c r="A822067" s="242"/>
    </row>
    <row r="822068" spans="1:1" x14ac:dyDescent="0.25">
      <c r="A822068" s="242"/>
    </row>
    <row r="822069" spans="1:1" x14ac:dyDescent="0.25">
      <c r="A822069" s="242"/>
    </row>
    <row r="822070" spans="1:1" x14ac:dyDescent="0.25">
      <c r="A822070" s="242"/>
    </row>
    <row r="822071" spans="1:1" x14ac:dyDescent="0.25">
      <c r="A822071" s="242"/>
    </row>
    <row r="822072" spans="1:1" x14ac:dyDescent="0.25">
      <c r="A822072" s="242"/>
    </row>
    <row r="822073" spans="1:1" x14ac:dyDescent="0.25">
      <c r="A822073" s="242"/>
    </row>
    <row r="822074" spans="1:1" x14ac:dyDescent="0.25">
      <c r="A822074" s="242"/>
    </row>
    <row r="822075" spans="1:1" x14ac:dyDescent="0.25">
      <c r="A822075" s="242"/>
    </row>
    <row r="822076" spans="1:1" x14ac:dyDescent="0.25">
      <c r="A822076" s="242"/>
    </row>
    <row r="822077" spans="1:1" x14ac:dyDescent="0.25">
      <c r="A822077" s="242"/>
    </row>
    <row r="822078" spans="1:1" x14ac:dyDescent="0.25">
      <c r="A822078" s="242"/>
    </row>
    <row r="822079" spans="1:1" x14ac:dyDescent="0.25">
      <c r="A822079" s="242"/>
    </row>
    <row r="822080" spans="1:1" x14ac:dyDescent="0.25">
      <c r="A822080" s="242"/>
    </row>
    <row r="822081" spans="1:1" x14ac:dyDescent="0.25">
      <c r="A822081" s="242"/>
    </row>
    <row r="822082" spans="1:1" x14ac:dyDescent="0.25">
      <c r="A822082" s="242"/>
    </row>
    <row r="822083" spans="1:1" x14ac:dyDescent="0.25">
      <c r="A822083" s="242"/>
    </row>
    <row r="822084" spans="1:1" x14ac:dyDescent="0.25">
      <c r="A822084" s="242"/>
    </row>
    <row r="822085" spans="1:1" x14ac:dyDescent="0.25">
      <c r="A822085" s="242"/>
    </row>
    <row r="822086" spans="1:1" x14ac:dyDescent="0.25">
      <c r="A822086" s="242"/>
    </row>
    <row r="822087" spans="1:1" x14ac:dyDescent="0.25">
      <c r="A822087" s="242"/>
    </row>
    <row r="822088" spans="1:1" x14ac:dyDescent="0.25">
      <c r="A822088" s="242"/>
    </row>
    <row r="822089" spans="1:1" x14ac:dyDescent="0.25">
      <c r="A822089" s="242"/>
    </row>
    <row r="822090" spans="1:1" x14ac:dyDescent="0.25">
      <c r="A822090" s="242"/>
    </row>
    <row r="822091" spans="1:1" x14ac:dyDescent="0.25">
      <c r="A822091" s="242"/>
    </row>
    <row r="822092" spans="1:1" x14ac:dyDescent="0.25">
      <c r="A822092" s="242"/>
    </row>
    <row r="822093" spans="1:1" x14ac:dyDescent="0.25">
      <c r="A822093" s="242"/>
    </row>
    <row r="822094" spans="1:1" x14ac:dyDescent="0.25">
      <c r="A822094" s="242"/>
    </row>
    <row r="822095" spans="1:1" x14ac:dyDescent="0.25">
      <c r="A822095" s="242"/>
    </row>
    <row r="822096" spans="1:1" x14ac:dyDescent="0.25">
      <c r="A822096" s="242"/>
    </row>
    <row r="822097" spans="1:1" x14ac:dyDescent="0.25">
      <c r="A822097" s="242"/>
    </row>
    <row r="822098" spans="1:1" x14ac:dyDescent="0.25">
      <c r="A822098" s="242"/>
    </row>
    <row r="822099" spans="1:1" x14ac:dyDescent="0.25">
      <c r="A822099" s="242"/>
    </row>
    <row r="822100" spans="1:1" x14ac:dyDescent="0.25">
      <c r="A822100" s="242"/>
    </row>
    <row r="822101" spans="1:1" x14ac:dyDescent="0.25">
      <c r="A822101" s="242"/>
    </row>
    <row r="822102" spans="1:1" x14ac:dyDescent="0.25">
      <c r="A822102" s="242"/>
    </row>
    <row r="822103" spans="1:1" x14ac:dyDescent="0.25">
      <c r="A822103" s="242"/>
    </row>
    <row r="822104" spans="1:1" x14ac:dyDescent="0.25">
      <c r="A822104" s="242"/>
    </row>
    <row r="822105" spans="1:1" x14ac:dyDescent="0.25">
      <c r="A822105" s="242"/>
    </row>
    <row r="822106" spans="1:1" x14ac:dyDescent="0.25">
      <c r="A822106" s="242"/>
    </row>
    <row r="822107" spans="1:1" x14ac:dyDescent="0.25">
      <c r="A822107" s="242"/>
    </row>
    <row r="822108" spans="1:1" x14ac:dyDescent="0.25">
      <c r="A822108" s="242"/>
    </row>
    <row r="822109" spans="1:1" x14ac:dyDescent="0.25">
      <c r="A822109" s="242"/>
    </row>
    <row r="822110" spans="1:1" x14ac:dyDescent="0.25">
      <c r="A822110" s="242"/>
    </row>
    <row r="822111" spans="1:1" x14ac:dyDescent="0.25">
      <c r="A822111" s="242"/>
    </row>
    <row r="822112" spans="1:1" x14ac:dyDescent="0.25">
      <c r="A822112" s="242"/>
    </row>
    <row r="822113" spans="1:1" x14ac:dyDescent="0.25">
      <c r="A822113" s="242"/>
    </row>
    <row r="822114" spans="1:1" x14ac:dyDescent="0.25">
      <c r="A822114" s="242"/>
    </row>
    <row r="822115" spans="1:1" x14ac:dyDescent="0.25">
      <c r="A822115" s="242"/>
    </row>
    <row r="822116" spans="1:1" x14ac:dyDescent="0.25">
      <c r="A822116" s="242"/>
    </row>
    <row r="822117" spans="1:1" x14ac:dyDescent="0.25">
      <c r="A822117" s="242"/>
    </row>
    <row r="822118" spans="1:1" x14ac:dyDescent="0.25">
      <c r="A822118" s="242"/>
    </row>
    <row r="822119" spans="1:1" x14ac:dyDescent="0.25">
      <c r="A822119" s="242"/>
    </row>
    <row r="822120" spans="1:1" x14ac:dyDescent="0.25">
      <c r="A822120" s="242"/>
    </row>
    <row r="822121" spans="1:1" x14ac:dyDescent="0.25">
      <c r="A822121" s="242"/>
    </row>
    <row r="822122" spans="1:1" x14ac:dyDescent="0.25">
      <c r="A822122" s="242"/>
    </row>
    <row r="822123" spans="1:1" x14ac:dyDescent="0.25">
      <c r="A822123" s="242"/>
    </row>
    <row r="822124" spans="1:1" x14ac:dyDescent="0.25">
      <c r="A822124" s="242"/>
    </row>
    <row r="822125" spans="1:1" x14ac:dyDescent="0.25">
      <c r="A822125" s="242"/>
    </row>
    <row r="822126" spans="1:1" x14ac:dyDescent="0.25">
      <c r="A822126" s="242"/>
    </row>
    <row r="822127" spans="1:1" x14ac:dyDescent="0.25">
      <c r="A822127" s="242"/>
    </row>
    <row r="822128" spans="1:1" x14ac:dyDescent="0.25">
      <c r="A822128" s="242"/>
    </row>
    <row r="822129" spans="1:1" x14ac:dyDescent="0.25">
      <c r="A822129" s="242"/>
    </row>
    <row r="822130" spans="1:1" x14ac:dyDescent="0.25">
      <c r="A822130" s="242"/>
    </row>
    <row r="822131" spans="1:1" x14ac:dyDescent="0.25">
      <c r="A822131" s="242"/>
    </row>
    <row r="822132" spans="1:1" x14ac:dyDescent="0.25">
      <c r="A822132" s="242"/>
    </row>
    <row r="822133" spans="1:1" x14ac:dyDescent="0.25">
      <c r="A822133" s="242"/>
    </row>
    <row r="822134" spans="1:1" x14ac:dyDescent="0.25">
      <c r="A822134" s="242"/>
    </row>
    <row r="822135" spans="1:1" x14ac:dyDescent="0.25">
      <c r="A822135" s="242"/>
    </row>
    <row r="822136" spans="1:1" x14ac:dyDescent="0.25">
      <c r="A822136" s="242"/>
    </row>
    <row r="822137" spans="1:1" x14ac:dyDescent="0.25">
      <c r="A822137" s="242"/>
    </row>
    <row r="822138" spans="1:1" x14ac:dyDescent="0.25">
      <c r="A822138" s="242"/>
    </row>
    <row r="822139" spans="1:1" x14ac:dyDescent="0.25">
      <c r="A822139" s="242"/>
    </row>
    <row r="822140" spans="1:1" x14ac:dyDescent="0.25">
      <c r="A822140" s="242"/>
    </row>
    <row r="822141" spans="1:1" x14ac:dyDescent="0.25">
      <c r="A822141" s="242"/>
    </row>
    <row r="822142" spans="1:1" x14ac:dyDescent="0.25">
      <c r="A822142" s="242"/>
    </row>
    <row r="822143" spans="1:1" x14ac:dyDescent="0.25">
      <c r="A822143" s="242"/>
    </row>
    <row r="822144" spans="1:1" x14ac:dyDescent="0.25">
      <c r="A822144" s="242"/>
    </row>
    <row r="822145" spans="1:1" x14ac:dyDescent="0.25">
      <c r="A822145" s="242"/>
    </row>
    <row r="822146" spans="1:1" x14ac:dyDescent="0.25">
      <c r="A822146" s="242"/>
    </row>
    <row r="822147" spans="1:1" x14ac:dyDescent="0.25">
      <c r="A822147" s="242"/>
    </row>
    <row r="822148" spans="1:1" x14ac:dyDescent="0.25">
      <c r="A822148" s="242"/>
    </row>
    <row r="822149" spans="1:1" x14ac:dyDescent="0.25">
      <c r="A822149" s="242"/>
    </row>
    <row r="822150" spans="1:1" x14ac:dyDescent="0.25">
      <c r="A822150" s="242"/>
    </row>
    <row r="822151" spans="1:1" x14ac:dyDescent="0.25">
      <c r="A822151" s="242"/>
    </row>
    <row r="822152" spans="1:1" x14ac:dyDescent="0.25">
      <c r="A822152" s="242"/>
    </row>
    <row r="822153" spans="1:1" x14ac:dyDescent="0.25">
      <c r="A822153" s="242"/>
    </row>
    <row r="822154" spans="1:1" x14ac:dyDescent="0.25">
      <c r="A822154" s="242"/>
    </row>
    <row r="822155" spans="1:1" x14ac:dyDescent="0.25">
      <c r="A822155" s="242"/>
    </row>
    <row r="822156" spans="1:1" x14ac:dyDescent="0.25">
      <c r="A822156" s="242"/>
    </row>
    <row r="822157" spans="1:1" x14ac:dyDescent="0.25">
      <c r="A822157" s="242"/>
    </row>
    <row r="822158" spans="1:1" x14ac:dyDescent="0.25">
      <c r="A822158" s="242"/>
    </row>
    <row r="822159" spans="1:1" x14ac:dyDescent="0.25">
      <c r="A822159" s="242"/>
    </row>
    <row r="822160" spans="1:1" x14ac:dyDescent="0.25">
      <c r="A822160" s="242"/>
    </row>
    <row r="822161" spans="1:1" x14ac:dyDescent="0.25">
      <c r="A822161" s="242"/>
    </row>
    <row r="822162" spans="1:1" x14ac:dyDescent="0.25">
      <c r="A822162" s="242"/>
    </row>
    <row r="822163" spans="1:1" x14ac:dyDescent="0.25">
      <c r="A822163" s="242"/>
    </row>
    <row r="822164" spans="1:1" x14ac:dyDescent="0.25">
      <c r="A822164" s="242"/>
    </row>
    <row r="822165" spans="1:1" x14ac:dyDescent="0.25">
      <c r="A822165" s="242"/>
    </row>
    <row r="822166" spans="1:1" x14ac:dyDescent="0.25">
      <c r="A822166" s="242"/>
    </row>
    <row r="822167" spans="1:1" x14ac:dyDescent="0.25">
      <c r="A822167" s="242"/>
    </row>
    <row r="822168" spans="1:1" x14ac:dyDescent="0.25">
      <c r="A822168" s="242"/>
    </row>
    <row r="822169" spans="1:1" x14ac:dyDescent="0.25">
      <c r="A822169" s="242"/>
    </row>
    <row r="822170" spans="1:1" x14ac:dyDescent="0.25">
      <c r="A822170" s="242"/>
    </row>
    <row r="822171" spans="1:1" x14ac:dyDescent="0.25">
      <c r="A822171" s="242"/>
    </row>
    <row r="822172" spans="1:1" x14ac:dyDescent="0.25">
      <c r="A822172" s="242"/>
    </row>
    <row r="822173" spans="1:1" x14ac:dyDescent="0.25">
      <c r="A822173" s="242"/>
    </row>
    <row r="822174" spans="1:1" x14ac:dyDescent="0.25">
      <c r="A822174" s="242"/>
    </row>
    <row r="822175" spans="1:1" x14ac:dyDescent="0.25">
      <c r="A822175" s="242"/>
    </row>
    <row r="822176" spans="1:1" x14ac:dyDescent="0.25">
      <c r="A822176" s="242"/>
    </row>
    <row r="822177" spans="1:1" x14ac:dyDescent="0.25">
      <c r="A822177" s="242"/>
    </row>
    <row r="822178" spans="1:1" x14ac:dyDescent="0.25">
      <c r="A822178" s="242"/>
    </row>
    <row r="822179" spans="1:1" x14ac:dyDescent="0.25">
      <c r="A822179" s="242"/>
    </row>
    <row r="822180" spans="1:1" x14ac:dyDescent="0.25">
      <c r="A822180" s="242"/>
    </row>
    <row r="822181" spans="1:1" x14ac:dyDescent="0.25">
      <c r="A822181" s="242"/>
    </row>
    <row r="822182" spans="1:1" x14ac:dyDescent="0.25">
      <c r="A822182" s="242"/>
    </row>
    <row r="822183" spans="1:1" x14ac:dyDescent="0.25">
      <c r="A822183" s="242"/>
    </row>
    <row r="822184" spans="1:1" x14ac:dyDescent="0.25">
      <c r="A822184" s="242"/>
    </row>
    <row r="822185" spans="1:1" x14ac:dyDescent="0.25">
      <c r="A822185" s="242"/>
    </row>
    <row r="822186" spans="1:1" x14ac:dyDescent="0.25">
      <c r="A822186" s="242"/>
    </row>
    <row r="822187" spans="1:1" x14ac:dyDescent="0.25">
      <c r="A822187" s="242"/>
    </row>
    <row r="822188" spans="1:1" x14ac:dyDescent="0.25">
      <c r="A822188" s="242"/>
    </row>
    <row r="822189" spans="1:1" x14ac:dyDescent="0.25">
      <c r="A822189" s="242"/>
    </row>
    <row r="822190" spans="1:1" x14ac:dyDescent="0.25">
      <c r="A822190" s="242"/>
    </row>
    <row r="822191" spans="1:1" x14ac:dyDescent="0.25">
      <c r="A822191" s="242"/>
    </row>
    <row r="822192" spans="1:1" x14ac:dyDescent="0.25">
      <c r="A822192" s="242"/>
    </row>
    <row r="822193" spans="1:1" x14ac:dyDescent="0.25">
      <c r="A822193" s="242"/>
    </row>
    <row r="822194" spans="1:1" x14ac:dyDescent="0.25">
      <c r="A822194" s="242"/>
    </row>
    <row r="822195" spans="1:1" x14ac:dyDescent="0.25">
      <c r="A822195" s="242"/>
    </row>
    <row r="822196" spans="1:1" x14ac:dyDescent="0.25">
      <c r="A822196" s="242"/>
    </row>
    <row r="822197" spans="1:1" x14ac:dyDescent="0.25">
      <c r="A822197" s="242"/>
    </row>
    <row r="822198" spans="1:1" x14ac:dyDescent="0.25">
      <c r="A822198" s="242"/>
    </row>
    <row r="822199" spans="1:1" x14ac:dyDescent="0.25">
      <c r="A822199" s="242"/>
    </row>
    <row r="822200" spans="1:1" x14ac:dyDescent="0.25">
      <c r="A822200" s="242"/>
    </row>
    <row r="822201" spans="1:1" x14ac:dyDescent="0.25">
      <c r="A822201" s="242"/>
    </row>
    <row r="822202" spans="1:1" x14ac:dyDescent="0.25">
      <c r="A822202" s="242"/>
    </row>
    <row r="822203" spans="1:1" x14ac:dyDescent="0.25">
      <c r="A822203" s="242"/>
    </row>
    <row r="822204" spans="1:1" x14ac:dyDescent="0.25">
      <c r="A822204" s="242"/>
    </row>
    <row r="822205" spans="1:1" x14ac:dyDescent="0.25">
      <c r="A822205" s="242"/>
    </row>
    <row r="822206" spans="1:1" x14ac:dyDescent="0.25">
      <c r="A822206" s="242"/>
    </row>
    <row r="822207" spans="1:1" x14ac:dyDescent="0.25">
      <c r="A822207" s="242"/>
    </row>
    <row r="822208" spans="1:1" x14ac:dyDescent="0.25">
      <c r="A822208" s="242"/>
    </row>
    <row r="822209" spans="1:1" x14ac:dyDescent="0.25">
      <c r="A822209" s="242"/>
    </row>
    <row r="822210" spans="1:1" x14ac:dyDescent="0.25">
      <c r="A822210" s="242"/>
    </row>
    <row r="822211" spans="1:1" x14ac:dyDescent="0.25">
      <c r="A822211" s="242"/>
    </row>
    <row r="822212" spans="1:1" x14ac:dyDescent="0.25">
      <c r="A822212" s="242"/>
    </row>
    <row r="822213" spans="1:1" x14ac:dyDescent="0.25">
      <c r="A822213" s="242"/>
    </row>
    <row r="822214" spans="1:1" x14ac:dyDescent="0.25">
      <c r="A822214" s="242"/>
    </row>
    <row r="822215" spans="1:1" x14ac:dyDescent="0.25">
      <c r="A822215" s="242"/>
    </row>
    <row r="822216" spans="1:1" x14ac:dyDescent="0.25">
      <c r="A822216" s="242"/>
    </row>
    <row r="822217" spans="1:1" x14ac:dyDescent="0.25">
      <c r="A822217" s="242"/>
    </row>
    <row r="822218" spans="1:1" x14ac:dyDescent="0.25">
      <c r="A822218" s="242"/>
    </row>
    <row r="822219" spans="1:1" x14ac:dyDescent="0.25">
      <c r="A822219" s="242"/>
    </row>
    <row r="822220" spans="1:1" x14ac:dyDescent="0.25">
      <c r="A822220" s="242"/>
    </row>
    <row r="822221" spans="1:1" x14ac:dyDescent="0.25">
      <c r="A822221" s="242"/>
    </row>
    <row r="822222" spans="1:1" x14ac:dyDescent="0.25">
      <c r="A822222" s="242"/>
    </row>
    <row r="822223" spans="1:1" x14ac:dyDescent="0.25">
      <c r="A822223" s="242"/>
    </row>
    <row r="822224" spans="1:1" x14ac:dyDescent="0.25">
      <c r="A822224" s="242"/>
    </row>
    <row r="822225" spans="1:1" x14ac:dyDescent="0.25">
      <c r="A822225" s="242"/>
    </row>
    <row r="822226" spans="1:1" x14ac:dyDescent="0.25">
      <c r="A822226" s="242"/>
    </row>
    <row r="822227" spans="1:1" x14ac:dyDescent="0.25">
      <c r="A822227" s="242"/>
    </row>
    <row r="822228" spans="1:1" x14ac:dyDescent="0.25">
      <c r="A822228" s="242"/>
    </row>
    <row r="822229" spans="1:1" x14ac:dyDescent="0.25">
      <c r="A822229" s="242"/>
    </row>
    <row r="822230" spans="1:1" x14ac:dyDescent="0.25">
      <c r="A822230" s="242"/>
    </row>
    <row r="822231" spans="1:1" x14ac:dyDescent="0.25">
      <c r="A822231" s="242"/>
    </row>
    <row r="822232" spans="1:1" x14ac:dyDescent="0.25">
      <c r="A822232" s="242"/>
    </row>
    <row r="822233" spans="1:1" x14ac:dyDescent="0.25">
      <c r="A822233" s="242"/>
    </row>
    <row r="822234" spans="1:1" x14ac:dyDescent="0.25">
      <c r="A822234" s="242"/>
    </row>
    <row r="822235" spans="1:1" x14ac:dyDescent="0.25">
      <c r="A822235" s="242"/>
    </row>
    <row r="822236" spans="1:1" x14ac:dyDescent="0.25">
      <c r="A822236" s="242"/>
    </row>
    <row r="822237" spans="1:1" x14ac:dyDescent="0.25">
      <c r="A822237" s="242"/>
    </row>
    <row r="822238" spans="1:1" x14ac:dyDescent="0.25">
      <c r="A822238" s="242"/>
    </row>
    <row r="822239" spans="1:1" x14ac:dyDescent="0.25">
      <c r="A822239" s="242"/>
    </row>
    <row r="822240" spans="1:1" x14ac:dyDescent="0.25">
      <c r="A822240" s="242"/>
    </row>
    <row r="822241" spans="1:1" x14ac:dyDescent="0.25">
      <c r="A822241" s="242"/>
    </row>
    <row r="822242" spans="1:1" x14ac:dyDescent="0.25">
      <c r="A822242" s="242"/>
    </row>
    <row r="822243" spans="1:1" x14ac:dyDescent="0.25">
      <c r="A822243" s="242"/>
    </row>
    <row r="822244" spans="1:1" x14ac:dyDescent="0.25">
      <c r="A822244" s="242"/>
    </row>
    <row r="822245" spans="1:1" x14ac:dyDescent="0.25">
      <c r="A822245" s="242"/>
    </row>
    <row r="822246" spans="1:1" x14ac:dyDescent="0.25">
      <c r="A822246" s="242"/>
    </row>
    <row r="822247" spans="1:1" x14ac:dyDescent="0.25">
      <c r="A822247" s="242"/>
    </row>
    <row r="822248" spans="1:1" x14ac:dyDescent="0.25">
      <c r="A822248" s="242"/>
    </row>
    <row r="822249" spans="1:1" x14ac:dyDescent="0.25">
      <c r="A822249" s="242"/>
    </row>
    <row r="822250" spans="1:1" x14ac:dyDescent="0.25">
      <c r="A822250" s="242"/>
    </row>
    <row r="822251" spans="1:1" x14ac:dyDescent="0.25">
      <c r="A822251" s="242"/>
    </row>
    <row r="822252" spans="1:1" x14ac:dyDescent="0.25">
      <c r="A822252" s="242"/>
    </row>
    <row r="822253" spans="1:1" x14ac:dyDescent="0.25">
      <c r="A822253" s="242"/>
    </row>
    <row r="822254" spans="1:1" x14ac:dyDescent="0.25">
      <c r="A822254" s="242"/>
    </row>
    <row r="822255" spans="1:1" x14ac:dyDescent="0.25">
      <c r="A822255" s="242"/>
    </row>
    <row r="822256" spans="1:1" x14ac:dyDescent="0.25">
      <c r="A822256" s="242"/>
    </row>
    <row r="822257" spans="1:1" x14ac:dyDescent="0.25">
      <c r="A822257" s="242"/>
    </row>
    <row r="822258" spans="1:1" x14ac:dyDescent="0.25">
      <c r="A822258" s="242"/>
    </row>
    <row r="822259" spans="1:1" x14ac:dyDescent="0.25">
      <c r="A822259" s="242"/>
    </row>
    <row r="822260" spans="1:1" x14ac:dyDescent="0.25">
      <c r="A822260" s="242"/>
    </row>
    <row r="822261" spans="1:1" x14ac:dyDescent="0.25">
      <c r="A822261" s="242"/>
    </row>
    <row r="822262" spans="1:1" x14ac:dyDescent="0.25">
      <c r="A822262" s="242"/>
    </row>
    <row r="822263" spans="1:1" x14ac:dyDescent="0.25">
      <c r="A822263" s="242"/>
    </row>
    <row r="822264" spans="1:1" x14ac:dyDescent="0.25">
      <c r="A822264" s="242"/>
    </row>
    <row r="822265" spans="1:1" x14ac:dyDescent="0.25">
      <c r="A822265" s="242"/>
    </row>
    <row r="822266" spans="1:1" x14ac:dyDescent="0.25">
      <c r="A822266" s="242"/>
    </row>
    <row r="822267" spans="1:1" x14ac:dyDescent="0.25">
      <c r="A822267" s="242"/>
    </row>
    <row r="822268" spans="1:1" x14ac:dyDescent="0.25">
      <c r="A822268" s="242"/>
    </row>
    <row r="822269" spans="1:1" x14ac:dyDescent="0.25">
      <c r="A822269" s="242"/>
    </row>
    <row r="822270" spans="1:1" x14ac:dyDescent="0.25">
      <c r="A822270" s="242"/>
    </row>
    <row r="822271" spans="1:1" x14ac:dyDescent="0.25">
      <c r="A822271" s="242"/>
    </row>
    <row r="822272" spans="1:1" x14ac:dyDescent="0.25">
      <c r="A822272" s="242"/>
    </row>
    <row r="822273" spans="1:1" x14ac:dyDescent="0.25">
      <c r="A822273" s="242"/>
    </row>
    <row r="822274" spans="1:1" x14ac:dyDescent="0.25">
      <c r="A822274" s="242"/>
    </row>
    <row r="822275" spans="1:1" x14ac:dyDescent="0.25">
      <c r="A822275" s="242"/>
    </row>
    <row r="822276" spans="1:1" x14ac:dyDescent="0.25">
      <c r="A822276" s="242"/>
    </row>
    <row r="822277" spans="1:1" x14ac:dyDescent="0.25">
      <c r="A822277" s="242"/>
    </row>
    <row r="822278" spans="1:1" x14ac:dyDescent="0.25">
      <c r="A822278" s="242"/>
    </row>
    <row r="822279" spans="1:1" x14ac:dyDescent="0.25">
      <c r="A822279" s="242"/>
    </row>
    <row r="822280" spans="1:1" x14ac:dyDescent="0.25">
      <c r="A822280" s="242"/>
    </row>
    <row r="822281" spans="1:1" x14ac:dyDescent="0.25">
      <c r="A822281" s="242"/>
    </row>
    <row r="822282" spans="1:1" x14ac:dyDescent="0.25">
      <c r="A822282" s="242"/>
    </row>
    <row r="822283" spans="1:1" x14ac:dyDescent="0.25">
      <c r="A822283" s="242"/>
    </row>
    <row r="822284" spans="1:1" x14ac:dyDescent="0.25">
      <c r="A822284" s="242"/>
    </row>
    <row r="822285" spans="1:1" x14ac:dyDescent="0.25">
      <c r="A822285" s="242"/>
    </row>
    <row r="822286" spans="1:1" x14ac:dyDescent="0.25">
      <c r="A822286" s="242"/>
    </row>
    <row r="822287" spans="1:1" x14ac:dyDescent="0.25">
      <c r="A822287" s="242"/>
    </row>
    <row r="822288" spans="1:1" x14ac:dyDescent="0.25">
      <c r="A822288" s="242"/>
    </row>
    <row r="822289" spans="1:1" x14ac:dyDescent="0.25">
      <c r="A822289" s="242"/>
    </row>
    <row r="822290" spans="1:1" x14ac:dyDescent="0.25">
      <c r="A822290" s="242"/>
    </row>
    <row r="822291" spans="1:1" x14ac:dyDescent="0.25">
      <c r="A822291" s="242"/>
    </row>
    <row r="822292" spans="1:1" x14ac:dyDescent="0.25">
      <c r="A822292" s="242"/>
    </row>
    <row r="822293" spans="1:1" x14ac:dyDescent="0.25">
      <c r="A822293" s="242"/>
    </row>
    <row r="822294" spans="1:1" x14ac:dyDescent="0.25">
      <c r="A822294" s="242"/>
    </row>
    <row r="822295" spans="1:1" x14ac:dyDescent="0.25">
      <c r="A822295" s="242"/>
    </row>
    <row r="822296" spans="1:1" x14ac:dyDescent="0.25">
      <c r="A822296" s="242"/>
    </row>
    <row r="822297" spans="1:1" x14ac:dyDescent="0.25">
      <c r="A822297" s="242"/>
    </row>
    <row r="822298" spans="1:1" x14ac:dyDescent="0.25">
      <c r="A822298" s="242"/>
    </row>
    <row r="822299" spans="1:1" x14ac:dyDescent="0.25">
      <c r="A822299" s="242"/>
    </row>
    <row r="822300" spans="1:1" x14ac:dyDescent="0.25">
      <c r="A822300" s="242"/>
    </row>
    <row r="822301" spans="1:1" x14ac:dyDescent="0.25">
      <c r="A822301" s="242"/>
    </row>
    <row r="822302" spans="1:1" x14ac:dyDescent="0.25">
      <c r="A822302" s="242"/>
    </row>
    <row r="822303" spans="1:1" x14ac:dyDescent="0.25">
      <c r="A822303" s="242"/>
    </row>
    <row r="822304" spans="1:1" x14ac:dyDescent="0.25">
      <c r="A822304" s="242"/>
    </row>
    <row r="822305" spans="1:1" x14ac:dyDescent="0.25">
      <c r="A822305" s="242"/>
    </row>
    <row r="822306" spans="1:1" x14ac:dyDescent="0.25">
      <c r="A822306" s="242"/>
    </row>
    <row r="822307" spans="1:1" x14ac:dyDescent="0.25">
      <c r="A822307" s="242"/>
    </row>
    <row r="822308" spans="1:1" x14ac:dyDescent="0.25">
      <c r="A822308" s="242"/>
    </row>
    <row r="822309" spans="1:1" x14ac:dyDescent="0.25">
      <c r="A822309" s="242"/>
    </row>
    <row r="822310" spans="1:1" x14ac:dyDescent="0.25">
      <c r="A822310" s="242"/>
    </row>
    <row r="822311" spans="1:1" x14ac:dyDescent="0.25">
      <c r="A822311" s="242"/>
    </row>
    <row r="822312" spans="1:1" x14ac:dyDescent="0.25">
      <c r="A822312" s="242"/>
    </row>
    <row r="822313" spans="1:1" x14ac:dyDescent="0.25">
      <c r="A822313" s="242"/>
    </row>
    <row r="822314" spans="1:1" x14ac:dyDescent="0.25">
      <c r="A822314" s="242"/>
    </row>
    <row r="822315" spans="1:1" x14ac:dyDescent="0.25">
      <c r="A822315" s="242"/>
    </row>
    <row r="822316" spans="1:1" x14ac:dyDescent="0.25">
      <c r="A822316" s="242"/>
    </row>
    <row r="822317" spans="1:1" x14ac:dyDescent="0.25">
      <c r="A822317" s="242"/>
    </row>
    <row r="822318" spans="1:1" x14ac:dyDescent="0.25">
      <c r="A822318" s="242"/>
    </row>
    <row r="822319" spans="1:1" x14ac:dyDescent="0.25">
      <c r="A822319" s="242"/>
    </row>
    <row r="822320" spans="1:1" x14ac:dyDescent="0.25">
      <c r="A822320" s="242"/>
    </row>
    <row r="822321" spans="1:1" x14ac:dyDescent="0.25">
      <c r="A822321" s="242"/>
    </row>
    <row r="822322" spans="1:1" x14ac:dyDescent="0.25">
      <c r="A822322" s="242"/>
    </row>
    <row r="822323" spans="1:1" x14ac:dyDescent="0.25">
      <c r="A822323" s="242"/>
    </row>
    <row r="822324" spans="1:1" x14ac:dyDescent="0.25">
      <c r="A822324" s="242"/>
    </row>
    <row r="822325" spans="1:1" x14ac:dyDescent="0.25">
      <c r="A822325" s="242"/>
    </row>
    <row r="822326" spans="1:1" x14ac:dyDescent="0.25">
      <c r="A822326" s="242"/>
    </row>
    <row r="822327" spans="1:1" x14ac:dyDescent="0.25">
      <c r="A822327" s="242"/>
    </row>
    <row r="822328" spans="1:1" x14ac:dyDescent="0.25">
      <c r="A822328" s="242"/>
    </row>
    <row r="822329" spans="1:1" x14ac:dyDescent="0.25">
      <c r="A822329" s="242"/>
    </row>
    <row r="822330" spans="1:1" x14ac:dyDescent="0.25">
      <c r="A822330" s="242"/>
    </row>
    <row r="822331" spans="1:1" x14ac:dyDescent="0.25">
      <c r="A822331" s="242"/>
    </row>
    <row r="822332" spans="1:1" x14ac:dyDescent="0.25">
      <c r="A822332" s="242"/>
    </row>
    <row r="822333" spans="1:1" x14ac:dyDescent="0.25">
      <c r="A822333" s="242"/>
    </row>
    <row r="822334" spans="1:1" x14ac:dyDescent="0.25">
      <c r="A822334" s="242"/>
    </row>
    <row r="822335" spans="1:1" x14ac:dyDescent="0.25">
      <c r="A822335" s="242"/>
    </row>
    <row r="822336" spans="1:1" x14ac:dyDescent="0.25">
      <c r="A822336" s="242"/>
    </row>
    <row r="822337" spans="1:1" x14ac:dyDescent="0.25">
      <c r="A822337" s="242"/>
    </row>
    <row r="822338" spans="1:1" x14ac:dyDescent="0.25">
      <c r="A822338" s="242"/>
    </row>
    <row r="822339" spans="1:1" x14ac:dyDescent="0.25">
      <c r="A822339" s="242"/>
    </row>
    <row r="822340" spans="1:1" x14ac:dyDescent="0.25">
      <c r="A822340" s="242"/>
    </row>
    <row r="822341" spans="1:1" x14ac:dyDescent="0.25">
      <c r="A822341" s="242"/>
    </row>
    <row r="822342" spans="1:1" x14ac:dyDescent="0.25">
      <c r="A822342" s="242"/>
    </row>
    <row r="822343" spans="1:1" x14ac:dyDescent="0.25">
      <c r="A822343" s="242"/>
    </row>
    <row r="822344" spans="1:1" x14ac:dyDescent="0.25">
      <c r="A822344" s="242"/>
    </row>
    <row r="822345" spans="1:1" x14ac:dyDescent="0.25">
      <c r="A822345" s="242"/>
    </row>
    <row r="822346" spans="1:1" x14ac:dyDescent="0.25">
      <c r="A822346" s="242"/>
    </row>
    <row r="822347" spans="1:1" x14ac:dyDescent="0.25">
      <c r="A822347" s="242"/>
    </row>
    <row r="822348" spans="1:1" x14ac:dyDescent="0.25">
      <c r="A822348" s="242"/>
    </row>
    <row r="822349" spans="1:1" x14ac:dyDescent="0.25">
      <c r="A822349" s="242"/>
    </row>
    <row r="822350" spans="1:1" x14ac:dyDescent="0.25">
      <c r="A822350" s="242"/>
    </row>
    <row r="822351" spans="1:1" x14ac:dyDescent="0.25">
      <c r="A822351" s="242"/>
    </row>
    <row r="822352" spans="1:1" x14ac:dyDescent="0.25">
      <c r="A822352" s="242"/>
    </row>
    <row r="822353" spans="1:1" x14ac:dyDescent="0.25">
      <c r="A822353" s="242"/>
    </row>
    <row r="822354" spans="1:1" x14ac:dyDescent="0.25">
      <c r="A822354" s="242"/>
    </row>
    <row r="822355" spans="1:1" x14ac:dyDescent="0.25">
      <c r="A822355" s="242"/>
    </row>
    <row r="822356" spans="1:1" x14ac:dyDescent="0.25">
      <c r="A822356" s="242"/>
    </row>
    <row r="822357" spans="1:1" x14ac:dyDescent="0.25">
      <c r="A822357" s="242"/>
    </row>
    <row r="822358" spans="1:1" x14ac:dyDescent="0.25">
      <c r="A822358" s="242"/>
    </row>
    <row r="822359" spans="1:1" x14ac:dyDescent="0.25">
      <c r="A822359" s="242"/>
    </row>
    <row r="822360" spans="1:1" x14ac:dyDescent="0.25">
      <c r="A822360" s="242"/>
    </row>
    <row r="822361" spans="1:1" x14ac:dyDescent="0.25">
      <c r="A822361" s="242"/>
    </row>
    <row r="822362" spans="1:1" x14ac:dyDescent="0.25">
      <c r="A822362" s="242"/>
    </row>
    <row r="822363" spans="1:1" x14ac:dyDescent="0.25">
      <c r="A822363" s="242"/>
    </row>
    <row r="822364" spans="1:1" x14ac:dyDescent="0.25">
      <c r="A822364" s="242"/>
    </row>
    <row r="822365" spans="1:1" x14ac:dyDescent="0.25">
      <c r="A822365" s="242"/>
    </row>
    <row r="822366" spans="1:1" x14ac:dyDescent="0.25">
      <c r="A822366" s="242"/>
    </row>
    <row r="822367" spans="1:1" x14ac:dyDescent="0.25">
      <c r="A822367" s="242"/>
    </row>
    <row r="822368" spans="1:1" x14ac:dyDescent="0.25">
      <c r="A822368" s="242"/>
    </row>
    <row r="822369" spans="1:1" x14ac:dyDescent="0.25">
      <c r="A822369" s="242"/>
    </row>
    <row r="822370" spans="1:1" x14ac:dyDescent="0.25">
      <c r="A822370" s="242"/>
    </row>
    <row r="822371" spans="1:1" x14ac:dyDescent="0.25">
      <c r="A822371" s="242"/>
    </row>
    <row r="822372" spans="1:1" x14ac:dyDescent="0.25">
      <c r="A822372" s="242"/>
    </row>
    <row r="822373" spans="1:1" x14ac:dyDescent="0.25">
      <c r="A822373" s="242"/>
    </row>
    <row r="822374" spans="1:1" x14ac:dyDescent="0.25">
      <c r="A822374" s="242"/>
    </row>
    <row r="822375" spans="1:1" x14ac:dyDescent="0.25">
      <c r="A822375" s="242"/>
    </row>
    <row r="822376" spans="1:1" x14ac:dyDescent="0.25">
      <c r="A822376" s="242"/>
    </row>
    <row r="822377" spans="1:1" x14ac:dyDescent="0.25">
      <c r="A822377" s="242"/>
    </row>
    <row r="822378" spans="1:1" x14ac:dyDescent="0.25">
      <c r="A822378" s="242"/>
    </row>
    <row r="822379" spans="1:1" x14ac:dyDescent="0.25">
      <c r="A822379" s="242"/>
    </row>
    <row r="822380" spans="1:1" x14ac:dyDescent="0.25">
      <c r="A822380" s="242"/>
    </row>
    <row r="822381" spans="1:1" x14ac:dyDescent="0.25">
      <c r="A822381" s="242"/>
    </row>
    <row r="822382" spans="1:1" x14ac:dyDescent="0.25">
      <c r="A822382" s="242"/>
    </row>
    <row r="822383" spans="1:1" x14ac:dyDescent="0.25">
      <c r="A822383" s="242"/>
    </row>
    <row r="822384" spans="1:1" x14ac:dyDescent="0.25">
      <c r="A822384" s="242"/>
    </row>
    <row r="822385" spans="1:1" x14ac:dyDescent="0.25">
      <c r="A822385" s="242"/>
    </row>
    <row r="822386" spans="1:1" x14ac:dyDescent="0.25">
      <c r="A822386" s="242"/>
    </row>
    <row r="822387" spans="1:1" x14ac:dyDescent="0.25">
      <c r="A822387" s="242"/>
    </row>
    <row r="822388" spans="1:1" x14ac:dyDescent="0.25">
      <c r="A822388" s="242"/>
    </row>
    <row r="822389" spans="1:1" x14ac:dyDescent="0.25">
      <c r="A822389" s="242"/>
    </row>
    <row r="822390" spans="1:1" x14ac:dyDescent="0.25">
      <c r="A822390" s="242"/>
    </row>
    <row r="822391" spans="1:1" x14ac:dyDescent="0.25">
      <c r="A822391" s="242"/>
    </row>
    <row r="822392" spans="1:1" x14ac:dyDescent="0.25">
      <c r="A822392" s="242"/>
    </row>
    <row r="822393" spans="1:1" x14ac:dyDescent="0.25">
      <c r="A822393" s="242"/>
    </row>
    <row r="822394" spans="1:1" x14ac:dyDescent="0.25">
      <c r="A822394" s="242"/>
    </row>
    <row r="822395" spans="1:1" x14ac:dyDescent="0.25">
      <c r="A822395" s="242"/>
    </row>
    <row r="822396" spans="1:1" x14ac:dyDescent="0.25">
      <c r="A822396" s="242"/>
    </row>
    <row r="822397" spans="1:1" x14ac:dyDescent="0.25">
      <c r="A822397" s="242"/>
    </row>
    <row r="822398" spans="1:1" x14ac:dyDescent="0.25">
      <c r="A822398" s="242"/>
    </row>
    <row r="822399" spans="1:1" x14ac:dyDescent="0.25">
      <c r="A822399" s="242"/>
    </row>
    <row r="822400" spans="1:1" x14ac:dyDescent="0.25">
      <c r="A822400" s="242"/>
    </row>
    <row r="822401" spans="1:1" x14ac:dyDescent="0.25">
      <c r="A822401" s="242"/>
    </row>
    <row r="822402" spans="1:1" x14ac:dyDescent="0.25">
      <c r="A822402" s="242"/>
    </row>
    <row r="822403" spans="1:1" x14ac:dyDescent="0.25">
      <c r="A822403" s="242"/>
    </row>
    <row r="822404" spans="1:1" x14ac:dyDescent="0.25">
      <c r="A822404" s="242"/>
    </row>
    <row r="822405" spans="1:1" x14ac:dyDescent="0.25">
      <c r="A822405" s="242"/>
    </row>
    <row r="822406" spans="1:1" x14ac:dyDescent="0.25">
      <c r="A822406" s="242"/>
    </row>
    <row r="822407" spans="1:1" x14ac:dyDescent="0.25">
      <c r="A822407" s="242"/>
    </row>
    <row r="822408" spans="1:1" x14ac:dyDescent="0.25">
      <c r="A822408" s="242"/>
    </row>
    <row r="822409" spans="1:1" x14ac:dyDescent="0.25">
      <c r="A822409" s="242"/>
    </row>
    <row r="822410" spans="1:1" x14ac:dyDescent="0.25">
      <c r="A822410" s="242"/>
    </row>
    <row r="822411" spans="1:1" x14ac:dyDescent="0.25">
      <c r="A822411" s="242"/>
    </row>
    <row r="822412" spans="1:1" x14ac:dyDescent="0.25">
      <c r="A822412" s="242"/>
    </row>
    <row r="822413" spans="1:1" x14ac:dyDescent="0.25">
      <c r="A822413" s="242"/>
    </row>
    <row r="822414" spans="1:1" x14ac:dyDescent="0.25">
      <c r="A822414" s="242"/>
    </row>
    <row r="822415" spans="1:1" x14ac:dyDescent="0.25">
      <c r="A822415" s="242"/>
    </row>
    <row r="822416" spans="1:1" x14ac:dyDescent="0.25">
      <c r="A822416" s="242"/>
    </row>
    <row r="822417" spans="1:1" x14ac:dyDescent="0.25">
      <c r="A822417" s="242"/>
    </row>
    <row r="822418" spans="1:1" x14ac:dyDescent="0.25">
      <c r="A822418" s="242"/>
    </row>
    <row r="822419" spans="1:1" x14ac:dyDescent="0.25">
      <c r="A822419" s="242"/>
    </row>
    <row r="822420" spans="1:1" x14ac:dyDescent="0.25">
      <c r="A822420" s="242"/>
    </row>
    <row r="822421" spans="1:1" x14ac:dyDescent="0.25">
      <c r="A822421" s="242"/>
    </row>
    <row r="822422" spans="1:1" x14ac:dyDescent="0.25">
      <c r="A822422" s="242"/>
    </row>
    <row r="822423" spans="1:1" x14ac:dyDescent="0.25">
      <c r="A822423" s="242"/>
    </row>
    <row r="822424" spans="1:1" x14ac:dyDescent="0.25">
      <c r="A822424" s="242"/>
    </row>
    <row r="822425" spans="1:1" x14ac:dyDescent="0.25">
      <c r="A822425" s="242"/>
    </row>
    <row r="822426" spans="1:1" x14ac:dyDescent="0.25">
      <c r="A822426" s="242"/>
    </row>
    <row r="822427" spans="1:1" x14ac:dyDescent="0.25">
      <c r="A822427" s="242"/>
    </row>
    <row r="822428" spans="1:1" x14ac:dyDescent="0.25">
      <c r="A822428" s="242"/>
    </row>
    <row r="822429" spans="1:1" x14ac:dyDescent="0.25">
      <c r="A822429" s="242"/>
    </row>
    <row r="822430" spans="1:1" x14ac:dyDescent="0.25">
      <c r="A822430" s="242"/>
    </row>
    <row r="822431" spans="1:1" x14ac:dyDescent="0.25">
      <c r="A822431" s="242"/>
    </row>
    <row r="822432" spans="1:1" x14ac:dyDescent="0.25">
      <c r="A822432" s="242"/>
    </row>
    <row r="822433" spans="1:1" x14ac:dyDescent="0.25">
      <c r="A822433" s="242"/>
    </row>
    <row r="822434" spans="1:1" x14ac:dyDescent="0.25">
      <c r="A822434" s="242"/>
    </row>
    <row r="822435" spans="1:1" x14ac:dyDescent="0.25">
      <c r="A822435" s="242"/>
    </row>
    <row r="822436" spans="1:1" x14ac:dyDescent="0.25">
      <c r="A822436" s="242"/>
    </row>
    <row r="822437" spans="1:1" x14ac:dyDescent="0.25">
      <c r="A822437" s="242"/>
    </row>
    <row r="822438" spans="1:1" x14ac:dyDescent="0.25">
      <c r="A822438" s="242"/>
    </row>
    <row r="822439" spans="1:1" x14ac:dyDescent="0.25">
      <c r="A822439" s="242"/>
    </row>
    <row r="822440" spans="1:1" x14ac:dyDescent="0.25">
      <c r="A822440" s="242"/>
    </row>
    <row r="822441" spans="1:1" x14ac:dyDescent="0.25">
      <c r="A822441" s="242"/>
    </row>
    <row r="822442" spans="1:1" x14ac:dyDescent="0.25">
      <c r="A822442" s="242"/>
    </row>
    <row r="822443" spans="1:1" x14ac:dyDescent="0.25">
      <c r="A822443" s="242"/>
    </row>
    <row r="822444" spans="1:1" x14ac:dyDescent="0.25">
      <c r="A822444" s="242"/>
    </row>
    <row r="822445" spans="1:1" x14ac:dyDescent="0.25">
      <c r="A822445" s="242"/>
    </row>
    <row r="822446" spans="1:1" x14ac:dyDescent="0.25">
      <c r="A822446" s="242"/>
    </row>
    <row r="822447" spans="1:1" x14ac:dyDescent="0.25">
      <c r="A822447" s="242"/>
    </row>
    <row r="822448" spans="1:1" x14ac:dyDescent="0.25">
      <c r="A822448" s="242"/>
    </row>
    <row r="822449" spans="1:1" x14ac:dyDescent="0.25">
      <c r="A822449" s="242"/>
    </row>
    <row r="822450" spans="1:1" x14ac:dyDescent="0.25">
      <c r="A822450" s="242"/>
    </row>
    <row r="822451" spans="1:1" x14ac:dyDescent="0.25">
      <c r="A822451" s="242"/>
    </row>
    <row r="822452" spans="1:1" x14ac:dyDescent="0.25">
      <c r="A822452" s="242"/>
    </row>
    <row r="822453" spans="1:1" x14ac:dyDescent="0.25">
      <c r="A822453" s="242"/>
    </row>
    <row r="822454" spans="1:1" x14ac:dyDescent="0.25">
      <c r="A822454" s="242"/>
    </row>
    <row r="822455" spans="1:1" x14ac:dyDescent="0.25">
      <c r="A822455" s="242"/>
    </row>
    <row r="822456" spans="1:1" x14ac:dyDescent="0.25">
      <c r="A822456" s="242"/>
    </row>
    <row r="822457" spans="1:1" x14ac:dyDescent="0.25">
      <c r="A822457" s="242"/>
    </row>
    <row r="822458" spans="1:1" x14ac:dyDescent="0.25">
      <c r="A822458" s="242"/>
    </row>
    <row r="822459" spans="1:1" x14ac:dyDescent="0.25">
      <c r="A822459" s="242"/>
    </row>
    <row r="822460" spans="1:1" x14ac:dyDescent="0.25">
      <c r="A822460" s="242"/>
    </row>
    <row r="822461" spans="1:1" x14ac:dyDescent="0.25">
      <c r="A822461" s="242"/>
    </row>
    <row r="822462" spans="1:1" x14ac:dyDescent="0.25">
      <c r="A822462" s="242"/>
    </row>
    <row r="822463" spans="1:1" x14ac:dyDescent="0.25">
      <c r="A822463" s="242"/>
    </row>
    <row r="822464" spans="1:1" x14ac:dyDescent="0.25">
      <c r="A822464" s="242"/>
    </row>
    <row r="822465" spans="1:1" x14ac:dyDescent="0.25">
      <c r="A822465" s="242"/>
    </row>
    <row r="822466" spans="1:1" x14ac:dyDescent="0.25">
      <c r="A822466" s="242"/>
    </row>
    <row r="822467" spans="1:1" x14ac:dyDescent="0.25">
      <c r="A822467" s="242"/>
    </row>
    <row r="822468" spans="1:1" x14ac:dyDescent="0.25">
      <c r="A822468" s="242"/>
    </row>
    <row r="822469" spans="1:1" x14ac:dyDescent="0.25">
      <c r="A822469" s="242"/>
    </row>
    <row r="822470" spans="1:1" x14ac:dyDescent="0.25">
      <c r="A822470" s="242"/>
    </row>
    <row r="822471" spans="1:1" x14ac:dyDescent="0.25">
      <c r="A822471" s="242"/>
    </row>
    <row r="822472" spans="1:1" x14ac:dyDescent="0.25">
      <c r="A822472" s="242"/>
    </row>
    <row r="822473" spans="1:1" x14ac:dyDescent="0.25">
      <c r="A822473" s="242"/>
    </row>
    <row r="822474" spans="1:1" x14ac:dyDescent="0.25">
      <c r="A822474" s="242"/>
    </row>
    <row r="822475" spans="1:1" x14ac:dyDescent="0.25">
      <c r="A822475" s="242"/>
    </row>
    <row r="822476" spans="1:1" x14ac:dyDescent="0.25">
      <c r="A822476" s="242"/>
    </row>
    <row r="822477" spans="1:1" x14ac:dyDescent="0.25">
      <c r="A822477" s="242"/>
    </row>
    <row r="822478" spans="1:1" x14ac:dyDescent="0.25">
      <c r="A822478" s="242"/>
    </row>
    <row r="822479" spans="1:1" x14ac:dyDescent="0.25">
      <c r="A822479" s="242"/>
    </row>
    <row r="822480" spans="1:1" x14ac:dyDescent="0.25">
      <c r="A822480" s="242"/>
    </row>
    <row r="822481" spans="1:1" x14ac:dyDescent="0.25">
      <c r="A822481" s="242"/>
    </row>
    <row r="822482" spans="1:1" x14ac:dyDescent="0.25">
      <c r="A822482" s="242"/>
    </row>
    <row r="822483" spans="1:1" x14ac:dyDescent="0.25">
      <c r="A822483" s="242"/>
    </row>
    <row r="822484" spans="1:1" x14ac:dyDescent="0.25">
      <c r="A822484" s="242"/>
    </row>
    <row r="822485" spans="1:1" x14ac:dyDescent="0.25">
      <c r="A822485" s="242"/>
    </row>
    <row r="822486" spans="1:1" x14ac:dyDescent="0.25">
      <c r="A822486" s="242"/>
    </row>
    <row r="822487" spans="1:1" x14ac:dyDescent="0.25">
      <c r="A822487" s="242"/>
    </row>
    <row r="822488" spans="1:1" x14ac:dyDescent="0.25">
      <c r="A822488" s="242"/>
    </row>
    <row r="822489" spans="1:1" x14ac:dyDescent="0.25">
      <c r="A822489" s="242"/>
    </row>
    <row r="822490" spans="1:1" x14ac:dyDescent="0.25">
      <c r="A822490" s="242"/>
    </row>
    <row r="822491" spans="1:1" x14ac:dyDescent="0.25">
      <c r="A822491" s="242"/>
    </row>
    <row r="822492" spans="1:1" x14ac:dyDescent="0.25">
      <c r="A822492" s="242"/>
    </row>
    <row r="822493" spans="1:1" x14ac:dyDescent="0.25">
      <c r="A822493" s="242"/>
    </row>
    <row r="822494" spans="1:1" x14ac:dyDescent="0.25">
      <c r="A822494" s="242"/>
    </row>
    <row r="822495" spans="1:1" x14ac:dyDescent="0.25">
      <c r="A822495" s="242"/>
    </row>
    <row r="822496" spans="1:1" x14ac:dyDescent="0.25">
      <c r="A822496" s="242"/>
    </row>
    <row r="822497" spans="1:1" x14ac:dyDescent="0.25">
      <c r="A822497" s="242"/>
    </row>
    <row r="822498" spans="1:1" x14ac:dyDescent="0.25">
      <c r="A822498" s="242"/>
    </row>
    <row r="822499" spans="1:1" x14ac:dyDescent="0.25">
      <c r="A822499" s="242"/>
    </row>
    <row r="822500" spans="1:1" x14ac:dyDescent="0.25">
      <c r="A822500" s="242"/>
    </row>
    <row r="822501" spans="1:1" x14ac:dyDescent="0.25">
      <c r="A822501" s="242"/>
    </row>
    <row r="822502" spans="1:1" x14ac:dyDescent="0.25">
      <c r="A822502" s="242"/>
    </row>
    <row r="822503" spans="1:1" x14ac:dyDescent="0.25">
      <c r="A822503" s="242"/>
    </row>
    <row r="822504" spans="1:1" x14ac:dyDescent="0.25">
      <c r="A822504" s="242"/>
    </row>
    <row r="822505" spans="1:1" x14ac:dyDescent="0.25">
      <c r="A822505" s="242"/>
    </row>
    <row r="822506" spans="1:1" x14ac:dyDescent="0.25">
      <c r="A822506" s="242"/>
    </row>
    <row r="822507" spans="1:1" x14ac:dyDescent="0.25">
      <c r="A822507" s="242"/>
    </row>
    <row r="822508" spans="1:1" x14ac:dyDescent="0.25">
      <c r="A822508" s="242"/>
    </row>
    <row r="822509" spans="1:1" x14ac:dyDescent="0.25">
      <c r="A822509" s="242"/>
    </row>
    <row r="822510" spans="1:1" x14ac:dyDescent="0.25">
      <c r="A822510" s="242"/>
    </row>
    <row r="822511" spans="1:1" x14ac:dyDescent="0.25">
      <c r="A822511" s="242"/>
    </row>
    <row r="822512" spans="1:1" x14ac:dyDescent="0.25">
      <c r="A822512" s="242"/>
    </row>
    <row r="822513" spans="1:1" x14ac:dyDescent="0.25">
      <c r="A822513" s="242"/>
    </row>
    <row r="822514" spans="1:1" x14ac:dyDescent="0.25">
      <c r="A822514" s="242"/>
    </row>
    <row r="822515" spans="1:1" x14ac:dyDescent="0.25">
      <c r="A822515" s="242"/>
    </row>
    <row r="822516" spans="1:1" x14ac:dyDescent="0.25">
      <c r="A822516" s="242"/>
    </row>
    <row r="822517" spans="1:1" x14ac:dyDescent="0.25">
      <c r="A822517" s="242"/>
    </row>
    <row r="822518" spans="1:1" x14ac:dyDescent="0.25">
      <c r="A822518" s="242"/>
    </row>
    <row r="822519" spans="1:1" x14ac:dyDescent="0.25">
      <c r="A822519" s="242"/>
    </row>
    <row r="822520" spans="1:1" x14ac:dyDescent="0.25">
      <c r="A822520" s="242"/>
    </row>
    <row r="822521" spans="1:1" x14ac:dyDescent="0.25">
      <c r="A822521" s="242"/>
    </row>
    <row r="822522" spans="1:1" x14ac:dyDescent="0.25">
      <c r="A822522" s="242"/>
    </row>
    <row r="822523" spans="1:1" x14ac:dyDescent="0.25">
      <c r="A822523" s="242"/>
    </row>
    <row r="822524" spans="1:1" x14ac:dyDescent="0.25">
      <c r="A822524" s="242"/>
    </row>
    <row r="822525" spans="1:1" x14ac:dyDescent="0.25">
      <c r="A822525" s="242"/>
    </row>
    <row r="822526" spans="1:1" x14ac:dyDescent="0.25">
      <c r="A822526" s="242"/>
    </row>
    <row r="822527" spans="1:1" x14ac:dyDescent="0.25">
      <c r="A822527" s="242"/>
    </row>
    <row r="822528" spans="1:1" x14ac:dyDescent="0.25">
      <c r="A822528" s="242"/>
    </row>
    <row r="822529" spans="1:1" x14ac:dyDescent="0.25">
      <c r="A822529" s="242"/>
    </row>
    <row r="822530" spans="1:1" x14ac:dyDescent="0.25">
      <c r="A822530" s="242"/>
    </row>
    <row r="822531" spans="1:1" x14ac:dyDescent="0.25">
      <c r="A822531" s="242"/>
    </row>
    <row r="822532" spans="1:1" x14ac:dyDescent="0.25">
      <c r="A822532" s="242"/>
    </row>
    <row r="822533" spans="1:1" x14ac:dyDescent="0.25">
      <c r="A822533" s="242"/>
    </row>
    <row r="822534" spans="1:1" x14ac:dyDescent="0.25">
      <c r="A822534" s="242"/>
    </row>
    <row r="822535" spans="1:1" x14ac:dyDescent="0.25">
      <c r="A822535" s="242"/>
    </row>
    <row r="822536" spans="1:1" x14ac:dyDescent="0.25">
      <c r="A822536" s="242"/>
    </row>
    <row r="822537" spans="1:1" x14ac:dyDescent="0.25">
      <c r="A822537" s="242"/>
    </row>
    <row r="822538" spans="1:1" x14ac:dyDescent="0.25">
      <c r="A822538" s="242"/>
    </row>
    <row r="822539" spans="1:1" x14ac:dyDescent="0.25">
      <c r="A822539" s="242"/>
    </row>
    <row r="822540" spans="1:1" x14ac:dyDescent="0.25">
      <c r="A822540" s="242"/>
    </row>
    <row r="822541" spans="1:1" x14ac:dyDescent="0.25">
      <c r="A822541" s="242"/>
    </row>
    <row r="822542" spans="1:1" x14ac:dyDescent="0.25">
      <c r="A822542" s="242"/>
    </row>
    <row r="822543" spans="1:1" x14ac:dyDescent="0.25">
      <c r="A822543" s="242"/>
    </row>
    <row r="822544" spans="1:1" x14ac:dyDescent="0.25">
      <c r="A822544" s="242"/>
    </row>
    <row r="822545" spans="1:1" x14ac:dyDescent="0.25">
      <c r="A822545" s="242"/>
    </row>
    <row r="822546" spans="1:1" x14ac:dyDescent="0.25">
      <c r="A822546" s="242"/>
    </row>
    <row r="822547" spans="1:1" x14ac:dyDescent="0.25">
      <c r="A822547" s="242"/>
    </row>
    <row r="822548" spans="1:1" x14ac:dyDescent="0.25">
      <c r="A822548" s="242"/>
    </row>
    <row r="822549" spans="1:1" x14ac:dyDescent="0.25">
      <c r="A822549" s="242"/>
    </row>
    <row r="822550" spans="1:1" x14ac:dyDescent="0.25">
      <c r="A822550" s="242"/>
    </row>
    <row r="822551" spans="1:1" x14ac:dyDescent="0.25">
      <c r="A822551" s="242"/>
    </row>
    <row r="822552" spans="1:1" x14ac:dyDescent="0.25">
      <c r="A822552" s="242"/>
    </row>
    <row r="822553" spans="1:1" x14ac:dyDescent="0.25">
      <c r="A822553" s="242"/>
    </row>
    <row r="822554" spans="1:1" x14ac:dyDescent="0.25">
      <c r="A822554" s="242"/>
    </row>
    <row r="822555" spans="1:1" x14ac:dyDescent="0.25">
      <c r="A822555" s="242"/>
    </row>
    <row r="822556" spans="1:1" x14ac:dyDescent="0.25">
      <c r="A822556" s="242"/>
    </row>
    <row r="822557" spans="1:1" x14ac:dyDescent="0.25">
      <c r="A822557" s="242"/>
    </row>
    <row r="822558" spans="1:1" x14ac:dyDescent="0.25">
      <c r="A822558" s="242"/>
    </row>
    <row r="822559" spans="1:1" x14ac:dyDescent="0.25">
      <c r="A822559" s="242"/>
    </row>
    <row r="822560" spans="1:1" x14ac:dyDescent="0.25">
      <c r="A822560" s="242"/>
    </row>
    <row r="822561" spans="1:1" x14ac:dyDescent="0.25">
      <c r="A822561" s="242"/>
    </row>
    <row r="822562" spans="1:1" x14ac:dyDescent="0.25">
      <c r="A822562" s="242"/>
    </row>
    <row r="822563" spans="1:1" x14ac:dyDescent="0.25">
      <c r="A822563" s="242"/>
    </row>
    <row r="822564" spans="1:1" x14ac:dyDescent="0.25">
      <c r="A822564" s="242"/>
    </row>
    <row r="822565" spans="1:1" x14ac:dyDescent="0.25">
      <c r="A822565" s="242"/>
    </row>
    <row r="822566" spans="1:1" x14ac:dyDescent="0.25">
      <c r="A822566" s="242"/>
    </row>
    <row r="822567" spans="1:1" x14ac:dyDescent="0.25">
      <c r="A822567" s="242"/>
    </row>
    <row r="822568" spans="1:1" x14ac:dyDescent="0.25">
      <c r="A822568" s="242"/>
    </row>
    <row r="822569" spans="1:1" x14ac:dyDescent="0.25">
      <c r="A822569" s="242"/>
    </row>
    <row r="822570" spans="1:1" x14ac:dyDescent="0.25">
      <c r="A822570" s="242"/>
    </row>
    <row r="822571" spans="1:1" x14ac:dyDescent="0.25">
      <c r="A822571" s="242"/>
    </row>
    <row r="822572" spans="1:1" x14ac:dyDescent="0.25">
      <c r="A822572" s="242"/>
    </row>
    <row r="822573" spans="1:1" x14ac:dyDescent="0.25">
      <c r="A822573" s="242"/>
    </row>
    <row r="822574" spans="1:1" x14ac:dyDescent="0.25">
      <c r="A822574" s="242"/>
    </row>
    <row r="822575" spans="1:1" x14ac:dyDescent="0.25">
      <c r="A822575" s="242"/>
    </row>
    <row r="822576" spans="1:1" x14ac:dyDescent="0.25">
      <c r="A822576" s="242"/>
    </row>
    <row r="822577" spans="1:1" x14ac:dyDescent="0.25">
      <c r="A822577" s="242"/>
    </row>
    <row r="822578" spans="1:1" x14ac:dyDescent="0.25">
      <c r="A822578" s="242"/>
    </row>
    <row r="822579" spans="1:1" x14ac:dyDescent="0.25">
      <c r="A822579" s="242"/>
    </row>
    <row r="822580" spans="1:1" x14ac:dyDescent="0.25">
      <c r="A822580" s="242"/>
    </row>
    <row r="822581" spans="1:1" x14ac:dyDescent="0.25">
      <c r="A822581" s="242"/>
    </row>
    <row r="822582" spans="1:1" x14ac:dyDescent="0.25">
      <c r="A822582" s="242"/>
    </row>
    <row r="822583" spans="1:1" x14ac:dyDescent="0.25">
      <c r="A822583" s="242"/>
    </row>
    <row r="822584" spans="1:1" x14ac:dyDescent="0.25">
      <c r="A822584" s="242"/>
    </row>
    <row r="822585" spans="1:1" x14ac:dyDescent="0.25">
      <c r="A822585" s="242"/>
    </row>
    <row r="822586" spans="1:1" x14ac:dyDescent="0.25">
      <c r="A822586" s="242"/>
    </row>
    <row r="822587" spans="1:1" x14ac:dyDescent="0.25">
      <c r="A822587" s="242"/>
    </row>
    <row r="822588" spans="1:1" x14ac:dyDescent="0.25">
      <c r="A822588" s="242"/>
    </row>
    <row r="822589" spans="1:1" x14ac:dyDescent="0.25">
      <c r="A822589" s="242"/>
    </row>
    <row r="822590" spans="1:1" x14ac:dyDescent="0.25">
      <c r="A822590" s="242"/>
    </row>
    <row r="822591" spans="1:1" x14ac:dyDescent="0.25">
      <c r="A822591" s="242"/>
    </row>
    <row r="822592" spans="1:1" x14ac:dyDescent="0.25">
      <c r="A822592" s="242"/>
    </row>
    <row r="822593" spans="1:1" x14ac:dyDescent="0.25">
      <c r="A822593" s="242"/>
    </row>
    <row r="822594" spans="1:1" x14ac:dyDescent="0.25">
      <c r="A822594" s="242"/>
    </row>
    <row r="822595" spans="1:1" x14ac:dyDescent="0.25">
      <c r="A822595" s="242"/>
    </row>
    <row r="822596" spans="1:1" x14ac:dyDescent="0.25">
      <c r="A822596" s="242"/>
    </row>
    <row r="822597" spans="1:1" x14ac:dyDescent="0.25">
      <c r="A822597" s="242"/>
    </row>
    <row r="822598" spans="1:1" x14ac:dyDescent="0.25">
      <c r="A822598" s="242"/>
    </row>
    <row r="822599" spans="1:1" x14ac:dyDescent="0.25">
      <c r="A822599" s="242"/>
    </row>
    <row r="822600" spans="1:1" x14ac:dyDescent="0.25">
      <c r="A822600" s="242"/>
    </row>
    <row r="822601" spans="1:1" x14ac:dyDescent="0.25">
      <c r="A822601" s="242"/>
    </row>
    <row r="822602" spans="1:1" x14ac:dyDescent="0.25">
      <c r="A822602" s="242"/>
    </row>
    <row r="822603" spans="1:1" x14ac:dyDescent="0.25">
      <c r="A822603" s="242"/>
    </row>
    <row r="822604" spans="1:1" x14ac:dyDescent="0.25">
      <c r="A822604" s="242"/>
    </row>
    <row r="822605" spans="1:1" x14ac:dyDescent="0.25">
      <c r="A822605" s="242"/>
    </row>
    <row r="822606" spans="1:1" x14ac:dyDescent="0.25">
      <c r="A822606" s="242"/>
    </row>
    <row r="822607" spans="1:1" x14ac:dyDescent="0.25">
      <c r="A822607" s="242"/>
    </row>
    <row r="822608" spans="1:1" x14ac:dyDescent="0.25">
      <c r="A822608" s="242"/>
    </row>
    <row r="822609" spans="1:1" x14ac:dyDescent="0.25">
      <c r="A822609" s="242"/>
    </row>
    <row r="822610" spans="1:1" x14ac:dyDescent="0.25">
      <c r="A822610" s="242"/>
    </row>
    <row r="822611" spans="1:1" x14ac:dyDescent="0.25">
      <c r="A822611" s="242"/>
    </row>
    <row r="822612" spans="1:1" x14ac:dyDescent="0.25">
      <c r="A822612" s="242"/>
    </row>
    <row r="822613" spans="1:1" x14ac:dyDescent="0.25">
      <c r="A822613" s="242"/>
    </row>
    <row r="822614" spans="1:1" x14ac:dyDescent="0.25">
      <c r="A822614" s="242"/>
    </row>
    <row r="822615" spans="1:1" x14ac:dyDescent="0.25">
      <c r="A822615" s="242"/>
    </row>
    <row r="822616" spans="1:1" x14ac:dyDescent="0.25">
      <c r="A822616" s="242"/>
    </row>
    <row r="822617" spans="1:1" x14ac:dyDescent="0.25">
      <c r="A822617" s="242"/>
    </row>
    <row r="822618" spans="1:1" x14ac:dyDescent="0.25">
      <c r="A822618" s="242"/>
    </row>
    <row r="822619" spans="1:1" x14ac:dyDescent="0.25">
      <c r="A822619" s="242"/>
    </row>
    <row r="822620" spans="1:1" x14ac:dyDescent="0.25">
      <c r="A822620" s="242"/>
    </row>
    <row r="822621" spans="1:1" x14ac:dyDescent="0.25">
      <c r="A822621" s="242"/>
    </row>
    <row r="822622" spans="1:1" x14ac:dyDescent="0.25">
      <c r="A822622" s="242"/>
    </row>
    <row r="822623" spans="1:1" x14ac:dyDescent="0.25">
      <c r="A822623" s="242"/>
    </row>
    <row r="822624" spans="1:1" x14ac:dyDescent="0.25">
      <c r="A822624" s="242"/>
    </row>
    <row r="822625" spans="1:1" x14ac:dyDescent="0.25">
      <c r="A822625" s="242"/>
    </row>
    <row r="822626" spans="1:1" x14ac:dyDescent="0.25">
      <c r="A822626" s="242"/>
    </row>
    <row r="822627" spans="1:1" x14ac:dyDescent="0.25">
      <c r="A822627" s="242"/>
    </row>
    <row r="822628" spans="1:1" x14ac:dyDescent="0.25">
      <c r="A822628" s="242"/>
    </row>
    <row r="822629" spans="1:1" x14ac:dyDescent="0.25">
      <c r="A822629" s="242"/>
    </row>
    <row r="822630" spans="1:1" x14ac:dyDescent="0.25">
      <c r="A822630" s="242"/>
    </row>
    <row r="822631" spans="1:1" x14ac:dyDescent="0.25">
      <c r="A822631" s="242"/>
    </row>
    <row r="822632" spans="1:1" x14ac:dyDescent="0.25">
      <c r="A822632" s="242"/>
    </row>
    <row r="822633" spans="1:1" x14ac:dyDescent="0.25">
      <c r="A822633" s="242"/>
    </row>
    <row r="822634" spans="1:1" x14ac:dyDescent="0.25">
      <c r="A822634" s="242"/>
    </row>
    <row r="822635" spans="1:1" x14ac:dyDescent="0.25">
      <c r="A822635" s="242"/>
    </row>
    <row r="822636" spans="1:1" x14ac:dyDescent="0.25">
      <c r="A822636" s="242"/>
    </row>
    <row r="822637" spans="1:1" x14ac:dyDescent="0.25">
      <c r="A822637" s="242"/>
    </row>
    <row r="822638" spans="1:1" x14ac:dyDescent="0.25">
      <c r="A822638" s="242"/>
    </row>
    <row r="822639" spans="1:1" x14ac:dyDescent="0.25">
      <c r="A822639" s="242"/>
    </row>
    <row r="822640" spans="1:1" x14ac:dyDescent="0.25">
      <c r="A822640" s="242"/>
    </row>
    <row r="822641" spans="1:1" x14ac:dyDescent="0.25">
      <c r="A822641" s="242"/>
    </row>
    <row r="822642" spans="1:1" x14ac:dyDescent="0.25">
      <c r="A822642" s="242"/>
    </row>
    <row r="822643" spans="1:1" x14ac:dyDescent="0.25">
      <c r="A822643" s="242"/>
    </row>
    <row r="822644" spans="1:1" x14ac:dyDescent="0.25">
      <c r="A822644" s="242"/>
    </row>
    <row r="822645" spans="1:1" x14ac:dyDescent="0.25">
      <c r="A822645" s="242"/>
    </row>
    <row r="822646" spans="1:1" x14ac:dyDescent="0.25">
      <c r="A822646" s="242"/>
    </row>
    <row r="822647" spans="1:1" x14ac:dyDescent="0.25">
      <c r="A822647" s="242"/>
    </row>
    <row r="822648" spans="1:1" x14ac:dyDescent="0.25">
      <c r="A822648" s="242"/>
    </row>
    <row r="822649" spans="1:1" x14ac:dyDescent="0.25">
      <c r="A822649" s="242"/>
    </row>
    <row r="822650" spans="1:1" x14ac:dyDescent="0.25">
      <c r="A822650" s="242"/>
    </row>
    <row r="822651" spans="1:1" x14ac:dyDescent="0.25">
      <c r="A822651" s="242"/>
    </row>
    <row r="822652" spans="1:1" x14ac:dyDescent="0.25">
      <c r="A822652" s="242"/>
    </row>
    <row r="822653" spans="1:1" x14ac:dyDescent="0.25">
      <c r="A822653" s="242"/>
    </row>
    <row r="822654" spans="1:1" x14ac:dyDescent="0.25">
      <c r="A822654" s="242"/>
    </row>
    <row r="822655" spans="1:1" x14ac:dyDescent="0.25">
      <c r="A822655" s="242"/>
    </row>
    <row r="822656" spans="1:1" x14ac:dyDescent="0.25">
      <c r="A822656" s="242"/>
    </row>
    <row r="822657" spans="1:1" x14ac:dyDescent="0.25">
      <c r="A822657" s="242"/>
    </row>
    <row r="822658" spans="1:1" x14ac:dyDescent="0.25">
      <c r="A822658" s="242"/>
    </row>
    <row r="822659" spans="1:1" x14ac:dyDescent="0.25">
      <c r="A822659" s="242"/>
    </row>
    <row r="822660" spans="1:1" x14ac:dyDescent="0.25">
      <c r="A822660" s="242"/>
    </row>
    <row r="822661" spans="1:1" x14ac:dyDescent="0.25">
      <c r="A822661" s="242"/>
    </row>
    <row r="822662" spans="1:1" x14ac:dyDescent="0.25">
      <c r="A822662" s="242"/>
    </row>
    <row r="822663" spans="1:1" x14ac:dyDescent="0.25">
      <c r="A822663" s="242"/>
    </row>
    <row r="822664" spans="1:1" x14ac:dyDescent="0.25">
      <c r="A822664" s="242"/>
    </row>
    <row r="822665" spans="1:1" x14ac:dyDescent="0.25">
      <c r="A822665" s="242"/>
    </row>
    <row r="822666" spans="1:1" x14ac:dyDescent="0.25">
      <c r="A822666" s="242"/>
    </row>
    <row r="822667" spans="1:1" x14ac:dyDescent="0.25">
      <c r="A822667" s="242"/>
    </row>
    <row r="822668" spans="1:1" x14ac:dyDescent="0.25">
      <c r="A822668" s="242"/>
    </row>
    <row r="822669" spans="1:1" x14ac:dyDescent="0.25">
      <c r="A822669" s="242"/>
    </row>
    <row r="822670" spans="1:1" x14ac:dyDescent="0.25">
      <c r="A822670" s="242"/>
    </row>
    <row r="822671" spans="1:1" x14ac:dyDescent="0.25">
      <c r="A822671" s="242"/>
    </row>
    <row r="822672" spans="1:1" x14ac:dyDescent="0.25">
      <c r="A822672" s="242"/>
    </row>
    <row r="822673" spans="1:1" x14ac:dyDescent="0.25">
      <c r="A822673" s="242"/>
    </row>
    <row r="822674" spans="1:1" x14ac:dyDescent="0.25">
      <c r="A822674" s="242"/>
    </row>
    <row r="822675" spans="1:1" x14ac:dyDescent="0.25">
      <c r="A822675" s="242"/>
    </row>
    <row r="822676" spans="1:1" x14ac:dyDescent="0.25">
      <c r="A822676" s="242"/>
    </row>
    <row r="822677" spans="1:1" x14ac:dyDescent="0.25">
      <c r="A822677" s="242"/>
    </row>
    <row r="822678" spans="1:1" x14ac:dyDescent="0.25">
      <c r="A822678" s="242"/>
    </row>
    <row r="822679" spans="1:1" x14ac:dyDescent="0.25">
      <c r="A822679" s="242"/>
    </row>
    <row r="822680" spans="1:1" x14ac:dyDescent="0.25">
      <c r="A822680" s="242"/>
    </row>
    <row r="822681" spans="1:1" x14ac:dyDescent="0.25">
      <c r="A822681" s="242"/>
    </row>
    <row r="822682" spans="1:1" x14ac:dyDescent="0.25">
      <c r="A822682" s="242"/>
    </row>
    <row r="822683" spans="1:1" x14ac:dyDescent="0.25">
      <c r="A822683" s="242"/>
    </row>
    <row r="822684" spans="1:1" x14ac:dyDescent="0.25">
      <c r="A822684" s="242"/>
    </row>
    <row r="822685" spans="1:1" x14ac:dyDescent="0.25">
      <c r="A822685" s="242"/>
    </row>
    <row r="822686" spans="1:1" x14ac:dyDescent="0.25">
      <c r="A822686" s="242"/>
    </row>
    <row r="822687" spans="1:1" x14ac:dyDescent="0.25">
      <c r="A822687" s="242"/>
    </row>
    <row r="822688" spans="1:1" x14ac:dyDescent="0.25">
      <c r="A822688" s="242"/>
    </row>
    <row r="822689" spans="1:1" x14ac:dyDescent="0.25">
      <c r="A822689" s="242"/>
    </row>
    <row r="822690" spans="1:1" x14ac:dyDescent="0.25">
      <c r="A822690" s="242"/>
    </row>
    <row r="822691" spans="1:1" x14ac:dyDescent="0.25">
      <c r="A822691" s="242"/>
    </row>
    <row r="822692" spans="1:1" x14ac:dyDescent="0.25">
      <c r="A822692" s="242"/>
    </row>
    <row r="822693" spans="1:1" x14ac:dyDescent="0.25">
      <c r="A822693" s="242"/>
    </row>
    <row r="822694" spans="1:1" x14ac:dyDescent="0.25">
      <c r="A822694" s="242"/>
    </row>
    <row r="822695" spans="1:1" x14ac:dyDescent="0.25">
      <c r="A822695" s="242"/>
    </row>
    <row r="822696" spans="1:1" x14ac:dyDescent="0.25">
      <c r="A822696" s="242"/>
    </row>
    <row r="822697" spans="1:1" x14ac:dyDescent="0.25">
      <c r="A822697" s="242"/>
    </row>
    <row r="822698" spans="1:1" x14ac:dyDescent="0.25">
      <c r="A822698" s="242"/>
    </row>
    <row r="822699" spans="1:1" x14ac:dyDescent="0.25">
      <c r="A822699" s="242"/>
    </row>
    <row r="822700" spans="1:1" x14ac:dyDescent="0.25">
      <c r="A822700" s="242"/>
    </row>
    <row r="822701" spans="1:1" x14ac:dyDescent="0.25">
      <c r="A822701" s="242"/>
    </row>
    <row r="822702" spans="1:1" x14ac:dyDescent="0.25">
      <c r="A822702" s="242"/>
    </row>
    <row r="822703" spans="1:1" x14ac:dyDescent="0.25">
      <c r="A822703" s="242"/>
    </row>
    <row r="822704" spans="1:1" x14ac:dyDescent="0.25">
      <c r="A822704" s="242"/>
    </row>
    <row r="822705" spans="1:1" x14ac:dyDescent="0.25">
      <c r="A822705" s="242"/>
    </row>
    <row r="822706" spans="1:1" x14ac:dyDescent="0.25">
      <c r="A822706" s="242"/>
    </row>
    <row r="822707" spans="1:1" x14ac:dyDescent="0.25">
      <c r="A822707" s="242"/>
    </row>
    <row r="822708" spans="1:1" x14ac:dyDescent="0.25">
      <c r="A822708" s="242"/>
    </row>
    <row r="822709" spans="1:1" x14ac:dyDescent="0.25">
      <c r="A822709" s="242"/>
    </row>
    <row r="822710" spans="1:1" x14ac:dyDescent="0.25">
      <c r="A822710" s="242"/>
    </row>
    <row r="822711" spans="1:1" x14ac:dyDescent="0.25">
      <c r="A822711" s="242"/>
    </row>
    <row r="822712" spans="1:1" x14ac:dyDescent="0.25">
      <c r="A822712" s="242"/>
    </row>
    <row r="822713" spans="1:1" x14ac:dyDescent="0.25">
      <c r="A822713" s="242"/>
    </row>
    <row r="822714" spans="1:1" x14ac:dyDescent="0.25">
      <c r="A822714" s="242"/>
    </row>
    <row r="822715" spans="1:1" x14ac:dyDescent="0.25">
      <c r="A822715" s="242"/>
    </row>
    <row r="822716" spans="1:1" x14ac:dyDescent="0.25">
      <c r="A822716" s="242"/>
    </row>
    <row r="822717" spans="1:1" x14ac:dyDescent="0.25">
      <c r="A822717" s="242"/>
    </row>
    <row r="822718" spans="1:1" x14ac:dyDescent="0.25">
      <c r="A822718" s="242"/>
    </row>
    <row r="822719" spans="1:1" x14ac:dyDescent="0.25">
      <c r="A822719" s="242"/>
    </row>
    <row r="822720" spans="1:1" x14ac:dyDescent="0.25">
      <c r="A822720" s="242"/>
    </row>
    <row r="822721" spans="1:1" x14ac:dyDescent="0.25">
      <c r="A822721" s="242"/>
    </row>
    <row r="822722" spans="1:1" x14ac:dyDescent="0.25">
      <c r="A822722" s="242"/>
    </row>
    <row r="822723" spans="1:1" x14ac:dyDescent="0.25">
      <c r="A822723" s="242"/>
    </row>
    <row r="822724" spans="1:1" x14ac:dyDescent="0.25">
      <c r="A822724" s="242"/>
    </row>
    <row r="822725" spans="1:1" x14ac:dyDescent="0.25">
      <c r="A822725" s="242"/>
    </row>
    <row r="822726" spans="1:1" x14ac:dyDescent="0.25">
      <c r="A822726" s="242"/>
    </row>
    <row r="822727" spans="1:1" x14ac:dyDescent="0.25">
      <c r="A822727" s="242"/>
    </row>
    <row r="822728" spans="1:1" x14ac:dyDescent="0.25">
      <c r="A822728" s="242"/>
    </row>
    <row r="822729" spans="1:1" x14ac:dyDescent="0.25">
      <c r="A822729" s="242"/>
    </row>
    <row r="822730" spans="1:1" x14ac:dyDescent="0.25">
      <c r="A822730" s="242"/>
    </row>
    <row r="822731" spans="1:1" x14ac:dyDescent="0.25">
      <c r="A822731" s="242"/>
    </row>
    <row r="822732" spans="1:1" x14ac:dyDescent="0.25">
      <c r="A822732" s="242"/>
    </row>
    <row r="822733" spans="1:1" x14ac:dyDescent="0.25">
      <c r="A822733" s="242"/>
    </row>
    <row r="822734" spans="1:1" x14ac:dyDescent="0.25">
      <c r="A822734" s="242"/>
    </row>
    <row r="822735" spans="1:1" x14ac:dyDescent="0.25">
      <c r="A822735" s="242"/>
    </row>
    <row r="822736" spans="1:1" x14ac:dyDescent="0.25">
      <c r="A822736" s="242"/>
    </row>
    <row r="822737" spans="1:1" x14ac:dyDescent="0.25">
      <c r="A822737" s="242"/>
    </row>
    <row r="822738" spans="1:1" x14ac:dyDescent="0.25">
      <c r="A822738" s="242"/>
    </row>
    <row r="822739" spans="1:1" x14ac:dyDescent="0.25">
      <c r="A822739" s="242"/>
    </row>
    <row r="822740" spans="1:1" x14ac:dyDescent="0.25">
      <c r="A822740" s="242"/>
    </row>
    <row r="822741" spans="1:1" x14ac:dyDescent="0.25">
      <c r="A822741" s="242"/>
    </row>
    <row r="822742" spans="1:1" x14ac:dyDescent="0.25">
      <c r="A822742" s="242"/>
    </row>
    <row r="822743" spans="1:1" x14ac:dyDescent="0.25">
      <c r="A822743" s="242"/>
    </row>
    <row r="822744" spans="1:1" x14ac:dyDescent="0.25">
      <c r="A822744" s="242"/>
    </row>
    <row r="822745" spans="1:1" x14ac:dyDescent="0.25">
      <c r="A822745" s="242"/>
    </row>
    <row r="822746" spans="1:1" x14ac:dyDescent="0.25">
      <c r="A822746" s="242"/>
    </row>
    <row r="822747" spans="1:1" x14ac:dyDescent="0.25">
      <c r="A822747" s="242"/>
    </row>
    <row r="822748" spans="1:1" x14ac:dyDescent="0.25">
      <c r="A822748" s="242"/>
    </row>
    <row r="822749" spans="1:1" x14ac:dyDescent="0.25">
      <c r="A822749" s="242"/>
    </row>
    <row r="822750" spans="1:1" x14ac:dyDescent="0.25">
      <c r="A822750" s="242"/>
    </row>
    <row r="822751" spans="1:1" x14ac:dyDescent="0.25">
      <c r="A822751" s="242"/>
    </row>
    <row r="822752" spans="1:1" x14ac:dyDescent="0.25">
      <c r="A822752" s="242"/>
    </row>
    <row r="822753" spans="1:1" x14ac:dyDescent="0.25">
      <c r="A822753" s="242"/>
    </row>
    <row r="822754" spans="1:1" x14ac:dyDescent="0.25">
      <c r="A822754" s="242"/>
    </row>
    <row r="822755" spans="1:1" x14ac:dyDescent="0.25">
      <c r="A822755" s="242"/>
    </row>
    <row r="822756" spans="1:1" x14ac:dyDescent="0.25">
      <c r="A822756" s="242"/>
    </row>
    <row r="822757" spans="1:1" x14ac:dyDescent="0.25">
      <c r="A822757" s="242"/>
    </row>
    <row r="822758" spans="1:1" x14ac:dyDescent="0.25">
      <c r="A822758" s="242"/>
    </row>
    <row r="822759" spans="1:1" x14ac:dyDescent="0.25">
      <c r="A822759" s="242"/>
    </row>
    <row r="822760" spans="1:1" x14ac:dyDescent="0.25">
      <c r="A822760" s="242"/>
    </row>
    <row r="822761" spans="1:1" x14ac:dyDescent="0.25">
      <c r="A822761" s="242"/>
    </row>
    <row r="822762" spans="1:1" x14ac:dyDescent="0.25">
      <c r="A822762" s="242"/>
    </row>
    <row r="822763" spans="1:1" x14ac:dyDescent="0.25">
      <c r="A822763" s="242"/>
    </row>
    <row r="822764" spans="1:1" x14ac:dyDescent="0.25">
      <c r="A822764" s="242"/>
    </row>
    <row r="822765" spans="1:1" x14ac:dyDescent="0.25">
      <c r="A822765" s="242"/>
    </row>
    <row r="822766" spans="1:1" x14ac:dyDescent="0.25">
      <c r="A822766" s="242"/>
    </row>
    <row r="822767" spans="1:1" x14ac:dyDescent="0.25">
      <c r="A822767" s="242"/>
    </row>
    <row r="822768" spans="1:1" x14ac:dyDescent="0.25">
      <c r="A822768" s="242"/>
    </row>
    <row r="822769" spans="1:1" x14ac:dyDescent="0.25">
      <c r="A822769" s="242"/>
    </row>
    <row r="822770" spans="1:1" x14ac:dyDescent="0.25">
      <c r="A822770" s="242"/>
    </row>
    <row r="822771" spans="1:1" x14ac:dyDescent="0.25">
      <c r="A822771" s="242"/>
    </row>
    <row r="822772" spans="1:1" x14ac:dyDescent="0.25">
      <c r="A822772" s="242"/>
    </row>
    <row r="822773" spans="1:1" x14ac:dyDescent="0.25">
      <c r="A822773" s="242"/>
    </row>
    <row r="822774" spans="1:1" x14ac:dyDescent="0.25">
      <c r="A822774" s="242"/>
    </row>
    <row r="822775" spans="1:1" x14ac:dyDescent="0.25">
      <c r="A822775" s="242"/>
    </row>
    <row r="822776" spans="1:1" x14ac:dyDescent="0.25">
      <c r="A822776" s="242"/>
    </row>
    <row r="822777" spans="1:1" x14ac:dyDescent="0.25">
      <c r="A822777" s="242"/>
    </row>
    <row r="822778" spans="1:1" x14ac:dyDescent="0.25">
      <c r="A822778" s="242"/>
    </row>
    <row r="822779" spans="1:1" x14ac:dyDescent="0.25">
      <c r="A822779" s="242"/>
    </row>
    <row r="822780" spans="1:1" x14ac:dyDescent="0.25">
      <c r="A822780" s="242"/>
    </row>
    <row r="822781" spans="1:1" x14ac:dyDescent="0.25">
      <c r="A822781" s="242"/>
    </row>
    <row r="822782" spans="1:1" x14ac:dyDescent="0.25">
      <c r="A822782" s="242"/>
    </row>
    <row r="822783" spans="1:1" x14ac:dyDescent="0.25">
      <c r="A822783" s="242"/>
    </row>
    <row r="822784" spans="1:1" x14ac:dyDescent="0.25">
      <c r="A822784" s="242"/>
    </row>
    <row r="822785" spans="1:1" x14ac:dyDescent="0.25">
      <c r="A822785" s="242"/>
    </row>
    <row r="822786" spans="1:1" x14ac:dyDescent="0.25">
      <c r="A822786" s="242"/>
    </row>
    <row r="822787" spans="1:1" x14ac:dyDescent="0.25">
      <c r="A822787" s="242"/>
    </row>
    <row r="822788" spans="1:1" x14ac:dyDescent="0.25">
      <c r="A822788" s="242"/>
    </row>
    <row r="822789" spans="1:1" x14ac:dyDescent="0.25">
      <c r="A822789" s="242"/>
    </row>
    <row r="822790" spans="1:1" x14ac:dyDescent="0.25">
      <c r="A822790" s="242"/>
    </row>
    <row r="822791" spans="1:1" x14ac:dyDescent="0.25">
      <c r="A822791" s="242"/>
    </row>
    <row r="822792" spans="1:1" x14ac:dyDescent="0.25">
      <c r="A822792" s="242"/>
    </row>
    <row r="822793" spans="1:1" x14ac:dyDescent="0.25">
      <c r="A822793" s="242"/>
    </row>
    <row r="822794" spans="1:1" x14ac:dyDescent="0.25">
      <c r="A822794" s="242"/>
    </row>
    <row r="822795" spans="1:1" x14ac:dyDescent="0.25">
      <c r="A822795" s="242"/>
    </row>
    <row r="822796" spans="1:1" x14ac:dyDescent="0.25">
      <c r="A822796" s="242"/>
    </row>
    <row r="822797" spans="1:1" x14ac:dyDescent="0.25">
      <c r="A822797" s="242"/>
    </row>
    <row r="822798" spans="1:1" x14ac:dyDescent="0.25">
      <c r="A822798" s="242"/>
    </row>
    <row r="822799" spans="1:1" x14ac:dyDescent="0.25">
      <c r="A822799" s="242"/>
    </row>
    <row r="822800" spans="1:1" x14ac:dyDescent="0.25">
      <c r="A822800" s="242"/>
    </row>
    <row r="822801" spans="1:1" x14ac:dyDescent="0.25">
      <c r="A822801" s="242"/>
    </row>
    <row r="822802" spans="1:1" x14ac:dyDescent="0.25">
      <c r="A822802" s="242"/>
    </row>
    <row r="822803" spans="1:1" x14ac:dyDescent="0.25">
      <c r="A822803" s="242"/>
    </row>
    <row r="822804" spans="1:1" x14ac:dyDescent="0.25">
      <c r="A822804" s="242"/>
    </row>
    <row r="822805" spans="1:1" x14ac:dyDescent="0.25">
      <c r="A822805" s="242"/>
    </row>
    <row r="822806" spans="1:1" x14ac:dyDescent="0.25">
      <c r="A822806" s="242"/>
    </row>
    <row r="822807" spans="1:1" x14ac:dyDescent="0.25">
      <c r="A822807" s="242"/>
    </row>
    <row r="822808" spans="1:1" x14ac:dyDescent="0.25">
      <c r="A822808" s="242"/>
    </row>
    <row r="822809" spans="1:1" x14ac:dyDescent="0.25">
      <c r="A822809" s="242"/>
    </row>
    <row r="822810" spans="1:1" x14ac:dyDescent="0.25">
      <c r="A822810" s="242"/>
    </row>
    <row r="822811" spans="1:1" x14ac:dyDescent="0.25">
      <c r="A822811" s="242"/>
    </row>
    <row r="822812" spans="1:1" x14ac:dyDescent="0.25">
      <c r="A822812" s="242"/>
    </row>
    <row r="822813" spans="1:1" x14ac:dyDescent="0.25">
      <c r="A822813" s="242"/>
    </row>
    <row r="822814" spans="1:1" x14ac:dyDescent="0.25">
      <c r="A822814" s="242"/>
    </row>
    <row r="822815" spans="1:1" x14ac:dyDescent="0.25">
      <c r="A822815" s="242"/>
    </row>
    <row r="822816" spans="1:1" x14ac:dyDescent="0.25">
      <c r="A822816" s="242"/>
    </row>
    <row r="822817" spans="1:1" x14ac:dyDescent="0.25">
      <c r="A822817" s="242"/>
    </row>
    <row r="822818" spans="1:1" x14ac:dyDescent="0.25">
      <c r="A822818" s="242"/>
    </row>
    <row r="822819" spans="1:1" x14ac:dyDescent="0.25">
      <c r="A822819" s="242"/>
    </row>
    <row r="822820" spans="1:1" x14ac:dyDescent="0.25">
      <c r="A822820" s="242"/>
    </row>
    <row r="822821" spans="1:1" x14ac:dyDescent="0.25">
      <c r="A822821" s="242"/>
    </row>
    <row r="822822" spans="1:1" x14ac:dyDescent="0.25">
      <c r="A822822" s="242"/>
    </row>
    <row r="822823" spans="1:1" x14ac:dyDescent="0.25">
      <c r="A822823" s="242"/>
    </row>
    <row r="822824" spans="1:1" x14ac:dyDescent="0.25">
      <c r="A822824" s="242"/>
    </row>
    <row r="822825" spans="1:1" x14ac:dyDescent="0.25">
      <c r="A822825" s="242"/>
    </row>
    <row r="822826" spans="1:1" x14ac:dyDescent="0.25">
      <c r="A822826" s="242"/>
    </row>
    <row r="822827" spans="1:1" x14ac:dyDescent="0.25">
      <c r="A822827" s="242"/>
    </row>
    <row r="822828" spans="1:1" x14ac:dyDescent="0.25">
      <c r="A822828" s="242"/>
    </row>
    <row r="822829" spans="1:1" x14ac:dyDescent="0.25">
      <c r="A822829" s="242"/>
    </row>
    <row r="822830" spans="1:1" x14ac:dyDescent="0.25">
      <c r="A822830" s="242"/>
    </row>
    <row r="822831" spans="1:1" x14ac:dyDescent="0.25">
      <c r="A822831" s="242"/>
    </row>
    <row r="822832" spans="1:1" x14ac:dyDescent="0.25">
      <c r="A822832" s="242"/>
    </row>
    <row r="822833" spans="1:1" x14ac:dyDescent="0.25">
      <c r="A822833" s="242"/>
    </row>
    <row r="822834" spans="1:1" x14ac:dyDescent="0.25">
      <c r="A822834" s="242"/>
    </row>
    <row r="822835" spans="1:1" x14ac:dyDescent="0.25">
      <c r="A822835" s="242"/>
    </row>
    <row r="822836" spans="1:1" x14ac:dyDescent="0.25">
      <c r="A822836" s="242"/>
    </row>
    <row r="822837" spans="1:1" x14ac:dyDescent="0.25">
      <c r="A822837" s="242"/>
    </row>
    <row r="822838" spans="1:1" x14ac:dyDescent="0.25">
      <c r="A822838" s="242"/>
    </row>
    <row r="822839" spans="1:1" x14ac:dyDescent="0.25">
      <c r="A822839" s="242"/>
    </row>
    <row r="822840" spans="1:1" x14ac:dyDescent="0.25">
      <c r="A822840" s="242"/>
    </row>
    <row r="822841" spans="1:1" x14ac:dyDescent="0.25">
      <c r="A822841" s="242"/>
    </row>
    <row r="822842" spans="1:1" x14ac:dyDescent="0.25">
      <c r="A822842" s="242"/>
    </row>
    <row r="822843" spans="1:1" x14ac:dyDescent="0.25">
      <c r="A822843" s="242"/>
    </row>
    <row r="822844" spans="1:1" x14ac:dyDescent="0.25">
      <c r="A822844" s="242"/>
    </row>
    <row r="822845" spans="1:1" x14ac:dyDescent="0.25">
      <c r="A822845" s="242"/>
    </row>
    <row r="822846" spans="1:1" x14ac:dyDescent="0.25">
      <c r="A822846" s="242"/>
    </row>
    <row r="822847" spans="1:1" x14ac:dyDescent="0.25">
      <c r="A822847" s="242"/>
    </row>
    <row r="822848" spans="1:1" x14ac:dyDescent="0.25">
      <c r="A822848" s="242"/>
    </row>
    <row r="822849" spans="1:1" x14ac:dyDescent="0.25">
      <c r="A822849" s="242"/>
    </row>
    <row r="822850" spans="1:1" x14ac:dyDescent="0.25">
      <c r="A822850" s="242"/>
    </row>
    <row r="822851" spans="1:1" x14ac:dyDescent="0.25">
      <c r="A822851" s="242"/>
    </row>
    <row r="822852" spans="1:1" x14ac:dyDescent="0.25">
      <c r="A822852" s="242"/>
    </row>
    <row r="822853" spans="1:1" x14ac:dyDescent="0.25">
      <c r="A822853" s="242"/>
    </row>
    <row r="822854" spans="1:1" x14ac:dyDescent="0.25">
      <c r="A822854" s="242"/>
    </row>
    <row r="822855" spans="1:1" x14ac:dyDescent="0.25">
      <c r="A822855" s="242"/>
    </row>
    <row r="822856" spans="1:1" x14ac:dyDescent="0.25">
      <c r="A822856" s="242"/>
    </row>
    <row r="822857" spans="1:1" x14ac:dyDescent="0.25">
      <c r="A822857" s="242"/>
    </row>
    <row r="822858" spans="1:1" x14ac:dyDescent="0.25">
      <c r="A822858" s="242"/>
    </row>
    <row r="822859" spans="1:1" x14ac:dyDescent="0.25">
      <c r="A822859" s="242"/>
    </row>
    <row r="822860" spans="1:1" x14ac:dyDescent="0.25">
      <c r="A822860" s="242"/>
    </row>
    <row r="822861" spans="1:1" x14ac:dyDescent="0.25">
      <c r="A822861" s="242"/>
    </row>
    <row r="822862" spans="1:1" x14ac:dyDescent="0.25">
      <c r="A822862" s="242"/>
    </row>
    <row r="822863" spans="1:1" x14ac:dyDescent="0.25">
      <c r="A822863" s="242"/>
    </row>
    <row r="822864" spans="1:1" x14ac:dyDescent="0.25">
      <c r="A822864" s="242"/>
    </row>
    <row r="822865" spans="1:1" x14ac:dyDescent="0.25">
      <c r="A822865" s="242"/>
    </row>
    <row r="822866" spans="1:1" x14ac:dyDescent="0.25">
      <c r="A822866" s="242"/>
    </row>
    <row r="822867" spans="1:1" x14ac:dyDescent="0.25">
      <c r="A822867" s="242"/>
    </row>
    <row r="822868" spans="1:1" x14ac:dyDescent="0.25">
      <c r="A822868" s="242"/>
    </row>
    <row r="822869" spans="1:1" x14ac:dyDescent="0.25">
      <c r="A822869" s="242"/>
    </row>
    <row r="822870" spans="1:1" x14ac:dyDescent="0.25">
      <c r="A822870" s="242"/>
    </row>
    <row r="822871" spans="1:1" x14ac:dyDescent="0.25">
      <c r="A822871" s="242"/>
    </row>
    <row r="822872" spans="1:1" x14ac:dyDescent="0.25">
      <c r="A822872" s="242"/>
    </row>
    <row r="822873" spans="1:1" x14ac:dyDescent="0.25">
      <c r="A822873" s="242"/>
    </row>
    <row r="822874" spans="1:1" x14ac:dyDescent="0.25">
      <c r="A822874" s="242"/>
    </row>
    <row r="822875" spans="1:1" x14ac:dyDescent="0.25">
      <c r="A822875" s="242"/>
    </row>
    <row r="822876" spans="1:1" x14ac:dyDescent="0.25">
      <c r="A822876" s="242"/>
    </row>
    <row r="822877" spans="1:1" x14ac:dyDescent="0.25">
      <c r="A822877" s="242"/>
    </row>
    <row r="822878" spans="1:1" x14ac:dyDescent="0.25">
      <c r="A822878" s="242"/>
    </row>
    <row r="822879" spans="1:1" x14ac:dyDescent="0.25">
      <c r="A822879" s="242"/>
    </row>
    <row r="822880" spans="1:1" x14ac:dyDescent="0.25">
      <c r="A822880" s="242"/>
    </row>
    <row r="822881" spans="1:1" x14ac:dyDescent="0.25">
      <c r="A822881" s="242"/>
    </row>
    <row r="822882" spans="1:1" x14ac:dyDescent="0.25">
      <c r="A822882" s="242"/>
    </row>
    <row r="822883" spans="1:1" x14ac:dyDescent="0.25">
      <c r="A822883" s="242"/>
    </row>
    <row r="822884" spans="1:1" x14ac:dyDescent="0.25">
      <c r="A822884" s="242"/>
    </row>
    <row r="822885" spans="1:1" x14ac:dyDescent="0.25">
      <c r="A822885" s="242"/>
    </row>
    <row r="822886" spans="1:1" x14ac:dyDescent="0.25">
      <c r="A822886" s="242"/>
    </row>
    <row r="822887" spans="1:1" x14ac:dyDescent="0.25">
      <c r="A822887" s="242"/>
    </row>
    <row r="822888" spans="1:1" x14ac:dyDescent="0.25">
      <c r="A822888" s="242"/>
    </row>
    <row r="822889" spans="1:1" x14ac:dyDescent="0.25">
      <c r="A822889" s="242"/>
    </row>
    <row r="822890" spans="1:1" x14ac:dyDescent="0.25">
      <c r="A822890" s="242"/>
    </row>
    <row r="822891" spans="1:1" x14ac:dyDescent="0.25">
      <c r="A822891" s="242"/>
    </row>
    <row r="822892" spans="1:1" x14ac:dyDescent="0.25">
      <c r="A822892" s="242"/>
    </row>
    <row r="822893" spans="1:1" x14ac:dyDescent="0.25">
      <c r="A822893" s="242"/>
    </row>
    <row r="822894" spans="1:1" x14ac:dyDescent="0.25">
      <c r="A822894" s="242"/>
    </row>
    <row r="822895" spans="1:1" x14ac:dyDescent="0.25">
      <c r="A822895" s="242"/>
    </row>
    <row r="822896" spans="1:1" x14ac:dyDescent="0.25">
      <c r="A822896" s="242"/>
    </row>
    <row r="822897" spans="1:1" x14ac:dyDescent="0.25">
      <c r="A822897" s="242"/>
    </row>
    <row r="822898" spans="1:1" x14ac:dyDescent="0.25">
      <c r="A822898" s="242"/>
    </row>
    <row r="822899" spans="1:1" x14ac:dyDescent="0.25">
      <c r="A822899" s="242"/>
    </row>
    <row r="822900" spans="1:1" x14ac:dyDescent="0.25">
      <c r="A822900" s="242"/>
    </row>
    <row r="822901" spans="1:1" x14ac:dyDescent="0.25">
      <c r="A822901" s="242"/>
    </row>
    <row r="822902" spans="1:1" x14ac:dyDescent="0.25">
      <c r="A822902" s="242"/>
    </row>
    <row r="822903" spans="1:1" x14ac:dyDescent="0.25">
      <c r="A822903" s="242"/>
    </row>
    <row r="822904" spans="1:1" x14ac:dyDescent="0.25">
      <c r="A822904" s="242"/>
    </row>
    <row r="822905" spans="1:1" x14ac:dyDescent="0.25">
      <c r="A822905" s="242"/>
    </row>
    <row r="822906" spans="1:1" x14ac:dyDescent="0.25">
      <c r="A822906" s="242"/>
    </row>
    <row r="822907" spans="1:1" x14ac:dyDescent="0.25">
      <c r="A822907" s="242"/>
    </row>
    <row r="822908" spans="1:1" x14ac:dyDescent="0.25">
      <c r="A822908" s="242"/>
    </row>
    <row r="822909" spans="1:1" x14ac:dyDescent="0.25">
      <c r="A822909" s="242"/>
    </row>
    <row r="822910" spans="1:1" x14ac:dyDescent="0.25">
      <c r="A822910" s="242"/>
    </row>
    <row r="822911" spans="1:1" x14ac:dyDescent="0.25">
      <c r="A822911" s="242"/>
    </row>
    <row r="822912" spans="1:1" x14ac:dyDescent="0.25">
      <c r="A822912" s="242"/>
    </row>
    <row r="822913" spans="1:1" x14ac:dyDescent="0.25">
      <c r="A822913" s="242"/>
    </row>
    <row r="822914" spans="1:1" x14ac:dyDescent="0.25">
      <c r="A822914" s="242"/>
    </row>
    <row r="822915" spans="1:1" x14ac:dyDescent="0.25">
      <c r="A822915" s="242"/>
    </row>
    <row r="822916" spans="1:1" x14ac:dyDescent="0.25">
      <c r="A822916" s="242"/>
    </row>
    <row r="822917" spans="1:1" x14ac:dyDescent="0.25">
      <c r="A822917" s="242"/>
    </row>
    <row r="822918" spans="1:1" x14ac:dyDescent="0.25">
      <c r="A822918" s="242"/>
    </row>
    <row r="822919" spans="1:1" x14ac:dyDescent="0.25">
      <c r="A822919" s="242"/>
    </row>
    <row r="822920" spans="1:1" x14ac:dyDescent="0.25">
      <c r="A822920" s="242"/>
    </row>
    <row r="822921" spans="1:1" x14ac:dyDescent="0.25">
      <c r="A822921" s="242"/>
    </row>
    <row r="822922" spans="1:1" x14ac:dyDescent="0.25">
      <c r="A822922" s="242"/>
    </row>
    <row r="822923" spans="1:1" x14ac:dyDescent="0.25">
      <c r="A822923" s="242"/>
    </row>
    <row r="822924" spans="1:1" x14ac:dyDescent="0.25">
      <c r="A822924" s="242"/>
    </row>
    <row r="822925" spans="1:1" x14ac:dyDescent="0.25">
      <c r="A822925" s="242"/>
    </row>
    <row r="822926" spans="1:1" x14ac:dyDescent="0.25">
      <c r="A822926" s="242"/>
    </row>
    <row r="822927" spans="1:1" x14ac:dyDescent="0.25">
      <c r="A822927" s="242"/>
    </row>
    <row r="822928" spans="1:1" x14ac:dyDescent="0.25">
      <c r="A822928" s="242"/>
    </row>
    <row r="822929" spans="1:1" x14ac:dyDescent="0.25">
      <c r="A822929" s="242"/>
    </row>
    <row r="822930" spans="1:1" x14ac:dyDescent="0.25">
      <c r="A822930" s="242"/>
    </row>
    <row r="822931" spans="1:1" x14ac:dyDescent="0.25">
      <c r="A822931" s="242"/>
    </row>
    <row r="822932" spans="1:1" x14ac:dyDescent="0.25">
      <c r="A822932" s="242"/>
    </row>
    <row r="822933" spans="1:1" x14ac:dyDescent="0.25">
      <c r="A822933" s="242"/>
    </row>
    <row r="822934" spans="1:1" x14ac:dyDescent="0.25">
      <c r="A822934" s="242"/>
    </row>
    <row r="822935" spans="1:1" x14ac:dyDescent="0.25">
      <c r="A822935" s="242"/>
    </row>
    <row r="822936" spans="1:1" x14ac:dyDescent="0.25">
      <c r="A822936" s="242"/>
    </row>
    <row r="822937" spans="1:1" x14ac:dyDescent="0.25">
      <c r="A822937" s="242"/>
    </row>
    <row r="822938" spans="1:1" x14ac:dyDescent="0.25">
      <c r="A822938" s="242"/>
    </row>
    <row r="822939" spans="1:1" x14ac:dyDescent="0.25">
      <c r="A822939" s="242"/>
    </row>
    <row r="822940" spans="1:1" x14ac:dyDescent="0.25">
      <c r="A822940" s="242"/>
    </row>
    <row r="822941" spans="1:1" x14ac:dyDescent="0.25">
      <c r="A822941" s="242"/>
    </row>
    <row r="822942" spans="1:1" x14ac:dyDescent="0.25">
      <c r="A822942" s="242"/>
    </row>
    <row r="822943" spans="1:1" x14ac:dyDescent="0.25">
      <c r="A822943" s="242"/>
    </row>
    <row r="822944" spans="1:1" x14ac:dyDescent="0.25">
      <c r="A822944" s="242"/>
    </row>
    <row r="822945" spans="1:1" x14ac:dyDescent="0.25">
      <c r="A822945" s="242"/>
    </row>
    <row r="822946" spans="1:1" x14ac:dyDescent="0.25">
      <c r="A822946" s="242"/>
    </row>
    <row r="822947" spans="1:1" x14ac:dyDescent="0.25">
      <c r="A822947" s="242"/>
    </row>
    <row r="822948" spans="1:1" x14ac:dyDescent="0.25">
      <c r="A822948" s="242"/>
    </row>
    <row r="822949" spans="1:1" x14ac:dyDescent="0.25">
      <c r="A822949" s="242"/>
    </row>
    <row r="822950" spans="1:1" x14ac:dyDescent="0.25">
      <c r="A822950" s="242"/>
    </row>
    <row r="822951" spans="1:1" x14ac:dyDescent="0.25">
      <c r="A822951" s="242"/>
    </row>
    <row r="822952" spans="1:1" x14ac:dyDescent="0.25">
      <c r="A822952" s="242"/>
    </row>
    <row r="822953" spans="1:1" x14ac:dyDescent="0.25">
      <c r="A822953" s="242"/>
    </row>
    <row r="822954" spans="1:1" x14ac:dyDescent="0.25">
      <c r="A822954" s="242"/>
    </row>
    <row r="822955" spans="1:1" x14ac:dyDescent="0.25">
      <c r="A822955" s="242"/>
    </row>
    <row r="822956" spans="1:1" x14ac:dyDescent="0.25">
      <c r="A822956" s="242"/>
    </row>
    <row r="822957" spans="1:1" x14ac:dyDescent="0.25">
      <c r="A822957" s="242"/>
    </row>
    <row r="822958" spans="1:1" x14ac:dyDescent="0.25">
      <c r="A822958" s="242"/>
    </row>
    <row r="822959" spans="1:1" x14ac:dyDescent="0.25">
      <c r="A822959" s="242"/>
    </row>
    <row r="822960" spans="1:1" x14ac:dyDescent="0.25">
      <c r="A822960" s="242"/>
    </row>
    <row r="822961" spans="1:1" x14ac:dyDescent="0.25">
      <c r="A822961" s="242"/>
    </row>
    <row r="822962" spans="1:1" x14ac:dyDescent="0.25">
      <c r="A822962" s="242"/>
    </row>
    <row r="822963" spans="1:1" x14ac:dyDescent="0.25">
      <c r="A822963" s="242"/>
    </row>
    <row r="822964" spans="1:1" x14ac:dyDescent="0.25">
      <c r="A822964" s="242"/>
    </row>
    <row r="822965" spans="1:1" x14ac:dyDescent="0.25">
      <c r="A822965" s="242"/>
    </row>
    <row r="822966" spans="1:1" x14ac:dyDescent="0.25">
      <c r="A822966" s="242"/>
    </row>
    <row r="822967" spans="1:1" x14ac:dyDescent="0.25">
      <c r="A822967" s="242"/>
    </row>
    <row r="822968" spans="1:1" x14ac:dyDescent="0.25">
      <c r="A822968" s="242"/>
    </row>
    <row r="822969" spans="1:1" x14ac:dyDescent="0.25">
      <c r="A822969" s="242"/>
    </row>
    <row r="822970" spans="1:1" x14ac:dyDescent="0.25">
      <c r="A822970" s="242"/>
    </row>
    <row r="822971" spans="1:1" x14ac:dyDescent="0.25">
      <c r="A822971" s="242"/>
    </row>
    <row r="822972" spans="1:1" x14ac:dyDescent="0.25">
      <c r="A822972" s="242"/>
    </row>
    <row r="822973" spans="1:1" x14ac:dyDescent="0.25">
      <c r="A822973" s="242"/>
    </row>
    <row r="822974" spans="1:1" x14ac:dyDescent="0.25">
      <c r="A822974" s="242"/>
    </row>
    <row r="822975" spans="1:1" x14ac:dyDescent="0.25">
      <c r="A822975" s="242"/>
    </row>
    <row r="822976" spans="1:1" x14ac:dyDescent="0.25">
      <c r="A822976" s="242"/>
    </row>
    <row r="822977" spans="1:1" x14ac:dyDescent="0.25">
      <c r="A822977" s="242"/>
    </row>
    <row r="822978" spans="1:1" x14ac:dyDescent="0.25">
      <c r="A822978" s="242"/>
    </row>
    <row r="822979" spans="1:1" x14ac:dyDescent="0.25">
      <c r="A822979" s="242"/>
    </row>
    <row r="822980" spans="1:1" x14ac:dyDescent="0.25">
      <c r="A822980" s="242"/>
    </row>
    <row r="822981" spans="1:1" x14ac:dyDescent="0.25">
      <c r="A822981" s="242"/>
    </row>
    <row r="822982" spans="1:1" x14ac:dyDescent="0.25">
      <c r="A822982" s="242"/>
    </row>
    <row r="822983" spans="1:1" x14ac:dyDescent="0.25">
      <c r="A822983" s="242"/>
    </row>
    <row r="822984" spans="1:1" x14ac:dyDescent="0.25">
      <c r="A822984" s="242"/>
    </row>
    <row r="822985" spans="1:1" x14ac:dyDescent="0.25">
      <c r="A822985" s="242"/>
    </row>
    <row r="822986" spans="1:1" x14ac:dyDescent="0.25">
      <c r="A822986" s="242"/>
    </row>
    <row r="822987" spans="1:1" x14ac:dyDescent="0.25">
      <c r="A822987" s="242"/>
    </row>
    <row r="822988" spans="1:1" x14ac:dyDescent="0.25">
      <c r="A822988" s="242"/>
    </row>
    <row r="822989" spans="1:1" x14ac:dyDescent="0.25">
      <c r="A822989" s="242"/>
    </row>
    <row r="822990" spans="1:1" x14ac:dyDescent="0.25">
      <c r="A822990" s="242"/>
    </row>
    <row r="822991" spans="1:1" x14ac:dyDescent="0.25">
      <c r="A822991" s="242"/>
    </row>
    <row r="822992" spans="1:1" x14ac:dyDescent="0.25">
      <c r="A822992" s="242"/>
    </row>
    <row r="822993" spans="1:1" x14ac:dyDescent="0.25">
      <c r="A822993" s="242"/>
    </row>
    <row r="822994" spans="1:1" x14ac:dyDescent="0.25">
      <c r="A822994" s="242"/>
    </row>
    <row r="822995" spans="1:1" x14ac:dyDescent="0.25">
      <c r="A822995" s="242"/>
    </row>
    <row r="822996" spans="1:1" x14ac:dyDescent="0.25">
      <c r="A822996" s="242"/>
    </row>
    <row r="822997" spans="1:1" x14ac:dyDescent="0.25">
      <c r="A822997" s="242"/>
    </row>
    <row r="822998" spans="1:1" x14ac:dyDescent="0.25">
      <c r="A822998" s="242"/>
    </row>
    <row r="822999" spans="1:1" x14ac:dyDescent="0.25">
      <c r="A822999" s="242"/>
    </row>
    <row r="823000" spans="1:1" x14ac:dyDescent="0.25">
      <c r="A823000" s="242"/>
    </row>
    <row r="823001" spans="1:1" x14ac:dyDescent="0.25">
      <c r="A823001" s="242"/>
    </row>
    <row r="823002" spans="1:1" x14ac:dyDescent="0.25">
      <c r="A823002" s="242"/>
    </row>
    <row r="823003" spans="1:1" x14ac:dyDescent="0.25">
      <c r="A823003" s="242"/>
    </row>
    <row r="823004" spans="1:1" x14ac:dyDescent="0.25">
      <c r="A823004" s="242"/>
    </row>
    <row r="823005" spans="1:1" x14ac:dyDescent="0.25">
      <c r="A823005" s="242"/>
    </row>
    <row r="823006" spans="1:1" x14ac:dyDescent="0.25">
      <c r="A823006" s="242"/>
    </row>
    <row r="823007" spans="1:1" x14ac:dyDescent="0.25">
      <c r="A823007" s="242"/>
    </row>
    <row r="823008" spans="1:1" x14ac:dyDescent="0.25">
      <c r="A823008" s="242"/>
    </row>
    <row r="823009" spans="1:1" x14ac:dyDescent="0.25">
      <c r="A823009" s="242"/>
    </row>
    <row r="823010" spans="1:1" x14ac:dyDescent="0.25">
      <c r="A823010" s="242"/>
    </row>
    <row r="823011" spans="1:1" x14ac:dyDescent="0.25">
      <c r="A823011" s="242"/>
    </row>
    <row r="823012" spans="1:1" x14ac:dyDescent="0.25">
      <c r="A823012" s="242"/>
    </row>
    <row r="823013" spans="1:1" x14ac:dyDescent="0.25">
      <c r="A823013" s="242"/>
    </row>
    <row r="823014" spans="1:1" x14ac:dyDescent="0.25">
      <c r="A823014" s="242"/>
    </row>
    <row r="823015" spans="1:1" x14ac:dyDescent="0.25">
      <c r="A823015" s="242"/>
    </row>
    <row r="823016" spans="1:1" x14ac:dyDescent="0.25">
      <c r="A823016" s="242"/>
    </row>
    <row r="823017" spans="1:1" x14ac:dyDescent="0.25">
      <c r="A823017" s="242"/>
    </row>
    <row r="823018" spans="1:1" x14ac:dyDescent="0.25">
      <c r="A823018" s="242"/>
    </row>
    <row r="823019" spans="1:1" x14ac:dyDescent="0.25">
      <c r="A823019" s="242"/>
    </row>
    <row r="823020" spans="1:1" x14ac:dyDescent="0.25">
      <c r="A823020" s="242"/>
    </row>
    <row r="823021" spans="1:1" x14ac:dyDescent="0.25">
      <c r="A823021" s="242"/>
    </row>
    <row r="823022" spans="1:1" x14ac:dyDescent="0.25">
      <c r="A823022" s="242"/>
    </row>
    <row r="823023" spans="1:1" x14ac:dyDescent="0.25">
      <c r="A823023" s="242"/>
    </row>
    <row r="823024" spans="1:1" x14ac:dyDescent="0.25">
      <c r="A823024" s="242"/>
    </row>
    <row r="823025" spans="1:1" x14ac:dyDescent="0.25">
      <c r="A823025" s="242"/>
    </row>
    <row r="823026" spans="1:1" x14ac:dyDescent="0.25">
      <c r="A823026" s="242"/>
    </row>
    <row r="823027" spans="1:1" x14ac:dyDescent="0.25">
      <c r="A823027" s="242"/>
    </row>
    <row r="823028" spans="1:1" x14ac:dyDescent="0.25">
      <c r="A823028" s="242"/>
    </row>
    <row r="823029" spans="1:1" x14ac:dyDescent="0.25">
      <c r="A823029" s="242"/>
    </row>
    <row r="823030" spans="1:1" x14ac:dyDescent="0.25">
      <c r="A823030" s="242"/>
    </row>
    <row r="823031" spans="1:1" x14ac:dyDescent="0.25">
      <c r="A823031" s="242"/>
    </row>
    <row r="823032" spans="1:1" x14ac:dyDescent="0.25">
      <c r="A823032" s="242"/>
    </row>
    <row r="823033" spans="1:1" x14ac:dyDescent="0.25">
      <c r="A823033" s="242"/>
    </row>
    <row r="823034" spans="1:1" x14ac:dyDescent="0.25">
      <c r="A823034" s="242"/>
    </row>
    <row r="823035" spans="1:1" x14ac:dyDescent="0.25">
      <c r="A823035" s="242"/>
    </row>
    <row r="823036" spans="1:1" x14ac:dyDescent="0.25">
      <c r="A823036" s="242"/>
    </row>
    <row r="823037" spans="1:1" x14ac:dyDescent="0.25">
      <c r="A823037" s="242"/>
    </row>
    <row r="823038" spans="1:1" x14ac:dyDescent="0.25">
      <c r="A823038" s="242"/>
    </row>
    <row r="823039" spans="1:1" x14ac:dyDescent="0.25">
      <c r="A823039" s="242"/>
    </row>
    <row r="823040" spans="1:1" x14ac:dyDescent="0.25">
      <c r="A823040" s="242"/>
    </row>
    <row r="823041" spans="1:1" x14ac:dyDescent="0.25">
      <c r="A823041" s="242"/>
    </row>
    <row r="823042" spans="1:1" x14ac:dyDescent="0.25">
      <c r="A823042" s="242"/>
    </row>
    <row r="823043" spans="1:1" x14ac:dyDescent="0.25">
      <c r="A823043" s="242"/>
    </row>
    <row r="823044" spans="1:1" x14ac:dyDescent="0.25">
      <c r="A823044" s="242"/>
    </row>
    <row r="823045" spans="1:1" x14ac:dyDescent="0.25">
      <c r="A823045" s="242"/>
    </row>
    <row r="823046" spans="1:1" x14ac:dyDescent="0.25">
      <c r="A823046" s="242"/>
    </row>
    <row r="823047" spans="1:1" x14ac:dyDescent="0.25">
      <c r="A823047" s="242"/>
    </row>
    <row r="823048" spans="1:1" x14ac:dyDescent="0.25">
      <c r="A823048" s="242"/>
    </row>
    <row r="823049" spans="1:1" x14ac:dyDescent="0.25">
      <c r="A823049" s="242"/>
    </row>
    <row r="823050" spans="1:1" x14ac:dyDescent="0.25">
      <c r="A823050" s="242"/>
    </row>
    <row r="823051" spans="1:1" x14ac:dyDescent="0.25">
      <c r="A823051" s="242"/>
    </row>
    <row r="823052" spans="1:1" x14ac:dyDescent="0.25">
      <c r="A823052" s="242"/>
    </row>
    <row r="823053" spans="1:1" x14ac:dyDescent="0.25">
      <c r="A823053" s="242"/>
    </row>
    <row r="823054" spans="1:1" x14ac:dyDescent="0.25">
      <c r="A823054" s="242"/>
    </row>
    <row r="823055" spans="1:1" x14ac:dyDescent="0.25">
      <c r="A823055" s="242"/>
    </row>
    <row r="823056" spans="1:1" x14ac:dyDescent="0.25">
      <c r="A823056" s="242"/>
    </row>
    <row r="823057" spans="1:1" x14ac:dyDescent="0.25">
      <c r="A823057" s="242"/>
    </row>
    <row r="823058" spans="1:1" x14ac:dyDescent="0.25">
      <c r="A823058" s="242"/>
    </row>
    <row r="823059" spans="1:1" x14ac:dyDescent="0.25">
      <c r="A823059" s="242"/>
    </row>
    <row r="823060" spans="1:1" x14ac:dyDescent="0.25">
      <c r="A823060" s="242"/>
    </row>
    <row r="823061" spans="1:1" x14ac:dyDescent="0.25">
      <c r="A823061" s="242"/>
    </row>
    <row r="823062" spans="1:1" x14ac:dyDescent="0.25">
      <c r="A823062" s="242"/>
    </row>
    <row r="823063" spans="1:1" x14ac:dyDescent="0.25">
      <c r="A823063" s="242"/>
    </row>
    <row r="823064" spans="1:1" x14ac:dyDescent="0.25">
      <c r="A823064" s="242"/>
    </row>
    <row r="823065" spans="1:1" x14ac:dyDescent="0.25">
      <c r="A823065" s="242"/>
    </row>
    <row r="823066" spans="1:1" x14ac:dyDescent="0.25">
      <c r="A823066" s="242"/>
    </row>
    <row r="823067" spans="1:1" x14ac:dyDescent="0.25">
      <c r="A823067" s="242"/>
    </row>
    <row r="823068" spans="1:1" x14ac:dyDescent="0.25">
      <c r="A823068" s="242"/>
    </row>
    <row r="823069" spans="1:1" x14ac:dyDescent="0.25">
      <c r="A823069" s="242"/>
    </row>
    <row r="823070" spans="1:1" x14ac:dyDescent="0.25">
      <c r="A823070" s="242"/>
    </row>
    <row r="823071" spans="1:1" x14ac:dyDescent="0.25">
      <c r="A823071" s="242"/>
    </row>
    <row r="823072" spans="1:1" x14ac:dyDescent="0.25">
      <c r="A823072" s="242"/>
    </row>
    <row r="823073" spans="1:1" x14ac:dyDescent="0.25">
      <c r="A823073" s="242"/>
    </row>
    <row r="823074" spans="1:1" x14ac:dyDescent="0.25">
      <c r="A823074" s="242"/>
    </row>
    <row r="823075" spans="1:1" x14ac:dyDescent="0.25">
      <c r="A823075" s="242"/>
    </row>
    <row r="823076" spans="1:1" x14ac:dyDescent="0.25">
      <c r="A823076" s="242"/>
    </row>
    <row r="823077" spans="1:1" x14ac:dyDescent="0.25">
      <c r="A823077" s="242"/>
    </row>
    <row r="823078" spans="1:1" x14ac:dyDescent="0.25">
      <c r="A823078" s="242"/>
    </row>
    <row r="823079" spans="1:1" x14ac:dyDescent="0.25">
      <c r="A823079" s="242"/>
    </row>
    <row r="823080" spans="1:1" x14ac:dyDescent="0.25">
      <c r="A823080" s="242"/>
    </row>
    <row r="823081" spans="1:1" x14ac:dyDescent="0.25">
      <c r="A823081" s="242"/>
    </row>
    <row r="823082" spans="1:1" x14ac:dyDescent="0.25">
      <c r="A823082" s="242"/>
    </row>
    <row r="823083" spans="1:1" x14ac:dyDescent="0.25">
      <c r="A823083" s="242"/>
    </row>
    <row r="823084" spans="1:1" x14ac:dyDescent="0.25">
      <c r="A823084" s="242"/>
    </row>
    <row r="823085" spans="1:1" x14ac:dyDescent="0.25">
      <c r="A823085" s="242"/>
    </row>
    <row r="823086" spans="1:1" x14ac:dyDescent="0.25">
      <c r="A823086" s="242"/>
    </row>
    <row r="823087" spans="1:1" x14ac:dyDescent="0.25">
      <c r="A823087" s="242"/>
    </row>
    <row r="823088" spans="1:1" x14ac:dyDescent="0.25">
      <c r="A823088" s="242"/>
    </row>
    <row r="823089" spans="1:1" x14ac:dyDescent="0.25">
      <c r="A823089" s="242"/>
    </row>
    <row r="823090" spans="1:1" x14ac:dyDescent="0.25">
      <c r="A823090" s="242"/>
    </row>
    <row r="823091" spans="1:1" x14ac:dyDescent="0.25">
      <c r="A823091" s="242"/>
    </row>
    <row r="823092" spans="1:1" x14ac:dyDescent="0.25">
      <c r="A823092" s="242"/>
    </row>
    <row r="823093" spans="1:1" x14ac:dyDescent="0.25">
      <c r="A823093" s="242"/>
    </row>
    <row r="823094" spans="1:1" x14ac:dyDescent="0.25">
      <c r="A823094" s="242"/>
    </row>
    <row r="823095" spans="1:1" x14ac:dyDescent="0.25">
      <c r="A823095" s="242"/>
    </row>
    <row r="823096" spans="1:1" x14ac:dyDescent="0.25">
      <c r="A823096" s="242"/>
    </row>
    <row r="823097" spans="1:1" x14ac:dyDescent="0.25">
      <c r="A823097" s="242"/>
    </row>
    <row r="823098" spans="1:1" x14ac:dyDescent="0.25">
      <c r="A823098" s="242"/>
    </row>
    <row r="823099" spans="1:1" x14ac:dyDescent="0.25">
      <c r="A823099" s="242"/>
    </row>
    <row r="823100" spans="1:1" x14ac:dyDescent="0.25">
      <c r="A823100" s="242"/>
    </row>
    <row r="823101" spans="1:1" x14ac:dyDescent="0.25">
      <c r="A823101" s="242"/>
    </row>
    <row r="823102" spans="1:1" x14ac:dyDescent="0.25">
      <c r="A823102" s="242"/>
    </row>
    <row r="823103" spans="1:1" x14ac:dyDescent="0.25">
      <c r="A823103" s="242"/>
    </row>
    <row r="823104" spans="1:1" x14ac:dyDescent="0.25">
      <c r="A823104" s="242"/>
    </row>
    <row r="823105" spans="1:1" x14ac:dyDescent="0.25">
      <c r="A823105" s="242"/>
    </row>
    <row r="823106" spans="1:1" x14ac:dyDescent="0.25">
      <c r="A823106" s="242"/>
    </row>
    <row r="823107" spans="1:1" x14ac:dyDescent="0.25">
      <c r="A823107" s="242"/>
    </row>
    <row r="823108" spans="1:1" x14ac:dyDescent="0.25">
      <c r="A823108" s="242"/>
    </row>
    <row r="823109" spans="1:1" x14ac:dyDescent="0.25">
      <c r="A823109" s="242"/>
    </row>
    <row r="823110" spans="1:1" x14ac:dyDescent="0.25">
      <c r="A823110" s="242"/>
    </row>
    <row r="823111" spans="1:1" x14ac:dyDescent="0.25">
      <c r="A823111" s="242"/>
    </row>
    <row r="823112" spans="1:1" x14ac:dyDescent="0.25">
      <c r="A823112" s="242"/>
    </row>
    <row r="823113" spans="1:1" x14ac:dyDescent="0.25">
      <c r="A823113" s="242"/>
    </row>
    <row r="823114" spans="1:1" x14ac:dyDescent="0.25">
      <c r="A823114" s="242"/>
    </row>
    <row r="823115" spans="1:1" x14ac:dyDescent="0.25">
      <c r="A823115" s="242"/>
    </row>
    <row r="823116" spans="1:1" x14ac:dyDescent="0.25">
      <c r="A823116" s="242"/>
    </row>
    <row r="823117" spans="1:1" x14ac:dyDescent="0.25">
      <c r="A823117" s="242"/>
    </row>
    <row r="823118" spans="1:1" x14ac:dyDescent="0.25">
      <c r="A823118" s="242"/>
    </row>
    <row r="823119" spans="1:1" x14ac:dyDescent="0.25">
      <c r="A823119" s="242"/>
    </row>
    <row r="823120" spans="1:1" x14ac:dyDescent="0.25">
      <c r="A823120" s="242"/>
    </row>
    <row r="823121" spans="1:1" x14ac:dyDescent="0.25">
      <c r="A823121" s="242"/>
    </row>
    <row r="823122" spans="1:1" x14ac:dyDescent="0.25">
      <c r="A823122" s="242"/>
    </row>
    <row r="823123" spans="1:1" x14ac:dyDescent="0.25">
      <c r="A823123" s="242"/>
    </row>
    <row r="823124" spans="1:1" x14ac:dyDescent="0.25">
      <c r="A823124" s="242"/>
    </row>
    <row r="823125" spans="1:1" x14ac:dyDescent="0.25">
      <c r="A823125" s="242"/>
    </row>
    <row r="823126" spans="1:1" x14ac:dyDescent="0.25">
      <c r="A823126" s="242"/>
    </row>
    <row r="823127" spans="1:1" x14ac:dyDescent="0.25">
      <c r="A823127" s="242"/>
    </row>
    <row r="823128" spans="1:1" x14ac:dyDescent="0.25">
      <c r="A823128" s="242"/>
    </row>
    <row r="823129" spans="1:1" x14ac:dyDescent="0.25">
      <c r="A823129" s="242"/>
    </row>
    <row r="823130" spans="1:1" x14ac:dyDescent="0.25">
      <c r="A823130" s="242"/>
    </row>
    <row r="823131" spans="1:1" x14ac:dyDescent="0.25">
      <c r="A823131" s="242"/>
    </row>
    <row r="823132" spans="1:1" x14ac:dyDescent="0.25">
      <c r="A823132" s="242"/>
    </row>
    <row r="823133" spans="1:1" x14ac:dyDescent="0.25">
      <c r="A823133" s="242"/>
    </row>
    <row r="823134" spans="1:1" x14ac:dyDescent="0.25">
      <c r="A823134" s="242"/>
    </row>
    <row r="823135" spans="1:1" x14ac:dyDescent="0.25">
      <c r="A823135" s="242"/>
    </row>
    <row r="823136" spans="1:1" x14ac:dyDescent="0.25">
      <c r="A823136" s="242"/>
    </row>
    <row r="823137" spans="1:1" x14ac:dyDescent="0.25">
      <c r="A823137" s="242"/>
    </row>
    <row r="823138" spans="1:1" x14ac:dyDescent="0.25">
      <c r="A823138" s="242"/>
    </row>
    <row r="823139" spans="1:1" x14ac:dyDescent="0.25">
      <c r="A823139" s="242"/>
    </row>
    <row r="823140" spans="1:1" x14ac:dyDescent="0.25">
      <c r="A823140" s="242"/>
    </row>
    <row r="823141" spans="1:1" x14ac:dyDescent="0.25">
      <c r="A823141" s="242"/>
    </row>
    <row r="823142" spans="1:1" x14ac:dyDescent="0.25">
      <c r="A823142" s="242"/>
    </row>
    <row r="823143" spans="1:1" x14ac:dyDescent="0.25">
      <c r="A823143" s="242"/>
    </row>
    <row r="823144" spans="1:1" x14ac:dyDescent="0.25">
      <c r="A823144" s="242"/>
    </row>
    <row r="823145" spans="1:1" x14ac:dyDescent="0.25">
      <c r="A823145" s="242"/>
    </row>
    <row r="823146" spans="1:1" x14ac:dyDescent="0.25">
      <c r="A823146" s="242"/>
    </row>
    <row r="823147" spans="1:1" x14ac:dyDescent="0.25">
      <c r="A823147" s="242"/>
    </row>
    <row r="823148" spans="1:1" x14ac:dyDescent="0.25">
      <c r="A823148" s="242"/>
    </row>
    <row r="823149" spans="1:1" x14ac:dyDescent="0.25">
      <c r="A823149" s="242"/>
    </row>
    <row r="823150" spans="1:1" x14ac:dyDescent="0.25">
      <c r="A823150" s="242"/>
    </row>
    <row r="823151" spans="1:1" x14ac:dyDescent="0.25">
      <c r="A823151" s="242"/>
    </row>
    <row r="823152" spans="1:1" x14ac:dyDescent="0.25">
      <c r="A823152" s="242"/>
    </row>
    <row r="823153" spans="1:1" x14ac:dyDescent="0.25">
      <c r="A823153" s="242"/>
    </row>
    <row r="823154" spans="1:1" x14ac:dyDescent="0.25">
      <c r="A823154" s="242"/>
    </row>
    <row r="823155" spans="1:1" x14ac:dyDescent="0.25">
      <c r="A823155" s="242"/>
    </row>
    <row r="823156" spans="1:1" x14ac:dyDescent="0.25">
      <c r="A823156" s="242"/>
    </row>
    <row r="823157" spans="1:1" x14ac:dyDescent="0.25">
      <c r="A823157" s="242"/>
    </row>
    <row r="823158" spans="1:1" x14ac:dyDescent="0.25">
      <c r="A823158" s="242"/>
    </row>
    <row r="823159" spans="1:1" x14ac:dyDescent="0.25">
      <c r="A823159" s="242"/>
    </row>
    <row r="823160" spans="1:1" x14ac:dyDescent="0.25">
      <c r="A823160" s="242"/>
    </row>
    <row r="823161" spans="1:1" x14ac:dyDescent="0.25">
      <c r="A823161" s="242"/>
    </row>
    <row r="823162" spans="1:1" x14ac:dyDescent="0.25">
      <c r="A823162" s="242"/>
    </row>
    <row r="823163" spans="1:1" x14ac:dyDescent="0.25">
      <c r="A823163" s="242"/>
    </row>
    <row r="823164" spans="1:1" x14ac:dyDescent="0.25">
      <c r="A823164" s="242"/>
    </row>
    <row r="823165" spans="1:1" x14ac:dyDescent="0.25">
      <c r="A823165" s="242"/>
    </row>
    <row r="823166" spans="1:1" x14ac:dyDescent="0.25">
      <c r="A823166" s="242"/>
    </row>
    <row r="823167" spans="1:1" x14ac:dyDescent="0.25">
      <c r="A823167" s="242"/>
    </row>
    <row r="823168" spans="1:1" x14ac:dyDescent="0.25">
      <c r="A823168" s="242"/>
    </row>
    <row r="823169" spans="1:1" x14ac:dyDescent="0.25">
      <c r="A823169" s="242"/>
    </row>
    <row r="823170" spans="1:1" x14ac:dyDescent="0.25">
      <c r="A823170" s="242"/>
    </row>
    <row r="823171" spans="1:1" x14ac:dyDescent="0.25">
      <c r="A823171" s="242"/>
    </row>
    <row r="823172" spans="1:1" x14ac:dyDescent="0.25">
      <c r="A823172" s="242"/>
    </row>
    <row r="823173" spans="1:1" x14ac:dyDescent="0.25">
      <c r="A823173" s="242"/>
    </row>
    <row r="823174" spans="1:1" x14ac:dyDescent="0.25">
      <c r="A823174" s="242"/>
    </row>
    <row r="823175" spans="1:1" x14ac:dyDescent="0.25">
      <c r="A823175" s="242"/>
    </row>
    <row r="823176" spans="1:1" x14ac:dyDescent="0.25">
      <c r="A823176" s="242"/>
    </row>
    <row r="823177" spans="1:1" x14ac:dyDescent="0.25">
      <c r="A823177" s="242"/>
    </row>
    <row r="823178" spans="1:1" x14ac:dyDescent="0.25">
      <c r="A823178" s="242"/>
    </row>
    <row r="823179" spans="1:1" x14ac:dyDescent="0.25">
      <c r="A823179" s="242"/>
    </row>
    <row r="823180" spans="1:1" x14ac:dyDescent="0.25">
      <c r="A823180" s="242"/>
    </row>
    <row r="823181" spans="1:1" x14ac:dyDescent="0.25">
      <c r="A823181" s="242"/>
    </row>
    <row r="823182" spans="1:1" x14ac:dyDescent="0.25">
      <c r="A823182" s="242"/>
    </row>
    <row r="823183" spans="1:1" x14ac:dyDescent="0.25">
      <c r="A823183" s="242"/>
    </row>
    <row r="823184" spans="1:1" x14ac:dyDescent="0.25">
      <c r="A823184" s="242"/>
    </row>
    <row r="823185" spans="1:1" x14ac:dyDescent="0.25">
      <c r="A823185" s="242"/>
    </row>
    <row r="823186" spans="1:1" x14ac:dyDescent="0.25">
      <c r="A823186" s="242"/>
    </row>
    <row r="823187" spans="1:1" x14ac:dyDescent="0.25">
      <c r="A823187" s="242"/>
    </row>
    <row r="823188" spans="1:1" x14ac:dyDescent="0.25">
      <c r="A823188" s="242"/>
    </row>
    <row r="823189" spans="1:1" x14ac:dyDescent="0.25">
      <c r="A823189" s="242"/>
    </row>
    <row r="823190" spans="1:1" x14ac:dyDescent="0.25">
      <c r="A823190" s="242"/>
    </row>
    <row r="823191" spans="1:1" x14ac:dyDescent="0.25">
      <c r="A823191" s="242"/>
    </row>
    <row r="823192" spans="1:1" x14ac:dyDescent="0.25">
      <c r="A823192" s="242"/>
    </row>
    <row r="823193" spans="1:1" x14ac:dyDescent="0.25">
      <c r="A823193" s="242"/>
    </row>
    <row r="823194" spans="1:1" x14ac:dyDescent="0.25">
      <c r="A823194" s="242"/>
    </row>
    <row r="823195" spans="1:1" x14ac:dyDescent="0.25">
      <c r="A823195" s="242"/>
    </row>
    <row r="823196" spans="1:1" x14ac:dyDescent="0.25">
      <c r="A823196" s="242"/>
    </row>
    <row r="823197" spans="1:1" x14ac:dyDescent="0.25">
      <c r="A823197" s="242"/>
    </row>
    <row r="823198" spans="1:1" x14ac:dyDescent="0.25">
      <c r="A823198" s="242"/>
    </row>
    <row r="823199" spans="1:1" x14ac:dyDescent="0.25">
      <c r="A823199" s="242"/>
    </row>
    <row r="823200" spans="1:1" x14ac:dyDescent="0.25">
      <c r="A823200" s="242"/>
    </row>
    <row r="823201" spans="1:1" x14ac:dyDescent="0.25">
      <c r="A823201" s="242"/>
    </row>
    <row r="823202" spans="1:1" x14ac:dyDescent="0.25">
      <c r="A823202" s="242"/>
    </row>
    <row r="823203" spans="1:1" x14ac:dyDescent="0.25">
      <c r="A823203" s="242"/>
    </row>
    <row r="823204" spans="1:1" x14ac:dyDescent="0.25">
      <c r="A823204" s="242"/>
    </row>
    <row r="823205" spans="1:1" x14ac:dyDescent="0.25">
      <c r="A823205" s="242"/>
    </row>
    <row r="823206" spans="1:1" x14ac:dyDescent="0.25">
      <c r="A823206" s="242"/>
    </row>
    <row r="823207" spans="1:1" x14ac:dyDescent="0.25">
      <c r="A823207" s="242"/>
    </row>
    <row r="823208" spans="1:1" x14ac:dyDescent="0.25">
      <c r="A823208" s="242"/>
    </row>
    <row r="823209" spans="1:1" x14ac:dyDescent="0.25">
      <c r="A823209" s="242"/>
    </row>
    <row r="823210" spans="1:1" x14ac:dyDescent="0.25">
      <c r="A823210" s="242"/>
    </row>
    <row r="823211" spans="1:1" x14ac:dyDescent="0.25">
      <c r="A823211" s="242"/>
    </row>
    <row r="823212" spans="1:1" x14ac:dyDescent="0.25">
      <c r="A823212" s="242"/>
    </row>
    <row r="823213" spans="1:1" x14ac:dyDescent="0.25">
      <c r="A823213" s="242"/>
    </row>
    <row r="823214" spans="1:1" x14ac:dyDescent="0.25">
      <c r="A823214" s="242"/>
    </row>
    <row r="823215" spans="1:1" x14ac:dyDescent="0.25">
      <c r="A823215" s="242"/>
    </row>
    <row r="823216" spans="1:1" x14ac:dyDescent="0.25">
      <c r="A823216" s="242"/>
    </row>
    <row r="823217" spans="1:1" x14ac:dyDescent="0.25">
      <c r="A823217" s="242"/>
    </row>
    <row r="823218" spans="1:1" x14ac:dyDescent="0.25">
      <c r="A823218" s="242"/>
    </row>
    <row r="823219" spans="1:1" x14ac:dyDescent="0.25">
      <c r="A823219" s="242"/>
    </row>
    <row r="823220" spans="1:1" x14ac:dyDescent="0.25">
      <c r="A823220" s="242"/>
    </row>
    <row r="823221" spans="1:1" x14ac:dyDescent="0.25">
      <c r="A823221" s="242"/>
    </row>
    <row r="823222" spans="1:1" x14ac:dyDescent="0.25">
      <c r="A823222" s="242"/>
    </row>
    <row r="823223" spans="1:1" x14ac:dyDescent="0.25">
      <c r="A823223" s="242"/>
    </row>
    <row r="823224" spans="1:1" x14ac:dyDescent="0.25">
      <c r="A823224" s="242"/>
    </row>
    <row r="823225" spans="1:1" x14ac:dyDescent="0.25">
      <c r="A823225" s="242"/>
    </row>
    <row r="823226" spans="1:1" x14ac:dyDescent="0.25">
      <c r="A823226" s="242"/>
    </row>
    <row r="823227" spans="1:1" x14ac:dyDescent="0.25">
      <c r="A823227" s="242"/>
    </row>
    <row r="823228" spans="1:1" x14ac:dyDescent="0.25">
      <c r="A823228" s="242"/>
    </row>
    <row r="823229" spans="1:1" x14ac:dyDescent="0.25">
      <c r="A823229" s="242"/>
    </row>
    <row r="823230" spans="1:1" x14ac:dyDescent="0.25">
      <c r="A823230" s="242"/>
    </row>
    <row r="823231" spans="1:1" x14ac:dyDescent="0.25">
      <c r="A823231" s="242"/>
    </row>
    <row r="823232" spans="1:1" x14ac:dyDescent="0.25">
      <c r="A823232" s="242"/>
    </row>
    <row r="823233" spans="1:1" x14ac:dyDescent="0.25">
      <c r="A823233" s="242"/>
    </row>
    <row r="823234" spans="1:1" x14ac:dyDescent="0.25">
      <c r="A823234" s="242"/>
    </row>
    <row r="823235" spans="1:1" x14ac:dyDescent="0.25">
      <c r="A823235" s="242"/>
    </row>
    <row r="823236" spans="1:1" x14ac:dyDescent="0.25">
      <c r="A823236" s="242"/>
    </row>
    <row r="823237" spans="1:1" x14ac:dyDescent="0.25">
      <c r="A823237" s="242"/>
    </row>
    <row r="823238" spans="1:1" x14ac:dyDescent="0.25">
      <c r="A823238" s="242"/>
    </row>
    <row r="823239" spans="1:1" x14ac:dyDescent="0.25">
      <c r="A823239" s="242"/>
    </row>
    <row r="823240" spans="1:1" x14ac:dyDescent="0.25">
      <c r="A823240" s="242"/>
    </row>
    <row r="823241" spans="1:1" x14ac:dyDescent="0.25">
      <c r="A823241" s="242"/>
    </row>
    <row r="823242" spans="1:1" x14ac:dyDescent="0.25">
      <c r="A823242" s="242"/>
    </row>
    <row r="823243" spans="1:1" x14ac:dyDescent="0.25">
      <c r="A823243" s="242"/>
    </row>
    <row r="823244" spans="1:1" x14ac:dyDescent="0.25">
      <c r="A823244" s="242"/>
    </row>
    <row r="823245" spans="1:1" x14ac:dyDescent="0.25">
      <c r="A823245" s="242"/>
    </row>
    <row r="823246" spans="1:1" x14ac:dyDescent="0.25">
      <c r="A823246" s="242"/>
    </row>
    <row r="823247" spans="1:1" x14ac:dyDescent="0.25">
      <c r="A823247" s="242"/>
    </row>
    <row r="823248" spans="1:1" x14ac:dyDescent="0.25">
      <c r="A823248" s="242"/>
    </row>
    <row r="823249" spans="1:1" x14ac:dyDescent="0.25">
      <c r="A823249" s="242"/>
    </row>
    <row r="823250" spans="1:1" x14ac:dyDescent="0.25">
      <c r="A823250" s="242"/>
    </row>
    <row r="823251" spans="1:1" x14ac:dyDescent="0.25">
      <c r="A823251" s="242"/>
    </row>
    <row r="823252" spans="1:1" x14ac:dyDescent="0.25">
      <c r="A823252" s="242"/>
    </row>
    <row r="823253" spans="1:1" x14ac:dyDescent="0.25">
      <c r="A823253" s="242"/>
    </row>
    <row r="823254" spans="1:1" x14ac:dyDescent="0.25">
      <c r="A823254" s="242"/>
    </row>
    <row r="823255" spans="1:1" x14ac:dyDescent="0.25">
      <c r="A823255" s="242"/>
    </row>
    <row r="823256" spans="1:1" x14ac:dyDescent="0.25">
      <c r="A823256" s="242"/>
    </row>
    <row r="823257" spans="1:1" x14ac:dyDescent="0.25">
      <c r="A823257" s="242"/>
    </row>
    <row r="823258" spans="1:1" x14ac:dyDescent="0.25">
      <c r="A823258" s="242"/>
    </row>
    <row r="823259" spans="1:1" x14ac:dyDescent="0.25">
      <c r="A823259" s="242"/>
    </row>
    <row r="823260" spans="1:1" x14ac:dyDescent="0.25">
      <c r="A823260" s="242"/>
    </row>
    <row r="823261" spans="1:1" x14ac:dyDescent="0.25">
      <c r="A823261" s="242"/>
    </row>
    <row r="823262" spans="1:1" x14ac:dyDescent="0.25">
      <c r="A823262" s="242"/>
    </row>
    <row r="823263" spans="1:1" x14ac:dyDescent="0.25">
      <c r="A823263" s="242"/>
    </row>
    <row r="823264" spans="1:1" x14ac:dyDescent="0.25">
      <c r="A823264" s="242"/>
    </row>
    <row r="823265" spans="1:1" x14ac:dyDescent="0.25">
      <c r="A823265" s="242"/>
    </row>
    <row r="823266" spans="1:1" x14ac:dyDescent="0.25">
      <c r="A823266" s="242"/>
    </row>
    <row r="823267" spans="1:1" x14ac:dyDescent="0.25">
      <c r="A823267" s="242"/>
    </row>
    <row r="823268" spans="1:1" x14ac:dyDescent="0.25">
      <c r="A823268" s="242"/>
    </row>
    <row r="823269" spans="1:1" x14ac:dyDescent="0.25">
      <c r="A823269" s="242"/>
    </row>
    <row r="823270" spans="1:1" x14ac:dyDescent="0.25">
      <c r="A823270" s="242"/>
    </row>
    <row r="823271" spans="1:1" x14ac:dyDescent="0.25">
      <c r="A823271" s="242"/>
    </row>
    <row r="823272" spans="1:1" x14ac:dyDescent="0.25">
      <c r="A823272" s="242"/>
    </row>
    <row r="823273" spans="1:1" x14ac:dyDescent="0.25">
      <c r="A823273" s="242"/>
    </row>
    <row r="823274" spans="1:1" x14ac:dyDescent="0.25">
      <c r="A823274" s="242"/>
    </row>
    <row r="823275" spans="1:1" x14ac:dyDescent="0.25">
      <c r="A823275" s="242"/>
    </row>
    <row r="823276" spans="1:1" x14ac:dyDescent="0.25">
      <c r="A823276" s="242"/>
    </row>
    <row r="823277" spans="1:1" x14ac:dyDescent="0.25">
      <c r="A823277" s="242"/>
    </row>
    <row r="823278" spans="1:1" x14ac:dyDescent="0.25">
      <c r="A823278" s="242"/>
    </row>
    <row r="823279" spans="1:1" x14ac:dyDescent="0.25">
      <c r="A823279" s="242"/>
    </row>
    <row r="823280" spans="1:1" x14ac:dyDescent="0.25">
      <c r="A823280" s="242"/>
    </row>
    <row r="823281" spans="1:1" x14ac:dyDescent="0.25">
      <c r="A823281" s="242"/>
    </row>
    <row r="823282" spans="1:1" x14ac:dyDescent="0.25">
      <c r="A823282" s="242"/>
    </row>
    <row r="823283" spans="1:1" x14ac:dyDescent="0.25">
      <c r="A823283" s="242"/>
    </row>
    <row r="823284" spans="1:1" x14ac:dyDescent="0.25">
      <c r="A823284" s="242"/>
    </row>
    <row r="823285" spans="1:1" x14ac:dyDescent="0.25">
      <c r="A823285" s="242"/>
    </row>
    <row r="823286" spans="1:1" x14ac:dyDescent="0.25">
      <c r="A823286" s="242"/>
    </row>
    <row r="823287" spans="1:1" x14ac:dyDescent="0.25">
      <c r="A823287" s="242"/>
    </row>
    <row r="823288" spans="1:1" x14ac:dyDescent="0.25">
      <c r="A823288" s="242"/>
    </row>
    <row r="823289" spans="1:1" x14ac:dyDescent="0.25">
      <c r="A823289" s="242"/>
    </row>
    <row r="823290" spans="1:1" x14ac:dyDescent="0.25">
      <c r="A823290" s="242"/>
    </row>
    <row r="823291" spans="1:1" x14ac:dyDescent="0.25">
      <c r="A823291" s="242"/>
    </row>
    <row r="823292" spans="1:1" x14ac:dyDescent="0.25">
      <c r="A823292" s="242"/>
    </row>
    <row r="823293" spans="1:1" x14ac:dyDescent="0.25">
      <c r="A823293" s="242"/>
    </row>
    <row r="823294" spans="1:1" x14ac:dyDescent="0.25">
      <c r="A823294" s="242"/>
    </row>
    <row r="823295" spans="1:1" x14ac:dyDescent="0.25">
      <c r="A823295" s="242"/>
    </row>
    <row r="823296" spans="1:1" x14ac:dyDescent="0.25">
      <c r="A823296" s="242"/>
    </row>
    <row r="823297" spans="1:1" x14ac:dyDescent="0.25">
      <c r="A823297" s="242"/>
    </row>
    <row r="823298" spans="1:1" x14ac:dyDescent="0.25">
      <c r="A823298" s="242"/>
    </row>
    <row r="823299" spans="1:1" x14ac:dyDescent="0.25">
      <c r="A823299" s="242"/>
    </row>
    <row r="823300" spans="1:1" x14ac:dyDescent="0.25">
      <c r="A823300" s="242"/>
    </row>
    <row r="823301" spans="1:1" x14ac:dyDescent="0.25">
      <c r="A823301" s="242"/>
    </row>
    <row r="823302" spans="1:1" x14ac:dyDescent="0.25">
      <c r="A823302" s="242"/>
    </row>
    <row r="823303" spans="1:1" x14ac:dyDescent="0.25">
      <c r="A823303" s="242"/>
    </row>
    <row r="823304" spans="1:1" x14ac:dyDescent="0.25">
      <c r="A823304" s="242"/>
    </row>
    <row r="823305" spans="1:1" x14ac:dyDescent="0.25">
      <c r="A823305" s="242"/>
    </row>
    <row r="823306" spans="1:1" x14ac:dyDescent="0.25">
      <c r="A823306" s="242"/>
    </row>
    <row r="823307" spans="1:1" x14ac:dyDescent="0.25">
      <c r="A823307" s="242"/>
    </row>
    <row r="823308" spans="1:1" x14ac:dyDescent="0.25">
      <c r="A823308" s="242"/>
    </row>
    <row r="823309" spans="1:1" x14ac:dyDescent="0.25">
      <c r="A823309" s="242"/>
    </row>
    <row r="823310" spans="1:1" x14ac:dyDescent="0.25">
      <c r="A823310" s="242"/>
    </row>
    <row r="823311" spans="1:1" x14ac:dyDescent="0.25">
      <c r="A823311" s="242"/>
    </row>
    <row r="823312" spans="1:1" x14ac:dyDescent="0.25">
      <c r="A823312" s="242"/>
    </row>
    <row r="823313" spans="1:1" x14ac:dyDescent="0.25">
      <c r="A823313" s="242"/>
    </row>
    <row r="823314" spans="1:1" x14ac:dyDescent="0.25">
      <c r="A823314" s="242"/>
    </row>
    <row r="823315" spans="1:1" x14ac:dyDescent="0.25">
      <c r="A823315" s="242"/>
    </row>
    <row r="823316" spans="1:1" x14ac:dyDescent="0.25">
      <c r="A823316" s="242"/>
    </row>
    <row r="823317" spans="1:1" x14ac:dyDescent="0.25">
      <c r="A823317" s="242"/>
    </row>
    <row r="823318" spans="1:1" x14ac:dyDescent="0.25">
      <c r="A823318" s="242"/>
    </row>
    <row r="823319" spans="1:1" x14ac:dyDescent="0.25">
      <c r="A823319" s="242"/>
    </row>
    <row r="823320" spans="1:1" x14ac:dyDescent="0.25">
      <c r="A823320" s="242"/>
    </row>
    <row r="823321" spans="1:1" x14ac:dyDescent="0.25">
      <c r="A823321" s="242"/>
    </row>
    <row r="823322" spans="1:1" x14ac:dyDescent="0.25">
      <c r="A823322" s="242"/>
    </row>
    <row r="823323" spans="1:1" x14ac:dyDescent="0.25">
      <c r="A823323" s="242"/>
    </row>
    <row r="823324" spans="1:1" x14ac:dyDescent="0.25">
      <c r="A823324" s="242"/>
    </row>
    <row r="823325" spans="1:1" x14ac:dyDescent="0.25">
      <c r="A823325" s="242"/>
    </row>
    <row r="823326" spans="1:1" x14ac:dyDescent="0.25">
      <c r="A823326" s="242"/>
    </row>
    <row r="823327" spans="1:1" x14ac:dyDescent="0.25">
      <c r="A823327" s="242"/>
    </row>
    <row r="823328" spans="1:1" x14ac:dyDescent="0.25">
      <c r="A823328" s="242"/>
    </row>
    <row r="823329" spans="1:1" x14ac:dyDescent="0.25">
      <c r="A823329" s="242"/>
    </row>
    <row r="823330" spans="1:1" x14ac:dyDescent="0.25">
      <c r="A823330" s="242"/>
    </row>
    <row r="823331" spans="1:1" x14ac:dyDescent="0.25">
      <c r="A823331" s="242"/>
    </row>
    <row r="823332" spans="1:1" x14ac:dyDescent="0.25">
      <c r="A823332" s="242"/>
    </row>
    <row r="823333" spans="1:1" x14ac:dyDescent="0.25">
      <c r="A823333" s="242"/>
    </row>
    <row r="823334" spans="1:1" x14ac:dyDescent="0.25">
      <c r="A823334" s="242"/>
    </row>
    <row r="823335" spans="1:1" x14ac:dyDescent="0.25">
      <c r="A823335" s="242"/>
    </row>
    <row r="823336" spans="1:1" x14ac:dyDescent="0.25">
      <c r="A823336" s="242"/>
    </row>
    <row r="823337" spans="1:1" x14ac:dyDescent="0.25">
      <c r="A823337" s="242"/>
    </row>
    <row r="823338" spans="1:1" x14ac:dyDescent="0.25">
      <c r="A823338" s="242"/>
    </row>
    <row r="823339" spans="1:1" x14ac:dyDescent="0.25">
      <c r="A823339" s="242"/>
    </row>
    <row r="823340" spans="1:1" x14ac:dyDescent="0.25">
      <c r="A823340" s="242"/>
    </row>
    <row r="823341" spans="1:1" x14ac:dyDescent="0.25">
      <c r="A823341" s="242"/>
    </row>
    <row r="823342" spans="1:1" x14ac:dyDescent="0.25">
      <c r="A823342" s="242"/>
    </row>
    <row r="823343" spans="1:1" x14ac:dyDescent="0.25">
      <c r="A823343" s="242"/>
    </row>
    <row r="823344" spans="1:1" x14ac:dyDescent="0.25">
      <c r="A823344" s="242"/>
    </row>
    <row r="823345" spans="1:1" x14ac:dyDescent="0.25">
      <c r="A823345" s="242"/>
    </row>
    <row r="823346" spans="1:1" x14ac:dyDescent="0.25">
      <c r="A823346" s="242"/>
    </row>
    <row r="823347" spans="1:1" x14ac:dyDescent="0.25">
      <c r="A823347" s="242"/>
    </row>
    <row r="823348" spans="1:1" x14ac:dyDescent="0.25">
      <c r="A823348" s="242"/>
    </row>
    <row r="823349" spans="1:1" x14ac:dyDescent="0.25">
      <c r="A823349" s="242"/>
    </row>
    <row r="823350" spans="1:1" x14ac:dyDescent="0.25">
      <c r="A823350" s="242"/>
    </row>
    <row r="823351" spans="1:1" x14ac:dyDescent="0.25">
      <c r="A823351" s="242"/>
    </row>
    <row r="823352" spans="1:1" x14ac:dyDescent="0.25">
      <c r="A823352" s="242"/>
    </row>
    <row r="823353" spans="1:1" x14ac:dyDescent="0.25">
      <c r="A823353" s="242"/>
    </row>
    <row r="823354" spans="1:1" x14ac:dyDescent="0.25">
      <c r="A823354" s="242"/>
    </row>
    <row r="823355" spans="1:1" x14ac:dyDescent="0.25">
      <c r="A823355" s="242"/>
    </row>
    <row r="823356" spans="1:1" x14ac:dyDescent="0.25">
      <c r="A823356" s="242"/>
    </row>
    <row r="823357" spans="1:1" x14ac:dyDescent="0.25">
      <c r="A823357" s="242"/>
    </row>
    <row r="823358" spans="1:1" x14ac:dyDescent="0.25">
      <c r="A823358" s="242"/>
    </row>
    <row r="823359" spans="1:1" x14ac:dyDescent="0.25">
      <c r="A823359" s="242"/>
    </row>
    <row r="823360" spans="1:1" x14ac:dyDescent="0.25">
      <c r="A823360" s="242"/>
    </row>
    <row r="823361" spans="1:1" x14ac:dyDescent="0.25">
      <c r="A823361" s="242"/>
    </row>
    <row r="823362" spans="1:1" x14ac:dyDescent="0.25">
      <c r="A823362" s="242"/>
    </row>
    <row r="823363" spans="1:1" x14ac:dyDescent="0.25">
      <c r="A823363" s="242"/>
    </row>
    <row r="823364" spans="1:1" x14ac:dyDescent="0.25">
      <c r="A823364" s="242"/>
    </row>
    <row r="823365" spans="1:1" x14ac:dyDescent="0.25">
      <c r="A823365" s="242"/>
    </row>
    <row r="823366" spans="1:1" x14ac:dyDescent="0.25">
      <c r="A823366" s="242"/>
    </row>
    <row r="823367" spans="1:1" x14ac:dyDescent="0.25">
      <c r="A823367" s="242"/>
    </row>
    <row r="823368" spans="1:1" x14ac:dyDescent="0.25">
      <c r="A823368" s="242"/>
    </row>
    <row r="823369" spans="1:1" x14ac:dyDescent="0.25">
      <c r="A823369" s="242"/>
    </row>
    <row r="823370" spans="1:1" x14ac:dyDescent="0.25">
      <c r="A823370" s="242"/>
    </row>
    <row r="823371" spans="1:1" x14ac:dyDescent="0.25">
      <c r="A823371" s="242"/>
    </row>
    <row r="823372" spans="1:1" x14ac:dyDescent="0.25">
      <c r="A823372" s="242"/>
    </row>
    <row r="823373" spans="1:1" x14ac:dyDescent="0.25">
      <c r="A823373" s="242"/>
    </row>
    <row r="823374" spans="1:1" x14ac:dyDescent="0.25">
      <c r="A823374" s="242"/>
    </row>
    <row r="823375" spans="1:1" x14ac:dyDescent="0.25">
      <c r="A823375" s="242"/>
    </row>
    <row r="823376" spans="1:1" x14ac:dyDescent="0.25">
      <c r="A823376" s="242"/>
    </row>
    <row r="823377" spans="1:1" x14ac:dyDescent="0.25">
      <c r="A823377" s="242"/>
    </row>
    <row r="823378" spans="1:1" x14ac:dyDescent="0.25">
      <c r="A823378" s="242"/>
    </row>
    <row r="823379" spans="1:1" x14ac:dyDescent="0.25">
      <c r="A823379" s="242"/>
    </row>
    <row r="823380" spans="1:1" x14ac:dyDescent="0.25">
      <c r="A823380" s="242"/>
    </row>
    <row r="823381" spans="1:1" x14ac:dyDescent="0.25">
      <c r="A823381" s="242"/>
    </row>
    <row r="823382" spans="1:1" x14ac:dyDescent="0.25">
      <c r="A823382" s="242"/>
    </row>
    <row r="823383" spans="1:1" x14ac:dyDescent="0.25">
      <c r="A823383" s="242"/>
    </row>
    <row r="823384" spans="1:1" x14ac:dyDescent="0.25">
      <c r="A823384" s="242"/>
    </row>
    <row r="823385" spans="1:1" x14ac:dyDescent="0.25">
      <c r="A823385" s="242"/>
    </row>
    <row r="823386" spans="1:1" x14ac:dyDescent="0.25">
      <c r="A823386" s="242"/>
    </row>
    <row r="823387" spans="1:1" x14ac:dyDescent="0.25">
      <c r="A823387" s="242"/>
    </row>
    <row r="823388" spans="1:1" x14ac:dyDescent="0.25">
      <c r="A823388" s="242"/>
    </row>
    <row r="823389" spans="1:1" x14ac:dyDescent="0.25">
      <c r="A823389" s="242"/>
    </row>
    <row r="823390" spans="1:1" x14ac:dyDescent="0.25">
      <c r="A823390" s="242"/>
    </row>
    <row r="823391" spans="1:1" x14ac:dyDescent="0.25">
      <c r="A823391" s="242"/>
    </row>
    <row r="823392" spans="1:1" x14ac:dyDescent="0.25">
      <c r="A823392" s="242"/>
    </row>
    <row r="823393" spans="1:1" x14ac:dyDescent="0.25">
      <c r="A823393" s="242"/>
    </row>
    <row r="823394" spans="1:1" x14ac:dyDescent="0.25">
      <c r="A823394" s="242"/>
    </row>
    <row r="823395" spans="1:1" x14ac:dyDescent="0.25">
      <c r="A823395" s="242"/>
    </row>
    <row r="823396" spans="1:1" x14ac:dyDescent="0.25">
      <c r="A823396" s="242"/>
    </row>
    <row r="823397" spans="1:1" x14ac:dyDescent="0.25">
      <c r="A823397" s="242"/>
    </row>
    <row r="823398" spans="1:1" x14ac:dyDescent="0.25">
      <c r="A823398" s="242"/>
    </row>
    <row r="823399" spans="1:1" x14ac:dyDescent="0.25">
      <c r="A823399" s="242"/>
    </row>
    <row r="823400" spans="1:1" x14ac:dyDescent="0.25">
      <c r="A823400" s="242"/>
    </row>
    <row r="823401" spans="1:1" x14ac:dyDescent="0.25">
      <c r="A823401" s="242"/>
    </row>
    <row r="823402" spans="1:1" x14ac:dyDescent="0.25">
      <c r="A823402" s="242"/>
    </row>
    <row r="823403" spans="1:1" x14ac:dyDescent="0.25">
      <c r="A823403" s="242"/>
    </row>
    <row r="823404" spans="1:1" x14ac:dyDescent="0.25">
      <c r="A823404" s="242"/>
    </row>
    <row r="823405" spans="1:1" x14ac:dyDescent="0.25">
      <c r="A823405" s="242"/>
    </row>
    <row r="823406" spans="1:1" x14ac:dyDescent="0.25">
      <c r="A823406" s="242"/>
    </row>
    <row r="823407" spans="1:1" x14ac:dyDescent="0.25">
      <c r="A823407" s="242"/>
    </row>
    <row r="823408" spans="1:1" x14ac:dyDescent="0.25">
      <c r="A823408" s="242"/>
    </row>
    <row r="823409" spans="1:1" x14ac:dyDescent="0.25">
      <c r="A823409" s="242"/>
    </row>
    <row r="823410" spans="1:1" x14ac:dyDescent="0.25">
      <c r="A823410" s="242"/>
    </row>
    <row r="823411" spans="1:1" x14ac:dyDescent="0.25">
      <c r="A823411" s="242"/>
    </row>
    <row r="823412" spans="1:1" x14ac:dyDescent="0.25">
      <c r="A823412" s="242"/>
    </row>
    <row r="823413" spans="1:1" x14ac:dyDescent="0.25">
      <c r="A823413" s="242"/>
    </row>
    <row r="823414" spans="1:1" x14ac:dyDescent="0.25">
      <c r="A823414" s="242"/>
    </row>
    <row r="823415" spans="1:1" x14ac:dyDescent="0.25">
      <c r="A823415" s="242"/>
    </row>
    <row r="823416" spans="1:1" x14ac:dyDescent="0.25">
      <c r="A823416" s="242"/>
    </row>
    <row r="823417" spans="1:1" x14ac:dyDescent="0.25">
      <c r="A823417" s="242"/>
    </row>
    <row r="823418" spans="1:1" x14ac:dyDescent="0.25">
      <c r="A823418" s="242"/>
    </row>
    <row r="823419" spans="1:1" x14ac:dyDescent="0.25">
      <c r="A823419" s="242"/>
    </row>
    <row r="823420" spans="1:1" x14ac:dyDescent="0.25">
      <c r="A823420" s="242"/>
    </row>
    <row r="823421" spans="1:1" x14ac:dyDescent="0.25">
      <c r="A823421" s="242"/>
    </row>
    <row r="823422" spans="1:1" x14ac:dyDescent="0.25">
      <c r="A823422" s="242"/>
    </row>
    <row r="823423" spans="1:1" x14ac:dyDescent="0.25">
      <c r="A823423" s="242"/>
    </row>
    <row r="823424" spans="1:1" x14ac:dyDescent="0.25">
      <c r="A823424" s="242"/>
    </row>
    <row r="823425" spans="1:1" x14ac:dyDescent="0.25">
      <c r="A823425" s="242"/>
    </row>
    <row r="823426" spans="1:1" x14ac:dyDescent="0.25">
      <c r="A823426" s="242"/>
    </row>
    <row r="823427" spans="1:1" x14ac:dyDescent="0.25">
      <c r="A823427" s="242"/>
    </row>
    <row r="823428" spans="1:1" x14ac:dyDescent="0.25">
      <c r="A823428" s="242"/>
    </row>
    <row r="823429" spans="1:1" x14ac:dyDescent="0.25">
      <c r="A823429" s="242"/>
    </row>
    <row r="823430" spans="1:1" x14ac:dyDescent="0.25">
      <c r="A823430" s="242"/>
    </row>
    <row r="823431" spans="1:1" x14ac:dyDescent="0.25">
      <c r="A823431" s="242"/>
    </row>
    <row r="823432" spans="1:1" x14ac:dyDescent="0.25">
      <c r="A823432" s="242"/>
    </row>
    <row r="823433" spans="1:1" x14ac:dyDescent="0.25">
      <c r="A823433" s="242"/>
    </row>
    <row r="823434" spans="1:1" x14ac:dyDescent="0.25">
      <c r="A823434" s="242"/>
    </row>
    <row r="823435" spans="1:1" x14ac:dyDescent="0.25">
      <c r="A823435" s="242"/>
    </row>
    <row r="823436" spans="1:1" x14ac:dyDescent="0.25">
      <c r="A823436" s="242"/>
    </row>
    <row r="823437" spans="1:1" x14ac:dyDescent="0.25">
      <c r="A823437" s="242"/>
    </row>
    <row r="823438" spans="1:1" x14ac:dyDescent="0.25">
      <c r="A823438" s="242"/>
    </row>
    <row r="823439" spans="1:1" x14ac:dyDescent="0.25">
      <c r="A823439" s="242"/>
    </row>
    <row r="823440" spans="1:1" x14ac:dyDescent="0.25">
      <c r="A823440" s="242"/>
    </row>
    <row r="823441" spans="1:1" x14ac:dyDescent="0.25">
      <c r="A823441" s="242"/>
    </row>
    <row r="823442" spans="1:1" x14ac:dyDescent="0.25">
      <c r="A823442" s="242"/>
    </row>
    <row r="823443" spans="1:1" x14ac:dyDescent="0.25">
      <c r="A823443" s="242"/>
    </row>
    <row r="823444" spans="1:1" x14ac:dyDescent="0.25">
      <c r="A823444" s="242"/>
    </row>
    <row r="823445" spans="1:1" x14ac:dyDescent="0.25">
      <c r="A823445" s="242"/>
    </row>
    <row r="823446" spans="1:1" x14ac:dyDescent="0.25">
      <c r="A823446" s="242"/>
    </row>
    <row r="823447" spans="1:1" x14ac:dyDescent="0.25">
      <c r="A823447" s="242"/>
    </row>
    <row r="823448" spans="1:1" x14ac:dyDescent="0.25">
      <c r="A823448" s="242"/>
    </row>
    <row r="823449" spans="1:1" x14ac:dyDescent="0.25">
      <c r="A823449" s="242"/>
    </row>
    <row r="823450" spans="1:1" x14ac:dyDescent="0.25">
      <c r="A823450" s="242"/>
    </row>
    <row r="823451" spans="1:1" x14ac:dyDescent="0.25">
      <c r="A823451" s="242"/>
    </row>
    <row r="823452" spans="1:1" x14ac:dyDescent="0.25">
      <c r="A823452" s="242"/>
    </row>
    <row r="823453" spans="1:1" x14ac:dyDescent="0.25">
      <c r="A823453" s="242"/>
    </row>
    <row r="823454" spans="1:1" x14ac:dyDescent="0.25">
      <c r="A823454" s="242"/>
    </row>
    <row r="823455" spans="1:1" x14ac:dyDescent="0.25">
      <c r="A823455" s="242"/>
    </row>
    <row r="823456" spans="1:1" x14ac:dyDescent="0.25">
      <c r="A823456" s="242"/>
    </row>
    <row r="823457" spans="1:1" x14ac:dyDescent="0.25">
      <c r="A823457" s="242"/>
    </row>
    <row r="823458" spans="1:1" x14ac:dyDescent="0.25">
      <c r="A823458" s="242"/>
    </row>
    <row r="823459" spans="1:1" x14ac:dyDescent="0.25">
      <c r="A823459" s="242"/>
    </row>
    <row r="823460" spans="1:1" x14ac:dyDescent="0.25">
      <c r="A823460" s="242"/>
    </row>
    <row r="823461" spans="1:1" x14ac:dyDescent="0.25">
      <c r="A823461" s="242"/>
    </row>
    <row r="823462" spans="1:1" x14ac:dyDescent="0.25">
      <c r="A823462" s="242"/>
    </row>
    <row r="823463" spans="1:1" x14ac:dyDescent="0.25">
      <c r="A823463" s="242"/>
    </row>
    <row r="823464" spans="1:1" x14ac:dyDescent="0.25">
      <c r="A823464" s="242"/>
    </row>
    <row r="823465" spans="1:1" x14ac:dyDescent="0.25">
      <c r="A823465" s="242"/>
    </row>
    <row r="823466" spans="1:1" x14ac:dyDescent="0.25">
      <c r="A823466" s="242"/>
    </row>
    <row r="823467" spans="1:1" x14ac:dyDescent="0.25">
      <c r="A823467" s="242"/>
    </row>
    <row r="823468" spans="1:1" x14ac:dyDescent="0.25">
      <c r="A823468" s="242"/>
    </row>
    <row r="823469" spans="1:1" x14ac:dyDescent="0.25">
      <c r="A823469" s="242"/>
    </row>
    <row r="823470" spans="1:1" x14ac:dyDescent="0.25">
      <c r="A823470" s="242"/>
    </row>
    <row r="823471" spans="1:1" x14ac:dyDescent="0.25">
      <c r="A823471" s="242"/>
    </row>
    <row r="823472" spans="1:1" x14ac:dyDescent="0.25">
      <c r="A823472" s="242"/>
    </row>
    <row r="823473" spans="1:1" x14ac:dyDescent="0.25">
      <c r="A823473" s="242"/>
    </row>
    <row r="823474" spans="1:1" x14ac:dyDescent="0.25">
      <c r="A823474" s="242"/>
    </row>
    <row r="823475" spans="1:1" x14ac:dyDescent="0.25">
      <c r="A823475" s="242"/>
    </row>
    <row r="823476" spans="1:1" x14ac:dyDescent="0.25">
      <c r="A823476" s="242"/>
    </row>
    <row r="823477" spans="1:1" x14ac:dyDescent="0.25">
      <c r="A823477" s="242"/>
    </row>
    <row r="823478" spans="1:1" x14ac:dyDescent="0.25">
      <c r="A823478" s="242"/>
    </row>
    <row r="823479" spans="1:1" x14ac:dyDescent="0.25">
      <c r="A823479" s="242"/>
    </row>
    <row r="823480" spans="1:1" x14ac:dyDescent="0.25">
      <c r="A823480" s="242"/>
    </row>
    <row r="823481" spans="1:1" x14ac:dyDescent="0.25">
      <c r="A823481" s="242"/>
    </row>
    <row r="823482" spans="1:1" x14ac:dyDescent="0.25">
      <c r="A823482" s="242"/>
    </row>
    <row r="823483" spans="1:1" x14ac:dyDescent="0.25">
      <c r="A823483" s="242"/>
    </row>
    <row r="823484" spans="1:1" x14ac:dyDescent="0.25">
      <c r="A823484" s="242"/>
    </row>
    <row r="823485" spans="1:1" x14ac:dyDescent="0.25">
      <c r="A823485" s="242"/>
    </row>
    <row r="823486" spans="1:1" x14ac:dyDescent="0.25">
      <c r="A823486" s="242"/>
    </row>
    <row r="823487" spans="1:1" x14ac:dyDescent="0.25">
      <c r="A823487" s="242"/>
    </row>
    <row r="823488" spans="1:1" x14ac:dyDescent="0.25">
      <c r="A823488" s="242"/>
    </row>
    <row r="823489" spans="1:1" x14ac:dyDescent="0.25">
      <c r="A823489" s="242"/>
    </row>
    <row r="823490" spans="1:1" x14ac:dyDescent="0.25">
      <c r="A823490" s="242"/>
    </row>
    <row r="823491" spans="1:1" x14ac:dyDescent="0.25">
      <c r="A823491" s="242"/>
    </row>
    <row r="823492" spans="1:1" x14ac:dyDescent="0.25">
      <c r="A823492" s="242"/>
    </row>
    <row r="823493" spans="1:1" x14ac:dyDescent="0.25">
      <c r="A823493" s="242"/>
    </row>
    <row r="823494" spans="1:1" x14ac:dyDescent="0.25">
      <c r="A823494" s="242"/>
    </row>
    <row r="823495" spans="1:1" x14ac:dyDescent="0.25">
      <c r="A823495" s="242"/>
    </row>
    <row r="823496" spans="1:1" x14ac:dyDescent="0.25">
      <c r="A823496" s="242"/>
    </row>
    <row r="823497" spans="1:1" x14ac:dyDescent="0.25">
      <c r="A823497" s="242"/>
    </row>
    <row r="823498" spans="1:1" x14ac:dyDescent="0.25">
      <c r="A823498" s="242"/>
    </row>
    <row r="823499" spans="1:1" x14ac:dyDescent="0.25">
      <c r="A823499" s="242"/>
    </row>
    <row r="823500" spans="1:1" x14ac:dyDescent="0.25">
      <c r="A823500" s="242"/>
    </row>
    <row r="823501" spans="1:1" x14ac:dyDescent="0.25">
      <c r="A823501" s="242"/>
    </row>
    <row r="823502" spans="1:1" x14ac:dyDescent="0.25">
      <c r="A823502" s="242"/>
    </row>
    <row r="823503" spans="1:1" x14ac:dyDescent="0.25">
      <c r="A823503" s="242"/>
    </row>
    <row r="823504" spans="1:1" x14ac:dyDescent="0.25">
      <c r="A823504" s="242"/>
    </row>
    <row r="823505" spans="1:1" x14ac:dyDescent="0.25">
      <c r="A823505" s="242"/>
    </row>
    <row r="823506" spans="1:1" x14ac:dyDescent="0.25">
      <c r="A823506" s="242"/>
    </row>
    <row r="823507" spans="1:1" x14ac:dyDescent="0.25">
      <c r="A823507" s="242"/>
    </row>
    <row r="823508" spans="1:1" x14ac:dyDescent="0.25">
      <c r="A823508" s="242"/>
    </row>
    <row r="823509" spans="1:1" x14ac:dyDescent="0.25">
      <c r="A823509" s="242"/>
    </row>
    <row r="823510" spans="1:1" x14ac:dyDescent="0.25">
      <c r="A823510" s="242"/>
    </row>
    <row r="823511" spans="1:1" x14ac:dyDescent="0.25">
      <c r="A823511" s="242"/>
    </row>
    <row r="823512" spans="1:1" x14ac:dyDescent="0.25">
      <c r="A823512" s="242"/>
    </row>
    <row r="823513" spans="1:1" x14ac:dyDescent="0.25">
      <c r="A823513" s="242"/>
    </row>
    <row r="823514" spans="1:1" x14ac:dyDescent="0.25">
      <c r="A823514" s="242"/>
    </row>
    <row r="823515" spans="1:1" x14ac:dyDescent="0.25">
      <c r="A823515" s="242"/>
    </row>
    <row r="823516" spans="1:1" x14ac:dyDescent="0.25">
      <c r="A823516" s="242"/>
    </row>
    <row r="823517" spans="1:1" x14ac:dyDescent="0.25">
      <c r="A823517" s="242"/>
    </row>
    <row r="823518" spans="1:1" x14ac:dyDescent="0.25">
      <c r="A823518" s="242"/>
    </row>
    <row r="823519" spans="1:1" x14ac:dyDescent="0.25">
      <c r="A823519" s="242"/>
    </row>
    <row r="823520" spans="1:1" x14ac:dyDescent="0.25">
      <c r="A823520" s="242"/>
    </row>
    <row r="823521" spans="1:1" x14ac:dyDescent="0.25">
      <c r="A823521" s="242"/>
    </row>
    <row r="823522" spans="1:1" x14ac:dyDescent="0.25">
      <c r="A823522" s="242"/>
    </row>
    <row r="823523" spans="1:1" x14ac:dyDescent="0.25">
      <c r="A823523" s="242"/>
    </row>
    <row r="823524" spans="1:1" x14ac:dyDescent="0.25">
      <c r="A823524" s="242"/>
    </row>
    <row r="823525" spans="1:1" x14ac:dyDescent="0.25">
      <c r="A823525" s="242"/>
    </row>
    <row r="823526" spans="1:1" x14ac:dyDescent="0.25">
      <c r="A823526" s="242"/>
    </row>
    <row r="823527" spans="1:1" x14ac:dyDescent="0.25">
      <c r="A823527" s="242"/>
    </row>
    <row r="823528" spans="1:1" x14ac:dyDescent="0.25">
      <c r="A823528" s="242"/>
    </row>
    <row r="823529" spans="1:1" x14ac:dyDescent="0.25">
      <c r="A823529" s="242"/>
    </row>
    <row r="823530" spans="1:1" x14ac:dyDescent="0.25">
      <c r="A823530" s="242"/>
    </row>
    <row r="823531" spans="1:1" x14ac:dyDescent="0.25">
      <c r="A823531" s="242"/>
    </row>
    <row r="823532" spans="1:1" x14ac:dyDescent="0.25">
      <c r="A823532" s="242"/>
    </row>
    <row r="823533" spans="1:1" x14ac:dyDescent="0.25">
      <c r="A823533" s="242"/>
    </row>
    <row r="823534" spans="1:1" x14ac:dyDescent="0.25">
      <c r="A823534" s="242"/>
    </row>
    <row r="823535" spans="1:1" x14ac:dyDescent="0.25">
      <c r="A823535" s="242"/>
    </row>
    <row r="823536" spans="1:1" x14ac:dyDescent="0.25">
      <c r="A823536" s="242"/>
    </row>
    <row r="823537" spans="1:1" x14ac:dyDescent="0.25">
      <c r="A823537" s="242"/>
    </row>
    <row r="823538" spans="1:1" x14ac:dyDescent="0.25">
      <c r="A823538" s="242"/>
    </row>
    <row r="823539" spans="1:1" x14ac:dyDescent="0.25">
      <c r="A823539" s="242"/>
    </row>
    <row r="823540" spans="1:1" x14ac:dyDescent="0.25">
      <c r="A823540" s="242"/>
    </row>
    <row r="823541" spans="1:1" x14ac:dyDescent="0.25">
      <c r="A823541" s="242"/>
    </row>
    <row r="823542" spans="1:1" x14ac:dyDescent="0.25">
      <c r="A823542" s="242"/>
    </row>
    <row r="823543" spans="1:1" x14ac:dyDescent="0.25">
      <c r="A823543" s="242"/>
    </row>
    <row r="823544" spans="1:1" x14ac:dyDescent="0.25">
      <c r="A823544" s="242"/>
    </row>
    <row r="823545" spans="1:1" x14ac:dyDescent="0.25">
      <c r="A823545" s="242"/>
    </row>
    <row r="823546" spans="1:1" x14ac:dyDescent="0.25">
      <c r="A823546" s="242"/>
    </row>
    <row r="823547" spans="1:1" x14ac:dyDescent="0.25">
      <c r="A823547" s="242"/>
    </row>
    <row r="823548" spans="1:1" x14ac:dyDescent="0.25">
      <c r="A823548" s="242"/>
    </row>
    <row r="823549" spans="1:1" x14ac:dyDescent="0.25">
      <c r="A823549" s="242"/>
    </row>
    <row r="823550" spans="1:1" x14ac:dyDescent="0.25">
      <c r="A823550" s="242"/>
    </row>
    <row r="823551" spans="1:1" x14ac:dyDescent="0.25">
      <c r="A823551" s="242"/>
    </row>
    <row r="823552" spans="1:1" x14ac:dyDescent="0.25">
      <c r="A823552" s="242"/>
    </row>
    <row r="823553" spans="1:1" x14ac:dyDescent="0.25">
      <c r="A823553" s="242"/>
    </row>
    <row r="823554" spans="1:1" x14ac:dyDescent="0.25">
      <c r="A823554" s="242"/>
    </row>
    <row r="823555" spans="1:1" x14ac:dyDescent="0.25">
      <c r="A823555" s="242"/>
    </row>
    <row r="823556" spans="1:1" x14ac:dyDescent="0.25">
      <c r="A823556" s="242"/>
    </row>
    <row r="823557" spans="1:1" x14ac:dyDescent="0.25">
      <c r="A823557" s="242"/>
    </row>
    <row r="823558" spans="1:1" x14ac:dyDescent="0.25">
      <c r="A823558" s="242"/>
    </row>
    <row r="823559" spans="1:1" x14ac:dyDescent="0.25">
      <c r="A823559" s="242"/>
    </row>
    <row r="823560" spans="1:1" x14ac:dyDescent="0.25">
      <c r="A823560" s="242"/>
    </row>
    <row r="823561" spans="1:1" x14ac:dyDescent="0.25">
      <c r="A823561" s="242"/>
    </row>
    <row r="823562" spans="1:1" x14ac:dyDescent="0.25">
      <c r="A823562" s="242"/>
    </row>
    <row r="823563" spans="1:1" x14ac:dyDescent="0.25">
      <c r="A823563" s="242"/>
    </row>
    <row r="823564" spans="1:1" x14ac:dyDescent="0.25">
      <c r="A823564" s="242"/>
    </row>
    <row r="823565" spans="1:1" x14ac:dyDescent="0.25">
      <c r="A823565" s="242"/>
    </row>
    <row r="823566" spans="1:1" x14ac:dyDescent="0.25">
      <c r="A823566" s="242"/>
    </row>
    <row r="823567" spans="1:1" x14ac:dyDescent="0.25">
      <c r="A823567" s="242"/>
    </row>
    <row r="823568" spans="1:1" x14ac:dyDescent="0.25">
      <c r="A823568" s="242"/>
    </row>
    <row r="823569" spans="1:1" x14ac:dyDescent="0.25">
      <c r="A823569" s="242"/>
    </row>
    <row r="823570" spans="1:1" x14ac:dyDescent="0.25">
      <c r="A823570" s="242"/>
    </row>
    <row r="823571" spans="1:1" x14ac:dyDescent="0.25">
      <c r="A823571" s="242"/>
    </row>
    <row r="823572" spans="1:1" x14ac:dyDescent="0.25">
      <c r="A823572" s="242"/>
    </row>
    <row r="823573" spans="1:1" x14ac:dyDescent="0.25">
      <c r="A823573" s="242"/>
    </row>
    <row r="823574" spans="1:1" x14ac:dyDescent="0.25">
      <c r="A823574" s="242"/>
    </row>
    <row r="823575" spans="1:1" x14ac:dyDescent="0.25">
      <c r="A823575" s="242"/>
    </row>
    <row r="823576" spans="1:1" x14ac:dyDescent="0.25">
      <c r="A823576" s="242"/>
    </row>
    <row r="823577" spans="1:1" x14ac:dyDescent="0.25">
      <c r="A823577" s="242"/>
    </row>
    <row r="823578" spans="1:1" x14ac:dyDescent="0.25">
      <c r="A823578" s="242"/>
    </row>
    <row r="823579" spans="1:1" x14ac:dyDescent="0.25">
      <c r="A823579" s="242"/>
    </row>
    <row r="823580" spans="1:1" x14ac:dyDescent="0.25">
      <c r="A823580" s="242"/>
    </row>
    <row r="823581" spans="1:1" x14ac:dyDescent="0.25">
      <c r="A823581" s="242"/>
    </row>
    <row r="823582" spans="1:1" x14ac:dyDescent="0.25">
      <c r="A823582" s="242"/>
    </row>
    <row r="823583" spans="1:1" x14ac:dyDescent="0.25">
      <c r="A823583" s="242"/>
    </row>
    <row r="823584" spans="1:1" x14ac:dyDescent="0.25">
      <c r="A823584" s="242"/>
    </row>
    <row r="823585" spans="1:1" x14ac:dyDescent="0.25">
      <c r="A823585" s="242"/>
    </row>
    <row r="823586" spans="1:1" x14ac:dyDescent="0.25">
      <c r="A823586" s="242"/>
    </row>
    <row r="823587" spans="1:1" x14ac:dyDescent="0.25">
      <c r="A823587" s="242"/>
    </row>
    <row r="823588" spans="1:1" x14ac:dyDescent="0.25">
      <c r="A823588" s="242"/>
    </row>
    <row r="823589" spans="1:1" x14ac:dyDescent="0.25">
      <c r="A823589" s="242"/>
    </row>
    <row r="823590" spans="1:1" x14ac:dyDescent="0.25">
      <c r="A823590" s="242"/>
    </row>
    <row r="823591" spans="1:1" x14ac:dyDescent="0.25">
      <c r="A823591" s="242"/>
    </row>
    <row r="823592" spans="1:1" x14ac:dyDescent="0.25">
      <c r="A823592" s="242"/>
    </row>
    <row r="823593" spans="1:1" x14ac:dyDescent="0.25">
      <c r="A823593" s="242"/>
    </row>
    <row r="823594" spans="1:1" x14ac:dyDescent="0.25">
      <c r="A823594" s="242"/>
    </row>
    <row r="823595" spans="1:1" x14ac:dyDescent="0.25">
      <c r="A823595" s="242"/>
    </row>
    <row r="823596" spans="1:1" x14ac:dyDescent="0.25">
      <c r="A823596" s="242"/>
    </row>
    <row r="823597" spans="1:1" x14ac:dyDescent="0.25">
      <c r="A823597" s="242"/>
    </row>
    <row r="823598" spans="1:1" x14ac:dyDescent="0.25">
      <c r="A823598" s="242"/>
    </row>
    <row r="823599" spans="1:1" x14ac:dyDescent="0.25">
      <c r="A823599" s="242"/>
    </row>
    <row r="823600" spans="1:1" x14ac:dyDescent="0.25">
      <c r="A823600" s="242"/>
    </row>
    <row r="823601" spans="1:1" x14ac:dyDescent="0.25">
      <c r="A823601" s="242"/>
    </row>
    <row r="823602" spans="1:1" x14ac:dyDescent="0.25">
      <c r="A823602" s="242"/>
    </row>
    <row r="823603" spans="1:1" x14ac:dyDescent="0.25">
      <c r="A823603" s="242"/>
    </row>
    <row r="823604" spans="1:1" x14ac:dyDescent="0.25">
      <c r="A823604" s="242"/>
    </row>
    <row r="823605" spans="1:1" x14ac:dyDescent="0.25">
      <c r="A823605" s="242"/>
    </row>
    <row r="823606" spans="1:1" x14ac:dyDescent="0.25">
      <c r="A823606" s="242"/>
    </row>
    <row r="823607" spans="1:1" x14ac:dyDescent="0.25">
      <c r="A823607" s="242"/>
    </row>
    <row r="823608" spans="1:1" x14ac:dyDescent="0.25">
      <c r="A823608" s="242"/>
    </row>
    <row r="823609" spans="1:1" x14ac:dyDescent="0.25">
      <c r="A823609" s="242"/>
    </row>
    <row r="823610" spans="1:1" x14ac:dyDescent="0.25">
      <c r="A823610" s="242"/>
    </row>
    <row r="823611" spans="1:1" x14ac:dyDescent="0.25">
      <c r="A823611" s="242"/>
    </row>
    <row r="823612" spans="1:1" x14ac:dyDescent="0.25">
      <c r="A823612" s="242"/>
    </row>
    <row r="823613" spans="1:1" x14ac:dyDescent="0.25">
      <c r="A823613" s="242"/>
    </row>
    <row r="823614" spans="1:1" x14ac:dyDescent="0.25">
      <c r="A823614" s="242"/>
    </row>
    <row r="823615" spans="1:1" x14ac:dyDescent="0.25">
      <c r="A823615" s="242"/>
    </row>
    <row r="823616" spans="1:1" x14ac:dyDescent="0.25">
      <c r="A823616" s="242"/>
    </row>
    <row r="823617" spans="1:1" x14ac:dyDescent="0.25">
      <c r="A823617" s="242"/>
    </row>
    <row r="823618" spans="1:1" x14ac:dyDescent="0.25">
      <c r="A823618" s="242"/>
    </row>
    <row r="823619" spans="1:1" x14ac:dyDescent="0.25">
      <c r="A823619" s="242"/>
    </row>
    <row r="823620" spans="1:1" x14ac:dyDescent="0.25">
      <c r="A823620" s="242"/>
    </row>
    <row r="823621" spans="1:1" x14ac:dyDescent="0.25">
      <c r="A823621" s="242"/>
    </row>
    <row r="823622" spans="1:1" x14ac:dyDescent="0.25">
      <c r="A823622" s="242"/>
    </row>
    <row r="823623" spans="1:1" x14ac:dyDescent="0.25">
      <c r="A823623" s="242"/>
    </row>
    <row r="823624" spans="1:1" x14ac:dyDescent="0.25">
      <c r="A823624" s="242"/>
    </row>
    <row r="823625" spans="1:1" x14ac:dyDescent="0.25">
      <c r="A823625" s="242"/>
    </row>
    <row r="823626" spans="1:1" x14ac:dyDescent="0.25">
      <c r="A823626" s="242"/>
    </row>
    <row r="823627" spans="1:1" x14ac:dyDescent="0.25">
      <c r="A823627" s="242"/>
    </row>
    <row r="823628" spans="1:1" x14ac:dyDescent="0.25">
      <c r="A823628" s="242"/>
    </row>
    <row r="823629" spans="1:1" x14ac:dyDescent="0.25">
      <c r="A823629" s="242"/>
    </row>
    <row r="823630" spans="1:1" x14ac:dyDescent="0.25">
      <c r="A823630" s="242"/>
    </row>
    <row r="823631" spans="1:1" x14ac:dyDescent="0.25">
      <c r="A823631" s="242"/>
    </row>
    <row r="823632" spans="1:1" x14ac:dyDescent="0.25">
      <c r="A823632" s="242"/>
    </row>
    <row r="823633" spans="1:1" x14ac:dyDescent="0.25">
      <c r="A823633" s="242"/>
    </row>
    <row r="823634" spans="1:1" x14ac:dyDescent="0.25">
      <c r="A823634" s="242"/>
    </row>
    <row r="823635" spans="1:1" x14ac:dyDescent="0.25">
      <c r="A823635" s="242"/>
    </row>
    <row r="823636" spans="1:1" x14ac:dyDescent="0.25">
      <c r="A823636" s="242"/>
    </row>
    <row r="823637" spans="1:1" x14ac:dyDescent="0.25">
      <c r="A823637" s="242"/>
    </row>
    <row r="823638" spans="1:1" x14ac:dyDescent="0.25">
      <c r="A823638" s="242"/>
    </row>
    <row r="823639" spans="1:1" x14ac:dyDescent="0.25">
      <c r="A823639" s="242"/>
    </row>
    <row r="823640" spans="1:1" x14ac:dyDescent="0.25">
      <c r="A823640" s="242"/>
    </row>
    <row r="823641" spans="1:1" x14ac:dyDescent="0.25">
      <c r="A823641" s="242"/>
    </row>
    <row r="823642" spans="1:1" x14ac:dyDescent="0.25">
      <c r="A823642" s="242"/>
    </row>
    <row r="823643" spans="1:1" x14ac:dyDescent="0.25">
      <c r="A823643" s="242"/>
    </row>
    <row r="823644" spans="1:1" x14ac:dyDescent="0.25">
      <c r="A823644" s="242"/>
    </row>
    <row r="823645" spans="1:1" x14ac:dyDescent="0.25">
      <c r="A823645" s="242"/>
    </row>
    <row r="823646" spans="1:1" x14ac:dyDescent="0.25">
      <c r="A823646" s="242"/>
    </row>
    <row r="823647" spans="1:1" x14ac:dyDescent="0.25">
      <c r="A823647" s="242"/>
    </row>
    <row r="823648" spans="1:1" x14ac:dyDescent="0.25">
      <c r="A823648" s="242"/>
    </row>
    <row r="823649" spans="1:1" x14ac:dyDescent="0.25">
      <c r="A823649" s="242"/>
    </row>
    <row r="823650" spans="1:1" x14ac:dyDescent="0.25">
      <c r="A823650" s="242"/>
    </row>
    <row r="823651" spans="1:1" x14ac:dyDescent="0.25">
      <c r="A823651" s="242"/>
    </row>
    <row r="823652" spans="1:1" x14ac:dyDescent="0.25">
      <c r="A823652" s="242"/>
    </row>
    <row r="823653" spans="1:1" x14ac:dyDescent="0.25">
      <c r="A823653" s="242"/>
    </row>
    <row r="823654" spans="1:1" x14ac:dyDescent="0.25">
      <c r="A823654" s="242"/>
    </row>
    <row r="823655" spans="1:1" x14ac:dyDescent="0.25">
      <c r="A823655" s="242"/>
    </row>
    <row r="823656" spans="1:1" x14ac:dyDescent="0.25">
      <c r="A823656" s="242"/>
    </row>
    <row r="823657" spans="1:1" x14ac:dyDescent="0.25">
      <c r="A823657" s="242"/>
    </row>
    <row r="823658" spans="1:1" x14ac:dyDescent="0.25">
      <c r="A823658" s="242"/>
    </row>
    <row r="823659" spans="1:1" x14ac:dyDescent="0.25">
      <c r="A823659" s="242"/>
    </row>
    <row r="823660" spans="1:1" x14ac:dyDescent="0.25">
      <c r="A823660" s="242"/>
    </row>
    <row r="823661" spans="1:1" x14ac:dyDescent="0.25">
      <c r="A823661" s="242"/>
    </row>
    <row r="823662" spans="1:1" x14ac:dyDescent="0.25">
      <c r="A823662" s="242"/>
    </row>
    <row r="823663" spans="1:1" x14ac:dyDescent="0.25">
      <c r="A823663" s="242"/>
    </row>
    <row r="823664" spans="1:1" x14ac:dyDescent="0.25">
      <c r="A823664" s="242"/>
    </row>
    <row r="823665" spans="1:1" x14ac:dyDescent="0.25">
      <c r="A823665" s="242"/>
    </row>
    <row r="823666" spans="1:1" x14ac:dyDescent="0.25">
      <c r="A823666" s="242"/>
    </row>
    <row r="823667" spans="1:1" x14ac:dyDescent="0.25">
      <c r="A823667" s="242"/>
    </row>
    <row r="823668" spans="1:1" x14ac:dyDescent="0.25">
      <c r="A823668" s="242"/>
    </row>
    <row r="823669" spans="1:1" x14ac:dyDescent="0.25">
      <c r="A823669" s="242"/>
    </row>
    <row r="823670" spans="1:1" x14ac:dyDescent="0.25">
      <c r="A823670" s="242"/>
    </row>
    <row r="823671" spans="1:1" x14ac:dyDescent="0.25">
      <c r="A823671" s="242"/>
    </row>
    <row r="823672" spans="1:1" x14ac:dyDescent="0.25">
      <c r="A823672" s="242"/>
    </row>
    <row r="823673" spans="1:1" x14ac:dyDescent="0.25">
      <c r="A823673" s="242"/>
    </row>
    <row r="823674" spans="1:1" x14ac:dyDescent="0.25">
      <c r="A823674" s="242"/>
    </row>
    <row r="823675" spans="1:1" x14ac:dyDescent="0.25">
      <c r="A823675" s="242"/>
    </row>
    <row r="823676" spans="1:1" x14ac:dyDescent="0.25">
      <c r="A823676" s="242"/>
    </row>
    <row r="823677" spans="1:1" x14ac:dyDescent="0.25">
      <c r="A823677" s="242"/>
    </row>
    <row r="823678" spans="1:1" x14ac:dyDescent="0.25">
      <c r="A823678" s="242"/>
    </row>
    <row r="823679" spans="1:1" x14ac:dyDescent="0.25">
      <c r="A823679" s="242"/>
    </row>
    <row r="823680" spans="1:1" x14ac:dyDescent="0.25">
      <c r="A823680" s="242"/>
    </row>
    <row r="823681" spans="1:1" x14ac:dyDescent="0.25">
      <c r="A823681" s="242"/>
    </row>
    <row r="823682" spans="1:1" x14ac:dyDescent="0.25">
      <c r="A823682" s="242"/>
    </row>
    <row r="823683" spans="1:1" x14ac:dyDescent="0.25">
      <c r="A823683" s="242"/>
    </row>
    <row r="823684" spans="1:1" x14ac:dyDescent="0.25">
      <c r="A823684" s="242"/>
    </row>
    <row r="823685" spans="1:1" x14ac:dyDescent="0.25">
      <c r="A823685" s="242"/>
    </row>
    <row r="823686" spans="1:1" x14ac:dyDescent="0.25">
      <c r="A823686" s="242"/>
    </row>
    <row r="823687" spans="1:1" x14ac:dyDescent="0.25">
      <c r="A823687" s="242"/>
    </row>
    <row r="823688" spans="1:1" x14ac:dyDescent="0.25">
      <c r="A823688" s="242"/>
    </row>
    <row r="823689" spans="1:1" x14ac:dyDescent="0.25">
      <c r="A823689" s="242"/>
    </row>
    <row r="823690" spans="1:1" x14ac:dyDescent="0.25">
      <c r="A823690" s="242"/>
    </row>
    <row r="823691" spans="1:1" x14ac:dyDescent="0.25">
      <c r="A823691" s="242"/>
    </row>
    <row r="823692" spans="1:1" x14ac:dyDescent="0.25">
      <c r="A823692" s="242"/>
    </row>
    <row r="823693" spans="1:1" x14ac:dyDescent="0.25">
      <c r="A823693" s="242"/>
    </row>
    <row r="823694" spans="1:1" x14ac:dyDescent="0.25">
      <c r="A823694" s="242"/>
    </row>
    <row r="823695" spans="1:1" x14ac:dyDescent="0.25">
      <c r="A823695" s="242"/>
    </row>
    <row r="823696" spans="1:1" x14ac:dyDescent="0.25">
      <c r="A823696" s="242"/>
    </row>
    <row r="823697" spans="1:1" x14ac:dyDescent="0.25">
      <c r="A823697" s="242"/>
    </row>
    <row r="823698" spans="1:1" x14ac:dyDescent="0.25">
      <c r="A823698" s="242"/>
    </row>
    <row r="823699" spans="1:1" x14ac:dyDescent="0.25">
      <c r="A823699" s="242"/>
    </row>
    <row r="823700" spans="1:1" x14ac:dyDescent="0.25">
      <c r="A823700" s="242"/>
    </row>
    <row r="823701" spans="1:1" x14ac:dyDescent="0.25">
      <c r="A823701" s="242"/>
    </row>
    <row r="823702" spans="1:1" x14ac:dyDescent="0.25">
      <c r="A823702" s="242"/>
    </row>
    <row r="823703" spans="1:1" x14ac:dyDescent="0.25">
      <c r="A823703" s="242"/>
    </row>
    <row r="823704" spans="1:1" x14ac:dyDescent="0.25">
      <c r="A823704" s="242"/>
    </row>
    <row r="823705" spans="1:1" x14ac:dyDescent="0.25">
      <c r="A823705" s="242"/>
    </row>
    <row r="823706" spans="1:1" x14ac:dyDescent="0.25">
      <c r="A823706" s="242"/>
    </row>
    <row r="823707" spans="1:1" x14ac:dyDescent="0.25">
      <c r="A823707" s="242"/>
    </row>
    <row r="823708" spans="1:1" x14ac:dyDescent="0.25">
      <c r="A823708" s="242"/>
    </row>
    <row r="823709" spans="1:1" x14ac:dyDescent="0.25">
      <c r="A823709" s="242"/>
    </row>
    <row r="823710" spans="1:1" x14ac:dyDescent="0.25">
      <c r="A823710" s="242"/>
    </row>
    <row r="823711" spans="1:1" x14ac:dyDescent="0.25">
      <c r="A823711" s="242"/>
    </row>
    <row r="823712" spans="1:1" x14ac:dyDescent="0.25">
      <c r="A823712" s="242"/>
    </row>
    <row r="823713" spans="1:1" x14ac:dyDescent="0.25">
      <c r="A823713" s="242"/>
    </row>
    <row r="823714" spans="1:1" x14ac:dyDescent="0.25">
      <c r="A823714" s="242"/>
    </row>
    <row r="823715" spans="1:1" x14ac:dyDescent="0.25">
      <c r="A823715" s="242"/>
    </row>
    <row r="823716" spans="1:1" x14ac:dyDescent="0.25">
      <c r="A823716" s="242"/>
    </row>
    <row r="823717" spans="1:1" x14ac:dyDescent="0.25">
      <c r="A823717" s="242"/>
    </row>
    <row r="823718" spans="1:1" x14ac:dyDescent="0.25">
      <c r="A823718" s="242"/>
    </row>
    <row r="823719" spans="1:1" x14ac:dyDescent="0.25">
      <c r="A823719" s="242"/>
    </row>
    <row r="823720" spans="1:1" x14ac:dyDescent="0.25">
      <c r="A823720" s="242"/>
    </row>
    <row r="823721" spans="1:1" x14ac:dyDescent="0.25">
      <c r="A823721" s="242"/>
    </row>
    <row r="823722" spans="1:1" x14ac:dyDescent="0.25">
      <c r="A823722" s="242"/>
    </row>
    <row r="823723" spans="1:1" x14ac:dyDescent="0.25">
      <c r="A823723" s="242"/>
    </row>
    <row r="823724" spans="1:1" x14ac:dyDescent="0.25">
      <c r="A823724" s="242"/>
    </row>
    <row r="823725" spans="1:1" x14ac:dyDescent="0.25">
      <c r="A823725" s="242"/>
    </row>
    <row r="823726" spans="1:1" x14ac:dyDescent="0.25">
      <c r="A823726" s="242"/>
    </row>
    <row r="823727" spans="1:1" x14ac:dyDescent="0.25">
      <c r="A823727" s="242"/>
    </row>
    <row r="823728" spans="1:1" x14ac:dyDescent="0.25">
      <c r="A823728" s="242"/>
    </row>
    <row r="823729" spans="1:1" x14ac:dyDescent="0.25">
      <c r="A823729" s="242"/>
    </row>
    <row r="823730" spans="1:1" x14ac:dyDescent="0.25">
      <c r="A823730" s="242"/>
    </row>
    <row r="823731" spans="1:1" x14ac:dyDescent="0.25">
      <c r="A823731" s="242"/>
    </row>
    <row r="823732" spans="1:1" x14ac:dyDescent="0.25">
      <c r="A823732" s="242"/>
    </row>
    <row r="823733" spans="1:1" x14ac:dyDescent="0.25">
      <c r="A823733" s="242"/>
    </row>
    <row r="823734" spans="1:1" x14ac:dyDescent="0.25">
      <c r="A823734" s="242"/>
    </row>
    <row r="823735" spans="1:1" x14ac:dyDescent="0.25">
      <c r="A823735" s="242"/>
    </row>
    <row r="823736" spans="1:1" x14ac:dyDescent="0.25">
      <c r="A823736" s="242"/>
    </row>
    <row r="823737" spans="1:1" x14ac:dyDescent="0.25">
      <c r="A823737" s="242"/>
    </row>
    <row r="823738" spans="1:1" x14ac:dyDescent="0.25">
      <c r="A823738" s="242"/>
    </row>
    <row r="823739" spans="1:1" x14ac:dyDescent="0.25">
      <c r="A823739" s="242"/>
    </row>
    <row r="823740" spans="1:1" x14ac:dyDescent="0.25">
      <c r="A823740" s="242"/>
    </row>
    <row r="823741" spans="1:1" x14ac:dyDescent="0.25">
      <c r="A823741" s="242"/>
    </row>
    <row r="823742" spans="1:1" x14ac:dyDescent="0.25">
      <c r="A823742" s="242"/>
    </row>
    <row r="823743" spans="1:1" x14ac:dyDescent="0.25">
      <c r="A823743" s="242"/>
    </row>
    <row r="823744" spans="1:1" x14ac:dyDescent="0.25">
      <c r="A823744" s="242"/>
    </row>
    <row r="823745" spans="1:1" x14ac:dyDescent="0.25">
      <c r="A823745" s="242"/>
    </row>
    <row r="823746" spans="1:1" x14ac:dyDescent="0.25">
      <c r="A823746" s="242"/>
    </row>
    <row r="823747" spans="1:1" x14ac:dyDescent="0.25">
      <c r="A823747" s="242"/>
    </row>
    <row r="823748" spans="1:1" x14ac:dyDescent="0.25">
      <c r="A823748" s="242"/>
    </row>
    <row r="823749" spans="1:1" x14ac:dyDescent="0.25">
      <c r="A823749" s="242"/>
    </row>
    <row r="823750" spans="1:1" x14ac:dyDescent="0.25">
      <c r="A823750" s="242"/>
    </row>
    <row r="823751" spans="1:1" x14ac:dyDescent="0.25">
      <c r="A823751" s="242"/>
    </row>
    <row r="823752" spans="1:1" x14ac:dyDescent="0.25">
      <c r="A823752" s="242"/>
    </row>
    <row r="823753" spans="1:1" x14ac:dyDescent="0.25">
      <c r="A823753" s="242"/>
    </row>
    <row r="823754" spans="1:1" x14ac:dyDescent="0.25">
      <c r="A823754" s="242"/>
    </row>
    <row r="823755" spans="1:1" x14ac:dyDescent="0.25">
      <c r="A823755" s="242"/>
    </row>
    <row r="823756" spans="1:1" x14ac:dyDescent="0.25">
      <c r="A823756" s="242"/>
    </row>
    <row r="823757" spans="1:1" x14ac:dyDescent="0.25">
      <c r="A823757" s="242"/>
    </row>
    <row r="823758" spans="1:1" x14ac:dyDescent="0.25">
      <c r="A823758" s="242"/>
    </row>
    <row r="823759" spans="1:1" x14ac:dyDescent="0.25">
      <c r="A823759" s="242"/>
    </row>
    <row r="823760" spans="1:1" x14ac:dyDescent="0.25">
      <c r="A823760" s="242"/>
    </row>
    <row r="823761" spans="1:1" x14ac:dyDescent="0.25">
      <c r="A823761" s="242"/>
    </row>
    <row r="823762" spans="1:1" x14ac:dyDescent="0.25">
      <c r="A823762" s="242"/>
    </row>
    <row r="823763" spans="1:1" x14ac:dyDescent="0.25">
      <c r="A823763" s="242"/>
    </row>
    <row r="823764" spans="1:1" x14ac:dyDescent="0.25">
      <c r="A823764" s="242"/>
    </row>
    <row r="823765" spans="1:1" x14ac:dyDescent="0.25">
      <c r="A823765" s="242"/>
    </row>
    <row r="823766" spans="1:1" x14ac:dyDescent="0.25">
      <c r="A823766" s="242"/>
    </row>
    <row r="823767" spans="1:1" x14ac:dyDescent="0.25">
      <c r="A823767" s="242"/>
    </row>
    <row r="823768" spans="1:1" x14ac:dyDescent="0.25">
      <c r="A823768" s="242"/>
    </row>
    <row r="823769" spans="1:1" x14ac:dyDescent="0.25">
      <c r="A823769" s="242"/>
    </row>
    <row r="823770" spans="1:1" x14ac:dyDescent="0.25">
      <c r="A823770" s="242"/>
    </row>
    <row r="823771" spans="1:1" x14ac:dyDescent="0.25">
      <c r="A823771" s="242"/>
    </row>
    <row r="823772" spans="1:1" x14ac:dyDescent="0.25">
      <c r="A823772" s="242"/>
    </row>
    <row r="823773" spans="1:1" x14ac:dyDescent="0.25">
      <c r="A823773" s="242"/>
    </row>
    <row r="823774" spans="1:1" x14ac:dyDescent="0.25">
      <c r="A823774" s="242"/>
    </row>
    <row r="823775" spans="1:1" x14ac:dyDescent="0.25">
      <c r="A823775" s="242"/>
    </row>
    <row r="823776" spans="1:1" x14ac:dyDescent="0.25">
      <c r="A823776" s="242"/>
    </row>
    <row r="823777" spans="1:1" x14ac:dyDescent="0.25">
      <c r="A823777" s="242"/>
    </row>
    <row r="823778" spans="1:1" x14ac:dyDescent="0.25">
      <c r="A823778" s="242"/>
    </row>
    <row r="823779" spans="1:1" x14ac:dyDescent="0.25">
      <c r="A823779" s="242"/>
    </row>
    <row r="823780" spans="1:1" x14ac:dyDescent="0.25">
      <c r="A823780" s="242"/>
    </row>
    <row r="823781" spans="1:1" x14ac:dyDescent="0.25">
      <c r="A823781" s="242"/>
    </row>
    <row r="823782" spans="1:1" x14ac:dyDescent="0.25">
      <c r="A823782" s="242"/>
    </row>
    <row r="823783" spans="1:1" x14ac:dyDescent="0.25">
      <c r="A823783" s="242"/>
    </row>
    <row r="823784" spans="1:1" x14ac:dyDescent="0.25">
      <c r="A823784" s="242"/>
    </row>
    <row r="823785" spans="1:1" x14ac:dyDescent="0.25">
      <c r="A823785" s="242"/>
    </row>
    <row r="823786" spans="1:1" x14ac:dyDescent="0.25">
      <c r="A823786" s="242"/>
    </row>
    <row r="823787" spans="1:1" x14ac:dyDescent="0.25">
      <c r="A823787" s="242"/>
    </row>
    <row r="823788" spans="1:1" x14ac:dyDescent="0.25">
      <c r="A823788" s="242"/>
    </row>
    <row r="823789" spans="1:1" x14ac:dyDescent="0.25">
      <c r="A823789" s="242"/>
    </row>
    <row r="823790" spans="1:1" x14ac:dyDescent="0.25">
      <c r="A823790" s="242"/>
    </row>
    <row r="823791" spans="1:1" x14ac:dyDescent="0.25">
      <c r="A823791" s="242"/>
    </row>
    <row r="823792" spans="1:1" x14ac:dyDescent="0.25">
      <c r="A823792" s="242"/>
    </row>
    <row r="823793" spans="1:1" x14ac:dyDescent="0.25">
      <c r="A823793" s="242"/>
    </row>
    <row r="823794" spans="1:1" x14ac:dyDescent="0.25">
      <c r="A823794" s="242"/>
    </row>
    <row r="823795" spans="1:1" x14ac:dyDescent="0.25">
      <c r="A823795" s="242"/>
    </row>
    <row r="823796" spans="1:1" x14ac:dyDescent="0.25">
      <c r="A823796" s="242"/>
    </row>
    <row r="823797" spans="1:1" x14ac:dyDescent="0.25">
      <c r="A823797" s="242"/>
    </row>
    <row r="823798" spans="1:1" x14ac:dyDescent="0.25">
      <c r="A823798" s="242"/>
    </row>
    <row r="823799" spans="1:1" x14ac:dyDescent="0.25">
      <c r="A823799" s="242"/>
    </row>
    <row r="823800" spans="1:1" x14ac:dyDescent="0.25">
      <c r="A823800" s="242"/>
    </row>
    <row r="823801" spans="1:1" x14ac:dyDescent="0.25">
      <c r="A823801" s="242"/>
    </row>
    <row r="823802" spans="1:1" x14ac:dyDescent="0.25">
      <c r="A823802" s="242"/>
    </row>
    <row r="823803" spans="1:1" x14ac:dyDescent="0.25">
      <c r="A823803" s="242"/>
    </row>
    <row r="823804" spans="1:1" x14ac:dyDescent="0.25">
      <c r="A823804" s="242"/>
    </row>
    <row r="823805" spans="1:1" x14ac:dyDescent="0.25">
      <c r="A823805" s="242"/>
    </row>
    <row r="823806" spans="1:1" x14ac:dyDescent="0.25">
      <c r="A823806" s="242"/>
    </row>
    <row r="823807" spans="1:1" x14ac:dyDescent="0.25">
      <c r="A823807" s="242"/>
    </row>
    <row r="823808" spans="1:1" x14ac:dyDescent="0.25">
      <c r="A823808" s="242"/>
    </row>
    <row r="823809" spans="1:1" x14ac:dyDescent="0.25">
      <c r="A823809" s="242"/>
    </row>
    <row r="823810" spans="1:1" x14ac:dyDescent="0.25">
      <c r="A823810" s="242"/>
    </row>
    <row r="823811" spans="1:1" x14ac:dyDescent="0.25">
      <c r="A823811" s="242"/>
    </row>
    <row r="823812" spans="1:1" x14ac:dyDescent="0.25">
      <c r="A823812" s="242"/>
    </row>
    <row r="823813" spans="1:1" x14ac:dyDescent="0.25">
      <c r="A823813" s="242"/>
    </row>
    <row r="823814" spans="1:1" x14ac:dyDescent="0.25">
      <c r="A823814" s="242"/>
    </row>
    <row r="823815" spans="1:1" x14ac:dyDescent="0.25">
      <c r="A823815" s="242"/>
    </row>
    <row r="823816" spans="1:1" x14ac:dyDescent="0.25">
      <c r="A823816" s="242"/>
    </row>
    <row r="823817" spans="1:1" x14ac:dyDescent="0.25">
      <c r="A823817" s="242"/>
    </row>
    <row r="823818" spans="1:1" x14ac:dyDescent="0.25">
      <c r="A823818" s="242"/>
    </row>
    <row r="823819" spans="1:1" x14ac:dyDescent="0.25">
      <c r="A823819" s="242"/>
    </row>
    <row r="823820" spans="1:1" x14ac:dyDescent="0.25">
      <c r="A823820" s="242"/>
    </row>
    <row r="823821" spans="1:1" x14ac:dyDescent="0.25">
      <c r="A823821" s="242"/>
    </row>
    <row r="823822" spans="1:1" x14ac:dyDescent="0.25">
      <c r="A823822" s="242"/>
    </row>
    <row r="823823" spans="1:1" x14ac:dyDescent="0.25">
      <c r="A823823" s="242"/>
    </row>
    <row r="823824" spans="1:1" x14ac:dyDescent="0.25">
      <c r="A823824" s="242"/>
    </row>
    <row r="823825" spans="1:1" x14ac:dyDescent="0.25">
      <c r="A823825" s="242"/>
    </row>
    <row r="823826" spans="1:1" x14ac:dyDescent="0.25">
      <c r="A823826" s="242"/>
    </row>
    <row r="823827" spans="1:1" x14ac:dyDescent="0.25">
      <c r="A823827" s="242"/>
    </row>
    <row r="823828" spans="1:1" x14ac:dyDescent="0.25">
      <c r="A823828" s="242"/>
    </row>
    <row r="823829" spans="1:1" x14ac:dyDescent="0.25">
      <c r="A823829" s="242"/>
    </row>
    <row r="823830" spans="1:1" x14ac:dyDescent="0.25">
      <c r="A823830" s="242"/>
    </row>
    <row r="823831" spans="1:1" x14ac:dyDescent="0.25">
      <c r="A823831" s="242"/>
    </row>
    <row r="823832" spans="1:1" x14ac:dyDescent="0.25">
      <c r="A823832" s="242"/>
    </row>
    <row r="823833" spans="1:1" x14ac:dyDescent="0.25">
      <c r="A823833" s="242"/>
    </row>
    <row r="823834" spans="1:1" x14ac:dyDescent="0.25">
      <c r="A823834" s="242"/>
    </row>
    <row r="823835" spans="1:1" x14ac:dyDescent="0.25">
      <c r="A823835" s="242"/>
    </row>
    <row r="823836" spans="1:1" x14ac:dyDescent="0.25">
      <c r="A823836" s="242"/>
    </row>
    <row r="823837" spans="1:1" x14ac:dyDescent="0.25">
      <c r="A823837" s="242"/>
    </row>
    <row r="823838" spans="1:1" x14ac:dyDescent="0.25">
      <c r="A823838" s="242"/>
    </row>
    <row r="823839" spans="1:1" x14ac:dyDescent="0.25">
      <c r="A823839" s="242"/>
    </row>
    <row r="823840" spans="1:1" x14ac:dyDescent="0.25">
      <c r="A823840" s="242"/>
    </row>
    <row r="823841" spans="1:1" x14ac:dyDescent="0.25">
      <c r="A823841" s="242"/>
    </row>
    <row r="823842" spans="1:1" x14ac:dyDescent="0.25">
      <c r="A823842" s="242"/>
    </row>
    <row r="823843" spans="1:1" x14ac:dyDescent="0.25">
      <c r="A823843" s="242"/>
    </row>
    <row r="823844" spans="1:1" x14ac:dyDescent="0.25">
      <c r="A823844" s="242"/>
    </row>
    <row r="823845" spans="1:1" x14ac:dyDescent="0.25">
      <c r="A823845" s="242"/>
    </row>
    <row r="823846" spans="1:1" x14ac:dyDescent="0.25">
      <c r="A823846" s="242"/>
    </row>
    <row r="823847" spans="1:1" x14ac:dyDescent="0.25">
      <c r="A823847" s="242"/>
    </row>
    <row r="823848" spans="1:1" x14ac:dyDescent="0.25">
      <c r="A823848" s="242"/>
    </row>
    <row r="823849" spans="1:1" x14ac:dyDescent="0.25">
      <c r="A823849" s="242"/>
    </row>
    <row r="823850" spans="1:1" x14ac:dyDescent="0.25">
      <c r="A823850" s="242"/>
    </row>
    <row r="823851" spans="1:1" x14ac:dyDescent="0.25">
      <c r="A823851" s="242"/>
    </row>
    <row r="823852" spans="1:1" x14ac:dyDescent="0.25">
      <c r="A823852" s="242"/>
    </row>
    <row r="823853" spans="1:1" x14ac:dyDescent="0.25">
      <c r="A823853" s="242"/>
    </row>
    <row r="823854" spans="1:1" x14ac:dyDescent="0.25">
      <c r="A823854" s="242"/>
    </row>
    <row r="823855" spans="1:1" x14ac:dyDescent="0.25">
      <c r="A823855" s="242"/>
    </row>
    <row r="823856" spans="1:1" x14ac:dyDescent="0.25">
      <c r="A823856" s="242"/>
    </row>
    <row r="823857" spans="1:1" x14ac:dyDescent="0.25">
      <c r="A823857" s="242"/>
    </row>
    <row r="823858" spans="1:1" x14ac:dyDescent="0.25">
      <c r="A823858" s="242"/>
    </row>
    <row r="823859" spans="1:1" x14ac:dyDescent="0.25">
      <c r="A823859" s="242"/>
    </row>
    <row r="823860" spans="1:1" x14ac:dyDescent="0.25">
      <c r="A823860" s="242"/>
    </row>
    <row r="823861" spans="1:1" x14ac:dyDescent="0.25">
      <c r="A823861" s="242"/>
    </row>
    <row r="823862" spans="1:1" x14ac:dyDescent="0.25">
      <c r="A823862" s="242"/>
    </row>
    <row r="823863" spans="1:1" x14ac:dyDescent="0.25">
      <c r="A823863" s="242"/>
    </row>
    <row r="823864" spans="1:1" x14ac:dyDescent="0.25">
      <c r="A823864" s="242"/>
    </row>
    <row r="823865" spans="1:1" x14ac:dyDescent="0.25">
      <c r="A823865" s="242"/>
    </row>
    <row r="823866" spans="1:1" x14ac:dyDescent="0.25">
      <c r="A823866" s="242"/>
    </row>
    <row r="823867" spans="1:1" x14ac:dyDescent="0.25">
      <c r="A823867" s="242"/>
    </row>
    <row r="823868" spans="1:1" x14ac:dyDescent="0.25">
      <c r="A823868" s="242"/>
    </row>
    <row r="823869" spans="1:1" x14ac:dyDescent="0.25">
      <c r="A823869" s="242"/>
    </row>
    <row r="823870" spans="1:1" x14ac:dyDescent="0.25">
      <c r="A823870" s="242"/>
    </row>
    <row r="823871" spans="1:1" x14ac:dyDescent="0.25">
      <c r="A823871" s="242"/>
    </row>
    <row r="823872" spans="1:1" x14ac:dyDescent="0.25">
      <c r="A823872" s="242"/>
    </row>
    <row r="823873" spans="1:1" x14ac:dyDescent="0.25">
      <c r="A823873" s="242"/>
    </row>
    <row r="823874" spans="1:1" x14ac:dyDescent="0.25">
      <c r="A823874" s="242"/>
    </row>
    <row r="823875" spans="1:1" x14ac:dyDescent="0.25">
      <c r="A823875" s="242"/>
    </row>
    <row r="823876" spans="1:1" x14ac:dyDescent="0.25">
      <c r="A823876" s="242"/>
    </row>
    <row r="823877" spans="1:1" x14ac:dyDescent="0.25">
      <c r="A823877" s="242"/>
    </row>
    <row r="823878" spans="1:1" x14ac:dyDescent="0.25">
      <c r="A823878" s="242"/>
    </row>
    <row r="823879" spans="1:1" x14ac:dyDescent="0.25">
      <c r="A823879" s="242"/>
    </row>
    <row r="823880" spans="1:1" x14ac:dyDescent="0.25">
      <c r="A823880" s="242"/>
    </row>
    <row r="823881" spans="1:1" x14ac:dyDescent="0.25">
      <c r="A823881" s="242"/>
    </row>
    <row r="823882" spans="1:1" x14ac:dyDescent="0.25">
      <c r="A823882" s="242"/>
    </row>
    <row r="823883" spans="1:1" x14ac:dyDescent="0.25">
      <c r="A823883" s="242"/>
    </row>
    <row r="823884" spans="1:1" x14ac:dyDescent="0.25">
      <c r="A823884" s="242"/>
    </row>
    <row r="823885" spans="1:1" x14ac:dyDescent="0.25">
      <c r="A823885" s="242"/>
    </row>
    <row r="823886" spans="1:1" x14ac:dyDescent="0.25">
      <c r="A823886" s="242"/>
    </row>
    <row r="823887" spans="1:1" x14ac:dyDescent="0.25">
      <c r="A823887" s="242"/>
    </row>
    <row r="823888" spans="1:1" x14ac:dyDescent="0.25">
      <c r="A823888" s="242"/>
    </row>
    <row r="823889" spans="1:1" x14ac:dyDescent="0.25">
      <c r="A823889" s="242"/>
    </row>
    <row r="823890" spans="1:1" x14ac:dyDescent="0.25">
      <c r="A823890" s="242"/>
    </row>
    <row r="823891" spans="1:1" x14ac:dyDescent="0.25">
      <c r="A823891" s="242"/>
    </row>
    <row r="823892" spans="1:1" x14ac:dyDescent="0.25">
      <c r="A823892" s="242"/>
    </row>
    <row r="823893" spans="1:1" x14ac:dyDescent="0.25">
      <c r="A823893" s="242"/>
    </row>
    <row r="823894" spans="1:1" x14ac:dyDescent="0.25">
      <c r="A823894" s="242"/>
    </row>
    <row r="823895" spans="1:1" x14ac:dyDescent="0.25">
      <c r="A823895" s="242"/>
    </row>
    <row r="823896" spans="1:1" x14ac:dyDescent="0.25">
      <c r="A823896" s="242"/>
    </row>
    <row r="823897" spans="1:1" x14ac:dyDescent="0.25">
      <c r="A823897" s="242"/>
    </row>
    <row r="823898" spans="1:1" x14ac:dyDescent="0.25">
      <c r="A823898" s="242"/>
    </row>
    <row r="823899" spans="1:1" x14ac:dyDescent="0.25">
      <c r="A823899" s="242"/>
    </row>
    <row r="823900" spans="1:1" x14ac:dyDescent="0.25">
      <c r="A823900" s="242"/>
    </row>
    <row r="823901" spans="1:1" x14ac:dyDescent="0.25">
      <c r="A823901" s="242"/>
    </row>
    <row r="823902" spans="1:1" x14ac:dyDescent="0.25">
      <c r="A823902" s="242"/>
    </row>
    <row r="823903" spans="1:1" x14ac:dyDescent="0.25">
      <c r="A823903" s="242"/>
    </row>
    <row r="823904" spans="1:1" x14ac:dyDescent="0.25">
      <c r="A823904" s="242"/>
    </row>
    <row r="823905" spans="1:1" x14ac:dyDescent="0.25">
      <c r="A823905" s="242"/>
    </row>
    <row r="823906" spans="1:1" x14ac:dyDescent="0.25">
      <c r="A823906" s="242"/>
    </row>
    <row r="823907" spans="1:1" x14ac:dyDescent="0.25">
      <c r="A823907" s="242"/>
    </row>
    <row r="823908" spans="1:1" x14ac:dyDescent="0.25">
      <c r="A823908" s="242"/>
    </row>
    <row r="823909" spans="1:1" x14ac:dyDescent="0.25">
      <c r="A823909" s="242"/>
    </row>
    <row r="823910" spans="1:1" x14ac:dyDescent="0.25">
      <c r="A823910" s="242"/>
    </row>
    <row r="823911" spans="1:1" x14ac:dyDescent="0.25">
      <c r="A823911" s="242"/>
    </row>
    <row r="823912" spans="1:1" x14ac:dyDescent="0.25">
      <c r="A823912" s="242"/>
    </row>
    <row r="823913" spans="1:1" x14ac:dyDescent="0.25">
      <c r="A823913" s="242"/>
    </row>
    <row r="823914" spans="1:1" x14ac:dyDescent="0.25">
      <c r="A823914" s="242"/>
    </row>
    <row r="823915" spans="1:1" x14ac:dyDescent="0.25">
      <c r="A823915" s="242"/>
    </row>
    <row r="823916" spans="1:1" x14ac:dyDescent="0.25">
      <c r="A823916" s="242"/>
    </row>
    <row r="823917" spans="1:1" x14ac:dyDescent="0.25">
      <c r="A823917" s="242"/>
    </row>
    <row r="823918" spans="1:1" x14ac:dyDescent="0.25">
      <c r="A823918" s="242"/>
    </row>
    <row r="823919" spans="1:1" x14ac:dyDescent="0.25">
      <c r="A823919" s="242"/>
    </row>
    <row r="823920" spans="1:1" x14ac:dyDescent="0.25">
      <c r="A823920" s="242"/>
    </row>
    <row r="823921" spans="1:1" x14ac:dyDescent="0.25">
      <c r="A823921" s="242"/>
    </row>
    <row r="823922" spans="1:1" x14ac:dyDescent="0.25">
      <c r="A823922" s="242"/>
    </row>
    <row r="823923" spans="1:1" x14ac:dyDescent="0.25">
      <c r="A823923" s="242"/>
    </row>
    <row r="823924" spans="1:1" x14ac:dyDescent="0.25">
      <c r="A823924" s="242"/>
    </row>
    <row r="823925" spans="1:1" x14ac:dyDescent="0.25">
      <c r="A823925" s="242"/>
    </row>
    <row r="823926" spans="1:1" x14ac:dyDescent="0.25">
      <c r="A823926" s="242"/>
    </row>
    <row r="823927" spans="1:1" x14ac:dyDescent="0.25">
      <c r="A823927" s="242"/>
    </row>
    <row r="823928" spans="1:1" x14ac:dyDescent="0.25">
      <c r="A823928" s="242"/>
    </row>
    <row r="823929" spans="1:1" x14ac:dyDescent="0.25">
      <c r="A823929" s="242"/>
    </row>
    <row r="823930" spans="1:1" x14ac:dyDescent="0.25">
      <c r="A823930" s="242"/>
    </row>
    <row r="823931" spans="1:1" x14ac:dyDescent="0.25">
      <c r="A823931" s="242"/>
    </row>
    <row r="823932" spans="1:1" x14ac:dyDescent="0.25">
      <c r="A823932" s="242"/>
    </row>
    <row r="823933" spans="1:1" x14ac:dyDescent="0.25">
      <c r="A823933" s="242"/>
    </row>
    <row r="823934" spans="1:1" x14ac:dyDescent="0.25">
      <c r="A823934" s="242"/>
    </row>
    <row r="823935" spans="1:1" x14ac:dyDescent="0.25">
      <c r="A823935" s="242"/>
    </row>
    <row r="823936" spans="1:1" x14ac:dyDescent="0.25">
      <c r="A823936" s="242"/>
    </row>
    <row r="823937" spans="1:1" x14ac:dyDescent="0.25">
      <c r="A823937" s="242"/>
    </row>
    <row r="823938" spans="1:1" x14ac:dyDescent="0.25">
      <c r="A823938" s="242"/>
    </row>
    <row r="823939" spans="1:1" x14ac:dyDescent="0.25">
      <c r="A823939" s="242"/>
    </row>
    <row r="823940" spans="1:1" x14ac:dyDescent="0.25">
      <c r="A823940" s="242"/>
    </row>
    <row r="823941" spans="1:1" x14ac:dyDescent="0.25">
      <c r="A823941" s="242"/>
    </row>
    <row r="823942" spans="1:1" x14ac:dyDescent="0.25">
      <c r="A823942" s="242"/>
    </row>
    <row r="823943" spans="1:1" x14ac:dyDescent="0.25">
      <c r="A823943" s="242"/>
    </row>
    <row r="823944" spans="1:1" x14ac:dyDescent="0.25">
      <c r="A823944" s="242"/>
    </row>
    <row r="823945" spans="1:1" x14ac:dyDescent="0.25">
      <c r="A823945" s="242"/>
    </row>
    <row r="823946" spans="1:1" x14ac:dyDescent="0.25">
      <c r="A823946" s="242"/>
    </row>
    <row r="823947" spans="1:1" x14ac:dyDescent="0.25">
      <c r="A823947" s="242"/>
    </row>
    <row r="823948" spans="1:1" x14ac:dyDescent="0.25">
      <c r="A823948" s="242"/>
    </row>
    <row r="823949" spans="1:1" x14ac:dyDescent="0.25">
      <c r="A823949" s="242"/>
    </row>
    <row r="823950" spans="1:1" x14ac:dyDescent="0.25">
      <c r="A823950" s="242"/>
    </row>
    <row r="823951" spans="1:1" x14ac:dyDescent="0.25">
      <c r="A823951" s="242"/>
    </row>
    <row r="823952" spans="1:1" x14ac:dyDescent="0.25">
      <c r="A823952" s="242"/>
    </row>
    <row r="823953" spans="1:1" x14ac:dyDescent="0.25">
      <c r="A823953" s="242"/>
    </row>
    <row r="823954" spans="1:1" x14ac:dyDescent="0.25">
      <c r="A823954" s="242"/>
    </row>
    <row r="823955" spans="1:1" x14ac:dyDescent="0.25">
      <c r="A823955" s="242"/>
    </row>
    <row r="823956" spans="1:1" x14ac:dyDescent="0.25">
      <c r="A823956" s="242"/>
    </row>
    <row r="823957" spans="1:1" x14ac:dyDescent="0.25">
      <c r="A823957" s="242"/>
    </row>
    <row r="823958" spans="1:1" x14ac:dyDescent="0.25">
      <c r="A823958" s="242"/>
    </row>
    <row r="823959" spans="1:1" x14ac:dyDescent="0.25">
      <c r="A823959" s="242"/>
    </row>
    <row r="823960" spans="1:1" x14ac:dyDescent="0.25">
      <c r="A823960" s="242"/>
    </row>
    <row r="823961" spans="1:1" x14ac:dyDescent="0.25">
      <c r="A823961" s="242"/>
    </row>
    <row r="823962" spans="1:1" x14ac:dyDescent="0.25">
      <c r="A823962" s="242"/>
    </row>
    <row r="823963" spans="1:1" x14ac:dyDescent="0.25">
      <c r="A823963" s="242"/>
    </row>
    <row r="823964" spans="1:1" x14ac:dyDescent="0.25">
      <c r="A823964" s="242"/>
    </row>
    <row r="823965" spans="1:1" x14ac:dyDescent="0.25">
      <c r="A823965" s="242"/>
    </row>
    <row r="823966" spans="1:1" x14ac:dyDescent="0.25">
      <c r="A823966" s="242"/>
    </row>
    <row r="823967" spans="1:1" x14ac:dyDescent="0.25">
      <c r="A823967" s="242"/>
    </row>
    <row r="823968" spans="1:1" x14ac:dyDescent="0.25">
      <c r="A823968" s="242"/>
    </row>
    <row r="823969" spans="1:1" x14ac:dyDescent="0.25">
      <c r="A823969" s="242"/>
    </row>
    <row r="823970" spans="1:1" x14ac:dyDescent="0.25">
      <c r="A823970" s="242"/>
    </row>
    <row r="823971" spans="1:1" x14ac:dyDescent="0.25">
      <c r="A823971" s="242"/>
    </row>
    <row r="823972" spans="1:1" x14ac:dyDescent="0.25">
      <c r="A823972" s="242"/>
    </row>
    <row r="823973" spans="1:1" x14ac:dyDescent="0.25">
      <c r="A823973" s="242"/>
    </row>
    <row r="823974" spans="1:1" x14ac:dyDescent="0.25">
      <c r="A823974" s="242"/>
    </row>
    <row r="823975" spans="1:1" x14ac:dyDescent="0.25">
      <c r="A823975" s="242"/>
    </row>
    <row r="823976" spans="1:1" x14ac:dyDescent="0.25">
      <c r="A823976" s="242"/>
    </row>
    <row r="823977" spans="1:1" x14ac:dyDescent="0.25">
      <c r="A823977" s="242"/>
    </row>
    <row r="823978" spans="1:1" x14ac:dyDescent="0.25">
      <c r="A823978" s="242"/>
    </row>
    <row r="823979" spans="1:1" x14ac:dyDescent="0.25">
      <c r="A823979" s="242"/>
    </row>
    <row r="823980" spans="1:1" x14ac:dyDescent="0.25">
      <c r="A823980" s="242"/>
    </row>
    <row r="823981" spans="1:1" x14ac:dyDescent="0.25">
      <c r="A823981" s="242"/>
    </row>
    <row r="823982" spans="1:1" x14ac:dyDescent="0.25">
      <c r="A823982" s="242"/>
    </row>
    <row r="823983" spans="1:1" x14ac:dyDescent="0.25">
      <c r="A823983" s="242"/>
    </row>
    <row r="823984" spans="1:1" x14ac:dyDescent="0.25">
      <c r="A823984" s="242"/>
    </row>
    <row r="823985" spans="1:1" x14ac:dyDescent="0.25">
      <c r="A823985" s="242"/>
    </row>
    <row r="823986" spans="1:1" x14ac:dyDescent="0.25">
      <c r="A823986" s="242"/>
    </row>
    <row r="823987" spans="1:1" x14ac:dyDescent="0.25">
      <c r="A823987" s="242"/>
    </row>
    <row r="823988" spans="1:1" x14ac:dyDescent="0.25">
      <c r="A823988" s="242"/>
    </row>
    <row r="823989" spans="1:1" x14ac:dyDescent="0.25">
      <c r="A823989" s="242"/>
    </row>
    <row r="823990" spans="1:1" x14ac:dyDescent="0.25">
      <c r="A823990" s="242"/>
    </row>
    <row r="823991" spans="1:1" x14ac:dyDescent="0.25">
      <c r="A823991" s="242"/>
    </row>
    <row r="823992" spans="1:1" x14ac:dyDescent="0.25">
      <c r="A823992" s="242"/>
    </row>
    <row r="823993" spans="1:1" x14ac:dyDescent="0.25">
      <c r="A823993" s="242"/>
    </row>
    <row r="823994" spans="1:1" x14ac:dyDescent="0.25">
      <c r="A823994" s="242"/>
    </row>
    <row r="823995" spans="1:1" x14ac:dyDescent="0.25">
      <c r="A823995" s="242"/>
    </row>
    <row r="823996" spans="1:1" x14ac:dyDescent="0.25">
      <c r="A823996" s="242"/>
    </row>
    <row r="823997" spans="1:1" x14ac:dyDescent="0.25">
      <c r="A823997" s="242"/>
    </row>
    <row r="823998" spans="1:1" x14ac:dyDescent="0.25">
      <c r="A823998" s="242"/>
    </row>
    <row r="823999" spans="1:1" x14ac:dyDescent="0.25">
      <c r="A823999" s="242"/>
    </row>
    <row r="824000" spans="1:1" x14ac:dyDescent="0.25">
      <c r="A824000" s="242"/>
    </row>
    <row r="824001" spans="1:1" x14ac:dyDescent="0.25">
      <c r="A824001" s="242"/>
    </row>
    <row r="824002" spans="1:1" x14ac:dyDescent="0.25">
      <c r="A824002" s="242"/>
    </row>
    <row r="824003" spans="1:1" x14ac:dyDescent="0.25">
      <c r="A824003" s="242"/>
    </row>
    <row r="824004" spans="1:1" x14ac:dyDescent="0.25">
      <c r="A824004" s="242"/>
    </row>
    <row r="824005" spans="1:1" x14ac:dyDescent="0.25">
      <c r="A824005" s="242"/>
    </row>
    <row r="824006" spans="1:1" x14ac:dyDescent="0.25">
      <c r="A824006" s="242"/>
    </row>
    <row r="824007" spans="1:1" x14ac:dyDescent="0.25">
      <c r="A824007" s="242"/>
    </row>
    <row r="824008" spans="1:1" x14ac:dyDescent="0.25">
      <c r="A824008" s="242"/>
    </row>
    <row r="824009" spans="1:1" x14ac:dyDescent="0.25">
      <c r="A824009" s="242"/>
    </row>
    <row r="824010" spans="1:1" x14ac:dyDescent="0.25">
      <c r="A824010" s="242"/>
    </row>
    <row r="824011" spans="1:1" x14ac:dyDescent="0.25">
      <c r="A824011" s="242"/>
    </row>
    <row r="824012" spans="1:1" x14ac:dyDescent="0.25">
      <c r="A824012" s="242"/>
    </row>
    <row r="824013" spans="1:1" x14ac:dyDescent="0.25">
      <c r="A824013" s="242"/>
    </row>
    <row r="824014" spans="1:1" x14ac:dyDescent="0.25">
      <c r="A824014" s="242"/>
    </row>
    <row r="824015" spans="1:1" x14ac:dyDescent="0.25">
      <c r="A824015" s="242"/>
    </row>
    <row r="824016" spans="1:1" x14ac:dyDescent="0.25">
      <c r="A824016" s="242"/>
    </row>
    <row r="824017" spans="1:1" x14ac:dyDescent="0.25">
      <c r="A824017" s="242"/>
    </row>
    <row r="824018" spans="1:1" x14ac:dyDescent="0.25">
      <c r="A824018" s="242"/>
    </row>
    <row r="824019" spans="1:1" x14ac:dyDescent="0.25">
      <c r="A824019" s="242"/>
    </row>
    <row r="824020" spans="1:1" x14ac:dyDescent="0.25">
      <c r="A824020" s="242"/>
    </row>
    <row r="824021" spans="1:1" x14ac:dyDescent="0.25">
      <c r="A824021" s="242"/>
    </row>
    <row r="824022" spans="1:1" x14ac:dyDescent="0.25">
      <c r="A824022" s="242"/>
    </row>
    <row r="824023" spans="1:1" x14ac:dyDescent="0.25">
      <c r="A824023" s="242"/>
    </row>
    <row r="824024" spans="1:1" x14ac:dyDescent="0.25">
      <c r="A824024" s="242"/>
    </row>
    <row r="824025" spans="1:1" x14ac:dyDescent="0.25">
      <c r="A824025" s="242"/>
    </row>
    <row r="824026" spans="1:1" x14ac:dyDescent="0.25">
      <c r="A824026" s="242"/>
    </row>
    <row r="824027" spans="1:1" x14ac:dyDescent="0.25">
      <c r="A824027" s="242"/>
    </row>
    <row r="824028" spans="1:1" x14ac:dyDescent="0.25">
      <c r="A824028" s="242"/>
    </row>
    <row r="824029" spans="1:1" x14ac:dyDescent="0.25">
      <c r="A824029" s="242"/>
    </row>
    <row r="824030" spans="1:1" x14ac:dyDescent="0.25">
      <c r="A824030" s="242"/>
    </row>
    <row r="824031" spans="1:1" x14ac:dyDescent="0.25">
      <c r="A824031" s="242"/>
    </row>
    <row r="824032" spans="1:1" x14ac:dyDescent="0.25">
      <c r="A824032" s="242"/>
    </row>
    <row r="824033" spans="1:1" x14ac:dyDescent="0.25">
      <c r="A824033" s="242"/>
    </row>
    <row r="824034" spans="1:1" x14ac:dyDescent="0.25">
      <c r="A824034" s="242"/>
    </row>
    <row r="824035" spans="1:1" x14ac:dyDescent="0.25">
      <c r="A824035" s="242"/>
    </row>
    <row r="824036" spans="1:1" x14ac:dyDescent="0.25">
      <c r="A824036" s="242"/>
    </row>
    <row r="824037" spans="1:1" x14ac:dyDescent="0.25">
      <c r="A824037" s="242"/>
    </row>
    <row r="824038" spans="1:1" x14ac:dyDescent="0.25">
      <c r="A824038" s="242"/>
    </row>
    <row r="824039" spans="1:1" x14ac:dyDescent="0.25">
      <c r="A824039" s="242"/>
    </row>
    <row r="824040" spans="1:1" x14ac:dyDescent="0.25">
      <c r="A824040" s="242"/>
    </row>
    <row r="824041" spans="1:1" x14ac:dyDescent="0.25">
      <c r="A824041" s="242"/>
    </row>
    <row r="824042" spans="1:1" x14ac:dyDescent="0.25">
      <c r="A824042" s="242"/>
    </row>
    <row r="824043" spans="1:1" x14ac:dyDescent="0.25">
      <c r="A824043" s="242"/>
    </row>
    <row r="824044" spans="1:1" x14ac:dyDescent="0.25">
      <c r="A824044" s="242"/>
    </row>
    <row r="824045" spans="1:1" x14ac:dyDescent="0.25">
      <c r="A824045" s="242"/>
    </row>
    <row r="824046" spans="1:1" x14ac:dyDescent="0.25">
      <c r="A824046" s="242"/>
    </row>
    <row r="824047" spans="1:1" x14ac:dyDescent="0.25">
      <c r="A824047" s="242"/>
    </row>
    <row r="824048" spans="1:1" x14ac:dyDescent="0.25">
      <c r="A824048" s="242"/>
    </row>
    <row r="824049" spans="1:1" x14ac:dyDescent="0.25">
      <c r="A824049" s="242"/>
    </row>
    <row r="824050" spans="1:1" x14ac:dyDescent="0.25">
      <c r="A824050" s="242"/>
    </row>
    <row r="824051" spans="1:1" x14ac:dyDescent="0.25">
      <c r="A824051" s="242"/>
    </row>
    <row r="824052" spans="1:1" x14ac:dyDescent="0.25">
      <c r="A824052" s="242"/>
    </row>
    <row r="824053" spans="1:1" x14ac:dyDescent="0.25">
      <c r="A824053" s="242"/>
    </row>
    <row r="824054" spans="1:1" x14ac:dyDescent="0.25">
      <c r="A824054" s="242"/>
    </row>
    <row r="824055" spans="1:1" x14ac:dyDescent="0.25">
      <c r="A824055" s="242"/>
    </row>
    <row r="824056" spans="1:1" x14ac:dyDescent="0.25">
      <c r="A824056" s="242"/>
    </row>
    <row r="824057" spans="1:1" x14ac:dyDescent="0.25">
      <c r="A824057" s="242"/>
    </row>
    <row r="824058" spans="1:1" x14ac:dyDescent="0.25">
      <c r="A824058" s="242"/>
    </row>
    <row r="824059" spans="1:1" x14ac:dyDescent="0.25">
      <c r="A824059" s="242"/>
    </row>
    <row r="824060" spans="1:1" x14ac:dyDescent="0.25">
      <c r="A824060" s="242"/>
    </row>
    <row r="824061" spans="1:1" x14ac:dyDescent="0.25">
      <c r="A824061" s="242"/>
    </row>
    <row r="824062" spans="1:1" x14ac:dyDescent="0.25">
      <c r="A824062" s="242"/>
    </row>
    <row r="824063" spans="1:1" x14ac:dyDescent="0.25">
      <c r="A824063" s="242"/>
    </row>
    <row r="824064" spans="1:1" x14ac:dyDescent="0.25">
      <c r="A824064" s="242"/>
    </row>
    <row r="824065" spans="1:1" x14ac:dyDescent="0.25">
      <c r="A824065" s="242"/>
    </row>
    <row r="824066" spans="1:1" x14ac:dyDescent="0.25">
      <c r="A824066" s="242"/>
    </row>
    <row r="824067" spans="1:1" x14ac:dyDescent="0.25">
      <c r="A824067" s="242"/>
    </row>
    <row r="824068" spans="1:1" x14ac:dyDescent="0.25">
      <c r="A824068" s="242"/>
    </row>
    <row r="824069" spans="1:1" x14ac:dyDescent="0.25">
      <c r="A824069" s="242"/>
    </row>
    <row r="824070" spans="1:1" x14ac:dyDescent="0.25">
      <c r="A824070" s="242"/>
    </row>
    <row r="824071" spans="1:1" x14ac:dyDescent="0.25">
      <c r="A824071" s="242"/>
    </row>
    <row r="824072" spans="1:1" x14ac:dyDescent="0.25">
      <c r="A824072" s="242"/>
    </row>
    <row r="824073" spans="1:1" x14ac:dyDescent="0.25">
      <c r="A824073" s="242"/>
    </row>
    <row r="824074" spans="1:1" x14ac:dyDescent="0.25">
      <c r="A824074" s="242"/>
    </row>
    <row r="824075" spans="1:1" x14ac:dyDescent="0.25">
      <c r="A824075" s="242"/>
    </row>
    <row r="824076" spans="1:1" x14ac:dyDescent="0.25">
      <c r="A824076" s="242"/>
    </row>
    <row r="824077" spans="1:1" x14ac:dyDescent="0.25">
      <c r="A824077" s="242"/>
    </row>
    <row r="824078" spans="1:1" x14ac:dyDescent="0.25">
      <c r="A824078" s="242"/>
    </row>
    <row r="824079" spans="1:1" x14ac:dyDescent="0.25">
      <c r="A824079" s="242"/>
    </row>
    <row r="824080" spans="1:1" x14ac:dyDescent="0.25">
      <c r="A824080" s="242"/>
    </row>
    <row r="824081" spans="1:1" x14ac:dyDescent="0.25">
      <c r="A824081" s="242"/>
    </row>
    <row r="824082" spans="1:1" x14ac:dyDescent="0.25">
      <c r="A824082" s="242"/>
    </row>
    <row r="824083" spans="1:1" x14ac:dyDescent="0.25">
      <c r="A824083" s="242"/>
    </row>
    <row r="824084" spans="1:1" x14ac:dyDescent="0.25">
      <c r="A824084" s="242"/>
    </row>
    <row r="824085" spans="1:1" x14ac:dyDescent="0.25">
      <c r="A824085" s="242"/>
    </row>
    <row r="824086" spans="1:1" x14ac:dyDescent="0.25">
      <c r="A824086" s="242"/>
    </row>
    <row r="824087" spans="1:1" x14ac:dyDescent="0.25">
      <c r="A824087" s="242"/>
    </row>
    <row r="824088" spans="1:1" x14ac:dyDescent="0.25">
      <c r="A824088" s="242"/>
    </row>
    <row r="824089" spans="1:1" x14ac:dyDescent="0.25">
      <c r="A824089" s="242"/>
    </row>
    <row r="824090" spans="1:1" x14ac:dyDescent="0.25">
      <c r="A824090" s="242"/>
    </row>
    <row r="824091" spans="1:1" x14ac:dyDescent="0.25">
      <c r="A824091" s="242"/>
    </row>
    <row r="824092" spans="1:1" x14ac:dyDescent="0.25">
      <c r="A824092" s="242"/>
    </row>
    <row r="824093" spans="1:1" x14ac:dyDescent="0.25">
      <c r="A824093" s="242"/>
    </row>
    <row r="824094" spans="1:1" x14ac:dyDescent="0.25">
      <c r="A824094" s="242"/>
    </row>
    <row r="824095" spans="1:1" x14ac:dyDescent="0.25">
      <c r="A824095" s="242"/>
    </row>
    <row r="824096" spans="1:1" x14ac:dyDescent="0.25">
      <c r="A824096" s="242"/>
    </row>
    <row r="824097" spans="1:1" x14ac:dyDescent="0.25">
      <c r="A824097" s="242"/>
    </row>
    <row r="824098" spans="1:1" x14ac:dyDescent="0.25">
      <c r="A824098" s="242"/>
    </row>
    <row r="824099" spans="1:1" x14ac:dyDescent="0.25">
      <c r="A824099" s="242"/>
    </row>
    <row r="824100" spans="1:1" x14ac:dyDescent="0.25">
      <c r="A824100" s="242"/>
    </row>
    <row r="824101" spans="1:1" x14ac:dyDescent="0.25">
      <c r="A824101" s="242"/>
    </row>
    <row r="824102" spans="1:1" x14ac:dyDescent="0.25">
      <c r="A824102" s="242"/>
    </row>
    <row r="824103" spans="1:1" x14ac:dyDescent="0.25">
      <c r="A824103" s="242"/>
    </row>
    <row r="824104" spans="1:1" x14ac:dyDescent="0.25">
      <c r="A824104" s="242"/>
    </row>
    <row r="824105" spans="1:1" x14ac:dyDescent="0.25">
      <c r="A824105" s="242"/>
    </row>
    <row r="824106" spans="1:1" x14ac:dyDescent="0.25">
      <c r="A824106" s="242"/>
    </row>
    <row r="824107" spans="1:1" x14ac:dyDescent="0.25">
      <c r="A824107" s="242"/>
    </row>
    <row r="824108" spans="1:1" x14ac:dyDescent="0.25">
      <c r="A824108" s="242"/>
    </row>
    <row r="824109" spans="1:1" x14ac:dyDescent="0.25">
      <c r="A824109" s="242"/>
    </row>
    <row r="824110" spans="1:1" x14ac:dyDescent="0.25">
      <c r="A824110" s="242"/>
    </row>
    <row r="824111" spans="1:1" x14ac:dyDescent="0.25">
      <c r="A824111" s="242"/>
    </row>
    <row r="824112" spans="1:1" x14ac:dyDescent="0.25">
      <c r="A824112" s="242"/>
    </row>
    <row r="824113" spans="1:1" x14ac:dyDescent="0.25">
      <c r="A824113" s="242"/>
    </row>
    <row r="824114" spans="1:1" x14ac:dyDescent="0.25">
      <c r="A824114" s="242"/>
    </row>
    <row r="824115" spans="1:1" x14ac:dyDescent="0.25">
      <c r="A824115" s="242"/>
    </row>
    <row r="824116" spans="1:1" x14ac:dyDescent="0.25">
      <c r="A824116" s="242"/>
    </row>
    <row r="824117" spans="1:1" x14ac:dyDescent="0.25">
      <c r="A824117" s="242"/>
    </row>
    <row r="824118" spans="1:1" x14ac:dyDescent="0.25">
      <c r="A824118" s="242"/>
    </row>
    <row r="824119" spans="1:1" x14ac:dyDescent="0.25">
      <c r="A824119" s="242"/>
    </row>
    <row r="824120" spans="1:1" x14ac:dyDescent="0.25">
      <c r="A824120" s="242"/>
    </row>
    <row r="824121" spans="1:1" x14ac:dyDescent="0.25">
      <c r="A824121" s="242"/>
    </row>
    <row r="824122" spans="1:1" x14ac:dyDescent="0.25">
      <c r="A824122" s="242"/>
    </row>
    <row r="824123" spans="1:1" x14ac:dyDescent="0.25">
      <c r="A824123" s="242"/>
    </row>
    <row r="824124" spans="1:1" x14ac:dyDescent="0.25">
      <c r="A824124" s="242"/>
    </row>
    <row r="824125" spans="1:1" x14ac:dyDescent="0.25">
      <c r="A824125" s="242"/>
    </row>
    <row r="824126" spans="1:1" x14ac:dyDescent="0.25">
      <c r="A824126" s="242"/>
    </row>
    <row r="824127" spans="1:1" x14ac:dyDescent="0.25">
      <c r="A824127" s="242"/>
    </row>
    <row r="824128" spans="1:1" x14ac:dyDescent="0.25">
      <c r="A824128" s="242"/>
    </row>
    <row r="824129" spans="1:1" x14ac:dyDescent="0.25">
      <c r="A824129" s="242"/>
    </row>
    <row r="824130" spans="1:1" x14ac:dyDescent="0.25">
      <c r="A824130" s="242"/>
    </row>
    <row r="824131" spans="1:1" x14ac:dyDescent="0.25">
      <c r="A824131" s="242"/>
    </row>
    <row r="824132" spans="1:1" x14ac:dyDescent="0.25">
      <c r="A824132" s="242"/>
    </row>
    <row r="824133" spans="1:1" x14ac:dyDescent="0.25">
      <c r="A824133" s="242"/>
    </row>
    <row r="824134" spans="1:1" x14ac:dyDescent="0.25">
      <c r="A824134" s="242"/>
    </row>
    <row r="824135" spans="1:1" x14ac:dyDescent="0.25">
      <c r="A824135" s="242"/>
    </row>
    <row r="824136" spans="1:1" x14ac:dyDescent="0.25">
      <c r="A824136" s="242"/>
    </row>
    <row r="824137" spans="1:1" x14ac:dyDescent="0.25">
      <c r="A824137" s="242"/>
    </row>
    <row r="824138" spans="1:1" x14ac:dyDescent="0.25">
      <c r="A824138" s="242"/>
    </row>
    <row r="824139" spans="1:1" x14ac:dyDescent="0.25">
      <c r="A824139" s="242"/>
    </row>
    <row r="824140" spans="1:1" x14ac:dyDescent="0.25">
      <c r="A824140" s="242"/>
    </row>
    <row r="824141" spans="1:1" x14ac:dyDescent="0.25">
      <c r="A824141" s="242"/>
    </row>
    <row r="824142" spans="1:1" x14ac:dyDescent="0.25">
      <c r="A824142" s="242"/>
    </row>
    <row r="824143" spans="1:1" x14ac:dyDescent="0.25">
      <c r="A824143" s="242"/>
    </row>
    <row r="824144" spans="1:1" x14ac:dyDescent="0.25">
      <c r="A824144" s="242"/>
    </row>
    <row r="824145" spans="1:1" x14ac:dyDescent="0.25">
      <c r="A824145" s="242"/>
    </row>
    <row r="824146" spans="1:1" x14ac:dyDescent="0.25">
      <c r="A824146" s="242"/>
    </row>
    <row r="824147" spans="1:1" x14ac:dyDescent="0.25">
      <c r="A824147" s="242"/>
    </row>
    <row r="824148" spans="1:1" x14ac:dyDescent="0.25">
      <c r="A824148" s="242"/>
    </row>
    <row r="824149" spans="1:1" x14ac:dyDescent="0.25">
      <c r="A824149" s="242"/>
    </row>
    <row r="824150" spans="1:1" x14ac:dyDescent="0.25">
      <c r="A824150" s="242"/>
    </row>
    <row r="824151" spans="1:1" x14ac:dyDescent="0.25">
      <c r="A824151" s="242"/>
    </row>
    <row r="824152" spans="1:1" x14ac:dyDescent="0.25">
      <c r="A824152" s="242"/>
    </row>
    <row r="824153" spans="1:1" x14ac:dyDescent="0.25">
      <c r="A824153" s="242"/>
    </row>
    <row r="824154" spans="1:1" x14ac:dyDescent="0.25">
      <c r="A824154" s="242"/>
    </row>
    <row r="824155" spans="1:1" x14ac:dyDescent="0.25">
      <c r="A824155" s="242"/>
    </row>
    <row r="824156" spans="1:1" x14ac:dyDescent="0.25">
      <c r="A824156" s="242"/>
    </row>
    <row r="824157" spans="1:1" x14ac:dyDescent="0.25">
      <c r="A824157" s="242"/>
    </row>
    <row r="824158" spans="1:1" x14ac:dyDescent="0.25">
      <c r="A824158" s="242"/>
    </row>
    <row r="824159" spans="1:1" x14ac:dyDescent="0.25">
      <c r="A824159" s="242"/>
    </row>
    <row r="824160" spans="1:1" x14ac:dyDescent="0.25">
      <c r="A824160" s="242"/>
    </row>
    <row r="824161" spans="1:1" x14ac:dyDescent="0.25">
      <c r="A824161" s="242"/>
    </row>
    <row r="824162" spans="1:1" x14ac:dyDescent="0.25">
      <c r="A824162" s="242"/>
    </row>
    <row r="824163" spans="1:1" x14ac:dyDescent="0.25">
      <c r="A824163" s="242"/>
    </row>
    <row r="824164" spans="1:1" x14ac:dyDescent="0.25">
      <c r="A824164" s="242"/>
    </row>
    <row r="824165" spans="1:1" x14ac:dyDescent="0.25">
      <c r="A824165" s="242"/>
    </row>
    <row r="824166" spans="1:1" x14ac:dyDescent="0.25">
      <c r="A824166" s="242"/>
    </row>
    <row r="824167" spans="1:1" x14ac:dyDescent="0.25">
      <c r="A824167" s="242"/>
    </row>
    <row r="824168" spans="1:1" x14ac:dyDescent="0.25">
      <c r="A824168" s="242"/>
    </row>
    <row r="824169" spans="1:1" x14ac:dyDescent="0.25">
      <c r="A824169" s="242"/>
    </row>
    <row r="824170" spans="1:1" x14ac:dyDescent="0.25">
      <c r="A824170" s="242"/>
    </row>
    <row r="824171" spans="1:1" x14ac:dyDescent="0.25">
      <c r="A824171" s="242"/>
    </row>
    <row r="824172" spans="1:1" x14ac:dyDescent="0.25">
      <c r="A824172" s="242"/>
    </row>
    <row r="824173" spans="1:1" x14ac:dyDescent="0.25">
      <c r="A824173" s="242"/>
    </row>
    <row r="824174" spans="1:1" x14ac:dyDescent="0.25">
      <c r="A824174" s="242"/>
    </row>
    <row r="824175" spans="1:1" x14ac:dyDescent="0.25">
      <c r="A824175" s="242"/>
    </row>
    <row r="824176" spans="1:1" x14ac:dyDescent="0.25">
      <c r="A824176" s="242"/>
    </row>
    <row r="824177" spans="1:1" x14ac:dyDescent="0.25">
      <c r="A824177" s="242"/>
    </row>
    <row r="824178" spans="1:1" x14ac:dyDescent="0.25">
      <c r="A824178" s="242"/>
    </row>
    <row r="824179" spans="1:1" x14ac:dyDescent="0.25">
      <c r="A824179" s="242"/>
    </row>
    <row r="824180" spans="1:1" x14ac:dyDescent="0.25">
      <c r="A824180" s="242"/>
    </row>
    <row r="824181" spans="1:1" x14ac:dyDescent="0.25">
      <c r="A824181" s="242"/>
    </row>
    <row r="824182" spans="1:1" x14ac:dyDescent="0.25">
      <c r="A824182" s="242"/>
    </row>
    <row r="824183" spans="1:1" x14ac:dyDescent="0.25">
      <c r="A824183" s="242"/>
    </row>
    <row r="824184" spans="1:1" x14ac:dyDescent="0.25">
      <c r="A824184" s="242"/>
    </row>
    <row r="824185" spans="1:1" x14ac:dyDescent="0.25">
      <c r="A824185" s="242"/>
    </row>
    <row r="824186" spans="1:1" x14ac:dyDescent="0.25">
      <c r="A824186" s="242"/>
    </row>
    <row r="824187" spans="1:1" x14ac:dyDescent="0.25">
      <c r="A824187" s="242"/>
    </row>
    <row r="824188" spans="1:1" x14ac:dyDescent="0.25">
      <c r="A824188" s="242"/>
    </row>
    <row r="824189" spans="1:1" x14ac:dyDescent="0.25">
      <c r="A824189" s="242"/>
    </row>
    <row r="824190" spans="1:1" x14ac:dyDescent="0.25">
      <c r="A824190" s="242"/>
    </row>
    <row r="824191" spans="1:1" x14ac:dyDescent="0.25">
      <c r="A824191" s="242"/>
    </row>
    <row r="824192" spans="1:1" x14ac:dyDescent="0.25">
      <c r="A824192" s="242"/>
    </row>
    <row r="824193" spans="1:1" x14ac:dyDescent="0.25">
      <c r="A824193" s="242"/>
    </row>
    <row r="824194" spans="1:1" x14ac:dyDescent="0.25">
      <c r="A824194" s="242"/>
    </row>
    <row r="824195" spans="1:1" x14ac:dyDescent="0.25">
      <c r="A824195" s="242"/>
    </row>
    <row r="824196" spans="1:1" x14ac:dyDescent="0.25">
      <c r="A824196" s="242"/>
    </row>
    <row r="824197" spans="1:1" x14ac:dyDescent="0.25">
      <c r="A824197" s="242"/>
    </row>
    <row r="824198" spans="1:1" x14ac:dyDescent="0.25">
      <c r="A824198" s="242"/>
    </row>
    <row r="824199" spans="1:1" x14ac:dyDescent="0.25">
      <c r="A824199" s="242"/>
    </row>
    <row r="824200" spans="1:1" x14ac:dyDescent="0.25">
      <c r="A824200" s="242"/>
    </row>
    <row r="824201" spans="1:1" x14ac:dyDescent="0.25">
      <c r="A824201" s="242"/>
    </row>
    <row r="824202" spans="1:1" x14ac:dyDescent="0.25">
      <c r="A824202" s="242"/>
    </row>
    <row r="824203" spans="1:1" x14ac:dyDescent="0.25">
      <c r="A824203" s="242"/>
    </row>
    <row r="824204" spans="1:1" x14ac:dyDescent="0.25">
      <c r="A824204" s="242"/>
    </row>
    <row r="824205" spans="1:1" x14ac:dyDescent="0.25">
      <c r="A824205" s="242"/>
    </row>
    <row r="824206" spans="1:1" x14ac:dyDescent="0.25">
      <c r="A824206" s="242"/>
    </row>
    <row r="824207" spans="1:1" x14ac:dyDescent="0.25">
      <c r="A824207" s="242"/>
    </row>
    <row r="824208" spans="1:1" x14ac:dyDescent="0.25">
      <c r="A824208" s="242"/>
    </row>
    <row r="824209" spans="1:1" x14ac:dyDescent="0.25">
      <c r="A824209" s="242"/>
    </row>
    <row r="824210" spans="1:1" x14ac:dyDescent="0.25">
      <c r="A824210" s="242"/>
    </row>
    <row r="824211" spans="1:1" x14ac:dyDescent="0.25">
      <c r="A824211" s="242"/>
    </row>
    <row r="824212" spans="1:1" x14ac:dyDescent="0.25">
      <c r="A824212" s="242"/>
    </row>
    <row r="824213" spans="1:1" x14ac:dyDescent="0.25">
      <c r="A824213" s="242"/>
    </row>
    <row r="824214" spans="1:1" x14ac:dyDescent="0.25">
      <c r="A824214" s="242"/>
    </row>
    <row r="824215" spans="1:1" x14ac:dyDescent="0.25">
      <c r="A824215" s="242"/>
    </row>
    <row r="824216" spans="1:1" x14ac:dyDescent="0.25">
      <c r="A824216" s="242"/>
    </row>
    <row r="824217" spans="1:1" x14ac:dyDescent="0.25">
      <c r="A824217" s="242"/>
    </row>
    <row r="824218" spans="1:1" x14ac:dyDescent="0.25">
      <c r="A824218" s="242"/>
    </row>
    <row r="824219" spans="1:1" x14ac:dyDescent="0.25">
      <c r="A824219" s="242"/>
    </row>
    <row r="824220" spans="1:1" x14ac:dyDescent="0.25">
      <c r="A824220" s="242"/>
    </row>
    <row r="824221" spans="1:1" x14ac:dyDescent="0.25">
      <c r="A824221" s="242"/>
    </row>
    <row r="824222" spans="1:1" x14ac:dyDescent="0.25">
      <c r="A824222" s="242"/>
    </row>
    <row r="824223" spans="1:1" x14ac:dyDescent="0.25">
      <c r="A824223" s="242"/>
    </row>
    <row r="824224" spans="1:1" x14ac:dyDescent="0.25">
      <c r="A824224" s="242"/>
    </row>
    <row r="824225" spans="1:1" x14ac:dyDescent="0.25">
      <c r="A824225" s="242"/>
    </row>
    <row r="824226" spans="1:1" x14ac:dyDescent="0.25">
      <c r="A824226" s="242"/>
    </row>
    <row r="824227" spans="1:1" x14ac:dyDescent="0.25">
      <c r="A824227" s="242"/>
    </row>
    <row r="824228" spans="1:1" x14ac:dyDescent="0.25">
      <c r="A824228" s="242"/>
    </row>
    <row r="824229" spans="1:1" x14ac:dyDescent="0.25">
      <c r="A824229" s="242"/>
    </row>
    <row r="824230" spans="1:1" x14ac:dyDescent="0.25">
      <c r="A824230" s="242"/>
    </row>
    <row r="824231" spans="1:1" x14ac:dyDescent="0.25">
      <c r="A824231" s="242"/>
    </row>
    <row r="824232" spans="1:1" x14ac:dyDescent="0.25">
      <c r="A824232" s="242"/>
    </row>
    <row r="824233" spans="1:1" x14ac:dyDescent="0.25">
      <c r="A824233" s="242"/>
    </row>
    <row r="824234" spans="1:1" x14ac:dyDescent="0.25">
      <c r="A824234" s="242"/>
    </row>
    <row r="824235" spans="1:1" x14ac:dyDescent="0.25">
      <c r="A824235" s="242"/>
    </row>
    <row r="824236" spans="1:1" x14ac:dyDescent="0.25">
      <c r="A824236" s="242"/>
    </row>
    <row r="824237" spans="1:1" x14ac:dyDescent="0.25">
      <c r="A824237" s="242"/>
    </row>
    <row r="824238" spans="1:1" x14ac:dyDescent="0.25">
      <c r="A824238" s="242"/>
    </row>
    <row r="824239" spans="1:1" x14ac:dyDescent="0.25">
      <c r="A824239" s="242"/>
    </row>
    <row r="824240" spans="1:1" x14ac:dyDescent="0.25">
      <c r="A824240" s="242"/>
    </row>
    <row r="824241" spans="1:1" x14ac:dyDescent="0.25">
      <c r="A824241" s="242"/>
    </row>
    <row r="824242" spans="1:1" x14ac:dyDescent="0.25">
      <c r="A824242" s="242"/>
    </row>
    <row r="824243" spans="1:1" x14ac:dyDescent="0.25">
      <c r="A824243" s="242"/>
    </row>
    <row r="824244" spans="1:1" x14ac:dyDescent="0.25">
      <c r="A824244" s="242"/>
    </row>
    <row r="824245" spans="1:1" x14ac:dyDescent="0.25">
      <c r="A824245" s="242"/>
    </row>
    <row r="824246" spans="1:1" x14ac:dyDescent="0.25">
      <c r="A824246" s="242"/>
    </row>
    <row r="824247" spans="1:1" x14ac:dyDescent="0.25">
      <c r="A824247" s="242"/>
    </row>
    <row r="824248" spans="1:1" x14ac:dyDescent="0.25">
      <c r="A824248" s="242"/>
    </row>
    <row r="824249" spans="1:1" x14ac:dyDescent="0.25">
      <c r="A824249" s="242"/>
    </row>
    <row r="824250" spans="1:1" x14ac:dyDescent="0.25">
      <c r="A824250" s="242"/>
    </row>
    <row r="824251" spans="1:1" x14ac:dyDescent="0.25">
      <c r="A824251" s="242"/>
    </row>
    <row r="824252" spans="1:1" x14ac:dyDescent="0.25">
      <c r="A824252" s="242"/>
    </row>
    <row r="824253" spans="1:1" x14ac:dyDescent="0.25">
      <c r="A824253" s="242"/>
    </row>
    <row r="824254" spans="1:1" x14ac:dyDescent="0.25">
      <c r="A824254" s="242"/>
    </row>
    <row r="824255" spans="1:1" x14ac:dyDescent="0.25">
      <c r="A824255" s="242"/>
    </row>
    <row r="824256" spans="1:1" x14ac:dyDescent="0.25">
      <c r="A824256" s="242"/>
    </row>
    <row r="824257" spans="1:1" x14ac:dyDescent="0.25">
      <c r="A824257" s="242"/>
    </row>
    <row r="824258" spans="1:1" x14ac:dyDescent="0.25">
      <c r="A824258" s="242"/>
    </row>
    <row r="824259" spans="1:1" x14ac:dyDescent="0.25">
      <c r="A824259" s="242"/>
    </row>
    <row r="824260" spans="1:1" x14ac:dyDescent="0.25">
      <c r="A824260" s="242"/>
    </row>
    <row r="824261" spans="1:1" x14ac:dyDescent="0.25">
      <c r="A824261" s="242"/>
    </row>
    <row r="824262" spans="1:1" x14ac:dyDescent="0.25">
      <c r="A824262" s="242"/>
    </row>
    <row r="824263" spans="1:1" x14ac:dyDescent="0.25">
      <c r="A824263" s="242"/>
    </row>
    <row r="824264" spans="1:1" x14ac:dyDescent="0.25">
      <c r="A824264" s="242"/>
    </row>
    <row r="824265" spans="1:1" x14ac:dyDescent="0.25">
      <c r="A824265" s="242"/>
    </row>
    <row r="824266" spans="1:1" x14ac:dyDescent="0.25">
      <c r="A824266" s="242"/>
    </row>
    <row r="824267" spans="1:1" x14ac:dyDescent="0.25">
      <c r="A824267" s="242"/>
    </row>
    <row r="824268" spans="1:1" x14ac:dyDescent="0.25">
      <c r="A824268" s="242"/>
    </row>
    <row r="824269" spans="1:1" x14ac:dyDescent="0.25">
      <c r="A824269" s="242"/>
    </row>
    <row r="824270" spans="1:1" x14ac:dyDescent="0.25">
      <c r="A824270" s="242"/>
    </row>
    <row r="824271" spans="1:1" x14ac:dyDescent="0.25">
      <c r="A824271" s="242"/>
    </row>
    <row r="824272" spans="1:1" x14ac:dyDescent="0.25">
      <c r="A824272" s="242"/>
    </row>
    <row r="824273" spans="1:1" x14ac:dyDescent="0.25">
      <c r="A824273" s="242"/>
    </row>
    <row r="824274" spans="1:1" x14ac:dyDescent="0.25">
      <c r="A824274" s="242"/>
    </row>
    <row r="824275" spans="1:1" x14ac:dyDescent="0.25">
      <c r="A824275" s="242"/>
    </row>
    <row r="824276" spans="1:1" x14ac:dyDescent="0.25">
      <c r="A824276" s="242"/>
    </row>
    <row r="824277" spans="1:1" x14ac:dyDescent="0.25">
      <c r="A824277" s="242"/>
    </row>
    <row r="824278" spans="1:1" x14ac:dyDescent="0.25">
      <c r="A824278" s="242"/>
    </row>
    <row r="824279" spans="1:1" x14ac:dyDescent="0.25">
      <c r="A824279" s="242"/>
    </row>
    <row r="824280" spans="1:1" x14ac:dyDescent="0.25">
      <c r="A824280" s="242"/>
    </row>
    <row r="824281" spans="1:1" x14ac:dyDescent="0.25">
      <c r="A824281" s="242"/>
    </row>
    <row r="824282" spans="1:1" x14ac:dyDescent="0.25">
      <c r="A824282" s="242"/>
    </row>
    <row r="824283" spans="1:1" x14ac:dyDescent="0.25">
      <c r="A824283" s="242"/>
    </row>
    <row r="824284" spans="1:1" x14ac:dyDescent="0.25">
      <c r="A824284" s="242"/>
    </row>
    <row r="824285" spans="1:1" x14ac:dyDescent="0.25">
      <c r="A824285" s="242"/>
    </row>
    <row r="824286" spans="1:1" x14ac:dyDescent="0.25">
      <c r="A824286" s="242"/>
    </row>
    <row r="824287" spans="1:1" x14ac:dyDescent="0.25">
      <c r="A824287" s="242"/>
    </row>
    <row r="824288" spans="1:1" x14ac:dyDescent="0.25">
      <c r="A824288" s="242"/>
    </row>
    <row r="824289" spans="1:1" x14ac:dyDescent="0.25">
      <c r="A824289" s="242"/>
    </row>
    <row r="824290" spans="1:1" x14ac:dyDescent="0.25">
      <c r="A824290" s="242"/>
    </row>
    <row r="824291" spans="1:1" x14ac:dyDescent="0.25">
      <c r="A824291" s="242"/>
    </row>
    <row r="824292" spans="1:1" x14ac:dyDescent="0.25">
      <c r="A824292" s="242"/>
    </row>
    <row r="824293" spans="1:1" x14ac:dyDescent="0.25">
      <c r="A824293" s="242"/>
    </row>
    <row r="824294" spans="1:1" x14ac:dyDescent="0.25">
      <c r="A824294" s="242"/>
    </row>
    <row r="824295" spans="1:1" x14ac:dyDescent="0.25">
      <c r="A824295" s="242"/>
    </row>
    <row r="824296" spans="1:1" x14ac:dyDescent="0.25">
      <c r="A824296" s="242"/>
    </row>
    <row r="824297" spans="1:1" x14ac:dyDescent="0.25">
      <c r="A824297" s="242"/>
    </row>
    <row r="824298" spans="1:1" x14ac:dyDescent="0.25">
      <c r="A824298" s="242"/>
    </row>
    <row r="824299" spans="1:1" x14ac:dyDescent="0.25">
      <c r="A824299" s="242"/>
    </row>
    <row r="824300" spans="1:1" x14ac:dyDescent="0.25">
      <c r="A824300" s="242"/>
    </row>
    <row r="824301" spans="1:1" x14ac:dyDescent="0.25">
      <c r="A824301" s="242"/>
    </row>
    <row r="824302" spans="1:1" x14ac:dyDescent="0.25">
      <c r="A824302" s="242"/>
    </row>
    <row r="824303" spans="1:1" x14ac:dyDescent="0.25">
      <c r="A824303" s="242"/>
    </row>
    <row r="824304" spans="1:1" x14ac:dyDescent="0.25">
      <c r="A824304" s="242"/>
    </row>
    <row r="824305" spans="1:1" x14ac:dyDescent="0.25">
      <c r="A824305" s="242"/>
    </row>
    <row r="824306" spans="1:1" x14ac:dyDescent="0.25">
      <c r="A824306" s="242"/>
    </row>
    <row r="824307" spans="1:1" x14ac:dyDescent="0.25">
      <c r="A824307" s="242"/>
    </row>
    <row r="824308" spans="1:1" x14ac:dyDescent="0.25">
      <c r="A824308" s="242"/>
    </row>
    <row r="824309" spans="1:1" x14ac:dyDescent="0.25">
      <c r="A824309" s="242"/>
    </row>
    <row r="824310" spans="1:1" x14ac:dyDescent="0.25">
      <c r="A824310" s="242"/>
    </row>
    <row r="824311" spans="1:1" x14ac:dyDescent="0.25">
      <c r="A824311" s="242"/>
    </row>
    <row r="824312" spans="1:1" x14ac:dyDescent="0.25">
      <c r="A824312" s="242"/>
    </row>
    <row r="824313" spans="1:1" x14ac:dyDescent="0.25">
      <c r="A824313" s="242"/>
    </row>
    <row r="824314" spans="1:1" x14ac:dyDescent="0.25">
      <c r="A824314" s="242"/>
    </row>
    <row r="824315" spans="1:1" x14ac:dyDescent="0.25">
      <c r="A824315" s="242"/>
    </row>
    <row r="824316" spans="1:1" x14ac:dyDescent="0.25">
      <c r="A824316" s="242"/>
    </row>
    <row r="824317" spans="1:1" x14ac:dyDescent="0.25">
      <c r="A824317" s="242"/>
    </row>
    <row r="824318" spans="1:1" x14ac:dyDescent="0.25">
      <c r="A824318" s="242"/>
    </row>
    <row r="824319" spans="1:1" x14ac:dyDescent="0.25">
      <c r="A824319" s="242"/>
    </row>
    <row r="824320" spans="1:1" x14ac:dyDescent="0.25">
      <c r="A824320" s="242"/>
    </row>
    <row r="824321" spans="1:1" x14ac:dyDescent="0.25">
      <c r="A824321" s="242"/>
    </row>
    <row r="824322" spans="1:1" x14ac:dyDescent="0.25">
      <c r="A824322" s="242"/>
    </row>
    <row r="824323" spans="1:1" x14ac:dyDescent="0.25">
      <c r="A824323" s="242"/>
    </row>
    <row r="824324" spans="1:1" x14ac:dyDescent="0.25">
      <c r="A824324" s="242"/>
    </row>
    <row r="824325" spans="1:1" x14ac:dyDescent="0.25">
      <c r="A824325" s="242"/>
    </row>
    <row r="824326" spans="1:1" x14ac:dyDescent="0.25">
      <c r="A824326" s="242"/>
    </row>
    <row r="824327" spans="1:1" x14ac:dyDescent="0.25">
      <c r="A824327" s="242"/>
    </row>
    <row r="824328" spans="1:1" x14ac:dyDescent="0.25">
      <c r="A824328" s="242"/>
    </row>
    <row r="824329" spans="1:1" x14ac:dyDescent="0.25">
      <c r="A824329" s="242"/>
    </row>
    <row r="824330" spans="1:1" x14ac:dyDescent="0.25">
      <c r="A824330" s="242"/>
    </row>
    <row r="824331" spans="1:1" x14ac:dyDescent="0.25">
      <c r="A824331" s="242"/>
    </row>
    <row r="824332" spans="1:1" x14ac:dyDescent="0.25">
      <c r="A824332" s="242"/>
    </row>
    <row r="824333" spans="1:1" x14ac:dyDescent="0.25">
      <c r="A824333" s="242"/>
    </row>
    <row r="824334" spans="1:1" x14ac:dyDescent="0.25">
      <c r="A824334" s="242"/>
    </row>
    <row r="824335" spans="1:1" x14ac:dyDescent="0.25">
      <c r="A824335" s="242"/>
    </row>
    <row r="824336" spans="1:1" x14ac:dyDescent="0.25">
      <c r="A824336" s="242"/>
    </row>
    <row r="824337" spans="1:1" x14ac:dyDescent="0.25">
      <c r="A824337" s="242"/>
    </row>
    <row r="824338" spans="1:1" x14ac:dyDescent="0.25">
      <c r="A824338" s="242"/>
    </row>
    <row r="824339" spans="1:1" x14ac:dyDescent="0.25">
      <c r="A824339" s="242"/>
    </row>
    <row r="824340" spans="1:1" x14ac:dyDescent="0.25">
      <c r="A824340" s="242"/>
    </row>
    <row r="824341" spans="1:1" x14ac:dyDescent="0.25">
      <c r="A824341" s="242"/>
    </row>
    <row r="824342" spans="1:1" x14ac:dyDescent="0.25">
      <c r="A824342" s="242"/>
    </row>
    <row r="824343" spans="1:1" x14ac:dyDescent="0.25">
      <c r="A824343" s="242"/>
    </row>
    <row r="824344" spans="1:1" x14ac:dyDescent="0.25">
      <c r="A824344" s="242"/>
    </row>
    <row r="824345" spans="1:1" x14ac:dyDescent="0.25">
      <c r="A824345" s="242"/>
    </row>
    <row r="824346" spans="1:1" x14ac:dyDescent="0.25">
      <c r="A824346" s="242"/>
    </row>
    <row r="824347" spans="1:1" x14ac:dyDescent="0.25">
      <c r="A824347" s="242"/>
    </row>
    <row r="824348" spans="1:1" x14ac:dyDescent="0.25">
      <c r="A824348" s="242"/>
    </row>
    <row r="824349" spans="1:1" x14ac:dyDescent="0.25">
      <c r="A824349" s="242"/>
    </row>
    <row r="824350" spans="1:1" x14ac:dyDescent="0.25">
      <c r="A824350" s="242"/>
    </row>
    <row r="824351" spans="1:1" x14ac:dyDescent="0.25">
      <c r="A824351" s="242"/>
    </row>
    <row r="824352" spans="1:1" x14ac:dyDescent="0.25">
      <c r="A824352" s="242"/>
    </row>
    <row r="824353" spans="1:1" x14ac:dyDescent="0.25">
      <c r="A824353" s="242"/>
    </row>
    <row r="824354" spans="1:1" x14ac:dyDescent="0.25">
      <c r="A824354" s="242"/>
    </row>
    <row r="824355" spans="1:1" x14ac:dyDescent="0.25">
      <c r="A824355" s="242"/>
    </row>
    <row r="824356" spans="1:1" x14ac:dyDescent="0.25">
      <c r="A824356" s="242"/>
    </row>
    <row r="824357" spans="1:1" x14ac:dyDescent="0.25">
      <c r="A824357" s="242"/>
    </row>
    <row r="824358" spans="1:1" x14ac:dyDescent="0.25">
      <c r="A824358" s="242"/>
    </row>
    <row r="824359" spans="1:1" x14ac:dyDescent="0.25">
      <c r="A824359" s="242"/>
    </row>
    <row r="824360" spans="1:1" x14ac:dyDescent="0.25">
      <c r="A824360" s="242"/>
    </row>
    <row r="824361" spans="1:1" x14ac:dyDescent="0.25">
      <c r="A824361" s="242"/>
    </row>
    <row r="824362" spans="1:1" x14ac:dyDescent="0.25">
      <c r="A824362" s="242"/>
    </row>
    <row r="824363" spans="1:1" x14ac:dyDescent="0.25">
      <c r="A824363" s="242"/>
    </row>
    <row r="824364" spans="1:1" x14ac:dyDescent="0.25">
      <c r="A824364" s="242"/>
    </row>
    <row r="824365" spans="1:1" x14ac:dyDescent="0.25">
      <c r="A824365" s="242"/>
    </row>
    <row r="824366" spans="1:1" x14ac:dyDescent="0.25">
      <c r="A824366" s="242"/>
    </row>
    <row r="824367" spans="1:1" x14ac:dyDescent="0.25">
      <c r="A824367" s="242"/>
    </row>
    <row r="824368" spans="1:1" x14ac:dyDescent="0.25">
      <c r="A824368" s="242"/>
    </row>
    <row r="824369" spans="1:1" x14ac:dyDescent="0.25">
      <c r="A824369" s="242"/>
    </row>
    <row r="824370" spans="1:1" x14ac:dyDescent="0.25">
      <c r="A824370" s="242"/>
    </row>
    <row r="824371" spans="1:1" x14ac:dyDescent="0.25">
      <c r="A824371" s="242"/>
    </row>
    <row r="824372" spans="1:1" x14ac:dyDescent="0.25">
      <c r="A824372" s="242"/>
    </row>
    <row r="824373" spans="1:1" x14ac:dyDescent="0.25">
      <c r="A824373" s="242"/>
    </row>
    <row r="824374" spans="1:1" x14ac:dyDescent="0.25">
      <c r="A824374" s="242"/>
    </row>
    <row r="824375" spans="1:1" x14ac:dyDescent="0.25">
      <c r="A824375" s="242"/>
    </row>
    <row r="824376" spans="1:1" x14ac:dyDescent="0.25">
      <c r="A824376" s="242"/>
    </row>
    <row r="824377" spans="1:1" x14ac:dyDescent="0.25">
      <c r="A824377" s="242"/>
    </row>
    <row r="824378" spans="1:1" x14ac:dyDescent="0.25">
      <c r="A824378" s="242"/>
    </row>
    <row r="824379" spans="1:1" x14ac:dyDescent="0.25">
      <c r="A824379" s="242"/>
    </row>
    <row r="824380" spans="1:1" x14ac:dyDescent="0.25">
      <c r="A824380" s="242"/>
    </row>
    <row r="824381" spans="1:1" x14ac:dyDescent="0.25">
      <c r="A824381" s="242"/>
    </row>
    <row r="824382" spans="1:1" x14ac:dyDescent="0.25">
      <c r="A824382" s="242"/>
    </row>
    <row r="824383" spans="1:1" x14ac:dyDescent="0.25">
      <c r="A824383" s="242"/>
    </row>
    <row r="824384" spans="1:1" x14ac:dyDescent="0.25">
      <c r="A824384" s="242"/>
    </row>
    <row r="824385" spans="1:1" x14ac:dyDescent="0.25">
      <c r="A824385" s="242"/>
    </row>
    <row r="824386" spans="1:1" x14ac:dyDescent="0.25">
      <c r="A824386" s="242"/>
    </row>
    <row r="824387" spans="1:1" x14ac:dyDescent="0.25">
      <c r="A824387" s="242"/>
    </row>
    <row r="824388" spans="1:1" x14ac:dyDescent="0.25">
      <c r="A824388" s="242"/>
    </row>
    <row r="824389" spans="1:1" x14ac:dyDescent="0.25">
      <c r="A824389" s="242"/>
    </row>
    <row r="824390" spans="1:1" x14ac:dyDescent="0.25">
      <c r="A824390" s="242"/>
    </row>
    <row r="824391" spans="1:1" x14ac:dyDescent="0.25">
      <c r="A824391" s="242"/>
    </row>
    <row r="824392" spans="1:1" x14ac:dyDescent="0.25">
      <c r="A824392" s="242"/>
    </row>
    <row r="824393" spans="1:1" x14ac:dyDescent="0.25">
      <c r="A824393" s="242"/>
    </row>
    <row r="824394" spans="1:1" x14ac:dyDescent="0.25">
      <c r="A824394" s="242"/>
    </row>
    <row r="824395" spans="1:1" x14ac:dyDescent="0.25">
      <c r="A824395" s="242"/>
    </row>
    <row r="824396" spans="1:1" x14ac:dyDescent="0.25">
      <c r="A824396" s="242"/>
    </row>
    <row r="824397" spans="1:1" x14ac:dyDescent="0.25">
      <c r="A824397" s="242"/>
    </row>
    <row r="824398" spans="1:1" x14ac:dyDescent="0.25">
      <c r="A824398" s="242"/>
    </row>
    <row r="824399" spans="1:1" x14ac:dyDescent="0.25">
      <c r="A824399" s="242"/>
    </row>
    <row r="824400" spans="1:1" x14ac:dyDescent="0.25">
      <c r="A824400" s="242"/>
    </row>
    <row r="824401" spans="1:1" x14ac:dyDescent="0.25">
      <c r="A824401" s="242"/>
    </row>
    <row r="824402" spans="1:1" x14ac:dyDescent="0.25">
      <c r="A824402" s="242"/>
    </row>
    <row r="824403" spans="1:1" x14ac:dyDescent="0.25">
      <c r="A824403" s="242"/>
    </row>
    <row r="824404" spans="1:1" x14ac:dyDescent="0.25">
      <c r="A824404" s="242"/>
    </row>
    <row r="824405" spans="1:1" x14ac:dyDescent="0.25">
      <c r="A824405" s="242"/>
    </row>
    <row r="824406" spans="1:1" x14ac:dyDescent="0.25">
      <c r="A824406" s="242"/>
    </row>
    <row r="824407" spans="1:1" x14ac:dyDescent="0.25">
      <c r="A824407" s="242"/>
    </row>
    <row r="824408" spans="1:1" x14ac:dyDescent="0.25">
      <c r="A824408" s="242"/>
    </row>
    <row r="824409" spans="1:1" x14ac:dyDescent="0.25">
      <c r="A824409" s="242"/>
    </row>
    <row r="824410" spans="1:1" x14ac:dyDescent="0.25">
      <c r="A824410" s="242"/>
    </row>
    <row r="824411" spans="1:1" x14ac:dyDescent="0.25">
      <c r="A824411" s="242"/>
    </row>
    <row r="824412" spans="1:1" x14ac:dyDescent="0.25">
      <c r="A824412" s="242"/>
    </row>
    <row r="824413" spans="1:1" x14ac:dyDescent="0.25">
      <c r="A824413" s="242"/>
    </row>
    <row r="824414" spans="1:1" x14ac:dyDescent="0.25">
      <c r="A824414" s="242"/>
    </row>
    <row r="824415" spans="1:1" x14ac:dyDescent="0.25">
      <c r="A824415" s="242"/>
    </row>
    <row r="824416" spans="1:1" x14ac:dyDescent="0.25">
      <c r="A824416" s="242"/>
    </row>
    <row r="824417" spans="1:1" x14ac:dyDescent="0.25">
      <c r="A824417" s="242"/>
    </row>
    <row r="824418" spans="1:1" x14ac:dyDescent="0.25">
      <c r="A824418" s="242"/>
    </row>
    <row r="824419" spans="1:1" x14ac:dyDescent="0.25">
      <c r="A824419" s="242"/>
    </row>
    <row r="824420" spans="1:1" x14ac:dyDescent="0.25">
      <c r="A824420" s="242"/>
    </row>
    <row r="824421" spans="1:1" x14ac:dyDescent="0.25">
      <c r="A824421" s="242"/>
    </row>
    <row r="824422" spans="1:1" x14ac:dyDescent="0.25">
      <c r="A824422" s="242"/>
    </row>
    <row r="824423" spans="1:1" x14ac:dyDescent="0.25">
      <c r="A824423" s="242"/>
    </row>
    <row r="824424" spans="1:1" x14ac:dyDescent="0.25">
      <c r="A824424" s="242"/>
    </row>
    <row r="824425" spans="1:1" x14ac:dyDescent="0.25">
      <c r="A824425" s="242"/>
    </row>
    <row r="824426" spans="1:1" x14ac:dyDescent="0.25">
      <c r="A824426" s="242"/>
    </row>
    <row r="824427" spans="1:1" x14ac:dyDescent="0.25">
      <c r="A824427" s="242"/>
    </row>
    <row r="824428" spans="1:1" x14ac:dyDescent="0.25">
      <c r="A824428" s="242"/>
    </row>
    <row r="824429" spans="1:1" x14ac:dyDescent="0.25">
      <c r="A824429" s="242"/>
    </row>
    <row r="824430" spans="1:1" x14ac:dyDescent="0.25">
      <c r="A824430" s="242"/>
    </row>
    <row r="824431" spans="1:1" x14ac:dyDescent="0.25">
      <c r="A824431" s="242"/>
    </row>
    <row r="824432" spans="1:1" x14ac:dyDescent="0.25">
      <c r="A824432" s="242"/>
    </row>
    <row r="824433" spans="1:1" x14ac:dyDescent="0.25">
      <c r="A824433" s="242"/>
    </row>
    <row r="824434" spans="1:1" x14ac:dyDescent="0.25">
      <c r="A824434" s="242"/>
    </row>
    <row r="824435" spans="1:1" x14ac:dyDescent="0.25">
      <c r="A824435" s="242"/>
    </row>
    <row r="824436" spans="1:1" x14ac:dyDescent="0.25">
      <c r="A824436" s="242"/>
    </row>
    <row r="824437" spans="1:1" x14ac:dyDescent="0.25">
      <c r="A824437" s="242"/>
    </row>
    <row r="824438" spans="1:1" x14ac:dyDescent="0.25">
      <c r="A824438" s="242"/>
    </row>
    <row r="824439" spans="1:1" x14ac:dyDescent="0.25">
      <c r="A824439" s="242"/>
    </row>
    <row r="824440" spans="1:1" x14ac:dyDescent="0.25">
      <c r="A824440" s="242"/>
    </row>
    <row r="824441" spans="1:1" x14ac:dyDescent="0.25">
      <c r="A824441" s="242"/>
    </row>
    <row r="824442" spans="1:1" x14ac:dyDescent="0.25">
      <c r="A824442" s="242"/>
    </row>
    <row r="824443" spans="1:1" x14ac:dyDescent="0.25">
      <c r="A824443" s="242"/>
    </row>
    <row r="824444" spans="1:1" x14ac:dyDescent="0.25">
      <c r="A824444" s="242"/>
    </row>
    <row r="824445" spans="1:1" x14ac:dyDescent="0.25">
      <c r="A824445" s="242"/>
    </row>
    <row r="824446" spans="1:1" x14ac:dyDescent="0.25">
      <c r="A824446" s="242"/>
    </row>
    <row r="824447" spans="1:1" x14ac:dyDescent="0.25">
      <c r="A824447" s="242"/>
    </row>
    <row r="824448" spans="1:1" x14ac:dyDescent="0.25">
      <c r="A824448" s="242"/>
    </row>
    <row r="824449" spans="1:1" x14ac:dyDescent="0.25">
      <c r="A824449" s="242"/>
    </row>
    <row r="824450" spans="1:1" x14ac:dyDescent="0.25">
      <c r="A824450" s="242"/>
    </row>
    <row r="824451" spans="1:1" x14ac:dyDescent="0.25">
      <c r="A824451" s="242"/>
    </row>
    <row r="824452" spans="1:1" x14ac:dyDescent="0.25">
      <c r="A824452" s="242"/>
    </row>
    <row r="824453" spans="1:1" x14ac:dyDescent="0.25">
      <c r="A824453" s="242"/>
    </row>
    <row r="824454" spans="1:1" x14ac:dyDescent="0.25">
      <c r="A824454" s="242"/>
    </row>
    <row r="824455" spans="1:1" x14ac:dyDescent="0.25">
      <c r="A824455" s="242"/>
    </row>
    <row r="824456" spans="1:1" x14ac:dyDescent="0.25">
      <c r="A824456" s="242"/>
    </row>
    <row r="824457" spans="1:1" x14ac:dyDescent="0.25">
      <c r="A824457" s="242"/>
    </row>
    <row r="824458" spans="1:1" x14ac:dyDescent="0.25">
      <c r="A824458" s="242"/>
    </row>
    <row r="824459" spans="1:1" x14ac:dyDescent="0.25">
      <c r="A824459" s="242"/>
    </row>
    <row r="824460" spans="1:1" x14ac:dyDescent="0.25">
      <c r="A824460" s="242"/>
    </row>
    <row r="824461" spans="1:1" x14ac:dyDescent="0.25">
      <c r="A824461" s="242"/>
    </row>
    <row r="824462" spans="1:1" x14ac:dyDescent="0.25">
      <c r="A824462" s="242"/>
    </row>
    <row r="824463" spans="1:1" x14ac:dyDescent="0.25">
      <c r="A824463" s="242"/>
    </row>
    <row r="824464" spans="1:1" x14ac:dyDescent="0.25">
      <c r="A824464" s="242"/>
    </row>
    <row r="824465" spans="1:1" x14ac:dyDescent="0.25">
      <c r="A824465" s="242"/>
    </row>
    <row r="824466" spans="1:1" x14ac:dyDescent="0.25">
      <c r="A824466" s="242"/>
    </row>
    <row r="824467" spans="1:1" x14ac:dyDescent="0.25">
      <c r="A824467" s="242"/>
    </row>
    <row r="824468" spans="1:1" x14ac:dyDescent="0.25">
      <c r="A824468" s="242"/>
    </row>
    <row r="824469" spans="1:1" x14ac:dyDescent="0.25">
      <c r="A824469" s="242"/>
    </row>
    <row r="824470" spans="1:1" x14ac:dyDescent="0.25">
      <c r="A824470" s="242"/>
    </row>
    <row r="824471" spans="1:1" x14ac:dyDescent="0.25">
      <c r="A824471" s="242"/>
    </row>
    <row r="824472" spans="1:1" x14ac:dyDescent="0.25">
      <c r="A824472" s="242"/>
    </row>
    <row r="824473" spans="1:1" x14ac:dyDescent="0.25">
      <c r="A824473" s="242"/>
    </row>
    <row r="824474" spans="1:1" x14ac:dyDescent="0.25">
      <c r="A824474" s="242"/>
    </row>
    <row r="824475" spans="1:1" x14ac:dyDescent="0.25">
      <c r="A824475" s="242"/>
    </row>
    <row r="824476" spans="1:1" x14ac:dyDescent="0.25">
      <c r="A824476" s="242"/>
    </row>
    <row r="824477" spans="1:1" x14ac:dyDescent="0.25">
      <c r="A824477" s="242"/>
    </row>
    <row r="824478" spans="1:1" x14ac:dyDescent="0.25">
      <c r="A824478" s="242"/>
    </row>
    <row r="824479" spans="1:1" x14ac:dyDescent="0.25">
      <c r="A824479" s="242"/>
    </row>
    <row r="824480" spans="1:1" x14ac:dyDescent="0.25">
      <c r="A824480" s="242"/>
    </row>
    <row r="824481" spans="1:1" x14ac:dyDescent="0.25">
      <c r="A824481" s="242"/>
    </row>
    <row r="824482" spans="1:1" x14ac:dyDescent="0.25">
      <c r="A824482" s="242"/>
    </row>
    <row r="824483" spans="1:1" x14ac:dyDescent="0.25">
      <c r="A824483" s="242"/>
    </row>
    <row r="824484" spans="1:1" x14ac:dyDescent="0.25">
      <c r="A824484" s="242"/>
    </row>
    <row r="824485" spans="1:1" x14ac:dyDescent="0.25">
      <c r="A824485" s="242"/>
    </row>
    <row r="824486" spans="1:1" x14ac:dyDescent="0.25">
      <c r="A824486" s="242"/>
    </row>
    <row r="824487" spans="1:1" x14ac:dyDescent="0.25">
      <c r="A824487" s="242"/>
    </row>
    <row r="824488" spans="1:1" x14ac:dyDescent="0.25">
      <c r="A824488" s="242"/>
    </row>
    <row r="824489" spans="1:1" x14ac:dyDescent="0.25">
      <c r="A824489" s="242"/>
    </row>
    <row r="824490" spans="1:1" x14ac:dyDescent="0.25">
      <c r="A824490" s="242"/>
    </row>
    <row r="824491" spans="1:1" x14ac:dyDescent="0.25">
      <c r="A824491" s="242"/>
    </row>
    <row r="824492" spans="1:1" x14ac:dyDescent="0.25">
      <c r="A824492" s="242"/>
    </row>
    <row r="824493" spans="1:1" x14ac:dyDescent="0.25">
      <c r="A824493" s="242"/>
    </row>
    <row r="824494" spans="1:1" x14ac:dyDescent="0.25">
      <c r="A824494" s="242"/>
    </row>
    <row r="824495" spans="1:1" x14ac:dyDescent="0.25">
      <c r="A824495" s="242"/>
    </row>
    <row r="824496" spans="1:1" x14ac:dyDescent="0.25">
      <c r="A824496" s="242"/>
    </row>
    <row r="824497" spans="1:1" x14ac:dyDescent="0.25">
      <c r="A824497" s="242"/>
    </row>
    <row r="824498" spans="1:1" x14ac:dyDescent="0.25">
      <c r="A824498" s="242"/>
    </row>
    <row r="824499" spans="1:1" x14ac:dyDescent="0.25">
      <c r="A824499" s="242"/>
    </row>
    <row r="824500" spans="1:1" x14ac:dyDescent="0.25">
      <c r="A824500" s="242"/>
    </row>
    <row r="824501" spans="1:1" x14ac:dyDescent="0.25">
      <c r="A824501" s="242"/>
    </row>
    <row r="824502" spans="1:1" x14ac:dyDescent="0.25">
      <c r="A824502" s="242"/>
    </row>
    <row r="824503" spans="1:1" x14ac:dyDescent="0.25">
      <c r="A824503" s="242"/>
    </row>
    <row r="824504" spans="1:1" x14ac:dyDescent="0.25">
      <c r="A824504" s="242"/>
    </row>
    <row r="824505" spans="1:1" x14ac:dyDescent="0.25">
      <c r="A824505" s="242"/>
    </row>
    <row r="824506" spans="1:1" x14ac:dyDescent="0.25">
      <c r="A824506" s="242"/>
    </row>
    <row r="824507" spans="1:1" x14ac:dyDescent="0.25">
      <c r="A824507" s="242"/>
    </row>
    <row r="824508" spans="1:1" x14ac:dyDescent="0.25">
      <c r="A824508" s="242"/>
    </row>
    <row r="824509" spans="1:1" x14ac:dyDescent="0.25">
      <c r="A824509" s="242"/>
    </row>
    <row r="824510" spans="1:1" x14ac:dyDescent="0.25">
      <c r="A824510" s="242"/>
    </row>
    <row r="824511" spans="1:1" x14ac:dyDescent="0.25">
      <c r="A824511" s="242"/>
    </row>
    <row r="824512" spans="1:1" x14ac:dyDescent="0.25">
      <c r="A824512" s="242"/>
    </row>
    <row r="824513" spans="1:1" x14ac:dyDescent="0.25">
      <c r="A824513" s="242"/>
    </row>
    <row r="824514" spans="1:1" x14ac:dyDescent="0.25">
      <c r="A824514" s="242"/>
    </row>
    <row r="824515" spans="1:1" x14ac:dyDescent="0.25">
      <c r="A824515" s="242"/>
    </row>
    <row r="824516" spans="1:1" x14ac:dyDescent="0.25">
      <c r="A824516" s="242"/>
    </row>
    <row r="824517" spans="1:1" x14ac:dyDescent="0.25">
      <c r="A824517" s="242"/>
    </row>
    <row r="824518" spans="1:1" x14ac:dyDescent="0.25">
      <c r="A824518" s="242"/>
    </row>
    <row r="824519" spans="1:1" x14ac:dyDescent="0.25">
      <c r="A824519" s="242"/>
    </row>
    <row r="824520" spans="1:1" x14ac:dyDescent="0.25">
      <c r="A824520" s="242"/>
    </row>
    <row r="824521" spans="1:1" x14ac:dyDescent="0.25">
      <c r="A824521" s="242"/>
    </row>
    <row r="824522" spans="1:1" x14ac:dyDescent="0.25">
      <c r="A824522" s="242"/>
    </row>
    <row r="824523" spans="1:1" x14ac:dyDescent="0.25">
      <c r="A824523" s="242"/>
    </row>
    <row r="824524" spans="1:1" x14ac:dyDescent="0.25">
      <c r="A824524" s="242"/>
    </row>
    <row r="824525" spans="1:1" x14ac:dyDescent="0.25">
      <c r="A824525" s="242"/>
    </row>
    <row r="824526" spans="1:1" x14ac:dyDescent="0.25">
      <c r="A824526" s="242"/>
    </row>
    <row r="824527" spans="1:1" x14ac:dyDescent="0.25">
      <c r="A824527" s="242"/>
    </row>
    <row r="824528" spans="1:1" x14ac:dyDescent="0.25">
      <c r="A824528" s="242"/>
    </row>
    <row r="824529" spans="1:1" x14ac:dyDescent="0.25">
      <c r="A824529" s="242"/>
    </row>
    <row r="824530" spans="1:1" x14ac:dyDescent="0.25">
      <c r="A824530" s="242"/>
    </row>
    <row r="824531" spans="1:1" x14ac:dyDescent="0.25">
      <c r="A824531" s="242"/>
    </row>
    <row r="824532" spans="1:1" x14ac:dyDescent="0.25">
      <c r="A824532" s="242"/>
    </row>
    <row r="824533" spans="1:1" x14ac:dyDescent="0.25">
      <c r="A824533" s="242"/>
    </row>
    <row r="824534" spans="1:1" x14ac:dyDescent="0.25">
      <c r="A824534" s="242"/>
    </row>
    <row r="824535" spans="1:1" x14ac:dyDescent="0.25">
      <c r="A824535" s="242"/>
    </row>
    <row r="824536" spans="1:1" x14ac:dyDescent="0.25">
      <c r="A824536" s="242"/>
    </row>
    <row r="824537" spans="1:1" x14ac:dyDescent="0.25">
      <c r="A824537" s="242"/>
    </row>
    <row r="824538" spans="1:1" x14ac:dyDescent="0.25">
      <c r="A824538" s="242"/>
    </row>
    <row r="824539" spans="1:1" x14ac:dyDescent="0.25">
      <c r="A824539" s="242"/>
    </row>
    <row r="824540" spans="1:1" x14ac:dyDescent="0.25">
      <c r="A824540" s="242"/>
    </row>
    <row r="824541" spans="1:1" x14ac:dyDescent="0.25">
      <c r="A824541" s="242"/>
    </row>
    <row r="824542" spans="1:1" x14ac:dyDescent="0.25">
      <c r="A824542" s="242"/>
    </row>
    <row r="824543" spans="1:1" x14ac:dyDescent="0.25">
      <c r="A824543" s="242"/>
    </row>
    <row r="824544" spans="1:1" x14ac:dyDescent="0.25">
      <c r="A824544" s="242"/>
    </row>
    <row r="824545" spans="1:1" x14ac:dyDescent="0.25">
      <c r="A824545" s="242"/>
    </row>
    <row r="824546" spans="1:1" x14ac:dyDescent="0.25">
      <c r="A824546" s="242"/>
    </row>
    <row r="824547" spans="1:1" x14ac:dyDescent="0.25">
      <c r="A824547" s="242"/>
    </row>
    <row r="824548" spans="1:1" x14ac:dyDescent="0.25">
      <c r="A824548" s="242"/>
    </row>
    <row r="824549" spans="1:1" x14ac:dyDescent="0.25">
      <c r="A824549" s="242"/>
    </row>
    <row r="824550" spans="1:1" x14ac:dyDescent="0.25">
      <c r="A824550" s="242"/>
    </row>
    <row r="824551" spans="1:1" x14ac:dyDescent="0.25">
      <c r="A824551" s="242"/>
    </row>
    <row r="824552" spans="1:1" x14ac:dyDescent="0.25">
      <c r="A824552" s="242"/>
    </row>
    <row r="824553" spans="1:1" x14ac:dyDescent="0.25">
      <c r="A824553" s="242"/>
    </row>
    <row r="824554" spans="1:1" x14ac:dyDescent="0.25">
      <c r="A824554" s="242"/>
    </row>
    <row r="824555" spans="1:1" x14ac:dyDescent="0.25">
      <c r="A824555" s="242"/>
    </row>
    <row r="824556" spans="1:1" x14ac:dyDescent="0.25">
      <c r="A824556" s="242"/>
    </row>
    <row r="824557" spans="1:1" x14ac:dyDescent="0.25">
      <c r="A824557" s="242"/>
    </row>
    <row r="824558" spans="1:1" x14ac:dyDescent="0.25">
      <c r="A824558" s="242"/>
    </row>
    <row r="824559" spans="1:1" x14ac:dyDescent="0.25">
      <c r="A824559" s="242"/>
    </row>
    <row r="824560" spans="1:1" x14ac:dyDescent="0.25">
      <c r="A824560" s="242"/>
    </row>
    <row r="824561" spans="1:1" x14ac:dyDescent="0.25">
      <c r="A824561" s="242"/>
    </row>
    <row r="824562" spans="1:1" x14ac:dyDescent="0.25">
      <c r="A824562" s="242"/>
    </row>
    <row r="824563" spans="1:1" x14ac:dyDescent="0.25">
      <c r="A824563" s="242"/>
    </row>
    <row r="824564" spans="1:1" x14ac:dyDescent="0.25">
      <c r="A824564" s="242"/>
    </row>
    <row r="824565" spans="1:1" x14ac:dyDescent="0.25">
      <c r="A824565" s="242"/>
    </row>
    <row r="824566" spans="1:1" x14ac:dyDescent="0.25">
      <c r="A824566" s="242"/>
    </row>
    <row r="824567" spans="1:1" x14ac:dyDescent="0.25">
      <c r="A824567" s="242"/>
    </row>
    <row r="824568" spans="1:1" x14ac:dyDescent="0.25">
      <c r="A824568" s="242"/>
    </row>
    <row r="824569" spans="1:1" x14ac:dyDescent="0.25">
      <c r="A824569" s="242"/>
    </row>
    <row r="824570" spans="1:1" x14ac:dyDescent="0.25">
      <c r="A824570" s="242"/>
    </row>
    <row r="824571" spans="1:1" x14ac:dyDescent="0.25">
      <c r="A824571" s="242"/>
    </row>
    <row r="824572" spans="1:1" x14ac:dyDescent="0.25">
      <c r="A824572" s="242"/>
    </row>
    <row r="824573" spans="1:1" x14ac:dyDescent="0.25">
      <c r="A824573" s="242"/>
    </row>
    <row r="824574" spans="1:1" x14ac:dyDescent="0.25">
      <c r="A824574" s="242"/>
    </row>
    <row r="824575" spans="1:1" x14ac:dyDescent="0.25">
      <c r="A824575" s="242"/>
    </row>
    <row r="824576" spans="1:1" x14ac:dyDescent="0.25">
      <c r="A824576" s="242"/>
    </row>
    <row r="824577" spans="1:1" x14ac:dyDescent="0.25">
      <c r="A824577" s="242"/>
    </row>
    <row r="824578" spans="1:1" x14ac:dyDescent="0.25">
      <c r="A824578" s="242"/>
    </row>
    <row r="824579" spans="1:1" x14ac:dyDescent="0.25">
      <c r="A824579" s="242"/>
    </row>
    <row r="824580" spans="1:1" x14ac:dyDescent="0.25">
      <c r="A824580" s="242"/>
    </row>
    <row r="824581" spans="1:1" x14ac:dyDescent="0.25">
      <c r="A824581" s="242"/>
    </row>
    <row r="824582" spans="1:1" x14ac:dyDescent="0.25">
      <c r="A824582" s="242"/>
    </row>
    <row r="824583" spans="1:1" x14ac:dyDescent="0.25">
      <c r="A824583" s="242"/>
    </row>
    <row r="824584" spans="1:1" x14ac:dyDescent="0.25">
      <c r="A824584" s="242"/>
    </row>
    <row r="824585" spans="1:1" x14ac:dyDescent="0.25">
      <c r="A824585" s="242"/>
    </row>
    <row r="824586" spans="1:1" x14ac:dyDescent="0.25">
      <c r="A824586" s="242"/>
    </row>
    <row r="824587" spans="1:1" x14ac:dyDescent="0.25">
      <c r="A824587" s="242"/>
    </row>
    <row r="824588" spans="1:1" x14ac:dyDescent="0.25">
      <c r="A824588" s="242"/>
    </row>
    <row r="824589" spans="1:1" x14ac:dyDescent="0.25">
      <c r="A824589" s="242"/>
    </row>
    <row r="824590" spans="1:1" x14ac:dyDescent="0.25">
      <c r="A824590" s="242"/>
    </row>
    <row r="824591" spans="1:1" x14ac:dyDescent="0.25">
      <c r="A824591" s="242"/>
    </row>
    <row r="824592" spans="1:1" x14ac:dyDescent="0.25">
      <c r="A824592" s="242"/>
    </row>
    <row r="824593" spans="1:1" x14ac:dyDescent="0.25">
      <c r="A824593" s="242"/>
    </row>
    <row r="824594" spans="1:1" x14ac:dyDescent="0.25">
      <c r="A824594" s="242"/>
    </row>
    <row r="824595" spans="1:1" x14ac:dyDescent="0.25">
      <c r="A824595" s="242"/>
    </row>
    <row r="824596" spans="1:1" x14ac:dyDescent="0.25">
      <c r="A824596" s="242"/>
    </row>
    <row r="824597" spans="1:1" x14ac:dyDescent="0.25">
      <c r="A824597" s="242"/>
    </row>
    <row r="824598" spans="1:1" x14ac:dyDescent="0.25">
      <c r="A824598" s="242"/>
    </row>
    <row r="824599" spans="1:1" x14ac:dyDescent="0.25">
      <c r="A824599" s="242"/>
    </row>
    <row r="824600" spans="1:1" x14ac:dyDescent="0.25">
      <c r="A824600" s="242"/>
    </row>
    <row r="824601" spans="1:1" x14ac:dyDescent="0.25">
      <c r="A824601" s="242"/>
    </row>
    <row r="824602" spans="1:1" x14ac:dyDescent="0.25">
      <c r="A824602" s="242"/>
    </row>
    <row r="824603" spans="1:1" x14ac:dyDescent="0.25">
      <c r="A824603" s="242"/>
    </row>
    <row r="824604" spans="1:1" x14ac:dyDescent="0.25">
      <c r="A824604" s="242"/>
    </row>
    <row r="824605" spans="1:1" x14ac:dyDescent="0.25">
      <c r="A824605" s="242"/>
    </row>
    <row r="824606" spans="1:1" x14ac:dyDescent="0.25">
      <c r="A824606" s="242"/>
    </row>
    <row r="824607" spans="1:1" x14ac:dyDescent="0.25">
      <c r="A824607" s="242"/>
    </row>
    <row r="824608" spans="1:1" x14ac:dyDescent="0.25">
      <c r="A824608" s="242"/>
    </row>
    <row r="824609" spans="1:1" x14ac:dyDescent="0.25">
      <c r="A824609" s="242"/>
    </row>
    <row r="824610" spans="1:1" x14ac:dyDescent="0.25">
      <c r="A824610" s="242"/>
    </row>
    <row r="824611" spans="1:1" x14ac:dyDescent="0.25">
      <c r="A824611" s="242"/>
    </row>
    <row r="824612" spans="1:1" x14ac:dyDescent="0.25">
      <c r="A824612" s="242"/>
    </row>
    <row r="824613" spans="1:1" x14ac:dyDescent="0.25">
      <c r="A824613" s="242"/>
    </row>
    <row r="824614" spans="1:1" x14ac:dyDescent="0.25">
      <c r="A824614" s="242"/>
    </row>
    <row r="824615" spans="1:1" x14ac:dyDescent="0.25">
      <c r="A824615" s="242"/>
    </row>
    <row r="824616" spans="1:1" x14ac:dyDescent="0.25">
      <c r="A824616" s="242"/>
    </row>
    <row r="824617" spans="1:1" x14ac:dyDescent="0.25">
      <c r="A824617" s="242"/>
    </row>
    <row r="824618" spans="1:1" x14ac:dyDescent="0.25">
      <c r="A824618" s="242"/>
    </row>
    <row r="824619" spans="1:1" x14ac:dyDescent="0.25">
      <c r="A824619" s="242"/>
    </row>
    <row r="824620" spans="1:1" x14ac:dyDescent="0.25">
      <c r="A824620" s="242"/>
    </row>
    <row r="824621" spans="1:1" x14ac:dyDescent="0.25">
      <c r="A824621" s="242"/>
    </row>
    <row r="824622" spans="1:1" x14ac:dyDescent="0.25">
      <c r="A824622" s="242"/>
    </row>
    <row r="824623" spans="1:1" x14ac:dyDescent="0.25">
      <c r="A824623" s="242"/>
    </row>
    <row r="824624" spans="1:1" x14ac:dyDescent="0.25">
      <c r="A824624" s="242"/>
    </row>
    <row r="824625" spans="1:1" x14ac:dyDescent="0.25">
      <c r="A824625" s="242"/>
    </row>
    <row r="824626" spans="1:1" x14ac:dyDescent="0.25">
      <c r="A824626" s="242"/>
    </row>
    <row r="824627" spans="1:1" x14ac:dyDescent="0.25">
      <c r="A824627" s="242"/>
    </row>
    <row r="824628" spans="1:1" x14ac:dyDescent="0.25">
      <c r="A824628" s="242"/>
    </row>
    <row r="824629" spans="1:1" x14ac:dyDescent="0.25">
      <c r="A824629" s="242"/>
    </row>
    <row r="824630" spans="1:1" x14ac:dyDescent="0.25">
      <c r="A824630" s="242"/>
    </row>
    <row r="824631" spans="1:1" x14ac:dyDescent="0.25">
      <c r="A824631" s="242"/>
    </row>
    <row r="824632" spans="1:1" x14ac:dyDescent="0.25">
      <c r="A824632" s="242"/>
    </row>
    <row r="824633" spans="1:1" x14ac:dyDescent="0.25">
      <c r="A824633" s="242"/>
    </row>
    <row r="824634" spans="1:1" x14ac:dyDescent="0.25">
      <c r="A824634" s="242"/>
    </row>
    <row r="824635" spans="1:1" x14ac:dyDescent="0.25">
      <c r="A824635" s="242"/>
    </row>
    <row r="824636" spans="1:1" x14ac:dyDescent="0.25">
      <c r="A824636" s="242"/>
    </row>
    <row r="824637" spans="1:1" x14ac:dyDescent="0.25">
      <c r="A824637" s="242"/>
    </row>
    <row r="824638" spans="1:1" x14ac:dyDescent="0.25">
      <c r="A824638" s="242"/>
    </row>
    <row r="824639" spans="1:1" x14ac:dyDescent="0.25">
      <c r="A824639" s="242"/>
    </row>
    <row r="824640" spans="1:1" x14ac:dyDescent="0.25">
      <c r="A824640" s="242"/>
    </row>
    <row r="824641" spans="1:1" x14ac:dyDescent="0.25">
      <c r="A824641" s="242"/>
    </row>
    <row r="824642" spans="1:1" x14ac:dyDescent="0.25">
      <c r="A824642" s="242"/>
    </row>
    <row r="824643" spans="1:1" x14ac:dyDescent="0.25">
      <c r="A824643" s="242"/>
    </row>
    <row r="824644" spans="1:1" x14ac:dyDescent="0.25">
      <c r="A824644" s="242"/>
    </row>
    <row r="824645" spans="1:1" x14ac:dyDescent="0.25">
      <c r="A824645" s="242"/>
    </row>
    <row r="824646" spans="1:1" x14ac:dyDescent="0.25">
      <c r="A824646" s="242"/>
    </row>
    <row r="824647" spans="1:1" x14ac:dyDescent="0.25">
      <c r="A824647" s="242"/>
    </row>
    <row r="824648" spans="1:1" x14ac:dyDescent="0.25">
      <c r="A824648" s="242"/>
    </row>
    <row r="824649" spans="1:1" x14ac:dyDescent="0.25">
      <c r="A824649" s="242"/>
    </row>
    <row r="824650" spans="1:1" x14ac:dyDescent="0.25">
      <c r="A824650" s="242"/>
    </row>
    <row r="824651" spans="1:1" x14ac:dyDescent="0.25">
      <c r="A824651" s="242"/>
    </row>
    <row r="824652" spans="1:1" x14ac:dyDescent="0.25">
      <c r="A824652" s="242"/>
    </row>
    <row r="824653" spans="1:1" x14ac:dyDescent="0.25">
      <c r="A824653" s="242"/>
    </row>
    <row r="824654" spans="1:1" x14ac:dyDescent="0.25">
      <c r="A824654" s="242"/>
    </row>
    <row r="824655" spans="1:1" x14ac:dyDescent="0.25">
      <c r="A824655" s="242"/>
    </row>
    <row r="824656" spans="1:1" x14ac:dyDescent="0.25">
      <c r="A824656" s="242"/>
    </row>
    <row r="824657" spans="1:1" x14ac:dyDescent="0.25">
      <c r="A824657" s="242"/>
    </row>
    <row r="824658" spans="1:1" x14ac:dyDescent="0.25">
      <c r="A824658" s="242"/>
    </row>
    <row r="824659" spans="1:1" x14ac:dyDescent="0.25">
      <c r="A824659" s="242"/>
    </row>
    <row r="824660" spans="1:1" x14ac:dyDescent="0.25">
      <c r="A824660" s="242"/>
    </row>
    <row r="824661" spans="1:1" x14ac:dyDescent="0.25">
      <c r="A824661" s="242"/>
    </row>
    <row r="824662" spans="1:1" x14ac:dyDescent="0.25">
      <c r="A824662" s="242"/>
    </row>
    <row r="824663" spans="1:1" x14ac:dyDescent="0.25">
      <c r="A824663" s="242"/>
    </row>
    <row r="824664" spans="1:1" x14ac:dyDescent="0.25">
      <c r="A824664" s="242"/>
    </row>
    <row r="824665" spans="1:1" x14ac:dyDescent="0.25">
      <c r="A824665" s="242"/>
    </row>
    <row r="824666" spans="1:1" x14ac:dyDescent="0.25">
      <c r="A824666" s="242"/>
    </row>
    <row r="824667" spans="1:1" x14ac:dyDescent="0.25">
      <c r="A824667" s="242"/>
    </row>
    <row r="824668" spans="1:1" x14ac:dyDescent="0.25">
      <c r="A824668" s="242"/>
    </row>
    <row r="824669" spans="1:1" x14ac:dyDescent="0.25">
      <c r="A824669" s="242"/>
    </row>
    <row r="824670" spans="1:1" x14ac:dyDescent="0.25">
      <c r="A824670" s="242"/>
    </row>
    <row r="824671" spans="1:1" x14ac:dyDescent="0.25">
      <c r="A824671" s="242"/>
    </row>
    <row r="824672" spans="1:1" x14ac:dyDescent="0.25">
      <c r="A824672" s="242"/>
    </row>
    <row r="824673" spans="1:1" x14ac:dyDescent="0.25">
      <c r="A824673" s="242"/>
    </row>
    <row r="824674" spans="1:1" x14ac:dyDescent="0.25">
      <c r="A824674" s="242"/>
    </row>
    <row r="824675" spans="1:1" x14ac:dyDescent="0.25">
      <c r="A824675" s="242"/>
    </row>
    <row r="824676" spans="1:1" x14ac:dyDescent="0.25">
      <c r="A824676" s="242"/>
    </row>
    <row r="824677" spans="1:1" x14ac:dyDescent="0.25">
      <c r="A824677" s="242"/>
    </row>
    <row r="824678" spans="1:1" x14ac:dyDescent="0.25">
      <c r="A824678" s="242"/>
    </row>
    <row r="824679" spans="1:1" x14ac:dyDescent="0.25">
      <c r="A824679" s="242"/>
    </row>
    <row r="824680" spans="1:1" x14ac:dyDescent="0.25">
      <c r="A824680" s="242"/>
    </row>
    <row r="824681" spans="1:1" x14ac:dyDescent="0.25">
      <c r="A824681" s="242"/>
    </row>
    <row r="824682" spans="1:1" x14ac:dyDescent="0.25">
      <c r="A824682" s="242"/>
    </row>
    <row r="824683" spans="1:1" x14ac:dyDescent="0.25">
      <c r="A824683" s="242"/>
    </row>
    <row r="824684" spans="1:1" x14ac:dyDescent="0.25">
      <c r="A824684" s="242"/>
    </row>
    <row r="824685" spans="1:1" x14ac:dyDescent="0.25">
      <c r="A824685" s="242"/>
    </row>
    <row r="824686" spans="1:1" x14ac:dyDescent="0.25">
      <c r="A824686" s="242"/>
    </row>
    <row r="824687" spans="1:1" x14ac:dyDescent="0.25">
      <c r="A824687" s="242"/>
    </row>
    <row r="824688" spans="1:1" x14ac:dyDescent="0.25">
      <c r="A824688" s="242"/>
    </row>
    <row r="824689" spans="1:1" x14ac:dyDescent="0.25">
      <c r="A824689" s="242"/>
    </row>
    <row r="824690" spans="1:1" x14ac:dyDescent="0.25">
      <c r="A824690" s="242"/>
    </row>
    <row r="824691" spans="1:1" x14ac:dyDescent="0.25">
      <c r="A824691" s="242"/>
    </row>
    <row r="824692" spans="1:1" x14ac:dyDescent="0.25">
      <c r="A824692" s="242"/>
    </row>
    <row r="824693" spans="1:1" x14ac:dyDescent="0.25">
      <c r="A824693" s="242"/>
    </row>
    <row r="824694" spans="1:1" x14ac:dyDescent="0.25">
      <c r="A824694" s="242"/>
    </row>
    <row r="824695" spans="1:1" x14ac:dyDescent="0.25">
      <c r="A824695" s="242"/>
    </row>
    <row r="824696" spans="1:1" x14ac:dyDescent="0.25">
      <c r="A824696" s="242"/>
    </row>
    <row r="824697" spans="1:1" x14ac:dyDescent="0.25">
      <c r="A824697" s="242"/>
    </row>
    <row r="824698" spans="1:1" x14ac:dyDescent="0.25">
      <c r="A824698" s="242"/>
    </row>
    <row r="824699" spans="1:1" x14ac:dyDescent="0.25">
      <c r="A824699" s="242"/>
    </row>
    <row r="824700" spans="1:1" x14ac:dyDescent="0.25">
      <c r="A824700" s="242"/>
    </row>
    <row r="824701" spans="1:1" x14ac:dyDescent="0.25">
      <c r="A824701" s="242"/>
    </row>
    <row r="824702" spans="1:1" x14ac:dyDescent="0.25">
      <c r="A824702" s="242"/>
    </row>
    <row r="824703" spans="1:1" x14ac:dyDescent="0.25">
      <c r="A824703" s="242"/>
    </row>
    <row r="824704" spans="1:1" x14ac:dyDescent="0.25">
      <c r="A824704" s="242"/>
    </row>
    <row r="824705" spans="1:1" x14ac:dyDescent="0.25">
      <c r="A824705" s="242"/>
    </row>
    <row r="824706" spans="1:1" x14ac:dyDescent="0.25">
      <c r="A824706" s="242"/>
    </row>
    <row r="824707" spans="1:1" x14ac:dyDescent="0.25">
      <c r="A824707" s="242"/>
    </row>
    <row r="824708" spans="1:1" x14ac:dyDescent="0.25">
      <c r="A824708" s="242"/>
    </row>
    <row r="824709" spans="1:1" x14ac:dyDescent="0.25">
      <c r="A824709" s="242"/>
    </row>
    <row r="824710" spans="1:1" x14ac:dyDescent="0.25">
      <c r="A824710" s="242"/>
    </row>
    <row r="824711" spans="1:1" x14ac:dyDescent="0.25">
      <c r="A824711" s="242"/>
    </row>
    <row r="824712" spans="1:1" x14ac:dyDescent="0.25">
      <c r="A824712" s="242"/>
    </row>
    <row r="824713" spans="1:1" x14ac:dyDescent="0.25">
      <c r="A824713" s="242"/>
    </row>
    <row r="824714" spans="1:1" x14ac:dyDescent="0.25">
      <c r="A824714" s="242"/>
    </row>
    <row r="824715" spans="1:1" x14ac:dyDescent="0.25">
      <c r="A824715" s="242"/>
    </row>
    <row r="824716" spans="1:1" x14ac:dyDescent="0.25">
      <c r="A824716" s="242"/>
    </row>
    <row r="824717" spans="1:1" x14ac:dyDescent="0.25">
      <c r="A824717" s="242"/>
    </row>
    <row r="824718" spans="1:1" x14ac:dyDescent="0.25">
      <c r="A824718" s="242"/>
    </row>
    <row r="824719" spans="1:1" x14ac:dyDescent="0.25">
      <c r="A824719" s="242"/>
    </row>
    <row r="824720" spans="1:1" x14ac:dyDescent="0.25">
      <c r="A824720" s="242"/>
    </row>
    <row r="824721" spans="1:1" x14ac:dyDescent="0.25">
      <c r="A824721" s="242"/>
    </row>
    <row r="824722" spans="1:1" x14ac:dyDescent="0.25">
      <c r="A824722" s="242"/>
    </row>
    <row r="824723" spans="1:1" x14ac:dyDescent="0.25">
      <c r="A824723" s="242"/>
    </row>
    <row r="824724" spans="1:1" x14ac:dyDescent="0.25">
      <c r="A824724" s="242"/>
    </row>
    <row r="824725" spans="1:1" x14ac:dyDescent="0.25">
      <c r="A824725" s="242"/>
    </row>
    <row r="824726" spans="1:1" x14ac:dyDescent="0.25">
      <c r="A824726" s="242"/>
    </row>
    <row r="824727" spans="1:1" x14ac:dyDescent="0.25">
      <c r="A824727" s="242"/>
    </row>
    <row r="824728" spans="1:1" x14ac:dyDescent="0.25">
      <c r="A824728" s="242"/>
    </row>
    <row r="824729" spans="1:1" x14ac:dyDescent="0.25">
      <c r="A824729" s="242"/>
    </row>
    <row r="824730" spans="1:1" x14ac:dyDescent="0.25">
      <c r="A824730" s="242"/>
    </row>
    <row r="824731" spans="1:1" x14ac:dyDescent="0.25">
      <c r="A824731" s="242"/>
    </row>
    <row r="824732" spans="1:1" x14ac:dyDescent="0.25">
      <c r="A824732" s="242"/>
    </row>
    <row r="824733" spans="1:1" x14ac:dyDescent="0.25">
      <c r="A824733" s="242"/>
    </row>
    <row r="824734" spans="1:1" x14ac:dyDescent="0.25">
      <c r="A824734" s="242"/>
    </row>
    <row r="824735" spans="1:1" x14ac:dyDescent="0.25">
      <c r="A824735" s="242"/>
    </row>
    <row r="824736" spans="1:1" x14ac:dyDescent="0.25">
      <c r="A824736" s="242"/>
    </row>
    <row r="824737" spans="1:1" x14ac:dyDescent="0.25">
      <c r="A824737" s="242"/>
    </row>
    <row r="824738" spans="1:1" x14ac:dyDescent="0.25">
      <c r="A824738" s="242"/>
    </row>
    <row r="824739" spans="1:1" x14ac:dyDescent="0.25">
      <c r="A824739" s="242"/>
    </row>
    <row r="824740" spans="1:1" x14ac:dyDescent="0.25">
      <c r="A824740" s="242"/>
    </row>
    <row r="824741" spans="1:1" x14ac:dyDescent="0.25">
      <c r="A824741" s="242"/>
    </row>
    <row r="824742" spans="1:1" x14ac:dyDescent="0.25">
      <c r="A824742" s="242"/>
    </row>
    <row r="824743" spans="1:1" x14ac:dyDescent="0.25">
      <c r="A824743" s="242"/>
    </row>
    <row r="824744" spans="1:1" x14ac:dyDescent="0.25">
      <c r="A824744" s="242"/>
    </row>
    <row r="824745" spans="1:1" x14ac:dyDescent="0.25">
      <c r="A824745" s="242"/>
    </row>
    <row r="824746" spans="1:1" x14ac:dyDescent="0.25">
      <c r="A824746" s="242"/>
    </row>
    <row r="824747" spans="1:1" x14ac:dyDescent="0.25">
      <c r="A824747" s="242"/>
    </row>
    <row r="824748" spans="1:1" x14ac:dyDescent="0.25">
      <c r="A824748" s="242"/>
    </row>
    <row r="824749" spans="1:1" x14ac:dyDescent="0.25">
      <c r="A824749" s="242"/>
    </row>
    <row r="824750" spans="1:1" x14ac:dyDescent="0.25">
      <c r="A824750" s="242"/>
    </row>
    <row r="824751" spans="1:1" x14ac:dyDescent="0.25">
      <c r="A824751" s="242"/>
    </row>
    <row r="824752" spans="1:1" x14ac:dyDescent="0.25">
      <c r="A824752" s="242"/>
    </row>
    <row r="824753" spans="1:1" x14ac:dyDescent="0.25">
      <c r="A824753" s="242"/>
    </row>
    <row r="824754" spans="1:1" x14ac:dyDescent="0.25">
      <c r="A824754" s="242"/>
    </row>
    <row r="824755" spans="1:1" x14ac:dyDescent="0.25">
      <c r="A824755" s="242"/>
    </row>
    <row r="824756" spans="1:1" x14ac:dyDescent="0.25">
      <c r="A824756" s="242"/>
    </row>
    <row r="824757" spans="1:1" x14ac:dyDescent="0.25">
      <c r="A824757" s="242"/>
    </row>
    <row r="824758" spans="1:1" x14ac:dyDescent="0.25">
      <c r="A824758" s="242"/>
    </row>
    <row r="824759" spans="1:1" x14ac:dyDescent="0.25">
      <c r="A824759" s="242"/>
    </row>
    <row r="824760" spans="1:1" x14ac:dyDescent="0.25">
      <c r="A824760" s="242"/>
    </row>
    <row r="824761" spans="1:1" x14ac:dyDescent="0.25">
      <c r="A824761" s="242"/>
    </row>
    <row r="824762" spans="1:1" x14ac:dyDescent="0.25">
      <c r="A824762" s="242"/>
    </row>
    <row r="824763" spans="1:1" x14ac:dyDescent="0.25">
      <c r="A824763" s="242"/>
    </row>
    <row r="824764" spans="1:1" x14ac:dyDescent="0.25">
      <c r="A824764" s="242"/>
    </row>
    <row r="824765" spans="1:1" x14ac:dyDescent="0.25">
      <c r="A824765" s="242"/>
    </row>
    <row r="824766" spans="1:1" x14ac:dyDescent="0.25">
      <c r="A824766" s="242"/>
    </row>
    <row r="824767" spans="1:1" x14ac:dyDescent="0.25">
      <c r="A824767" s="242"/>
    </row>
    <row r="824768" spans="1:1" x14ac:dyDescent="0.25">
      <c r="A824768" s="242"/>
    </row>
    <row r="824769" spans="1:1" x14ac:dyDescent="0.25">
      <c r="A824769" s="242"/>
    </row>
    <row r="824770" spans="1:1" x14ac:dyDescent="0.25">
      <c r="A824770" s="242"/>
    </row>
    <row r="824771" spans="1:1" x14ac:dyDescent="0.25">
      <c r="A824771" s="242"/>
    </row>
    <row r="824772" spans="1:1" x14ac:dyDescent="0.25">
      <c r="A824772" s="242"/>
    </row>
    <row r="824773" spans="1:1" x14ac:dyDescent="0.25">
      <c r="A824773" s="242"/>
    </row>
    <row r="824774" spans="1:1" x14ac:dyDescent="0.25">
      <c r="A824774" s="242"/>
    </row>
    <row r="824775" spans="1:1" x14ac:dyDescent="0.25">
      <c r="A824775" s="242"/>
    </row>
    <row r="824776" spans="1:1" x14ac:dyDescent="0.25">
      <c r="A824776" s="242"/>
    </row>
    <row r="824777" spans="1:1" x14ac:dyDescent="0.25">
      <c r="A824777" s="242"/>
    </row>
    <row r="824778" spans="1:1" x14ac:dyDescent="0.25">
      <c r="A824778" s="242"/>
    </row>
    <row r="824779" spans="1:1" x14ac:dyDescent="0.25">
      <c r="A824779" s="242"/>
    </row>
    <row r="824780" spans="1:1" x14ac:dyDescent="0.25">
      <c r="A824780" s="242"/>
    </row>
    <row r="824781" spans="1:1" x14ac:dyDescent="0.25">
      <c r="A824781" s="242"/>
    </row>
    <row r="824782" spans="1:1" x14ac:dyDescent="0.25">
      <c r="A824782" s="242"/>
    </row>
    <row r="824783" spans="1:1" x14ac:dyDescent="0.25">
      <c r="A824783" s="242"/>
    </row>
    <row r="824784" spans="1:1" x14ac:dyDescent="0.25">
      <c r="A824784" s="242"/>
    </row>
    <row r="824785" spans="1:1" x14ac:dyDescent="0.25">
      <c r="A824785" s="242"/>
    </row>
    <row r="824786" spans="1:1" x14ac:dyDescent="0.25">
      <c r="A824786" s="242"/>
    </row>
    <row r="824787" spans="1:1" x14ac:dyDescent="0.25">
      <c r="A824787" s="242"/>
    </row>
    <row r="824788" spans="1:1" x14ac:dyDescent="0.25">
      <c r="A824788" s="242"/>
    </row>
    <row r="824789" spans="1:1" x14ac:dyDescent="0.25">
      <c r="A824789" s="242"/>
    </row>
    <row r="824790" spans="1:1" x14ac:dyDescent="0.25">
      <c r="A824790" s="242"/>
    </row>
    <row r="824791" spans="1:1" x14ac:dyDescent="0.25">
      <c r="A824791" s="242"/>
    </row>
    <row r="824792" spans="1:1" x14ac:dyDescent="0.25">
      <c r="A824792" s="242"/>
    </row>
    <row r="824793" spans="1:1" x14ac:dyDescent="0.25">
      <c r="A824793" s="242"/>
    </row>
    <row r="824794" spans="1:1" x14ac:dyDescent="0.25">
      <c r="A824794" s="242"/>
    </row>
    <row r="824795" spans="1:1" x14ac:dyDescent="0.25">
      <c r="A824795" s="242"/>
    </row>
    <row r="824796" spans="1:1" x14ac:dyDescent="0.25">
      <c r="A824796" s="242"/>
    </row>
    <row r="824797" spans="1:1" x14ac:dyDescent="0.25">
      <c r="A824797" s="242"/>
    </row>
    <row r="824798" spans="1:1" x14ac:dyDescent="0.25">
      <c r="A824798" s="242"/>
    </row>
    <row r="824799" spans="1:1" x14ac:dyDescent="0.25">
      <c r="A824799" s="242"/>
    </row>
    <row r="824800" spans="1:1" x14ac:dyDescent="0.25">
      <c r="A824800" s="242"/>
    </row>
    <row r="824801" spans="1:1" x14ac:dyDescent="0.25">
      <c r="A824801" s="242"/>
    </row>
    <row r="824802" spans="1:1" x14ac:dyDescent="0.25">
      <c r="A824802" s="242"/>
    </row>
    <row r="824803" spans="1:1" x14ac:dyDescent="0.25">
      <c r="A824803" s="242"/>
    </row>
    <row r="824804" spans="1:1" x14ac:dyDescent="0.25">
      <c r="A824804" s="242"/>
    </row>
    <row r="824805" spans="1:1" x14ac:dyDescent="0.25">
      <c r="A824805" s="242"/>
    </row>
    <row r="824806" spans="1:1" x14ac:dyDescent="0.25">
      <c r="A824806" s="242"/>
    </row>
    <row r="824807" spans="1:1" x14ac:dyDescent="0.25">
      <c r="A824807" s="242"/>
    </row>
    <row r="824808" spans="1:1" x14ac:dyDescent="0.25">
      <c r="A824808" s="242"/>
    </row>
    <row r="824809" spans="1:1" x14ac:dyDescent="0.25">
      <c r="A824809" s="242"/>
    </row>
    <row r="824810" spans="1:1" x14ac:dyDescent="0.25">
      <c r="A824810" s="242"/>
    </row>
    <row r="824811" spans="1:1" x14ac:dyDescent="0.25">
      <c r="A824811" s="242"/>
    </row>
    <row r="824812" spans="1:1" x14ac:dyDescent="0.25">
      <c r="A824812" s="242"/>
    </row>
    <row r="824813" spans="1:1" x14ac:dyDescent="0.25">
      <c r="A824813" s="242"/>
    </row>
    <row r="824814" spans="1:1" x14ac:dyDescent="0.25">
      <c r="A824814" s="242"/>
    </row>
    <row r="824815" spans="1:1" x14ac:dyDescent="0.25">
      <c r="A824815" s="242"/>
    </row>
    <row r="824816" spans="1:1" x14ac:dyDescent="0.25">
      <c r="A824816" s="242"/>
    </row>
    <row r="824817" spans="1:1" x14ac:dyDescent="0.25">
      <c r="A824817" s="242"/>
    </row>
    <row r="824818" spans="1:1" x14ac:dyDescent="0.25">
      <c r="A824818" s="242"/>
    </row>
    <row r="824819" spans="1:1" x14ac:dyDescent="0.25">
      <c r="A824819" s="242"/>
    </row>
    <row r="824820" spans="1:1" x14ac:dyDescent="0.25">
      <c r="A824820" s="242"/>
    </row>
    <row r="824821" spans="1:1" x14ac:dyDescent="0.25">
      <c r="A824821" s="242"/>
    </row>
    <row r="824822" spans="1:1" x14ac:dyDescent="0.25">
      <c r="A824822" s="242"/>
    </row>
    <row r="824823" spans="1:1" x14ac:dyDescent="0.25">
      <c r="A824823" s="242"/>
    </row>
    <row r="824824" spans="1:1" x14ac:dyDescent="0.25">
      <c r="A824824" s="242"/>
    </row>
    <row r="824825" spans="1:1" x14ac:dyDescent="0.25">
      <c r="A824825" s="242"/>
    </row>
    <row r="824826" spans="1:1" x14ac:dyDescent="0.25">
      <c r="A824826" s="242"/>
    </row>
    <row r="824827" spans="1:1" x14ac:dyDescent="0.25">
      <c r="A824827" s="242"/>
    </row>
    <row r="824828" spans="1:1" x14ac:dyDescent="0.25">
      <c r="A824828" s="242"/>
    </row>
    <row r="824829" spans="1:1" x14ac:dyDescent="0.25">
      <c r="A824829" s="242"/>
    </row>
    <row r="824830" spans="1:1" x14ac:dyDescent="0.25">
      <c r="A824830" s="242"/>
    </row>
    <row r="824831" spans="1:1" x14ac:dyDescent="0.25">
      <c r="A824831" s="242"/>
    </row>
    <row r="824832" spans="1:1" x14ac:dyDescent="0.25">
      <c r="A824832" s="242"/>
    </row>
    <row r="824833" spans="1:1" x14ac:dyDescent="0.25">
      <c r="A824833" s="242"/>
    </row>
    <row r="824834" spans="1:1" x14ac:dyDescent="0.25">
      <c r="A824834" s="242"/>
    </row>
    <row r="824835" spans="1:1" x14ac:dyDescent="0.25">
      <c r="A824835" s="242"/>
    </row>
    <row r="824836" spans="1:1" x14ac:dyDescent="0.25">
      <c r="A824836" s="242"/>
    </row>
    <row r="824837" spans="1:1" x14ac:dyDescent="0.25">
      <c r="A824837" s="242"/>
    </row>
    <row r="824838" spans="1:1" x14ac:dyDescent="0.25">
      <c r="A824838" s="242"/>
    </row>
    <row r="824839" spans="1:1" x14ac:dyDescent="0.25">
      <c r="A824839" s="242"/>
    </row>
    <row r="824840" spans="1:1" x14ac:dyDescent="0.25">
      <c r="A824840" s="242"/>
    </row>
    <row r="824841" spans="1:1" x14ac:dyDescent="0.25">
      <c r="A824841" s="242"/>
    </row>
    <row r="824842" spans="1:1" x14ac:dyDescent="0.25">
      <c r="A824842" s="242"/>
    </row>
    <row r="824843" spans="1:1" x14ac:dyDescent="0.25">
      <c r="A824843" s="242"/>
    </row>
    <row r="824844" spans="1:1" x14ac:dyDescent="0.25">
      <c r="A824844" s="242"/>
    </row>
    <row r="824845" spans="1:1" x14ac:dyDescent="0.25">
      <c r="A824845" s="242"/>
    </row>
    <row r="824846" spans="1:1" x14ac:dyDescent="0.25">
      <c r="A824846" s="242"/>
    </row>
    <row r="824847" spans="1:1" x14ac:dyDescent="0.25">
      <c r="A824847" s="242"/>
    </row>
    <row r="824848" spans="1:1" x14ac:dyDescent="0.25">
      <c r="A824848" s="242"/>
    </row>
    <row r="824849" spans="1:1" x14ac:dyDescent="0.25">
      <c r="A824849" s="242"/>
    </row>
    <row r="824850" spans="1:1" x14ac:dyDescent="0.25">
      <c r="A824850" s="242"/>
    </row>
    <row r="824851" spans="1:1" x14ac:dyDescent="0.25">
      <c r="A824851" s="242"/>
    </row>
    <row r="824852" spans="1:1" x14ac:dyDescent="0.25">
      <c r="A824852" s="242"/>
    </row>
    <row r="824853" spans="1:1" x14ac:dyDescent="0.25">
      <c r="A824853" s="242"/>
    </row>
    <row r="824854" spans="1:1" x14ac:dyDescent="0.25">
      <c r="A824854" s="242"/>
    </row>
    <row r="824855" spans="1:1" x14ac:dyDescent="0.25">
      <c r="A824855" s="242"/>
    </row>
    <row r="824856" spans="1:1" x14ac:dyDescent="0.25">
      <c r="A824856" s="242"/>
    </row>
    <row r="824857" spans="1:1" x14ac:dyDescent="0.25">
      <c r="A824857" s="242"/>
    </row>
    <row r="824858" spans="1:1" x14ac:dyDescent="0.25">
      <c r="A824858" s="242"/>
    </row>
    <row r="824859" spans="1:1" x14ac:dyDescent="0.25">
      <c r="A824859" s="242"/>
    </row>
    <row r="824860" spans="1:1" x14ac:dyDescent="0.25">
      <c r="A824860" s="242"/>
    </row>
    <row r="824861" spans="1:1" x14ac:dyDescent="0.25">
      <c r="A824861" s="242"/>
    </row>
    <row r="824862" spans="1:1" x14ac:dyDescent="0.25">
      <c r="A824862" s="242"/>
    </row>
    <row r="824863" spans="1:1" x14ac:dyDescent="0.25">
      <c r="A824863" s="242"/>
    </row>
    <row r="824864" spans="1:1" x14ac:dyDescent="0.25">
      <c r="A824864" s="242"/>
    </row>
    <row r="824865" spans="1:1" x14ac:dyDescent="0.25">
      <c r="A824865" s="242"/>
    </row>
    <row r="824866" spans="1:1" x14ac:dyDescent="0.25">
      <c r="A824866" s="242"/>
    </row>
    <row r="824867" spans="1:1" x14ac:dyDescent="0.25">
      <c r="A824867" s="242"/>
    </row>
    <row r="824868" spans="1:1" x14ac:dyDescent="0.25">
      <c r="A824868" s="242"/>
    </row>
    <row r="824869" spans="1:1" x14ac:dyDescent="0.25">
      <c r="A824869" s="242"/>
    </row>
    <row r="824870" spans="1:1" x14ac:dyDescent="0.25">
      <c r="A824870" s="242"/>
    </row>
    <row r="824871" spans="1:1" x14ac:dyDescent="0.25">
      <c r="A824871" s="242"/>
    </row>
    <row r="824872" spans="1:1" x14ac:dyDescent="0.25">
      <c r="A824872" s="242"/>
    </row>
    <row r="824873" spans="1:1" x14ac:dyDescent="0.25">
      <c r="A824873" s="242"/>
    </row>
    <row r="824874" spans="1:1" x14ac:dyDescent="0.25">
      <c r="A824874" s="242"/>
    </row>
    <row r="824875" spans="1:1" x14ac:dyDescent="0.25">
      <c r="A824875" s="242"/>
    </row>
    <row r="824876" spans="1:1" x14ac:dyDescent="0.25">
      <c r="A824876" s="242"/>
    </row>
    <row r="824877" spans="1:1" x14ac:dyDescent="0.25">
      <c r="A824877" s="242"/>
    </row>
    <row r="824878" spans="1:1" x14ac:dyDescent="0.25">
      <c r="A824878" s="242"/>
    </row>
    <row r="824879" spans="1:1" x14ac:dyDescent="0.25">
      <c r="A824879" s="242"/>
    </row>
    <row r="824880" spans="1:1" x14ac:dyDescent="0.25">
      <c r="A824880" s="242"/>
    </row>
    <row r="824881" spans="1:1" x14ac:dyDescent="0.25">
      <c r="A824881" s="242"/>
    </row>
    <row r="824882" spans="1:1" x14ac:dyDescent="0.25">
      <c r="A824882" s="242"/>
    </row>
    <row r="824883" spans="1:1" x14ac:dyDescent="0.25">
      <c r="A824883" s="242"/>
    </row>
    <row r="824884" spans="1:1" x14ac:dyDescent="0.25">
      <c r="A824884" s="242"/>
    </row>
    <row r="824885" spans="1:1" x14ac:dyDescent="0.25">
      <c r="A824885" s="242"/>
    </row>
    <row r="824886" spans="1:1" x14ac:dyDescent="0.25">
      <c r="A824886" s="242"/>
    </row>
    <row r="824887" spans="1:1" x14ac:dyDescent="0.25">
      <c r="A824887" s="242"/>
    </row>
    <row r="824888" spans="1:1" x14ac:dyDescent="0.25">
      <c r="A824888" s="242"/>
    </row>
    <row r="824889" spans="1:1" x14ac:dyDescent="0.25">
      <c r="A824889" s="242"/>
    </row>
    <row r="824890" spans="1:1" x14ac:dyDescent="0.25">
      <c r="A824890" s="242"/>
    </row>
    <row r="824891" spans="1:1" x14ac:dyDescent="0.25">
      <c r="A824891" s="242"/>
    </row>
    <row r="824892" spans="1:1" x14ac:dyDescent="0.25">
      <c r="A824892" s="242"/>
    </row>
    <row r="824893" spans="1:1" x14ac:dyDescent="0.25">
      <c r="A824893" s="242"/>
    </row>
    <row r="824894" spans="1:1" x14ac:dyDescent="0.25">
      <c r="A824894" s="242"/>
    </row>
    <row r="824895" spans="1:1" x14ac:dyDescent="0.25">
      <c r="A824895" s="242"/>
    </row>
    <row r="824896" spans="1:1" x14ac:dyDescent="0.25">
      <c r="A824896" s="242"/>
    </row>
    <row r="824897" spans="1:1" x14ac:dyDescent="0.25">
      <c r="A824897" s="242"/>
    </row>
    <row r="824898" spans="1:1" x14ac:dyDescent="0.25">
      <c r="A824898" s="242"/>
    </row>
    <row r="824899" spans="1:1" x14ac:dyDescent="0.25">
      <c r="A824899" s="242"/>
    </row>
    <row r="824900" spans="1:1" x14ac:dyDescent="0.25">
      <c r="A824900" s="242"/>
    </row>
    <row r="824901" spans="1:1" x14ac:dyDescent="0.25">
      <c r="A824901" s="242"/>
    </row>
    <row r="824902" spans="1:1" x14ac:dyDescent="0.25">
      <c r="A824902" s="242"/>
    </row>
    <row r="824903" spans="1:1" x14ac:dyDescent="0.25">
      <c r="A824903" s="242"/>
    </row>
    <row r="824904" spans="1:1" x14ac:dyDescent="0.25">
      <c r="A824904" s="242"/>
    </row>
    <row r="824905" spans="1:1" x14ac:dyDescent="0.25">
      <c r="A824905" s="242"/>
    </row>
    <row r="824906" spans="1:1" x14ac:dyDescent="0.25">
      <c r="A824906" s="242"/>
    </row>
    <row r="824907" spans="1:1" x14ac:dyDescent="0.25">
      <c r="A824907" s="242"/>
    </row>
    <row r="824908" spans="1:1" x14ac:dyDescent="0.25">
      <c r="A824908" s="242"/>
    </row>
    <row r="824909" spans="1:1" x14ac:dyDescent="0.25">
      <c r="A824909" s="242"/>
    </row>
    <row r="824910" spans="1:1" x14ac:dyDescent="0.25">
      <c r="A824910" s="242"/>
    </row>
    <row r="824911" spans="1:1" x14ac:dyDescent="0.25">
      <c r="A824911" s="242"/>
    </row>
    <row r="824912" spans="1:1" x14ac:dyDescent="0.25">
      <c r="A824912" s="242"/>
    </row>
    <row r="824913" spans="1:1" x14ac:dyDescent="0.25">
      <c r="A824913" s="242"/>
    </row>
    <row r="824914" spans="1:1" x14ac:dyDescent="0.25">
      <c r="A824914" s="242"/>
    </row>
    <row r="824915" spans="1:1" x14ac:dyDescent="0.25">
      <c r="A824915" s="242"/>
    </row>
    <row r="824916" spans="1:1" x14ac:dyDescent="0.25">
      <c r="A824916" s="242"/>
    </row>
    <row r="824917" spans="1:1" x14ac:dyDescent="0.25">
      <c r="A824917" s="242"/>
    </row>
    <row r="824918" spans="1:1" x14ac:dyDescent="0.25">
      <c r="A824918" s="242"/>
    </row>
    <row r="824919" spans="1:1" x14ac:dyDescent="0.25">
      <c r="A824919" s="242"/>
    </row>
    <row r="824920" spans="1:1" x14ac:dyDescent="0.25">
      <c r="A824920" s="242"/>
    </row>
    <row r="824921" spans="1:1" x14ac:dyDescent="0.25">
      <c r="A824921" s="242"/>
    </row>
    <row r="824922" spans="1:1" x14ac:dyDescent="0.25">
      <c r="A824922" s="242"/>
    </row>
    <row r="824923" spans="1:1" x14ac:dyDescent="0.25">
      <c r="A824923" s="242"/>
    </row>
    <row r="824924" spans="1:1" x14ac:dyDescent="0.25">
      <c r="A824924" s="242"/>
    </row>
    <row r="824925" spans="1:1" x14ac:dyDescent="0.25">
      <c r="A824925" s="242"/>
    </row>
    <row r="824926" spans="1:1" x14ac:dyDescent="0.25">
      <c r="A824926" s="242"/>
    </row>
    <row r="824927" spans="1:1" x14ac:dyDescent="0.25">
      <c r="A824927" s="242"/>
    </row>
    <row r="824928" spans="1:1" x14ac:dyDescent="0.25">
      <c r="A824928" s="242"/>
    </row>
    <row r="824929" spans="1:1" x14ac:dyDescent="0.25">
      <c r="A824929" s="242"/>
    </row>
    <row r="824930" spans="1:1" x14ac:dyDescent="0.25">
      <c r="A824930" s="242"/>
    </row>
    <row r="824931" spans="1:1" x14ac:dyDescent="0.25">
      <c r="A824931" s="242"/>
    </row>
    <row r="824932" spans="1:1" x14ac:dyDescent="0.25">
      <c r="A824932" s="242"/>
    </row>
    <row r="824933" spans="1:1" x14ac:dyDescent="0.25">
      <c r="A824933" s="242"/>
    </row>
    <row r="824934" spans="1:1" x14ac:dyDescent="0.25">
      <c r="A824934" s="242"/>
    </row>
    <row r="824935" spans="1:1" x14ac:dyDescent="0.25">
      <c r="A824935" s="242"/>
    </row>
    <row r="824936" spans="1:1" x14ac:dyDescent="0.25">
      <c r="A824936" s="242"/>
    </row>
    <row r="824937" spans="1:1" x14ac:dyDescent="0.25">
      <c r="A824937" s="242"/>
    </row>
    <row r="824938" spans="1:1" x14ac:dyDescent="0.25">
      <c r="A824938" s="242"/>
    </row>
    <row r="824939" spans="1:1" x14ac:dyDescent="0.25">
      <c r="A824939" s="242"/>
    </row>
    <row r="824940" spans="1:1" x14ac:dyDescent="0.25">
      <c r="A824940" s="242"/>
    </row>
    <row r="824941" spans="1:1" x14ac:dyDescent="0.25">
      <c r="A824941" s="242"/>
    </row>
    <row r="824942" spans="1:1" x14ac:dyDescent="0.25">
      <c r="A824942" s="242"/>
    </row>
    <row r="824943" spans="1:1" x14ac:dyDescent="0.25">
      <c r="A824943" s="242"/>
    </row>
    <row r="824944" spans="1:1" x14ac:dyDescent="0.25">
      <c r="A824944" s="242"/>
    </row>
    <row r="824945" spans="1:1" x14ac:dyDescent="0.25">
      <c r="A824945" s="242"/>
    </row>
    <row r="824946" spans="1:1" x14ac:dyDescent="0.25">
      <c r="A824946" s="242"/>
    </row>
    <row r="824947" spans="1:1" x14ac:dyDescent="0.25">
      <c r="A824947" s="242"/>
    </row>
    <row r="824948" spans="1:1" x14ac:dyDescent="0.25">
      <c r="A824948" s="242"/>
    </row>
    <row r="824949" spans="1:1" x14ac:dyDescent="0.25">
      <c r="A824949" s="242"/>
    </row>
    <row r="824950" spans="1:1" x14ac:dyDescent="0.25">
      <c r="A824950" s="242"/>
    </row>
    <row r="824951" spans="1:1" x14ac:dyDescent="0.25">
      <c r="A824951" s="242"/>
    </row>
    <row r="824952" spans="1:1" x14ac:dyDescent="0.25">
      <c r="A824952" s="242"/>
    </row>
    <row r="824953" spans="1:1" x14ac:dyDescent="0.25">
      <c r="A824953" s="242"/>
    </row>
    <row r="824954" spans="1:1" x14ac:dyDescent="0.25">
      <c r="A824954" s="242"/>
    </row>
    <row r="824955" spans="1:1" x14ac:dyDescent="0.25">
      <c r="A824955" s="242"/>
    </row>
    <row r="824956" spans="1:1" x14ac:dyDescent="0.25">
      <c r="A824956" s="242"/>
    </row>
    <row r="824957" spans="1:1" x14ac:dyDescent="0.25">
      <c r="A824957" s="242"/>
    </row>
    <row r="824958" spans="1:1" x14ac:dyDescent="0.25">
      <c r="A824958" s="242"/>
    </row>
    <row r="824959" spans="1:1" x14ac:dyDescent="0.25">
      <c r="A824959" s="242"/>
    </row>
    <row r="824960" spans="1:1" x14ac:dyDescent="0.25">
      <c r="A824960" s="242"/>
    </row>
    <row r="824961" spans="1:1" x14ac:dyDescent="0.25">
      <c r="A824961" s="242"/>
    </row>
    <row r="824962" spans="1:1" x14ac:dyDescent="0.25">
      <c r="A824962" s="242"/>
    </row>
    <row r="824963" spans="1:1" x14ac:dyDescent="0.25">
      <c r="A824963" s="242"/>
    </row>
    <row r="824964" spans="1:1" x14ac:dyDescent="0.25">
      <c r="A824964" s="242"/>
    </row>
    <row r="824965" spans="1:1" x14ac:dyDescent="0.25">
      <c r="A824965" s="242"/>
    </row>
    <row r="824966" spans="1:1" x14ac:dyDescent="0.25">
      <c r="A824966" s="242"/>
    </row>
    <row r="824967" spans="1:1" x14ac:dyDescent="0.25">
      <c r="A824967" s="242"/>
    </row>
    <row r="824968" spans="1:1" x14ac:dyDescent="0.25">
      <c r="A824968" s="242"/>
    </row>
    <row r="824969" spans="1:1" x14ac:dyDescent="0.25">
      <c r="A824969" s="242"/>
    </row>
    <row r="824970" spans="1:1" x14ac:dyDescent="0.25">
      <c r="A824970" s="242"/>
    </row>
    <row r="824971" spans="1:1" x14ac:dyDescent="0.25">
      <c r="A824971" s="242"/>
    </row>
    <row r="824972" spans="1:1" x14ac:dyDescent="0.25">
      <c r="A824972" s="242"/>
    </row>
    <row r="824973" spans="1:1" x14ac:dyDescent="0.25">
      <c r="A824973" s="242"/>
    </row>
    <row r="824974" spans="1:1" x14ac:dyDescent="0.25">
      <c r="A824974" s="242"/>
    </row>
    <row r="824975" spans="1:1" x14ac:dyDescent="0.25">
      <c r="A824975" s="242"/>
    </row>
    <row r="824976" spans="1:1" x14ac:dyDescent="0.25">
      <c r="A824976" s="242"/>
    </row>
    <row r="824977" spans="1:1" x14ac:dyDescent="0.25">
      <c r="A824977" s="242"/>
    </row>
    <row r="824978" spans="1:1" x14ac:dyDescent="0.25">
      <c r="A824978" s="242"/>
    </row>
    <row r="824979" spans="1:1" x14ac:dyDescent="0.25">
      <c r="A824979" s="242"/>
    </row>
    <row r="824980" spans="1:1" x14ac:dyDescent="0.25">
      <c r="A824980" s="242"/>
    </row>
    <row r="824981" spans="1:1" x14ac:dyDescent="0.25">
      <c r="A824981" s="242"/>
    </row>
    <row r="824982" spans="1:1" x14ac:dyDescent="0.25">
      <c r="A824982" s="242"/>
    </row>
    <row r="824983" spans="1:1" x14ac:dyDescent="0.25">
      <c r="A824983" s="242"/>
    </row>
    <row r="824984" spans="1:1" x14ac:dyDescent="0.25">
      <c r="A824984" s="242"/>
    </row>
    <row r="824985" spans="1:1" x14ac:dyDescent="0.25">
      <c r="A824985" s="242"/>
    </row>
    <row r="824986" spans="1:1" x14ac:dyDescent="0.25">
      <c r="A824986" s="242"/>
    </row>
    <row r="824987" spans="1:1" x14ac:dyDescent="0.25">
      <c r="A824987" s="242"/>
    </row>
    <row r="824988" spans="1:1" x14ac:dyDescent="0.25">
      <c r="A824988" s="242"/>
    </row>
    <row r="824989" spans="1:1" x14ac:dyDescent="0.25">
      <c r="A824989" s="242"/>
    </row>
    <row r="824990" spans="1:1" x14ac:dyDescent="0.25">
      <c r="A824990" s="242"/>
    </row>
    <row r="824991" spans="1:1" x14ac:dyDescent="0.25">
      <c r="A824991" s="242"/>
    </row>
    <row r="824992" spans="1:1" x14ac:dyDescent="0.25">
      <c r="A824992" s="242"/>
    </row>
    <row r="824993" spans="1:1" x14ac:dyDescent="0.25">
      <c r="A824993" s="242"/>
    </row>
    <row r="824994" spans="1:1" x14ac:dyDescent="0.25">
      <c r="A824994" s="242"/>
    </row>
    <row r="824995" spans="1:1" x14ac:dyDescent="0.25">
      <c r="A824995" s="242"/>
    </row>
    <row r="824996" spans="1:1" x14ac:dyDescent="0.25">
      <c r="A824996" s="242"/>
    </row>
    <row r="824997" spans="1:1" x14ac:dyDescent="0.25">
      <c r="A824997" s="242"/>
    </row>
    <row r="824998" spans="1:1" x14ac:dyDescent="0.25">
      <c r="A824998" s="242"/>
    </row>
    <row r="824999" spans="1:1" x14ac:dyDescent="0.25">
      <c r="A824999" s="242"/>
    </row>
    <row r="825000" spans="1:1" x14ac:dyDescent="0.25">
      <c r="A825000" s="242"/>
    </row>
    <row r="825001" spans="1:1" x14ac:dyDescent="0.25">
      <c r="A825001" s="242"/>
    </row>
    <row r="825002" spans="1:1" x14ac:dyDescent="0.25">
      <c r="A825002" s="242"/>
    </row>
    <row r="825003" spans="1:1" x14ac:dyDescent="0.25">
      <c r="A825003" s="242"/>
    </row>
    <row r="825004" spans="1:1" x14ac:dyDescent="0.25">
      <c r="A825004" s="242"/>
    </row>
    <row r="825005" spans="1:1" x14ac:dyDescent="0.25">
      <c r="A825005" s="242"/>
    </row>
    <row r="825006" spans="1:1" x14ac:dyDescent="0.25">
      <c r="A825006" s="242"/>
    </row>
    <row r="825007" spans="1:1" x14ac:dyDescent="0.25">
      <c r="A825007" s="242"/>
    </row>
    <row r="825008" spans="1:1" x14ac:dyDescent="0.25">
      <c r="A825008" s="242"/>
    </row>
    <row r="825009" spans="1:1" x14ac:dyDescent="0.25">
      <c r="A825009" s="242"/>
    </row>
    <row r="825010" spans="1:1" x14ac:dyDescent="0.25">
      <c r="A825010" s="242"/>
    </row>
    <row r="825011" spans="1:1" x14ac:dyDescent="0.25">
      <c r="A825011" s="242"/>
    </row>
    <row r="825012" spans="1:1" x14ac:dyDescent="0.25">
      <c r="A825012" s="242"/>
    </row>
    <row r="825013" spans="1:1" x14ac:dyDescent="0.25">
      <c r="A825013" s="242"/>
    </row>
    <row r="825014" spans="1:1" x14ac:dyDescent="0.25">
      <c r="A825014" s="242"/>
    </row>
    <row r="825015" spans="1:1" x14ac:dyDescent="0.25">
      <c r="A825015" s="242"/>
    </row>
    <row r="825016" spans="1:1" x14ac:dyDescent="0.25">
      <c r="A825016" s="242"/>
    </row>
    <row r="825017" spans="1:1" x14ac:dyDescent="0.25">
      <c r="A825017" s="242"/>
    </row>
    <row r="825018" spans="1:1" x14ac:dyDescent="0.25">
      <c r="A825018" s="242"/>
    </row>
    <row r="825019" spans="1:1" x14ac:dyDescent="0.25">
      <c r="A825019" s="242"/>
    </row>
    <row r="825020" spans="1:1" x14ac:dyDescent="0.25">
      <c r="A825020" s="242"/>
    </row>
    <row r="825021" spans="1:1" x14ac:dyDescent="0.25">
      <c r="A825021" s="242"/>
    </row>
    <row r="825022" spans="1:1" x14ac:dyDescent="0.25">
      <c r="A825022" s="242"/>
    </row>
    <row r="825023" spans="1:1" x14ac:dyDescent="0.25">
      <c r="A825023" s="242"/>
    </row>
    <row r="825024" spans="1:1" x14ac:dyDescent="0.25">
      <c r="A825024" s="242"/>
    </row>
    <row r="825025" spans="1:1" x14ac:dyDescent="0.25">
      <c r="A825025" s="242"/>
    </row>
    <row r="825026" spans="1:1" x14ac:dyDescent="0.25">
      <c r="A825026" s="242"/>
    </row>
    <row r="825027" spans="1:1" x14ac:dyDescent="0.25">
      <c r="A825027" s="242"/>
    </row>
    <row r="825028" spans="1:1" x14ac:dyDescent="0.25">
      <c r="A825028" s="242"/>
    </row>
    <row r="825029" spans="1:1" x14ac:dyDescent="0.25">
      <c r="A825029" s="242"/>
    </row>
    <row r="825030" spans="1:1" x14ac:dyDescent="0.25">
      <c r="A825030" s="242"/>
    </row>
    <row r="825031" spans="1:1" x14ac:dyDescent="0.25">
      <c r="A825031" s="242"/>
    </row>
    <row r="825032" spans="1:1" x14ac:dyDescent="0.25">
      <c r="A825032" s="242"/>
    </row>
    <row r="825033" spans="1:1" x14ac:dyDescent="0.25">
      <c r="A825033" s="242"/>
    </row>
    <row r="825034" spans="1:1" x14ac:dyDescent="0.25">
      <c r="A825034" s="242"/>
    </row>
    <row r="825035" spans="1:1" x14ac:dyDescent="0.25">
      <c r="A825035" s="242"/>
    </row>
    <row r="825036" spans="1:1" x14ac:dyDescent="0.25">
      <c r="A825036" s="242"/>
    </row>
    <row r="825037" spans="1:1" x14ac:dyDescent="0.25">
      <c r="A825037" s="242"/>
    </row>
    <row r="825038" spans="1:1" x14ac:dyDescent="0.25">
      <c r="A825038" s="242"/>
    </row>
    <row r="825039" spans="1:1" x14ac:dyDescent="0.25">
      <c r="A825039" s="242"/>
    </row>
    <row r="825040" spans="1:1" x14ac:dyDescent="0.25">
      <c r="A825040" s="242"/>
    </row>
    <row r="825041" spans="1:1" x14ac:dyDescent="0.25">
      <c r="A825041" s="242"/>
    </row>
    <row r="825042" spans="1:1" x14ac:dyDescent="0.25">
      <c r="A825042" s="242"/>
    </row>
    <row r="825043" spans="1:1" x14ac:dyDescent="0.25">
      <c r="A825043" s="242"/>
    </row>
    <row r="825044" spans="1:1" x14ac:dyDescent="0.25">
      <c r="A825044" s="242"/>
    </row>
    <row r="825045" spans="1:1" x14ac:dyDescent="0.25">
      <c r="A825045" s="242"/>
    </row>
    <row r="825046" spans="1:1" x14ac:dyDescent="0.25">
      <c r="A825046" s="242"/>
    </row>
    <row r="825047" spans="1:1" x14ac:dyDescent="0.25">
      <c r="A825047" s="242"/>
    </row>
    <row r="825048" spans="1:1" x14ac:dyDescent="0.25">
      <c r="A825048" s="242"/>
    </row>
    <row r="825049" spans="1:1" x14ac:dyDescent="0.25">
      <c r="A825049" s="242"/>
    </row>
    <row r="825050" spans="1:1" x14ac:dyDescent="0.25">
      <c r="A825050" s="242"/>
    </row>
    <row r="825051" spans="1:1" x14ac:dyDescent="0.25">
      <c r="A825051" s="242"/>
    </row>
    <row r="825052" spans="1:1" x14ac:dyDescent="0.25">
      <c r="A825052" s="242"/>
    </row>
    <row r="825053" spans="1:1" x14ac:dyDescent="0.25">
      <c r="A825053" s="242"/>
    </row>
    <row r="825054" spans="1:1" x14ac:dyDescent="0.25">
      <c r="A825054" s="242"/>
    </row>
    <row r="825055" spans="1:1" x14ac:dyDescent="0.25">
      <c r="A825055" s="242"/>
    </row>
    <row r="825056" spans="1:1" x14ac:dyDescent="0.25">
      <c r="A825056" s="242"/>
    </row>
    <row r="825057" spans="1:1" x14ac:dyDescent="0.25">
      <c r="A825057" s="242"/>
    </row>
    <row r="825058" spans="1:1" x14ac:dyDescent="0.25">
      <c r="A825058" s="242"/>
    </row>
    <row r="825059" spans="1:1" x14ac:dyDescent="0.25">
      <c r="A825059" s="242"/>
    </row>
    <row r="825060" spans="1:1" x14ac:dyDescent="0.25">
      <c r="A825060" s="242"/>
    </row>
    <row r="825061" spans="1:1" x14ac:dyDescent="0.25">
      <c r="A825061" s="242"/>
    </row>
    <row r="825062" spans="1:1" x14ac:dyDescent="0.25">
      <c r="A825062" s="242"/>
    </row>
    <row r="825063" spans="1:1" x14ac:dyDescent="0.25">
      <c r="A825063" s="242"/>
    </row>
    <row r="825064" spans="1:1" x14ac:dyDescent="0.25">
      <c r="A825064" s="242"/>
    </row>
    <row r="825065" spans="1:1" x14ac:dyDescent="0.25">
      <c r="A825065" s="242"/>
    </row>
    <row r="825066" spans="1:1" x14ac:dyDescent="0.25">
      <c r="A825066" s="242"/>
    </row>
    <row r="825067" spans="1:1" x14ac:dyDescent="0.25">
      <c r="A825067" s="242"/>
    </row>
    <row r="825068" spans="1:1" x14ac:dyDescent="0.25">
      <c r="A825068" s="242"/>
    </row>
    <row r="825069" spans="1:1" x14ac:dyDescent="0.25">
      <c r="A825069" s="242"/>
    </row>
    <row r="825070" spans="1:1" x14ac:dyDescent="0.25">
      <c r="A825070" s="242"/>
    </row>
    <row r="825071" spans="1:1" x14ac:dyDescent="0.25">
      <c r="A825071" s="242"/>
    </row>
    <row r="825072" spans="1:1" x14ac:dyDescent="0.25">
      <c r="A825072" s="242"/>
    </row>
    <row r="825073" spans="1:1" x14ac:dyDescent="0.25">
      <c r="A825073" s="242"/>
    </row>
    <row r="825074" spans="1:1" x14ac:dyDescent="0.25">
      <c r="A825074" s="242"/>
    </row>
    <row r="825075" spans="1:1" x14ac:dyDescent="0.25">
      <c r="A825075" s="242"/>
    </row>
    <row r="825076" spans="1:1" x14ac:dyDescent="0.25">
      <c r="A825076" s="242"/>
    </row>
    <row r="825077" spans="1:1" x14ac:dyDescent="0.25">
      <c r="A825077" s="242"/>
    </row>
    <row r="825078" spans="1:1" x14ac:dyDescent="0.25">
      <c r="A825078" s="242"/>
    </row>
    <row r="825079" spans="1:1" x14ac:dyDescent="0.25">
      <c r="A825079" s="242"/>
    </row>
    <row r="825080" spans="1:1" x14ac:dyDescent="0.25">
      <c r="A825080" s="242"/>
    </row>
    <row r="825081" spans="1:1" x14ac:dyDescent="0.25">
      <c r="A825081" s="242"/>
    </row>
    <row r="825082" spans="1:1" x14ac:dyDescent="0.25">
      <c r="A825082" s="242"/>
    </row>
    <row r="825083" spans="1:1" x14ac:dyDescent="0.25">
      <c r="A825083" s="242"/>
    </row>
    <row r="825084" spans="1:1" x14ac:dyDescent="0.25">
      <c r="A825084" s="242"/>
    </row>
    <row r="825085" spans="1:1" x14ac:dyDescent="0.25">
      <c r="A825085" s="242"/>
    </row>
    <row r="825086" spans="1:1" x14ac:dyDescent="0.25">
      <c r="A825086" s="242"/>
    </row>
    <row r="825087" spans="1:1" x14ac:dyDescent="0.25">
      <c r="A825087" s="242"/>
    </row>
    <row r="825088" spans="1:1" x14ac:dyDescent="0.25">
      <c r="A825088" s="242"/>
    </row>
    <row r="825089" spans="1:1" x14ac:dyDescent="0.25">
      <c r="A825089" s="242"/>
    </row>
    <row r="825090" spans="1:1" x14ac:dyDescent="0.25">
      <c r="A825090" s="242"/>
    </row>
    <row r="825091" spans="1:1" x14ac:dyDescent="0.25">
      <c r="A825091" s="242"/>
    </row>
    <row r="825092" spans="1:1" x14ac:dyDescent="0.25">
      <c r="A825092" s="242"/>
    </row>
    <row r="825093" spans="1:1" x14ac:dyDescent="0.25">
      <c r="A825093" s="242"/>
    </row>
    <row r="825094" spans="1:1" x14ac:dyDescent="0.25">
      <c r="A825094" s="242"/>
    </row>
    <row r="825095" spans="1:1" x14ac:dyDescent="0.25">
      <c r="A825095" s="242"/>
    </row>
    <row r="825096" spans="1:1" x14ac:dyDescent="0.25">
      <c r="A825096" s="242"/>
    </row>
    <row r="825097" spans="1:1" x14ac:dyDescent="0.25">
      <c r="A825097" s="242"/>
    </row>
    <row r="825098" spans="1:1" x14ac:dyDescent="0.25">
      <c r="A825098" s="242"/>
    </row>
    <row r="825099" spans="1:1" x14ac:dyDescent="0.25">
      <c r="A825099" s="242"/>
    </row>
    <row r="825100" spans="1:1" x14ac:dyDescent="0.25">
      <c r="A825100" s="242"/>
    </row>
    <row r="825101" spans="1:1" x14ac:dyDescent="0.25">
      <c r="A825101" s="242"/>
    </row>
    <row r="825102" spans="1:1" x14ac:dyDescent="0.25">
      <c r="A825102" s="242"/>
    </row>
    <row r="825103" spans="1:1" x14ac:dyDescent="0.25">
      <c r="A825103" s="242"/>
    </row>
    <row r="825104" spans="1:1" x14ac:dyDescent="0.25">
      <c r="A825104" s="242"/>
    </row>
    <row r="825105" spans="1:1" x14ac:dyDescent="0.25">
      <c r="A825105" s="242"/>
    </row>
    <row r="825106" spans="1:1" x14ac:dyDescent="0.25">
      <c r="A825106" s="242"/>
    </row>
    <row r="825107" spans="1:1" x14ac:dyDescent="0.25">
      <c r="A825107" s="242"/>
    </row>
    <row r="825108" spans="1:1" x14ac:dyDescent="0.25">
      <c r="A825108" s="242"/>
    </row>
    <row r="825109" spans="1:1" x14ac:dyDescent="0.25">
      <c r="A825109" s="242"/>
    </row>
    <row r="825110" spans="1:1" x14ac:dyDescent="0.25">
      <c r="A825110" s="242"/>
    </row>
    <row r="825111" spans="1:1" x14ac:dyDescent="0.25">
      <c r="A825111" s="242"/>
    </row>
    <row r="825112" spans="1:1" x14ac:dyDescent="0.25">
      <c r="A825112" s="242"/>
    </row>
    <row r="825113" spans="1:1" x14ac:dyDescent="0.25">
      <c r="A825113" s="242"/>
    </row>
    <row r="825114" spans="1:1" x14ac:dyDescent="0.25">
      <c r="A825114" s="242"/>
    </row>
    <row r="825115" spans="1:1" x14ac:dyDescent="0.25">
      <c r="A825115" s="242"/>
    </row>
    <row r="825116" spans="1:1" x14ac:dyDescent="0.25">
      <c r="A825116" s="242"/>
    </row>
    <row r="825117" spans="1:1" x14ac:dyDescent="0.25">
      <c r="A825117" s="242"/>
    </row>
    <row r="825118" spans="1:1" x14ac:dyDescent="0.25">
      <c r="A825118" s="242"/>
    </row>
    <row r="825119" spans="1:1" x14ac:dyDescent="0.25">
      <c r="A825119" s="242"/>
    </row>
    <row r="825120" spans="1:1" x14ac:dyDescent="0.25">
      <c r="A825120" s="242"/>
    </row>
    <row r="825121" spans="1:1" x14ac:dyDescent="0.25">
      <c r="A825121" s="242"/>
    </row>
    <row r="825122" spans="1:1" x14ac:dyDescent="0.25">
      <c r="A825122" s="242"/>
    </row>
    <row r="825123" spans="1:1" x14ac:dyDescent="0.25">
      <c r="A825123" s="242"/>
    </row>
    <row r="825124" spans="1:1" x14ac:dyDescent="0.25">
      <c r="A825124" s="242"/>
    </row>
    <row r="825125" spans="1:1" x14ac:dyDescent="0.25">
      <c r="A825125" s="242"/>
    </row>
    <row r="825126" spans="1:1" x14ac:dyDescent="0.25">
      <c r="A825126" s="242"/>
    </row>
    <row r="825127" spans="1:1" x14ac:dyDescent="0.25">
      <c r="A825127" s="242"/>
    </row>
    <row r="825128" spans="1:1" x14ac:dyDescent="0.25">
      <c r="A825128" s="242"/>
    </row>
    <row r="825129" spans="1:1" x14ac:dyDescent="0.25">
      <c r="A825129" s="242"/>
    </row>
    <row r="825130" spans="1:1" x14ac:dyDescent="0.25">
      <c r="A825130" s="242"/>
    </row>
    <row r="825131" spans="1:1" x14ac:dyDescent="0.25">
      <c r="A825131" s="242"/>
    </row>
    <row r="825132" spans="1:1" x14ac:dyDescent="0.25">
      <c r="A825132" s="242"/>
    </row>
    <row r="825133" spans="1:1" x14ac:dyDescent="0.25">
      <c r="A825133" s="242"/>
    </row>
    <row r="825134" spans="1:1" x14ac:dyDescent="0.25">
      <c r="A825134" s="242"/>
    </row>
    <row r="825135" spans="1:1" x14ac:dyDescent="0.25">
      <c r="A825135" s="242"/>
    </row>
    <row r="825136" spans="1:1" x14ac:dyDescent="0.25">
      <c r="A825136" s="242"/>
    </row>
    <row r="825137" spans="1:1" x14ac:dyDescent="0.25">
      <c r="A825137" s="242"/>
    </row>
    <row r="825138" spans="1:1" x14ac:dyDescent="0.25">
      <c r="A825138" s="242"/>
    </row>
    <row r="825139" spans="1:1" x14ac:dyDescent="0.25">
      <c r="A825139" s="242"/>
    </row>
    <row r="825140" spans="1:1" x14ac:dyDescent="0.25">
      <c r="A825140" s="242"/>
    </row>
    <row r="825141" spans="1:1" x14ac:dyDescent="0.25">
      <c r="A825141" s="242"/>
    </row>
    <row r="825142" spans="1:1" x14ac:dyDescent="0.25">
      <c r="A825142" s="242"/>
    </row>
    <row r="825143" spans="1:1" x14ac:dyDescent="0.25">
      <c r="A825143" s="242"/>
    </row>
    <row r="825144" spans="1:1" x14ac:dyDescent="0.25">
      <c r="A825144" s="242"/>
    </row>
    <row r="825145" spans="1:1" x14ac:dyDescent="0.25">
      <c r="A825145" s="242"/>
    </row>
    <row r="825146" spans="1:1" x14ac:dyDescent="0.25">
      <c r="A825146" s="242"/>
    </row>
    <row r="825147" spans="1:1" x14ac:dyDescent="0.25">
      <c r="A825147" s="242"/>
    </row>
    <row r="825148" spans="1:1" x14ac:dyDescent="0.25">
      <c r="A825148" s="242"/>
    </row>
    <row r="825149" spans="1:1" x14ac:dyDescent="0.25">
      <c r="A825149" s="242"/>
    </row>
    <row r="825150" spans="1:1" x14ac:dyDescent="0.25">
      <c r="A825150" s="242"/>
    </row>
    <row r="825151" spans="1:1" x14ac:dyDescent="0.25">
      <c r="A825151" s="242"/>
    </row>
    <row r="825152" spans="1:1" x14ac:dyDescent="0.25">
      <c r="A825152" s="242"/>
    </row>
    <row r="825153" spans="1:1" x14ac:dyDescent="0.25">
      <c r="A825153" s="242"/>
    </row>
    <row r="825154" spans="1:1" x14ac:dyDescent="0.25">
      <c r="A825154" s="242"/>
    </row>
    <row r="825155" spans="1:1" x14ac:dyDescent="0.25">
      <c r="A825155" s="242"/>
    </row>
    <row r="825156" spans="1:1" x14ac:dyDescent="0.25">
      <c r="A825156" s="242"/>
    </row>
    <row r="825157" spans="1:1" x14ac:dyDescent="0.25">
      <c r="A825157" s="242"/>
    </row>
    <row r="825158" spans="1:1" x14ac:dyDescent="0.25">
      <c r="A825158" s="242"/>
    </row>
    <row r="825159" spans="1:1" x14ac:dyDescent="0.25">
      <c r="A825159" s="242"/>
    </row>
    <row r="825160" spans="1:1" x14ac:dyDescent="0.25">
      <c r="A825160" s="242"/>
    </row>
    <row r="825161" spans="1:1" x14ac:dyDescent="0.25">
      <c r="A825161" s="242"/>
    </row>
    <row r="825162" spans="1:1" x14ac:dyDescent="0.25">
      <c r="A825162" s="242"/>
    </row>
    <row r="825163" spans="1:1" x14ac:dyDescent="0.25">
      <c r="A825163" s="242"/>
    </row>
    <row r="825164" spans="1:1" x14ac:dyDescent="0.25">
      <c r="A825164" s="242"/>
    </row>
    <row r="825165" spans="1:1" x14ac:dyDescent="0.25">
      <c r="A825165" s="242"/>
    </row>
    <row r="825166" spans="1:1" x14ac:dyDescent="0.25">
      <c r="A825166" s="242"/>
    </row>
    <row r="825167" spans="1:1" x14ac:dyDescent="0.25">
      <c r="A825167" s="242"/>
    </row>
    <row r="825168" spans="1:1" x14ac:dyDescent="0.25">
      <c r="A825168" s="242"/>
    </row>
    <row r="825169" spans="1:1" x14ac:dyDescent="0.25">
      <c r="A825169" s="242"/>
    </row>
    <row r="825170" spans="1:1" x14ac:dyDescent="0.25">
      <c r="A825170" s="242"/>
    </row>
    <row r="825171" spans="1:1" x14ac:dyDescent="0.25">
      <c r="A825171" s="242"/>
    </row>
    <row r="825172" spans="1:1" x14ac:dyDescent="0.25">
      <c r="A825172" s="242"/>
    </row>
    <row r="825173" spans="1:1" x14ac:dyDescent="0.25">
      <c r="A825173" s="242"/>
    </row>
    <row r="825174" spans="1:1" x14ac:dyDescent="0.25">
      <c r="A825174" s="242"/>
    </row>
    <row r="825175" spans="1:1" x14ac:dyDescent="0.25">
      <c r="A825175" s="242"/>
    </row>
    <row r="825176" spans="1:1" x14ac:dyDescent="0.25">
      <c r="A825176" s="242"/>
    </row>
    <row r="825177" spans="1:1" x14ac:dyDescent="0.25">
      <c r="A825177" s="242"/>
    </row>
    <row r="825178" spans="1:1" x14ac:dyDescent="0.25">
      <c r="A825178" s="242"/>
    </row>
    <row r="825179" spans="1:1" x14ac:dyDescent="0.25">
      <c r="A825179" s="242"/>
    </row>
    <row r="825180" spans="1:1" x14ac:dyDescent="0.25">
      <c r="A825180" s="242"/>
    </row>
    <row r="825181" spans="1:1" x14ac:dyDescent="0.25">
      <c r="A825181" s="242"/>
    </row>
    <row r="825182" spans="1:1" x14ac:dyDescent="0.25">
      <c r="A825182" s="242"/>
    </row>
    <row r="825183" spans="1:1" x14ac:dyDescent="0.25">
      <c r="A825183" s="242"/>
    </row>
    <row r="825184" spans="1:1" x14ac:dyDescent="0.25">
      <c r="A825184" s="242"/>
    </row>
    <row r="825185" spans="1:1" x14ac:dyDescent="0.25">
      <c r="A825185" s="242"/>
    </row>
    <row r="825186" spans="1:1" x14ac:dyDescent="0.25">
      <c r="A825186" s="242"/>
    </row>
    <row r="825187" spans="1:1" x14ac:dyDescent="0.25">
      <c r="A825187" s="242"/>
    </row>
    <row r="825188" spans="1:1" x14ac:dyDescent="0.25">
      <c r="A825188" s="242"/>
    </row>
    <row r="825189" spans="1:1" x14ac:dyDescent="0.25">
      <c r="A825189" s="242"/>
    </row>
    <row r="825190" spans="1:1" x14ac:dyDescent="0.25">
      <c r="A825190" s="242"/>
    </row>
    <row r="825191" spans="1:1" x14ac:dyDescent="0.25">
      <c r="A825191" s="242"/>
    </row>
    <row r="825192" spans="1:1" x14ac:dyDescent="0.25">
      <c r="A825192" s="242"/>
    </row>
    <row r="825193" spans="1:1" x14ac:dyDescent="0.25">
      <c r="A825193" s="242"/>
    </row>
    <row r="825194" spans="1:1" x14ac:dyDescent="0.25">
      <c r="A825194" s="242"/>
    </row>
    <row r="825195" spans="1:1" x14ac:dyDescent="0.25">
      <c r="A825195" s="242"/>
    </row>
    <row r="825196" spans="1:1" x14ac:dyDescent="0.25">
      <c r="A825196" s="242"/>
    </row>
    <row r="825197" spans="1:1" x14ac:dyDescent="0.25">
      <c r="A825197" s="242"/>
    </row>
    <row r="825198" spans="1:1" x14ac:dyDescent="0.25">
      <c r="A825198" s="242"/>
    </row>
    <row r="825199" spans="1:1" x14ac:dyDescent="0.25">
      <c r="A825199" s="242"/>
    </row>
    <row r="825200" spans="1:1" x14ac:dyDescent="0.25">
      <c r="A825200" s="242"/>
    </row>
    <row r="825201" spans="1:1" x14ac:dyDescent="0.25">
      <c r="A825201" s="242"/>
    </row>
    <row r="825202" spans="1:1" x14ac:dyDescent="0.25">
      <c r="A825202" s="242"/>
    </row>
    <row r="825203" spans="1:1" x14ac:dyDescent="0.25">
      <c r="A825203" s="242"/>
    </row>
    <row r="825204" spans="1:1" x14ac:dyDescent="0.25">
      <c r="A825204" s="242"/>
    </row>
    <row r="825205" spans="1:1" x14ac:dyDescent="0.25">
      <c r="A825205" s="242"/>
    </row>
    <row r="825206" spans="1:1" x14ac:dyDescent="0.25">
      <c r="A825206" s="242"/>
    </row>
    <row r="825207" spans="1:1" x14ac:dyDescent="0.25">
      <c r="A825207" s="242"/>
    </row>
    <row r="825208" spans="1:1" x14ac:dyDescent="0.25">
      <c r="A825208" s="242"/>
    </row>
    <row r="825209" spans="1:1" x14ac:dyDescent="0.25">
      <c r="A825209" s="242"/>
    </row>
    <row r="825210" spans="1:1" x14ac:dyDescent="0.25">
      <c r="A825210" s="242"/>
    </row>
    <row r="825211" spans="1:1" x14ac:dyDescent="0.25">
      <c r="A825211" s="242"/>
    </row>
    <row r="825212" spans="1:1" x14ac:dyDescent="0.25">
      <c r="A825212" s="242"/>
    </row>
    <row r="825213" spans="1:1" x14ac:dyDescent="0.25">
      <c r="A825213" s="242"/>
    </row>
    <row r="825214" spans="1:1" x14ac:dyDescent="0.25">
      <c r="A825214" s="242"/>
    </row>
    <row r="825215" spans="1:1" x14ac:dyDescent="0.25">
      <c r="A825215" s="242"/>
    </row>
    <row r="825216" spans="1:1" x14ac:dyDescent="0.25">
      <c r="A825216" s="242"/>
    </row>
    <row r="825217" spans="1:1" x14ac:dyDescent="0.25">
      <c r="A825217" s="242"/>
    </row>
    <row r="825218" spans="1:1" x14ac:dyDescent="0.25">
      <c r="A825218" s="242"/>
    </row>
    <row r="825219" spans="1:1" x14ac:dyDescent="0.25">
      <c r="A825219" s="242"/>
    </row>
    <row r="825220" spans="1:1" x14ac:dyDescent="0.25">
      <c r="A825220" s="242"/>
    </row>
    <row r="825221" spans="1:1" x14ac:dyDescent="0.25">
      <c r="A825221" s="242"/>
    </row>
    <row r="825222" spans="1:1" x14ac:dyDescent="0.25">
      <c r="A825222" s="242"/>
    </row>
    <row r="825223" spans="1:1" x14ac:dyDescent="0.25">
      <c r="A825223" s="242"/>
    </row>
    <row r="825224" spans="1:1" x14ac:dyDescent="0.25">
      <c r="A825224" s="242"/>
    </row>
    <row r="825225" spans="1:1" x14ac:dyDescent="0.25">
      <c r="A825225" s="242"/>
    </row>
    <row r="825226" spans="1:1" x14ac:dyDescent="0.25">
      <c r="A825226" s="242"/>
    </row>
    <row r="825227" spans="1:1" x14ac:dyDescent="0.25">
      <c r="A825227" s="242"/>
    </row>
    <row r="825228" spans="1:1" x14ac:dyDescent="0.25">
      <c r="A825228" s="242"/>
    </row>
    <row r="825229" spans="1:1" x14ac:dyDescent="0.25">
      <c r="A825229" s="242"/>
    </row>
    <row r="825230" spans="1:1" x14ac:dyDescent="0.25">
      <c r="A825230" s="242"/>
    </row>
    <row r="825231" spans="1:1" x14ac:dyDescent="0.25">
      <c r="A825231" s="242"/>
    </row>
    <row r="825232" spans="1:1" x14ac:dyDescent="0.25">
      <c r="A825232" s="242"/>
    </row>
    <row r="825233" spans="1:1" x14ac:dyDescent="0.25">
      <c r="A825233" s="242"/>
    </row>
    <row r="825234" spans="1:1" x14ac:dyDescent="0.25">
      <c r="A825234" s="242"/>
    </row>
    <row r="825235" spans="1:1" x14ac:dyDescent="0.25">
      <c r="A825235" s="242"/>
    </row>
    <row r="825236" spans="1:1" x14ac:dyDescent="0.25">
      <c r="A825236" s="242"/>
    </row>
    <row r="825237" spans="1:1" x14ac:dyDescent="0.25">
      <c r="A825237" s="242"/>
    </row>
    <row r="825238" spans="1:1" x14ac:dyDescent="0.25">
      <c r="A825238" s="242"/>
    </row>
    <row r="825239" spans="1:1" x14ac:dyDescent="0.25">
      <c r="A825239" s="242"/>
    </row>
    <row r="825240" spans="1:1" x14ac:dyDescent="0.25">
      <c r="A825240" s="242"/>
    </row>
    <row r="825241" spans="1:1" x14ac:dyDescent="0.25">
      <c r="A825241" s="242"/>
    </row>
    <row r="825242" spans="1:1" x14ac:dyDescent="0.25">
      <c r="A825242" s="242"/>
    </row>
    <row r="825243" spans="1:1" x14ac:dyDescent="0.25">
      <c r="A825243" s="242"/>
    </row>
    <row r="825244" spans="1:1" x14ac:dyDescent="0.25">
      <c r="A825244" s="242"/>
    </row>
    <row r="825245" spans="1:1" x14ac:dyDescent="0.25">
      <c r="A825245" s="242"/>
    </row>
    <row r="825246" spans="1:1" x14ac:dyDescent="0.25">
      <c r="A825246" s="242"/>
    </row>
    <row r="825247" spans="1:1" x14ac:dyDescent="0.25">
      <c r="A825247" s="242"/>
    </row>
    <row r="825248" spans="1:1" x14ac:dyDescent="0.25">
      <c r="A825248" s="242"/>
    </row>
    <row r="825249" spans="1:1" x14ac:dyDescent="0.25">
      <c r="A825249" s="242"/>
    </row>
    <row r="825250" spans="1:1" x14ac:dyDescent="0.25">
      <c r="A825250" s="242"/>
    </row>
    <row r="825251" spans="1:1" x14ac:dyDescent="0.25">
      <c r="A825251" s="242"/>
    </row>
    <row r="825252" spans="1:1" x14ac:dyDescent="0.25">
      <c r="A825252" s="242"/>
    </row>
    <row r="825253" spans="1:1" x14ac:dyDescent="0.25">
      <c r="A825253" s="242"/>
    </row>
    <row r="825254" spans="1:1" x14ac:dyDescent="0.25">
      <c r="A825254" s="242"/>
    </row>
    <row r="825255" spans="1:1" x14ac:dyDescent="0.25">
      <c r="A825255" s="242"/>
    </row>
    <row r="825256" spans="1:1" x14ac:dyDescent="0.25">
      <c r="A825256" s="242"/>
    </row>
    <row r="825257" spans="1:1" x14ac:dyDescent="0.25">
      <c r="A825257" s="242"/>
    </row>
    <row r="825258" spans="1:1" x14ac:dyDescent="0.25">
      <c r="A825258" s="242"/>
    </row>
    <row r="825259" spans="1:1" x14ac:dyDescent="0.25">
      <c r="A825259" s="242"/>
    </row>
    <row r="825260" spans="1:1" x14ac:dyDescent="0.25">
      <c r="A825260" s="242"/>
    </row>
    <row r="825261" spans="1:1" x14ac:dyDescent="0.25">
      <c r="A825261" s="242"/>
    </row>
    <row r="825262" spans="1:1" x14ac:dyDescent="0.25">
      <c r="A825262" s="242"/>
    </row>
    <row r="825263" spans="1:1" x14ac:dyDescent="0.25">
      <c r="A825263" s="242"/>
    </row>
    <row r="825264" spans="1:1" x14ac:dyDescent="0.25">
      <c r="A825264" s="242"/>
    </row>
    <row r="825265" spans="1:1" x14ac:dyDescent="0.25">
      <c r="A825265" s="242"/>
    </row>
    <row r="825266" spans="1:1" x14ac:dyDescent="0.25">
      <c r="A825266" s="242"/>
    </row>
    <row r="825267" spans="1:1" x14ac:dyDescent="0.25">
      <c r="A825267" s="242"/>
    </row>
    <row r="825268" spans="1:1" x14ac:dyDescent="0.25">
      <c r="A825268" s="242"/>
    </row>
    <row r="825269" spans="1:1" x14ac:dyDescent="0.25">
      <c r="A825269" s="242"/>
    </row>
    <row r="825270" spans="1:1" x14ac:dyDescent="0.25">
      <c r="A825270" s="242"/>
    </row>
    <row r="825271" spans="1:1" x14ac:dyDescent="0.25">
      <c r="A825271" s="242"/>
    </row>
    <row r="825272" spans="1:1" x14ac:dyDescent="0.25">
      <c r="A825272" s="242"/>
    </row>
    <row r="825273" spans="1:1" x14ac:dyDescent="0.25">
      <c r="A825273" s="242"/>
    </row>
    <row r="825274" spans="1:1" x14ac:dyDescent="0.25">
      <c r="A825274" s="242"/>
    </row>
    <row r="825275" spans="1:1" x14ac:dyDescent="0.25">
      <c r="A825275" s="242"/>
    </row>
    <row r="825276" spans="1:1" x14ac:dyDescent="0.25">
      <c r="A825276" s="242"/>
    </row>
    <row r="825277" spans="1:1" x14ac:dyDescent="0.25">
      <c r="A825277" s="242"/>
    </row>
    <row r="825278" spans="1:1" x14ac:dyDescent="0.25">
      <c r="A825278" s="242"/>
    </row>
    <row r="825279" spans="1:1" x14ac:dyDescent="0.25">
      <c r="A825279" s="242"/>
    </row>
    <row r="825280" spans="1:1" x14ac:dyDescent="0.25">
      <c r="A825280" s="242"/>
    </row>
    <row r="825281" spans="1:1" x14ac:dyDescent="0.25">
      <c r="A825281" s="242"/>
    </row>
    <row r="825282" spans="1:1" x14ac:dyDescent="0.25">
      <c r="A825282" s="242"/>
    </row>
    <row r="825283" spans="1:1" x14ac:dyDescent="0.25">
      <c r="A825283" s="242"/>
    </row>
    <row r="825284" spans="1:1" x14ac:dyDescent="0.25">
      <c r="A825284" s="242"/>
    </row>
    <row r="825285" spans="1:1" x14ac:dyDescent="0.25">
      <c r="A825285" s="242"/>
    </row>
    <row r="825286" spans="1:1" x14ac:dyDescent="0.25">
      <c r="A825286" s="242"/>
    </row>
    <row r="825287" spans="1:1" x14ac:dyDescent="0.25">
      <c r="A825287" s="242"/>
    </row>
    <row r="825288" spans="1:1" x14ac:dyDescent="0.25">
      <c r="A825288" s="242"/>
    </row>
    <row r="825289" spans="1:1" x14ac:dyDescent="0.25">
      <c r="A825289" s="242"/>
    </row>
    <row r="825290" spans="1:1" x14ac:dyDescent="0.25">
      <c r="A825290" s="242"/>
    </row>
    <row r="825291" spans="1:1" x14ac:dyDescent="0.25">
      <c r="A825291" s="242"/>
    </row>
    <row r="825292" spans="1:1" x14ac:dyDescent="0.25">
      <c r="A825292" s="242"/>
    </row>
    <row r="825293" spans="1:1" x14ac:dyDescent="0.25">
      <c r="A825293" s="242"/>
    </row>
    <row r="825294" spans="1:1" x14ac:dyDescent="0.25">
      <c r="A825294" s="242"/>
    </row>
    <row r="825295" spans="1:1" x14ac:dyDescent="0.25">
      <c r="A825295" s="242"/>
    </row>
    <row r="825296" spans="1:1" x14ac:dyDescent="0.25">
      <c r="A825296" s="242"/>
    </row>
    <row r="825297" spans="1:1" x14ac:dyDescent="0.25">
      <c r="A825297" s="242"/>
    </row>
    <row r="825298" spans="1:1" x14ac:dyDescent="0.25">
      <c r="A825298" s="242"/>
    </row>
    <row r="825299" spans="1:1" x14ac:dyDescent="0.25">
      <c r="A825299" s="242"/>
    </row>
    <row r="825300" spans="1:1" x14ac:dyDescent="0.25">
      <c r="A825300" s="242"/>
    </row>
    <row r="825301" spans="1:1" x14ac:dyDescent="0.25">
      <c r="A825301" s="242"/>
    </row>
    <row r="825302" spans="1:1" x14ac:dyDescent="0.25">
      <c r="A825302" s="242"/>
    </row>
    <row r="825303" spans="1:1" x14ac:dyDescent="0.25">
      <c r="A825303" s="242"/>
    </row>
    <row r="825304" spans="1:1" x14ac:dyDescent="0.25">
      <c r="A825304" s="242"/>
    </row>
    <row r="825305" spans="1:1" x14ac:dyDescent="0.25">
      <c r="A825305" s="242"/>
    </row>
    <row r="825306" spans="1:1" x14ac:dyDescent="0.25">
      <c r="A825306" s="242"/>
    </row>
    <row r="825307" spans="1:1" x14ac:dyDescent="0.25">
      <c r="A825307" s="242"/>
    </row>
    <row r="825308" spans="1:1" x14ac:dyDescent="0.25">
      <c r="A825308" s="242"/>
    </row>
    <row r="825309" spans="1:1" x14ac:dyDescent="0.25">
      <c r="A825309" s="242"/>
    </row>
    <row r="825310" spans="1:1" x14ac:dyDescent="0.25">
      <c r="A825310" s="242"/>
    </row>
    <row r="825311" spans="1:1" x14ac:dyDescent="0.25">
      <c r="A825311" s="242"/>
    </row>
    <row r="825312" spans="1:1" x14ac:dyDescent="0.25">
      <c r="A825312" s="242"/>
    </row>
    <row r="825313" spans="1:1" x14ac:dyDescent="0.25">
      <c r="A825313" s="242"/>
    </row>
    <row r="825314" spans="1:1" x14ac:dyDescent="0.25">
      <c r="A825314" s="242"/>
    </row>
    <row r="825315" spans="1:1" x14ac:dyDescent="0.25">
      <c r="A825315" s="242"/>
    </row>
    <row r="825316" spans="1:1" x14ac:dyDescent="0.25">
      <c r="A825316" s="242"/>
    </row>
    <row r="825317" spans="1:1" x14ac:dyDescent="0.25">
      <c r="A825317" s="242"/>
    </row>
    <row r="825318" spans="1:1" x14ac:dyDescent="0.25">
      <c r="A825318" s="242"/>
    </row>
    <row r="825319" spans="1:1" x14ac:dyDescent="0.25">
      <c r="A825319" s="242"/>
    </row>
    <row r="825320" spans="1:1" x14ac:dyDescent="0.25">
      <c r="A825320" s="242"/>
    </row>
    <row r="825321" spans="1:1" x14ac:dyDescent="0.25">
      <c r="A825321" s="242"/>
    </row>
    <row r="825322" spans="1:1" x14ac:dyDescent="0.25">
      <c r="A825322" s="242"/>
    </row>
    <row r="825323" spans="1:1" x14ac:dyDescent="0.25">
      <c r="A825323" s="242"/>
    </row>
    <row r="825324" spans="1:1" x14ac:dyDescent="0.25">
      <c r="A825324" s="242"/>
    </row>
    <row r="825325" spans="1:1" x14ac:dyDescent="0.25">
      <c r="A825325" s="242"/>
    </row>
    <row r="825326" spans="1:1" x14ac:dyDescent="0.25">
      <c r="A825326" s="242"/>
    </row>
    <row r="825327" spans="1:1" x14ac:dyDescent="0.25">
      <c r="A825327" s="242"/>
    </row>
    <row r="825328" spans="1:1" x14ac:dyDescent="0.25">
      <c r="A825328" s="242"/>
    </row>
    <row r="825329" spans="1:1" x14ac:dyDescent="0.25">
      <c r="A825329" s="242"/>
    </row>
    <row r="825330" spans="1:1" x14ac:dyDescent="0.25">
      <c r="A825330" s="242"/>
    </row>
    <row r="825331" spans="1:1" x14ac:dyDescent="0.25">
      <c r="A825331" s="242"/>
    </row>
    <row r="825332" spans="1:1" x14ac:dyDescent="0.25">
      <c r="A825332" s="242"/>
    </row>
    <row r="825333" spans="1:1" x14ac:dyDescent="0.25">
      <c r="A825333" s="242"/>
    </row>
    <row r="825334" spans="1:1" x14ac:dyDescent="0.25">
      <c r="A825334" s="242"/>
    </row>
    <row r="825335" spans="1:1" x14ac:dyDescent="0.25">
      <c r="A825335" s="242"/>
    </row>
    <row r="825336" spans="1:1" x14ac:dyDescent="0.25">
      <c r="A825336" s="242"/>
    </row>
    <row r="825337" spans="1:1" x14ac:dyDescent="0.25">
      <c r="A825337" s="242"/>
    </row>
    <row r="825338" spans="1:1" x14ac:dyDescent="0.25">
      <c r="A825338" s="242"/>
    </row>
    <row r="825339" spans="1:1" x14ac:dyDescent="0.25">
      <c r="A825339" s="242"/>
    </row>
    <row r="825340" spans="1:1" x14ac:dyDescent="0.25">
      <c r="A825340" s="242"/>
    </row>
    <row r="825341" spans="1:1" x14ac:dyDescent="0.25">
      <c r="A825341" s="242"/>
    </row>
    <row r="825342" spans="1:1" x14ac:dyDescent="0.25">
      <c r="A825342" s="242"/>
    </row>
    <row r="825343" spans="1:1" x14ac:dyDescent="0.25">
      <c r="A825343" s="242"/>
    </row>
    <row r="825344" spans="1:1" x14ac:dyDescent="0.25">
      <c r="A825344" s="242"/>
    </row>
    <row r="825345" spans="1:1" x14ac:dyDescent="0.25">
      <c r="A825345" s="242"/>
    </row>
    <row r="825346" spans="1:1" x14ac:dyDescent="0.25">
      <c r="A825346" s="242"/>
    </row>
    <row r="825347" spans="1:1" x14ac:dyDescent="0.25">
      <c r="A825347" s="242"/>
    </row>
    <row r="825348" spans="1:1" x14ac:dyDescent="0.25">
      <c r="A825348" s="242"/>
    </row>
    <row r="825349" spans="1:1" x14ac:dyDescent="0.25">
      <c r="A825349" s="242"/>
    </row>
    <row r="825350" spans="1:1" x14ac:dyDescent="0.25">
      <c r="A825350" s="242"/>
    </row>
    <row r="825351" spans="1:1" x14ac:dyDescent="0.25">
      <c r="A825351" s="242"/>
    </row>
    <row r="825352" spans="1:1" x14ac:dyDescent="0.25">
      <c r="A825352" s="242"/>
    </row>
    <row r="825353" spans="1:1" x14ac:dyDescent="0.25">
      <c r="A825353" s="242"/>
    </row>
    <row r="825354" spans="1:1" x14ac:dyDescent="0.25">
      <c r="A825354" s="242"/>
    </row>
    <row r="825355" spans="1:1" x14ac:dyDescent="0.25">
      <c r="A825355" s="242"/>
    </row>
    <row r="825356" spans="1:1" x14ac:dyDescent="0.25">
      <c r="A825356" s="242"/>
    </row>
    <row r="825357" spans="1:1" x14ac:dyDescent="0.25">
      <c r="A825357" s="242"/>
    </row>
    <row r="825358" spans="1:1" x14ac:dyDescent="0.25">
      <c r="A825358" s="242"/>
    </row>
    <row r="825359" spans="1:1" x14ac:dyDescent="0.25">
      <c r="A825359" s="242"/>
    </row>
    <row r="825360" spans="1:1" x14ac:dyDescent="0.25">
      <c r="A825360" s="242"/>
    </row>
    <row r="825361" spans="1:1" x14ac:dyDescent="0.25">
      <c r="A825361" s="242"/>
    </row>
    <row r="825362" spans="1:1" x14ac:dyDescent="0.25">
      <c r="A825362" s="242"/>
    </row>
    <row r="825363" spans="1:1" x14ac:dyDescent="0.25">
      <c r="A825363" s="242"/>
    </row>
    <row r="825364" spans="1:1" x14ac:dyDescent="0.25">
      <c r="A825364" s="242"/>
    </row>
    <row r="825365" spans="1:1" x14ac:dyDescent="0.25">
      <c r="A825365" s="242"/>
    </row>
    <row r="825366" spans="1:1" x14ac:dyDescent="0.25">
      <c r="A825366" s="242"/>
    </row>
    <row r="825367" spans="1:1" x14ac:dyDescent="0.25">
      <c r="A825367" s="242"/>
    </row>
    <row r="825368" spans="1:1" x14ac:dyDescent="0.25">
      <c r="A825368" s="242"/>
    </row>
    <row r="825369" spans="1:1" x14ac:dyDescent="0.25">
      <c r="A825369" s="242"/>
    </row>
    <row r="825370" spans="1:1" x14ac:dyDescent="0.25">
      <c r="A825370" s="242"/>
    </row>
    <row r="825371" spans="1:1" x14ac:dyDescent="0.25">
      <c r="A825371" s="242"/>
    </row>
    <row r="825372" spans="1:1" x14ac:dyDescent="0.25">
      <c r="A825372" s="242"/>
    </row>
    <row r="825373" spans="1:1" x14ac:dyDescent="0.25">
      <c r="A825373" s="242"/>
    </row>
    <row r="825374" spans="1:1" x14ac:dyDescent="0.25">
      <c r="A825374" s="242"/>
    </row>
    <row r="825375" spans="1:1" x14ac:dyDescent="0.25">
      <c r="A825375" s="242"/>
    </row>
    <row r="825376" spans="1:1" x14ac:dyDescent="0.25">
      <c r="A825376" s="242"/>
    </row>
    <row r="825377" spans="1:1" x14ac:dyDescent="0.25">
      <c r="A825377" s="242"/>
    </row>
    <row r="825378" spans="1:1" x14ac:dyDescent="0.25">
      <c r="A825378" s="242"/>
    </row>
    <row r="825379" spans="1:1" x14ac:dyDescent="0.25">
      <c r="A825379" s="242"/>
    </row>
    <row r="825380" spans="1:1" x14ac:dyDescent="0.25">
      <c r="A825380" s="242"/>
    </row>
    <row r="825381" spans="1:1" x14ac:dyDescent="0.25">
      <c r="A825381" s="242"/>
    </row>
    <row r="825382" spans="1:1" x14ac:dyDescent="0.25">
      <c r="A825382" s="242"/>
    </row>
    <row r="825383" spans="1:1" x14ac:dyDescent="0.25">
      <c r="A825383" s="242"/>
    </row>
    <row r="825384" spans="1:1" x14ac:dyDescent="0.25">
      <c r="A825384" s="242"/>
    </row>
    <row r="825385" spans="1:1" x14ac:dyDescent="0.25">
      <c r="A825385" s="242"/>
    </row>
    <row r="825386" spans="1:1" x14ac:dyDescent="0.25">
      <c r="A825386" s="242"/>
    </row>
    <row r="825387" spans="1:1" x14ac:dyDescent="0.25">
      <c r="A825387" s="242"/>
    </row>
    <row r="825388" spans="1:1" x14ac:dyDescent="0.25">
      <c r="A825388" s="242"/>
    </row>
    <row r="825389" spans="1:1" x14ac:dyDescent="0.25">
      <c r="A825389" s="242"/>
    </row>
    <row r="825390" spans="1:1" x14ac:dyDescent="0.25">
      <c r="A825390" s="242"/>
    </row>
    <row r="825391" spans="1:1" x14ac:dyDescent="0.25">
      <c r="A825391" s="242"/>
    </row>
    <row r="825392" spans="1:1" x14ac:dyDescent="0.25">
      <c r="A825392" s="242"/>
    </row>
    <row r="825393" spans="1:1" x14ac:dyDescent="0.25">
      <c r="A825393" s="242"/>
    </row>
    <row r="825394" spans="1:1" x14ac:dyDescent="0.25">
      <c r="A825394" s="242"/>
    </row>
    <row r="825395" spans="1:1" x14ac:dyDescent="0.25">
      <c r="A825395" s="242"/>
    </row>
    <row r="825396" spans="1:1" x14ac:dyDescent="0.25">
      <c r="A825396" s="242"/>
    </row>
    <row r="825397" spans="1:1" x14ac:dyDescent="0.25">
      <c r="A825397" s="242"/>
    </row>
    <row r="825398" spans="1:1" x14ac:dyDescent="0.25">
      <c r="A825398" s="242"/>
    </row>
    <row r="825399" spans="1:1" x14ac:dyDescent="0.25">
      <c r="A825399" s="242"/>
    </row>
    <row r="825400" spans="1:1" x14ac:dyDescent="0.25">
      <c r="A825400" s="242"/>
    </row>
    <row r="825401" spans="1:1" x14ac:dyDescent="0.25">
      <c r="A825401" s="242"/>
    </row>
    <row r="825402" spans="1:1" x14ac:dyDescent="0.25">
      <c r="A825402" s="242"/>
    </row>
    <row r="825403" spans="1:1" x14ac:dyDescent="0.25">
      <c r="A825403" s="242"/>
    </row>
    <row r="825404" spans="1:1" x14ac:dyDescent="0.25">
      <c r="A825404" s="242"/>
    </row>
    <row r="825405" spans="1:1" x14ac:dyDescent="0.25">
      <c r="A825405" s="242"/>
    </row>
    <row r="825406" spans="1:1" x14ac:dyDescent="0.25">
      <c r="A825406" s="242"/>
    </row>
    <row r="825407" spans="1:1" x14ac:dyDescent="0.25">
      <c r="A825407" s="242"/>
    </row>
    <row r="825408" spans="1:1" x14ac:dyDescent="0.25">
      <c r="A825408" s="242"/>
    </row>
    <row r="825409" spans="1:1" x14ac:dyDescent="0.25">
      <c r="A825409" s="242"/>
    </row>
    <row r="825410" spans="1:1" x14ac:dyDescent="0.25">
      <c r="A825410" s="242"/>
    </row>
    <row r="825411" spans="1:1" x14ac:dyDescent="0.25">
      <c r="A825411" s="242"/>
    </row>
    <row r="825412" spans="1:1" x14ac:dyDescent="0.25">
      <c r="A825412" s="242"/>
    </row>
    <row r="825413" spans="1:1" x14ac:dyDescent="0.25">
      <c r="A825413" s="242"/>
    </row>
    <row r="825414" spans="1:1" x14ac:dyDescent="0.25">
      <c r="A825414" s="242"/>
    </row>
    <row r="825415" spans="1:1" x14ac:dyDescent="0.25">
      <c r="A825415" s="242"/>
    </row>
    <row r="825416" spans="1:1" x14ac:dyDescent="0.25">
      <c r="A825416" s="242"/>
    </row>
    <row r="825417" spans="1:1" x14ac:dyDescent="0.25">
      <c r="A825417" s="242"/>
    </row>
    <row r="825418" spans="1:1" x14ac:dyDescent="0.25">
      <c r="A825418" s="242"/>
    </row>
    <row r="825419" spans="1:1" x14ac:dyDescent="0.25">
      <c r="A825419" s="242"/>
    </row>
    <row r="825420" spans="1:1" x14ac:dyDescent="0.25">
      <c r="A825420" s="242"/>
    </row>
    <row r="825421" spans="1:1" x14ac:dyDescent="0.25">
      <c r="A825421" s="242"/>
    </row>
    <row r="825422" spans="1:1" x14ac:dyDescent="0.25">
      <c r="A825422" s="242"/>
    </row>
    <row r="825423" spans="1:1" x14ac:dyDescent="0.25">
      <c r="A825423" s="242"/>
    </row>
    <row r="825424" spans="1:1" x14ac:dyDescent="0.25">
      <c r="A825424" s="242"/>
    </row>
    <row r="825425" spans="1:1" x14ac:dyDescent="0.25">
      <c r="A825425" s="242"/>
    </row>
    <row r="825426" spans="1:1" x14ac:dyDescent="0.25">
      <c r="A825426" s="242"/>
    </row>
    <row r="825427" spans="1:1" x14ac:dyDescent="0.25">
      <c r="A825427" s="242"/>
    </row>
    <row r="825428" spans="1:1" x14ac:dyDescent="0.25">
      <c r="A825428" s="242"/>
    </row>
    <row r="825429" spans="1:1" x14ac:dyDescent="0.25">
      <c r="A825429" s="242"/>
    </row>
    <row r="825430" spans="1:1" x14ac:dyDescent="0.25">
      <c r="A825430" s="242"/>
    </row>
    <row r="825431" spans="1:1" x14ac:dyDescent="0.25">
      <c r="A825431" s="242"/>
    </row>
    <row r="825432" spans="1:1" x14ac:dyDescent="0.25">
      <c r="A825432" s="242"/>
    </row>
    <row r="825433" spans="1:1" x14ac:dyDescent="0.25">
      <c r="A825433" s="242"/>
    </row>
    <row r="825434" spans="1:1" x14ac:dyDescent="0.25">
      <c r="A825434" s="242"/>
    </row>
    <row r="825435" spans="1:1" x14ac:dyDescent="0.25">
      <c r="A825435" s="242"/>
    </row>
    <row r="825436" spans="1:1" x14ac:dyDescent="0.25">
      <c r="A825436" s="242"/>
    </row>
    <row r="825437" spans="1:1" x14ac:dyDescent="0.25">
      <c r="A825437" s="242"/>
    </row>
    <row r="825438" spans="1:1" x14ac:dyDescent="0.25">
      <c r="A825438" s="242"/>
    </row>
    <row r="825439" spans="1:1" x14ac:dyDescent="0.25">
      <c r="A825439" s="242"/>
    </row>
    <row r="825440" spans="1:1" x14ac:dyDescent="0.25">
      <c r="A825440" s="242"/>
    </row>
    <row r="825441" spans="1:1" x14ac:dyDescent="0.25">
      <c r="A825441" s="242"/>
    </row>
    <row r="825442" spans="1:1" x14ac:dyDescent="0.25">
      <c r="A825442" s="242"/>
    </row>
    <row r="825443" spans="1:1" x14ac:dyDescent="0.25">
      <c r="A825443" s="242"/>
    </row>
    <row r="825444" spans="1:1" x14ac:dyDescent="0.25">
      <c r="A825444" s="242"/>
    </row>
    <row r="825445" spans="1:1" x14ac:dyDescent="0.25">
      <c r="A825445" s="242"/>
    </row>
    <row r="825446" spans="1:1" x14ac:dyDescent="0.25">
      <c r="A825446" s="242"/>
    </row>
    <row r="825447" spans="1:1" x14ac:dyDescent="0.25">
      <c r="A825447" s="242"/>
    </row>
    <row r="825448" spans="1:1" x14ac:dyDescent="0.25">
      <c r="A825448" s="242"/>
    </row>
    <row r="825449" spans="1:1" x14ac:dyDescent="0.25">
      <c r="A825449" s="242"/>
    </row>
    <row r="825450" spans="1:1" x14ac:dyDescent="0.25">
      <c r="A825450" s="242"/>
    </row>
    <row r="825451" spans="1:1" x14ac:dyDescent="0.25">
      <c r="A825451" s="242"/>
    </row>
    <row r="825452" spans="1:1" x14ac:dyDescent="0.25">
      <c r="A825452" s="242"/>
    </row>
    <row r="825453" spans="1:1" x14ac:dyDescent="0.25">
      <c r="A825453" s="242"/>
    </row>
    <row r="825454" spans="1:1" x14ac:dyDescent="0.25">
      <c r="A825454" s="242"/>
    </row>
    <row r="825455" spans="1:1" x14ac:dyDescent="0.25">
      <c r="A825455" s="242"/>
    </row>
    <row r="825456" spans="1:1" x14ac:dyDescent="0.25">
      <c r="A825456" s="242"/>
    </row>
    <row r="825457" spans="1:1" x14ac:dyDescent="0.25">
      <c r="A825457" s="242"/>
    </row>
    <row r="825458" spans="1:1" x14ac:dyDescent="0.25">
      <c r="A825458" s="242"/>
    </row>
    <row r="825459" spans="1:1" x14ac:dyDescent="0.25">
      <c r="A825459" s="242"/>
    </row>
    <row r="825460" spans="1:1" x14ac:dyDescent="0.25">
      <c r="A825460" s="242"/>
    </row>
    <row r="825461" spans="1:1" x14ac:dyDescent="0.25">
      <c r="A825461" s="242"/>
    </row>
    <row r="825462" spans="1:1" x14ac:dyDescent="0.25">
      <c r="A825462" s="242"/>
    </row>
    <row r="825463" spans="1:1" x14ac:dyDescent="0.25">
      <c r="A825463" s="242"/>
    </row>
    <row r="825464" spans="1:1" x14ac:dyDescent="0.25">
      <c r="A825464" s="242"/>
    </row>
    <row r="825465" spans="1:1" x14ac:dyDescent="0.25">
      <c r="A825465" s="242"/>
    </row>
    <row r="825466" spans="1:1" x14ac:dyDescent="0.25">
      <c r="A825466" s="242"/>
    </row>
    <row r="825467" spans="1:1" x14ac:dyDescent="0.25">
      <c r="A825467" s="242"/>
    </row>
    <row r="825468" spans="1:1" x14ac:dyDescent="0.25">
      <c r="A825468" s="242"/>
    </row>
    <row r="825469" spans="1:1" x14ac:dyDescent="0.25">
      <c r="A825469" s="242"/>
    </row>
    <row r="825470" spans="1:1" x14ac:dyDescent="0.25">
      <c r="A825470" s="242"/>
    </row>
    <row r="825471" spans="1:1" x14ac:dyDescent="0.25">
      <c r="A825471" s="242"/>
    </row>
    <row r="825472" spans="1:1" x14ac:dyDescent="0.25">
      <c r="A825472" s="242"/>
    </row>
    <row r="825473" spans="1:1" x14ac:dyDescent="0.25">
      <c r="A825473" s="242"/>
    </row>
    <row r="825474" spans="1:1" x14ac:dyDescent="0.25">
      <c r="A825474" s="242"/>
    </row>
    <row r="825475" spans="1:1" x14ac:dyDescent="0.25">
      <c r="A825475" s="242"/>
    </row>
    <row r="825476" spans="1:1" x14ac:dyDescent="0.25">
      <c r="A825476" s="242"/>
    </row>
    <row r="825477" spans="1:1" x14ac:dyDescent="0.25">
      <c r="A825477" s="242"/>
    </row>
    <row r="825478" spans="1:1" x14ac:dyDescent="0.25">
      <c r="A825478" s="242"/>
    </row>
    <row r="825479" spans="1:1" x14ac:dyDescent="0.25">
      <c r="A825479" s="242"/>
    </row>
    <row r="825480" spans="1:1" x14ac:dyDescent="0.25">
      <c r="A825480" s="242"/>
    </row>
    <row r="825481" spans="1:1" x14ac:dyDescent="0.25">
      <c r="A825481" s="242"/>
    </row>
    <row r="825482" spans="1:1" x14ac:dyDescent="0.25">
      <c r="A825482" s="242"/>
    </row>
    <row r="825483" spans="1:1" x14ac:dyDescent="0.25">
      <c r="A825483" s="242"/>
    </row>
    <row r="825484" spans="1:1" x14ac:dyDescent="0.25">
      <c r="A825484" s="242"/>
    </row>
    <row r="825485" spans="1:1" x14ac:dyDescent="0.25">
      <c r="A825485" s="242"/>
    </row>
    <row r="825486" spans="1:1" x14ac:dyDescent="0.25">
      <c r="A825486" s="242"/>
    </row>
    <row r="825487" spans="1:1" x14ac:dyDescent="0.25">
      <c r="A825487" s="242"/>
    </row>
    <row r="825488" spans="1:1" x14ac:dyDescent="0.25">
      <c r="A825488" s="242"/>
    </row>
    <row r="825489" spans="1:1" x14ac:dyDescent="0.25">
      <c r="A825489" s="242"/>
    </row>
    <row r="825490" spans="1:1" x14ac:dyDescent="0.25">
      <c r="A825490" s="242"/>
    </row>
    <row r="825491" spans="1:1" x14ac:dyDescent="0.25">
      <c r="A825491" s="242"/>
    </row>
    <row r="825492" spans="1:1" x14ac:dyDescent="0.25">
      <c r="A825492" s="242"/>
    </row>
    <row r="825493" spans="1:1" x14ac:dyDescent="0.25">
      <c r="A825493" s="242"/>
    </row>
    <row r="825494" spans="1:1" x14ac:dyDescent="0.25">
      <c r="A825494" s="242"/>
    </row>
    <row r="825495" spans="1:1" x14ac:dyDescent="0.25">
      <c r="A825495" s="242"/>
    </row>
    <row r="825496" spans="1:1" x14ac:dyDescent="0.25">
      <c r="A825496" s="242"/>
    </row>
    <row r="825497" spans="1:1" x14ac:dyDescent="0.25">
      <c r="A825497" s="242"/>
    </row>
    <row r="825498" spans="1:1" x14ac:dyDescent="0.25">
      <c r="A825498" s="242"/>
    </row>
    <row r="825499" spans="1:1" x14ac:dyDescent="0.25">
      <c r="A825499" s="242"/>
    </row>
    <row r="825500" spans="1:1" x14ac:dyDescent="0.25">
      <c r="A825500" s="242"/>
    </row>
    <row r="825501" spans="1:1" x14ac:dyDescent="0.25">
      <c r="A825501" s="242"/>
    </row>
    <row r="825502" spans="1:1" x14ac:dyDescent="0.25">
      <c r="A825502" s="242"/>
    </row>
    <row r="825503" spans="1:1" x14ac:dyDescent="0.25">
      <c r="A825503" s="242"/>
    </row>
    <row r="825504" spans="1:1" x14ac:dyDescent="0.25">
      <c r="A825504" s="242"/>
    </row>
    <row r="825505" spans="1:1" x14ac:dyDescent="0.25">
      <c r="A825505" s="242"/>
    </row>
    <row r="825506" spans="1:1" x14ac:dyDescent="0.25">
      <c r="A825506" s="242"/>
    </row>
    <row r="825507" spans="1:1" x14ac:dyDescent="0.25">
      <c r="A825507" s="242"/>
    </row>
    <row r="825508" spans="1:1" x14ac:dyDescent="0.25">
      <c r="A825508" s="242"/>
    </row>
    <row r="825509" spans="1:1" x14ac:dyDescent="0.25">
      <c r="A825509" s="242"/>
    </row>
    <row r="825510" spans="1:1" x14ac:dyDescent="0.25">
      <c r="A825510" s="242"/>
    </row>
    <row r="825511" spans="1:1" x14ac:dyDescent="0.25">
      <c r="A825511" s="242"/>
    </row>
    <row r="825512" spans="1:1" x14ac:dyDescent="0.25">
      <c r="A825512" s="242"/>
    </row>
    <row r="825513" spans="1:1" x14ac:dyDescent="0.25">
      <c r="A825513" s="242"/>
    </row>
    <row r="825514" spans="1:1" x14ac:dyDescent="0.25">
      <c r="A825514" s="242"/>
    </row>
    <row r="825515" spans="1:1" x14ac:dyDescent="0.25">
      <c r="A825515" s="242"/>
    </row>
    <row r="825516" spans="1:1" x14ac:dyDescent="0.25">
      <c r="A825516" s="242"/>
    </row>
    <row r="825517" spans="1:1" x14ac:dyDescent="0.25">
      <c r="A825517" s="242"/>
    </row>
    <row r="825518" spans="1:1" x14ac:dyDescent="0.25">
      <c r="A825518" s="242"/>
    </row>
    <row r="825519" spans="1:1" x14ac:dyDescent="0.25">
      <c r="A825519" s="242"/>
    </row>
    <row r="825520" spans="1:1" x14ac:dyDescent="0.25">
      <c r="A825520" s="242"/>
    </row>
    <row r="825521" spans="1:1" x14ac:dyDescent="0.25">
      <c r="A825521" s="242"/>
    </row>
    <row r="825522" spans="1:1" x14ac:dyDescent="0.25">
      <c r="A825522" s="242"/>
    </row>
    <row r="825523" spans="1:1" x14ac:dyDescent="0.25">
      <c r="A825523" s="242"/>
    </row>
    <row r="825524" spans="1:1" x14ac:dyDescent="0.25">
      <c r="A825524" s="242"/>
    </row>
    <row r="825525" spans="1:1" x14ac:dyDescent="0.25">
      <c r="A825525" s="242"/>
    </row>
    <row r="825526" spans="1:1" x14ac:dyDescent="0.25">
      <c r="A825526" s="242"/>
    </row>
    <row r="825527" spans="1:1" x14ac:dyDescent="0.25">
      <c r="A825527" s="242"/>
    </row>
    <row r="825528" spans="1:1" x14ac:dyDescent="0.25">
      <c r="A825528" s="242"/>
    </row>
    <row r="825529" spans="1:1" x14ac:dyDescent="0.25">
      <c r="A825529" s="242"/>
    </row>
    <row r="825530" spans="1:1" x14ac:dyDescent="0.25">
      <c r="A825530" s="242"/>
    </row>
    <row r="825531" spans="1:1" x14ac:dyDescent="0.25">
      <c r="A825531" s="242"/>
    </row>
    <row r="825532" spans="1:1" x14ac:dyDescent="0.25">
      <c r="A825532" s="242"/>
    </row>
    <row r="825533" spans="1:1" x14ac:dyDescent="0.25">
      <c r="A825533" s="242"/>
    </row>
    <row r="825534" spans="1:1" x14ac:dyDescent="0.25">
      <c r="A825534" s="242"/>
    </row>
    <row r="825535" spans="1:1" x14ac:dyDescent="0.25">
      <c r="A825535" s="242"/>
    </row>
    <row r="825536" spans="1:1" x14ac:dyDescent="0.25">
      <c r="A825536" s="242"/>
    </row>
    <row r="825537" spans="1:1" x14ac:dyDescent="0.25">
      <c r="A825537" s="242"/>
    </row>
    <row r="825538" spans="1:1" x14ac:dyDescent="0.25">
      <c r="A825538" s="242"/>
    </row>
    <row r="825539" spans="1:1" x14ac:dyDescent="0.25">
      <c r="A825539" s="242"/>
    </row>
    <row r="825540" spans="1:1" x14ac:dyDescent="0.25">
      <c r="A825540" s="242"/>
    </row>
    <row r="825541" spans="1:1" x14ac:dyDescent="0.25">
      <c r="A825541" s="242"/>
    </row>
    <row r="825542" spans="1:1" x14ac:dyDescent="0.25">
      <c r="A825542" s="242"/>
    </row>
    <row r="825543" spans="1:1" x14ac:dyDescent="0.25">
      <c r="A825543" s="242"/>
    </row>
    <row r="825544" spans="1:1" x14ac:dyDescent="0.25">
      <c r="A825544" s="242"/>
    </row>
    <row r="825545" spans="1:1" x14ac:dyDescent="0.25">
      <c r="A825545" s="242"/>
    </row>
    <row r="825546" spans="1:1" x14ac:dyDescent="0.25">
      <c r="A825546" s="242"/>
    </row>
    <row r="825547" spans="1:1" x14ac:dyDescent="0.25">
      <c r="A825547" s="242"/>
    </row>
    <row r="825548" spans="1:1" x14ac:dyDescent="0.25">
      <c r="A825548" s="242"/>
    </row>
    <row r="825549" spans="1:1" x14ac:dyDescent="0.25">
      <c r="A825549" s="242"/>
    </row>
    <row r="825550" spans="1:1" x14ac:dyDescent="0.25">
      <c r="A825550" s="242"/>
    </row>
    <row r="825551" spans="1:1" x14ac:dyDescent="0.25">
      <c r="A825551" s="242"/>
    </row>
    <row r="825552" spans="1:1" x14ac:dyDescent="0.25">
      <c r="A825552" s="242"/>
    </row>
    <row r="825553" spans="1:1" x14ac:dyDescent="0.25">
      <c r="A825553" s="242"/>
    </row>
    <row r="825554" spans="1:1" x14ac:dyDescent="0.25">
      <c r="A825554" s="242"/>
    </row>
    <row r="825555" spans="1:1" x14ac:dyDescent="0.25">
      <c r="A825555" s="242"/>
    </row>
    <row r="825556" spans="1:1" x14ac:dyDescent="0.25">
      <c r="A825556" s="242"/>
    </row>
    <row r="825557" spans="1:1" x14ac:dyDescent="0.25">
      <c r="A825557" s="242"/>
    </row>
    <row r="825558" spans="1:1" x14ac:dyDescent="0.25">
      <c r="A825558" s="242"/>
    </row>
    <row r="825559" spans="1:1" x14ac:dyDescent="0.25">
      <c r="A825559" s="242"/>
    </row>
    <row r="825560" spans="1:1" x14ac:dyDescent="0.25">
      <c r="A825560" s="242"/>
    </row>
    <row r="825561" spans="1:1" x14ac:dyDescent="0.25">
      <c r="A825561" s="242"/>
    </row>
    <row r="825562" spans="1:1" x14ac:dyDescent="0.25">
      <c r="A825562" s="242"/>
    </row>
    <row r="825563" spans="1:1" x14ac:dyDescent="0.25">
      <c r="A825563" s="242"/>
    </row>
    <row r="825564" spans="1:1" x14ac:dyDescent="0.25">
      <c r="A825564" s="242"/>
    </row>
    <row r="825565" spans="1:1" x14ac:dyDescent="0.25">
      <c r="A825565" s="242"/>
    </row>
    <row r="825566" spans="1:1" x14ac:dyDescent="0.25">
      <c r="A825566" s="242"/>
    </row>
    <row r="825567" spans="1:1" x14ac:dyDescent="0.25">
      <c r="A825567" s="242"/>
    </row>
    <row r="825568" spans="1:1" x14ac:dyDescent="0.25">
      <c r="A825568" s="242"/>
    </row>
    <row r="825569" spans="1:1" x14ac:dyDescent="0.25">
      <c r="A825569" s="242"/>
    </row>
    <row r="825570" spans="1:1" x14ac:dyDescent="0.25">
      <c r="A825570" s="242"/>
    </row>
    <row r="825571" spans="1:1" x14ac:dyDescent="0.25">
      <c r="A825571" s="242"/>
    </row>
    <row r="825572" spans="1:1" x14ac:dyDescent="0.25">
      <c r="A825572" s="242"/>
    </row>
    <row r="825573" spans="1:1" x14ac:dyDescent="0.25">
      <c r="A825573" s="242"/>
    </row>
    <row r="825574" spans="1:1" x14ac:dyDescent="0.25">
      <c r="A825574" s="242"/>
    </row>
    <row r="825575" spans="1:1" x14ac:dyDescent="0.25">
      <c r="A825575" s="242"/>
    </row>
    <row r="825576" spans="1:1" x14ac:dyDescent="0.25">
      <c r="A825576" s="242"/>
    </row>
    <row r="825577" spans="1:1" x14ac:dyDescent="0.25">
      <c r="A825577" s="242"/>
    </row>
    <row r="825578" spans="1:1" x14ac:dyDescent="0.25">
      <c r="A825578" s="242"/>
    </row>
    <row r="825579" spans="1:1" x14ac:dyDescent="0.25">
      <c r="A825579" s="242"/>
    </row>
    <row r="825580" spans="1:1" x14ac:dyDescent="0.25">
      <c r="A825580" s="242"/>
    </row>
    <row r="825581" spans="1:1" x14ac:dyDescent="0.25">
      <c r="A825581" s="242"/>
    </row>
    <row r="825582" spans="1:1" x14ac:dyDescent="0.25">
      <c r="A825582" s="242"/>
    </row>
    <row r="825583" spans="1:1" x14ac:dyDescent="0.25">
      <c r="A825583" s="242"/>
    </row>
    <row r="825584" spans="1:1" x14ac:dyDescent="0.25">
      <c r="A825584" s="242"/>
    </row>
    <row r="825585" spans="1:1" x14ac:dyDescent="0.25">
      <c r="A825585" s="242"/>
    </row>
    <row r="825586" spans="1:1" x14ac:dyDescent="0.25">
      <c r="A825586" s="242"/>
    </row>
    <row r="825587" spans="1:1" x14ac:dyDescent="0.25">
      <c r="A825587" s="242"/>
    </row>
    <row r="825588" spans="1:1" x14ac:dyDescent="0.25">
      <c r="A825588" s="242"/>
    </row>
    <row r="825589" spans="1:1" x14ac:dyDescent="0.25">
      <c r="A825589" s="242"/>
    </row>
    <row r="825590" spans="1:1" x14ac:dyDescent="0.25">
      <c r="A825590" s="242"/>
    </row>
    <row r="825591" spans="1:1" x14ac:dyDescent="0.25">
      <c r="A825591" s="242"/>
    </row>
    <row r="825592" spans="1:1" x14ac:dyDescent="0.25">
      <c r="A825592" s="242"/>
    </row>
    <row r="825593" spans="1:1" x14ac:dyDescent="0.25">
      <c r="A825593" s="242"/>
    </row>
    <row r="825594" spans="1:1" x14ac:dyDescent="0.25">
      <c r="A825594" s="242"/>
    </row>
    <row r="825595" spans="1:1" x14ac:dyDescent="0.25">
      <c r="A825595" s="242"/>
    </row>
    <row r="825596" spans="1:1" x14ac:dyDescent="0.25">
      <c r="A825596" s="242"/>
    </row>
    <row r="825597" spans="1:1" x14ac:dyDescent="0.25">
      <c r="A825597" s="242"/>
    </row>
    <row r="825598" spans="1:1" x14ac:dyDescent="0.25">
      <c r="A825598" s="242"/>
    </row>
    <row r="825599" spans="1:1" x14ac:dyDescent="0.25">
      <c r="A825599" s="242"/>
    </row>
    <row r="825600" spans="1:1" x14ac:dyDescent="0.25">
      <c r="A825600" s="242"/>
    </row>
    <row r="825601" spans="1:1" x14ac:dyDescent="0.25">
      <c r="A825601" s="242"/>
    </row>
    <row r="825602" spans="1:1" x14ac:dyDescent="0.25">
      <c r="A825602" s="242"/>
    </row>
    <row r="825603" spans="1:1" x14ac:dyDescent="0.25">
      <c r="A825603" s="242"/>
    </row>
    <row r="825604" spans="1:1" x14ac:dyDescent="0.25">
      <c r="A825604" s="242"/>
    </row>
    <row r="825605" spans="1:1" x14ac:dyDescent="0.25">
      <c r="A825605" s="242"/>
    </row>
    <row r="825606" spans="1:1" x14ac:dyDescent="0.25">
      <c r="A825606" s="242"/>
    </row>
    <row r="825607" spans="1:1" x14ac:dyDescent="0.25">
      <c r="A825607" s="242"/>
    </row>
    <row r="825608" spans="1:1" x14ac:dyDescent="0.25">
      <c r="A825608" s="242"/>
    </row>
    <row r="825609" spans="1:1" x14ac:dyDescent="0.25">
      <c r="A825609" s="242"/>
    </row>
    <row r="825610" spans="1:1" x14ac:dyDescent="0.25">
      <c r="A825610" s="242"/>
    </row>
    <row r="825611" spans="1:1" x14ac:dyDescent="0.25">
      <c r="A825611" s="242"/>
    </row>
    <row r="825612" spans="1:1" x14ac:dyDescent="0.25">
      <c r="A825612" s="242"/>
    </row>
    <row r="825613" spans="1:1" x14ac:dyDescent="0.25">
      <c r="A825613" s="242"/>
    </row>
    <row r="825614" spans="1:1" x14ac:dyDescent="0.25">
      <c r="A825614" s="242"/>
    </row>
    <row r="825615" spans="1:1" x14ac:dyDescent="0.25">
      <c r="A825615" s="242"/>
    </row>
    <row r="825616" spans="1:1" x14ac:dyDescent="0.25">
      <c r="A825616" s="242"/>
    </row>
    <row r="825617" spans="1:1" x14ac:dyDescent="0.25">
      <c r="A825617" s="242"/>
    </row>
    <row r="825618" spans="1:1" x14ac:dyDescent="0.25">
      <c r="A825618" s="242"/>
    </row>
    <row r="825619" spans="1:1" x14ac:dyDescent="0.25">
      <c r="A825619" s="242"/>
    </row>
    <row r="825620" spans="1:1" x14ac:dyDescent="0.25">
      <c r="A825620" s="242"/>
    </row>
    <row r="825621" spans="1:1" x14ac:dyDescent="0.25">
      <c r="A825621" s="242"/>
    </row>
    <row r="825622" spans="1:1" x14ac:dyDescent="0.25">
      <c r="A825622" s="242"/>
    </row>
    <row r="825623" spans="1:1" x14ac:dyDescent="0.25">
      <c r="A825623" s="242"/>
    </row>
    <row r="825624" spans="1:1" x14ac:dyDescent="0.25">
      <c r="A825624" s="242"/>
    </row>
    <row r="825625" spans="1:1" x14ac:dyDescent="0.25">
      <c r="A825625" s="242"/>
    </row>
    <row r="825626" spans="1:1" x14ac:dyDescent="0.25">
      <c r="A825626" s="242"/>
    </row>
    <row r="825627" spans="1:1" x14ac:dyDescent="0.25">
      <c r="A825627" s="242"/>
    </row>
    <row r="825628" spans="1:1" x14ac:dyDescent="0.25">
      <c r="A825628" s="242"/>
    </row>
    <row r="825629" spans="1:1" x14ac:dyDescent="0.25">
      <c r="A825629" s="242"/>
    </row>
    <row r="825630" spans="1:1" x14ac:dyDescent="0.25">
      <c r="A825630" s="242"/>
    </row>
    <row r="825631" spans="1:1" x14ac:dyDescent="0.25">
      <c r="A825631" s="242"/>
    </row>
    <row r="825632" spans="1:1" x14ac:dyDescent="0.25">
      <c r="A825632" s="242"/>
    </row>
    <row r="825633" spans="1:1" x14ac:dyDescent="0.25">
      <c r="A825633" s="242"/>
    </row>
    <row r="825634" spans="1:1" x14ac:dyDescent="0.25">
      <c r="A825634" s="242"/>
    </row>
    <row r="825635" spans="1:1" x14ac:dyDescent="0.25">
      <c r="A825635" s="242"/>
    </row>
    <row r="825636" spans="1:1" x14ac:dyDescent="0.25">
      <c r="A825636" s="242"/>
    </row>
    <row r="825637" spans="1:1" x14ac:dyDescent="0.25">
      <c r="A825637" s="242"/>
    </row>
    <row r="825638" spans="1:1" x14ac:dyDescent="0.25">
      <c r="A825638" s="242"/>
    </row>
    <row r="825639" spans="1:1" x14ac:dyDescent="0.25">
      <c r="A825639" s="242"/>
    </row>
    <row r="825640" spans="1:1" x14ac:dyDescent="0.25">
      <c r="A825640" s="242"/>
    </row>
    <row r="825641" spans="1:1" x14ac:dyDescent="0.25">
      <c r="A825641" s="242"/>
    </row>
    <row r="825642" spans="1:1" x14ac:dyDescent="0.25">
      <c r="A825642" s="242"/>
    </row>
    <row r="825643" spans="1:1" x14ac:dyDescent="0.25">
      <c r="A825643" s="242"/>
    </row>
    <row r="825644" spans="1:1" x14ac:dyDescent="0.25">
      <c r="A825644" s="242"/>
    </row>
    <row r="825645" spans="1:1" x14ac:dyDescent="0.25">
      <c r="A825645" s="242"/>
    </row>
    <row r="825646" spans="1:1" x14ac:dyDescent="0.25">
      <c r="A825646" s="242"/>
    </row>
    <row r="825647" spans="1:1" x14ac:dyDescent="0.25">
      <c r="A825647" s="242"/>
    </row>
    <row r="825648" spans="1:1" x14ac:dyDescent="0.25">
      <c r="A825648" s="242"/>
    </row>
    <row r="825649" spans="1:1" x14ac:dyDescent="0.25">
      <c r="A825649" s="242"/>
    </row>
    <row r="825650" spans="1:1" x14ac:dyDescent="0.25">
      <c r="A825650" s="242"/>
    </row>
    <row r="825651" spans="1:1" x14ac:dyDescent="0.25">
      <c r="A825651" s="242"/>
    </row>
    <row r="825652" spans="1:1" x14ac:dyDescent="0.25">
      <c r="A825652" s="242"/>
    </row>
    <row r="825653" spans="1:1" x14ac:dyDescent="0.25">
      <c r="A825653" s="242"/>
    </row>
    <row r="825654" spans="1:1" x14ac:dyDescent="0.25">
      <c r="A825654" s="242"/>
    </row>
    <row r="825655" spans="1:1" x14ac:dyDescent="0.25">
      <c r="A825655" s="242"/>
    </row>
    <row r="825656" spans="1:1" x14ac:dyDescent="0.25">
      <c r="A825656" s="242"/>
    </row>
    <row r="825657" spans="1:1" x14ac:dyDescent="0.25">
      <c r="A825657" s="242"/>
    </row>
    <row r="825658" spans="1:1" x14ac:dyDescent="0.25">
      <c r="A825658" s="242"/>
    </row>
    <row r="825659" spans="1:1" x14ac:dyDescent="0.25">
      <c r="A825659" s="242"/>
    </row>
    <row r="825660" spans="1:1" x14ac:dyDescent="0.25">
      <c r="A825660" s="242"/>
    </row>
    <row r="825661" spans="1:1" x14ac:dyDescent="0.25">
      <c r="A825661" s="242"/>
    </row>
    <row r="825662" spans="1:1" x14ac:dyDescent="0.25">
      <c r="A825662" s="242"/>
    </row>
    <row r="825663" spans="1:1" x14ac:dyDescent="0.25">
      <c r="A825663" s="242"/>
    </row>
    <row r="825664" spans="1:1" x14ac:dyDescent="0.25">
      <c r="A825664" s="242"/>
    </row>
    <row r="825665" spans="1:1" x14ac:dyDescent="0.25">
      <c r="A825665" s="242"/>
    </row>
    <row r="825666" spans="1:1" x14ac:dyDescent="0.25">
      <c r="A825666" s="242"/>
    </row>
    <row r="825667" spans="1:1" x14ac:dyDescent="0.25">
      <c r="A825667" s="242"/>
    </row>
    <row r="825668" spans="1:1" x14ac:dyDescent="0.25">
      <c r="A825668" s="242"/>
    </row>
    <row r="825669" spans="1:1" x14ac:dyDescent="0.25">
      <c r="A825669" s="242"/>
    </row>
    <row r="825670" spans="1:1" x14ac:dyDescent="0.25">
      <c r="A825670" s="242"/>
    </row>
    <row r="825671" spans="1:1" x14ac:dyDescent="0.25">
      <c r="A825671" s="242"/>
    </row>
    <row r="825672" spans="1:1" x14ac:dyDescent="0.25">
      <c r="A825672" s="242"/>
    </row>
    <row r="825673" spans="1:1" x14ac:dyDescent="0.25">
      <c r="A825673" s="242"/>
    </row>
    <row r="825674" spans="1:1" x14ac:dyDescent="0.25">
      <c r="A825674" s="242"/>
    </row>
    <row r="825675" spans="1:1" x14ac:dyDescent="0.25">
      <c r="A825675" s="242"/>
    </row>
    <row r="825676" spans="1:1" x14ac:dyDescent="0.25">
      <c r="A825676" s="242"/>
    </row>
    <row r="825677" spans="1:1" x14ac:dyDescent="0.25">
      <c r="A825677" s="242"/>
    </row>
    <row r="825678" spans="1:1" x14ac:dyDescent="0.25">
      <c r="A825678" s="242"/>
    </row>
    <row r="825679" spans="1:1" x14ac:dyDescent="0.25">
      <c r="A825679" s="242"/>
    </row>
    <row r="825680" spans="1:1" x14ac:dyDescent="0.25">
      <c r="A825680" s="242"/>
    </row>
    <row r="825681" spans="1:1" x14ac:dyDescent="0.25">
      <c r="A825681" s="242"/>
    </row>
    <row r="825682" spans="1:1" x14ac:dyDescent="0.25">
      <c r="A825682" s="242"/>
    </row>
    <row r="825683" spans="1:1" x14ac:dyDescent="0.25">
      <c r="A825683" s="242"/>
    </row>
    <row r="825684" spans="1:1" x14ac:dyDescent="0.25">
      <c r="A825684" s="242"/>
    </row>
    <row r="825685" spans="1:1" x14ac:dyDescent="0.25">
      <c r="A825685" s="242"/>
    </row>
    <row r="825686" spans="1:1" x14ac:dyDescent="0.25">
      <c r="A825686" s="242"/>
    </row>
    <row r="825687" spans="1:1" x14ac:dyDescent="0.25">
      <c r="A825687" s="242"/>
    </row>
    <row r="825688" spans="1:1" x14ac:dyDescent="0.25">
      <c r="A825688" s="242"/>
    </row>
    <row r="825689" spans="1:1" x14ac:dyDescent="0.25">
      <c r="A825689" s="242"/>
    </row>
    <row r="825690" spans="1:1" x14ac:dyDescent="0.25">
      <c r="A825690" s="242"/>
    </row>
    <row r="825691" spans="1:1" x14ac:dyDescent="0.25">
      <c r="A825691" s="242"/>
    </row>
    <row r="825692" spans="1:1" x14ac:dyDescent="0.25">
      <c r="A825692" s="242"/>
    </row>
    <row r="825693" spans="1:1" x14ac:dyDescent="0.25">
      <c r="A825693" s="242"/>
    </row>
    <row r="825694" spans="1:1" x14ac:dyDescent="0.25">
      <c r="A825694" s="242"/>
    </row>
    <row r="825695" spans="1:1" x14ac:dyDescent="0.25">
      <c r="A825695" s="242"/>
    </row>
    <row r="825696" spans="1:1" x14ac:dyDescent="0.25">
      <c r="A825696" s="242"/>
    </row>
    <row r="825697" spans="1:1" x14ac:dyDescent="0.25">
      <c r="A825697" s="242"/>
    </row>
    <row r="825698" spans="1:1" x14ac:dyDescent="0.25">
      <c r="A825698" s="242"/>
    </row>
    <row r="825699" spans="1:1" x14ac:dyDescent="0.25">
      <c r="A825699" s="242"/>
    </row>
    <row r="825700" spans="1:1" x14ac:dyDescent="0.25">
      <c r="A825700" s="242"/>
    </row>
    <row r="825701" spans="1:1" x14ac:dyDescent="0.25">
      <c r="A825701" s="242"/>
    </row>
    <row r="825702" spans="1:1" x14ac:dyDescent="0.25">
      <c r="A825702" s="242"/>
    </row>
    <row r="825703" spans="1:1" x14ac:dyDescent="0.25">
      <c r="A825703" s="242"/>
    </row>
    <row r="825704" spans="1:1" x14ac:dyDescent="0.25">
      <c r="A825704" s="242"/>
    </row>
    <row r="825705" spans="1:1" x14ac:dyDescent="0.25">
      <c r="A825705" s="242"/>
    </row>
    <row r="825706" spans="1:1" x14ac:dyDescent="0.25">
      <c r="A825706" s="242"/>
    </row>
    <row r="825707" spans="1:1" x14ac:dyDescent="0.25">
      <c r="A825707" s="242"/>
    </row>
    <row r="825708" spans="1:1" x14ac:dyDescent="0.25">
      <c r="A825708" s="242"/>
    </row>
    <row r="825709" spans="1:1" x14ac:dyDescent="0.25">
      <c r="A825709" s="242"/>
    </row>
    <row r="825710" spans="1:1" x14ac:dyDescent="0.25">
      <c r="A825710" s="242"/>
    </row>
    <row r="825711" spans="1:1" x14ac:dyDescent="0.25">
      <c r="A825711" s="242"/>
    </row>
    <row r="825712" spans="1:1" x14ac:dyDescent="0.25">
      <c r="A825712" s="242"/>
    </row>
    <row r="825713" spans="1:1" x14ac:dyDescent="0.25">
      <c r="A825713" s="242"/>
    </row>
    <row r="825714" spans="1:1" x14ac:dyDescent="0.25">
      <c r="A825714" s="242"/>
    </row>
    <row r="825715" spans="1:1" x14ac:dyDescent="0.25">
      <c r="A825715" s="242"/>
    </row>
    <row r="825716" spans="1:1" x14ac:dyDescent="0.25">
      <c r="A825716" s="242"/>
    </row>
    <row r="825717" spans="1:1" x14ac:dyDescent="0.25">
      <c r="A825717" s="242"/>
    </row>
    <row r="825718" spans="1:1" x14ac:dyDescent="0.25">
      <c r="A825718" s="242"/>
    </row>
    <row r="825719" spans="1:1" x14ac:dyDescent="0.25">
      <c r="A825719" s="242"/>
    </row>
    <row r="825720" spans="1:1" x14ac:dyDescent="0.25">
      <c r="A825720" s="242"/>
    </row>
    <row r="825721" spans="1:1" x14ac:dyDescent="0.25">
      <c r="A825721" s="242"/>
    </row>
    <row r="825722" spans="1:1" x14ac:dyDescent="0.25">
      <c r="A825722" s="242"/>
    </row>
    <row r="825723" spans="1:1" x14ac:dyDescent="0.25">
      <c r="A825723" s="242"/>
    </row>
    <row r="825724" spans="1:1" x14ac:dyDescent="0.25">
      <c r="A825724" s="242"/>
    </row>
    <row r="825725" spans="1:1" x14ac:dyDescent="0.25">
      <c r="A825725" s="242"/>
    </row>
    <row r="825726" spans="1:1" x14ac:dyDescent="0.25">
      <c r="A825726" s="242"/>
    </row>
    <row r="825727" spans="1:1" x14ac:dyDescent="0.25">
      <c r="A825727" s="242"/>
    </row>
    <row r="825728" spans="1:1" x14ac:dyDescent="0.25">
      <c r="A825728" s="242"/>
    </row>
    <row r="825729" spans="1:1" x14ac:dyDescent="0.25">
      <c r="A825729" s="242"/>
    </row>
    <row r="825730" spans="1:1" x14ac:dyDescent="0.25">
      <c r="A825730" s="242"/>
    </row>
    <row r="825731" spans="1:1" x14ac:dyDescent="0.25">
      <c r="A825731" s="242"/>
    </row>
    <row r="825732" spans="1:1" x14ac:dyDescent="0.25">
      <c r="A825732" s="242"/>
    </row>
    <row r="825733" spans="1:1" x14ac:dyDescent="0.25">
      <c r="A825733" s="242"/>
    </row>
    <row r="825734" spans="1:1" x14ac:dyDescent="0.25">
      <c r="A825734" s="242"/>
    </row>
    <row r="825735" spans="1:1" x14ac:dyDescent="0.25">
      <c r="A825735" s="242"/>
    </row>
    <row r="825736" spans="1:1" x14ac:dyDescent="0.25">
      <c r="A825736" s="242"/>
    </row>
    <row r="825737" spans="1:1" x14ac:dyDescent="0.25">
      <c r="A825737" s="242"/>
    </row>
    <row r="825738" spans="1:1" x14ac:dyDescent="0.25">
      <c r="A825738" s="242"/>
    </row>
    <row r="825739" spans="1:1" x14ac:dyDescent="0.25">
      <c r="A825739" s="242"/>
    </row>
    <row r="825740" spans="1:1" x14ac:dyDescent="0.25">
      <c r="A825740" s="242"/>
    </row>
    <row r="825741" spans="1:1" x14ac:dyDescent="0.25">
      <c r="A825741" s="242"/>
    </row>
    <row r="825742" spans="1:1" x14ac:dyDescent="0.25">
      <c r="A825742" s="242"/>
    </row>
    <row r="825743" spans="1:1" x14ac:dyDescent="0.25">
      <c r="A825743" s="242"/>
    </row>
    <row r="825744" spans="1:1" x14ac:dyDescent="0.25">
      <c r="A825744" s="242"/>
    </row>
    <row r="825745" spans="1:1" x14ac:dyDescent="0.25">
      <c r="A825745" s="242"/>
    </row>
    <row r="825746" spans="1:1" x14ac:dyDescent="0.25">
      <c r="A825746" s="242"/>
    </row>
    <row r="825747" spans="1:1" x14ac:dyDescent="0.25">
      <c r="A825747" s="242"/>
    </row>
    <row r="825748" spans="1:1" x14ac:dyDescent="0.25">
      <c r="A825748" s="242"/>
    </row>
    <row r="825749" spans="1:1" x14ac:dyDescent="0.25">
      <c r="A825749" s="242"/>
    </row>
    <row r="825750" spans="1:1" x14ac:dyDescent="0.25">
      <c r="A825750" s="242"/>
    </row>
    <row r="825751" spans="1:1" x14ac:dyDescent="0.25">
      <c r="A825751" s="242"/>
    </row>
    <row r="825752" spans="1:1" x14ac:dyDescent="0.25">
      <c r="A825752" s="242"/>
    </row>
    <row r="825753" spans="1:1" x14ac:dyDescent="0.25">
      <c r="A825753" s="242"/>
    </row>
    <row r="825754" spans="1:1" x14ac:dyDescent="0.25">
      <c r="A825754" s="242"/>
    </row>
    <row r="825755" spans="1:1" x14ac:dyDescent="0.25">
      <c r="A825755" s="242"/>
    </row>
    <row r="825756" spans="1:1" x14ac:dyDescent="0.25">
      <c r="A825756" s="242"/>
    </row>
    <row r="825757" spans="1:1" x14ac:dyDescent="0.25">
      <c r="A825757" s="242"/>
    </row>
    <row r="825758" spans="1:1" x14ac:dyDescent="0.25">
      <c r="A825758" s="242"/>
    </row>
    <row r="825759" spans="1:1" x14ac:dyDescent="0.25">
      <c r="A825759" s="242"/>
    </row>
    <row r="825760" spans="1:1" x14ac:dyDescent="0.25">
      <c r="A825760" s="242"/>
    </row>
    <row r="825761" spans="1:1" x14ac:dyDescent="0.25">
      <c r="A825761" s="242"/>
    </row>
    <row r="825762" spans="1:1" x14ac:dyDescent="0.25">
      <c r="A825762" s="242"/>
    </row>
    <row r="825763" spans="1:1" x14ac:dyDescent="0.25">
      <c r="A825763" s="242"/>
    </row>
    <row r="825764" spans="1:1" x14ac:dyDescent="0.25">
      <c r="A825764" s="242"/>
    </row>
    <row r="825765" spans="1:1" x14ac:dyDescent="0.25">
      <c r="A825765" s="242"/>
    </row>
    <row r="825766" spans="1:1" x14ac:dyDescent="0.25">
      <c r="A825766" s="242"/>
    </row>
    <row r="825767" spans="1:1" x14ac:dyDescent="0.25">
      <c r="A825767" s="242"/>
    </row>
    <row r="825768" spans="1:1" x14ac:dyDescent="0.25">
      <c r="A825768" s="242"/>
    </row>
    <row r="825769" spans="1:1" x14ac:dyDescent="0.25">
      <c r="A825769" s="242"/>
    </row>
    <row r="825770" spans="1:1" x14ac:dyDescent="0.25">
      <c r="A825770" s="242"/>
    </row>
    <row r="825771" spans="1:1" x14ac:dyDescent="0.25">
      <c r="A825771" s="242"/>
    </row>
    <row r="825772" spans="1:1" x14ac:dyDescent="0.25">
      <c r="A825772" s="242"/>
    </row>
    <row r="825773" spans="1:1" x14ac:dyDescent="0.25">
      <c r="A825773" s="242"/>
    </row>
    <row r="825774" spans="1:1" x14ac:dyDescent="0.25">
      <c r="A825774" s="242"/>
    </row>
    <row r="825775" spans="1:1" x14ac:dyDescent="0.25">
      <c r="A825775" s="242"/>
    </row>
    <row r="825776" spans="1:1" x14ac:dyDescent="0.25">
      <c r="A825776" s="242"/>
    </row>
    <row r="825777" spans="1:1" x14ac:dyDescent="0.25">
      <c r="A825777" s="242"/>
    </row>
    <row r="825778" spans="1:1" x14ac:dyDescent="0.25">
      <c r="A825778" s="242"/>
    </row>
    <row r="825779" spans="1:1" x14ac:dyDescent="0.25">
      <c r="A825779" s="242"/>
    </row>
    <row r="825780" spans="1:1" x14ac:dyDescent="0.25">
      <c r="A825780" s="242"/>
    </row>
    <row r="825781" spans="1:1" x14ac:dyDescent="0.25">
      <c r="A825781" s="242"/>
    </row>
    <row r="825782" spans="1:1" x14ac:dyDescent="0.25">
      <c r="A825782" s="242"/>
    </row>
    <row r="825783" spans="1:1" x14ac:dyDescent="0.25">
      <c r="A825783" s="242"/>
    </row>
    <row r="825784" spans="1:1" x14ac:dyDescent="0.25">
      <c r="A825784" s="242"/>
    </row>
    <row r="825785" spans="1:1" x14ac:dyDescent="0.25">
      <c r="A825785" s="242"/>
    </row>
    <row r="825786" spans="1:1" x14ac:dyDescent="0.25">
      <c r="A825786" s="242"/>
    </row>
    <row r="825787" spans="1:1" x14ac:dyDescent="0.25">
      <c r="A825787" s="242"/>
    </row>
    <row r="825788" spans="1:1" x14ac:dyDescent="0.25">
      <c r="A825788" s="242"/>
    </row>
    <row r="825789" spans="1:1" x14ac:dyDescent="0.25">
      <c r="A825789" s="242"/>
    </row>
    <row r="825790" spans="1:1" x14ac:dyDescent="0.25">
      <c r="A825790" s="242"/>
    </row>
    <row r="825791" spans="1:1" x14ac:dyDescent="0.25">
      <c r="A825791" s="242"/>
    </row>
    <row r="825792" spans="1:1" x14ac:dyDescent="0.25">
      <c r="A825792" s="242"/>
    </row>
    <row r="825793" spans="1:1" x14ac:dyDescent="0.25">
      <c r="A825793" s="242"/>
    </row>
    <row r="825794" spans="1:1" x14ac:dyDescent="0.25">
      <c r="A825794" s="242"/>
    </row>
    <row r="825795" spans="1:1" x14ac:dyDescent="0.25">
      <c r="A825795" s="242"/>
    </row>
    <row r="825796" spans="1:1" x14ac:dyDescent="0.25">
      <c r="A825796" s="242"/>
    </row>
    <row r="825797" spans="1:1" x14ac:dyDescent="0.25">
      <c r="A825797" s="242"/>
    </row>
    <row r="825798" spans="1:1" x14ac:dyDescent="0.25">
      <c r="A825798" s="242"/>
    </row>
    <row r="825799" spans="1:1" x14ac:dyDescent="0.25">
      <c r="A825799" s="242"/>
    </row>
    <row r="825800" spans="1:1" x14ac:dyDescent="0.25">
      <c r="A825800" s="242"/>
    </row>
    <row r="825801" spans="1:1" x14ac:dyDescent="0.25">
      <c r="A825801" s="242"/>
    </row>
    <row r="825802" spans="1:1" x14ac:dyDescent="0.25">
      <c r="A825802" s="242"/>
    </row>
    <row r="825803" spans="1:1" x14ac:dyDescent="0.25">
      <c r="A825803" s="242"/>
    </row>
    <row r="825804" spans="1:1" x14ac:dyDescent="0.25">
      <c r="A825804" s="242"/>
    </row>
    <row r="825805" spans="1:1" x14ac:dyDescent="0.25">
      <c r="A825805" s="242"/>
    </row>
    <row r="825806" spans="1:1" x14ac:dyDescent="0.25">
      <c r="A825806" s="242"/>
    </row>
    <row r="825807" spans="1:1" x14ac:dyDescent="0.25">
      <c r="A825807" s="242"/>
    </row>
    <row r="825808" spans="1:1" x14ac:dyDescent="0.25">
      <c r="A825808" s="242"/>
    </row>
    <row r="825809" spans="1:1" x14ac:dyDescent="0.25">
      <c r="A825809" s="242"/>
    </row>
    <row r="825810" spans="1:1" x14ac:dyDescent="0.25">
      <c r="A825810" s="242"/>
    </row>
    <row r="825811" spans="1:1" x14ac:dyDescent="0.25">
      <c r="A825811" s="242"/>
    </row>
    <row r="825812" spans="1:1" x14ac:dyDescent="0.25">
      <c r="A825812" s="242"/>
    </row>
    <row r="825813" spans="1:1" x14ac:dyDescent="0.25">
      <c r="A825813" s="242"/>
    </row>
    <row r="825814" spans="1:1" x14ac:dyDescent="0.25">
      <c r="A825814" s="242"/>
    </row>
    <row r="825815" spans="1:1" x14ac:dyDescent="0.25">
      <c r="A825815" s="242"/>
    </row>
    <row r="825816" spans="1:1" x14ac:dyDescent="0.25">
      <c r="A825816" s="242"/>
    </row>
    <row r="825817" spans="1:1" x14ac:dyDescent="0.25">
      <c r="A825817" s="242"/>
    </row>
    <row r="825818" spans="1:1" x14ac:dyDescent="0.25">
      <c r="A825818" s="242"/>
    </row>
    <row r="825819" spans="1:1" x14ac:dyDescent="0.25">
      <c r="A825819" s="242"/>
    </row>
    <row r="825820" spans="1:1" x14ac:dyDescent="0.25">
      <c r="A825820" s="242"/>
    </row>
    <row r="825821" spans="1:1" x14ac:dyDescent="0.25">
      <c r="A825821" s="242"/>
    </row>
    <row r="825822" spans="1:1" x14ac:dyDescent="0.25">
      <c r="A825822" s="242"/>
    </row>
    <row r="825823" spans="1:1" x14ac:dyDescent="0.25">
      <c r="A825823" s="242"/>
    </row>
    <row r="825824" spans="1:1" x14ac:dyDescent="0.25">
      <c r="A825824" s="242"/>
    </row>
    <row r="825825" spans="1:1" x14ac:dyDescent="0.25">
      <c r="A825825" s="242"/>
    </row>
    <row r="825826" spans="1:1" x14ac:dyDescent="0.25">
      <c r="A825826" s="242"/>
    </row>
    <row r="825827" spans="1:1" x14ac:dyDescent="0.25">
      <c r="A825827" s="242"/>
    </row>
    <row r="825828" spans="1:1" x14ac:dyDescent="0.25">
      <c r="A825828" s="242"/>
    </row>
    <row r="825829" spans="1:1" x14ac:dyDescent="0.25">
      <c r="A825829" s="242"/>
    </row>
    <row r="825830" spans="1:1" x14ac:dyDescent="0.25">
      <c r="A825830" s="242"/>
    </row>
    <row r="825831" spans="1:1" x14ac:dyDescent="0.25">
      <c r="A825831" s="242"/>
    </row>
    <row r="825832" spans="1:1" x14ac:dyDescent="0.25">
      <c r="A825832" s="242"/>
    </row>
    <row r="825833" spans="1:1" x14ac:dyDescent="0.25">
      <c r="A825833" s="242"/>
    </row>
    <row r="825834" spans="1:1" x14ac:dyDescent="0.25">
      <c r="A825834" s="242"/>
    </row>
    <row r="825835" spans="1:1" x14ac:dyDescent="0.25">
      <c r="A825835" s="242"/>
    </row>
    <row r="825836" spans="1:1" x14ac:dyDescent="0.25">
      <c r="A825836" s="242"/>
    </row>
    <row r="825837" spans="1:1" x14ac:dyDescent="0.25">
      <c r="A825837" s="242"/>
    </row>
    <row r="825838" spans="1:1" x14ac:dyDescent="0.25">
      <c r="A825838" s="242"/>
    </row>
    <row r="825839" spans="1:1" x14ac:dyDescent="0.25">
      <c r="A825839" s="242"/>
    </row>
    <row r="825840" spans="1:1" x14ac:dyDescent="0.25">
      <c r="A825840" s="242"/>
    </row>
    <row r="825841" spans="1:1" x14ac:dyDescent="0.25">
      <c r="A825841" s="242"/>
    </row>
    <row r="825842" spans="1:1" x14ac:dyDescent="0.25">
      <c r="A825842" s="242"/>
    </row>
    <row r="825843" spans="1:1" x14ac:dyDescent="0.25">
      <c r="A825843" s="242"/>
    </row>
    <row r="825844" spans="1:1" x14ac:dyDescent="0.25">
      <c r="A825844" s="242"/>
    </row>
    <row r="825845" spans="1:1" x14ac:dyDescent="0.25">
      <c r="A825845" s="242"/>
    </row>
    <row r="825846" spans="1:1" x14ac:dyDescent="0.25">
      <c r="A825846" s="242"/>
    </row>
    <row r="825847" spans="1:1" x14ac:dyDescent="0.25">
      <c r="A825847" s="242"/>
    </row>
    <row r="825848" spans="1:1" x14ac:dyDescent="0.25">
      <c r="A825848" s="242"/>
    </row>
    <row r="825849" spans="1:1" x14ac:dyDescent="0.25">
      <c r="A825849" s="242"/>
    </row>
    <row r="825850" spans="1:1" x14ac:dyDescent="0.25">
      <c r="A825850" s="242"/>
    </row>
    <row r="825851" spans="1:1" x14ac:dyDescent="0.25">
      <c r="A825851" s="242"/>
    </row>
    <row r="825852" spans="1:1" x14ac:dyDescent="0.25">
      <c r="A825852" s="242"/>
    </row>
    <row r="825853" spans="1:1" x14ac:dyDescent="0.25">
      <c r="A825853" s="242"/>
    </row>
    <row r="825854" spans="1:1" x14ac:dyDescent="0.25">
      <c r="A825854" s="242"/>
    </row>
    <row r="825855" spans="1:1" x14ac:dyDescent="0.25">
      <c r="A825855" s="242"/>
    </row>
    <row r="825856" spans="1:1" x14ac:dyDescent="0.25">
      <c r="A825856" s="242"/>
    </row>
    <row r="825857" spans="1:1" x14ac:dyDescent="0.25">
      <c r="A825857" s="242"/>
    </row>
    <row r="825858" spans="1:1" x14ac:dyDescent="0.25">
      <c r="A825858" s="242"/>
    </row>
    <row r="825859" spans="1:1" x14ac:dyDescent="0.25">
      <c r="A825859" s="242"/>
    </row>
    <row r="825860" spans="1:1" x14ac:dyDescent="0.25">
      <c r="A825860" s="242"/>
    </row>
    <row r="825861" spans="1:1" x14ac:dyDescent="0.25">
      <c r="A825861" s="242"/>
    </row>
    <row r="825862" spans="1:1" x14ac:dyDescent="0.25">
      <c r="A825862" s="242"/>
    </row>
    <row r="825863" spans="1:1" x14ac:dyDescent="0.25">
      <c r="A825863" s="242"/>
    </row>
    <row r="825864" spans="1:1" x14ac:dyDescent="0.25">
      <c r="A825864" s="242"/>
    </row>
    <row r="825865" spans="1:1" x14ac:dyDescent="0.25">
      <c r="A825865" s="242"/>
    </row>
    <row r="825866" spans="1:1" x14ac:dyDescent="0.25">
      <c r="A825866" s="242"/>
    </row>
    <row r="825867" spans="1:1" x14ac:dyDescent="0.25">
      <c r="A825867" s="242"/>
    </row>
    <row r="825868" spans="1:1" x14ac:dyDescent="0.25">
      <c r="A825868" s="242"/>
    </row>
    <row r="825869" spans="1:1" x14ac:dyDescent="0.25">
      <c r="A825869" s="242"/>
    </row>
    <row r="825870" spans="1:1" x14ac:dyDescent="0.25">
      <c r="A825870" s="242"/>
    </row>
    <row r="825871" spans="1:1" x14ac:dyDescent="0.25">
      <c r="A825871" s="242"/>
    </row>
    <row r="825872" spans="1:1" x14ac:dyDescent="0.25">
      <c r="A825872" s="242"/>
    </row>
    <row r="825873" spans="1:1" x14ac:dyDescent="0.25">
      <c r="A825873" s="242"/>
    </row>
    <row r="825874" spans="1:1" x14ac:dyDescent="0.25">
      <c r="A825874" s="242"/>
    </row>
    <row r="825875" spans="1:1" x14ac:dyDescent="0.25">
      <c r="A825875" s="242"/>
    </row>
    <row r="825876" spans="1:1" x14ac:dyDescent="0.25">
      <c r="A825876" s="242"/>
    </row>
    <row r="825877" spans="1:1" x14ac:dyDescent="0.25">
      <c r="A825877" s="242"/>
    </row>
    <row r="825878" spans="1:1" x14ac:dyDescent="0.25">
      <c r="A825878" s="242"/>
    </row>
    <row r="825879" spans="1:1" x14ac:dyDescent="0.25">
      <c r="A825879" s="242"/>
    </row>
    <row r="825880" spans="1:1" x14ac:dyDescent="0.25">
      <c r="A825880" s="242"/>
    </row>
    <row r="825881" spans="1:1" x14ac:dyDescent="0.25">
      <c r="A825881" s="242"/>
    </row>
    <row r="825882" spans="1:1" x14ac:dyDescent="0.25">
      <c r="A825882" s="242"/>
    </row>
    <row r="825883" spans="1:1" x14ac:dyDescent="0.25">
      <c r="A825883" s="242"/>
    </row>
    <row r="825884" spans="1:1" x14ac:dyDescent="0.25">
      <c r="A825884" s="242"/>
    </row>
    <row r="825885" spans="1:1" x14ac:dyDescent="0.25">
      <c r="A825885" s="242"/>
    </row>
    <row r="825886" spans="1:1" x14ac:dyDescent="0.25">
      <c r="A825886" s="242"/>
    </row>
    <row r="825887" spans="1:1" x14ac:dyDescent="0.25">
      <c r="A825887" s="242"/>
    </row>
    <row r="825888" spans="1:1" x14ac:dyDescent="0.25">
      <c r="A825888" s="242"/>
    </row>
    <row r="825889" spans="1:1" x14ac:dyDescent="0.25">
      <c r="A825889" s="242"/>
    </row>
    <row r="825890" spans="1:1" x14ac:dyDescent="0.25">
      <c r="A825890" s="242"/>
    </row>
    <row r="825891" spans="1:1" x14ac:dyDescent="0.25">
      <c r="A825891" s="242"/>
    </row>
    <row r="825892" spans="1:1" x14ac:dyDescent="0.25">
      <c r="A825892" s="242"/>
    </row>
    <row r="825893" spans="1:1" x14ac:dyDescent="0.25">
      <c r="A825893" s="242"/>
    </row>
    <row r="825894" spans="1:1" x14ac:dyDescent="0.25">
      <c r="A825894" s="242"/>
    </row>
    <row r="825895" spans="1:1" x14ac:dyDescent="0.25">
      <c r="A825895" s="242"/>
    </row>
    <row r="825896" spans="1:1" x14ac:dyDescent="0.25">
      <c r="A825896" s="242"/>
    </row>
    <row r="825897" spans="1:1" x14ac:dyDescent="0.25">
      <c r="A825897" s="242"/>
    </row>
    <row r="825898" spans="1:1" x14ac:dyDescent="0.25">
      <c r="A825898" s="242"/>
    </row>
    <row r="825899" spans="1:1" x14ac:dyDescent="0.25">
      <c r="A825899" s="242"/>
    </row>
    <row r="825900" spans="1:1" x14ac:dyDescent="0.25">
      <c r="A825900" s="242"/>
    </row>
    <row r="825901" spans="1:1" x14ac:dyDescent="0.25">
      <c r="A825901" s="242"/>
    </row>
    <row r="825902" spans="1:1" x14ac:dyDescent="0.25">
      <c r="A825902" s="242"/>
    </row>
    <row r="825903" spans="1:1" x14ac:dyDescent="0.25">
      <c r="A825903" s="242"/>
    </row>
    <row r="825904" spans="1:1" x14ac:dyDescent="0.25">
      <c r="A825904" s="242"/>
    </row>
    <row r="825905" spans="1:1" x14ac:dyDescent="0.25">
      <c r="A825905" s="242"/>
    </row>
    <row r="825906" spans="1:1" x14ac:dyDescent="0.25">
      <c r="A825906" s="242"/>
    </row>
    <row r="825907" spans="1:1" x14ac:dyDescent="0.25">
      <c r="A825907" s="242"/>
    </row>
    <row r="825908" spans="1:1" x14ac:dyDescent="0.25">
      <c r="A825908" s="242"/>
    </row>
    <row r="825909" spans="1:1" x14ac:dyDescent="0.25">
      <c r="A825909" s="242"/>
    </row>
    <row r="825910" spans="1:1" x14ac:dyDescent="0.25">
      <c r="A825910" s="242"/>
    </row>
    <row r="825911" spans="1:1" x14ac:dyDescent="0.25">
      <c r="A825911" s="242"/>
    </row>
    <row r="825912" spans="1:1" x14ac:dyDescent="0.25">
      <c r="A825912" s="242"/>
    </row>
    <row r="825913" spans="1:1" x14ac:dyDescent="0.25">
      <c r="A825913" s="242"/>
    </row>
    <row r="825914" spans="1:1" x14ac:dyDescent="0.25">
      <c r="A825914" s="242"/>
    </row>
    <row r="825915" spans="1:1" x14ac:dyDescent="0.25">
      <c r="A825915" s="242"/>
    </row>
    <row r="825916" spans="1:1" x14ac:dyDescent="0.25">
      <c r="A825916" s="242"/>
    </row>
    <row r="825917" spans="1:1" x14ac:dyDescent="0.25">
      <c r="A825917" s="242"/>
    </row>
    <row r="825918" spans="1:1" x14ac:dyDescent="0.25">
      <c r="A825918" s="242"/>
    </row>
    <row r="825919" spans="1:1" x14ac:dyDescent="0.25">
      <c r="A825919" s="242"/>
    </row>
    <row r="825920" spans="1:1" x14ac:dyDescent="0.25">
      <c r="A825920" s="242"/>
    </row>
    <row r="825921" spans="1:1" x14ac:dyDescent="0.25">
      <c r="A825921" s="242"/>
    </row>
    <row r="825922" spans="1:1" x14ac:dyDescent="0.25">
      <c r="A825922" s="242"/>
    </row>
    <row r="825923" spans="1:1" x14ac:dyDescent="0.25">
      <c r="A825923" s="242"/>
    </row>
    <row r="825924" spans="1:1" x14ac:dyDescent="0.25">
      <c r="A825924" s="242"/>
    </row>
    <row r="825925" spans="1:1" x14ac:dyDescent="0.25">
      <c r="A825925" s="242"/>
    </row>
    <row r="825926" spans="1:1" x14ac:dyDescent="0.25">
      <c r="A825926" s="242"/>
    </row>
    <row r="825927" spans="1:1" x14ac:dyDescent="0.25">
      <c r="A825927" s="242"/>
    </row>
    <row r="825928" spans="1:1" x14ac:dyDescent="0.25">
      <c r="A825928" s="242"/>
    </row>
    <row r="825929" spans="1:1" x14ac:dyDescent="0.25">
      <c r="A825929" s="242"/>
    </row>
    <row r="825930" spans="1:1" x14ac:dyDescent="0.25">
      <c r="A825930" s="242"/>
    </row>
    <row r="825931" spans="1:1" x14ac:dyDescent="0.25">
      <c r="A825931" s="242"/>
    </row>
    <row r="825932" spans="1:1" x14ac:dyDescent="0.25">
      <c r="A825932" s="242"/>
    </row>
    <row r="825933" spans="1:1" x14ac:dyDescent="0.25">
      <c r="A825933" s="242"/>
    </row>
    <row r="825934" spans="1:1" x14ac:dyDescent="0.25">
      <c r="A825934" s="242"/>
    </row>
    <row r="825935" spans="1:1" x14ac:dyDescent="0.25">
      <c r="A825935" s="242"/>
    </row>
    <row r="825936" spans="1:1" x14ac:dyDescent="0.25">
      <c r="A825936" s="242"/>
    </row>
    <row r="825937" spans="1:1" x14ac:dyDescent="0.25">
      <c r="A825937" s="242"/>
    </row>
    <row r="825938" spans="1:1" x14ac:dyDescent="0.25">
      <c r="A825938" s="242"/>
    </row>
    <row r="825939" spans="1:1" x14ac:dyDescent="0.25">
      <c r="A825939" s="242"/>
    </row>
    <row r="825940" spans="1:1" x14ac:dyDescent="0.25">
      <c r="A825940" s="242"/>
    </row>
    <row r="825941" spans="1:1" x14ac:dyDescent="0.25">
      <c r="A825941" s="242"/>
    </row>
    <row r="825942" spans="1:1" x14ac:dyDescent="0.25">
      <c r="A825942" s="242"/>
    </row>
    <row r="825943" spans="1:1" x14ac:dyDescent="0.25">
      <c r="A825943" s="242"/>
    </row>
    <row r="825944" spans="1:1" x14ac:dyDescent="0.25">
      <c r="A825944" s="242"/>
    </row>
    <row r="825945" spans="1:1" x14ac:dyDescent="0.25">
      <c r="A825945" s="242"/>
    </row>
    <row r="825946" spans="1:1" x14ac:dyDescent="0.25">
      <c r="A825946" s="242"/>
    </row>
    <row r="825947" spans="1:1" x14ac:dyDescent="0.25">
      <c r="A825947" s="242"/>
    </row>
    <row r="825948" spans="1:1" x14ac:dyDescent="0.25">
      <c r="A825948" s="242"/>
    </row>
    <row r="825949" spans="1:1" x14ac:dyDescent="0.25">
      <c r="A825949" s="242"/>
    </row>
    <row r="825950" spans="1:1" x14ac:dyDescent="0.25">
      <c r="A825950" s="242"/>
    </row>
    <row r="825951" spans="1:1" x14ac:dyDescent="0.25">
      <c r="A825951" s="242"/>
    </row>
    <row r="825952" spans="1:1" x14ac:dyDescent="0.25">
      <c r="A825952" s="242"/>
    </row>
    <row r="825953" spans="1:1" x14ac:dyDescent="0.25">
      <c r="A825953" s="242"/>
    </row>
    <row r="825954" spans="1:1" x14ac:dyDescent="0.25">
      <c r="A825954" s="242"/>
    </row>
    <row r="825955" spans="1:1" x14ac:dyDescent="0.25">
      <c r="A825955" s="242"/>
    </row>
    <row r="825956" spans="1:1" x14ac:dyDescent="0.25">
      <c r="A825956" s="242"/>
    </row>
    <row r="825957" spans="1:1" x14ac:dyDescent="0.25">
      <c r="A825957" s="242"/>
    </row>
    <row r="825958" spans="1:1" x14ac:dyDescent="0.25">
      <c r="A825958" s="242"/>
    </row>
    <row r="825959" spans="1:1" x14ac:dyDescent="0.25">
      <c r="A825959" s="242"/>
    </row>
    <row r="825960" spans="1:1" x14ac:dyDescent="0.25">
      <c r="A825960" s="242"/>
    </row>
    <row r="825961" spans="1:1" x14ac:dyDescent="0.25">
      <c r="A825961" s="242"/>
    </row>
    <row r="825962" spans="1:1" x14ac:dyDescent="0.25">
      <c r="A825962" s="242"/>
    </row>
    <row r="825963" spans="1:1" x14ac:dyDescent="0.25">
      <c r="A825963" s="242"/>
    </row>
    <row r="825964" spans="1:1" x14ac:dyDescent="0.25">
      <c r="A825964" s="242"/>
    </row>
    <row r="825965" spans="1:1" x14ac:dyDescent="0.25">
      <c r="A825965" s="242"/>
    </row>
    <row r="825966" spans="1:1" x14ac:dyDescent="0.25">
      <c r="A825966" s="242"/>
    </row>
    <row r="825967" spans="1:1" x14ac:dyDescent="0.25">
      <c r="A825967" s="242"/>
    </row>
    <row r="825968" spans="1:1" x14ac:dyDescent="0.25">
      <c r="A825968" s="242"/>
    </row>
    <row r="825969" spans="1:1" x14ac:dyDescent="0.25">
      <c r="A825969" s="242"/>
    </row>
    <row r="825970" spans="1:1" x14ac:dyDescent="0.25">
      <c r="A825970" s="242"/>
    </row>
    <row r="825971" spans="1:1" x14ac:dyDescent="0.25">
      <c r="A825971" s="242"/>
    </row>
    <row r="825972" spans="1:1" x14ac:dyDescent="0.25">
      <c r="A825972" s="242"/>
    </row>
    <row r="825973" spans="1:1" x14ac:dyDescent="0.25">
      <c r="A825973" s="242"/>
    </row>
    <row r="825974" spans="1:1" x14ac:dyDescent="0.25">
      <c r="A825974" s="242"/>
    </row>
    <row r="825975" spans="1:1" x14ac:dyDescent="0.25">
      <c r="A825975" s="242"/>
    </row>
    <row r="825976" spans="1:1" x14ac:dyDescent="0.25">
      <c r="A825976" s="242"/>
    </row>
    <row r="825977" spans="1:1" x14ac:dyDescent="0.25">
      <c r="A825977" s="242"/>
    </row>
    <row r="825978" spans="1:1" x14ac:dyDescent="0.25">
      <c r="A825978" s="242"/>
    </row>
    <row r="825979" spans="1:1" x14ac:dyDescent="0.25">
      <c r="A825979" s="242"/>
    </row>
    <row r="825980" spans="1:1" x14ac:dyDescent="0.25">
      <c r="A825980" s="242"/>
    </row>
    <row r="825981" spans="1:1" x14ac:dyDescent="0.25">
      <c r="A825981" s="242"/>
    </row>
    <row r="825982" spans="1:1" x14ac:dyDescent="0.25">
      <c r="A825982" s="242"/>
    </row>
    <row r="825983" spans="1:1" x14ac:dyDescent="0.25">
      <c r="A825983" s="242"/>
    </row>
    <row r="825984" spans="1:1" x14ac:dyDescent="0.25">
      <c r="A825984" s="242"/>
    </row>
    <row r="825985" spans="1:1" x14ac:dyDescent="0.25">
      <c r="A825985" s="242"/>
    </row>
    <row r="825986" spans="1:1" x14ac:dyDescent="0.25">
      <c r="A825986" s="242"/>
    </row>
    <row r="825987" spans="1:1" x14ac:dyDescent="0.25">
      <c r="A825987" s="242"/>
    </row>
    <row r="825988" spans="1:1" x14ac:dyDescent="0.25">
      <c r="A825988" s="242"/>
    </row>
    <row r="825989" spans="1:1" x14ac:dyDescent="0.25">
      <c r="A825989" s="242"/>
    </row>
    <row r="825990" spans="1:1" x14ac:dyDescent="0.25">
      <c r="A825990" s="242"/>
    </row>
    <row r="825991" spans="1:1" x14ac:dyDescent="0.25">
      <c r="A825991" s="242"/>
    </row>
    <row r="825992" spans="1:1" x14ac:dyDescent="0.25">
      <c r="A825992" s="242"/>
    </row>
    <row r="825993" spans="1:1" x14ac:dyDescent="0.25">
      <c r="A825993" s="242"/>
    </row>
    <row r="825994" spans="1:1" x14ac:dyDescent="0.25">
      <c r="A825994" s="242"/>
    </row>
    <row r="825995" spans="1:1" x14ac:dyDescent="0.25">
      <c r="A825995" s="242"/>
    </row>
    <row r="825996" spans="1:1" x14ac:dyDescent="0.25">
      <c r="A825996" s="242"/>
    </row>
    <row r="825997" spans="1:1" x14ac:dyDescent="0.25">
      <c r="A825997" s="242"/>
    </row>
    <row r="825998" spans="1:1" x14ac:dyDescent="0.25">
      <c r="A825998" s="242"/>
    </row>
    <row r="825999" spans="1:1" x14ac:dyDescent="0.25">
      <c r="A825999" s="242"/>
    </row>
    <row r="826000" spans="1:1" x14ac:dyDescent="0.25">
      <c r="A826000" s="242"/>
    </row>
    <row r="826001" spans="1:1" x14ac:dyDescent="0.25">
      <c r="A826001" s="242"/>
    </row>
    <row r="826002" spans="1:1" x14ac:dyDescent="0.25">
      <c r="A826002" s="242"/>
    </row>
    <row r="826003" spans="1:1" x14ac:dyDescent="0.25">
      <c r="A826003" s="242"/>
    </row>
    <row r="826004" spans="1:1" x14ac:dyDescent="0.25">
      <c r="A826004" s="242"/>
    </row>
    <row r="826005" spans="1:1" x14ac:dyDescent="0.25">
      <c r="A826005" s="242"/>
    </row>
    <row r="826006" spans="1:1" x14ac:dyDescent="0.25">
      <c r="A826006" s="242"/>
    </row>
    <row r="826007" spans="1:1" x14ac:dyDescent="0.25">
      <c r="A826007" s="242"/>
    </row>
    <row r="826008" spans="1:1" x14ac:dyDescent="0.25">
      <c r="A826008" s="242"/>
    </row>
    <row r="826009" spans="1:1" x14ac:dyDescent="0.25">
      <c r="A826009" s="242"/>
    </row>
    <row r="826010" spans="1:1" x14ac:dyDescent="0.25">
      <c r="A826010" s="242"/>
    </row>
    <row r="826011" spans="1:1" x14ac:dyDescent="0.25">
      <c r="A826011" s="242"/>
    </row>
    <row r="826012" spans="1:1" x14ac:dyDescent="0.25">
      <c r="A826012" s="242"/>
    </row>
    <row r="826013" spans="1:1" x14ac:dyDescent="0.25">
      <c r="A826013" s="242"/>
    </row>
    <row r="826014" spans="1:1" x14ac:dyDescent="0.25">
      <c r="A826014" s="242"/>
    </row>
    <row r="826015" spans="1:1" x14ac:dyDescent="0.25">
      <c r="A826015" s="242"/>
    </row>
    <row r="826016" spans="1:1" x14ac:dyDescent="0.25">
      <c r="A826016" s="242"/>
    </row>
    <row r="826017" spans="1:1" x14ac:dyDescent="0.25">
      <c r="A826017" s="242"/>
    </row>
    <row r="826018" spans="1:1" x14ac:dyDescent="0.25">
      <c r="A826018" s="242"/>
    </row>
    <row r="826019" spans="1:1" x14ac:dyDescent="0.25">
      <c r="A826019" s="242"/>
    </row>
    <row r="826020" spans="1:1" x14ac:dyDescent="0.25">
      <c r="A826020" s="242"/>
    </row>
    <row r="826021" spans="1:1" x14ac:dyDescent="0.25">
      <c r="A826021" s="242"/>
    </row>
    <row r="826022" spans="1:1" x14ac:dyDescent="0.25">
      <c r="A826022" s="242"/>
    </row>
    <row r="826023" spans="1:1" x14ac:dyDescent="0.25">
      <c r="A826023" s="242"/>
    </row>
    <row r="826024" spans="1:1" x14ac:dyDescent="0.25">
      <c r="A826024" s="242"/>
    </row>
    <row r="826025" spans="1:1" x14ac:dyDescent="0.25">
      <c r="A826025" s="242"/>
    </row>
    <row r="826026" spans="1:1" x14ac:dyDescent="0.25">
      <c r="A826026" s="242"/>
    </row>
    <row r="826027" spans="1:1" x14ac:dyDescent="0.25">
      <c r="A826027" s="242"/>
    </row>
    <row r="826028" spans="1:1" x14ac:dyDescent="0.25">
      <c r="A826028" s="242"/>
    </row>
    <row r="826029" spans="1:1" x14ac:dyDescent="0.25">
      <c r="A826029" s="242"/>
    </row>
    <row r="826030" spans="1:1" x14ac:dyDescent="0.25">
      <c r="A826030" s="242"/>
    </row>
    <row r="826031" spans="1:1" x14ac:dyDescent="0.25">
      <c r="A826031" s="242"/>
    </row>
    <row r="826032" spans="1:1" x14ac:dyDescent="0.25">
      <c r="A826032" s="242"/>
    </row>
    <row r="826033" spans="1:1" x14ac:dyDescent="0.25">
      <c r="A826033" s="242"/>
    </row>
    <row r="826034" spans="1:1" x14ac:dyDescent="0.25">
      <c r="A826034" s="242"/>
    </row>
    <row r="826035" spans="1:1" x14ac:dyDescent="0.25">
      <c r="A826035" s="242"/>
    </row>
    <row r="826036" spans="1:1" x14ac:dyDescent="0.25">
      <c r="A826036" s="242"/>
    </row>
    <row r="826037" spans="1:1" x14ac:dyDescent="0.25">
      <c r="A826037" s="242"/>
    </row>
    <row r="826038" spans="1:1" x14ac:dyDescent="0.25">
      <c r="A826038" s="242"/>
    </row>
    <row r="826039" spans="1:1" x14ac:dyDescent="0.25">
      <c r="A826039" s="242"/>
    </row>
    <row r="826040" spans="1:1" x14ac:dyDescent="0.25">
      <c r="A826040" s="242"/>
    </row>
    <row r="826041" spans="1:1" x14ac:dyDescent="0.25">
      <c r="A826041" s="242"/>
    </row>
    <row r="826042" spans="1:1" x14ac:dyDescent="0.25">
      <c r="A826042" s="242"/>
    </row>
    <row r="826043" spans="1:1" x14ac:dyDescent="0.25">
      <c r="A826043" s="242"/>
    </row>
    <row r="826044" spans="1:1" x14ac:dyDescent="0.25">
      <c r="A826044" s="242"/>
    </row>
    <row r="826045" spans="1:1" x14ac:dyDescent="0.25">
      <c r="A826045" s="242"/>
    </row>
    <row r="826046" spans="1:1" x14ac:dyDescent="0.25">
      <c r="A826046" s="242"/>
    </row>
    <row r="826047" spans="1:1" x14ac:dyDescent="0.25">
      <c r="A826047" s="242"/>
    </row>
    <row r="826048" spans="1:1" x14ac:dyDescent="0.25">
      <c r="A826048" s="242"/>
    </row>
    <row r="826049" spans="1:1" x14ac:dyDescent="0.25">
      <c r="A826049" s="242"/>
    </row>
    <row r="826050" spans="1:1" x14ac:dyDescent="0.25">
      <c r="A826050" s="242"/>
    </row>
    <row r="826051" spans="1:1" x14ac:dyDescent="0.25">
      <c r="A826051" s="242"/>
    </row>
    <row r="826052" spans="1:1" x14ac:dyDescent="0.25">
      <c r="A826052" s="242"/>
    </row>
    <row r="826053" spans="1:1" x14ac:dyDescent="0.25">
      <c r="A826053" s="242"/>
    </row>
    <row r="826054" spans="1:1" x14ac:dyDescent="0.25">
      <c r="A826054" s="242"/>
    </row>
    <row r="826055" spans="1:1" x14ac:dyDescent="0.25">
      <c r="A826055" s="242"/>
    </row>
    <row r="826056" spans="1:1" x14ac:dyDescent="0.25">
      <c r="A826056" s="242"/>
    </row>
    <row r="826057" spans="1:1" x14ac:dyDescent="0.25">
      <c r="A826057" s="242"/>
    </row>
    <row r="826058" spans="1:1" x14ac:dyDescent="0.25">
      <c r="A826058" s="242"/>
    </row>
    <row r="826059" spans="1:1" x14ac:dyDescent="0.25">
      <c r="A826059" s="242"/>
    </row>
    <row r="826060" spans="1:1" x14ac:dyDescent="0.25">
      <c r="A826060" s="242"/>
    </row>
    <row r="826061" spans="1:1" x14ac:dyDescent="0.25">
      <c r="A826061" s="242"/>
    </row>
    <row r="826062" spans="1:1" x14ac:dyDescent="0.25">
      <c r="A826062" s="242"/>
    </row>
    <row r="826063" spans="1:1" x14ac:dyDescent="0.25">
      <c r="A826063" s="242"/>
    </row>
    <row r="826064" spans="1:1" x14ac:dyDescent="0.25">
      <c r="A826064" s="242"/>
    </row>
    <row r="826065" spans="1:1" x14ac:dyDescent="0.25">
      <c r="A826065" s="242"/>
    </row>
    <row r="826066" spans="1:1" x14ac:dyDescent="0.25">
      <c r="A826066" s="242"/>
    </row>
    <row r="826067" spans="1:1" x14ac:dyDescent="0.25">
      <c r="A826067" s="242"/>
    </row>
    <row r="826068" spans="1:1" x14ac:dyDescent="0.25">
      <c r="A826068" s="242"/>
    </row>
    <row r="826069" spans="1:1" x14ac:dyDescent="0.25">
      <c r="A826069" s="242"/>
    </row>
    <row r="826070" spans="1:1" x14ac:dyDescent="0.25">
      <c r="A826070" s="242"/>
    </row>
    <row r="826071" spans="1:1" x14ac:dyDescent="0.25">
      <c r="A826071" s="242"/>
    </row>
    <row r="826072" spans="1:1" x14ac:dyDescent="0.25">
      <c r="A826072" s="242"/>
    </row>
    <row r="826073" spans="1:1" x14ac:dyDescent="0.25">
      <c r="A826073" s="242"/>
    </row>
    <row r="826074" spans="1:1" x14ac:dyDescent="0.25">
      <c r="A826074" s="242"/>
    </row>
    <row r="826075" spans="1:1" x14ac:dyDescent="0.25">
      <c r="A826075" s="242"/>
    </row>
    <row r="826076" spans="1:1" x14ac:dyDescent="0.25">
      <c r="A826076" s="242"/>
    </row>
    <row r="826077" spans="1:1" x14ac:dyDescent="0.25">
      <c r="A826077" s="242"/>
    </row>
    <row r="826078" spans="1:1" x14ac:dyDescent="0.25">
      <c r="A826078" s="242"/>
    </row>
    <row r="826079" spans="1:1" x14ac:dyDescent="0.25">
      <c r="A826079" s="242"/>
    </row>
    <row r="826080" spans="1:1" x14ac:dyDescent="0.25">
      <c r="A826080" s="242"/>
    </row>
    <row r="826081" spans="1:1" x14ac:dyDescent="0.25">
      <c r="A826081" s="242"/>
    </row>
    <row r="826082" spans="1:1" x14ac:dyDescent="0.25">
      <c r="A826082" s="242"/>
    </row>
    <row r="826083" spans="1:1" x14ac:dyDescent="0.25">
      <c r="A826083" s="242"/>
    </row>
    <row r="826084" spans="1:1" x14ac:dyDescent="0.25">
      <c r="A826084" s="242"/>
    </row>
    <row r="826085" spans="1:1" x14ac:dyDescent="0.25">
      <c r="A826085" s="242"/>
    </row>
    <row r="826086" spans="1:1" x14ac:dyDescent="0.25">
      <c r="A826086" s="242"/>
    </row>
    <row r="826087" spans="1:1" x14ac:dyDescent="0.25">
      <c r="A826087" s="242"/>
    </row>
    <row r="826088" spans="1:1" x14ac:dyDescent="0.25">
      <c r="A826088" s="242"/>
    </row>
    <row r="826089" spans="1:1" x14ac:dyDescent="0.25">
      <c r="A826089" s="242"/>
    </row>
    <row r="826090" spans="1:1" x14ac:dyDescent="0.25">
      <c r="A826090" s="242"/>
    </row>
    <row r="826091" spans="1:1" x14ac:dyDescent="0.25">
      <c r="A826091" s="242"/>
    </row>
    <row r="826092" spans="1:1" x14ac:dyDescent="0.25">
      <c r="A826092" s="242"/>
    </row>
    <row r="826093" spans="1:1" x14ac:dyDescent="0.25">
      <c r="A826093" s="242"/>
    </row>
    <row r="826094" spans="1:1" x14ac:dyDescent="0.25">
      <c r="A826094" s="242"/>
    </row>
    <row r="826095" spans="1:1" x14ac:dyDescent="0.25">
      <c r="A826095" s="242"/>
    </row>
    <row r="826096" spans="1:1" x14ac:dyDescent="0.25">
      <c r="A826096" s="242"/>
    </row>
    <row r="826097" spans="1:1" x14ac:dyDescent="0.25">
      <c r="A826097" s="242"/>
    </row>
    <row r="826098" spans="1:1" x14ac:dyDescent="0.25">
      <c r="A826098" s="242"/>
    </row>
    <row r="826099" spans="1:1" x14ac:dyDescent="0.25">
      <c r="A826099" s="242"/>
    </row>
    <row r="826100" spans="1:1" x14ac:dyDescent="0.25">
      <c r="A826100" s="242"/>
    </row>
    <row r="826101" spans="1:1" x14ac:dyDescent="0.25">
      <c r="A826101" s="242"/>
    </row>
    <row r="826102" spans="1:1" x14ac:dyDescent="0.25">
      <c r="A826102" s="242"/>
    </row>
    <row r="826103" spans="1:1" x14ac:dyDescent="0.25">
      <c r="A826103" s="242"/>
    </row>
    <row r="826104" spans="1:1" x14ac:dyDescent="0.25">
      <c r="A826104" s="242"/>
    </row>
    <row r="826105" spans="1:1" x14ac:dyDescent="0.25">
      <c r="A826105" s="242"/>
    </row>
    <row r="826106" spans="1:1" x14ac:dyDescent="0.25">
      <c r="A826106" s="242"/>
    </row>
    <row r="826107" spans="1:1" x14ac:dyDescent="0.25">
      <c r="A826107" s="242"/>
    </row>
    <row r="826108" spans="1:1" x14ac:dyDescent="0.25">
      <c r="A826108" s="242"/>
    </row>
    <row r="826109" spans="1:1" x14ac:dyDescent="0.25">
      <c r="A826109" s="242"/>
    </row>
    <row r="826110" spans="1:1" x14ac:dyDescent="0.25">
      <c r="A826110" s="242"/>
    </row>
    <row r="826111" spans="1:1" x14ac:dyDescent="0.25">
      <c r="A826111" s="242"/>
    </row>
    <row r="826112" spans="1:1" x14ac:dyDescent="0.25">
      <c r="A826112" s="242"/>
    </row>
    <row r="826113" spans="1:1" x14ac:dyDescent="0.25">
      <c r="A826113" s="242"/>
    </row>
    <row r="826114" spans="1:1" x14ac:dyDescent="0.25">
      <c r="A826114" s="242"/>
    </row>
    <row r="826115" spans="1:1" x14ac:dyDescent="0.25">
      <c r="A826115" s="242"/>
    </row>
    <row r="826116" spans="1:1" x14ac:dyDescent="0.25">
      <c r="A826116" s="242"/>
    </row>
    <row r="826117" spans="1:1" x14ac:dyDescent="0.25">
      <c r="A826117" s="242"/>
    </row>
    <row r="826118" spans="1:1" x14ac:dyDescent="0.25">
      <c r="A826118" s="242"/>
    </row>
    <row r="826119" spans="1:1" x14ac:dyDescent="0.25">
      <c r="A826119" s="242"/>
    </row>
    <row r="826120" spans="1:1" x14ac:dyDescent="0.25">
      <c r="A826120" s="242"/>
    </row>
    <row r="826121" spans="1:1" x14ac:dyDescent="0.25">
      <c r="A826121" s="242"/>
    </row>
    <row r="826122" spans="1:1" x14ac:dyDescent="0.25">
      <c r="A826122" s="242"/>
    </row>
    <row r="826123" spans="1:1" x14ac:dyDescent="0.25">
      <c r="A826123" s="242"/>
    </row>
    <row r="826124" spans="1:1" x14ac:dyDescent="0.25">
      <c r="A826124" s="242"/>
    </row>
    <row r="826125" spans="1:1" x14ac:dyDescent="0.25">
      <c r="A826125" s="242"/>
    </row>
    <row r="826126" spans="1:1" x14ac:dyDescent="0.25">
      <c r="A826126" s="242"/>
    </row>
    <row r="826127" spans="1:1" x14ac:dyDescent="0.25">
      <c r="A826127" s="242"/>
    </row>
    <row r="826128" spans="1:1" x14ac:dyDescent="0.25">
      <c r="A826128" s="242"/>
    </row>
    <row r="826129" spans="1:1" x14ac:dyDescent="0.25">
      <c r="A826129" s="242"/>
    </row>
    <row r="826130" spans="1:1" x14ac:dyDescent="0.25">
      <c r="A826130" s="242"/>
    </row>
    <row r="826131" spans="1:1" x14ac:dyDescent="0.25">
      <c r="A826131" s="242"/>
    </row>
    <row r="826132" spans="1:1" x14ac:dyDescent="0.25">
      <c r="A826132" s="242"/>
    </row>
    <row r="826133" spans="1:1" x14ac:dyDescent="0.25">
      <c r="A826133" s="242"/>
    </row>
    <row r="826134" spans="1:1" x14ac:dyDescent="0.25">
      <c r="A826134" s="242"/>
    </row>
    <row r="826135" spans="1:1" x14ac:dyDescent="0.25">
      <c r="A826135" s="242"/>
    </row>
    <row r="826136" spans="1:1" x14ac:dyDescent="0.25">
      <c r="A826136" s="242"/>
    </row>
    <row r="826137" spans="1:1" x14ac:dyDescent="0.25">
      <c r="A826137" s="242"/>
    </row>
    <row r="826138" spans="1:1" x14ac:dyDescent="0.25">
      <c r="A826138" s="242"/>
    </row>
    <row r="826139" spans="1:1" x14ac:dyDescent="0.25">
      <c r="A826139" s="242"/>
    </row>
    <row r="826140" spans="1:1" x14ac:dyDescent="0.25">
      <c r="A826140" s="242"/>
    </row>
    <row r="826141" spans="1:1" x14ac:dyDescent="0.25">
      <c r="A826141" s="242"/>
    </row>
    <row r="826142" spans="1:1" x14ac:dyDescent="0.25">
      <c r="A826142" s="242"/>
    </row>
    <row r="826143" spans="1:1" x14ac:dyDescent="0.25">
      <c r="A826143" s="242"/>
    </row>
    <row r="826144" spans="1:1" x14ac:dyDescent="0.25">
      <c r="A826144" s="242"/>
    </row>
    <row r="826145" spans="1:1" x14ac:dyDescent="0.25">
      <c r="A826145" s="242"/>
    </row>
    <row r="826146" spans="1:1" x14ac:dyDescent="0.25">
      <c r="A826146" s="242"/>
    </row>
    <row r="826147" spans="1:1" x14ac:dyDescent="0.25">
      <c r="A826147" s="242"/>
    </row>
    <row r="826148" spans="1:1" x14ac:dyDescent="0.25">
      <c r="A826148" s="242"/>
    </row>
    <row r="826149" spans="1:1" x14ac:dyDescent="0.25">
      <c r="A826149" s="242"/>
    </row>
    <row r="826150" spans="1:1" x14ac:dyDescent="0.25">
      <c r="A826150" s="242"/>
    </row>
    <row r="826151" spans="1:1" x14ac:dyDescent="0.25">
      <c r="A826151" s="242"/>
    </row>
    <row r="826152" spans="1:1" x14ac:dyDescent="0.25">
      <c r="A826152" s="242"/>
    </row>
    <row r="826153" spans="1:1" x14ac:dyDescent="0.25">
      <c r="A826153" s="242"/>
    </row>
    <row r="826154" spans="1:1" x14ac:dyDescent="0.25">
      <c r="A826154" s="242"/>
    </row>
    <row r="826155" spans="1:1" x14ac:dyDescent="0.25">
      <c r="A826155" s="242"/>
    </row>
    <row r="826156" spans="1:1" x14ac:dyDescent="0.25">
      <c r="A826156" s="242"/>
    </row>
    <row r="826157" spans="1:1" x14ac:dyDescent="0.25">
      <c r="A826157" s="242"/>
    </row>
    <row r="826158" spans="1:1" x14ac:dyDescent="0.25">
      <c r="A826158" s="242"/>
    </row>
    <row r="826159" spans="1:1" x14ac:dyDescent="0.25">
      <c r="A826159" s="242"/>
    </row>
    <row r="826160" spans="1:1" x14ac:dyDescent="0.25">
      <c r="A826160" s="242"/>
    </row>
    <row r="826161" spans="1:1" x14ac:dyDescent="0.25">
      <c r="A826161" s="242"/>
    </row>
    <row r="826162" spans="1:1" x14ac:dyDescent="0.25">
      <c r="A826162" s="242"/>
    </row>
    <row r="826163" spans="1:1" x14ac:dyDescent="0.25">
      <c r="A826163" s="242"/>
    </row>
    <row r="826164" spans="1:1" x14ac:dyDescent="0.25">
      <c r="A826164" s="242"/>
    </row>
    <row r="826165" spans="1:1" x14ac:dyDescent="0.25">
      <c r="A826165" s="242"/>
    </row>
    <row r="826166" spans="1:1" x14ac:dyDescent="0.25">
      <c r="A826166" s="242"/>
    </row>
    <row r="826167" spans="1:1" x14ac:dyDescent="0.25">
      <c r="A826167" s="242"/>
    </row>
    <row r="826168" spans="1:1" x14ac:dyDescent="0.25">
      <c r="A826168" s="242"/>
    </row>
    <row r="826169" spans="1:1" x14ac:dyDescent="0.25">
      <c r="A826169" s="242"/>
    </row>
    <row r="826170" spans="1:1" x14ac:dyDescent="0.25">
      <c r="A826170" s="242"/>
    </row>
    <row r="826171" spans="1:1" x14ac:dyDescent="0.25">
      <c r="A826171" s="242"/>
    </row>
    <row r="826172" spans="1:1" x14ac:dyDescent="0.25">
      <c r="A826172" s="242"/>
    </row>
    <row r="826173" spans="1:1" x14ac:dyDescent="0.25">
      <c r="A826173" s="242"/>
    </row>
    <row r="826174" spans="1:1" x14ac:dyDescent="0.25">
      <c r="A826174" s="242"/>
    </row>
    <row r="826175" spans="1:1" x14ac:dyDescent="0.25">
      <c r="A826175" s="242"/>
    </row>
    <row r="826176" spans="1:1" x14ac:dyDescent="0.25">
      <c r="A826176" s="242"/>
    </row>
    <row r="826177" spans="1:1" x14ac:dyDescent="0.25">
      <c r="A826177" s="242"/>
    </row>
    <row r="826178" spans="1:1" x14ac:dyDescent="0.25">
      <c r="A826178" s="242"/>
    </row>
    <row r="826179" spans="1:1" x14ac:dyDescent="0.25">
      <c r="A826179" s="242"/>
    </row>
    <row r="826180" spans="1:1" x14ac:dyDescent="0.25">
      <c r="A826180" s="242"/>
    </row>
    <row r="826181" spans="1:1" x14ac:dyDescent="0.25">
      <c r="A826181" s="242"/>
    </row>
    <row r="826182" spans="1:1" x14ac:dyDescent="0.25">
      <c r="A826182" s="242"/>
    </row>
    <row r="826183" spans="1:1" x14ac:dyDescent="0.25">
      <c r="A826183" s="242"/>
    </row>
    <row r="826184" spans="1:1" x14ac:dyDescent="0.25">
      <c r="A826184" s="242"/>
    </row>
    <row r="826185" spans="1:1" x14ac:dyDescent="0.25">
      <c r="A826185" s="242"/>
    </row>
    <row r="826186" spans="1:1" x14ac:dyDescent="0.25">
      <c r="A826186" s="242"/>
    </row>
    <row r="826187" spans="1:1" x14ac:dyDescent="0.25">
      <c r="A826187" s="242"/>
    </row>
    <row r="826188" spans="1:1" x14ac:dyDescent="0.25">
      <c r="A826188" s="242"/>
    </row>
    <row r="826189" spans="1:1" x14ac:dyDescent="0.25">
      <c r="A826189" s="242"/>
    </row>
    <row r="826190" spans="1:1" x14ac:dyDescent="0.25">
      <c r="A826190" s="242"/>
    </row>
    <row r="826191" spans="1:1" x14ac:dyDescent="0.25">
      <c r="A826191" s="242"/>
    </row>
    <row r="826192" spans="1:1" x14ac:dyDescent="0.25">
      <c r="A826192" s="242"/>
    </row>
    <row r="826193" spans="1:1" x14ac:dyDescent="0.25">
      <c r="A826193" s="242"/>
    </row>
    <row r="826194" spans="1:1" x14ac:dyDescent="0.25">
      <c r="A826194" s="242"/>
    </row>
    <row r="826195" spans="1:1" x14ac:dyDescent="0.25">
      <c r="A826195" s="242"/>
    </row>
    <row r="826196" spans="1:1" x14ac:dyDescent="0.25">
      <c r="A826196" s="242"/>
    </row>
    <row r="826197" spans="1:1" x14ac:dyDescent="0.25">
      <c r="A826197" s="242"/>
    </row>
    <row r="826198" spans="1:1" x14ac:dyDescent="0.25">
      <c r="A826198" s="242"/>
    </row>
    <row r="826199" spans="1:1" x14ac:dyDescent="0.25">
      <c r="A826199" s="242"/>
    </row>
    <row r="826200" spans="1:1" x14ac:dyDescent="0.25">
      <c r="A826200" s="242"/>
    </row>
    <row r="826201" spans="1:1" x14ac:dyDescent="0.25">
      <c r="A826201" s="242"/>
    </row>
    <row r="826202" spans="1:1" x14ac:dyDescent="0.25">
      <c r="A826202" s="242"/>
    </row>
    <row r="826203" spans="1:1" x14ac:dyDescent="0.25">
      <c r="A826203" s="242"/>
    </row>
    <row r="826204" spans="1:1" x14ac:dyDescent="0.25">
      <c r="A826204" s="242"/>
    </row>
    <row r="826205" spans="1:1" x14ac:dyDescent="0.25">
      <c r="A826205" s="242"/>
    </row>
    <row r="826206" spans="1:1" x14ac:dyDescent="0.25">
      <c r="A826206" s="242"/>
    </row>
    <row r="826207" spans="1:1" x14ac:dyDescent="0.25">
      <c r="A826207" s="242"/>
    </row>
    <row r="826208" spans="1:1" x14ac:dyDescent="0.25">
      <c r="A826208" s="242"/>
    </row>
    <row r="826209" spans="1:1" x14ac:dyDescent="0.25">
      <c r="A826209" s="242"/>
    </row>
    <row r="826210" spans="1:1" x14ac:dyDescent="0.25">
      <c r="A826210" s="242"/>
    </row>
    <row r="826211" spans="1:1" x14ac:dyDescent="0.25">
      <c r="A826211" s="242"/>
    </row>
    <row r="826212" spans="1:1" x14ac:dyDescent="0.25">
      <c r="A826212" s="242"/>
    </row>
    <row r="826213" spans="1:1" x14ac:dyDescent="0.25">
      <c r="A826213" s="242"/>
    </row>
    <row r="826214" spans="1:1" x14ac:dyDescent="0.25">
      <c r="A826214" s="242"/>
    </row>
    <row r="826215" spans="1:1" x14ac:dyDescent="0.25">
      <c r="A826215" s="242"/>
    </row>
    <row r="826216" spans="1:1" x14ac:dyDescent="0.25">
      <c r="A826216" s="242"/>
    </row>
    <row r="826217" spans="1:1" x14ac:dyDescent="0.25">
      <c r="A826217" s="242"/>
    </row>
    <row r="826218" spans="1:1" x14ac:dyDescent="0.25">
      <c r="A826218" s="242"/>
    </row>
    <row r="826219" spans="1:1" x14ac:dyDescent="0.25">
      <c r="A826219" s="242"/>
    </row>
    <row r="826220" spans="1:1" x14ac:dyDescent="0.25">
      <c r="A826220" s="242"/>
    </row>
    <row r="826221" spans="1:1" x14ac:dyDescent="0.25">
      <c r="A826221" s="242"/>
    </row>
    <row r="826222" spans="1:1" x14ac:dyDescent="0.25">
      <c r="A826222" s="242"/>
    </row>
    <row r="826223" spans="1:1" x14ac:dyDescent="0.25">
      <c r="A826223" s="242"/>
    </row>
    <row r="826224" spans="1:1" x14ac:dyDescent="0.25">
      <c r="A826224" s="242"/>
    </row>
    <row r="826225" spans="1:1" x14ac:dyDescent="0.25">
      <c r="A826225" s="242"/>
    </row>
    <row r="826226" spans="1:1" x14ac:dyDescent="0.25">
      <c r="A826226" s="242"/>
    </row>
    <row r="826227" spans="1:1" x14ac:dyDescent="0.25">
      <c r="A826227" s="242"/>
    </row>
    <row r="826228" spans="1:1" x14ac:dyDescent="0.25">
      <c r="A826228" s="242"/>
    </row>
    <row r="826229" spans="1:1" x14ac:dyDescent="0.25">
      <c r="A826229" s="242"/>
    </row>
    <row r="826230" spans="1:1" x14ac:dyDescent="0.25">
      <c r="A826230" s="242"/>
    </row>
    <row r="826231" spans="1:1" x14ac:dyDescent="0.25">
      <c r="A826231" s="242"/>
    </row>
    <row r="826232" spans="1:1" x14ac:dyDescent="0.25">
      <c r="A826232" s="242"/>
    </row>
    <row r="826233" spans="1:1" x14ac:dyDescent="0.25">
      <c r="A826233" s="242"/>
    </row>
    <row r="826234" spans="1:1" x14ac:dyDescent="0.25">
      <c r="A826234" s="242"/>
    </row>
    <row r="826235" spans="1:1" x14ac:dyDescent="0.25">
      <c r="A826235" s="242"/>
    </row>
    <row r="826236" spans="1:1" x14ac:dyDescent="0.25">
      <c r="A826236" s="242"/>
    </row>
    <row r="826237" spans="1:1" x14ac:dyDescent="0.25">
      <c r="A826237" s="242"/>
    </row>
    <row r="826238" spans="1:1" x14ac:dyDescent="0.25">
      <c r="A826238" s="242"/>
    </row>
    <row r="826239" spans="1:1" x14ac:dyDescent="0.25">
      <c r="A826239" s="242"/>
    </row>
    <row r="826240" spans="1:1" x14ac:dyDescent="0.25">
      <c r="A826240" s="242"/>
    </row>
    <row r="826241" spans="1:1" x14ac:dyDescent="0.25">
      <c r="A826241" s="242"/>
    </row>
    <row r="826242" spans="1:1" x14ac:dyDescent="0.25">
      <c r="A826242" s="242"/>
    </row>
    <row r="826243" spans="1:1" x14ac:dyDescent="0.25">
      <c r="A826243" s="242"/>
    </row>
    <row r="826244" spans="1:1" x14ac:dyDescent="0.25">
      <c r="A826244" s="242"/>
    </row>
    <row r="826245" spans="1:1" x14ac:dyDescent="0.25">
      <c r="A826245" s="242"/>
    </row>
    <row r="826246" spans="1:1" x14ac:dyDescent="0.25">
      <c r="A826246" s="242"/>
    </row>
    <row r="826247" spans="1:1" x14ac:dyDescent="0.25">
      <c r="A826247" s="242"/>
    </row>
    <row r="826248" spans="1:1" x14ac:dyDescent="0.25">
      <c r="A826248" s="242"/>
    </row>
    <row r="826249" spans="1:1" x14ac:dyDescent="0.25">
      <c r="A826249" s="242"/>
    </row>
    <row r="826250" spans="1:1" x14ac:dyDescent="0.25">
      <c r="A826250" s="242"/>
    </row>
    <row r="826251" spans="1:1" x14ac:dyDescent="0.25">
      <c r="A826251" s="242"/>
    </row>
    <row r="826252" spans="1:1" x14ac:dyDescent="0.25">
      <c r="A826252" s="242"/>
    </row>
    <row r="826253" spans="1:1" x14ac:dyDescent="0.25">
      <c r="A826253" s="242"/>
    </row>
    <row r="826254" spans="1:1" x14ac:dyDescent="0.25">
      <c r="A826254" s="242"/>
    </row>
    <row r="826255" spans="1:1" x14ac:dyDescent="0.25">
      <c r="A826255" s="242"/>
    </row>
    <row r="826256" spans="1:1" x14ac:dyDescent="0.25">
      <c r="A826256" s="242"/>
    </row>
    <row r="826257" spans="1:1" x14ac:dyDescent="0.25">
      <c r="A826257" s="242"/>
    </row>
    <row r="826258" spans="1:1" x14ac:dyDescent="0.25">
      <c r="A826258" s="242"/>
    </row>
    <row r="826259" spans="1:1" x14ac:dyDescent="0.25">
      <c r="A826259" s="242"/>
    </row>
    <row r="826260" spans="1:1" x14ac:dyDescent="0.25">
      <c r="A826260" s="242"/>
    </row>
    <row r="826261" spans="1:1" x14ac:dyDescent="0.25">
      <c r="A826261" s="242"/>
    </row>
    <row r="826262" spans="1:1" x14ac:dyDescent="0.25">
      <c r="A826262" s="242"/>
    </row>
    <row r="826263" spans="1:1" x14ac:dyDescent="0.25">
      <c r="A826263" s="242"/>
    </row>
    <row r="826264" spans="1:1" x14ac:dyDescent="0.25">
      <c r="A826264" s="242"/>
    </row>
    <row r="826265" spans="1:1" x14ac:dyDescent="0.25">
      <c r="A826265" s="242"/>
    </row>
    <row r="826266" spans="1:1" x14ac:dyDescent="0.25">
      <c r="A826266" s="242"/>
    </row>
    <row r="826267" spans="1:1" x14ac:dyDescent="0.25">
      <c r="A826267" s="242"/>
    </row>
    <row r="826268" spans="1:1" x14ac:dyDescent="0.25">
      <c r="A826268" s="242"/>
    </row>
    <row r="826269" spans="1:1" x14ac:dyDescent="0.25">
      <c r="A826269" s="242"/>
    </row>
    <row r="826270" spans="1:1" x14ac:dyDescent="0.25">
      <c r="A826270" s="242"/>
    </row>
    <row r="826271" spans="1:1" x14ac:dyDescent="0.25">
      <c r="A826271" s="242"/>
    </row>
    <row r="826272" spans="1:1" x14ac:dyDescent="0.25">
      <c r="A826272" s="242"/>
    </row>
    <row r="826273" spans="1:1" x14ac:dyDescent="0.25">
      <c r="A826273" s="242"/>
    </row>
    <row r="826274" spans="1:1" x14ac:dyDescent="0.25">
      <c r="A826274" s="242"/>
    </row>
    <row r="826275" spans="1:1" x14ac:dyDescent="0.25">
      <c r="A826275" s="242"/>
    </row>
    <row r="826276" spans="1:1" x14ac:dyDescent="0.25">
      <c r="A826276" s="242"/>
    </row>
    <row r="826277" spans="1:1" x14ac:dyDescent="0.25">
      <c r="A826277" s="242"/>
    </row>
    <row r="826278" spans="1:1" x14ac:dyDescent="0.25">
      <c r="A826278" s="242"/>
    </row>
    <row r="826279" spans="1:1" x14ac:dyDescent="0.25">
      <c r="A826279" s="242"/>
    </row>
    <row r="826280" spans="1:1" x14ac:dyDescent="0.25">
      <c r="A826280" s="242"/>
    </row>
    <row r="826281" spans="1:1" x14ac:dyDescent="0.25">
      <c r="A826281" s="242"/>
    </row>
    <row r="826282" spans="1:1" x14ac:dyDescent="0.25">
      <c r="A826282" s="242"/>
    </row>
    <row r="826283" spans="1:1" x14ac:dyDescent="0.25">
      <c r="A826283" s="242"/>
    </row>
    <row r="826284" spans="1:1" x14ac:dyDescent="0.25">
      <c r="A826284" s="242"/>
    </row>
    <row r="826285" spans="1:1" x14ac:dyDescent="0.25">
      <c r="A826285" s="242"/>
    </row>
    <row r="826286" spans="1:1" x14ac:dyDescent="0.25">
      <c r="A826286" s="242"/>
    </row>
    <row r="826287" spans="1:1" x14ac:dyDescent="0.25">
      <c r="A826287" s="242"/>
    </row>
    <row r="826288" spans="1:1" x14ac:dyDescent="0.25">
      <c r="A826288" s="242"/>
    </row>
    <row r="826289" spans="1:1" x14ac:dyDescent="0.25">
      <c r="A826289" s="242"/>
    </row>
    <row r="826290" spans="1:1" x14ac:dyDescent="0.25">
      <c r="A826290" s="242"/>
    </row>
    <row r="826291" spans="1:1" x14ac:dyDescent="0.25">
      <c r="A826291" s="242"/>
    </row>
    <row r="826292" spans="1:1" x14ac:dyDescent="0.25">
      <c r="A826292" s="242"/>
    </row>
    <row r="826293" spans="1:1" x14ac:dyDescent="0.25">
      <c r="A826293" s="242"/>
    </row>
    <row r="826294" spans="1:1" x14ac:dyDescent="0.25">
      <c r="A826294" s="242"/>
    </row>
    <row r="826295" spans="1:1" x14ac:dyDescent="0.25">
      <c r="A826295" s="242"/>
    </row>
    <row r="826296" spans="1:1" x14ac:dyDescent="0.25">
      <c r="A826296" s="242"/>
    </row>
    <row r="826297" spans="1:1" x14ac:dyDescent="0.25">
      <c r="A826297" s="242"/>
    </row>
    <row r="826298" spans="1:1" x14ac:dyDescent="0.25">
      <c r="A826298" s="242"/>
    </row>
    <row r="826299" spans="1:1" x14ac:dyDescent="0.25">
      <c r="A826299" s="242"/>
    </row>
    <row r="826300" spans="1:1" x14ac:dyDescent="0.25">
      <c r="A826300" s="242"/>
    </row>
    <row r="826301" spans="1:1" x14ac:dyDescent="0.25">
      <c r="A826301" s="242"/>
    </row>
    <row r="826302" spans="1:1" x14ac:dyDescent="0.25">
      <c r="A826302" s="242"/>
    </row>
    <row r="826303" spans="1:1" x14ac:dyDescent="0.25">
      <c r="A826303" s="242"/>
    </row>
    <row r="826304" spans="1:1" x14ac:dyDescent="0.25">
      <c r="A826304" s="242"/>
    </row>
    <row r="826305" spans="1:1" x14ac:dyDescent="0.25">
      <c r="A826305" s="242"/>
    </row>
    <row r="826306" spans="1:1" x14ac:dyDescent="0.25">
      <c r="A826306" s="242"/>
    </row>
    <row r="826307" spans="1:1" x14ac:dyDescent="0.25">
      <c r="A826307" s="242"/>
    </row>
    <row r="826308" spans="1:1" x14ac:dyDescent="0.25">
      <c r="A826308" s="242"/>
    </row>
    <row r="826309" spans="1:1" x14ac:dyDescent="0.25">
      <c r="A826309" s="242"/>
    </row>
    <row r="826310" spans="1:1" x14ac:dyDescent="0.25">
      <c r="A826310" s="242"/>
    </row>
    <row r="826311" spans="1:1" x14ac:dyDescent="0.25">
      <c r="A826311" s="242"/>
    </row>
    <row r="826312" spans="1:1" x14ac:dyDescent="0.25">
      <c r="A826312" s="242"/>
    </row>
    <row r="826313" spans="1:1" x14ac:dyDescent="0.25">
      <c r="A826313" s="242"/>
    </row>
    <row r="826314" spans="1:1" x14ac:dyDescent="0.25">
      <c r="A826314" s="242"/>
    </row>
    <row r="826315" spans="1:1" x14ac:dyDescent="0.25">
      <c r="A826315" s="242"/>
    </row>
    <row r="826316" spans="1:1" x14ac:dyDescent="0.25">
      <c r="A826316" s="242"/>
    </row>
    <row r="826317" spans="1:1" x14ac:dyDescent="0.25">
      <c r="A826317" s="242"/>
    </row>
    <row r="826318" spans="1:1" x14ac:dyDescent="0.25">
      <c r="A826318" s="242"/>
    </row>
    <row r="826319" spans="1:1" x14ac:dyDescent="0.25">
      <c r="A826319" s="242"/>
    </row>
    <row r="826320" spans="1:1" x14ac:dyDescent="0.25">
      <c r="A826320" s="242"/>
    </row>
    <row r="826321" spans="1:1" x14ac:dyDescent="0.25">
      <c r="A826321" s="242"/>
    </row>
    <row r="826322" spans="1:1" x14ac:dyDescent="0.25">
      <c r="A826322" s="242"/>
    </row>
    <row r="826323" spans="1:1" x14ac:dyDescent="0.25">
      <c r="A826323" s="242"/>
    </row>
    <row r="826324" spans="1:1" x14ac:dyDescent="0.25">
      <c r="A826324" s="242"/>
    </row>
    <row r="826325" spans="1:1" x14ac:dyDescent="0.25">
      <c r="A826325" s="242"/>
    </row>
    <row r="826326" spans="1:1" x14ac:dyDescent="0.25">
      <c r="A826326" s="242"/>
    </row>
    <row r="826327" spans="1:1" x14ac:dyDescent="0.25">
      <c r="A826327" s="242"/>
    </row>
    <row r="826328" spans="1:1" x14ac:dyDescent="0.25">
      <c r="A826328" s="242"/>
    </row>
    <row r="826329" spans="1:1" x14ac:dyDescent="0.25">
      <c r="A826329" s="242"/>
    </row>
    <row r="826330" spans="1:1" x14ac:dyDescent="0.25">
      <c r="A826330" s="242"/>
    </row>
    <row r="826331" spans="1:1" x14ac:dyDescent="0.25">
      <c r="A826331" s="242"/>
    </row>
    <row r="826332" spans="1:1" x14ac:dyDescent="0.25">
      <c r="A826332" s="242"/>
    </row>
    <row r="826333" spans="1:1" x14ac:dyDescent="0.25">
      <c r="A826333" s="242"/>
    </row>
    <row r="826334" spans="1:1" x14ac:dyDescent="0.25">
      <c r="A826334" s="242"/>
    </row>
    <row r="826335" spans="1:1" x14ac:dyDescent="0.25">
      <c r="A826335" s="242"/>
    </row>
    <row r="826336" spans="1:1" x14ac:dyDescent="0.25">
      <c r="A826336" s="242"/>
    </row>
    <row r="826337" spans="1:1" x14ac:dyDescent="0.25">
      <c r="A826337" s="242"/>
    </row>
    <row r="826338" spans="1:1" x14ac:dyDescent="0.25">
      <c r="A826338" s="242"/>
    </row>
    <row r="826339" spans="1:1" x14ac:dyDescent="0.25">
      <c r="A826339" s="242"/>
    </row>
    <row r="826340" spans="1:1" x14ac:dyDescent="0.25">
      <c r="A826340" s="242"/>
    </row>
    <row r="826341" spans="1:1" x14ac:dyDescent="0.25">
      <c r="A826341" s="242"/>
    </row>
    <row r="826342" spans="1:1" x14ac:dyDescent="0.25">
      <c r="A826342" s="242"/>
    </row>
    <row r="826343" spans="1:1" x14ac:dyDescent="0.25">
      <c r="A826343" s="242"/>
    </row>
    <row r="826344" spans="1:1" x14ac:dyDescent="0.25">
      <c r="A826344" s="242"/>
    </row>
    <row r="826345" spans="1:1" x14ac:dyDescent="0.25">
      <c r="A826345" s="242"/>
    </row>
    <row r="826346" spans="1:1" x14ac:dyDescent="0.25">
      <c r="A826346" s="242"/>
    </row>
    <row r="826347" spans="1:1" x14ac:dyDescent="0.25">
      <c r="A826347" s="242"/>
    </row>
    <row r="826348" spans="1:1" x14ac:dyDescent="0.25">
      <c r="A826348" s="242"/>
    </row>
    <row r="826349" spans="1:1" x14ac:dyDescent="0.25">
      <c r="A826349" s="242"/>
    </row>
    <row r="826350" spans="1:1" x14ac:dyDescent="0.25">
      <c r="A826350" s="242"/>
    </row>
    <row r="826351" spans="1:1" x14ac:dyDescent="0.25">
      <c r="A826351" s="242"/>
    </row>
    <row r="826352" spans="1:1" x14ac:dyDescent="0.25">
      <c r="A826352" s="242"/>
    </row>
    <row r="826353" spans="1:1" x14ac:dyDescent="0.25">
      <c r="A826353" s="242"/>
    </row>
    <row r="826354" spans="1:1" x14ac:dyDescent="0.25">
      <c r="A826354" s="242"/>
    </row>
    <row r="826355" spans="1:1" x14ac:dyDescent="0.25">
      <c r="A826355" s="242"/>
    </row>
    <row r="826356" spans="1:1" x14ac:dyDescent="0.25">
      <c r="A826356" s="242"/>
    </row>
    <row r="826357" spans="1:1" x14ac:dyDescent="0.25">
      <c r="A826357" s="242"/>
    </row>
    <row r="826358" spans="1:1" x14ac:dyDescent="0.25">
      <c r="A826358" s="242"/>
    </row>
    <row r="826359" spans="1:1" x14ac:dyDescent="0.25">
      <c r="A826359" s="242"/>
    </row>
    <row r="826360" spans="1:1" x14ac:dyDescent="0.25">
      <c r="A826360" s="242"/>
    </row>
    <row r="826361" spans="1:1" x14ac:dyDescent="0.25">
      <c r="A826361" s="242"/>
    </row>
    <row r="826362" spans="1:1" x14ac:dyDescent="0.25">
      <c r="A826362" s="242"/>
    </row>
    <row r="826363" spans="1:1" x14ac:dyDescent="0.25">
      <c r="A826363" s="242"/>
    </row>
    <row r="826364" spans="1:1" x14ac:dyDescent="0.25">
      <c r="A826364" s="242"/>
    </row>
    <row r="826365" spans="1:1" x14ac:dyDescent="0.25">
      <c r="A826365" s="242"/>
    </row>
    <row r="826366" spans="1:1" x14ac:dyDescent="0.25">
      <c r="A826366" s="242"/>
    </row>
    <row r="826367" spans="1:1" x14ac:dyDescent="0.25">
      <c r="A826367" s="242"/>
    </row>
    <row r="826368" spans="1:1" x14ac:dyDescent="0.25">
      <c r="A826368" s="242"/>
    </row>
    <row r="826369" spans="1:1" x14ac:dyDescent="0.25">
      <c r="A826369" s="242"/>
    </row>
    <row r="826370" spans="1:1" x14ac:dyDescent="0.25">
      <c r="A826370" s="242"/>
    </row>
    <row r="826371" spans="1:1" x14ac:dyDescent="0.25">
      <c r="A826371" s="242"/>
    </row>
    <row r="826372" spans="1:1" x14ac:dyDescent="0.25">
      <c r="A826372" s="242"/>
    </row>
    <row r="826373" spans="1:1" x14ac:dyDescent="0.25">
      <c r="A826373" s="242"/>
    </row>
    <row r="826374" spans="1:1" x14ac:dyDescent="0.25">
      <c r="A826374" s="242"/>
    </row>
    <row r="826375" spans="1:1" x14ac:dyDescent="0.25">
      <c r="A826375" s="242"/>
    </row>
    <row r="826376" spans="1:1" x14ac:dyDescent="0.25">
      <c r="A826376" s="242"/>
    </row>
    <row r="826377" spans="1:1" x14ac:dyDescent="0.25">
      <c r="A826377" s="242"/>
    </row>
    <row r="826378" spans="1:1" x14ac:dyDescent="0.25">
      <c r="A826378" s="242"/>
    </row>
    <row r="826379" spans="1:1" x14ac:dyDescent="0.25">
      <c r="A826379" s="242"/>
    </row>
    <row r="826380" spans="1:1" x14ac:dyDescent="0.25">
      <c r="A826380" s="242"/>
    </row>
    <row r="826381" spans="1:1" x14ac:dyDescent="0.25">
      <c r="A826381" s="242"/>
    </row>
    <row r="826382" spans="1:1" x14ac:dyDescent="0.25">
      <c r="A826382" s="242"/>
    </row>
    <row r="826383" spans="1:1" x14ac:dyDescent="0.25">
      <c r="A826383" s="242"/>
    </row>
    <row r="826384" spans="1:1" x14ac:dyDescent="0.25">
      <c r="A826384" s="242"/>
    </row>
    <row r="826385" spans="1:1" x14ac:dyDescent="0.25">
      <c r="A826385" s="242"/>
    </row>
    <row r="826386" spans="1:1" x14ac:dyDescent="0.25">
      <c r="A826386" s="242"/>
    </row>
    <row r="826387" spans="1:1" x14ac:dyDescent="0.25">
      <c r="A826387" s="242"/>
    </row>
    <row r="826388" spans="1:1" x14ac:dyDescent="0.25">
      <c r="A826388" s="242"/>
    </row>
    <row r="826389" spans="1:1" x14ac:dyDescent="0.25">
      <c r="A826389" s="242"/>
    </row>
    <row r="826390" spans="1:1" x14ac:dyDescent="0.25">
      <c r="A826390" s="242"/>
    </row>
    <row r="826391" spans="1:1" x14ac:dyDescent="0.25">
      <c r="A826391" s="242"/>
    </row>
    <row r="826392" spans="1:1" x14ac:dyDescent="0.25">
      <c r="A826392" s="242"/>
    </row>
    <row r="826393" spans="1:1" x14ac:dyDescent="0.25">
      <c r="A826393" s="242"/>
    </row>
    <row r="826394" spans="1:1" x14ac:dyDescent="0.25">
      <c r="A826394" s="242"/>
    </row>
    <row r="826395" spans="1:1" x14ac:dyDescent="0.25">
      <c r="A826395" s="242"/>
    </row>
    <row r="826396" spans="1:1" x14ac:dyDescent="0.25">
      <c r="A826396" s="242"/>
    </row>
    <row r="826397" spans="1:1" x14ac:dyDescent="0.25">
      <c r="A826397" s="242"/>
    </row>
    <row r="826398" spans="1:1" x14ac:dyDescent="0.25">
      <c r="A826398" s="242"/>
    </row>
    <row r="826399" spans="1:1" x14ac:dyDescent="0.25">
      <c r="A826399" s="242"/>
    </row>
    <row r="826400" spans="1:1" x14ac:dyDescent="0.25">
      <c r="A826400" s="242"/>
    </row>
    <row r="826401" spans="1:1" x14ac:dyDescent="0.25">
      <c r="A826401" s="242"/>
    </row>
    <row r="826402" spans="1:1" x14ac:dyDescent="0.25">
      <c r="A826402" s="242"/>
    </row>
    <row r="826403" spans="1:1" x14ac:dyDescent="0.25">
      <c r="A826403" s="242"/>
    </row>
    <row r="826404" spans="1:1" x14ac:dyDescent="0.25">
      <c r="A826404" s="242"/>
    </row>
    <row r="826405" spans="1:1" x14ac:dyDescent="0.25">
      <c r="A826405" s="242"/>
    </row>
    <row r="826406" spans="1:1" x14ac:dyDescent="0.25">
      <c r="A826406" s="242"/>
    </row>
    <row r="826407" spans="1:1" x14ac:dyDescent="0.25">
      <c r="A826407" s="242"/>
    </row>
    <row r="826408" spans="1:1" x14ac:dyDescent="0.25">
      <c r="A826408" s="242"/>
    </row>
    <row r="826409" spans="1:1" x14ac:dyDescent="0.25">
      <c r="A826409" s="242"/>
    </row>
    <row r="826410" spans="1:1" x14ac:dyDescent="0.25">
      <c r="A826410" s="242"/>
    </row>
    <row r="826411" spans="1:1" x14ac:dyDescent="0.25">
      <c r="A826411" s="242"/>
    </row>
    <row r="826412" spans="1:1" x14ac:dyDescent="0.25">
      <c r="A826412" s="242"/>
    </row>
    <row r="826413" spans="1:1" x14ac:dyDescent="0.25">
      <c r="A826413" s="242"/>
    </row>
    <row r="826414" spans="1:1" x14ac:dyDescent="0.25">
      <c r="A826414" s="242"/>
    </row>
    <row r="826415" spans="1:1" x14ac:dyDescent="0.25">
      <c r="A826415" s="242"/>
    </row>
    <row r="826416" spans="1:1" x14ac:dyDescent="0.25">
      <c r="A826416" s="242"/>
    </row>
    <row r="826417" spans="1:1" x14ac:dyDescent="0.25">
      <c r="A826417" s="242"/>
    </row>
    <row r="826418" spans="1:1" x14ac:dyDescent="0.25">
      <c r="A826418" s="242"/>
    </row>
    <row r="826419" spans="1:1" x14ac:dyDescent="0.25">
      <c r="A826419" s="242"/>
    </row>
    <row r="826420" spans="1:1" x14ac:dyDescent="0.25">
      <c r="A826420" s="242"/>
    </row>
    <row r="826421" spans="1:1" x14ac:dyDescent="0.25">
      <c r="A826421" s="242"/>
    </row>
    <row r="826422" spans="1:1" x14ac:dyDescent="0.25">
      <c r="A826422" s="242"/>
    </row>
    <row r="826423" spans="1:1" x14ac:dyDescent="0.25">
      <c r="A826423" s="242"/>
    </row>
    <row r="826424" spans="1:1" x14ac:dyDescent="0.25">
      <c r="A826424" s="242"/>
    </row>
    <row r="826425" spans="1:1" x14ac:dyDescent="0.25">
      <c r="A826425" s="242"/>
    </row>
    <row r="826426" spans="1:1" x14ac:dyDescent="0.25">
      <c r="A826426" s="242"/>
    </row>
    <row r="826427" spans="1:1" x14ac:dyDescent="0.25">
      <c r="A826427" s="242"/>
    </row>
    <row r="826428" spans="1:1" x14ac:dyDescent="0.25">
      <c r="A826428" s="242"/>
    </row>
    <row r="826429" spans="1:1" x14ac:dyDescent="0.25">
      <c r="A826429" s="242"/>
    </row>
    <row r="826430" spans="1:1" x14ac:dyDescent="0.25">
      <c r="A826430" s="242"/>
    </row>
    <row r="826431" spans="1:1" x14ac:dyDescent="0.25">
      <c r="A826431" s="242"/>
    </row>
    <row r="826432" spans="1:1" x14ac:dyDescent="0.25">
      <c r="A826432" s="242"/>
    </row>
    <row r="826433" spans="1:1" x14ac:dyDescent="0.25">
      <c r="A826433" s="242"/>
    </row>
    <row r="826434" spans="1:1" x14ac:dyDescent="0.25">
      <c r="A826434" s="242"/>
    </row>
    <row r="826435" spans="1:1" x14ac:dyDescent="0.25">
      <c r="A826435" s="242"/>
    </row>
    <row r="826436" spans="1:1" x14ac:dyDescent="0.25">
      <c r="A826436" s="242"/>
    </row>
    <row r="826437" spans="1:1" x14ac:dyDescent="0.25">
      <c r="A826437" s="242"/>
    </row>
    <row r="826438" spans="1:1" x14ac:dyDescent="0.25">
      <c r="A826438" s="242"/>
    </row>
    <row r="826439" spans="1:1" x14ac:dyDescent="0.25">
      <c r="A826439" s="242"/>
    </row>
    <row r="826440" spans="1:1" x14ac:dyDescent="0.25">
      <c r="A826440" s="242"/>
    </row>
    <row r="826441" spans="1:1" x14ac:dyDescent="0.25">
      <c r="A826441" s="242"/>
    </row>
    <row r="826442" spans="1:1" x14ac:dyDescent="0.25">
      <c r="A826442" s="242"/>
    </row>
    <row r="826443" spans="1:1" x14ac:dyDescent="0.25">
      <c r="A826443" s="242"/>
    </row>
    <row r="826444" spans="1:1" x14ac:dyDescent="0.25">
      <c r="A826444" s="242"/>
    </row>
    <row r="826445" spans="1:1" x14ac:dyDescent="0.25">
      <c r="A826445" s="242"/>
    </row>
    <row r="826446" spans="1:1" x14ac:dyDescent="0.25">
      <c r="A826446" s="242"/>
    </row>
    <row r="826447" spans="1:1" x14ac:dyDescent="0.25">
      <c r="A826447" s="242"/>
    </row>
    <row r="826448" spans="1:1" x14ac:dyDescent="0.25">
      <c r="A826448" s="242"/>
    </row>
    <row r="826449" spans="1:1" x14ac:dyDescent="0.25">
      <c r="A826449" s="242"/>
    </row>
    <row r="826450" spans="1:1" x14ac:dyDescent="0.25">
      <c r="A826450" s="242"/>
    </row>
    <row r="826451" spans="1:1" x14ac:dyDescent="0.25">
      <c r="A826451" s="242"/>
    </row>
    <row r="826452" spans="1:1" x14ac:dyDescent="0.25">
      <c r="A826452" s="242"/>
    </row>
    <row r="826453" spans="1:1" x14ac:dyDescent="0.25">
      <c r="A826453" s="242"/>
    </row>
    <row r="826454" spans="1:1" x14ac:dyDescent="0.25">
      <c r="A826454" s="242"/>
    </row>
    <row r="826455" spans="1:1" x14ac:dyDescent="0.25">
      <c r="A826455" s="242"/>
    </row>
    <row r="826456" spans="1:1" x14ac:dyDescent="0.25">
      <c r="A826456" s="242"/>
    </row>
    <row r="826457" spans="1:1" x14ac:dyDescent="0.25">
      <c r="A826457" s="242"/>
    </row>
    <row r="826458" spans="1:1" x14ac:dyDescent="0.25">
      <c r="A826458" s="242"/>
    </row>
    <row r="826459" spans="1:1" x14ac:dyDescent="0.25">
      <c r="A826459" s="242"/>
    </row>
    <row r="826460" spans="1:1" x14ac:dyDescent="0.25">
      <c r="A826460" s="242"/>
    </row>
    <row r="826461" spans="1:1" x14ac:dyDescent="0.25">
      <c r="A826461" s="242"/>
    </row>
    <row r="826462" spans="1:1" x14ac:dyDescent="0.25">
      <c r="A826462" s="242"/>
    </row>
    <row r="826463" spans="1:1" x14ac:dyDescent="0.25">
      <c r="A826463" s="242"/>
    </row>
    <row r="826464" spans="1:1" x14ac:dyDescent="0.25">
      <c r="A826464" s="242"/>
    </row>
    <row r="826465" spans="1:1" x14ac:dyDescent="0.25">
      <c r="A826465" s="242"/>
    </row>
    <row r="826466" spans="1:1" x14ac:dyDescent="0.25">
      <c r="A826466" s="242"/>
    </row>
    <row r="826467" spans="1:1" x14ac:dyDescent="0.25">
      <c r="A826467" s="242"/>
    </row>
    <row r="826468" spans="1:1" x14ac:dyDescent="0.25">
      <c r="A826468" s="242"/>
    </row>
    <row r="826469" spans="1:1" x14ac:dyDescent="0.25">
      <c r="A826469" s="242"/>
    </row>
    <row r="826470" spans="1:1" x14ac:dyDescent="0.25">
      <c r="A826470" s="242"/>
    </row>
    <row r="826471" spans="1:1" x14ac:dyDescent="0.25">
      <c r="A826471" s="242"/>
    </row>
    <row r="826472" spans="1:1" x14ac:dyDescent="0.25">
      <c r="A826472" s="242"/>
    </row>
    <row r="826473" spans="1:1" x14ac:dyDescent="0.25">
      <c r="A826473" s="242"/>
    </row>
    <row r="826474" spans="1:1" x14ac:dyDescent="0.25">
      <c r="A826474" s="242"/>
    </row>
    <row r="826475" spans="1:1" x14ac:dyDescent="0.25">
      <c r="A826475" s="242"/>
    </row>
    <row r="826476" spans="1:1" x14ac:dyDescent="0.25">
      <c r="A826476" s="242"/>
    </row>
    <row r="826477" spans="1:1" x14ac:dyDescent="0.25">
      <c r="A826477" s="242"/>
    </row>
    <row r="826478" spans="1:1" x14ac:dyDescent="0.25">
      <c r="A826478" s="242"/>
    </row>
    <row r="826479" spans="1:1" x14ac:dyDescent="0.25">
      <c r="A826479" s="242"/>
    </row>
    <row r="826480" spans="1:1" x14ac:dyDescent="0.25">
      <c r="A826480" s="242"/>
    </row>
    <row r="826481" spans="1:1" x14ac:dyDescent="0.25">
      <c r="A826481" s="242"/>
    </row>
    <row r="826482" spans="1:1" x14ac:dyDescent="0.25">
      <c r="A826482" s="242"/>
    </row>
    <row r="826483" spans="1:1" x14ac:dyDescent="0.25">
      <c r="A826483" s="242"/>
    </row>
    <row r="826484" spans="1:1" x14ac:dyDescent="0.25">
      <c r="A826484" s="242"/>
    </row>
    <row r="826485" spans="1:1" x14ac:dyDescent="0.25">
      <c r="A826485" s="242"/>
    </row>
    <row r="826486" spans="1:1" x14ac:dyDescent="0.25">
      <c r="A826486" s="242"/>
    </row>
    <row r="826487" spans="1:1" x14ac:dyDescent="0.25">
      <c r="A826487" s="242"/>
    </row>
    <row r="826488" spans="1:1" x14ac:dyDescent="0.25">
      <c r="A826488" s="242"/>
    </row>
    <row r="826489" spans="1:1" x14ac:dyDescent="0.25">
      <c r="A826489" s="242"/>
    </row>
    <row r="826490" spans="1:1" x14ac:dyDescent="0.25">
      <c r="A826490" s="242"/>
    </row>
    <row r="826491" spans="1:1" x14ac:dyDescent="0.25">
      <c r="A826491" s="242"/>
    </row>
    <row r="826492" spans="1:1" x14ac:dyDescent="0.25">
      <c r="A826492" s="242"/>
    </row>
    <row r="826493" spans="1:1" x14ac:dyDescent="0.25">
      <c r="A826493" s="242"/>
    </row>
    <row r="826494" spans="1:1" x14ac:dyDescent="0.25">
      <c r="A826494" s="242"/>
    </row>
    <row r="826495" spans="1:1" x14ac:dyDescent="0.25">
      <c r="A826495" s="242"/>
    </row>
    <row r="826496" spans="1:1" x14ac:dyDescent="0.25">
      <c r="A826496" s="242"/>
    </row>
    <row r="826497" spans="1:1" x14ac:dyDescent="0.25">
      <c r="A826497" s="242"/>
    </row>
    <row r="826498" spans="1:1" x14ac:dyDescent="0.25">
      <c r="A826498" s="242"/>
    </row>
    <row r="826499" spans="1:1" x14ac:dyDescent="0.25">
      <c r="A826499" s="242"/>
    </row>
    <row r="826500" spans="1:1" x14ac:dyDescent="0.25">
      <c r="A826500" s="242"/>
    </row>
    <row r="826501" spans="1:1" x14ac:dyDescent="0.25">
      <c r="A826501" s="242"/>
    </row>
    <row r="826502" spans="1:1" x14ac:dyDescent="0.25">
      <c r="A826502" s="242"/>
    </row>
    <row r="826503" spans="1:1" x14ac:dyDescent="0.25">
      <c r="A826503" s="242"/>
    </row>
    <row r="826504" spans="1:1" x14ac:dyDescent="0.25">
      <c r="A826504" s="242"/>
    </row>
    <row r="826505" spans="1:1" x14ac:dyDescent="0.25">
      <c r="A826505" s="242"/>
    </row>
    <row r="826506" spans="1:1" x14ac:dyDescent="0.25">
      <c r="A826506" s="242"/>
    </row>
    <row r="826507" spans="1:1" x14ac:dyDescent="0.25">
      <c r="A826507" s="242"/>
    </row>
    <row r="826508" spans="1:1" x14ac:dyDescent="0.25">
      <c r="A826508" s="242"/>
    </row>
    <row r="826509" spans="1:1" x14ac:dyDescent="0.25">
      <c r="A826509" s="242"/>
    </row>
    <row r="826510" spans="1:1" x14ac:dyDescent="0.25">
      <c r="A826510" s="242"/>
    </row>
    <row r="826511" spans="1:1" x14ac:dyDescent="0.25">
      <c r="A826511" s="242"/>
    </row>
    <row r="826512" spans="1:1" x14ac:dyDescent="0.25">
      <c r="A826512" s="242"/>
    </row>
    <row r="826513" spans="1:1" x14ac:dyDescent="0.25">
      <c r="A826513" s="242"/>
    </row>
    <row r="826514" spans="1:1" x14ac:dyDescent="0.25">
      <c r="A826514" s="242"/>
    </row>
    <row r="826515" spans="1:1" x14ac:dyDescent="0.25">
      <c r="A826515" s="242"/>
    </row>
    <row r="826516" spans="1:1" x14ac:dyDescent="0.25">
      <c r="A826516" s="242"/>
    </row>
    <row r="826517" spans="1:1" x14ac:dyDescent="0.25">
      <c r="A826517" s="242"/>
    </row>
    <row r="826518" spans="1:1" x14ac:dyDescent="0.25">
      <c r="A826518" s="242"/>
    </row>
    <row r="826519" spans="1:1" x14ac:dyDescent="0.25">
      <c r="A826519" s="242"/>
    </row>
    <row r="826520" spans="1:1" x14ac:dyDescent="0.25">
      <c r="A826520" s="242"/>
    </row>
    <row r="826521" spans="1:1" x14ac:dyDescent="0.25">
      <c r="A826521" s="242"/>
    </row>
    <row r="826522" spans="1:1" x14ac:dyDescent="0.25">
      <c r="A826522" s="242"/>
    </row>
    <row r="826523" spans="1:1" x14ac:dyDescent="0.25">
      <c r="A826523" s="242"/>
    </row>
    <row r="826524" spans="1:1" x14ac:dyDescent="0.25">
      <c r="A826524" s="242"/>
    </row>
    <row r="826525" spans="1:1" x14ac:dyDescent="0.25">
      <c r="A826525" s="242"/>
    </row>
    <row r="826526" spans="1:1" x14ac:dyDescent="0.25">
      <c r="A826526" s="242"/>
    </row>
    <row r="826527" spans="1:1" x14ac:dyDescent="0.25">
      <c r="A826527" s="242"/>
    </row>
    <row r="826528" spans="1:1" x14ac:dyDescent="0.25">
      <c r="A826528" s="242"/>
    </row>
    <row r="826529" spans="1:1" x14ac:dyDescent="0.25">
      <c r="A826529" s="242"/>
    </row>
    <row r="826530" spans="1:1" x14ac:dyDescent="0.25">
      <c r="A826530" s="242"/>
    </row>
    <row r="826531" spans="1:1" x14ac:dyDescent="0.25">
      <c r="A826531" s="242"/>
    </row>
    <row r="826532" spans="1:1" x14ac:dyDescent="0.25">
      <c r="A826532" s="242"/>
    </row>
    <row r="826533" spans="1:1" x14ac:dyDescent="0.25">
      <c r="A826533" s="242"/>
    </row>
    <row r="826534" spans="1:1" x14ac:dyDescent="0.25">
      <c r="A826534" s="242"/>
    </row>
    <row r="826535" spans="1:1" x14ac:dyDescent="0.25">
      <c r="A826535" s="242"/>
    </row>
    <row r="826536" spans="1:1" x14ac:dyDescent="0.25">
      <c r="A826536" s="242"/>
    </row>
    <row r="826537" spans="1:1" x14ac:dyDescent="0.25">
      <c r="A826537" s="242"/>
    </row>
    <row r="826538" spans="1:1" x14ac:dyDescent="0.25">
      <c r="A826538" s="242"/>
    </row>
    <row r="826539" spans="1:1" x14ac:dyDescent="0.25">
      <c r="A826539" s="242"/>
    </row>
    <row r="826540" spans="1:1" x14ac:dyDescent="0.25">
      <c r="A826540" s="242"/>
    </row>
    <row r="826541" spans="1:1" x14ac:dyDescent="0.25">
      <c r="A826541" s="242"/>
    </row>
    <row r="826542" spans="1:1" x14ac:dyDescent="0.25">
      <c r="A826542" s="242"/>
    </row>
    <row r="826543" spans="1:1" x14ac:dyDescent="0.25">
      <c r="A826543" s="242"/>
    </row>
    <row r="826544" spans="1:1" x14ac:dyDescent="0.25">
      <c r="A826544" s="242"/>
    </row>
    <row r="826545" spans="1:1" x14ac:dyDescent="0.25">
      <c r="A826545" s="242"/>
    </row>
    <row r="826546" spans="1:1" x14ac:dyDescent="0.25">
      <c r="A826546" s="242"/>
    </row>
    <row r="826547" spans="1:1" x14ac:dyDescent="0.25">
      <c r="A826547" s="242"/>
    </row>
    <row r="826548" spans="1:1" x14ac:dyDescent="0.25">
      <c r="A826548" s="242"/>
    </row>
    <row r="826549" spans="1:1" x14ac:dyDescent="0.25">
      <c r="A826549" s="242"/>
    </row>
    <row r="826550" spans="1:1" x14ac:dyDescent="0.25">
      <c r="A826550" s="242"/>
    </row>
    <row r="826551" spans="1:1" x14ac:dyDescent="0.25">
      <c r="A826551" s="242"/>
    </row>
    <row r="826552" spans="1:1" x14ac:dyDescent="0.25">
      <c r="A826552" s="242"/>
    </row>
    <row r="826553" spans="1:1" x14ac:dyDescent="0.25">
      <c r="A826553" s="242"/>
    </row>
    <row r="826554" spans="1:1" x14ac:dyDescent="0.25">
      <c r="A826554" s="242"/>
    </row>
    <row r="826555" spans="1:1" x14ac:dyDescent="0.25">
      <c r="A826555" s="242"/>
    </row>
    <row r="826556" spans="1:1" x14ac:dyDescent="0.25">
      <c r="A826556" s="242"/>
    </row>
    <row r="826557" spans="1:1" x14ac:dyDescent="0.25">
      <c r="A826557" s="242"/>
    </row>
    <row r="826558" spans="1:1" x14ac:dyDescent="0.25">
      <c r="A826558" s="242"/>
    </row>
    <row r="826559" spans="1:1" x14ac:dyDescent="0.25">
      <c r="A826559" s="242"/>
    </row>
    <row r="826560" spans="1:1" x14ac:dyDescent="0.25">
      <c r="A826560" s="242"/>
    </row>
    <row r="826561" spans="1:1" x14ac:dyDescent="0.25">
      <c r="A826561" s="242"/>
    </row>
    <row r="826562" spans="1:1" x14ac:dyDescent="0.25">
      <c r="A826562" s="242"/>
    </row>
    <row r="826563" spans="1:1" x14ac:dyDescent="0.25">
      <c r="A826563" s="242"/>
    </row>
    <row r="826564" spans="1:1" x14ac:dyDescent="0.25">
      <c r="A826564" s="242"/>
    </row>
    <row r="826565" spans="1:1" x14ac:dyDescent="0.25">
      <c r="A826565" s="242"/>
    </row>
    <row r="826566" spans="1:1" x14ac:dyDescent="0.25">
      <c r="A826566" s="242"/>
    </row>
    <row r="826567" spans="1:1" x14ac:dyDescent="0.25">
      <c r="A826567" s="242"/>
    </row>
    <row r="826568" spans="1:1" x14ac:dyDescent="0.25">
      <c r="A826568" s="242"/>
    </row>
    <row r="826569" spans="1:1" x14ac:dyDescent="0.25">
      <c r="A826569" s="242"/>
    </row>
    <row r="826570" spans="1:1" x14ac:dyDescent="0.25">
      <c r="A826570" s="242"/>
    </row>
    <row r="826571" spans="1:1" x14ac:dyDescent="0.25">
      <c r="A826571" s="242"/>
    </row>
    <row r="826572" spans="1:1" x14ac:dyDescent="0.25">
      <c r="A826572" s="242"/>
    </row>
    <row r="826573" spans="1:1" x14ac:dyDescent="0.25">
      <c r="A826573" s="242"/>
    </row>
    <row r="826574" spans="1:1" x14ac:dyDescent="0.25">
      <c r="A826574" s="242"/>
    </row>
    <row r="826575" spans="1:1" x14ac:dyDescent="0.25">
      <c r="A826575" s="242"/>
    </row>
    <row r="826576" spans="1:1" x14ac:dyDescent="0.25">
      <c r="A826576" s="242"/>
    </row>
    <row r="826577" spans="1:1" x14ac:dyDescent="0.25">
      <c r="A826577" s="242"/>
    </row>
    <row r="826578" spans="1:1" x14ac:dyDescent="0.25">
      <c r="A826578" s="242"/>
    </row>
    <row r="826579" spans="1:1" x14ac:dyDescent="0.25">
      <c r="A826579" s="242"/>
    </row>
    <row r="826580" spans="1:1" x14ac:dyDescent="0.25">
      <c r="A826580" s="242"/>
    </row>
    <row r="826581" spans="1:1" x14ac:dyDescent="0.25">
      <c r="A826581" s="242"/>
    </row>
    <row r="826582" spans="1:1" x14ac:dyDescent="0.25">
      <c r="A826582" s="242"/>
    </row>
    <row r="826583" spans="1:1" x14ac:dyDescent="0.25">
      <c r="A826583" s="242"/>
    </row>
    <row r="826584" spans="1:1" x14ac:dyDescent="0.25">
      <c r="A826584" s="242"/>
    </row>
    <row r="826585" spans="1:1" x14ac:dyDescent="0.25">
      <c r="A826585" s="242"/>
    </row>
    <row r="826586" spans="1:1" x14ac:dyDescent="0.25">
      <c r="A826586" s="242"/>
    </row>
    <row r="826587" spans="1:1" x14ac:dyDescent="0.25">
      <c r="A826587" s="242"/>
    </row>
    <row r="826588" spans="1:1" x14ac:dyDescent="0.25">
      <c r="A826588" s="242"/>
    </row>
    <row r="826589" spans="1:1" x14ac:dyDescent="0.25">
      <c r="A826589" s="242"/>
    </row>
    <row r="826590" spans="1:1" x14ac:dyDescent="0.25">
      <c r="A826590" s="242"/>
    </row>
    <row r="826591" spans="1:1" x14ac:dyDescent="0.25">
      <c r="A826591" s="242"/>
    </row>
    <row r="826592" spans="1:1" x14ac:dyDescent="0.25">
      <c r="A826592" s="242"/>
    </row>
    <row r="826593" spans="1:1" x14ac:dyDescent="0.25">
      <c r="A826593" s="242"/>
    </row>
    <row r="826594" spans="1:1" x14ac:dyDescent="0.25">
      <c r="A826594" s="242"/>
    </row>
    <row r="826595" spans="1:1" x14ac:dyDescent="0.25">
      <c r="A826595" s="242"/>
    </row>
    <row r="826596" spans="1:1" x14ac:dyDescent="0.25">
      <c r="A826596" s="242"/>
    </row>
    <row r="826597" spans="1:1" x14ac:dyDescent="0.25">
      <c r="A826597" s="242"/>
    </row>
    <row r="826598" spans="1:1" x14ac:dyDescent="0.25">
      <c r="A826598" s="242"/>
    </row>
    <row r="826599" spans="1:1" x14ac:dyDescent="0.25">
      <c r="A826599" s="242"/>
    </row>
    <row r="826600" spans="1:1" x14ac:dyDescent="0.25">
      <c r="A826600" s="242"/>
    </row>
    <row r="826601" spans="1:1" x14ac:dyDescent="0.25">
      <c r="A826601" s="242"/>
    </row>
    <row r="826602" spans="1:1" x14ac:dyDescent="0.25">
      <c r="A826602" s="242"/>
    </row>
    <row r="826603" spans="1:1" x14ac:dyDescent="0.25">
      <c r="A826603" s="242"/>
    </row>
    <row r="826604" spans="1:1" x14ac:dyDescent="0.25">
      <c r="A826604" s="242"/>
    </row>
    <row r="826605" spans="1:1" x14ac:dyDescent="0.25">
      <c r="A826605" s="242"/>
    </row>
    <row r="826606" spans="1:1" x14ac:dyDescent="0.25">
      <c r="A826606" s="242"/>
    </row>
    <row r="826607" spans="1:1" x14ac:dyDescent="0.25">
      <c r="A826607" s="242"/>
    </row>
    <row r="826608" spans="1:1" x14ac:dyDescent="0.25">
      <c r="A826608" s="242"/>
    </row>
    <row r="826609" spans="1:1" x14ac:dyDescent="0.25">
      <c r="A826609" s="242"/>
    </row>
    <row r="826610" spans="1:1" x14ac:dyDescent="0.25">
      <c r="A826610" s="242"/>
    </row>
    <row r="826611" spans="1:1" x14ac:dyDescent="0.25">
      <c r="A826611" s="242"/>
    </row>
    <row r="826612" spans="1:1" x14ac:dyDescent="0.25">
      <c r="A826612" s="242"/>
    </row>
    <row r="826613" spans="1:1" x14ac:dyDescent="0.25">
      <c r="A826613" s="242"/>
    </row>
    <row r="826614" spans="1:1" x14ac:dyDescent="0.25">
      <c r="A826614" s="242"/>
    </row>
    <row r="826615" spans="1:1" x14ac:dyDescent="0.25">
      <c r="A826615" s="242"/>
    </row>
    <row r="826616" spans="1:1" x14ac:dyDescent="0.25">
      <c r="A826616" s="242"/>
    </row>
    <row r="826617" spans="1:1" x14ac:dyDescent="0.25">
      <c r="A826617" s="242"/>
    </row>
    <row r="826618" spans="1:1" x14ac:dyDescent="0.25">
      <c r="A826618" s="242"/>
    </row>
    <row r="826619" spans="1:1" x14ac:dyDescent="0.25">
      <c r="A826619" s="242"/>
    </row>
    <row r="826620" spans="1:1" x14ac:dyDescent="0.25">
      <c r="A826620" s="242"/>
    </row>
    <row r="826621" spans="1:1" x14ac:dyDescent="0.25">
      <c r="A826621" s="242"/>
    </row>
    <row r="826622" spans="1:1" x14ac:dyDescent="0.25">
      <c r="A826622" s="242"/>
    </row>
    <row r="826623" spans="1:1" x14ac:dyDescent="0.25">
      <c r="A826623" s="242"/>
    </row>
    <row r="826624" spans="1:1" x14ac:dyDescent="0.25">
      <c r="A826624" s="242"/>
    </row>
    <row r="826625" spans="1:1" x14ac:dyDescent="0.25">
      <c r="A826625" s="242"/>
    </row>
    <row r="826626" spans="1:1" x14ac:dyDescent="0.25">
      <c r="A826626" s="242"/>
    </row>
    <row r="826627" spans="1:1" x14ac:dyDescent="0.25">
      <c r="A826627" s="242"/>
    </row>
    <row r="826628" spans="1:1" x14ac:dyDescent="0.25">
      <c r="A826628" s="242"/>
    </row>
    <row r="826629" spans="1:1" x14ac:dyDescent="0.25">
      <c r="A826629" s="242"/>
    </row>
    <row r="826630" spans="1:1" x14ac:dyDescent="0.25">
      <c r="A826630" s="242"/>
    </row>
    <row r="826631" spans="1:1" x14ac:dyDescent="0.25">
      <c r="A826631" s="242"/>
    </row>
    <row r="826632" spans="1:1" x14ac:dyDescent="0.25">
      <c r="A826632" s="242"/>
    </row>
    <row r="826633" spans="1:1" x14ac:dyDescent="0.25">
      <c r="A826633" s="242"/>
    </row>
    <row r="826634" spans="1:1" x14ac:dyDescent="0.25">
      <c r="A826634" s="242"/>
    </row>
    <row r="826635" spans="1:1" x14ac:dyDescent="0.25">
      <c r="A826635" s="242"/>
    </row>
    <row r="826636" spans="1:1" x14ac:dyDescent="0.25">
      <c r="A826636" s="242"/>
    </row>
    <row r="826637" spans="1:1" x14ac:dyDescent="0.25">
      <c r="A826637" s="242"/>
    </row>
    <row r="826638" spans="1:1" x14ac:dyDescent="0.25">
      <c r="A826638" s="242"/>
    </row>
    <row r="826639" spans="1:1" x14ac:dyDescent="0.25">
      <c r="A826639" s="242"/>
    </row>
    <row r="826640" spans="1:1" x14ac:dyDescent="0.25">
      <c r="A826640" s="242"/>
    </row>
    <row r="826641" spans="1:1" x14ac:dyDescent="0.25">
      <c r="A826641" s="242"/>
    </row>
    <row r="826642" spans="1:1" x14ac:dyDescent="0.25">
      <c r="A826642" s="242"/>
    </row>
    <row r="826643" spans="1:1" x14ac:dyDescent="0.25">
      <c r="A826643" s="242"/>
    </row>
    <row r="826644" spans="1:1" x14ac:dyDescent="0.25">
      <c r="A826644" s="242"/>
    </row>
    <row r="826645" spans="1:1" x14ac:dyDescent="0.25">
      <c r="A826645" s="242"/>
    </row>
    <row r="826646" spans="1:1" x14ac:dyDescent="0.25">
      <c r="A826646" s="242"/>
    </row>
    <row r="826647" spans="1:1" x14ac:dyDescent="0.25">
      <c r="A826647" s="242"/>
    </row>
    <row r="826648" spans="1:1" x14ac:dyDescent="0.25">
      <c r="A826648" s="242"/>
    </row>
    <row r="826649" spans="1:1" x14ac:dyDescent="0.25">
      <c r="A826649" s="242"/>
    </row>
    <row r="826650" spans="1:1" x14ac:dyDescent="0.25">
      <c r="A826650" s="242"/>
    </row>
    <row r="826651" spans="1:1" x14ac:dyDescent="0.25">
      <c r="A826651" s="242"/>
    </row>
    <row r="826652" spans="1:1" x14ac:dyDescent="0.25">
      <c r="A826652" s="242"/>
    </row>
    <row r="826653" spans="1:1" x14ac:dyDescent="0.25">
      <c r="A826653" s="242"/>
    </row>
    <row r="826654" spans="1:1" x14ac:dyDescent="0.25">
      <c r="A826654" s="242"/>
    </row>
    <row r="826655" spans="1:1" x14ac:dyDescent="0.25">
      <c r="A826655" s="242"/>
    </row>
    <row r="826656" spans="1:1" x14ac:dyDescent="0.25">
      <c r="A826656" s="242"/>
    </row>
    <row r="826657" spans="1:1" x14ac:dyDescent="0.25">
      <c r="A826657" s="242"/>
    </row>
    <row r="826658" spans="1:1" x14ac:dyDescent="0.25">
      <c r="A826658" s="242"/>
    </row>
    <row r="826659" spans="1:1" x14ac:dyDescent="0.25">
      <c r="A826659" s="242"/>
    </row>
    <row r="826660" spans="1:1" x14ac:dyDescent="0.25">
      <c r="A826660" s="242"/>
    </row>
    <row r="826661" spans="1:1" x14ac:dyDescent="0.25">
      <c r="A826661" s="242"/>
    </row>
    <row r="826662" spans="1:1" x14ac:dyDescent="0.25">
      <c r="A826662" s="242"/>
    </row>
    <row r="826663" spans="1:1" x14ac:dyDescent="0.25">
      <c r="A826663" s="242"/>
    </row>
    <row r="826664" spans="1:1" x14ac:dyDescent="0.25">
      <c r="A826664" s="242"/>
    </row>
    <row r="826665" spans="1:1" x14ac:dyDescent="0.25">
      <c r="A826665" s="242"/>
    </row>
    <row r="826666" spans="1:1" x14ac:dyDescent="0.25">
      <c r="A826666" s="242"/>
    </row>
    <row r="826667" spans="1:1" x14ac:dyDescent="0.25">
      <c r="A826667" s="242"/>
    </row>
    <row r="826668" spans="1:1" x14ac:dyDescent="0.25">
      <c r="A826668" s="242"/>
    </row>
    <row r="826669" spans="1:1" x14ac:dyDescent="0.25">
      <c r="A826669" s="242"/>
    </row>
    <row r="826670" spans="1:1" x14ac:dyDescent="0.25">
      <c r="A826670" s="242"/>
    </row>
    <row r="826671" spans="1:1" x14ac:dyDescent="0.25">
      <c r="A826671" s="242"/>
    </row>
    <row r="826672" spans="1:1" x14ac:dyDescent="0.25">
      <c r="A826672" s="242"/>
    </row>
    <row r="826673" spans="1:1" x14ac:dyDescent="0.25">
      <c r="A826673" s="242"/>
    </row>
    <row r="826674" spans="1:1" x14ac:dyDescent="0.25">
      <c r="A826674" s="242"/>
    </row>
    <row r="826675" spans="1:1" x14ac:dyDescent="0.25">
      <c r="A826675" s="242"/>
    </row>
    <row r="826676" spans="1:1" x14ac:dyDescent="0.25">
      <c r="A826676" s="242"/>
    </row>
    <row r="826677" spans="1:1" x14ac:dyDescent="0.25">
      <c r="A826677" s="242"/>
    </row>
    <row r="826678" spans="1:1" x14ac:dyDescent="0.25">
      <c r="A826678" s="242"/>
    </row>
    <row r="826679" spans="1:1" x14ac:dyDescent="0.25">
      <c r="A826679" s="242"/>
    </row>
    <row r="826680" spans="1:1" x14ac:dyDescent="0.25">
      <c r="A826680" s="242"/>
    </row>
    <row r="826681" spans="1:1" x14ac:dyDescent="0.25">
      <c r="A826681" s="242"/>
    </row>
    <row r="826682" spans="1:1" x14ac:dyDescent="0.25">
      <c r="A826682" s="242"/>
    </row>
    <row r="826683" spans="1:1" x14ac:dyDescent="0.25">
      <c r="A826683" s="242"/>
    </row>
    <row r="826684" spans="1:1" x14ac:dyDescent="0.25">
      <c r="A826684" s="242"/>
    </row>
    <row r="826685" spans="1:1" x14ac:dyDescent="0.25">
      <c r="A826685" s="242"/>
    </row>
    <row r="826686" spans="1:1" x14ac:dyDescent="0.25">
      <c r="A826686" s="242"/>
    </row>
    <row r="826687" spans="1:1" x14ac:dyDescent="0.25">
      <c r="A826687" s="242"/>
    </row>
    <row r="826688" spans="1:1" x14ac:dyDescent="0.25">
      <c r="A826688" s="242"/>
    </row>
    <row r="826689" spans="1:1" x14ac:dyDescent="0.25">
      <c r="A826689" s="242"/>
    </row>
    <row r="826690" spans="1:1" x14ac:dyDescent="0.25">
      <c r="A826690" s="242"/>
    </row>
    <row r="826691" spans="1:1" x14ac:dyDescent="0.25">
      <c r="A826691" s="242"/>
    </row>
    <row r="826692" spans="1:1" x14ac:dyDescent="0.25">
      <c r="A826692" s="242"/>
    </row>
    <row r="826693" spans="1:1" x14ac:dyDescent="0.25">
      <c r="A826693" s="242"/>
    </row>
    <row r="826694" spans="1:1" x14ac:dyDescent="0.25">
      <c r="A826694" s="242"/>
    </row>
    <row r="826695" spans="1:1" x14ac:dyDescent="0.25">
      <c r="A826695" s="242"/>
    </row>
    <row r="826696" spans="1:1" x14ac:dyDescent="0.25">
      <c r="A826696" s="242"/>
    </row>
    <row r="826697" spans="1:1" x14ac:dyDescent="0.25">
      <c r="A826697" s="242"/>
    </row>
    <row r="826698" spans="1:1" x14ac:dyDescent="0.25">
      <c r="A826698" s="242"/>
    </row>
    <row r="826699" spans="1:1" x14ac:dyDescent="0.25">
      <c r="A826699" s="242"/>
    </row>
    <row r="826700" spans="1:1" x14ac:dyDescent="0.25">
      <c r="A826700" s="242"/>
    </row>
    <row r="826701" spans="1:1" x14ac:dyDescent="0.25">
      <c r="A826701" s="242"/>
    </row>
    <row r="826702" spans="1:1" x14ac:dyDescent="0.25">
      <c r="A826702" s="242"/>
    </row>
    <row r="826703" spans="1:1" x14ac:dyDescent="0.25">
      <c r="A826703" s="242"/>
    </row>
    <row r="826704" spans="1:1" x14ac:dyDescent="0.25">
      <c r="A826704" s="242"/>
    </row>
    <row r="826705" spans="1:1" x14ac:dyDescent="0.25">
      <c r="A826705" s="242"/>
    </row>
    <row r="826706" spans="1:1" x14ac:dyDescent="0.25">
      <c r="A826706" s="242"/>
    </row>
    <row r="826707" spans="1:1" x14ac:dyDescent="0.25">
      <c r="A826707" s="242"/>
    </row>
    <row r="826708" spans="1:1" x14ac:dyDescent="0.25">
      <c r="A826708" s="242"/>
    </row>
    <row r="826709" spans="1:1" x14ac:dyDescent="0.25">
      <c r="A826709" s="242"/>
    </row>
    <row r="826710" spans="1:1" x14ac:dyDescent="0.25">
      <c r="A826710" s="242"/>
    </row>
    <row r="826711" spans="1:1" x14ac:dyDescent="0.25">
      <c r="A826711" s="242"/>
    </row>
    <row r="826712" spans="1:1" x14ac:dyDescent="0.25">
      <c r="A826712" s="242"/>
    </row>
    <row r="826713" spans="1:1" x14ac:dyDescent="0.25">
      <c r="A826713" s="242"/>
    </row>
    <row r="826714" spans="1:1" x14ac:dyDescent="0.25">
      <c r="A826714" s="242"/>
    </row>
    <row r="826715" spans="1:1" x14ac:dyDescent="0.25">
      <c r="A826715" s="242"/>
    </row>
    <row r="826716" spans="1:1" x14ac:dyDescent="0.25">
      <c r="A826716" s="242"/>
    </row>
    <row r="826717" spans="1:1" x14ac:dyDescent="0.25">
      <c r="A826717" s="242"/>
    </row>
    <row r="826718" spans="1:1" x14ac:dyDescent="0.25">
      <c r="A826718" s="242"/>
    </row>
    <row r="826719" spans="1:1" x14ac:dyDescent="0.25">
      <c r="A826719" s="242"/>
    </row>
    <row r="826720" spans="1:1" x14ac:dyDescent="0.25">
      <c r="A826720" s="242"/>
    </row>
    <row r="826721" spans="1:1" x14ac:dyDescent="0.25">
      <c r="A826721" s="242"/>
    </row>
    <row r="826722" spans="1:1" x14ac:dyDescent="0.25">
      <c r="A826722" s="242"/>
    </row>
    <row r="826723" spans="1:1" x14ac:dyDescent="0.25">
      <c r="A826723" s="242"/>
    </row>
    <row r="826724" spans="1:1" x14ac:dyDescent="0.25">
      <c r="A826724" s="242"/>
    </row>
    <row r="826725" spans="1:1" x14ac:dyDescent="0.25">
      <c r="A826725" s="242"/>
    </row>
    <row r="826726" spans="1:1" x14ac:dyDescent="0.25">
      <c r="A826726" s="242"/>
    </row>
    <row r="826727" spans="1:1" x14ac:dyDescent="0.25">
      <c r="A826727" s="242"/>
    </row>
    <row r="826728" spans="1:1" x14ac:dyDescent="0.25">
      <c r="A826728" s="242"/>
    </row>
    <row r="826729" spans="1:1" x14ac:dyDescent="0.25">
      <c r="A826729" s="242"/>
    </row>
    <row r="826730" spans="1:1" x14ac:dyDescent="0.25">
      <c r="A826730" s="242"/>
    </row>
    <row r="826731" spans="1:1" x14ac:dyDescent="0.25">
      <c r="A826731" s="242"/>
    </row>
    <row r="826732" spans="1:1" x14ac:dyDescent="0.25">
      <c r="A826732" s="242"/>
    </row>
    <row r="826733" spans="1:1" x14ac:dyDescent="0.25">
      <c r="A826733" s="242"/>
    </row>
    <row r="826734" spans="1:1" x14ac:dyDescent="0.25">
      <c r="A826734" s="242"/>
    </row>
    <row r="826735" spans="1:1" x14ac:dyDescent="0.25">
      <c r="A826735" s="242"/>
    </row>
    <row r="826736" spans="1:1" x14ac:dyDescent="0.25">
      <c r="A826736" s="242"/>
    </row>
    <row r="826737" spans="1:1" x14ac:dyDescent="0.25">
      <c r="A826737" s="242"/>
    </row>
    <row r="826738" spans="1:1" x14ac:dyDescent="0.25">
      <c r="A826738" s="242"/>
    </row>
    <row r="826739" spans="1:1" x14ac:dyDescent="0.25">
      <c r="A826739" s="242"/>
    </row>
    <row r="826740" spans="1:1" x14ac:dyDescent="0.25">
      <c r="A826740" s="242"/>
    </row>
    <row r="826741" spans="1:1" x14ac:dyDescent="0.25">
      <c r="A826741" s="242"/>
    </row>
    <row r="826742" spans="1:1" x14ac:dyDescent="0.25">
      <c r="A826742" s="242"/>
    </row>
    <row r="826743" spans="1:1" x14ac:dyDescent="0.25">
      <c r="A826743" s="242"/>
    </row>
    <row r="826744" spans="1:1" x14ac:dyDescent="0.25">
      <c r="A826744" s="242"/>
    </row>
    <row r="826745" spans="1:1" x14ac:dyDescent="0.25">
      <c r="A826745" s="242"/>
    </row>
    <row r="826746" spans="1:1" x14ac:dyDescent="0.25">
      <c r="A826746" s="242"/>
    </row>
    <row r="826747" spans="1:1" x14ac:dyDescent="0.25">
      <c r="A826747" s="242"/>
    </row>
    <row r="826748" spans="1:1" x14ac:dyDescent="0.25">
      <c r="A826748" s="242"/>
    </row>
    <row r="826749" spans="1:1" x14ac:dyDescent="0.25">
      <c r="A826749" s="242"/>
    </row>
    <row r="826750" spans="1:1" x14ac:dyDescent="0.25">
      <c r="A826750" s="242"/>
    </row>
    <row r="826751" spans="1:1" x14ac:dyDescent="0.25">
      <c r="A826751" s="242"/>
    </row>
    <row r="826752" spans="1:1" x14ac:dyDescent="0.25">
      <c r="A826752" s="242"/>
    </row>
    <row r="826753" spans="1:1" x14ac:dyDescent="0.25">
      <c r="A826753" s="242"/>
    </row>
    <row r="826754" spans="1:1" x14ac:dyDescent="0.25">
      <c r="A826754" s="242"/>
    </row>
    <row r="826755" spans="1:1" x14ac:dyDescent="0.25">
      <c r="A826755" s="242"/>
    </row>
    <row r="826756" spans="1:1" x14ac:dyDescent="0.25">
      <c r="A826756" s="242"/>
    </row>
    <row r="826757" spans="1:1" x14ac:dyDescent="0.25">
      <c r="A826757" s="242"/>
    </row>
    <row r="826758" spans="1:1" x14ac:dyDescent="0.25">
      <c r="A826758" s="242"/>
    </row>
    <row r="826759" spans="1:1" x14ac:dyDescent="0.25">
      <c r="A826759" s="242"/>
    </row>
    <row r="826760" spans="1:1" x14ac:dyDescent="0.25">
      <c r="A826760" s="242"/>
    </row>
    <row r="826761" spans="1:1" x14ac:dyDescent="0.25">
      <c r="A826761" s="242"/>
    </row>
    <row r="826762" spans="1:1" x14ac:dyDescent="0.25">
      <c r="A826762" s="242"/>
    </row>
    <row r="826763" spans="1:1" x14ac:dyDescent="0.25">
      <c r="A826763" s="242"/>
    </row>
    <row r="826764" spans="1:1" x14ac:dyDescent="0.25">
      <c r="A826764" s="242"/>
    </row>
    <row r="826765" spans="1:1" x14ac:dyDescent="0.25">
      <c r="A826765" s="242"/>
    </row>
    <row r="826766" spans="1:1" x14ac:dyDescent="0.25">
      <c r="A826766" s="242"/>
    </row>
    <row r="826767" spans="1:1" x14ac:dyDescent="0.25">
      <c r="A826767" s="242"/>
    </row>
    <row r="826768" spans="1:1" x14ac:dyDescent="0.25">
      <c r="A826768" s="242"/>
    </row>
    <row r="826769" spans="1:1" x14ac:dyDescent="0.25">
      <c r="A826769" s="242"/>
    </row>
    <row r="826770" spans="1:1" x14ac:dyDescent="0.25">
      <c r="A826770" s="242"/>
    </row>
    <row r="826771" spans="1:1" x14ac:dyDescent="0.25">
      <c r="A826771" s="242"/>
    </row>
    <row r="826772" spans="1:1" x14ac:dyDescent="0.25">
      <c r="A826772" s="242"/>
    </row>
    <row r="826773" spans="1:1" x14ac:dyDescent="0.25">
      <c r="A826773" s="242"/>
    </row>
    <row r="826774" spans="1:1" x14ac:dyDescent="0.25">
      <c r="A826774" s="242"/>
    </row>
    <row r="826775" spans="1:1" x14ac:dyDescent="0.25">
      <c r="A826775" s="242"/>
    </row>
    <row r="826776" spans="1:1" x14ac:dyDescent="0.25">
      <c r="A826776" s="242"/>
    </row>
    <row r="826777" spans="1:1" x14ac:dyDescent="0.25">
      <c r="A826777" s="242"/>
    </row>
    <row r="826778" spans="1:1" x14ac:dyDescent="0.25">
      <c r="A826778" s="242"/>
    </row>
    <row r="826779" spans="1:1" x14ac:dyDescent="0.25">
      <c r="A826779" s="242"/>
    </row>
    <row r="826780" spans="1:1" x14ac:dyDescent="0.25">
      <c r="A826780" s="242"/>
    </row>
    <row r="826781" spans="1:1" x14ac:dyDescent="0.25">
      <c r="A826781" s="242"/>
    </row>
    <row r="826782" spans="1:1" x14ac:dyDescent="0.25">
      <c r="A826782" s="242"/>
    </row>
    <row r="826783" spans="1:1" x14ac:dyDescent="0.25">
      <c r="A826783" s="242"/>
    </row>
    <row r="826784" spans="1:1" x14ac:dyDescent="0.25">
      <c r="A826784" s="242"/>
    </row>
    <row r="826785" spans="1:1" x14ac:dyDescent="0.25">
      <c r="A826785" s="242"/>
    </row>
    <row r="826786" spans="1:1" x14ac:dyDescent="0.25">
      <c r="A826786" s="242"/>
    </row>
    <row r="826787" spans="1:1" x14ac:dyDescent="0.25">
      <c r="A826787" s="242"/>
    </row>
    <row r="826788" spans="1:1" x14ac:dyDescent="0.25">
      <c r="A826788" s="242"/>
    </row>
    <row r="826789" spans="1:1" x14ac:dyDescent="0.25">
      <c r="A826789" s="242"/>
    </row>
    <row r="826790" spans="1:1" x14ac:dyDescent="0.25">
      <c r="A826790" s="242"/>
    </row>
    <row r="826791" spans="1:1" x14ac:dyDescent="0.25">
      <c r="A826791" s="242"/>
    </row>
    <row r="826792" spans="1:1" x14ac:dyDescent="0.25">
      <c r="A826792" s="242"/>
    </row>
    <row r="826793" spans="1:1" x14ac:dyDescent="0.25">
      <c r="A826793" s="242"/>
    </row>
    <row r="826794" spans="1:1" x14ac:dyDescent="0.25">
      <c r="A826794" s="242"/>
    </row>
    <row r="826795" spans="1:1" x14ac:dyDescent="0.25">
      <c r="A826795" s="242"/>
    </row>
    <row r="826796" spans="1:1" x14ac:dyDescent="0.25">
      <c r="A826796" s="242"/>
    </row>
    <row r="826797" spans="1:1" x14ac:dyDescent="0.25">
      <c r="A826797" s="242"/>
    </row>
    <row r="826798" spans="1:1" x14ac:dyDescent="0.25">
      <c r="A826798" s="242"/>
    </row>
    <row r="826799" spans="1:1" x14ac:dyDescent="0.25">
      <c r="A826799" s="242"/>
    </row>
    <row r="826800" spans="1:1" x14ac:dyDescent="0.25">
      <c r="A826800" s="242"/>
    </row>
    <row r="826801" spans="1:1" x14ac:dyDescent="0.25">
      <c r="A826801" s="242"/>
    </row>
    <row r="826802" spans="1:1" x14ac:dyDescent="0.25">
      <c r="A826802" s="242"/>
    </row>
    <row r="826803" spans="1:1" x14ac:dyDescent="0.25">
      <c r="A826803" s="242"/>
    </row>
    <row r="826804" spans="1:1" x14ac:dyDescent="0.25">
      <c r="A826804" s="242"/>
    </row>
    <row r="826805" spans="1:1" x14ac:dyDescent="0.25">
      <c r="A826805" s="242"/>
    </row>
    <row r="826806" spans="1:1" x14ac:dyDescent="0.25">
      <c r="A826806" s="242"/>
    </row>
    <row r="826807" spans="1:1" x14ac:dyDescent="0.25">
      <c r="A826807" s="242"/>
    </row>
    <row r="826808" spans="1:1" x14ac:dyDescent="0.25">
      <c r="A826808" s="242"/>
    </row>
    <row r="826809" spans="1:1" x14ac:dyDescent="0.25">
      <c r="A826809" s="242"/>
    </row>
    <row r="826810" spans="1:1" x14ac:dyDescent="0.25">
      <c r="A826810" s="242"/>
    </row>
    <row r="826811" spans="1:1" x14ac:dyDescent="0.25">
      <c r="A826811" s="242"/>
    </row>
    <row r="826812" spans="1:1" x14ac:dyDescent="0.25">
      <c r="A826812" s="242"/>
    </row>
    <row r="826813" spans="1:1" x14ac:dyDescent="0.25">
      <c r="A826813" s="242"/>
    </row>
    <row r="826814" spans="1:1" x14ac:dyDescent="0.25">
      <c r="A826814" s="242"/>
    </row>
    <row r="826815" spans="1:1" x14ac:dyDescent="0.25">
      <c r="A826815" s="242"/>
    </row>
    <row r="826816" spans="1:1" x14ac:dyDescent="0.25">
      <c r="A826816" s="242"/>
    </row>
    <row r="826817" spans="1:1" x14ac:dyDescent="0.25">
      <c r="A826817" s="242"/>
    </row>
    <row r="826818" spans="1:1" x14ac:dyDescent="0.25">
      <c r="A826818" s="242"/>
    </row>
    <row r="826819" spans="1:1" x14ac:dyDescent="0.25">
      <c r="A826819" s="242"/>
    </row>
    <row r="826820" spans="1:1" x14ac:dyDescent="0.25">
      <c r="A826820" s="242"/>
    </row>
    <row r="826821" spans="1:1" x14ac:dyDescent="0.25">
      <c r="A826821" s="242"/>
    </row>
    <row r="826822" spans="1:1" x14ac:dyDescent="0.25">
      <c r="A826822" s="242"/>
    </row>
    <row r="826823" spans="1:1" x14ac:dyDescent="0.25">
      <c r="A826823" s="242"/>
    </row>
    <row r="826824" spans="1:1" x14ac:dyDescent="0.25">
      <c r="A826824" s="242"/>
    </row>
    <row r="826825" spans="1:1" x14ac:dyDescent="0.25">
      <c r="A826825" s="242"/>
    </row>
    <row r="826826" spans="1:1" x14ac:dyDescent="0.25">
      <c r="A826826" s="242"/>
    </row>
    <row r="826827" spans="1:1" x14ac:dyDescent="0.25">
      <c r="A826827" s="242"/>
    </row>
    <row r="826828" spans="1:1" x14ac:dyDescent="0.25">
      <c r="A826828" s="242"/>
    </row>
    <row r="826829" spans="1:1" x14ac:dyDescent="0.25">
      <c r="A826829" s="242"/>
    </row>
    <row r="826830" spans="1:1" x14ac:dyDescent="0.25">
      <c r="A826830" s="242"/>
    </row>
    <row r="826831" spans="1:1" x14ac:dyDescent="0.25">
      <c r="A826831" s="242"/>
    </row>
    <row r="826832" spans="1:1" x14ac:dyDescent="0.25">
      <c r="A826832" s="242"/>
    </row>
    <row r="826833" spans="1:1" x14ac:dyDescent="0.25">
      <c r="A826833" s="242"/>
    </row>
    <row r="826834" spans="1:1" x14ac:dyDescent="0.25">
      <c r="A826834" s="242"/>
    </row>
    <row r="826835" spans="1:1" x14ac:dyDescent="0.25">
      <c r="A826835" s="242"/>
    </row>
    <row r="826836" spans="1:1" x14ac:dyDescent="0.25">
      <c r="A826836" s="242"/>
    </row>
    <row r="826837" spans="1:1" x14ac:dyDescent="0.25">
      <c r="A826837" s="242"/>
    </row>
    <row r="826838" spans="1:1" x14ac:dyDescent="0.25">
      <c r="A826838" s="242"/>
    </row>
    <row r="826839" spans="1:1" x14ac:dyDescent="0.25">
      <c r="A826839" s="242"/>
    </row>
    <row r="826840" spans="1:1" x14ac:dyDescent="0.25">
      <c r="A826840" s="242"/>
    </row>
    <row r="826841" spans="1:1" x14ac:dyDescent="0.25">
      <c r="A826841" s="242"/>
    </row>
    <row r="826842" spans="1:1" x14ac:dyDescent="0.25">
      <c r="A826842" s="242"/>
    </row>
    <row r="826843" spans="1:1" x14ac:dyDescent="0.25">
      <c r="A826843" s="242"/>
    </row>
    <row r="826844" spans="1:1" x14ac:dyDescent="0.25">
      <c r="A826844" s="242"/>
    </row>
    <row r="826845" spans="1:1" x14ac:dyDescent="0.25">
      <c r="A826845" s="242"/>
    </row>
    <row r="826846" spans="1:1" x14ac:dyDescent="0.25">
      <c r="A826846" s="242"/>
    </row>
    <row r="826847" spans="1:1" x14ac:dyDescent="0.25">
      <c r="A826847" s="242"/>
    </row>
    <row r="826848" spans="1:1" x14ac:dyDescent="0.25">
      <c r="A826848" s="242"/>
    </row>
    <row r="826849" spans="1:1" x14ac:dyDescent="0.25">
      <c r="A826849" s="242"/>
    </row>
    <row r="826850" spans="1:1" x14ac:dyDescent="0.25">
      <c r="A826850" s="242"/>
    </row>
    <row r="826851" spans="1:1" x14ac:dyDescent="0.25">
      <c r="A826851" s="242"/>
    </row>
    <row r="826852" spans="1:1" x14ac:dyDescent="0.25">
      <c r="A826852" s="242"/>
    </row>
    <row r="826853" spans="1:1" x14ac:dyDescent="0.25">
      <c r="A826853" s="242"/>
    </row>
    <row r="826854" spans="1:1" x14ac:dyDescent="0.25">
      <c r="A826854" s="242"/>
    </row>
    <row r="826855" spans="1:1" x14ac:dyDescent="0.25">
      <c r="A826855" s="242"/>
    </row>
    <row r="826856" spans="1:1" x14ac:dyDescent="0.25">
      <c r="A826856" s="242"/>
    </row>
    <row r="826857" spans="1:1" x14ac:dyDescent="0.25">
      <c r="A826857" s="242"/>
    </row>
    <row r="826858" spans="1:1" x14ac:dyDescent="0.25">
      <c r="A826858" s="242"/>
    </row>
    <row r="826859" spans="1:1" x14ac:dyDescent="0.25">
      <c r="A826859" s="242"/>
    </row>
    <row r="826860" spans="1:1" x14ac:dyDescent="0.25">
      <c r="A826860" s="242"/>
    </row>
    <row r="826861" spans="1:1" x14ac:dyDescent="0.25">
      <c r="A826861" s="242"/>
    </row>
    <row r="826862" spans="1:1" x14ac:dyDescent="0.25">
      <c r="A826862" s="242"/>
    </row>
    <row r="826863" spans="1:1" x14ac:dyDescent="0.25">
      <c r="A826863" s="242"/>
    </row>
    <row r="826864" spans="1:1" x14ac:dyDescent="0.25">
      <c r="A826864" s="242"/>
    </row>
    <row r="826865" spans="1:1" x14ac:dyDescent="0.25">
      <c r="A826865" s="242"/>
    </row>
    <row r="826866" spans="1:1" x14ac:dyDescent="0.25">
      <c r="A826866" s="242"/>
    </row>
    <row r="826867" spans="1:1" x14ac:dyDescent="0.25">
      <c r="A826867" s="242"/>
    </row>
    <row r="826868" spans="1:1" x14ac:dyDescent="0.25">
      <c r="A826868" s="242"/>
    </row>
    <row r="826869" spans="1:1" x14ac:dyDescent="0.25">
      <c r="A826869" s="242"/>
    </row>
    <row r="826870" spans="1:1" x14ac:dyDescent="0.25">
      <c r="A826870" s="242"/>
    </row>
    <row r="826871" spans="1:1" x14ac:dyDescent="0.25">
      <c r="A826871" s="242"/>
    </row>
    <row r="826872" spans="1:1" x14ac:dyDescent="0.25">
      <c r="A826872" s="242"/>
    </row>
    <row r="826873" spans="1:1" x14ac:dyDescent="0.25">
      <c r="A826873" s="242"/>
    </row>
    <row r="826874" spans="1:1" x14ac:dyDescent="0.25">
      <c r="A826874" s="242"/>
    </row>
    <row r="826875" spans="1:1" x14ac:dyDescent="0.25">
      <c r="A826875" s="242"/>
    </row>
    <row r="826876" spans="1:1" x14ac:dyDescent="0.25">
      <c r="A826876" s="242"/>
    </row>
    <row r="826877" spans="1:1" x14ac:dyDescent="0.25">
      <c r="A826877" s="242"/>
    </row>
    <row r="826878" spans="1:1" x14ac:dyDescent="0.25">
      <c r="A826878" s="242"/>
    </row>
    <row r="826879" spans="1:1" x14ac:dyDescent="0.25">
      <c r="A826879" s="242"/>
    </row>
    <row r="826880" spans="1:1" x14ac:dyDescent="0.25">
      <c r="A826880" s="242"/>
    </row>
    <row r="826881" spans="1:1" x14ac:dyDescent="0.25">
      <c r="A826881" s="242"/>
    </row>
    <row r="826882" spans="1:1" x14ac:dyDescent="0.25">
      <c r="A826882" s="242"/>
    </row>
    <row r="826883" spans="1:1" x14ac:dyDescent="0.25">
      <c r="A826883" s="242"/>
    </row>
    <row r="826884" spans="1:1" x14ac:dyDescent="0.25">
      <c r="A826884" s="242"/>
    </row>
    <row r="826885" spans="1:1" x14ac:dyDescent="0.25">
      <c r="A826885" s="242"/>
    </row>
    <row r="826886" spans="1:1" x14ac:dyDescent="0.25">
      <c r="A826886" s="242"/>
    </row>
    <row r="826887" spans="1:1" x14ac:dyDescent="0.25">
      <c r="A826887" s="242"/>
    </row>
    <row r="826888" spans="1:1" x14ac:dyDescent="0.25">
      <c r="A826888" s="242"/>
    </row>
    <row r="826889" spans="1:1" x14ac:dyDescent="0.25">
      <c r="A826889" s="242"/>
    </row>
    <row r="826890" spans="1:1" x14ac:dyDescent="0.25">
      <c r="A826890" s="242"/>
    </row>
    <row r="826891" spans="1:1" x14ac:dyDescent="0.25">
      <c r="A826891" s="242"/>
    </row>
    <row r="826892" spans="1:1" x14ac:dyDescent="0.25">
      <c r="A826892" s="242"/>
    </row>
    <row r="826893" spans="1:1" x14ac:dyDescent="0.25">
      <c r="A826893" s="242"/>
    </row>
    <row r="826894" spans="1:1" x14ac:dyDescent="0.25">
      <c r="A826894" s="242"/>
    </row>
    <row r="826895" spans="1:1" x14ac:dyDescent="0.25">
      <c r="A826895" s="242"/>
    </row>
    <row r="826896" spans="1:1" x14ac:dyDescent="0.25">
      <c r="A826896" s="242"/>
    </row>
    <row r="826897" spans="1:1" x14ac:dyDescent="0.25">
      <c r="A826897" s="242"/>
    </row>
    <row r="826898" spans="1:1" x14ac:dyDescent="0.25">
      <c r="A826898" s="242"/>
    </row>
    <row r="826899" spans="1:1" x14ac:dyDescent="0.25">
      <c r="A826899" s="242"/>
    </row>
    <row r="826900" spans="1:1" x14ac:dyDescent="0.25">
      <c r="A826900" s="242"/>
    </row>
    <row r="826901" spans="1:1" x14ac:dyDescent="0.25">
      <c r="A826901" s="242"/>
    </row>
    <row r="826902" spans="1:1" x14ac:dyDescent="0.25">
      <c r="A826902" s="242"/>
    </row>
    <row r="826903" spans="1:1" x14ac:dyDescent="0.25">
      <c r="A826903" s="242"/>
    </row>
    <row r="826904" spans="1:1" x14ac:dyDescent="0.25">
      <c r="A826904" s="242"/>
    </row>
    <row r="826905" spans="1:1" x14ac:dyDescent="0.25">
      <c r="A826905" s="242"/>
    </row>
    <row r="826906" spans="1:1" x14ac:dyDescent="0.25">
      <c r="A826906" s="242"/>
    </row>
    <row r="826907" spans="1:1" x14ac:dyDescent="0.25">
      <c r="A826907" s="242"/>
    </row>
    <row r="826908" spans="1:1" x14ac:dyDescent="0.25">
      <c r="A826908" s="242"/>
    </row>
    <row r="826909" spans="1:1" x14ac:dyDescent="0.25">
      <c r="A826909" s="242"/>
    </row>
    <row r="826910" spans="1:1" x14ac:dyDescent="0.25">
      <c r="A826910" s="242"/>
    </row>
    <row r="826911" spans="1:1" x14ac:dyDescent="0.25">
      <c r="A826911" s="242"/>
    </row>
    <row r="826912" spans="1:1" x14ac:dyDescent="0.25">
      <c r="A826912" s="242"/>
    </row>
    <row r="826913" spans="1:1" x14ac:dyDescent="0.25">
      <c r="A826913" s="242"/>
    </row>
    <row r="826914" spans="1:1" x14ac:dyDescent="0.25">
      <c r="A826914" s="242"/>
    </row>
    <row r="826915" spans="1:1" x14ac:dyDescent="0.25">
      <c r="A826915" s="242"/>
    </row>
    <row r="826916" spans="1:1" x14ac:dyDescent="0.25">
      <c r="A826916" s="242"/>
    </row>
    <row r="826917" spans="1:1" x14ac:dyDescent="0.25">
      <c r="A826917" s="242"/>
    </row>
    <row r="826918" spans="1:1" x14ac:dyDescent="0.25">
      <c r="A826918" s="242"/>
    </row>
    <row r="826919" spans="1:1" x14ac:dyDescent="0.25">
      <c r="A826919" s="242"/>
    </row>
    <row r="826920" spans="1:1" x14ac:dyDescent="0.25">
      <c r="A826920" s="242"/>
    </row>
    <row r="826921" spans="1:1" x14ac:dyDescent="0.25">
      <c r="A826921" s="242"/>
    </row>
    <row r="826922" spans="1:1" x14ac:dyDescent="0.25">
      <c r="A826922" s="242"/>
    </row>
    <row r="826923" spans="1:1" x14ac:dyDescent="0.25">
      <c r="A826923" s="242"/>
    </row>
    <row r="826924" spans="1:1" x14ac:dyDescent="0.25">
      <c r="A826924" s="242"/>
    </row>
    <row r="826925" spans="1:1" x14ac:dyDescent="0.25">
      <c r="A826925" s="242"/>
    </row>
    <row r="826926" spans="1:1" x14ac:dyDescent="0.25">
      <c r="A826926" s="242"/>
    </row>
    <row r="826927" spans="1:1" x14ac:dyDescent="0.25">
      <c r="A826927" s="242"/>
    </row>
    <row r="826928" spans="1:1" x14ac:dyDescent="0.25">
      <c r="A826928" s="242"/>
    </row>
    <row r="826929" spans="1:1" x14ac:dyDescent="0.25">
      <c r="A826929" s="242"/>
    </row>
    <row r="826930" spans="1:1" x14ac:dyDescent="0.25">
      <c r="A826930" s="242"/>
    </row>
    <row r="826931" spans="1:1" x14ac:dyDescent="0.25">
      <c r="A826931" s="242"/>
    </row>
    <row r="826932" spans="1:1" x14ac:dyDescent="0.25">
      <c r="A826932" s="242"/>
    </row>
    <row r="826933" spans="1:1" x14ac:dyDescent="0.25">
      <c r="A826933" s="242"/>
    </row>
    <row r="826934" spans="1:1" x14ac:dyDescent="0.25">
      <c r="A826934" s="242"/>
    </row>
    <row r="826935" spans="1:1" x14ac:dyDescent="0.25">
      <c r="A826935" s="242"/>
    </row>
    <row r="826936" spans="1:1" x14ac:dyDescent="0.25">
      <c r="A826936" s="242"/>
    </row>
    <row r="826937" spans="1:1" x14ac:dyDescent="0.25">
      <c r="A826937" s="242"/>
    </row>
    <row r="826938" spans="1:1" x14ac:dyDescent="0.25">
      <c r="A826938" s="242"/>
    </row>
    <row r="826939" spans="1:1" x14ac:dyDescent="0.25">
      <c r="A826939" s="242"/>
    </row>
    <row r="826940" spans="1:1" x14ac:dyDescent="0.25">
      <c r="A826940" s="242"/>
    </row>
    <row r="826941" spans="1:1" x14ac:dyDescent="0.25">
      <c r="A826941" s="242"/>
    </row>
    <row r="826942" spans="1:1" x14ac:dyDescent="0.25">
      <c r="A826942" s="242"/>
    </row>
    <row r="826943" spans="1:1" x14ac:dyDescent="0.25">
      <c r="A826943" s="242"/>
    </row>
    <row r="826944" spans="1:1" x14ac:dyDescent="0.25">
      <c r="A826944" s="242"/>
    </row>
    <row r="826945" spans="1:1" x14ac:dyDescent="0.25">
      <c r="A826945" s="242"/>
    </row>
    <row r="826946" spans="1:1" x14ac:dyDescent="0.25">
      <c r="A826946" s="242"/>
    </row>
    <row r="826947" spans="1:1" x14ac:dyDescent="0.25">
      <c r="A826947" s="242"/>
    </row>
    <row r="826948" spans="1:1" x14ac:dyDescent="0.25">
      <c r="A826948" s="242"/>
    </row>
    <row r="826949" spans="1:1" x14ac:dyDescent="0.25">
      <c r="A826949" s="242"/>
    </row>
    <row r="826950" spans="1:1" x14ac:dyDescent="0.25">
      <c r="A826950" s="242"/>
    </row>
    <row r="826951" spans="1:1" x14ac:dyDescent="0.25">
      <c r="A826951" s="242"/>
    </row>
    <row r="826952" spans="1:1" x14ac:dyDescent="0.25">
      <c r="A826952" s="242"/>
    </row>
    <row r="826953" spans="1:1" x14ac:dyDescent="0.25">
      <c r="A826953" s="242"/>
    </row>
    <row r="826954" spans="1:1" x14ac:dyDescent="0.25">
      <c r="A826954" s="242"/>
    </row>
    <row r="826955" spans="1:1" x14ac:dyDescent="0.25">
      <c r="A826955" s="242"/>
    </row>
    <row r="826956" spans="1:1" x14ac:dyDescent="0.25">
      <c r="A826956" s="242"/>
    </row>
    <row r="826957" spans="1:1" x14ac:dyDescent="0.25">
      <c r="A826957" s="242"/>
    </row>
    <row r="826958" spans="1:1" x14ac:dyDescent="0.25">
      <c r="A826958" s="242"/>
    </row>
    <row r="826959" spans="1:1" x14ac:dyDescent="0.25">
      <c r="A826959" s="242"/>
    </row>
    <row r="826960" spans="1:1" x14ac:dyDescent="0.25">
      <c r="A826960" s="242"/>
    </row>
    <row r="826961" spans="1:1" x14ac:dyDescent="0.25">
      <c r="A826961" s="242"/>
    </row>
    <row r="826962" spans="1:1" x14ac:dyDescent="0.25">
      <c r="A826962" s="242"/>
    </row>
    <row r="826963" spans="1:1" x14ac:dyDescent="0.25">
      <c r="A826963" s="242"/>
    </row>
    <row r="826964" spans="1:1" x14ac:dyDescent="0.25">
      <c r="A826964" s="242"/>
    </row>
    <row r="826965" spans="1:1" x14ac:dyDescent="0.25">
      <c r="A826965" s="242"/>
    </row>
    <row r="826966" spans="1:1" x14ac:dyDescent="0.25">
      <c r="A826966" s="242"/>
    </row>
    <row r="826967" spans="1:1" x14ac:dyDescent="0.25">
      <c r="A826967" s="242"/>
    </row>
    <row r="826968" spans="1:1" x14ac:dyDescent="0.25">
      <c r="A826968" s="242"/>
    </row>
    <row r="826969" spans="1:1" x14ac:dyDescent="0.25">
      <c r="A826969" s="242"/>
    </row>
    <row r="826970" spans="1:1" x14ac:dyDescent="0.25">
      <c r="A826970" s="242"/>
    </row>
    <row r="826971" spans="1:1" x14ac:dyDescent="0.25">
      <c r="A826971" s="242"/>
    </row>
    <row r="826972" spans="1:1" x14ac:dyDescent="0.25">
      <c r="A826972" s="242"/>
    </row>
    <row r="826973" spans="1:1" x14ac:dyDescent="0.25">
      <c r="A826973" s="242"/>
    </row>
    <row r="826974" spans="1:1" x14ac:dyDescent="0.25">
      <c r="A826974" s="242"/>
    </row>
    <row r="826975" spans="1:1" x14ac:dyDescent="0.25">
      <c r="A826975" s="242"/>
    </row>
    <row r="826976" spans="1:1" x14ac:dyDescent="0.25">
      <c r="A826976" s="242"/>
    </row>
    <row r="826977" spans="1:1" x14ac:dyDescent="0.25">
      <c r="A826977" s="242"/>
    </row>
    <row r="826978" spans="1:1" x14ac:dyDescent="0.25">
      <c r="A826978" s="242"/>
    </row>
    <row r="826979" spans="1:1" x14ac:dyDescent="0.25">
      <c r="A826979" s="242"/>
    </row>
    <row r="826980" spans="1:1" x14ac:dyDescent="0.25">
      <c r="A826980" s="242"/>
    </row>
    <row r="826981" spans="1:1" x14ac:dyDescent="0.25">
      <c r="A826981" s="242"/>
    </row>
    <row r="826982" spans="1:1" x14ac:dyDescent="0.25">
      <c r="A826982" s="242"/>
    </row>
    <row r="826983" spans="1:1" x14ac:dyDescent="0.25">
      <c r="A826983" s="242"/>
    </row>
    <row r="826984" spans="1:1" x14ac:dyDescent="0.25">
      <c r="A826984" s="242"/>
    </row>
    <row r="826985" spans="1:1" x14ac:dyDescent="0.25">
      <c r="A826985" s="242"/>
    </row>
    <row r="826986" spans="1:1" x14ac:dyDescent="0.25">
      <c r="A826986" s="242"/>
    </row>
    <row r="826987" spans="1:1" x14ac:dyDescent="0.25">
      <c r="A826987" s="242"/>
    </row>
    <row r="826988" spans="1:1" x14ac:dyDescent="0.25">
      <c r="A826988" s="242"/>
    </row>
    <row r="826989" spans="1:1" x14ac:dyDescent="0.25">
      <c r="A826989" s="242"/>
    </row>
    <row r="826990" spans="1:1" x14ac:dyDescent="0.25">
      <c r="A826990" s="242"/>
    </row>
    <row r="826991" spans="1:1" x14ac:dyDescent="0.25">
      <c r="A826991" s="242"/>
    </row>
    <row r="826992" spans="1:1" x14ac:dyDescent="0.25">
      <c r="A826992" s="242"/>
    </row>
    <row r="826993" spans="1:1" x14ac:dyDescent="0.25">
      <c r="A826993" s="242"/>
    </row>
    <row r="826994" spans="1:1" x14ac:dyDescent="0.25">
      <c r="A826994" s="242"/>
    </row>
    <row r="826995" spans="1:1" x14ac:dyDescent="0.25">
      <c r="A826995" s="242"/>
    </row>
    <row r="826996" spans="1:1" x14ac:dyDescent="0.25">
      <c r="A826996" s="242"/>
    </row>
    <row r="826997" spans="1:1" x14ac:dyDescent="0.25">
      <c r="A826997" s="242"/>
    </row>
    <row r="826998" spans="1:1" x14ac:dyDescent="0.25">
      <c r="A826998" s="242"/>
    </row>
    <row r="826999" spans="1:1" x14ac:dyDescent="0.25">
      <c r="A826999" s="242"/>
    </row>
    <row r="827000" spans="1:1" x14ac:dyDescent="0.25">
      <c r="A827000" s="242"/>
    </row>
    <row r="827001" spans="1:1" x14ac:dyDescent="0.25">
      <c r="A827001" s="242"/>
    </row>
    <row r="827002" spans="1:1" x14ac:dyDescent="0.25">
      <c r="A827002" s="242"/>
    </row>
    <row r="827003" spans="1:1" x14ac:dyDescent="0.25">
      <c r="A827003" s="242"/>
    </row>
    <row r="827004" spans="1:1" x14ac:dyDescent="0.25">
      <c r="A827004" s="242"/>
    </row>
    <row r="827005" spans="1:1" x14ac:dyDescent="0.25">
      <c r="A827005" s="242"/>
    </row>
    <row r="827006" spans="1:1" x14ac:dyDescent="0.25">
      <c r="A827006" s="242"/>
    </row>
    <row r="827007" spans="1:1" x14ac:dyDescent="0.25">
      <c r="A827007" s="242"/>
    </row>
    <row r="827008" spans="1:1" x14ac:dyDescent="0.25">
      <c r="A827008" s="242"/>
    </row>
    <row r="827009" spans="1:1" x14ac:dyDescent="0.25">
      <c r="A827009" s="242"/>
    </row>
    <row r="827010" spans="1:1" x14ac:dyDescent="0.25">
      <c r="A827010" s="242"/>
    </row>
    <row r="827011" spans="1:1" x14ac:dyDescent="0.25">
      <c r="A827011" s="242"/>
    </row>
    <row r="827012" spans="1:1" x14ac:dyDescent="0.25">
      <c r="A827012" s="242"/>
    </row>
    <row r="827013" spans="1:1" x14ac:dyDescent="0.25">
      <c r="A827013" s="242"/>
    </row>
    <row r="827014" spans="1:1" x14ac:dyDescent="0.25">
      <c r="A827014" s="242"/>
    </row>
    <row r="827015" spans="1:1" x14ac:dyDescent="0.25">
      <c r="A827015" s="242"/>
    </row>
    <row r="827016" spans="1:1" x14ac:dyDescent="0.25">
      <c r="A827016" s="242"/>
    </row>
    <row r="827017" spans="1:1" x14ac:dyDescent="0.25">
      <c r="A827017" s="242"/>
    </row>
    <row r="827018" spans="1:1" x14ac:dyDescent="0.25">
      <c r="A827018" s="242"/>
    </row>
    <row r="827019" spans="1:1" x14ac:dyDescent="0.25">
      <c r="A827019" s="242"/>
    </row>
    <row r="827020" spans="1:1" x14ac:dyDescent="0.25">
      <c r="A827020" s="242"/>
    </row>
    <row r="827021" spans="1:1" x14ac:dyDescent="0.25">
      <c r="A827021" s="242"/>
    </row>
    <row r="827022" spans="1:1" x14ac:dyDescent="0.25">
      <c r="A827022" s="242"/>
    </row>
    <row r="827023" spans="1:1" x14ac:dyDescent="0.25">
      <c r="A827023" s="242"/>
    </row>
    <row r="827024" spans="1:1" x14ac:dyDescent="0.25">
      <c r="A827024" s="242"/>
    </row>
    <row r="827025" spans="1:1" x14ac:dyDescent="0.25">
      <c r="A827025" s="242"/>
    </row>
    <row r="827026" spans="1:1" x14ac:dyDescent="0.25">
      <c r="A827026" s="242"/>
    </row>
    <row r="827027" spans="1:1" x14ac:dyDescent="0.25">
      <c r="A827027" s="242"/>
    </row>
    <row r="827028" spans="1:1" x14ac:dyDescent="0.25">
      <c r="A827028" s="242"/>
    </row>
    <row r="827029" spans="1:1" x14ac:dyDescent="0.25">
      <c r="A827029" s="242"/>
    </row>
    <row r="827030" spans="1:1" x14ac:dyDescent="0.25">
      <c r="A827030" s="242"/>
    </row>
    <row r="827031" spans="1:1" x14ac:dyDescent="0.25">
      <c r="A827031" s="242"/>
    </row>
    <row r="827032" spans="1:1" x14ac:dyDescent="0.25">
      <c r="A827032" s="242"/>
    </row>
    <row r="827033" spans="1:1" x14ac:dyDescent="0.25">
      <c r="A827033" s="242"/>
    </row>
    <row r="827034" spans="1:1" x14ac:dyDescent="0.25">
      <c r="A827034" s="242"/>
    </row>
    <row r="827035" spans="1:1" x14ac:dyDescent="0.25">
      <c r="A827035" s="242"/>
    </row>
    <row r="827036" spans="1:1" x14ac:dyDescent="0.25">
      <c r="A827036" s="242"/>
    </row>
    <row r="827037" spans="1:1" x14ac:dyDescent="0.25">
      <c r="A827037" s="242"/>
    </row>
    <row r="827038" spans="1:1" x14ac:dyDescent="0.25">
      <c r="A827038" s="242"/>
    </row>
    <row r="827039" spans="1:1" x14ac:dyDescent="0.25">
      <c r="A827039" s="242"/>
    </row>
    <row r="827040" spans="1:1" x14ac:dyDescent="0.25">
      <c r="A827040" s="242"/>
    </row>
    <row r="827041" spans="1:1" x14ac:dyDescent="0.25">
      <c r="A827041" s="242"/>
    </row>
    <row r="827042" spans="1:1" x14ac:dyDescent="0.25">
      <c r="A827042" s="242"/>
    </row>
    <row r="827043" spans="1:1" x14ac:dyDescent="0.25">
      <c r="A827043" s="242"/>
    </row>
    <row r="827044" spans="1:1" x14ac:dyDescent="0.25">
      <c r="A827044" s="242"/>
    </row>
    <row r="827045" spans="1:1" x14ac:dyDescent="0.25">
      <c r="A827045" s="242"/>
    </row>
    <row r="827046" spans="1:1" x14ac:dyDescent="0.25">
      <c r="A827046" s="242"/>
    </row>
    <row r="827047" spans="1:1" x14ac:dyDescent="0.25">
      <c r="A827047" s="242"/>
    </row>
    <row r="827048" spans="1:1" x14ac:dyDescent="0.25">
      <c r="A827048" s="242"/>
    </row>
    <row r="827049" spans="1:1" x14ac:dyDescent="0.25">
      <c r="A827049" s="242"/>
    </row>
    <row r="827050" spans="1:1" x14ac:dyDescent="0.25">
      <c r="A827050" s="242"/>
    </row>
    <row r="827051" spans="1:1" x14ac:dyDescent="0.25">
      <c r="A827051" s="242"/>
    </row>
    <row r="827052" spans="1:1" x14ac:dyDescent="0.25">
      <c r="A827052" s="242"/>
    </row>
    <row r="827053" spans="1:1" x14ac:dyDescent="0.25">
      <c r="A827053" s="242"/>
    </row>
    <row r="827054" spans="1:1" x14ac:dyDescent="0.25">
      <c r="A827054" s="242"/>
    </row>
    <row r="827055" spans="1:1" x14ac:dyDescent="0.25">
      <c r="A827055" s="242"/>
    </row>
    <row r="827056" spans="1:1" x14ac:dyDescent="0.25">
      <c r="A827056" s="242"/>
    </row>
    <row r="827057" spans="1:1" x14ac:dyDescent="0.25">
      <c r="A827057" s="242"/>
    </row>
    <row r="827058" spans="1:1" x14ac:dyDescent="0.25">
      <c r="A827058" s="242"/>
    </row>
    <row r="827059" spans="1:1" x14ac:dyDescent="0.25">
      <c r="A827059" s="242"/>
    </row>
    <row r="827060" spans="1:1" x14ac:dyDescent="0.25">
      <c r="A827060" s="242"/>
    </row>
    <row r="827061" spans="1:1" x14ac:dyDescent="0.25">
      <c r="A827061" s="242"/>
    </row>
    <row r="827062" spans="1:1" x14ac:dyDescent="0.25">
      <c r="A827062" s="242"/>
    </row>
    <row r="827063" spans="1:1" x14ac:dyDescent="0.25">
      <c r="A827063" s="242"/>
    </row>
    <row r="827064" spans="1:1" x14ac:dyDescent="0.25">
      <c r="A827064" s="242"/>
    </row>
    <row r="827065" spans="1:1" x14ac:dyDescent="0.25">
      <c r="A827065" s="242"/>
    </row>
    <row r="827066" spans="1:1" x14ac:dyDescent="0.25">
      <c r="A827066" s="242"/>
    </row>
    <row r="827067" spans="1:1" x14ac:dyDescent="0.25">
      <c r="A827067" s="242"/>
    </row>
    <row r="827068" spans="1:1" x14ac:dyDescent="0.25">
      <c r="A827068" s="242"/>
    </row>
    <row r="827069" spans="1:1" x14ac:dyDescent="0.25">
      <c r="A827069" s="242"/>
    </row>
    <row r="827070" spans="1:1" x14ac:dyDescent="0.25">
      <c r="A827070" s="242"/>
    </row>
    <row r="827071" spans="1:1" x14ac:dyDescent="0.25">
      <c r="A827071" s="242"/>
    </row>
    <row r="827072" spans="1:1" x14ac:dyDescent="0.25">
      <c r="A827072" s="242"/>
    </row>
    <row r="827073" spans="1:1" x14ac:dyDescent="0.25">
      <c r="A827073" s="242"/>
    </row>
    <row r="827074" spans="1:1" x14ac:dyDescent="0.25">
      <c r="A827074" s="242"/>
    </row>
    <row r="827075" spans="1:1" x14ac:dyDescent="0.25">
      <c r="A827075" s="242"/>
    </row>
    <row r="827076" spans="1:1" x14ac:dyDescent="0.25">
      <c r="A827076" s="242"/>
    </row>
    <row r="827077" spans="1:1" x14ac:dyDescent="0.25">
      <c r="A827077" s="242"/>
    </row>
    <row r="827078" spans="1:1" x14ac:dyDescent="0.25">
      <c r="A827078" s="242"/>
    </row>
    <row r="827079" spans="1:1" x14ac:dyDescent="0.25">
      <c r="A827079" s="242"/>
    </row>
    <row r="827080" spans="1:1" x14ac:dyDescent="0.25">
      <c r="A827080" s="242"/>
    </row>
    <row r="827081" spans="1:1" x14ac:dyDescent="0.25">
      <c r="A827081" s="242"/>
    </row>
    <row r="827082" spans="1:1" x14ac:dyDescent="0.25">
      <c r="A827082" s="242"/>
    </row>
    <row r="827083" spans="1:1" x14ac:dyDescent="0.25">
      <c r="A827083" s="242"/>
    </row>
    <row r="827084" spans="1:1" x14ac:dyDescent="0.25">
      <c r="A827084" s="242"/>
    </row>
    <row r="827085" spans="1:1" x14ac:dyDescent="0.25">
      <c r="A827085" s="242"/>
    </row>
    <row r="827086" spans="1:1" x14ac:dyDescent="0.25">
      <c r="A827086" s="242"/>
    </row>
    <row r="827087" spans="1:1" x14ac:dyDescent="0.25">
      <c r="A827087" s="242"/>
    </row>
    <row r="827088" spans="1:1" x14ac:dyDescent="0.25">
      <c r="A827088" s="242"/>
    </row>
    <row r="827089" spans="1:1" x14ac:dyDescent="0.25">
      <c r="A827089" s="242"/>
    </row>
    <row r="827090" spans="1:1" x14ac:dyDescent="0.25">
      <c r="A827090" s="242"/>
    </row>
    <row r="827091" spans="1:1" x14ac:dyDescent="0.25">
      <c r="A827091" s="242"/>
    </row>
    <row r="827092" spans="1:1" x14ac:dyDescent="0.25">
      <c r="A827092" s="242"/>
    </row>
    <row r="827093" spans="1:1" x14ac:dyDescent="0.25">
      <c r="A827093" s="242"/>
    </row>
    <row r="827094" spans="1:1" x14ac:dyDescent="0.25">
      <c r="A827094" s="242"/>
    </row>
    <row r="827095" spans="1:1" x14ac:dyDescent="0.25">
      <c r="A827095" s="242"/>
    </row>
    <row r="827096" spans="1:1" x14ac:dyDescent="0.25">
      <c r="A827096" s="242"/>
    </row>
    <row r="827097" spans="1:1" x14ac:dyDescent="0.25">
      <c r="A827097" s="242"/>
    </row>
    <row r="827098" spans="1:1" x14ac:dyDescent="0.25">
      <c r="A827098" s="242"/>
    </row>
    <row r="827099" spans="1:1" x14ac:dyDescent="0.25">
      <c r="A827099" s="242"/>
    </row>
    <row r="827100" spans="1:1" x14ac:dyDescent="0.25">
      <c r="A827100" s="242"/>
    </row>
    <row r="827101" spans="1:1" x14ac:dyDescent="0.25">
      <c r="A827101" s="242"/>
    </row>
    <row r="827102" spans="1:1" x14ac:dyDescent="0.25">
      <c r="A827102" s="242"/>
    </row>
    <row r="827103" spans="1:1" x14ac:dyDescent="0.25">
      <c r="A827103" s="242"/>
    </row>
    <row r="827104" spans="1:1" x14ac:dyDescent="0.25">
      <c r="A827104" s="242"/>
    </row>
    <row r="827105" spans="1:1" x14ac:dyDescent="0.25">
      <c r="A827105" s="242"/>
    </row>
    <row r="827106" spans="1:1" x14ac:dyDescent="0.25">
      <c r="A827106" s="242"/>
    </row>
    <row r="827107" spans="1:1" x14ac:dyDescent="0.25">
      <c r="A827107" s="242"/>
    </row>
    <row r="827108" spans="1:1" x14ac:dyDescent="0.25">
      <c r="A827108" s="242"/>
    </row>
    <row r="827109" spans="1:1" x14ac:dyDescent="0.25">
      <c r="A827109" s="242"/>
    </row>
    <row r="827110" spans="1:1" x14ac:dyDescent="0.25">
      <c r="A827110" s="242"/>
    </row>
    <row r="827111" spans="1:1" x14ac:dyDescent="0.25">
      <c r="A827111" s="242"/>
    </row>
    <row r="827112" spans="1:1" x14ac:dyDescent="0.25">
      <c r="A827112" s="242"/>
    </row>
    <row r="827113" spans="1:1" x14ac:dyDescent="0.25">
      <c r="A827113" s="242"/>
    </row>
    <row r="827114" spans="1:1" x14ac:dyDescent="0.25">
      <c r="A827114" s="242"/>
    </row>
    <row r="827115" spans="1:1" x14ac:dyDescent="0.25">
      <c r="A827115" s="242"/>
    </row>
    <row r="827116" spans="1:1" x14ac:dyDescent="0.25">
      <c r="A827116" s="242"/>
    </row>
    <row r="827117" spans="1:1" x14ac:dyDescent="0.25">
      <c r="A827117" s="242"/>
    </row>
    <row r="827118" spans="1:1" x14ac:dyDescent="0.25">
      <c r="A827118" s="242"/>
    </row>
    <row r="827119" spans="1:1" x14ac:dyDescent="0.25">
      <c r="A827119" s="242"/>
    </row>
    <row r="827120" spans="1:1" x14ac:dyDescent="0.25">
      <c r="A827120" s="242"/>
    </row>
    <row r="827121" spans="1:1" x14ac:dyDescent="0.25">
      <c r="A827121" s="242"/>
    </row>
    <row r="827122" spans="1:1" x14ac:dyDescent="0.25">
      <c r="A827122" s="242"/>
    </row>
    <row r="827123" spans="1:1" x14ac:dyDescent="0.25">
      <c r="A827123" s="242"/>
    </row>
    <row r="827124" spans="1:1" x14ac:dyDescent="0.25">
      <c r="A827124" s="242"/>
    </row>
    <row r="827125" spans="1:1" x14ac:dyDescent="0.25">
      <c r="A827125" s="242"/>
    </row>
    <row r="827126" spans="1:1" x14ac:dyDescent="0.25">
      <c r="A827126" s="242"/>
    </row>
    <row r="827127" spans="1:1" x14ac:dyDescent="0.25">
      <c r="A827127" s="242"/>
    </row>
    <row r="827128" spans="1:1" x14ac:dyDescent="0.25">
      <c r="A827128" s="242"/>
    </row>
    <row r="827129" spans="1:1" x14ac:dyDescent="0.25">
      <c r="A827129" s="242"/>
    </row>
    <row r="827130" spans="1:1" x14ac:dyDescent="0.25">
      <c r="A827130" s="242"/>
    </row>
    <row r="827131" spans="1:1" x14ac:dyDescent="0.25">
      <c r="A827131" s="242"/>
    </row>
    <row r="827132" spans="1:1" x14ac:dyDescent="0.25">
      <c r="A827132" s="242"/>
    </row>
    <row r="827133" spans="1:1" x14ac:dyDescent="0.25">
      <c r="A827133" s="242"/>
    </row>
    <row r="827134" spans="1:1" x14ac:dyDescent="0.25">
      <c r="A827134" s="242"/>
    </row>
    <row r="827135" spans="1:1" x14ac:dyDescent="0.25">
      <c r="A827135" s="242"/>
    </row>
    <row r="827136" spans="1:1" x14ac:dyDescent="0.25">
      <c r="A827136" s="242"/>
    </row>
    <row r="827137" spans="1:1" x14ac:dyDescent="0.25">
      <c r="A827137" s="242"/>
    </row>
    <row r="827138" spans="1:1" x14ac:dyDescent="0.25">
      <c r="A827138" s="242"/>
    </row>
    <row r="827139" spans="1:1" x14ac:dyDescent="0.25">
      <c r="A827139" s="242"/>
    </row>
    <row r="827140" spans="1:1" x14ac:dyDescent="0.25">
      <c r="A827140" s="242"/>
    </row>
    <row r="827141" spans="1:1" x14ac:dyDescent="0.25">
      <c r="A827141" s="242"/>
    </row>
    <row r="827142" spans="1:1" x14ac:dyDescent="0.25">
      <c r="A827142" s="242"/>
    </row>
    <row r="827143" spans="1:1" x14ac:dyDescent="0.25">
      <c r="A827143" s="242"/>
    </row>
    <row r="827144" spans="1:1" x14ac:dyDescent="0.25">
      <c r="A827144" s="242"/>
    </row>
    <row r="827145" spans="1:1" x14ac:dyDescent="0.25">
      <c r="A827145" s="242"/>
    </row>
    <row r="827146" spans="1:1" x14ac:dyDescent="0.25">
      <c r="A827146" s="242"/>
    </row>
    <row r="827147" spans="1:1" x14ac:dyDescent="0.25">
      <c r="A827147" s="242"/>
    </row>
    <row r="827148" spans="1:1" x14ac:dyDescent="0.25">
      <c r="A827148" s="242"/>
    </row>
    <row r="827149" spans="1:1" x14ac:dyDescent="0.25">
      <c r="A827149" s="242"/>
    </row>
    <row r="827150" spans="1:1" x14ac:dyDescent="0.25">
      <c r="A827150" s="242"/>
    </row>
    <row r="827151" spans="1:1" x14ac:dyDescent="0.25">
      <c r="A827151" s="242"/>
    </row>
    <row r="827152" spans="1:1" x14ac:dyDescent="0.25">
      <c r="A827152" s="242"/>
    </row>
    <row r="827153" spans="1:1" x14ac:dyDescent="0.25">
      <c r="A827153" s="242"/>
    </row>
    <row r="827154" spans="1:1" x14ac:dyDescent="0.25">
      <c r="A827154" s="242"/>
    </row>
    <row r="827155" spans="1:1" x14ac:dyDescent="0.25">
      <c r="A827155" s="242"/>
    </row>
    <row r="827156" spans="1:1" x14ac:dyDescent="0.25">
      <c r="A827156" s="242"/>
    </row>
    <row r="827157" spans="1:1" x14ac:dyDescent="0.25">
      <c r="A827157" s="242"/>
    </row>
    <row r="827158" spans="1:1" x14ac:dyDescent="0.25">
      <c r="A827158" s="242"/>
    </row>
    <row r="827159" spans="1:1" x14ac:dyDescent="0.25">
      <c r="A827159" s="242"/>
    </row>
    <row r="827160" spans="1:1" x14ac:dyDescent="0.25">
      <c r="A827160" s="242"/>
    </row>
    <row r="827161" spans="1:1" x14ac:dyDescent="0.25">
      <c r="A827161" s="242"/>
    </row>
    <row r="827162" spans="1:1" x14ac:dyDescent="0.25">
      <c r="A827162" s="242"/>
    </row>
    <row r="827163" spans="1:1" x14ac:dyDescent="0.25">
      <c r="A827163" s="242"/>
    </row>
    <row r="827164" spans="1:1" x14ac:dyDescent="0.25">
      <c r="A827164" s="242"/>
    </row>
    <row r="827165" spans="1:1" x14ac:dyDescent="0.25">
      <c r="A827165" s="242"/>
    </row>
    <row r="827166" spans="1:1" x14ac:dyDescent="0.25">
      <c r="A827166" s="242"/>
    </row>
    <row r="827167" spans="1:1" x14ac:dyDescent="0.25">
      <c r="A827167" s="242"/>
    </row>
    <row r="827168" spans="1:1" x14ac:dyDescent="0.25">
      <c r="A827168" s="242"/>
    </row>
    <row r="827169" spans="1:1" x14ac:dyDescent="0.25">
      <c r="A827169" s="242"/>
    </row>
    <row r="827170" spans="1:1" x14ac:dyDescent="0.25">
      <c r="A827170" s="242"/>
    </row>
    <row r="827171" spans="1:1" x14ac:dyDescent="0.25">
      <c r="A827171" s="242"/>
    </row>
    <row r="827172" spans="1:1" x14ac:dyDescent="0.25">
      <c r="A827172" s="242"/>
    </row>
    <row r="827173" spans="1:1" x14ac:dyDescent="0.25">
      <c r="A827173" s="242"/>
    </row>
    <row r="827174" spans="1:1" x14ac:dyDescent="0.25">
      <c r="A827174" s="242"/>
    </row>
    <row r="827175" spans="1:1" x14ac:dyDescent="0.25">
      <c r="A827175" s="242"/>
    </row>
    <row r="827176" spans="1:1" x14ac:dyDescent="0.25">
      <c r="A827176" s="242"/>
    </row>
    <row r="827177" spans="1:1" x14ac:dyDescent="0.25">
      <c r="A827177" s="242"/>
    </row>
    <row r="827178" spans="1:1" x14ac:dyDescent="0.25">
      <c r="A827178" s="242"/>
    </row>
    <row r="827179" spans="1:1" x14ac:dyDescent="0.25">
      <c r="A827179" s="242"/>
    </row>
    <row r="827180" spans="1:1" x14ac:dyDescent="0.25">
      <c r="A827180" s="242"/>
    </row>
    <row r="827181" spans="1:1" x14ac:dyDescent="0.25">
      <c r="A827181" s="242"/>
    </row>
    <row r="827182" spans="1:1" x14ac:dyDescent="0.25">
      <c r="A827182" s="242"/>
    </row>
    <row r="827183" spans="1:1" x14ac:dyDescent="0.25">
      <c r="A827183" s="242"/>
    </row>
    <row r="827184" spans="1:1" x14ac:dyDescent="0.25">
      <c r="A827184" s="242"/>
    </row>
    <row r="827185" spans="1:1" x14ac:dyDescent="0.25">
      <c r="A827185" s="242"/>
    </row>
    <row r="827186" spans="1:1" x14ac:dyDescent="0.25">
      <c r="A827186" s="242"/>
    </row>
    <row r="827187" spans="1:1" x14ac:dyDescent="0.25">
      <c r="A827187" s="242"/>
    </row>
    <row r="827188" spans="1:1" x14ac:dyDescent="0.25">
      <c r="A827188" s="242"/>
    </row>
    <row r="827189" spans="1:1" x14ac:dyDescent="0.25">
      <c r="A827189" s="242"/>
    </row>
    <row r="827190" spans="1:1" x14ac:dyDescent="0.25">
      <c r="A827190" s="242"/>
    </row>
    <row r="827191" spans="1:1" x14ac:dyDescent="0.25">
      <c r="A827191" s="242"/>
    </row>
    <row r="827192" spans="1:1" x14ac:dyDescent="0.25">
      <c r="A827192" s="242"/>
    </row>
    <row r="827193" spans="1:1" x14ac:dyDescent="0.25">
      <c r="A827193" s="242"/>
    </row>
    <row r="827194" spans="1:1" x14ac:dyDescent="0.25">
      <c r="A827194" s="242"/>
    </row>
    <row r="827195" spans="1:1" x14ac:dyDescent="0.25">
      <c r="A827195" s="242"/>
    </row>
    <row r="827196" spans="1:1" x14ac:dyDescent="0.25">
      <c r="A827196" s="242"/>
    </row>
    <row r="827197" spans="1:1" x14ac:dyDescent="0.25">
      <c r="A827197" s="242"/>
    </row>
    <row r="827198" spans="1:1" x14ac:dyDescent="0.25">
      <c r="A827198" s="242"/>
    </row>
    <row r="827199" spans="1:1" x14ac:dyDescent="0.25">
      <c r="A827199" s="242"/>
    </row>
    <row r="827200" spans="1:1" x14ac:dyDescent="0.25">
      <c r="A827200" s="242"/>
    </row>
    <row r="827201" spans="1:1" x14ac:dyDescent="0.25">
      <c r="A827201" s="242"/>
    </row>
    <row r="827202" spans="1:1" x14ac:dyDescent="0.25">
      <c r="A827202" s="242"/>
    </row>
    <row r="827203" spans="1:1" x14ac:dyDescent="0.25">
      <c r="A827203" s="242"/>
    </row>
    <row r="827204" spans="1:1" x14ac:dyDescent="0.25">
      <c r="A827204" s="242"/>
    </row>
    <row r="827205" spans="1:1" x14ac:dyDescent="0.25">
      <c r="A827205" s="242"/>
    </row>
    <row r="827206" spans="1:1" x14ac:dyDescent="0.25">
      <c r="A827206" s="242"/>
    </row>
    <row r="827207" spans="1:1" x14ac:dyDescent="0.25">
      <c r="A827207" s="242"/>
    </row>
    <row r="827208" spans="1:1" x14ac:dyDescent="0.25">
      <c r="A827208" s="242"/>
    </row>
    <row r="827209" spans="1:1" x14ac:dyDescent="0.25">
      <c r="A827209" s="242"/>
    </row>
    <row r="827210" spans="1:1" x14ac:dyDescent="0.25">
      <c r="A827210" s="242"/>
    </row>
    <row r="827211" spans="1:1" x14ac:dyDescent="0.25">
      <c r="A827211" s="242"/>
    </row>
    <row r="827212" spans="1:1" x14ac:dyDescent="0.25">
      <c r="A827212" s="242"/>
    </row>
    <row r="827213" spans="1:1" x14ac:dyDescent="0.25">
      <c r="A827213" s="242"/>
    </row>
    <row r="827214" spans="1:1" x14ac:dyDescent="0.25">
      <c r="A827214" s="242"/>
    </row>
    <row r="827215" spans="1:1" x14ac:dyDescent="0.25">
      <c r="A827215" s="242"/>
    </row>
    <row r="827216" spans="1:1" x14ac:dyDescent="0.25">
      <c r="A827216" s="242"/>
    </row>
    <row r="827217" spans="1:1" x14ac:dyDescent="0.25">
      <c r="A827217" s="242"/>
    </row>
    <row r="827218" spans="1:1" x14ac:dyDescent="0.25">
      <c r="A827218" s="242"/>
    </row>
    <row r="827219" spans="1:1" x14ac:dyDescent="0.25">
      <c r="A827219" s="242"/>
    </row>
    <row r="827220" spans="1:1" x14ac:dyDescent="0.25">
      <c r="A827220" s="242"/>
    </row>
    <row r="827221" spans="1:1" x14ac:dyDescent="0.25">
      <c r="A827221" s="242"/>
    </row>
    <row r="827222" spans="1:1" x14ac:dyDescent="0.25">
      <c r="A827222" s="242"/>
    </row>
    <row r="827223" spans="1:1" x14ac:dyDescent="0.25">
      <c r="A827223" s="242"/>
    </row>
    <row r="827224" spans="1:1" x14ac:dyDescent="0.25">
      <c r="A827224" s="242"/>
    </row>
    <row r="827225" spans="1:1" x14ac:dyDescent="0.25">
      <c r="A827225" s="242"/>
    </row>
    <row r="827226" spans="1:1" x14ac:dyDescent="0.25">
      <c r="A827226" s="242"/>
    </row>
    <row r="827227" spans="1:1" x14ac:dyDescent="0.25">
      <c r="A827227" s="242"/>
    </row>
    <row r="827228" spans="1:1" x14ac:dyDescent="0.25">
      <c r="A827228" s="242"/>
    </row>
    <row r="827229" spans="1:1" x14ac:dyDescent="0.25">
      <c r="A827229" s="242"/>
    </row>
    <row r="827230" spans="1:1" x14ac:dyDescent="0.25">
      <c r="A827230" s="242"/>
    </row>
    <row r="827231" spans="1:1" x14ac:dyDescent="0.25">
      <c r="A827231" s="242"/>
    </row>
    <row r="827232" spans="1:1" x14ac:dyDescent="0.25">
      <c r="A827232" s="242"/>
    </row>
    <row r="827233" spans="1:1" x14ac:dyDescent="0.25">
      <c r="A827233" s="242"/>
    </row>
    <row r="827234" spans="1:1" x14ac:dyDescent="0.25">
      <c r="A827234" s="242"/>
    </row>
    <row r="827235" spans="1:1" x14ac:dyDescent="0.25">
      <c r="A827235" s="242"/>
    </row>
    <row r="827236" spans="1:1" x14ac:dyDescent="0.25">
      <c r="A827236" s="242"/>
    </row>
    <row r="827237" spans="1:1" x14ac:dyDescent="0.25">
      <c r="A827237" s="242"/>
    </row>
    <row r="827238" spans="1:1" x14ac:dyDescent="0.25">
      <c r="A827238" s="242"/>
    </row>
    <row r="827239" spans="1:1" x14ac:dyDescent="0.25">
      <c r="A827239" s="242"/>
    </row>
    <row r="827240" spans="1:1" x14ac:dyDescent="0.25">
      <c r="A827240" s="242"/>
    </row>
    <row r="827241" spans="1:1" x14ac:dyDescent="0.25">
      <c r="A827241" s="242"/>
    </row>
    <row r="827242" spans="1:1" x14ac:dyDescent="0.25">
      <c r="A827242" s="242"/>
    </row>
    <row r="827243" spans="1:1" x14ac:dyDescent="0.25">
      <c r="A827243" s="242"/>
    </row>
    <row r="827244" spans="1:1" x14ac:dyDescent="0.25">
      <c r="A827244" s="242"/>
    </row>
    <row r="827245" spans="1:1" x14ac:dyDescent="0.25">
      <c r="A827245" s="242"/>
    </row>
    <row r="827246" spans="1:1" x14ac:dyDescent="0.25">
      <c r="A827246" s="242"/>
    </row>
    <row r="827247" spans="1:1" x14ac:dyDescent="0.25">
      <c r="A827247" s="242"/>
    </row>
    <row r="827248" spans="1:1" x14ac:dyDescent="0.25">
      <c r="A827248" s="242"/>
    </row>
    <row r="827249" spans="1:1" x14ac:dyDescent="0.25">
      <c r="A827249" s="242"/>
    </row>
    <row r="827250" spans="1:1" x14ac:dyDescent="0.25">
      <c r="A827250" s="242"/>
    </row>
    <row r="827251" spans="1:1" x14ac:dyDescent="0.25">
      <c r="A827251" s="242"/>
    </row>
    <row r="827252" spans="1:1" x14ac:dyDescent="0.25">
      <c r="A827252" s="242"/>
    </row>
    <row r="827253" spans="1:1" x14ac:dyDescent="0.25">
      <c r="A827253" s="242"/>
    </row>
    <row r="827254" spans="1:1" x14ac:dyDescent="0.25">
      <c r="A827254" s="242"/>
    </row>
    <row r="827255" spans="1:1" x14ac:dyDescent="0.25">
      <c r="A827255" s="242"/>
    </row>
    <row r="827256" spans="1:1" x14ac:dyDescent="0.25">
      <c r="A827256" s="242"/>
    </row>
    <row r="827257" spans="1:1" x14ac:dyDescent="0.25">
      <c r="A827257" s="242"/>
    </row>
    <row r="827258" spans="1:1" x14ac:dyDescent="0.25">
      <c r="A827258" s="242"/>
    </row>
    <row r="827259" spans="1:1" x14ac:dyDescent="0.25">
      <c r="A827259" s="242"/>
    </row>
    <row r="827260" spans="1:1" x14ac:dyDescent="0.25">
      <c r="A827260" s="242"/>
    </row>
    <row r="827261" spans="1:1" x14ac:dyDescent="0.25">
      <c r="A827261" s="242"/>
    </row>
    <row r="827262" spans="1:1" x14ac:dyDescent="0.25">
      <c r="A827262" s="242"/>
    </row>
    <row r="827263" spans="1:1" x14ac:dyDescent="0.25">
      <c r="A827263" s="242"/>
    </row>
    <row r="827264" spans="1:1" x14ac:dyDescent="0.25">
      <c r="A827264" s="242"/>
    </row>
    <row r="827265" spans="1:1" x14ac:dyDescent="0.25">
      <c r="A827265" s="242"/>
    </row>
    <row r="827266" spans="1:1" x14ac:dyDescent="0.25">
      <c r="A827266" s="242"/>
    </row>
    <row r="827267" spans="1:1" x14ac:dyDescent="0.25">
      <c r="A827267" s="242"/>
    </row>
    <row r="827268" spans="1:1" x14ac:dyDescent="0.25">
      <c r="A827268" s="242"/>
    </row>
    <row r="827269" spans="1:1" x14ac:dyDescent="0.25">
      <c r="A827269" s="242"/>
    </row>
    <row r="827270" spans="1:1" x14ac:dyDescent="0.25">
      <c r="A827270" s="242"/>
    </row>
    <row r="827271" spans="1:1" x14ac:dyDescent="0.25">
      <c r="A827271" s="242"/>
    </row>
    <row r="827272" spans="1:1" x14ac:dyDescent="0.25">
      <c r="A827272" s="242"/>
    </row>
    <row r="827273" spans="1:1" x14ac:dyDescent="0.25">
      <c r="A827273" s="242"/>
    </row>
    <row r="827274" spans="1:1" x14ac:dyDescent="0.25">
      <c r="A827274" s="242"/>
    </row>
    <row r="827275" spans="1:1" x14ac:dyDescent="0.25">
      <c r="A827275" s="242"/>
    </row>
    <row r="827276" spans="1:1" x14ac:dyDescent="0.25">
      <c r="A827276" s="242"/>
    </row>
    <row r="827277" spans="1:1" x14ac:dyDescent="0.25">
      <c r="A827277" s="242"/>
    </row>
    <row r="827278" spans="1:1" x14ac:dyDescent="0.25">
      <c r="A827278" s="242"/>
    </row>
    <row r="827279" spans="1:1" x14ac:dyDescent="0.25">
      <c r="A827279" s="242"/>
    </row>
    <row r="827280" spans="1:1" x14ac:dyDescent="0.25">
      <c r="A827280" s="242"/>
    </row>
    <row r="827281" spans="1:1" x14ac:dyDescent="0.25">
      <c r="A827281" s="242"/>
    </row>
    <row r="827282" spans="1:1" x14ac:dyDescent="0.25">
      <c r="A827282" s="242"/>
    </row>
    <row r="827283" spans="1:1" x14ac:dyDescent="0.25">
      <c r="A827283" s="242"/>
    </row>
    <row r="827284" spans="1:1" x14ac:dyDescent="0.25">
      <c r="A827284" s="242"/>
    </row>
    <row r="827285" spans="1:1" x14ac:dyDescent="0.25">
      <c r="A827285" s="242"/>
    </row>
    <row r="827286" spans="1:1" x14ac:dyDescent="0.25">
      <c r="A827286" s="242"/>
    </row>
    <row r="827287" spans="1:1" x14ac:dyDescent="0.25">
      <c r="A827287" s="242"/>
    </row>
    <row r="827288" spans="1:1" x14ac:dyDescent="0.25">
      <c r="A827288" s="242"/>
    </row>
    <row r="827289" spans="1:1" x14ac:dyDescent="0.25">
      <c r="A827289" s="242"/>
    </row>
    <row r="827290" spans="1:1" x14ac:dyDescent="0.25">
      <c r="A827290" s="242"/>
    </row>
    <row r="827291" spans="1:1" x14ac:dyDescent="0.25">
      <c r="A827291" s="242"/>
    </row>
    <row r="827292" spans="1:1" x14ac:dyDescent="0.25">
      <c r="A827292" s="242"/>
    </row>
    <row r="827293" spans="1:1" x14ac:dyDescent="0.25">
      <c r="A827293" s="242"/>
    </row>
    <row r="827294" spans="1:1" x14ac:dyDescent="0.25">
      <c r="A827294" s="242"/>
    </row>
    <row r="827295" spans="1:1" x14ac:dyDescent="0.25">
      <c r="A827295" s="242"/>
    </row>
    <row r="827296" spans="1:1" x14ac:dyDescent="0.25">
      <c r="A827296" s="242"/>
    </row>
    <row r="827297" spans="1:1" x14ac:dyDescent="0.25">
      <c r="A827297" s="242"/>
    </row>
    <row r="827298" spans="1:1" x14ac:dyDescent="0.25">
      <c r="A827298" s="242"/>
    </row>
    <row r="827299" spans="1:1" x14ac:dyDescent="0.25">
      <c r="A827299" s="242"/>
    </row>
    <row r="827300" spans="1:1" x14ac:dyDescent="0.25">
      <c r="A827300" s="242"/>
    </row>
    <row r="827301" spans="1:1" x14ac:dyDescent="0.25">
      <c r="A827301" s="242"/>
    </row>
    <row r="827302" spans="1:1" x14ac:dyDescent="0.25">
      <c r="A827302" s="242"/>
    </row>
    <row r="827303" spans="1:1" x14ac:dyDescent="0.25">
      <c r="A827303" s="242"/>
    </row>
    <row r="827304" spans="1:1" x14ac:dyDescent="0.25">
      <c r="A827304" s="242"/>
    </row>
    <row r="827305" spans="1:1" x14ac:dyDescent="0.25">
      <c r="A827305" s="242"/>
    </row>
    <row r="827306" spans="1:1" x14ac:dyDescent="0.25">
      <c r="A827306" s="242"/>
    </row>
    <row r="827307" spans="1:1" x14ac:dyDescent="0.25">
      <c r="A827307" s="242"/>
    </row>
    <row r="827308" spans="1:1" x14ac:dyDescent="0.25">
      <c r="A827308" s="242"/>
    </row>
    <row r="827309" spans="1:1" x14ac:dyDescent="0.25">
      <c r="A827309" s="242"/>
    </row>
    <row r="827310" spans="1:1" x14ac:dyDescent="0.25">
      <c r="A827310" s="242"/>
    </row>
    <row r="827311" spans="1:1" x14ac:dyDescent="0.25">
      <c r="A827311" s="242"/>
    </row>
    <row r="827312" spans="1:1" x14ac:dyDescent="0.25">
      <c r="A827312" s="242"/>
    </row>
    <row r="827313" spans="1:1" x14ac:dyDescent="0.25">
      <c r="A827313" s="242"/>
    </row>
    <row r="827314" spans="1:1" x14ac:dyDescent="0.25">
      <c r="A827314" s="242"/>
    </row>
    <row r="827315" spans="1:1" x14ac:dyDescent="0.25">
      <c r="A827315" s="242"/>
    </row>
    <row r="827316" spans="1:1" x14ac:dyDescent="0.25">
      <c r="A827316" s="242"/>
    </row>
    <row r="827317" spans="1:1" x14ac:dyDescent="0.25">
      <c r="A827317" s="242"/>
    </row>
    <row r="827318" spans="1:1" x14ac:dyDescent="0.25">
      <c r="A827318" s="242"/>
    </row>
    <row r="827319" spans="1:1" x14ac:dyDescent="0.25">
      <c r="A827319" s="242"/>
    </row>
    <row r="827320" spans="1:1" x14ac:dyDescent="0.25">
      <c r="A827320" s="242"/>
    </row>
    <row r="827321" spans="1:1" x14ac:dyDescent="0.25">
      <c r="A827321" s="242"/>
    </row>
    <row r="827322" spans="1:1" x14ac:dyDescent="0.25">
      <c r="A827322" s="242"/>
    </row>
    <row r="827323" spans="1:1" x14ac:dyDescent="0.25">
      <c r="A827323" s="242"/>
    </row>
    <row r="827324" spans="1:1" x14ac:dyDescent="0.25">
      <c r="A827324" s="242"/>
    </row>
    <row r="827325" spans="1:1" x14ac:dyDescent="0.25">
      <c r="A827325" s="242"/>
    </row>
    <row r="827326" spans="1:1" x14ac:dyDescent="0.25">
      <c r="A827326" s="242"/>
    </row>
    <row r="827327" spans="1:1" x14ac:dyDescent="0.25">
      <c r="A827327" s="242"/>
    </row>
    <row r="827328" spans="1:1" x14ac:dyDescent="0.25">
      <c r="A827328" s="242"/>
    </row>
    <row r="827329" spans="1:1" x14ac:dyDescent="0.25">
      <c r="A827329" s="242"/>
    </row>
    <row r="827330" spans="1:1" x14ac:dyDescent="0.25">
      <c r="A827330" s="242"/>
    </row>
    <row r="827331" spans="1:1" x14ac:dyDescent="0.25">
      <c r="A827331" s="242"/>
    </row>
    <row r="827332" spans="1:1" x14ac:dyDescent="0.25">
      <c r="A827332" s="242"/>
    </row>
    <row r="827333" spans="1:1" x14ac:dyDescent="0.25">
      <c r="A827333" s="242"/>
    </row>
    <row r="827334" spans="1:1" x14ac:dyDescent="0.25">
      <c r="A827334" s="242"/>
    </row>
    <row r="827335" spans="1:1" x14ac:dyDescent="0.25">
      <c r="A827335" s="242"/>
    </row>
    <row r="827336" spans="1:1" x14ac:dyDescent="0.25">
      <c r="A827336" s="242"/>
    </row>
    <row r="827337" spans="1:1" x14ac:dyDescent="0.25">
      <c r="A827337" s="242"/>
    </row>
    <row r="827338" spans="1:1" x14ac:dyDescent="0.25">
      <c r="A827338" s="242"/>
    </row>
    <row r="827339" spans="1:1" x14ac:dyDescent="0.25">
      <c r="A827339" s="242"/>
    </row>
    <row r="827340" spans="1:1" x14ac:dyDescent="0.25">
      <c r="A827340" s="242"/>
    </row>
    <row r="827341" spans="1:1" x14ac:dyDescent="0.25">
      <c r="A827341" s="242"/>
    </row>
    <row r="827342" spans="1:1" x14ac:dyDescent="0.25">
      <c r="A827342" s="242"/>
    </row>
    <row r="827343" spans="1:1" x14ac:dyDescent="0.25">
      <c r="A827343" s="242"/>
    </row>
    <row r="827344" spans="1:1" x14ac:dyDescent="0.25">
      <c r="A827344" s="242"/>
    </row>
    <row r="827345" spans="1:1" x14ac:dyDescent="0.25">
      <c r="A827345" s="242"/>
    </row>
    <row r="827346" spans="1:1" x14ac:dyDescent="0.25">
      <c r="A827346" s="242"/>
    </row>
    <row r="827347" spans="1:1" x14ac:dyDescent="0.25">
      <c r="A827347" s="242"/>
    </row>
    <row r="827348" spans="1:1" x14ac:dyDescent="0.25">
      <c r="A827348" s="242"/>
    </row>
    <row r="827349" spans="1:1" x14ac:dyDescent="0.25">
      <c r="A827349" s="242"/>
    </row>
    <row r="827350" spans="1:1" x14ac:dyDescent="0.25">
      <c r="A827350" s="242"/>
    </row>
    <row r="827351" spans="1:1" x14ac:dyDescent="0.25">
      <c r="A827351" s="242"/>
    </row>
    <row r="827352" spans="1:1" x14ac:dyDescent="0.25">
      <c r="A827352" s="242"/>
    </row>
    <row r="827353" spans="1:1" x14ac:dyDescent="0.25">
      <c r="A827353" s="242"/>
    </row>
    <row r="827354" spans="1:1" x14ac:dyDescent="0.25">
      <c r="A827354" s="242"/>
    </row>
    <row r="827355" spans="1:1" x14ac:dyDescent="0.25">
      <c r="A827355" s="242"/>
    </row>
    <row r="827356" spans="1:1" x14ac:dyDescent="0.25">
      <c r="A827356" s="242"/>
    </row>
    <row r="827357" spans="1:1" x14ac:dyDescent="0.25">
      <c r="A827357" s="242"/>
    </row>
    <row r="827358" spans="1:1" x14ac:dyDescent="0.25">
      <c r="A827358" s="242"/>
    </row>
    <row r="827359" spans="1:1" x14ac:dyDescent="0.25">
      <c r="A827359" s="242"/>
    </row>
    <row r="827360" spans="1:1" x14ac:dyDescent="0.25">
      <c r="A827360" s="242"/>
    </row>
    <row r="827361" spans="1:1" x14ac:dyDescent="0.25">
      <c r="A827361" s="242"/>
    </row>
    <row r="827362" spans="1:1" x14ac:dyDescent="0.25">
      <c r="A827362" s="242"/>
    </row>
    <row r="827363" spans="1:1" x14ac:dyDescent="0.25">
      <c r="A827363" s="242"/>
    </row>
    <row r="827364" spans="1:1" x14ac:dyDescent="0.25">
      <c r="A827364" s="242"/>
    </row>
    <row r="827365" spans="1:1" x14ac:dyDescent="0.25">
      <c r="A827365" s="242"/>
    </row>
    <row r="827366" spans="1:1" x14ac:dyDescent="0.25">
      <c r="A827366" s="242"/>
    </row>
    <row r="827367" spans="1:1" x14ac:dyDescent="0.25">
      <c r="A827367" s="242"/>
    </row>
    <row r="827368" spans="1:1" x14ac:dyDescent="0.25">
      <c r="A827368" s="242"/>
    </row>
    <row r="827369" spans="1:1" x14ac:dyDescent="0.25">
      <c r="A827369" s="242"/>
    </row>
    <row r="827370" spans="1:1" x14ac:dyDescent="0.25">
      <c r="A827370" s="242"/>
    </row>
    <row r="827371" spans="1:1" x14ac:dyDescent="0.25">
      <c r="A827371" s="242"/>
    </row>
    <row r="827372" spans="1:1" x14ac:dyDescent="0.25">
      <c r="A827372" s="242"/>
    </row>
    <row r="827373" spans="1:1" x14ac:dyDescent="0.25">
      <c r="A827373" s="242"/>
    </row>
    <row r="827374" spans="1:1" x14ac:dyDescent="0.25">
      <c r="A827374" s="242"/>
    </row>
    <row r="827375" spans="1:1" x14ac:dyDescent="0.25">
      <c r="A827375" s="242"/>
    </row>
    <row r="827376" spans="1:1" x14ac:dyDescent="0.25">
      <c r="A827376" s="242"/>
    </row>
    <row r="827377" spans="1:1" x14ac:dyDescent="0.25">
      <c r="A827377" s="242"/>
    </row>
    <row r="827378" spans="1:1" x14ac:dyDescent="0.25">
      <c r="A827378" s="242"/>
    </row>
    <row r="827379" spans="1:1" x14ac:dyDescent="0.25">
      <c r="A827379" s="242"/>
    </row>
    <row r="827380" spans="1:1" x14ac:dyDescent="0.25">
      <c r="A827380" s="242"/>
    </row>
    <row r="827381" spans="1:1" x14ac:dyDescent="0.25">
      <c r="A827381" s="242"/>
    </row>
    <row r="827382" spans="1:1" x14ac:dyDescent="0.25">
      <c r="A827382" s="242"/>
    </row>
    <row r="827383" spans="1:1" x14ac:dyDescent="0.25">
      <c r="A827383" s="242"/>
    </row>
    <row r="827384" spans="1:1" x14ac:dyDescent="0.25">
      <c r="A827384" s="242"/>
    </row>
    <row r="827385" spans="1:1" x14ac:dyDescent="0.25">
      <c r="A827385" s="242"/>
    </row>
    <row r="827386" spans="1:1" x14ac:dyDescent="0.25">
      <c r="A827386" s="242"/>
    </row>
    <row r="827387" spans="1:1" x14ac:dyDescent="0.25">
      <c r="A827387" s="242"/>
    </row>
    <row r="827388" spans="1:1" x14ac:dyDescent="0.25">
      <c r="A827388" s="242"/>
    </row>
    <row r="827389" spans="1:1" x14ac:dyDescent="0.25">
      <c r="A827389" s="242"/>
    </row>
    <row r="827390" spans="1:1" x14ac:dyDescent="0.25">
      <c r="A827390" s="242"/>
    </row>
    <row r="827391" spans="1:1" x14ac:dyDescent="0.25">
      <c r="A827391" s="242"/>
    </row>
    <row r="827392" spans="1:1" x14ac:dyDescent="0.25">
      <c r="A827392" s="242"/>
    </row>
    <row r="827393" spans="1:1" x14ac:dyDescent="0.25">
      <c r="A827393" s="242"/>
    </row>
    <row r="827394" spans="1:1" x14ac:dyDescent="0.25">
      <c r="A827394" s="242"/>
    </row>
    <row r="827395" spans="1:1" x14ac:dyDescent="0.25">
      <c r="A827395" s="242"/>
    </row>
    <row r="827396" spans="1:1" x14ac:dyDescent="0.25">
      <c r="A827396" s="242"/>
    </row>
    <row r="827397" spans="1:1" x14ac:dyDescent="0.25">
      <c r="A827397" s="242"/>
    </row>
    <row r="827398" spans="1:1" x14ac:dyDescent="0.25">
      <c r="A827398" s="242"/>
    </row>
    <row r="827399" spans="1:1" x14ac:dyDescent="0.25">
      <c r="A827399" s="242"/>
    </row>
    <row r="827400" spans="1:1" x14ac:dyDescent="0.25">
      <c r="A827400" s="242"/>
    </row>
    <row r="827401" spans="1:1" x14ac:dyDescent="0.25">
      <c r="A827401" s="242"/>
    </row>
    <row r="827402" spans="1:1" x14ac:dyDescent="0.25">
      <c r="A827402" s="242"/>
    </row>
    <row r="827403" spans="1:1" x14ac:dyDescent="0.25">
      <c r="A827403" s="242"/>
    </row>
    <row r="827404" spans="1:1" x14ac:dyDescent="0.25">
      <c r="A827404" s="242"/>
    </row>
    <row r="827405" spans="1:1" x14ac:dyDescent="0.25">
      <c r="A827405" s="242"/>
    </row>
    <row r="827406" spans="1:1" x14ac:dyDescent="0.25">
      <c r="A827406" s="242"/>
    </row>
    <row r="827407" spans="1:1" x14ac:dyDescent="0.25">
      <c r="A827407" s="242"/>
    </row>
    <row r="827408" spans="1:1" x14ac:dyDescent="0.25">
      <c r="A827408" s="242"/>
    </row>
    <row r="827409" spans="1:1" x14ac:dyDescent="0.25">
      <c r="A827409" s="242"/>
    </row>
    <row r="827410" spans="1:1" x14ac:dyDescent="0.25">
      <c r="A827410" s="242"/>
    </row>
    <row r="827411" spans="1:1" x14ac:dyDescent="0.25">
      <c r="A827411" s="242"/>
    </row>
    <row r="827412" spans="1:1" x14ac:dyDescent="0.25">
      <c r="A827412" s="242"/>
    </row>
    <row r="827413" spans="1:1" x14ac:dyDescent="0.25">
      <c r="A827413" s="242"/>
    </row>
    <row r="827414" spans="1:1" x14ac:dyDescent="0.25">
      <c r="A827414" s="242"/>
    </row>
    <row r="827415" spans="1:1" x14ac:dyDescent="0.25">
      <c r="A827415" s="242"/>
    </row>
    <row r="827416" spans="1:1" x14ac:dyDescent="0.25">
      <c r="A827416" s="242"/>
    </row>
    <row r="827417" spans="1:1" x14ac:dyDescent="0.25">
      <c r="A827417" s="242"/>
    </row>
    <row r="827418" spans="1:1" x14ac:dyDescent="0.25">
      <c r="A827418" s="242"/>
    </row>
    <row r="827419" spans="1:1" x14ac:dyDescent="0.25">
      <c r="A827419" s="242"/>
    </row>
    <row r="827420" spans="1:1" x14ac:dyDescent="0.25">
      <c r="A827420" s="242"/>
    </row>
    <row r="827421" spans="1:1" x14ac:dyDescent="0.25">
      <c r="A827421" s="242"/>
    </row>
    <row r="827422" spans="1:1" x14ac:dyDescent="0.25">
      <c r="A827422" s="242"/>
    </row>
    <row r="827423" spans="1:1" x14ac:dyDescent="0.25">
      <c r="A827423" s="242"/>
    </row>
    <row r="827424" spans="1:1" x14ac:dyDescent="0.25">
      <c r="A827424" s="242"/>
    </row>
    <row r="827425" spans="1:1" x14ac:dyDescent="0.25">
      <c r="A827425" s="242"/>
    </row>
    <row r="827426" spans="1:1" x14ac:dyDescent="0.25">
      <c r="A827426" s="242"/>
    </row>
    <row r="827427" spans="1:1" x14ac:dyDescent="0.25">
      <c r="A827427" s="242"/>
    </row>
    <row r="827428" spans="1:1" x14ac:dyDescent="0.25">
      <c r="A827428" s="242"/>
    </row>
    <row r="827429" spans="1:1" x14ac:dyDescent="0.25">
      <c r="A827429" s="242"/>
    </row>
    <row r="827430" spans="1:1" x14ac:dyDescent="0.25">
      <c r="A827430" s="242"/>
    </row>
    <row r="827431" spans="1:1" x14ac:dyDescent="0.25">
      <c r="A827431" s="242"/>
    </row>
    <row r="827432" spans="1:1" x14ac:dyDescent="0.25">
      <c r="A827432" s="242"/>
    </row>
    <row r="827433" spans="1:1" x14ac:dyDescent="0.25">
      <c r="A827433" s="242"/>
    </row>
    <row r="827434" spans="1:1" x14ac:dyDescent="0.25">
      <c r="A827434" s="242"/>
    </row>
    <row r="827435" spans="1:1" x14ac:dyDescent="0.25">
      <c r="A827435" s="242"/>
    </row>
    <row r="827436" spans="1:1" x14ac:dyDescent="0.25">
      <c r="A827436" s="242"/>
    </row>
    <row r="827437" spans="1:1" x14ac:dyDescent="0.25">
      <c r="A827437" s="242"/>
    </row>
    <row r="827438" spans="1:1" x14ac:dyDescent="0.25">
      <c r="A827438" s="242"/>
    </row>
    <row r="827439" spans="1:1" x14ac:dyDescent="0.25">
      <c r="A827439" s="242"/>
    </row>
    <row r="827440" spans="1:1" x14ac:dyDescent="0.25">
      <c r="A827440" s="242"/>
    </row>
    <row r="827441" spans="1:1" x14ac:dyDescent="0.25">
      <c r="A827441" s="242"/>
    </row>
    <row r="827442" spans="1:1" x14ac:dyDescent="0.25">
      <c r="A827442" s="242"/>
    </row>
    <row r="827443" spans="1:1" x14ac:dyDescent="0.25">
      <c r="A827443" s="242"/>
    </row>
    <row r="827444" spans="1:1" x14ac:dyDescent="0.25">
      <c r="A827444" s="242"/>
    </row>
    <row r="827445" spans="1:1" x14ac:dyDescent="0.25">
      <c r="A827445" s="242"/>
    </row>
    <row r="827446" spans="1:1" x14ac:dyDescent="0.25">
      <c r="A827446" s="242"/>
    </row>
    <row r="827447" spans="1:1" x14ac:dyDescent="0.25">
      <c r="A827447" s="242"/>
    </row>
    <row r="827448" spans="1:1" x14ac:dyDescent="0.25">
      <c r="A827448" s="242"/>
    </row>
    <row r="827449" spans="1:1" x14ac:dyDescent="0.25">
      <c r="A827449" s="242"/>
    </row>
    <row r="827450" spans="1:1" x14ac:dyDescent="0.25">
      <c r="A827450" s="242"/>
    </row>
    <row r="827451" spans="1:1" x14ac:dyDescent="0.25">
      <c r="A827451" s="242"/>
    </row>
    <row r="827452" spans="1:1" x14ac:dyDescent="0.25">
      <c r="A827452" s="242"/>
    </row>
    <row r="827453" spans="1:1" x14ac:dyDescent="0.25">
      <c r="A827453" s="242"/>
    </row>
    <row r="827454" spans="1:1" x14ac:dyDescent="0.25">
      <c r="A827454" s="242"/>
    </row>
    <row r="827455" spans="1:1" x14ac:dyDescent="0.25">
      <c r="A827455" s="242"/>
    </row>
    <row r="827456" spans="1:1" x14ac:dyDescent="0.25">
      <c r="A827456" s="242"/>
    </row>
    <row r="827457" spans="1:1" x14ac:dyDescent="0.25">
      <c r="A827457" s="242"/>
    </row>
    <row r="827458" spans="1:1" x14ac:dyDescent="0.25">
      <c r="A827458" s="242"/>
    </row>
    <row r="827459" spans="1:1" x14ac:dyDescent="0.25">
      <c r="A827459" s="242"/>
    </row>
    <row r="827460" spans="1:1" x14ac:dyDescent="0.25">
      <c r="A827460" s="242"/>
    </row>
    <row r="827461" spans="1:1" x14ac:dyDescent="0.25">
      <c r="A827461" s="242"/>
    </row>
    <row r="827462" spans="1:1" x14ac:dyDescent="0.25">
      <c r="A827462" s="242"/>
    </row>
    <row r="827463" spans="1:1" x14ac:dyDescent="0.25">
      <c r="A827463" s="242"/>
    </row>
    <row r="827464" spans="1:1" x14ac:dyDescent="0.25">
      <c r="A827464" s="242"/>
    </row>
    <row r="827465" spans="1:1" x14ac:dyDescent="0.25">
      <c r="A827465" s="242"/>
    </row>
    <row r="827466" spans="1:1" x14ac:dyDescent="0.25">
      <c r="A827466" s="242"/>
    </row>
    <row r="827467" spans="1:1" x14ac:dyDescent="0.25">
      <c r="A827467" s="242"/>
    </row>
    <row r="827468" spans="1:1" x14ac:dyDescent="0.25">
      <c r="A827468" s="242"/>
    </row>
    <row r="827469" spans="1:1" x14ac:dyDescent="0.25">
      <c r="A827469" s="242"/>
    </row>
    <row r="827470" spans="1:1" x14ac:dyDescent="0.25">
      <c r="A827470" s="242"/>
    </row>
    <row r="827471" spans="1:1" x14ac:dyDescent="0.25">
      <c r="A827471" s="242"/>
    </row>
    <row r="827472" spans="1:1" x14ac:dyDescent="0.25">
      <c r="A827472" s="242"/>
    </row>
    <row r="827473" spans="1:1" x14ac:dyDescent="0.25">
      <c r="A827473" s="242"/>
    </row>
    <row r="827474" spans="1:1" x14ac:dyDescent="0.25">
      <c r="A827474" s="242"/>
    </row>
    <row r="827475" spans="1:1" x14ac:dyDescent="0.25">
      <c r="A827475" s="242"/>
    </row>
    <row r="827476" spans="1:1" x14ac:dyDescent="0.25">
      <c r="A827476" s="242"/>
    </row>
    <row r="827477" spans="1:1" x14ac:dyDescent="0.25">
      <c r="A827477" s="242"/>
    </row>
    <row r="827478" spans="1:1" x14ac:dyDescent="0.25">
      <c r="A827478" s="242"/>
    </row>
    <row r="827479" spans="1:1" x14ac:dyDescent="0.25">
      <c r="A827479" s="242"/>
    </row>
    <row r="827480" spans="1:1" x14ac:dyDescent="0.25">
      <c r="A827480" s="242"/>
    </row>
    <row r="827481" spans="1:1" x14ac:dyDescent="0.25">
      <c r="A827481" s="242"/>
    </row>
    <row r="827482" spans="1:1" x14ac:dyDescent="0.25">
      <c r="A827482" s="242"/>
    </row>
    <row r="827483" spans="1:1" x14ac:dyDescent="0.25">
      <c r="A827483" s="242"/>
    </row>
    <row r="827484" spans="1:1" x14ac:dyDescent="0.25">
      <c r="A827484" s="242"/>
    </row>
    <row r="827485" spans="1:1" x14ac:dyDescent="0.25">
      <c r="A827485" s="242"/>
    </row>
    <row r="827486" spans="1:1" x14ac:dyDescent="0.25">
      <c r="A827486" s="242"/>
    </row>
    <row r="827487" spans="1:1" x14ac:dyDescent="0.25">
      <c r="A827487" s="242"/>
    </row>
    <row r="827488" spans="1:1" x14ac:dyDescent="0.25">
      <c r="A827488" s="242"/>
    </row>
    <row r="827489" spans="1:1" x14ac:dyDescent="0.25">
      <c r="A827489" s="242"/>
    </row>
    <row r="827490" spans="1:1" x14ac:dyDescent="0.25">
      <c r="A827490" s="242"/>
    </row>
    <row r="827491" spans="1:1" x14ac:dyDescent="0.25">
      <c r="A827491" s="242"/>
    </row>
    <row r="827492" spans="1:1" x14ac:dyDescent="0.25">
      <c r="A827492" s="242"/>
    </row>
    <row r="827493" spans="1:1" x14ac:dyDescent="0.25">
      <c r="A827493" s="242"/>
    </row>
    <row r="827494" spans="1:1" x14ac:dyDescent="0.25">
      <c r="A827494" s="242"/>
    </row>
    <row r="827495" spans="1:1" x14ac:dyDescent="0.25">
      <c r="A827495" s="242"/>
    </row>
    <row r="827496" spans="1:1" x14ac:dyDescent="0.25">
      <c r="A827496" s="242"/>
    </row>
    <row r="827497" spans="1:1" x14ac:dyDescent="0.25">
      <c r="A827497" s="242"/>
    </row>
    <row r="827498" spans="1:1" x14ac:dyDescent="0.25">
      <c r="A827498" s="242"/>
    </row>
    <row r="827499" spans="1:1" x14ac:dyDescent="0.25">
      <c r="A827499" s="242"/>
    </row>
    <row r="827500" spans="1:1" x14ac:dyDescent="0.25">
      <c r="A827500" s="242"/>
    </row>
    <row r="827501" spans="1:1" x14ac:dyDescent="0.25">
      <c r="A827501" s="242"/>
    </row>
    <row r="827502" spans="1:1" x14ac:dyDescent="0.25">
      <c r="A827502" s="242"/>
    </row>
    <row r="827503" spans="1:1" x14ac:dyDescent="0.25">
      <c r="A827503" s="242"/>
    </row>
    <row r="827504" spans="1:1" x14ac:dyDescent="0.25">
      <c r="A827504" s="242"/>
    </row>
    <row r="827505" spans="1:1" x14ac:dyDescent="0.25">
      <c r="A827505" s="242"/>
    </row>
    <row r="827506" spans="1:1" x14ac:dyDescent="0.25">
      <c r="A827506" s="242"/>
    </row>
    <row r="827507" spans="1:1" x14ac:dyDescent="0.25">
      <c r="A827507" s="242"/>
    </row>
    <row r="827508" spans="1:1" x14ac:dyDescent="0.25">
      <c r="A827508" s="242"/>
    </row>
    <row r="827509" spans="1:1" x14ac:dyDescent="0.25">
      <c r="A827509" s="242"/>
    </row>
    <row r="827510" spans="1:1" x14ac:dyDescent="0.25">
      <c r="A827510" s="242"/>
    </row>
    <row r="827511" spans="1:1" x14ac:dyDescent="0.25">
      <c r="A827511" s="242"/>
    </row>
    <row r="827512" spans="1:1" x14ac:dyDescent="0.25">
      <c r="A827512" s="242"/>
    </row>
    <row r="827513" spans="1:1" x14ac:dyDescent="0.25">
      <c r="A827513" s="242"/>
    </row>
    <row r="827514" spans="1:1" x14ac:dyDescent="0.25">
      <c r="A827514" s="242"/>
    </row>
    <row r="827515" spans="1:1" x14ac:dyDescent="0.25">
      <c r="A827515" s="242"/>
    </row>
    <row r="827516" spans="1:1" x14ac:dyDescent="0.25">
      <c r="A827516" s="242"/>
    </row>
    <row r="827517" spans="1:1" x14ac:dyDescent="0.25">
      <c r="A827517" s="242"/>
    </row>
    <row r="827518" spans="1:1" x14ac:dyDescent="0.25">
      <c r="A827518" s="242"/>
    </row>
    <row r="827519" spans="1:1" x14ac:dyDescent="0.25">
      <c r="A827519" s="242"/>
    </row>
    <row r="827520" spans="1:1" x14ac:dyDescent="0.25">
      <c r="A827520" s="242"/>
    </row>
    <row r="827521" spans="1:1" x14ac:dyDescent="0.25">
      <c r="A827521" s="242"/>
    </row>
    <row r="827522" spans="1:1" x14ac:dyDescent="0.25">
      <c r="A827522" s="242"/>
    </row>
    <row r="827523" spans="1:1" x14ac:dyDescent="0.25">
      <c r="A827523" s="242"/>
    </row>
    <row r="827524" spans="1:1" x14ac:dyDescent="0.25">
      <c r="A827524" s="242"/>
    </row>
    <row r="827525" spans="1:1" x14ac:dyDescent="0.25">
      <c r="A827525" s="242"/>
    </row>
    <row r="827526" spans="1:1" x14ac:dyDescent="0.25">
      <c r="A827526" s="242"/>
    </row>
    <row r="827527" spans="1:1" x14ac:dyDescent="0.25">
      <c r="A827527" s="242"/>
    </row>
    <row r="827528" spans="1:1" x14ac:dyDescent="0.25">
      <c r="A827528" s="242"/>
    </row>
    <row r="827529" spans="1:1" x14ac:dyDescent="0.25">
      <c r="A827529" s="242"/>
    </row>
    <row r="827530" spans="1:1" x14ac:dyDescent="0.25">
      <c r="A827530" s="242"/>
    </row>
    <row r="827531" spans="1:1" x14ac:dyDescent="0.25">
      <c r="A827531" s="242"/>
    </row>
    <row r="827532" spans="1:1" x14ac:dyDescent="0.25">
      <c r="A827532" s="242"/>
    </row>
    <row r="827533" spans="1:1" x14ac:dyDescent="0.25">
      <c r="A827533" s="242"/>
    </row>
    <row r="827534" spans="1:1" x14ac:dyDescent="0.25">
      <c r="A827534" s="242"/>
    </row>
    <row r="827535" spans="1:1" x14ac:dyDescent="0.25">
      <c r="A827535" s="242"/>
    </row>
    <row r="827536" spans="1:1" x14ac:dyDescent="0.25">
      <c r="A827536" s="242"/>
    </row>
    <row r="827537" spans="1:1" x14ac:dyDescent="0.25">
      <c r="A827537" s="242"/>
    </row>
    <row r="827538" spans="1:1" x14ac:dyDescent="0.25">
      <c r="A827538" s="242"/>
    </row>
    <row r="827539" spans="1:1" x14ac:dyDescent="0.25">
      <c r="A827539" s="242"/>
    </row>
    <row r="827540" spans="1:1" x14ac:dyDescent="0.25">
      <c r="A827540" s="242"/>
    </row>
    <row r="827541" spans="1:1" x14ac:dyDescent="0.25">
      <c r="A827541" s="242"/>
    </row>
    <row r="827542" spans="1:1" x14ac:dyDescent="0.25">
      <c r="A827542" s="242"/>
    </row>
    <row r="827543" spans="1:1" x14ac:dyDescent="0.25">
      <c r="A827543" s="242"/>
    </row>
    <row r="827544" spans="1:1" x14ac:dyDescent="0.25">
      <c r="A827544" s="242"/>
    </row>
    <row r="827545" spans="1:1" x14ac:dyDescent="0.25">
      <c r="A827545" s="242"/>
    </row>
    <row r="827546" spans="1:1" x14ac:dyDescent="0.25">
      <c r="A827546" s="242"/>
    </row>
    <row r="827547" spans="1:1" x14ac:dyDescent="0.25">
      <c r="A827547" s="242"/>
    </row>
    <row r="827548" spans="1:1" x14ac:dyDescent="0.25">
      <c r="A827548" s="242"/>
    </row>
    <row r="827549" spans="1:1" x14ac:dyDescent="0.25">
      <c r="A827549" s="242"/>
    </row>
    <row r="827550" spans="1:1" x14ac:dyDescent="0.25">
      <c r="A827550" s="242"/>
    </row>
    <row r="827551" spans="1:1" x14ac:dyDescent="0.25">
      <c r="A827551" s="242"/>
    </row>
    <row r="827552" spans="1:1" x14ac:dyDescent="0.25">
      <c r="A827552" s="242"/>
    </row>
    <row r="827553" spans="1:1" x14ac:dyDescent="0.25">
      <c r="A827553" s="242"/>
    </row>
    <row r="827554" spans="1:1" x14ac:dyDescent="0.25">
      <c r="A827554" s="242"/>
    </row>
    <row r="827555" spans="1:1" x14ac:dyDescent="0.25">
      <c r="A827555" s="242"/>
    </row>
    <row r="827556" spans="1:1" x14ac:dyDescent="0.25">
      <c r="A827556" s="242"/>
    </row>
    <row r="827557" spans="1:1" x14ac:dyDescent="0.25">
      <c r="A827557" s="242"/>
    </row>
    <row r="827558" spans="1:1" x14ac:dyDescent="0.25">
      <c r="A827558" s="242"/>
    </row>
    <row r="827559" spans="1:1" x14ac:dyDescent="0.25">
      <c r="A827559" s="242"/>
    </row>
    <row r="827560" spans="1:1" x14ac:dyDescent="0.25">
      <c r="A827560" s="242"/>
    </row>
    <row r="827561" spans="1:1" x14ac:dyDescent="0.25">
      <c r="A827561" s="242"/>
    </row>
    <row r="827562" spans="1:1" x14ac:dyDescent="0.25">
      <c r="A827562" s="242"/>
    </row>
    <row r="827563" spans="1:1" x14ac:dyDescent="0.25">
      <c r="A827563" s="242"/>
    </row>
    <row r="827564" spans="1:1" x14ac:dyDescent="0.25">
      <c r="A827564" s="242"/>
    </row>
    <row r="827565" spans="1:1" x14ac:dyDescent="0.25">
      <c r="A827565" s="242"/>
    </row>
    <row r="827566" spans="1:1" x14ac:dyDescent="0.25">
      <c r="A827566" s="242"/>
    </row>
    <row r="827567" spans="1:1" x14ac:dyDescent="0.25">
      <c r="A827567" s="242"/>
    </row>
    <row r="827568" spans="1:1" x14ac:dyDescent="0.25">
      <c r="A827568" s="242"/>
    </row>
    <row r="827569" spans="1:1" x14ac:dyDescent="0.25">
      <c r="A827569" s="242"/>
    </row>
    <row r="827570" spans="1:1" x14ac:dyDescent="0.25">
      <c r="A827570" s="242"/>
    </row>
    <row r="827571" spans="1:1" x14ac:dyDescent="0.25">
      <c r="A827571" s="242"/>
    </row>
    <row r="827572" spans="1:1" x14ac:dyDescent="0.25">
      <c r="A827572" s="242"/>
    </row>
    <row r="827573" spans="1:1" x14ac:dyDescent="0.25">
      <c r="A827573" s="242"/>
    </row>
    <row r="827574" spans="1:1" x14ac:dyDescent="0.25">
      <c r="A827574" s="242"/>
    </row>
    <row r="827575" spans="1:1" x14ac:dyDescent="0.25">
      <c r="A827575" s="242"/>
    </row>
    <row r="827576" spans="1:1" x14ac:dyDescent="0.25">
      <c r="A827576" s="242"/>
    </row>
    <row r="827577" spans="1:1" x14ac:dyDescent="0.25">
      <c r="A827577" s="242"/>
    </row>
    <row r="827578" spans="1:1" x14ac:dyDescent="0.25">
      <c r="A827578" s="242"/>
    </row>
    <row r="827579" spans="1:1" x14ac:dyDescent="0.25">
      <c r="A827579" s="242"/>
    </row>
    <row r="827580" spans="1:1" x14ac:dyDescent="0.25">
      <c r="A827580" s="242"/>
    </row>
    <row r="827581" spans="1:1" x14ac:dyDescent="0.25">
      <c r="A827581" s="242"/>
    </row>
    <row r="827582" spans="1:1" x14ac:dyDescent="0.25">
      <c r="A827582" s="242"/>
    </row>
    <row r="827583" spans="1:1" x14ac:dyDescent="0.25">
      <c r="A827583" s="242"/>
    </row>
    <row r="827584" spans="1:1" x14ac:dyDescent="0.25">
      <c r="A827584" s="242"/>
    </row>
    <row r="827585" spans="1:1" x14ac:dyDescent="0.25">
      <c r="A827585" s="242"/>
    </row>
    <row r="827586" spans="1:1" x14ac:dyDescent="0.25">
      <c r="A827586" s="242"/>
    </row>
    <row r="827587" spans="1:1" x14ac:dyDescent="0.25">
      <c r="A827587" s="242"/>
    </row>
    <row r="827588" spans="1:1" x14ac:dyDescent="0.25">
      <c r="A827588" s="242"/>
    </row>
    <row r="827589" spans="1:1" x14ac:dyDescent="0.25">
      <c r="A827589" s="242"/>
    </row>
    <row r="827590" spans="1:1" x14ac:dyDescent="0.25">
      <c r="A827590" s="242"/>
    </row>
    <row r="827591" spans="1:1" x14ac:dyDescent="0.25">
      <c r="A827591" s="242"/>
    </row>
    <row r="827592" spans="1:1" x14ac:dyDescent="0.25">
      <c r="A827592" s="242"/>
    </row>
    <row r="827593" spans="1:1" x14ac:dyDescent="0.25">
      <c r="A827593" s="242"/>
    </row>
    <row r="827594" spans="1:1" x14ac:dyDescent="0.25">
      <c r="A827594" s="242"/>
    </row>
    <row r="827595" spans="1:1" x14ac:dyDescent="0.25">
      <c r="A827595" s="242"/>
    </row>
    <row r="827596" spans="1:1" x14ac:dyDescent="0.25">
      <c r="A827596" s="242"/>
    </row>
    <row r="827597" spans="1:1" x14ac:dyDescent="0.25">
      <c r="A827597" s="242"/>
    </row>
    <row r="827598" spans="1:1" x14ac:dyDescent="0.25">
      <c r="A827598" s="242"/>
    </row>
    <row r="827599" spans="1:1" x14ac:dyDescent="0.25">
      <c r="A827599" s="242"/>
    </row>
    <row r="827600" spans="1:1" x14ac:dyDescent="0.25">
      <c r="A827600" s="242"/>
    </row>
    <row r="827601" spans="1:1" x14ac:dyDescent="0.25">
      <c r="A827601" s="242"/>
    </row>
    <row r="827602" spans="1:1" x14ac:dyDescent="0.25">
      <c r="A827602" s="242"/>
    </row>
    <row r="827603" spans="1:1" x14ac:dyDescent="0.25">
      <c r="A827603" s="242"/>
    </row>
    <row r="827604" spans="1:1" x14ac:dyDescent="0.25">
      <c r="A827604" s="242"/>
    </row>
    <row r="827605" spans="1:1" x14ac:dyDescent="0.25">
      <c r="A827605" s="242"/>
    </row>
    <row r="827606" spans="1:1" x14ac:dyDescent="0.25">
      <c r="A827606" s="242"/>
    </row>
    <row r="827607" spans="1:1" x14ac:dyDescent="0.25">
      <c r="A827607" s="242"/>
    </row>
    <row r="827608" spans="1:1" x14ac:dyDescent="0.25">
      <c r="A827608" s="242"/>
    </row>
    <row r="827609" spans="1:1" x14ac:dyDescent="0.25">
      <c r="A827609" s="242"/>
    </row>
    <row r="827610" spans="1:1" x14ac:dyDescent="0.25">
      <c r="A827610" s="242"/>
    </row>
    <row r="827611" spans="1:1" x14ac:dyDescent="0.25">
      <c r="A827611" s="242"/>
    </row>
    <row r="827612" spans="1:1" x14ac:dyDescent="0.25">
      <c r="A827612" s="242"/>
    </row>
    <row r="827613" spans="1:1" x14ac:dyDescent="0.25">
      <c r="A827613" s="242"/>
    </row>
    <row r="827614" spans="1:1" x14ac:dyDescent="0.25">
      <c r="A827614" s="242"/>
    </row>
    <row r="827615" spans="1:1" x14ac:dyDescent="0.25">
      <c r="A827615" s="242"/>
    </row>
    <row r="827616" spans="1:1" x14ac:dyDescent="0.25">
      <c r="A827616" s="242"/>
    </row>
    <row r="827617" spans="1:1" x14ac:dyDescent="0.25">
      <c r="A827617" s="242"/>
    </row>
    <row r="827618" spans="1:1" x14ac:dyDescent="0.25">
      <c r="A827618" s="242"/>
    </row>
    <row r="827619" spans="1:1" x14ac:dyDescent="0.25">
      <c r="A827619" s="242"/>
    </row>
    <row r="827620" spans="1:1" x14ac:dyDescent="0.25">
      <c r="A827620" s="242"/>
    </row>
    <row r="827621" spans="1:1" x14ac:dyDescent="0.25">
      <c r="A827621" s="242"/>
    </row>
    <row r="827622" spans="1:1" x14ac:dyDescent="0.25">
      <c r="A827622" s="242"/>
    </row>
    <row r="827623" spans="1:1" x14ac:dyDescent="0.25">
      <c r="A827623" s="242"/>
    </row>
    <row r="827624" spans="1:1" x14ac:dyDescent="0.25">
      <c r="A827624" s="242"/>
    </row>
    <row r="827625" spans="1:1" x14ac:dyDescent="0.25">
      <c r="A827625" s="242"/>
    </row>
    <row r="827626" spans="1:1" x14ac:dyDescent="0.25">
      <c r="A827626" s="242"/>
    </row>
    <row r="827627" spans="1:1" x14ac:dyDescent="0.25">
      <c r="A827627" s="242"/>
    </row>
    <row r="827628" spans="1:1" x14ac:dyDescent="0.25">
      <c r="A827628" s="242"/>
    </row>
    <row r="827629" spans="1:1" x14ac:dyDescent="0.25">
      <c r="A827629" s="242"/>
    </row>
    <row r="827630" spans="1:1" x14ac:dyDescent="0.25">
      <c r="A827630" s="242"/>
    </row>
    <row r="827631" spans="1:1" x14ac:dyDescent="0.25">
      <c r="A827631" s="242"/>
    </row>
    <row r="827632" spans="1:1" x14ac:dyDescent="0.25">
      <c r="A827632" s="242"/>
    </row>
    <row r="827633" spans="1:1" x14ac:dyDescent="0.25">
      <c r="A827633" s="242"/>
    </row>
    <row r="827634" spans="1:1" x14ac:dyDescent="0.25">
      <c r="A827634" s="242"/>
    </row>
    <row r="827635" spans="1:1" x14ac:dyDescent="0.25">
      <c r="A827635" s="242"/>
    </row>
    <row r="827636" spans="1:1" x14ac:dyDescent="0.25">
      <c r="A827636" s="242"/>
    </row>
    <row r="827637" spans="1:1" x14ac:dyDescent="0.25">
      <c r="A827637" s="242"/>
    </row>
    <row r="827638" spans="1:1" x14ac:dyDescent="0.25">
      <c r="A827638" s="242"/>
    </row>
    <row r="827639" spans="1:1" x14ac:dyDescent="0.25">
      <c r="A827639" s="242"/>
    </row>
    <row r="827640" spans="1:1" x14ac:dyDescent="0.25">
      <c r="A827640" s="242"/>
    </row>
    <row r="827641" spans="1:1" x14ac:dyDescent="0.25">
      <c r="A827641" s="242"/>
    </row>
    <row r="827642" spans="1:1" x14ac:dyDescent="0.25">
      <c r="A827642" s="242"/>
    </row>
    <row r="827643" spans="1:1" x14ac:dyDescent="0.25">
      <c r="A827643" s="242"/>
    </row>
    <row r="827644" spans="1:1" x14ac:dyDescent="0.25">
      <c r="A827644" s="242"/>
    </row>
    <row r="827645" spans="1:1" x14ac:dyDescent="0.25">
      <c r="A827645" s="242"/>
    </row>
    <row r="827646" spans="1:1" x14ac:dyDescent="0.25">
      <c r="A827646" s="242"/>
    </row>
    <row r="827647" spans="1:1" x14ac:dyDescent="0.25">
      <c r="A827647" s="242"/>
    </row>
    <row r="827648" spans="1:1" x14ac:dyDescent="0.25">
      <c r="A827648" s="242"/>
    </row>
    <row r="827649" spans="1:1" x14ac:dyDescent="0.25">
      <c r="A827649" s="242"/>
    </row>
    <row r="827650" spans="1:1" x14ac:dyDescent="0.25">
      <c r="A827650" s="242"/>
    </row>
    <row r="827651" spans="1:1" x14ac:dyDescent="0.25">
      <c r="A827651" s="242"/>
    </row>
    <row r="827652" spans="1:1" x14ac:dyDescent="0.25">
      <c r="A827652" s="242"/>
    </row>
    <row r="827653" spans="1:1" x14ac:dyDescent="0.25">
      <c r="A827653" s="242"/>
    </row>
    <row r="827654" spans="1:1" x14ac:dyDescent="0.25">
      <c r="A827654" s="242"/>
    </row>
    <row r="827655" spans="1:1" x14ac:dyDescent="0.25">
      <c r="A827655" s="242"/>
    </row>
    <row r="827656" spans="1:1" x14ac:dyDescent="0.25">
      <c r="A827656" s="242"/>
    </row>
    <row r="827657" spans="1:1" x14ac:dyDescent="0.25">
      <c r="A827657" s="242"/>
    </row>
    <row r="827658" spans="1:1" x14ac:dyDescent="0.25">
      <c r="A827658" s="242"/>
    </row>
    <row r="827659" spans="1:1" x14ac:dyDescent="0.25">
      <c r="A827659" s="242"/>
    </row>
    <row r="827660" spans="1:1" x14ac:dyDescent="0.25">
      <c r="A827660" s="242"/>
    </row>
    <row r="827661" spans="1:1" x14ac:dyDescent="0.25">
      <c r="A827661" s="242"/>
    </row>
    <row r="827662" spans="1:1" x14ac:dyDescent="0.25">
      <c r="A827662" s="242"/>
    </row>
    <row r="827663" spans="1:1" x14ac:dyDescent="0.25">
      <c r="A827663" s="242"/>
    </row>
    <row r="827664" spans="1:1" x14ac:dyDescent="0.25">
      <c r="A827664" s="242"/>
    </row>
    <row r="827665" spans="1:1" x14ac:dyDescent="0.25">
      <c r="A827665" s="242"/>
    </row>
    <row r="827666" spans="1:1" x14ac:dyDescent="0.25">
      <c r="A827666" s="242"/>
    </row>
    <row r="827667" spans="1:1" x14ac:dyDescent="0.25">
      <c r="A827667" s="242"/>
    </row>
    <row r="827668" spans="1:1" x14ac:dyDescent="0.25">
      <c r="A827668" s="242"/>
    </row>
    <row r="827669" spans="1:1" x14ac:dyDescent="0.25">
      <c r="A827669" s="242"/>
    </row>
    <row r="827670" spans="1:1" x14ac:dyDescent="0.25">
      <c r="A827670" s="242"/>
    </row>
    <row r="827671" spans="1:1" x14ac:dyDescent="0.25">
      <c r="A827671" s="242"/>
    </row>
    <row r="827672" spans="1:1" x14ac:dyDescent="0.25">
      <c r="A827672" s="242"/>
    </row>
    <row r="827673" spans="1:1" x14ac:dyDescent="0.25">
      <c r="A827673" s="242"/>
    </row>
    <row r="827674" spans="1:1" x14ac:dyDescent="0.25">
      <c r="A827674" s="242"/>
    </row>
    <row r="827675" spans="1:1" x14ac:dyDescent="0.25">
      <c r="A827675" s="242"/>
    </row>
    <row r="827676" spans="1:1" x14ac:dyDescent="0.25">
      <c r="A827676" s="242"/>
    </row>
    <row r="827677" spans="1:1" x14ac:dyDescent="0.25">
      <c r="A827677" s="242"/>
    </row>
    <row r="827678" spans="1:1" x14ac:dyDescent="0.25">
      <c r="A827678" s="242"/>
    </row>
    <row r="827679" spans="1:1" x14ac:dyDescent="0.25">
      <c r="A827679" s="242"/>
    </row>
    <row r="827680" spans="1:1" x14ac:dyDescent="0.25">
      <c r="A827680" s="242"/>
    </row>
    <row r="827681" spans="1:1" x14ac:dyDescent="0.25">
      <c r="A827681" s="242"/>
    </row>
    <row r="827682" spans="1:1" x14ac:dyDescent="0.25">
      <c r="A827682" s="242"/>
    </row>
    <row r="827683" spans="1:1" x14ac:dyDescent="0.25">
      <c r="A827683" s="242"/>
    </row>
    <row r="827684" spans="1:1" x14ac:dyDescent="0.25">
      <c r="A827684" s="242"/>
    </row>
    <row r="827685" spans="1:1" x14ac:dyDescent="0.25">
      <c r="A827685" s="242"/>
    </row>
    <row r="827686" spans="1:1" x14ac:dyDescent="0.25">
      <c r="A827686" s="242"/>
    </row>
    <row r="827687" spans="1:1" x14ac:dyDescent="0.25">
      <c r="A827687" s="242"/>
    </row>
    <row r="827688" spans="1:1" x14ac:dyDescent="0.25">
      <c r="A827688" s="242"/>
    </row>
    <row r="827689" spans="1:1" x14ac:dyDescent="0.25">
      <c r="A827689" s="242"/>
    </row>
    <row r="827690" spans="1:1" x14ac:dyDescent="0.25">
      <c r="A827690" s="242"/>
    </row>
    <row r="827691" spans="1:1" x14ac:dyDescent="0.25">
      <c r="A827691" s="242"/>
    </row>
    <row r="827692" spans="1:1" x14ac:dyDescent="0.25">
      <c r="A827692" s="242"/>
    </row>
    <row r="827693" spans="1:1" x14ac:dyDescent="0.25">
      <c r="A827693" s="242"/>
    </row>
    <row r="827694" spans="1:1" x14ac:dyDescent="0.25">
      <c r="A827694" s="242"/>
    </row>
    <row r="827695" spans="1:1" x14ac:dyDescent="0.25">
      <c r="A827695" s="242"/>
    </row>
    <row r="827696" spans="1:1" x14ac:dyDescent="0.25">
      <c r="A827696" s="242"/>
    </row>
    <row r="827697" spans="1:1" x14ac:dyDescent="0.25">
      <c r="A827697" s="242"/>
    </row>
    <row r="827698" spans="1:1" x14ac:dyDescent="0.25">
      <c r="A827698" s="242"/>
    </row>
    <row r="827699" spans="1:1" x14ac:dyDescent="0.25">
      <c r="A827699" s="242"/>
    </row>
    <row r="827700" spans="1:1" x14ac:dyDescent="0.25">
      <c r="A827700" s="242"/>
    </row>
    <row r="827701" spans="1:1" x14ac:dyDescent="0.25">
      <c r="A827701" s="242"/>
    </row>
    <row r="827702" spans="1:1" x14ac:dyDescent="0.25">
      <c r="A827702" s="242"/>
    </row>
    <row r="827703" spans="1:1" x14ac:dyDescent="0.25">
      <c r="A827703" s="242"/>
    </row>
    <row r="827704" spans="1:1" x14ac:dyDescent="0.25">
      <c r="A827704" s="242"/>
    </row>
    <row r="827705" spans="1:1" x14ac:dyDescent="0.25">
      <c r="A827705" s="242"/>
    </row>
    <row r="827706" spans="1:1" x14ac:dyDescent="0.25">
      <c r="A827706" s="242"/>
    </row>
    <row r="827707" spans="1:1" x14ac:dyDescent="0.25">
      <c r="A827707" s="242"/>
    </row>
    <row r="827708" spans="1:1" x14ac:dyDescent="0.25">
      <c r="A827708" s="242"/>
    </row>
    <row r="827709" spans="1:1" x14ac:dyDescent="0.25">
      <c r="A827709" s="242"/>
    </row>
    <row r="827710" spans="1:1" x14ac:dyDescent="0.25">
      <c r="A827710" s="242"/>
    </row>
    <row r="827711" spans="1:1" x14ac:dyDescent="0.25">
      <c r="A827711" s="242"/>
    </row>
    <row r="827712" spans="1:1" x14ac:dyDescent="0.25">
      <c r="A827712" s="242"/>
    </row>
    <row r="827713" spans="1:1" x14ac:dyDescent="0.25">
      <c r="A827713" s="242"/>
    </row>
    <row r="827714" spans="1:1" x14ac:dyDescent="0.25">
      <c r="A827714" s="242"/>
    </row>
    <row r="827715" spans="1:1" x14ac:dyDescent="0.25">
      <c r="A827715" s="242"/>
    </row>
    <row r="827716" spans="1:1" x14ac:dyDescent="0.25">
      <c r="A827716" s="242"/>
    </row>
    <row r="827717" spans="1:1" x14ac:dyDescent="0.25">
      <c r="A827717" s="242"/>
    </row>
    <row r="827718" spans="1:1" x14ac:dyDescent="0.25">
      <c r="A827718" s="242"/>
    </row>
    <row r="827719" spans="1:1" x14ac:dyDescent="0.25">
      <c r="A827719" s="242"/>
    </row>
    <row r="827720" spans="1:1" x14ac:dyDescent="0.25">
      <c r="A827720" s="242"/>
    </row>
    <row r="827721" spans="1:1" x14ac:dyDescent="0.25">
      <c r="A827721" s="242"/>
    </row>
    <row r="827722" spans="1:1" x14ac:dyDescent="0.25">
      <c r="A827722" s="242"/>
    </row>
    <row r="827723" spans="1:1" x14ac:dyDescent="0.25">
      <c r="A827723" s="242"/>
    </row>
    <row r="827724" spans="1:1" x14ac:dyDescent="0.25">
      <c r="A827724" s="242"/>
    </row>
    <row r="827725" spans="1:1" x14ac:dyDescent="0.25">
      <c r="A827725" s="242"/>
    </row>
    <row r="827726" spans="1:1" x14ac:dyDescent="0.25">
      <c r="A827726" s="242"/>
    </row>
    <row r="827727" spans="1:1" x14ac:dyDescent="0.25">
      <c r="A827727" s="242"/>
    </row>
    <row r="827728" spans="1:1" x14ac:dyDescent="0.25">
      <c r="A827728" s="242"/>
    </row>
    <row r="827729" spans="1:1" x14ac:dyDescent="0.25">
      <c r="A827729" s="242"/>
    </row>
    <row r="827730" spans="1:1" x14ac:dyDescent="0.25">
      <c r="A827730" s="242"/>
    </row>
    <row r="827731" spans="1:1" x14ac:dyDescent="0.25">
      <c r="A827731" s="242"/>
    </row>
    <row r="827732" spans="1:1" x14ac:dyDescent="0.25">
      <c r="A827732" s="242"/>
    </row>
    <row r="827733" spans="1:1" x14ac:dyDescent="0.25">
      <c r="A827733" s="242"/>
    </row>
    <row r="827734" spans="1:1" x14ac:dyDescent="0.25">
      <c r="A827734" s="242"/>
    </row>
    <row r="827735" spans="1:1" x14ac:dyDescent="0.25">
      <c r="A827735" s="242"/>
    </row>
    <row r="827736" spans="1:1" x14ac:dyDescent="0.25">
      <c r="A827736" s="242"/>
    </row>
    <row r="827737" spans="1:1" x14ac:dyDescent="0.25">
      <c r="A827737" s="242"/>
    </row>
    <row r="827738" spans="1:1" x14ac:dyDescent="0.25">
      <c r="A827738" s="242"/>
    </row>
    <row r="827739" spans="1:1" x14ac:dyDescent="0.25">
      <c r="A827739" s="242"/>
    </row>
    <row r="827740" spans="1:1" x14ac:dyDescent="0.25">
      <c r="A827740" s="242"/>
    </row>
    <row r="827741" spans="1:1" x14ac:dyDescent="0.25">
      <c r="A827741" s="242"/>
    </row>
    <row r="827742" spans="1:1" x14ac:dyDescent="0.25">
      <c r="A827742" s="242"/>
    </row>
    <row r="827743" spans="1:1" x14ac:dyDescent="0.25">
      <c r="A827743" s="242"/>
    </row>
    <row r="827744" spans="1:1" x14ac:dyDescent="0.25">
      <c r="A827744" s="242"/>
    </row>
    <row r="827745" spans="1:1" x14ac:dyDescent="0.25">
      <c r="A827745" s="242"/>
    </row>
    <row r="827746" spans="1:1" x14ac:dyDescent="0.25">
      <c r="A827746" s="242"/>
    </row>
    <row r="827747" spans="1:1" x14ac:dyDescent="0.25">
      <c r="A827747" s="242"/>
    </row>
    <row r="827748" spans="1:1" x14ac:dyDescent="0.25">
      <c r="A827748" s="242"/>
    </row>
    <row r="827749" spans="1:1" x14ac:dyDescent="0.25">
      <c r="A827749" s="242"/>
    </row>
    <row r="827750" spans="1:1" x14ac:dyDescent="0.25">
      <c r="A827750" s="242"/>
    </row>
    <row r="827751" spans="1:1" x14ac:dyDescent="0.25">
      <c r="A827751" s="242"/>
    </row>
    <row r="827752" spans="1:1" x14ac:dyDescent="0.25">
      <c r="A827752" s="242"/>
    </row>
    <row r="827753" spans="1:1" x14ac:dyDescent="0.25">
      <c r="A827753" s="242"/>
    </row>
    <row r="827754" spans="1:1" x14ac:dyDescent="0.25">
      <c r="A827754" s="242"/>
    </row>
    <row r="827755" spans="1:1" x14ac:dyDescent="0.25">
      <c r="A827755" s="242"/>
    </row>
    <row r="827756" spans="1:1" x14ac:dyDescent="0.25">
      <c r="A827756" s="242"/>
    </row>
    <row r="827757" spans="1:1" x14ac:dyDescent="0.25">
      <c r="A827757" s="242"/>
    </row>
    <row r="827758" spans="1:1" x14ac:dyDescent="0.25">
      <c r="A827758" s="242"/>
    </row>
    <row r="827759" spans="1:1" x14ac:dyDescent="0.25">
      <c r="A827759" s="242"/>
    </row>
    <row r="827760" spans="1:1" x14ac:dyDescent="0.25">
      <c r="A827760" s="242"/>
    </row>
    <row r="827761" spans="1:1" x14ac:dyDescent="0.25">
      <c r="A827761" s="242"/>
    </row>
    <row r="827762" spans="1:1" x14ac:dyDescent="0.25">
      <c r="A827762" s="242"/>
    </row>
    <row r="827763" spans="1:1" x14ac:dyDescent="0.25">
      <c r="A827763" s="242"/>
    </row>
    <row r="827764" spans="1:1" x14ac:dyDescent="0.25">
      <c r="A827764" s="242"/>
    </row>
    <row r="827765" spans="1:1" x14ac:dyDescent="0.25">
      <c r="A827765" s="242"/>
    </row>
    <row r="827766" spans="1:1" x14ac:dyDescent="0.25">
      <c r="A827766" s="242"/>
    </row>
    <row r="827767" spans="1:1" x14ac:dyDescent="0.25">
      <c r="A827767" s="242"/>
    </row>
    <row r="827768" spans="1:1" x14ac:dyDescent="0.25">
      <c r="A827768" s="242"/>
    </row>
    <row r="827769" spans="1:1" x14ac:dyDescent="0.25">
      <c r="A827769" s="242"/>
    </row>
    <row r="827770" spans="1:1" x14ac:dyDescent="0.25">
      <c r="A827770" s="242"/>
    </row>
    <row r="827771" spans="1:1" x14ac:dyDescent="0.25">
      <c r="A827771" s="242"/>
    </row>
    <row r="827772" spans="1:1" x14ac:dyDescent="0.25">
      <c r="A827772" s="242"/>
    </row>
    <row r="827773" spans="1:1" x14ac:dyDescent="0.25">
      <c r="A827773" s="242"/>
    </row>
    <row r="827774" spans="1:1" x14ac:dyDescent="0.25">
      <c r="A827774" s="242"/>
    </row>
    <row r="827775" spans="1:1" x14ac:dyDescent="0.25">
      <c r="A827775" s="242"/>
    </row>
    <row r="827776" spans="1:1" x14ac:dyDescent="0.25">
      <c r="A827776" s="242"/>
    </row>
    <row r="827777" spans="1:1" x14ac:dyDescent="0.25">
      <c r="A827777" s="242"/>
    </row>
    <row r="827778" spans="1:1" x14ac:dyDescent="0.25">
      <c r="A827778" s="242"/>
    </row>
    <row r="827779" spans="1:1" x14ac:dyDescent="0.25">
      <c r="A827779" s="242"/>
    </row>
    <row r="827780" spans="1:1" x14ac:dyDescent="0.25">
      <c r="A827780" s="242"/>
    </row>
    <row r="827781" spans="1:1" x14ac:dyDescent="0.25">
      <c r="A827781" s="242"/>
    </row>
    <row r="827782" spans="1:1" x14ac:dyDescent="0.25">
      <c r="A827782" s="242"/>
    </row>
    <row r="827783" spans="1:1" x14ac:dyDescent="0.25">
      <c r="A827783" s="242"/>
    </row>
    <row r="827784" spans="1:1" x14ac:dyDescent="0.25">
      <c r="A827784" s="242"/>
    </row>
    <row r="827785" spans="1:1" x14ac:dyDescent="0.25">
      <c r="A827785" s="242"/>
    </row>
    <row r="827786" spans="1:1" x14ac:dyDescent="0.25">
      <c r="A827786" s="242"/>
    </row>
    <row r="827787" spans="1:1" x14ac:dyDescent="0.25">
      <c r="A827787" s="242"/>
    </row>
    <row r="827788" spans="1:1" x14ac:dyDescent="0.25">
      <c r="A827788" s="242"/>
    </row>
    <row r="827789" spans="1:1" x14ac:dyDescent="0.25">
      <c r="A827789" s="242"/>
    </row>
    <row r="827790" spans="1:1" x14ac:dyDescent="0.25">
      <c r="A827790" s="242"/>
    </row>
    <row r="827791" spans="1:1" x14ac:dyDescent="0.25">
      <c r="A827791" s="242"/>
    </row>
    <row r="827792" spans="1:1" x14ac:dyDescent="0.25">
      <c r="A827792" s="242"/>
    </row>
    <row r="827793" spans="1:1" x14ac:dyDescent="0.25">
      <c r="A827793" s="242"/>
    </row>
    <row r="827794" spans="1:1" x14ac:dyDescent="0.25">
      <c r="A827794" s="242"/>
    </row>
    <row r="827795" spans="1:1" x14ac:dyDescent="0.25">
      <c r="A827795" s="242"/>
    </row>
    <row r="827796" spans="1:1" x14ac:dyDescent="0.25">
      <c r="A827796" s="242"/>
    </row>
    <row r="827797" spans="1:1" x14ac:dyDescent="0.25">
      <c r="A827797" s="242"/>
    </row>
    <row r="827798" spans="1:1" x14ac:dyDescent="0.25">
      <c r="A827798" s="242"/>
    </row>
    <row r="827799" spans="1:1" x14ac:dyDescent="0.25">
      <c r="A827799" s="242"/>
    </row>
    <row r="827800" spans="1:1" x14ac:dyDescent="0.25">
      <c r="A827800" s="242"/>
    </row>
    <row r="827801" spans="1:1" x14ac:dyDescent="0.25">
      <c r="A827801" s="242"/>
    </row>
    <row r="827802" spans="1:1" x14ac:dyDescent="0.25">
      <c r="A827802" s="242"/>
    </row>
    <row r="827803" spans="1:1" x14ac:dyDescent="0.25">
      <c r="A827803" s="242"/>
    </row>
    <row r="827804" spans="1:1" x14ac:dyDescent="0.25">
      <c r="A827804" s="242"/>
    </row>
    <row r="827805" spans="1:1" x14ac:dyDescent="0.25">
      <c r="A827805" s="242"/>
    </row>
    <row r="827806" spans="1:1" x14ac:dyDescent="0.25">
      <c r="A827806" s="242"/>
    </row>
    <row r="827807" spans="1:1" x14ac:dyDescent="0.25">
      <c r="A827807" s="242"/>
    </row>
    <row r="827808" spans="1:1" x14ac:dyDescent="0.25">
      <c r="A827808" s="242"/>
    </row>
    <row r="827809" spans="1:1" x14ac:dyDescent="0.25">
      <c r="A827809" s="242"/>
    </row>
    <row r="827810" spans="1:1" x14ac:dyDescent="0.25">
      <c r="A827810" s="242"/>
    </row>
    <row r="827811" spans="1:1" x14ac:dyDescent="0.25">
      <c r="A827811" s="242"/>
    </row>
    <row r="827812" spans="1:1" x14ac:dyDescent="0.25">
      <c r="A827812" s="242"/>
    </row>
    <row r="827813" spans="1:1" x14ac:dyDescent="0.25">
      <c r="A827813" s="242"/>
    </row>
    <row r="827814" spans="1:1" x14ac:dyDescent="0.25">
      <c r="A827814" s="242"/>
    </row>
    <row r="827815" spans="1:1" x14ac:dyDescent="0.25">
      <c r="A827815" s="242"/>
    </row>
    <row r="827816" spans="1:1" x14ac:dyDescent="0.25">
      <c r="A827816" s="242"/>
    </row>
    <row r="827817" spans="1:1" x14ac:dyDescent="0.25">
      <c r="A827817" s="242"/>
    </row>
    <row r="827818" spans="1:1" x14ac:dyDescent="0.25">
      <c r="A827818" s="242"/>
    </row>
    <row r="827819" spans="1:1" x14ac:dyDescent="0.25">
      <c r="A827819" s="242"/>
    </row>
    <row r="827820" spans="1:1" x14ac:dyDescent="0.25">
      <c r="A827820" s="242"/>
    </row>
    <row r="827821" spans="1:1" x14ac:dyDescent="0.25">
      <c r="A827821" s="242"/>
    </row>
    <row r="827822" spans="1:1" x14ac:dyDescent="0.25">
      <c r="A827822" s="242"/>
    </row>
    <row r="827823" spans="1:1" x14ac:dyDescent="0.25">
      <c r="A827823" s="242"/>
    </row>
    <row r="827824" spans="1:1" x14ac:dyDescent="0.25">
      <c r="A827824" s="242"/>
    </row>
    <row r="827825" spans="1:1" x14ac:dyDescent="0.25">
      <c r="A827825" s="242"/>
    </row>
    <row r="827826" spans="1:1" x14ac:dyDescent="0.25">
      <c r="A827826" s="242"/>
    </row>
    <row r="827827" spans="1:1" x14ac:dyDescent="0.25">
      <c r="A827827" s="242"/>
    </row>
    <row r="827828" spans="1:1" x14ac:dyDescent="0.25">
      <c r="A827828" s="242"/>
    </row>
    <row r="827829" spans="1:1" x14ac:dyDescent="0.25">
      <c r="A827829" s="242"/>
    </row>
    <row r="827830" spans="1:1" x14ac:dyDescent="0.25">
      <c r="A827830" s="242"/>
    </row>
    <row r="827831" spans="1:1" x14ac:dyDescent="0.25">
      <c r="A827831" s="242"/>
    </row>
    <row r="827832" spans="1:1" x14ac:dyDescent="0.25">
      <c r="A827832" s="242"/>
    </row>
    <row r="827833" spans="1:1" x14ac:dyDescent="0.25">
      <c r="A827833" s="242"/>
    </row>
    <row r="827834" spans="1:1" x14ac:dyDescent="0.25">
      <c r="A827834" s="242"/>
    </row>
    <row r="827835" spans="1:1" x14ac:dyDescent="0.25">
      <c r="A827835" s="242"/>
    </row>
    <row r="827836" spans="1:1" x14ac:dyDescent="0.25">
      <c r="A827836" s="242"/>
    </row>
    <row r="827837" spans="1:1" x14ac:dyDescent="0.25">
      <c r="A827837" s="242"/>
    </row>
    <row r="827838" spans="1:1" x14ac:dyDescent="0.25">
      <c r="A827838" s="242"/>
    </row>
    <row r="827839" spans="1:1" x14ac:dyDescent="0.25">
      <c r="A827839" s="242"/>
    </row>
    <row r="827840" spans="1:1" x14ac:dyDescent="0.25">
      <c r="A827840" s="242"/>
    </row>
    <row r="827841" spans="1:1" x14ac:dyDescent="0.25">
      <c r="A827841" s="242"/>
    </row>
    <row r="827842" spans="1:1" x14ac:dyDescent="0.25">
      <c r="A827842" s="242"/>
    </row>
    <row r="827843" spans="1:1" x14ac:dyDescent="0.25">
      <c r="A827843" s="242"/>
    </row>
    <row r="827844" spans="1:1" x14ac:dyDescent="0.25">
      <c r="A827844" s="242"/>
    </row>
    <row r="827845" spans="1:1" x14ac:dyDescent="0.25">
      <c r="A827845" s="242"/>
    </row>
    <row r="827846" spans="1:1" x14ac:dyDescent="0.25">
      <c r="A827846" s="242"/>
    </row>
    <row r="827847" spans="1:1" x14ac:dyDescent="0.25">
      <c r="A827847" s="242"/>
    </row>
    <row r="827848" spans="1:1" x14ac:dyDescent="0.25">
      <c r="A827848" s="242"/>
    </row>
    <row r="827849" spans="1:1" x14ac:dyDescent="0.25">
      <c r="A827849" s="242"/>
    </row>
    <row r="827850" spans="1:1" x14ac:dyDescent="0.25">
      <c r="A827850" s="242"/>
    </row>
    <row r="827851" spans="1:1" x14ac:dyDescent="0.25">
      <c r="A827851" s="242"/>
    </row>
    <row r="827852" spans="1:1" x14ac:dyDescent="0.25">
      <c r="A827852" s="242"/>
    </row>
    <row r="827853" spans="1:1" x14ac:dyDescent="0.25">
      <c r="A827853" s="242"/>
    </row>
    <row r="827854" spans="1:1" x14ac:dyDescent="0.25">
      <c r="A827854" s="242"/>
    </row>
    <row r="827855" spans="1:1" x14ac:dyDescent="0.25">
      <c r="A827855" s="242"/>
    </row>
    <row r="827856" spans="1:1" x14ac:dyDescent="0.25">
      <c r="A827856" s="242"/>
    </row>
    <row r="827857" spans="1:1" x14ac:dyDescent="0.25">
      <c r="A827857" s="242"/>
    </row>
    <row r="827858" spans="1:1" x14ac:dyDescent="0.25">
      <c r="A827858" s="242"/>
    </row>
    <row r="827859" spans="1:1" x14ac:dyDescent="0.25">
      <c r="A827859" s="242"/>
    </row>
    <row r="827860" spans="1:1" x14ac:dyDescent="0.25">
      <c r="A827860" s="242"/>
    </row>
    <row r="827861" spans="1:1" x14ac:dyDescent="0.25">
      <c r="A827861" s="242"/>
    </row>
    <row r="827862" spans="1:1" x14ac:dyDescent="0.25">
      <c r="A827862" s="242"/>
    </row>
    <row r="827863" spans="1:1" x14ac:dyDescent="0.25">
      <c r="A827863" s="242"/>
    </row>
    <row r="827864" spans="1:1" x14ac:dyDescent="0.25">
      <c r="A827864" s="242"/>
    </row>
    <row r="827865" spans="1:1" x14ac:dyDescent="0.25">
      <c r="A827865" s="242"/>
    </row>
    <row r="827866" spans="1:1" x14ac:dyDescent="0.25">
      <c r="A827866" s="242"/>
    </row>
    <row r="827867" spans="1:1" x14ac:dyDescent="0.25">
      <c r="A827867" s="242"/>
    </row>
    <row r="827868" spans="1:1" x14ac:dyDescent="0.25">
      <c r="A827868" s="242"/>
    </row>
    <row r="827869" spans="1:1" x14ac:dyDescent="0.25">
      <c r="A827869" s="242"/>
    </row>
    <row r="827870" spans="1:1" x14ac:dyDescent="0.25">
      <c r="A827870" s="242"/>
    </row>
    <row r="827871" spans="1:1" x14ac:dyDescent="0.25">
      <c r="A827871" s="242"/>
    </row>
    <row r="827872" spans="1:1" x14ac:dyDescent="0.25">
      <c r="A827872" s="242"/>
    </row>
    <row r="827873" spans="1:1" x14ac:dyDescent="0.25">
      <c r="A827873" s="242"/>
    </row>
    <row r="827874" spans="1:1" x14ac:dyDescent="0.25">
      <c r="A827874" s="242"/>
    </row>
    <row r="827875" spans="1:1" x14ac:dyDescent="0.25">
      <c r="A827875" s="242"/>
    </row>
    <row r="827876" spans="1:1" x14ac:dyDescent="0.25">
      <c r="A827876" s="242"/>
    </row>
    <row r="827877" spans="1:1" x14ac:dyDescent="0.25">
      <c r="A827877" s="242"/>
    </row>
    <row r="827878" spans="1:1" x14ac:dyDescent="0.25">
      <c r="A827878" s="242"/>
    </row>
    <row r="827879" spans="1:1" x14ac:dyDescent="0.25">
      <c r="A827879" s="242"/>
    </row>
    <row r="827880" spans="1:1" x14ac:dyDescent="0.25">
      <c r="A827880" s="242"/>
    </row>
    <row r="827881" spans="1:1" x14ac:dyDescent="0.25">
      <c r="A827881" s="242"/>
    </row>
    <row r="827882" spans="1:1" x14ac:dyDescent="0.25">
      <c r="A827882" s="242"/>
    </row>
    <row r="827883" spans="1:1" x14ac:dyDescent="0.25">
      <c r="A827883" s="242"/>
    </row>
    <row r="827884" spans="1:1" x14ac:dyDescent="0.25">
      <c r="A827884" s="242"/>
    </row>
    <row r="827885" spans="1:1" x14ac:dyDescent="0.25">
      <c r="A827885" s="242"/>
    </row>
    <row r="827886" spans="1:1" x14ac:dyDescent="0.25">
      <c r="A827886" s="242"/>
    </row>
    <row r="827887" spans="1:1" x14ac:dyDescent="0.25">
      <c r="A827887" s="242"/>
    </row>
    <row r="827888" spans="1:1" x14ac:dyDescent="0.25">
      <c r="A827888" s="242"/>
    </row>
    <row r="827889" spans="1:1" x14ac:dyDescent="0.25">
      <c r="A827889" s="242"/>
    </row>
    <row r="827890" spans="1:1" x14ac:dyDescent="0.25">
      <c r="A827890" s="242"/>
    </row>
    <row r="827891" spans="1:1" x14ac:dyDescent="0.25">
      <c r="A827891" s="242"/>
    </row>
    <row r="827892" spans="1:1" x14ac:dyDescent="0.25">
      <c r="A827892" s="242"/>
    </row>
    <row r="827893" spans="1:1" x14ac:dyDescent="0.25">
      <c r="A827893" s="242"/>
    </row>
    <row r="827894" spans="1:1" x14ac:dyDescent="0.25">
      <c r="A827894" s="242"/>
    </row>
    <row r="827895" spans="1:1" x14ac:dyDescent="0.25">
      <c r="A827895" s="242"/>
    </row>
    <row r="827896" spans="1:1" x14ac:dyDescent="0.25">
      <c r="A827896" s="242"/>
    </row>
    <row r="827897" spans="1:1" x14ac:dyDescent="0.25">
      <c r="A827897" s="242"/>
    </row>
    <row r="827898" spans="1:1" x14ac:dyDescent="0.25">
      <c r="A827898" s="242"/>
    </row>
    <row r="827899" spans="1:1" x14ac:dyDescent="0.25">
      <c r="A827899" s="242"/>
    </row>
    <row r="827900" spans="1:1" x14ac:dyDescent="0.25">
      <c r="A827900" s="242"/>
    </row>
    <row r="827901" spans="1:1" x14ac:dyDescent="0.25">
      <c r="A827901" s="242"/>
    </row>
    <row r="827902" spans="1:1" x14ac:dyDescent="0.25">
      <c r="A827902" s="242"/>
    </row>
    <row r="827903" spans="1:1" x14ac:dyDescent="0.25">
      <c r="A827903" s="242"/>
    </row>
    <row r="827904" spans="1:1" x14ac:dyDescent="0.25">
      <c r="A827904" s="242"/>
    </row>
    <row r="827905" spans="1:1" x14ac:dyDescent="0.25">
      <c r="A827905" s="242"/>
    </row>
    <row r="827906" spans="1:1" x14ac:dyDescent="0.25">
      <c r="A827906" s="242"/>
    </row>
    <row r="827907" spans="1:1" x14ac:dyDescent="0.25">
      <c r="A827907" s="242"/>
    </row>
    <row r="827908" spans="1:1" x14ac:dyDescent="0.25">
      <c r="A827908" s="242"/>
    </row>
    <row r="827909" spans="1:1" x14ac:dyDescent="0.25">
      <c r="A827909" s="242"/>
    </row>
    <row r="827910" spans="1:1" x14ac:dyDescent="0.25">
      <c r="A827910" s="242"/>
    </row>
    <row r="827911" spans="1:1" x14ac:dyDescent="0.25">
      <c r="A827911" s="242"/>
    </row>
    <row r="827912" spans="1:1" x14ac:dyDescent="0.25">
      <c r="A827912" s="242"/>
    </row>
    <row r="827913" spans="1:1" x14ac:dyDescent="0.25">
      <c r="A827913" s="242"/>
    </row>
    <row r="827914" spans="1:1" x14ac:dyDescent="0.25">
      <c r="A827914" s="242"/>
    </row>
    <row r="827915" spans="1:1" x14ac:dyDescent="0.25">
      <c r="A827915" s="242"/>
    </row>
    <row r="827916" spans="1:1" x14ac:dyDescent="0.25">
      <c r="A827916" s="242"/>
    </row>
    <row r="827917" spans="1:1" x14ac:dyDescent="0.25">
      <c r="A827917" s="242"/>
    </row>
    <row r="827918" spans="1:1" x14ac:dyDescent="0.25">
      <c r="A827918" s="242"/>
    </row>
    <row r="827919" spans="1:1" x14ac:dyDescent="0.25">
      <c r="A827919" s="242"/>
    </row>
    <row r="827920" spans="1:1" x14ac:dyDescent="0.25">
      <c r="A827920" s="242"/>
    </row>
    <row r="827921" spans="1:1" x14ac:dyDescent="0.25">
      <c r="A827921" s="242"/>
    </row>
    <row r="827922" spans="1:1" x14ac:dyDescent="0.25">
      <c r="A827922" s="242"/>
    </row>
    <row r="827923" spans="1:1" x14ac:dyDescent="0.25">
      <c r="A827923" s="242"/>
    </row>
    <row r="827924" spans="1:1" x14ac:dyDescent="0.25">
      <c r="A827924" s="242"/>
    </row>
    <row r="827925" spans="1:1" x14ac:dyDescent="0.25">
      <c r="A827925" s="242"/>
    </row>
    <row r="827926" spans="1:1" x14ac:dyDescent="0.25">
      <c r="A827926" s="242"/>
    </row>
    <row r="827927" spans="1:1" x14ac:dyDescent="0.25">
      <c r="A827927" s="242"/>
    </row>
    <row r="827928" spans="1:1" x14ac:dyDescent="0.25">
      <c r="A827928" s="242"/>
    </row>
    <row r="827929" spans="1:1" x14ac:dyDescent="0.25">
      <c r="A827929" s="242"/>
    </row>
    <row r="827930" spans="1:1" x14ac:dyDescent="0.25">
      <c r="A827930" s="242"/>
    </row>
    <row r="827931" spans="1:1" x14ac:dyDescent="0.25">
      <c r="A827931" s="242"/>
    </row>
    <row r="827932" spans="1:1" x14ac:dyDescent="0.25">
      <c r="A827932" s="242"/>
    </row>
    <row r="827933" spans="1:1" x14ac:dyDescent="0.25">
      <c r="A827933" s="242"/>
    </row>
    <row r="827934" spans="1:1" x14ac:dyDescent="0.25">
      <c r="A827934" s="242"/>
    </row>
    <row r="827935" spans="1:1" x14ac:dyDescent="0.25">
      <c r="A827935" s="242"/>
    </row>
    <row r="827936" spans="1:1" x14ac:dyDescent="0.25">
      <c r="A827936" s="242"/>
    </row>
    <row r="827937" spans="1:1" x14ac:dyDescent="0.25">
      <c r="A827937" s="242"/>
    </row>
    <row r="827938" spans="1:1" x14ac:dyDescent="0.25">
      <c r="A827938" s="242"/>
    </row>
    <row r="827939" spans="1:1" x14ac:dyDescent="0.25">
      <c r="A827939" s="242"/>
    </row>
    <row r="827940" spans="1:1" x14ac:dyDescent="0.25">
      <c r="A827940" s="242"/>
    </row>
    <row r="827941" spans="1:1" x14ac:dyDescent="0.25">
      <c r="A827941" s="242"/>
    </row>
    <row r="827942" spans="1:1" x14ac:dyDescent="0.25">
      <c r="A827942" s="242"/>
    </row>
    <row r="827943" spans="1:1" x14ac:dyDescent="0.25">
      <c r="A827943" s="242"/>
    </row>
    <row r="827944" spans="1:1" x14ac:dyDescent="0.25">
      <c r="A827944" s="242"/>
    </row>
    <row r="827945" spans="1:1" x14ac:dyDescent="0.25">
      <c r="A827945" s="242"/>
    </row>
    <row r="827946" spans="1:1" x14ac:dyDescent="0.25">
      <c r="A827946" s="242"/>
    </row>
    <row r="827947" spans="1:1" x14ac:dyDescent="0.25">
      <c r="A827947" s="242"/>
    </row>
    <row r="827948" spans="1:1" x14ac:dyDescent="0.25">
      <c r="A827948" s="242"/>
    </row>
    <row r="827949" spans="1:1" x14ac:dyDescent="0.25">
      <c r="A827949" s="242"/>
    </row>
    <row r="827950" spans="1:1" x14ac:dyDescent="0.25">
      <c r="A827950" s="242"/>
    </row>
    <row r="827951" spans="1:1" x14ac:dyDescent="0.25">
      <c r="A827951" s="242"/>
    </row>
    <row r="827952" spans="1:1" x14ac:dyDescent="0.25">
      <c r="A827952" s="242"/>
    </row>
    <row r="827953" spans="1:1" x14ac:dyDescent="0.25">
      <c r="A827953" s="242"/>
    </row>
    <row r="827954" spans="1:1" x14ac:dyDescent="0.25">
      <c r="A827954" s="242"/>
    </row>
    <row r="827955" spans="1:1" x14ac:dyDescent="0.25">
      <c r="A827955" s="242"/>
    </row>
    <row r="827956" spans="1:1" x14ac:dyDescent="0.25">
      <c r="A827956" s="242"/>
    </row>
    <row r="827957" spans="1:1" x14ac:dyDescent="0.25">
      <c r="A827957" s="242"/>
    </row>
    <row r="827958" spans="1:1" x14ac:dyDescent="0.25">
      <c r="A827958" s="242"/>
    </row>
    <row r="827959" spans="1:1" x14ac:dyDescent="0.25">
      <c r="A827959" s="242"/>
    </row>
    <row r="827960" spans="1:1" x14ac:dyDescent="0.25">
      <c r="A827960" s="242"/>
    </row>
    <row r="827961" spans="1:1" x14ac:dyDescent="0.25">
      <c r="A827961" s="242"/>
    </row>
    <row r="827962" spans="1:1" x14ac:dyDescent="0.25">
      <c r="A827962" s="242"/>
    </row>
    <row r="827963" spans="1:1" x14ac:dyDescent="0.25">
      <c r="A827963" s="242"/>
    </row>
    <row r="827964" spans="1:1" x14ac:dyDescent="0.25">
      <c r="A827964" s="242"/>
    </row>
    <row r="827965" spans="1:1" x14ac:dyDescent="0.25">
      <c r="A827965" s="242"/>
    </row>
    <row r="827966" spans="1:1" x14ac:dyDescent="0.25">
      <c r="A827966" s="242"/>
    </row>
    <row r="827967" spans="1:1" x14ac:dyDescent="0.25">
      <c r="A827967" s="242"/>
    </row>
    <row r="827968" spans="1:1" x14ac:dyDescent="0.25">
      <c r="A827968" s="242"/>
    </row>
    <row r="827969" spans="1:1" x14ac:dyDescent="0.25">
      <c r="A827969" s="242"/>
    </row>
    <row r="827970" spans="1:1" x14ac:dyDescent="0.25">
      <c r="A827970" s="242"/>
    </row>
    <row r="827971" spans="1:1" x14ac:dyDescent="0.25">
      <c r="A827971" s="242"/>
    </row>
    <row r="827972" spans="1:1" x14ac:dyDescent="0.25">
      <c r="A827972" s="242"/>
    </row>
    <row r="827973" spans="1:1" x14ac:dyDescent="0.25">
      <c r="A827973" s="242"/>
    </row>
    <row r="827974" spans="1:1" x14ac:dyDescent="0.25">
      <c r="A827974" s="242"/>
    </row>
    <row r="827975" spans="1:1" x14ac:dyDescent="0.25">
      <c r="A827975" s="242"/>
    </row>
    <row r="827976" spans="1:1" x14ac:dyDescent="0.25">
      <c r="A827976" s="242"/>
    </row>
    <row r="827977" spans="1:1" x14ac:dyDescent="0.25">
      <c r="A827977" s="242"/>
    </row>
    <row r="827978" spans="1:1" x14ac:dyDescent="0.25">
      <c r="A827978" s="242"/>
    </row>
    <row r="827979" spans="1:1" x14ac:dyDescent="0.25">
      <c r="A827979" s="242"/>
    </row>
    <row r="827980" spans="1:1" x14ac:dyDescent="0.25">
      <c r="A827980" s="242"/>
    </row>
    <row r="827981" spans="1:1" x14ac:dyDescent="0.25">
      <c r="A827981" s="242"/>
    </row>
    <row r="827982" spans="1:1" x14ac:dyDescent="0.25">
      <c r="A827982" s="242"/>
    </row>
    <row r="827983" spans="1:1" x14ac:dyDescent="0.25">
      <c r="A827983" s="242"/>
    </row>
    <row r="827984" spans="1:1" x14ac:dyDescent="0.25">
      <c r="A827984" s="242"/>
    </row>
    <row r="827985" spans="1:1" x14ac:dyDescent="0.25">
      <c r="A827985" s="242"/>
    </row>
    <row r="827986" spans="1:1" x14ac:dyDescent="0.25">
      <c r="A827986" s="242"/>
    </row>
    <row r="827987" spans="1:1" x14ac:dyDescent="0.25">
      <c r="A827987" s="242"/>
    </row>
    <row r="827988" spans="1:1" x14ac:dyDescent="0.25">
      <c r="A827988" s="242"/>
    </row>
    <row r="827989" spans="1:1" x14ac:dyDescent="0.25">
      <c r="A827989" s="242"/>
    </row>
    <row r="827990" spans="1:1" x14ac:dyDescent="0.25">
      <c r="A827990" s="242"/>
    </row>
    <row r="827991" spans="1:1" x14ac:dyDescent="0.25">
      <c r="A827991" s="242"/>
    </row>
    <row r="827992" spans="1:1" x14ac:dyDescent="0.25">
      <c r="A827992" s="242"/>
    </row>
    <row r="827993" spans="1:1" x14ac:dyDescent="0.25">
      <c r="A827993" s="242"/>
    </row>
    <row r="827994" spans="1:1" x14ac:dyDescent="0.25">
      <c r="A827994" s="242"/>
    </row>
    <row r="827995" spans="1:1" x14ac:dyDescent="0.25">
      <c r="A827995" s="242"/>
    </row>
    <row r="827996" spans="1:1" x14ac:dyDescent="0.25">
      <c r="A827996" s="242"/>
    </row>
    <row r="827997" spans="1:1" x14ac:dyDescent="0.25">
      <c r="A827997" s="242"/>
    </row>
    <row r="827998" spans="1:1" x14ac:dyDescent="0.25">
      <c r="A827998" s="242"/>
    </row>
    <row r="827999" spans="1:1" x14ac:dyDescent="0.25">
      <c r="A827999" s="242"/>
    </row>
    <row r="828000" spans="1:1" x14ac:dyDescent="0.25">
      <c r="A828000" s="242"/>
    </row>
    <row r="828001" spans="1:1" x14ac:dyDescent="0.25">
      <c r="A828001" s="242"/>
    </row>
    <row r="828002" spans="1:1" x14ac:dyDescent="0.25">
      <c r="A828002" s="242"/>
    </row>
    <row r="828003" spans="1:1" x14ac:dyDescent="0.25">
      <c r="A828003" s="242"/>
    </row>
    <row r="828004" spans="1:1" x14ac:dyDescent="0.25">
      <c r="A828004" s="242"/>
    </row>
    <row r="828005" spans="1:1" x14ac:dyDescent="0.25">
      <c r="A828005" s="242"/>
    </row>
    <row r="828006" spans="1:1" x14ac:dyDescent="0.25">
      <c r="A828006" s="242"/>
    </row>
    <row r="828007" spans="1:1" x14ac:dyDescent="0.25">
      <c r="A828007" s="242"/>
    </row>
    <row r="828008" spans="1:1" x14ac:dyDescent="0.25">
      <c r="A828008" s="242"/>
    </row>
    <row r="828009" spans="1:1" x14ac:dyDescent="0.25">
      <c r="A828009" s="242"/>
    </row>
    <row r="828010" spans="1:1" x14ac:dyDescent="0.25">
      <c r="A828010" s="242"/>
    </row>
    <row r="828011" spans="1:1" x14ac:dyDescent="0.25">
      <c r="A828011" s="242"/>
    </row>
    <row r="828012" spans="1:1" x14ac:dyDescent="0.25">
      <c r="A828012" s="242"/>
    </row>
    <row r="828013" spans="1:1" x14ac:dyDescent="0.25">
      <c r="A828013" s="242"/>
    </row>
    <row r="828014" spans="1:1" x14ac:dyDescent="0.25">
      <c r="A828014" s="242"/>
    </row>
    <row r="828015" spans="1:1" x14ac:dyDescent="0.25">
      <c r="A828015" s="242"/>
    </row>
    <row r="828016" spans="1:1" x14ac:dyDescent="0.25">
      <c r="A828016" s="242"/>
    </row>
    <row r="828017" spans="1:1" x14ac:dyDescent="0.25">
      <c r="A828017" s="242"/>
    </row>
    <row r="828018" spans="1:1" x14ac:dyDescent="0.25">
      <c r="A828018" s="242"/>
    </row>
    <row r="828019" spans="1:1" x14ac:dyDescent="0.25">
      <c r="A828019" s="242"/>
    </row>
    <row r="828020" spans="1:1" x14ac:dyDescent="0.25">
      <c r="A828020" s="242"/>
    </row>
    <row r="828021" spans="1:1" x14ac:dyDescent="0.25">
      <c r="A828021" s="242"/>
    </row>
    <row r="828022" spans="1:1" x14ac:dyDescent="0.25">
      <c r="A828022" s="242"/>
    </row>
    <row r="828023" spans="1:1" x14ac:dyDescent="0.25">
      <c r="A828023" s="242"/>
    </row>
    <row r="828024" spans="1:1" x14ac:dyDescent="0.25">
      <c r="A828024" s="242"/>
    </row>
    <row r="828025" spans="1:1" x14ac:dyDescent="0.25">
      <c r="A828025" s="242"/>
    </row>
    <row r="828026" spans="1:1" x14ac:dyDescent="0.25">
      <c r="A828026" s="242"/>
    </row>
    <row r="828027" spans="1:1" x14ac:dyDescent="0.25">
      <c r="A828027" s="242"/>
    </row>
    <row r="828028" spans="1:1" x14ac:dyDescent="0.25">
      <c r="A828028" s="242"/>
    </row>
    <row r="828029" spans="1:1" x14ac:dyDescent="0.25">
      <c r="A828029" s="242"/>
    </row>
    <row r="828030" spans="1:1" x14ac:dyDescent="0.25">
      <c r="A828030" s="242"/>
    </row>
    <row r="828031" spans="1:1" x14ac:dyDescent="0.25">
      <c r="A828031" s="242"/>
    </row>
    <row r="828032" spans="1:1" x14ac:dyDescent="0.25">
      <c r="A828032" s="242"/>
    </row>
    <row r="828033" spans="1:1" x14ac:dyDescent="0.25">
      <c r="A828033" s="242"/>
    </row>
    <row r="828034" spans="1:1" x14ac:dyDescent="0.25">
      <c r="A828034" s="242"/>
    </row>
    <row r="828035" spans="1:1" x14ac:dyDescent="0.25">
      <c r="A828035" s="242"/>
    </row>
    <row r="828036" spans="1:1" x14ac:dyDescent="0.25">
      <c r="A828036" s="242"/>
    </row>
    <row r="828037" spans="1:1" x14ac:dyDescent="0.25">
      <c r="A828037" s="242"/>
    </row>
    <row r="828038" spans="1:1" x14ac:dyDescent="0.25">
      <c r="A828038" s="242"/>
    </row>
    <row r="828039" spans="1:1" x14ac:dyDescent="0.25">
      <c r="A828039" s="242"/>
    </row>
    <row r="828040" spans="1:1" x14ac:dyDescent="0.25">
      <c r="A828040" s="242"/>
    </row>
    <row r="828041" spans="1:1" x14ac:dyDescent="0.25">
      <c r="A828041" s="242"/>
    </row>
    <row r="828042" spans="1:1" x14ac:dyDescent="0.25">
      <c r="A828042" s="242"/>
    </row>
    <row r="828043" spans="1:1" x14ac:dyDescent="0.25">
      <c r="A828043" s="242"/>
    </row>
    <row r="828044" spans="1:1" x14ac:dyDescent="0.25">
      <c r="A828044" s="242"/>
    </row>
    <row r="828045" spans="1:1" x14ac:dyDescent="0.25">
      <c r="A828045" s="242"/>
    </row>
    <row r="828046" spans="1:1" x14ac:dyDescent="0.25">
      <c r="A828046" s="242"/>
    </row>
    <row r="828047" spans="1:1" x14ac:dyDescent="0.25">
      <c r="A828047" s="242"/>
    </row>
    <row r="828048" spans="1:1" x14ac:dyDescent="0.25">
      <c r="A828048" s="242"/>
    </row>
    <row r="828049" spans="1:1" x14ac:dyDescent="0.25">
      <c r="A828049" s="242"/>
    </row>
    <row r="828050" spans="1:1" x14ac:dyDescent="0.25">
      <c r="A828050" s="242"/>
    </row>
    <row r="828051" spans="1:1" x14ac:dyDescent="0.25">
      <c r="A828051" s="242"/>
    </row>
    <row r="828052" spans="1:1" x14ac:dyDescent="0.25">
      <c r="A828052" s="242"/>
    </row>
    <row r="828053" spans="1:1" x14ac:dyDescent="0.25">
      <c r="A828053" s="242"/>
    </row>
    <row r="828054" spans="1:1" x14ac:dyDescent="0.25">
      <c r="A828054" s="242"/>
    </row>
    <row r="828055" spans="1:1" x14ac:dyDescent="0.25">
      <c r="A828055" s="242"/>
    </row>
    <row r="828056" spans="1:1" x14ac:dyDescent="0.25">
      <c r="A828056" s="242"/>
    </row>
    <row r="828057" spans="1:1" x14ac:dyDescent="0.25">
      <c r="A828057" s="242"/>
    </row>
    <row r="828058" spans="1:1" x14ac:dyDescent="0.25">
      <c r="A828058" s="242"/>
    </row>
    <row r="828059" spans="1:1" x14ac:dyDescent="0.25">
      <c r="A828059" s="242"/>
    </row>
    <row r="828060" spans="1:1" x14ac:dyDescent="0.25">
      <c r="A828060" s="242"/>
    </row>
    <row r="828061" spans="1:1" x14ac:dyDescent="0.25">
      <c r="A828061" s="242"/>
    </row>
    <row r="828062" spans="1:1" x14ac:dyDescent="0.25">
      <c r="A828062" s="242"/>
    </row>
    <row r="828063" spans="1:1" x14ac:dyDescent="0.25">
      <c r="A828063" s="242"/>
    </row>
    <row r="828064" spans="1:1" x14ac:dyDescent="0.25">
      <c r="A828064" s="242"/>
    </row>
    <row r="828065" spans="1:1" x14ac:dyDescent="0.25">
      <c r="A828065" s="242"/>
    </row>
    <row r="828066" spans="1:1" x14ac:dyDescent="0.25">
      <c r="A828066" s="242"/>
    </row>
    <row r="828067" spans="1:1" x14ac:dyDescent="0.25">
      <c r="A828067" s="242"/>
    </row>
    <row r="828068" spans="1:1" x14ac:dyDescent="0.25">
      <c r="A828068" s="242"/>
    </row>
    <row r="828069" spans="1:1" x14ac:dyDescent="0.25">
      <c r="A828069" s="242"/>
    </row>
    <row r="828070" spans="1:1" x14ac:dyDescent="0.25">
      <c r="A828070" s="242"/>
    </row>
    <row r="828071" spans="1:1" x14ac:dyDescent="0.25">
      <c r="A828071" s="242"/>
    </row>
    <row r="828072" spans="1:1" x14ac:dyDescent="0.25">
      <c r="A828072" s="242"/>
    </row>
    <row r="828073" spans="1:1" x14ac:dyDescent="0.25">
      <c r="A828073" s="242"/>
    </row>
    <row r="828074" spans="1:1" x14ac:dyDescent="0.25">
      <c r="A828074" s="242"/>
    </row>
    <row r="828075" spans="1:1" x14ac:dyDescent="0.25">
      <c r="A828075" s="242"/>
    </row>
    <row r="828076" spans="1:1" x14ac:dyDescent="0.25">
      <c r="A828076" s="242"/>
    </row>
    <row r="828077" spans="1:1" x14ac:dyDescent="0.25">
      <c r="A828077" s="242"/>
    </row>
    <row r="828078" spans="1:1" x14ac:dyDescent="0.25">
      <c r="A828078" s="242"/>
    </row>
    <row r="828079" spans="1:1" x14ac:dyDescent="0.25">
      <c r="A828079" s="242"/>
    </row>
    <row r="828080" spans="1:1" x14ac:dyDescent="0.25">
      <c r="A828080" s="242"/>
    </row>
    <row r="828081" spans="1:1" x14ac:dyDescent="0.25">
      <c r="A828081" s="242"/>
    </row>
    <row r="828082" spans="1:1" x14ac:dyDescent="0.25">
      <c r="A828082" s="242"/>
    </row>
    <row r="828083" spans="1:1" x14ac:dyDescent="0.25">
      <c r="A828083" s="242"/>
    </row>
    <row r="828084" spans="1:1" x14ac:dyDescent="0.25">
      <c r="A828084" s="242"/>
    </row>
    <row r="828085" spans="1:1" x14ac:dyDescent="0.25">
      <c r="A828085" s="242"/>
    </row>
    <row r="828086" spans="1:1" x14ac:dyDescent="0.25">
      <c r="A828086" s="242"/>
    </row>
    <row r="828087" spans="1:1" x14ac:dyDescent="0.25">
      <c r="A828087" s="242"/>
    </row>
    <row r="828088" spans="1:1" x14ac:dyDescent="0.25">
      <c r="A828088" s="242"/>
    </row>
    <row r="828089" spans="1:1" x14ac:dyDescent="0.25">
      <c r="A828089" s="242"/>
    </row>
    <row r="828090" spans="1:1" x14ac:dyDescent="0.25">
      <c r="A828090" s="242"/>
    </row>
    <row r="828091" spans="1:1" x14ac:dyDescent="0.25">
      <c r="A828091" s="242"/>
    </row>
    <row r="828092" spans="1:1" x14ac:dyDescent="0.25">
      <c r="A828092" s="242"/>
    </row>
    <row r="828093" spans="1:1" x14ac:dyDescent="0.25">
      <c r="A828093" s="242"/>
    </row>
    <row r="828094" spans="1:1" x14ac:dyDescent="0.25">
      <c r="A828094" s="242"/>
    </row>
    <row r="828095" spans="1:1" x14ac:dyDescent="0.25">
      <c r="A828095" s="242"/>
    </row>
    <row r="828096" spans="1:1" x14ac:dyDescent="0.25">
      <c r="A828096" s="242"/>
    </row>
    <row r="828097" spans="1:1" x14ac:dyDescent="0.25">
      <c r="A828097" s="242"/>
    </row>
    <row r="828098" spans="1:1" x14ac:dyDescent="0.25">
      <c r="A828098" s="242"/>
    </row>
    <row r="828099" spans="1:1" x14ac:dyDescent="0.25">
      <c r="A828099" s="242"/>
    </row>
    <row r="828100" spans="1:1" x14ac:dyDescent="0.25">
      <c r="A828100" s="242"/>
    </row>
    <row r="828101" spans="1:1" x14ac:dyDescent="0.25">
      <c r="A828101" s="242"/>
    </row>
    <row r="828102" spans="1:1" x14ac:dyDescent="0.25">
      <c r="A828102" s="242"/>
    </row>
    <row r="828103" spans="1:1" x14ac:dyDescent="0.25">
      <c r="A828103" s="242"/>
    </row>
    <row r="828104" spans="1:1" x14ac:dyDescent="0.25">
      <c r="A828104" s="242"/>
    </row>
    <row r="828105" spans="1:1" x14ac:dyDescent="0.25">
      <c r="A828105" s="242"/>
    </row>
    <row r="828106" spans="1:1" x14ac:dyDescent="0.25">
      <c r="A828106" s="242"/>
    </row>
    <row r="828107" spans="1:1" x14ac:dyDescent="0.25">
      <c r="A828107" s="242"/>
    </row>
    <row r="828108" spans="1:1" x14ac:dyDescent="0.25">
      <c r="A828108" s="242"/>
    </row>
    <row r="828109" spans="1:1" x14ac:dyDescent="0.25">
      <c r="A828109" s="242"/>
    </row>
    <row r="828110" spans="1:1" x14ac:dyDescent="0.25">
      <c r="A828110" s="242"/>
    </row>
    <row r="828111" spans="1:1" x14ac:dyDescent="0.25">
      <c r="A828111" s="242"/>
    </row>
    <row r="828112" spans="1:1" x14ac:dyDescent="0.25">
      <c r="A828112" s="242"/>
    </row>
    <row r="828113" spans="1:1" x14ac:dyDescent="0.25">
      <c r="A828113" s="242"/>
    </row>
    <row r="828114" spans="1:1" x14ac:dyDescent="0.25">
      <c r="A828114" s="242"/>
    </row>
    <row r="828115" spans="1:1" x14ac:dyDescent="0.25">
      <c r="A828115" s="242"/>
    </row>
    <row r="828116" spans="1:1" x14ac:dyDescent="0.25">
      <c r="A828116" s="242"/>
    </row>
    <row r="828117" spans="1:1" x14ac:dyDescent="0.25">
      <c r="A828117" s="242"/>
    </row>
    <row r="828118" spans="1:1" x14ac:dyDescent="0.25">
      <c r="A828118" s="242"/>
    </row>
    <row r="828119" spans="1:1" x14ac:dyDescent="0.25">
      <c r="A828119" s="242"/>
    </row>
    <row r="828120" spans="1:1" x14ac:dyDescent="0.25">
      <c r="A828120" s="242"/>
    </row>
    <row r="828121" spans="1:1" x14ac:dyDescent="0.25">
      <c r="A828121" s="242"/>
    </row>
    <row r="828122" spans="1:1" x14ac:dyDescent="0.25">
      <c r="A828122" s="242"/>
    </row>
    <row r="828123" spans="1:1" x14ac:dyDescent="0.25">
      <c r="A828123" s="242"/>
    </row>
    <row r="828124" spans="1:1" x14ac:dyDescent="0.25">
      <c r="A828124" s="242"/>
    </row>
    <row r="828125" spans="1:1" x14ac:dyDescent="0.25">
      <c r="A828125" s="242"/>
    </row>
    <row r="828126" spans="1:1" x14ac:dyDescent="0.25">
      <c r="A828126" s="242"/>
    </row>
    <row r="828127" spans="1:1" x14ac:dyDescent="0.25">
      <c r="A828127" s="242"/>
    </row>
    <row r="828128" spans="1:1" x14ac:dyDescent="0.25">
      <c r="A828128" s="242"/>
    </row>
    <row r="828129" spans="1:1" x14ac:dyDescent="0.25">
      <c r="A828129" s="242"/>
    </row>
    <row r="828130" spans="1:1" x14ac:dyDescent="0.25">
      <c r="A828130" s="242"/>
    </row>
    <row r="828131" spans="1:1" x14ac:dyDescent="0.25">
      <c r="A828131" s="242"/>
    </row>
    <row r="828132" spans="1:1" x14ac:dyDescent="0.25">
      <c r="A828132" s="242"/>
    </row>
    <row r="828133" spans="1:1" x14ac:dyDescent="0.25">
      <c r="A828133" s="242"/>
    </row>
    <row r="828134" spans="1:1" x14ac:dyDescent="0.25">
      <c r="A828134" s="242"/>
    </row>
    <row r="828135" spans="1:1" x14ac:dyDescent="0.25">
      <c r="A828135" s="242"/>
    </row>
    <row r="828136" spans="1:1" x14ac:dyDescent="0.25">
      <c r="A828136" s="242"/>
    </row>
    <row r="828137" spans="1:1" x14ac:dyDescent="0.25">
      <c r="A828137" s="242"/>
    </row>
    <row r="828138" spans="1:1" x14ac:dyDescent="0.25">
      <c r="A828138" s="242"/>
    </row>
    <row r="828139" spans="1:1" x14ac:dyDescent="0.25">
      <c r="A828139" s="242"/>
    </row>
    <row r="828140" spans="1:1" x14ac:dyDescent="0.25">
      <c r="A828140" s="242"/>
    </row>
    <row r="828141" spans="1:1" x14ac:dyDescent="0.25">
      <c r="A828141" s="242"/>
    </row>
    <row r="828142" spans="1:1" x14ac:dyDescent="0.25">
      <c r="A828142" s="242"/>
    </row>
    <row r="828143" spans="1:1" x14ac:dyDescent="0.25">
      <c r="A828143" s="242"/>
    </row>
    <row r="828144" spans="1:1" x14ac:dyDescent="0.25">
      <c r="A828144" s="242"/>
    </row>
    <row r="828145" spans="1:1" x14ac:dyDescent="0.25">
      <c r="A828145" s="242"/>
    </row>
    <row r="828146" spans="1:1" x14ac:dyDescent="0.25">
      <c r="A828146" s="242"/>
    </row>
    <row r="828147" spans="1:1" x14ac:dyDescent="0.25">
      <c r="A828147" s="242"/>
    </row>
    <row r="828148" spans="1:1" x14ac:dyDescent="0.25">
      <c r="A828148" s="242"/>
    </row>
    <row r="828149" spans="1:1" x14ac:dyDescent="0.25">
      <c r="A828149" s="242"/>
    </row>
    <row r="828150" spans="1:1" x14ac:dyDescent="0.25">
      <c r="A828150" s="242"/>
    </row>
    <row r="828151" spans="1:1" x14ac:dyDescent="0.25">
      <c r="A828151" s="242"/>
    </row>
    <row r="828152" spans="1:1" x14ac:dyDescent="0.25">
      <c r="A828152" s="242"/>
    </row>
    <row r="828153" spans="1:1" x14ac:dyDescent="0.25">
      <c r="A828153" s="242"/>
    </row>
    <row r="828154" spans="1:1" x14ac:dyDescent="0.25">
      <c r="A828154" s="242"/>
    </row>
    <row r="828155" spans="1:1" x14ac:dyDescent="0.25">
      <c r="A828155" s="242"/>
    </row>
    <row r="828156" spans="1:1" x14ac:dyDescent="0.25">
      <c r="A828156" s="242"/>
    </row>
    <row r="828157" spans="1:1" x14ac:dyDescent="0.25">
      <c r="A828157" s="242"/>
    </row>
    <row r="828158" spans="1:1" x14ac:dyDescent="0.25">
      <c r="A828158" s="242"/>
    </row>
    <row r="828159" spans="1:1" x14ac:dyDescent="0.25">
      <c r="A828159" s="242"/>
    </row>
    <row r="828160" spans="1:1" x14ac:dyDescent="0.25">
      <c r="A828160" s="242"/>
    </row>
    <row r="828161" spans="1:1" x14ac:dyDescent="0.25">
      <c r="A828161" s="242"/>
    </row>
    <row r="828162" spans="1:1" x14ac:dyDescent="0.25">
      <c r="A828162" s="242"/>
    </row>
    <row r="828163" spans="1:1" x14ac:dyDescent="0.25">
      <c r="A828163" s="242"/>
    </row>
    <row r="828164" spans="1:1" x14ac:dyDescent="0.25">
      <c r="A828164" s="242"/>
    </row>
    <row r="828165" spans="1:1" x14ac:dyDescent="0.25">
      <c r="A828165" s="242"/>
    </row>
    <row r="828166" spans="1:1" x14ac:dyDescent="0.25">
      <c r="A828166" s="242"/>
    </row>
    <row r="828167" spans="1:1" x14ac:dyDescent="0.25">
      <c r="A828167" s="242"/>
    </row>
    <row r="828168" spans="1:1" x14ac:dyDescent="0.25">
      <c r="A828168" s="242"/>
    </row>
    <row r="828169" spans="1:1" x14ac:dyDescent="0.25">
      <c r="A828169" s="242"/>
    </row>
    <row r="828170" spans="1:1" x14ac:dyDescent="0.25">
      <c r="A828170" s="242"/>
    </row>
    <row r="828171" spans="1:1" x14ac:dyDescent="0.25">
      <c r="A828171" s="242"/>
    </row>
    <row r="828172" spans="1:1" x14ac:dyDescent="0.25">
      <c r="A828172" s="242"/>
    </row>
    <row r="828173" spans="1:1" x14ac:dyDescent="0.25">
      <c r="A828173" s="242"/>
    </row>
    <row r="828174" spans="1:1" x14ac:dyDescent="0.25">
      <c r="A828174" s="242"/>
    </row>
    <row r="828175" spans="1:1" x14ac:dyDescent="0.25">
      <c r="A828175" s="242"/>
    </row>
    <row r="828176" spans="1:1" x14ac:dyDescent="0.25">
      <c r="A828176" s="242"/>
    </row>
    <row r="828177" spans="1:1" x14ac:dyDescent="0.25">
      <c r="A828177" s="242"/>
    </row>
    <row r="828178" spans="1:1" x14ac:dyDescent="0.25">
      <c r="A828178" s="242"/>
    </row>
    <row r="828179" spans="1:1" x14ac:dyDescent="0.25">
      <c r="A828179" s="242"/>
    </row>
    <row r="828180" spans="1:1" x14ac:dyDescent="0.25">
      <c r="A828180" s="242"/>
    </row>
    <row r="828181" spans="1:1" x14ac:dyDescent="0.25">
      <c r="A828181" s="242"/>
    </row>
    <row r="828182" spans="1:1" x14ac:dyDescent="0.25">
      <c r="A828182" s="242"/>
    </row>
    <row r="828183" spans="1:1" x14ac:dyDescent="0.25">
      <c r="A828183" s="242"/>
    </row>
    <row r="828184" spans="1:1" x14ac:dyDescent="0.25">
      <c r="A828184" s="242"/>
    </row>
    <row r="828185" spans="1:1" x14ac:dyDescent="0.25">
      <c r="A828185" s="242"/>
    </row>
    <row r="828186" spans="1:1" x14ac:dyDescent="0.25">
      <c r="A828186" s="242"/>
    </row>
    <row r="828187" spans="1:1" x14ac:dyDescent="0.25">
      <c r="A828187" s="242"/>
    </row>
    <row r="828188" spans="1:1" x14ac:dyDescent="0.25">
      <c r="A828188" s="242"/>
    </row>
    <row r="828189" spans="1:1" x14ac:dyDescent="0.25">
      <c r="A828189" s="242"/>
    </row>
    <row r="828190" spans="1:1" x14ac:dyDescent="0.25">
      <c r="A828190" s="242"/>
    </row>
    <row r="828191" spans="1:1" x14ac:dyDescent="0.25">
      <c r="A828191" s="242"/>
    </row>
    <row r="828192" spans="1:1" x14ac:dyDescent="0.25">
      <c r="A828192" s="242"/>
    </row>
    <row r="828193" spans="1:1" x14ac:dyDescent="0.25">
      <c r="A828193" s="242"/>
    </row>
    <row r="828194" spans="1:1" x14ac:dyDescent="0.25">
      <c r="A828194" s="242"/>
    </row>
    <row r="828195" spans="1:1" x14ac:dyDescent="0.25">
      <c r="A828195" s="242"/>
    </row>
    <row r="828196" spans="1:1" x14ac:dyDescent="0.25">
      <c r="A828196" s="242"/>
    </row>
    <row r="828197" spans="1:1" x14ac:dyDescent="0.25">
      <c r="A828197" s="242"/>
    </row>
    <row r="828198" spans="1:1" x14ac:dyDescent="0.25">
      <c r="A828198" s="242"/>
    </row>
    <row r="828199" spans="1:1" x14ac:dyDescent="0.25">
      <c r="A828199" s="242"/>
    </row>
    <row r="828200" spans="1:1" x14ac:dyDescent="0.25">
      <c r="A828200" s="242"/>
    </row>
    <row r="828201" spans="1:1" x14ac:dyDescent="0.25">
      <c r="A828201" s="242"/>
    </row>
    <row r="828202" spans="1:1" x14ac:dyDescent="0.25">
      <c r="A828202" s="242"/>
    </row>
    <row r="828203" spans="1:1" x14ac:dyDescent="0.25">
      <c r="A828203" s="242"/>
    </row>
    <row r="828204" spans="1:1" x14ac:dyDescent="0.25">
      <c r="A828204" s="242"/>
    </row>
    <row r="828205" spans="1:1" x14ac:dyDescent="0.25">
      <c r="A828205" s="242"/>
    </row>
    <row r="828206" spans="1:1" x14ac:dyDescent="0.25">
      <c r="A828206" s="242"/>
    </row>
    <row r="828207" spans="1:1" x14ac:dyDescent="0.25">
      <c r="A828207" s="242"/>
    </row>
    <row r="828208" spans="1:1" x14ac:dyDescent="0.25">
      <c r="A828208" s="242"/>
    </row>
    <row r="828209" spans="1:1" x14ac:dyDescent="0.25">
      <c r="A828209" s="242"/>
    </row>
    <row r="828210" spans="1:1" x14ac:dyDescent="0.25">
      <c r="A828210" s="242"/>
    </row>
    <row r="828211" spans="1:1" x14ac:dyDescent="0.25">
      <c r="A828211" s="242"/>
    </row>
    <row r="828212" spans="1:1" x14ac:dyDescent="0.25">
      <c r="A828212" s="242"/>
    </row>
    <row r="828213" spans="1:1" x14ac:dyDescent="0.25">
      <c r="A828213" s="242"/>
    </row>
    <row r="828214" spans="1:1" x14ac:dyDescent="0.25">
      <c r="A828214" s="242"/>
    </row>
    <row r="828215" spans="1:1" x14ac:dyDescent="0.25">
      <c r="A828215" s="242"/>
    </row>
    <row r="828216" spans="1:1" x14ac:dyDescent="0.25">
      <c r="A828216" s="242"/>
    </row>
    <row r="828217" spans="1:1" x14ac:dyDescent="0.25">
      <c r="A828217" s="242"/>
    </row>
    <row r="828218" spans="1:1" x14ac:dyDescent="0.25">
      <c r="A828218" s="242"/>
    </row>
    <row r="828219" spans="1:1" x14ac:dyDescent="0.25">
      <c r="A828219" s="242"/>
    </row>
    <row r="828220" spans="1:1" x14ac:dyDescent="0.25">
      <c r="A828220" s="242"/>
    </row>
    <row r="828221" spans="1:1" x14ac:dyDescent="0.25">
      <c r="A828221" s="242"/>
    </row>
    <row r="828222" spans="1:1" x14ac:dyDescent="0.25">
      <c r="A828222" s="242"/>
    </row>
    <row r="828223" spans="1:1" x14ac:dyDescent="0.25">
      <c r="A828223" s="242"/>
    </row>
    <row r="828224" spans="1:1" x14ac:dyDescent="0.25">
      <c r="A828224" s="242"/>
    </row>
    <row r="828225" spans="1:1" x14ac:dyDescent="0.25">
      <c r="A828225" s="242"/>
    </row>
    <row r="828226" spans="1:1" x14ac:dyDescent="0.25">
      <c r="A828226" s="242"/>
    </row>
    <row r="828227" spans="1:1" x14ac:dyDescent="0.25">
      <c r="A828227" s="242"/>
    </row>
    <row r="828228" spans="1:1" x14ac:dyDescent="0.25">
      <c r="A828228" s="242"/>
    </row>
    <row r="828229" spans="1:1" x14ac:dyDescent="0.25">
      <c r="A828229" s="242"/>
    </row>
    <row r="828230" spans="1:1" x14ac:dyDescent="0.25">
      <c r="A828230" s="242"/>
    </row>
    <row r="828231" spans="1:1" x14ac:dyDescent="0.25">
      <c r="A828231" s="242"/>
    </row>
    <row r="828232" spans="1:1" x14ac:dyDescent="0.25">
      <c r="A828232" s="242"/>
    </row>
    <row r="828233" spans="1:1" x14ac:dyDescent="0.25">
      <c r="A828233" s="242"/>
    </row>
    <row r="828234" spans="1:1" x14ac:dyDescent="0.25">
      <c r="A828234" s="242"/>
    </row>
    <row r="828235" spans="1:1" x14ac:dyDescent="0.25">
      <c r="A828235" s="242"/>
    </row>
    <row r="828236" spans="1:1" x14ac:dyDescent="0.25">
      <c r="A828236" s="242"/>
    </row>
    <row r="828237" spans="1:1" x14ac:dyDescent="0.25">
      <c r="A828237" s="242"/>
    </row>
    <row r="828238" spans="1:1" x14ac:dyDescent="0.25">
      <c r="A828238" s="242"/>
    </row>
    <row r="828239" spans="1:1" x14ac:dyDescent="0.25">
      <c r="A828239" s="242"/>
    </row>
    <row r="828240" spans="1:1" x14ac:dyDescent="0.25">
      <c r="A828240" s="242"/>
    </row>
    <row r="828241" spans="1:1" x14ac:dyDescent="0.25">
      <c r="A828241" s="242"/>
    </row>
    <row r="828242" spans="1:1" x14ac:dyDescent="0.25">
      <c r="A828242" s="242"/>
    </row>
    <row r="828243" spans="1:1" x14ac:dyDescent="0.25">
      <c r="A828243" s="242"/>
    </row>
    <row r="828244" spans="1:1" x14ac:dyDescent="0.25">
      <c r="A828244" s="242"/>
    </row>
    <row r="828245" spans="1:1" x14ac:dyDescent="0.25">
      <c r="A828245" s="242"/>
    </row>
    <row r="828246" spans="1:1" x14ac:dyDescent="0.25">
      <c r="A828246" s="242"/>
    </row>
    <row r="828247" spans="1:1" x14ac:dyDescent="0.25">
      <c r="A828247" s="242"/>
    </row>
    <row r="828248" spans="1:1" x14ac:dyDescent="0.25">
      <c r="A828248" s="242"/>
    </row>
    <row r="828249" spans="1:1" x14ac:dyDescent="0.25">
      <c r="A828249" s="242"/>
    </row>
    <row r="828250" spans="1:1" x14ac:dyDescent="0.25">
      <c r="A828250" s="242"/>
    </row>
    <row r="828251" spans="1:1" x14ac:dyDescent="0.25">
      <c r="A828251" s="242"/>
    </row>
    <row r="828252" spans="1:1" x14ac:dyDescent="0.25">
      <c r="A828252" s="242"/>
    </row>
    <row r="828253" spans="1:1" x14ac:dyDescent="0.25">
      <c r="A828253" s="242"/>
    </row>
    <row r="828254" spans="1:1" x14ac:dyDescent="0.25">
      <c r="A828254" s="242"/>
    </row>
    <row r="828255" spans="1:1" x14ac:dyDescent="0.25">
      <c r="A828255" s="242"/>
    </row>
    <row r="828256" spans="1:1" x14ac:dyDescent="0.25">
      <c r="A828256" s="242"/>
    </row>
    <row r="828257" spans="1:1" x14ac:dyDescent="0.25">
      <c r="A828257" s="242"/>
    </row>
    <row r="828258" spans="1:1" x14ac:dyDescent="0.25">
      <c r="A828258" s="242"/>
    </row>
    <row r="828259" spans="1:1" x14ac:dyDescent="0.25">
      <c r="A828259" s="242"/>
    </row>
    <row r="828260" spans="1:1" x14ac:dyDescent="0.25">
      <c r="A828260" s="242"/>
    </row>
    <row r="828261" spans="1:1" x14ac:dyDescent="0.25">
      <c r="A828261" s="242"/>
    </row>
    <row r="828262" spans="1:1" x14ac:dyDescent="0.25">
      <c r="A828262" s="242"/>
    </row>
    <row r="828263" spans="1:1" x14ac:dyDescent="0.25">
      <c r="A828263" s="242"/>
    </row>
    <row r="828264" spans="1:1" x14ac:dyDescent="0.25">
      <c r="A828264" s="242"/>
    </row>
    <row r="828265" spans="1:1" x14ac:dyDescent="0.25">
      <c r="A828265" s="242"/>
    </row>
    <row r="828266" spans="1:1" x14ac:dyDescent="0.25">
      <c r="A828266" s="242"/>
    </row>
    <row r="828267" spans="1:1" x14ac:dyDescent="0.25">
      <c r="A828267" s="242"/>
    </row>
    <row r="828268" spans="1:1" x14ac:dyDescent="0.25">
      <c r="A828268" s="242"/>
    </row>
    <row r="828269" spans="1:1" x14ac:dyDescent="0.25">
      <c r="A828269" s="242"/>
    </row>
    <row r="828270" spans="1:1" x14ac:dyDescent="0.25">
      <c r="A828270" s="242"/>
    </row>
    <row r="828271" spans="1:1" x14ac:dyDescent="0.25">
      <c r="A828271" s="242"/>
    </row>
    <row r="828272" spans="1:1" x14ac:dyDescent="0.25">
      <c r="A828272" s="242"/>
    </row>
    <row r="828273" spans="1:1" x14ac:dyDescent="0.25">
      <c r="A828273" s="242"/>
    </row>
    <row r="828274" spans="1:1" x14ac:dyDescent="0.25">
      <c r="A828274" s="242"/>
    </row>
    <row r="828275" spans="1:1" x14ac:dyDescent="0.25">
      <c r="A828275" s="242"/>
    </row>
    <row r="828276" spans="1:1" x14ac:dyDescent="0.25">
      <c r="A828276" s="242"/>
    </row>
    <row r="828277" spans="1:1" x14ac:dyDescent="0.25">
      <c r="A828277" s="242"/>
    </row>
    <row r="828278" spans="1:1" x14ac:dyDescent="0.25">
      <c r="A828278" s="242"/>
    </row>
    <row r="828279" spans="1:1" x14ac:dyDescent="0.25">
      <c r="A828279" s="242"/>
    </row>
    <row r="828280" spans="1:1" x14ac:dyDescent="0.25">
      <c r="A828280" s="242"/>
    </row>
    <row r="828281" spans="1:1" x14ac:dyDescent="0.25">
      <c r="A828281" s="242"/>
    </row>
    <row r="828282" spans="1:1" x14ac:dyDescent="0.25">
      <c r="A828282" s="242"/>
    </row>
    <row r="828283" spans="1:1" x14ac:dyDescent="0.25">
      <c r="A828283" s="242"/>
    </row>
    <row r="828284" spans="1:1" x14ac:dyDescent="0.25">
      <c r="A828284" s="242"/>
    </row>
    <row r="828285" spans="1:1" x14ac:dyDescent="0.25">
      <c r="A828285" s="242"/>
    </row>
    <row r="828286" spans="1:1" x14ac:dyDescent="0.25">
      <c r="A828286" s="242"/>
    </row>
    <row r="828287" spans="1:1" x14ac:dyDescent="0.25">
      <c r="A828287" s="242"/>
    </row>
    <row r="828288" spans="1:1" x14ac:dyDescent="0.25">
      <c r="A828288" s="242"/>
    </row>
    <row r="828289" spans="1:1" x14ac:dyDescent="0.25">
      <c r="A828289" s="242"/>
    </row>
    <row r="828290" spans="1:1" x14ac:dyDescent="0.25">
      <c r="A828290" s="242"/>
    </row>
    <row r="828291" spans="1:1" x14ac:dyDescent="0.25">
      <c r="A828291" s="242"/>
    </row>
    <row r="828292" spans="1:1" x14ac:dyDescent="0.25">
      <c r="A828292" s="242"/>
    </row>
    <row r="828293" spans="1:1" x14ac:dyDescent="0.25">
      <c r="A828293" s="242"/>
    </row>
    <row r="828294" spans="1:1" x14ac:dyDescent="0.25">
      <c r="A828294" s="242"/>
    </row>
    <row r="828295" spans="1:1" x14ac:dyDescent="0.25">
      <c r="A828295" s="242"/>
    </row>
    <row r="828296" spans="1:1" x14ac:dyDescent="0.25">
      <c r="A828296" s="242"/>
    </row>
    <row r="828297" spans="1:1" x14ac:dyDescent="0.25">
      <c r="A828297" s="242"/>
    </row>
    <row r="828298" spans="1:1" x14ac:dyDescent="0.25">
      <c r="A828298" s="242"/>
    </row>
    <row r="828299" spans="1:1" x14ac:dyDescent="0.25">
      <c r="A828299" s="242"/>
    </row>
    <row r="828300" spans="1:1" x14ac:dyDescent="0.25">
      <c r="A828300" s="242"/>
    </row>
    <row r="828301" spans="1:1" x14ac:dyDescent="0.25">
      <c r="A828301" s="242"/>
    </row>
    <row r="828302" spans="1:1" x14ac:dyDescent="0.25">
      <c r="A828302" s="242"/>
    </row>
    <row r="828303" spans="1:1" x14ac:dyDescent="0.25">
      <c r="A828303" s="242"/>
    </row>
    <row r="828304" spans="1:1" x14ac:dyDescent="0.25">
      <c r="A828304" s="242"/>
    </row>
    <row r="828305" spans="1:1" x14ac:dyDescent="0.25">
      <c r="A828305" s="242"/>
    </row>
    <row r="828306" spans="1:1" x14ac:dyDescent="0.25">
      <c r="A828306" s="242"/>
    </row>
    <row r="828307" spans="1:1" x14ac:dyDescent="0.25">
      <c r="A828307" s="242"/>
    </row>
    <row r="828308" spans="1:1" x14ac:dyDescent="0.25">
      <c r="A828308" s="242"/>
    </row>
    <row r="828309" spans="1:1" x14ac:dyDescent="0.25">
      <c r="A828309" s="242"/>
    </row>
    <row r="828310" spans="1:1" x14ac:dyDescent="0.25">
      <c r="A828310" s="242"/>
    </row>
    <row r="828311" spans="1:1" x14ac:dyDescent="0.25">
      <c r="A828311" s="242"/>
    </row>
    <row r="828312" spans="1:1" x14ac:dyDescent="0.25">
      <c r="A828312" s="242"/>
    </row>
    <row r="828313" spans="1:1" x14ac:dyDescent="0.25">
      <c r="A828313" s="242"/>
    </row>
    <row r="828314" spans="1:1" x14ac:dyDescent="0.25">
      <c r="A828314" s="242"/>
    </row>
    <row r="828315" spans="1:1" x14ac:dyDescent="0.25">
      <c r="A828315" s="242"/>
    </row>
    <row r="828316" spans="1:1" x14ac:dyDescent="0.25">
      <c r="A828316" s="242"/>
    </row>
    <row r="828317" spans="1:1" x14ac:dyDescent="0.25">
      <c r="A828317" s="242"/>
    </row>
    <row r="828318" spans="1:1" x14ac:dyDescent="0.25">
      <c r="A828318" s="242"/>
    </row>
    <row r="828319" spans="1:1" x14ac:dyDescent="0.25">
      <c r="A828319" s="242"/>
    </row>
    <row r="828320" spans="1:1" x14ac:dyDescent="0.25">
      <c r="A828320" s="242"/>
    </row>
    <row r="828321" spans="1:1" x14ac:dyDescent="0.25">
      <c r="A828321" s="242"/>
    </row>
    <row r="828322" spans="1:1" x14ac:dyDescent="0.25">
      <c r="A828322" s="242"/>
    </row>
    <row r="828323" spans="1:1" x14ac:dyDescent="0.25">
      <c r="A828323" s="242"/>
    </row>
    <row r="828324" spans="1:1" x14ac:dyDescent="0.25">
      <c r="A828324" s="242"/>
    </row>
    <row r="828325" spans="1:1" x14ac:dyDescent="0.25">
      <c r="A828325" s="242"/>
    </row>
    <row r="828326" spans="1:1" x14ac:dyDescent="0.25">
      <c r="A828326" s="242"/>
    </row>
    <row r="828327" spans="1:1" x14ac:dyDescent="0.25">
      <c r="A828327" s="242"/>
    </row>
    <row r="828328" spans="1:1" x14ac:dyDescent="0.25">
      <c r="A828328" s="242"/>
    </row>
    <row r="828329" spans="1:1" x14ac:dyDescent="0.25">
      <c r="A828329" s="242"/>
    </row>
    <row r="828330" spans="1:1" x14ac:dyDescent="0.25">
      <c r="A828330" s="242"/>
    </row>
    <row r="828331" spans="1:1" x14ac:dyDescent="0.25">
      <c r="A828331" s="242"/>
    </row>
    <row r="828332" spans="1:1" x14ac:dyDescent="0.25">
      <c r="A828332" s="242"/>
    </row>
    <row r="828333" spans="1:1" x14ac:dyDescent="0.25">
      <c r="A828333" s="242"/>
    </row>
    <row r="828334" spans="1:1" x14ac:dyDescent="0.25">
      <c r="A828334" s="242"/>
    </row>
    <row r="828335" spans="1:1" x14ac:dyDescent="0.25">
      <c r="A828335" s="242"/>
    </row>
    <row r="828336" spans="1:1" x14ac:dyDescent="0.25">
      <c r="A828336" s="242"/>
    </row>
    <row r="828337" spans="1:1" x14ac:dyDescent="0.25">
      <c r="A828337" s="242"/>
    </row>
    <row r="828338" spans="1:1" x14ac:dyDescent="0.25">
      <c r="A828338" s="242"/>
    </row>
    <row r="828339" spans="1:1" x14ac:dyDescent="0.25">
      <c r="A828339" s="242"/>
    </row>
    <row r="828340" spans="1:1" x14ac:dyDescent="0.25">
      <c r="A828340" s="242"/>
    </row>
    <row r="828341" spans="1:1" x14ac:dyDescent="0.25">
      <c r="A828341" s="242"/>
    </row>
    <row r="828342" spans="1:1" x14ac:dyDescent="0.25">
      <c r="A828342" s="242"/>
    </row>
    <row r="828343" spans="1:1" x14ac:dyDescent="0.25">
      <c r="A828343" s="242"/>
    </row>
    <row r="828344" spans="1:1" x14ac:dyDescent="0.25">
      <c r="A828344" s="242"/>
    </row>
    <row r="828345" spans="1:1" x14ac:dyDescent="0.25">
      <c r="A828345" s="242"/>
    </row>
    <row r="828346" spans="1:1" x14ac:dyDescent="0.25">
      <c r="A828346" s="242"/>
    </row>
    <row r="828347" spans="1:1" x14ac:dyDescent="0.25">
      <c r="A828347" s="242"/>
    </row>
    <row r="828348" spans="1:1" x14ac:dyDescent="0.25">
      <c r="A828348" s="242"/>
    </row>
    <row r="828349" spans="1:1" x14ac:dyDescent="0.25">
      <c r="A828349" s="242"/>
    </row>
    <row r="828350" spans="1:1" x14ac:dyDescent="0.25">
      <c r="A828350" s="242"/>
    </row>
    <row r="828351" spans="1:1" x14ac:dyDescent="0.25">
      <c r="A828351" s="242"/>
    </row>
    <row r="828352" spans="1:1" x14ac:dyDescent="0.25">
      <c r="A828352" s="242"/>
    </row>
    <row r="828353" spans="1:1" x14ac:dyDescent="0.25">
      <c r="A828353" s="242"/>
    </row>
    <row r="828354" spans="1:1" x14ac:dyDescent="0.25">
      <c r="A828354" s="242"/>
    </row>
    <row r="828355" spans="1:1" x14ac:dyDescent="0.25">
      <c r="A828355" s="242"/>
    </row>
    <row r="828356" spans="1:1" x14ac:dyDescent="0.25">
      <c r="A828356" s="242"/>
    </row>
    <row r="828357" spans="1:1" x14ac:dyDescent="0.25">
      <c r="A828357" s="242"/>
    </row>
    <row r="828358" spans="1:1" x14ac:dyDescent="0.25">
      <c r="A828358" s="242"/>
    </row>
    <row r="828359" spans="1:1" x14ac:dyDescent="0.25">
      <c r="A828359" s="242"/>
    </row>
    <row r="828360" spans="1:1" x14ac:dyDescent="0.25">
      <c r="A828360" s="242"/>
    </row>
    <row r="828361" spans="1:1" x14ac:dyDescent="0.25">
      <c r="A828361" s="242"/>
    </row>
    <row r="828362" spans="1:1" x14ac:dyDescent="0.25">
      <c r="A828362" s="242"/>
    </row>
    <row r="828363" spans="1:1" x14ac:dyDescent="0.25">
      <c r="A828363" s="242"/>
    </row>
    <row r="828364" spans="1:1" x14ac:dyDescent="0.25">
      <c r="A828364" s="242"/>
    </row>
    <row r="828365" spans="1:1" x14ac:dyDescent="0.25">
      <c r="A828365" s="242"/>
    </row>
    <row r="828366" spans="1:1" x14ac:dyDescent="0.25">
      <c r="A828366" s="242"/>
    </row>
    <row r="828367" spans="1:1" x14ac:dyDescent="0.25">
      <c r="A828367" s="242"/>
    </row>
    <row r="828368" spans="1:1" x14ac:dyDescent="0.25">
      <c r="A828368" s="242"/>
    </row>
    <row r="828369" spans="1:1" x14ac:dyDescent="0.25">
      <c r="A828369" s="242"/>
    </row>
    <row r="828370" spans="1:1" x14ac:dyDescent="0.25">
      <c r="A828370" s="242"/>
    </row>
    <row r="828371" spans="1:1" x14ac:dyDescent="0.25">
      <c r="A828371" s="242"/>
    </row>
    <row r="828372" spans="1:1" x14ac:dyDescent="0.25">
      <c r="A828372" s="242"/>
    </row>
    <row r="828373" spans="1:1" x14ac:dyDescent="0.25">
      <c r="A828373" s="242"/>
    </row>
    <row r="828374" spans="1:1" x14ac:dyDescent="0.25">
      <c r="A828374" s="242"/>
    </row>
    <row r="828375" spans="1:1" x14ac:dyDescent="0.25">
      <c r="A828375" s="242"/>
    </row>
    <row r="828376" spans="1:1" x14ac:dyDescent="0.25">
      <c r="A828376" s="242"/>
    </row>
    <row r="828377" spans="1:1" x14ac:dyDescent="0.25">
      <c r="A828377" s="242"/>
    </row>
    <row r="828378" spans="1:1" x14ac:dyDescent="0.25">
      <c r="A828378" s="242"/>
    </row>
    <row r="828379" spans="1:1" x14ac:dyDescent="0.25">
      <c r="A828379" s="242"/>
    </row>
    <row r="828380" spans="1:1" x14ac:dyDescent="0.25">
      <c r="A828380" s="242"/>
    </row>
    <row r="828381" spans="1:1" x14ac:dyDescent="0.25">
      <c r="A828381" s="242"/>
    </row>
    <row r="828382" spans="1:1" x14ac:dyDescent="0.25">
      <c r="A828382" s="242"/>
    </row>
    <row r="828383" spans="1:1" x14ac:dyDescent="0.25">
      <c r="A828383" s="242"/>
    </row>
    <row r="828384" spans="1:1" x14ac:dyDescent="0.25">
      <c r="A828384" s="242"/>
    </row>
    <row r="828385" spans="1:1" x14ac:dyDescent="0.25">
      <c r="A828385" s="242"/>
    </row>
    <row r="828386" spans="1:1" x14ac:dyDescent="0.25">
      <c r="A828386" s="242"/>
    </row>
    <row r="828387" spans="1:1" x14ac:dyDescent="0.25">
      <c r="A828387" s="242"/>
    </row>
    <row r="828388" spans="1:1" x14ac:dyDescent="0.25">
      <c r="A828388" s="242"/>
    </row>
    <row r="828389" spans="1:1" x14ac:dyDescent="0.25">
      <c r="A828389" s="242"/>
    </row>
    <row r="828390" spans="1:1" x14ac:dyDescent="0.25">
      <c r="A828390" s="242"/>
    </row>
    <row r="828391" spans="1:1" x14ac:dyDescent="0.25">
      <c r="A828391" s="242"/>
    </row>
    <row r="828392" spans="1:1" x14ac:dyDescent="0.25">
      <c r="A828392" s="242"/>
    </row>
    <row r="828393" spans="1:1" x14ac:dyDescent="0.25">
      <c r="A828393" s="242"/>
    </row>
    <row r="828394" spans="1:1" x14ac:dyDescent="0.25">
      <c r="A828394" s="242"/>
    </row>
    <row r="828395" spans="1:1" x14ac:dyDescent="0.25">
      <c r="A828395" s="242"/>
    </row>
    <row r="828396" spans="1:1" x14ac:dyDescent="0.25">
      <c r="A828396" s="242"/>
    </row>
    <row r="828397" spans="1:1" x14ac:dyDescent="0.25">
      <c r="A828397" s="242"/>
    </row>
    <row r="828398" spans="1:1" x14ac:dyDescent="0.25">
      <c r="A828398" s="242"/>
    </row>
    <row r="828399" spans="1:1" x14ac:dyDescent="0.25">
      <c r="A828399" s="242"/>
    </row>
    <row r="828400" spans="1:1" x14ac:dyDescent="0.25">
      <c r="A828400" s="242"/>
    </row>
    <row r="828401" spans="1:1" x14ac:dyDescent="0.25">
      <c r="A828401" s="242"/>
    </row>
    <row r="828402" spans="1:1" x14ac:dyDescent="0.25">
      <c r="A828402" s="242"/>
    </row>
    <row r="828403" spans="1:1" x14ac:dyDescent="0.25">
      <c r="A828403" s="242"/>
    </row>
    <row r="828404" spans="1:1" x14ac:dyDescent="0.25">
      <c r="A828404" s="242"/>
    </row>
    <row r="828405" spans="1:1" x14ac:dyDescent="0.25">
      <c r="A828405" s="242"/>
    </row>
    <row r="828406" spans="1:1" x14ac:dyDescent="0.25">
      <c r="A828406" s="242"/>
    </row>
    <row r="828407" spans="1:1" x14ac:dyDescent="0.25">
      <c r="A828407" s="242"/>
    </row>
    <row r="828408" spans="1:1" x14ac:dyDescent="0.25">
      <c r="A828408" s="242"/>
    </row>
    <row r="828409" spans="1:1" x14ac:dyDescent="0.25">
      <c r="A828409" s="242"/>
    </row>
    <row r="828410" spans="1:1" x14ac:dyDescent="0.25">
      <c r="A828410" s="242"/>
    </row>
    <row r="828411" spans="1:1" x14ac:dyDescent="0.25">
      <c r="A828411" s="242"/>
    </row>
    <row r="828412" spans="1:1" x14ac:dyDescent="0.25">
      <c r="A828412" s="242"/>
    </row>
    <row r="828413" spans="1:1" x14ac:dyDescent="0.25">
      <c r="A828413" s="242"/>
    </row>
    <row r="828414" spans="1:1" x14ac:dyDescent="0.25">
      <c r="A828414" s="242"/>
    </row>
    <row r="828415" spans="1:1" x14ac:dyDescent="0.25">
      <c r="A828415" s="242"/>
    </row>
    <row r="828416" spans="1:1" x14ac:dyDescent="0.25">
      <c r="A828416" s="242"/>
    </row>
    <row r="828417" spans="1:1" x14ac:dyDescent="0.25">
      <c r="A828417" s="242"/>
    </row>
    <row r="828418" spans="1:1" x14ac:dyDescent="0.25">
      <c r="A828418" s="242"/>
    </row>
    <row r="828419" spans="1:1" x14ac:dyDescent="0.25">
      <c r="A828419" s="242"/>
    </row>
    <row r="828420" spans="1:1" x14ac:dyDescent="0.25">
      <c r="A828420" s="242"/>
    </row>
    <row r="828421" spans="1:1" x14ac:dyDescent="0.25">
      <c r="A828421" s="242"/>
    </row>
    <row r="828422" spans="1:1" x14ac:dyDescent="0.25">
      <c r="A828422" s="242"/>
    </row>
    <row r="828423" spans="1:1" x14ac:dyDescent="0.25">
      <c r="A828423" s="242"/>
    </row>
    <row r="828424" spans="1:1" x14ac:dyDescent="0.25">
      <c r="A828424" s="242"/>
    </row>
    <row r="828425" spans="1:1" x14ac:dyDescent="0.25">
      <c r="A828425" s="242"/>
    </row>
    <row r="828426" spans="1:1" x14ac:dyDescent="0.25">
      <c r="A828426" s="242"/>
    </row>
    <row r="828427" spans="1:1" x14ac:dyDescent="0.25">
      <c r="A828427" s="242"/>
    </row>
    <row r="828428" spans="1:1" x14ac:dyDescent="0.25">
      <c r="A828428" s="242"/>
    </row>
    <row r="828429" spans="1:1" x14ac:dyDescent="0.25">
      <c r="A828429" s="242"/>
    </row>
    <row r="828430" spans="1:1" x14ac:dyDescent="0.25">
      <c r="A828430" s="242"/>
    </row>
    <row r="828431" spans="1:1" x14ac:dyDescent="0.25">
      <c r="A828431" s="242"/>
    </row>
    <row r="828432" spans="1:1" x14ac:dyDescent="0.25">
      <c r="A828432" s="242"/>
    </row>
    <row r="828433" spans="1:1" x14ac:dyDescent="0.25">
      <c r="A828433" s="242"/>
    </row>
    <row r="828434" spans="1:1" x14ac:dyDescent="0.25">
      <c r="A828434" s="242"/>
    </row>
    <row r="828435" spans="1:1" x14ac:dyDescent="0.25">
      <c r="A828435" s="242"/>
    </row>
    <row r="828436" spans="1:1" x14ac:dyDescent="0.25">
      <c r="A828436" s="242"/>
    </row>
    <row r="828437" spans="1:1" x14ac:dyDescent="0.25">
      <c r="A828437" s="242"/>
    </row>
    <row r="828438" spans="1:1" x14ac:dyDescent="0.25">
      <c r="A828438" s="242"/>
    </row>
    <row r="828439" spans="1:1" x14ac:dyDescent="0.25">
      <c r="A828439" s="242"/>
    </row>
    <row r="828440" spans="1:1" x14ac:dyDescent="0.25">
      <c r="A828440" s="242"/>
    </row>
    <row r="828441" spans="1:1" x14ac:dyDescent="0.25">
      <c r="A828441" s="242"/>
    </row>
    <row r="828442" spans="1:1" x14ac:dyDescent="0.25">
      <c r="A828442" s="242"/>
    </row>
    <row r="828443" spans="1:1" x14ac:dyDescent="0.25">
      <c r="A828443" s="242"/>
    </row>
    <row r="828444" spans="1:1" x14ac:dyDescent="0.25">
      <c r="A828444" s="242"/>
    </row>
    <row r="828445" spans="1:1" x14ac:dyDescent="0.25">
      <c r="A828445" s="242"/>
    </row>
    <row r="828446" spans="1:1" x14ac:dyDescent="0.25">
      <c r="A828446" s="242"/>
    </row>
    <row r="828447" spans="1:1" x14ac:dyDescent="0.25">
      <c r="A828447" s="242"/>
    </row>
    <row r="828448" spans="1:1" x14ac:dyDescent="0.25">
      <c r="A828448" s="242"/>
    </row>
    <row r="828449" spans="1:1" x14ac:dyDescent="0.25">
      <c r="A828449" s="242"/>
    </row>
    <row r="828450" spans="1:1" x14ac:dyDescent="0.25">
      <c r="A828450" s="242"/>
    </row>
    <row r="828451" spans="1:1" x14ac:dyDescent="0.25">
      <c r="A828451" s="242"/>
    </row>
    <row r="828452" spans="1:1" x14ac:dyDescent="0.25">
      <c r="A828452" s="242"/>
    </row>
    <row r="828453" spans="1:1" x14ac:dyDescent="0.25">
      <c r="A828453" s="242"/>
    </row>
    <row r="828454" spans="1:1" x14ac:dyDescent="0.25">
      <c r="A828454" s="242"/>
    </row>
    <row r="828455" spans="1:1" x14ac:dyDescent="0.25">
      <c r="A828455" s="242"/>
    </row>
    <row r="828456" spans="1:1" x14ac:dyDescent="0.25">
      <c r="A828456" s="242"/>
    </row>
    <row r="828457" spans="1:1" x14ac:dyDescent="0.25">
      <c r="A828457" s="242"/>
    </row>
    <row r="828458" spans="1:1" x14ac:dyDescent="0.25">
      <c r="A828458" s="242"/>
    </row>
    <row r="828459" spans="1:1" x14ac:dyDescent="0.25">
      <c r="A828459" s="242"/>
    </row>
    <row r="828460" spans="1:1" x14ac:dyDescent="0.25">
      <c r="A828460" s="242"/>
    </row>
    <row r="828461" spans="1:1" x14ac:dyDescent="0.25">
      <c r="A828461" s="242"/>
    </row>
    <row r="828462" spans="1:1" x14ac:dyDescent="0.25">
      <c r="A828462" s="242"/>
    </row>
    <row r="828463" spans="1:1" x14ac:dyDescent="0.25">
      <c r="A828463" s="242"/>
    </row>
    <row r="828464" spans="1:1" x14ac:dyDescent="0.25">
      <c r="A828464" s="242"/>
    </row>
    <row r="828465" spans="1:1" x14ac:dyDescent="0.25">
      <c r="A828465" s="242"/>
    </row>
    <row r="828466" spans="1:1" x14ac:dyDescent="0.25">
      <c r="A828466" s="242"/>
    </row>
    <row r="828467" spans="1:1" x14ac:dyDescent="0.25">
      <c r="A828467" s="242"/>
    </row>
    <row r="828468" spans="1:1" x14ac:dyDescent="0.25">
      <c r="A828468" s="242"/>
    </row>
    <row r="828469" spans="1:1" x14ac:dyDescent="0.25">
      <c r="A828469" s="242"/>
    </row>
    <row r="828470" spans="1:1" x14ac:dyDescent="0.25">
      <c r="A828470" s="242"/>
    </row>
    <row r="828471" spans="1:1" x14ac:dyDescent="0.25">
      <c r="A828471" s="242"/>
    </row>
    <row r="828472" spans="1:1" x14ac:dyDescent="0.25">
      <c r="A828472" s="242"/>
    </row>
    <row r="828473" spans="1:1" x14ac:dyDescent="0.25">
      <c r="A828473" s="242"/>
    </row>
    <row r="828474" spans="1:1" x14ac:dyDescent="0.25">
      <c r="A828474" s="242"/>
    </row>
    <row r="828475" spans="1:1" x14ac:dyDescent="0.25">
      <c r="A828475" s="242"/>
    </row>
    <row r="828476" spans="1:1" x14ac:dyDescent="0.25">
      <c r="A828476" s="242"/>
    </row>
    <row r="828477" spans="1:1" x14ac:dyDescent="0.25">
      <c r="A828477" s="242"/>
    </row>
    <row r="828478" spans="1:1" x14ac:dyDescent="0.25">
      <c r="A828478" s="242"/>
    </row>
    <row r="828479" spans="1:1" x14ac:dyDescent="0.25">
      <c r="A828479" s="242"/>
    </row>
    <row r="828480" spans="1:1" x14ac:dyDescent="0.25">
      <c r="A828480" s="242"/>
    </row>
    <row r="828481" spans="1:1" x14ac:dyDescent="0.25">
      <c r="A828481" s="242"/>
    </row>
    <row r="828482" spans="1:1" x14ac:dyDescent="0.25">
      <c r="A828482" s="242"/>
    </row>
    <row r="828483" spans="1:1" x14ac:dyDescent="0.25">
      <c r="A828483" s="242"/>
    </row>
    <row r="828484" spans="1:1" x14ac:dyDescent="0.25">
      <c r="A828484" s="242"/>
    </row>
    <row r="828485" spans="1:1" x14ac:dyDescent="0.25">
      <c r="A828485" s="242"/>
    </row>
    <row r="828486" spans="1:1" x14ac:dyDescent="0.25">
      <c r="A828486" s="242"/>
    </row>
    <row r="828487" spans="1:1" x14ac:dyDescent="0.25">
      <c r="A828487" s="242"/>
    </row>
    <row r="828488" spans="1:1" x14ac:dyDescent="0.25">
      <c r="A828488" s="242"/>
    </row>
    <row r="828489" spans="1:1" x14ac:dyDescent="0.25">
      <c r="A828489" s="242"/>
    </row>
    <row r="828490" spans="1:1" x14ac:dyDescent="0.25">
      <c r="A828490" s="242"/>
    </row>
    <row r="828491" spans="1:1" x14ac:dyDescent="0.25">
      <c r="A828491" s="242"/>
    </row>
    <row r="828492" spans="1:1" x14ac:dyDescent="0.25">
      <c r="A828492" s="242"/>
    </row>
    <row r="828493" spans="1:1" x14ac:dyDescent="0.25">
      <c r="A828493" s="242"/>
    </row>
    <row r="828494" spans="1:1" x14ac:dyDescent="0.25">
      <c r="A828494" s="242"/>
    </row>
    <row r="828495" spans="1:1" x14ac:dyDescent="0.25">
      <c r="A828495" s="242"/>
    </row>
    <row r="828496" spans="1:1" x14ac:dyDescent="0.25">
      <c r="A828496" s="242"/>
    </row>
    <row r="828497" spans="1:1" x14ac:dyDescent="0.25">
      <c r="A828497" s="242"/>
    </row>
    <row r="828498" spans="1:1" x14ac:dyDescent="0.25">
      <c r="A828498" s="242"/>
    </row>
    <row r="828499" spans="1:1" x14ac:dyDescent="0.25">
      <c r="A828499" s="242"/>
    </row>
    <row r="828500" spans="1:1" x14ac:dyDescent="0.25">
      <c r="A828500" s="242"/>
    </row>
    <row r="828501" spans="1:1" x14ac:dyDescent="0.25">
      <c r="A828501" s="242"/>
    </row>
    <row r="828502" spans="1:1" x14ac:dyDescent="0.25">
      <c r="A828502" s="242"/>
    </row>
    <row r="828503" spans="1:1" x14ac:dyDescent="0.25">
      <c r="A828503" s="242"/>
    </row>
    <row r="828504" spans="1:1" x14ac:dyDescent="0.25">
      <c r="A828504" s="242"/>
    </row>
    <row r="828505" spans="1:1" x14ac:dyDescent="0.25">
      <c r="A828505" s="242"/>
    </row>
    <row r="828506" spans="1:1" x14ac:dyDescent="0.25">
      <c r="A828506" s="242"/>
    </row>
    <row r="828507" spans="1:1" x14ac:dyDescent="0.25">
      <c r="A828507" s="242"/>
    </row>
    <row r="828508" spans="1:1" x14ac:dyDescent="0.25">
      <c r="A828508" s="242"/>
    </row>
    <row r="828509" spans="1:1" x14ac:dyDescent="0.25">
      <c r="A828509" s="242"/>
    </row>
    <row r="828510" spans="1:1" x14ac:dyDescent="0.25">
      <c r="A828510" s="242"/>
    </row>
    <row r="828511" spans="1:1" x14ac:dyDescent="0.25">
      <c r="A828511" s="242"/>
    </row>
    <row r="828512" spans="1:1" x14ac:dyDescent="0.25">
      <c r="A828512" s="242"/>
    </row>
    <row r="828513" spans="1:1" x14ac:dyDescent="0.25">
      <c r="A828513" s="242"/>
    </row>
    <row r="828514" spans="1:1" x14ac:dyDescent="0.25">
      <c r="A828514" s="242"/>
    </row>
    <row r="828515" spans="1:1" x14ac:dyDescent="0.25">
      <c r="A828515" s="242"/>
    </row>
    <row r="828516" spans="1:1" x14ac:dyDescent="0.25">
      <c r="A828516" s="242"/>
    </row>
    <row r="828517" spans="1:1" x14ac:dyDescent="0.25">
      <c r="A828517" s="242"/>
    </row>
    <row r="828518" spans="1:1" x14ac:dyDescent="0.25">
      <c r="A828518" s="242"/>
    </row>
    <row r="828519" spans="1:1" x14ac:dyDescent="0.25">
      <c r="A828519" s="242"/>
    </row>
    <row r="828520" spans="1:1" x14ac:dyDescent="0.25">
      <c r="A828520" s="242"/>
    </row>
    <row r="828521" spans="1:1" x14ac:dyDescent="0.25">
      <c r="A828521" s="242"/>
    </row>
    <row r="828522" spans="1:1" x14ac:dyDescent="0.25">
      <c r="A828522" s="242"/>
    </row>
    <row r="828523" spans="1:1" x14ac:dyDescent="0.25">
      <c r="A828523" s="242"/>
    </row>
    <row r="828524" spans="1:1" x14ac:dyDescent="0.25">
      <c r="A828524" s="242"/>
    </row>
    <row r="828525" spans="1:1" x14ac:dyDescent="0.25">
      <c r="A828525" s="242"/>
    </row>
    <row r="828526" spans="1:1" x14ac:dyDescent="0.25">
      <c r="A828526" s="242"/>
    </row>
    <row r="828527" spans="1:1" x14ac:dyDescent="0.25">
      <c r="A828527" s="242"/>
    </row>
    <row r="828528" spans="1:1" x14ac:dyDescent="0.25">
      <c r="A828528" s="242"/>
    </row>
    <row r="828529" spans="1:1" x14ac:dyDescent="0.25">
      <c r="A828529" s="242"/>
    </row>
    <row r="828530" spans="1:1" x14ac:dyDescent="0.25">
      <c r="A828530" s="242"/>
    </row>
    <row r="828531" spans="1:1" x14ac:dyDescent="0.25">
      <c r="A828531" s="242"/>
    </row>
    <row r="828532" spans="1:1" x14ac:dyDescent="0.25">
      <c r="A828532" s="242"/>
    </row>
    <row r="828533" spans="1:1" x14ac:dyDescent="0.25">
      <c r="A828533" s="242"/>
    </row>
    <row r="828534" spans="1:1" x14ac:dyDescent="0.25">
      <c r="A828534" s="242"/>
    </row>
    <row r="828535" spans="1:1" x14ac:dyDescent="0.25">
      <c r="A828535" s="242"/>
    </row>
    <row r="828536" spans="1:1" x14ac:dyDescent="0.25">
      <c r="A828536" s="242"/>
    </row>
    <row r="828537" spans="1:1" x14ac:dyDescent="0.25">
      <c r="A828537" s="242"/>
    </row>
    <row r="828538" spans="1:1" x14ac:dyDescent="0.25">
      <c r="A828538" s="242"/>
    </row>
    <row r="828539" spans="1:1" x14ac:dyDescent="0.25">
      <c r="A828539" s="242"/>
    </row>
    <row r="828540" spans="1:1" x14ac:dyDescent="0.25">
      <c r="A828540" s="242"/>
    </row>
    <row r="828541" spans="1:1" x14ac:dyDescent="0.25">
      <c r="A828541" s="242"/>
    </row>
    <row r="828542" spans="1:1" x14ac:dyDescent="0.25">
      <c r="A828542" s="242"/>
    </row>
    <row r="828543" spans="1:1" x14ac:dyDescent="0.25">
      <c r="A828543" s="242"/>
    </row>
    <row r="828544" spans="1:1" x14ac:dyDescent="0.25">
      <c r="A828544" s="242"/>
    </row>
    <row r="828545" spans="1:1" x14ac:dyDescent="0.25">
      <c r="A828545" s="242"/>
    </row>
    <row r="828546" spans="1:1" x14ac:dyDescent="0.25">
      <c r="A828546" s="242"/>
    </row>
    <row r="828547" spans="1:1" x14ac:dyDescent="0.25">
      <c r="A828547" s="242"/>
    </row>
    <row r="828548" spans="1:1" x14ac:dyDescent="0.25">
      <c r="A828548" s="242"/>
    </row>
    <row r="828549" spans="1:1" x14ac:dyDescent="0.25">
      <c r="A828549" s="242"/>
    </row>
    <row r="828550" spans="1:1" x14ac:dyDescent="0.25">
      <c r="A828550" s="242"/>
    </row>
    <row r="828551" spans="1:1" x14ac:dyDescent="0.25">
      <c r="A828551" s="242"/>
    </row>
    <row r="828552" spans="1:1" x14ac:dyDescent="0.25">
      <c r="A828552" s="242"/>
    </row>
    <row r="828553" spans="1:1" x14ac:dyDescent="0.25">
      <c r="A828553" s="242"/>
    </row>
    <row r="828554" spans="1:1" x14ac:dyDescent="0.25">
      <c r="A828554" s="242"/>
    </row>
    <row r="828555" spans="1:1" x14ac:dyDescent="0.25">
      <c r="A828555" s="242"/>
    </row>
    <row r="828556" spans="1:1" x14ac:dyDescent="0.25">
      <c r="A828556" s="242"/>
    </row>
    <row r="828557" spans="1:1" x14ac:dyDescent="0.25">
      <c r="A828557" s="242"/>
    </row>
    <row r="828558" spans="1:1" x14ac:dyDescent="0.25">
      <c r="A828558" s="242"/>
    </row>
    <row r="828559" spans="1:1" x14ac:dyDescent="0.25">
      <c r="A828559" s="242"/>
    </row>
    <row r="828560" spans="1:1" x14ac:dyDescent="0.25">
      <c r="A828560" s="242"/>
    </row>
    <row r="828561" spans="1:1" x14ac:dyDescent="0.25">
      <c r="A828561" s="242"/>
    </row>
    <row r="828562" spans="1:1" x14ac:dyDescent="0.25">
      <c r="A828562" s="242"/>
    </row>
    <row r="828563" spans="1:1" x14ac:dyDescent="0.25">
      <c r="A828563" s="242"/>
    </row>
    <row r="828564" spans="1:1" x14ac:dyDescent="0.25">
      <c r="A828564" s="242"/>
    </row>
    <row r="828565" spans="1:1" x14ac:dyDescent="0.25">
      <c r="A828565" s="242"/>
    </row>
    <row r="828566" spans="1:1" x14ac:dyDescent="0.25">
      <c r="A828566" s="242"/>
    </row>
    <row r="828567" spans="1:1" x14ac:dyDescent="0.25">
      <c r="A828567" s="242"/>
    </row>
    <row r="828568" spans="1:1" x14ac:dyDescent="0.25">
      <c r="A828568" s="242"/>
    </row>
    <row r="828569" spans="1:1" x14ac:dyDescent="0.25">
      <c r="A828569" s="242"/>
    </row>
    <row r="828570" spans="1:1" x14ac:dyDescent="0.25">
      <c r="A828570" s="242"/>
    </row>
    <row r="828571" spans="1:1" x14ac:dyDescent="0.25">
      <c r="A828571" s="242"/>
    </row>
    <row r="828572" spans="1:1" x14ac:dyDescent="0.25">
      <c r="A828572" s="242"/>
    </row>
    <row r="828573" spans="1:1" x14ac:dyDescent="0.25">
      <c r="A828573" s="242"/>
    </row>
    <row r="828574" spans="1:1" x14ac:dyDescent="0.25">
      <c r="A828574" s="242"/>
    </row>
    <row r="828575" spans="1:1" x14ac:dyDescent="0.25">
      <c r="A828575" s="242"/>
    </row>
    <row r="828576" spans="1:1" x14ac:dyDescent="0.25">
      <c r="A828576" s="242"/>
    </row>
    <row r="828577" spans="1:1" x14ac:dyDescent="0.25">
      <c r="A828577" s="242"/>
    </row>
    <row r="828578" spans="1:1" x14ac:dyDescent="0.25">
      <c r="A828578" s="242"/>
    </row>
    <row r="828579" spans="1:1" x14ac:dyDescent="0.25">
      <c r="A828579" s="242"/>
    </row>
    <row r="828580" spans="1:1" x14ac:dyDescent="0.25">
      <c r="A828580" s="242"/>
    </row>
    <row r="828581" spans="1:1" x14ac:dyDescent="0.25">
      <c r="A828581" s="242"/>
    </row>
    <row r="828582" spans="1:1" x14ac:dyDescent="0.25">
      <c r="A828582" s="242"/>
    </row>
    <row r="828583" spans="1:1" x14ac:dyDescent="0.25">
      <c r="A828583" s="242"/>
    </row>
    <row r="828584" spans="1:1" x14ac:dyDescent="0.25">
      <c r="A828584" s="242"/>
    </row>
    <row r="828585" spans="1:1" x14ac:dyDescent="0.25">
      <c r="A828585" s="242"/>
    </row>
    <row r="828586" spans="1:1" x14ac:dyDescent="0.25">
      <c r="A828586" s="242"/>
    </row>
    <row r="828587" spans="1:1" x14ac:dyDescent="0.25">
      <c r="A828587" s="242"/>
    </row>
    <row r="828588" spans="1:1" x14ac:dyDescent="0.25">
      <c r="A828588" s="242"/>
    </row>
    <row r="828589" spans="1:1" x14ac:dyDescent="0.25">
      <c r="A828589" s="242"/>
    </row>
    <row r="828590" spans="1:1" x14ac:dyDescent="0.25">
      <c r="A828590" s="242"/>
    </row>
    <row r="828591" spans="1:1" x14ac:dyDescent="0.25">
      <c r="A828591" s="242"/>
    </row>
    <row r="828592" spans="1:1" x14ac:dyDescent="0.25">
      <c r="A828592" s="242"/>
    </row>
    <row r="828593" spans="1:1" x14ac:dyDescent="0.25">
      <c r="A828593" s="242"/>
    </row>
    <row r="828594" spans="1:1" x14ac:dyDescent="0.25">
      <c r="A828594" s="242"/>
    </row>
    <row r="828595" spans="1:1" x14ac:dyDescent="0.25">
      <c r="A828595" s="242"/>
    </row>
    <row r="828596" spans="1:1" x14ac:dyDescent="0.25">
      <c r="A828596" s="242"/>
    </row>
    <row r="828597" spans="1:1" x14ac:dyDescent="0.25">
      <c r="A828597" s="242"/>
    </row>
    <row r="828598" spans="1:1" x14ac:dyDescent="0.25">
      <c r="A828598" s="242"/>
    </row>
    <row r="828599" spans="1:1" x14ac:dyDescent="0.25">
      <c r="A828599" s="242"/>
    </row>
    <row r="828600" spans="1:1" x14ac:dyDescent="0.25">
      <c r="A828600" s="242"/>
    </row>
    <row r="828601" spans="1:1" x14ac:dyDescent="0.25">
      <c r="A828601" s="242"/>
    </row>
    <row r="828602" spans="1:1" x14ac:dyDescent="0.25">
      <c r="A828602" s="242"/>
    </row>
    <row r="828603" spans="1:1" x14ac:dyDescent="0.25">
      <c r="A828603" s="242"/>
    </row>
    <row r="828604" spans="1:1" x14ac:dyDescent="0.25">
      <c r="A828604" s="242"/>
    </row>
    <row r="828605" spans="1:1" x14ac:dyDescent="0.25">
      <c r="A828605" s="242"/>
    </row>
    <row r="828606" spans="1:1" x14ac:dyDescent="0.25">
      <c r="A828606" s="242"/>
    </row>
    <row r="828607" spans="1:1" x14ac:dyDescent="0.25">
      <c r="A828607" s="242"/>
    </row>
    <row r="828608" spans="1:1" x14ac:dyDescent="0.25">
      <c r="A828608" s="242"/>
    </row>
    <row r="828609" spans="1:1" x14ac:dyDescent="0.25">
      <c r="A828609" s="242"/>
    </row>
    <row r="828610" spans="1:1" x14ac:dyDescent="0.25">
      <c r="A828610" s="242"/>
    </row>
    <row r="828611" spans="1:1" x14ac:dyDescent="0.25">
      <c r="A828611" s="242"/>
    </row>
    <row r="828612" spans="1:1" x14ac:dyDescent="0.25">
      <c r="A828612" s="242"/>
    </row>
    <row r="828613" spans="1:1" x14ac:dyDescent="0.25">
      <c r="A828613" s="242"/>
    </row>
    <row r="828614" spans="1:1" x14ac:dyDescent="0.25">
      <c r="A828614" s="242"/>
    </row>
    <row r="828615" spans="1:1" x14ac:dyDescent="0.25">
      <c r="A828615" s="242"/>
    </row>
    <row r="828616" spans="1:1" x14ac:dyDescent="0.25">
      <c r="A828616" s="242"/>
    </row>
    <row r="828617" spans="1:1" x14ac:dyDescent="0.25">
      <c r="A828617" s="242"/>
    </row>
    <row r="828618" spans="1:1" x14ac:dyDescent="0.25">
      <c r="A828618" s="242"/>
    </row>
    <row r="828619" spans="1:1" x14ac:dyDescent="0.25">
      <c r="A828619" s="242"/>
    </row>
    <row r="828620" spans="1:1" x14ac:dyDescent="0.25">
      <c r="A828620" s="242"/>
    </row>
    <row r="828621" spans="1:1" x14ac:dyDescent="0.25">
      <c r="A828621" s="242"/>
    </row>
    <row r="828622" spans="1:1" x14ac:dyDescent="0.25">
      <c r="A828622" s="242"/>
    </row>
    <row r="828623" spans="1:1" x14ac:dyDescent="0.25">
      <c r="A828623" s="242"/>
    </row>
    <row r="828624" spans="1:1" x14ac:dyDescent="0.25">
      <c r="A828624" s="242"/>
    </row>
    <row r="828625" spans="1:1" x14ac:dyDescent="0.25">
      <c r="A828625" s="242"/>
    </row>
    <row r="828626" spans="1:1" x14ac:dyDescent="0.25">
      <c r="A828626" s="242"/>
    </row>
    <row r="828627" spans="1:1" x14ac:dyDescent="0.25">
      <c r="A828627" s="242"/>
    </row>
    <row r="828628" spans="1:1" x14ac:dyDescent="0.25">
      <c r="A828628" s="242"/>
    </row>
    <row r="828629" spans="1:1" x14ac:dyDescent="0.25">
      <c r="A828629" s="242"/>
    </row>
    <row r="828630" spans="1:1" x14ac:dyDescent="0.25">
      <c r="A828630" s="242"/>
    </row>
    <row r="828631" spans="1:1" x14ac:dyDescent="0.25">
      <c r="A828631" s="242"/>
    </row>
    <row r="828632" spans="1:1" x14ac:dyDescent="0.25">
      <c r="A828632" s="242"/>
    </row>
    <row r="828633" spans="1:1" x14ac:dyDescent="0.25">
      <c r="A828633" s="242"/>
    </row>
    <row r="828634" spans="1:1" x14ac:dyDescent="0.25">
      <c r="A828634" s="242"/>
    </row>
    <row r="828635" spans="1:1" x14ac:dyDescent="0.25">
      <c r="A828635" s="242"/>
    </row>
    <row r="828636" spans="1:1" x14ac:dyDescent="0.25">
      <c r="A828636" s="242"/>
    </row>
    <row r="828637" spans="1:1" x14ac:dyDescent="0.25">
      <c r="A828637" s="242"/>
    </row>
    <row r="828638" spans="1:1" x14ac:dyDescent="0.25">
      <c r="A828638" s="242"/>
    </row>
    <row r="828639" spans="1:1" x14ac:dyDescent="0.25">
      <c r="A828639" s="242"/>
    </row>
    <row r="828640" spans="1:1" x14ac:dyDescent="0.25">
      <c r="A828640" s="242"/>
    </row>
    <row r="828641" spans="1:1" x14ac:dyDescent="0.25">
      <c r="A828641" s="242"/>
    </row>
    <row r="828642" spans="1:1" x14ac:dyDescent="0.25">
      <c r="A828642" s="242"/>
    </row>
    <row r="828643" spans="1:1" x14ac:dyDescent="0.25">
      <c r="A828643" s="242"/>
    </row>
    <row r="828644" spans="1:1" x14ac:dyDescent="0.25">
      <c r="A828644" s="242"/>
    </row>
    <row r="828645" spans="1:1" x14ac:dyDescent="0.25">
      <c r="A828645" s="242"/>
    </row>
    <row r="828646" spans="1:1" x14ac:dyDescent="0.25">
      <c r="A828646" s="242"/>
    </row>
    <row r="828647" spans="1:1" x14ac:dyDescent="0.25">
      <c r="A828647" s="242"/>
    </row>
    <row r="828648" spans="1:1" x14ac:dyDescent="0.25">
      <c r="A828648" s="242"/>
    </row>
    <row r="828649" spans="1:1" x14ac:dyDescent="0.25">
      <c r="A828649" s="242"/>
    </row>
    <row r="828650" spans="1:1" x14ac:dyDescent="0.25">
      <c r="A828650" s="242"/>
    </row>
    <row r="828651" spans="1:1" x14ac:dyDescent="0.25">
      <c r="A828651" s="242"/>
    </row>
    <row r="828652" spans="1:1" x14ac:dyDescent="0.25">
      <c r="A828652" s="242"/>
    </row>
    <row r="828653" spans="1:1" x14ac:dyDescent="0.25">
      <c r="A828653" s="242"/>
    </row>
    <row r="828654" spans="1:1" x14ac:dyDescent="0.25">
      <c r="A828654" s="242"/>
    </row>
    <row r="828655" spans="1:1" x14ac:dyDescent="0.25">
      <c r="A828655" s="242"/>
    </row>
    <row r="828656" spans="1:1" x14ac:dyDescent="0.25">
      <c r="A828656" s="242"/>
    </row>
    <row r="828657" spans="1:1" x14ac:dyDescent="0.25">
      <c r="A828657" s="242"/>
    </row>
    <row r="828658" spans="1:1" x14ac:dyDescent="0.25">
      <c r="A828658" s="242"/>
    </row>
    <row r="828659" spans="1:1" x14ac:dyDescent="0.25">
      <c r="A828659" s="242"/>
    </row>
    <row r="828660" spans="1:1" x14ac:dyDescent="0.25">
      <c r="A828660" s="242"/>
    </row>
    <row r="828661" spans="1:1" x14ac:dyDescent="0.25">
      <c r="A828661" s="242"/>
    </row>
    <row r="828662" spans="1:1" x14ac:dyDescent="0.25">
      <c r="A828662" s="242"/>
    </row>
    <row r="828663" spans="1:1" x14ac:dyDescent="0.25">
      <c r="A828663" s="242"/>
    </row>
    <row r="828664" spans="1:1" x14ac:dyDescent="0.25">
      <c r="A828664" s="242"/>
    </row>
    <row r="828665" spans="1:1" x14ac:dyDescent="0.25">
      <c r="A828665" s="242"/>
    </row>
    <row r="828666" spans="1:1" x14ac:dyDescent="0.25">
      <c r="A828666" s="242"/>
    </row>
    <row r="828667" spans="1:1" x14ac:dyDescent="0.25">
      <c r="A828667" s="242"/>
    </row>
    <row r="828668" spans="1:1" x14ac:dyDescent="0.25">
      <c r="A828668" s="242"/>
    </row>
    <row r="828669" spans="1:1" x14ac:dyDescent="0.25">
      <c r="A828669" s="242"/>
    </row>
    <row r="828670" spans="1:1" x14ac:dyDescent="0.25">
      <c r="A828670" s="242"/>
    </row>
    <row r="828671" spans="1:1" x14ac:dyDescent="0.25">
      <c r="A828671" s="242"/>
    </row>
    <row r="828672" spans="1:1" x14ac:dyDescent="0.25">
      <c r="A828672" s="242"/>
    </row>
    <row r="828673" spans="1:1" x14ac:dyDescent="0.25">
      <c r="A828673" s="242"/>
    </row>
    <row r="828674" spans="1:1" x14ac:dyDescent="0.25">
      <c r="A828674" s="242"/>
    </row>
    <row r="828675" spans="1:1" x14ac:dyDescent="0.25">
      <c r="A828675" s="242"/>
    </row>
    <row r="828676" spans="1:1" x14ac:dyDescent="0.25">
      <c r="A828676" s="242"/>
    </row>
    <row r="828677" spans="1:1" x14ac:dyDescent="0.25">
      <c r="A828677" s="242"/>
    </row>
    <row r="828678" spans="1:1" x14ac:dyDescent="0.25">
      <c r="A828678" s="242"/>
    </row>
    <row r="828679" spans="1:1" x14ac:dyDescent="0.25">
      <c r="A828679" s="242"/>
    </row>
    <row r="828680" spans="1:1" x14ac:dyDescent="0.25">
      <c r="A828680" s="242"/>
    </row>
    <row r="828681" spans="1:1" x14ac:dyDescent="0.25">
      <c r="A828681" s="242"/>
    </row>
    <row r="828682" spans="1:1" x14ac:dyDescent="0.25">
      <c r="A828682" s="242"/>
    </row>
    <row r="828683" spans="1:1" x14ac:dyDescent="0.25">
      <c r="A828683" s="242"/>
    </row>
    <row r="828684" spans="1:1" x14ac:dyDescent="0.25">
      <c r="A828684" s="242"/>
    </row>
    <row r="828685" spans="1:1" x14ac:dyDescent="0.25">
      <c r="A828685" s="242"/>
    </row>
    <row r="828686" spans="1:1" x14ac:dyDescent="0.25">
      <c r="A828686" s="242"/>
    </row>
    <row r="828687" spans="1:1" x14ac:dyDescent="0.25">
      <c r="A828687" s="242"/>
    </row>
    <row r="828688" spans="1:1" x14ac:dyDescent="0.25">
      <c r="A828688" s="242"/>
    </row>
    <row r="828689" spans="1:1" x14ac:dyDescent="0.25">
      <c r="A828689" s="242"/>
    </row>
    <row r="828690" spans="1:1" x14ac:dyDescent="0.25">
      <c r="A828690" s="242"/>
    </row>
    <row r="828691" spans="1:1" x14ac:dyDescent="0.25">
      <c r="A828691" s="242"/>
    </row>
    <row r="828692" spans="1:1" x14ac:dyDescent="0.25">
      <c r="A828692" s="242"/>
    </row>
    <row r="828693" spans="1:1" x14ac:dyDescent="0.25">
      <c r="A828693" s="242"/>
    </row>
    <row r="828694" spans="1:1" x14ac:dyDescent="0.25">
      <c r="A828694" s="242"/>
    </row>
    <row r="828695" spans="1:1" x14ac:dyDescent="0.25">
      <c r="A828695" s="242"/>
    </row>
    <row r="828696" spans="1:1" x14ac:dyDescent="0.25">
      <c r="A828696" s="242"/>
    </row>
    <row r="828697" spans="1:1" x14ac:dyDescent="0.25">
      <c r="A828697" s="242"/>
    </row>
    <row r="828698" spans="1:1" x14ac:dyDescent="0.25">
      <c r="A828698" s="242"/>
    </row>
    <row r="828699" spans="1:1" x14ac:dyDescent="0.25">
      <c r="A828699" s="242"/>
    </row>
    <row r="828700" spans="1:1" x14ac:dyDescent="0.25">
      <c r="A828700" s="242"/>
    </row>
    <row r="828701" spans="1:1" x14ac:dyDescent="0.25">
      <c r="A828701" s="242"/>
    </row>
    <row r="828702" spans="1:1" x14ac:dyDescent="0.25">
      <c r="A828702" s="242"/>
    </row>
    <row r="828703" spans="1:1" x14ac:dyDescent="0.25">
      <c r="A828703" s="242"/>
    </row>
    <row r="828704" spans="1:1" x14ac:dyDescent="0.25">
      <c r="A828704" s="242"/>
    </row>
    <row r="828705" spans="1:1" x14ac:dyDescent="0.25">
      <c r="A828705" s="242"/>
    </row>
    <row r="828706" spans="1:1" x14ac:dyDescent="0.25">
      <c r="A828706" s="242"/>
    </row>
    <row r="828707" spans="1:1" x14ac:dyDescent="0.25">
      <c r="A828707" s="242"/>
    </row>
    <row r="828708" spans="1:1" x14ac:dyDescent="0.25">
      <c r="A828708" s="242"/>
    </row>
    <row r="828709" spans="1:1" x14ac:dyDescent="0.25">
      <c r="A828709" s="242"/>
    </row>
    <row r="828710" spans="1:1" x14ac:dyDescent="0.25">
      <c r="A828710" s="242"/>
    </row>
    <row r="828711" spans="1:1" x14ac:dyDescent="0.25">
      <c r="A828711" s="242"/>
    </row>
    <row r="828712" spans="1:1" x14ac:dyDescent="0.25">
      <c r="A828712" s="242"/>
    </row>
    <row r="828713" spans="1:1" x14ac:dyDescent="0.25">
      <c r="A828713" s="242"/>
    </row>
    <row r="828714" spans="1:1" x14ac:dyDescent="0.25">
      <c r="A828714" s="242"/>
    </row>
    <row r="828715" spans="1:1" x14ac:dyDescent="0.25">
      <c r="A828715" s="242"/>
    </row>
    <row r="828716" spans="1:1" x14ac:dyDescent="0.25">
      <c r="A828716" s="242"/>
    </row>
    <row r="828717" spans="1:1" x14ac:dyDescent="0.25">
      <c r="A828717" s="242"/>
    </row>
    <row r="828718" spans="1:1" x14ac:dyDescent="0.25">
      <c r="A828718" s="242"/>
    </row>
    <row r="828719" spans="1:1" x14ac:dyDescent="0.25">
      <c r="A828719" s="242"/>
    </row>
    <row r="828720" spans="1:1" x14ac:dyDescent="0.25">
      <c r="A828720" s="242"/>
    </row>
    <row r="828721" spans="1:1" x14ac:dyDescent="0.25">
      <c r="A828721" s="242"/>
    </row>
    <row r="828722" spans="1:1" x14ac:dyDescent="0.25">
      <c r="A828722" s="242"/>
    </row>
    <row r="828723" spans="1:1" x14ac:dyDescent="0.25">
      <c r="A828723" s="242"/>
    </row>
    <row r="828724" spans="1:1" x14ac:dyDescent="0.25">
      <c r="A828724" s="242"/>
    </row>
    <row r="828725" spans="1:1" x14ac:dyDescent="0.25">
      <c r="A828725" s="242"/>
    </row>
    <row r="828726" spans="1:1" x14ac:dyDescent="0.25">
      <c r="A828726" s="242"/>
    </row>
    <row r="828727" spans="1:1" x14ac:dyDescent="0.25">
      <c r="A828727" s="242"/>
    </row>
    <row r="828728" spans="1:1" x14ac:dyDescent="0.25">
      <c r="A828728" s="242"/>
    </row>
    <row r="828729" spans="1:1" x14ac:dyDescent="0.25">
      <c r="A828729" s="242"/>
    </row>
    <row r="828730" spans="1:1" x14ac:dyDescent="0.25">
      <c r="A828730" s="242"/>
    </row>
    <row r="828731" spans="1:1" x14ac:dyDescent="0.25">
      <c r="A828731" s="242"/>
    </row>
    <row r="828732" spans="1:1" x14ac:dyDescent="0.25">
      <c r="A828732" s="242"/>
    </row>
    <row r="828733" spans="1:1" x14ac:dyDescent="0.25">
      <c r="A828733" s="242"/>
    </row>
    <row r="828734" spans="1:1" x14ac:dyDescent="0.25">
      <c r="A828734" s="242"/>
    </row>
    <row r="828735" spans="1:1" x14ac:dyDescent="0.25">
      <c r="A828735" s="242"/>
    </row>
    <row r="828736" spans="1:1" x14ac:dyDescent="0.25">
      <c r="A828736" s="242"/>
    </row>
    <row r="828737" spans="1:1" x14ac:dyDescent="0.25">
      <c r="A828737" s="242"/>
    </row>
    <row r="828738" spans="1:1" x14ac:dyDescent="0.25">
      <c r="A828738" s="242"/>
    </row>
    <row r="828739" spans="1:1" x14ac:dyDescent="0.25">
      <c r="A828739" s="242"/>
    </row>
    <row r="828740" spans="1:1" x14ac:dyDescent="0.25">
      <c r="A828740" s="242"/>
    </row>
    <row r="828741" spans="1:1" x14ac:dyDescent="0.25">
      <c r="A828741" s="242"/>
    </row>
    <row r="828742" spans="1:1" x14ac:dyDescent="0.25">
      <c r="A828742" s="242"/>
    </row>
    <row r="828743" spans="1:1" x14ac:dyDescent="0.25">
      <c r="A828743" s="242"/>
    </row>
    <row r="828744" spans="1:1" x14ac:dyDescent="0.25">
      <c r="A828744" s="242"/>
    </row>
    <row r="828745" spans="1:1" x14ac:dyDescent="0.25">
      <c r="A828745" s="242"/>
    </row>
    <row r="828746" spans="1:1" x14ac:dyDescent="0.25">
      <c r="A828746" s="242"/>
    </row>
    <row r="828747" spans="1:1" x14ac:dyDescent="0.25">
      <c r="A828747" s="242"/>
    </row>
    <row r="828748" spans="1:1" x14ac:dyDescent="0.25">
      <c r="A828748" s="242"/>
    </row>
    <row r="828749" spans="1:1" x14ac:dyDescent="0.25">
      <c r="A828749" s="242"/>
    </row>
    <row r="828750" spans="1:1" x14ac:dyDescent="0.25">
      <c r="A828750" s="242"/>
    </row>
    <row r="828751" spans="1:1" x14ac:dyDescent="0.25">
      <c r="A828751" s="242"/>
    </row>
    <row r="828752" spans="1:1" x14ac:dyDescent="0.25">
      <c r="A828752" s="242"/>
    </row>
    <row r="828753" spans="1:1" x14ac:dyDescent="0.25">
      <c r="A828753" s="242"/>
    </row>
    <row r="828754" spans="1:1" x14ac:dyDescent="0.25">
      <c r="A828754" s="242"/>
    </row>
    <row r="828755" spans="1:1" x14ac:dyDescent="0.25">
      <c r="A828755" s="242"/>
    </row>
    <row r="828756" spans="1:1" x14ac:dyDescent="0.25">
      <c r="A828756" s="242"/>
    </row>
    <row r="828757" spans="1:1" x14ac:dyDescent="0.25">
      <c r="A828757" s="242"/>
    </row>
    <row r="828758" spans="1:1" x14ac:dyDescent="0.25">
      <c r="A828758" s="242"/>
    </row>
    <row r="828759" spans="1:1" x14ac:dyDescent="0.25">
      <c r="A828759" s="242"/>
    </row>
    <row r="828760" spans="1:1" x14ac:dyDescent="0.25">
      <c r="A828760" s="242"/>
    </row>
    <row r="828761" spans="1:1" x14ac:dyDescent="0.25">
      <c r="A828761" s="242"/>
    </row>
    <row r="828762" spans="1:1" x14ac:dyDescent="0.25">
      <c r="A828762" s="242"/>
    </row>
    <row r="828763" spans="1:1" x14ac:dyDescent="0.25">
      <c r="A828763" s="242"/>
    </row>
    <row r="828764" spans="1:1" x14ac:dyDescent="0.25">
      <c r="A828764" s="242"/>
    </row>
    <row r="828765" spans="1:1" x14ac:dyDescent="0.25">
      <c r="A828765" s="242"/>
    </row>
    <row r="828766" spans="1:1" x14ac:dyDescent="0.25">
      <c r="A828766" s="242"/>
    </row>
    <row r="828767" spans="1:1" x14ac:dyDescent="0.25">
      <c r="A828767" s="242"/>
    </row>
    <row r="828768" spans="1:1" x14ac:dyDescent="0.25">
      <c r="A828768" s="242"/>
    </row>
    <row r="828769" spans="1:1" x14ac:dyDescent="0.25">
      <c r="A828769" s="242"/>
    </row>
    <row r="828770" spans="1:1" x14ac:dyDescent="0.25">
      <c r="A828770" s="242"/>
    </row>
    <row r="828771" spans="1:1" x14ac:dyDescent="0.25">
      <c r="A828771" s="242"/>
    </row>
    <row r="828772" spans="1:1" x14ac:dyDescent="0.25">
      <c r="A828772" s="242"/>
    </row>
    <row r="828773" spans="1:1" x14ac:dyDescent="0.25">
      <c r="A828773" s="242"/>
    </row>
    <row r="828774" spans="1:1" x14ac:dyDescent="0.25">
      <c r="A828774" s="242"/>
    </row>
    <row r="828775" spans="1:1" x14ac:dyDescent="0.25">
      <c r="A828775" s="242"/>
    </row>
    <row r="828776" spans="1:1" x14ac:dyDescent="0.25">
      <c r="A828776" s="242"/>
    </row>
    <row r="828777" spans="1:1" x14ac:dyDescent="0.25">
      <c r="A828777" s="242"/>
    </row>
    <row r="828778" spans="1:1" x14ac:dyDescent="0.25">
      <c r="A828778" s="242"/>
    </row>
    <row r="828779" spans="1:1" x14ac:dyDescent="0.25">
      <c r="A828779" s="242"/>
    </row>
    <row r="828780" spans="1:1" x14ac:dyDescent="0.25">
      <c r="A828780" s="242"/>
    </row>
    <row r="828781" spans="1:1" x14ac:dyDescent="0.25">
      <c r="A828781" s="242"/>
    </row>
    <row r="828782" spans="1:1" x14ac:dyDescent="0.25">
      <c r="A828782" s="242"/>
    </row>
    <row r="828783" spans="1:1" x14ac:dyDescent="0.25">
      <c r="A828783" s="242"/>
    </row>
    <row r="828784" spans="1:1" x14ac:dyDescent="0.25">
      <c r="A828784" s="242"/>
    </row>
    <row r="828785" spans="1:1" x14ac:dyDescent="0.25">
      <c r="A828785" s="242"/>
    </row>
    <row r="828786" spans="1:1" x14ac:dyDescent="0.25">
      <c r="A828786" s="242"/>
    </row>
    <row r="828787" spans="1:1" x14ac:dyDescent="0.25">
      <c r="A828787" s="242"/>
    </row>
    <row r="828788" spans="1:1" x14ac:dyDescent="0.25">
      <c r="A828788" s="242"/>
    </row>
    <row r="828789" spans="1:1" x14ac:dyDescent="0.25">
      <c r="A828789" s="242"/>
    </row>
    <row r="828790" spans="1:1" x14ac:dyDescent="0.25">
      <c r="A828790" s="242"/>
    </row>
    <row r="828791" spans="1:1" x14ac:dyDescent="0.25">
      <c r="A828791" s="242"/>
    </row>
    <row r="828792" spans="1:1" x14ac:dyDescent="0.25">
      <c r="A828792" s="242"/>
    </row>
    <row r="828793" spans="1:1" x14ac:dyDescent="0.25">
      <c r="A828793" s="242"/>
    </row>
    <row r="828794" spans="1:1" x14ac:dyDescent="0.25">
      <c r="A828794" s="242"/>
    </row>
    <row r="828795" spans="1:1" x14ac:dyDescent="0.25">
      <c r="A828795" s="242"/>
    </row>
    <row r="828796" spans="1:1" x14ac:dyDescent="0.25">
      <c r="A828796" s="242"/>
    </row>
    <row r="828797" spans="1:1" x14ac:dyDescent="0.25">
      <c r="A828797" s="242"/>
    </row>
    <row r="828798" spans="1:1" x14ac:dyDescent="0.25">
      <c r="A828798" s="242"/>
    </row>
    <row r="828799" spans="1:1" x14ac:dyDescent="0.25">
      <c r="A828799" s="242"/>
    </row>
    <row r="828800" spans="1:1" x14ac:dyDescent="0.25">
      <c r="A828800" s="242"/>
    </row>
    <row r="828801" spans="1:1" x14ac:dyDescent="0.25">
      <c r="A828801" s="242"/>
    </row>
    <row r="828802" spans="1:1" x14ac:dyDescent="0.25">
      <c r="A828802" s="242"/>
    </row>
    <row r="828803" spans="1:1" x14ac:dyDescent="0.25">
      <c r="A828803" s="242"/>
    </row>
    <row r="828804" spans="1:1" x14ac:dyDescent="0.25">
      <c r="A828804" s="242"/>
    </row>
    <row r="828805" spans="1:1" x14ac:dyDescent="0.25">
      <c r="A828805" s="242"/>
    </row>
    <row r="828806" spans="1:1" x14ac:dyDescent="0.25">
      <c r="A828806" s="242"/>
    </row>
    <row r="828807" spans="1:1" x14ac:dyDescent="0.25">
      <c r="A828807" s="242"/>
    </row>
    <row r="828808" spans="1:1" x14ac:dyDescent="0.25">
      <c r="A828808" s="242"/>
    </row>
    <row r="828809" spans="1:1" x14ac:dyDescent="0.25">
      <c r="A828809" s="242"/>
    </row>
    <row r="828810" spans="1:1" x14ac:dyDescent="0.25">
      <c r="A828810" s="242"/>
    </row>
    <row r="828811" spans="1:1" x14ac:dyDescent="0.25">
      <c r="A828811" s="242"/>
    </row>
    <row r="828812" spans="1:1" x14ac:dyDescent="0.25">
      <c r="A828812" s="242"/>
    </row>
    <row r="828813" spans="1:1" x14ac:dyDescent="0.25">
      <c r="A828813" s="242"/>
    </row>
    <row r="828814" spans="1:1" x14ac:dyDescent="0.25">
      <c r="A828814" s="242"/>
    </row>
    <row r="828815" spans="1:1" x14ac:dyDescent="0.25">
      <c r="A828815" s="242"/>
    </row>
    <row r="828816" spans="1:1" x14ac:dyDescent="0.25">
      <c r="A828816" s="242"/>
    </row>
    <row r="828817" spans="1:1" x14ac:dyDescent="0.25">
      <c r="A828817" s="242"/>
    </row>
    <row r="828818" spans="1:1" x14ac:dyDescent="0.25">
      <c r="A828818" s="242"/>
    </row>
    <row r="828819" spans="1:1" x14ac:dyDescent="0.25">
      <c r="A828819" s="242"/>
    </row>
    <row r="828820" spans="1:1" x14ac:dyDescent="0.25">
      <c r="A828820" s="242"/>
    </row>
    <row r="828821" spans="1:1" x14ac:dyDescent="0.25">
      <c r="A828821" s="242"/>
    </row>
    <row r="828822" spans="1:1" x14ac:dyDescent="0.25">
      <c r="A828822" s="242"/>
    </row>
    <row r="828823" spans="1:1" x14ac:dyDescent="0.25">
      <c r="A828823" s="242"/>
    </row>
    <row r="828824" spans="1:1" x14ac:dyDescent="0.25">
      <c r="A828824" s="242"/>
    </row>
    <row r="828825" spans="1:1" x14ac:dyDescent="0.25">
      <c r="A828825" s="242"/>
    </row>
    <row r="828826" spans="1:1" x14ac:dyDescent="0.25">
      <c r="A828826" s="242"/>
    </row>
    <row r="828827" spans="1:1" x14ac:dyDescent="0.25">
      <c r="A828827" s="242"/>
    </row>
    <row r="828828" spans="1:1" x14ac:dyDescent="0.25">
      <c r="A828828" s="242"/>
    </row>
    <row r="828829" spans="1:1" x14ac:dyDescent="0.25">
      <c r="A828829" s="242"/>
    </row>
    <row r="828830" spans="1:1" x14ac:dyDescent="0.25">
      <c r="A828830" s="242"/>
    </row>
    <row r="828831" spans="1:1" x14ac:dyDescent="0.25">
      <c r="A828831" s="242"/>
    </row>
    <row r="828832" spans="1:1" x14ac:dyDescent="0.25">
      <c r="A828832" s="242"/>
    </row>
    <row r="828833" spans="1:1" x14ac:dyDescent="0.25">
      <c r="A828833" s="242"/>
    </row>
    <row r="828834" spans="1:1" x14ac:dyDescent="0.25">
      <c r="A828834" s="242"/>
    </row>
    <row r="828835" spans="1:1" x14ac:dyDescent="0.25">
      <c r="A828835" s="242"/>
    </row>
    <row r="828836" spans="1:1" x14ac:dyDescent="0.25">
      <c r="A828836" s="242"/>
    </row>
    <row r="828837" spans="1:1" x14ac:dyDescent="0.25">
      <c r="A828837" s="242"/>
    </row>
    <row r="828838" spans="1:1" x14ac:dyDescent="0.25">
      <c r="A828838" s="242"/>
    </row>
    <row r="828839" spans="1:1" x14ac:dyDescent="0.25">
      <c r="A828839" s="242"/>
    </row>
    <row r="828840" spans="1:1" x14ac:dyDescent="0.25">
      <c r="A828840" s="242"/>
    </row>
    <row r="828841" spans="1:1" x14ac:dyDescent="0.25">
      <c r="A828841" s="242"/>
    </row>
    <row r="828842" spans="1:1" x14ac:dyDescent="0.25">
      <c r="A828842" s="242"/>
    </row>
    <row r="828843" spans="1:1" x14ac:dyDescent="0.25">
      <c r="A828843" s="242"/>
    </row>
    <row r="828844" spans="1:1" x14ac:dyDescent="0.25">
      <c r="A828844" s="242"/>
    </row>
    <row r="828845" spans="1:1" x14ac:dyDescent="0.25">
      <c r="A828845" s="242"/>
    </row>
    <row r="828846" spans="1:1" x14ac:dyDescent="0.25">
      <c r="A828846" s="242"/>
    </row>
    <row r="828847" spans="1:1" x14ac:dyDescent="0.25">
      <c r="A828847" s="242"/>
    </row>
    <row r="828848" spans="1:1" x14ac:dyDescent="0.25">
      <c r="A828848" s="242"/>
    </row>
    <row r="828849" spans="1:1" x14ac:dyDescent="0.25">
      <c r="A828849" s="242"/>
    </row>
    <row r="828850" spans="1:1" x14ac:dyDescent="0.25">
      <c r="A828850" s="242"/>
    </row>
    <row r="828851" spans="1:1" x14ac:dyDescent="0.25">
      <c r="A828851" s="242"/>
    </row>
    <row r="828852" spans="1:1" x14ac:dyDescent="0.25">
      <c r="A828852" s="242"/>
    </row>
    <row r="828853" spans="1:1" x14ac:dyDescent="0.25">
      <c r="A828853" s="242"/>
    </row>
    <row r="828854" spans="1:1" x14ac:dyDescent="0.25">
      <c r="A828854" s="242"/>
    </row>
    <row r="828855" spans="1:1" x14ac:dyDescent="0.25">
      <c r="A828855" s="242"/>
    </row>
    <row r="828856" spans="1:1" x14ac:dyDescent="0.25">
      <c r="A828856" s="242"/>
    </row>
    <row r="828857" spans="1:1" x14ac:dyDescent="0.25">
      <c r="A828857" s="242"/>
    </row>
    <row r="828858" spans="1:1" x14ac:dyDescent="0.25">
      <c r="A828858" s="242"/>
    </row>
    <row r="828859" spans="1:1" x14ac:dyDescent="0.25">
      <c r="A828859" s="242"/>
    </row>
    <row r="828860" spans="1:1" x14ac:dyDescent="0.25">
      <c r="A828860" s="242"/>
    </row>
    <row r="828861" spans="1:1" x14ac:dyDescent="0.25">
      <c r="A828861" s="242"/>
    </row>
    <row r="828862" spans="1:1" x14ac:dyDescent="0.25">
      <c r="A828862" s="242"/>
    </row>
    <row r="828863" spans="1:1" x14ac:dyDescent="0.25">
      <c r="A828863" s="242"/>
    </row>
    <row r="828864" spans="1:1" x14ac:dyDescent="0.25">
      <c r="A828864" s="242"/>
    </row>
    <row r="828865" spans="1:1" x14ac:dyDescent="0.25">
      <c r="A828865" s="242"/>
    </row>
    <row r="828866" spans="1:1" x14ac:dyDescent="0.25">
      <c r="A828866" s="242"/>
    </row>
    <row r="828867" spans="1:1" x14ac:dyDescent="0.25">
      <c r="A828867" s="242"/>
    </row>
    <row r="828868" spans="1:1" x14ac:dyDescent="0.25">
      <c r="A828868" s="242"/>
    </row>
    <row r="828869" spans="1:1" x14ac:dyDescent="0.25">
      <c r="A828869" s="242"/>
    </row>
    <row r="828870" spans="1:1" x14ac:dyDescent="0.25">
      <c r="A828870" s="242"/>
    </row>
    <row r="828871" spans="1:1" x14ac:dyDescent="0.25">
      <c r="A828871" s="242"/>
    </row>
    <row r="828872" spans="1:1" x14ac:dyDescent="0.25">
      <c r="A828872" s="242"/>
    </row>
    <row r="828873" spans="1:1" x14ac:dyDescent="0.25">
      <c r="A828873" s="242"/>
    </row>
    <row r="828874" spans="1:1" x14ac:dyDescent="0.25">
      <c r="A828874" s="242"/>
    </row>
    <row r="828875" spans="1:1" x14ac:dyDescent="0.25">
      <c r="A828875" s="242"/>
    </row>
    <row r="828876" spans="1:1" x14ac:dyDescent="0.25">
      <c r="A828876" s="242"/>
    </row>
    <row r="828877" spans="1:1" x14ac:dyDescent="0.25">
      <c r="A828877" s="242"/>
    </row>
    <row r="828878" spans="1:1" x14ac:dyDescent="0.25">
      <c r="A828878" s="242"/>
    </row>
    <row r="828879" spans="1:1" x14ac:dyDescent="0.25">
      <c r="A828879" s="242"/>
    </row>
    <row r="828880" spans="1:1" x14ac:dyDescent="0.25">
      <c r="A828880" s="242"/>
    </row>
    <row r="828881" spans="1:1" x14ac:dyDescent="0.25">
      <c r="A828881" s="242"/>
    </row>
    <row r="828882" spans="1:1" x14ac:dyDescent="0.25">
      <c r="A828882" s="242"/>
    </row>
    <row r="828883" spans="1:1" x14ac:dyDescent="0.25">
      <c r="A828883" s="242"/>
    </row>
    <row r="828884" spans="1:1" x14ac:dyDescent="0.25">
      <c r="A828884" s="242"/>
    </row>
    <row r="828885" spans="1:1" x14ac:dyDescent="0.25">
      <c r="A828885" s="242"/>
    </row>
    <row r="828886" spans="1:1" x14ac:dyDescent="0.25">
      <c r="A828886" s="242"/>
    </row>
    <row r="828887" spans="1:1" x14ac:dyDescent="0.25">
      <c r="A828887" s="242"/>
    </row>
    <row r="828888" spans="1:1" x14ac:dyDescent="0.25">
      <c r="A828888" s="242"/>
    </row>
    <row r="828889" spans="1:1" x14ac:dyDescent="0.25">
      <c r="A828889" s="242"/>
    </row>
    <row r="828890" spans="1:1" x14ac:dyDescent="0.25">
      <c r="A828890" s="242"/>
    </row>
    <row r="828891" spans="1:1" x14ac:dyDescent="0.25">
      <c r="A828891" s="242"/>
    </row>
    <row r="828892" spans="1:1" x14ac:dyDescent="0.25">
      <c r="A828892" s="242"/>
    </row>
    <row r="828893" spans="1:1" x14ac:dyDescent="0.25">
      <c r="A828893" s="242"/>
    </row>
    <row r="828894" spans="1:1" x14ac:dyDescent="0.25">
      <c r="A828894" s="242"/>
    </row>
    <row r="828895" spans="1:1" x14ac:dyDescent="0.25">
      <c r="A828895" s="242"/>
    </row>
    <row r="828896" spans="1:1" x14ac:dyDescent="0.25">
      <c r="A828896" s="242"/>
    </row>
    <row r="828897" spans="1:1" x14ac:dyDescent="0.25">
      <c r="A828897" s="242"/>
    </row>
    <row r="828898" spans="1:1" x14ac:dyDescent="0.25">
      <c r="A828898" s="242"/>
    </row>
    <row r="828899" spans="1:1" x14ac:dyDescent="0.25">
      <c r="A828899" s="242"/>
    </row>
    <row r="828900" spans="1:1" x14ac:dyDescent="0.25">
      <c r="A828900" s="242"/>
    </row>
    <row r="828901" spans="1:1" x14ac:dyDescent="0.25">
      <c r="A828901" s="242"/>
    </row>
    <row r="828902" spans="1:1" x14ac:dyDescent="0.25">
      <c r="A828902" s="242"/>
    </row>
    <row r="828903" spans="1:1" x14ac:dyDescent="0.25">
      <c r="A828903" s="242"/>
    </row>
    <row r="828904" spans="1:1" x14ac:dyDescent="0.25">
      <c r="A828904" s="242"/>
    </row>
    <row r="828905" spans="1:1" x14ac:dyDescent="0.25">
      <c r="A828905" s="242"/>
    </row>
    <row r="828906" spans="1:1" x14ac:dyDescent="0.25">
      <c r="A828906" s="242"/>
    </row>
    <row r="828907" spans="1:1" x14ac:dyDescent="0.25">
      <c r="A828907" s="242"/>
    </row>
    <row r="828908" spans="1:1" x14ac:dyDescent="0.25">
      <c r="A828908" s="242"/>
    </row>
    <row r="828909" spans="1:1" x14ac:dyDescent="0.25">
      <c r="A828909" s="242"/>
    </row>
    <row r="828910" spans="1:1" x14ac:dyDescent="0.25">
      <c r="A828910" s="242"/>
    </row>
    <row r="828911" spans="1:1" x14ac:dyDescent="0.25">
      <c r="A828911" s="242"/>
    </row>
    <row r="828912" spans="1:1" x14ac:dyDescent="0.25">
      <c r="A828912" s="242"/>
    </row>
    <row r="828913" spans="1:1" x14ac:dyDescent="0.25">
      <c r="A828913" s="242"/>
    </row>
    <row r="828914" spans="1:1" x14ac:dyDescent="0.25">
      <c r="A828914" s="242"/>
    </row>
    <row r="828915" spans="1:1" x14ac:dyDescent="0.25">
      <c r="A828915" s="242"/>
    </row>
    <row r="828916" spans="1:1" x14ac:dyDescent="0.25">
      <c r="A828916" s="242"/>
    </row>
    <row r="828917" spans="1:1" x14ac:dyDescent="0.25">
      <c r="A828917" s="242"/>
    </row>
    <row r="828918" spans="1:1" x14ac:dyDescent="0.25">
      <c r="A828918" s="242"/>
    </row>
    <row r="828919" spans="1:1" x14ac:dyDescent="0.25">
      <c r="A828919" s="242"/>
    </row>
    <row r="828920" spans="1:1" x14ac:dyDescent="0.25">
      <c r="A828920" s="242"/>
    </row>
    <row r="828921" spans="1:1" x14ac:dyDescent="0.25">
      <c r="A828921" s="242"/>
    </row>
    <row r="828922" spans="1:1" x14ac:dyDescent="0.25">
      <c r="A828922" s="242"/>
    </row>
    <row r="828923" spans="1:1" x14ac:dyDescent="0.25">
      <c r="A828923" s="242"/>
    </row>
    <row r="828924" spans="1:1" x14ac:dyDescent="0.25">
      <c r="A828924" s="242"/>
    </row>
    <row r="828925" spans="1:1" x14ac:dyDescent="0.25">
      <c r="A828925" s="242"/>
    </row>
    <row r="828926" spans="1:1" x14ac:dyDescent="0.25">
      <c r="A828926" s="242"/>
    </row>
    <row r="828927" spans="1:1" x14ac:dyDescent="0.25">
      <c r="A828927" s="242"/>
    </row>
    <row r="828928" spans="1:1" x14ac:dyDescent="0.25">
      <c r="A828928" s="242"/>
    </row>
    <row r="828929" spans="1:1" x14ac:dyDescent="0.25">
      <c r="A828929" s="242"/>
    </row>
    <row r="828930" spans="1:1" x14ac:dyDescent="0.25">
      <c r="A828930" s="242"/>
    </row>
    <row r="828931" spans="1:1" x14ac:dyDescent="0.25">
      <c r="A828931" s="242"/>
    </row>
    <row r="828932" spans="1:1" x14ac:dyDescent="0.25">
      <c r="A828932" s="242"/>
    </row>
    <row r="828933" spans="1:1" x14ac:dyDescent="0.25">
      <c r="A828933" s="242"/>
    </row>
    <row r="828934" spans="1:1" x14ac:dyDescent="0.25">
      <c r="A828934" s="242"/>
    </row>
    <row r="828935" spans="1:1" x14ac:dyDescent="0.25">
      <c r="A828935" s="242"/>
    </row>
    <row r="828936" spans="1:1" x14ac:dyDescent="0.25">
      <c r="A828936" s="242"/>
    </row>
    <row r="828937" spans="1:1" x14ac:dyDescent="0.25">
      <c r="A828937" s="242"/>
    </row>
    <row r="828938" spans="1:1" x14ac:dyDescent="0.25">
      <c r="A828938" s="242"/>
    </row>
    <row r="828939" spans="1:1" x14ac:dyDescent="0.25">
      <c r="A828939" s="242"/>
    </row>
    <row r="828940" spans="1:1" x14ac:dyDescent="0.25">
      <c r="A828940" s="242"/>
    </row>
    <row r="828941" spans="1:1" x14ac:dyDescent="0.25">
      <c r="A828941" s="242"/>
    </row>
    <row r="828942" spans="1:1" x14ac:dyDescent="0.25">
      <c r="A828942" s="242"/>
    </row>
    <row r="828943" spans="1:1" x14ac:dyDescent="0.25">
      <c r="A828943" s="242"/>
    </row>
    <row r="828944" spans="1:1" x14ac:dyDescent="0.25">
      <c r="A828944" s="242"/>
    </row>
    <row r="828945" spans="1:1" x14ac:dyDescent="0.25">
      <c r="A828945" s="242"/>
    </row>
    <row r="828946" spans="1:1" x14ac:dyDescent="0.25">
      <c r="A828946" s="242"/>
    </row>
    <row r="828947" spans="1:1" x14ac:dyDescent="0.25">
      <c r="A828947" s="242"/>
    </row>
    <row r="828948" spans="1:1" x14ac:dyDescent="0.25">
      <c r="A828948" s="242"/>
    </row>
    <row r="828949" spans="1:1" x14ac:dyDescent="0.25">
      <c r="A828949" s="242"/>
    </row>
    <row r="828950" spans="1:1" x14ac:dyDescent="0.25">
      <c r="A828950" s="242"/>
    </row>
    <row r="828951" spans="1:1" x14ac:dyDescent="0.25">
      <c r="A828951" s="242"/>
    </row>
    <row r="828952" spans="1:1" x14ac:dyDescent="0.25">
      <c r="A828952" s="242"/>
    </row>
    <row r="828953" spans="1:1" x14ac:dyDescent="0.25">
      <c r="A828953" s="242"/>
    </row>
    <row r="828954" spans="1:1" x14ac:dyDescent="0.25">
      <c r="A828954" s="242"/>
    </row>
    <row r="828955" spans="1:1" x14ac:dyDescent="0.25">
      <c r="A828955" s="242"/>
    </row>
    <row r="828956" spans="1:1" x14ac:dyDescent="0.25">
      <c r="A828956" s="242"/>
    </row>
    <row r="828957" spans="1:1" x14ac:dyDescent="0.25">
      <c r="A828957" s="242"/>
    </row>
    <row r="828958" spans="1:1" x14ac:dyDescent="0.25">
      <c r="A828958" s="242"/>
    </row>
    <row r="828959" spans="1:1" x14ac:dyDescent="0.25">
      <c r="A828959" s="242"/>
    </row>
    <row r="828960" spans="1:1" x14ac:dyDescent="0.25">
      <c r="A828960" s="242"/>
    </row>
    <row r="828961" spans="1:1" x14ac:dyDescent="0.25">
      <c r="A828961" s="242"/>
    </row>
    <row r="828962" spans="1:1" x14ac:dyDescent="0.25">
      <c r="A828962" s="242"/>
    </row>
    <row r="828963" spans="1:1" x14ac:dyDescent="0.25">
      <c r="A828963" s="242"/>
    </row>
    <row r="828964" spans="1:1" x14ac:dyDescent="0.25">
      <c r="A828964" s="242"/>
    </row>
    <row r="828965" spans="1:1" x14ac:dyDescent="0.25">
      <c r="A828965" s="242"/>
    </row>
    <row r="828966" spans="1:1" x14ac:dyDescent="0.25">
      <c r="A828966" s="242"/>
    </row>
    <row r="828967" spans="1:1" x14ac:dyDescent="0.25">
      <c r="A828967" s="242"/>
    </row>
    <row r="828968" spans="1:1" x14ac:dyDescent="0.25">
      <c r="A828968" s="242"/>
    </row>
    <row r="828969" spans="1:1" x14ac:dyDescent="0.25">
      <c r="A828969" s="242"/>
    </row>
    <row r="828970" spans="1:1" x14ac:dyDescent="0.25">
      <c r="A828970" s="242"/>
    </row>
    <row r="828971" spans="1:1" x14ac:dyDescent="0.25">
      <c r="A828971" s="242"/>
    </row>
    <row r="828972" spans="1:1" x14ac:dyDescent="0.25">
      <c r="A828972" s="242"/>
    </row>
    <row r="828973" spans="1:1" x14ac:dyDescent="0.25">
      <c r="A828973" s="242"/>
    </row>
    <row r="828974" spans="1:1" x14ac:dyDescent="0.25">
      <c r="A828974" s="242"/>
    </row>
    <row r="828975" spans="1:1" x14ac:dyDescent="0.25">
      <c r="A828975" s="242"/>
    </row>
    <row r="828976" spans="1:1" x14ac:dyDescent="0.25">
      <c r="A828976" s="242"/>
    </row>
    <row r="828977" spans="1:1" x14ac:dyDescent="0.25">
      <c r="A828977" s="242"/>
    </row>
    <row r="828978" spans="1:1" x14ac:dyDescent="0.25">
      <c r="A828978" s="242"/>
    </row>
    <row r="828979" spans="1:1" x14ac:dyDescent="0.25">
      <c r="A828979" s="242"/>
    </row>
    <row r="828980" spans="1:1" x14ac:dyDescent="0.25">
      <c r="A828980" s="242"/>
    </row>
    <row r="828981" spans="1:1" x14ac:dyDescent="0.25">
      <c r="A828981" s="242"/>
    </row>
    <row r="828982" spans="1:1" x14ac:dyDescent="0.25">
      <c r="A828982" s="242"/>
    </row>
    <row r="828983" spans="1:1" x14ac:dyDescent="0.25">
      <c r="A828983" s="242"/>
    </row>
    <row r="828984" spans="1:1" x14ac:dyDescent="0.25">
      <c r="A828984" s="242"/>
    </row>
    <row r="828985" spans="1:1" x14ac:dyDescent="0.25">
      <c r="A828985" s="242"/>
    </row>
    <row r="828986" spans="1:1" x14ac:dyDescent="0.25">
      <c r="A828986" s="242"/>
    </row>
    <row r="828987" spans="1:1" x14ac:dyDescent="0.25">
      <c r="A828987" s="242"/>
    </row>
    <row r="828988" spans="1:1" x14ac:dyDescent="0.25">
      <c r="A828988" s="242"/>
    </row>
    <row r="828989" spans="1:1" x14ac:dyDescent="0.25">
      <c r="A828989" s="242"/>
    </row>
    <row r="828990" spans="1:1" x14ac:dyDescent="0.25">
      <c r="A828990" s="242"/>
    </row>
    <row r="828991" spans="1:1" x14ac:dyDescent="0.25">
      <c r="A828991" s="242"/>
    </row>
    <row r="828992" spans="1:1" x14ac:dyDescent="0.25">
      <c r="A828992" s="242"/>
    </row>
    <row r="828993" spans="1:1" x14ac:dyDescent="0.25">
      <c r="A828993" s="242"/>
    </row>
    <row r="828994" spans="1:1" x14ac:dyDescent="0.25">
      <c r="A828994" s="242"/>
    </row>
    <row r="828995" spans="1:1" x14ac:dyDescent="0.25">
      <c r="A828995" s="242"/>
    </row>
    <row r="828996" spans="1:1" x14ac:dyDescent="0.25">
      <c r="A828996" s="242"/>
    </row>
    <row r="828997" spans="1:1" x14ac:dyDescent="0.25">
      <c r="A828997" s="242"/>
    </row>
    <row r="828998" spans="1:1" x14ac:dyDescent="0.25">
      <c r="A828998" s="242"/>
    </row>
    <row r="828999" spans="1:1" x14ac:dyDescent="0.25">
      <c r="A828999" s="242"/>
    </row>
    <row r="829000" spans="1:1" x14ac:dyDescent="0.25">
      <c r="A829000" s="242"/>
    </row>
    <row r="829001" spans="1:1" x14ac:dyDescent="0.25">
      <c r="A829001" s="242"/>
    </row>
    <row r="829002" spans="1:1" x14ac:dyDescent="0.25">
      <c r="A829002" s="242"/>
    </row>
    <row r="829003" spans="1:1" x14ac:dyDescent="0.25">
      <c r="A829003" s="242"/>
    </row>
    <row r="829004" spans="1:1" x14ac:dyDescent="0.25">
      <c r="A829004" s="242"/>
    </row>
    <row r="829005" spans="1:1" x14ac:dyDescent="0.25">
      <c r="A829005" s="242"/>
    </row>
    <row r="829006" spans="1:1" x14ac:dyDescent="0.25">
      <c r="A829006" s="242"/>
    </row>
    <row r="829007" spans="1:1" x14ac:dyDescent="0.25">
      <c r="A829007" s="242"/>
    </row>
    <row r="829008" spans="1:1" x14ac:dyDescent="0.25">
      <c r="A829008" s="242"/>
    </row>
    <row r="829009" spans="1:1" x14ac:dyDescent="0.25">
      <c r="A829009" s="242"/>
    </row>
  </sheetData>
  <mergeCells count="9">
    <mergeCell ref="AA1:AC1"/>
    <mergeCell ref="AG190:AI190"/>
    <mergeCell ref="AG193:AI193"/>
    <mergeCell ref="D1:F1"/>
    <mergeCell ref="G1:J1"/>
    <mergeCell ref="K1:N1"/>
    <mergeCell ref="O1:R1"/>
    <mergeCell ref="S1:V1"/>
    <mergeCell ref="W1:Z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829009"/>
  <sheetViews>
    <sheetView tabSelected="1" topLeftCell="A2" workbookViewId="0">
      <pane xSplit="6" ySplit="1" topLeftCell="G181" activePane="bottomRight" state="frozen"/>
      <selection activeCell="A2" sqref="A2"/>
      <selection pane="topRight" activeCell="G2" sqref="G2"/>
      <selection pane="bottomLeft" activeCell="A3" sqref="A3"/>
      <selection pane="bottomRight" activeCell="G186" sqref="G186"/>
    </sheetView>
  </sheetViews>
  <sheetFormatPr baseColWidth="10" defaultRowHeight="15" x14ac:dyDescent="0.25"/>
  <cols>
    <col min="1" max="1" width="8.42578125" style="245" customWidth="1"/>
    <col min="2" max="2" width="27.85546875" style="245" customWidth="1"/>
    <col min="3" max="3" width="0" style="245" hidden="1" customWidth="1"/>
    <col min="4" max="4" width="9.28515625" style="245" hidden="1" customWidth="1"/>
    <col min="5" max="5" width="9.42578125" style="245" hidden="1" customWidth="1"/>
    <col min="6" max="6" width="9.85546875" style="245" hidden="1" customWidth="1"/>
    <col min="7" max="7" width="11.5703125" style="245" customWidth="1"/>
    <col min="8" max="8" width="11.42578125" style="245"/>
    <col min="9" max="9" width="11.42578125" style="246"/>
    <col min="10" max="10" width="4.140625" style="245" customWidth="1"/>
    <col min="11" max="12" width="11.42578125" style="245"/>
    <col min="13" max="13" width="11.42578125" style="246"/>
    <col min="14" max="14" width="4.7109375" style="245" customWidth="1"/>
    <col min="15" max="16" width="11.42578125" style="245"/>
    <col min="17" max="17" width="11.42578125" style="246"/>
    <col min="18" max="18" width="4" style="245" customWidth="1"/>
    <col min="19" max="20" width="11.42578125" style="245"/>
    <col min="21" max="21" width="11.42578125" style="246"/>
    <col min="22" max="22" width="3.7109375" style="245" customWidth="1"/>
    <col min="23" max="24" width="10.5703125" style="245" customWidth="1"/>
    <col min="25" max="25" width="10.5703125" style="246" customWidth="1"/>
    <col min="26" max="26" width="4.7109375" style="245" customWidth="1"/>
    <col min="27" max="28" width="10.5703125" style="245" customWidth="1"/>
    <col min="29" max="29" width="10.5703125" style="246" customWidth="1"/>
    <col min="30" max="30" width="10.5703125" style="245" customWidth="1"/>
    <col min="31" max="31" width="11.42578125" style="245"/>
    <col min="32" max="32" width="7.85546875" style="245" customWidth="1"/>
    <col min="33" max="35" width="11.42578125" style="245"/>
    <col min="36" max="36" width="11.7109375" style="245" customWidth="1"/>
    <col min="37" max="37" width="9.28515625" style="245" customWidth="1"/>
    <col min="38" max="38" width="12.140625" style="245" bestFit="1" customWidth="1"/>
    <col min="39" max="39" width="9.7109375" style="245" customWidth="1"/>
    <col min="40" max="40" width="11.42578125" style="245"/>
    <col min="41" max="41" width="10.42578125" style="245" customWidth="1"/>
    <col min="42" max="42" width="11.42578125" style="245"/>
    <col min="43" max="43" width="9.140625" style="245" customWidth="1"/>
    <col min="44" max="44" width="11.42578125" style="245"/>
    <col min="45" max="45" width="10" style="245" customWidth="1"/>
    <col min="46" max="46" width="11.42578125" style="245"/>
    <col min="47" max="47" width="11" style="245" customWidth="1"/>
    <col min="48" max="16384" width="11.42578125" style="245"/>
  </cols>
  <sheetData>
    <row r="1" spans="1:52" ht="21.75" thickBot="1" x14ac:dyDescent="0.4">
      <c r="A1" s="245">
        <v>0</v>
      </c>
      <c r="D1" s="257" t="s">
        <v>0</v>
      </c>
      <c r="E1" s="258"/>
      <c r="F1" s="258"/>
      <c r="G1" s="259">
        <v>45380</v>
      </c>
      <c r="H1" s="260"/>
      <c r="I1" s="260"/>
      <c r="J1" s="261"/>
      <c r="K1" s="262">
        <v>45382</v>
      </c>
      <c r="L1" s="263"/>
      <c r="M1" s="263"/>
      <c r="N1" s="264"/>
      <c r="O1" s="262">
        <v>45748</v>
      </c>
      <c r="P1" s="263"/>
      <c r="Q1" s="263"/>
      <c r="R1" s="264"/>
      <c r="S1" s="265">
        <v>45749</v>
      </c>
      <c r="T1" s="265"/>
      <c r="U1" s="265"/>
      <c r="V1" s="265"/>
      <c r="W1" s="266">
        <v>45750</v>
      </c>
      <c r="X1" s="267"/>
      <c r="Y1" s="267"/>
      <c r="Z1" s="268"/>
      <c r="AA1" s="251">
        <v>45751</v>
      </c>
      <c r="AB1" s="252"/>
      <c r="AC1" s="252"/>
      <c r="AQ1" s="245">
        <f>11598.72/240</f>
        <v>48.327999999999996</v>
      </c>
      <c r="AR1" s="245">
        <f>598.4/105</f>
        <v>5.6990476190476187</v>
      </c>
      <c r="AS1" s="245">
        <f>4631.45/126</f>
        <v>36.757539682539679</v>
      </c>
      <c r="AT1" s="245">
        <f>43.5-36.76</f>
        <v>6.740000000000002</v>
      </c>
    </row>
    <row r="2" spans="1:52" ht="45.75" thickBot="1" x14ac:dyDescent="0.3">
      <c r="A2" s="1" t="s">
        <v>1</v>
      </c>
      <c r="B2" s="2" t="s">
        <v>2</v>
      </c>
      <c r="C2" s="3" t="s">
        <v>3</v>
      </c>
      <c r="D2" s="4" t="s">
        <v>4</v>
      </c>
      <c r="E2" s="5" t="s">
        <v>5</v>
      </c>
      <c r="F2" s="6" t="s">
        <v>6</v>
      </c>
      <c r="G2" s="7" t="s">
        <v>4</v>
      </c>
      <c r="H2" s="8" t="s">
        <v>6</v>
      </c>
      <c r="I2" s="9" t="s">
        <v>7</v>
      </c>
      <c r="J2" s="3"/>
      <c r="K2" s="8" t="s">
        <v>4</v>
      </c>
      <c r="L2" s="8" t="s">
        <v>6</v>
      </c>
      <c r="M2" s="9" t="s">
        <v>7</v>
      </c>
      <c r="N2" s="10"/>
      <c r="O2" s="8" t="s">
        <v>4</v>
      </c>
      <c r="P2" s="8" t="s">
        <v>6</v>
      </c>
      <c r="Q2" s="9" t="s">
        <v>7</v>
      </c>
      <c r="R2" s="10"/>
      <c r="S2" s="8" t="s">
        <v>4</v>
      </c>
      <c r="T2" s="8" t="s">
        <v>6</v>
      </c>
      <c r="U2" s="9" t="s">
        <v>7</v>
      </c>
      <c r="V2" s="10"/>
      <c r="W2" s="8" t="s">
        <v>4</v>
      </c>
      <c r="X2" s="8" t="s">
        <v>6</v>
      </c>
      <c r="Y2" s="9" t="s">
        <v>7</v>
      </c>
      <c r="Z2" s="11"/>
      <c r="AA2" s="8" t="s">
        <v>4</v>
      </c>
      <c r="AB2" s="8" t="s">
        <v>6</v>
      </c>
      <c r="AC2" s="9">
        <v>0</v>
      </c>
      <c r="AD2" s="10"/>
      <c r="AE2" s="12"/>
      <c r="AF2" s="13"/>
      <c r="AG2" s="14" t="s">
        <v>8</v>
      </c>
      <c r="AH2" s="15" t="s">
        <v>9</v>
      </c>
      <c r="AI2" s="13" t="s">
        <v>10</v>
      </c>
      <c r="AJ2" s="16"/>
      <c r="AK2" s="16" t="s">
        <v>11</v>
      </c>
      <c r="AL2" s="17" t="s">
        <v>12</v>
      </c>
      <c r="AM2" s="18" t="s">
        <v>13</v>
      </c>
      <c r="AN2" s="19" t="s">
        <v>14</v>
      </c>
      <c r="AO2" s="20" t="s">
        <v>15</v>
      </c>
      <c r="AP2" s="21"/>
      <c r="AQ2" s="22"/>
      <c r="AR2" s="23" t="s">
        <v>16</v>
      </c>
      <c r="AS2" s="15" t="s">
        <v>17</v>
      </c>
      <c r="AT2" s="15" t="s">
        <v>18</v>
      </c>
      <c r="AU2" s="24" t="s">
        <v>19</v>
      </c>
      <c r="AV2" s="15" t="s">
        <v>20</v>
      </c>
      <c r="AW2" s="15" t="s">
        <v>21</v>
      </c>
      <c r="AX2" s="15" t="s">
        <v>22</v>
      </c>
      <c r="AY2" s="15" t="s">
        <v>23</v>
      </c>
      <c r="AZ2" s="25" t="s">
        <v>24</v>
      </c>
    </row>
    <row r="3" spans="1:52" ht="16.5" thickBot="1" x14ac:dyDescent="0.3">
      <c r="A3" s="26">
        <v>3300</v>
      </c>
      <c r="B3" s="27" t="s">
        <v>25</v>
      </c>
      <c r="C3" s="28"/>
      <c r="D3" s="26">
        <f>C3/3</f>
        <v>0</v>
      </c>
      <c r="E3" s="27">
        <f>C3/3</f>
        <v>0</v>
      </c>
      <c r="F3" s="29">
        <f>C3/3</f>
        <v>0</v>
      </c>
      <c r="G3" s="30">
        <v>0</v>
      </c>
      <c r="H3" s="30">
        <v>0</v>
      </c>
      <c r="I3" s="32">
        <v>0</v>
      </c>
      <c r="J3" s="32"/>
      <c r="K3" s="33"/>
      <c r="L3" s="34"/>
      <c r="M3" s="34"/>
      <c r="N3" s="35"/>
      <c r="O3" s="36"/>
      <c r="P3" s="34"/>
      <c r="Q3" s="34"/>
      <c r="R3" s="35"/>
      <c r="S3" s="37"/>
      <c r="T3" s="34"/>
      <c r="U3" s="34"/>
      <c r="V3" s="35"/>
      <c r="W3" s="38"/>
      <c r="X3" s="31"/>
      <c r="Y3" s="31"/>
      <c r="Z3" s="39"/>
      <c r="AA3" s="37"/>
      <c r="AB3" s="34"/>
      <c r="AC3" s="34"/>
      <c r="AD3" s="40"/>
      <c r="AE3" s="41"/>
      <c r="AF3" s="42"/>
      <c r="AG3" s="43">
        <f t="shared" ref="AG3:AJ35" si="0">G3+K3+O3+S3+W3+AA3</f>
        <v>0</v>
      </c>
      <c r="AH3" s="44">
        <f>H3+L3+P3+T3+X3+AB3</f>
        <v>0</v>
      </c>
      <c r="AI3" s="44">
        <f>I3+M3+Q3+U3+Y3+AC3</f>
        <v>0</v>
      </c>
      <c r="AJ3" s="45">
        <f>J3+N3+R3+V3+Z3+AD3</f>
        <v>0</v>
      </c>
      <c r="AK3" s="46">
        <f t="shared" ref="AK3:AK67" si="1">AG3+AH3+AI3</f>
        <v>0</v>
      </c>
      <c r="AL3" s="47">
        <v>2</v>
      </c>
      <c r="AM3" s="48">
        <f>AG3*AL3</f>
        <v>0</v>
      </c>
      <c r="AN3" s="48">
        <f t="shared" ref="AN3:AN74" si="2">AH3*AL3</f>
        <v>0</v>
      </c>
      <c r="AO3" s="49">
        <f>AI3*AL3</f>
        <v>0</v>
      </c>
      <c r="AP3" s="49">
        <f t="shared" ref="AP3:AP67" si="3">AJ3*AL3</f>
        <v>0</v>
      </c>
      <c r="AQ3" s="50">
        <f>AK3*60</f>
        <v>0</v>
      </c>
      <c r="AR3" s="51">
        <v>51.6</v>
      </c>
      <c r="AS3" s="52">
        <v>8.3999999999999986</v>
      </c>
      <c r="AT3" s="53">
        <f>AK3*AS3</f>
        <v>0</v>
      </c>
      <c r="AU3" s="54">
        <f>AK3*AL3</f>
        <v>0</v>
      </c>
      <c r="AV3" s="55"/>
      <c r="AW3" s="56"/>
      <c r="AX3" s="56"/>
      <c r="AY3" s="52"/>
      <c r="AZ3" s="57">
        <f>AT3-AU3-AW3-AX3-AY3</f>
        <v>0</v>
      </c>
    </row>
    <row r="4" spans="1:52" ht="16.5" thickBot="1" x14ac:dyDescent="0.3">
      <c r="A4" s="58">
        <v>3.5</v>
      </c>
      <c r="B4" s="59" t="s">
        <v>26</v>
      </c>
      <c r="C4" s="60"/>
      <c r="D4" s="26">
        <f t="shared" ref="D4:D68" si="4">C4/3</f>
        <v>0</v>
      </c>
      <c r="E4" s="27">
        <f t="shared" ref="E4:E68" si="5">C4/3</f>
        <v>0</v>
      </c>
      <c r="F4" s="29">
        <f t="shared" ref="F4:F68" si="6">C4/3</f>
        <v>0</v>
      </c>
      <c r="G4" s="30">
        <v>0</v>
      </c>
      <c r="H4" s="31">
        <v>0</v>
      </c>
      <c r="I4" s="32">
        <v>0</v>
      </c>
      <c r="J4" s="61"/>
      <c r="K4" s="33"/>
      <c r="L4" s="34"/>
      <c r="M4" s="34"/>
      <c r="N4" s="62"/>
      <c r="O4" s="34"/>
      <c r="P4" s="34"/>
      <c r="Q4" s="34"/>
      <c r="R4" s="62"/>
      <c r="S4" s="37"/>
      <c r="T4" s="34"/>
      <c r="U4" s="34"/>
      <c r="V4" s="62"/>
      <c r="W4" s="38"/>
      <c r="X4" s="31"/>
      <c r="Y4" s="31"/>
      <c r="Z4" s="63"/>
      <c r="AA4" s="37"/>
      <c r="AB4" s="34"/>
      <c r="AC4" s="34"/>
      <c r="AD4" s="64"/>
      <c r="AE4" s="65"/>
      <c r="AF4" s="40"/>
      <c r="AG4" s="43">
        <f t="shared" si="0"/>
        <v>0</v>
      </c>
      <c r="AH4" s="44">
        <f t="shared" si="0"/>
        <v>0</v>
      </c>
      <c r="AI4" s="44">
        <f t="shared" si="0"/>
        <v>0</v>
      </c>
      <c r="AJ4" s="45">
        <f>J4+N4+R4+V4+Z4+AD4</f>
        <v>0</v>
      </c>
      <c r="AK4" s="46">
        <f t="shared" si="1"/>
        <v>0</v>
      </c>
      <c r="AL4" s="66">
        <v>1.75</v>
      </c>
      <c r="AM4" s="48">
        <f t="shared" ref="AM4:AM74" si="7">AG4*AL4</f>
        <v>0</v>
      </c>
      <c r="AN4" s="48">
        <f t="shared" si="2"/>
        <v>0</v>
      </c>
      <c r="AO4" s="49">
        <f t="shared" ref="AO4:AO68" si="8">AI4*AL4</f>
        <v>0</v>
      </c>
      <c r="AP4" s="49">
        <f t="shared" si="3"/>
        <v>0</v>
      </c>
      <c r="AQ4" s="50">
        <f t="shared" ref="AQ4:AQ67" si="9">AK4*60</f>
        <v>0</v>
      </c>
      <c r="AR4" s="67"/>
      <c r="AS4" s="68"/>
      <c r="AT4" s="69"/>
      <c r="AU4" s="70"/>
      <c r="AV4" s="71"/>
      <c r="AW4" s="72"/>
      <c r="AX4" s="72"/>
      <c r="AY4" s="68"/>
      <c r="AZ4" s="73"/>
    </row>
    <row r="5" spans="1:52" ht="16.5" thickBot="1" x14ac:dyDescent="0.3">
      <c r="A5" s="74">
        <v>3030</v>
      </c>
      <c r="B5" s="75" t="s">
        <v>26</v>
      </c>
      <c r="C5" s="76">
        <v>322</v>
      </c>
      <c r="D5" s="26">
        <f>C5/3</f>
        <v>107.33333333333333</v>
      </c>
      <c r="E5" s="27">
        <f t="shared" si="5"/>
        <v>107.33333333333333</v>
      </c>
      <c r="F5" s="29">
        <f t="shared" si="6"/>
        <v>107.33333333333333</v>
      </c>
      <c r="G5" s="30">
        <v>2</v>
      </c>
      <c r="H5" s="31">
        <v>1</v>
      </c>
      <c r="I5" s="32">
        <v>3</v>
      </c>
      <c r="J5" s="77"/>
      <c r="K5" s="33"/>
      <c r="L5" s="34"/>
      <c r="M5" s="34"/>
      <c r="N5" s="62"/>
      <c r="O5" s="34"/>
      <c r="P5" s="34"/>
      <c r="Q5" s="34"/>
      <c r="R5" s="62"/>
      <c r="S5" s="37"/>
      <c r="T5" s="34"/>
      <c r="U5" s="34"/>
      <c r="V5" s="62"/>
      <c r="W5" s="38"/>
      <c r="X5" s="31"/>
      <c r="Y5" s="31"/>
      <c r="Z5" s="78"/>
      <c r="AA5" s="37"/>
      <c r="AB5" s="34"/>
      <c r="AC5" s="34"/>
      <c r="AD5" s="64"/>
      <c r="AE5" s="79"/>
      <c r="AF5" s="64"/>
      <c r="AG5" s="43">
        <f t="shared" si="0"/>
        <v>2</v>
      </c>
      <c r="AH5" s="44">
        <f t="shared" si="0"/>
        <v>1</v>
      </c>
      <c r="AI5" s="44">
        <f t="shared" si="0"/>
        <v>3</v>
      </c>
      <c r="AJ5" s="45">
        <f t="shared" si="0"/>
        <v>0</v>
      </c>
      <c r="AK5" s="80">
        <f t="shared" si="1"/>
        <v>6</v>
      </c>
      <c r="AL5" s="66">
        <v>1.75</v>
      </c>
      <c r="AM5" s="48">
        <f t="shared" si="7"/>
        <v>3.5</v>
      </c>
      <c r="AN5" s="48">
        <f t="shared" si="2"/>
        <v>1.75</v>
      </c>
      <c r="AO5" s="49">
        <f t="shared" si="8"/>
        <v>5.25</v>
      </c>
      <c r="AP5" s="49">
        <f t="shared" si="3"/>
        <v>0</v>
      </c>
      <c r="AQ5" s="50">
        <f t="shared" si="9"/>
        <v>360</v>
      </c>
      <c r="AR5" s="81">
        <v>42.35</v>
      </c>
      <c r="AS5" s="82">
        <v>7.6499999999999986</v>
      </c>
      <c r="AT5" s="83">
        <f t="shared" ref="AT5:AT17" si="10">AK5*AS5</f>
        <v>45.899999999999991</v>
      </c>
      <c r="AU5" s="84">
        <f t="shared" ref="AU5:AU19" si="11">AK5*AL5</f>
        <v>10.5</v>
      </c>
      <c r="AV5" s="85">
        <v>0</v>
      </c>
      <c r="AW5" s="86"/>
      <c r="AX5" s="86"/>
      <c r="AY5" s="82"/>
      <c r="AZ5" s="87">
        <f t="shared" ref="AZ5:AZ17" si="12">AT5-AU5-AW5-AX5-AY5</f>
        <v>35.399999999999991</v>
      </c>
    </row>
    <row r="6" spans="1:52" ht="16.5" thickBot="1" x14ac:dyDescent="0.3">
      <c r="A6" s="74">
        <v>3030</v>
      </c>
      <c r="B6" s="75" t="s">
        <v>27</v>
      </c>
      <c r="C6" s="76">
        <v>64</v>
      </c>
      <c r="D6" s="26">
        <f>C6/3</f>
        <v>21.333333333333332</v>
      </c>
      <c r="E6" s="27">
        <f t="shared" si="5"/>
        <v>21.333333333333332</v>
      </c>
      <c r="F6" s="29">
        <f t="shared" si="6"/>
        <v>21.333333333333332</v>
      </c>
      <c r="G6" s="30">
        <v>3</v>
      </c>
      <c r="H6" s="31">
        <v>0</v>
      </c>
      <c r="I6" s="32">
        <v>1</v>
      </c>
      <c r="J6" s="77"/>
      <c r="K6" s="33"/>
      <c r="L6" s="34"/>
      <c r="M6" s="34"/>
      <c r="N6" s="62"/>
      <c r="O6" s="34"/>
      <c r="P6" s="34"/>
      <c r="Q6" s="34"/>
      <c r="R6" s="62"/>
      <c r="S6" s="37"/>
      <c r="T6" s="34"/>
      <c r="U6" s="34"/>
      <c r="V6" s="62"/>
      <c r="W6" s="38"/>
      <c r="X6" s="31"/>
      <c r="Y6" s="31"/>
      <c r="Z6" s="78"/>
      <c r="AA6" s="37"/>
      <c r="AB6" s="34"/>
      <c r="AC6" s="34"/>
      <c r="AD6" s="64"/>
      <c r="AE6" s="79"/>
      <c r="AF6" s="64"/>
      <c r="AG6" s="43">
        <f t="shared" si="0"/>
        <v>3</v>
      </c>
      <c r="AH6" s="44">
        <f t="shared" si="0"/>
        <v>0</v>
      </c>
      <c r="AI6" s="44">
        <f t="shared" si="0"/>
        <v>1</v>
      </c>
      <c r="AJ6" s="45">
        <f t="shared" si="0"/>
        <v>0</v>
      </c>
      <c r="AK6" s="80">
        <f t="shared" si="1"/>
        <v>4</v>
      </c>
      <c r="AL6" s="66">
        <v>1.75</v>
      </c>
      <c r="AM6" s="48">
        <f t="shared" si="7"/>
        <v>5.25</v>
      </c>
      <c r="AN6" s="48">
        <f t="shared" si="2"/>
        <v>0</v>
      </c>
      <c r="AO6" s="49">
        <f t="shared" si="8"/>
        <v>1.75</v>
      </c>
      <c r="AP6" s="49">
        <f t="shared" si="3"/>
        <v>0</v>
      </c>
      <c r="AQ6" s="50">
        <f t="shared" si="9"/>
        <v>240</v>
      </c>
      <c r="AR6" s="81">
        <v>42.5</v>
      </c>
      <c r="AS6" s="82">
        <v>7.5</v>
      </c>
      <c r="AT6" s="83">
        <f t="shared" si="10"/>
        <v>30</v>
      </c>
      <c r="AU6" s="84">
        <f t="shared" si="11"/>
        <v>7</v>
      </c>
      <c r="AV6" s="85">
        <v>0</v>
      </c>
      <c r="AW6" s="86"/>
      <c r="AX6" s="86"/>
      <c r="AY6" s="82"/>
      <c r="AZ6" s="87">
        <f t="shared" si="12"/>
        <v>23</v>
      </c>
    </row>
    <row r="7" spans="1:52" ht="16.5" thickBot="1" x14ac:dyDescent="0.3">
      <c r="A7" s="74">
        <v>3030</v>
      </c>
      <c r="B7" s="75" t="s">
        <v>25</v>
      </c>
      <c r="C7" s="76">
        <v>2776</v>
      </c>
      <c r="D7" s="26">
        <f t="shared" si="4"/>
        <v>925.33333333333337</v>
      </c>
      <c r="E7" s="27">
        <f t="shared" si="5"/>
        <v>925.33333333333337</v>
      </c>
      <c r="F7" s="29">
        <f t="shared" si="6"/>
        <v>925.33333333333337</v>
      </c>
      <c r="G7" s="30">
        <v>6</v>
      </c>
      <c r="H7" s="31">
        <v>6</v>
      </c>
      <c r="I7" s="32">
        <v>5</v>
      </c>
      <c r="J7" s="77"/>
      <c r="K7" s="33"/>
      <c r="L7" s="34"/>
      <c r="M7" s="34"/>
      <c r="N7" s="62"/>
      <c r="O7" s="34"/>
      <c r="P7" s="34"/>
      <c r="Q7" s="34"/>
      <c r="R7" s="62"/>
      <c r="S7" s="37"/>
      <c r="T7" s="34"/>
      <c r="U7" s="34"/>
      <c r="V7" s="62"/>
      <c r="W7" s="38"/>
      <c r="X7" s="31"/>
      <c r="Y7" s="31"/>
      <c r="Z7" s="78"/>
      <c r="AA7" s="37"/>
      <c r="AB7" s="34"/>
      <c r="AC7" s="34"/>
      <c r="AD7" s="64"/>
      <c r="AE7" s="79"/>
      <c r="AF7" s="64"/>
      <c r="AG7" s="43">
        <f t="shared" si="0"/>
        <v>6</v>
      </c>
      <c r="AH7" s="44">
        <f t="shared" si="0"/>
        <v>6</v>
      </c>
      <c r="AI7" s="44">
        <f t="shared" si="0"/>
        <v>5</v>
      </c>
      <c r="AJ7" s="45">
        <f t="shared" si="0"/>
        <v>0</v>
      </c>
      <c r="AK7" s="80">
        <f t="shared" si="1"/>
        <v>17</v>
      </c>
      <c r="AL7" s="47">
        <v>1.5</v>
      </c>
      <c r="AM7" s="48">
        <f t="shared" si="7"/>
        <v>9</v>
      </c>
      <c r="AN7" s="48">
        <f t="shared" si="2"/>
        <v>9</v>
      </c>
      <c r="AO7" s="49">
        <f t="shared" si="8"/>
        <v>7.5</v>
      </c>
      <c r="AP7" s="49">
        <f t="shared" si="3"/>
        <v>0</v>
      </c>
      <c r="AQ7" s="50">
        <f t="shared" si="9"/>
        <v>1020</v>
      </c>
      <c r="AR7" s="81">
        <v>48.33</v>
      </c>
      <c r="AS7" s="82">
        <f>56-AR7</f>
        <v>7.6700000000000017</v>
      </c>
      <c r="AT7" s="83">
        <f t="shared" si="10"/>
        <v>130.39000000000004</v>
      </c>
      <c r="AU7" s="84">
        <f t="shared" si="11"/>
        <v>25.5</v>
      </c>
      <c r="AV7" s="85">
        <v>0</v>
      </c>
      <c r="AW7" s="86"/>
      <c r="AX7" s="86"/>
      <c r="AY7" s="82"/>
      <c r="AZ7" s="87">
        <f t="shared" si="12"/>
        <v>104.89000000000004</v>
      </c>
    </row>
    <row r="8" spans="1:52" ht="16.5" thickBot="1" x14ac:dyDescent="0.3">
      <c r="A8" s="74">
        <v>3030</v>
      </c>
      <c r="B8" s="75" t="s">
        <v>28</v>
      </c>
      <c r="C8" s="76">
        <v>136</v>
      </c>
      <c r="D8" s="26">
        <f t="shared" si="4"/>
        <v>45.333333333333336</v>
      </c>
      <c r="E8" s="27">
        <f t="shared" si="5"/>
        <v>45.333333333333336</v>
      </c>
      <c r="F8" s="29">
        <f t="shared" si="6"/>
        <v>45.333333333333336</v>
      </c>
      <c r="G8" s="30">
        <v>0</v>
      </c>
      <c r="H8" s="31">
        <v>0</v>
      </c>
      <c r="I8" s="32">
        <v>0</v>
      </c>
      <c r="J8" s="77"/>
      <c r="K8" s="33"/>
      <c r="L8" s="34"/>
      <c r="M8" s="34"/>
      <c r="N8" s="62"/>
      <c r="O8" s="34"/>
      <c r="P8" s="34"/>
      <c r="Q8" s="34"/>
      <c r="R8" s="62"/>
      <c r="S8" s="37"/>
      <c r="T8" s="34"/>
      <c r="U8" s="34"/>
      <c r="V8" s="62"/>
      <c r="W8" s="38"/>
      <c r="X8" s="31"/>
      <c r="Y8" s="31"/>
      <c r="Z8" s="78"/>
      <c r="AA8" s="37"/>
      <c r="AB8" s="34"/>
      <c r="AC8" s="34"/>
      <c r="AD8" s="64"/>
      <c r="AE8" s="79"/>
      <c r="AF8" s="64"/>
      <c r="AG8" s="43">
        <f t="shared" si="0"/>
        <v>0</v>
      </c>
      <c r="AH8" s="44">
        <f t="shared" si="0"/>
        <v>0</v>
      </c>
      <c r="AI8" s="44">
        <f t="shared" si="0"/>
        <v>0</v>
      </c>
      <c r="AJ8" s="45">
        <f t="shared" si="0"/>
        <v>0</v>
      </c>
      <c r="AK8" s="80">
        <f t="shared" si="1"/>
        <v>0</v>
      </c>
      <c r="AL8" s="47">
        <v>1.5</v>
      </c>
      <c r="AM8" s="48">
        <f t="shared" si="7"/>
        <v>0</v>
      </c>
      <c r="AN8" s="48">
        <f t="shared" si="2"/>
        <v>0</v>
      </c>
      <c r="AO8" s="49">
        <f t="shared" si="8"/>
        <v>0</v>
      </c>
      <c r="AP8" s="49">
        <f t="shared" si="3"/>
        <v>0</v>
      </c>
      <c r="AQ8" s="50">
        <f t="shared" si="9"/>
        <v>0</v>
      </c>
      <c r="AR8" s="81">
        <v>43.2</v>
      </c>
      <c r="AS8" s="82">
        <v>6.7999999999999972</v>
      </c>
      <c r="AT8" s="83">
        <f t="shared" si="10"/>
        <v>0</v>
      </c>
      <c r="AU8" s="84">
        <f t="shared" si="11"/>
        <v>0</v>
      </c>
      <c r="AV8" s="85">
        <v>0</v>
      </c>
      <c r="AW8" s="86"/>
      <c r="AX8" s="86"/>
      <c r="AY8" s="82"/>
      <c r="AZ8" s="87">
        <f t="shared" si="12"/>
        <v>0</v>
      </c>
    </row>
    <row r="9" spans="1:52" ht="16.5" thickBot="1" x14ac:dyDescent="0.3">
      <c r="A9" s="74">
        <v>3030</v>
      </c>
      <c r="B9" s="75" t="s">
        <v>29</v>
      </c>
      <c r="C9" s="76">
        <v>67</v>
      </c>
      <c r="D9" s="26">
        <f t="shared" si="4"/>
        <v>22.333333333333332</v>
      </c>
      <c r="E9" s="27">
        <f t="shared" si="5"/>
        <v>22.333333333333332</v>
      </c>
      <c r="F9" s="29">
        <f t="shared" si="6"/>
        <v>22.333333333333332</v>
      </c>
      <c r="G9" s="30">
        <v>0</v>
      </c>
      <c r="H9" s="31">
        <v>0</v>
      </c>
      <c r="I9" s="32">
        <v>0</v>
      </c>
      <c r="J9" s="77"/>
      <c r="K9" s="33"/>
      <c r="L9" s="34"/>
      <c r="M9" s="34"/>
      <c r="N9" s="62"/>
      <c r="O9" s="34"/>
      <c r="P9" s="34"/>
      <c r="Q9" s="34"/>
      <c r="R9" s="62"/>
      <c r="S9" s="37"/>
      <c r="T9" s="34"/>
      <c r="U9" s="34"/>
      <c r="V9" s="62"/>
      <c r="W9" s="38"/>
      <c r="X9" s="31"/>
      <c r="Y9" s="31"/>
      <c r="Z9" s="78"/>
      <c r="AA9" s="37"/>
      <c r="AB9" s="34"/>
      <c r="AC9" s="34"/>
      <c r="AD9" s="64"/>
      <c r="AE9" s="79"/>
      <c r="AF9" s="64"/>
      <c r="AG9" s="43">
        <f t="shared" si="0"/>
        <v>0</v>
      </c>
      <c r="AH9" s="44">
        <f t="shared" si="0"/>
        <v>0</v>
      </c>
      <c r="AI9" s="44">
        <f t="shared" si="0"/>
        <v>0</v>
      </c>
      <c r="AJ9" s="45">
        <f t="shared" si="0"/>
        <v>0</v>
      </c>
      <c r="AK9" s="80">
        <f t="shared" si="1"/>
        <v>0</v>
      </c>
      <c r="AL9" s="47">
        <v>1.5</v>
      </c>
      <c r="AM9" s="48">
        <f t="shared" si="7"/>
        <v>0</v>
      </c>
      <c r="AN9" s="48">
        <f t="shared" si="2"/>
        <v>0</v>
      </c>
      <c r="AO9" s="49">
        <f t="shared" si="8"/>
        <v>0</v>
      </c>
      <c r="AP9" s="49">
        <f t="shared" si="3"/>
        <v>0</v>
      </c>
      <c r="AQ9" s="50">
        <f t="shared" si="9"/>
        <v>0</v>
      </c>
      <c r="AR9" s="81">
        <v>43.2</v>
      </c>
      <c r="AS9" s="82">
        <v>6.7999999999999972</v>
      </c>
      <c r="AT9" s="83">
        <f t="shared" si="10"/>
        <v>0</v>
      </c>
      <c r="AU9" s="84">
        <f t="shared" si="11"/>
        <v>0</v>
      </c>
      <c r="AV9" s="85">
        <v>0</v>
      </c>
      <c r="AW9" s="86"/>
      <c r="AX9" s="86"/>
      <c r="AY9" s="82"/>
      <c r="AZ9" s="87">
        <f t="shared" si="12"/>
        <v>0</v>
      </c>
    </row>
    <row r="10" spans="1:52" ht="16.5" thickBot="1" x14ac:dyDescent="0.3">
      <c r="A10" s="74">
        <v>3030</v>
      </c>
      <c r="B10" s="75" t="s">
        <v>30</v>
      </c>
      <c r="C10" s="76"/>
      <c r="D10" s="26">
        <f t="shared" si="4"/>
        <v>0</v>
      </c>
      <c r="E10" s="27">
        <f t="shared" si="5"/>
        <v>0</v>
      </c>
      <c r="F10" s="29">
        <f t="shared" si="6"/>
        <v>0</v>
      </c>
      <c r="G10" s="30">
        <v>0</v>
      </c>
      <c r="H10" s="31">
        <v>0</v>
      </c>
      <c r="I10" s="32">
        <v>0</v>
      </c>
      <c r="J10" s="77"/>
      <c r="K10" s="33"/>
      <c r="L10" s="34"/>
      <c r="M10" s="34"/>
      <c r="N10" s="62"/>
      <c r="O10" s="34"/>
      <c r="P10" s="34"/>
      <c r="Q10" s="34"/>
      <c r="R10" s="62"/>
      <c r="S10" s="37"/>
      <c r="T10" s="34"/>
      <c r="U10" s="34"/>
      <c r="V10" s="62"/>
      <c r="W10" s="38"/>
      <c r="X10" s="31"/>
      <c r="Y10" s="31"/>
      <c r="Z10" s="78"/>
      <c r="AA10" s="37"/>
      <c r="AB10" s="34"/>
      <c r="AC10" s="34"/>
      <c r="AD10" s="64"/>
      <c r="AE10" s="79"/>
      <c r="AF10" s="64"/>
      <c r="AG10" s="43">
        <f t="shared" si="0"/>
        <v>0</v>
      </c>
      <c r="AH10" s="44">
        <f t="shared" si="0"/>
        <v>0</v>
      </c>
      <c r="AI10" s="44">
        <f t="shared" si="0"/>
        <v>0</v>
      </c>
      <c r="AJ10" s="45">
        <f t="shared" si="0"/>
        <v>0</v>
      </c>
      <c r="AK10" s="80">
        <f t="shared" si="1"/>
        <v>0</v>
      </c>
      <c r="AL10" s="47">
        <v>1.5</v>
      </c>
      <c r="AM10" s="48">
        <f t="shared" si="7"/>
        <v>0</v>
      </c>
      <c r="AN10" s="48">
        <f t="shared" si="2"/>
        <v>0</v>
      </c>
      <c r="AO10" s="49">
        <f t="shared" si="8"/>
        <v>0</v>
      </c>
      <c r="AP10" s="49">
        <f t="shared" si="3"/>
        <v>0</v>
      </c>
      <c r="AQ10" s="50">
        <f t="shared" si="9"/>
        <v>0</v>
      </c>
      <c r="AR10" s="81">
        <v>43.2</v>
      </c>
      <c r="AS10" s="82">
        <v>6.7999999999999972</v>
      </c>
      <c r="AT10" s="83">
        <f t="shared" si="10"/>
        <v>0</v>
      </c>
      <c r="AU10" s="84">
        <f t="shared" si="11"/>
        <v>0</v>
      </c>
      <c r="AV10" s="85">
        <v>0</v>
      </c>
      <c r="AW10" s="86"/>
      <c r="AX10" s="86"/>
      <c r="AY10" s="82"/>
      <c r="AZ10" s="87">
        <f t="shared" si="12"/>
        <v>0</v>
      </c>
    </row>
    <row r="11" spans="1:52" ht="16.5" thickBot="1" x14ac:dyDescent="0.3">
      <c r="A11" s="74">
        <v>3030</v>
      </c>
      <c r="B11" s="75" t="s">
        <v>31</v>
      </c>
      <c r="C11" s="76">
        <v>67</v>
      </c>
      <c r="D11" s="26">
        <f t="shared" si="4"/>
        <v>22.333333333333332</v>
      </c>
      <c r="E11" s="27">
        <f t="shared" si="5"/>
        <v>22.333333333333332</v>
      </c>
      <c r="F11" s="29">
        <f t="shared" si="6"/>
        <v>22.333333333333332</v>
      </c>
      <c r="G11" s="30">
        <v>0</v>
      </c>
      <c r="H11" s="31">
        <v>0</v>
      </c>
      <c r="I11" s="32">
        <v>0</v>
      </c>
      <c r="J11" s="77"/>
      <c r="K11" s="33"/>
      <c r="L11" s="34"/>
      <c r="M11" s="34"/>
      <c r="N11" s="62"/>
      <c r="O11" s="34"/>
      <c r="P11" s="34"/>
      <c r="Q11" s="34"/>
      <c r="R11" s="62"/>
      <c r="S11" s="37"/>
      <c r="T11" s="34"/>
      <c r="U11" s="34"/>
      <c r="V11" s="62"/>
      <c r="W11" s="38"/>
      <c r="X11" s="31"/>
      <c r="Y11" s="31"/>
      <c r="Z11" s="78"/>
      <c r="AA11" s="37"/>
      <c r="AB11" s="34"/>
      <c r="AC11" s="34"/>
      <c r="AD11" s="64"/>
      <c r="AE11" s="79"/>
      <c r="AF11" s="64"/>
      <c r="AG11" s="43">
        <f t="shared" si="0"/>
        <v>0</v>
      </c>
      <c r="AH11" s="44">
        <f t="shared" si="0"/>
        <v>0</v>
      </c>
      <c r="AI11" s="44">
        <f t="shared" si="0"/>
        <v>0</v>
      </c>
      <c r="AJ11" s="45">
        <f t="shared" si="0"/>
        <v>0</v>
      </c>
      <c r="AK11" s="80">
        <f t="shared" si="1"/>
        <v>0</v>
      </c>
      <c r="AL11" s="47">
        <v>1.5</v>
      </c>
      <c r="AM11" s="48">
        <f t="shared" si="7"/>
        <v>0</v>
      </c>
      <c r="AN11" s="48">
        <f t="shared" si="2"/>
        <v>0</v>
      </c>
      <c r="AO11" s="49">
        <f t="shared" si="8"/>
        <v>0</v>
      </c>
      <c r="AP11" s="49">
        <f t="shared" si="3"/>
        <v>0</v>
      </c>
      <c r="AQ11" s="50">
        <f t="shared" si="9"/>
        <v>0</v>
      </c>
      <c r="AR11" s="81">
        <v>43.2</v>
      </c>
      <c r="AS11" s="82">
        <v>6.7999999999999972</v>
      </c>
      <c r="AT11" s="83">
        <f t="shared" si="10"/>
        <v>0</v>
      </c>
      <c r="AU11" s="84">
        <f t="shared" si="11"/>
        <v>0</v>
      </c>
      <c r="AV11" s="85">
        <v>0</v>
      </c>
      <c r="AW11" s="86"/>
      <c r="AX11" s="86"/>
      <c r="AY11" s="82"/>
      <c r="AZ11" s="87">
        <f t="shared" si="12"/>
        <v>0</v>
      </c>
    </row>
    <row r="12" spans="1:52" ht="16.5" thickBot="1" x14ac:dyDescent="0.3">
      <c r="A12" s="74">
        <v>3030</v>
      </c>
      <c r="B12" s="75" t="s">
        <v>32</v>
      </c>
      <c r="C12" s="88">
        <v>0</v>
      </c>
      <c r="D12" s="26">
        <f t="shared" si="4"/>
        <v>0</v>
      </c>
      <c r="E12" s="27">
        <f t="shared" si="5"/>
        <v>0</v>
      </c>
      <c r="F12" s="29">
        <f t="shared" si="6"/>
        <v>0</v>
      </c>
      <c r="G12" s="30">
        <v>0</v>
      </c>
      <c r="H12" s="31">
        <v>0</v>
      </c>
      <c r="I12" s="32">
        <v>0</v>
      </c>
      <c r="J12" s="77"/>
      <c r="K12" s="33"/>
      <c r="L12" s="34"/>
      <c r="M12" s="34"/>
      <c r="N12" s="62"/>
      <c r="O12" s="34"/>
      <c r="P12" s="34"/>
      <c r="Q12" s="34"/>
      <c r="R12" s="62"/>
      <c r="S12" s="37"/>
      <c r="T12" s="34"/>
      <c r="U12" s="34"/>
      <c r="V12" s="62"/>
      <c r="W12" s="38"/>
      <c r="X12" s="31"/>
      <c r="Y12" s="31"/>
      <c r="Z12" s="78"/>
      <c r="AA12" s="37"/>
      <c r="AB12" s="34"/>
      <c r="AC12" s="34"/>
      <c r="AD12" s="64"/>
      <c r="AE12" s="79"/>
      <c r="AF12" s="64"/>
      <c r="AG12" s="43">
        <f t="shared" si="0"/>
        <v>0</v>
      </c>
      <c r="AH12" s="44">
        <f t="shared" si="0"/>
        <v>0</v>
      </c>
      <c r="AI12" s="44">
        <f t="shared" si="0"/>
        <v>0</v>
      </c>
      <c r="AJ12" s="45">
        <f t="shared" si="0"/>
        <v>0</v>
      </c>
      <c r="AK12" s="80">
        <f t="shared" si="1"/>
        <v>0</v>
      </c>
      <c r="AL12" s="47">
        <v>2</v>
      </c>
      <c r="AM12" s="48">
        <f t="shared" si="7"/>
        <v>0</v>
      </c>
      <c r="AN12" s="48">
        <f t="shared" si="2"/>
        <v>0</v>
      </c>
      <c r="AO12" s="49">
        <f t="shared" si="8"/>
        <v>0</v>
      </c>
      <c r="AP12" s="49">
        <f t="shared" si="3"/>
        <v>0</v>
      </c>
      <c r="AQ12" s="50">
        <f t="shared" si="9"/>
        <v>0</v>
      </c>
      <c r="AR12" s="81">
        <v>42.35</v>
      </c>
      <c r="AS12" s="82">
        <v>7.6499999999999986</v>
      </c>
      <c r="AT12" s="83">
        <f t="shared" si="10"/>
        <v>0</v>
      </c>
      <c r="AU12" s="84">
        <f t="shared" si="11"/>
        <v>0</v>
      </c>
      <c r="AV12" s="85">
        <v>0</v>
      </c>
      <c r="AW12" s="86"/>
      <c r="AX12" s="86"/>
      <c r="AY12" s="82"/>
      <c r="AZ12" s="87">
        <f t="shared" si="12"/>
        <v>0</v>
      </c>
    </row>
    <row r="13" spans="1:52" ht="16.5" thickBot="1" x14ac:dyDescent="0.3">
      <c r="A13" s="74">
        <v>2250</v>
      </c>
      <c r="B13" s="75" t="s">
        <v>25</v>
      </c>
      <c r="C13" s="76"/>
      <c r="D13" s="26">
        <f t="shared" si="4"/>
        <v>0</v>
      </c>
      <c r="E13" s="27">
        <f t="shared" si="5"/>
        <v>0</v>
      </c>
      <c r="F13" s="29">
        <f t="shared" si="6"/>
        <v>0</v>
      </c>
      <c r="G13" s="30">
        <v>0</v>
      </c>
      <c r="H13" s="31">
        <v>0</v>
      </c>
      <c r="I13" s="32">
        <v>0</v>
      </c>
      <c r="J13" s="77"/>
      <c r="K13" s="33"/>
      <c r="L13" s="34"/>
      <c r="M13" s="34"/>
      <c r="N13" s="62"/>
      <c r="O13" s="34"/>
      <c r="P13" s="34"/>
      <c r="Q13" s="34"/>
      <c r="R13" s="62"/>
      <c r="S13" s="37"/>
      <c r="T13" s="34"/>
      <c r="U13" s="34"/>
      <c r="V13" s="62"/>
      <c r="W13" s="38"/>
      <c r="X13" s="31"/>
      <c r="Y13" s="31"/>
      <c r="Z13" s="78"/>
      <c r="AA13" s="37"/>
      <c r="AB13" s="34"/>
      <c r="AC13" s="34"/>
      <c r="AD13" s="64"/>
      <c r="AE13" s="79"/>
      <c r="AF13" s="64"/>
      <c r="AG13" s="43">
        <f t="shared" si="0"/>
        <v>0</v>
      </c>
      <c r="AH13" s="44">
        <f t="shared" si="0"/>
        <v>0</v>
      </c>
      <c r="AI13" s="44">
        <f t="shared" si="0"/>
        <v>0</v>
      </c>
      <c r="AJ13" s="45">
        <f>J13+N13+R13+V13+Z13+AD13</f>
        <v>0</v>
      </c>
      <c r="AK13" s="80">
        <f t="shared" si="1"/>
        <v>0</v>
      </c>
      <c r="AL13" s="47">
        <v>1.5</v>
      </c>
      <c r="AM13" s="48">
        <f t="shared" si="7"/>
        <v>0</v>
      </c>
      <c r="AN13" s="48">
        <f t="shared" si="2"/>
        <v>0</v>
      </c>
      <c r="AO13" s="49">
        <f t="shared" si="8"/>
        <v>0</v>
      </c>
      <c r="AP13" s="49">
        <f t="shared" si="3"/>
        <v>0</v>
      </c>
      <c r="AQ13" s="50">
        <f t="shared" si="9"/>
        <v>0</v>
      </c>
      <c r="AR13" s="81">
        <v>34.68</v>
      </c>
      <c r="AS13" s="82">
        <v>5.32</v>
      </c>
      <c r="AT13" s="83">
        <f t="shared" si="10"/>
        <v>0</v>
      </c>
      <c r="AU13" s="84">
        <f t="shared" si="11"/>
        <v>0</v>
      </c>
      <c r="AV13" s="85">
        <v>0</v>
      </c>
      <c r="AW13" s="86"/>
      <c r="AX13" s="86"/>
      <c r="AY13" s="82"/>
      <c r="AZ13" s="87">
        <f t="shared" si="12"/>
        <v>0</v>
      </c>
    </row>
    <row r="14" spans="1:52" ht="16.5" thickBot="1" x14ac:dyDescent="0.3">
      <c r="A14" s="74">
        <v>2250</v>
      </c>
      <c r="B14" s="75" t="s">
        <v>33</v>
      </c>
      <c r="C14" s="76"/>
      <c r="D14" s="26">
        <f t="shared" si="4"/>
        <v>0</v>
      </c>
      <c r="E14" s="27">
        <f t="shared" si="5"/>
        <v>0</v>
      </c>
      <c r="F14" s="29">
        <f t="shared" si="6"/>
        <v>0</v>
      </c>
      <c r="G14" s="30">
        <v>0</v>
      </c>
      <c r="H14" s="31">
        <v>0</v>
      </c>
      <c r="I14" s="32">
        <v>0</v>
      </c>
      <c r="J14" s="77"/>
      <c r="K14" s="33"/>
      <c r="L14" s="34"/>
      <c r="M14" s="34"/>
      <c r="N14" s="62"/>
      <c r="O14" s="34"/>
      <c r="P14" s="34"/>
      <c r="Q14" s="34"/>
      <c r="R14" s="62"/>
      <c r="S14" s="37"/>
      <c r="T14" s="34"/>
      <c r="U14" s="34"/>
      <c r="V14" s="62"/>
      <c r="W14" s="38"/>
      <c r="X14" s="31"/>
      <c r="Y14" s="31"/>
      <c r="Z14" s="78"/>
      <c r="AA14" s="37"/>
      <c r="AB14" s="34"/>
      <c r="AC14" s="34"/>
      <c r="AD14" s="64"/>
      <c r="AE14" s="79"/>
      <c r="AF14" s="64"/>
      <c r="AG14" s="43">
        <f t="shared" si="0"/>
        <v>0</v>
      </c>
      <c r="AH14" s="44">
        <f t="shared" si="0"/>
        <v>0</v>
      </c>
      <c r="AI14" s="44">
        <f t="shared" si="0"/>
        <v>0</v>
      </c>
      <c r="AJ14" s="45">
        <f t="shared" si="0"/>
        <v>0</v>
      </c>
      <c r="AK14" s="80">
        <f t="shared" si="1"/>
        <v>0</v>
      </c>
      <c r="AL14" s="47">
        <v>1.5</v>
      </c>
      <c r="AM14" s="48">
        <f t="shared" si="7"/>
        <v>0</v>
      </c>
      <c r="AN14" s="48">
        <f t="shared" si="2"/>
        <v>0</v>
      </c>
      <c r="AO14" s="49">
        <f t="shared" si="8"/>
        <v>0</v>
      </c>
      <c r="AP14" s="49">
        <f t="shared" si="3"/>
        <v>0</v>
      </c>
      <c r="AQ14" s="50">
        <f t="shared" si="9"/>
        <v>0</v>
      </c>
      <c r="AR14" s="81">
        <v>34.68</v>
      </c>
      <c r="AS14" s="82">
        <v>5.32</v>
      </c>
      <c r="AT14" s="83">
        <f t="shared" si="10"/>
        <v>0</v>
      </c>
      <c r="AU14" s="84">
        <f t="shared" si="11"/>
        <v>0</v>
      </c>
      <c r="AV14" s="85">
        <v>0</v>
      </c>
      <c r="AW14" s="86"/>
      <c r="AX14" s="86"/>
      <c r="AY14" s="82"/>
      <c r="AZ14" s="87">
        <f t="shared" si="12"/>
        <v>0</v>
      </c>
    </row>
    <row r="15" spans="1:52" ht="16.5" thickBot="1" x14ac:dyDescent="0.3">
      <c r="A15" s="74">
        <v>1800</v>
      </c>
      <c r="B15" s="75" t="s">
        <v>34</v>
      </c>
      <c r="C15" s="76"/>
      <c r="D15" s="26">
        <f t="shared" si="4"/>
        <v>0</v>
      </c>
      <c r="E15" s="27">
        <f t="shared" si="5"/>
        <v>0</v>
      </c>
      <c r="F15" s="29">
        <f t="shared" si="6"/>
        <v>0</v>
      </c>
      <c r="G15" s="30">
        <v>0</v>
      </c>
      <c r="H15" s="31">
        <v>0</v>
      </c>
      <c r="I15" s="32">
        <v>0</v>
      </c>
      <c r="J15" s="77"/>
      <c r="K15" s="33"/>
      <c r="L15" s="34"/>
      <c r="M15" s="34"/>
      <c r="N15" s="62"/>
      <c r="O15" s="34"/>
      <c r="P15" s="34"/>
      <c r="Q15" s="34"/>
      <c r="R15" s="62"/>
      <c r="S15" s="37"/>
      <c r="T15" s="34"/>
      <c r="U15" s="34"/>
      <c r="V15" s="62"/>
      <c r="W15" s="38"/>
      <c r="X15" s="31"/>
      <c r="Y15" s="31"/>
      <c r="Z15" s="78"/>
      <c r="AA15" s="37"/>
      <c r="AB15" s="34"/>
      <c r="AC15" s="34"/>
      <c r="AD15" s="64"/>
      <c r="AE15" s="79"/>
      <c r="AF15" s="64"/>
      <c r="AG15" s="43">
        <f t="shared" si="0"/>
        <v>0</v>
      </c>
      <c r="AH15" s="44">
        <f t="shared" si="0"/>
        <v>0</v>
      </c>
      <c r="AI15" s="44">
        <f t="shared" si="0"/>
        <v>0</v>
      </c>
      <c r="AJ15" s="45">
        <f t="shared" si="0"/>
        <v>0</v>
      </c>
      <c r="AK15" s="80">
        <f t="shared" si="1"/>
        <v>0</v>
      </c>
      <c r="AL15" s="47">
        <v>1.5</v>
      </c>
      <c r="AM15" s="48">
        <f t="shared" si="7"/>
        <v>0</v>
      </c>
      <c r="AN15" s="48">
        <f t="shared" si="2"/>
        <v>0</v>
      </c>
      <c r="AO15" s="49">
        <f t="shared" si="8"/>
        <v>0</v>
      </c>
      <c r="AP15" s="49">
        <f t="shared" si="3"/>
        <v>0</v>
      </c>
      <c r="AQ15" s="50">
        <f t="shared" si="9"/>
        <v>0</v>
      </c>
      <c r="AR15" s="81">
        <v>29.54</v>
      </c>
      <c r="AS15" s="82">
        <v>5.4600000000000009</v>
      </c>
      <c r="AT15" s="83">
        <f t="shared" si="10"/>
        <v>0</v>
      </c>
      <c r="AU15" s="84">
        <f t="shared" si="11"/>
        <v>0</v>
      </c>
      <c r="AV15" s="85">
        <v>0</v>
      </c>
      <c r="AW15" s="86"/>
      <c r="AX15" s="86"/>
      <c r="AY15" s="82"/>
      <c r="AZ15" s="87">
        <f t="shared" si="12"/>
        <v>0</v>
      </c>
    </row>
    <row r="16" spans="1:52" ht="16.5" thickBot="1" x14ac:dyDescent="0.3">
      <c r="A16" s="74">
        <v>1800</v>
      </c>
      <c r="B16" s="75" t="s">
        <v>25</v>
      </c>
      <c r="C16" s="88"/>
      <c r="D16" s="26">
        <f t="shared" si="4"/>
        <v>0</v>
      </c>
      <c r="E16" s="27">
        <f t="shared" si="5"/>
        <v>0</v>
      </c>
      <c r="F16" s="29">
        <f t="shared" si="6"/>
        <v>0</v>
      </c>
      <c r="G16" s="30">
        <v>0</v>
      </c>
      <c r="H16" s="31">
        <v>0</v>
      </c>
      <c r="I16" s="32">
        <v>0</v>
      </c>
      <c r="J16" s="77"/>
      <c r="K16" s="33"/>
      <c r="L16" s="34"/>
      <c r="M16" s="34"/>
      <c r="N16" s="62"/>
      <c r="O16" s="34"/>
      <c r="P16" s="34"/>
      <c r="Q16" s="34"/>
      <c r="R16" s="62"/>
      <c r="S16" s="37"/>
      <c r="T16" s="34"/>
      <c r="U16" s="34"/>
      <c r="V16" s="62"/>
      <c r="W16" s="38"/>
      <c r="X16" s="31"/>
      <c r="Y16" s="31"/>
      <c r="Z16" s="78"/>
      <c r="AA16" s="37"/>
      <c r="AB16" s="34"/>
      <c r="AC16" s="34"/>
      <c r="AD16" s="64"/>
      <c r="AE16" s="79"/>
      <c r="AF16" s="64"/>
      <c r="AG16" s="43">
        <f t="shared" si="0"/>
        <v>0</v>
      </c>
      <c r="AH16" s="44">
        <f t="shared" si="0"/>
        <v>0</v>
      </c>
      <c r="AI16" s="44">
        <f t="shared" si="0"/>
        <v>0</v>
      </c>
      <c r="AJ16" s="45">
        <f t="shared" si="0"/>
        <v>0</v>
      </c>
      <c r="AK16" s="80">
        <f t="shared" si="1"/>
        <v>0</v>
      </c>
      <c r="AL16" s="47">
        <v>1.5</v>
      </c>
      <c r="AM16" s="48">
        <f t="shared" si="7"/>
        <v>0</v>
      </c>
      <c r="AN16" s="48">
        <f t="shared" si="2"/>
        <v>0</v>
      </c>
      <c r="AO16" s="49">
        <f t="shared" si="8"/>
        <v>0</v>
      </c>
      <c r="AP16" s="49">
        <f t="shared" si="3"/>
        <v>0</v>
      </c>
      <c r="AQ16" s="50">
        <f t="shared" si="9"/>
        <v>0</v>
      </c>
      <c r="AR16" s="81">
        <v>28.05</v>
      </c>
      <c r="AS16" s="82">
        <v>6.9499999999999993</v>
      </c>
      <c r="AT16" s="83">
        <f t="shared" si="10"/>
        <v>0</v>
      </c>
      <c r="AU16" s="84">
        <f t="shared" si="11"/>
        <v>0</v>
      </c>
      <c r="AV16" s="85">
        <v>0</v>
      </c>
      <c r="AW16" s="86"/>
      <c r="AX16" s="86"/>
      <c r="AY16" s="82"/>
      <c r="AZ16" s="87">
        <f t="shared" si="12"/>
        <v>0</v>
      </c>
    </row>
    <row r="17" spans="1:52" ht="16.5" thickBot="1" x14ac:dyDescent="0.3">
      <c r="A17" s="74">
        <v>1.3</v>
      </c>
      <c r="B17" s="75" t="s">
        <v>35</v>
      </c>
      <c r="C17" s="76">
        <v>1302</v>
      </c>
      <c r="D17" s="26">
        <f t="shared" si="4"/>
        <v>434</v>
      </c>
      <c r="E17" s="27">
        <f t="shared" si="5"/>
        <v>434</v>
      </c>
      <c r="F17" s="29">
        <f t="shared" si="6"/>
        <v>434</v>
      </c>
      <c r="G17" s="30">
        <v>3</v>
      </c>
      <c r="H17" s="31">
        <v>0</v>
      </c>
      <c r="I17" s="32">
        <v>12</v>
      </c>
      <c r="J17" s="77"/>
      <c r="K17" s="33"/>
      <c r="L17" s="34"/>
      <c r="M17" s="34"/>
      <c r="N17" s="62"/>
      <c r="O17" s="34"/>
      <c r="P17" s="34"/>
      <c r="Q17" s="34"/>
      <c r="R17" s="62"/>
      <c r="S17" s="37"/>
      <c r="T17" s="34"/>
      <c r="U17" s="34"/>
      <c r="V17" s="62"/>
      <c r="W17" s="38"/>
      <c r="X17" s="31"/>
      <c r="Y17" s="31"/>
      <c r="Z17" s="78"/>
      <c r="AA17" s="37"/>
      <c r="AB17" s="34"/>
      <c r="AC17" s="34"/>
      <c r="AD17" s="64"/>
      <c r="AE17" s="79"/>
      <c r="AF17" s="89"/>
      <c r="AG17" s="43">
        <f t="shared" si="0"/>
        <v>3</v>
      </c>
      <c r="AH17" s="44">
        <f t="shared" si="0"/>
        <v>0</v>
      </c>
      <c r="AI17" s="44">
        <f t="shared" si="0"/>
        <v>12</v>
      </c>
      <c r="AJ17" s="45">
        <f t="shared" si="0"/>
        <v>0</v>
      </c>
      <c r="AK17" s="80">
        <f t="shared" si="1"/>
        <v>15</v>
      </c>
      <c r="AL17" s="66">
        <v>1</v>
      </c>
      <c r="AM17" s="48">
        <f t="shared" si="7"/>
        <v>3</v>
      </c>
      <c r="AN17" s="48">
        <f t="shared" si="2"/>
        <v>0</v>
      </c>
      <c r="AO17" s="49">
        <f t="shared" si="8"/>
        <v>12</v>
      </c>
      <c r="AP17" s="49">
        <f t="shared" si="3"/>
        <v>0</v>
      </c>
      <c r="AQ17" s="50">
        <f t="shared" si="9"/>
        <v>900</v>
      </c>
      <c r="AR17" s="81"/>
      <c r="AS17" s="82">
        <v>5.7</v>
      </c>
      <c r="AT17" s="83">
        <f t="shared" si="10"/>
        <v>85.5</v>
      </c>
      <c r="AU17" s="84">
        <f t="shared" si="11"/>
        <v>15</v>
      </c>
      <c r="AV17" s="85"/>
      <c r="AW17" s="86"/>
      <c r="AX17" s="86"/>
      <c r="AY17" s="82"/>
      <c r="AZ17" s="87">
        <f t="shared" si="12"/>
        <v>70.5</v>
      </c>
    </row>
    <row r="18" spans="1:52" ht="16.5" thickBot="1" x14ac:dyDescent="0.3">
      <c r="A18" s="74">
        <v>1.3</v>
      </c>
      <c r="B18" s="75" t="s">
        <v>36</v>
      </c>
      <c r="C18" s="76"/>
      <c r="D18" s="26">
        <f t="shared" si="4"/>
        <v>0</v>
      </c>
      <c r="E18" s="27">
        <f t="shared" si="5"/>
        <v>0</v>
      </c>
      <c r="F18" s="29">
        <f t="shared" si="6"/>
        <v>0</v>
      </c>
      <c r="G18" s="30">
        <v>0</v>
      </c>
      <c r="H18" s="31">
        <v>0</v>
      </c>
      <c r="I18" s="32">
        <v>0</v>
      </c>
      <c r="J18" s="77"/>
      <c r="K18" s="33"/>
      <c r="L18" s="34"/>
      <c r="M18" s="34"/>
      <c r="N18" s="62"/>
      <c r="O18" s="34"/>
      <c r="P18" s="34"/>
      <c r="Q18" s="34"/>
      <c r="R18" s="62"/>
      <c r="S18" s="37"/>
      <c r="T18" s="34"/>
      <c r="U18" s="34"/>
      <c r="V18" s="62"/>
      <c r="W18" s="38"/>
      <c r="X18" s="31"/>
      <c r="Y18" s="31"/>
      <c r="Z18" s="78"/>
      <c r="AA18" s="37"/>
      <c r="AB18" s="34"/>
      <c r="AC18" s="34"/>
      <c r="AD18" s="64"/>
      <c r="AE18" s="79"/>
      <c r="AF18" s="64"/>
      <c r="AG18" s="43">
        <f t="shared" si="0"/>
        <v>0</v>
      </c>
      <c r="AH18" s="44">
        <f t="shared" si="0"/>
        <v>0</v>
      </c>
      <c r="AI18" s="44">
        <f t="shared" si="0"/>
        <v>0</v>
      </c>
      <c r="AJ18" s="45">
        <f t="shared" si="0"/>
        <v>0</v>
      </c>
      <c r="AK18" s="80">
        <f t="shared" si="1"/>
        <v>0</v>
      </c>
      <c r="AL18" s="47">
        <v>1</v>
      </c>
      <c r="AM18" s="48">
        <f t="shared" si="7"/>
        <v>0</v>
      </c>
      <c r="AN18" s="48">
        <f t="shared" si="2"/>
        <v>0</v>
      </c>
      <c r="AO18" s="49">
        <f t="shared" si="8"/>
        <v>0</v>
      </c>
      <c r="AP18" s="49">
        <f t="shared" si="3"/>
        <v>0</v>
      </c>
      <c r="AQ18" s="50">
        <f t="shared" si="9"/>
        <v>0</v>
      </c>
      <c r="AR18" s="81"/>
      <c r="AS18" s="82"/>
      <c r="AT18" s="83"/>
      <c r="AU18" s="84">
        <f t="shared" si="11"/>
        <v>0</v>
      </c>
      <c r="AV18" s="85"/>
      <c r="AW18" s="86"/>
      <c r="AX18" s="86"/>
      <c r="AY18" s="82"/>
      <c r="AZ18" s="87"/>
    </row>
    <row r="19" spans="1:52" ht="16.5" thickBot="1" x14ac:dyDescent="0.3">
      <c r="A19" s="74">
        <v>1.3</v>
      </c>
      <c r="B19" s="75" t="s">
        <v>37</v>
      </c>
      <c r="C19" s="76"/>
      <c r="D19" s="26">
        <f t="shared" si="4"/>
        <v>0</v>
      </c>
      <c r="E19" s="27">
        <f t="shared" si="5"/>
        <v>0</v>
      </c>
      <c r="F19" s="29">
        <f t="shared" si="6"/>
        <v>0</v>
      </c>
      <c r="G19" s="30">
        <v>0</v>
      </c>
      <c r="H19" s="31">
        <v>0</v>
      </c>
      <c r="I19" s="32">
        <v>0</v>
      </c>
      <c r="J19" s="77"/>
      <c r="K19" s="33"/>
      <c r="L19" s="34"/>
      <c r="M19" s="34"/>
      <c r="N19" s="62"/>
      <c r="O19" s="34"/>
      <c r="P19" s="34"/>
      <c r="Q19" s="34"/>
      <c r="R19" s="62"/>
      <c r="S19" s="37"/>
      <c r="T19" s="34"/>
      <c r="U19" s="34"/>
      <c r="V19" s="62"/>
      <c r="W19" s="38"/>
      <c r="X19" s="31"/>
      <c r="Y19" s="31"/>
      <c r="Z19" s="78"/>
      <c r="AA19" s="37"/>
      <c r="AB19" s="34"/>
      <c r="AC19" s="34"/>
      <c r="AD19" s="64"/>
      <c r="AE19" s="79"/>
      <c r="AF19" s="64"/>
      <c r="AG19" s="43">
        <f t="shared" si="0"/>
        <v>0</v>
      </c>
      <c r="AH19" s="44">
        <f t="shared" si="0"/>
        <v>0</v>
      </c>
      <c r="AI19" s="44">
        <f t="shared" si="0"/>
        <v>0</v>
      </c>
      <c r="AJ19" s="45">
        <f t="shared" si="0"/>
        <v>0</v>
      </c>
      <c r="AK19" s="80">
        <f t="shared" si="1"/>
        <v>0</v>
      </c>
      <c r="AL19" s="47">
        <v>1</v>
      </c>
      <c r="AM19" s="48">
        <f t="shared" si="7"/>
        <v>0</v>
      </c>
      <c r="AN19" s="48">
        <f t="shared" si="2"/>
        <v>0</v>
      </c>
      <c r="AO19" s="49">
        <f t="shared" si="8"/>
        <v>0</v>
      </c>
      <c r="AP19" s="49">
        <f t="shared" si="3"/>
        <v>0</v>
      </c>
      <c r="AQ19" s="50">
        <f t="shared" si="9"/>
        <v>0</v>
      </c>
      <c r="AR19" s="81"/>
      <c r="AS19" s="82"/>
      <c r="AT19" s="83"/>
      <c r="AU19" s="84">
        <f t="shared" si="11"/>
        <v>0</v>
      </c>
      <c r="AV19" s="85"/>
      <c r="AW19" s="86"/>
      <c r="AX19" s="86"/>
      <c r="AY19" s="82"/>
      <c r="AZ19" s="87"/>
    </row>
    <row r="20" spans="1:52" ht="16.5" thickBot="1" x14ac:dyDescent="0.3">
      <c r="A20" s="74">
        <v>1.3</v>
      </c>
      <c r="B20" s="75" t="s">
        <v>38</v>
      </c>
      <c r="C20" s="76">
        <v>90</v>
      </c>
      <c r="D20" s="26">
        <f t="shared" si="4"/>
        <v>30</v>
      </c>
      <c r="E20" s="27">
        <f t="shared" si="5"/>
        <v>30</v>
      </c>
      <c r="F20" s="29">
        <f t="shared" si="6"/>
        <v>30</v>
      </c>
      <c r="G20" s="30">
        <v>2</v>
      </c>
      <c r="H20" s="31">
        <v>1</v>
      </c>
      <c r="I20" s="32">
        <v>4</v>
      </c>
      <c r="J20" s="77"/>
      <c r="K20" s="33"/>
      <c r="L20" s="34"/>
      <c r="M20" s="34"/>
      <c r="N20" s="62"/>
      <c r="O20" s="34"/>
      <c r="P20" s="34"/>
      <c r="Q20" s="34"/>
      <c r="R20" s="62"/>
      <c r="S20" s="37"/>
      <c r="T20" s="34"/>
      <c r="U20" s="34"/>
      <c r="V20" s="62"/>
      <c r="W20" s="38"/>
      <c r="X20" s="31"/>
      <c r="Y20" s="31"/>
      <c r="Z20" s="78"/>
      <c r="AA20" s="37"/>
      <c r="AB20" s="34"/>
      <c r="AC20" s="34"/>
      <c r="AD20" s="64"/>
      <c r="AE20" s="79"/>
      <c r="AF20" s="64"/>
      <c r="AG20" s="43">
        <f t="shared" si="0"/>
        <v>2</v>
      </c>
      <c r="AH20" s="44">
        <f t="shared" si="0"/>
        <v>1</v>
      </c>
      <c r="AI20" s="44">
        <f t="shared" si="0"/>
        <v>4</v>
      </c>
      <c r="AJ20" s="45">
        <f t="shared" si="0"/>
        <v>0</v>
      </c>
      <c r="AK20" s="80">
        <f t="shared" si="1"/>
        <v>7</v>
      </c>
      <c r="AL20" s="66">
        <v>1.1499999999999999</v>
      </c>
      <c r="AM20" s="48">
        <f t="shared" si="7"/>
        <v>2.2999999999999998</v>
      </c>
      <c r="AN20" s="48">
        <f t="shared" si="2"/>
        <v>1.1499999999999999</v>
      </c>
      <c r="AO20" s="49">
        <f t="shared" si="8"/>
        <v>4.5999999999999996</v>
      </c>
      <c r="AP20" s="49">
        <f t="shared" si="3"/>
        <v>0</v>
      </c>
      <c r="AQ20" s="50">
        <f t="shared" si="9"/>
        <v>420</v>
      </c>
      <c r="AR20" s="81"/>
      <c r="AS20" s="82"/>
      <c r="AT20" s="83"/>
      <c r="AU20" s="84"/>
      <c r="AV20" s="85"/>
      <c r="AW20" s="86"/>
      <c r="AX20" s="86"/>
      <c r="AY20" s="82"/>
      <c r="AZ20" s="87"/>
    </row>
    <row r="21" spans="1:52" ht="16.5" thickBot="1" x14ac:dyDescent="0.3">
      <c r="A21" s="74">
        <v>1.3</v>
      </c>
      <c r="B21" s="75" t="s">
        <v>39</v>
      </c>
      <c r="C21" s="76">
        <v>90</v>
      </c>
      <c r="D21" s="26">
        <f t="shared" si="4"/>
        <v>30</v>
      </c>
      <c r="E21" s="27">
        <f t="shared" si="5"/>
        <v>30</v>
      </c>
      <c r="F21" s="29">
        <f t="shared" si="6"/>
        <v>30</v>
      </c>
      <c r="G21" s="30">
        <v>3</v>
      </c>
      <c r="H21" s="31">
        <v>2</v>
      </c>
      <c r="I21" s="32">
        <v>4</v>
      </c>
      <c r="J21" s="77"/>
      <c r="K21" s="33"/>
      <c r="L21" s="34"/>
      <c r="M21" s="34"/>
      <c r="N21" s="62"/>
      <c r="O21" s="34"/>
      <c r="P21" s="34"/>
      <c r="Q21" s="34"/>
      <c r="R21" s="62"/>
      <c r="S21" s="37"/>
      <c r="T21" s="34"/>
      <c r="U21" s="34"/>
      <c r="V21" s="62"/>
      <c r="W21" s="38"/>
      <c r="X21" s="31"/>
      <c r="Y21" s="31"/>
      <c r="Z21" s="78"/>
      <c r="AA21" s="37"/>
      <c r="AB21" s="34"/>
      <c r="AC21" s="34"/>
      <c r="AD21" s="64"/>
      <c r="AE21" s="79"/>
      <c r="AF21" s="64"/>
      <c r="AG21" s="43">
        <f t="shared" si="0"/>
        <v>3</v>
      </c>
      <c r="AH21" s="44">
        <f t="shared" si="0"/>
        <v>2</v>
      </c>
      <c r="AI21" s="44">
        <f t="shared" si="0"/>
        <v>4</v>
      </c>
      <c r="AJ21" s="45">
        <f t="shared" si="0"/>
        <v>0</v>
      </c>
      <c r="AK21" s="80">
        <f t="shared" si="1"/>
        <v>9</v>
      </c>
      <c r="AL21" s="66">
        <v>1.1499999999999999</v>
      </c>
      <c r="AM21" s="48">
        <f t="shared" si="7"/>
        <v>3.4499999999999997</v>
      </c>
      <c r="AN21" s="48">
        <f t="shared" si="2"/>
        <v>2.2999999999999998</v>
      </c>
      <c r="AO21" s="49">
        <f t="shared" si="8"/>
        <v>4.5999999999999996</v>
      </c>
      <c r="AP21" s="49">
        <f t="shared" si="3"/>
        <v>0</v>
      </c>
      <c r="AQ21" s="50">
        <f t="shared" si="9"/>
        <v>540</v>
      </c>
      <c r="AR21" s="81"/>
      <c r="AS21" s="82"/>
      <c r="AT21" s="83"/>
      <c r="AU21" s="84"/>
      <c r="AV21" s="85"/>
      <c r="AW21" s="86"/>
      <c r="AX21" s="86"/>
      <c r="AY21" s="82"/>
      <c r="AZ21" s="87"/>
    </row>
    <row r="22" spans="1:52" ht="16.5" thickBot="1" x14ac:dyDescent="0.3">
      <c r="A22" s="74">
        <v>1300</v>
      </c>
      <c r="B22" s="75" t="s">
        <v>40</v>
      </c>
      <c r="C22" s="76"/>
      <c r="D22" s="26">
        <f t="shared" si="4"/>
        <v>0</v>
      </c>
      <c r="E22" s="27">
        <f t="shared" si="5"/>
        <v>0</v>
      </c>
      <c r="F22" s="29">
        <f t="shared" si="6"/>
        <v>0</v>
      </c>
      <c r="G22" s="30">
        <v>0</v>
      </c>
      <c r="H22" s="31">
        <v>0</v>
      </c>
      <c r="I22" s="32">
        <v>0</v>
      </c>
      <c r="J22" s="77"/>
      <c r="K22" s="33"/>
      <c r="L22" s="34"/>
      <c r="M22" s="34"/>
      <c r="N22" s="62"/>
      <c r="O22" s="34"/>
      <c r="P22" s="34"/>
      <c r="Q22" s="34"/>
      <c r="R22" s="62"/>
      <c r="S22" s="37"/>
      <c r="T22" s="34"/>
      <c r="U22" s="34"/>
      <c r="V22" s="62"/>
      <c r="W22" s="38"/>
      <c r="X22" s="31"/>
      <c r="Y22" s="31"/>
      <c r="Z22" s="78"/>
      <c r="AA22" s="37"/>
      <c r="AB22" s="34"/>
      <c r="AC22" s="34"/>
      <c r="AD22" s="64"/>
      <c r="AE22" s="79"/>
      <c r="AF22" s="64"/>
      <c r="AG22" s="43">
        <f t="shared" si="0"/>
        <v>0</v>
      </c>
      <c r="AH22" s="44">
        <f t="shared" si="0"/>
        <v>0</v>
      </c>
      <c r="AI22" s="44">
        <f t="shared" si="0"/>
        <v>0</v>
      </c>
      <c r="AJ22" s="45">
        <f t="shared" si="0"/>
        <v>0</v>
      </c>
      <c r="AK22" s="80">
        <f t="shared" si="1"/>
        <v>0</v>
      </c>
      <c r="AL22" s="47">
        <v>1.5</v>
      </c>
      <c r="AM22" s="48">
        <f t="shared" si="7"/>
        <v>0</v>
      </c>
      <c r="AN22" s="48">
        <f t="shared" si="2"/>
        <v>0</v>
      </c>
      <c r="AO22" s="49">
        <f t="shared" si="8"/>
        <v>0</v>
      </c>
      <c r="AP22" s="49">
        <f t="shared" si="3"/>
        <v>0</v>
      </c>
      <c r="AQ22" s="50">
        <f t="shared" si="9"/>
        <v>0</v>
      </c>
      <c r="AR22" s="81">
        <v>43.1</v>
      </c>
      <c r="AS22" s="82">
        <v>6.8999999999999986</v>
      </c>
      <c r="AT22" s="83">
        <f>AK22*AS22</f>
        <v>0</v>
      </c>
      <c r="AU22" s="84">
        <f>AK22*AL22</f>
        <v>0</v>
      </c>
      <c r="AV22" s="85">
        <v>0</v>
      </c>
      <c r="AW22" s="86"/>
      <c r="AX22" s="86"/>
      <c r="AY22" s="82"/>
      <c r="AZ22" s="87">
        <f>AT22-AU22-AW22-AX22-AY22</f>
        <v>0</v>
      </c>
    </row>
    <row r="23" spans="1:52" ht="16.5" thickBot="1" x14ac:dyDescent="0.3">
      <c r="A23" s="74">
        <v>911</v>
      </c>
      <c r="B23" s="75" t="s">
        <v>25</v>
      </c>
      <c r="C23" s="76"/>
      <c r="D23" s="26">
        <f t="shared" si="4"/>
        <v>0</v>
      </c>
      <c r="E23" s="27">
        <f t="shared" si="5"/>
        <v>0</v>
      </c>
      <c r="F23" s="29">
        <f t="shared" si="6"/>
        <v>0</v>
      </c>
      <c r="G23" s="30">
        <v>0</v>
      </c>
      <c r="H23" s="31">
        <v>0</v>
      </c>
      <c r="I23" s="32">
        <v>0</v>
      </c>
      <c r="J23" s="77"/>
      <c r="K23" s="33"/>
      <c r="L23" s="34"/>
      <c r="M23" s="34"/>
      <c r="N23" s="62"/>
      <c r="O23" s="34"/>
      <c r="P23" s="34"/>
      <c r="Q23" s="34"/>
      <c r="R23" s="62"/>
      <c r="S23" s="37"/>
      <c r="T23" s="34"/>
      <c r="U23" s="34"/>
      <c r="V23" s="62"/>
      <c r="W23" s="38"/>
      <c r="X23" s="31"/>
      <c r="Y23" s="31"/>
      <c r="Z23" s="78"/>
      <c r="AA23" s="37"/>
      <c r="AB23" s="34"/>
      <c r="AC23" s="34"/>
      <c r="AD23" s="64"/>
      <c r="AE23" s="79"/>
      <c r="AF23" s="64"/>
      <c r="AG23" s="43">
        <f t="shared" si="0"/>
        <v>0</v>
      </c>
      <c r="AH23" s="44">
        <f t="shared" si="0"/>
        <v>0</v>
      </c>
      <c r="AI23" s="44">
        <f t="shared" si="0"/>
        <v>0</v>
      </c>
      <c r="AJ23" s="45">
        <f t="shared" si="0"/>
        <v>0</v>
      </c>
      <c r="AK23" s="80">
        <f t="shared" si="1"/>
        <v>0</v>
      </c>
      <c r="AL23" s="66">
        <v>0.65</v>
      </c>
      <c r="AM23" s="48">
        <f t="shared" si="7"/>
        <v>0</v>
      </c>
      <c r="AN23" s="48">
        <f t="shared" si="2"/>
        <v>0</v>
      </c>
      <c r="AO23" s="49">
        <f t="shared" si="8"/>
        <v>0</v>
      </c>
      <c r="AP23" s="49">
        <f t="shared" si="3"/>
        <v>0</v>
      </c>
      <c r="AQ23" s="50">
        <f t="shared" si="9"/>
        <v>0</v>
      </c>
      <c r="AR23" s="81">
        <v>17.29</v>
      </c>
      <c r="AS23" s="82">
        <v>2.7100000000000009</v>
      </c>
      <c r="AT23" s="83">
        <f>AK23*AS23</f>
        <v>0</v>
      </c>
      <c r="AU23" s="84">
        <f>AK23*AL23</f>
        <v>0</v>
      </c>
      <c r="AV23" s="85"/>
      <c r="AW23" s="86"/>
      <c r="AX23" s="86"/>
      <c r="AY23" s="82"/>
      <c r="AZ23" s="87">
        <f>AT23-AU23-AW23-AX23-AY23</f>
        <v>0</v>
      </c>
    </row>
    <row r="24" spans="1:52" ht="16.5" thickBot="1" x14ac:dyDescent="0.3">
      <c r="A24" s="74">
        <v>625</v>
      </c>
      <c r="B24" s="75" t="s">
        <v>41</v>
      </c>
      <c r="C24" s="76">
        <v>570</v>
      </c>
      <c r="D24" s="26">
        <f t="shared" si="4"/>
        <v>190</v>
      </c>
      <c r="E24" s="27">
        <f t="shared" si="5"/>
        <v>190</v>
      </c>
      <c r="F24" s="29">
        <f t="shared" si="6"/>
        <v>190</v>
      </c>
      <c r="G24" s="30">
        <v>0</v>
      </c>
      <c r="H24" s="31">
        <v>0</v>
      </c>
      <c r="I24" s="32">
        <v>0</v>
      </c>
      <c r="J24" s="77"/>
      <c r="K24" s="33"/>
      <c r="L24" s="34"/>
      <c r="M24" s="34"/>
      <c r="N24" s="62"/>
      <c r="O24" s="34"/>
      <c r="P24" s="34"/>
      <c r="Q24" s="34"/>
      <c r="R24" s="62"/>
      <c r="S24" s="37"/>
      <c r="T24" s="34"/>
      <c r="U24" s="34"/>
      <c r="V24" s="62"/>
      <c r="W24" s="38"/>
      <c r="X24" s="31"/>
      <c r="Y24" s="31"/>
      <c r="Z24" s="78"/>
      <c r="AA24" s="37"/>
      <c r="AB24" s="34"/>
      <c r="AC24" s="34"/>
      <c r="AD24" s="64"/>
      <c r="AE24" s="79"/>
      <c r="AF24" s="64"/>
      <c r="AG24" s="43">
        <f t="shared" si="0"/>
        <v>0</v>
      </c>
      <c r="AH24" s="44">
        <f t="shared" si="0"/>
        <v>0</v>
      </c>
      <c r="AI24" s="44">
        <f t="shared" si="0"/>
        <v>0</v>
      </c>
      <c r="AJ24" s="45">
        <f t="shared" si="0"/>
        <v>0</v>
      </c>
      <c r="AK24" s="80">
        <f t="shared" si="1"/>
        <v>0</v>
      </c>
      <c r="AL24" s="66">
        <v>1</v>
      </c>
      <c r="AM24" s="48">
        <f t="shared" si="7"/>
        <v>0</v>
      </c>
      <c r="AN24" s="48">
        <f t="shared" si="2"/>
        <v>0</v>
      </c>
      <c r="AO24" s="49">
        <f t="shared" si="8"/>
        <v>0</v>
      </c>
      <c r="AP24" s="49">
        <f t="shared" si="3"/>
        <v>0</v>
      </c>
      <c r="AQ24" s="50">
        <f t="shared" si="9"/>
        <v>0</v>
      </c>
      <c r="AR24" s="81"/>
      <c r="AS24" s="82">
        <v>6.74</v>
      </c>
      <c r="AT24" s="83">
        <f>AK24*AS24</f>
        <v>0</v>
      </c>
      <c r="AU24" s="84">
        <f>AK24*AL24</f>
        <v>0</v>
      </c>
      <c r="AV24" s="85">
        <v>0</v>
      </c>
      <c r="AW24" s="86"/>
      <c r="AX24" s="86"/>
      <c r="AY24" s="82"/>
      <c r="AZ24" s="87"/>
    </row>
    <row r="25" spans="1:52" ht="16.5" thickBot="1" x14ac:dyDescent="0.3">
      <c r="A25" s="74">
        <v>625</v>
      </c>
      <c r="B25" s="75" t="s">
        <v>42</v>
      </c>
      <c r="C25" s="76"/>
      <c r="D25" s="26"/>
      <c r="E25" s="27"/>
      <c r="F25" s="29"/>
      <c r="G25" s="30">
        <v>4</v>
      </c>
      <c r="H25" s="31">
        <v>4</v>
      </c>
      <c r="I25" s="32">
        <v>15</v>
      </c>
      <c r="J25" s="77"/>
      <c r="K25" s="33"/>
      <c r="L25" s="34"/>
      <c r="M25" s="34"/>
      <c r="N25" s="62"/>
      <c r="O25" s="34"/>
      <c r="P25" s="34"/>
      <c r="Q25" s="34"/>
      <c r="R25" s="62"/>
      <c r="S25" s="37"/>
      <c r="T25" s="34"/>
      <c r="U25" s="34"/>
      <c r="V25" s="62"/>
      <c r="W25" s="38"/>
      <c r="X25" s="31"/>
      <c r="Y25" s="31"/>
      <c r="Z25" s="78"/>
      <c r="AA25" s="37"/>
      <c r="AB25" s="34"/>
      <c r="AC25" s="34"/>
      <c r="AD25" s="64"/>
      <c r="AE25" s="79"/>
      <c r="AF25" s="64"/>
      <c r="AG25" s="43">
        <f t="shared" si="0"/>
        <v>4</v>
      </c>
      <c r="AH25" s="44">
        <f t="shared" si="0"/>
        <v>4</v>
      </c>
      <c r="AI25" s="44">
        <f t="shared" si="0"/>
        <v>15</v>
      </c>
      <c r="AJ25" s="45">
        <f t="shared" si="0"/>
        <v>0</v>
      </c>
      <c r="AK25" s="80">
        <f t="shared" si="1"/>
        <v>23</v>
      </c>
      <c r="AL25" s="66">
        <v>0.75</v>
      </c>
      <c r="AM25" s="48">
        <f t="shared" si="7"/>
        <v>3</v>
      </c>
      <c r="AN25" s="48">
        <f t="shared" si="2"/>
        <v>3</v>
      </c>
      <c r="AO25" s="49">
        <f t="shared" si="8"/>
        <v>11.25</v>
      </c>
      <c r="AP25" s="49">
        <f t="shared" si="3"/>
        <v>0</v>
      </c>
      <c r="AQ25" s="50">
        <f t="shared" si="9"/>
        <v>1380</v>
      </c>
      <c r="AR25" s="81"/>
      <c r="AS25" s="82"/>
      <c r="AT25" s="83"/>
      <c r="AU25" s="84"/>
      <c r="AV25" s="85"/>
      <c r="AW25" s="86"/>
      <c r="AX25" s="86"/>
      <c r="AY25" s="82"/>
      <c r="AZ25" s="87"/>
    </row>
    <row r="26" spans="1:52" ht="16.5" thickBot="1" x14ac:dyDescent="0.3">
      <c r="A26" s="74">
        <v>625</v>
      </c>
      <c r="B26" s="75" t="s">
        <v>36</v>
      </c>
      <c r="C26" s="76"/>
      <c r="D26" s="26">
        <f t="shared" si="4"/>
        <v>0</v>
      </c>
      <c r="E26" s="27">
        <f t="shared" si="5"/>
        <v>0</v>
      </c>
      <c r="F26" s="29">
        <f t="shared" si="6"/>
        <v>0</v>
      </c>
      <c r="G26" s="30">
        <v>0</v>
      </c>
      <c r="H26" s="31">
        <v>0</v>
      </c>
      <c r="I26" s="32">
        <v>0</v>
      </c>
      <c r="J26" s="77"/>
      <c r="K26" s="33"/>
      <c r="L26" s="34"/>
      <c r="M26" s="34"/>
      <c r="N26" s="62"/>
      <c r="O26" s="34"/>
      <c r="P26" s="34"/>
      <c r="Q26" s="34"/>
      <c r="R26" s="62"/>
      <c r="S26" s="37"/>
      <c r="T26" s="34"/>
      <c r="U26" s="34"/>
      <c r="V26" s="62"/>
      <c r="W26" s="38"/>
      <c r="X26" s="31"/>
      <c r="Y26" s="31"/>
      <c r="Z26" s="78"/>
      <c r="AA26" s="37"/>
      <c r="AB26" s="34"/>
      <c r="AC26" s="34"/>
      <c r="AD26" s="64"/>
      <c r="AE26" s="79"/>
      <c r="AF26" s="64"/>
      <c r="AG26" s="43">
        <f t="shared" si="0"/>
        <v>0</v>
      </c>
      <c r="AH26" s="44">
        <f t="shared" si="0"/>
        <v>0</v>
      </c>
      <c r="AI26" s="44">
        <f t="shared" si="0"/>
        <v>0</v>
      </c>
      <c r="AJ26" s="45">
        <f t="shared" si="0"/>
        <v>0</v>
      </c>
      <c r="AK26" s="80">
        <f t="shared" si="1"/>
        <v>0</v>
      </c>
      <c r="AL26" s="47">
        <v>1</v>
      </c>
      <c r="AM26" s="48">
        <f t="shared" si="7"/>
        <v>0</v>
      </c>
      <c r="AN26" s="48">
        <f t="shared" si="2"/>
        <v>0</v>
      </c>
      <c r="AO26" s="49">
        <f t="shared" si="8"/>
        <v>0</v>
      </c>
      <c r="AP26" s="49">
        <f t="shared" si="3"/>
        <v>0</v>
      </c>
      <c r="AQ26" s="50">
        <f t="shared" si="9"/>
        <v>0</v>
      </c>
      <c r="AR26" s="81"/>
      <c r="AS26" s="82"/>
      <c r="AT26" s="83"/>
      <c r="AU26" s="84"/>
      <c r="AV26" s="85"/>
      <c r="AW26" s="86"/>
      <c r="AX26" s="86"/>
      <c r="AY26" s="82"/>
      <c r="AZ26" s="87"/>
    </row>
    <row r="27" spans="1:52" ht="16.5" thickBot="1" x14ac:dyDescent="0.3">
      <c r="A27" s="74">
        <v>625</v>
      </c>
      <c r="B27" s="75" t="s">
        <v>37</v>
      </c>
      <c r="C27" s="76"/>
      <c r="D27" s="26">
        <f t="shared" si="4"/>
        <v>0</v>
      </c>
      <c r="E27" s="27">
        <f t="shared" si="5"/>
        <v>0</v>
      </c>
      <c r="F27" s="29">
        <f t="shared" si="6"/>
        <v>0</v>
      </c>
      <c r="G27" s="30">
        <v>0</v>
      </c>
      <c r="H27" s="31">
        <v>0</v>
      </c>
      <c r="I27" s="32">
        <v>0</v>
      </c>
      <c r="J27" s="77"/>
      <c r="K27" s="33"/>
      <c r="L27" s="34"/>
      <c r="M27" s="34"/>
      <c r="N27" s="62"/>
      <c r="O27" s="34"/>
      <c r="P27" s="34"/>
      <c r="Q27" s="34"/>
      <c r="R27" s="62"/>
      <c r="S27" s="37"/>
      <c r="T27" s="34"/>
      <c r="U27" s="34"/>
      <c r="V27" s="62"/>
      <c r="W27" s="38"/>
      <c r="X27" s="31"/>
      <c r="Y27" s="31"/>
      <c r="Z27" s="78"/>
      <c r="AA27" s="37"/>
      <c r="AB27" s="34"/>
      <c r="AC27" s="34"/>
      <c r="AD27" s="64"/>
      <c r="AE27" s="79"/>
      <c r="AF27" s="64"/>
      <c r="AG27" s="43">
        <f t="shared" si="0"/>
        <v>0</v>
      </c>
      <c r="AH27" s="44">
        <f t="shared" si="0"/>
        <v>0</v>
      </c>
      <c r="AI27" s="44">
        <f t="shared" si="0"/>
        <v>0</v>
      </c>
      <c r="AJ27" s="45">
        <f t="shared" si="0"/>
        <v>0</v>
      </c>
      <c r="AK27" s="80">
        <f t="shared" si="1"/>
        <v>0</v>
      </c>
      <c r="AL27" s="47">
        <v>1</v>
      </c>
      <c r="AM27" s="48">
        <f t="shared" si="7"/>
        <v>0</v>
      </c>
      <c r="AN27" s="48">
        <f t="shared" si="2"/>
        <v>0</v>
      </c>
      <c r="AO27" s="49">
        <f t="shared" si="8"/>
        <v>0</v>
      </c>
      <c r="AP27" s="49">
        <f t="shared" si="3"/>
        <v>0</v>
      </c>
      <c r="AQ27" s="50">
        <f t="shared" si="9"/>
        <v>0</v>
      </c>
      <c r="AR27" s="81"/>
      <c r="AS27" s="82"/>
      <c r="AT27" s="83"/>
      <c r="AU27" s="84"/>
      <c r="AV27" s="85"/>
      <c r="AW27" s="86"/>
      <c r="AX27" s="86"/>
      <c r="AY27" s="82"/>
      <c r="AZ27" s="87"/>
    </row>
    <row r="28" spans="1:52" ht="16.5" thickBot="1" x14ac:dyDescent="0.3">
      <c r="A28" s="74">
        <v>625</v>
      </c>
      <c r="B28" s="75" t="s">
        <v>43</v>
      </c>
      <c r="C28" s="76">
        <v>117</v>
      </c>
      <c r="D28" s="26">
        <f t="shared" si="4"/>
        <v>39</v>
      </c>
      <c r="E28" s="27">
        <f t="shared" si="5"/>
        <v>39</v>
      </c>
      <c r="F28" s="29">
        <f t="shared" si="6"/>
        <v>39</v>
      </c>
      <c r="G28" s="30">
        <v>10</v>
      </c>
      <c r="H28" s="31">
        <v>2</v>
      </c>
      <c r="I28" s="32">
        <v>4</v>
      </c>
      <c r="J28" s="77"/>
      <c r="K28" s="33"/>
      <c r="L28" s="34"/>
      <c r="M28" s="34"/>
      <c r="N28" s="62"/>
      <c r="O28" s="34"/>
      <c r="P28" s="34"/>
      <c r="Q28" s="34"/>
      <c r="R28" s="62"/>
      <c r="S28" s="37"/>
      <c r="T28" s="34"/>
      <c r="U28" s="34"/>
      <c r="V28" s="62"/>
      <c r="W28" s="38"/>
      <c r="X28" s="31"/>
      <c r="Y28" s="31"/>
      <c r="Z28" s="78"/>
      <c r="AA28" s="37"/>
      <c r="AB28" s="34"/>
      <c r="AC28" s="34"/>
      <c r="AD28" s="64"/>
      <c r="AE28" s="79"/>
      <c r="AF28" s="64"/>
      <c r="AG28" s="43">
        <f t="shared" si="0"/>
        <v>10</v>
      </c>
      <c r="AH28" s="44">
        <f t="shared" si="0"/>
        <v>2</v>
      </c>
      <c r="AI28" s="44">
        <f t="shared" si="0"/>
        <v>4</v>
      </c>
      <c r="AJ28" s="45">
        <f t="shared" si="0"/>
        <v>0</v>
      </c>
      <c r="AK28" s="80">
        <f t="shared" si="1"/>
        <v>16</v>
      </c>
      <c r="AL28" s="66">
        <v>1</v>
      </c>
      <c r="AM28" s="48">
        <f t="shared" si="7"/>
        <v>10</v>
      </c>
      <c r="AN28" s="48">
        <f t="shared" si="2"/>
        <v>2</v>
      </c>
      <c r="AO28" s="49">
        <f t="shared" si="8"/>
        <v>4</v>
      </c>
      <c r="AP28" s="49">
        <f t="shared" si="3"/>
        <v>0</v>
      </c>
      <c r="AQ28" s="50">
        <f t="shared" si="9"/>
        <v>960</v>
      </c>
      <c r="AR28" s="81"/>
      <c r="AS28" s="82"/>
      <c r="AT28" s="83">
        <f>AK28*AS28</f>
        <v>0</v>
      </c>
      <c r="AU28" s="84">
        <f>AK28*AL28</f>
        <v>16</v>
      </c>
      <c r="AV28" s="85">
        <v>0</v>
      </c>
      <c r="AW28" s="86"/>
      <c r="AX28" s="86"/>
      <c r="AY28" s="82"/>
      <c r="AZ28" s="87"/>
    </row>
    <row r="29" spans="1:52" ht="16.5" thickBot="1" x14ac:dyDescent="0.3">
      <c r="A29" s="74">
        <v>625</v>
      </c>
      <c r="B29" s="75" t="s">
        <v>44</v>
      </c>
      <c r="C29" s="76"/>
      <c r="D29" s="26">
        <f t="shared" si="4"/>
        <v>0</v>
      </c>
      <c r="E29" s="27">
        <f t="shared" si="5"/>
        <v>0</v>
      </c>
      <c r="F29" s="29">
        <f t="shared" si="6"/>
        <v>0</v>
      </c>
      <c r="G29" s="30">
        <v>0</v>
      </c>
      <c r="H29" s="31">
        <v>0</v>
      </c>
      <c r="I29" s="32">
        <v>0</v>
      </c>
      <c r="J29" s="77"/>
      <c r="K29" s="33"/>
      <c r="L29" s="34"/>
      <c r="M29" s="34"/>
      <c r="N29" s="62"/>
      <c r="O29" s="34"/>
      <c r="P29" s="34"/>
      <c r="Q29" s="34"/>
      <c r="R29" s="62"/>
      <c r="S29" s="37"/>
      <c r="T29" s="34"/>
      <c r="U29" s="34"/>
      <c r="V29" s="62"/>
      <c r="W29" s="38"/>
      <c r="X29" s="31"/>
      <c r="Y29" s="31"/>
      <c r="Z29" s="78"/>
      <c r="AA29" s="37"/>
      <c r="AB29" s="34"/>
      <c r="AC29" s="34"/>
      <c r="AD29" s="64"/>
      <c r="AE29" s="79"/>
      <c r="AF29" s="64"/>
      <c r="AG29" s="43">
        <f t="shared" si="0"/>
        <v>0</v>
      </c>
      <c r="AH29" s="44">
        <f t="shared" si="0"/>
        <v>0</v>
      </c>
      <c r="AI29" s="44">
        <f t="shared" si="0"/>
        <v>0</v>
      </c>
      <c r="AJ29" s="45">
        <f t="shared" si="0"/>
        <v>0</v>
      </c>
      <c r="AK29" s="80">
        <f t="shared" si="1"/>
        <v>0</v>
      </c>
      <c r="AL29" s="47">
        <v>1</v>
      </c>
      <c r="AM29" s="48">
        <f t="shared" si="7"/>
        <v>0</v>
      </c>
      <c r="AN29" s="48">
        <f t="shared" si="2"/>
        <v>0</v>
      </c>
      <c r="AO29" s="49">
        <f t="shared" si="8"/>
        <v>0</v>
      </c>
      <c r="AP29" s="49">
        <f t="shared" si="3"/>
        <v>0</v>
      </c>
      <c r="AQ29" s="50">
        <f t="shared" si="9"/>
        <v>0</v>
      </c>
      <c r="AR29" s="81"/>
      <c r="AS29" s="82"/>
      <c r="AT29" s="83"/>
      <c r="AU29" s="84"/>
      <c r="AV29" s="85"/>
      <c r="AW29" s="86"/>
      <c r="AX29" s="86"/>
      <c r="AY29" s="82"/>
      <c r="AZ29" s="87"/>
    </row>
    <row r="30" spans="1:52" ht="16.5" thickBot="1" x14ac:dyDescent="0.3">
      <c r="A30" s="74">
        <v>625</v>
      </c>
      <c r="B30" s="75" t="s">
        <v>40</v>
      </c>
      <c r="C30" s="76"/>
      <c r="D30" s="26">
        <f t="shared" si="4"/>
        <v>0</v>
      </c>
      <c r="E30" s="27">
        <f t="shared" si="5"/>
        <v>0</v>
      </c>
      <c r="F30" s="29">
        <f t="shared" si="6"/>
        <v>0</v>
      </c>
      <c r="G30" s="30">
        <v>0</v>
      </c>
      <c r="H30" s="31">
        <v>0</v>
      </c>
      <c r="I30" s="32">
        <v>0</v>
      </c>
      <c r="J30" s="77"/>
      <c r="K30" s="33"/>
      <c r="L30" s="34"/>
      <c r="M30" s="34"/>
      <c r="N30" s="62"/>
      <c r="O30" s="34"/>
      <c r="P30" s="34"/>
      <c r="Q30" s="34"/>
      <c r="R30" s="62"/>
      <c r="S30" s="37"/>
      <c r="T30" s="34"/>
      <c r="U30" s="34"/>
      <c r="V30" s="62"/>
      <c r="W30" s="38"/>
      <c r="X30" s="31"/>
      <c r="Y30" s="31"/>
      <c r="Z30" s="78"/>
      <c r="AA30" s="37"/>
      <c r="AB30" s="34"/>
      <c r="AC30" s="34"/>
      <c r="AD30" s="64"/>
      <c r="AE30" s="79"/>
      <c r="AF30" s="64"/>
      <c r="AG30" s="43">
        <f t="shared" si="0"/>
        <v>0</v>
      </c>
      <c r="AH30" s="44">
        <f t="shared" si="0"/>
        <v>0</v>
      </c>
      <c r="AI30" s="44">
        <f t="shared" si="0"/>
        <v>0</v>
      </c>
      <c r="AJ30" s="45">
        <f t="shared" si="0"/>
        <v>0</v>
      </c>
      <c r="AK30" s="80">
        <f t="shared" si="1"/>
        <v>0</v>
      </c>
      <c r="AL30" s="47">
        <v>1</v>
      </c>
      <c r="AM30" s="48">
        <f t="shared" si="7"/>
        <v>0</v>
      </c>
      <c r="AN30" s="48">
        <f t="shared" si="2"/>
        <v>0</v>
      </c>
      <c r="AO30" s="49">
        <f t="shared" si="8"/>
        <v>0</v>
      </c>
      <c r="AP30" s="49">
        <f t="shared" si="3"/>
        <v>0</v>
      </c>
      <c r="AQ30" s="50">
        <f t="shared" si="9"/>
        <v>0</v>
      </c>
      <c r="AR30" s="81">
        <v>50.64</v>
      </c>
      <c r="AS30" s="82">
        <v>9.36</v>
      </c>
      <c r="AT30" s="83">
        <f t="shared" ref="AT30:AT48" si="13">AK30*AS30</f>
        <v>0</v>
      </c>
      <c r="AU30" s="84">
        <f t="shared" ref="AU30:AU53" si="14">AK30*AL30</f>
        <v>0</v>
      </c>
      <c r="AV30" s="85">
        <v>0</v>
      </c>
      <c r="AW30" s="86"/>
      <c r="AX30" s="86"/>
      <c r="AY30" s="82"/>
      <c r="AZ30" s="87">
        <f t="shared" ref="AZ30:AZ42" si="15">AT30-AU30-AW30-AX30-AY30</f>
        <v>0</v>
      </c>
    </row>
    <row r="31" spans="1:52" ht="16.5" thickBot="1" x14ac:dyDescent="0.3">
      <c r="A31" s="58">
        <v>400</v>
      </c>
      <c r="B31" s="59" t="s">
        <v>25</v>
      </c>
      <c r="C31" s="76"/>
      <c r="D31" s="26">
        <f t="shared" si="4"/>
        <v>0</v>
      </c>
      <c r="E31" s="27">
        <f t="shared" si="5"/>
        <v>0</v>
      </c>
      <c r="F31" s="29">
        <f t="shared" si="6"/>
        <v>0</v>
      </c>
      <c r="G31" s="30">
        <v>0</v>
      </c>
      <c r="H31" s="31">
        <v>0</v>
      </c>
      <c r="I31" s="32">
        <v>0</v>
      </c>
      <c r="J31" s="77"/>
      <c r="K31" s="33"/>
      <c r="L31" s="34"/>
      <c r="M31" s="34"/>
      <c r="N31" s="62"/>
      <c r="O31" s="34"/>
      <c r="P31" s="34"/>
      <c r="Q31" s="34"/>
      <c r="R31" s="62"/>
      <c r="S31" s="37"/>
      <c r="T31" s="34"/>
      <c r="U31" s="34"/>
      <c r="V31" s="62"/>
      <c r="W31" s="38"/>
      <c r="X31" s="31"/>
      <c r="Y31" s="31"/>
      <c r="Z31" s="78"/>
      <c r="AA31" s="37"/>
      <c r="AB31" s="34"/>
      <c r="AC31" s="34"/>
      <c r="AD31" s="64"/>
      <c r="AE31" s="79"/>
      <c r="AF31" s="64"/>
      <c r="AG31" s="43">
        <f t="shared" si="0"/>
        <v>0</v>
      </c>
      <c r="AH31" s="44">
        <f t="shared" si="0"/>
        <v>0</v>
      </c>
      <c r="AI31" s="44">
        <f t="shared" si="0"/>
        <v>0</v>
      </c>
      <c r="AJ31" s="45">
        <f t="shared" si="0"/>
        <v>0</v>
      </c>
      <c r="AK31" s="80">
        <f t="shared" si="1"/>
        <v>0</v>
      </c>
      <c r="AL31" s="66">
        <v>1.3</v>
      </c>
      <c r="AM31" s="48">
        <f t="shared" si="7"/>
        <v>0</v>
      </c>
      <c r="AN31" s="48">
        <f t="shared" si="2"/>
        <v>0</v>
      </c>
      <c r="AO31" s="49">
        <f t="shared" si="8"/>
        <v>0</v>
      </c>
      <c r="AP31" s="49">
        <f t="shared" si="3"/>
        <v>0</v>
      </c>
      <c r="AQ31" s="50">
        <f t="shared" si="9"/>
        <v>0</v>
      </c>
      <c r="AR31" s="81">
        <v>34.479999999999997</v>
      </c>
      <c r="AS31" s="82">
        <v>5.5200000000000031</v>
      </c>
      <c r="AT31" s="83">
        <f t="shared" si="13"/>
        <v>0</v>
      </c>
      <c r="AU31" s="84">
        <f t="shared" si="14"/>
        <v>0</v>
      </c>
      <c r="AV31" s="85">
        <v>0</v>
      </c>
      <c r="AW31" s="86"/>
      <c r="AX31" s="86"/>
      <c r="AY31" s="82"/>
      <c r="AZ31" s="87">
        <f t="shared" si="15"/>
        <v>0</v>
      </c>
    </row>
    <row r="32" spans="1:52" ht="16.5" thickBot="1" x14ac:dyDescent="0.3">
      <c r="A32" s="74">
        <v>400</v>
      </c>
      <c r="B32" s="75" t="s">
        <v>28</v>
      </c>
      <c r="C32" s="76"/>
      <c r="D32" s="26">
        <f t="shared" si="4"/>
        <v>0</v>
      </c>
      <c r="E32" s="27">
        <f t="shared" si="5"/>
        <v>0</v>
      </c>
      <c r="F32" s="29">
        <f t="shared" si="6"/>
        <v>0</v>
      </c>
      <c r="G32" s="30">
        <v>0</v>
      </c>
      <c r="H32" s="31">
        <v>0</v>
      </c>
      <c r="I32" s="32">
        <v>0</v>
      </c>
      <c r="J32" s="77"/>
      <c r="K32" s="33"/>
      <c r="L32" s="34"/>
      <c r="M32" s="34"/>
      <c r="N32" s="62"/>
      <c r="O32" s="34"/>
      <c r="P32" s="34"/>
      <c r="Q32" s="34"/>
      <c r="R32" s="62"/>
      <c r="S32" s="37"/>
      <c r="T32" s="34"/>
      <c r="U32" s="34"/>
      <c r="V32" s="62"/>
      <c r="W32" s="38"/>
      <c r="X32" s="31"/>
      <c r="Y32" s="31"/>
      <c r="Z32" s="78"/>
      <c r="AA32" s="37"/>
      <c r="AB32" s="34"/>
      <c r="AC32" s="34"/>
      <c r="AD32" s="64"/>
      <c r="AE32" s="79"/>
      <c r="AF32" s="64"/>
      <c r="AG32" s="43">
        <f t="shared" si="0"/>
        <v>0</v>
      </c>
      <c r="AH32" s="44">
        <f t="shared" si="0"/>
        <v>0</v>
      </c>
      <c r="AI32" s="44">
        <f t="shared" si="0"/>
        <v>0</v>
      </c>
      <c r="AJ32" s="45">
        <f t="shared" si="0"/>
        <v>0</v>
      </c>
      <c r="AK32" s="80">
        <f t="shared" si="1"/>
        <v>0</v>
      </c>
      <c r="AL32" s="66">
        <v>0.65</v>
      </c>
      <c r="AM32" s="48">
        <f t="shared" si="7"/>
        <v>0</v>
      </c>
      <c r="AN32" s="48">
        <f t="shared" si="2"/>
        <v>0</v>
      </c>
      <c r="AO32" s="49">
        <f t="shared" si="8"/>
        <v>0</v>
      </c>
      <c r="AP32" s="49">
        <f t="shared" si="3"/>
        <v>0</v>
      </c>
      <c r="AQ32" s="50">
        <f t="shared" si="9"/>
        <v>0</v>
      </c>
      <c r="AR32" s="81">
        <v>34.479999999999997</v>
      </c>
      <c r="AS32" s="82">
        <v>5.5200000000000031</v>
      </c>
      <c r="AT32" s="83">
        <f t="shared" si="13"/>
        <v>0</v>
      </c>
      <c r="AU32" s="84">
        <f t="shared" si="14"/>
        <v>0</v>
      </c>
      <c r="AV32" s="85">
        <v>0</v>
      </c>
      <c r="AW32" s="86"/>
      <c r="AX32" s="86"/>
      <c r="AY32" s="82"/>
      <c r="AZ32" s="87">
        <f t="shared" si="15"/>
        <v>0</v>
      </c>
    </row>
    <row r="33" spans="1:52" ht="16.5" thickBot="1" x14ac:dyDescent="0.3">
      <c r="A33" s="74">
        <v>400</v>
      </c>
      <c r="B33" s="75" t="s">
        <v>30</v>
      </c>
      <c r="C33" s="76"/>
      <c r="D33" s="26">
        <f t="shared" si="4"/>
        <v>0</v>
      </c>
      <c r="E33" s="27">
        <f t="shared" si="5"/>
        <v>0</v>
      </c>
      <c r="F33" s="29">
        <f t="shared" si="6"/>
        <v>0</v>
      </c>
      <c r="G33" s="30">
        <v>0</v>
      </c>
      <c r="H33" s="31">
        <v>0</v>
      </c>
      <c r="I33" s="32">
        <v>0</v>
      </c>
      <c r="J33" s="77"/>
      <c r="K33" s="33"/>
      <c r="L33" s="34"/>
      <c r="M33" s="34"/>
      <c r="N33" s="62"/>
      <c r="O33" s="34"/>
      <c r="P33" s="34"/>
      <c r="Q33" s="34"/>
      <c r="R33" s="62"/>
      <c r="S33" s="37"/>
      <c r="T33" s="34"/>
      <c r="U33" s="34"/>
      <c r="V33" s="62"/>
      <c r="W33" s="38"/>
      <c r="X33" s="31"/>
      <c r="Y33" s="31"/>
      <c r="Z33" s="78"/>
      <c r="AA33" s="37"/>
      <c r="AB33" s="34"/>
      <c r="AC33" s="34"/>
      <c r="AD33" s="64"/>
      <c r="AE33" s="79"/>
      <c r="AF33" s="64"/>
      <c r="AG33" s="43">
        <f t="shared" si="0"/>
        <v>0</v>
      </c>
      <c r="AH33" s="44">
        <f t="shared" si="0"/>
        <v>0</v>
      </c>
      <c r="AI33" s="44">
        <f t="shared" si="0"/>
        <v>0</v>
      </c>
      <c r="AJ33" s="45">
        <f t="shared" si="0"/>
        <v>0</v>
      </c>
      <c r="AK33" s="80">
        <f t="shared" si="1"/>
        <v>0</v>
      </c>
      <c r="AL33" s="66">
        <v>0.65</v>
      </c>
      <c r="AM33" s="48">
        <f t="shared" si="7"/>
        <v>0</v>
      </c>
      <c r="AN33" s="48">
        <f t="shared" si="2"/>
        <v>0</v>
      </c>
      <c r="AO33" s="49">
        <f t="shared" si="8"/>
        <v>0</v>
      </c>
      <c r="AP33" s="49">
        <f t="shared" si="3"/>
        <v>0</v>
      </c>
      <c r="AQ33" s="50">
        <f t="shared" si="9"/>
        <v>0</v>
      </c>
      <c r="AR33" s="81">
        <v>34.479999999999997</v>
      </c>
      <c r="AS33" s="82">
        <v>5.5200000000000031</v>
      </c>
      <c r="AT33" s="83">
        <f t="shared" si="13"/>
        <v>0</v>
      </c>
      <c r="AU33" s="84">
        <f t="shared" si="14"/>
        <v>0</v>
      </c>
      <c r="AV33" s="85">
        <v>0</v>
      </c>
      <c r="AW33" s="86"/>
      <c r="AX33" s="86"/>
      <c r="AY33" s="82"/>
      <c r="AZ33" s="87">
        <f t="shared" si="15"/>
        <v>0</v>
      </c>
    </row>
    <row r="34" spans="1:52" ht="16.5" thickBot="1" x14ac:dyDescent="0.3">
      <c r="A34" s="74">
        <v>360</v>
      </c>
      <c r="B34" s="75" t="s">
        <v>45</v>
      </c>
      <c r="C34" s="76"/>
      <c r="D34" s="26">
        <f t="shared" si="4"/>
        <v>0</v>
      </c>
      <c r="E34" s="27">
        <f t="shared" si="5"/>
        <v>0</v>
      </c>
      <c r="F34" s="29">
        <f t="shared" si="6"/>
        <v>0</v>
      </c>
      <c r="G34" s="30">
        <v>0</v>
      </c>
      <c r="H34" s="31">
        <v>10</v>
      </c>
      <c r="I34" s="32">
        <v>3</v>
      </c>
      <c r="J34" s="77"/>
      <c r="K34" s="33"/>
      <c r="L34" s="34"/>
      <c r="M34" s="34"/>
      <c r="N34" s="62"/>
      <c r="O34" s="34"/>
      <c r="P34" s="34"/>
      <c r="Q34" s="34"/>
      <c r="R34" s="62"/>
      <c r="S34" s="37"/>
      <c r="T34" s="34"/>
      <c r="U34" s="34"/>
      <c r="V34" s="62"/>
      <c r="W34" s="38"/>
      <c r="X34" s="31"/>
      <c r="Y34" s="31"/>
      <c r="Z34" s="78"/>
      <c r="AA34" s="37"/>
      <c r="AB34" s="34"/>
      <c r="AC34" s="34"/>
      <c r="AD34" s="64"/>
      <c r="AE34" s="79"/>
      <c r="AF34" s="64"/>
      <c r="AG34" s="43">
        <f t="shared" si="0"/>
        <v>0</v>
      </c>
      <c r="AH34" s="44">
        <f t="shared" si="0"/>
        <v>10</v>
      </c>
      <c r="AI34" s="44">
        <f t="shared" si="0"/>
        <v>3</v>
      </c>
      <c r="AJ34" s="45">
        <f t="shared" si="0"/>
        <v>0</v>
      </c>
      <c r="AK34" s="80">
        <f t="shared" si="1"/>
        <v>13</v>
      </c>
      <c r="AL34" s="66">
        <v>0.65</v>
      </c>
      <c r="AM34" s="48">
        <f t="shared" si="7"/>
        <v>0</v>
      </c>
      <c r="AN34" s="48">
        <f t="shared" si="2"/>
        <v>6.5</v>
      </c>
      <c r="AO34" s="49">
        <f t="shared" si="8"/>
        <v>1.9500000000000002</v>
      </c>
      <c r="AP34" s="49">
        <f t="shared" si="3"/>
        <v>0</v>
      </c>
      <c r="AQ34" s="50">
        <f t="shared" si="9"/>
        <v>780</v>
      </c>
      <c r="AR34" s="81">
        <v>34.479999999999997</v>
      </c>
      <c r="AS34" s="82">
        <v>5.5200000000000031</v>
      </c>
      <c r="AT34" s="83">
        <f t="shared" si="13"/>
        <v>71.760000000000048</v>
      </c>
      <c r="AU34" s="84">
        <f t="shared" si="14"/>
        <v>8.4500000000000011</v>
      </c>
      <c r="AV34" s="85">
        <v>0</v>
      </c>
      <c r="AW34" s="86"/>
      <c r="AX34" s="86"/>
      <c r="AY34" s="82"/>
      <c r="AZ34" s="87">
        <f t="shared" si="15"/>
        <v>63.310000000000045</v>
      </c>
    </row>
    <row r="35" spans="1:52" ht="16.5" thickBot="1" x14ac:dyDescent="0.3">
      <c r="A35" s="74">
        <v>360</v>
      </c>
      <c r="B35" s="75" t="s">
        <v>46</v>
      </c>
      <c r="C35" s="76"/>
      <c r="D35" s="26">
        <f t="shared" si="4"/>
        <v>0</v>
      </c>
      <c r="E35" s="27">
        <f t="shared" si="5"/>
        <v>0</v>
      </c>
      <c r="F35" s="29">
        <f t="shared" si="6"/>
        <v>0</v>
      </c>
      <c r="G35" s="30">
        <v>0</v>
      </c>
      <c r="H35" s="31">
        <v>0</v>
      </c>
      <c r="I35" s="32">
        <v>0</v>
      </c>
      <c r="J35" s="77"/>
      <c r="K35" s="33"/>
      <c r="L35" s="34"/>
      <c r="M35" s="34"/>
      <c r="N35" s="62"/>
      <c r="O35" s="34"/>
      <c r="P35" s="34"/>
      <c r="Q35" s="34"/>
      <c r="R35" s="62"/>
      <c r="S35" s="37"/>
      <c r="T35" s="34"/>
      <c r="U35" s="34"/>
      <c r="V35" s="62"/>
      <c r="W35" s="38"/>
      <c r="X35" s="31"/>
      <c r="Y35" s="31"/>
      <c r="Z35" s="78"/>
      <c r="AA35" s="37"/>
      <c r="AB35" s="34"/>
      <c r="AC35" s="34"/>
      <c r="AD35" s="64"/>
      <c r="AE35" s="79"/>
      <c r="AF35" s="64"/>
      <c r="AG35" s="43">
        <f t="shared" si="0"/>
        <v>0</v>
      </c>
      <c r="AH35" s="44">
        <f t="shared" si="0"/>
        <v>0</v>
      </c>
      <c r="AI35" s="44">
        <f t="shared" si="0"/>
        <v>0</v>
      </c>
      <c r="AJ35" s="45">
        <f t="shared" si="0"/>
        <v>0</v>
      </c>
      <c r="AK35" s="80">
        <f t="shared" si="1"/>
        <v>0</v>
      </c>
      <c r="AL35" s="47">
        <v>0.65</v>
      </c>
      <c r="AM35" s="48">
        <f t="shared" si="7"/>
        <v>0</v>
      </c>
      <c r="AN35" s="48">
        <f t="shared" si="2"/>
        <v>0</v>
      </c>
      <c r="AO35" s="49">
        <f t="shared" si="8"/>
        <v>0</v>
      </c>
      <c r="AP35" s="49">
        <f t="shared" si="3"/>
        <v>0</v>
      </c>
      <c r="AQ35" s="50">
        <f t="shared" si="9"/>
        <v>0</v>
      </c>
      <c r="AR35" s="81">
        <v>34.479999999999997</v>
      </c>
      <c r="AS35" s="82">
        <v>5.5200000000000031</v>
      </c>
      <c r="AT35" s="83">
        <f t="shared" si="13"/>
        <v>0</v>
      </c>
      <c r="AU35" s="84">
        <f t="shared" si="14"/>
        <v>0</v>
      </c>
      <c r="AV35" s="85">
        <v>0</v>
      </c>
      <c r="AW35" s="86"/>
      <c r="AX35" s="86"/>
      <c r="AY35" s="82"/>
      <c r="AZ35" s="87">
        <f t="shared" si="15"/>
        <v>0</v>
      </c>
    </row>
    <row r="36" spans="1:52" ht="16.5" thickBot="1" x14ac:dyDescent="0.3">
      <c r="A36" s="74">
        <v>400</v>
      </c>
      <c r="B36" s="75" t="s">
        <v>47</v>
      </c>
      <c r="C36" s="76"/>
      <c r="D36" s="26">
        <f t="shared" si="4"/>
        <v>0</v>
      </c>
      <c r="E36" s="27">
        <f t="shared" si="5"/>
        <v>0</v>
      </c>
      <c r="F36" s="29">
        <f t="shared" si="6"/>
        <v>0</v>
      </c>
      <c r="G36" s="30">
        <v>0</v>
      </c>
      <c r="H36" s="31">
        <v>0</v>
      </c>
      <c r="I36" s="32">
        <v>0</v>
      </c>
      <c r="J36" s="77"/>
      <c r="K36" s="33"/>
      <c r="L36" s="34"/>
      <c r="M36" s="34"/>
      <c r="N36" s="62"/>
      <c r="O36" s="34"/>
      <c r="P36" s="34"/>
      <c r="Q36" s="34"/>
      <c r="R36" s="62"/>
      <c r="S36" s="37"/>
      <c r="T36" s="34"/>
      <c r="U36" s="34"/>
      <c r="V36" s="62"/>
      <c r="W36" s="38"/>
      <c r="X36" s="31"/>
      <c r="Y36" s="31"/>
      <c r="Z36" s="78"/>
      <c r="AA36" s="37"/>
      <c r="AB36" s="34"/>
      <c r="AC36" s="34"/>
      <c r="AD36" s="64"/>
      <c r="AE36" s="79"/>
      <c r="AF36" s="64"/>
      <c r="AG36" s="43">
        <f t="shared" ref="AG36:AJ100" si="16">G36+K36+O36+S36+W36+AA36</f>
        <v>0</v>
      </c>
      <c r="AH36" s="44">
        <f t="shared" si="16"/>
        <v>0</v>
      </c>
      <c r="AI36" s="44">
        <f t="shared" si="16"/>
        <v>0</v>
      </c>
      <c r="AJ36" s="45">
        <f t="shared" si="16"/>
        <v>0</v>
      </c>
      <c r="AK36" s="80">
        <f t="shared" si="1"/>
        <v>0</v>
      </c>
      <c r="AL36" s="47">
        <v>0.75</v>
      </c>
      <c r="AM36" s="48">
        <f t="shared" si="7"/>
        <v>0</v>
      </c>
      <c r="AN36" s="48">
        <f t="shared" si="2"/>
        <v>0</v>
      </c>
      <c r="AO36" s="49">
        <f t="shared" si="8"/>
        <v>0</v>
      </c>
      <c r="AP36" s="49">
        <f t="shared" si="3"/>
        <v>0</v>
      </c>
      <c r="AQ36" s="50">
        <f t="shared" si="9"/>
        <v>0</v>
      </c>
      <c r="AR36" s="81">
        <v>34.479999999999997</v>
      </c>
      <c r="AS36" s="82">
        <v>5.5200000000000031</v>
      </c>
      <c r="AT36" s="83">
        <f t="shared" si="13"/>
        <v>0</v>
      </c>
      <c r="AU36" s="84">
        <f t="shared" si="14"/>
        <v>0</v>
      </c>
      <c r="AV36" s="85">
        <v>0</v>
      </c>
      <c r="AW36" s="86"/>
      <c r="AX36" s="86"/>
      <c r="AY36" s="82"/>
      <c r="AZ36" s="87">
        <f t="shared" si="15"/>
        <v>0</v>
      </c>
    </row>
    <row r="37" spans="1:52" ht="16.5" thickBot="1" x14ac:dyDescent="0.3">
      <c r="A37" s="74">
        <v>400</v>
      </c>
      <c r="B37" s="75" t="s">
        <v>34</v>
      </c>
      <c r="C37" s="76">
        <v>516</v>
      </c>
      <c r="D37" s="26">
        <f t="shared" si="4"/>
        <v>172</v>
      </c>
      <c r="E37" s="27">
        <f t="shared" si="5"/>
        <v>172</v>
      </c>
      <c r="F37" s="29">
        <f t="shared" si="6"/>
        <v>172</v>
      </c>
      <c r="G37" s="30">
        <v>0</v>
      </c>
      <c r="H37" s="31">
        <v>0</v>
      </c>
      <c r="I37" s="32">
        <v>0</v>
      </c>
      <c r="J37" s="77"/>
      <c r="K37" s="33"/>
      <c r="L37" s="34"/>
      <c r="M37" s="34"/>
      <c r="N37" s="62"/>
      <c r="O37" s="34"/>
      <c r="P37" s="34"/>
      <c r="Q37" s="34"/>
      <c r="R37" s="62"/>
      <c r="S37" s="37"/>
      <c r="T37" s="34"/>
      <c r="U37" s="34"/>
      <c r="V37" s="62"/>
      <c r="W37" s="38"/>
      <c r="X37" s="31"/>
      <c r="Y37" s="31"/>
      <c r="Z37" s="78"/>
      <c r="AA37" s="37"/>
      <c r="AB37" s="34"/>
      <c r="AC37" s="34"/>
      <c r="AD37" s="64"/>
      <c r="AE37" s="79"/>
      <c r="AF37" s="64"/>
      <c r="AG37" s="43">
        <f t="shared" si="16"/>
        <v>0</v>
      </c>
      <c r="AH37" s="44">
        <f t="shared" si="16"/>
        <v>0</v>
      </c>
      <c r="AI37" s="44">
        <f t="shared" si="16"/>
        <v>0</v>
      </c>
      <c r="AJ37" s="45">
        <f t="shared" si="16"/>
        <v>0</v>
      </c>
      <c r="AK37" s="80">
        <f t="shared" si="1"/>
        <v>0</v>
      </c>
      <c r="AL37" s="66">
        <v>0.65</v>
      </c>
      <c r="AM37" s="48">
        <f t="shared" si="7"/>
        <v>0</v>
      </c>
      <c r="AN37" s="48">
        <f t="shared" si="2"/>
        <v>0</v>
      </c>
      <c r="AO37" s="49">
        <f t="shared" si="8"/>
        <v>0</v>
      </c>
      <c r="AP37" s="49">
        <f t="shared" si="3"/>
        <v>0</v>
      </c>
      <c r="AQ37" s="50">
        <f t="shared" si="9"/>
        <v>0</v>
      </c>
      <c r="AR37" s="81">
        <v>34.44</v>
      </c>
      <c r="AS37" s="82">
        <v>5.5600000000000023</v>
      </c>
      <c r="AT37" s="83">
        <f t="shared" si="13"/>
        <v>0</v>
      </c>
      <c r="AU37" s="84">
        <f t="shared" si="14"/>
        <v>0</v>
      </c>
      <c r="AV37" s="85">
        <v>0</v>
      </c>
      <c r="AW37" s="86"/>
      <c r="AX37" s="86"/>
      <c r="AY37" s="82"/>
      <c r="AZ37" s="87">
        <f t="shared" si="15"/>
        <v>0</v>
      </c>
    </row>
    <row r="38" spans="1:52" ht="16.5" thickBot="1" x14ac:dyDescent="0.3">
      <c r="A38" s="74">
        <v>400</v>
      </c>
      <c r="B38" s="75" t="s">
        <v>27</v>
      </c>
      <c r="C38" s="76">
        <v>770</v>
      </c>
      <c r="D38" s="26">
        <f t="shared" si="4"/>
        <v>256.66666666666669</v>
      </c>
      <c r="E38" s="27">
        <f t="shared" si="5"/>
        <v>256.66666666666669</v>
      </c>
      <c r="F38" s="29">
        <f t="shared" si="6"/>
        <v>256.66666666666669</v>
      </c>
      <c r="G38" s="30">
        <v>0</v>
      </c>
      <c r="H38" s="31">
        <v>0</v>
      </c>
      <c r="I38" s="32">
        <v>5</v>
      </c>
      <c r="J38" s="77"/>
      <c r="K38" s="33"/>
      <c r="L38" s="34"/>
      <c r="M38" s="34"/>
      <c r="N38" s="62"/>
      <c r="O38" s="34"/>
      <c r="P38" s="34"/>
      <c r="Q38" s="34"/>
      <c r="R38" s="62"/>
      <c r="S38" s="37"/>
      <c r="T38" s="34"/>
      <c r="U38" s="34"/>
      <c r="V38" s="62"/>
      <c r="W38" s="38"/>
      <c r="X38" s="31"/>
      <c r="Y38" s="31"/>
      <c r="Z38" s="78"/>
      <c r="AA38" s="37"/>
      <c r="AB38" s="34"/>
      <c r="AC38" s="34"/>
      <c r="AD38" s="64"/>
      <c r="AE38" s="79"/>
      <c r="AF38" s="64"/>
      <c r="AG38" s="43">
        <f t="shared" si="16"/>
        <v>0</v>
      </c>
      <c r="AH38" s="44">
        <f t="shared" si="16"/>
        <v>0</v>
      </c>
      <c r="AI38" s="44">
        <f t="shared" si="16"/>
        <v>5</v>
      </c>
      <c r="AJ38" s="45">
        <f t="shared" si="16"/>
        <v>0</v>
      </c>
      <c r="AK38" s="80">
        <f t="shared" si="1"/>
        <v>5</v>
      </c>
      <c r="AL38" s="66">
        <v>0.65</v>
      </c>
      <c r="AM38" s="48">
        <f t="shared" si="7"/>
        <v>0</v>
      </c>
      <c r="AN38" s="48">
        <f t="shared" si="2"/>
        <v>0</v>
      </c>
      <c r="AO38" s="49">
        <f t="shared" si="8"/>
        <v>3.25</v>
      </c>
      <c r="AP38" s="49">
        <f t="shared" si="3"/>
        <v>0</v>
      </c>
      <c r="AQ38" s="50">
        <f t="shared" si="9"/>
        <v>300</v>
      </c>
      <c r="AR38" s="81">
        <v>34.479999999999997</v>
      </c>
      <c r="AS38" s="82">
        <v>5.5200000000000031</v>
      </c>
      <c r="AT38" s="83">
        <f t="shared" si="13"/>
        <v>27.600000000000016</v>
      </c>
      <c r="AU38" s="84">
        <f t="shared" si="14"/>
        <v>3.25</v>
      </c>
      <c r="AV38" s="85">
        <v>0</v>
      </c>
      <c r="AW38" s="86"/>
      <c r="AX38" s="86"/>
      <c r="AY38" s="82"/>
      <c r="AZ38" s="87">
        <f t="shared" si="15"/>
        <v>24.350000000000016</v>
      </c>
    </row>
    <row r="39" spans="1:52" ht="16.5" thickBot="1" x14ac:dyDescent="0.3">
      <c r="A39" s="74">
        <v>400</v>
      </c>
      <c r="B39" s="75" t="s">
        <v>40</v>
      </c>
      <c r="C39" s="76"/>
      <c r="D39" s="26">
        <f t="shared" si="4"/>
        <v>0</v>
      </c>
      <c r="E39" s="27">
        <f t="shared" si="5"/>
        <v>0</v>
      </c>
      <c r="F39" s="29">
        <f t="shared" si="6"/>
        <v>0</v>
      </c>
      <c r="G39" s="30">
        <v>0</v>
      </c>
      <c r="H39" s="31">
        <v>0</v>
      </c>
      <c r="I39" s="32">
        <v>0</v>
      </c>
      <c r="J39" s="77"/>
      <c r="K39" s="33"/>
      <c r="L39" s="34"/>
      <c r="M39" s="34"/>
      <c r="N39" s="62"/>
      <c r="O39" s="34"/>
      <c r="P39" s="34"/>
      <c r="Q39" s="34"/>
      <c r="R39" s="62"/>
      <c r="S39" s="37"/>
      <c r="T39" s="34"/>
      <c r="U39" s="34"/>
      <c r="V39" s="62"/>
      <c r="W39" s="38"/>
      <c r="X39" s="31"/>
      <c r="Y39" s="31"/>
      <c r="Z39" s="78"/>
      <c r="AA39" s="37"/>
      <c r="AB39" s="34"/>
      <c r="AC39" s="34"/>
      <c r="AD39" s="64"/>
      <c r="AE39" s="79"/>
      <c r="AF39" s="64"/>
      <c r="AG39" s="43">
        <f t="shared" si="16"/>
        <v>0</v>
      </c>
      <c r="AH39" s="44">
        <f t="shared" si="16"/>
        <v>0</v>
      </c>
      <c r="AI39" s="44">
        <f t="shared" si="16"/>
        <v>0</v>
      </c>
      <c r="AJ39" s="45">
        <f t="shared" si="16"/>
        <v>0</v>
      </c>
      <c r="AK39" s="80">
        <f t="shared" si="1"/>
        <v>0</v>
      </c>
      <c r="AL39" s="47">
        <v>0.75</v>
      </c>
      <c r="AM39" s="48">
        <f t="shared" si="7"/>
        <v>0</v>
      </c>
      <c r="AN39" s="48">
        <f t="shared" si="2"/>
        <v>0</v>
      </c>
      <c r="AO39" s="49">
        <f t="shared" si="8"/>
        <v>0</v>
      </c>
      <c r="AP39" s="49">
        <f t="shared" si="3"/>
        <v>0</v>
      </c>
      <c r="AQ39" s="50">
        <f t="shared" si="9"/>
        <v>0</v>
      </c>
      <c r="AR39" s="81">
        <v>34.520000000000003</v>
      </c>
      <c r="AS39" s="82">
        <v>5.4799999999999969</v>
      </c>
      <c r="AT39" s="83">
        <f t="shared" si="13"/>
        <v>0</v>
      </c>
      <c r="AU39" s="84">
        <f t="shared" si="14"/>
        <v>0</v>
      </c>
      <c r="AV39" s="85">
        <v>0</v>
      </c>
      <c r="AW39" s="86"/>
      <c r="AX39" s="86"/>
      <c r="AY39" s="82"/>
      <c r="AZ39" s="87">
        <f t="shared" si="15"/>
        <v>0</v>
      </c>
    </row>
    <row r="40" spans="1:52" ht="16.5" thickBot="1" x14ac:dyDescent="0.3">
      <c r="A40" s="74">
        <v>400</v>
      </c>
      <c r="B40" s="75" t="s">
        <v>48</v>
      </c>
      <c r="C40" s="76"/>
      <c r="D40" s="26">
        <f t="shared" si="4"/>
        <v>0</v>
      </c>
      <c r="E40" s="27">
        <f t="shared" si="5"/>
        <v>0</v>
      </c>
      <c r="F40" s="29">
        <f t="shared" si="6"/>
        <v>0</v>
      </c>
      <c r="G40" s="30">
        <v>0</v>
      </c>
      <c r="H40" s="31">
        <v>0</v>
      </c>
      <c r="I40" s="32">
        <v>0</v>
      </c>
      <c r="J40" s="77"/>
      <c r="K40" s="33"/>
      <c r="L40" s="34"/>
      <c r="M40" s="34"/>
      <c r="N40" s="62"/>
      <c r="O40" s="34"/>
      <c r="P40" s="34"/>
      <c r="Q40" s="34"/>
      <c r="R40" s="62"/>
      <c r="S40" s="37"/>
      <c r="T40" s="34"/>
      <c r="U40" s="34"/>
      <c r="V40" s="62"/>
      <c r="W40" s="38"/>
      <c r="X40" s="31"/>
      <c r="Y40" s="31"/>
      <c r="Z40" s="78"/>
      <c r="AA40" s="37"/>
      <c r="AB40" s="34"/>
      <c r="AC40" s="34"/>
      <c r="AD40" s="64"/>
      <c r="AE40" s="79"/>
      <c r="AF40" s="64"/>
      <c r="AG40" s="43">
        <f t="shared" si="16"/>
        <v>0</v>
      </c>
      <c r="AH40" s="44">
        <f t="shared" si="16"/>
        <v>0</v>
      </c>
      <c r="AI40" s="44">
        <f t="shared" si="16"/>
        <v>0</v>
      </c>
      <c r="AJ40" s="45">
        <f t="shared" si="16"/>
        <v>0</v>
      </c>
      <c r="AK40" s="80">
        <f t="shared" si="1"/>
        <v>0</v>
      </c>
      <c r="AL40" s="47">
        <v>0.75</v>
      </c>
      <c r="AM40" s="48">
        <f t="shared" si="7"/>
        <v>0</v>
      </c>
      <c r="AN40" s="48">
        <f t="shared" si="2"/>
        <v>0</v>
      </c>
      <c r="AO40" s="49">
        <f t="shared" si="8"/>
        <v>0</v>
      </c>
      <c r="AP40" s="49">
        <f t="shared" si="3"/>
        <v>0</v>
      </c>
      <c r="AQ40" s="50">
        <f t="shared" si="9"/>
        <v>0</v>
      </c>
      <c r="AR40" s="81">
        <v>34.520000000000003</v>
      </c>
      <c r="AS40" s="82">
        <v>5.4799999999999969</v>
      </c>
      <c r="AT40" s="83">
        <f t="shared" si="13"/>
        <v>0</v>
      </c>
      <c r="AU40" s="84">
        <f t="shared" si="14"/>
        <v>0</v>
      </c>
      <c r="AV40" s="85">
        <v>0</v>
      </c>
      <c r="AW40" s="86"/>
      <c r="AX40" s="86"/>
      <c r="AY40" s="82"/>
      <c r="AZ40" s="87">
        <f t="shared" si="15"/>
        <v>0</v>
      </c>
    </row>
    <row r="41" spans="1:52" ht="16.5" thickBot="1" x14ac:dyDescent="0.3">
      <c r="A41" s="74">
        <v>400</v>
      </c>
      <c r="B41" s="75" t="s">
        <v>49</v>
      </c>
      <c r="C41" s="76"/>
      <c r="D41" s="26">
        <f t="shared" si="4"/>
        <v>0</v>
      </c>
      <c r="E41" s="27">
        <f t="shared" si="5"/>
        <v>0</v>
      </c>
      <c r="F41" s="29">
        <f t="shared" si="6"/>
        <v>0</v>
      </c>
      <c r="G41" s="30">
        <v>0</v>
      </c>
      <c r="H41" s="31">
        <v>0</v>
      </c>
      <c r="I41" s="32">
        <v>0</v>
      </c>
      <c r="J41" s="77"/>
      <c r="K41" s="33"/>
      <c r="L41" s="34"/>
      <c r="M41" s="34"/>
      <c r="N41" s="62"/>
      <c r="O41" s="34"/>
      <c r="P41" s="34"/>
      <c r="Q41" s="34"/>
      <c r="R41" s="62"/>
      <c r="S41" s="37"/>
      <c r="T41" s="34"/>
      <c r="U41" s="34"/>
      <c r="V41" s="62"/>
      <c r="W41" s="38"/>
      <c r="X41" s="31"/>
      <c r="Y41" s="31"/>
      <c r="Z41" s="78"/>
      <c r="AA41" s="37"/>
      <c r="AB41" s="34"/>
      <c r="AC41" s="34"/>
      <c r="AD41" s="64"/>
      <c r="AE41" s="79"/>
      <c r="AF41" s="64"/>
      <c r="AG41" s="43">
        <f t="shared" si="16"/>
        <v>0</v>
      </c>
      <c r="AH41" s="44">
        <f t="shared" si="16"/>
        <v>0</v>
      </c>
      <c r="AI41" s="44">
        <f t="shared" si="16"/>
        <v>0</v>
      </c>
      <c r="AJ41" s="45">
        <f t="shared" si="16"/>
        <v>0</v>
      </c>
      <c r="AK41" s="80">
        <f t="shared" si="1"/>
        <v>0</v>
      </c>
      <c r="AL41" s="47">
        <v>0.75</v>
      </c>
      <c r="AM41" s="48">
        <f t="shared" si="7"/>
        <v>0</v>
      </c>
      <c r="AN41" s="48">
        <f t="shared" si="2"/>
        <v>0</v>
      </c>
      <c r="AO41" s="49">
        <f t="shared" si="8"/>
        <v>0</v>
      </c>
      <c r="AP41" s="49">
        <f t="shared" si="3"/>
        <v>0</v>
      </c>
      <c r="AQ41" s="50">
        <f t="shared" si="9"/>
        <v>0</v>
      </c>
      <c r="AR41" s="81">
        <v>34.479999999999997</v>
      </c>
      <c r="AS41" s="82">
        <v>5.5200000000000031</v>
      </c>
      <c r="AT41" s="83">
        <f t="shared" si="13"/>
        <v>0</v>
      </c>
      <c r="AU41" s="84">
        <f t="shared" si="14"/>
        <v>0</v>
      </c>
      <c r="AV41" s="85">
        <v>0</v>
      </c>
      <c r="AW41" s="86"/>
      <c r="AX41" s="86"/>
      <c r="AY41" s="82"/>
      <c r="AZ41" s="87">
        <f t="shared" si="15"/>
        <v>0</v>
      </c>
    </row>
    <row r="42" spans="1:52" ht="16.5" thickBot="1" x14ac:dyDescent="0.3">
      <c r="A42" s="74">
        <v>375</v>
      </c>
      <c r="B42" s="75" t="s">
        <v>50</v>
      </c>
      <c r="C42" s="76"/>
      <c r="D42" s="26">
        <f t="shared" si="4"/>
        <v>0</v>
      </c>
      <c r="E42" s="27">
        <f t="shared" si="5"/>
        <v>0</v>
      </c>
      <c r="F42" s="29">
        <f t="shared" si="6"/>
        <v>0</v>
      </c>
      <c r="G42" s="30">
        <v>0</v>
      </c>
      <c r="H42" s="31">
        <v>0</v>
      </c>
      <c r="I42" s="32">
        <v>0</v>
      </c>
      <c r="J42" s="77"/>
      <c r="K42" s="33"/>
      <c r="L42" s="34"/>
      <c r="M42" s="34"/>
      <c r="N42" s="62"/>
      <c r="O42" s="34"/>
      <c r="P42" s="34"/>
      <c r="Q42" s="34"/>
      <c r="R42" s="62"/>
      <c r="S42" s="37"/>
      <c r="T42" s="34"/>
      <c r="U42" s="34"/>
      <c r="V42" s="62"/>
      <c r="W42" s="38"/>
      <c r="X42" s="31"/>
      <c r="Y42" s="31"/>
      <c r="Z42" s="78"/>
      <c r="AA42" s="37"/>
      <c r="AB42" s="34"/>
      <c r="AC42" s="34"/>
      <c r="AD42" s="64"/>
      <c r="AE42" s="79"/>
      <c r="AF42" s="64"/>
      <c r="AG42" s="43">
        <f t="shared" si="16"/>
        <v>0</v>
      </c>
      <c r="AH42" s="44">
        <f t="shared" si="16"/>
        <v>0</v>
      </c>
      <c r="AI42" s="44">
        <f t="shared" si="16"/>
        <v>0</v>
      </c>
      <c r="AJ42" s="45">
        <f t="shared" si="16"/>
        <v>0</v>
      </c>
      <c r="AK42" s="80">
        <f t="shared" si="1"/>
        <v>0</v>
      </c>
      <c r="AL42" s="47">
        <v>0.75</v>
      </c>
      <c r="AM42" s="48">
        <f t="shared" si="7"/>
        <v>0</v>
      </c>
      <c r="AN42" s="48">
        <f t="shared" si="2"/>
        <v>0</v>
      </c>
      <c r="AO42" s="49">
        <f t="shared" si="8"/>
        <v>0</v>
      </c>
      <c r="AP42" s="49">
        <f t="shared" si="3"/>
        <v>0</v>
      </c>
      <c r="AQ42" s="50">
        <f t="shared" si="9"/>
        <v>0</v>
      </c>
      <c r="AR42" s="81">
        <v>34.520000000000003</v>
      </c>
      <c r="AS42" s="82">
        <v>5.4799999999999969</v>
      </c>
      <c r="AT42" s="83">
        <f t="shared" si="13"/>
        <v>0</v>
      </c>
      <c r="AU42" s="84">
        <f t="shared" si="14"/>
        <v>0</v>
      </c>
      <c r="AV42" s="85">
        <v>0</v>
      </c>
      <c r="AW42" s="86"/>
      <c r="AX42" s="86"/>
      <c r="AY42" s="82"/>
      <c r="AZ42" s="87">
        <f t="shared" si="15"/>
        <v>0</v>
      </c>
    </row>
    <row r="43" spans="1:52" ht="16.5" thickBot="1" x14ac:dyDescent="0.3">
      <c r="A43" s="74">
        <v>355</v>
      </c>
      <c r="B43" s="75" t="s">
        <v>51</v>
      </c>
      <c r="C43" s="76">
        <v>20</v>
      </c>
      <c r="D43" s="26">
        <f t="shared" si="4"/>
        <v>6.666666666666667</v>
      </c>
      <c r="E43" s="27">
        <f t="shared" si="5"/>
        <v>6.666666666666667</v>
      </c>
      <c r="F43" s="29">
        <f t="shared" si="6"/>
        <v>6.666666666666667</v>
      </c>
      <c r="G43" s="30">
        <v>0</v>
      </c>
      <c r="H43" s="31">
        <v>0</v>
      </c>
      <c r="I43" s="32">
        <v>0</v>
      </c>
      <c r="J43" s="77"/>
      <c r="K43" s="33"/>
      <c r="L43" s="34"/>
      <c r="M43" s="34"/>
      <c r="N43" s="62"/>
      <c r="O43" s="34"/>
      <c r="P43" s="34"/>
      <c r="Q43" s="34"/>
      <c r="R43" s="62"/>
      <c r="S43" s="37"/>
      <c r="T43" s="34"/>
      <c r="U43" s="34"/>
      <c r="V43" s="62"/>
      <c r="W43" s="38"/>
      <c r="X43" s="31"/>
      <c r="Y43" s="31"/>
      <c r="Z43" s="78"/>
      <c r="AA43" s="37"/>
      <c r="AB43" s="34"/>
      <c r="AC43" s="34"/>
      <c r="AD43" s="64"/>
      <c r="AE43" s="79"/>
      <c r="AF43" s="64"/>
      <c r="AG43" s="43">
        <f t="shared" si="16"/>
        <v>0</v>
      </c>
      <c r="AH43" s="44">
        <f t="shared" si="16"/>
        <v>0</v>
      </c>
      <c r="AI43" s="44">
        <f t="shared" si="16"/>
        <v>0</v>
      </c>
      <c r="AJ43" s="45">
        <f t="shared" si="16"/>
        <v>0</v>
      </c>
      <c r="AK43" s="80">
        <f t="shared" si="1"/>
        <v>0</v>
      </c>
      <c r="AL43" s="47">
        <v>0.5</v>
      </c>
      <c r="AM43" s="48">
        <f t="shared" si="7"/>
        <v>0</v>
      </c>
      <c r="AN43" s="48">
        <f t="shared" si="2"/>
        <v>0</v>
      </c>
      <c r="AO43" s="49">
        <f t="shared" si="8"/>
        <v>0</v>
      </c>
      <c r="AP43" s="49">
        <f t="shared" si="3"/>
        <v>0</v>
      </c>
      <c r="AQ43" s="50">
        <f t="shared" si="9"/>
        <v>0</v>
      </c>
      <c r="AR43" s="81"/>
      <c r="AS43" s="82"/>
      <c r="AT43" s="83">
        <f t="shared" si="13"/>
        <v>0</v>
      </c>
      <c r="AU43" s="84">
        <f t="shared" si="14"/>
        <v>0</v>
      </c>
      <c r="AV43" s="85"/>
      <c r="AW43" s="86"/>
      <c r="AX43" s="86"/>
      <c r="AY43" s="82"/>
      <c r="AZ43" s="87"/>
    </row>
    <row r="44" spans="1:52" ht="16.5" thickBot="1" x14ac:dyDescent="0.3">
      <c r="A44" s="74">
        <v>300</v>
      </c>
      <c r="B44" s="75" t="s">
        <v>52</v>
      </c>
      <c r="C44" s="76">
        <v>147</v>
      </c>
      <c r="D44" s="26">
        <f t="shared" si="4"/>
        <v>49</v>
      </c>
      <c r="E44" s="27">
        <f t="shared" si="5"/>
        <v>49</v>
      </c>
      <c r="F44" s="29">
        <f t="shared" si="6"/>
        <v>49</v>
      </c>
      <c r="G44" s="30">
        <v>0</v>
      </c>
      <c r="H44" s="31">
        <v>0</v>
      </c>
      <c r="I44" s="32">
        <v>0</v>
      </c>
      <c r="J44" s="77"/>
      <c r="K44" s="33"/>
      <c r="L44" s="34"/>
      <c r="M44" s="34"/>
      <c r="N44" s="62"/>
      <c r="O44" s="34"/>
      <c r="P44" s="34"/>
      <c r="Q44" s="34"/>
      <c r="R44" s="62"/>
      <c r="S44" s="37"/>
      <c r="T44" s="34"/>
      <c r="U44" s="34"/>
      <c r="V44" s="62"/>
      <c r="W44" s="38"/>
      <c r="X44" s="31"/>
      <c r="Y44" s="31"/>
      <c r="Z44" s="78"/>
      <c r="AA44" s="37"/>
      <c r="AB44" s="34"/>
      <c r="AC44" s="34"/>
      <c r="AD44" s="64"/>
      <c r="AE44" s="79"/>
      <c r="AF44" s="64"/>
      <c r="AG44" s="43">
        <f t="shared" si="16"/>
        <v>0</v>
      </c>
      <c r="AH44" s="44">
        <f t="shared" si="16"/>
        <v>0</v>
      </c>
      <c r="AI44" s="44">
        <f t="shared" si="16"/>
        <v>0</v>
      </c>
      <c r="AJ44" s="45">
        <f t="shared" si="16"/>
        <v>0</v>
      </c>
      <c r="AK44" s="80">
        <f t="shared" si="1"/>
        <v>0</v>
      </c>
      <c r="AL44" s="47">
        <v>1</v>
      </c>
      <c r="AM44" s="48">
        <f t="shared" si="7"/>
        <v>0</v>
      </c>
      <c r="AN44" s="48">
        <f t="shared" si="2"/>
        <v>0</v>
      </c>
      <c r="AO44" s="49">
        <f t="shared" si="8"/>
        <v>0</v>
      </c>
      <c r="AP44" s="49">
        <f t="shared" si="3"/>
        <v>0</v>
      </c>
      <c r="AQ44" s="50">
        <f t="shared" si="9"/>
        <v>0</v>
      </c>
      <c r="AR44" s="81">
        <v>51.9</v>
      </c>
      <c r="AS44" s="82">
        <v>8.1000000000000014</v>
      </c>
      <c r="AT44" s="83">
        <f t="shared" si="13"/>
        <v>0</v>
      </c>
      <c r="AU44" s="84">
        <f t="shared" si="14"/>
        <v>0</v>
      </c>
      <c r="AV44" s="85">
        <v>0</v>
      </c>
      <c r="AW44" s="86"/>
      <c r="AX44" s="86"/>
      <c r="AY44" s="82"/>
      <c r="AZ44" s="87">
        <f>AT44-AU44-AW44-AX44-AY44</f>
        <v>0</v>
      </c>
    </row>
    <row r="45" spans="1:52" ht="16.5" thickBot="1" x14ac:dyDescent="0.3">
      <c r="A45" s="74">
        <v>355</v>
      </c>
      <c r="B45" s="75" t="s">
        <v>53</v>
      </c>
      <c r="C45" s="76"/>
      <c r="D45" s="26">
        <f t="shared" si="4"/>
        <v>0</v>
      </c>
      <c r="E45" s="27">
        <f t="shared" si="5"/>
        <v>0</v>
      </c>
      <c r="F45" s="29">
        <f t="shared" si="6"/>
        <v>0</v>
      </c>
      <c r="G45" s="30">
        <v>0</v>
      </c>
      <c r="H45" s="31">
        <v>0</v>
      </c>
      <c r="I45" s="32">
        <v>0</v>
      </c>
      <c r="J45" s="77"/>
      <c r="K45" s="33"/>
      <c r="L45" s="34"/>
      <c r="M45" s="34"/>
      <c r="N45" s="62"/>
      <c r="O45" s="34"/>
      <c r="P45" s="34"/>
      <c r="Q45" s="34"/>
      <c r="R45" s="62"/>
      <c r="S45" s="37"/>
      <c r="T45" s="34"/>
      <c r="U45" s="34"/>
      <c r="V45" s="62"/>
      <c r="W45" s="38"/>
      <c r="X45" s="31"/>
      <c r="Y45" s="31"/>
      <c r="Z45" s="78"/>
      <c r="AA45" s="37"/>
      <c r="AB45" s="34"/>
      <c r="AC45" s="34"/>
      <c r="AD45" s="64"/>
      <c r="AE45" s="79"/>
      <c r="AF45" s="64"/>
      <c r="AG45" s="43">
        <f t="shared" si="16"/>
        <v>0</v>
      </c>
      <c r="AH45" s="44">
        <f t="shared" si="16"/>
        <v>0</v>
      </c>
      <c r="AI45" s="44">
        <f t="shared" si="16"/>
        <v>0</v>
      </c>
      <c r="AJ45" s="45">
        <f t="shared" si="16"/>
        <v>0</v>
      </c>
      <c r="AK45" s="80">
        <f t="shared" si="1"/>
        <v>0</v>
      </c>
      <c r="AL45" s="47">
        <v>0.5</v>
      </c>
      <c r="AM45" s="48">
        <f t="shared" si="7"/>
        <v>0</v>
      </c>
      <c r="AN45" s="48">
        <f t="shared" si="2"/>
        <v>0</v>
      </c>
      <c r="AO45" s="49">
        <f t="shared" si="8"/>
        <v>0</v>
      </c>
      <c r="AP45" s="49">
        <f t="shared" si="3"/>
        <v>0</v>
      </c>
      <c r="AQ45" s="50">
        <f t="shared" si="9"/>
        <v>0</v>
      </c>
      <c r="AR45" s="81">
        <v>15.36</v>
      </c>
      <c r="AS45" s="82">
        <v>2.14</v>
      </c>
      <c r="AT45" s="83">
        <f t="shared" si="13"/>
        <v>0</v>
      </c>
      <c r="AU45" s="84">
        <f t="shared" si="14"/>
        <v>0</v>
      </c>
      <c r="AV45" s="85"/>
      <c r="AW45" s="86"/>
      <c r="AX45" s="86"/>
      <c r="AY45" s="82"/>
      <c r="AZ45" s="87"/>
    </row>
    <row r="46" spans="1:52" ht="16.5" thickBot="1" x14ac:dyDescent="0.3">
      <c r="A46" s="74">
        <v>355</v>
      </c>
      <c r="B46" s="75" t="s">
        <v>54</v>
      </c>
      <c r="C46" s="76"/>
      <c r="D46" s="26">
        <f t="shared" si="4"/>
        <v>0</v>
      </c>
      <c r="E46" s="27">
        <f t="shared" si="5"/>
        <v>0</v>
      </c>
      <c r="F46" s="29">
        <f t="shared" si="6"/>
        <v>0</v>
      </c>
      <c r="G46" s="30">
        <v>0</v>
      </c>
      <c r="H46" s="31">
        <v>0</v>
      </c>
      <c r="I46" s="32">
        <v>0</v>
      </c>
      <c r="J46" s="77"/>
      <c r="K46" s="33"/>
      <c r="L46" s="34"/>
      <c r="M46" s="34"/>
      <c r="N46" s="62"/>
      <c r="O46" s="34"/>
      <c r="P46" s="34"/>
      <c r="Q46" s="34"/>
      <c r="R46" s="62"/>
      <c r="S46" s="37"/>
      <c r="T46" s="34"/>
      <c r="U46" s="34"/>
      <c r="V46" s="62"/>
      <c r="W46" s="38"/>
      <c r="X46" s="31"/>
      <c r="Y46" s="31"/>
      <c r="Z46" s="78"/>
      <c r="AA46" s="37"/>
      <c r="AB46" s="34"/>
      <c r="AC46" s="34"/>
      <c r="AD46" s="64"/>
      <c r="AE46" s="79"/>
      <c r="AF46" s="64"/>
      <c r="AG46" s="43">
        <f t="shared" si="16"/>
        <v>0</v>
      </c>
      <c r="AH46" s="44">
        <f t="shared" si="16"/>
        <v>0</v>
      </c>
      <c r="AI46" s="44">
        <f t="shared" si="16"/>
        <v>0</v>
      </c>
      <c r="AJ46" s="45">
        <f t="shared" si="16"/>
        <v>0</v>
      </c>
      <c r="AK46" s="80">
        <f t="shared" si="1"/>
        <v>0</v>
      </c>
      <c r="AL46" s="47">
        <v>0.5</v>
      </c>
      <c r="AM46" s="48">
        <f t="shared" si="7"/>
        <v>0</v>
      </c>
      <c r="AN46" s="48">
        <f t="shared" si="2"/>
        <v>0</v>
      </c>
      <c r="AO46" s="49">
        <f t="shared" si="8"/>
        <v>0</v>
      </c>
      <c r="AP46" s="49">
        <f t="shared" si="3"/>
        <v>0</v>
      </c>
      <c r="AQ46" s="50">
        <f t="shared" si="9"/>
        <v>0</v>
      </c>
      <c r="AR46" s="81"/>
      <c r="AS46" s="82"/>
      <c r="AT46" s="83">
        <f t="shared" si="13"/>
        <v>0</v>
      </c>
      <c r="AU46" s="84">
        <f t="shared" si="14"/>
        <v>0</v>
      </c>
      <c r="AV46" s="85"/>
      <c r="AW46" s="86"/>
      <c r="AX46" s="86"/>
      <c r="AY46" s="82"/>
      <c r="AZ46" s="87"/>
    </row>
    <row r="47" spans="1:52" ht="16.5" thickBot="1" x14ac:dyDescent="0.3">
      <c r="A47" s="74">
        <v>355</v>
      </c>
      <c r="B47" s="75" t="s">
        <v>55</v>
      </c>
      <c r="C47" s="76"/>
      <c r="D47" s="26">
        <f t="shared" si="4"/>
        <v>0</v>
      </c>
      <c r="E47" s="27">
        <f t="shared" si="5"/>
        <v>0</v>
      </c>
      <c r="F47" s="29">
        <f t="shared" si="6"/>
        <v>0</v>
      </c>
      <c r="G47" s="30">
        <v>0</v>
      </c>
      <c r="H47" s="31">
        <v>0</v>
      </c>
      <c r="I47" s="32">
        <v>0</v>
      </c>
      <c r="J47" s="77"/>
      <c r="K47" s="33"/>
      <c r="L47" s="34"/>
      <c r="M47" s="34"/>
      <c r="N47" s="62"/>
      <c r="O47" s="34"/>
      <c r="P47" s="34"/>
      <c r="Q47" s="34"/>
      <c r="R47" s="62"/>
      <c r="S47" s="37"/>
      <c r="T47" s="34"/>
      <c r="U47" s="34"/>
      <c r="V47" s="62"/>
      <c r="W47" s="38"/>
      <c r="X47" s="31"/>
      <c r="Y47" s="31"/>
      <c r="Z47" s="78"/>
      <c r="AA47" s="37"/>
      <c r="AB47" s="34"/>
      <c r="AC47" s="34"/>
      <c r="AD47" s="64"/>
      <c r="AE47" s="79"/>
      <c r="AF47" s="64"/>
      <c r="AG47" s="43">
        <f t="shared" si="16"/>
        <v>0</v>
      </c>
      <c r="AH47" s="44">
        <f t="shared" si="16"/>
        <v>0</v>
      </c>
      <c r="AI47" s="44">
        <f t="shared" si="16"/>
        <v>0</v>
      </c>
      <c r="AJ47" s="45">
        <f t="shared" si="16"/>
        <v>0</v>
      </c>
      <c r="AK47" s="80">
        <f t="shared" si="1"/>
        <v>0</v>
      </c>
      <c r="AL47" s="47">
        <v>0.5</v>
      </c>
      <c r="AM47" s="48">
        <f t="shared" si="7"/>
        <v>0</v>
      </c>
      <c r="AN47" s="48">
        <f t="shared" si="2"/>
        <v>0</v>
      </c>
      <c r="AO47" s="49">
        <f t="shared" si="8"/>
        <v>0</v>
      </c>
      <c r="AP47" s="49">
        <f t="shared" si="3"/>
        <v>0</v>
      </c>
      <c r="AQ47" s="50">
        <f t="shared" si="9"/>
        <v>0</v>
      </c>
      <c r="AR47" s="81"/>
      <c r="AS47" s="82"/>
      <c r="AT47" s="83">
        <f t="shared" si="13"/>
        <v>0</v>
      </c>
      <c r="AU47" s="84">
        <f t="shared" si="14"/>
        <v>0</v>
      </c>
      <c r="AV47" s="85"/>
      <c r="AW47" s="86"/>
      <c r="AX47" s="86"/>
      <c r="AY47" s="82"/>
      <c r="AZ47" s="87"/>
    </row>
    <row r="48" spans="1:52" ht="16.5" thickBot="1" x14ac:dyDescent="0.3">
      <c r="A48" s="74">
        <v>355</v>
      </c>
      <c r="B48" s="75" t="s">
        <v>56</v>
      </c>
      <c r="C48" s="76"/>
      <c r="D48" s="26">
        <f t="shared" si="4"/>
        <v>0</v>
      </c>
      <c r="E48" s="27">
        <f t="shared" si="5"/>
        <v>0</v>
      </c>
      <c r="F48" s="29">
        <f t="shared" si="6"/>
        <v>0</v>
      </c>
      <c r="G48" s="30">
        <v>0</v>
      </c>
      <c r="H48" s="31">
        <v>0</v>
      </c>
      <c r="I48" s="32">
        <v>0</v>
      </c>
      <c r="J48" s="77"/>
      <c r="K48" s="33"/>
      <c r="L48" s="34"/>
      <c r="M48" s="34"/>
      <c r="N48" s="62"/>
      <c r="O48" s="34"/>
      <c r="P48" s="34"/>
      <c r="Q48" s="34"/>
      <c r="R48" s="62"/>
      <c r="S48" s="37"/>
      <c r="T48" s="34"/>
      <c r="U48" s="34"/>
      <c r="V48" s="62"/>
      <c r="W48" s="38"/>
      <c r="X48" s="31"/>
      <c r="Y48" s="31"/>
      <c r="Z48" s="78"/>
      <c r="AA48" s="37"/>
      <c r="AB48" s="34"/>
      <c r="AC48" s="34"/>
      <c r="AD48" s="64"/>
      <c r="AE48" s="79"/>
      <c r="AF48" s="64"/>
      <c r="AG48" s="43">
        <f t="shared" si="16"/>
        <v>0</v>
      </c>
      <c r="AH48" s="44">
        <f t="shared" si="16"/>
        <v>0</v>
      </c>
      <c r="AI48" s="44">
        <f t="shared" si="16"/>
        <v>0</v>
      </c>
      <c r="AJ48" s="45">
        <f t="shared" si="16"/>
        <v>0</v>
      </c>
      <c r="AK48" s="80">
        <f t="shared" si="1"/>
        <v>0</v>
      </c>
      <c r="AL48" s="47">
        <v>0.5</v>
      </c>
      <c r="AM48" s="48">
        <f t="shared" si="7"/>
        <v>0</v>
      </c>
      <c r="AN48" s="48">
        <f t="shared" si="2"/>
        <v>0</v>
      </c>
      <c r="AO48" s="49">
        <f t="shared" si="8"/>
        <v>0</v>
      </c>
      <c r="AP48" s="49">
        <f t="shared" si="3"/>
        <v>0</v>
      </c>
      <c r="AQ48" s="50">
        <f t="shared" si="9"/>
        <v>0</v>
      </c>
      <c r="AR48" s="81"/>
      <c r="AS48" s="82"/>
      <c r="AT48" s="83">
        <f t="shared" si="13"/>
        <v>0</v>
      </c>
      <c r="AU48" s="84">
        <f t="shared" si="14"/>
        <v>0</v>
      </c>
      <c r="AV48" s="85"/>
      <c r="AW48" s="86"/>
      <c r="AX48" s="86"/>
      <c r="AY48" s="82"/>
      <c r="AZ48" s="87"/>
    </row>
    <row r="49" spans="1:52" ht="16.5" thickBot="1" x14ac:dyDescent="0.3">
      <c r="A49" s="74">
        <v>355</v>
      </c>
      <c r="B49" s="75" t="s">
        <v>57</v>
      </c>
      <c r="C49" s="76"/>
      <c r="D49" s="26">
        <f t="shared" si="4"/>
        <v>0</v>
      </c>
      <c r="E49" s="27">
        <f t="shared" si="5"/>
        <v>0</v>
      </c>
      <c r="F49" s="29">
        <f t="shared" si="6"/>
        <v>0</v>
      </c>
      <c r="G49" s="30">
        <v>0</v>
      </c>
      <c r="H49" s="31">
        <v>0</v>
      </c>
      <c r="I49" s="32">
        <v>0</v>
      </c>
      <c r="J49" s="77"/>
      <c r="K49" s="33"/>
      <c r="L49" s="34"/>
      <c r="M49" s="34"/>
      <c r="N49" s="62"/>
      <c r="O49" s="34"/>
      <c r="P49" s="34"/>
      <c r="Q49" s="34"/>
      <c r="R49" s="62"/>
      <c r="S49" s="37"/>
      <c r="T49" s="34"/>
      <c r="U49" s="34"/>
      <c r="V49" s="62"/>
      <c r="W49" s="38"/>
      <c r="X49" s="31"/>
      <c r="Y49" s="31"/>
      <c r="Z49" s="78"/>
      <c r="AA49" s="37"/>
      <c r="AB49" s="34"/>
      <c r="AC49" s="34"/>
      <c r="AD49" s="64"/>
      <c r="AE49" s="79"/>
      <c r="AF49" s="64"/>
      <c r="AG49" s="43">
        <f t="shared" si="16"/>
        <v>0</v>
      </c>
      <c r="AH49" s="44">
        <f t="shared" si="16"/>
        <v>0</v>
      </c>
      <c r="AI49" s="44">
        <f t="shared" si="16"/>
        <v>0</v>
      </c>
      <c r="AJ49" s="45">
        <f t="shared" si="16"/>
        <v>0</v>
      </c>
      <c r="AK49" s="80">
        <f t="shared" si="1"/>
        <v>0</v>
      </c>
      <c r="AL49" s="47">
        <v>0.5</v>
      </c>
      <c r="AM49" s="48">
        <f t="shared" si="7"/>
        <v>0</v>
      </c>
      <c r="AN49" s="48">
        <f t="shared" si="2"/>
        <v>0</v>
      </c>
      <c r="AO49" s="49">
        <f t="shared" si="8"/>
        <v>0</v>
      </c>
      <c r="AP49" s="49">
        <f t="shared" si="3"/>
        <v>0</v>
      </c>
      <c r="AQ49" s="50">
        <f t="shared" si="9"/>
        <v>0</v>
      </c>
      <c r="AR49" s="81"/>
      <c r="AS49" s="82"/>
      <c r="AT49" s="83"/>
      <c r="AU49" s="84">
        <f t="shared" si="14"/>
        <v>0</v>
      </c>
      <c r="AV49" s="85"/>
      <c r="AW49" s="86"/>
      <c r="AX49" s="86"/>
      <c r="AY49" s="82"/>
      <c r="AZ49" s="87"/>
    </row>
    <row r="50" spans="1:52" ht="16.5" thickBot="1" x14ac:dyDescent="0.3">
      <c r="A50" s="74">
        <v>625</v>
      </c>
      <c r="B50" s="75" t="s">
        <v>52</v>
      </c>
      <c r="C50" s="76"/>
      <c r="D50" s="26">
        <f t="shared" si="4"/>
        <v>0</v>
      </c>
      <c r="E50" s="27">
        <f t="shared" si="5"/>
        <v>0</v>
      </c>
      <c r="F50" s="29">
        <f t="shared" si="6"/>
        <v>0</v>
      </c>
      <c r="G50" s="30">
        <v>0</v>
      </c>
      <c r="H50" s="31">
        <v>0</v>
      </c>
      <c r="I50" s="32">
        <v>0</v>
      </c>
      <c r="J50" s="77"/>
      <c r="K50" s="33"/>
      <c r="L50" s="34"/>
      <c r="M50" s="34"/>
      <c r="N50" s="62"/>
      <c r="O50" s="34"/>
      <c r="P50" s="34"/>
      <c r="Q50" s="34"/>
      <c r="R50" s="62"/>
      <c r="S50" s="37"/>
      <c r="T50" s="34"/>
      <c r="U50" s="34"/>
      <c r="V50" s="62"/>
      <c r="W50" s="38"/>
      <c r="X50" s="31"/>
      <c r="Y50" s="31"/>
      <c r="Z50" s="78"/>
      <c r="AA50" s="37"/>
      <c r="AB50" s="34"/>
      <c r="AC50" s="34"/>
      <c r="AD50" s="64"/>
      <c r="AE50" s="79"/>
      <c r="AF50" s="64"/>
      <c r="AG50" s="43">
        <f t="shared" si="16"/>
        <v>0</v>
      </c>
      <c r="AH50" s="44">
        <f t="shared" si="16"/>
        <v>0</v>
      </c>
      <c r="AI50" s="44">
        <f t="shared" si="16"/>
        <v>0</v>
      </c>
      <c r="AJ50" s="45">
        <f t="shared" si="16"/>
        <v>0</v>
      </c>
      <c r="AK50" s="80">
        <f t="shared" si="1"/>
        <v>0</v>
      </c>
      <c r="AL50" s="47">
        <v>2</v>
      </c>
      <c r="AM50" s="48">
        <f t="shared" si="7"/>
        <v>0</v>
      </c>
      <c r="AN50" s="48">
        <f t="shared" si="2"/>
        <v>0</v>
      </c>
      <c r="AO50" s="49">
        <f t="shared" si="8"/>
        <v>0</v>
      </c>
      <c r="AP50" s="49">
        <f t="shared" si="3"/>
        <v>0</v>
      </c>
      <c r="AQ50" s="50">
        <f t="shared" si="9"/>
        <v>0</v>
      </c>
      <c r="AR50" s="81">
        <v>80.959999999999994</v>
      </c>
      <c r="AS50" s="82">
        <v>19.040000000000006</v>
      </c>
      <c r="AT50" s="83">
        <f>AK50*AS50</f>
        <v>0</v>
      </c>
      <c r="AU50" s="84">
        <f t="shared" si="14"/>
        <v>0</v>
      </c>
      <c r="AV50" s="85">
        <v>0</v>
      </c>
      <c r="AW50" s="86"/>
      <c r="AX50" s="86"/>
      <c r="AY50" s="82"/>
      <c r="AZ50" s="87">
        <f>AT50-AU50-AW50-AX50-AY50</f>
        <v>0</v>
      </c>
    </row>
    <row r="51" spans="1:52" ht="16.5" thickBot="1" x14ac:dyDescent="0.3">
      <c r="A51" s="74">
        <v>625</v>
      </c>
      <c r="B51" s="75" t="s">
        <v>58</v>
      </c>
      <c r="C51" s="76"/>
      <c r="D51" s="26">
        <f t="shared" si="4"/>
        <v>0</v>
      </c>
      <c r="E51" s="27">
        <f t="shared" si="5"/>
        <v>0</v>
      </c>
      <c r="F51" s="29">
        <f t="shared" si="6"/>
        <v>0</v>
      </c>
      <c r="G51" s="30">
        <v>0</v>
      </c>
      <c r="H51" s="31">
        <v>0</v>
      </c>
      <c r="I51" s="32">
        <v>0</v>
      </c>
      <c r="J51" s="77"/>
      <c r="K51" s="33"/>
      <c r="L51" s="34"/>
      <c r="M51" s="34"/>
      <c r="N51" s="62"/>
      <c r="O51" s="34"/>
      <c r="P51" s="34"/>
      <c r="Q51" s="34"/>
      <c r="R51" s="62"/>
      <c r="S51" s="37"/>
      <c r="T51" s="34"/>
      <c r="U51" s="34"/>
      <c r="V51" s="62"/>
      <c r="W51" s="38"/>
      <c r="X51" s="31"/>
      <c r="Y51" s="31"/>
      <c r="Z51" s="78"/>
      <c r="AA51" s="37"/>
      <c r="AB51" s="34"/>
      <c r="AC51" s="34"/>
      <c r="AD51" s="64"/>
      <c r="AE51" s="79"/>
      <c r="AF51" s="64"/>
      <c r="AG51" s="43">
        <f t="shared" si="16"/>
        <v>0</v>
      </c>
      <c r="AH51" s="44">
        <f t="shared" si="16"/>
        <v>0</v>
      </c>
      <c r="AI51" s="44">
        <f t="shared" si="16"/>
        <v>0</v>
      </c>
      <c r="AJ51" s="45">
        <f t="shared" si="16"/>
        <v>0</v>
      </c>
      <c r="AK51" s="80">
        <f t="shared" si="1"/>
        <v>0</v>
      </c>
      <c r="AL51" s="47">
        <v>1.5</v>
      </c>
      <c r="AM51" s="48">
        <f t="shared" si="7"/>
        <v>0</v>
      </c>
      <c r="AN51" s="48">
        <f t="shared" si="2"/>
        <v>0</v>
      </c>
      <c r="AO51" s="49">
        <f t="shared" si="8"/>
        <v>0</v>
      </c>
      <c r="AP51" s="49">
        <f t="shared" si="3"/>
        <v>0</v>
      </c>
      <c r="AQ51" s="50">
        <f t="shared" si="9"/>
        <v>0</v>
      </c>
      <c r="AR51" s="81">
        <v>69.84</v>
      </c>
      <c r="AS51" s="82">
        <v>10.159999999999997</v>
      </c>
      <c r="AT51" s="83">
        <f>AK51*AS51</f>
        <v>0</v>
      </c>
      <c r="AU51" s="84">
        <f t="shared" si="14"/>
        <v>0</v>
      </c>
      <c r="AV51" s="85">
        <v>0</v>
      </c>
      <c r="AW51" s="86"/>
      <c r="AX51" s="86"/>
      <c r="AY51" s="82"/>
      <c r="AZ51" s="87">
        <f>AT51-AU51-AW51-AX51-AY51</f>
        <v>0</v>
      </c>
    </row>
    <row r="52" spans="1:52" ht="16.5" thickBot="1" x14ac:dyDescent="0.3">
      <c r="A52" s="74">
        <v>360</v>
      </c>
      <c r="B52" s="75" t="s">
        <v>58</v>
      </c>
      <c r="C52" s="76">
        <v>910</v>
      </c>
      <c r="D52" s="26">
        <f t="shared" si="4"/>
        <v>303.33333333333331</v>
      </c>
      <c r="E52" s="27">
        <f t="shared" si="5"/>
        <v>303.33333333333331</v>
      </c>
      <c r="F52" s="29">
        <f t="shared" si="6"/>
        <v>303.33333333333331</v>
      </c>
      <c r="G52" s="30">
        <v>0</v>
      </c>
      <c r="H52" s="31">
        <v>1</v>
      </c>
      <c r="I52" s="32">
        <v>0</v>
      </c>
      <c r="J52" s="77"/>
      <c r="K52" s="33"/>
      <c r="L52" s="34"/>
      <c r="M52" s="34"/>
      <c r="N52" s="62"/>
      <c r="O52" s="34"/>
      <c r="P52" s="34"/>
      <c r="Q52" s="34"/>
      <c r="R52" s="62"/>
      <c r="S52" s="37"/>
      <c r="T52" s="34"/>
      <c r="U52" s="34"/>
      <c r="V52" s="62"/>
      <c r="W52" s="38"/>
      <c r="X52" s="31"/>
      <c r="Y52" s="31"/>
      <c r="Z52" s="78"/>
      <c r="AA52" s="37"/>
      <c r="AB52" s="34"/>
      <c r="AC52" s="34"/>
      <c r="AD52" s="64"/>
      <c r="AE52" s="79"/>
      <c r="AF52" s="64"/>
      <c r="AG52" s="43">
        <f t="shared" si="16"/>
        <v>0</v>
      </c>
      <c r="AH52" s="44">
        <f t="shared" si="16"/>
        <v>1</v>
      </c>
      <c r="AI52" s="44">
        <f t="shared" si="16"/>
        <v>0</v>
      </c>
      <c r="AJ52" s="45">
        <f t="shared" si="16"/>
        <v>0</v>
      </c>
      <c r="AK52" s="80">
        <f t="shared" si="1"/>
        <v>1</v>
      </c>
      <c r="AL52" s="47">
        <v>0.75</v>
      </c>
      <c r="AM52" s="48">
        <f t="shared" si="7"/>
        <v>0</v>
      </c>
      <c r="AN52" s="48">
        <f t="shared" si="2"/>
        <v>0.75</v>
      </c>
      <c r="AO52" s="49">
        <f t="shared" si="8"/>
        <v>0</v>
      </c>
      <c r="AP52" s="49">
        <f t="shared" si="3"/>
        <v>0</v>
      </c>
      <c r="AQ52" s="50">
        <f t="shared" si="9"/>
        <v>60</v>
      </c>
      <c r="AR52" s="81">
        <v>35.08</v>
      </c>
      <c r="AS52" s="82">
        <v>4.9200000000000017</v>
      </c>
      <c r="AT52" s="83">
        <f>AK52*AS52</f>
        <v>4.9200000000000017</v>
      </c>
      <c r="AU52" s="84">
        <f t="shared" si="14"/>
        <v>0.75</v>
      </c>
      <c r="AV52" s="85">
        <v>0</v>
      </c>
      <c r="AW52" s="86"/>
      <c r="AX52" s="86"/>
      <c r="AY52" s="82"/>
      <c r="AZ52" s="87">
        <f>AT52-AU52-AW52-AX52-AY52</f>
        <v>4.1700000000000017</v>
      </c>
    </row>
    <row r="53" spans="1:52" ht="16.5" thickBot="1" x14ac:dyDescent="0.3">
      <c r="A53" s="74">
        <v>625</v>
      </c>
      <c r="B53" s="75" t="s">
        <v>59</v>
      </c>
      <c r="C53" s="76"/>
      <c r="D53" s="26">
        <f t="shared" si="4"/>
        <v>0</v>
      </c>
      <c r="E53" s="27">
        <f t="shared" si="5"/>
        <v>0</v>
      </c>
      <c r="F53" s="29">
        <f t="shared" si="6"/>
        <v>0</v>
      </c>
      <c r="G53" s="30">
        <v>0</v>
      </c>
      <c r="H53" s="31">
        <v>0</v>
      </c>
      <c r="I53" s="32">
        <v>0</v>
      </c>
      <c r="J53" s="77"/>
      <c r="K53" s="33"/>
      <c r="L53" s="34"/>
      <c r="M53" s="34"/>
      <c r="N53" s="62"/>
      <c r="O53" s="34"/>
      <c r="P53" s="34"/>
      <c r="Q53" s="34"/>
      <c r="R53" s="62"/>
      <c r="S53" s="37"/>
      <c r="T53" s="34"/>
      <c r="U53" s="34"/>
      <c r="V53" s="62"/>
      <c r="W53" s="38"/>
      <c r="X53" s="31"/>
      <c r="Y53" s="31"/>
      <c r="Z53" s="78"/>
      <c r="AA53" s="37"/>
      <c r="AB53" s="34"/>
      <c r="AC53" s="34"/>
      <c r="AD53" s="64"/>
      <c r="AE53" s="79"/>
      <c r="AF53" s="64"/>
      <c r="AG53" s="43">
        <f t="shared" si="16"/>
        <v>0</v>
      </c>
      <c r="AH53" s="44">
        <f t="shared" si="16"/>
        <v>0</v>
      </c>
      <c r="AI53" s="44">
        <f t="shared" si="16"/>
        <v>0</v>
      </c>
      <c r="AJ53" s="45">
        <f t="shared" si="16"/>
        <v>0</v>
      </c>
      <c r="AK53" s="80">
        <f t="shared" si="1"/>
        <v>0</v>
      </c>
      <c r="AL53" s="47">
        <v>0.6</v>
      </c>
      <c r="AM53" s="48">
        <f t="shared" si="7"/>
        <v>0</v>
      </c>
      <c r="AN53" s="48">
        <f t="shared" si="2"/>
        <v>0</v>
      </c>
      <c r="AO53" s="49">
        <f t="shared" si="8"/>
        <v>0</v>
      </c>
      <c r="AP53" s="49">
        <f t="shared" si="3"/>
        <v>0</v>
      </c>
      <c r="AQ53" s="50">
        <f t="shared" si="9"/>
        <v>0</v>
      </c>
      <c r="AR53" s="81">
        <v>18.100000000000001</v>
      </c>
      <c r="AS53" s="82">
        <v>2.8999999999999986</v>
      </c>
      <c r="AT53" s="83">
        <f>AK53*AS53</f>
        <v>0</v>
      </c>
      <c r="AU53" s="84">
        <f t="shared" si="14"/>
        <v>0</v>
      </c>
      <c r="AV53" s="85">
        <v>0</v>
      </c>
      <c r="AW53" s="86"/>
      <c r="AX53" s="86"/>
      <c r="AY53" s="82"/>
      <c r="AZ53" s="87">
        <f>AT53-AU53-AW53-AX53-AY53</f>
        <v>0</v>
      </c>
    </row>
    <row r="54" spans="1:52" s="246" customFormat="1" ht="16.5" thickBot="1" x14ac:dyDescent="0.3">
      <c r="A54" s="90">
        <v>625</v>
      </c>
      <c r="B54" s="91" t="s">
        <v>60</v>
      </c>
      <c r="C54" s="92">
        <v>1383</v>
      </c>
      <c r="D54" s="26">
        <f t="shared" si="4"/>
        <v>461</v>
      </c>
      <c r="E54" s="27">
        <f t="shared" si="5"/>
        <v>461</v>
      </c>
      <c r="F54" s="29">
        <f t="shared" si="6"/>
        <v>461</v>
      </c>
      <c r="G54" s="30">
        <v>7</v>
      </c>
      <c r="H54" s="31">
        <v>30</v>
      </c>
      <c r="I54" s="32">
        <v>10</v>
      </c>
      <c r="J54" s="77"/>
      <c r="K54" s="33"/>
      <c r="L54" s="34"/>
      <c r="M54" s="34"/>
      <c r="N54" s="62"/>
      <c r="O54" s="34"/>
      <c r="P54" s="34"/>
      <c r="Q54" s="34"/>
      <c r="R54" s="62"/>
      <c r="S54" s="37"/>
      <c r="T54" s="34"/>
      <c r="U54" s="34"/>
      <c r="V54" s="62"/>
      <c r="W54" s="38"/>
      <c r="X54" s="31"/>
      <c r="Y54" s="31"/>
      <c r="Z54" s="78"/>
      <c r="AA54" s="37"/>
      <c r="AB54" s="34"/>
      <c r="AC54" s="34"/>
      <c r="AD54" s="78"/>
      <c r="AE54" s="93"/>
      <c r="AF54" s="78"/>
      <c r="AG54" s="43">
        <f t="shared" si="16"/>
        <v>7</v>
      </c>
      <c r="AH54" s="44">
        <f t="shared" si="16"/>
        <v>30</v>
      </c>
      <c r="AI54" s="44">
        <f t="shared" si="16"/>
        <v>10</v>
      </c>
      <c r="AJ54" s="94">
        <f t="shared" si="16"/>
        <v>0</v>
      </c>
      <c r="AK54" s="95">
        <f t="shared" si="1"/>
        <v>47</v>
      </c>
      <c r="AL54" s="246">
        <v>1</v>
      </c>
      <c r="AM54" s="48">
        <f t="shared" si="7"/>
        <v>7</v>
      </c>
      <c r="AN54" s="48">
        <f t="shared" si="2"/>
        <v>30</v>
      </c>
      <c r="AO54" s="49">
        <f t="shared" si="8"/>
        <v>10</v>
      </c>
      <c r="AP54" s="97">
        <f t="shared" si="3"/>
        <v>0</v>
      </c>
      <c r="AQ54" s="50">
        <f t="shared" si="9"/>
        <v>2820</v>
      </c>
      <c r="AR54" s="98"/>
      <c r="AS54" s="94"/>
      <c r="AT54" s="99"/>
      <c r="AU54" s="100"/>
      <c r="AV54" s="101"/>
      <c r="AW54" s="102"/>
      <c r="AX54" s="102"/>
      <c r="AY54" s="94"/>
      <c r="AZ54" s="95"/>
    </row>
    <row r="55" spans="1:52" s="246" customFormat="1" ht="16.5" thickBot="1" x14ac:dyDescent="0.3">
      <c r="A55" s="90">
        <v>375</v>
      </c>
      <c r="B55" s="91" t="s">
        <v>59</v>
      </c>
      <c r="C55" s="92">
        <v>1018</v>
      </c>
      <c r="D55" s="26">
        <f t="shared" si="4"/>
        <v>339.33333333333331</v>
      </c>
      <c r="E55" s="27">
        <f t="shared" si="5"/>
        <v>339.33333333333331</v>
      </c>
      <c r="F55" s="29">
        <f t="shared" si="6"/>
        <v>339.33333333333331</v>
      </c>
      <c r="G55" s="30">
        <v>4</v>
      </c>
      <c r="H55" s="31">
        <v>20</v>
      </c>
      <c r="I55" s="32">
        <v>10</v>
      </c>
      <c r="J55" s="77"/>
      <c r="K55" s="33"/>
      <c r="L55" s="34"/>
      <c r="M55" s="34"/>
      <c r="N55" s="62"/>
      <c r="O55" s="34"/>
      <c r="P55" s="34"/>
      <c r="Q55" s="34"/>
      <c r="R55" s="62"/>
      <c r="S55" s="37"/>
      <c r="T55" s="34"/>
      <c r="U55" s="34"/>
      <c r="V55" s="62"/>
      <c r="W55" s="38"/>
      <c r="X55" s="31"/>
      <c r="Y55" s="31"/>
      <c r="Z55" s="78"/>
      <c r="AA55" s="37"/>
      <c r="AB55" s="34"/>
      <c r="AC55" s="34"/>
      <c r="AD55" s="78"/>
      <c r="AE55" s="93"/>
      <c r="AF55" s="78"/>
      <c r="AG55" s="43">
        <f t="shared" si="16"/>
        <v>4</v>
      </c>
      <c r="AH55" s="44">
        <f t="shared" si="16"/>
        <v>20</v>
      </c>
      <c r="AI55" s="44">
        <f t="shared" si="16"/>
        <v>10</v>
      </c>
      <c r="AJ55" s="94">
        <f t="shared" si="16"/>
        <v>0</v>
      </c>
      <c r="AK55" s="95">
        <f t="shared" si="1"/>
        <v>34</v>
      </c>
      <c r="AL55" s="246">
        <v>0.75</v>
      </c>
      <c r="AM55" s="48">
        <f t="shared" si="7"/>
        <v>3</v>
      </c>
      <c r="AN55" s="48">
        <f t="shared" si="2"/>
        <v>15</v>
      </c>
      <c r="AO55" s="49">
        <f t="shared" si="8"/>
        <v>7.5</v>
      </c>
      <c r="AP55" s="97">
        <f t="shared" si="3"/>
        <v>0</v>
      </c>
      <c r="AQ55" s="50">
        <f t="shared" si="9"/>
        <v>2040</v>
      </c>
      <c r="AR55" s="98">
        <v>17.260000000000002</v>
      </c>
      <c r="AS55" s="94">
        <v>2.7399999999999984</v>
      </c>
      <c r="AT55" s="99">
        <f>AK55*AS55</f>
        <v>93.15999999999994</v>
      </c>
      <c r="AU55" s="100">
        <f>AK55*AL55</f>
        <v>25.5</v>
      </c>
      <c r="AV55" s="101">
        <v>0</v>
      </c>
      <c r="AW55" s="102"/>
      <c r="AX55" s="102"/>
      <c r="AY55" s="94"/>
      <c r="AZ55" s="95">
        <f>AT55-AU55-AW55-AX55-AY55</f>
        <v>67.65999999999994</v>
      </c>
    </row>
    <row r="56" spans="1:52" s="246" customFormat="1" ht="16.5" thickBot="1" x14ac:dyDescent="0.3">
      <c r="A56" s="103">
        <v>375</v>
      </c>
      <c r="B56" s="91" t="s">
        <v>61</v>
      </c>
      <c r="C56" s="92"/>
      <c r="D56" s="26">
        <f t="shared" si="4"/>
        <v>0</v>
      </c>
      <c r="E56" s="27">
        <f t="shared" si="5"/>
        <v>0</v>
      </c>
      <c r="F56" s="29">
        <f t="shared" si="6"/>
        <v>0</v>
      </c>
      <c r="G56" s="30">
        <v>0</v>
      </c>
      <c r="H56" s="31">
        <v>0</v>
      </c>
      <c r="I56" s="32">
        <v>0</v>
      </c>
      <c r="J56" s="77"/>
      <c r="K56" s="33"/>
      <c r="L56" s="34"/>
      <c r="M56" s="34"/>
      <c r="N56" s="62"/>
      <c r="O56" s="34"/>
      <c r="P56" s="34"/>
      <c r="Q56" s="34"/>
      <c r="R56" s="62"/>
      <c r="S56" s="37"/>
      <c r="T56" s="34"/>
      <c r="U56" s="34"/>
      <c r="V56" s="62"/>
      <c r="W56" s="38"/>
      <c r="X56" s="31"/>
      <c r="Y56" s="31"/>
      <c r="Z56" s="78"/>
      <c r="AA56" s="37"/>
      <c r="AB56" s="34"/>
      <c r="AC56" s="34"/>
      <c r="AD56" s="78"/>
      <c r="AE56" s="104"/>
      <c r="AF56" s="105"/>
      <c r="AG56" s="43">
        <f t="shared" si="16"/>
        <v>0</v>
      </c>
      <c r="AH56" s="44">
        <f t="shared" si="16"/>
        <v>0</v>
      </c>
      <c r="AI56" s="44">
        <f t="shared" si="16"/>
        <v>0</v>
      </c>
      <c r="AJ56" s="94">
        <f t="shared" si="16"/>
        <v>0</v>
      </c>
      <c r="AK56" s="95">
        <f t="shared" si="1"/>
        <v>0</v>
      </c>
      <c r="AL56" s="246">
        <v>0.75</v>
      </c>
      <c r="AM56" s="48">
        <f t="shared" si="7"/>
        <v>0</v>
      </c>
      <c r="AN56" s="48">
        <f t="shared" si="2"/>
        <v>0</v>
      </c>
      <c r="AO56" s="49">
        <f t="shared" si="8"/>
        <v>0</v>
      </c>
      <c r="AP56" s="97">
        <f t="shared" si="3"/>
        <v>0</v>
      </c>
      <c r="AQ56" s="50">
        <f t="shared" si="9"/>
        <v>0</v>
      </c>
      <c r="AR56" s="106"/>
      <c r="AS56" s="107"/>
      <c r="AT56" s="108"/>
      <c r="AU56" s="100"/>
      <c r="AV56" s="109"/>
      <c r="AW56" s="110"/>
      <c r="AX56" s="110"/>
      <c r="AY56" s="107"/>
      <c r="AZ56" s="111"/>
    </row>
    <row r="57" spans="1:52" s="246" customFormat="1" ht="16.5" thickBot="1" x14ac:dyDescent="0.3">
      <c r="A57" s="91">
        <v>1.3</v>
      </c>
      <c r="B57" s="91" t="s">
        <v>192</v>
      </c>
      <c r="C57" s="112">
        <v>1425</v>
      </c>
      <c r="D57" s="26">
        <f t="shared" si="4"/>
        <v>475</v>
      </c>
      <c r="E57" s="27">
        <f t="shared" si="5"/>
        <v>475</v>
      </c>
      <c r="F57" s="29">
        <f t="shared" si="6"/>
        <v>475</v>
      </c>
      <c r="G57" s="30">
        <v>0</v>
      </c>
      <c r="H57" s="31">
        <v>0</v>
      </c>
      <c r="I57" s="32">
        <v>0</v>
      </c>
      <c r="J57" s="113"/>
      <c r="K57" s="33"/>
      <c r="L57" s="34"/>
      <c r="M57" s="34"/>
      <c r="N57" s="114"/>
      <c r="O57" s="34"/>
      <c r="P57" s="34"/>
      <c r="Q57" s="34"/>
      <c r="R57" s="114"/>
      <c r="S57" s="37"/>
      <c r="T57" s="34"/>
      <c r="U57" s="34"/>
      <c r="V57" s="114"/>
      <c r="W57" s="38"/>
      <c r="X57" s="31"/>
      <c r="Y57" s="31"/>
      <c r="Z57" s="78"/>
      <c r="AA57" s="37"/>
      <c r="AB57" s="34"/>
      <c r="AC57" s="34"/>
      <c r="AD57" s="78"/>
      <c r="AE57" s="104"/>
      <c r="AF57" s="105"/>
      <c r="AG57" s="43">
        <f t="shared" si="16"/>
        <v>0</v>
      </c>
      <c r="AH57" s="44">
        <f t="shared" si="16"/>
        <v>0</v>
      </c>
      <c r="AI57" s="44">
        <f t="shared" si="16"/>
        <v>0</v>
      </c>
      <c r="AJ57" s="94">
        <f t="shared" si="16"/>
        <v>0</v>
      </c>
      <c r="AK57" s="95">
        <f t="shared" si="1"/>
        <v>0</v>
      </c>
      <c r="AL57" s="246">
        <v>0.75</v>
      </c>
      <c r="AM57" s="48">
        <f t="shared" si="7"/>
        <v>0</v>
      </c>
      <c r="AN57" s="48">
        <f t="shared" si="2"/>
        <v>0</v>
      </c>
      <c r="AO57" s="49">
        <f t="shared" si="8"/>
        <v>0</v>
      </c>
      <c r="AP57" s="97">
        <f t="shared" si="3"/>
        <v>0</v>
      </c>
      <c r="AQ57" s="50">
        <f t="shared" si="9"/>
        <v>0</v>
      </c>
      <c r="AR57" s="106"/>
      <c r="AS57" s="107"/>
      <c r="AT57" s="115"/>
      <c r="AU57" s="100">
        <f>AK57*AL57</f>
        <v>0</v>
      </c>
      <c r="AV57" s="109"/>
      <c r="AW57" s="110"/>
      <c r="AX57" s="110"/>
      <c r="AY57" s="107"/>
      <c r="AZ57" s="116"/>
    </row>
    <row r="58" spans="1:52" s="246" customFormat="1" ht="16.5" thickBot="1" x14ac:dyDescent="0.3">
      <c r="A58" s="90">
        <v>1000</v>
      </c>
      <c r="B58" s="91" t="s">
        <v>191</v>
      </c>
      <c r="C58" s="92"/>
      <c r="D58" s="26">
        <f t="shared" si="4"/>
        <v>0</v>
      </c>
      <c r="E58" s="27">
        <f t="shared" si="5"/>
        <v>0</v>
      </c>
      <c r="F58" s="29">
        <f t="shared" si="6"/>
        <v>0</v>
      </c>
      <c r="G58" s="30">
        <v>10</v>
      </c>
      <c r="H58" s="31">
        <v>30</v>
      </c>
      <c r="I58" s="32">
        <v>2</v>
      </c>
      <c r="J58" s="77"/>
      <c r="K58" s="33"/>
      <c r="L58" s="34"/>
      <c r="M58" s="34"/>
      <c r="N58" s="62"/>
      <c r="O58" s="34"/>
      <c r="P58" s="34"/>
      <c r="Q58" s="34"/>
      <c r="R58" s="62"/>
      <c r="S58" s="37"/>
      <c r="T58" s="34"/>
      <c r="U58" s="34"/>
      <c r="V58" s="62"/>
      <c r="W58" s="38"/>
      <c r="X58" s="31"/>
      <c r="Y58" s="31"/>
      <c r="Z58" s="78"/>
      <c r="AA58" s="37"/>
      <c r="AB58" s="34"/>
      <c r="AC58" s="34"/>
      <c r="AD58" s="78"/>
      <c r="AE58" s="93"/>
      <c r="AF58" s="78"/>
      <c r="AG58" s="43">
        <f t="shared" si="16"/>
        <v>10</v>
      </c>
      <c r="AH58" s="44">
        <f t="shared" si="16"/>
        <v>30</v>
      </c>
      <c r="AI58" s="44">
        <f t="shared" si="16"/>
        <v>2</v>
      </c>
      <c r="AJ58" s="94">
        <f t="shared" si="16"/>
        <v>0</v>
      </c>
      <c r="AK58" s="95">
        <f t="shared" si="1"/>
        <v>42</v>
      </c>
      <c r="AL58" s="246">
        <v>1</v>
      </c>
      <c r="AM58" s="48">
        <f t="shared" si="7"/>
        <v>10</v>
      </c>
      <c r="AN58" s="48">
        <f t="shared" si="2"/>
        <v>30</v>
      </c>
      <c r="AO58" s="49">
        <f t="shared" si="8"/>
        <v>2</v>
      </c>
      <c r="AP58" s="97">
        <f t="shared" si="3"/>
        <v>0</v>
      </c>
      <c r="AQ58" s="50">
        <f t="shared" si="9"/>
        <v>2520</v>
      </c>
      <c r="AR58" s="98">
        <v>20.59</v>
      </c>
      <c r="AS58" s="94">
        <v>3.41</v>
      </c>
      <c r="AT58" s="99">
        <f>AK58*AS58</f>
        <v>143.22</v>
      </c>
      <c r="AU58" s="100">
        <f>AK58*AL58</f>
        <v>42</v>
      </c>
      <c r="AV58" s="101">
        <v>0</v>
      </c>
      <c r="AW58" s="102"/>
      <c r="AX58" s="102"/>
      <c r="AY58" s="94"/>
      <c r="AZ58" s="95">
        <f>AT58-AU58-AW58-AX58-AY58</f>
        <v>101.22</v>
      </c>
    </row>
    <row r="59" spans="1:52" s="246" customFormat="1" ht="16.5" thickBot="1" x14ac:dyDescent="0.3">
      <c r="A59" s="90">
        <v>3300</v>
      </c>
      <c r="B59" s="91" t="s">
        <v>62</v>
      </c>
      <c r="C59" s="92"/>
      <c r="D59" s="26">
        <f t="shared" si="4"/>
        <v>0</v>
      </c>
      <c r="E59" s="27">
        <f t="shared" si="5"/>
        <v>0</v>
      </c>
      <c r="F59" s="29">
        <f t="shared" si="6"/>
        <v>0</v>
      </c>
      <c r="G59" s="30">
        <v>0</v>
      </c>
      <c r="H59" s="31">
        <v>0</v>
      </c>
      <c r="I59" s="32">
        <v>0</v>
      </c>
      <c r="J59" s="77"/>
      <c r="K59" s="33"/>
      <c r="L59" s="34"/>
      <c r="M59" s="34"/>
      <c r="N59" s="62"/>
      <c r="O59" s="34"/>
      <c r="P59" s="34"/>
      <c r="Q59" s="34"/>
      <c r="R59" s="62"/>
      <c r="S59" s="37"/>
      <c r="T59" s="34"/>
      <c r="U59" s="34"/>
      <c r="V59" s="62"/>
      <c r="W59" s="38"/>
      <c r="X59" s="31"/>
      <c r="Y59" s="31"/>
      <c r="Z59" s="78"/>
      <c r="AA59" s="37"/>
      <c r="AB59" s="34"/>
      <c r="AC59" s="34"/>
      <c r="AD59" s="78"/>
      <c r="AE59" s="93"/>
      <c r="AF59" s="78"/>
      <c r="AG59" s="43">
        <f t="shared" si="16"/>
        <v>0</v>
      </c>
      <c r="AH59" s="44">
        <f t="shared" si="16"/>
        <v>0</v>
      </c>
      <c r="AI59" s="44">
        <f t="shared" si="16"/>
        <v>0</v>
      </c>
      <c r="AJ59" s="94">
        <f t="shared" si="16"/>
        <v>0</v>
      </c>
      <c r="AK59" s="95">
        <f t="shared" si="1"/>
        <v>0</v>
      </c>
      <c r="AL59" s="246">
        <v>1</v>
      </c>
      <c r="AM59" s="48">
        <f t="shared" si="7"/>
        <v>0</v>
      </c>
      <c r="AN59" s="48">
        <f t="shared" si="2"/>
        <v>0</v>
      </c>
      <c r="AO59" s="49">
        <f t="shared" si="8"/>
        <v>0</v>
      </c>
      <c r="AP59" s="97">
        <f t="shared" si="3"/>
        <v>0</v>
      </c>
      <c r="AQ59" s="50">
        <f t="shared" si="9"/>
        <v>0</v>
      </c>
      <c r="AR59" s="98"/>
      <c r="AS59" s="94"/>
      <c r="AT59" s="99"/>
      <c r="AU59" s="100"/>
      <c r="AV59" s="101"/>
      <c r="AW59" s="102"/>
      <c r="AX59" s="102"/>
      <c r="AY59" s="94"/>
      <c r="AZ59" s="95"/>
    </row>
    <row r="60" spans="1:52" s="246" customFormat="1" ht="16.5" thickBot="1" x14ac:dyDescent="0.3">
      <c r="A60" s="90">
        <v>145</v>
      </c>
      <c r="B60" s="91" t="s">
        <v>63</v>
      </c>
      <c r="C60" s="92">
        <v>146</v>
      </c>
      <c r="D60" s="26">
        <f t="shared" si="4"/>
        <v>48.666666666666664</v>
      </c>
      <c r="E60" s="27">
        <f t="shared" si="5"/>
        <v>48.666666666666664</v>
      </c>
      <c r="F60" s="29">
        <f t="shared" si="6"/>
        <v>48.666666666666664</v>
      </c>
      <c r="G60" s="30">
        <v>0</v>
      </c>
      <c r="H60" s="31">
        <v>0</v>
      </c>
      <c r="I60" s="32">
        <v>0</v>
      </c>
      <c r="J60" s="77"/>
      <c r="K60" s="33"/>
      <c r="L60" s="34"/>
      <c r="M60" s="34"/>
      <c r="N60" s="62"/>
      <c r="O60" s="34"/>
      <c r="P60" s="34"/>
      <c r="Q60" s="34"/>
      <c r="R60" s="62"/>
      <c r="S60" s="37"/>
      <c r="T60" s="34"/>
      <c r="U60" s="34"/>
      <c r="V60" s="62"/>
      <c r="W60" s="38"/>
      <c r="X60" s="31"/>
      <c r="Y60" s="31"/>
      <c r="Z60" s="78"/>
      <c r="AA60" s="37"/>
      <c r="AB60" s="34"/>
      <c r="AC60" s="34"/>
      <c r="AD60" s="78"/>
      <c r="AE60" s="93"/>
      <c r="AF60" s="78"/>
      <c r="AG60" s="43">
        <f t="shared" si="16"/>
        <v>0</v>
      </c>
      <c r="AH60" s="44">
        <f t="shared" si="16"/>
        <v>0</v>
      </c>
      <c r="AI60" s="44">
        <f t="shared" si="16"/>
        <v>0</v>
      </c>
      <c r="AJ60" s="94">
        <f t="shared" si="16"/>
        <v>0</v>
      </c>
      <c r="AK60" s="95">
        <f t="shared" si="1"/>
        <v>0</v>
      </c>
      <c r="AL60" s="246">
        <v>0.75</v>
      </c>
      <c r="AM60" s="48">
        <f t="shared" si="7"/>
        <v>0</v>
      </c>
      <c r="AN60" s="48">
        <f t="shared" si="2"/>
        <v>0</v>
      </c>
      <c r="AO60" s="49">
        <f t="shared" si="8"/>
        <v>0</v>
      </c>
      <c r="AP60" s="97">
        <f t="shared" si="3"/>
        <v>0</v>
      </c>
      <c r="AQ60" s="50">
        <f t="shared" si="9"/>
        <v>0</v>
      </c>
      <c r="AR60" s="98">
        <v>26.4</v>
      </c>
      <c r="AS60" s="94">
        <v>3.6000000000000014</v>
      </c>
      <c r="AT60" s="99">
        <f>AK60*AS60</f>
        <v>0</v>
      </c>
      <c r="AU60" s="100">
        <f>AK60*AL60</f>
        <v>0</v>
      </c>
      <c r="AV60" s="101">
        <v>0</v>
      </c>
      <c r="AW60" s="102"/>
      <c r="AX60" s="102"/>
      <c r="AY60" s="94"/>
      <c r="AZ60" s="95">
        <f>AT60-AU60-AW60-AX60-AY60</f>
        <v>0</v>
      </c>
    </row>
    <row r="61" spans="1:52" s="246" customFormat="1" ht="16.5" thickBot="1" x14ac:dyDescent="0.3">
      <c r="A61" s="90"/>
      <c r="B61" s="91" t="s">
        <v>64</v>
      </c>
      <c r="C61" s="92">
        <v>146</v>
      </c>
      <c r="D61" s="26">
        <f t="shared" si="4"/>
        <v>48.666666666666664</v>
      </c>
      <c r="E61" s="27">
        <f t="shared" si="5"/>
        <v>48.666666666666664</v>
      </c>
      <c r="F61" s="29">
        <f t="shared" si="6"/>
        <v>48.666666666666664</v>
      </c>
      <c r="G61" s="30">
        <v>0</v>
      </c>
      <c r="H61" s="31">
        <v>0</v>
      </c>
      <c r="I61" s="32">
        <v>0</v>
      </c>
      <c r="J61" s="77"/>
      <c r="K61" s="33"/>
      <c r="L61" s="34"/>
      <c r="M61" s="34"/>
      <c r="N61" s="62"/>
      <c r="O61" s="34"/>
      <c r="P61" s="34"/>
      <c r="Q61" s="34"/>
      <c r="R61" s="62"/>
      <c r="S61" s="37"/>
      <c r="T61" s="34"/>
      <c r="U61" s="34"/>
      <c r="V61" s="62"/>
      <c r="W61" s="38"/>
      <c r="X61" s="31"/>
      <c r="Y61" s="31"/>
      <c r="Z61" s="78"/>
      <c r="AA61" s="37"/>
      <c r="AB61" s="34"/>
      <c r="AC61" s="34"/>
      <c r="AD61" s="78"/>
      <c r="AE61" s="93"/>
      <c r="AF61" s="78"/>
      <c r="AG61" s="43">
        <f t="shared" si="16"/>
        <v>0</v>
      </c>
      <c r="AH61" s="44">
        <f t="shared" si="16"/>
        <v>0</v>
      </c>
      <c r="AI61" s="44">
        <f t="shared" si="16"/>
        <v>0</v>
      </c>
      <c r="AJ61" s="94">
        <f t="shared" si="16"/>
        <v>0</v>
      </c>
      <c r="AK61" s="95">
        <f t="shared" si="1"/>
        <v>0</v>
      </c>
      <c r="AL61" s="246">
        <v>0.75</v>
      </c>
      <c r="AM61" s="48">
        <f t="shared" si="7"/>
        <v>0</v>
      </c>
      <c r="AN61" s="48">
        <f t="shared" si="2"/>
        <v>0</v>
      </c>
      <c r="AO61" s="49">
        <f t="shared" si="8"/>
        <v>0</v>
      </c>
      <c r="AP61" s="97">
        <f t="shared" si="3"/>
        <v>0</v>
      </c>
      <c r="AQ61" s="50">
        <f t="shared" si="9"/>
        <v>0</v>
      </c>
      <c r="AR61" s="98"/>
      <c r="AS61" s="94"/>
      <c r="AT61" s="99"/>
      <c r="AU61" s="100"/>
      <c r="AV61" s="101"/>
      <c r="AW61" s="102"/>
      <c r="AX61" s="102"/>
      <c r="AY61" s="94"/>
      <c r="AZ61" s="95"/>
    </row>
    <row r="62" spans="1:52" s="246" customFormat="1" ht="16.5" thickBot="1" x14ac:dyDescent="0.3">
      <c r="A62" s="90"/>
      <c r="B62" s="91" t="s">
        <v>65</v>
      </c>
      <c r="C62" s="92"/>
      <c r="D62" s="26">
        <f t="shared" si="4"/>
        <v>0</v>
      </c>
      <c r="E62" s="27">
        <f t="shared" si="5"/>
        <v>0</v>
      </c>
      <c r="F62" s="29">
        <f t="shared" si="6"/>
        <v>0</v>
      </c>
      <c r="G62" s="30">
        <v>0</v>
      </c>
      <c r="H62" s="31">
        <v>0</v>
      </c>
      <c r="I62" s="32">
        <v>0</v>
      </c>
      <c r="J62" s="77"/>
      <c r="K62" s="33"/>
      <c r="L62" s="34"/>
      <c r="M62" s="34"/>
      <c r="N62" s="62"/>
      <c r="O62" s="34"/>
      <c r="P62" s="34"/>
      <c r="Q62" s="34"/>
      <c r="R62" s="62"/>
      <c r="S62" s="37"/>
      <c r="T62" s="34"/>
      <c r="U62" s="34"/>
      <c r="V62" s="62"/>
      <c r="W62" s="38"/>
      <c r="X62" s="31"/>
      <c r="Y62" s="31"/>
      <c r="Z62" s="78"/>
      <c r="AA62" s="37"/>
      <c r="AB62" s="34"/>
      <c r="AC62" s="34"/>
      <c r="AD62" s="78"/>
      <c r="AE62" s="93"/>
      <c r="AF62" s="78"/>
      <c r="AG62" s="43">
        <f t="shared" si="16"/>
        <v>0</v>
      </c>
      <c r="AH62" s="44">
        <f t="shared" si="16"/>
        <v>0</v>
      </c>
      <c r="AI62" s="44">
        <f t="shared" si="16"/>
        <v>0</v>
      </c>
      <c r="AJ62" s="94">
        <f t="shared" si="16"/>
        <v>0</v>
      </c>
      <c r="AK62" s="95">
        <f t="shared" si="1"/>
        <v>0</v>
      </c>
      <c r="AL62" s="246">
        <v>0.75</v>
      </c>
      <c r="AM62" s="48">
        <f t="shared" si="7"/>
        <v>0</v>
      </c>
      <c r="AN62" s="48">
        <f t="shared" si="2"/>
        <v>0</v>
      </c>
      <c r="AO62" s="49">
        <f t="shared" si="8"/>
        <v>0</v>
      </c>
      <c r="AP62" s="97">
        <f t="shared" si="3"/>
        <v>0</v>
      </c>
      <c r="AQ62" s="50">
        <f t="shared" si="9"/>
        <v>0</v>
      </c>
      <c r="AR62" s="98"/>
      <c r="AS62" s="94"/>
      <c r="AT62" s="99"/>
      <c r="AU62" s="100"/>
      <c r="AV62" s="101"/>
      <c r="AW62" s="102"/>
      <c r="AX62" s="102"/>
      <c r="AY62" s="94"/>
      <c r="AZ62" s="95"/>
    </row>
    <row r="63" spans="1:52" s="246" customFormat="1" ht="16.5" thickBot="1" x14ac:dyDescent="0.3">
      <c r="A63" s="90"/>
      <c r="B63" s="91" t="s">
        <v>66</v>
      </c>
      <c r="C63" s="92"/>
      <c r="D63" s="26">
        <f t="shared" si="4"/>
        <v>0</v>
      </c>
      <c r="E63" s="27">
        <f t="shared" si="5"/>
        <v>0</v>
      </c>
      <c r="F63" s="29">
        <f t="shared" si="6"/>
        <v>0</v>
      </c>
      <c r="G63" s="30">
        <v>0</v>
      </c>
      <c r="H63" s="31">
        <v>0</v>
      </c>
      <c r="I63" s="32">
        <v>0</v>
      </c>
      <c r="J63" s="77"/>
      <c r="K63" s="33"/>
      <c r="L63" s="34"/>
      <c r="M63" s="34"/>
      <c r="N63" s="62"/>
      <c r="O63" s="34"/>
      <c r="P63" s="34"/>
      <c r="Q63" s="34"/>
      <c r="R63" s="62"/>
      <c r="S63" s="37"/>
      <c r="T63" s="34"/>
      <c r="U63" s="34"/>
      <c r="V63" s="62"/>
      <c r="W63" s="38"/>
      <c r="X63" s="31"/>
      <c r="Y63" s="31"/>
      <c r="Z63" s="78"/>
      <c r="AA63" s="37"/>
      <c r="AB63" s="34"/>
      <c r="AC63" s="34"/>
      <c r="AD63" s="78"/>
      <c r="AE63" s="93"/>
      <c r="AF63" s="78"/>
      <c r="AG63" s="43">
        <f t="shared" si="16"/>
        <v>0</v>
      </c>
      <c r="AH63" s="44">
        <f t="shared" si="16"/>
        <v>0</v>
      </c>
      <c r="AI63" s="44">
        <f t="shared" si="16"/>
        <v>0</v>
      </c>
      <c r="AJ63" s="94">
        <f t="shared" si="16"/>
        <v>0</v>
      </c>
      <c r="AK63" s="95">
        <f t="shared" si="1"/>
        <v>0</v>
      </c>
      <c r="AL63" s="246">
        <v>0.75</v>
      </c>
      <c r="AM63" s="48">
        <f t="shared" si="7"/>
        <v>0</v>
      </c>
      <c r="AN63" s="48">
        <f t="shared" si="2"/>
        <v>0</v>
      </c>
      <c r="AO63" s="49">
        <f t="shared" si="8"/>
        <v>0</v>
      </c>
      <c r="AP63" s="97">
        <f t="shared" si="3"/>
        <v>0</v>
      </c>
      <c r="AQ63" s="50">
        <f t="shared" si="9"/>
        <v>0</v>
      </c>
      <c r="AR63" s="98"/>
      <c r="AS63" s="94"/>
      <c r="AT63" s="99"/>
      <c r="AU63" s="100"/>
      <c r="AV63" s="101"/>
      <c r="AW63" s="102"/>
      <c r="AX63" s="102"/>
      <c r="AY63" s="94"/>
      <c r="AZ63" s="95"/>
    </row>
    <row r="64" spans="1:52" s="246" customFormat="1" ht="16.5" thickBot="1" x14ac:dyDescent="0.3">
      <c r="A64" s="90">
        <v>145</v>
      </c>
      <c r="B64" s="91" t="s">
        <v>67</v>
      </c>
      <c r="C64" s="92"/>
      <c r="D64" s="26">
        <f t="shared" si="4"/>
        <v>0</v>
      </c>
      <c r="E64" s="27">
        <f t="shared" si="5"/>
        <v>0</v>
      </c>
      <c r="F64" s="29">
        <f t="shared" si="6"/>
        <v>0</v>
      </c>
      <c r="G64" s="30">
        <v>0</v>
      </c>
      <c r="H64" s="31">
        <v>0</v>
      </c>
      <c r="I64" s="32">
        <v>0</v>
      </c>
      <c r="J64" s="77"/>
      <c r="K64" s="33"/>
      <c r="L64" s="34"/>
      <c r="M64" s="34"/>
      <c r="N64" s="62"/>
      <c r="O64" s="34"/>
      <c r="P64" s="34"/>
      <c r="Q64" s="34"/>
      <c r="R64" s="62"/>
      <c r="S64" s="37"/>
      <c r="T64" s="34"/>
      <c r="U64" s="34"/>
      <c r="V64" s="62"/>
      <c r="W64" s="38"/>
      <c r="X64" s="31"/>
      <c r="Y64" s="31"/>
      <c r="Z64" s="78"/>
      <c r="AA64" s="37"/>
      <c r="AB64" s="34"/>
      <c r="AC64" s="34"/>
      <c r="AD64" s="78"/>
      <c r="AE64" s="93"/>
      <c r="AF64" s="78"/>
      <c r="AG64" s="43">
        <f t="shared" si="16"/>
        <v>0</v>
      </c>
      <c r="AH64" s="44">
        <f t="shared" si="16"/>
        <v>0</v>
      </c>
      <c r="AI64" s="44">
        <f t="shared" si="16"/>
        <v>0</v>
      </c>
      <c r="AJ64" s="94">
        <f t="shared" si="16"/>
        <v>0</v>
      </c>
      <c r="AK64" s="95">
        <f t="shared" si="1"/>
        <v>0</v>
      </c>
      <c r="AL64" s="246">
        <v>0.75</v>
      </c>
      <c r="AM64" s="48">
        <f t="shared" si="7"/>
        <v>0</v>
      </c>
      <c r="AN64" s="48">
        <f t="shared" si="2"/>
        <v>0</v>
      </c>
      <c r="AO64" s="49">
        <f t="shared" si="8"/>
        <v>0</v>
      </c>
      <c r="AP64" s="97">
        <f t="shared" si="3"/>
        <v>0</v>
      </c>
      <c r="AQ64" s="50">
        <f t="shared" si="9"/>
        <v>0</v>
      </c>
      <c r="AR64" s="98"/>
      <c r="AS64" s="94"/>
      <c r="AT64" s="99"/>
      <c r="AU64" s="100"/>
      <c r="AV64" s="101"/>
      <c r="AW64" s="102"/>
      <c r="AX64" s="102"/>
      <c r="AY64" s="94"/>
      <c r="AZ64" s="95"/>
    </row>
    <row r="65" spans="1:52" s="246" customFormat="1" ht="16.5" thickBot="1" x14ac:dyDescent="0.3">
      <c r="A65" s="90">
        <v>145</v>
      </c>
      <c r="B65" s="91" t="s">
        <v>68</v>
      </c>
      <c r="C65" s="92"/>
      <c r="D65" s="26">
        <f t="shared" si="4"/>
        <v>0</v>
      </c>
      <c r="E65" s="27">
        <f t="shared" si="5"/>
        <v>0</v>
      </c>
      <c r="F65" s="29">
        <f t="shared" si="6"/>
        <v>0</v>
      </c>
      <c r="G65" s="30">
        <v>0</v>
      </c>
      <c r="H65" s="31">
        <v>0</v>
      </c>
      <c r="I65" s="32">
        <v>0</v>
      </c>
      <c r="J65" s="77"/>
      <c r="K65" s="33"/>
      <c r="L65" s="34"/>
      <c r="M65" s="34"/>
      <c r="N65" s="62"/>
      <c r="O65" s="34"/>
      <c r="P65" s="34"/>
      <c r="Q65" s="34"/>
      <c r="R65" s="62"/>
      <c r="S65" s="37"/>
      <c r="T65" s="34"/>
      <c r="U65" s="34"/>
      <c r="V65" s="62"/>
      <c r="W65" s="38"/>
      <c r="X65" s="31"/>
      <c r="Y65" s="31"/>
      <c r="Z65" s="78"/>
      <c r="AA65" s="37"/>
      <c r="AB65" s="34"/>
      <c r="AC65" s="34"/>
      <c r="AD65" s="78"/>
      <c r="AE65" s="93"/>
      <c r="AF65" s="78"/>
      <c r="AG65" s="43">
        <f t="shared" si="16"/>
        <v>0</v>
      </c>
      <c r="AH65" s="44">
        <f t="shared" si="16"/>
        <v>0</v>
      </c>
      <c r="AI65" s="44">
        <f t="shared" si="16"/>
        <v>0</v>
      </c>
      <c r="AJ65" s="94">
        <f t="shared" si="16"/>
        <v>0</v>
      </c>
      <c r="AK65" s="95">
        <f t="shared" si="1"/>
        <v>0</v>
      </c>
      <c r="AL65" s="246">
        <v>0.75</v>
      </c>
      <c r="AM65" s="48">
        <f t="shared" si="7"/>
        <v>0</v>
      </c>
      <c r="AN65" s="48">
        <f t="shared" si="2"/>
        <v>0</v>
      </c>
      <c r="AO65" s="49">
        <f t="shared" si="8"/>
        <v>0</v>
      </c>
      <c r="AP65" s="97">
        <f t="shared" si="3"/>
        <v>0</v>
      </c>
      <c r="AQ65" s="50">
        <f t="shared" si="9"/>
        <v>0</v>
      </c>
      <c r="AR65" s="98"/>
      <c r="AS65" s="94"/>
      <c r="AT65" s="99"/>
      <c r="AU65" s="100"/>
      <c r="AV65" s="101"/>
      <c r="AW65" s="102"/>
      <c r="AX65" s="102"/>
      <c r="AY65" s="94"/>
      <c r="AZ65" s="95"/>
    </row>
    <row r="66" spans="1:52" s="246" customFormat="1" ht="16.5" thickBot="1" x14ac:dyDescent="0.3">
      <c r="A66" s="90">
        <v>145</v>
      </c>
      <c r="B66" s="91" t="s">
        <v>69</v>
      </c>
      <c r="C66" s="92"/>
      <c r="D66" s="26">
        <f t="shared" si="4"/>
        <v>0</v>
      </c>
      <c r="E66" s="27">
        <f t="shared" si="5"/>
        <v>0</v>
      </c>
      <c r="F66" s="29">
        <f t="shared" si="6"/>
        <v>0</v>
      </c>
      <c r="G66" s="30">
        <v>0</v>
      </c>
      <c r="H66" s="31">
        <v>0</v>
      </c>
      <c r="I66" s="32">
        <v>0</v>
      </c>
      <c r="J66" s="77"/>
      <c r="K66" s="33"/>
      <c r="L66" s="34"/>
      <c r="M66" s="34"/>
      <c r="N66" s="62"/>
      <c r="O66" s="34"/>
      <c r="P66" s="34"/>
      <c r="Q66" s="34"/>
      <c r="R66" s="62"/>
      <c r="S66" s="37"/>
      <c r="T66" s="34"/>
      <c r="U66" s="34"/>
      <c r="V66" s="62"/>
      <c r="W66" s="38"/>
      <c r="X66" s="31"/>
      <c r="Y66" s="31"/>
      <c r="Z66" s="78"/>
      <c r="AA66" s="37"/>
      <c r="AB66" s="34"/>
      <c r="AC66" s="34"/>
      <c r="AD66" s="78"/>
      <c r="AE66" s="93"/>
      <c r="AF66" s="78"/>
      <c r="AG66" s="43">
        <f t="shared" si="16"/>
        <v>0</v>
      </c>
      <c r="AH66" s="44">
        <f t="shared" si="16"/>
        <v>0</v>
      </c>
      <c r="AI66" s="44">
        <f t="shared" si="16"/>
        <v>0</v>
      </c>
      <c r="AJ66" s="94">
        <f t="shared" si="16"/>
        <v>0</v>
      </c>
      <c r="AK66" s="95">
        <f t="shared" si="1"/>
        <v>0</v>
      </c>
      <c r="AL66" s="246">
        <v>0.75</v>
      </c>
      <c r="AM66" s="48">
        <f t="shared" si="7"/>
        <v>0</v>
      </c>
      <c r="AN66" s="48">
        <f t="shared" si="2"/>
        <v>0</v>
      </c>
      <c r="AO66" s="49">
        <f t="shared" si="8"/>
        <v>0</v>
      </c>
      <c r="AP66" s="97">
        <f t="shared" si="3"/>
        <v>0</v>
      </c>
      <c r="AQ66" s="50">
        <f t="shared" si="9"/>
        <v>0</v>
      </c>
      <c r="AR66" s="98"/>
      <c r="AS66" s="94"/>
      <c r="AT66" s="99"/>
      <c r="AU66" s="100"/>
      <c r="AV66" s="101"/>
      <c r="AW66" s="102"/>
      <c r="AX66" s="102"/>
      <c r="AY66" s="94"/>
      <c r="AZ66" s="95"/>
    </row>
    <row r="67" spans="1:52" s="246" customFormat="1" ht="16.5" thickBot="1" x14ac:dyDescent="0.3">
      <c r="A67" s="90"/>
      <c r="B67" s="91" t="s">
        <v>70</v>
      </c>
      <c r="C67" s="92"/>
      <c r="D67" s="26">
        <f t="shared" si="4"/>
        <v>0</v>
      </c>
      <c r="E67" s="27">
        <f t="shared" si="5"/>
        <v>0</v>
      </c>
      <c r="F67" s="29">
        <f t="shared" si="6"/>
        <v>0</v>
      </c>
      <c r="G67" s="30">
        <v>0</v>
      </c>
      <c r="H67" s="31">
        <v>0</v>
      </c>
      <c r="I67" s="32">
        <v>0</v>
      </c>
      <c r="J67" s="77"/>
      <c r="K67" s="33"/>
      <c r="L67" s="34"/>
      <c r="M67" s="34"/>
      <c r="N67" s="62"/>
      <c r="O67" s="34"/>
      <c r="P67" s="34"/>
      <c r="Q67" s="34"/>
      <c r="R67" s="62"/>
      <c r="S67" s="37"/>
      <c r="T67" s="34"/>
      <c r="U67" s="34"/>
      <c r="V67" s="62"/>
      <c r="W67" s="38"/>
      <c r="X67" s="31"/>
      <c r="Y67" s="31"/>
      <c r="Z67" s="78"/>
      <c r="AA67" s="37"/>
      <c r="AB67" s="34"/>
      <c r="AC67" s="34"/>
      <c r="AD67" s="78"/>
      <c r="AE67" s="93"/>
      <c r="AF67" s="78"/>
      <c r="AG67" s="43">
        <f t="shared" si="16"/>
        <v>0</v>
      </c>
      <c r="AH67" s="44">
        <f t="shared" si="16"/>
        <v>0</v>
      </c>
      <c r="AI67" s="44">
        <f t="shared" si="16"/>
        <v>0</v>
      </c>
      <c r="AJ67" s="94">
        <f t="shared" si="16"/>
        <v>0</v>
      </c>
      <c r="AK67" s="95">
        <f t="shared" si="1"/>
        <v>0</v>
      </c>
      <c r="AL67" s="246">
        <v>0.75</v>
      </c>
      <c r="AM67" s="48">
        <f t="shared" si="7"/>
        <v>0</v>
      </c>
      <c r="AN67" s="48">
        <f t="shared" si="2"/>
        <v>0</v>
      </c>
      <c r="AO67" s="49">
        <f t="shared" si="8"/>
        <v>0</v>
      </c>
      <c r="AP67" s="97">
        <f t="shared" si="3"/>
        <v>0</v>
      </c>
      <c r="AQ67" s="50">
        <f t="shared" si="9"/>
        <v>0</v>
      </c>
      <c r="AR67" s="98"/>
      <c r="AS67" s="94"/>
      <c r="AT67" s="99"/>
      <c r="AU67" s="100"/>
      <c r="AV67" s="101"/>
      <c r="AW67" s="102"/>
      <c r="AX67" s="102"/>
      <c r="AY67" s="94"/>
      <c r="AZ67" s="95"/>
    </row>
    <row r="68" spans="1:52" s="246" customFormat="1" ht="16.5" thickBot="1" x14ac:dyDescent="0.3">
      <c r="A68" s="90"/>
      <c r="B68" s="91" t="s">
        <v>71</v>
      </c>
      <c r="C68" s="92"/>
      <c r="D68" s="26">
        <f t="shared" si="4"/>
        <v>0</v>
      </c>
      <c r="E68" s="27">
        <f t="shared" si="5"/>
        <v>0</v>
      </c>
      <c r="F68" s="29">
        <f t="shared" si="6"/>
        <v>0</v>
      </c>
      <c r="G68" s="30">
        <v>0</v>
      </c>
      <c r="H68" s="31">
        <v>0</v>
      </c>
      <c r="I68" s="32">
        <v>0</v>
      </c>
      <c r="J68" s="77"/>
      <c r="K68" s="33"/>
      <c r="L68" s="34"/>
      <c r="M68" s="34"/>
      <c r="N68" s="62"/>
      <c r="O68" s="34"/>
      <c r="P68" s="34"/>
      <c r="Q68" s="34"/>
      <c r="R68" s="62"/>
      <c r="S68" s="37"/>
      <c r="T68" s="34"/>
      <c r="U68" s="34"/>
      <c r="V68" s="62"/>
      <c r="W68" s="38"/>
      <c r="X68" s="31"/>
      <c r="Y68" s="31"/>
      <c r="Z68" s="78"/>
      <c r="AA68" s="37"/>
      <c r="AB68" s="34"/>
      <c r="AC68" s="34"/>
      <c r="AD68" s="78"/>
      <c r="AE68" s="93"/>
      <c r="AF68" s="78"/>
      <c r="AG68" s="43">
        <f t="shared" si="16"/>
        <v>0</v>
      </c>
      <c r="AH68" s="44">
        <f t="shared" si="16"/>
        <v>0</v>
      </c>
      <c r="AI68" s="44">
        <f t="shared" si="16"/>
        <v>0</v>
      </c>
      <c r="AJ68" s="94">
        <f t="shared" si="16"/>
        <v>0</v>
      </c>
      <c r="AK68" s="95">
        <f t="shared" ref="AK68:AK132" si="17">AG68+AH68+AI68</f>
        <v>0</v>
      </c>
      <c r="AL68" s="246">
        <v>0.75</v>
      </c>
      <c r="AM68" s="48">
        <f t="shared" si="7"/>
        <v>0</v>
      </c>
      <c r="AN68" s="48">
        <f t="shared" si="2"/>
        <v>0</v>
      </c>
      <c r="AO68" s="49">
        <f t="shared" si="8"/>
        <v>0</v>
      </c>
      <c r="AP68" s="97">
        <f t="shared" ref="AP68:AP132" si="18">AJ68*AL68</f>
        <v>0</v>
      </c>
      <c r="AQ68" s="50">
        <f t="shared" ref="AQ68:AQ132" si="19">AK68*60</f>
        <v>0</v>
      </c>
      <c r="AR68" s="98"/>
      <c r="AS68" s="94"/>
      <c r="AT68" s="99"/>
      <c r="AU68" s="100"/>
      <c r="AV68" s="101"/>
      <c r="AW68" s="102"/>
      <c r="AX68" s="102"/>
      <c r="AY68" s="94"/>
      <c r="AZ68" s="95"/>
    </row>
    <row r="69" spans="1:52" s="246" customFormat="1" ht="16.5" thickBot="1" x14ac:dyDescent="0.3">
      <c r="A69" s="90">
        <v>360</v>
      </c>
      <c r="B69" s="91" t="s">
        <v>64</v>
      </c>
      <c r="C69" s="92"/>
      <c r="D69" s="26"/>
      <c r="E69" s="27"/>
      <c r="F69" s="29"/>
      <c r="G69" s="30">
        <v>50</v>
      </c>
      <c r="H69" s="31">
        <v>40</v>
      </c>
      <c r="I69" s="32">
        <v>4</v>
      </c>
      <c r="J69" s="77"/>
      <c r="K69" s="33"/>
      <c r="L69" s="34"/>
      <c r="M69" s="34"/>
      <c r="N69" s="62"/>
      <c r="O69" s="34"/>
      <c r="P69" s="34"/>
      <c r="Q69" s="34"/>
      <c r="R69" s="62"/>
      <c r="S69" s="37"/>
      <c r="T69" s="34"/>
      <c r="U69" s="34"/>
      <c r="V69" s="62"/>
      <c r="W69" s="38"/>
      <c r="X69" s="31"/>
      <c r="Y69" s="31"/>
      <c r="Z69" s="78"/>
      <c r="AA69" s="37"/>
      <c r="AB69" s="34"/>
      <c r="AC69" s="34"/>
      <c r="AD69" s="78"/>
      <c r="AE69" s="93"/>
      <c r="AF69" s="78"/>
      <c r="AG69" s="43">
        <f t="shared" si="16"/>
        <v>50</v>
      </c>
      <c r="AH69" s="44">
        <f t="shared" si="16"/>
        <v>40</v>
      </c>
      <c r="AI69" s="44">
        <f t="shared" si="16"/>
        <v>4</v>
      </c>
      <c r="AJ69" s="94">
        <f t="shared" si="16"/>
        <v>0</v>
      </c>
      <c r="AK69" s="95">
        <f t="shared" si="17"/>
        <v>94</v>
      </c>
      <c r="AL69" s="246">
        <v>1.75</v>
      </c>
      <c r="AM69" s="48">
        <f t="shared" si="7"/>
        <v>87.5</v>
      </c>
      <c r="AN69" s="48">
        <f t="shared" si="2"/>
        <v>70</v>
      </c>
      <c r="AO69" s="49">
        <f t="shared" ref="AO69:AO132" si="20">AI69*AL69</f>
        <v>7</v>
      </c>
      <c r="AP69" s="97">
        <f t="shared" si="18"/>
        <v>0</v>
      </c>
      <c r="AQ69" s="50">
        <f t="shared" si="19"/>
        <v>5640</v>
      </c>
      <c r="AR69" s="98"/>
      <c r="AS69" s="94"/>
      <c r="AT69" s="99"/>
      <c r="AU69" s="100"/>
      <c r="AV69" s="101"/>
      <c r="AW69" s="102"/>
      <c r="AX69" s="102"/>
      <c r="AY69" s="94"/>
      <c r="AZ69" s="95"/>
    </row>
    <row r="70" spans="1:52" s="246" customFormat="1" ht="16.5" thickBot="1" x14ac:dyDescent="0.3">
      <c r="A70" s="90">
        <v>250</v>
      </c>
      <c r="B70" s="91" t="s">
        <v>63</v>
      </c>
      <c r="C70" s="92">
        <v>52</v>
      </c>
      <c r="D70" s="26">
        <f t="shared" ref="D70:D133" si="21">C70/3</f>
        <v>17.333333333333332</v>
      </c>
      <c r="E70" s="27">
        <f t="shared" ref="E70:E133" si="22">C70/3</f>
        <v>17.333333333333332</v>
      </c>
      <c r="F70" s="29">
        <f t="shared" ref="F70:F133" si="23">C70/3</f>
        <v>17.333333333333332</v>
      </c>
      <c r="G70" s="30">
        <v>0</v>
      </c>
      <c r="H70" s="31">
        <v>0</v>
      </c>
      <c r="I70" s="32">
        <v>0</v>
      </c>
      <c r="J70" s="77"/>
      <c r="K70" s="33"/>
      <c r="L70" s="34"/>
      <c r="M70" s="34"/>
      <c r="N70" s="62"/>
      <c r="O70" s="34"/>
      <c r="P70" s="34"/>
      <c r="Q70" s="34"/>
      <c r="R70" s="62"/>
      <c r="S70" s="37"/>
      <c r="T70" s="34"/>
      <c r="U70" s="34"/>
      <c r="V70" s="62"/>
      <c r="W70" s="38"/>
      <c r="X70" s="31"/>
      <c r="Y70" s="31"/>
      <c r="Z70" s="78"/>
      <c r="AA70" s="37"/>
      <c r="AB70" s="34"/>
      <c r="AC70" s="34"/>
      <c r="AD70" s="78"/>
      <c r="AE70" s="93"/>
      <c r="AF70" s="78"/>
      <c r="AG70" s="43">
        <f t="shared" si="16"/>
        <v>0</v>
      </c>
      <c r="AH70" s="44">
        <f t="shared" si="16"/>
        <v>0</v>
      </c>
      <c r="AI70" s="44">
        <f t="shared" si="16"/>
        <v>0</v>
      </c>
      <c r="AJ70" s="94">
        <f t="shared" si="16"/>
        <v>0</v>
      </c>
      <c r="AK70" s="95">
        <f t="shared" si="17"/>
        <v>0</v>
      </c>
      <c r="AL70" s="246">
        <v>1</v>
      </c>
      <c r="AM70" s="48">
        <f t="shared" si="7"/>
        <v>0</v>
      </c>
      <c r="AN70" s="48">
        <f t="shared" si="2"/>
        <v>0</v>
      </c>
      <c r="AO70" s="49">
        <f t="shared" si="20"/>
        <v>0</v>
      </c>
      <c r="AP70" s="97">
        <f t="shared" si="18"/>
        <v>0</v>
      </c>
      <c r="AQ70" s="50">
        <f t="shared" si="19"/>
        <v>0</v>
      </c>
      <c r="AR70" s="98">
        <v>34.799999999999997</v>
      </c>
      <c r="AS70" s="94">
        <v>5.2000000000000028</v>
      </c>
      <c r="AT70" s="99">
        <f>AK70*AS70</f>
        <v>0</v>
      </c>
      <c r="AU70" s="100">
        <f>AK70*AL70</f>
        <v>0</v>
      </c>
      <c r="AV70" s="101">
        <v>0</v>
      </c>
      <c r="AW70" s="102"/>
      <c r="AX70" s="102"/>
      <c r="AY70" s="94"/>
      <c r="AZ70" s="95">
        <f>AT70-AU70-AW70-AX70-AY70</f>
        <v>0</v>
      </c>
    </row>
    <row r="71" spans="1:52" ht="16.5" thickBot="1" x14ac:dyDescent="0.3">
      <c r="A71" s="74"/>
      <c r="B71" s="75" t="s">
        <v>64</v>
      </c>
      <c r="C71" s="76"/>
      <c r="D71" s="26">
        <f t="shared" si="21"/>
        <v>0</v>
      </c>
      <c r="E71" s="27">
        <f t="shared" si="22"/>
        <v>0</v>
      </c>
      <c r="F71" s="29">
        <f t="shared" si="23"/>
        <v>0</v>
      </c>
      <c r="G71" s="30">
        <v>0</v>
      </c>
      <c r="H71" s="31">
        <v>0</v>
      </c>
      <c r="I71" s="32">
        <v>0</v>
      </c>
      <c r="J71" s="77"/>
      <c r="K71" s="33"/>
      <c r="L71" s="34"/>
      <c r="M71" s="34"/>
      <c r="N71" s="62"/>
      <c r="O71" s="34"/>
      <c r="P71" s="34"/>
      <c r="Q71" s="34"/>
      <c r="R71" s="62"/>
      <c r="S71" s="37"/>
      <c r="T71" s="34"/>
      <c r="U71" s="34"/>
      <c r="V71" s="62"/>
      <c r="W71" s="38"/>
      <c r="X71" s="31"/>
      <c r="Y71" s="31"/>
      <c r="Z71" s="78"/>
      <c r="AA71" s="37"/>
      <c r="AB71" s="34"/>
      <c r="AC71" s="34"/>
      <c r="AD71" s="64"/>
      <c r="AE71" s="79"/>
      <c r="AF71" s="64"/>
      <c r="AG71" s="43">
        <f t="shared" si="16"/>
        <v>0</v>
      </c>
      <c r="AH71" s="44">
        <f t="shared" si="16"/>
        <v>0</v>
      </c>
      <c r="AI71" s="44">
        <f t="shared" si="16"/>
        <v>0</v>
      </c>
      <c r="AJ71" s="45">
        <f t="shared" si="16"/>
        <v>0</v>
      </c>
      <c r="AK71" s="80">
        <f t="shared" si="17"/>
        <v>0</v>
      </c>
      <c r="AL71" s="47">
        <v>1</v>
      </c>
      <c r="AM71" s="48">
        <f t="shared" si="7"/>
        <v>0</v>
      </c>
      <c r="AN71" s="48">
        <f t="shared" si="2"/>
        <v>0</v>
      </c>
      <c r="AO71" s="49">
        <f t="shared" si="20"/>
        <v>0</v>
      </c>
      <c r="AP71" s="49">
        <f t="shared" si="18"/>
        <v>0</v>
      </c>
      <c r="AQ71" s="50">
        <f t="shared" si="19"/>
        <v>0</v>
      </c>
      <c r="AR71" s="81"/>
      <c r="AS71" s="82"/>
      <c r="AT71" s="83"/>
      <c r="AU71" s="84"/>
      <c r="AV71" s="85"/>
      <c r="AW71" s="86"/>
      <c r="AX71" s="86"/>
      <c r="AY71" s="82"/>
      <c r="AZ71" s="87"/>
    </row>
    <row r="72" spans="1:52" ht="16.5" thickBot="1" x14ac:dyDescent="0.3">
      <c r="A72" s="74"/>
      <c r="B72" s="75" t="s">
        <v>65</v>
      </c>
      <c r="C72" s="76"/>
      <c r="D72" s="26">
        <f t="shared" si="21"/>
        <v>0</v>
      </c>
      <c r="E72" s="27">
        <f t="shared" si="22"/>
        <v>0</v>
      </c>
      <c r="F72" s="29">
        <f t="shared" si="23"/>
        <v>0</v>
      </c>
      <c r="G72" s="30">
        <v>0</v>
      </c>
      <c r="H72" s="31">
        <v>0</v>
      </c>
      <c r="I72" s="32">
        <v>0</v>
      </c>
      <c r="J72" s="77"/>
      <c r="K72" s="33"/>
      <c r="L72" s="34"/>
      <c r="M72" s="34"/>
      <c r="N72" s="62"/>
      <c r="O72" s="34"/>
      <c r="P72" s="34"/>
      <c r="Q72" s="34"/>
      <c r="R72" s="62"/>
      <c r="S72" s="37"/>
      <c r="T72" s="34"/>
      <c r="U72" s="34"/>
      <c r="V72" s="62"/>
      <c r="W72" s="38"/>
      <c r="X72" s="31"/>
      <c r="Y72" s="31"/>
      <c r="Z72" s="78"/>
      <c r="AA72" s="37"/>
      <c r="AB72" s="34"/>
      <c r="AC72" s="34"/>
      <c r="AD72" s="64"/>
      <c r="AE72" s="79"/>
      <c r="AF72" s="64"/>
      <c r="AG72" s="43">
        <f t="shared" si="16"/>
        <v>0</v>
      </c>
      <c r="AH72" s="44">
        <f t="shared" si="16"/>
        <v>0</v>
      </c>
      <c r="AI72" s="44">
        <f t="shared" si="16"/>
        <v>0</v>
      </c>
      <c r="AJ72" s="45">
        <f t="shared" si="16"/>
        <v>0</v>
      </c>
      <c r="AK72" s="80">
        <f t="shared" si="17"/>
        <v>0</v>
      </c>
      <c r="AL72" s="47">
        <v>1</v>
      </c>
      <c r="AM72" s="48">
        <f t="shared" si="7"/>
        <v>0</v>
      </c>
      <c r="AN72" s="48">
        <f t="shared" si="2"/>
        <v>0</v>
      </c>
      <c r="AO72" s="49">
        <f t="shared" si="20"/>
        <v>0</v>
      </c>
      <c r="AP72" s="49">
        <f t="shared" si="18"/>
        <v>0</v>
      </c>
      <c r="AQ72" s="50">
        <f t="shared" si="19"/>
        <v>0</v>
      </c>
      <c r="AR72" s="81"/>
      <c r="AS72" s="82"/>
      <c r="AT72" s="83"/>
      <c r="AU72" s="84"/>
      <c r="AV72" s="85"/>
      <c r="AW72" s="86"/>
      <c r="AX72" s="86"/>
      <c r="AY72" s="82"/>
      <c r="AZ72" s="87"/>
    </row>
    <row r="73" spans="1:52" ht="16.5" thickBot="1" x14ac:dyDescent="0.3">
      <c r="A73" s="74"/>
      <c r="B73" s="75" t="s">
        <v>66</v>
      </c>
      <c r="C73" s="76"/>
      <c r="D73" s="26">
        <f t="shared" si="21"/>
        <v>0</v>
      </c>
      <c r="E73" s="27">
        <f t="shared" si="22"/>
        <v>0</v>
      </c>
      <c r="F73" s="29">
        <f t="shared" si="23"/>
        <v>0</v>
      </c>
      <c r="G73" s="30">
        <v>0</v>
      </c>
      <c r="H73" s="31">
        <v>0</v>
      </c>
      <c r="I73" s="32">
        <v>0</v>
      </c>
      <c r="J73" s="77"/>
      <c r="K73" s="33"/>
      <c r="L73" s="34"/>
      <c r="M73" s="34"/>
      <c r="N73" s="62"/>
      <c r="O73" s="34"/>
      <c r="P73" s="34"/>
      <c r="Q73" s="34"/>
      <c r="R73" s="62"/>
      <c r="S73" s="37"/>
      <c r="T73" s="34"/>
      <c r="U73" s="34"/>
      <c r="V73" s="62"/>
      <c r="W73" s="38"/>
      <c r="X73" s="31"/>
      <c r="Y73" s="31"/>
      <c r="Z73" s="78"/>
      <c r="AA73" s="37"/>
      <c r="AB73" s="34"/>
      <c r="AC73" s="34"/>
      <c r="AD73" s="64"/>
      <c r="AE73" s="79"/>
      <c r="AF73" s="64"/>
      <c r="AG73" s="43">
        <f t="shared" si="16"/>
        <v>0</v>
      </c>
      <c r="AH73" s="44">
        <f t="shared" si="16"/>
        <v>0</v>
      </c>
      <c r="AI73" s="44">
        <f t="shared" si="16"/>
        <v>0</v>
      </c>
      <c r="AJ73" s="45">
        <f t="shared" si="16"/>
        <v>0</v>
      </c>
      <c r="AK73" s="80">
        <f t="shared" si="17"/>
        <v>0</v>
      </c>
      <c r="AL73" s="47">
        <v>1</v>
      </c>
      <c r="AM73" s="48">
        <f t="shared" si="7"/>
        <v>0</v>
      </c>
      <c r="AN73" s="48">
        <f t="shared" si="2"/>
        <v>0</v>
      </c>
      <c r="AO73" s="49">
        <f t="shared" si="20"/>
        <v>0</v>
      </c>
      <c r="AP73" s="49">
        <f t="shared" si="18"/>
        <v>0</v>
      </c>
      <c r="AQ73" s="50">
        <f t="shared" si="19"/>
        <v>0</v>
      </c>
      <c r="AR73" s="81"/>
      <c r="AS73" s="82"/>
      <c r="AT73" s="83"/>
      <c r="AU73" s="84"/>
      <c r="AV73" s="85"/>
      <c r="AW73" s="86"/>
      <c r="AX73" s="86"/>
      <c r="AY73" s="82"/>
      <c r="AZ73" s="87"/>
    </row>
    <row r="74" spans="1:52" ht="16.5" thickBot="1" x14ac:dyDescent="0.3">
      <c r="A74" s="74">
        <v>250</v>
      </c>
      <c r="B74" s="75" t="s">
        <v>67</v>
      </c>
      <c r="C74" s="76"/>
      <c r="D74" s="26">
        <f t="shared" si="21"/>
        <v>0</v>
      </c>
      <c r="E74" s="27">
        <f t="shared" si="22"/>
        <v>0</v>
      </c>
      <c r="F74" s="29">
        <f t="shared" si="23"/>
        <v>0</v>
      </c>
      <c r="G74" s="30">
        <v>0</v>
      </c>
      <c r="H74" s="31">
        <v>0</v>
      </c>
      <c r="I74" s="32">
        <v>0</v>
      </c>
      <c r="J74" s="77"/>
      <c r="K74" s="33"/>
      <c r="L74" s="34"/>
      <c r="M74" s="34"/>
      <c r="N74" s="62"/>
      <c r="O74" s="34"/>
      <c r="P74" s="34"/>
      <c r="Q74" s="34"/>
      <c r="R74" s="62"/>
      <c r="S74" s="37"/>
      <c r="T74" s="34"/>
      <c r="U74" s="34"/>
      <c r="V74" s="62"/>
      <c r="W74" s="38"/>
      <c r="X74" s="31"/>
      <c r="Y74" s="31"/>
      <c r="Z74" s="78"/>
      <c r="AA74" s="37"/>
      <c r="AB74" s="34"/>
      <c r="AC74" s="34"/>
      <c r="AD74" s="64"/>
      <c r="AE74" s="79"/>
      <c r="AF74" s="64"/>
      <c r="AG74" s="43">
        <f t="shared" si="16"/>
        <v>0</v>
      </c>
      <c r="AH74" s="44">
        <f t="shared" si="16"/>
        <v>0</v>
      </c>
      <c r="AI74" s="44">
        <f t="shared" si="16"/>
        <v>0</v>
      </c>
      <c r="AJ74" s="45">
        <f t="shared" si="16"/>
        <v>0</v>
      </c>
      <c r="AK74" s="80">
        <f t="shared" si="17"/>
        <v>0</v>
      </c>
      <c r="AL74" s="47">
        <v>1</v>
      </c>
      <c r="AM74" s="48">
        <f t="shared" si="7"/>
        <v>0</v>
      </c>
      <c r="AN74" s="48">
        <f t="shared" si="2"/>
        <v>0</v>
      </c>
      <c r="AO74" s="49">
        <f t="shared" si="20"/>
        <v>0</v>
      </c>
      <c r="AP74" s="49">
        <f t="shared" si="18"/>
        <v>0</v>
      </c>
      <c r="AQ74" s="50">
        <f t="shared" si="19"/>
        <v>0</v>
      </c>
      <c r="AR74" s="81"/>
      <c r="AS74" s="82"/>
      <c r="AT74" s="83"/>
      <c r="AU74" s="84"/>
      <c r="AV74" s="85"/>
      <c r="AW74" s="86"/>
      <c r="AX74" s="86"/>
      <c r="AY74" s="82"/>
      <c r="AZ74" s="87"/>
    </row>
    <row r="75" spans="1:52" ht="16.5" thickBot="1" x14ac:dyDescent="0.3">
      <c r="A75" s="74">
        <v>1000</v>
      </c>
      <c r="B75" s="75" t="s">
        <v>63</v>
      </c>
      <c r="C75" s="76">
        <v>24</v>
      </c>
      <c r="D75" s="26">
        <f t="shared" si="21"/>
        <v>8</v>
      </c>
      <c r="E75" s="27">
        <f t="shared" si="22"/>
        <v>8</v>
      </c>
      <c r="F75" s="29">
        <f t="shared" si="23"/>
        <v>8</v>
      </c>
      <c r="G75" s="30">
        <v>0</v>
      </c>
      <c r="H75" s="31">
        <v>0</v>
      </c>
      <c r="I75" s="32">
        <v>0</v>
      </c>
      <c r="J75" s="77"/>
      <c r="K75" s="33"/>
      <c r="L75" s="34"/>
      <c r="M75" s="34"/>
      <c r="N75" s="62"/>
      <c r="O75" s="34"/>
      <c r="P75" s="34"/>
      <c r="Q75" s="34"/>
      <c r="R75" s="62"/>
      <c r="S75" s="37"/>
      <c r="T75" s="34"/>
      <c r="U75" s="34"/>
      <c r="V75" s="62"/>
      <c r="W75" s="38"/>
      <c r="X75" s="31"/>
      <c r="Y75" s="31"/>
      <c r="Z75" s="78"/>
      <c r="AA75" s="37"/>
      <c r="AB75" s="34"/>
      <c r="AC75" s="34"/>
      <c r="AD75" s="64"/>
      <c r="AE75" s="79"/>
      <c r="AF75" s="64"/>
      <c r="AG75" s="43">
        <f t="shared" si="16"/>
        <v>0</v>
      </c>
      <c r="AH75" s="44">
        <f t="shared" si="16"/>
        <v>0</v>
      </c>
      <c r="AI75" s="44">
        <f t="shared" si="16"/>
        <v>0</v>
      </c>
      <c r="AJ75" s="45">
        <f t="shared" si="16"/>
        <v>0</v>
      </c>
      <c r="AK75" s="80">
        <f t="shared" si="17"/>
        <v>0</v>
      </c>
      <c r="AL75" s="47">
        <v>0.75</v>
      </c>
      <c r="AM75" s="48">
        <f t="shared" ref="AM75:AM138" si="24">AG75*AL75</f>
        <v>0</v>
      </c>
      <c r="AN75" s="48">
        <f t="shared" ref="AN75:AN138" si="25">AH75*AL75</f>
        <v>0</v>
      </c>
      <c r="AO75" s="49">
        <f t="shared" si="20"/>
        <v>0</v>
      </c>
      <c r="AP75" s="49">
        <f t="shared" si="18"/>
        <v>0</v>
      </c>
      <c r="AQ75" s="50">
        <f t="shared" si="19"/>
        <v>0</v>
      </c>
      <c r="AR75" s="117">
        <v>67.84</v>
      </c>
      <c r="AS75" s="82">
        <v>2.1599999999999966</v>
      </c>
      <c r="AT75" s="83">
        <f>AK75*AS75</f>
        <v>0</v>
      </c>
      <c r="AU75" s="84">
        <f>AK75*AL75</f>
        <v>0</v>
      </c>
      <c r="AV75" s="85">
        <v>0</v>
      </c>
      <c r="AW75" s="86"/>
      <c r="AX75" s="86"/>
      <c r="AY75" s="82"/>
      <c r="AZ75" s="87">
        <f>AT75-AU75-AW75-AX75-AY75</f>
        <v>0</v>
      </c>
    </row>
    <row r="76" spans="1:52" ht="16.5" thickBot="1" x14ac:dyDescent="0.3">
      <c r="A76" s="74">
        <v>1000</v>
      </c>
      <c r="B76" s="75" t="s">
        <v>64</v>
      </c>
      <c r="C76" s="76"/>
      <c r="D76" s="26">
        <f t="shared" si="21"/>
        <v>0</v>
      </c>
      <c r="E76" s="27">
        <f t="shared" si="22"/>
        <v>0</v>
      </c>
      <c r="F76" s="29">
        <f t="shared" si="23"/>
        <v>0</v>
      </c>
      <c r="G76" s="30">
        <v>0</v>
      </c>
      <c r="H76" s="31">
        <v>0</v>
      </c>
      <c r="I76" s="32">
        <v>0</v>
      </c>
      <c r="J76" s="77"/>
      <c r="K76" s="33"/>
      <c r="L76" s="34"/>
      <c r="M76" s="34"/>
      <c r="N76" s="62"/>
      <c r="O76" s="34"/>
      <c r="P76" s="34"/>
      <c r="Q76" s="34"/>
      <c r="R76" s="62"/>
      <c r="S76" s="37"/>
      <c r="T76" s="34"/>
      <c r="U76" s="34"/>
      <c r="V76" s="62"/>
      <c r="W76" s="38"/>
      <c r="X76" s="31"/>
      <c r="Y76" s="31"/>
      <c r="Z76" s="78"/>
      <c r="AA76" s="37"/>
      <c r="AB76" s="34"/>
      <c r="AC76" s="34"/>
      <c r="AD76" s="64"/>
      <c r="AE76" s="79"/>
      <c r="AF76" s="64"/>
      <c r="AG76" s="43">
        <f t="shared" si="16"/>
        <v>0</v>
      </c>
      <c r="AH76" s="44">
        <f t="shared" si="16"/>
        <v>0</v>
      </c>
      <c r="AI76" s="44">
        <f t="shared" si="16"/>
        <v>0</v>
      </c>
      <c r="AJ76" s="45">
        <f t="shared" si="16"/>
        <v>0</v>
      </c>
      <c r="AK76" s="80">
        <f t="shared" si="17"/>
        <v>0</v>
      </c>
      <c r="AL76" s="47">
        <v>0.75</v>
      </c>
      <c r="AM76" s="48">
        <f t="shared" si="24"/>
        <v>0</v>
      </c>
      <c r="AN76" s="48">
        <f t="shared" si="25"/>
        <v>0</v>
      </c>
      <c r="AO76" s="49">
        <f t="shared" si="20"/>
        <v>0</v>
      </c>
      <c r="AP76" s="49">
        <f t="shared" si="18"/>
        <v>0</v>
      </c>
      <c r="AQ76" s="50">
        <f t="shared" si="19"/>
        <v>0</v>
      </c>
      <c r="AR76" s="117"/>
      <c r="AS76" s="82"/>
      <c r="AT76" s="83"/>
      <c r="AU76" s="84"/>
      <c r="AV76" s="85"/>
      <c r="AW76" s="86"/>
      <c r="AX76" s="86"/>
      <c r="AY76" s="82"/>
      <c r="AZ76" s="87"/>
    </row>
    <row r="77" spans="1:52" ht="16.5" thickBot="1" x14ac:dyDescent="0.3">
      <c r="A77" s="74">
        <v>1000</v>
      </c>
      <c r="B77" s="75" t="s">
        <v>65</v>
      </c>
      <c r="C77" s="76"/>
      <c r="D77" s="26">
        <f t="shared" si="21"/>
        <v>0</v>
      </c>
      <c r="E77" s="27">
        <f t="shared" si="22"/>
        <v>0</v>
      </c>
      <c r="F77" s="29">
        <f t="shared" si="23"/>
        <v>0</v>
      </c>
      <c r="G77" s="30">
        <v>0</v>
      </c>
      <c r="H77" s="31">
        <v>0</v>
      </c>
      <c r="I77" s="32">
        <v>0</v>
      </c>
      <c r="J77" s="77"/>
      <c r="K77" s="33"/>
      <c r="L77" s="34"/>
      <c r="M77" s="34"/>
      <c r="N77" s="62"/>
      <c r="O77" s="34"/>
      <c r="P77" s="34"/>
      <c r="Q77" s="34"/>
      <c r="R77" s="62"/>
      <c r="S77" s="37"/>
      <c r="T77" s="34"/>
      <c r="U77" s="34"/>
      <c r="V77" s="62"/>
      <c r="W77" s="38"/>
      <c r="X77" s="31"/>
      <c r="Y77" s="31"/>
      <c r="Z77" s="78"/>
      <c r="AA77" s="37"/>
      <c r="AB77" s="34"/>
      <c r="AC77" s="34"/>
      <c r="AD77" s="64"/>
      <c r="AE77" s="79"/>
      <c r="AF77" s="64"/>
      <c r="AG77" s="43">
        <f t="shared" si="16"/>
        <v>0</v>
      </c>
      <c r="AH77" s="44">
        <f t="shared" si="16"/>
        <v>0</v>
      </c>
      <c r="AI77" s="44">
        <f t="shared" si="16"/>
        <v>0</v>
      </c>
      <c r="AJ77" s="45">
        <f t="shared" si="16"/>
        <v>0</v>
      </c>
      <c r="AK77" s="80">
        <f t="shared" si="17"/>
        <v>0</v>
      </c>
      <c r="AL77" s="47">
        <v>0.75</v>
      </c>
      <c r="AM77" s="48">
        <f t="shared" si="24"/>
        <v>0</v>
      </c>
      <c r="AN77" s="48">
        <f t="shared" si="25"/>
        <v>0</v>
      </c>
      <c r="AO77" s="49">
        <f t="shared" si="20"/>
        <v>0</v>
      </c>
      <c r="AP77" s="49">
        <f t="shared" si="18"/>
        <v>0</v>
      </c>
      <c r="AQ77" s="50">
        <f t="shared" si="19"/>
        <v>0</v>
      </c>
      <c r="AR77" s="117"/>
      <c r="AS77" s="82"/>
      <c r="AT77" s="83"/>
      <c r="AU77" s="84"/>
      <c r="AV77" s="85"/>
      <c r="AW77" s="86"/>
      <c r="AX77" s="86"/>
      <c r="AY77" s="82"/>
      <c r="AZ77" s="87"/>
    </row>
    <row r="78" spans="1:52" ht="16.5" thickBot="1" x14ac:dyDescent="0.3">
      <c r="A78" s="74">
        <v>1000</v>
      </c>
      <c r="B78" s="75" t="s">
        <v>66</v>
      </c>
      <c r="C78" s="76"/>
      <c r="D78" s="26">
        <f t="shared" si="21"/>
        <v>0</v>
      </c>
      <c r="E78" s="27">
        <f t="shared" si="22"/>
        <v>0</v>
      </c>
      <c r="F78" s="29">
        <f t="shared" si="23"/>
        <v>0</v>
      </c>
      <c r="G78" s="30">
        <v>0</v>
      </c>
      <c r="H78" s="31">
        <v>0</v>
      </c>
      <c r="I78" s="32">
        <v>0</v>
      </c>
      <c r="J78" s="77"/>
      <c r="K78" s="33"/>
      <c r="L78" s="34"/>
      <c r="M78" s="34"/>
      <c r="N78" s="62"/>
      <c r="O78" s="34"/>
      <c r="P78" s="34"/>
      <c r="Q78" s="34"/>
      <c r="R78" s="62"/>
      <c r="S78" s="37"/>
      <c r="T78" s="34"/>
      <c r="U78" s="34"/>
      <c r="V78" s="62"/>
      <c r="W78" s="38"/>
      <c r="X78" s="31"/>
      <c r="Y78" s="31"/>
      <c r="Z78" s="78"/>
      <c r="AA78" s="37"/>
      <c r="AB78" s="34"/>
      <c r="AC78" s="34"/>
      <c r="AD78" s="64"/>
      <c r="AE78" s="79"/>
      <c r="AF78" s="64"/>
      <c r="AG78" s="43">
        <f t="shared" si="16"/>
        <v>0</v>
      </c>
      <c r="AH78" s="44">
        <f t="shared" si="16"/>
        <v>0</v>
      </c>
      <c r="AI78" s="44">
        <f t="shared" si="16"/>
        <v>0</v>
      </c>
      <c r="AJ78" s="45">
        <f t="shared" si="16"/>
        <v>0</v>
      </c>
      <c r="AK78" s="80">
        <f t="shared" si="17"/>
        <v>0</v>
      </c>
      <c r="AL78" s="47">
        <v>0.75</v>
      </c>
      <c r="AM78" s="48">
        <f t="shared" si="24"/>
        <v>0</v>
      </c>
      <c r="AN78" s="48">
        <f t="shared" si="25"/>
        <v>0</v>
      </c>
      <c r="AO78" s="49">
        <f t="shared" si="20"/>
        <v>0</v>
      </c>
      <c r="AP78" s="49">
        <f t="shared" si="18"/>
        <v>0</v>
      </c>
      <c r="AQ78" s="50">
        <f t="shared" si="19"/>
        <v>0</v>
      </c>
      <c r="AR78" s="117"/>
      <c r="AS78" s="82"/>
      <c r="AT78" s="83"/>
      <c r="AU78" s="84"/>
      <c r="AV78" s="85"/>
      <c r="AW78" s="86"/>
      <c r="AX78" s="86"/>
      <c r="AY78" s="82"/>
      <c r="AZ78" s="87"/>
    </row>
    <row r="79" spans="1:52" ht="16.5" thickBot="1" x14ac:dyDescent="0.3">
      <c r="A79" s="74">
        <v>1000</v>
      </c>
      <c r="B79" s="75" t="s">
        <v>67</v>
      </c>
      <c r="C79" s="76"/>
      <c r="D79" s="26">
        <f t="shared" si="21"/>
        <v>0</v>
      </c>
      <c r="E79" s="27">
        <f t="shared" si="22"/>
        <v>0</v>
      </c>
      <c r="F79" s="29">
        <f t="shared" si="23"/>
        <v>0</v>
      </c>
      <c r="G79" s="30">
        <v>0</v>
      </c>
      <c r="H79" s="31">
        <v>0</v>
      </c>
      <c r="I79" s="32">
        <v>0</v>
      </c>
      <c r="J79" s="77"/>
      <c r="K79" s="33"/>
      <c r="L79" s="34"/>
      <c r="M79" s="34"/>
      <c r="N79" s="62"/>
      <c r="O79" s="34"/>
      <c r="P79" s="34"/>
      <c r="Q79" s="34"/>
      <c r="R79" s="62"/>
      <c r="S79" s="37"/>
      <c r="T79" s="34"/>
      <c r="U79" s="34"/>
      <c r="V79" s="62"/>
      <c r="W79" s="38"/>
      <c r="X79" s="31"/>
      <c r="Y79" s="31"/>
      <c r="Z79" s="78"/>
      <c r="AA79" s="37"/>
      <c r="AB79" s="34"/>
      <c r="AC79" s="34"/>
      <c r="AD79" s="64"/>
      <c r="AE79" s="79"/>
      <c r="AF79" s="64"/>
      <c r="AG79" s="43">
        <f t="shared" si="16"/>
        <v>0</v>
      </c>
      <c r="AH79" s="44">
        <f t="shared" si="16"/>
        <v>0</v>
      </c>
      <c r="AI79" s="44">
        <f t="shared" si="16"/>
        <v>0</v>
      </c>
      <c r="AJ79" s="45">
        <f t="shared" si="16"/>
        <v>0</v>
      </c>
      <c r="AK79" s="80">
        <f t="shared" si="17"/>
        <v>0</v>
      </c>
      <c r="AL79" s="47">
        <v>0.75</v>
      </c>
      <c r="AM79" s="48">
        <f t="shared" si="24"/>
        <v>0</v>
      </c>
      <c r="AN79" s="48">
        <f t="shared" si="25"/>
        <v>0</v>
      </c>
      <c r="AO79" s="49">
        <f t="shared" si="20"/>
        <v>0</v>
      </c>
      <c r="AP79" s="49">
        <f t="shared" si="18"/>
        <v>0</v>
      </c>
      <c r="AQ79" s="50">
        <f t="shared" si="19"/>
        <v>0</v>
      </c>
      <c r="AR79" s="117"/>
      <c r="AS79" s="82"/>
      <c r="AT79" s="83"/>
      <c r="AU79" s="84"/>
      <c r="AV79" s="85"/>
      <c r="AW79" s="86"/>
      <c r="AX79" s="86"/>
      <c r="AY79" s="82"/>
      <c r="AZ79" s="87"/>
    </row>
    <row r="80" spans="1:52" ht="16.5" thickBot="1" x14ac:dyDescent="0.3">
      <c r="A80" s="74">
        <v>145</v>
      </c>
      <c r="B80" s="75" t="s">
        <v>72</v>
      </c>
      <c r="C80" s="76">
        <v>684</v>
      </c>
      <c r="D80" s="26">
        <f t="shared" si="21"/>
        <v>228</v>
      </c>
      <c r="E80" s="27">
        <f t="shared" si="22"/>
        <v>228</v>
      </c>
      <c r="F80" s="29">
        <f t="shared" si="23"/>
        <v>228</v>
      </c>
      <c r="G80" s="30">
        <v>0</v>
      </c>
      <c r="H80" s="31">
        <v>0</v>
      </c>
      <c r="I80" s="32">
        <v>0</v>
      </c>
      <c r="J80" s="77"/>
      <c r="K80" s="33"/>
      <c r="L80" s="34"/>
      <c r="M80" s="34"/>
      <c r="N80" s="62"/>
      <c r="O80" s="34"/>
      <c r="P80" s="34"/>
      <c r="Q80" s="34"/>
      <c r="R80" s="62"/>
      <c r="S80" s="37"/>
      <c r="T80" s="34"/>
      <c r="U80" s="34"/>
      <c r="V80" s="62"/>
      <c r="W80" s="38"/>
      <c r="X80" s="31"/>
      <c r="Y80" s="31"/>
      <c r="Z80" s="78"/>
      <c r="AA80" s="37"/>
      <c r="AB80" s="34"/>
      <c r="AC80" s="34"/>
      <c r="AD80" s="64"/>
      <c r="AE80" s="79"/>
      <c r="AF80" s="64"/>
      <c r="AG80" s="43">
        <f t="shared" si="16"/>
        <v>0</v>
      </c>
      <c r="AH80" s="44">
        <f t="shared" si="16"/>
        <v>0</v>
      </c>
      <c r="AI80" s="44">
        <f t="shared" si="16"/>
        <v>0</v>
      </c>
      <c r="AJ80" s="45">
        <f t="shared" si="16"/>
        <v>0</v>
      </c>
      <c r="AK80" s="80">
        <f t="shared" si="17"/>
        <v>0</v>
      </c>
      <c r="AL80" s="47">
        <v>0.75</v>
      </c>
      <c r="AM80" s="48">
        <f t="shared" si="24"/>
        <v>0</v>
      </c>
      <c r="AN80" s="48">
        <f t="shared" si="25"/>
        <v>0</v>
      </c>
      <c r="AO80" s="49">
        <f t="shared" si="20"/>
        <v>0</v>
      </c>
      <c r="AP80" s="49">
        <f t="shared" si="18"/>
        <v>0</v>
      </c>
      <c r="AQ80" s="50">
        <f t="shared" si="19"/>
        <v>0</v>
      </c>
      <c r="AR80" s="81">
        <v>17.920000000000002</v>
      </c>
      <c r="AS80" s="82">
        <v>2.5799999999999983</v>
      </c>
      <c r="AT80" s="83">
        <f>AK80*AS80</f>
        <v>0</v>
      </c>
      <c r="AU80" s="84">
        <f>AK80*AL80</f>
        <v>0</v>
      </c>
      <c r="AV80" s="85">
        <v>0</v>
      </c>
      <c r="AW80" s="86"/>
      <c r="AX80" s="86"/>
      <c r="AY80" s="82"/>
      <c r="AZ80" s="87">
        <f>AT80-AU80-AW80-AX80-AY80</f>
        <v>0</v>
      </c>
    </row>
    <row r="81" spans="1:52" ht="16.5" thickBot="1" x14ac:dyDescent="0.3">
      <c r="A81" s="74"/>
      <c r="B81" s="75" t="s">
        <v>73</v>
      </c>
      <c r="C81" s="76"/>
      <c r="D81" s="26">
        <f t="shared" si="21"/>
        <v>0</v>
      </c>
      <c r="E81" s="27">
        <f t="shared" si="22"/>
        <v>0</v>
      </c>
      <c r="F81" s="29">
        <f t="shared" si="23"/>
        <v>0</v>
      </c>
      <c r="G81" s="30">
        <v>0</v>
      </c>
      <c r="H81" s="31">
        <v>0</v>
      </c>
      <c r="I81" s="32">
        <v>0</v>
      </c>
      <c r="J81" s="77"/>
      <c r="K81" s="33"/>
      <c r="L81" s="34"/>
      <c r="M81" s="34"/>
      <c r="N81" s="62"/>
      <c r="O81" s="34"/>
      <c r="P81" s="34"/>
      <c r="Q81" s="34"/>
      <c r="R81" s="62"/>
      <c r="S81" s="37"/>
      <c r="T81" s="34"/>
      <c r="U81" s="34"/>
      <c r="V81" s="62"/>
      <c r="W81" s="38"/>
      <c r="X81" s="31"/>
      <c r="Y81" s="31"/>
      <c r="Z81" s="78"/>
      <c r="AA81" s="37"/>
      <c r="AB81" s="34"/>
      <c r="AC81" s="34"/>
      <c r="AD81" s="64"/>
      <c r="AE81" s="79"/>
      <c r="AF81" s="64"/>
      <c r="AG81" s="43">
        <f t="shared" si="16"/>
        <v>0</v>
      </c>
      <c r="AH81" s="44">
        <f t="shared" si="16"/>
        <v>0</v>
      </c>
      <c r="AI81" s="44">
        <f t="shared" si="16"/>
        <v>0</v>
      </c>
      <c r="AJ81" s="45">
        <f t="shared" si="16"/>
        <v>0</v>
      </c>
      <c r="AK81" s="80">
        <f t="shared" si="17"/>
        <v>0</v>
      </c>
      <c r="AL81" s="47">
        <v>0.75</v>
      </c>
      <c r="AM81" s="48">
        <f t="shared" si="24"/>
        <v>0</v>
      </c>
      <c r="AN81" s="48">
        <f t="shared" si="25"/>
        <v>0</v>
      </c>
      <c r="AO81" s="49">
        <f t="shared" si="20"/>
        <v>0</v>
      </c>
      <c r="AP81" s="49">
        <f t="shared" si="18"/>
        <v>0</v>
      </c>
      <c r="AQ81" s="50">
        <f t="shared" si="19"/>
        <v>0</v>
      </c>
      <c r="AR81" s="81"/>
      <c r="AS81" s="82"/>
      <c r="AT81" s="83"/>
      <c r="AU81" s="84"/>
      <c r="AV81" s="85"/>
      <c r="AW81" s="86"/>
      <c r="AX81" s="86"/>
      <c r="AY81" s="82"/>
      <c r="AZ81" s="87"/>
    </row>
    <row r="82" spans="1:52" ht="16.5" thickBot="1" x14ac:dyDescent="0.3">
      <c r="A82" s="74"/>
      <c r="B82" s="75" t="s">
        <v>74</v>
      </c>
      <c r="C82" s="76"/>
      <c r="D82" s="26">
        <f t="shared" si="21"/>
        <v>0</v>
      </c>
      <c r="E82" s="27">
        <f t="shared" si="22"/>
        <v>0</v>
      </c>
      <c r="F82" s="29">
        <f t="shared" si="23"/>
        <v>0</v>
      </c>
      <c r="G82" s="30">
        <v>0</v>
      </c>
      <c r="H82" s="31">
        <v>0</v>
      </c>
      <c r="I82" s="32">
        <v>0</v>
      </c>
      <c r="J82" s="77"/>
      <c r="K82" s="33"/>
      <c r="L82" s="34"/>
      <c r="M82" s="34"/>
      <c r="N82" s="62"/>
      <c r="O82" s="34"/>
      <c r="P82" s="34"/>
      <c r="Q82" s="34"/>
      <c r="R82" s="62"/>
      <c r="S82" s="37"/>
      <c r="T82" s="34"/>
      <c r="U82" s="34"/>
      <c r="V82" s="62"/>
      <c r="W82" s="38"/>
      <c r="X82" s="31"/>
      <c r="Y82" s="31"/>
      <c r="Z82" s="78"/>
      <c r="AA82" s="37"/>
      <c r="AB82" s="34"/>
      <c r="AC82" s="34"/>
      <c r="AD82" s="64"/>
      <c r="AE82" s="79"/>
      <c r="AF82" s="64"/>
      <c r="AG82" s="43">
        <f t="shared" si="16"/>
        <v>0</v>
      </c>
      <c r="AH82" s="44">
        <f t="shared" si="16"/>
        <v>0</v>
      </c>
      <c r="AI82" s="44">
        <f t="shared" si="16"/>
        <v>0</v>
      </c>
      <c r="AJ82" s="45">
        <f t="shared" si="16"/>
        <v>0</v>
      </c>
      <c r="AK82" s="80">
        <f t="shared" si="17"/>
        <v>0</v>
      </c>
      <c r="AL82" s="47">
        <v>0.75</v>
      </c>
      <c r="AM82" s="48">
        <f t="shared" si="24"/>
        <v>0</v>
      </c>
      <c r="AN82" s="48">
        <f t="shared" si="25"/>
        <v>0</v>
      </c>
      <c r="AO82" s="49">
        <f t="shared" si="20"/>
        <v>0</v>
      </c>
      <c r="AP82" s="49">
        <f t="shared" si="18"/>
        <v>0</v>
      </c>
      <c r="AQ82" s="50">
        <f t="shared" si="19"/>
        <v>0</v>
      </c>
      <c r="AR82" s="81"/>
      <c r="AS82" s="82"/>
      <c r="AT82" s="83"/>
      <c r="AU82" s="84"/>
      <c r="AV82" s="85"/>
      <c r="AW82" s="86"/>
      <c r="AX82" s="86"/>
      <c r="AY82" s="82"/>
      <c r="AZ82" s="87"/>
    </row>
    <row r="83" spans="1:52" ht="16.5" thickBot="1" x14ac:dyDescent="0.3">
      <c r="A83" s="74">
        <v>360</v>
      </c>
      <c r="B83" s="118" t="s">
        <v>75</v>
      </c>
      <c r="C83" s="76"/>
      <c r="D83" s="26">
        <f t="shared" si="21"/>
        <v>0</v>
      </c>
      <c r="E83" s="27">
        <f t="shared" si="22"/>
        <v>0</v>
      </c>
      <c r="F83" s="29">
        <f t="shared" si="23"/>
        <v>0</v>
      </c>
      <c r="G83" s="30">
        <v>0</v>
      </c>
      <c r="H83" s="31">
        <v>0</v>
      </c>
      <c r="I83" s="32">
        <v>0</v>
      </c>
      <c r="J83" s="77"/>
      <c r="K83" s="33"/>
      <c r="L83" s="34"/>
      <c r="M83" s="34"/>
      <c r="N83" s="62"/>
      <c r="O83" s="34"/>
      <c r="P83" s="34"/>
      <c r="Q83" s="34"/>
      <c r="R83" s="62"/>
      <c r="S83" s="37"/>
      <c r="T83" s="34"/>
      <c r="U83" s="34"/>
      <c r="V83" s="62"/>
      <c r="W83" s="38"/>
      <c r="X83" s="31"/>
      <c r="Y83" s="31"/>
      <c r="Z83" s="78"/>
      <c r="AA83" s="37"/>
      <c r="AB83" s="34"/>
      <c r="AC83" s="34"/>
      <c r="AD83" s="64"/>
      <c r="AE83" s="79"/>
      <c r="AF83" s="64"/>
      <c r="AG83" s="43">
        <f t="shared" si="16"/>
        <v>0</v>
      </c>
      <c r="AH83" s="44">
        <f t="shared" si="16"/>
        <v>0</v>
      </c>
      <c r="AI83" s="44">
        <f t="shared" si="16"/>
        <v>0</v>
      </c>
      <c r="AJ83" s="45">
        <f t="shared" si="16"/>
        <v>0</v>
      </c>
      <c r="AK83" s="80">
        <f t="shared" si="17"/>
        <v>0</v>
      </c>
      <c r="AL83" s="47">
        <v>0.44</v>
      </c>
      <c r="AM83" s="48">
        <f t="shared" si="24"/>
        <v>0</v>
      </c>
      <c r="AN83" s="48">
        <f t="shared" si="25"/>
        <v>0</v>
      </c>
      <c r="AO83" s="49">
        <f t="shared" si="20"/>
        <v>0</v>
      </c>
      <c r="AP83" s="49">
        <f t="shared" si="18"/>
        <v>0</v>
      </c>
      <c r="AQ83" s="50">
        <f t="shared" si="19"/>
        <v>0</v>
      </c>
      <c r="AR83" s="81">
        <v>11.75</v>
      </c>
      <c r="AS83" s="82">
        <v>1.25</v>
      </c>
      <c r="AT83" s="83">
        <f>AK83*AS83</f>
        <v>0</v>
      </c>
      <c r="AU83" s="84">
        <f>AK83*AL83</f>
        <v>0</v>
      </c>
      <c r="AV83" s="85">
        <v>0</v>
      </c>
      <c r="AW83" s="86"/>
      <c r="AX83" s="86"/>
      <c r="AY83" s="82"/>
      <c r="AZ83" s="87">
        <f>AT83-AU83-AW83-AX83-AY83</f>
        <v>0</v>
      </c>
    </row>
    <row r="84" spans="1:52" ht="16.5" thickBot="1" x14ac:dyDescent="0.3">
      <c r="A84" s="74"/>
      <c r="B84" s="118" t="s">
        <v>76</v>
      </c>
      <c r="C84" s="76"/>
      <c r="D84" s="26">
        <f t="shared" si="21"/>
        <v>0</v>
      </c>
      <c r="E84" s="27">
        <f t="shared" si="22"/>
        <v>0</v>
      </c>
      <c r="F84" s="29">
        <f t="shared" si="23"/>
        <v>0</v>
      </c>
      <c r="G84" s="30">
        <v>0</v>
      </c>
      <c r="H84" s="31">
        <v>0</v>
      </c>
      <c r="I84" s="32">
        <v>0</v>
      </c>
      <c r="J84" s="77"/>
      <c r="K84" s="33"/>
      <c r="L84" s="34"/>
      <c r="M84" s="34"/>
      <c r="N84" s="62"/>
      <c r="O84" s="34"/>
      <c r="P84" s="34"/>
      <c r="Q84" s="34"/>
      <c r="R84" s="62"/>
      <c r="S84" s="37"/>
      <c r="T84" s="34"/>
      <c r="U84" s="34"/>
      <c r="V84" s="62"/>
      <c r="W84" s="38"/>
      <c r="X84" s="31"/>
      <c r="Y84" s="31"/>
      <c r="Z84" s="78"/>
      <c r="AA84" s="37"/>
      <c r="AB84" s="34"/>
      <c r="AC84" s="34"/>
      <c r="AD84" s="64"/>
      <c r="AE84" s="79"/>
      <c r="AF84" s="64"/>
      <c r="AG84" s="43">
        <f t="shared" si="16"/>
        <v>0</v>
      </c>
      <c r="AH84" s="44">
        <f t="shared" si="16"/>
        <v>0</v>
      </c>
      <c r="AI84" s="44">
        <f t="shared" si="16"/>
        <v>0</v>
      </c>
      <c r="AJ84" s="45">
        <f t="shared" si="16"/>
        <v>0</v>
      </c>
      <c r="AK84" s="80">
        <f t="shared" si="17"/>
        <v>0</v>
      </c>
      <c r="AL84" s="47">
        <v>0.44</v>
      </c>
      <c r="AM84" s="48">
        <f t="shared" si="24"/>
        <v>0</v>
      </c>
      <c r="AN84" s="48">
        <f t="shared" si="25"/>
        <v>0</v>
      </c>
      <c r="AO84" s="49">
        <f t="shared" si="20"/>
        <v>0</v>
      </c>
      <c r="AP84" s="49">
        <f t="shared" si="18"/>
        <v>0</v>
      </c>
      <c r="AQ84" s="50">
        <f t="shared" si="19"/>
        <v>0</v>
      </c>
      <c r="AR84" s="81"/>
      <c r="AS84" s="82"/>
      <c r="AT84" s="83"/>
      <c r="AU84" s="84"/>
      <c r="AV84" s="85"/>
      <c r="AW84" s="86"/>
      <c r="AX84" s="86"/>
      <c r="AY84" s="82"/>
      <c r="AZ84" s="87"/>
    </row>
    <row r="85" spans="1:52" ht="16.5" thickBot="1" x14ac:dyDescent="0.3">
      <c r="A85" s="74"/>
      <c r="B85" s="118" t="s">
        <v>77</v>
      </c>
      <c r="C85" s="76"/>
      <c r="D85" s="26">
        <f t="shared" si="21"/>
        <v>0</v>
      </c>
      <c r="E85" s="27">
        <f t="shared" si="22"/>
        <v>0</v>
      </c>
      <c r="F85" s="29">
        <f t="shared" si="23"/>
        <v>0</v>
      </c>
      <c r="G85" s="30">
        <v>0</v>
      </c>
      <c r="H85" s="31">
        <v>0</v>
      </c>
      <c r="I85" s="32">
        <v>0</v>
      </c>
      <c r="J85" s="77"/>
      <c r="K85" s="33"/>
      <c r="L85" s="34"/>
      <c r="M85" s="34"/>
      <c r="N85" s="62"/>
      <c r="O85" s="34"/>
      <c r="P85" s="34"/>
      <c r="Q85" s="34"/>
      <c r="R85" s="62"/>
      <c r="S85" s="37"/>
      <c r="T85" s="34"/>
      <c r="U85" s="34"/>
      <c r="V85" s="62"/>
      <c r="W85" s="38"/>
      <c r="X85" s="31"/>
      <c r="Y85" s="31"/>
      <c r="Z85" s="78"/>
      <c r="AA85" s="37"/>
      <c r="AB85" s="34"/>
      <c r="AC85" s="34"/>
      <c r="AD85" s="64"/>
      <c r="AE85" s="79"/>
      <c r="AF85" s="64"/>
      <c r="AG85" s="43">
        <f t="shared" si="16"/>
        <v>0</v>
      </c>
      <c r="AH85" s="44">
        <f t="shared" si="16"/>
        <v>0</v>
      </c>
      <c r="AI85" s="44">
        <f t="shared" si="16"/>
        <v>0</v>
      </c>
      <c r="AJ85" s="45">
        <f t="shared" si="16"/>
        <v>0</v>
      </c>
      <c r="AK85" s="80">
        <f t="shared" si="17"/>
        <v>0</v>
      </c>
      <c r="AL85" s="47">
        <v>0.44</v>
      </c>
      <c r="AM85" s="48">
        <f t="shared" si="24"/>
        <v>0</v>
      </c>
      <c r="AN85" s="48">
        <f t="shared" si="25"/>
        <v>0</v>
      </c>
      <c r="AO85" s="49">
        <f t="shared" si="20"/>
        <v>0</v>
      </c>
      <c r="AP85" s="49">
        <f t="shared" si="18"/>
        <v>0</v>
      </c>
      <c r="AQ85" s="50">
        <f t="shared" si="19"/>
        <v>0</v>
      </c>
      <c r="AR85" s="81"/>
      <c r="AS85" s="82"/>
      <c r="AT85" s="83"/>
      <c r="AU85" s="84"/>
      <c r="AV85" s="85"/>
      <c r="AW85" s="86"/>
      <c r="AX85" s="86"/>
      <c r="AY85" s="82"/>
      <c r="AZ85" s="87"/>
    </row>
    <row r="86" spans="1:52" ht="16.5" thickBot="1" x14ac:dyDescent="0.3">
      <c r="A86" s="74"/>
      <c r="B86" s="75" t="s">
        <v>78</v>
      </c>
      <c r="C86" s="76"/>
      <c r="D86" s="26">
        <f t="shared" si="21"/>
        <v>0</v>
      </c>
      <c r="E86" s="27">
        <f t="shared" si="22"/>
        <v>0</v>
      </c>
      <c r="F86" s="29">
        <f t="shared" si="23"/>
        <v>0</v>
      </c>
      <c r="G86" s="30">
        <v>0</v>
      </c>
      <c r="H86" s="31">
        <v>0</v>
      </c>
      <c r="I86" s="32">
        <v>0</v>
      </c>
      <c r="J86" s="77"/>
      <c r="K86" s="33"/>
      <c r="L86" s="34"/>
      <c r="M86" s="34"/>
      <c r="N86" s="62"/>
      <c r="O86" s="34"/>
      <c r="P86" s="34"/>
      <c r="Q86" s="34"/>
      <c r="R86" s="62"/>
      <c r="S86" s="37"/>
      <c r="T86" s="34"/>
      <c r="U86" s="34"/>
      <c r="V86" s="62"/>
      <c r="W86" s="38"/>
      <c r="X86" s="31"/>
      <c r="Y86" s="31"/>
      <c r="Z86" s="78"/>
      <c r="AA86" s="37"/>
      <c r="AB86" s="34"/>
      <c r="AC86" s="34"/>
      <c r="AD86" s="64"/>
      <c r="AE86" s="79"/>
      <c r="AF86" s="64"/>
      <c r="AG86" s="43">
        <f t="shared" si="16"/>
        <v>0</v>
      </c>
      <c r="AH86" s="44">
        <f t="shared" si="16"/>
        <v>0</v>
      </c>
      <c r="AI86" s="44">
        <f t="shared" si="16"/>
        <v>0</v>
      </c>
      <c r="AJ86" s="45">
        <f t="shared" si="16"/>
        <v>0</v>
      </c>
      <c r="AK86" s="80">
        <f t="shared" si="17"/>
        <v>0</v>
      </c>
      <c r="AL86" s="47">
        <v>0.44</v>
      </c>
      <c r="AM86" s="48">
        <f t="shared" si="24"/>
        <v>0</v>
      </c>
      <c r="AN86" s="48">
        <f t="shared" si="25"/>
        <v>0</v>
      </c>
      <c r="AO86" s="49">
        <f t="shared" si="20"/>
        <v>0</v>
      </c>
      <c r="AP86" s="49">
        <f t="shared" si="18"/>
        <v>0</v>
      </c>
      <c r="AQ86" s="50">
        <f t="shared" si="19"/>
        <v>0</v>
      </c>
      <c r="AR86" s="81"/>
      <c r="AS86" s="82"/>
      <c r="AT86" s="83"/>
      <c r="AU86" s="84"/>
      <c r="AV86" s="85"/>
      <c r="AW86" s="86"/>
      <c r="AX86" s="86"/>
      <c r="AY86" s="82"/>
      <c r="AZ86" s="87"/>
    </row>
    <row r="87" spans="1:52" ht="16.5" thickBot="1" x14ac:dyDescent="0.3">
      <c r="A87" s="74"/>
      <c r="B87" s="75" t="s">
        <v>79</v>
      </c>
      <c r="C87" s="76"/>
      <c r="D87" s="26">
        <f t="shared" si="21"/>
        <v>0</v>
      </c>
      <c r="E87" s="27">
        <f t="shared" si="22"/>
        <v>0</v>
      </c>
      <c r="F87" s="29">
        <f t="shared" si="23"/>
        <v>0</v>
      </c>
      <c r="G87" s="30">
        <v>0</v>
      </c>
      <c r="H87" s="31">
        <v>0</v>
      </c>
      <c r="I87" s="32">
        <v>0</v>
      </c>
      <c r="J87" s="77"/>
      <c r="K87" s="33"/>
      <c r="L87" s="34"/>
      <c r="M87" s="34"/>
      <c r="N87" s="62"/>
      <c r="O87" s="34"/>
      <c r="P87" s="34"/>
      <c r="Q87" s="34"/>
      <c r="R87" s="62"/>
      <c r="S87" s="37"/>
      <c r="T87" s="34"/>
      <c r="U87" s="34"/>
      <c r="V87" s="62"/>
      <c r="W87" s="38"/>
      <c r="X87" s="31"/>
      <c r="Y87" s="31"/>
      <c r="Z87" s="78"/>
      <c r="AA87" s="37"/>
      <c r="AB87" s="34"/>
      <c r="AC87" s="34"/>
      <c r="AD87" s="64"/>
      <c r="AE87" s="79"/>
      <c r="AF87" s="64"/>
      <c r="AG87" s="43">
        <f t="shared" si="16"/>
        <v>0</v>
      </c>
      <c r="AH87" s="44">
        <f t="shared" si="16"/>
        <v>0</v>
      </c>
      <c r="AI87" s="44">
        <f t="shared" si="16"/>
        <v>0</v>
      </c>
      <c r="AJ87" s="45">
        <f t="shared" si="16"/>
        <v>0</v>
      </c>
      <c r="AK87" s="80">
        <f t="shared" si="17"/>
        <v>0</v>
      </c>
      <c r="AL87" s="47">
        <v>0.44</v>
      </c>
      <c r="AM87" s="48">
        <f t="shared" si="24"/>
        <v>0</v>
      </c>
      <c r="AN87" s="48">
        <f t="shared" si="25"/>
        <v>0</v>
      </c>
      <c r="AO87" s="49">
        <f t="shared" si="20"/>
        <v>0</v>
      </c>
      <c r="AP87" s="49">
        <f t="shared" si="18"/>
        <v>0</v>
      </c>
      <c r="AQ87" s="50">
        <f t="shared" si="19"/>
        <v>0</v>
      </c>
      <c r="AR87" s="81"/>
      <c r="AS87" s="82"/>
      <c r="AT87" s="83"/>
      <c r="AU87" s="84"/>
      <c r="AV87" s="85"/>
      <c r="AW87" s="86"/>
      <c r="AX87" s="86"/>
      <c r="AY87" s="82"/>
      <c r="AZ87" s="87"/>
    </row>
    <row r="88" spans="1:52" ht="16.5" thickBot="1" x14ac:dyDescent="0.3">
      <c r="A88" s="74"/>
      <c r="B88" s="75" t="s">
        <v>80</v>
      </c>
      <c r="C88" s="76"/>
      <c r="D88" s="26">
        <f t="shared" si="21"/>
        <v>0</v>
      </c>
      <c r="E88" s="27">
        <f t="shared" si="22"/>
        <v>0</v>
      </c>
      <c r="F88" s="29">
        <f t="shared" si="23"/>
        <v>0</v>
      </c>
      <c r="G88" s="30">
        <v>0</v>
      </c>
      <c r="H88" s="31">
        <v>0</v>
      </c>
      <c r="I88" s="32">
        <v>0</v>
      </c>
      <c r="J88" s="77"/>
      <c r="K88" s="33"/>
      <c r="L88" s="34"/>
      <c r="M88" s="34"/>
      <c r="N88" s="62"/>
      <c r="O88" s="34"/>
      <c r="P88" s="34"/>
      <c r="Q88" s="34"/>
      <c r="R88" s="62"/>
      <c r="S88" s="37"/>
      <c r="T88" s="34"/>
      <c r="U88" s="34"/>
      <c r="V88" s="62"/>
      <c r="W88" s="38"/>
      <c r="X88" s="31"/>
      <c r="Y88" s="31"/>
      <c r="Z88" s="78"/>
      <c r="AA88" s="37"/>
      <c r="AB88" s="34"/>
      <c r="AC88" s="34"/>
      <c r="AD88" s="64"/>
      <c r="AE88" s="79"/>
      <c r="AF88" s="64"/>
      <c r="AG88" s="43">
        <f t="shared" si="16"/>
        <v>0</v>
      </c>
      <c r="AH88" s="44">
        <f t="shared" si="16"/>
        <v>0</v>
      </c>
      <c r="AI88" s="44">
        <f t="shared" si="16"/>
        <v>0</v>
      </c>
      <c r="AJ88" s="45">
        <f t="shared" si="16"/>
        <v>0</v>
      </c>
      <c r="AK88" s="80">
        <f t="shared" si="17"/>
        <v>0</v>
      </c>
      <c r="AL88" s="47">
        <v>0.44</v>
      </c>
      <c r="AM88" s="48">
        <f t="shared" si="24"/>
        <v>0</v>
      </c>
      <c r="AN88" s="48">
        <f t="shared" si="25"/>
        <v>0</v>
      </c>
      <c r="AO88" s="49">
        <f t="shared" si="20"/>
        <v>0</v>
      </c>
      <c r="AP88" s="49">
        <f t="shared" si="18"/>
        <v>0</v>
      </c>
      <c r="AQ88" s="50">
        <f t="shared" si="19"/>
        <v>0</v>
      </c>
      <c r="AR88" s="81"/>
      <c r="AS88" s="82"/>
      <c r="AT88" s="83"/>
      <c r="AU88" s="84"/>
      <c r="AV88" s="85"/>
      <c r="AW88" s="86"/>
      <c r="AX88" s="86"/>
      <c r="AY88" s="82"/>
      <c r="AZ88" s="87"/>
    </row>
    <row r="89" spans="1:52" ht="16.5" thickBot="1" x14ac:dyDescent="0.3">
      <c r="A89" s="74"/>
      <c r="B89" s="75" t="s">
        <v>81</v>
      </c>
      <c r="C89" s="76"/>
      <c r="D89" s="26">
        <f t="shared" si="21"/>
        <v>0</v>
      </c>
      <c r="E89" s="27">
        <f t="shared" si="22"/>
        <v>0</v>
      </c>
      <c r="F89" s="29">
        <f t="shared" si="23"/>
        <v>0</v>
      </c>
      <c r="G89" s="30">
        <v>0</v>
      </c>
      <c r="H89" s="31">
        <v>0</v>
      </c>
      <c r="I89" s="32">
        <v>0</v>
      </c>
      <c r="J89" s="77"/>
      <c r="K89" s="33"/>
      <c r="L89" s="34"/>
      <c r="M89" s="34"/>
      <c r="N89" s="62"/>
      <c r="O89" s="34"/>
      <c r="P89" s="34"/>
      <c r="Q89" s="34"/>
      <c r="R89" s="62"/>
      <c r="S89" s="37"/>
      <c r="T89" s="34"/>
      <c r="U89" s="34"/>
      <c r="V89" s="62"/>
      <c r="W89" s="38"/>
      <c r="X89" s="31"/>
      <c r="Y89" s="31"/>
      <c r="Z89" s="78"/>
      <c r="AA89" s="37"/>
      <c r="AB89" s="34"/>
      <c r="AC89" s="34"/>
      <c r="AD89" s="64"/>
      <c r="AE89" s="79"/>
      <c r="AF89" s="64"/>
      <c r="AG89" s="43">
        <f t="shared" si="16"/>
        <v>0</v>
      </c>
      <c r="AH89" s="44">
        <f t="shared" si="16"/>
        <v>0</v>
      </c>
      <c r="AI89" s="44">
        <f t="shared" si="16"/>
        <v>0</v>
      </c>
      <c r="AJ89" s="45">
        <f>J89+N89+R89+V89+Z89+AD89</f>
        <v>0</v>
      </c>
      <c r="AK89" s="80">
        <f t="shared" si="17"/>
        <v>0</v>
      </c>
      <c r="AL89" s="47">
        <v>0.44</v>
      </c>
      <c r="AM89" s="48">
        <f t="shared" si="24"/>
        <v>0</v>
      </c>
      <c r="AN89" s="48">
        <f t="shared" si="25"/>
        <v>0</v>
      </c>
      <c r="AO89" s="49">
        <f t="shared" si="20"/>
        <v>0</v>
      </c>
      <c r="AP89" s="49">
        <f t="shared" si="18"/>
        <v>0</v>
      </c>
      <c r="AQ89" s="50">
        <f t="shared" si="19"/>
        <v>0</v>
      </c>
      <c r="AR89" s="81"/>
      <c r="AS89" s="82"/>
      <c r="AT89" s="83"/>
      <c r="AU89" s="84"/>
      <c r="AV89" s="85"/>
      <c r="AW89" s="86"/>
      <c r="AX89" s="86"/>
      <c r="AY89" s="82"/>
      <c r="AZ89" s="87"/>
    </row>
    <row r="90" spans="1:52" ht="16.5" thickBot="1" x14ac:dyDescent="0.3">
      <c r="A90" s="74">
        <v>625</v>
      </c>
      <c r="B90" s="75" t="s">
        <v>75</v>
      </c>
      <c r="C90" s="76"/>
      <c r="D90" s="26">
        <f t="shared" si="21"/>
        <v>0</v>
      </c>
      <c r="E90" s="27">
        <f t="shared" si="22"/>
        <v>0</v>
      </c>
      <c r="F90" s="29">
        <f t="shared" si="23"/>
        <v>0</v>
      </c>
      <c r="G90" s="30">
        <v>4</v>
      </c>
      <c r="H90" s="31">
        <v>19</v>
      </c>
      <c r="I90" s="32">
        <v>30</v>
      </c>
      <c r="J90" s="77"/>
      <c r="K90" s="33"/>
      <c r="L90" s="34"/>
      <c r="M90" s="34"/>
      <c r="N90" s="62"/>
      <c r="O90" s="34"/>
      <c r="P90" s="34"/>
      <c r="Q90" s="34"/>
      <c r="R90" s="62"/>
      <c r="S90" s="37"/>
      <c r="T90" s="34"/>
      <c r="U90" s="34"/>
      <c r="V90" s="62"/>
      <c r="W90" s="38"/>
      <c r="X90" s="31"/>
      <c r="Y90" s="31"/>
      <c r="Z90" s="78"/>
      <c r="AA90" s="37"/>
      <c r="AB90" s="34"/>
      <c r="AC90" s="34"/>
      <c r="AD90" s="64"/>
      <c r="AE90" s="79"/>
      <c r="AF90" s="64"/>
      <c r="AG90" s="43">
        <f t="shared" si="16"/>
        <v>4</v>
      </c>
      <c r="AH90" s="44">
        <f t="shared" si="16"/>
        <v>19</v>
      </c>
      <c r="AI90" s="44">
        <f t="shared" si="16"/>
        <v>30</v>
      </c>
      <c r="AJ90" s="45">
        <f>J90+N90+R90+V90+Z90+AD90</f>
        <v>0</v>
      </c>
      <c r="AK90" s="80">
        <f t="shared" si="17"/>
        <v>53</v>
      </c>
      <c r="AL90" s="47">
        <v>0.75</v>
      </c>
      <c r="AM90" s="48">
        <f t="shared" si="24"/>
        <v>3</v>
      </c>
      <c r="AN90" s="48">
        <f t="shared" si="25"/>
        <v>14.25</v>
      </c>
      <c r="AO90" s="49">
        <f t="shared" si="20"/>
        <v>22.5</v>
      </c>
      <c r="AP90" s="49">
        <f t="shared" si="18"/>
        <v>0</v>
      </c>
      <c r="AQ90" s="50">
        <f t="shared" si="19"/>
        <v>3180</v>
      </c>
      <c r="AR90" s="81"/>
      <c r="AS90" s="82"/>
      <c r="AT90" s="83">
        <f>AK90*AS90</f>
        <v>0</v>
      </c>
      <c r="AU90" s="84">
        <f>AK90*AL90</f>
        <v>39.75</v>
      </c>
      <c r="AV90" s="85">
        <v>0</v>
      </c>
      <c r="AW90" s="86"/>
      <c r="AX90" s="86"/>
      <c r="AY90" s="82"/>
      <c r="AZ90" s="87"/>
    </row>
    <row r="91" spans="1:52" ht="16.5" thickBot="1" x14ac:dyDescent="0.3">
      <c r="A91" s="74"/>
      <c r="B91" s="75" t="s">
        <v>77</v>
      </c>
      <c r="C91" s="76"/>
      <c r="D91" s="26">
        <f t="shared" si="21"/>
        <v>0</v>
      </c>
      <c r="E91" s="27">
        <f t="shared" si="22"/>
        <v>0</v>
      </c>
      <c r="F91" s="29">
        <f t="shared" si="23"/>
        <v>0</v>
      </c>
      <c r="G91" s="30">
        <v>14</v>
      </c>
      <c r="H91" s="31">
        <v>29</v>
      </c>
      <c r="I91" s="32">
        <v>42</v>
      </c>
      <c r="J91" s="77"/>
      <c r="K91" s="33"/>
      <c r="L91" s="34"/>
      <c r="M91" s="34"/>
      <c r="N91" s="62"/>
      <c r="O91" s="34"/>
      <c r="P91" s="34"/>
      <c r="Q91" s="34"/>
      <c r="R91" s="62"/>
      <c r="S91" s="37"/>
      <c r="T91" s="34"/>
      <c r="U91" s="34"/>
      <c r="V91" s="62"/>
      <c r="W91" s="38"/>
      <c r="X91" s="31"/>
      <c r="Y91" s="31"/>
      <c r="Z91" s="78"/>
      <c r="AA91" s="37"/>
      <c r="AB91" s="34"/>
      <c r="AC91" s="34"/>
      <c r="AD91" s="64"/>
      <c r="AE91" s="79"/>
      <c r="AF91" s="64"/>
      <c r="AG91" s="43">
        <f t="shared" si="16"/>
        <v>14</v>
      </c>
      <c r="AH91" s="44">
        <f t="shared" si="16"/>
        <v>29</v>
      </c>
      <c r="AI91" s="44">
        <f t="shared" si="16"/>
        <v>42</v>
      </c>
      <c r="AJ91" s="45">
        <f>J91+N91+R91+V91+Z91+AD91</f>
        <v>0</v>
      </c>
      <c r="AK91" s="80">
        <f t="shared" si="17"/>
        <v>85</v>
      </c>
      <c r="AL91" s="47">
        <v>0.75</v>
      </c>
      <c r="AM91" s="48">
        <f t="shared" si="24"/>
        <v>10.5</v>
      </c>
      <c r="AN91" s="48">
        <f t="shared" si="25"/>
        <v>21.75</v>
      </c>
      <c r="AO91" s="49">
        <f t="shared" si="20"/>
        <v>31.5</v>
      </c>
      <c r="AP91" s="49">
        <f t="shared" si="18"/>
        <v>0</v>
      </c>
      <c r="AQ91" s="50">
        <f t="shared" si="19"/>
        <v>5100</v>
      </c>
      <c r="AR91" s="81"/>
      <c r="AS91" s="82"/>
      <c r="AT91" s="83"/>
      <c r="AU91" s="84"/>
      <c r="AV91" s="85"/>
      <c r="AW91" s="86"/>
      <c r="AX91" s="86"/>
      <c r="AY91" s="82"/>
      <c r="AZ91" s="87"/>
    </row>
    <row r="92" spans="1:52" ht="16.5" thickBot="1" x14ac:dyDescent="0.3">
      <c r="A92" s="74"/>
      <c r="B92" s="75" t="s">
        <v>82</v>
      </c>
      <c r="C92" s="76"/>
      <c r="D92" s="26">
        <f t="shared" si="21"/>
        <v>0</v>
      </c>
      <c r="E92" s="27">
        <f t="shared" si="22"/>
        <v>0</v>
      </c>
      <c r="F92" s="29">
        <f t="shared" si="23"/>
        <v>0</v>
      </c>
      <c r="G92" s="30">
        <v>8</v>
      </c>
      <c r="H92" s="31">
        <v>38</v>
      </c>
      <c r="I92" s="32">
        <v>35</v>
      </c>
      <c r="J92" s="77"/>
      <c r="K92" s="33"/>
      <c r="L92" s="34"/>
      <c r="M92" s="34"/>
      <c r="N92" s="62"/>
      <c r="O92" s="34"/>
      <c r="P92" s="34"/>
      <c r="Q92" s="34"/>
      <c r="R92" s="62"/>
      <c r="S92" s="37"/>
      <c r="T92" s="34"/>
      <c r="U92" s="34"/>
      <c r="V92" s="62"/>
      <c r="W92" s="38"/>
      <c r="X92" s="31"/>
      <c r="Y92" s="31"/>
      <c r="Z92" s="78"/>
      <c r="AA92" s="37"/>
      <c r="AB92" s="34"/>
      <c r="AC92" s="34"/>
      <c r="AD92" s="64"/>
      <c r="AE92" s="79"/>
      <c r="AF92" s="64"/>
      <c r="AG92" s="43">
        <f t="shared" si="16"/>
        <v>8</v>
      </c>
      <c r="AH92" s="44">
        <f t="shared" si="16"/>
        <v>38</v>
      </c>
      <c r="AI92" s="44">
        <f t="shared" si="16"/>
        <v>35</v>
      </c>
      <c r="AJ92" s="45">
        <f t="shared" si="16"/>
        <v>0</v>
      </c>
      <c r="AK92" s="80">
        <f t="shared" si="17"/>
        <v>81</v>
      </c>
      <c r="AL92" s="47">
        <v>0.75</v>
      </c>
      <c r="AM92" s="48">
        <f t="shared" si="24"/>
        <v>6</v>
      </c>
      <c r="AN92" s="48">
        <f t="shared" si="25"/>
        <v>28.5</v>
      </c>
      <c r="AO92" s="49">
        <f t="shared" si="20"/>
        <v>26.25</v>
      </c>
      <c r="AP92" s="49">
        <f t="shared" si="18"/>
        <v>0</v>
      </c>
      <c r="AQ92" s="50">
        <f t="shared" si="19"/>
        <v>4860</v>
      </c>
      <c r="AR92" s="81"/>
      <c r="AS92" s="82"/>
      <c r="AT92" s="83"/>
      <c r="AU92" s="84"/>
      <c r="AV92" s="85"/>
      <c r="AW92" s="86"/>
      <c r="AX92" s="86"/>
      <c r="AY92" s="82"/>
      <c r="AZ92" s="87"/>
    </row>
    <row r="93" spans="1:52" ht="16.5" thickBot="1" x14ac:dyDescent="0.3">
      <c r="A93" s="74"/>
      <c r="B93" s="75" t="s">
        <v>81</v>
      </c>
      <c r="C93" s="76"/>
      <c r="D93" s="26">
        <f t="shared" si="21"/>
        <v>0</v>
      </c>
      <c r="E93" s="27">
        <f t="shared" si="22"/>
        <v>0</v>
      </c>
      <c r="F93" s="29">
        <f t="shared" si="23"/>
        <v>0</v>
      </c>
      <c r="G93" s="30">
        <v>0</v>
      </c>
      <c r="H93" s="31">
        <v>0</v>
      </c>
      <c r="I93" s="32">
        <v>0</v>
      </c>
      <c r="J93" s="77"/>
      <c r="K93" s="33"/>
      <c r="L93" s="34"/>
      <c r="M93" s="34"/>
      <c r="N93" s="62"/>
      <c r="O93" s="34"/>
      <c r="P93" s="34"/>
      <c r="Q93" s="34"/>
      <c r="R93" s="62"/>
      <c r="S93" s="37"/>
      <c r="T93" s="34"/>
      <c r="U93" s="34"/>
      <c r="V93" s="62"/>
      <c r="W93" s="38"/>
      <c r="X93" s="31"/>
      <c r="Y93" s="31"/>
      <c r="Z93" s="78"/>
      <c r="AA93" s="37"/>
      <c r="AB93" s="34"/>
      <c r="AC93" s="34"/>
      <c r="AD93" s="64"/>
      <c r="AE93" s="79"/>
      <c r="AF93" s="64"/>
      <c r="AG93" s="43">
        <f t="shared" si="16"/>
        <v>0</v>
      </c>
      <c r="AH93" s="44">
        <f t="shared" si="16"/>
        <v>0</v>
      </c>
      <c r="AI93" s="44">
        <f t="shared" si="16"/>
        <v>0</v>
      </c>
      <c r="AJ93" s="45">
        <f t="shared" si="16"/>
        <v>0</v>
      </c>
      <c r="AK93" s="80">
        <f t="shared" si="17"/>
        <v>0</v>
      </c>
      <c r="AL93" s="47">
        <v>0.75</v>
      </c>
      <c r="AM93" s="48">
        <f t="shared" si="24"/>
        <v>0</v>
      </c>
      <c r="AN93" s="48">
        <f t="shared" si="25"/>
        <v>0</v>
      </c>
      <c r="AO93" s="49">
        <f t="shared" si="20"/>
        <v>0</v>
      </c>
      <c r="AP93" s="49">
        <f t="shared" si="18"/>
        <v>0</v>
      </c>
      <c r="AQ93" s="50">
        <f t="shared" si="19"/>
        <v>0</v>
      </c>
      <c r="AR93" s="81"/>
      <c r="AS93" s="82"/>
      <c r="AT93" s="83"/>
      <c r="AU93" s="84"/>
      <c r="AV93" s="85"/>
      <c r="AW93" s="86"/>
      <c r="AX93" s="86"/>
      <c r="AY93" s="82"/>
      <c r="AZ93" s="87"/>
    </row>
    <row r="94" spans="1:52" ht="16.5" thickBot="1" x14ac:dyDescent="0.3">
      <c r="A94" s="74"/>
      <c r="B94" s="75" t="s">
        <v>79</v>
      </c>
      <c r="C94" s="76"/>
      <c r="D94" s="26">
        <f t="shared" si="21"/>
        <v>0</v>
      </c>
      <c r="E94" s="27">
        <f t="shared" si="22"/>
        <v>0</v>
      </c>
      <c r="F94" s="29">
        <f t="shared" si="23"/>
        <v>0</v>
      </c>
      <c r="G94" s="30">
        <v>0</v>
      </c>
      <c r="H94" s="31">
        <v>0</v>
      </c>
      <c r="I94" s="32">
        <v>0</v>
      </c>
      <c r="J94" s="77"/>
      <c r="K94" s="33"/>
      <c r="L94" s="34"/>
      <c r="M94" s="34"/>
      <c r="N94" s="62"/>
      <c r="O94" s="34"/>
      <c r="P94" s="34"/>
      <c r="Q94" s="34"/>
      <c r="R94" s="62"/>
      <c r="S94" s="37"/>
      <c r="T94" s="34"/>
      <c r="U94" s="34"/>
      <c r="V94" s="62"/>
      <c r="W94" s="38"/>
      <c r="X94" s="31"/>
      <c r="Y94" s="31"/>
      <c r="Z94" s="78"/>
      <c r="AA94" s="37"/>
      <c r="AB94" s="34"/>
      <c r="AC94" s="34"/>
      <c r="AD94" s="64"/>
      <c r="AE94" s="79"/>
      <c r="AF94" s="64"/>
      <c r="AG94" s="43">
        <f t="shared" si="16"/>
        <v>0</v>
      </c>
      <c r="AH94" s="44">
        <f t="shared" si="16"/>
        <v>0</v>
      </c>
      <c r="AI94" s="44">
        <f t="shared" si="16"/>
        <v>0</v>
      </c>
      <c r="AJ94" s="45">
        <f t="shared" si="16"/>
        <v>0</v>
      </c>
      <c r="AK94" s="80">
        <f t="shared" si="17"/>
        <v>0</v>
      </c>
      <c r="AL94" s="47">
        <v>0.75</v>
      </c>
      <c r="AM94" s="48">
        <f t="shared" si="24"/>
        <v>0</v>
      </c>
      <c r="AN94" s="48">
        <f t="shared" si="25"/>
        <v>0</v>
      </c>
      <c r="AO94" s="49">
        <f t="shared" si="20"/>
        <v>0</v>
      </c>
      <c r="AP94" s="49">
        <f t="shared" si="18"/>
        <v>0</v>
      </c>
      <c r="AQ94" s="50">
        <f t="shared" si="19"/>
        <v>0</v>
      </c>
      <c r="AR94" s="81"/>
      <c r="AS94" s="82"/>
      <c r="AT94" s="83"/>
      <c r="AU94" s="84"/>
      <c r="AV94" s="85"/>
      <c r="AW94" s="86"/>
      <c r="AX94" s="86"/>
      <c r="AY94" s="82"/>
      <c r="AZ94" s="87"/>
    </row>
    <row r="95" spans="1:52" ht="16.5" thickBot="1" x14ac:dyDescent="0.3">
      <c r="A95" s="74"/>
      <c r="B95" s="75" t="s">
        <v>80</v>
      </c>
      <c r="C95" s="76"/>
      <c r="D95" s="26">
        <f t="shared" si="21"/>
        <v>0</v>
      </c>
      <c r="E95" s="27">
        <f t="shared" si="22"/>
        <v>0</v>
      </c>
      <c r="F95" s="29">
        <f t="shared" si="23"/>
        <v>0</v>
      </c>
      <c r="G95" s="30">
        <v>2</v>
      </c>
      <c r="H95" s="31">
        <v>2</v>
      </c>
      <c r="I95" s="32">
        <v>1</v>
      </c>
      <c r="J95" s="77"/>
      <c r="K95" s="33"/>
      <c r="L95" s="34"/>
      <c r="M95" s="34"/>
      <c r="N95" s="62"/>
      <c r="O95" s="34"/>
      <c r="P95" s="34"/>
      <c r="Q95" s="34"/>
      <c r="R95" s="62"/>
      <c r="S95" s="37"/>
      <c r="T95" s="34"/>
      <c r="U95" s="34"/>
      <c r="V95" s="62"/>
      <c r="W95" s="38"/>
      <c r="X95" s="31"/>
      <c r="Y95" s="31"/>
      <c r="Z95" s="78"/>
      <c r="AA95" s="37"/>
      <c r="AB95" s="34"/>
      <c r="AC95" s="34"/>
      <c r="AD95" s="64"/>
      <c r="AE95" s="79"/>
      <c r="AF95" s="64"/>
      <c r="AG95" s="43">
        <f t="shared" si="16"/>
        <v>2</v>
      </c>
      <c r="AH95" s="44">
        <f t="shared" si="16"/>
        <v>2</v>
      </c>
      <c r="AI95" s="44">
        <f t="shared" si="16"/>
        <v>1</v>
      </c>
      <c r="AJ95" s="45">
        <f t="shared" si="16"/>
        <v>0</v>
      </c>
      <c r="AK95" s="80">
        <f t="shared" si="17"/>
        <v>5</v>
      </c>
      <c r="AL95" s="47">
        <v>0.75</v>
      </c>
      <c r="AM95" s="48">
        <f t="shared" si="24"/>
        <v>1.5</v>
      </c>
      <c r="AN95" s="48">
        <f t="shared" si="25"/>
        <v>1.5</v>
      </c>
      <c r="AO95" s="49">
        <f t="shared" si="20"/>
        <v>0.75</v>
      </c>
      <c r="AP95" s="49">
        <f t="shared" si="18"/>
        <v>0</v>
      </c>
      <c r="AQ95" s="50">
        <f t="shared" si="19"/>
        <v>300</v>
      </c>
      <c r="AR95" s="81"/>
      <c r="AS95" s="82"/>
      <c r="AT95" s="83"/>
      <c r="AU95" s="84"/>
      <c r="AV95" s="85"/>
      <c r="AW95" s="86"/>
      <c r="AX95" s="86"/>
      <c r="AY95" s="82"/>
      <c r="AZ95" s="87"/>
    </row>
    <row r="96" spans="1:52" ht="16.5" thickBot="1" x14ac:dyDescent="0.3">
      <c r="A96" s="74"/>
      <c r="B96" s="75" t="s">
        <v>78</v>
      </c>
      <c r="C96" s="76"/>
      <c r="D96" s="26">
        <f t="shared" si="21"/>
        <v>0</v>
      </c>
      <c r="E96" s="27">
        <f t="shared" si="22"/>
        <v>0</v>
      </c>
      <c r="F96" s="29">
        <f t="shared" si="23"/>
        <v>0</v>
      </c>
      <c r="G96" s="30">
        <v>0</v>
      </c>
      <c r="H96" s="31">
        <v>0</v>
      </c>
      <c r="I96" s="32">
        <v>0</v>
      </c>
      <c r="J96" s="77"/>
      <c r="K96" s="33"/>
      <c r="L96" s="34"/>
      <c r="M96" s="34"/>
      <c r="N96" s="62"/>
      <c r="O96" s="34"/>
      <c r="P96" s="34"/>
      <c r="Q96" s="34"/>
      <c r="R96" s="62"/>
      <c r="S96" s="37"/>
      <c r="T96" s="34"/>
      <c r="U96" s="34"/>
      <c r="V96" s="62"/>
      <c r="W96" s="38"/>
      <c r="X96" s="31"/>
      <c r="Y96" s="31"/>
      <c r="Z96" s="78"/>
      <c r="AA96" s="37"/>
      <c r="AB96" s="34"/>
      <c r="AC96" s="34"/>
      <c r="AD96" s="64"/>
      <c r="AE96" s="79"/>
      <c r="AF96" s="64"/>
      <c r="AG96" s="43">
        <f t="shared" si="16"/>
        <v>0</v>
      </c>
      <c r="AH96" s="44">
        <f t="shared" si="16"/>
        <v>0</v>
      </c>
      <c r="AI96" s="44">
        <f t="shared" si="16"/>
        <v>0</v>
      </c>
      <c r="AJ96" s="45">
        <f t="shared" si="16"/>
        <v>0</v>
      </c>
      <c r="AK96" s="80">
        <f t="shared" si="17"/>
        <v>0</v>
      </c>
      <c r="AL96" s="47">
        <v>0.75</v>
      </c>
      <c r="AM96" s="48">
        <f t="shared" si="24"/>
        <v>0</v>
      </c>
      <c r="AN96" s="48">
        <f t="shared" si="25"/>
        <v>0</v>
      </c>
      <c r="AO96" s="49">
        <f t="shared" si="20"/>
        <v>0</v>
      </c>
      <c r="AP96" s="49">
        <f t="shared" si="18"/>
        <v>0</v>
      </c>
      <c r="AQ96" s="50">
        <f t="shared" si="19"/>
        <v>0</v>
      </c>
      <c r="AR96" s="81"/>
      <c r="AS96" s="82"/>
      <c r="AT96" s="83"/>
      <c r="AU96" s="84"/>
      <c r="AV96" s="85"/>
      <c r="AW96" s="86"/>
      <c r="AX96" s="86"/>
      <c r="AY96" s="82"/>
      <c r="AZ96" s="87"/>
    </row>
    <row r="97" spans="1:52" ht="16.5" thickBot="1" x14ac:dyDescent="0.3">
      <c r="A97" s="74">
        <v>500</v>
      </c>
      <c r="B97" s="75" t="s">
        <v>83</v>
      </c>
      <c r="C97" s="76">
        <v>100</v>
      </c>
      <c r="D97" s="26">
        <f t="shared" si="21"/>
        <v>33.333333333333336</v>
      </c>
      <c r="E97" s="27">
        <f t="shared" si="22"/>
        <v>33.333333333333336</v>
      </c>
      <c r="F97" s="29">
        <f t="shared" si="23"/>
        <v>33.333333333333336</v>
      </c>
      <c r="G97" s="30">
        <v>3</v>
      </c>
      <c r="H97" s="31">
        <v>0</v>
      </c>
      <c r="I97" s="32">
        <v>0</v>
      </c>
      <c r="J97" s="77"/>
      <c r="K97" s="33"/>
      <c r="L97" s="34"/>
      <c r="M97" s="34"/>
      <c r="N97" s="62"/>
      <c r="O97" s="34"/>
      <c r="P97" s="34"/>
      <c r="Q97" s="34"/>
      <c r="R97" s="62"/>
      <c r="S97" s="37"/>
      <c r="T97" s="34"/>
      <c r="U97" s="34"/>
      <c r="V97" s="62"/>
      <c r="W97" s="38"/>
      <c r="X97" s="31"/>
      <c r="Y97" s="31"/>
      <c r="Z97" s="78"/>
      <c r="AA97" s="37"/>
      <c r="AB97" s="34"/>
      <c r="AC97" s="34"/>
      <c r="AD97" s="64"/>
      <c r="AE97" s="79"/>
      <c r="AF97" s="64"/>
      <c r="AG97" s="43">
        <f t="shared" si="16"/>
        <v>3</v>
      </c>
      <c r="AH97" s="44">
        <f t="shared" si="16"/>
        <v>0</v>
      </c>
      <c r="AI97" s="44">
        <f t="shared" si="16"/>
        <v>0</v>
      </c>
      <c r="AJ97" s="45">
        <f t="shared" si="16"/>
        <v>0</v>
      </c>
      <c r="AK97" s="80">
        <f t="shared" si="17"/>
        <v>3</v>
      </c>
      <c r="AL97" s="47">
        <v>1</v>
      </c>
      <c r="AM97" s="48">
        <f t="shared" si="24"/>
        <v>3</v>
      </c>
      <c r="AN97" s="48">
        <f t="shared" si="25"/>
        <v>0</v>
      </c>
      <c r="AO97" s="49">
        <f t="shared" si="20"/>
        <v>0</v>
      </c>
      <c r="AP97" s="49">
        <f t="shared" si="18"/>
        <v>0</v>
      </c>
      <c r="AQ97" s="50">
        <f t="shared" si="19"/>
        <v>180</v>
      </c>
      <c r="AR97" s="81">
        <v>26.12</v>
      </c>
      <c r="AS97" s="82">
        <v>3.879999999999999</v>
      </c>
      <c r="AT97" s="83">
        <f>AK97*AS97</f>
        <v>11.639999999999997</v>
      </c>
      <c r="AU97" s="84">
        <f t="shared" ref="AU97:AU111" si="26">AK97*AL97</f>
        <v>3</v>
      </c>
      <c r="AV97" s="85">
        <v>0</v>
      </c>
      <c r="AW97" s="86"/>
      <c r="AX97" s="86"/>
      <c r="AY97" s="82"/>
      <c r="AZ97" s="87">
        <f>AT97-AU97-AW97-AX97-AY97</f>
        <v>8.639999999999997</v>
      </c>
    </row>
    <row r="98" spans="1:52" ht="16.5" thickBot="1" x14ac:dyDescent="0.3">
      <c r="A98" s="74">
        <v>360</v>
      </c>
      <c r="B98" s="75" t="s">
        <v>83</v>
      </c>
      <c r="C98" s="76">
        <v>80</v>
      </c>
      <c r="D98" s="26">
        <f t="shared" si="21"/>
        <v>26.666666666666668</v>
      </c>
      <c r="E98" s="27">
        <f t="shared" si="22"/>
        <v>26.666666666666668</v>
      </c>
      <c r="F98" s="29">
        <f t="shared" si="23"/>
        <v>26.666666666666668</v>
      </c>
      <c r="G98" s="30">
        <v>1</v>
      </c>
      <c r="H98" s="31">
        <v>0</v>
      </c>
      <c r="I98" s="32">
        <v>0</v>
      </c>
      <c r="J98" s="77"/>
      <c r="K98" s="33"/>
      <c r="L98" s="34"/>
      <c r="M98" s="34"/>
      <c r="N98" s="62"/>
      <c r="O98" s="34"/>
      <c r="P98" s="34"/>
      <c r="Q98" s="34"/>
      <c r="R98" s="62"/>
      <c r="S98" s="37"/>
      <c r="T98" s="34"/>
      <c r="U98" s="34"/>
      <c r="V98" s="62"/>
      <c r="W98" s="38"/>
      <c r="X98" s="31"/>
      <c r="Y98" s="31"/>
      <c r="Z98" s="78"/>
      <c r="AA98" s="37"/>
      <c r="AB98" s="34"/>
      <c r="AC98" s="34"/>
      <c r="AD98" s="64"/>
      <c r="AE98" s="79"/>
      <c r="AF98" s="64"/>
      <c r="AG98" s="43">
        <f t="shared" si="16"/>
        <v>1</v>
      </c>
      <c r="AH98" s="44">
        <f t="shared" si="16"/>
        <v>0</v>
      </c>
      <c r="AI98" s="44">
        <f t="shared" si="16"/>
        <v>0</v>
      </c>
      <c r="AJ98" s="45">
        <f t="shared" si="16"/>
        <v>0</v>
      </c>
      <c r="AK98" s="80">
        <f t="shared" si="17"/>
        <v>1</v>
      </c>
      <c r="AL98" s="47">
        <v>0.5</v>
      </c>
      <c r="AM98" s="48">
        <f t="shared" si="24"/>
        <v>0.5</v>
      </c>
      <c r="AN98" s="48">
        <f t="shared" si="25"/>
        <v>0</v>
      </c>
      <c r="AO98" s="49">
        <f t="shared" si="20"/>
        <v>0</v>
      </c>
      <c r="AP98" s="49">
        <f t="shared" si="18"/>
        <v>0</v>
      </c>
      <c r="AQ98" s="50">
        <f t="shared" si="19"/>
        <v>60</v>
      </c>
      <c r="AR98" s="81"/>
      <c r="AS98" s="82"/>
      <c r="AT98" s="83"/>
      <c r="AU98" s="84">
        <f t="shared" si="26"/>
        <v>0.5</v>
      </c>
      <c r="AV98" s="85">
        <v>0</v>
      </c>
      <c r="AW98" s="86"/>
      <c r="AX98" s="86"/>
      <c r="AY98" s="82"/>
      <c r="AZ98" s="87"/>
    </row>
    <row r="99" spans="1:52" ht="16.5" thickBot="1" x14ac:dyDescent="0.3">
      <c r="A99" s="74">
        <v>625</v>
      </c>
      <c r="B99" s="75" t="s">
        <v>84</v>
      </c>
      <c r="C99" s="88"/>
      <c r="D99" s="26">
        <f t="shared" si="21"/>
        <v>0</v>
      </c>
      <c r="E99" s="27">
        <f t="shared" si="22"/>
        <v>0</v>
      </c>
      <c r="F99" s="29">
        <f t="shared" si="23"/>
        <v>0</v>
      </c>
      <c r="G99" s="30">
        <v>0</v>
      </c>
      <c r="H99" s="31">
        <v>0</v>
      </c>
      <c r="I99" s="32">
        <v>0</v>
      </c>
      <c r="J99" s="77"/>
      <c r="K99" s="33"/>
      <c r="L99" s="34"/>
      <c r="M99" s="34"/>
      <c r="N99" s="62"/>
      <c r="O99" s="34"/>
      <c r="P99" s="34"/>
      <c r="Q99" s="34"/>
      <c r="R99" s="62"/>
      <c r="S99" s="37"/>
      <c r="T99" s="34"/>
      <c r="U99" s="34"/>
      <c r="V99" s="62"/>
      <c r="W99" s="38"/>
      <c r="X99" s="31"/>
      <c r="Y99" s="31"/>
      <c r="Z99" s="78"/>
      <c r="AA99" s="37"/>
      <c r="AB99" s="34"/>
      <c r="AC99" s="34"/>
      <c r="AD99" s="64"/>
      <c r="AE99" s="79"/>
      <c r="AF99" s="64"/>
      <c r="AG99" s="43">
        <f t="shared" si="16"/>
        <v>0</v>
      </c>
      <c r="AH99" s="44">
        <f t="shared" si="16"/>
        <v>0</v>
      </c>
      <c r="AI99" s="44">
        <f t="shared" si="16"/>
        <v>0</v>
      </c>
      <c r="AJ99" s="45">
        <f t="shared" si="16"/>
        <v>0</v>
      </c>
      <c r="AK99" s="80">
        <f t="shared" si="17"/>
        <v>0</v>
      </c>
      <c r="AL99" s="47">
        <v>1</v>
      </c>
      <c r="AM99" s="48">
        <f t="shared" si="24"/>
        <v>0</v>
      </c>
      <c r="AN99" s="48">
        <f t="shared" si="25"/>
        <v>0</v>
      </c>
      <c r="AO99" s="49">
        <f t="shared" si="20"/>
        <v>0</v>
      </c>
      <c r="AP99" s="49">
        <f t="shared" si="18"/>
        <v>0</v>
      </c>
      <c r="AQ99" s="50">
        <f t="shared" si="19"/>
        <v>0</v>
      </c>
      <c r="AR99" s="81">
        <v>50.64</v>
      </c>
      <c r="AS99" s="82">
        <v>9.36</v>
      </c>
      <c r="AT99" s="83">
        <f>AK99*AS99</f>
        <v>0</v>
      </c>
      <c r="AU99" s="84">
        <f t="shared" si="26"/>
        <v>0</v>
      </c>
      <c r="AV99" s="85">
        <v>0</v>
      </c>
      <c r="AW99" s="86"/>
      <c r="AX99" s="86"/>
      <c r="AY99" s="82"/>
      <c r="AZ99" s="87">
        <f>AT99-AU99-AW99-AX99-AY99</f>
        <v>0</v>
      </c>
    </row>
    <row r="100" spans="1:52" ht="16.5" thickBot="1" x14ac:dyDescent="0.3">
      <c r="A100" s="74">
        <v>3030</v>
      </c>
      <c r="B100" s="75" t="s">
        <v>85</v>
      </c>
      <c r="C100" s="76"/>
      <c r="D100" s="26">
        <f t="shared" si="21"/>
        <v>0</v>
      </c>
      <c r="E100" s="27">
        <f t="shared" si="22"/>
        <v>0</v>
      </c>
      <c r="F100" s="29">
        <f t="shared" si="23"/>
        <v>0</v>
      </c>
      <c r="G100" s="30">
        <v>0</v>
      </c>
      <c r="H100" s="31">
        <v>0</v>
      </c>
      <c r="I100" s="32">
        <v>0</v>
      </c>
      <c r="J100" s="77"/>
      <c r="K100" s="33"/>
      <c r="L100" s="34"/>
      <c r="M100" s="34"/>
      <c r="N100" s="62"/>
      <c r="O100" s="34"/>
      <c r="P100" s="34"/>
      <c r="Q100" s="34"/>
      <c r="R100" s="62"/>
      <c r="S100" s="37"/>
      <c r="T100" s="34"/>
      <c r="U100" s="34"/>
      <c r="V100" s="62"/>
      <c r="W100" s="38"/>
      <c r="X100" s="31"/>
      <c r="Y100" s="31"/>
      <c r="Z100" s="78"/>
      <c r="AA100" s="37"/>
      <c r="AB100" s="34"/>
      <c r="AC100" s="34"/>
      <c r="AD100" s="64"/>
      <c r="AE100" s="79"/>
      <c r="AF100" s="64"/>
      <c r="AG100" s="43">
        <f t="shared" si="16"/>
        <v>0</v>
      </c>
      <c r="AH100" s="44">
        <f t="shared" si="16"/>
        <v>0</v>
      </c>
      <c r="AI100" s="44">
        <f t="shared" ref="AI100:AJ164" si="27">I100+M100+Q100+U100+Y100+AC100</f>
        <v>0</v>
      </c>
      <c r="AJ100" s="45">
        <f t="shared" si="27"/>
        <v>0</v>
      </c>
      <c r="AK100" s="80">
        <f t="shared" si="17"/>
        <v>0</v>
      </c>
      <c r="AL100" s="47">
        <v>2</v>
      </c>
      <c r="AM100" s="48">
        <f t="shared" si="24"/>
        <v>0</v>
      </c>
      <c r="AN100" s="48">
        <f t="shared" si="25"/>
        <v>0</v>
      </c>
      <c r="AO100" s="49">
        <f t="shared" si="20"/>
        <v>0</v>
      </c>
      <c r="AP100" s="49">
        <f t="shared" si="18"/>
        <v>0</v>
      </c>
      <c r="AQ100" s="50">
        <f t="shared" si="19"/>
        <v>0</v>
      </c>
      <c r="AR100" s="81">
        <v>42.35</v>
      </c>
      <c r="AS100" s="82">
        <v>7.6499999999999986</v>
      </c>
      <c r="AT100" s="83">
        <f>AK100*AS100</f>
        <v>0</v>
      </c>
      <c r="AU100" s="84">
        <f t="shared" si="26"/>
        <v>0</v>
      </c>
      <c r="AV100" s="85">
        <v>0</v>
      </c>
      <c r="AW100" s="86"/>
      <c r="AX100" s="86"/>
      <c r="AY100" s="82"/>
      <c r="AZ100" s="87">
        <f>AT100-AU100-AW100-AX100-AY100</f>
        <v>0</v>
      </c>
    </row>
    <row r="101" spans="1:52" ht="16.5" thickBot="1" x14ac:dyDescent="0.3">
      <c r="A101" s="74">
        <v>625</v>
      </c>
      <c r="B101" s="75" t="s">
        <v>86</v>
      </c>
      <c r="C101" s="88"/>
      <c r="D101" s="26">
        <f t="shared" si="21"/>
        <v>0</v>
      </c>
      <c r="E101" s="27">
        <f t="shared" si="22"/>
        <v>0</v>
      </c>
      <c r="F101" s="29">
        <f t="shared" si="23"/>
        <v>0</v>
      </c>
      <c r="G101" s="30">
        <v>0</v>
      </c>
      <c r="H101" s="31">
        <v>0</v>
      </c>
      <c r="I101" s="32">
        <v>0</v>
      </c>
      <c r="J101" s="77"/>
      <c r="K101" s="33"/>
      <c r="L101" s="34"/>
      <c r="M101" s="34"/>
      <c r="N101" s="62"/>
      <c r="O101" s="34"/>
      <c r="P101" s="34"/>
      <c r="Q101" s="34"/>
      <c r="R101" s="62"/>
      <c r="S101" s="37"/>
      <c r="T101" s="34"/>
      <c r="U101" s="34"/>
      <c r="V101" s="62"/>
      <c r="W101" s="38"/>
      <c r="X101" s="31"/>
      <c r="Y101" s="31"/>
      <c r="Z101" s="78"/>
      <c r="AA101" s="37"/>
      <c r="AB101" s="34"/>
      <c r="AC101" s="34"/>
      <c r="AD101" s="64"/>
      <c r="AE101" s="79"/>
      <c r="AF101" s="64"/>
      <c r="AG101" s="43">
        <f t="shared" ref="AG101:AJ164" si="28">G101+K101+O101+S101+W101+AA101</f>
        <v>0</v>
      </c>
      <c r="AH101" s="44">
        <f t="shared" si="28"/>
        <v>0</v>
      </c>
      <c r="AI101" s="44">
        <f t="shared" si="28"/>
        <v>0</v>
      </c>
      <c r="AJ101" s="45">
        <f t="shared" si="28"/>
        <v>0</v>
      </c>
      <c r="AK101" s="80">
        <f t="shared" si="17"/>
        <v>0</v>
      </c>
      <c r="AL101" s="47">
        <v>1</v>
      </c>
      <c r="AM101" s="48">
        <f t="shared" si="24"/>
        <v>0</v>
      </c>
      <c r="AN101" s="48">
        <f t="shared" si="25"/>
        <v>0</v>
      </c>
      <c r="AO101" s="49">
        <f t="shared" si="20"/>
        <v>0</v>
      </c>
      <c r="AP101" s="49">
        <f t="shared" si="18"/>
        <v>0</v>
      </c>
      <c r="AQ101" s="50">
        <f t="shared" si="19"/>
        <v>0</v>
      </c>
      <c r="AR101" s="81">
        <v>50.64</v>
      </c>
      <c r="AS101" s="82">
        <v>9.36</v>
      </c>
      <c r="AT101" s="119">
        <f>AK101*AS101</f>
        <v>0</v>
      </c>
      <c r="AU101" s="84">
        <f t="shared" si="26"/>
        <v>0</v>
      </c>
      <c r="AV101" s="85">
        <v>0</v>
      </c>
      <c r="AW101" s="86"/>
      <c r="AX101" s="86"/>
      <c r="AY101" s="82"/>
      <c r="AZ101" s="120">
        <f>AT101-AU101-AW101-AX101-AY101</f>
        <v>0</v>
      </c>
    </row>
    <row r="102" spans="1:52" ht="16.5" thickBot="1" x14ac:dyDescent="0.3">
      <c r="A102" s="75">
        <v>911</v>
      </c>
      <c r="B102" s="75" t="s">
        <v>87</v>
      </c>
      <c r="C102" s="121"/>
      <c r="D102" s="26">
        <f t="shared" si="21"/>
        <v>0</v>
      </c>
      <c r="E102" s="27">
        <f t="shared" si="22"/>
        <v>0</v>
      </c>
      <c r="F102" s="29">
        <f t="shared" si="23"/>
        <v>0</v>
      </c>
      <c r="G102" s="30">
        <v>0</v>
      </c>
      <c r="H102" s="31">
        <v>0</v>
      </c>
      <c r="I102" s="32">
        <v>0</v>
      </c>
      <c r="J102" s="77"/>
      <c r="K102" s="33"/>
      <c r="L102" s="34"/>
      <c r="M102" s="34"/>
      <c r="N102" s="62"/>
      <c r="O102" s="34"/>
      <c r="P102" s="34"/>
      <c r="Q102" s="34"/>
      <c r="R102" s="62"/>
      <c r="S102" s="37"/>
      <c r="T102" s="34"/>
      <c r="U102" s="34"/>
      <c r="V102" s="62"/>
      <c r="W102" s="38"/>
      <c r="X102" s="31"/>
      <c r="Y102" s="31"/>
      <c r="Z102" s="78"/>
      <c r="AA102" s="37"/>
      <c r="AB102" s="34"/>
      <c r="AC102" s="34"/>
      <c r="AD102" s="64"/>
      <c r="AE102" s="122"/>
      <c r="AF102" s="123"/>
      <c r="AG102" s="43">
        <f t="shared" si="28"/>
        <v>0</v>
      </c>
      <c r="AH102" s="44">
        <f t="shared" si="28"/>
        <v>0</v>
      </c>
      <c r="AI102" s="44">
        <f t="shared" si="28"/>
        <v>0</v>
      </c>
      <c r="AJ102" s="45">
        <f t="shared" si="28"/>
        <v>0</v>
      </c>
      <c r="AK102" s="80">
        <f t="shared" si="17"/>
        <v>0</v>
      </c>
      <c r="AL102" s="47">
        <v>0.5</v>
      </c>
      <c r="AM102" s="48">
        <f t="shared" si="24"/>
        <v>0</v>
      </c>
      <c r="AN102" s="48">
        <f t="shared" si="25"/>
        <v>0</v>
      </c>
      <c r="AO102" s="49">
        <f t="shared" si="20"/>
        <v>0</v>
      </c>
      <c r="AP102" s="49">
        <f t="shared" si="18"/>
        <v>0</v>
      </c>
      <c r="AQ102" s="50">
        <f t="shared" si="19"/>
        <v>0</v>
      </c>
      <c r="AR102" s="124"/>
      <c r="AS102" s="125"/>
      <c r="AT102" s="126"/>
      <c r="AU102" s="84">
        <f t="shared" si="26"/>
        <v>0</v>
      </c>
      <c r="AV102" s="127"/>
      <c r="AW102" s="128"/>
      <c r="AX102" s="128"/>
      <c r="AY102" s="125"/>
      <c r="AZ102" s="129"/>
    </row>
    <row r="103" spans="1:52" ht="16.5" thickBot="1" x14ac:dyDescent="0.3">
      <c r="A103" s="75">
        <v>355</v>
      </c>
      <c r="B103" s="75" t="s">
        <v>88</v>
      </c>
      <c r="C103" s="121">
        <v>24</v>
      </c>
      <c r="D103" s="26">
        <f t="shared" si="21"/>
        <v>8</v>
      </c>
      <c r="E103" s="27">
        <f t="shared" si="22"/>
        <v>8</v>
      </c>
      <c r="F103" s="29">
        <f t="shared" si="23"/>
        <v>8</v>
      </c>
      <c r="G103" s="30">
        <v>0</v>
      </c>
      <c r="H103" s="31">
        <v>0</v>
      </c>
      <c r="I103" s="32">
        <v>0</v>
      </c>
      <c r="J103" s="77"/>
      <c r="K103" s="33"/>
      <c r="L103" s="34"/>
      <c r="M103" s="34"/>
      <c r="N103" s="62"/>
      <c r="O103" s="34"/>
      <c r="P103" s="34"/>
      <c r="Q103" s="34"/>
      <c r="R103" s="62"/>
      <c r="S103" s="37"/>
      <c r="T103" s="34"/>
      <c r="U103" s="34"/>
      <c r="V103" s="62"/>
      <c r="W103" s="38"/>
      <c r="X103" s="31"/>
      <c r="Y103" s="31"/>
      <c r="Z103" s="78"/>
      <c r="AA103" s="37"/>
      <c r="AB103" s="34"/>
      <c r="AC103" s="34"/>
      <c r="AD103" s="64"/>
      <c r="AE103" s="122"/>
      <c r="AF103" s="123"/>
      <c r="AG103" s="43">
        <f t="shared" si="28"/>
        <v>0</v>
      </c>
      <c r="AH103" s="44">
        <f t="shared" si="28"/>
        <v>0</v>
      </c>
      <c r="AI103" s="44">
        <f t="shared" si="28"/>
        <v>0</v>
      </c>
      <c r="AJ103" s="45">
        <f t="shared" si="28"/>
        <v>0</v>
      </c>
      <c r="AK103" s="80">
        <f t="shared" si="17"/>
        <v>0</v>
      </c>
      <c r="AL103" s="47">
        <v>0.45</v>
      </c>
      <c r="AM103" s="48">
        <f t="shared" si="24"/>
        <v>0</v>
      </c>
      <c r="AN103" s="48">
        <f t="shared" si="25"/>
        <v>0</v>
      </c>
      <c r="AO103" s="49">
        <f t="shared" si="20"/>
        <v>0</v>
      </c>
      <c r="AP103" s="49">
        <f t="shared" si="18"/>
        <v>0</v>
      </c>
      <c r="AQ103" s="50">
        <f t="shared" si="19"/>
        <v>0</v>
      </c>
      <c r="AR103" s="124"/>
      <c r="AS103" s="125"/>
      <c r="AT103" s="126"/>
      <c r="AU103" s="84">
        <f t="shared" si="26"/>
        <v>0</v>
      </c>
      <c r="AV103" s="127"/>
      <c r="AW103" s="128"/>
      <c r="AX103" s="128"/>
      <c r="AY103" s="125"/>
      <c r="AZ103" s="129"/>
    </row>
    <row r="104" spans="1:52" ht="16.5" thickBot="1" x14ac:dyDescent="0.3">
      <c r="A104" s="75">
        <v>355</v>
      </c>
      <c r="B104" s="75" t="s">
        <v>28</v>
      </c>
      <c r="C104" s="121">
        <v>34</v>
      </c>
      <c r="D104" s="26">
        <f t="shared" si="21"/>
        <v>11.333333333333334</v>
      </c>
      <c r="E104" s="27">
        <f t="shared" si="22"/>
        <v>11.333333333333334</v>
      </c>
      <c r="F104" s="29">
        <f t="shared" si="23"/>
        <v>11.333333333333334</v>
      </c>
      <c r="G104" s="30">
        <v>0</v>
      </c>
      <c r="H104" s="31">
        <v>0</v>
      </c>
      <c r="I104" s="32">
        <v>0</v>
      </c>
      <c r="J104" s="77"/>
      <c r="K104" s="33"/>
      <c r="L104" s="34"/>
      <c r="M104" s="34"/>
      <c r="N104" s="62"/>
      <c r="O104" s="34"/>
      <c r="P104" s="34"/>
      <c r="Q104" s="34"/>
      <c r="R104" s="62"/>
      <c r="S104" s="37"/>
      <c r="T104" s="34"/>
      <c r="U104" s="34"/>
      <c r="V104" s="62"/>
      <c r="W104" s="38"/>
      <c r="X104" s="31"/>
      <c r="Y104" s="31"/>
      <c r="Z104" s="78"/>
      <c r="AA104" s="37"/>
      <c r="AB104" s="34"/>
      <c r="AC104" s="34"/>
      <c r="AD104" s="64"/>
      <c r="AE104" s="122"/>
      <c r="AF104" s="123"/>
      <c r="AG104" s="43">
        <f t="shared" si="28"/>
        <v>0</v>
      </c>
      <c r="AH104" s="44">
        <f t="shared" si="28"/>
        <v>0</v>
      </c>
      <c r="AI104" s="44">
        <f t="shared" si="28"/>
        <v>0</v>
      </c>
      <c r="AJ104" s="45">
        <f t="shared" si="28"/>
        <v>0</v>
      </c>
      <c r="AK104" s="80">
        <f t="shared" si="17"/>
        <v>0</v>
      </c>
      <c r="AL104" s="47">
        <v>0.45</v>
      </c>
      <c r="AM104" s="48">
        <f t="shared" si="24"/>
        <v>0</v>
      </c>
      <c r="AN104" s="48">
        <f t="shared" si="25"/>
        <v>0</v>
      </c>
      <c r="AO104" s="49">
        <f t="shared" si="20"/>
        <v>0</v>
      </c>
      <c r="AP104" s="49">
        <f t="shared" si="18"/>
        <v>0</v>
      </c>
      <c r="AQ104" s="50">
        <f t="shared" si="19"/>
        <v>0</v>
      </c>
      <c r="AR104" s="124"/>
      <c r="AS104" s="125"/>
      <c r="AT104" s="126"/>
      <c r="AU104" s="84">
        <f t="shared" si="26"/>
        <v>0</v>
      </c>
      <c r="AV104" s="127"/>
      <c r="AW104" s="128"/>
      <c r="AX104" s="128"/>
      <c r="AY104" s="125"/>
      <c r="AZ104" s="129"/>
    </row>
    <row r="105" spans="1:52" ht="16.5" thickBot="1" x14ac:dyDescent="0.3">
      <c r="A105" s="75">
        <v>355</v>
      </c>
      <c r="B105" s="75" t="s">
        <v>30</v>
      </c>
      <c r="C105" s="121"/>
      <c r="D105" s="26">
        <f t="shared" si="21"/>
        <v>0</v>
      </c>
      <c r="E105" s="27">
        <f t="shared" si="22"/>
        <v>0</v>
      </c>
      <c r="F105" s="29">
        <f t="shared" si="23"/>
        <v>0</v>
      </c>
      <c r="G105" s="30">
        <v>0</v>
      </c>
      <c r="H105" s="31">
        <v>0</v>
      </c>
      <c r="I105" s="32">
        <v>0</v>
      </c>
      <c r="J105" s="77"/>
      <c r="K105" s="33"/>
      <c r="L105" s="34"/>
      <c r="M105" s="34"/>
      <c r="N105" s="62"/>
      <c r="O105" s="34"/>
      <c r="P105" s="34"/>
      <c r="Q105" s="34"/>
      <c r="R105" s="62"/>
      <c r="S105" s="37"/>
      <c r="T105" s="34"/>
      <c r="U105" s="34"/>
      <c r="V105" s="62"/>
      <c r="W105" s="38"/>
      <c r="X105" s="31"/>
      <c r="Y105" s="31"/>
      <c r="Z105" s="78"/>
      <c r="AA105" s="37"/>
      <c r="AB105" s="34"/>
      <c r="AC105" s="34"/>
      <c r="AD105" s="64"/>
      <c r="AE105" s="122"/>
      <c r="AF105" s="123"/>
      <c r="AG105" s="43">
        <f t="shared" si="28"/>
        <v>0</v>
      </c>
      <c r="AH105" s="44">
        <f t="shared" si="28"/>
        <v>0</v>
      </c>
      <c r="AI105" s="44">
        <f t="shared" si="28"/>
        <v>0</v>
      </c>
      <c r="AJ105" s="45">
        <f t="shared" si="28"/>
        <v>0</v>
      </c>
      <c r="AK105" s="80">
        <f t="shared" si="17"/>
        <v>0</v>
      </c>
      <c r="AL105" s="47">
        <v>0.45</v>
      </c>
      <c r="AM105" s="48">
        <f t="shared" si="24"/>
        <v>0</v>
      </c>
      <c r="AN105" s="48">
        <f t="shared" si="25"/>
        <v>0</v>
      </c>
      <c r="AO105" s="49">
        <f t="shared" si="20"/>
        <v>0</v>
      </c>
      <c r="AP105" s="49">
        <f t="shared" si="18"/>
        <v>0</v>
      </c>
      <c r="AQ105" s="50">
        <f t="shared" si="19"/>
        <v>0</v>
      </c>
      <c r="AR105" s="124"/>
      <c r="AS105" s="125"/>
      <c r="AT105" s="126"/>
      <c r="AU105" s="84">
        <f t="shared" si="26"/>
        <v>0</v>
      </c>
      <c r="AV105" s="127"/>
      <c r="AW105" s="128"/>
      <c r="AX105" s="128"/>
      <c r="AY105" s="125"/>
      <c r="AZ105" s="129"/>
    </row>
    <row r="106" spans="1:52" ht="16.5" thickBot="1" x14ac:dyDescent="0.3">
      <c r="A106" s="75">
        <v>355</v>
      </c>
      <c r="B106" s="75" t="s">
        <v>29</v>
      </c>
      <c r="C106" s="121">
        <v>34</v>
      </c>
      <c r="D106" s="26">
        <f t="shared" si="21"/>
        <v>11.333333333333334</v>
      </c>
      <c r="E106" s="27">
        <f t="shared" si="22"/>
        <v>11.333333333333334</v>
      </c>
      <c r="F106" s="29">
        <f t="shared" si="23"/>
        <v>11.333333333333334</v>
      </c>
      <c r="G106" s="30">
        <v>0</v>
      </c>
      <c r="H106" s="31">
        <v>0</v>
      </c>
      <c r="I106" s="32">
        <v>0</v>
      </c>
      <c r="J106" s="77"/>
      <c r="K106" s="33"/>
      <c r="L106" s="34"/>
      <c r="M106" s="34"/>
      <c r="N106" s="62"/>
      <c r="O106" s="34"/>
      <c r="P106" s="34"/>
      <c r="Q106" s="34"/>
      <c r="R106" s="62"/>
      <c r="S106" s="37"/>
      <c r="T106" s="34"/>
      <c r="U106" s="34"/>
      <c r="V106" s="62"/>
      <c r="W106" s="38"/>
      <c r="X106" s="31"/>
      <c r="Y106" s="31"/>
      <c r="Z106" s="78"/>
      <c r="AA106" s="37"/>
      <c r="AB106" s="34"/>
      <c r="AC106" s="34"/>
      <c r="AD106" s="64"/>
      <c r="AE106" s="122"/>
      <c r="AF106" s="123"/>
      <c r="AG106" s="43">
        <f t="shared" si="28"/>
        <v>0</v>
      </c>
      <c r="AH106" s="44">
        <f t="shared" si="28"/>
        <v>0</v>
      </c>
      <c r="AI106" s="44">
        <f t="shared" si="28"/>
        <v>0</v>
      </c>
      <c r="AJ106" s="45">
        <f t="shared" si="28"/>
        <v>0</v>
      </c>
      <c r="AK106" s="80">
        <f t="shared" si="17"/>
        <v>0</v>
      </c>
      <c r="AL106" s="47">
        <v>0.45</v>
      </c>
      <c r="AM106" s="48">
        <f t="shared" si="24"/>
        <v>0</v>
      </c>
      <c r="AN106" s="48">
        <f t="shared" si="25"/>
        <v>0</v>
      </c>
      <c r="AO106" s="49">
        <f t="shared" si="20"/>
        <v>0</v>
      </c>
      <c r="AP106" s="49">
        <f t="shared" si="18"/>
        <v>0</v>
      </c>
      <c r="AQ106" s="50">
        <f t="shared" si="19"/>
        <v>0</v>
      </c>
      <c r="AR106" s="124"/>
      <c r="AS106" s="125"/>
      <c r="AT106" s="126"/>
      <c r="AU106" s="84">
        <f t="shared" si="26"/>
        <v>0</v>
      </c>
      <c r="AV106" s="127"/>
      <c r="AW106" s="128"/>
      <c r="AX106" s="128"/>
      <c r="AY106" s="125"/>
      <c r="AZ106" s="129"/>
    </row>
    <row r="107" spans="1:52" ht="16.5" thickBot="1" x14ac:dyDescent="0.3">
      <c r="A107" s="75">
        <v>355</v>
      </c>
      <c r="B107" s="75" t="s">
        <v>31</v>
      </c>
      <c r="C107" s="121">
        <v>14</v>
      </c>
      <c r="D107" s="26">
        <f t="shared" si="21"/>
        <v>4.666666666666667</v>
      </c>
      <c r="E107" s="27">
        <f t="shared" si="22"/>
        <v>4.666666666666667</v>
      </c>
      <c r="F107" s="29">
        <f t="shared" si="23"/>
        <v>4.666666666666667</v>
      </c>
      <c r="G107" s="30">
        <v>0</v>
      </c>
      <c r="H107" s="31">
        <v>0</v>
      </c>
      <c r="I107" s="32">
        <v>0</v>
      </c>
      <c r="J107" s="77"/>
      <c r="K107" s="33"/>
      <c r="L107" s="34"/>
      <c r="M107" s="34"/>
      <c r="N107" s="62"/>
      <c r="O107" s="34"/>
      <c r="P107" s="34"/>
      <c r="Q107" s="34"/>
      <c r="R107" s="62"/>
      <c r="S107" s="37"/>
      <c r="T107" s="34"/>
      <c r="U107" s="34"/>
      <c r="V107" s="62"/>
      <c r="W107" s="38"/>
      <c r="X107" s="31"/>
      <c r="Y107" s="31"/>
      <c r="Z107" s="78"/>
      <c r="AA107" s="37"/>
      <c r="AB107" s="34"/>
      <c r="AC107" s="34"/>
      <c r="AD107" s="64"/>
      <c r="AE107" s="122"/>
      <c r="AF107" s="123"/>
      <c r="AG107" s="43">
        <f t="shared" si="28"/>
        <v>0</v>
      </c>
      <c r="AH107" s="44">
        <f t="shared" si="28"/>
        <v>0</v>
      </c>
      <c r="AI107" s="44">
        <f t="shared" si="28"/>
        <v>0</v>
      </c>
      <c r="AJ107" s="45">
        <f t="shared" si="28"/>
        <v>0</v>
      </c>
      <c r="AK107" s="80">
        <f t="shared" si="17"/>
        <v>0</v>
      </c>
      <c r="AL107" s="47">
        <v>0.45</v>
      </c>
      <c r="AM107" s="48">
        <f t="shared" si="24"/>
        <v>0</v>
      </c>
      <c r="AN107" s="48">
        <f t="shared" si="25"/>
        <v>0</v>
      </c>
      <c r="AO107" s="49">
        <f t="shared" si="20"/>
        <v>0</v>
      </c>
      <c r="AP107" s="49">
        <f t="shared" si="18"/>
        <v>0</v>
      </c>
      <c r="AQ107" s="50">
        <f t="shared" si="19"/>
        <v>0</v>
      </c>
      <c r="AR107" s="124"/>
      <c r="AS107" s="125"/>
      <c r="AT107" s="126"/>
      <c r="AU107" s="84">
        <f t="shared" si="26"/>
        <v>0</v>
      </c>
      <c r="AV107" s="127"/>
      <c r="AW107" s="128"/>
      <c r="AX107" s="128"/>
      <c r="AY107" s="125"/>
      <c r="AZ107" s="129"/>
    </row>
    <row r="108" spans="1:52" ht="16.5" thickBot="1" x14ac:dyDescent="0.3">
      <c r="A108" s="75">
        <v>355</v>
      </c>
      <c r="B108" s="75" t="s">
        <v>47</v>
      </c>
      <c r="C108" s="121"/>
      <c r="D108" s="26">
        <f t="shared" si="21"/>
        <v>0</v>
      </c>
      <c r="E108" s="27">
        <f t="shared" si="22"/>
        <v>0</v>
      </c>
      <c r="F108" s="29">
        <f t="shared" si="23"/>
        <v>0</v>
      </c>
      <c r="G108" s="30">
        <v>0</v>
      </c>
      <c r="H108" s="31">
        <v>0</v>
      </c>
      <c r="I108" s="32">
        <v>0</v>
      </c>
      <c r="J108" s="77"/>
      <c r="K108" s="33"/>
      <c r="L108" s="34"/>
      <c r="M108" s="34"/>
      <c r="N108" s="62"/>
      <c r="O108" s="34"/>
      <c r="P108" s="34"/>
      <c r="Q108" s="34"/>
      <c r="R108" s="62"/>
      <c r="S108" s="37"/>
      <c r="T108" s="34"/>
      <c r="U108" s="34"/>
      <c r="V108" s="62"/>
      <c r="W108" s="38"/>
      <c r="X108" s="31"/>
      <c r="Y108" s="31"/>
      <c r="Z108" s="78"/>
      <c r="AA108" s="37"/>
      <c r="AB108" s="34"/>
      <c r="AC108" s="34"/>
      <c r="AD108" s="64"/>
      <c r="AE108" s="122"/>
      <c r="AF108" s="123"/>
      <c r="AG108" s="43">
        <f t="shared" si="28"/>
        <v>0</v>
      </c>
      <c r="AH108" s="44">
        <f t="shared" si="28"/>
        <v>0</v>
      </c>
      <c r="AI108" s="44">
        <f t="shared" si="28"/>
        <v>0</v>
      </c>
      <c r="AJ108" s="45">
        <f t="shared" si="28"/>
        <v>0</v>
      </c>
      <c r="AK108" s="80">
        <f t="shared" si="17"/>
        <v>0</v>
      </c>
      <c r="AL108" s="47">
        <v>0.45</v>
      </c>
      <c r="AM108" s="48">
        <f t="shared" si="24"/>
        <v>0</v>
      </c>
      <c r="AN108" s="48">
        <f t="shared" si="25"/>
        <v>0</v>
      </c>
      <c r="AO108" s="49">
        <f t="shared" si="20"/>
        <v>0</v>
      </c>
      <c r="AP108" s="49">
        <f t="shared" si="18"/>
        <v>0</v>
      </c>
      <c r="AQ108" s="50">
        <f t="shared" si="19"/>
        <v>0</v>
      </c>
      <c r="AR108" s="124"/>
      <c r="AS108" s="125"/>
      <c r="AT108" s="126"/>
      <c r="AU108" s="84">
        <f t="shared" si="26"/>
        <v>0</v>
      </c>
      <c r="AV108" s="127"/>
      <c r="AW108" s="128"/>
      <c r="AX108" s="128"/>
      <c r="AY108" s="125"/>
      <c r="AZ108" s="129"/>
    </row>
    <row r="109" spans="1:52" ht="16.5" thickBot="1" x14ac:dyDescent="0.3">
      <c r="A109" s="75">
        <v>355</v>
      </c>
      <c r="B109" s="75" t="s">
        <v>85</v>
      </c>
      <c r="C109" s="121"/>
      <c r="D109" s="26">
        <f t="shared" si="21"/>
        <v>0</v>
      </c>
      <c r="E109" s="27">
        <f t="shared" si="22"/>
        <v>0</v>
      </c>
      <c r="F109" s="29">
        <f t="shared" si="23"/>
        <v>0</v>
      </c>
      <c r="G109" s="30">
        <v>0</v>
      </c>
      <c r="H109" s="31">
        <v>0</v>
      </c>
      <c r="I109" s="32">
        <v>0</v>
      </c>
      <c r="J109" s="77"/>
      <c r="K109" s="33"/>
      <c r="L109" s="34"/>
      <c r="M109" s="34"/>
      <c r="N109" s="62"/>
      <c r="O109" s="34"/>
      <c r="P109" s="34"/>
      <c r="Q109" s="34"/>
      <c r="R109" s="62"/>
      <c r="S109" s="37"/>
      <c r="T109" s="34"/>
      <c r="U109" s="34"/>
      <c r="V109" s="62"/>
      <c r="W109" s="38"/>
      <c r="X109" s="31"/>
      <c r="Y109" s="31"/>
      <c r="Z109" s="78"/>
      <c r="AA109" s="37"/>
      <c r="AB109" s="34"/>
      <c r="AC109" s="34"/>
      <c r="AD109" s="64"/>
      <c r="AE109" s="122"/>
      <c r="AF109" s="123"/>
      <c r="AG109" s="43">
        <f t="shared" si="28"/>
        <v>0</v>
      </c>
      <c r="AH109" s="44">
        <f t="shared" si="28"/>
        <v>0</v>
      </c>
      <c r="AI109" s="44">
        <f t="shared" si="28"/>
        <v>0</v>
      </c>
      <c r="AJ109" s="45">
        <f t="shared" si="28"/>
        <v>0</v>
      </c>
      <c r="AK109" s="80">
        <f t="shared" si="17"/>
        <v>0</v>
      </c>
      <c r="AL109" s="47">
        <v>0.45</v>
      </c>
      <c r="AM109" s="48">
        <f t="shared" si="24"/>
        <v>0</v>
      </c>
      <c r="AN109" s="48">
        <f t="shared" si="25"/>
        <v>0</v>
      </c>
      <c r="AO109" s="49">
        <f t="shared" si="20"/>
        <v>0</v>
      </c>
      <c r="AP109" s="49">
        <f t="shared" si="18"/>
        <v>0</v>
      </c>
      <c r="AQ109" s="50">
        <f t="shared" si="19"/>
        <v>0</v>
      </c>
      <c r="AR109" s="124"/>
      <c r="AS109" s="125"/>
      <c r="AT109" s="126"/>
      <c r="AU109" s="84">
        <f t="shared" si="26"/>
        <v>0</v>
      </c>
      <c r="AV109" s="127"/>
      <c r="AW109" s="128"/>
      <c r="AX109" s="128"/>
      <c r="AY109" s="125"/>
      <c r="AZ109" s="129"/>
    </row>
    <row r="110" spans="1:52" ht="16.5" thickBot="1" x14ac:dyDescent="0.3">
      <c r="A110" s="75">
        <v>355</v>
      </c>
      <c r="B110" s="75" t="s">
        <v>89</v>
      </c>
      <c r="C110" s="121"/>
      <c r="D110" s="26">
        <f t="shared" si="21"/>
        <v>0</v>
      </c>
      <c r="E110" s="27">
        <f t="shared" si="22"/>
        <v>0</v>
      </c>
      <c r="F110" s="29">
        <f t="shared" si="23"/>
        <v>0</v>
      </c>
      <c r="G110" s="30">
        <v>0</v>
      </c>
      <c r="H110" s="31">
        <v>0</v>
      </c>
      <c r="I110" s="32">
        <v>0</v>
      </c>
      <c r="J110" s="130"/>
      <c r="K110" s="33"/>
      <c r="L110" s="34"/>
      <c r="M110" s="34"/>
      <c r="N110" s="62"/>
      <c r="O110" s="34"/>
      <c r="P110" s="34"/>
      <c r="Q110" s="34"/>
      <c r="R110" s="62"/>
      <c r="S110" s="37"/>
      <c r="T110" s="34"/>
      <c r="U110" s="34"/>
      <c r="V110" s="62"/>
      <c r="W110" s="38"/>
      <c r="X110" s="31"/>
      <c r="Y110" s="31"/>
      <c r="Z110" s="78"/>
      <c r="AA110" s="37"/>
      <c r="AB110" s="34"/>
      <c r="AC110" s="34"/>
      <c r="AD110" s="64"/>
      <c r="AE110" s="122"/>
      <c r="AF110" s="123"/>
      <c r="AG110" s="43">
        <f t="shared" si="28"/>
        <v>0</v>
      </c>
      <c r="AH110" s="44">
        <f t="shared" si="28"/>
        <v>0</v>
      </c>
      <c r="AI110" s="44">
        <f t="shared" si="28"/>
        <v>0</v>
      </c>
      <c r="AJ110" s="45">
        <f t="shared" si="28"/>
        <v>0</v>
      </c>
      <c r="AK110" s="80">
        <f t="shared" si="17"/>
        <v>0</v>
      </c>
      <c r="AL110" s="47">
        <v>0.45</v>
      </c>
      <c r="AM110" s="48">
        <f t="shared" si="24"/>
        <v>0</v>
      </c>
      <c r="AN110" s="48">
        <f t="shared" si="25"/>
        <v>0</v>
      </c>
      <c r="AO110" s="49">
        <f t="shared" si="20"/>
        <v>0</v>
      </c>
      <c r="AP110" s="49">
        <f t="shared" si="18"/>
        <v>0</v>
      </c>
      <c r="AQ110" s="50">
        <f t="shared" si="19"/>
        <v>0</v>
      </c>
      <c r="AR110" s="124"/>
      <c r="AS110" s="125"/>
      <c r="AT110" s="126"/>
      <c r="AU110" s="84">
        <f t="shared" si="26"/>
        <v>0</v>
      </c>
      <c r="AV110" s="127"/>
      <c r="AW110" s="128"/>
      <c r="AX110" s="128"/>
      <c r="AY110" s="125"/>
      <c r="AZ110" s="129"/>
    </row>
    <row r="111" spans="1:52" ht="16.5" thickBot="1" x14ac:dyDescent="0.3">
      <c r="A111" s="75">
        <v>145</v>
      </c>
      <c r="B111" s="131" t="s">
        <v>79</v>
      </c>
      <c r="C111" s="132"/>
      <c r="D111" s="26">
        <f t="shared" si="21"/>
        <v>0</v>
      </c>
      <c r="E111" s="27">
        <f t="shared" si="22"/>
        <v>0</v>
      </c>
      <c r="F111" s="29">
        <f t="shared" si="23"/>
        <v>0</v>
      </c>
      <c r="G111" s="30">
        <v>0</v>
      </c>
      <c r="H111" s="31">
        <v>0</v>
      </c>
      <c r="I111" s="32">
        <v>0</v>
      </c>
      <c r="J111" s="130"/>
      <c r="K111" s="33"/>
      <c r="L111" s="34"/>
      <c r="M111" s="34"/>
      <c r="N111" s="62"/>
      <c r="O111" s="34"/>
      <c r="P111" s="34"/>
      <c r="Q111" s="34"/>
      <c r="R111" s="62"/>
      <c r="S111" s="37"/>
      <c r="T111" s="34"/>
      <c r="U111" s="34"/>
      <c r="V111" s="62"/>
      <c r="W111" s="38"/>
      <c r="X111" s="31"/>
      <c r="Y111" s="31"/>
      <c r="Z111" s="78"/>
      <c r="AA111" s="37"/>
      <c r="AB111" s="34"/>
      <c r="AC111" s="34"/>
      <c r="AD111" s="64"/>
      <c r="AE111" s="122"/>
      <c r="AF111" s="123"/>
      <c r="AG111" s="43">
        <f t="shared" si="28"/>
        <v>0</v>
      </c>
      <c r="AH111" s="44">
        <f t="shared" si="28"/>
        <v>0</v>
      </c>
      <c r="AI111" s="44">
        <f t="shared" si="28"/>
        <v>0</v>
      </c>
      <c r="AJ111" s="45">
        <f t="shared" si="28"/>
        <v>0</v>
      </c>
      <c r="AK111" s="80">
        <f t="shared" si="17"/>
        <v>0</v>
      </c>
      <c r="AL111" s="47">
        <v>0.25</v>
      </c>
      <c r="AM111" s="48">
        <f t="shared" si="24"/>
        <v>0</v>
      </c>
      <c r="AN111" s="48">
        <f t="shared" si="25"/>
        <v>0</v>
      </c>
      <c r="AO111" s="49">
        <f t="shared" si="20"/>
        <v>0</v>
      </c>
      <c r="AP111" s="49">
        <f t="shared" si="18"/>
        <v>0</v>
      </c>
      <c r="AQ111" s="50">
        <f t="shared" si="19"/>
        <v>0</v>
      </c>
      <c r="AR111" s="124"/>
      <c r="AS111" s="125"/>
      <c r="AT111" s="126"/>
      <c r="AU111" s="84">
        <f t="shared" si="26"/>
        <v>0</v>
      </c>
      <c r="AV111" s="127"/>
      <c r="AW111" s="128"/>
      <c r="AX111" s="128"/>
      <c r="AY111" s="125"/>
      <c r="AZ111" s="129"/>
    </row>
    <row r="112" spans="1:52" ht="16.5" thickBot="1" x14ac:dyDescent="0.3">
      <c r="A112" s="75"/>
      <c r="B112" s="131" t="s">
        <v>77</v>
      </c>
      <c r="C112" s="132"/>
      <c r="D112" s="26">
        <f t="shared" si="21"/>
        <v>0</v>
      </c>
      <c r="E112" s="27">
        <f t="shared" si="22"/>
        <v>0</v>
      </c>
      <c r="F112" s="29">
        <f t="shared" si="23"/>
        <v>0</v>
      </c>
      <c r="G112" s="30">
        <v>0</v>
      </c>
      <c r="H112" s="31">
        <v>0</v>
      </c>
      <c r="I112" s="32">
        <v>0</v>
      </c>
      <c r="J112" s="130"/>
      <c r="K112" s="33"/>
      <c r="L112" s="34"/>
      <c r="M112" s="34"/>
      <c r="N112" s="62"/>
      <c r="O112" s="34"/>
      <c r="P112" s="34"/>
      <c r="Q112" s="34"/>
      <c r="R112" s="62"/>
      <c r="S112" s="37"/>
      <c r="T112" s="34"/>
      <c r="U112" s="34"/>
      <c r="V112" s="62"/>
      <c r="W112" s="38"/>
      <c r="X112" s="31"/>
      <c r="Y112" s="31"/>
      <c r="Z112" s="78"/>
      <c r="AA112" s="37"/>
      <c r="AB112" s="34"/>
      <c r="AC112" s="34"/>
      <c r="AD112" s="64"/>
      <c r="AE112" s="122"/>
      <c r="AF112" s="123"/>
      <c r="AG112" s="43">
        <f t="shared" si="28"/>
        <v>0</v>
      </c>
      <c r="AH112" s="44">
        <f t="shared" si="28"/>
        <v>0</v>
      </c>
      <c r="AI112" s="44">
        <f t="shared" si="28"/>
        <v>0</v>
      </c>
      <c r="AJ112" s="45">
        <f t="shared" si="28"/>
        <v>0</v>
      </c>
      <c r="AK112" s="80">
        <f t="shared" si="17"/>
        <v>0</v>
      </c>
      <c r="AL112" s="47">
        <v>0.25</v>
      </c>
      <c r="AM112" s="48">
        <f t="shared" si="24"/>
        <v>0</v>
      </c>
      <c r="AN112" s="48">
        <f t="shared" si="25"/>
        <v>0</v>
      </c>
      <c r="AO112" s="49">
        <f t="shared" si="20"/>
        <v>0</v>
      </c>
      <c r="AP112" s="49">
        <f t="shared" si="18"/>
        <v>0</v>
      </c>
      <c r="AQ112" s="50">
        <f t="shared" si="19"/>
        <v>0</v>
      </c>
      <c r="AR112" s="124"/>
      <c r="AS112" s="125"/>
      <c r="AT112" s="126"/>
      <c r="AU112" s="84"/>
      <c r="AV112" s="127"/>
      <c r="AW112" s="128"/>
      <c r="AX112" s="128"/>
      <c r="AY112" s="125"/>
      <c r="AZ112" s="129"/>
    </row>
    <row r="113" spans="1:52" ht="16.5" thickBot="1" x14ac:dyDescent="0.3">
      <c r="A113" s="75"/>
      <c r="B113" s="131" t="s">
        <v>81</v>
      </c>
      <c r="C113" s="132"/>
      <c r="D113" s="26">
        <f t="shared" si="21"/>
        <v>0</v>
      </c>
      <c r="E113" s="27">
        <f t="shared" si="22"/>
        <v>0</v>
      </c>
      <c r="F113" s="29">
        <f t="shared" si="23"/>
        <v>0</v>
      </c>
      <c r="G113" s="30">
        <v>0</v>
      </c>
      <c r="H113" s="31">
        <v>0</v>
      </c>
      <c r="I113" s="32">
        <v>0</v>
      </c>
      <c r="J113" s="130"/>
      <c r="K113" s="33"/>
      <c r="L113" s="34"/>
      <c r="M113" s="34"/>
      <c r="N113" s="62"/>
      <c r="O113" s="34"/>
      <c r="P113" s="34"/>
      <c r="Q113" s="34"/>
      <c r="R113" s="62"/>
      <c r="S113" s="37"/>
      <c r="T113" s="34"/>
      <c r="U113" s="34"/>
      <c r="V113" s="62"/>
      <c r="W113" s="38"/>
      <c r="X113" s="31"/>
      <c r="Y113" s="31"/>
      <c r="Z113" s="78"/>
      <c r="AA113" s="37"/>
      <c r="AB113" s="34"/>
      <c r="AC113" s="34"/>
      <c r="AD113" s="64"/>
      <c r="AE113" s="122"/>
      <c r="AF113" s="123"/>
      <c r="AG113" s="43">
        <f t="shared" si="28"/>
        <v>0</v>
      </c>
      <c r="AH113" s="44">
        <f t="shared" si="28"/>
        <v>0</v>
      </c>
      <c r="AI113" s="44">
        <f t="shared" si="28"/>
        <v>0</v>
      </c>
      <c r="AJ113" s="45">
        <f t="shared" si="28"/>
        <v>0</v>
      </c>
      <c r="AK113" s="80">
        <f t="shared" si="17"/>
        <v>0</v>
      </c>
      <c r="AL113" s="47">
        <v>0.25</v>
      </c>
      <c r="AM113" s="48">
        <f t="shared" si="24"/>
        <v>0</v>
      </c>
      <c r="AN113" s="48">
        <f t="shared" si="25"/>
        <v>0</v>
      </c>
      <c r="AO113" s="49">
        <f t="shared" si="20"/>
        <v>0</v>
      </c>
      <c r="AP113" s="49">
        <f t="shared" si="18"/>
        <v>0</v>
      </c>
      <c r="AQ113" s="50">
        <f t="shared" si="19"/>
        <v>0</v>
      </c>
      <c r="AR113" s="124"/>
      <c r="AS113" s="125"/>
      <c r="AT113" s="126"/>
      <c r="AU113" s="84"/>
      <c r="AV113" s="127"/>
      <c r="AW113" s="128"/>
      <c r="AX113" s="128"/>
      <c r="AY113" s="125"/>
      <c r="AZ113" s="129"/>
    </row>
    <row r="114" spans="1:52" ht="16.5" thickBot="1" x14ac:dyDescent="0.3">
      <c r="A114" s="75"/>
      <c r="B114" s="131" t="s">
        <v>75</v>
      </c>
      <c r="C114" s="132"/>
      <c r="D114" s="26">
        <f t="shared" si="21"/>
        <v>0</v>
      </c>
      <c r="E114" s="27">
        <f t="shared" si="22"/>
        <v>0</v>
      </c>
      <c r="F114" s="29">
        <f t="shared" si="23"/>
        <v>0</v>
      </c>
      <c r="G114" s="30">
        <v>0</v>
      </c>
      <c r="H114" s="31">
        <v>0</v>
      </c>
      <c r="I114" s="32">
        <v>0</v>
      </c>
      <c r="J114" s="130"/>
      <c r="K114" s="33"/>
      <c r="L114" s="34"/>
      <c r="M114" s="34"/>
      <c r="N114" s="62"/>
      <c r="O114" s="34"/>
      <c r="P114" s="34"/>
      <c r="Q114" s="34"/>
      <c r="R114" s="62"/>
      <c r="S114" s="37"/>
      <c r="T114" s="34"/>
      <c r="U114" s="34"/>
      <c r="V114" s="62"/>
      <c r="W114" s="38"/>
      <c r="X114" s="31"/>
      <c r="Y114" s="31"/>
      <c r="Z114" s="78"/>
      <c r="AA114" s="37"/>
      <c r="AB114" s="34"/>
      <c r="AC114" s="34"/>
      <c r="AD114" s="64"/>
      <c r="AE114" s="122"/>
      <c r="AF114" s="123"/>
      <c r="AG114" s="43">
        <f t="shared" si="28"/>
        <v>0</v>
      </c>
      <c r="AH114" s="44">
        <f t="shared" si="28"/>
        <v>0</v>
      </c>
      <c r="AI114" s="44">
        <f t="shared" si="28"/>
        <v>0</v>
      </c>
      <c r="AJ114" s="45">
        <f t="shared" si="28"/>
        <v>0</v>
      </c>
      <c r="AK114" s="80">
        <f t="shared" si="17"/>
        <v>0</v>
      </c>
      <c r="AL114" s="47">
        <v>0.25</v>
      </c>
      <c r="AM114" s="48">
        <f t="shared" si="24"/>
        <v>0</v>
      </c>
      <c r="AN114" s="48">
        <f t="shared" si="25"/>
        <v>0</v>
      </c>
      <c r="AO114" s="49">
        <f t="shared" si="20"/>
        <v>0</v>
      </c>
      <c r="AP114" s="49">
        <f t="shared" si="18"/>
        <v>0</v>
      </c>
      <c r="AQ114" s="50">
        <f t="shared" si="19"/>
        <v>0</v>
      </c>
      <c r="AR114" s="124"/>
      <c r="AS114" s="125"/>
      <c r="AT114" s="126"/>
      <c r="AU114" s="84"/>
      <c r="AV114" s="127"/>
      <c r="AW114" s="128"/>
      <c r="AX114" s="128"/>
      <c r="AY114" s="125"/>
      <c r="AZ114" s="129"/>
    </row>
    <row r="115" spans="1:52" ht="16.5" thickBot="1" x14ac:dyDescent="0.3">
      <c r="A115" s="75"/>
      <c r="B115" s="131" t="s">
        <v>82</v>
      </c>
      <c r="C115" s="132"/>
      <c r="D115" s="26">
        <f t="shared" si="21"/>
        <v>0</v>
      </c>
      <c r="E115" s="27">
        <f t="shared" si="22"/>
        <v>0</v>
      </c>
      <c r="F115" s="29">
        <f t="shared" si="23"/>
        <v>0</v>
      </c>
      <c r="G115" s="30">
        <v>0</v>
      </c>
      <c r="H115" s="31">
        <v>0</v>
      </c>
      <c r="I115" s="32">
        <v>0</v>
      </c>
      <c r="J115" s="130"/>
      <c r="K115" s="33"/>
      <c r="L115" s="34"/>
      <c r="M115" s="34"/>
      <c r="N115" s="62"/>
      <c r="O115" s="34"/>
      <c r="P115" s="34"/>
      <c r="Q115" s="34"/>
      <c r="R115" s="62"/>
      <c r="S115" s="37"/>
      <c r="T115" s="34"/>
      <c r="U115" s="34"/>
      <c r="V115" s="62"/>
      <c r="W115" s="38"/>
      <c r="X115" s="31"/>
      <c r="Y115" s="31"/>
      <c r="Z115" s="78"/>
      <c r="AA115" s="37"/>
      <c r="AB115" s="34"/>
      <c r="AC115" s="34"/>
      <c r="AD115" s="64"/>
      <c r="AE115" s="122"/>
      <c r="AF115" s="123"/>
      <c r="AG115" s="43">
        <f t="shared" si="28"/>
        <v>0</v>
      </c>
      <c r="AH115" s="44">
        <f t="shared" si="28"/>
        <v>0</v>
      </c>
      <c r="AI115" s="44">
        <f t="shared" si="28"/>
        <v>0</v>
      </c>
      <c r="AJ115" s="45">
        <f t="shared" si="28"/>
        <v>0</v>
      </c>
      <c r="AK115" s="80">
        <f t="shared" si="17"/>
        <v>0</v>
      </c>
      <c r="AL115" s="47">
        <v>0.25</v>
      </c>
      <c r="AM115" s="48">
        <f t="shared" si="24"/>
        <v>0</v>
      </c>
      <c r="AN115" s="48">
        <f t="shared" si="25"/>
        <v>0</v>
      </c>
      <c r="AO115" s="49">
        <f t="shared" si="20"/>
        <v>0</v>
      </c>
      <c r="AP115" s="49">
        <f t="shared" si="18"/>
        <v>0</v>
      </c>
      <c r="AQ115" s="50">
        <f t="shared" si="19"/>
        <v>0</v>
      </c>
      <c r="AR115" s="124"/>
      <c r="AS115" s="125"/>
      <c r="AT115" s="126"/>
      <c r="AU115" s="84"/>
      <c r="AV115" s="127"/>
      <c r="AW115" s="128"/>
      <c r="AX115" s="128"/>
      <c r="AY115" s="125"/>
      <c r="AZ115" s="129"/>
    </row>
    <row r="116" spans="1:52" ht="16.5" thickBot="1" x14ac:dyDescent="0.3">
      <c r="A116" s="75"/>
      <c r="B116" s="131" t="s">
        <v>78</v>
      </c>
      <c r="C116" s="132"/>
      <c r="D116" s="26">
        <f t="shared" si="21"/>
        <v>0</v>
      </c>
      <c r="E116" s="27">
        <f t="shared" si="22"/>
        <v>0</v>
      </c>
      <c r="F116" s="29">
        <f t="shared" si="23"/>
        <v>0</v>
      </c>
      <c r="G116" s="30">
        <v>0</v>
      </c>
      <c r="H116" s="31">
        <v>0</v>
      </c>
      <c r="I116" s="32">
        <v>0</v>
      </c>
      <c r="J116" s="130"/>
      <c r="K116" s="33"/>
      <c r="L116" s="34"/>
      <c r="M116" s="34"/>
      <c r="N116" s="62"/>
      <c r="O116" s="34"/>
      <c r="P116" s="34"/>
      <c r="Q116" s="34"/>
      <c r="R116" s="62"/>
      <c r="S116" s="37"/>
      <c r="T116" s="34"/>
      <c r="U116" s="34"/>
      <c r="V116" s="62"/>
      <c r="W116" s="38"/>
      <c r="X116" s="31"/>
      <c r="Y116" s="31"/>
      <c r="Z116" s="78"/>
      <c r="AA116" s="37"/>
      <c r="AB116" s="34"/>
      <c r="AC116" s="34"/>
      <c r="AD116" s="64"/>
      <c r="AE116" s="122"/>
      <c r="AF116" s="123"/>
      <c r="AG116" s="43">
        <f t="shared" si="28"/>
        <v>0</v>
      </c>
      <c r="AH116" s="44">
        <f t="shared" si="28"/>
        <v>0</v>
      </c>
      <c r="AI116" s="44">
        <f t="shared" si="28"/>
        <v>0</v>
      </c>
      <c r="AJ116" s="45">
        <f t="shared" si="28"/>
        <v>0</v>
      </c>
      <c r="AK116" s="80">
        <f t="shared" si="17"/>
        <v>0</v>
      </c>
      <c r="AL116" s="47">
        <v>0.25</v>
      </c>
      <c r="AM116" s="48">
        <f t="shared" si="24"/>
        <v>0</v>
      </c>
      <c r="AN116" s="48">
        <f t="shared" si="25"/>
        <v>0</v>
      </c>
      <c r="AO116" s="49">
        <f t="shared" si="20"/>
        <v>0</v>
      </c>
      <c r="AP116" s="49">
        <f t="shared" si="18"/>
        <v>0</v>
      </c>
      <c r="AQ116" s="50">
        <f t="shared" si="19"/>
        <v>0</v>
      </c>
      <c r="AR116" s="124"/>
      <c r="AS116" s="125"/>
      <c r="AT116" s="126"/>
      <c r="AU116" s="84"/>
      <c r="AV116" s="127"/>
      <c r="AW116" s="128"/>
      <c r="AX116" s="128"/>
      <c r="AY116" s="125"/>
      <c r="AZ116" s="129"/>
    </row>
    <row r="117" spans="1:52" ht="16.5" thickBot="1" x14ac:dyDescent="0.3">
      <c r="A117" s="75"/>
      <c r="B117" s="131" t="s">
        <v>90</v>
      </c>
      <c r="C117" s="132"/>
      <c r="D117" s="26">
        <f t="shared" si="21"/>
        <v>0</v>
      </c>
      <c r="E117" s="27">
        <f t="shared" si="22"/>
        <v>0</v>
      </c>
      <c r="F117" s="29">
        <f t="shared" si="23"/>
        <v>0</v>
      </c>
      <c r="G117" s="30">
        <v>0</v>
      </c>
      <c r="H117" s="31">
        <v>0</v>
      </c>
      <c r="I117" s="32">
        <v>0</v>
      </c>
      <c r="J117" s="130"/>
      <c r="K117" s="33"/>
      <c r="L117" s="34"/>
      <c r="M117" s="34"/>
      <c r="N117" s="62"/>
      <c r="O117" s="34"/>
      <c r="P117" s="34"/>
      <c r="Q117" s="34"/>
      <c r="R117" s="62"/>
      <c r="S117" s="37"/>
      <c r="T117" s="34"/>
      <c r="U117" s="34"/>
      <c r="V117" s="62"/>
      <c r="W117" s="38"/>
      <c r="X117" s="31"/>
      <c r="Y117" s="31"/>
      <c r="Z117" s="78"/>
      <c r="AA117" s="37"/>
      <c r="AB117" s="34"/>
      <c r="AC117" s="34"/>
      <c r="AD117" s="64"/>
      <c r="AE117" s="122"/>
      <c r="AF117" s="123"/>
      <c r="AG117" s="43">
        <f t="shared" si="28"/>
        <v>0</v>
      </c>
      <c r="AH117" s="44">
        <f t="shared" si="28"/>
        <v>0</v>
      </c>
      <c r="AI117" s="44">
        <f t="shared" si="28"/>
        <v>0</v>
      </c>
      <c r="AJ117" s="45">
        <f t="shared" si="28"/>
        <v>0</v>
      </c>
      <c r="AK117" s="80">
        <f t="shared" si="17"/>
        <v>0</v>
      </c>
      <c r="AL117" s="47">
        <v>0.25</v>
      </c>
      <c r="AM117" s="48">
        <f t="shared" si="24"/>
        <v>0</v>
      </c>
      <c r="AN117" s="48">
        <f t="shared" si="25"/>
        <v>0</v>
      </c>
      <c r="AO117" s="49">
        <f t="shared" si="20"/>
        <v>0</v>
      </c>
      <c r="AP117" s="49">
        <f t="shared" si="18"/>
        <v>0</v>
      </c>
      <c r="AQ117" s="50">
        <f t="shared" si="19"/>
        <v>0</v>
      </c>
      <c r="AR117" s="124"/>
      <c r="AS117" s="125"/>
      <c r="AT117" s="126"/>
      <c r="AU117" s="84"/>
      <c r="AV117" s="127"/>
      <c r="AW117" s="128"/>
      <c r="AX117" s="128"/>
      <c r="AY117" s="125"/>
      <c r="AZ117" s="129"/>
    </row>
    <row r="118" spans="1:52" ht="16.5" thickBot="1" x14ac:dyDescent="0.3">
      <c r="A118" s="75">
        <v>250</v>
      </c>
      <c r="B118" s="75" t="s">
        <v>26</v>
      </c>
      <c r="C118" s="133"/>
      <c r="D118" s="26">
        <f t="shared" si="21"/>
        <v>0</v>
      </c>
      <c r="E118" s="27">
        <f t="shared" si="22"/>
        <v>0</v>
      </c>
      <c r="F118" s="29">
        <f t="shared" si="23"/>
        <v>0</v>
      </c>
      <c r="G118" s="30">
        <v>0</v>
      </c>
      <c r="H118" s="31">
        <v>0</v>
      </c>
      <c r="I118" s="32">
        <v>0</v>
      </c>
      <c r="J118" s="130"/>
      <c r="K118" s="33"/>
      <c r="L118" s="34"/>
      <c r="M118" s="34"/>
      <c r="N118" s="62"/>
      <c r="O118" s="34"/>
      <c r="P118" s="34"/>
      <c r="Q118" s="34"/>
      <c r="R118" s="62"/>
      <c r="S118" s="37"/>
      <c r="T118" s="34"/>
      <c r="U118" s="34"/>
      <c r="V118" s="62"/>
      <c r="W118" s="38"/>
      <c r="X118" s="31"/>
      <c r="Y118" s="31"/>
      <c r="Z118" s="78"/>
      <c r="AA118" s="37"/>
      <c r="AB118" s="34"/>
      <c r="AC118" s="34"/>
      <c r="AD118" s="64"/>
      <c r="AE118" s="122"/>
      <c r="AF118" s="123"/>
      <c r="AG118" s="43">
        <f t="shared" si="28"/>
        <v>0</v>
      </c>
      <c r="AH118" s="44">
        <f t="shared" si="28"/>
        <v>0</v>
      </c>
      <c r="AI118" s="44">
        <f t="shared" si="28"/>
        <v>0</v>
      </c>
      <c r="AJ118" s="45">
        <f t="shared" si="28"/>
        <v>0</v>
      </c>
      <c r="AK118" s="80">
        <f t="shared" si="17"/>
        <v>0</v>
      </c>
      <c r="AL118" s="47">
        <v>1</v>
      </c>
      <c r="AM118" s="48">
        <f t="shared" si="24"/>
        <v>0</v>
      </c>
      <c r="AN118" s="48">
        <f t="shared" si="25"/>
        <v>0</v>
      </c>
      <c r="AO118" s="49">
        <f t="shared" si="20"/>
        <v>0</v>
      </c>
      <c r="AP118" s="49">
        <f t="shared" si="18"/>
        <v>0</v>
      </c>
      <c r="AQ118" s="50">
        <f t="shared" si="19"/>
        <v>0</v>
      </c>
      <c r="AR118" s="124"/>
      <c r="AS118" s="125"/>
      <c r="AT118" s="126"/>
      <c r="AU118" s="84">
        <f>AK118*AL118</f>
        <v>0</v>
      </c>
      <c r="AV118" s="127"/>
      <c r="AW118" s="128"/>
      <c r="AX118" s="128"/>
      <c r="AY118" s="125"/>
      <c r="AZ118" s="129"/>
    </row>
    <row r="119" spans="1:52" ht="16.5" thickBot="1" x14ac:dyDescent="0.3">
      <c r="A119" s="75">
        <v>250</v>
      </c>
      <c r="B119" s="75" t="s">
        <v>91</v>
      </c>
      <c r="C119" s="133"/>
      <c r="D119" s="26">
        <f t="shared" si="21"/>
        <v>0</v>
      </c>
      <c r="E119" s="27">
        <f t="shared" si="22"/>
        <v>0</v>
      </c>
      <c r="F119" s="29">
        <f t="shared" si="23"/>
        <v>0</v>
      </c>
      <c r="G119" s="30">
        <v>0</v>
      </c>
      <c r="H119" s="31">
        <v>0</v>
      </c>
      <c r="I119" s="32">
        <v>0</v>
      </c>
      <c r="J119" s="130"/>
      <c r="K119" s="33"/>
      <c r="L119" s="34"/>
      <c r="M119" s="34"/>
      <c r="N119" s="62"/>
      <c r="O119" s="34"/>
      <c r="P119" s="34"/>
      <c r="Q119" s="34"/>
      <c r="R119" s="62"/>
      <c r="S119" s="37"/>
      <c r="T119" s="34"/>
      <c r="U119" s="34"/>
      <c r="V119" s="62"/>
      <c r="W119" s="38"/>
      <c r="X119" s="31"/>
      <c r="Y119" s="31"/>
      <c r="Z119" s="78"/>
      <c r="AA119" s="37"/>
      <c r="AB119" s="34"/>
      <c r="AC119" s="34"/>
      <c r="AD119" s="64"/>
      <c r="AE119" s="122"/>
      <c r="AF119" s="123"/>
      <c r="AG119" s="43">
        <f t="shared" si="28"/>
        <v>0</v>
      </c>
      <c r="AH119" s="44">
        <f t="shared" si="28"/>
        <v>0</v>
      </c>
      <c r="AI119" s="44">
        <f t="shared" si="28"/>
        <v>0</v>
      </c>
      <c r="AJ119" s="45">
        <f t="shared" si="28"/>
        <v>0</v>
      </c>
      <c r="AK119" s="80">
        <f t="shared" si="17"/>
        <v>0</v>
      </c>
      <c r="AL119" s="47">
        <v>0.5</v>
      </c>
      <c r="AM119" s="48">
        <f t="shared" si="24"/>
        <v>0</v>
      </c>
      <c r="AN119" s="48">
        <f t="shared" si="25"/>
        <v>0</v>
      </c>
      <c r="AO119" s="49">
        <f t="shared" si="20"/>
        <v>0</v>
      </c>
      <c r="AP119" s="49">
        <f t="shared" si="18"/>
        <v>0</v>
      </c>
      <c r="AQ119" s="50">
        <f t="shared" si="19"/>
        <v>0</v>
      </c>
      <c r="AR119" s="124"/>
      <c r="AS119" s="125"/>
      <c r="AT119" s="126"/>
      <c r="AU119" s="84"/>
      <c r="AV119" s="127"/>
      <c r="AW119" s="128"/>
      <c r="AX119" s="128"/>
      <c r="AY119" s="125"/>
      <c r="AZ119" s="129"/>
    </row>
    <row r="120" spans="1:52" ht="16.5" thickBot="1" x14ac:dyDescent="0.3">
      <c r="A120" s="75">
        <v>1000</v>
      </c>
      <c r="B120" s="75" t="s">
        <v>91</v>
      </c>
      <c r="C120" s="133"/>
      <c r="D120" s="26">
        <f t="shared" si="21"/>
        <v>0</v>
      </c>
      <c r="E120" s="27">
        <f t="shared" si="22"/>
        <v>0</v>
      </c>
      <c r="F120" s="29">
        <f t="shared" si="23"/>
        <v>0</v>
      </c>
      <c r="G120" s="30">
        <v>0</v>
      </c>
      <c r="H120" s="31">
        <v>0</v>
      </c>
      <c r="I120" s="32">
        <v>0</v>
      </c>
      <c r="J120" s="130"/>
      <c r="K120" s="33"/>
      <c r="L120" s="34"/>
      <c r="M120" s="34"/>
      <c r="N120" s="62"/>
      <c r="O120" s="34"/>
      <c r="P120" s="34"/>
      <c r="Q120" s="34"/>
      <c r="R120" s="62"/>
      <c r="S120" s="37"/>
      <c r="T120" s="34"/>
      <c r="U120" s="34"/>
      <c r="V120" s="62"/>
      <c r="W120" s="38"/>
      <c r="X120" s="31"/>
      <c r="Y120" s="31"/>
      <c r="Z120" s="78"/>
      <c r="AA120" s="37"/>
      <c r="AB120" s="34"/>
      <c r="AC120" s="34"/>
      <c r="AD120" s="64"/>
      <c r="AE120" s="122"/>
      <c r="AF120" s="123"/>
      <c r="AG120" s="43">
        <f t="shared" si="28"/>
        <v>0</v>
      </c>
      <c r="AH120" s="44">
        <f t="shared" si="28"/>
        <v>0</v>
      </c>
      <c r="AI120" s="44">
        <f t="shared" si="28"/>
        <v>0</v>
      </c>
      <c r="AJ120" s="45">
        <f t="shared" si="28"/>
        <v>0</v>
      </c>
      <c r="AK120" s="80">
        <f t="shared" si="17"/>
        <v>0</v>
      </c>
      <c r="AL120" s="47">
        <v>0.5</v>
      </c>
      <c r="AM120" s="48">
        <f t="shared" si="24"/>
        <v>0</v>
      </c>
      <c r="AN120" s="48">
        <f t="shared" si="25"/>
        <v>0</v>
      </c>
      <c r="AO120" s="49">
        <f t="shared" si="20"/>
        <v>0</v>
      </c>
      <c r="AP120" s="49">
        <f t="shared" si="18"/>
        <v>0</v>
      </c>
      <c r="AQ120" s="50">
        <f t="shared" si="19"/>
        <v>0</v>
      </c>
      <c r="AR120" s="124"/>
      <c r="AS120" s="125"/>
      <c r="AT120" s="126"/>
      <c r="AU120" s="84"/>
      <c r="AV120" s="127"/>
      <c r="AW120" s="128"/>
      <c r="AX120" s="128"/>
      <c r="AY120" s="125"/>
      <c r="AZ120" s="129"/>
    </row>
    <row r="121" spans="1:52" ht="16.5" thickBot="1" x14ac:dyDescent="0.3">
      <c r="A121" s="75">
        <v>250</v>
      </c>
      <c r="B121" s="75" t="s">
        <v>92</v>
      </c>
      <c r="C121" s="133"/>
      <c r="D121" s="26">
        <f t="shared" si="21"/>
        <v>0</v>
      </c>
      <c r="E121" s="27">
        <f t="shared" si="22"/>
        <v>0</v>
      </c>
      <c r="F121" s="29">
        <f t="shared" si="23"/>
        <v>0</v>
      </c>
      <c r="G121" s="30">
        <v>0</v>
      </c>
      <c r="H121" s="31">
        <v>0</v>
      </c>
      <c r="I121" s="32">
        <v>0</v>
      </c>
      <c r="J121" s="130"/>
      <c r="K121" s="33"/>
      <c r="L121" s="34"/>
      <c r="M121" s="34"/>
      <c r="N121" s="62"/>
      <c r="O121" s="34"/>
      <c r="P121" s="34"/>
      <c r="Q121" s="34"/>
      <c r="R121" s="62"/>
      <c r="S121" s="37"/>
      <c r="T121" s="34"/>
      <c r="U121" s="34"/>
      <c r="V121" s="62"/>
      <c r="W121" s="38"/>
      <c r="X121" s="31"/>
      <c r="Y121" s="31"/>
      <c r="Z121" s="78"/>
      <c r="AA121" s="37"/>
      <c r="AB121" s="34"/>
      <c r="AC121" s="34"/>
      <c r="AD121" s="64"/>
      <c r="AE121" s="122"/>
      <c r="AF121" s="123"/>
      <c r="AG121" s="43">
        <f t="shared" si="28"/>
        <v>0</v>
      </c>
      <c r="AH121" s="44">
        <f t="shared" si="28"/>
        <v>0</v>
      </c>
      <c r="AI121" s="44">
        <f t="shared" si="28"/>
        <v>0</v>
      </c>
      <c r="AJ121" s="45">
        <f t="shared" si="28"/>
        <v>0</v>
      </c>
      <c r="AK121" s="80">
        <f t="shared" si="17"/>
        <v>0</v>
      </c>
      <c r="AL121" s="47">
        <v>0.5</v>
      </c>
      <c r="AM121" s="48">
        <f t="shared" si="24"/>
        <v>0</v>
      </c>
      <c r="AN121" s="48">
        <f t="shared" si="25"/>
        <v>0</v>
      </c>
      <c r="AO121" s="49">
        <f t="shared" si="20"/>
        <v>0</v>
      </c>
      <c r="AP121" s="49">
        <f t="shared" si="18"/>
        <v>0</v>
      </c>
      <c r="AQ121" s="50">
        <f t="shared" si="19"/>
        <v>0</v>
      </c>
      <c r="AR121" s="124"/>
      <c r="AS121" s="125"/>
      <c r="AT121" s="126"/>
      <c r="AU121" s="84"/>
      <c r="AV121" s="127"/>
      <c r="AW121" s="128"/>
      <c r="AX121" s="128"/>
      <c r="AY121" s="125"/>
      <c r="AZ121" s="129"/>
    </row>
    <row r="122" spans="1:52" ht="16.5" thickBot="1" x14ac:dyDescent="0.3">
      <c r="A122" s="75">
        <v>1.5</v>
      </c>
      <c r="B122" s="75" t="s">
        <v>93</v>
      </c>
      <c r="C122" s="133"/>
      <c r="D122" s="26">
        <f t="shared" si="21"/>
        <v>0</v>
      </c>
      <c r="E122" s="27">
        <f t="shared" si="22"/>
        <v>0</v>
      </c>
      <c r="F122" s="29">
        <f t="shared" si="23"/>
        <v>0</v>
      </c>
      <c r="G122" s="30">
        <v>3</v>
      </c>
      <c r="H122" s="31">
        <v>2</v>
      </c>
      <c r="I122" s="32">
        <v>3</v>
      </c>
      <c r="J122" s="130"/>
      <c r="K122" s="33"/>
      <c r="L122" s="34"/>
      <c r="M122" s="34"/>
      <c r="N122" s="62"/>
      <c r="O122" s="34"/>
      <c r="P122" s="34"/>
      <c r="Q122" s="34"/>
      <c r="R122" s="62"/>
      <c r="S122" s="37"/>
      <c r="T122" s="34"/>
      <c r="U122" s="34"/>
      <c r="V122" s="62"/>
      <c r="W122" s="38"/>
      <c r="X122" s="31"/>
      <c r="Y122" s="31"/>
      <c r="Z122" s="78"/>
      <c r="AA122" s="37"/>
      <c r="AB122" s="34"/>
      <c r="AC122" s="34"/>
      <c r="AD122" s="64"/>
      <c r="AE122" s="122"/>
      <c r="AF122" s="123"/>
      <c r="AG122" s="43">
        <f t="shared" si="28"/>
        <v>3</v>
      </c>
      <c r="AH122" s="44">
        <f t="shared" si="28"/>
        <v>2</v>
      </c>
      <c r="AI122" s="44">
        <f t="shared" si="28"/>
        <v>3</v>
      </c>
      <c r="AJ122" s="45">
        <f t="shared" si="28"/>
        <v>0</v>
      </c>
      <c r="AK122" s="80">
        <f t="shared" si="17"/>
        <v>8</v>
      </c>
      <c r="AL122" s="47">
        <v>0.75</v>
      </c>
      <c r="AM122" s="48">
        <f t="shared" si="24"/>
        <v>2.25</v>
      </c>
      <c r="AN122" s="48">
        <f t="shared" si="25"/>
        <v>1.5</v>
      </c>
      <c r="AO122" s="49">
        <f t="shared" si="20"/>
        <v>2.25</v>
      </c>
      <c r="AP122" s="49">
        <f t="shared" si="18"/>
        <v>0</v>
      </c>
      <c r="AQ122" s="50">
        <f t="shared" si="19"/>
        <v>480</v>
      </c>
      <c r="AR122" s="124"/>
      <c r="AS122" s="125"/>
      <c r="AT122" s="126"/>
      <c r="AU122" s="84">
        <f>AK122*AL122</f>
        <v>6</v>
      </c>
      <c r="AV122" s="127"/>
      <c r="AW122" s="128"/>
      <c r="AX122" s="128"/>
      <c r="AY122" s="125"/>
      <c r="AZ122" s="129"/>
    </row>
    <row r="123" spans="1:52" ht="16.5" thickBot="1" x14ac:dyDescent="0.3">
      <c r="A123" s="75">
        <v>1.5</v>
      </c>
      <c r="B123" s="75" t="s">
        <v>82</v>
      </c>
      <c r="C123" s="133"/>
      <c r="D123" s="26">
        <f t="shared" si="21"/>
        <v>0</v>
      </c>
      <c r="E123" s="27">
        <f t="shared" si="22"/>
        <v>0</v>
      </c>
      <c r="F123" s="29">
        <f t="shared" si="23"/>
        <v>0</v>
      </c>
      <c r="G123" s="30">
        <v>2</v>
      </c>
      <c r="H123" s="31">
        <v>1</v>
      </c>
      <c r="I123" s="32">
        <v>0</v>
      </c>
      <c r="J123" s="130"/>
      <c r="K123" s="33"/>
      <c r="L123" s="34"/>
      <c r="M123" s="34"/>
      <c r="N123" s="62"/>
      <c r="O123" s="34"/>
      <c r="P123" s="34"/>
      <c r="Q123" s="34"/>
      <c r="R123" s="62"/>
      <c r="S123" s="37"/>
      <c r="T123" s="34"/>
      <c r="U123" s="34"/>
      <c r="V123" s="62"/>
      <c r="W123" s="38"/>
      <c r="X123" s="31"/>
      <c r="Y123" s="31"/>
      <c r="Z123" s="78"/>
      <c r="AA123" s="37"/>
      <c r="AB123" s="34"/>
      <c r="AC123" s="34"/>
      <c r="AD123" s="64"/>
      <c r="AE123" s="122"/>
      <c r="AF123" s="123"/>
      <c r="AG123" s="43">
        <f t="shared" si="28"/>
        <v>2</v>
      </c>
      <c r="AH123" s="44">
        <f t="shared" si="28"/>
        <v>1</v>
      </c>
      <c r="AI123" s="44">
        <f t="shared" si="28"/>
        <v>0</v>
      </c>
      <c r="AJ123" s="45">
        <f t="shared" si="28"/>
        <v>0</v>
      </c>
      <c r="AK123" s="80">
        <f t="shared" si="17"/>
        <v>3</v>
      </c>
      <c r="AL123" s="47">
        <v>0.75</v>
      </c>
      <c r="AM123" s="48">
        <f t="shared" si="24"/>
        <v>1.5</v>
      </c>
      <c r="AN123" s="48">
        <f t="shared" si="25"/>
        <v>0.75</v>
      </c>
      <c r="AO123" s="49">
        <f t="shared" si="20"/>
        <v>0</v>
      </c>
      <c r="AP123" s="49">
        <f t="shared" si="18"/>
        <v>0</v>
      </c>
      <c r="AQ123" s="50">
        <f t="shared" si="19"/>
        <v>180</v>
      </c>
      <c r="AR123" s="124"/>
      <c r="AS123" s="125"/>
      <c r="AT123" s="126"/>
      <c r="AU123" s="84"/>
      <c r="AV123" s="127"/>
      <c r="AW123" s="128"/>
      <c r="AX123" s="128"/>
      <c r="AY123" s="125"/>
      <c r="AZ123" s="129"/>
    </row>
    <row r="124" spans="1:52" ht="16.5" thickBot="1" x14ac:dyDescent="0.3">
      <c r="A124" s="75">
        <v>250</v>
      </c>
      <c r="B124" s="75" t="s">
        <v>27</v>
      </c>
      <c r="C124" s="133"/>
      <c r="D124" s="26">
        <f t="shared" si="21"/>
        <v>0</v>
      </c>
      <c r="E124" s="27">
        <f t="shared" si="22"/>
        <v>0</v>
      </c>
      <c r="F124" s="29">
        <f t="shared" si="23"/>
        <v>0</v>
      </c>
      <c r="G124" s="30">
        <v>0</v>
      </c>
      <c r="H124" s="31">
        <v>0</v>
      </c>
      <c r="I124" s="32">
        <v>0</v>
      </c>
      <c r="J124" s="130"/>
      <c r="K124" s="33"/>
      <c r="L124" s="34"/>
      <c r="M124" s="34"/>
      <c r="N124" s="62"/>
      <c r="O124" s="34"/>
      <c r="P124" s="34"/>
      <c r="Q124" s="34"/>
      <c r="R124" s="62"/>
      <c r="S124" s="37"/>
      <c r="T124" s="34"/>
      <c r="U124" s="34"/>
      <c r="V124" s="62"/>
      <c r="W124" s="38"/>
      <c r="X124" s="31"/>
      <c r="Y124" s="31"/>
      <c r="Z124" s="78"/>
      <c r="AA124" s="37"/>
      <c r="AB124" s="34"/>
      <c r="AC124" s="34"/>
      <c r="AD124" s="64"/>
      <c r="AE124" s="122"/>
      <c r="AF124" s="123"/>
      <c r="AG124" s="43">
        <f t="shared" si="28"/>
        <v>0</v>
      </c>
      <c r="AH124" s="44">
        <f t="shared" si="28"/>
        <v>0</v>
      </c>
      <c r="AI124" s="44">
        <f t="shared" si="28"/>
        <v>0</v>
      </c>
      <c r="AJ124" s="45">
        <f t="shared" si="28"/>
        <v>0</v>
      </c>
      <c r="AK124" s="80">
        <f t="shared" si="17"/>
        <v>0</v>
      </c>
      <c r="AL124" s="47">
        <v>1</v>
      </c>
      <c r="AM124" s="48">
        <f t="shared" si="24"/>
        <v>0</v>
      </c>
      <c r="AN124" s="48">
        <f t="shared" si="25"/>
        <v>0</v>
      </c>
      <c r="AO124" s="49">
        <f t="shared" si="20"/>
        <v>0</v>
      </c>
      <c r="AP124" s="49">
        <f t="shared" si="18"/>
        <v>0</v>
      </c>
      <c r="AQ124" s="50">
        <f t="shared" si="19"/>
        <v>0</v>
      </c>
      <c r="AR124" s="124"/>
      <c r="AS124" s="125"/>
      <c r="AT124" s="126"/>
      <c r="AU124" s="84">
        <f t="shared" ref="AU124:AU133" si="29">AK124*AL124</f>
        <v>0</v>
      </c>
      <c r="AV124" s="127"/>
      <c r="AW124" s="128"/>
      <c r="AX124" s="128"/>
      <c r="AY124" s="125"/>
      <c r="AZ124" s="129"/>
    </row>
    <row r="125" spans="1:52" ht="16.5" thickBot="1" x14ac:dyDescent="0.3">
      <c r="A125" s="91">
        <v>400</v>
      </c>
      <c r="B125" s="91" t="s">
        <v>94</v>
      </c>
      <c r="C125" s="133"/>
      <c r="D125" s="26">
        <f t="shared" si="21"/>
        <v>0</v>
      </c>
      <c r="E125" s="27">
        <f t="shared" si="22"/>
        <v>0</v>
      </c>
      <c r="F125" s="29">
        <f t="shared" si="23"/>
        <v>0</v>
      </c>
      <c r="G125" s="30">
        <v>0</v>
      </c>
      <c r="H125" s="31">
        <v>0</v>
      </c>
      <c r="I125" s="32">
        <v>0</v>
      </c>
      <c r="J125" s="113"/>
      <c r="K125" s="33"/>
      <c r="L125" s="34"/>
      <c r="M125" s="34"/>
      <c r="N125" s="114"/>
      <c r="O125" s="34"/>
      <c r="P125" s="34"/>
      <c r="Q125" s="34"/>
      <c r="R125" s="114"/>
      <c r="S125" s="37"/>
      <c r="T125" s="34"/>
      <c r="U125" s="34"/>
      <c r="V125" s="114"/>
      <c r="W125" s="38"/>
      <c r="X125" s="31"/>
      <c r="Y125" s="31"/>
      <c r="Z125" s="78"/>
      <c r="AA125" s="37"/>
      <c r="AB125" s="34"/>
      <c r="AC125" s="34"/>
      <c r="AD125" s="64"/>
      <c r="AE125" s="122"/>
      <c r="AF125" s="123"/>
      <c r="AG125" s="43">
        <f t="shared" si="28"/>
        <v>0</v>
      </c>
      <c r="AH125" s="44">
        <f t="shared" si="28"/>
        <v>0</v>
      </c>
      <c r="AI125" s="44">
        <f t="shared" si="28"/>
        <v>0</v>
      </c>
      <c r="AJ125" s="45">
        <f t="shared" si="28"/>
        <v>0</v>
      </c>
      <c r="AK125" s="80">
        <f t="shared" si="17"/>
        <v>0</v>
      </c>
      <c r="AL125" s="47">
        <v>0.75</v>
      </c>
      <c r="AM125" s="48">
        <f t="shared" si="24"/>
        <v>0</v>
      </c>
      <c r="AN125" s="48">
        <f t="shared" si="25"/>
        <v>0</v>
      </c>
      <c r="AO125" s="49">
        <f t="shared" si="20"/>
        <v>0</v>
      </c>
      <c r="AP125" s="49">
        <f t="shared" si="18"/>
        <v>0</v>
      </c>
      <c r="AQ125" s="50">
        <f t="shared" si="19"/>
        <v>0</v>
      </c>
      <c r="AR125" s="124"/>
      <c r="AS125" s="125"/>
      <c r="AT125" s="126"/>
      <c r="AU125" s="84">
        <f t="shared" si="29"/>
        <v>0</v>
      </c>
      <c r="AV125" s="127"/>
      <c r="AW125" s="128"/>
      <c r="AX125" s="128"/>
      <c r="AY125" s="125"/>
      <c r="AZ125" s="129"/>
    </row>
    <row r="126" spans="1:52" ht="16.5" thickBot="1" x14ac:dyDescent="0.3">
      <c r="A126" s="91">
        <v>1000</v>
      </c>
      <c r="B126" s="91" t="s">
        <v>95</v>
      </c>
      <c r="C126" s="133"/>
      <c r="D126" s="26">
        <f t="shared" si="21"/>
        <v>0</v>
      </c>
      <c r="E126" s="27">
        <f t="shared" si="22"/>
        <v>0</v>
      </c>
      <c r="F126" s="29">
        <f t="shared" si="23"/>
        <v>0</v>
      </c>
      <c r="G126" s="30">
        <v>0</v>
      </c>
      <c r="H126" s="31">
        <v>0</v>
      </c>
      <c r="I126" s="32">
        <v>0</v>
      </c>
      <c r="J126" s="113"/>
      <c r="K126" s="33"/>
      <c r="L126" s="34"/>
      <c r="M126" s="34"/>
      <c r="N126" s="114"/>
      <c r="O126" s="34"/>
      <c r="P126" s="34"/>
      <c r="Q126" s="34"/>
      <c r="R126" s="114"/>
      <c r="S126" s="37"/>
      <c r="T126" s="34"/>
      <c r="U126" s="34"/>
      <c r="V126" s="114"/>
      <c r="W126" s="38"/>
      <c r="X126" s="31"/>
      <c r="Y126" s="31"/>
      <c r="Z126" s="78"/>
      <c r="AA126" s="37"/>
      <c r="AB126" s="34"/>
      <c r="AC126" s="34"/>
      <c r="AD126" s="64"/>
      <c r="AE126" s="122"/>
      <c r="AF126" s="123"/>
      <c r="AG126" s="43">
        <f t="shared" si="28"/>
        <v>0</v>
      </c>
      <c r="AH126" s="44">
        <f t="shared" si="28"/>
        <v>0</v>
      </c>
      <c r="AI126" s="44">
        <f t="shared" si="28"/>
        <v>0</v>
      </c>
      <c r="AJ126" s="45">
        <f t="shared" si="28"/>
        <v>0</v>
      </c>
      <c r="AK126" s="80">
        <f t="shared" si="17"/>
        <v>0</v>
      </c>
      <c r="AL126" s="47">
        <v>1</v>
      </c>
      <c r="AM126" s="48">
        <f t="shared" si="24"/>
        <v>0</v>
      </c>
      <c r="AN126" s="48">
        <f t="shared" si="25"/>
        <v>0</v>
      </c>
      <c r="AO126" s="49">
        <f t="shared" si="20"/>
        <v>0</v>
      </c>
      <c r="AP126" s="49">
        <f t="shared" si="18"/>
        <v>0</v>
      </c>
      <c r="AQ126" s="50">
        <f t="shared" si="19"/>
        <v>0</v>
      </c>
      <c r="AR126" s="124"/>
      <c r="AS126" s="125"/>
      <c r="AT126" s="126"/>
      <c r="AU126" s="84">
        <f t="shared" si="29"/>
        <v>0</v>
      </c>
      <c r="AV126" s="127"/>
      <c r="AW126" s="128"/>
      <c r="AX126" s="128"/>
      <c r="AY126" s="125"/>
      <c r="AZ126" s="129"/>
    </row>
    <row r="127" spans="1:52" ht="16.5" thickBot="1" x14ac:dyDescent="0.3">
      <c r="A127" s="134">
        <v>355</v>
      </c>
      <c r="B127" s="134" t="s">
        <v>96</v>
      </c>
      <c r="C127" s="135"/>
      <c r="D127" s="26">
        <f t="shared" si="21"/>
        <v>0</v>
      </c>
      <c r="E127" s="27">
        <f t="shared" si="22"/>
        <v>0</v>
      </c>
      <c r="F127" s="29">
        <f t="shared" si="23"/>
        <v>0</v>
      </c>
      <c r="G127" s="30">
        <v>0</v>
      </c>
      <c r="H127" s="31">
        <v>0</v>
      </c>
      <c r="I127" s="32">
        <v>0</v>
      </c>
      <c r="J127" s="136"/>
      <c r="K127" s="33"/>
      <c r="L127" s="34"/>
      <c r="M127" s="34"/>
      <c r="N127" s="114"/>
      <c r="O127" s="34"/>
      <c r="P127" s="34"/>
      <c r="Q127" s="34"/>
      <c r="R127" s="114"/>
      <c r="S127" s="37"/>
      <c r="T127" s="34"/>
      <c r="U127" s="34"/>
      <c r="V127" s="114"/>
      <c r="W127" s="38"/>
      <c r="X127" s="31"/>
      <c r="Y127" s="31"/>
      <c r="Z127" s="78"/>
      <c r="AA127" s="37"/>
      <c r="AB127" s="34"/>
      <c r="AC127" s="34"/>
      <c r="AD127" s="64"/>
      <c r="AE127" s="122"/>
      <c r="AF127" s="123"/>
      <c r="AG127" s="43">
        <f t="shared" si="28"/>
        <v>0</v>
      </c>
      <c r="AH127" s="44">
        <f t="shared" si="28"/>
        <v>0</v>
      </c>
      <c r="AI127" s="44">
        <f t="shared" si="28"/>
        <v>0</v>
      </c>
      <c r="AJ127" s="45">
        <f t="shared" si="28"/>
        <v>0</v>
      </c>
      <c r="AK127" s="137">
        <f t="shared" si="17"/>
        <v>0</v>
      </c>
      <c r="AL127" s="47">
        <v>0.45</v>
      </c>
      <c r="AM127" s="48">
        <f t="shared" si="24"/>
        <v>0</v>
      </c>
      <c r="AN127" s="48">
        <f t="shared" si="25"/>
        <v>0</v>
      </c>
      <c r="AO127" s="49">
        <f t="shared" si="20"/>
        <v>0</v>
      </c>
      <c r="AP127" s="49">
        <f t="shared" si="18"/>
        <v>0</v>
      </c>
      <c r="AQ127" s="50">
        <f t="shared" si="19"/>
        <v>0</v>
      </c>
      <c r="AR127" s="124"/>
      <c r="AS127" s="125"/>
      <c r="AT127" s="126"/>
      <c r="AU127" s="84">
        <f t="shared" si="29"/>
        <v>0</v>
      </c>
      <c r="AV127" s="127"/>
      <c r="AW127" s="128"/>
      <c r="AX127" s="128"/>
      <c r="AY127" s="125"/>
      <c r="AZ127" s="129"/>
    </row>
    <row r="128" spans="1:52" ht="16.5" thickBot="1" x14ac:dyDescent="0.3">
      <c r="A128" s="134">
        <v>330</v>
      </c>
      <c r="B128" s="134" t="s">
        <v>97</v>
      </c>
      <c r="C128" s="135"/>
      <c r="D128" s="26">
        <f t="shared" si="21"/>
        <v>0</v>
      </c>
      <c r="E128" s="27">
        <f t="shared" si="22"/>
        <v>0</v>
      </c>
      <c r="F128" s="29">
        <f t="shared" si="23"/>
        <v>0</v>
      </c>
      <c r="G128" s="30">
        <v>0</v>
      </c>
      <c r="H128" s="31">
        <v>0</v>
      </c>
      <c r="I128" s="32">
        <v>0</v>
      </c>
      <c r="J128" s="136"/>
      <c r="K128" s="33"/>
      <c r="L128" s="34"/>
      <c r="M128" s="34"/>
      <c r="N128" s="114"/>
      <c r="O128" s="34"/>
      <c r="P128" s="34"/>
      <c r="Q128" s="34"/>
      <c r="R128" s="114"/>
      <c r="S128" s="37"/>
      <c r="T128" s="34"/>
      <c r="U128" s="34"/>
      <c r="V128" s="114"/>
      <c r="W128" s="38"/>
      <c r="X128" s="31"/>
      <c r="Y128" s="31"/>
      <c r="Z128" s="78"/>
      <c r="AA128" s="37"/>
      <c r="AB128" s="34"/>
      <c r="AC128" s="34"/>
      <c r="AD128" s="64"/>
      <c r="AE128" s="122"/>
      <c r="AF128" s="123"/>
      <c r="AG128" s="43">
        <f t="shared" si="28"/>
        <v>0</v>
      </c>
      <c r="AH128" s="44">
        <f t="shared" si="28"/>
        <v>0</v>
      </c>
      <c r="AI128" s="44">
        <f t="shared" si="28"/>
        <v>0</v>
      </c>
      <c r="AJ128" s="45">
        <f t="shared" si="28"/>
        <v>0</v>
      </c>
      <c r="AK128" s="137">
        <f t="shared" si="17"/>
        <v>0</v>
      </c>
      <c r="AL128" s="47">
        <v>0.5</v>
      </c>
      <c r="AM128" s="48">
        <f t="shared" si="24"/>
        <v>0</v>
      </c>
      <c r="AN128" s="48">
        <f t="shared" si="25"/>
        <v>0</v>
      </c>
      <c r="AO128" s="49">
        <f t="shared" si="20"/>
        <v>0</v>
      </c>
      <c r="AP128" s="49">
        <f t="shared" si="18"/>
        <v>0</v>
      </c>
      <c r="AQ128" s="50">
        <f t="shared" si="19"/>
        <v>0</v>
      </c>
      <c r="AR128" s="124"/>
      <c r="AS128" s="125"/>
      <c r="AT128" s="126"/>
      <c r="AU128" s="84">
        <f t="shared" si="29"/>
        <v>0</v>
      </c>
      <c r="AV128" s="127"/>
      <c r="AW128" s="128"/>
      <c r="AX128" s="128"/>
      <c r="AY128" s="125"/>
      <c r="AZ128" s="129"/>
    </row>
    <row r="129" spans="1:52" ht="16.5" thickBot="1" x14ac:dyDescent="0.3">
      <c r="A129" s="134">
        <v>330</v>
      </c>
      <c r="B129" s="134" t="s">
        <v>98</v>
      </c>
      <c r="C129" s="135"/>
      <c r="D129" s="26">
        <f t="shared" si="21"/>
        <v>0</v>
      </c>
      <c r="E129" s="27">
        <f t="shared" si="22"/>
        <v>0</v>
      </c>
      <c r="F129" s="29">
        <f t="shared" si="23"/>
        <v>0</v>
      </c>
      <c r="G129" s="30">
        <v>0</v>
      </c>
      <c r="H129" s="31">
        <v>0</v>
      </c>
      <c r="I129" s="32">
        <v>0</v>
      </c>
      <c r="J129" s="136"/>
      <c r="K129" s="33"/>
      <c r="L129" s="34"/>
      <c r="M129" s="34"/>
      <c r="N129" s="114"/>
      <c r="O129" s="34"/>
      <c r="P129" s="34"/>
      <c r="Q129" s="34"/>
      <c r="R129" s="114"/>
      <c r="S129" s="37"/>
      <c r="T129" s="34"/>
      <c r="U129" s="34"/>
      <c r="V129" s="114"/>
      <c r="W129" s="38"/>
      <c r="X129" s="31"/>
      <c r="Y129" s="31"/>
      <c r="Z129" s="78"/>
      <c r="AA129" s="37"/>
      <c r="AB129" s="34"/>
      <c r="AC129" s="34"/>
      <c r="AD129" s="64"/>
      <c r="AE129" s="122"/>
      <c r="AF129" s="123"/>
      <c r="AG129" s="43">
        <f t="shared" si="28"/>
        <v>0</v>
      </c>
      <c r="AH129" s="44">
        <f t="shared" si="28"/>
        <v>0</v>
      </c>
      <c r="AI129" s="44">
        <f t="shared" si="28"/>
        <v>0</v>
      </c>
      <c r="AJ129" s="45">
        <f t="shared" si="28"/>
        <v>0</v>
      </c>
      <c r="AK129" s="137">
        <f t="shared" si="17"/>
        <v>0</v>
      </c>
      <c r="AL129" s="47">
        <v>0.5</v>
      </c>
      <c r="AM129" s="48">
        <f t="shared" si="24"/>
        <v>0</v>
      </c>
      <c r="AN129" s="48">
        <f t="shared" si="25"/>
        <v>0</v>
      </c>
      <c r="AO129" s="49">
        <f t="shared" si="20"/>
        <v>0</v>
      </c>
      <c r="AP129" s="49">
        <f t="shared" si="18"/>
        <v>0</v>
      </c>
      <c r="AQ129" s="50">
        <f t="shared" si="19"/>
        <v>0</v>
      </c>
      <c r="AR129" s="124"/>
      <c r="AS129" s="125"/>
      <c r="AT129" s="126"/>
      <c r="AU129" s="84">
        <f t="shared" si="29"/>
        <v>0</v>
      </c>
      <c r="AV129" s="127"/>
      <c r="AW129" s="128"/>
      <c r="AX129" s="128"/>
      <c r="AY129" s="125"/>
      <c r="AZ129" s="129"/>
    </row>
    <row r="130" spans="1:52" ht="16.5" thickBot="1" x14ac:dyDescent="0.3">
      <c r="A130" s="134">
        <v>330</v>
      </c>
      <c r="B130" s="134" t="s">
        <v>99</v>
      </c>
      <c r="C130" s="135"/>
      <c r="D130" s="26">
        <f t="shared" si="21"/>
        <v>0</v>
      </c>
      <c r="E130" s="27">
        <f t="shared" si="22"/>
        <v>0</v>
      </c>
      <c r="F130" s="29">
        <f t="shared" si="23"/>
        <v>0</v>
      </c>
      <c r="G130" s="30">
        <v>0</v>
      </c>
      <c r="H130" s="31">
        <v>0</v>
      </c>
      <c r="I130" s="32">
        <v>0</v>
      </c>
      <c r="J130" s="136"/>
      <c r="K130" s="33"/>
      <c r="L130" s="34"/>
      <c r="M130" s="34"/>
      <c r="N130" s="114"/>
      <c r="O130" s="34"/>
      <c r="P130" s="34"/>
      <c r="Q130" s="34"/>
      <c r="R130" s="114"/>
      <c r="S130" s="37"/>
      <c r="T130" s="34"/>
      <c r="U130" s="34"/>
      <c r="V130" s="114"/>
      <c r="W130" s="38"/>
      <c r="X130" s="31"/>
      <c r="Y130" s="31"/>
      <c r="Z130" s="78"/>
      <c r="AA130" s="37"/>
      <c r="AB130" s="34"/>
      <c r="AC130" s="34"/>
      <c r="AD130" s="64"/>
      <c r="AE130" s="122"/>
      <c r="AF130" s="123"/>
      <c r="AG130" s="43">
        <f t="shared" si="28"/>
        <v>0</v>
      </c>
      <c r="AH130" s="44">
        <f t="shared" si="28"/>
        <v>0</v>
      </c>
      <c r="AI130" s="44">
        <f t="shared" si="28"/>
        <v>0</v>
      </c>
      <c r="AJ130" s="45">
        <f t="shared" si="28"/>
        <v>0</v>
      </c>
      <c r="AK130" s="137">
        <f t="shared" si="17"/>
        <v>0</v>
      </c>
      <c r="AL130" s="47">
        <v>0.5</v>
      </c>
      <c r="AM130" s="48">
        <f t="shared" si="24"/>
        <v>0</v>
      </c>
      <c r="AN130" s="48">
        <f t="shared" si="25"/>
        <v>0</v>
      </c>
      <c r="AO130" s="49">
        <f t="shared" si="20"/>
        <v>0</v>
      </c>
      <c r="AP130" s="49">
        <f t="shared" si="18"/>
        <v>0</v>
      </c>
      <c r="AQ130" s="50">
        <f t="shared" si="19"/>
        <v>0</v>
      </c>
      <c r="AR130" s="124"/>
      <c r="AS130" s="125"/>
      <c r="AT130" s="126"/>
      <c r="AU130" s="84">
        <f t="shared" si="29"/>
        <v>0</v>
      </c>
      <c r="AV130" s="127"/>
      <c r="AW130" s="128"/>
      <c r="AX130" s="128"/>
      <c r="AY130" s="125"/>
      <c r="AZ130" s="129"/>
    </row>
    <row r="131" spans="1:52" ht="16.5" thickBot="1" x14ac:dyDescent="0.3">
      <c r="A131" s="134">
        <v>330</v>
      </c>
      <c r="B131" s="134" t="s">
        <v>100</v>
      </c>
      <c r="C131" s="135"/>
      <c r="D131" s="26">
        <f t="shared" si="21"/>
        <v>0</v>
      </c>
      <c r="E131" s="27">
        <f t="shared" si="22"/>
        <v>0</v>
      </c>
      <c r="F131" s="29">
        <f t="shared" si="23"/>
        <v>0</v>
      </c>
      <c r="G131" s="30">
        <v>0</v>
      </c>
      <c r="H131" s="31">
        <v>0</v>
      </c>
      <c r="I131" s="32">
        <v>0</v>
      </c>
      <c r="J131" s="136"/>
      <c r="K131" s="33"/>
      <c r="L131" s="34"/>
      <c r="M131" s="34"/>
      <c r="N131" s="114"/>
      <c r="O131" s="34"/>
      <c r="P131" s="34"/>
      <c r="Q131" s="34"/>
      <c r="R131" s="114"/>
      <c r="S131" s="37"/>
      <c r="T131" s="34"/>
      <c r="U131" s="34"/>
      <c r="V131" s="114"/>
      <c r="W131" s="38"/>
      <c r="X131" s="31"/>
      <c r="Y131" s="31"/>
      <c r="Z131" s="78"/>
      <c r="AA131" s="37"/>
      <c r="AB131" s="34"/>
      <c r="AC131" s="34"/>
      <c r="AD131" s="64"/>
      <c r="AE131" s="122"/>
      <c r="AF131" s="123"/>
      <c r="AG131" s="43">
        <f t="shared" si="28"/>
        <v>0</v>
      </c>
      <c r="AH131" s="44">
        <f t="shared" si="28"/>
        <v>0</v>
      </c>
      <c r="AI131" s="44">
        <f t="shared" si="28"/>
        <v>0</v>
      </c>
      <c r="AJ131" s="45">
        <f t="shared" si="28"/>
        <v>0</v>
      </c>
      <c r="AK131" s="137">
        <f t="shared" si="17"/>
        <v>0</v>
      </c>
      <c r="AL131" s="47">
        <v>0.5</v>
      </c>
      <c r="AM131" s="48">
        <f t="shared" si="24"/>
        <v>0</v>
      </c>
      <c r="AN131" s="48">
        <f t="shared" si="25"/>
        <v>0</v>
      </c>
      <c r="AO131" s="49">
        <f t="shared" si="20"/>
        <v>0</v>
      </c>
      <c r="AP131" s="49">
        <f t="shared" si="18"/>
        <v>0</v>
      </c>
      <c r="AQ131" s="50">
        <f t="shared" si="19"/>
        <v>0</v>
      </c>
      <c r="AR131" s="124"/>
      <c r="AS131" s="125"/>
      <c r="AT131" s="126"/>
      <c r="AU131" s="84">
        <f t="shared" si="29"/>
        <v>0</v>
      </c>
      <c r="AV131" s="127"/>
      <c r="AW131" s="128"/>
      <c r="AX131" s="128"/>
      <c r="AY131" s="125"/>
      <c r="AZ131" s="129"/>
    </row>
    <row r="132" spans="1:52" ht="16.5" thickBot="1" x14ac:dyDescent="0.3">
      <c r="A132" s="134">
        <v>330</v>
      </c>
      <c r="B132" s="134" t="s">
        <v>101</v>
      </c>
      <c r="C132" s="135"/>
      <c r="D132" s="26">
        <f t="shared" si="21"/>
        <v>0</v>
      </c>
      <c r="E132" s="27">
        <f t="shared" si="22"/>
        <v>0</v>
      </c>
      <c r="F132" s="29">
        <f t="shared" si="23"/>
        <v>0</v>
      </c>
      <c r="G132" s="30">
        <v>0</v>
      </c>
      <c r="H132" s="31">
        <v>0</v>
      </c>
      <c r="I132" s="32">
        <v>0</v>
      </c>
      <c r="J132" s="136"/>
      <c r="K132" s="33"/>
      <c r="L132" s="34"/>
      <c r="M132" s="34"/>
      <c r="N132" s="114"/>
      <c r="O132" s="34"/>
      <c r="P132" s="34"/>
      <c r="Q132" s="34"/>
      <c r="R132" s="114"/>
      <c r="S132" s="37"/>
      <c r="T132" s="34"/>
      <c r="U132" s="34"/>
      <c r="V132" s="114"/>
      <c r="W132" s="38"/>
      <c r="X132" s="31"/>
      <c r="Y132" s="31"/>
      <c r="Z132" s="78"/>
      <c r="AA132" s="37"/>
      <c r="AB132" s="34"/>
      <c r="AC132" s="34"/>
      <c r="AD132" s="64"/>
      <c r="AE132" s="122"/>
      <c r="AF132" s="123"/>
      <c r="AG132" s="43">
        <f t="shared" si="28"/>
        <v>0</v>
      </c>
      <c r="AH132" s="44">
        <f t="shared" si="28"/>
        <v>0</v>
      </c>
      <c r="AI132" s="44">
        <f t="shared" si="28"/>
        <v>0</v>
      </c>
      <c r="AJ132" s="45">
        <f t="shared" si="28"/>
        <v>0</v>
      </c>
      <c r="AK132" s="137">
        <f t="shared" si="17"/>
        <v>0</v>
      </c>
      <c r="AL132" s="47">
        <v>0.5</v>
      </c>
      <c r="AM132" s="48">
        <f t="shared" si="24"/>
        <v>0</v>
      </c>
      <c r="AN132" s="48">
        <f t="shared" si="25"/>
        <v>0</v>
      </c>
      <c r="AO132" s="49">
        <f t="shared" si="20"/>
        <v>0</v>
      </c>
      <c r="AP132" s="49">
        <f t="shared" si="18"/>
        <v>0</v>
      </c>
      <c r="AQ132" s="50">
        <f t="shared" si="19"/>
        <v>0</v>
      </c>
      <c r="AR132" s="124"/>
      <c r="AS132" s="125"/>
      <c r="AT132" s="126"/>
      <c r="AU132" s="84">
        <f t="shared" si="29"/>
        <v>0</v>
      </c>
      <c r="AV132" s="127"/>
      <c r="AW132" s="128"/>
      <c r="AX132" s="128"/>
      <c r="AY132" s="125"/>
      <c r="AZ132" s="129"/>
    </row>
    <row r="133" spans="1:52" ht="16.5" thickBot="1" x14ac:dyDescent="0.3">
      <c r="A133" s="134">
        <v>330</v>
      </c>
      <c r="B133" s="134" t="s">
        <v>102</v>
      </c>
      <c r="C133" s="135"/>
      <c r="D133" s="26">
        <f t="shared" si="21"/>
        <v>0</v>
      </c>
      <c r="E133" s="27">
        <f t="shared" si="22"/>
        <v>0</v>
      </c>
      <c r="F133" s="29">
        <f t="shared" si="23"/>
        <v>0</v>
      </c>
      <c r="G133" s="30">
        <v>0</v>
      </c>
      <c r="H133" s="31">
        <v>0</v>
      </c>
      <c r="I133" s="32">
        <v>0</v>
      </c>
      <c r="J133" s="136"/>
      <c r="K133" s="33"/>
      <c r="L133" s="34"/>
      <c r="M133" s="34"/>
      <c r="N133" s="138"/>
      <c r="O133" s="34"/>
      <c r="P133" s="34"/>
      <c r="Q133" s="34"/>
      <c r="R133" s="138"/>
      <c r="S133" s="37"/>
      <c r="T133" s="34"/>
      <c r="U133" s="34"/>
      <c r="V133" s="138"/>
      <c r="W133" s="38"/>
      <c r="X133" s="31"/>
      <c r="Y133" s="31"/>
      <c r="Z133" s="105"/>
      <c r="AA133" s="37"/>
      <c r="AB133" s="34"/>
      <c r="AC133" s="34"/>
      <c r="AD133" s="123"/>
      <c r="AE133" s="122"/>
      <c r="AF133" s="123"/>
      <c r="AG133" s="43">
        <f t="shared" si="28"/>
        <v>0</v>
      </c>
      <c r="AH133" s="44">
        <f t="shared" si="28"/>
        <v>0</v>
      </c>
      <c r="AI133" s="44">
        <f t="shared" si="28"/>
        <v>0</v>
      </c>
      <c r="AJ133" s="45">
        <f t="shared" si="28"/>
        <v>0</v>
      </c>
      <c r="AK133" s="137">
        <f t="shared" ref="AK133:AK185" si="30">AG133+AH133+AI133</f>
        <v>0</v>
      </c>
      <c r="AL133" s="47">
        <v>0.5</v>
      </c>
      <c r="AM133" s="48">
        <f t="shared" si="24"/>
        <v>0</v>
      </c>
      <c r="AN133" s="48">
        <f t="shared" si="25"/>
        <v>0</v>
      </c>
      <c r="AO133" s="49">
        <f t="shared" ref="AO133:AO196" si="31">AI133*AL133</f>
        <v>0</v>
      </c>
      <c r="AP133" s="49">
        <f t="shared" ref="AP133:AP183" si="32">AJ133*AL133</f>
        <v>0</v>
      </c>
      <c r="AQ133" s="50">
        <f t="shared" ref="AQ133:AQ170" si="33">AK133*60</f>
        <v>0</v>
      </c>
      <c r="AR133" s="124"/>
      <c r="AS133" s="125"/>
      <c r="AT133" s="126"/>
      <c r="AU133" s="84">
        <f t="shared" si="29"/>
        <v>0</v>
      </c>
      <c r="AV133" s="127"/>
      <c r="AW133" s="128"/>
      <c r="AX133" s="128"/>
      <c r="AY133" s="125"/>
      <c r="AZ133" s="129"/>
    </row>
    <row r="134" spans="1:52" ht="16.5" thickBot="1" x14ac:dyDescent="0.3">
      <c r="A134" s="134">
        <v>330</v>
      </c>
      <c r="B134" s="134" t="s">
        <v>103</v>
      </c>
      <c r="C134" s="135"/>
      <c r="D134" s="26">
        <f t="shared" ref="D134:D184" si="34">C134/3</f>
        <v>0</v>
      </c>
      <c r="E134" s="27">
        <f t="shared" ref="E134:E184" si="35">C134/3</f>
        <v>0</v>
      </c>
      <c r="F134" s="29">
        <f t="shared" ref="F134:F184" si="36">C134/3</f>
        <v>0</v>
      </c>
      <c r="G134" s="30">
        <v>0</v>
      </c>
      <c r="H134" s="31">
        <v>0</v>
      </c>
      <c r="I134" s="32">
        <v>0</v>
      </c>
      <c r="J134" s="136"/>
      <c r="K134" s="33"/>
      <c r="L134" s="34"/>
      <c r="M134" s="34"/>
      <c r="N134" s="138"/>
      <c r="O134" s="34"/>
      <c r="P134" s="34"/>
      <c r="Q134" s="34"/>
      <c r="R134" s="138"/>
      <c r="S134" s="37"/>
      <c r="T134" s="34"/>
      <c r="U134" s="34"/>
      <c r="V134" s="138"/>
      <c r="W134" s="38"/>
      <c r="X134" s="31"/>
      <c r="Y134" s="31"/>
      <c r="Z134" s="105"/>
      <c r="AA134" s="37"/>
      <c r="AB134" s="34"/>
      <c r="AC134" s="34"/>
      <c r="AD134" s="123"/>
      <c r="AE134" s="122"/>
      <c r="AF134" s="123"/>
      <c r="AG134" s="43">
        <f t="shared" si="28"/>
        <v>0</v>
      </c>
      <c r="AH134" s="44">
        <f t="shared" si="28"/>
        <v>0</v>
      </c>
      <c r="AI134" s="44">
        <f t="shared" si="28"/>
        <v>0</v>
      </c>
      <c r="AJ134" s="45">
        <f t="shared" si="28"/>
        <v>0</v>
      </c>
      <c r="AK134" s="137">
        <f t="shared" si="30"/>
        <v>0</v>
      </c>
      <c r="AL134" s="47">
        <v>0.5</v>
      </c>
      <c r="AM134" s="48">
        <f t="shared" si="24"/>
        <v>0</v>
      </c>
      <c r="AN134" s="48">
        <f t="shared" si="25"/>
        <v>0</v>
      </c>
      <c r="AO134" s="49">
        <f t="shared" si="31"/>
        <v>0</v>
      </c>
      <c r="AP134" s="49">
        <f t="shared" si="32"/>
        <v>0</v>
      </c>
      <c r="AQ134" s="50">
        <f t="shared" si="33"/>
        <v>0</v>
      </c>
      <c r="AR134" s="124"/>
      <c r="AS134" s="125"/>
      <c r="AT134" s="126"/>
      <c r="AU134" s="84"/>
      <c r="AV134" s="127"/>
      <c r="AW134" s="128"/>
      <c r="AX134" s="128"/>
      <c r="AY134" s="125"/>
      <c r="AZ134" s="129"/>
    </row>
    <row r="135" spans="1:52" ht="16.5" thickBot="1" x14ac:dyDescent="0.3">
      <c r="A135" s="134">
        <v>330</v>
      </c>
      <c r="B135" s="134" t="s">
        <v>104</v>
      </c>
      <c r="C135" s="135"/>
      <c r="D135" s="26">
        <f t="shared" si="34"/>
        <v>0</v>
      </c>
      <c r="E135" s="27">
        <f t="shared" si="35"/>
        <v>0</v>
      </c>
      <c r="F135" s="29">
        <f t="shared" si="36"/>
        <v>0</v>
      </c>
      <c r="G135" s="30">
        <v>0</v>
      </c>
      <c r="H135" s="31">
        <v>0</v>
      </c>
      <c r="I135" s="32">
        <v>0</v>
      </c>
      <c r="J135" s="136"/>
      <c r="K135" s="33"/>
      <c r="L135" s="34"/>
      <c r="M135" s="34"/>
      <c r="N135" s="138"/>
      <c r="O135" s="34"/>
      <c r="P135" s="34"/>
      <c r="Q135" s="34"/>
      <c r="R135" s="138"/>
      <c r="S135" s="37"/>
      <c r="T135" s="34"/>
      <c r="U135" s="34"/>
      <c r="V135" s="138"/>
      <c r="W135" s="38"/>
      <c r="X135" s="31"/>
      <c r="Y135" s="31"/>
      <c r="Z135" s="105"/>
      <c r="AA135" s="37"/>
      <c r="AB135" s="34"/>
      <c r="AC135" s="34"/>
      <c r="AD135" s="123"/>
      <c r="AE135" s="122"/>
      <c r="AF135" s="123"/>
      <c r="AG135" s="43">
        <f t="shared" si="28"/>
        <v>0</v>
      </c>
      <c r="AH135" s="44">
        <f t="shared" si="28"/>
        <v>0</v>
      </c>
      <c r="AI135" s="44">
        <f t="shared" si="28"/>
        <v>0</v>
      </c>
      <c r="AJ135" s="45">
        <f t="shared" si="28"/>
        <v>0</v>
      </c>
      <c r="AK135" s="137">
        <f t="shared" si="30"/>
        <v>0</v>
      </c>
      <c r="AL135" s="47">
        <v>0.5</v>
      </c>
      <c r="AM135" s="48">
        <f t="shared" si="24"/>
        <v>0</v>
      </c>
      <c r="AN135" s="48">
        <f t="shared" si="25"/>
        <v>0</v>
      </c>
      <c r="AO135" s="49">
        <f t="shared" si="31"/>
        <v>0</v>
      </c>
      <c r="AP135" s="49">
        <f t="shared" si="32"/>
        <v>0</v>
      </c>
      <c r="AQ135" s="50">
        <f t="shared" si="33"/>
        <v>0</v>
      </c>
      <c r="AR135" s="124"/>
      <c r="AS135" s="125"/>
      <c r="AT135" s="126"/>
      <c r="AU135" s="84"/>
      <c r="AV135" s="127"/>
      <c r="AW135" s="128"/>
      <c r="AX135" s="128"/>
      <c r="AY135" s="125"/>
      <c r="AZ135" s="129"/>
    </row>
    <row r="136" spans="1:52" ht="16.5" thickBot="1" x14ac:dyDescent="0.3">
      <c r="A136" s="134">
        <v>330</v>
      </c>
      <c r="B136" s="134" t="s">
        <v>105</v>
      </c>
      <c r="C136" s="135"/>
      <c r="D136" s="26">
        <f t="shared" si="34"/>
        <v>0</v>
      </c>
      <c r="E136" s="27">
        <f t="shared" si="35"/>
        <v>0</v>
      </c>
      <c r="F136" s="29">
        <f t="shared" si="36"/>
        <v>0</v>
      </c>
      <c r="G136" s="30">
        <v>0</v>
      </c>
      <c r="H136" s="31">
        <v>0</v>
      </c>
      <c r="I136" s="32">
        <v>0</v>
      </c>
      <c r="J136" s="136"/>
      <c r="K136" s="33"/>
      <c r="L136" s="34"/>
      <c r="M136" s="34"/>
      <c r="N136" s="138"/>
      <c r="O136" s="34"/>
      <c r="P136" s="34"/>
      <c r="Q136" s="34"/>
      <c r="R136" s="138"/>
      <c r="S136" s="37"/>
      <c r="T136" s="34"/>
      <c r="U136" s="34"/>
      <c r="V136" s="138"/>
      <c r="W136" s="38"/>
      <c r="X136" s="31"/>
      <c r="Y136" s="31"/>
      <c r="Z136" s="105"/>
      <c r="AA136" s="37"/>
      <c r="AB136" s="34"/>
      <c r="AC136" s="34"/>
      <c r="AD136" s="123"/>
      <c r="AE136" s="122"/>
      <c r="AF136" s="123"/>
      <c r="AG136" s="43">
        <f t="shared" si="28"/>
        <v>0</v>
      </c>
      <c r="AH136" s="44">
        <f t="shared" si="28"/>
        <v>0</v>
      </c>
      <c r="AI136" s="44">
        <f t="shared" si="28"/>
        <v>0</v>
      </c>
      <c r="AJ136" s="45">
        <f t="shared" si="28"/>
        <v>0</v>
      </c>
      <c r="AK136" s="137">
        <f t="shared" si="30"/>
        <v>0</v>
      </c>
      <c r="AL136" s="47">
        <v>0.5</v>
      </c>
      <c r="AM136" s="48">
        <f t="shared" si="24"/>
        <v>0</v>
      </c>
      <c r="AN136" s="48">
        <f t="shared" si="25"/>
        <v>0</v>
      </c>
      <c r="AO136" s="49">
        <f t="shared" si="31"/>
        <v>0</v>
      </c>
      <c r="AP136" s="49">
        <f t="shared" si="32"/>
        <v>0</v>
      </c>
      <c r="AQ136" s="50">
        <f t="shared" si="33"/>
        <v>0</v>
      </c>
      <c r="AR136" s="124"/>
      <c r="AS136" s="125"/>
      <c r="AT136" s="126"/>
      <c r="AU136" s="84"/>
      <c r="AV136" s="127"/>
      <c r="AW136" s="128"/>
      <c r="AX136" s="128"/>
      <c r="AY136" s="125"/>
      <c r="AZ136" s="129"/>
    </row>
    <row r="137" spans="1:52" ht="16.5" thickBot="1" x14ac:dyDescent="0.3">
      <c r="A137" s="134">
        <v>330</v>
      </c>
      <c r="B137" s="134" t="s">
        <v>106</v>
      </c>
      <c r="C137" s="135"/>
      <c r="D137" s="26">
        <f t="shared" si="34"/>
        <v>0</v>
      </c>
      <c r="E137" s="27">
        <f t="shared" si="35"/>
        <v>0</v>
      </c>
      <c r="F137" s="29">
        <f t="shared" si="36"/>
        <v>0</v>
      </c>
      <c r="G137" s="30">
        <v>0</v>
      </c>
      <c r="H137" s="31">
        <v>0</v>
      </c>
      <c r="I137" s="32">
        <v>0</v>
      </c>
      <c r="J137" s="136"/>
      <c r="K137" s="33"/>
      <c r="L137" s="34"/>
      <c r="M137" s="34"/>
      <c r="N137" s="138"/>
      <c r="O137" s="34"/>
      <c r="P137" s="34"/>
      <c r="Q137" s="34"/>
      <c r="R137" s="138"/>
      <c r="S137" s="37"/>
      <c r="T137" s="34"/>
      <c r="U137" s="34"/>
      <c r="V137" s="138"/>
      <c r="W137" s="38"/>
      <c r="X137" s="31"/>
      <c r="Y137" s="31"/>
      <c r="Z137" s="105"/>
      <c r="AA137" s="37"/>
      <c r="AB137" s="34"/>
      <c r="AC137" s="34"/>
      <c r="AD137" s="123"/>
      <c r="AE137" s="122"/>
      <c r="AF137" s="123"/>
      <c r="AG137" s="43">
        <f t="shared" si="28"/>
        <v>0</v>
      </c>
      <c r="AH137" s="44">
        <f t="shared" si="28"/>
        <v>0</v>
      </c>
      <c r="AI137" s="44">
        <f t="shared" si="28"/>
        <v>0</v>
      </c>
      <c r="AJ137" s="45">
        <f t="shared" si="28"/>
        <v>0</v>
      </c>
      <c r="AK137" s="137">
        <f t="shared" si="30"/>
        <v>0</v>
      </c>
      <c r="AL137" s="47">
        <v>0.5</v>
      </c>
      <c r="AM137" s="48">
        <f t="shared" si="24"/>
        <v>0</v>
      </c>
      <c r="AN137" s="48">
        <f t="shared" si="25"/>
        <v>0</v>
      </c>
      <c r="AO137" s="49">
        <f t="shared" si="31"/>
        <v>0</v>
      </c>
      <c r="AP137" s="49">
        <f t="shared" si="32"/>
        <v>0</v>
      </c>
      <c r="AQ137" s="50">
        <f t="shared" si="33"/>
        <v>0</v>
      </c>
      <c r="AR137" s="124"/>
      <c r="AS137" s="125"/>
      <c r="AT137" s="126"/>
      <c r="AU137" s="84"/>
      <c r="AV137" s="127"/>
      <c r="AW137" s="128"/>
      <c r="AX137" s="128"/>
      <c r="AY137" s="125"/>
      <c r="AZ137" s="129"/>
    </row>
    <row r="138" spans="1:52" ht="16.5" thickBot="1" x14ac:dyDescent="0.3">
      <c r="A138" s="134">
        <v>473</v>
      </c>
      <c r="B138" s="134" t="s">
        <v>54</v>
      </c>
      <c r="C138" s="135"/>
      <c r="D138" s="26">
        <f t="shared" si="34"/>
        <v>0</v>
      </c>
      <c r="E138" s="27">
        <f t="shared" si="35"/>
        <v>0</v>
      </c>
      <c r="F138" s="29">
        <f t="shared" si="36"/>
        <v>0</v>
      </c>
      <c r="G138" s="30">
        <v>0</v>
      </c>
      <c r="H138" s="31">
        <v>0</v>
      </c>
      <c r="I138" s="32">
        <v>0</v>
      </c>
      <c r="J138" s="136"/>
      <c r="K138" s="33"/>
      <c r="L138" s="34"/>
      <c r="M138" s="34"/>
      <c r="N138" s="138"/>
      <c r="O138" s="34"/>
      <c r="P138" s="34"/>
      <c r="Q138" s="34"/>
      <c r="R138" s="138"/>
      <c r="S138" s="37"/>
      <c r="T138" s="34"/>
      <c r="U138" s="34"/>
      <c r="V138" s="138"/>
      <c r="W138" s="38"/>
      <c r="X138" s="31"/>
      <c r="Y138" s="31"/>
      <c r="Z138" s="105"/>
      <c r="AA138" s="37"/>
      <c r="AB138" s="34"/>
      <c r="AC138" s="34"/>
      <c r="AD138" s="123"/>
      <c r="AE138" s="122"/>
      <c r="AF138" s="123"/>
      <c r="AG138" s="43">
        <f t="shared" si="28"/>
        <v>0</v>
      </c>
      <c r="AH138" s="44">
        <f t="shared" si="28"/>
        <v>0</v>
      </c>
      <c r="AI138" s="44">
        <f t="shared" si="28"/>
        <v>0</v>
      </c>
      <c r="AJ138" s="45">
        <f t="shared" si="28"/>
        <v>0</v>
      </c>
      <c r="AK138" s="137">
        <f t="shared" si="30"/>
        <v>0</v>
      </c>
      <c r="AL138" s="47">
        <v>0.5</v>
      </c>
      <c r="AM138" s="48">
        <f t="shared" si="24"/>
        <v>0</v>
      </c>
      <c r="AN138" s="48">
        <f t="shared" si="25"/>
        <v>0</v>
      </c>
      <c r="AO138" s="49">
        <f t="shared" si="31"/>
        <v>0</v>
      </c>
      <c r="AP138" s="49">
        <f t="shared" si="32"/>
        <v>0</v>
      </c>
      <c r="AQ138" s="50">
        <f t="shared" si="33"/>
        <v>0</v>
      </c>
      <c r="AR138" s="124"/>
      <c r="AS138" s="125"/>
      <c r="AT138" s="126"/>
      <c r="AU138" s="84"/>
      <c r="AV138" s="127"/>
      <c r="AW138" s="128"/>
      <c r="AX138" s="128"/>
      <c r="AY138" s="125"/>
      <c r="AZ138" s="129"/>
    </row>
    <row r="139" spans="1:52" ht="16.5" thickBot="1" x14ac:dyDescent="0.3">
      <c r="A139" s="134">
        <v>473</v>
      </c>
      <c r="B139" s="134" t="s">
        <v>56</v>
      </c>
      <c r="C139" s="135"/>
      <c r="D139" s="26">
        <f t="shared" si="34"/>
        <v>0</v>
      </c>
      <c r="E139" s="27">
        <f t="shared" si="35"/>
        <v>0</v>
      </c>
      <c r="F139" s="29">
        <f t="shared" si="36"/>
        <v>0</v>
      </c>
      <c r="G139" s="30">
        <v>0</v>
      </c>
      <c r="H139" s="31">
        <v>0</v>
      </c>
      <c r="I139" s="32">
        <v>0</v>
      </c>
      <c r="J139" s="136"/>
      <c r="K139" s="33"/>
      <c r="L139" s="34"/>
      <c r="M139" s="34"/>
      <c r="N139" s="138"/>
      <c r="O139" s="34"/>
      <c r="P139" s="34"/>
      <c r="Q139" s="34"/>
      <c r="R139" s="138"/>
      <c r="S139" s="37"/>
      <c r="T139" s="34"/>
      <c r="U139" s="34"/>
      <c r="V139" s="138"/>
      <c r="W139" s="38"/>
      <c r="X139" s="31"/>
      <c r="Y139" s="31"/>
      <c r="Z139" s="105"/>
      <c r="AA139" s="37"/>
      <c r="AB139" s="34"/>
      <c r="AC139" s="34"/>
      <c r="AD139" s="123"/>
      <c r="AE139" s="122"/>
      <c r="AF139" s="123"/>
      <c r="AG139" s="43">
        <f t="shared" si="28"/>
        <v>0</v>
      </c>
      <c r="AH139" s="44">
        <f t="shared" si="28"/>
        <v>0</v>
      </c>
      <c r="AI139" s="44">
        <f t="shared" si="28"/>
        <v>0</v>
      </c>
      <c r="AJ139" s="45">
        <f t="shared" si="28"/>
        <v>0</v>
      </c>
      <c r="AK139" s="137">
        <f t="shared" si="30"/>
        <v>0</v>
      </c>
      <c r="AL139" s="47">
        <v>0.5</v>
      </c>
      <c r="AM139" s="48">
        <f t="shared" ref="AM139:AM185" si="37">AG139*AL139</f>
        <v>0</v>
      </c>
      <c r="AN139" s="48">
        <f t="shared" ref="AN139:AN185" si="38">AH139*AL139</f>
        <v>0</v>
      </c>
      <c r="AO139" s="49">
        <f t="shared" si="31"/>
        <v>0</v>
      </c>
      <c r="AP139" s="49">
        <f t="shared" si="32"/>
        <v>0</v>
      </c>
      <c r="AQ139" s="50">
        <f t="shared" si="33"/>
        <v>0</v>
      </c>
      <c r="AR139" s="124"/>
      <c r="AS139" s="125"/>
      <c r="AT139" s="126"/>
      <c r="AU139" s="84"/>
      <c r="AV139" s="127"/>
      <c r="AW139" s="128"/>
      <c r="AX139" s="128"/>
      <c r="AY139" s="125"/>
      <c r="AZ139" s="129"/>
    </row>
    <row r="140" spans="1:52" ht="16.5" thickBot="1" x14ac:dyDescent="0.3">
      <c r="A140" s="134">
        <v>473</v>
      </c>
      <c r="B140" s="134" t="s">
        <v>107</v>
      </c>
      <c r="C140" s="135">
        <v>67</v>
      </c>
      <c r="D140" s="26">
        <f t="shared" si="34"/>
        <v>22.333333333333332</v>
      </c>
      <c r="E140" s="27">
        <f t="shared" si="35"/>
        <v>22.333333333333332</v>
      </c>
      <c r="F140" s="29">
        <f t="shared" si="36"/>
        <v>22.333333333333332</v>
      </c>
      <c r="G140" s="30">
        <v>0</v>
      </c>
      <c r="H140" s="31">
        <v>0</v>
      </c>
      <c r="I140" s="32">
        <v>0</v>
      </c>
      <c r="J140" s="136"/>
      <c r="K140" s="33"/>
      <c r="L140" s="34"/>
      <c r="M140" s="34"/>
      <c r="N140" s="138"/>
      <c r="O140" s="34"/>
      <c r="P140" s="34"/>
      <c r="Q140" s="34"/>
      <c r="R140" s="138"/>
      <c r="S140" s="37"/>
      <c r="T140" s="34"/>
      <c r="U140" s="34"/>
      <c r="V140" s="138"/>
      <c r="W140" s="38"/>
      <c r="X140" s="31"/>
      <c r="Y140" s="31"/>
      <c r="Z140" s="105"/>
      <c r="AA140" s="37"/>
      <c r="AB140" s="34"/>
      <c r="AC140" s="34"/>
      <c r="AD140" s="123"/>
      <c r="AE140" s="122"/>
      <c r="AF140" s="123"/>
      <c r="AG140" s="43">
        <f t="shared" si="28"/>
        <v>0</v>
      </c>
      <c r="AH140" s="44">
        <f t="shared" si="28"/>
        <v>0</v>
      </c>
      <c r="AI140" s="44">
        <f t="shared" si="28"/>
        <v>0</v>
      </c>
      <c r="AJ140" s="45">
        <f t="shared" si="28"/>
        <v>0</v>
      </c>
      <c r="AK140" s="137">
        <f t="shared" si="30"/>
        <v>0</v>
      </c>
      <c r="AL140" s="47">
        <v>0.5</v>
      </c>
      <c r="AM140" s="48">
        <f t="shared" si="37"/>
        <v>0</v>
      </c>
      <c r="AN140" s="48">
        <f t="shared" si="38"/>
        <v>0</v>
      </c>
      <c r="AO140" s="49">
        <f t="shared" si="31"/>
        <v>0</v>
      </c>
      <c r="AP140" s="49">
        <f t="shared" si="32"/>
        <v>0</v>
      </c>
      <c r="AQ140" s="50">
        <f t="shared" si="33"/>
        <v>0</v>
      </c>
      <c r="AR140" s="124"/>
      <c r="AS140" s="125"/>
      <c r="AT140" s="126"/>
      <c r="AU140" s="84"/>
      <c r="AV140" s="127"/>
      <c r="AW140" s="128"/>
      <c r="AX140" s="128"/>
      <c r="AY140" s="125"/>
      <c r="AZ140" s="129"/>
    </row>
    <row r="141" spans="1:52" ht="16.5" thickBot="1" x14ac:dyDescent="0.3">
      <c r="A141" s="134">
        <v>473</v>
      </c>
      <c r="B141" s="134" t="s">
        <v>57</v>
      </c>
      <c r="C141" s="135"/>
      <c r="D141" s="26">
        <f t="shared" si="34"/>
        <v>0</v>
      </c>
      <c r="E141" s="27">
        <f t="shared" si="35"/>
        <v>0</v>
      </c>
      <c r="F141" s="29">
        <f t="shared" si="36"/>
        <v>0</v>
      </c>
      <c r="G141" s="30">
        <v>0</v>
      </c>
      <c r="H141" s="31">
        <v>0</v>
      </c>
      <c r="I141" s="32">
        <v>0</v>
      </c>
      <c r="J141" s="136"/>
      <c r="K141" s="33"/>
      <c r="L141" s="34"/>
      <c r="M141" s="34"/>
      <c r="N141" s="138"/>
      <c r="O141" s="34"/>
      <c r="P141" s="34"/>
      <c r="Q141" s="34"/>
      <c r="R141" s="138"/>
      <c r="S141" s="37"/>
      <c r="T141" s="34"/>
      <c r="U141" s="34"/>
      <c r="V141" s="138"/>
      <c r="W141" s="38"/>
      <c r="X141" s="31"/>
      <c r="Y141" s="31"/>
      <c r="Z141" s="105"/>
      <c r="AA141" s="37"/>
      <c r="AB141" s="34"/>
      <c r="AC141" s="34"/>
      <c r="AD141" s="123"/>
      <c r="AE141" s="122"/>
      <c r="AF141" s="123"/>
      <c r="AG141" s="43">
        <f t="shared" si="28"/>
        <v>0</v>
      </c>
      <c r="AH141" s="44">
        <f t="shared" si="28"/>
        <v>0</v>
      </c>
      <c r="AI141" s="44">
        <f t="shared" si="28"/>
        <v>0</v>
      </c>
      <c r="AJ141" s="45">
        <f t="shared" si="28"/>
        <v>0</v>
      </c>
      <c r="AK141" s="137">
        <f t="shared" si="30"/>
        <v>0</v>
      </c>
      <c r="AL141" s="47">
        <v>0.5</v>
      </c>
      <c r="AM141" s="48">
        <f t="shared" si="37"/>
        <v>0</v>
      </c>
      <c r="AN141" s="48">
        <f t="shared" si="38"/>
        <v>0</v>
      </c>
      <c r="AO141" s="49">
        <f t="shared" si="31"/>
        <v>0</v>
      </c>
      <c r="AP141" s="49">
        <f t="shared" si="32"/>
        <v>0</v>
      </c>
      <c r="AQ141" s="50">
        <f t="shared" si="33"/>
        <v>0</v>
      </c>
      <c r="AR141" s="124"/>
      <c r="AS141" s="125"/>
      <c r="AT141" s="126"/>
      <c r="AU141" s="84"/>
      <c r="AV141" s="127"/>
      <c r="AW141" s="128"/>
      <c r="AX141" s="128"/>
      <c r="AY141" s="125"/>
      <c r="AZ141" s="129"/>
    </row>
    <row r="142" spans="1:52" ht="16.5" thickBot="1" x14ac:dyDescent="0.3">
      <c r="A142" s="134">
        <v>473</v>
      </c>
      <c r="B142" s="134" t="s">
        <v>108</v>
      </c>
      <c r="C142" s="135">
        <v>706</v>
      </c>
      <c r="D142" s="26">
        <f t="shared" si="34"/>
        <v>235.33333333333334</v>
      </c>
      <c r="E142" s="27">
        <f t="shared" si="35"/>
        <v>235.33333333333334</v>
      </c>
      <c r="F142" s="29">
        <f t="shared" si="36"/>
        <v>235.33333333333334</v>
      </c>
      <c r="G142" s="30">
        <v>0</v>
      </c>
      <c r="H142" s="31">
        <v>0</v>
      </c>
      <c r="I142" s="32">
        <v>0</v>
      </c>
      <c r="J142" s="136"/>
      <c r="K142" s="33"/>
      <c r="L142" s="34"/>
      <c r="M142" s="34"/>
      <c r="N142" s="138"/>
      <c r="O142" s="34"/>
      <c r="P142" s="34"/>
      <c r="Q142" s="34"/>
      <c r="R142" s="138"/>
      <c r="S142" s="37"/>
      <c r="T142" s="34"/>
      <c r="U142" s="34"/>
      <c r="V142" s="138"/>
      <c r="W142" s="38"/>
      <c r="X142" s="31"/>
      <c r="Y142" s="31"/>
      <c r="Z142" s="105"/>
      <c r="AA142" s="37"/>
      <c r="AB142" s="34"/>
      <c r="AC142" s="34"/>
      <c r="AD142" s="123"/>
      <c r="AE142" s="122"/>
      <c r="AF142" s="123"/>
      <c r="AG142" s="43">
        <f t="shared" si="28"/>
        <v>0</v>
      </c>
      <c r="AH142" s="44">
        <f t="shared" si="28"/>
        <v>0</v>
      </c>
      <c r="AI142" s="44">
        <f t="shared" si="28"/>
        <v>0</v>
      </c>
      <c r="AJ142" s="45">
        <f t="shared" si="28"/>
        <v>0</v>
      </c>
      <c r="AK142" s="137">
        <f t="shared" si="30"/>
        <v>0</v>
      </c>
      <c r="AL142" s="47">
        <v>1</v>
      </c>
      <c r="AM142" s="48">
        <f t="shared" si="37"/>
        <v>0</v>
      </c>
      <c r="AN142" s="48">
        <f t="shared" si="38"/>
        <v>0</v>
      </c>
      <c r="AO142" s="49">
        <f t="shared" si="31"/>
        <v>0</v>
      </c>
      <c r="AP142" s="49">
        <f t="shared" si="32"/>
        <v>0</v>
      </c>
      <c r="AQ142" s="50">
        <f t="shared" si="33"/>
        <v>0</v>
      </c>
      <c r="AR142" s="124"/>
      <c r="AS142" s="125"/>
      <c r="AT142" s="126"/>
      <c r="AU142" s="84"/>
      <c r="AV142" s="127"/>
      <c r="AW142" s="128"/>
      <c r="AX142" s="128"/>
      <c r="AY142" s="125"/>
      <c r="AZ142" s="129"/>
    </row>
    <row r="143" spans="1:52" ht="16.5" thickBot="1" x14ac:dyDescent="0.3">
      <c r="A143" s="134">
        <v>625</v>
      </c>
      <c r="B143" s="134" t="s">
        <v>108</v>
      </c>
      <c r="C143" s="135"/>
      <c r="D143" s="26">
        <f t="shared" si="34"/>
        <v>0</v>
      </c>
      <c r="E143" s="27">
        <f t="shared" si="35"/>
        <v>0</v>
      </c>
      <c r="F143" s="29">
        <f t="shared" si="36"/>
        <v>0</v>
      </c>
      <c r="G143" s="30">
        <v>0</v>
      </c>
      <c r="H143" s="31">
        <v>0</v>
      </c>
      <c r="I143" s="32">
        <v>0</v>
      </c>
      <c r="J143" s="136"/>
      <c r="K143" s="33"/>
      <c r="L143" s="34"/>
      <c r="M143" s="34"/>
      <c r="N143" s="138"/>
      <c r="O143" s="34"/>
      <c r="P143" s="34"/>
      <c r="Q143" s="34"/>
      <c r="R143" s="138"/>
      <c r="S143" s="37"/>
      <c r="T143" s="34"/>
      <c r="U143" s="34"/>
      <c r="V143" s="138"/>
      <c r="W143" s="38"/>
      <c r="X143" s="31"/>
      <c r="Y143" s="31"/>
      <c r="Z143" s="105"/>
      <c r="AA143" s="37"/>
      <c r="AB143" s="34"/>
      <c r="AC143" s="34"/>
      <c r="AD143" s="123"/>
      <c r="AE143" s="122"/>
      <c r="AF143" s="123"/>
      <c r="AG143" s="43">
        <f t="shared" si="28"/>
        <v>0</v>
      </c>
      <c r="AH143" s="44">
        <f t="shared" si="28"/>
        <v>0</v>
      </c>
      <c r="AI143" s="44">
        <f t="shared" si="28"/>
        <v>0</v>
      </c>
      <c r="AJ143" s="45">
        <f t="shared" si="28"/>
        <v>0</v>
      </c>
      <c r="AK143" s="137">
        <f t="shared" si="30"/>
        <v>0</v>
      </c>
      <c r="AL143" s="47">
        <v>0.5</v>
      </c>
      <c r="AM143" s="48">
        <f t="shared" si="37"/>
        <v>0</v>
      </c>
      <c r="AN143" s="48">
        <f t="shared" si="38"/>
        <v>0</v>
      </c>
      <c r="AO143" s="49">
        <f t="shared" si="31"/>
        <v>0</v>
      </c>
      <c r="AP143" s="49">
        <f t="shared" si="32"/>
        <v>0</v>
      </c>
      <c r="AQ143" s="50">
        <f t="shared" si="33"/>
        <v>0</v>
      </c>
      <c r="AR143" s="124"/>
      <c r="AS143" s="125"/>
      <c r="AT143" s="126"/>
      <c r="AU143" s="84"/>
      <c r="AV143" s="127"/>
      <c r="AW143" s="128"/>
      <c r="AX143" s="128"/>
      <c r="AY143" s="125"/>
      <c r="AZ143" s="129"/>
    </row>
    <row r="144" spans="1:52" ht="16.5" thickBot="1" x14ac:dyDescent="0.3">
      <c r="A144" s="134"/>
      <c r="B144" s="134" t="s">
        <v>109</v>
      </c>
      <c r="C144" s="135"/>
      <c r="D144" s="26">
        <f t="shared" si="34"/>
        <v>0</v>
      </c>
      <c r="E144" s="27">
        <f t="shared" si="35"/>
        <v>0</v>
      </c>
      <c r="F144" s="29">
        <f t="shared" si="36"/>
        <v>0</v>
      </c>
      <c r="G144" s="30">
        <v>0</v>
      </c>
      <c r="H144" s="31">
        <v>0</v>
      </c>
      <c r="I144" s="32">
        <v>0</v>
      </c>
      <c r="J144" s="136"/>
      <c r="K144" s="33"/>
      <c r="L144" s="34"/>
      <c r="M144" s="34"/>
      <c r="N144" s="138"/>
      <c r="O144" s="34"/>
      <c r="P144" s="34"/>
      <c r="Q144" s="34"/>
      <c r="R144" s="138"/>
      <c r="S144" s="37"/>
      <c r="T144" s="34"/>
      <c r="U144" s="34"/>
      <c r="V144" s="138"/>
      <c r="W144" s="38"/>
      <c r="X144" s="31"/>
      <c r="Y144" s="31"/>
      <c r="Z144" s="105"/>
      <c r="AA144" s="37"/>
      <c r="AB144" s="34"/>
      <c r="AC144" s="34"/>
      <c r="AD144" s="123"/>
      <c r="AE144" s="122"/>
      <c r="AF144" s="123"/>
      <c r="AG144" s="43">
        <f t="shared" si="28"/>
        <v>0</v>
      </c>
      <c r="AH144" s="44">
        <f t="shared" si="28"/>
        <v>0</v>
      </c>
      <c r="AI144" s="44">
        <f t="shared" si="28"/>
        <v>0</v>
      </c>
      <c r="AJ144" s="45">
        <f t="shared" si="28"/>
        <v>0</v>
      </c>
      <c r="AK144" s="137">
        <f t="shared" si="30"/>
        <v>0</v>
      </c>
      <c r="AL144" s="47">
        <v>1</v>
      </c>
      <c r="AM144" s="48">
        <f t="shared" si="37"/>
        <v>0</v>
      </c>
      <c r="AN144" s="48">
        <f t="shared" si="38"/>
        <v>0</v>
      </c>
      <c r="AO144" s="49">
        <f t="shared" si="31"/>
        <v>0</v>
      </c>
      <c r="AP144" s="49">
        <f t="shared" si="32"/>
        <v>0</v>
      </c>
      <c r="AQ144" s="50">
        <f t="shared" si="33"/>
        <v>0</v>
      </c>
      <c r="AR144" s="124"/>
      <c r="AS144" s="125"/>
      <c r="AT144" s="126"/>
      <c r="AU144" s="84"/>
      <c r="AV144" s="127"/>
      <c r="AW144" s="128"/>
      <c r="AX144" s="128"/>
      <c r="AY144" s="125"/>
      <c r="AZ144" s="129"/>
    </row>
    <row r="145" spans="1:52" ht="16.5" thickBot="1" x14ac:dyDescent="0.3">
      <c r="A145" s="134">
        <v>400</v>
      </c>
      <c r="B145" s="134" t="s">
        <v>110</v>
      </c>
      <c r="C145" s="135"/>
      <c r="D145" s="26">
        <f t="shared" si="34"/>
        <v>0</v>
      </c>
      <c r="E145" s="27">
        <f t="shared" si="35"/>
        <v>0</v>
      </c>
      <c r="F145" s="29">
        <f t="shared" si="36"/>
        <v>0</v>
      </c>
      <c r="G145" s="30">
        <v>0</v>
      </c>
      <c r="H145" s="31">
        <v>0</v>
      </c>
      <c r="I145" s="32">
        <v>0</v>
      </c>
      <c r="J145" s="136"/>
      <c r="K145" s="33"/>
      <c r="L145" s="34"/>
      <c r="M145" s="34"/>
      <c r="N145" s="138"/>
      <c r="O145" s="34"/>
      <c r="P145" s="34"/>
      <c r="Q145" s="34"/>
      <c r="R145" s="138"/>
      <c r="S145" s="37"/>
      <c r="T145" s="34"/>
      <c r="U145" s="34"/>
      <c r="V145" s="138"/>
      <c r="W145" s="38"/>
      <c r="X145" s="31"/>
      <c r="Y145" s="31"/>
      <c r="Z145" s="105"/>
      <c r="AA145" s="37"/>
      <c r="AB145" s="34"/>
      <c r="AC145" s="34"/>
      <c r="AD145" s="123"/>
      <c r="AE145" s="122"/>
      <c r="AF145" s="123"/>
      <c r="AG145" s="43">
        <f t="shared" si="28"/>
        <v>0</v>
      </c>
      <c r="AH145" s="44">
        <f t="shared" si="28"/>
        <v>0</v>
      </c>
      <c r="AI145" s="44">
        <f t="shared" si="28"/>
        <v>0</v>
      </c>
      <c r="AJ145" s="45">
        <f t="shared" si="28"/>
        <v>0</v>
      </c>
      <c r="AK145" s="137">
        <f t="shared" si="30"/>
        <v>0</v>
      </c>
      <c r="AL145" s="47">
        <v>0.75</v>
      </c>
      <c r="AM145" s="48">
        <f t="shared" si="37"/>
        <v>0</v>
      </c>
      <c r="AN145" s="48">
        <f t="shared" si="38"/>
        <v>0</v>
      </c>
      <c r="AO145" s="49">
        <f t="shared" si="31"/>
        <v>0</v>
      </c>
      <c r="AP145" s="49">
        <f t="shared" si="32"/>
        <v>0</v>
      </c>
      <c r="AQ145" s="50">
        <f t="shared" si="33"/>
        <v>0</v>
      </c>
      <c r="AR145" s="124"/>
      <c r="AS145" s="125"/>
      <c r="AT145" s="126"/>
      <c r="AU145" s="84"/>
      <c r="AV145" s="127"/>
      <c r="AW145" s="128"/>
      <c r="AX145" s="128"/>
      <c r="AY145" s="125"/>
      <c r="AZ145" s="129"/>
    </row>
    <row r="146" spans="1:52" ht="16.5" thickBot="1" x14ac:dyDescent="0.3">
      <c r="A146" s="134">
        <v>300</v>
      </c>
      <c r="B146" s="134" t="s">
        <v>54</v>
      </c>
      <c r="C146" s="135"/>
      <c r="D146" s="26">
        <f t="shared" si="34"/>
        <v>0</v>
      </c>
      <c r="E146" s="27">
        <f t="shared" si="35"/>
        <v>0</v>
      </c>
      <c r="F146" s="29">
        <f t="shared" si="36"/>
        <v>0</v>
      </c>
      <c r="G146" s="30">
        <v>0</v>
      </c>
      <c r="H146" s="31">
        <v>0</v>
      </c>
      <c r="I146" s="32">
        <v>0</v>
      </c>
      <c r="J146" s="136"/>
      <c r="K146" s="33"/>
      <c r="L146" s="34"/>
      <c r="M146" s="34"/>
      <c r="N146" s="138"/>
      <c r="O146" s="34"/>
      <c r="P146" s="34"/>
      <c r="Q146" s="34"/>
      <c r="R146" s="138"/>
      <c r="S146" s="37"/>
      <c r="T146" s="34"/>
      <c r="U146" s="34"/>
      <c r="V146" s="138"/>
      <c r="W146" s="38"/>
      <c r="X146" s="31"/>
      <c r="Y146" s="31"/>
      <c r="Z146" s="105"/>
      <c r="AA146" s="37"/>
      <c r="AB146" s="34"/>
      <c r="AC146" s="34"/>
      <c r="AD146" s="123"/>
      <c r="AE146" s="122"/>
      <c r="AF146" s="123"/>
      <c r="AG146" s="43">
        <f t="shared" si="28"/>
        <v>0</v>
      </c>
      <c r="AH146" s="44">
        <f t="shared" si="28"/>
        <v>0</v>
      </c>
      <c r="AI146" s="44">
        <f t="shared" si="28"/>
        <v>0</v>
      </c>
      <c r="AJ146" s="45">
        <f t="shared" si="28"/>
        <v>0</v>
      </c>
      <c r="AK146" s="137">
        <f t="shared" si="30"/>
        <v>0</v>
      </c>
      <c r="AL146" s="47">
        <v>1</v>
      </c>
      <c r="AM146" s="48">
        <f t="shared" si="37"/>
        <v>0</v>
      </c>
      <c r="AN146" s="48">
        <f t="shared" si="38"/>
        <v>0</v>
      </c>
      <c r="AO146" s="49">
        <f t="shared" si="31"/>
        <v>0</v>
      </c>
      <c r="AP146" s="49">
        <f t="shared" si="32"/>
        <v>0</v>
      </c>
      <c r="AQ146" s="50">
        <f t="shared" si="33"/>
        <v>0</v>
      </c>
      <c r="AR146" s="124"/>
      <c r="AS146" s="125"/>
      <c r="AT146" s="126"/>
      <c r="AU146" s="84"/>
      <c r="AV146" s="127"/>
      <c r="AW146" s="128"/>
      <c r="AX146" s="128"/>
      <c r="AY146" s="125"/>
      <c r="AZ146" s="129"/>
    </row>
    <row r="147" spans="1:52" ht="16.5" thickBot="1" x14ac:dyDescent="0.3">
      <c r="A147" s="134">
        <v>300</v>
      </c>
      <c r="B147" s="134" t="s">
        <v>56</v>
      </c>
      <c r="C147" s="135"/>
      <c r="D147" s="26">
        <f t="shared" si="34"/>
        <v>0</v>
      </c>
      <c r="E147" s="27">
        <f t="shared" si="35"/>
        <v>0</v>
      </c>
      <c r="F147" s="29">
        <f t="shared" si="36"/>
        <v>0</v>
      </c>
      <c r="G147" s="30">
        <v>0</v>
      </c>
      <c r="H147" s="31">
        <v>0</v>
      </c>
      <c r="I147" s="32">
        <v>0</v>
      </c>
      <c r="J147" s="136"/>
      <c r="K147" s="33"/>
      <c r="L147" s="34"/>
      <c r="M147" s="34"/>
      <c r="N147" s="138"/>
      <c r="O147" s="34"/>
      <c r="P147" s="34"/>
      <c r="Q147" s="34"/>
      <c r="R147" s="138"/>
      <c r="S147" s="37"/>
      <c r="T147" s="34"/>
      <c r="U147" s="34"/>
      <c r="V147" s="138"/>
      <c r="W147" s="38"/>
      <c r="X147" s="31"/>
      <c r="Y147" s="31"/>
      <c r="Z147" s="105"/>
      <c r="AA147" s="37"/>
      <c r="AB147" s="34"/>
      <c r="AC147" s="34"/>
      <c r="AD147" s="123"/>
      <c r="AE147" s="122"/>
      <c r="AF147" s="123"/>
      <c r="AG147" s="43">
        <f t="shared" si="28"/>
        <v>0</v>
      </c>
      <c r="AH147" s="44">
        <f t="shared" si="28"/>
        <v>0</v>
      </c>
      <c r="AI147" s="44">
        <f t="shared" si="28"/>
        <v>0</v>
      </c>
      <c r="AJ147" s="45">
        <f t="shared" si="28"/>
        <v>0</v>
      </c>
      <c r="AK147" s="137">
        <f t="shared" si="30"/>
        <v>0</v>
      </c>
      <c r="AL147" s="47">
        <v>1</v>
      </c>
      <c r="AM147" s="48">
        <f t="shared" si="37"/>
        <v>0</v>
      </c>
      <c r="AN147" s="48">
        <f t="shared" si="38"/>
        <v>0</v>
      </c>
      <c r="AO147" s="49">
        <f t="shared" si="31"/>
        <v>0</v>
      </c>
      <c r="AP147" s="49">
        <f t="shared" si="32"/>
        <v>0</v>
      </c>
      <c r="AQ147" s="50">
        <f t="shared" si="33"/>
        <v>0</v>
      </c>
      <c r="AR147" s="124"/>
      <c r="AS147" s="125"/>
      <c r="AT147" s="126"/>
      <c r="AU147" s="84"/>
      <c r="AV147" s="127"/>
      <c r="AW147" s="128"/>
      <c r="AX147" s="128"/>
      <c r="AY147" s="125"/>
      <c r="AZ147" s="129"/>
    </row>
    <row r="148" spans="1:52" ht="16.5" thickBot="1" x14ac:dyDescent="0.3">
      <c r="A148" s="134">
        <v>300</v>
      </c>
      <c r="B148" s="134" t="s">
        <v>55</v>
      </c>
      <c r="C148" s="135"/>
      <c r="D148" s="26">
        <f t="shared" si="34"/>
        <v>0</v>
      </c>
      <c r="E148" s="27">
        <f t="shared" si="35"/>
        <v>0</v>
      </c>
      <c r="F148" s="29">
        <f t="shared" si="36"/>
        <v>0</v>
      </c>
      <c r="G148" s="30">
        <v>0</v>
      </c>
      <c r="H148" s="31">
        <v>0</v>
      </c>
      <c r="I148" s="32">
        <v>0</v>
      </c>
      <c r="J148" s="136"/>
      <c r="K148" s="33"/>
      <c r="L148" s="34"/>
      <c r="M148" s="34"/>
      <c r="N148" s="138"/>
      <c r="O148" s="34"/>
      <c r="P148" s="34"/>
      <c r="Q148" s="34"/>
      <c r="R148" s="138"/>
      <c r="S148" s="37"/>
      <c r="T148" s="34"/>
      <c r="U148" s="34"/>
      <c r="V148" s="138"/>
      <c r="W148" s="38"/>
      <c r="X148" s="31"/>
      <c r="Y148" s="31"/>
      <c r="Z148" s="105"/>
      <c r="AA148" s="37"/>
      <c r="AB148" s="34"/>
      <c r="AC148" s="34"/>
      <c r="AD148" s="123"/>
      <c r="AE148" s="122"/>
      <c r="AF148" s="123"/>
      <c r="AG148" s="43">
        <f t="shared" si="28"/>
        <v>0</v>
      </c>
      <c r="AH148" s="44">
        <f t="shared" si="28"/>
        <v>0</v>
      </c>
      <c r="AI148" s="44">
        <f t="shared" si="28"/>
        <v>0</v>
      </c>
      <c r="AJ148" s="45">
        <f t="shared" si="28"/>
        <v>0</v>
      </c>
      <c r="AK148" s="137">
        <f t="shared" si="30"/>
        <v>0</v>
      </c>
      <c r="AL148" s="47">
        <v>1</v>
      </c>
      <c r="AM148" s="48">
        <f t="shared" si="37"/>
        <v>0</v>
      </c>
      <c r="AN148" s="48">
        <f t="shared" si="38"/>
        <v>0</v>
      </c>
      <c r="AO148" s="49">
        <f t="shared" si="31"/>
        <v>0</v>
      </c>
      <c r="AP148" s="49"/>
      <c r="AQ148" s="50">
        <f t="shared" si="33"/>
        <v>0</v>
      </c>
      <c r="AR148" s="124"/>
      <c r="AS148" s="125"/>
      <c r="AT148" s="126"/>
      <c r="AU148" s="84"/>
      <c r="AV148" s="127"/>
      <c r="AW148" s="128"/>
      <c r="AX148" s="128"/>
      <c r="AY148" s="125"/>
      <c r="AZ148" s="129"/>
    </row>
    <row r="149" spans="1:52" s="246" customFormat="1" ht="16.5" thickBot="1" x14ac:dyDescent="0.3">
      <c r="A149" s="134">
        <v>1090</v>
      </c>
      <c r="B149" s="134" t="s">
        <v>88</v>
      </c>
      <c r="C149" s="139"/>
      <c r="D149" s="26">
        <f t="shared" si="34"/>
        <v>0</v>
      </c>
      <c r="E149" s="27">
        <f t="shared" si="35"/>
        <v>0</v>
      </c>
      <c r="F149" s="29">
        <f t="shared" si="36"/>
        <v>0</v>
      </c>
      <c r="G149" s="30">
        <v>0</v>
      </c>
      <c r="H149" s="31">
        <v>0</v>
      </c>
      <c r="I149" s="32">
        <v>0</v>
      </c>
      <c r="J149" s="136"/>
      <c r="K149" s="33"/>
      <c r="L149" s="34"/>
      <c r="M149" s="34"/>
      <c r="N149" s="138"/>
      <c r="O149" s="34"/>
      <c r="P149" s="34"/>
      <c r="Q149" s="34"/>
      <c r="R149" s="138"/>
      <c r="S149" s="37"/>
      <c r="T149" s="34"/>
      <c r="U149" s="34"/>
      <c r="V149" s="138"/>
      <c r="W149" s="38"/>
      <c r="X149" s="31"/>
      <c r="Y149" s="31"/>
      <c r="Z149" s="105"/>
      <c r="AA149" s="37"/>
      <c r="AB149" s="34"/>
      <c r="AC149" s="34"/>
      <c r="AD149" s="105"/>
      <c r="AE149" s="104"/>
      <c r="AF149" s="105"/>
      <c r="AG149" s="43">
        <f t="shared" si="28"/>
        <v>0</v>
      </c>
      <c r="AH149" s="44">
        <f t="shared" si="28"/>
        <v>0</v>
      </c>
      <c r="AI149" s="44">
        <f t="shared" si="28"/>
        <v>0</v>
      </c>
      <c r="AJ149" s="94">
        <f t="shared" si="28"/>
        <v>0</v>
      </c>
      <c r="AK149" s="140">
        <f t="shared" si="30"/>
        <v>0</v>
      </c>
      <c r="AL149" s="246">
        <v>0.5</v>
      </c>
      <c r="AM149" s="48">
        <f t="shared" si="37"/>
        <v>0</v>
      </c>
      <c r="AN149" s="48">
        <f t="shared" si="38"/>
        <v>0</v>
      </c>
      <c r="AO149" s="49">
        <f t="shared" si="31"/>
        <v>0</v>
      </c>
      <c r="AP149" s="49">
        <f t="shared" si="32"/>
        <v>0</v>
      </c>
      <c r="AQ149" s="50">
        <f t="shared" si="33"/>
        <v>0</v>
      </c>
      <c r="AR149" s="106"/>
      <c r="AS149" s="107"/>
      <c r="AT149" s="115"/>
      <c r="AU149" s="100"/>
      <c r="AV149" s="109"/>
      <c r="AW149" s="110"/>
      <c r="AX149" s="110"/>
      <c r="AY149" s="107"/>
      <c r="AZ149" s="116"/>
    </row>
    <row r="150" spans="1:52" s="246" customFormat="1" ht="16.5" thickBot="1" x14ac:dyDescent="0.3">
      <c r="A150" s="134">
        <v>0</v>
      </c>
      <c r="B150" s="134">
        <v>0</v>
      </c>
      <c r="C150" s="139"/>
      <c r="D150" s="26">
        <f t="shared" si="34"/>
        <v>0</v>
      </c>
      <c r="E150" s="27">
        <f t="shared" si="35"/>
        <v>0</v>
      </c>
      <c r="F150" s="29">
        <f t="shared" si="36"/>
        <v>0</v>
      </c>
      <c r="G150" s="30">
        <v>0</v>
      </c>
      <c r="H150" s="31">
        <v>0</v>
      </c>
      <c r="I150" s="32">
        <v>0</v>
      </c>
      <c r="J150" s="136"/>
      <c r="K150" s="33"/>
      <c r="L150" s="34"/>
      <c r="M150" s="34"/>
      <c r="N150" s="138"/>
      <c r="O150" s="34"/>
      <c r="P150" s="34"/>
      <c r="Q150" s="34"/>
      <c r="R150" s="138"/>
      <c r="S150" s="37"/>
      <c r="T150" s="34"/>
      <c r="U150" s="34"/>
      <c r="V150" s="138"/>
      <c r="W150" s="38"/>
      <c r="X150" s="31"/>
      <c r="Y150" s="31"/>
      <c r="Z150" s="105"/>
      <c r="AA150" s="37"/>
      <c r="AB150" s="34"/>
      <c r="AC150" s="34"/>
      <c r="AD150" s="105"/>
      <c r="AE150" s="104"/>
      <c r="AF150" s="105"/>
      <c r="AG150" s="43">
        <f t="shared" si="28"/>
        <v>0</v>
      </c>
      <c r="AH150" s="44">
        <f t="shared" si="28"/>
        <v>0</v>
      </c>
      <c r="AI150" s="44">
        <f t="shared" si="28"/>
        <v>0</v>
      </c>
      <c r="AJ150" s="94">
        <f t="shared" si="28"/>
        <v>0</v>
      </c>
      <c r="AK150" s="140">
        <f t="shared" si="30"/>
        <v>0</v>
      </c>
      <c r="AL150" s="246">
        <v>0</v>
      </c>
      <c r="AM150" s="48">
        <f t="shared" si="37"/>
        <v>0</v>
      </c>
      <c r="AN150" s="48">
        <f t="shared" si="38"/>
        <v>0</v>
      </c>
      <c r="AO150" s="49">
        <f t="shared" si="31"/>
        <v>0</v>
      </c>
      <c r="AP150" s="49">
        <f t="shared" si="32"/>
        <v>0</v>
      </c>
      <c r="AQ150" s="50">
        <f t="shared" si="33"/>
        <v>0</v>
      </c>
      <c r="AR150" s="106"/>
      <c r="AS150" s="107"/>
      <c r="AT150" s="115"/>
      <c r="AU150" s="100"/>
      <c r="AV150" s="109"/>
      <c r="AW150" s="110"/>
      <c r="AX150" s="110"/>
      <c r="AY150" s="107"/>
      <c r="AZ150" s="116"/>
    </row>
    <row r="151" spans="1:52" s="246" customFormat="1" ht="16.5" thickBot="1" x14ac:dyDescent="0.3">
      <c r="A151" s="134">
        <v>250</v>
      </c>
      <c r="B151" s="134" t="s">
        <v>111</v>
      </c>
      <c r="C151" s="139"/>
      <c r="D151" s="26">
        <f t="shared" si="34"/>
        <v>0</v>
      </c>
      <c r="E151" s="27">
        <f t="shared" si="35"/>
        <v>0</v>
      </c>
      <c r="F151" s="29">
        <f t="shared" si="36"/>
        <v>0</v>
      </c>
      <c r="G151" s="30">
        <v>0</v>
      </c>
      <c r="H151" s="31">
        <v>0</v>
      </c>
      <c r="I151" s="32">
        <v>0</v>
      </c>
      <c r="J151" s="136"/>
      <c r="K151" s="33"/>
      <c r="L151" s="34"/>
      <c r="M151" s="34"/>
      <c r="N151" s="138"/>
      <c r="O151" s="34"/>
      <c r="P151" s="34"/>
      <c r="Q151" s="34"/>
      <c r="R151" s="138"/>
      <c r="S151" s="37"/>
      <c r="T151" s="34"/>
      <c r="U151" s="34"/>
      <c r="V151" s="138"/>
      <c r="W151" s="38"/>
      <c r="X151" s="31"/>
      <c r="Y151" s="31"/>
      <c r="Z151" s="105"/>
      <c r="AA151" s="37"/>
      <c r="AB151" s="34"/>
      <c r="AC151" s="34"/>
      <c r="AD151" s="105"/>
      <c r="AE151" s="104"/>
      <c r="AF151" s="105"/>
      <c r="AG151" s="43">
        <f t="shared" si="28"/>
        <v>0</v>
      </c>
      <c r="AH151" s="44">
        <f t="shared" si="28"/>
        <v>0</v>
      </c>
      <c r="AI151" s="44">
        <f t="shared" si="28"/>
        <v>0</v>
      </c>
      <c r="AJ151" s="94">
        <f t="shared" si="28"/>
        <v>0</v>
      </c>
      <c r="AK151" s="140">
        <f t="shared" si="30"/>
        <v>0</v>
      </c>
      <c r="AL151" s="47">
        <v>1</v>
      </c>
      <c r="AM151" s="48">
        <f t="shared" si="37"/>
        <v>0</v>
      </c>
      <c r="AN151" s="48">
        <f t="shared" si="38"/>
        <v>0</v>
      </c>
      <c r="AO151" s="49">
        <f t="shared" si="31"/>
        <v>0</v>
      </c>
      <c r="AP151" s="49">
        <f t="shared" si="32"/>
        <v>0</v>
      </c>
      <c r="AQ151" s="50">
        <f t="shared" si="33"/>
        <v>0</v>
      </c>
      <c r="AR151" s="106"/>
      <c r="AS151" s="107"/>
      <c r="AT151" s="115"/>
      <c r="AU151" s="100"/>
      <c r="AV151" s="109"/>
      <c r="AW151" s="110"/>
      <c r="AX151" s="110"/>
      <c r="AY151" s="107"/>
      <c r="AZ151" s="116"/>
    </row>
    <row r="152" spans="1:52" s="246" customFormat="1" ht="16.5" thickBot="1" x14ac:dyDescent="0.3">
      <c r="A152" s="134">
        <v>250</v>
      </c>
      <c r="B152" s="134" t="s">
        <v>112</v>
      </c>
      <c r="C152" s="139"/>
      <c r="D152" s="26">
        <f t="shared" si="34"/>
        <v>0</v>
      </c>
      <c r="E152" s="27">
        <f t="shared" si="35"/>
        <v>0</v>
      </c>
      <c r="F152" s="29">
        <f t="shared" si="36"/>
        <v>0</v>
      </c>
      <c r="G152" s="30">
        <v>0</v>
      </c>
      <c r="H152" s="31">
        <v>0</v>
      </c>
      <c r="I152" s="32">
        <v>0</v>
      </c>
      <c r="J152" s="136"/>
      <c r="K152" s="33"/>
      <c r="L152" s="34"/>
      <c r="M152" s="34"/>
      <c r="N152" s="138"/>
      <c r="O152" s="34"/>
      <c r="P152" s="34"/>
      <c r="Q152" s="34"/>
      <c r="R152" s="138"/>
      <c r="S152" s="37"/>
      <c r="T152" s="34"/>
      <c r="U152" s="34"/>
      <c r="V152" s="138"/>
      <c r="W152" s="38"/>
      <c r="X152" s="31"/>
      <c r="Y152" s="31"/>
      <c r="Z152" s="105"/>
      <c r="AA152" s="37"/>
      <c r="AB152" s="34"/>
      <c r="AC152" s="34"/>
      <c r="AD152" s="105"/>
      <c r="AE152" s="104"/>
      <c r="AF152" s="105"/>
      <c r="AG152" s="43">
        <f t="shared" si="28"/>
        <v>0</v>
      </c>
      <c r="AH152" s="44">
        <f t="shared" si="28"/>
        <v>0</v>
      </c>
      <c r="AI152" s="44">
        <f t="shared" si="28"/>
        <v>0</v>
      </c>
      <c r="AJ152" s="94">
        <f t="shared" si="28"/>
        <v>0</v>
      </c>
      <c r="AK152" s="140">
        <f t="shared" si="30"/>
        <v>0</v>
      </c>
      <c r="AL152" s="47">
        <v>1</v>
      </c>
      <c r="AM152" s="48">
        <f t="shared" si="37"/>
        <v>0</v>
      </c>
      <c r="AN152" s="48">
        <f t="shared" si="38"/>
        <v>0</v>
      </c>
      <c r="AO152" s="49">
        <f t="shared" si="31"/>
        <v>0</v>
      </c>
      <c r="AP152" s="49">
        <f t="shared" si="32"/>
        <v>0</v>
      </c>
      <c r="AQ152" s="50">
        <f t="shared" si="33"/>
        <v>0</v>
      </c>
      <c r="AR152" s="106"/>
      <c r="AS152" s="107"/>
      <c r="AT152" s="115"/>
      <c r="AU152" s="100"/>
      <c r="AV152" s="109"/>
      <c r="AW152" s="110"/>
      <c r="AX152" s="110"/>
      <c r="AY152" s="107"/>
      <c r="AZ152" s="116"/>
    </row>
    <row r="153" spans="1:52" s="246" customFormat="1" ht="16.5" thickBot="1" x14ac:dyDescent="0.3">
      <c r="A153" s="134"/>
      <c r="B153" s="134" t="s">
        <v>30</v>
      </c>
      <c r="C153" s="139"/>
      <c r="D153" s="26">
        <f t="shared" si="34"/>
        <v>0</v>
      </c>
      <c r="E153" s="27">
        <f t="shared" si="35"/>
        <v>0</v>
      </c>
      <c r="F153" s="29">
        <f t="shared" si="36"/>
        <v>0</v>
      </c>
      <c r="G153" s="30">
        <v>0</v>
      </c>
      <c r="H153" s="31">
        <v>0</v>
      </c>
      <c r="I153" s="32">
        <v>0</v>
      </c>
      <c r="J153" s="136"/>
      <c r="K153" s="33"/>
      <c r="L153" s="34"/>
      <c r="M153" s="34"/>
      <c r="N153" s="138"/>
      <c r="O153" s="34"/>
      <c r="P153" s="34"/>
      <c r="Q153" s="34"/>
      <c r="R153" s="138"/>
      <c r="S153" s="37"/>
      <c r="T153" s="34"/>
      <c r="U153" s="34"/>
      <c r="V153" s="138"/>
      <c r="W153" s="38"/>
      <c r="X153" s="31"/>
      <c r="Y153" s="31"/>
      <c r="Z153" s="105"/>
      <c r="AA153" s="37"/>
      <c r="AB153" s="34"/>
      <c r="AC153" s="34"/>
      <c r="AD153" s="105"/>
      <c r="AE153" s="104"/>
      <c r="AF153" s="105"/>
      <c r="AG153" s="43">
        <f t="shared" si="28"/>
        <v>0</v>
      </c>
      <c r="AH153" s="44">
        <f t="shared" si="28"/>
        <v>0</v>
      </c>
      <c r="AI153" s="44">
        <f t="shared" si="28"/>
        <v>0</v>
      </c>
      <c r="AJ153" s="94">
        <f t="shared" si="28"/>
        <v>0</v>
      </c>
      <c r="AK153" s="140">
        <f t="shared" si="30"/>
        <v>0</v>
      </c>
      <c r="AL153" s="47">
        <v>1</v>
      </c>
      <c r="AM153" s="48">
        <f t="shared" si="37"/>
        <v>0</v>
      </c>
      <c r="AN153" s="48">
        <f t="shared" si="38"/>
        <v>0</v>
      </c>
      <c r="AO153" s="49">
        <f t="shared" si="31"/>
        <v>0</v>
      </c>
      <c r="AP153" s="49">
        <f t="shared" si="32"/>
        <v>0</v>
      </c>
      <c r="AQ153" s="50">
        <f t="shared" si="33"/>
        <v>0</v>
      </c>
      <c r="AR153" s="106"/>
      <c r="AS153" s="107"/>
      <c r="AT153" s="115"/>
      <c r="AU153" s="100"/>
      <c r="AV153" s="109"/>
      <c r="AW153" s="110"/>
      <c r="AX153" s="110"/>
      <c r="AY153" s="107"/>
      <c r="AZ153" s="116"/>
    </row>
    <row r="154" spans="1:52" s="246" customFormat="1" ht="16.5" thickBot="1" x14ac:dyDescent="0.3">
      <c r="A154" s="134"/>
      <c r="B154" s="134" t="s">
        <v>113</v>
      </c>
      <c r="C154" s="139"/>
      <c r="D154" s="26">
        <f t="shared" si="34"/>
        <v>0</v>
      </c>
      <c r="E154" s="27">
        <f t="shared" si="35"/>
        <v>0</v>
      </c>
      <c r="F154" s="29">
        <f t="shared" si="36"/>
        <v>0</v>
      </c>
      <c r="G154" s="30">
        <v>0</v>
      </c>
      <c r="H154" s="31">
        <v>0</v>
      </c>
      <c r="I154" s="32">
        <v>0</v>
      </c>
      <c r="J154" s="136"/>
      <c r="K154" s="33"/>
      <c r="L154" s="34"/>
      <c r="M154" s="34"/>
      <c r="N154" s="138"/>
      <c r="O154" s="34"/>
      <c r="P154" s="34"/>
      <c r="Q154" s="34"/>
      <c r="R154" s="138"/>
      <c r="S154" s="37"/>
      <c r="T154" s="34"/>
      <c r="U154" s="34"/>
      <c r="V154" s="138"/>
      <c r="W154" s="38"/>
      <c r="X154" s="31"/>
      <c r="Y154" s="31"/>
      <c r="Z154" s="105"/>
      <c r="AA154" s="37"/>
      <c r="AB154" s="34"/>
      <c r="AC154" s="34"/>
      <c r="AD154" s="105"/>
      <c r="AE154" s="104"/>
      <c r="AF154" s="105"/>
      <c r="AG154" s="43">
        <f t="shared" si="28"/>
        <v>0</v>
      </c>
      <c r="AH154" s="44">
        <f t="shared" si="28"/>
        <v>0</v>
      </c>
      <c r="AI154" s="44">
        <f t="shared" si="28"/>
        <v>0</v>
      </c>
      <c r="AJ154" s="94">
        <f t="shared" si="28"/>
        <v>0</v>
      </c>
      <c r="AK154" s="140">
        <f t="shared" si="30"/>
        <v>0</v>
      </c>
      <c r="AL154" s="47">
        <v>1</v>
      </c>
      <c r="AM154" s="48">
        <f t="shared" si="37"/>
        <v>0</v>
      </c>
      <c r="AN154" s="48">
        <f t="shared" si="38"/>
        <v>0</v>
      </c>
      <c r="AO154" s="49">
        <f t="shared" si="31"/>
        <v>0</v>
      </c>
      <c r="AP154" s="49">
        <f t="shared" si="32"/>
        <v>0</v>
      </c>
      <c r="AQ154" s="50">
        <f t="shared" si="33"/>
        <v>0</v>
      </c>
      <c r="AR154" s="106"/>
      <c r="AS154" s="107"/>
      <c r="AT154" s="115"/>
      <c r="AU154" s="100"/>
      <c r="AV154" s="109"/>
      <c r="AW154" s="110"/>
      <c r="AX154" s="110"/>
      <c r="AY154" s="107"/>
      <c r="AZ154" s="116"/>
    </row>
    <row r="155" spans="1:52" s="246" customFormat="1" ht="16.5" thickBot="1" x14ac:dyDescent="0.3">
      <c r="A155" s="134"/>
      <c r="B155" s="134" t="s">
        <v>114</v>
      </c>
      <c r="C155" s="139"/>
      <c r="D155" s="26">
        <f t="shared" si="34"/>
        <v>0</v>
      </c>
      <c r="E155" s="27">
        <f t="shared" si="35"/>
        <v>0</v>
      </c>
      <c r="F155" s="29">
        <f t="shared" si="36"/>
        <v>0</v>
      </c>
      <c r="G155" s="30">
        <v>0</v>
      </c>
      <c r="H155" s="31">
        <v>0</v>
      </c>
      <c r="I155" s="32">
        <v>0</v>
      </c>
      <c r="J155" s="136"/>
      <c r="K155" s="33"/>
      <c r="L155" s="34"/>
      <c r="M155" s="34"/>
      <c r="N155" s="138"/>
      <c r="O155" s="34"/>
      <c r="P155" s="34"/>
      <c r="Q155" s="34"/>
      <c r="R155" s="138"/>
      <c r="S155" s="37"/>
      <c r="T155" s="34"/>
      <c r="U155" s="34"/>
      <c r="V155" s="138"/>
      <c r="W155" s="38"/>
      <c r="X155" s="31"/>
      <c r="Y155" s="31"/>
      <c r="Z155" s="105"/>
      <c r="AA155" s="37"/>
      <c r="AB155" s="34"/>
      <c r="AC155" s="34"/>
      <c r="AD155" s="105"/>
      <c r="AE155" s="104"/>
      <c r="AF155" s="105"/>
      <c r="AG155" s="43">
        <f t="shared" si="28"/>
        <v>0</v>
      </c>
      <c r="AH155" s="44">
        <f t="shared" si="28"/>
        <v>0</v>
      </c>
      <c r="AI155" s="44">
        <f t="shared" si="28"/>
        <v>0</v>
      </c>
      <c r="AJ155" s="94">
        <f t="shared" si="28"/>
        <v>0</v>
      </c>
      <c r="AK155" s="140">
        <f t="shared" si="30"/>
        <v>0</v>
      </c>
      <c r="AL155" s="47">
        <v>1</v>
      </c>
      <c r="AM155" s="48">
        <f t="shared" si="37"/>
        <v>0</v>
      </c>
      <c r="AN155" s="48">
        <f t="shared" si="38"/>
        <v>0</v>
      </c>
      <c r="AO155" s="49">
        <f t="shared" si="31"/>
        <v>0</v>
      </c>
      <c r="AP155" s="49">
        <f t="shared" si="32"/>
        <v>0</v>
      </c>
      <c r="AQ155" s="50">
        <f t="shared" si="33"/>
        <v>0</v>
      </c>
      <c r="AR155" s="106"/>
      <c r="AS155" s="107"/>
      <c r="AT155" s="115"/>
      <c r="AU155" s="100"/>
      <c r="AV155" s="109"/>
      <c r="AW155" s="110"/>
      <c r="AX155" s="110"/>
      <c r="AY155" s="107"/>
      <c r="AZ155" s="116"/>
    </row>
    <row r="156" spans="1:52" s="246" customFormat="1" ht="16.5" thickBot="1" x14ac:dyDescent="0.3">
      <c r="A156" s="134"/>
      <c r="B156" s="134" t="s">
        <v>47</v>
      </c>
      <c r="C156" s="139"/>
      <c r="D156" s="26">
        <f t="shared" si="34"/>
        <v>0</v>
      </c>
      <c r="E156" s="27">
        <f t="shared" si="35"/>
        <v>0</v>
      </c>
      <c r="F156" s="29">
        <f t="shared" si="36"/>
        <v>0</v>
      </c>
      <c r="G156" s="30">
        <v>0</v>
      </c>
      <c r="H156" s="31">
        <v>0</v>
      </c>
      <c r="I156" s="32">
        <v>0</v>
      </c>
      <c r="J156" s="136"/>
      <c r="K156" s="33"/>
      <c r="L156" s="34"/>
      <c r="M156" s="34"/>
      <c r="N156" s="138"/>
      <c r="O156" s="34"/>
      <c r="P156" s="34"/>
      <c r="Q156" s="34"/>
      <c r="R156" s="138"/>
      <c r="S156" s="37"/>
      <c r="T156" s="34"/>
      <c r="U156" s="34"/>
      <c r="V156" s="138"/>
      <c r="W156" s="38"/>
      <c r="X156" s="31"/>
      <c r="Y156" s="31"/>
      <c r="Z156" s="105"/>
      <c r="AA156" s="37"/>
      <c r="AB156" s="34"/>
      <c r="AC156" s="34"/>
      <c r="AD156" s="105"/>
      <c r="AE156" s="104"/>
      <c r="AF156" s="105"/>
      <c r="AG156" s="43">
        <f t="shared" si="28"/>
        <v>0</v>
      </c>
      <c r="AH156" s="44">
        <f t="shared" si="28"/>
        <v>0</v>
      </c>
      <c r="AI156" s="44">
        <f t="shared" si="28"/>
        <v>0</v>
      </c>
      <c r="AJ156" s="94">
        <f t="shared" si="28"/>
        <v>0</v>
      </c>
      <c r="AK156" s="140">
        <f t="shared" si="30"/>
        <v>0</v>
      </c>
      <c r="AL156" s="47">
        <v>1</v>
      </c>
      <c r="AM156" s="48">
        <f t="shared" si="37"/>
        <v>0</v>
      </c>
      <c r="AN156" s="48">
        <f t="shared" si="38"/>
        <v>0</v>
      </c>
      <c r="AO156" s="49">
        <f t="shared" si="31"/>
        <v>0</v>
      </c>
      <c r="AP156" s="49">
        <f t="shared" si="32"/>
        <v>0</v>
      </c>
      <c r="AQ156" s="50">
        <f t="shared" si="33"/>
        <v>0</v>
      </c>
      <c r="AR156" s="106"/>
      <c r="AS156" s="107"/>
      <c r="AT156" s="115"/>
      <c r="AU156" s="100"/>
      <c r="AV156" s="109"/>
      <c r="AW156" s="110"/>
      <c r="AX156" s="110"/>
      <c r="AY156" s="107"/>
      <c r="AZ156" s="116"/>
    </row>
    <row r="157" spans="1:52" s="246" customFormat="1" ht="16.5" thickBot="1" x14ac:dyDescent="0.3">
      <c r="A157" s="134"/>
      <c r="B157" s="134" t="s">
        <v>115</v>
      </c>
      <c r="C157" s="139">
        <v>52</v>
      </c>
      <c r="D157" s="26">
        <f t="shared" si="34"/>
        <v>17.333333333333332</v>
      </c>
      <c r="E157" s="27">
        <f t="shared" si="35"/>
        <v>17.333333333333332</v>
      </c>
      <c r="F157" s="29">
        <f t="shared" si="36"/>
        <v>17.333333333333332</v>
      </c>
      <c r="G157" s="30">
        <v>0</v>
      </c>
      <c r="H157" s="31">
        <v>0</v>
      </c>
      <c r="I157" s="32">
        <v>0</v>
      </c>
      <c r="J157" s="136"/>
      <c r="K157" s="33"/>
      <c r="L157" s="34"/>
      <c r="M157" s="34"/>
      <c r="N157" s="138"/>
      <c r="O157" s="34"/>
      <c r="P157" s="34"/>
      <c r="Q157" s="34"/>
      <c r="R157" s="138"/>
      <c r="S157" s="37"/>
      <c r="T157" s="34"/>
      <c r="U157" s="34"/>
      <c r="V157" s="138"/>
      <c r="W157" s="38"/>
      <c r="X157" s="31"/>
      <c r="Y157" s="31"/>
      <c r="Z157" s="105"/>
      <c r="AA157" s="37"/>
      <c r="AB157" s="34"/>
      <c r="AC157" s="34"/>
      <c r="AD157" s="105"/>
      <c r="AE157" s="104"/>
      <c r="AF157" s="105"/>
      <c r="AG157" s="43">
        <f t="shared" si="28"/>
        <v>0</v>
      </c>
      <c r="AH157" s="44">
        <f t="shared" si="28"/>
        <v>0</v>
      </c>
      <c r="AI157" s="44">
        <f t="shared" si="28"/>
        <v>0</v>
      </c>
      <c r="AJ157" s="94">
        <f t="shared" si="28"/>
        <v>0</v>
      </c>
      <c r="AK157" s="140">
        <f t="shared" si="30"/>
        <v>0</v>
      </c>
      <c r="AL157" s="47">
        <v>1</v>
      </c>
      <c r="AM157" s="48">
        <f t="shared" si="37"/>
        <v>0</v>
      </c>
      <c r="AN157" s="48">
        <f t="shared" si="38"/>
        <v>0</v>
      </c>
      <c r="AO157" s="49">
        <f t="shared" si="31"/>
        <v>0</v>
      </c>
      <c r="AP157" s="49">
        <f t="shared" si="32"/>
        <v>0</v>
      </c>
      <c r="AQ157" s="50">
        <f t="shared" si="33"/>
        <v>0</v>
      </c>
      <c r="AR157" s="106"/>
      <c r="AS157" s="107"/>
      <c r="AT157" s="115"/>
      <c r="AU157" s="100"/>
      <c r="AV157" s="109"/>
      <c r="AW157" s="110"/>
      <c r="AX157" s="110"/>
      <c r="AY157" s="107"/>
      <c r="AZ157" s="116"/>
    </row>
    <row r="158" spans="1:52" s="246" customFormat="1" ht="16.5" thickBot="1" x14ac:dyDescent="0.3">
      <c r="A158" s="134">
        <v>360</v>
      </c>
      <c r="B158" s="134" t="s">
        <v>28</v>
      </c>
      <c r="C158" s="139">
        <v>137</v>
      </c>
      <c r="D158" s="26">
        <f t="shared" si="34"/>
        <v>45.666666666666664</v>
      </c>
      <c r="E158" s="27">
        <f t="shared" si="35"/>
        <v>45.666666666666664</v>
      </c>
      <c r="F158" s="29">
        <f t="shared" si="36"/>
        <v>45.666666666666664</v>
      </c>
      <c r="G158" s="30">
        <v>1</v>
      </c>
      <c r="H158" s="31">
        <v>4</v>
      </c>
      <c r="I158" s="32">
        <v>3</v>
      </c>
      <c r="J158" s="136"/>
      <c r="K158" s="33"/>
      <c r="L158" s="34"/>
      <c r="M158" s="34"/>
      <c r="N158" s="138"/>
      <c r="O158" s="34"/>
      <c r="P158" s="34"/>
      <c r="Q158" s="34"/>
      <c r="R158" s="138"/>
      <c r="S158" s="37"/>
      <c r="T158" s="34"/>
      <c r="U158" s="34"/>
      <c r="V158" s="138"/>
      <c r="W158" s="38"/>
      <c r="X158" s="31"/>
      <c r="Y158" s="31"/>
      <c r="Z158" s="105"/>
      <c r="AA158" s="37"/>
      <c r="AB158" s="34"/>
      <c r="AC158" s="34"/>
      <c r="AD158" s="105"/>
      <c r="AE158" s="104"/>
      <c r="AF158" s="105"/>
      <c r="AG158" s="43">
        <f t="shared" si="28"/>
        <v>1</v>
      </c>
      <c r="AH158" s="44">
        <f t="shared" si="28"/>
        <v>4</v>
      </c>
      <c r="AI158" s="44">
        <f t="shared" si="28"/>
        <v>3</v>
      </c>
      <c r="AJ158" s="94">
        <f t="shared" si="28"/>
        <v>0</v>
      </c>
      <c r="AK158" s="140">
        <f t="shared" si="30"/>
        <v>8</v>
      </c>
      <c r="AL158" s="47">
        <v>1.3</v>
      </c>
      <c r="AM158" s="48">
        <f t="shared" si="37"/>
        <v>1.3</v>
      </c>
      <c r="AN158" s="48">
        <f t="shared" si="38"/>
        <v>5.2</v>
      </c>
      <c r="AO158" s="49">
        <f t="shared" si="31"/>
        <v>3.9000000000000004</v>
      </c>
      <c r="AP158" s="49">
        <f t="shared" si="32"/>
        <v>0</v>
      </c>
      <c r="AQ158" s="50">
        <f t="shared" si="33"/>
        <v>480</v>
      </c>
      <c r="AR158" s="106"/>
      <c r="AS158" s="107"/>
      <c r="AT158" s="115"/>
      <c r="AU158" s="100"/>
      <c r="AV158" s="109"/>
      <c r="AW158" s="110"/>
      <c r="AX158" s="110"/>
      <c r="AY158" s="107"/>
      <c r="AZ158" s="116"/>
    </row>
    <row r="159" spans="1:52" s="246" customFormat="1" ht="16.5" thickBot="1" x14ac:dyDescent="0.3">
      <c r="A159" s="134">
        <v>360</v>
      </c>
      <c r="B159" s="134" t="s">
        <v>31</v>
      </c>
      <c r="C159" s="139">
        <v>135</v>
      </c>
      <c r="D159" s="26">
        <f t="shared" si="34"/>
        <v>45</v>
      </c>
      <c r="E159" s="27">
        <f t="shared" si="35"/>
        <v>45</v>
      </c>
      <c r="F159" s="29">
        <f t="shared" si="36"/>
        <v>45</v>
      </c>
      <c r="G159" s="30">
        <v>0</v>
      </c>
      <c r="H159" s="31">
        <v>0</v>
      </c>
      <c r="I159" s="32">
        <v>0</v>
      </c>
      <c r="J159" s="136"/>
      <c r="K159" s="33"/>
      <c r="L159" s="34"/>
      <c r="M159" s="34"/>
      <c r="N159" s="138"/>
      <c r="O159" s="34"/>
      <c r="P159" s="34"/>
      <c r="Q159" s="34"/>
      <c r="R159" s="138"/>
      <c r="S159" s="37"/>
      <c r="T159" s="34"/>
      <c r="U159" s="34"/>
      <c r="V159" s="138"/>
      <c r="W159" s="38"/>
      <c r="X159" s="31"/>
      <c r="Y159" s="31"/>
      <c r="Z159" s="105"/>
      <c r="AA159" s="37"/>
      <c r="AB159" s="34"/>
      <c r="AC159" s="34"/>
      <c r="AD159" s="105"/>
      <c r="AE159" s="104"/>
      <c r="AF159" s="105"/>
      <c r="AG159" s="43">
        <f t="shared" si="28"/>
        <v>0</v>
      </c>
      <c r="AH159" s="44">
        <f t="shared" si="28"/>
        <v>0</v>
      </c>
      <c r="AI159" s="44">
        <f t="shared" si="28"/>
        <v>0</v>
      </c>
      <c r="AJ159" s="94">
        <f t="shared" si="28"/>
        <v>0</v>
      </c>
      <c r="AK159" s="140">
        <f t="shared" si="30"/>
        <v>0</v>
      </c>
      <c r="AL159" s="47">
        <v>1.3</v>
      </c>
      <c r="AM159" s="48">
        <f t="shared" si="37"/>
        <v>0</v>
      </c>
      <c r="AN159" s="48">
        <f t="shared" si="38"/>
        <v>0</v>
      </c>
      <c r="AO159" s="49">
        <f t="shared" si="31"/>
        <v>0</v>
      </c>
      <c r="AP159" s="49">
        <f t="shared" si="32"/>
        <v>0</v>
      </c>
      <c r="AQ159" s="50">
        <f t="shared" si="33"/>
        <v>0</v>
      </c>
      <c r="AR159" s="106"/>
      <c r="AS159" s="107"/>
      <c r="AT159" s="115"/>
      <c r="AU159" s="100"/>
      <c r="AV159" s="109"/>
      <c r="AW159" s="110"/>
      <c r="AX159" s="110"/>
      <c r="AY159" s="107"/>
      <c r="AZ159" s="116"/>
    </row>
    <row r="160" spans="1:52" s="246" customFormat="1" ht="16.5" thickBot="1" x14ac:dyDescent="0.3">
      <c r="A160" s="134">
        <v>250</v>
      </c>
      <c r="B160" s="134" t="s">
        <v>116</v>
      </c>
      <c r="C160" s="139"/>
      <c r="D160" s="26">
        <f t="shared" si="34"/>
        <v>0</v>
      </c>
      <c r="E160" s="27">
        <f t="shared" si="35"/>
        <v>0</v>
      </c>
      <c r="F160" s="29">
        <f t="shared" si="36"/>
        <v>0</v>
      </c>
      <c r="G160" s="30">
        <v>0</v>
      </c>
      <c r="H160" s="31">
        <v>0</v>
      </c>
      <c r="I160" s="32">
        <v>0</v>
      </c>
      <c r="J160" s="136"/>
      <c r="K160" s="33"/>
      <c r="L160" s="34"/>
      <c r="M160" s="34"/>
      <c r="N160" s="138"/>
      <c r="O160" s="34"/>
      <c r="P160" s="34"/>
      <c r="Q160" s="34"/>
      <c r="R160" s="138"/>
      <c r="S160" s="37"/>
      <c r="T160" s="34"/>
      <c r="U160" s="34"/>
      <c r="V160" s="138"/>
      <c r="W160" s="38"/>
      <c r="X160" s="31"/>
      <c r="Y160" s="31"/>
      <c r="Z160" s="105"/>
      <c r="AA160" s="37"/>
      <c r="AB160" s="34"/>
      <c r="AC160" s="34"/>
      <c r="AD160" s="105"/>
      <c r="AE160" s="104"/>
      <c r="AF160" s="105"/>
      <c r="AG160" s="43">
        <f t="shared" si="28"/>
        <v>0</v>
      </c>
      <c r="AH160" s="44">
        <f t="shared" si="28"/>
        <v>0</v>
      </c>
      <c r="AI160" s="44">
        <f t="shared" si="28"/>
        <v>0</v>
      </c>
      <c r="AJ160" s="94">
        <f t="shared" si="28"/>
        <v>0</v>
      </c>
      <c r="AK160" s="140">
        <f t="shared" si="30"/>
        <v>0</v>
      </c>
      <c r="AL160" s="47">
        <v>0.5</v>
      </c>
      <c r="AM160" s="48">
        <f t="shared" si="37"/>
        <v>0</v>
      </c>
      <c r="AN160" s="48">
        <f t="shared" si="38"/>
        <v>0</v>
      </c>
      <c r="AO160" s="49">
        <f t="shared" si="31"/>
        <v>0</v>
      </c>
      <c r="AP160" s="49">
        <f t="shared" si="32"/>
        <v>0</v>
      </c>
      <c r="AQ160" s="50">
        <f t="shared" si="33"/>
        <v>0</v>
      </c>
      <c r="AR160" s="106"/>
      <c r="AS160" s="107"/>
      <c r="AT160" s="115"/>
      <c r="AU160" s="100"/>
      <c r="AV160" s="109"/>
      <c r="AW160" s="110"/>
      <c r="AX160" s="110"/>
      <c r="AY160" s="107"/>
      <c r="AZ160" s="116"/>
    </row>
    <row r="161" spans="1:52" s="246" customFormat="1" ht="16.5" thickBot="1" x14ac:dyDescent="0.3">
      <c r="A161" s="134">
        <v>250</v>
      </c>
      <c r="B161" s="134" t="s">
        <v>117</v>
      </c>
      <c r="C161" s="139"/>
      <c r="D161" s="26">
        <f t="shared" si="34"/>
        <v>0</v>
      </c>
      <c r="E161" s="27">
        <f t="shared" si="35"/>
        <v>0</v>
      </c>
      <c r="F161" s="29">
        <f t="shared" si="36"/>
        <v>0</v>
      </c>
      <c r="G161" s="30">
        <v>0</v>
      </c>
      <c r="H161" s="31">
        <v>0</v>
      </c>
      <c r="I161" s="32">
        <v>0</v>
      </c>
      <c r="J161" s="136"/>
      <c r="K161" s="33"/>
      <c r="L161" s="34"/>
      <c r="M161" s="34"/>
      <c r="N161" s="138"/>
      <c r="O161" s="34"/>
      <c r="P161" s="34"/>
      <c r="Q161" s="34"/>
      <c r="R161" s="138"/>
      <c r="S161" s="37"/>
      <c r="T161" s="34"/>
      <c r="U161" s="34"/>
      <c r="V161" s="138"/>
      <c r="W161" s="38"/>
      <c r="X161" s="31"/>
      <c r="Y161" s="31"/>
      <c r="Z161" s="105"/>
      <c r="AA161" s="37"/>
      <c r="AB161" s="34"/>
      <c r="AC161" s="34"/>
      <c r="AD161" s="105"/>
      <c r="AE161" s="104"/>
      <c r="AF161" s="105"/>
      <c r="AG161" s="43">
        <f t="shared" si="28"/>
        <v>0</v>
      </c>
      <c r="AH161" s="44">
        <f t="shared" si="28"/>
        <v>0</v>
      </c>
      <c r="AI161" s="44">
        <f t="shared" si="28"/>
        <v>0</v>
      </c>
      <c r="AJ161" s="94">
        <f t="shared" si="28"/>
        <v>0</v>
      </c>
      <c r="AK161" s="140">
        <f t="shared" si="30"/>
        <v>0</v>
      </c>
      <c r="AL161" s="47">
        <v>0.5</v>
      </c>
      <c r="AM161" s="48">
        <f t="shared" si="37"/>
        <v>0</v>
      </c>
      <c r="AN161" s="48">
        <f t="shared" si="38"/>
        <v>0</v>
      </c>
      <c r="AO161" s="49">
        <f t="shared" si="31"/>
        <v>0</v>
      </c>
      <c r="AP161" s="49">
        <f t="shared" si="32"/>
        <v>0</v>
      </c>
      <c r="AQ161" s="50">
        <f t="shared" si="33"/>
        <v>0</v>
      </c>
      <c r="AR161" s="106"/>
      <c r="AS161" s="107"/>
      <c r="AT161" s="115"/>
      <c r="AU161" s="100"/>
      <c r="AV161" s="109"/>
      <c r="AW161" s="110"/>
      <c r="AX161" s="110"/>
      <c r="AY161" s="107"/>
      <c r="AZ161" s="116"/>
    </row>
    <row r="162" spans="1:52" s="246" customFormat="1" ht="16.5" thickBot="1" x14ac:dyDescent="0.3">
      <c r="A162" s="134">
        <v>360</v>
      </c>
      <c r="B162" s="134" t="s">
        <v>29</v>
      </c>
      <c r="C162" s="139">
        <v>137</v>
      </c>
      <c r="D162" s="26">
        <f t="shared" si="34"/>
        <v>45.666666666666664</v>
      </c>
      <c r="E162" s="27">
        <f t="shared" si="35"/>
        <v>45.666666666666664</v>
      </c>
      <c r="F162" s="29">
        <f t="shared" si="36"/>
        <v>45.666666666666664</v>
      </c>
      <c r="G162" s="30">
        <v>0</v>
      </c>
      <c r="H162" s="31">
        <v>0</v>
      </c>
      <c r="I162" s="32">
        <v>0</v>
      </c>
      <c r="J162" s="136"/>
      <c r="K162" s="33"/>
      <c r="L162" s="34"/>
      <c r="M162" s="34"/>
      <c r="N162" s="138"/>
      <c r="O162" s="34"/>
      <c r="P162" s="34"/>
      <c r="Q162" s="34"/>
      <c r="R162" s="138"/>
      <c r="S162" s="37"/>
      <c r="T162" s="34"/>
      <c r="U162" s="34"/>
      <c r="V162" s="138"/>
      <c r="W162" s="38"/>
      <c r="X162" s="31"/>
      <c r="Y162" s="31"/>
      <c r="Z162" s="105"/>
      <c r="AA162" s="37"/>
      <c r="AB162" s="34"/>
      <c r="AC162" s="34"/>
      <c r="AD162" s="105"/>
      <c r="AE162" s="104"/>
      <c r="AF162" s="105"/>
      <c r="AG162" s="43">
        <f t="shared" si="28"/>
        <v>0</v>
      </c>
      <c r="AH162" s="44">
        <f t="shared" si="28"/>
        <v>0</v>
      </c>
      <c r="AI162" s="44">
        <f t="shared" si="28"/>
        <v>0</v>
      </c>
      <c r="AJ162" s="94">
        <f t="shared" si="28"/>
        <v>0</v>
      </c>
      <c r="AK162" s="140">
        <f t="shared" si="30"/>
        <v>0</v>
      </c>
      <c r="AL162" s="47">
        <v>1.3</v>
      </c>
      <c r="AM162" s="48">
        <f t="shared" si="37"/>
        <v>0</v>
      </c>
      <c r="AN162" s="48">
        <f t="shared" si="38"/>
        <v>0</v>
      </c>
      <c r="AO162" s="49">
        <f t="shared" si="31"/>
        <v>0</v>
      </c>
      <c r="AP162" s="49">
        <f t="shared" si="32"/>
        <v>0</v>
      </c>
      <c r="AQ162" s="50">
        <f t="shared" si="33"/>
        <v>0</v>
      </c>
      <c r="AR162" s="106"/>
      <c r="AS162" s="107"/>
      <c r="AT162" s="115"/>
      <c r="AU162" s="100"/>
      <c r="AV162" s="109"/>
      <c r="AW162" s="110"/>
      <c r="AX162" s="110"/>
      <c r="AY162" s="107"/>
      <c r="AZ162" s="116"/>
    </row>
    <row r="163" spans="1:52" s="246" customFormat="1" ht="16.5" thickBot="1" x14ac:dyDescent="0.3">
      <c r="A163" s="134"/>
      <c r="B163" s="134" t="s">
        <v>118</v>
      </c>
      <c r="C163" s="139">
        <v>78</v>
      </c>
      <c r="D163" s="26">
        <f t="shared" si="34"/>
        <v>26</v>
      </c>
      <c r="E163" s="27">
        <f t="shared" si="35"/>
        <v>26</v>
      </c>
      <c r="F163" s="29">
        <f t="shared" si="36"/>
        <v>26</v>
      </c>
      <c r="G163" s="30">
        <v>0</v>
      </c>
      <c r="H163" s="31">
        <v>0</v>
      </c>
      <c r="I163" s="32">
        <v>0</v>
      </c>
      <c r="J163" s="136"/>
      <c r="K163" s="33"/>
      <c r="L163" s="34"/>
      <c r="M163" s="34"/>
      <c r="N163" s="138"/>
      <c r="O163" s="34"/>
      <c r="P163" s="34"/>
      <c r="Q163" s="34"/>
      <c r="R163" s="138"/>
      <c r="S163" s="37"/>
      <c r="T163" s="34"/>
      <c r="U163" s="34"/>
      <c r="V163" s="138"/>
      <c r="W163" s="38"/>
      <c r="X163" s="31"/>
      <c r="Y163" s="31"/>
      <c r="Z163" s="105"/>
      <c r="AA163" s="37"/>
      <c r="AB163" s="34"/>
      <c r="AC163" s="34"/>
      <c r="AD163" s="105"/>
      <c r="AE163" s="104"/>
      <c r="AF163" s="105"/>
      <c r="AG163" s="43">
        <f t="shared" si="28"/>
        <v>0</v>
      </c>
      <c r="AH163" s="44">
        <f t="shared" si="28"/>
        <v>0</v>
      </c>
      <c r="AI163" s="44">
        <f t="shared" si="28"/>
        <v>0</v>
      </c>
      <c r="AJ163" s="94">
        <f t="shared" si="28"/>
        <v>0</v>
      </c>
      <c r="AK163" s="140">
        <f t="shared" si="30"/>
        <v>0</v>
      </c>
      <c r="AL163" s="47">
        <v>1.5</v>
      </c>
      <c r="AM163" s="48">
        <f t="shared" si="37"/>
        <v>0</v>
      </c>
      <c r="AN163" s="48">
        <f t="shared" si="38"/>
        <v>0</v>
      </c>
      <c r="AO163" s="49">
        <f t="shared" si="31"/>
        <v>0</v>
      </c>
      <c r="AP163" s="49">
        <f t="shared" si="32"/>
        <v>0</v>
      </c>
      <c r="AQ163" s="50">
        <f t="shared" si="33"/>
        <v>0</v>
      </c>
      <c r="AR163" s="106"/>
      <c r="AS163" s="107"/>
      <c r="AT163" s="115"/>
      <c r="AU163" s="100"/>
      <c r="AV163" s="109"/>
      <c r="AW163" s="110"/>
      <c r="AX163" s="110"/>
      <c r="AY163" s="107"/>
      <c r="AZ163" s="116"/>
    </row>
    <row r="164" spans="1:52" s="246" customFormat="1" ht="16.5" thickBot="1" x14ac:dyDescent="0.3">
      <c r="A164" s="134"/>
      <c r="B164" s="134" t="s">
        <v>119</v>
      </c>
      <c r="C164" s="139">
        <v>77</v>
      </c>
      <c r="D164" s="26">
        <f t="shared" si="34"/>
        <v>25.666666666666668</v>
      </c>
      <c r="E164" s="27">
        <f t="shared" si="35"/>
        <v>25.666666666666668</v>
      </c>
      <c r="F164" s="29">
        <f t="shared" si="36"/>
        <v>25.666666666666668</v>
      </c>
      <c r="G164" s="30">
        <v>0</v>
      </c>
      <c r="H164" s="31">
        <v>0</v>
      </c>
      <c r="I164" s="32">
        <v>0</v>
      </c>
      <c r="J164" s="136"/>
      <c r="K164" s="33"/>
      <c r="L164" s="34"/>
      <c r="M164" s="34"/>
      <c r="N164" s="138"/>
      <c r="O164" s="34"/>
      <c r="P164" s="34"/>
      <c r="Q164" s="34"/>
      <c r="R164" s="138"/>
      <c r="S164" s="37"/>
      <c r="T164" s="34"/>
      <c r="U164" s="34"/>
      <c r="V164" s="138"/>
      <c r="W164" s="38"/>
      <c r="X164" s="31"/>
      <c r="Y164" s="31"/>
      <c r="Z164" s="105"/>
      <c r="AA164" s="37"/>
      <c r="AB164" s="34"/>
      <c r="AC164" s="34"/>
      <c r="AD164" s="105"/>
      <c r="AE164" s="104"/>
      <c r="AF164" s="105"/>
      <c r="AG164" s="43">
        <f t="shared" si="28"/>
        <v>0</v>
      </c>
      <c r="AH164" s="44">
        <f t="shared" si="28"/>
        <v>0</v>
      </c>
      <c r="AI164" s="44">
        <f t="shared" si="28"/>
        <v>0</v>
      </c>
      <c r="AJ164" s="94">
        <f t="shared" ref="AJ164:AJ182" si="39">J164+N164+R164+V164+Z164+AD164</f>
        <v>0</v>
      </c>
      <c r="AK164" s="140">
        <f t="shared" si="30"/>
        <v>0</v>
      </c>
      <c r="AL164" s="47">
        <v>1.5</v>
      </c>
      <c r="AM164" s="48">
        <f t="shared" si="37"/>
        <v>0</v>
      </c>
      <c r="AN164" s="48">
        <f t="shared" si="38"/>
        <v>0</v>
      </c>
      <c r="AO164" s="49">
        <f t="shared" si="31"/>
        <v>0</v>
      </c>
      <c r="AP164" s="49">
        <f t="shared" si="32"/>
        <v>0</v>
      </c>
      <c r="AQ164" s="50">
        <f t="shared" si="33"/>
        <v>0</v>
      </c>
      <c r="AR164" s="106"/>
      <c r="AS164" s="107"/>
      <c r="AT164" s="115"/>
      <c r="AU164" s="100"/>
      <c r="AV164" s="109"/>
      <c r="AW164" s="110"/>
      <c r="AX164" s="110"/>
      <c r="AY164" s="107"/>
      <c r="AZ164" s="116"/>
    </row>
    <row r="165" spans="1:52" s="246" customFormat="1" ht="16.5" thickBot="1" x14ac:dyDescent="0.3">
      <c r="A165" s="134"/>
      <c r="B165" s="134" t="s">
        <v>120</v>
      </c>
      <c r="C165" s="139">
        <v>103</v>
      </c>
      <c r="D165" s="26">
        <f t="shared" si="34"/>
        <v>34.333333333333336</v>
      </c>
      <c r="E165" s="27">
        <f t="shared" si="35"/>
        <v>34.333333333333336</v>
      </c>
      <c r="F165" s="29">
        <f t="shared" si="36"/>
        <v>34.333333333333336</v>
      </c>
      <c r="G165" s="30">
        <v>0</v>
      </c>
      <c r="H165" s="31">
        <v>0</v>
      </c>
      <c r="I165" s="32">
        <v>0</v>
      </c>
      <c r="J165" s="136"/>
      <c r="K165" s="33"/>
      <c r="L165" s="34"/>
      <c r="M165" s="34"/>
      <c r="N165" s="138"/>
      <c r="O165" s="34"/>
      <c r="P165" s="34"/>
      <c r="Q165" s="34"/>
      <c r="R165" s="138"/>
      <c r="S165" s="37"/>
      <c r="T165" s="34"/>
      <c r="U165" s="34"/>
      <c r="V165" s="138"/>
      <c r="W165" s="38"/>
      <c r="X165" s="31"/>
      <c r="Y165" s="31"/>
      <c r="Z165" s="105"/>
      <c r="AA165" s="37"/>
      <c r="AB165" s="34"/>
      <c r="AC165" s="34"/>
      <c r="AD165" s="105"/>
      <c r="AE165" s="104"/>
      <c r="AF165" s="105"/>
      <c r="AG165" s="43">
        <f t="shared" ref="AG165:AI184" si="40">G165+K165+O165+S165+W165+AA165</f>
        <v>0</v>
      </c>
      <c r="AH165" s="44">
        <f t="shared" si="40"/>
        <v>0</v>
      </c>
      <c r="AI165" s="44">
        <f t="shared" si="40"/>
        <v>0</v>
      </c>
      <c r="AJ165" s="94">
        <f t="shared" si="39"/>
        <v>0</v>
      </c>
      <c r="AK165" s="140">
        <f t="shared" si="30"/>
        <v>0</v>
      </c>
      <c r="AL165" s="47">
        <v>0.4</v>
      </c>
      <c r="AM165" s="48">
        <f t="shared" si="37"/>
        <v>0</v>
      </c>
      <c r="AN165" s="48">
        <f t="shared" si="38"/>
        <v>0</v>
      </c>
      <c r="AO165" s="49">
        <f t="shared" si="31"/>
        <v>0</v>
      </c>
      <c r="AP165" s="49">
        <f t="shared" si="32"/>
        <v>0</v>
      </c>
      <c r="AQ165" s="50">
        <f t="shared" si="33"/>
        <v>0</v>
      </c>
      <c r="AR165" s="106"/>
      <c r="AS165" s="107"/>
      <c r="AT165" s="115"/>
      <c r="AU165" s="100"/>
      <c r="AV165" s="109"/>
      <c r="AW165" s="110"/>
      <c r="AX165" s="110"/>
      <c r="AY165" s="107"/>
      <c r="AZ165" s="116"/>
    </row>
    <row r="166" spans="1:52" s="246" customFormat="1" ht="16.5" thickBot="1" x14ac:dyDescent="0.3">
      <c r="A166" s="134"/>
      <c r="B166" s="134" t="s">
        <v>121</v>
      </c>
      <c r="C166" s="139">
        <v>155</v>
      </c>
      <c r="D166" s="26">
        <f t="shared" si="34"/>
        <v>51.666666666666664</v>
      </c>
      <c r="E166" s="27">
        <f t="shared" si="35"/>
        <v>51.666666666666664</v>
      </c>
      <c r="F166" s="29">
        <f t="shared" si="36"/>
        <v>51.666666666666664</v>
      </c>
      <c r="G166" s="30">
        <v>0</v>
      </c>
      <c r="H166" s="31">
        <v>0</v>
      </c>
      <c r="I166" s="32">
        <v>0</v>
      </c>
      <c r="J166" s="136"/>
      <c r="K166" s="33"/>
      <c r="L166" s="34"/>
      <c r="M166" s="34"/>
      <c r="N166" s="138"/>
      <c r="O166" s="34"/>
      <c r="P166" s="34"/>
      <c r="Q166" s="34"/>
      <c r="R166" s="138"/>
      <c r="S166" s="37"/>
      <c r="T166" s="34"/>
      <c r="U166" s="34"/>
      <c r="V166" s="138"/>
      <c r="W166" s="38"/>
      <c r="X166" s="31"/>
      <c r="Y166" s="31"/>
      <c r="Z166" s="105"/>
      <c r="AA166" s="37"/>
      <c r="AB166" s="34"/>
      <c r="AC166" s="34"/>
      <c r="AD166" s="105"/>
      <c r="AE166" s="104"/>
      <c r="AF166" s="105"/>
      <c r="AG166" s="43">
        <f t="shared" si="40"/>
        <v>0</v>
      </c>
      <c r="AH166" s="44">
        <f t="shared" si="40"/>
        <v>0</v>
      </c>
      <c r="AI166" s="44">
        <f t="shared" si="40"/>
        <v>0</v>
      </c>
      <c r="AJ166" s="94">
        <f t="shared" si="39"/>
        <v>0</v>
      </c>
      <c r="AK166" s="140">
        <f t="shared" si="30"/>
        <v>0</v>
      </c>
      <c r="AL166" s="47">
        <v>1.5</v>
      </c>
      <c r="AM166" s="48">
        <f t="shared" si="37"/>
        <v>0</v>
      </c>
      <c r="AN166" s="48">
        <f t="shared" si="38"/>
        <v>0</v>
      </c>
      <c r="AO166" s="49">
        <f t="shared" si="31"/>
        <v>0</v>
      </c>
      <c r="AP166" s="49">
        <f t="shared" si="32"/>
        <v>0</v>
      </c>
      <c r="AQ166" s="50">
        <f t="shared" si="33"/>
        <v>0</v>
      </c>
      <c r="AR166" s="106"/>
      <c r="AS166" s="107"/>
      <c r="AT166" s="115"/>
      <c r="AU166" s="100"/>
      <c r="AV166" s="109"/>
      <c r="AW166" s="110"/>
      <c r="AX166" s="110"/>
      <c r="AY166" s="107"/>
      <c r="AZ166" s="116"/>
    </row>
    <row r="167" spans="1:52" s="246" customFormat="1" ht="16.5" thickBot="1" x14ac:dyDescent="0.3">
      <c r="A167" s="134">
        <v>300</v>
      </c>
      <c r="B167" s="134" t="s">
        <v>25</v>
      </c>
      <c r="C167" s="139"/>
      <c r="D167" s="26">
        <f t="shared" si="34"/>
        <v>0</v>
      </c>
      <c r="E167" s="27">
        <f t="shared" si="35"/>
        <v>0</v>
      </c>
      <c r="F167" s="29">
        <f t="shared" si="36"/>
        <v>0</v>
      </c>
      <c r="G167" s="30">
        <v>0</v>
      </c>
      <c r="H167" s="31">
        <v>0</v>
      </c>
      <c r="I167" s="32">
        <v>0</v>
      </c>
      <c r="J167" s="136"/>
      <c r="K167" s="33"/>
      <c r="L167" s="34"/>
      <c r="M167" s="34"/>
      <c r="N167" s="138"/>
      <c r="O167" s="34"/>
      <c r="P167" s="34"/>
      <c r="Q167" s="34"/>
      <c r="R167" s="138"/>
      <c r="S167" s="37"/>
      <c r="T167" s="34"/>
      <c r="U167" s="34"/>
      <c r="V167" s="138"/>
      <c r="W167" s="38"/>
      <c r="X167" s="31"/>
      <c r="Y167" s="31"/>
      <c r="Z167" s="105"/>
      <c r="AA167" s="37"/>
      <c r="AB167" s="34"/>
      <c r="AC167" s="34"/>
      <c r="AD167" s="105"/>
      <c r="AE167" s="104"/>
      <c r="AF167" s="105"/>
      <c r="AG167" s="43">
        <f t="shared" si="40"/>
        <v>0</v>
      </c>
      <c r="AH167" s="44">
        <f t="shared" si="40"/>
        <v>0</v>
      </c>
      <c r="AI167" s="44">
        <f t="shared" si="40"/>
        <v>0</v>
      </c>
      <c r="AJ167" s="94">
        <f t="shared" si="39"/>
        <v>0</v>
      </c>
      <c r="AK167" s="140">
        <f t="shared" si="30"/>
        <v>0</v>
      </c>
      <c r="AL167" s="47">
        <v>1.3</v>
      </c>
      <c r="AM167" s="48">
        <f t="shared" si="37"/>
        <v>0</v>
      </c>
      <c r="AN167" s="48">
        <f t="shared" si="38"/>
        <v>0</v>
      </c>
      <c r="AO167" s="49">
        <f t="shared" si="31"/>
        <v>0</v>
      </c>
      <c r="AP167" s="49">
        <f t="shared" si="32"/>
        <v>0</v>
      </c>
      <c r="AQ167" s="50">
        <f t="shared" si="33"/>
        <v>0</v>
      </c>
      <c r="AR167" s="106"/>
      <c r="AS167" s="107"/>
      <c r="AT167" s="115"/>
      <c r="AU167" s="100"/>
      <c r="AV167" s="109"/>
      <c r="AW167" s="110"/>
      <c r="AX167" s="110"/>
      <c r="AY167" s="107"/>
      <c r="AZ167" s="116"/>
    </row>
    <row r="168" spans="1:52" s="246" customFormat="1" ht="16.5" thickBot="1" x14ac:dyDescent="0.3">
      <c r="A168" s="134"/>
      <c r="B168" s="134" t="s">
        <v>188</v>
      </c>
      <c r="C168" s="139">
        <v>155</v>
      </c>
      <c r="D168" s="26">
        <f t="shared" si="34"/>
        <v>51.666666666666664</v>
      </c>
      <c r="E168" s="27">
        <f t="shared" si="35"/>
        <v>51.666666666666664</v>
      </c>
      <c r="F168" s="29">
        <f t="shared" si="36"/>
        <v>51.666666666666664</v>
      </c>
      <c r="G168" s="30">
        <v>0</v>
      </c>
      <c r="H168" s="31">
        <v>0</v>
      </c>
      <c r="I168" s="32">
        <v>0</v>
      </c>
      <c r="J168" s="136"/>
      <c r="K168" s="33"/>
      <c r="L168" s="34"/>
      <c r="M168" s="34"/>
      <c r="N168" s="138"/>
      <c r="O168" s="34"/>
      <c r="P168" s="34"/>
      <c r="Q168" s="34"/>
      <c r="R168" s="138"/>
      <c r="S168" s="37"/>
      <c r="T168" s="34"/>
      <c r="U168" s="34"/>
      <c r="V168" s="138"/>
      <c r="W168" s="38"/>
      <c r="X168" s="31"/>
      <c r="Y168" s="31"/>
      <c r="Z168" s="105"/>
      <c r="AA168" s="37"/>
      <c r="AB168" s="34"/>
      <c r="AC168" s="34"/>
      <c r="AD168" s="105"/>
      <c r="AE168" s="104"/>
      <c r="AF168" s="105"/>
      <c r="AG168" s="43">
        <f t="shared" si="40"/>
        <v>0</v>
      </c>
      <c r="AH168" s="44">
        <f t="shared" si="40"/>
        <v>0</v>
      </c>
      <c r="AI168" s="44">
        <f t="shared" si="40"/>
        <v>0</v>
      </c>
      <c r="AJ168" s="94">
        <f t="shared" si="39"/>
        <v>0</v>
      </c>
      <c r="AK168" s="140">
        <f t="shared" si="30"/>
        <v>0</v>
      </c>
      <c r="AL168" s="47">
        <v>0.5</v>
      </c>
      <c r="AM168" s="48">
        <f t="shared" si="37"/>
        <v>0</v>
      </c>
      <c r="AN168" s="48">
        <f t="shared" si="38"/>
        <v>0</v>
      </c>
      <c r="AO168" s="49">
        <f t="shared" si="31"/>
        <v>0</v>
      </c>
      <c r="AP168" s="49">
        <f t="shared" si="32"/>
        <v>0</v>
      </c>
      <c r="AQ168" s="50">
        <f t="shared" si="33"/>
        <v>0</v>
      </c>
      <c r="AR168" s="106"/>
      <c r="AS168" s="107"/>
      <c r="AT168" s="115"/>
      <c r="AU168" s="100"/>
      <c r="AV168" s="109"/>
      <c r="AW168" s="110"/>
      <c r="AX168" s="110"/>
      <c r="AY168" s="107"/>
      <c r="AZ168" s="116"/>
    </row>
    <row r="169" spans="1:52" s="246" customFormat="1" ht="16.5" thickBot="1" x14ac:dyDescent="0.3">
      <c r="A169" s="134"/>
      <c r="B169" s="134" t="s">
        <v>187</v>
      </c>
      <c r="C169" s="139"/>
      <c r="D169" s="26"/>
      <c r="E169" s="27"/>
      <c r="F169" s="29"/>
      <c r="G169" s="30">
        <v>0</v>
      </c>
      <c r="H169" s="31">
        <v>0</v>
      </c>
      <c r="I169" s="32">
        <v>0</v>
      </c>
      <c r="J169" s="136"/>
      <c r="K169" s="33"/>
      <c r="L169" s="34"/>
      <c r="M169" s="34"/>
      <c r="N169" s="138"/>
      <c r="O169" s="34"/>
      <c r="P169" s="34"/>
      <c r="Q169" s="34"/>
      <c r="R169" s="138"/>
      <c r="S169" s="37"/>
      <c r="T169" s="34"/>
      <c r="U169" s="34"/>
      <c r="V169" s="138"/>
      <c r="W169" s="38"/>
      <c r="X169" s="31"/>
      <c r="Y169" s="31"/>
      <c r="Z169" s="105"/>
      <c r="AA169" s="37"/>
      <c r="AB169" s="34"/>
      <c r="AC169" s="34"/>
      <c r="AD169" s="105"/>
      <c r="AE169" s="104"/>
      <c r="AF169" s="105"/>
      <c r="AG169" s="43"/>
      <c r="AH169" s="44"/>
      <c r="AI169" s="44"/>
      <c r="AJ169" s="94"/>
      <c r="AK169" s="140"/>
      <c r="AL169" s="47"/>
      <c r="AM169" s="48"/>
      <c r="AN169" s="48"/>
      <c r="AO169" s="49"/>
      <c r="AP169" s="49"/>
      <c r="AQ169" s="50"/>
      <c r="AR169" s="106"/>
      <c r="AS169" s="107"/>
      <c r="AT169" s="115"/>
      <c r="AU169" s="100"/>
      <c r="AV169" s="109"/>
      <c r="AW169" s="110"/>
      <c r="AX169" s="110"/>
      <c r="AY169" s="107"/>
      <c r="AZ169" s="116"/>
    </row>
    <row r="170" spans="1:52" s="246" customFormat="1" ht="16.5" thickBot="1" x14ac:dyDescent="0.3">
      <c r="A170" s="134">
        <v>360</v>
      </c>
      <c r="B170" s="134" t="s">
        <v>88</v>
      </c>
      <c r="C170" s="139">
        <v>948</v>
      </c>
      <c r="D170" s="26">
        <f t="shared" si="34"/>
        <v>316</v>
      </c>
      <c r="E170" s="27">
        <f t="shared" si="35"/>
        <v>316</v>
      </c>
      <c r="F170" s="29">
        <f t="shared" si="36"/>
        <v>316</v>
      </c>
      <c r="G170" s="30">
        <v>0</v>
      </c>
      <c r="H170" s="31">
        <v>0</v>
      </c>
      <c r="I170" s="32">
        <v>0</v>
      </c>
      <c r="J170" s="136"/>
      <c r="K170" s="33"/>
      <c r="L170" s="34"/>
      <c r="M170" s="34"/>
      <c r="N170" s="138"/>
      <c r="O170" s="34"/>
      <c r="P170" s="34"/>
      <c r="Q170" s="34"/>
      <c r="R170" s="138"/>
      <c r="S170" s="37"/>
      <c r="T170" s="34"/>
      <c r="U170" s="34"/>
      <c r="V170" s="138"/>
      <c r="W170" s="38"/>
      <c r="X170" s="31"/>
      <c r="Y170" s="31"/>
      <c r="Z170" s="105"/>
      <c r="AA170" s="37"/>
      <c r="AB170" s="34"/>
      <c r="AC170" s="34"/>
      <c r="AD170" s="105"/>
      <c r="AE170" s="104"/>
      <c r="AF170" s="105"/>
      <c r="AG170" s="43">
        <f t="shared" si="40"/>
        <v>0</v>
      </c>
      <c r="AH170" s="44">
        <f t="shared" si="40"/>
        <v>0</v>
      </c>
      <c r="AI170" s="44">
        <f t="shared" si="40"/>
        <v>0</v>
      </c>
      <c r="AJ170" s="94">
        <f t="shared" si="39"/>
        <v>0</v>
      </c>
      <c r="AK170" s="140">
        <f t="shared" si="30"/>
        <v>0</v>
      </c>
      <c r="AL170" s="47">
        <v>1.3</v>
      </c>
      <c r="AM170" s="48">
        <f t="shared" si="37"/>
        <v>0</v>
      </c>
      <c r="AN170" s="48">
        <f t="shared" si="38"/>
        <v>0</v>
      </c>
      <c r="AO170" s="49">
        <f t="shared" si="31"/>
        <v>0</v>
      </c>
      <c r="AP170" s="49">
        <f t="shared" si="32"/>
        <v>0</v>
      </c>
      <c r="AQ170" s="50">
        <f t="shared" si="33"/>
        <v>0</v>
      </c>
      <c r="AR170" s="106"/>
      <c r="AS170" s="107"/>
      <c r="AT170" s="115"/>
      <c r="AU170" s="100"/>
      <c r="AV170" s="109"/>
      <c r="AW170" s="110"/>
      <c r="AX170" s="110"/>
      <c r="AY170" s="107"/>
      <c r="AZ170" s="116"/>
    </row>
    <row r="171" spans="1:52" s="246" customFormat="1" ht="16.5" thickBot="1" x14ac:dyDescent="0.3">
      <c r="A171" s="134">
        <v>360</v>
      </c>
      <c r="B171" s="134" t="s">
        <v>122</v>
      </c>
      <c r="C171" s="139">
        <v>655</v>
      </c>
      <c r="D171" s="26">
        <f t="shared" si="34"/>
        <v>218.33333333333334</v>
      </c>
      <c r="E171" s="27">
        <f t="shared" si="35"/>
        <v>218.33333333333334</v>
      </c>
      <c r="F171" s="29">
        <f t="shared" si="36"/>
        <v>218.33333333333334</v>
      </c>
      <c r="G171" s="30">
        <v>18</v>
      </c>
      <c r="H171" s="31">
        <v>24</v>
      </c>
      <c r="I171" s="32">
        <v>2</v>
      </c>
      <c r="J171" s="136"/>
      <c r="K171" s="33"/>
      <c r="L171" s="34"/>
      <c r="M171" s="34"/>
      <c r="N171" s="138"/>
      <c r="O171" s="34"/>
      <c r="P171" s="34"/>
      <c r="Q171" s="34"/>
      <c r="R171" s="138"/>
      <c r="S171" s="37"/>
      <c r="T171" s="34"/>
      <c r="U171" s="34"/>
      <c r="V171" s="138"/>
      <c r="W171" s="38"/>
      <c r="X171" s="31"/>
      <c r="Y171" s="31"/>
      <c r="Z171" s="105"/>
      <c r="AA171" s="37"/>
      <c r="AB171" s="34"/>
      <c r="AC171" s="34"/>
      <c r="AD171" s="105"/>
      <c r="AE171" s="104"/>
      <c r="AF171" s="105"/>
      <c r="AG171" s="43">
        <f t="shared" si="40"/>
        <v>18</v>
      </c>
      <c r="AH171" s="44">
        <f t="shared" si="40"/>
        <v>24</v>
      </c>
      <c r="AI171" s="44">
        <f t="shared" si="40"/>
        <v>2</v>
      </c>
      <c r="AJ171" s="94">
        <f t="shared" si="39"/>
        <v>0</v>
      </c>
      <c r="AK171" s="140">
        <f t="shared" si="30"/>
        <v>44</v>
      </c>
      <c r="AL171" s="47">
        <v>0.75</v>
      </c>
      <c r="AM171" s="48">
        <f t="shared" si="37"/>
        <v>13.5</v>
      </c>
      <c r="AN171" s="48">
        <f t="shared" si="38"/>
        <v>18</v>
      </c>
      <c r="AO171" s="49">
        <f t="shared" si="31"/>
        <v>1.5</v>
      </c>
      <c r="AP171" s="49">
        <f t="shared" si="32"/>
        <v>0</v>
      </c>
      <c r="AQ171" s="71"/>
      <c r="AR171" s="106"/>
      <c r="AS171" s="107"/>
      <c r="AT171" s="115"/>
      <c r="AU171" s="100"/>
      <c r="AV171" s="109"/>
      <c r="AW171" s="110"/>
      <c r="AX171" s="110"/>
      <c r="AY171" s="107"/>
      <c r="AZ171" s="116"/>
    </row>
    <row r="172" spans="1:52" s="246" customFormat="1" ht="16.5" thickBot="1" x14ac:dyDescent="0.3">
      <c r="A172" s="134">
        <v>360</v>
      </c>
      <c r="B172" s="134" t="s">
        <v>123</v>
      </c>
      <c r="C172" s="139">
        <v>330</v>
      </c>
      <c r="D172" s="26">
        <f t="shared" si="34"/>
        <v>110</v>
      </c>
      <c r="E172" s="27">
        <f t="shared" si="35"/>
        <v>110</v>
      </c>
      <c r="F172" s="29">
        <f t="shared" si="36"/>
        <v>110</v>
      </c>
      <c r="G172" s="30">
        <v>0</v>
      </c>
      <c r="H172" s="31">
        <v>0</v>
      </c>
      <c r="I172" s="32">
        <v>0</v>
      </c>
      <c r="J172" s="136"/>
      <c r="K172" s="33"/>
      <c r="L172" s="34"/>
      <c r="M172" s="34"/>
      <c r="N172" s="138"/>
      <c r="O172" s="34"/>
      <c r="P172" s="34"/>
      <c r="Q172" s="34"/>
      <c r="R172" s="138"/>
      <c r="S172" s="37"/>
      <c r="T172" s="34"/>
      <c r="U172" s="34"/>
      <c r="V172" s="138"/>
      <c r="W172" s="38"/>
      <c r="X172" s="31"/>
      <c r="Y172" s="31"/>
      <c r="Z172" s="105"/>
      <c r="AA172" s="37"/>
      <c r="AB172" s="34"/>
      <c r="AC172" s="34"/>
      <c r="AD172" s="105"/>
      <c r="AE172" s="104"/>
      <c r="AF172" s="105"/>
      <c r="AG172" s="43">
        <f t="shared" si="40"/>
        <v>0</v>
      </c>
      <c r="AH172" s="44">
        <f t="shared" si="40"/>
        <v>0</v>
      </c>
      <c r="AI172" s="44">
        <f t="shared" si="40"/>
        <v>0</v>
      </c>
      <c r="AJ172" s="94">
        <f t="shared" si="39"/>
        <v>0</v>
      </c>
      <c r="AK172" s="140">
        <f t="shared" si="30"/>
        <v>0</v>
      </c>
      <c r="AL172" s="47">
        <v>0.75</v>
      </c>
      <c r="AM172" s="48">
        <f t="shared" si="37"/>
        <v>0</v>
      </c>
      <c r="AN172" s="48">
        <f t="shared" si="38"/>
        <v>0</v>
      </c>
      <c r="AO172" s="49">
        <f t="shared" si="31"/>
        <v>0</v>
      </c>
      <c r="AP172" s="49">
        <f t="shared" si="32"/>
        <v>0</v>
      </c>
      <c r="AQ172" s="71"/>
      <c r="AR172" s="106"/>
      <c r="AS172" s="107"/>
      <c r="AT172" s="115"/>
      <c r="AU172" s="100"/>
      <c r="AV172" s="109"/>
      <c r="AW172" s="110"/>
      <c r="AX172" s="110"/>
      <c r="AY172" s="107"/>
      <c r="AZ172" s="116"/>
    </row>
    <row r="173" spans="1:52" s="246" customFormat="1" ht="16.5" thickBot="1" x14ac:dyDescent="0.3">
      <c r="A173" s="134">
        <v>360</v>
      </c>
      <c r="B173" s="134" t="s">
        <v>124</v>
      </c>
      <c r="C173" s="139">
        <v>2313</v>
      </c>
      <c r="D173" s="26">
        <f t="shared" si="34"/>
        <v>771</v>
      </c>
      <c r="E173" s="27">
        <f t="shared" si="35"/>
        <v>771</v>
      </c>
      <c r="F173" s="29">
        <f t="shared" si="36"/>
        <v>771</v>
      </c>
      <c r="G173" s="30">
        <v>23</v>
      </c>
      <c r="H173" s="31">
        <v>39</v>
      </c>
      <c r="I173" s="32">
        <v>45</v>
      </c>
      <c r="J173" s="136"/>
      <c r="K173" s="33"/>
      <c r="L173" s="34"/>
      <c r="M173" s="34"/>
      <c r="N173" s="138"/>
      <c r="O173" s="34"/>
      <c r="P173" s="34"/>
      <c r="Q173" s="34"/>
      <c r="R173" s="138"/>
      <c r="S173" s="37"/>
      <c r="T173" s="34"/>
      <c r="U173" s="34"/>
      <c r="V173" s="138"/>
      <c r="W173" s="38"/>
      <c r="X173" s="31"/>
      <c r="Y173" s="31"/>
      <c r="Z173" s="105"/>
      <c r="AA173" s="37"/>
      <c r="AB173" s="34"/>
      <c r="AC173" s="34"/>
      <c r="AD173" s="105"/>
      <c r="AE173" s="104"/>
      <c r="AF173" s="105"/>
      <c r="AG173" s="43">
        <f t="shared" si="40"/>
        <v>23</v>
      </c>
      <c r="AH173" s="44">
        <f t="shared" si="40"/>
        <v>39</v>
      </c>
      <c r="AI173" s="44">
        <f t="shared" si="40"/>
        <v>45</v>
      </c>
      <c r="AJ173" s="94">
        <f t="shared" si="39"/>
        <v>0</v>
      </c>
      <c r="AK173" s="140">
        <f t="shared" si="30"/>
        <v>107</v>
      </c>
      <c r="AL173" s="47">
        <v>0.75</v>
      </c>
      <c r="AM173" s="48">
        <f t="shared" si="37"/>
        <v>17.25</v>
      </c>
      <c r="AN173" s="48">
        <f t="shared" si="38"/>
        <v>29.25</v>
      </c>
      <c r="AO173" s="49">
        <f t="shared" si="31"/>
        <v>33.75</v>
      </c>
      <c r="AP173" s="49">
        <f t="shared" si="32"/>
        <v>0</v>
      </c>
      <c r="AQ173" s="71"/>
      <c r="AR173" s="106"/>
      <c r="AS173" s="107"/>
      <c r="AT173" s="115"/>
      <c r="AU173" s="100"/>
      <c r="AV173" s="109"/>
      <c r="AW173" s="110"/>
      <c r="AX173" s="110"/>
      <c r="AY173" s="107"/>
      <c r="AZ173" s="116"/>
    </row>
    <row r="174" spans="1:52" s="246" customFormat="1" ht="16.5" thickBot="1" x14ac:dyDescent="0.3">
      <c r="A174" s="134">
        <v>360</v>
      </c>
      <c r="B174" s="134" t="s">
        <v>125</v>
      </c>
      <c r="C174" s="139">
        <v>330</v>
      </c>
      <c r="D174" s="26">
        <f t="shared" si="34"/>
        <v>110</v>
      </c>
      <c r="E174" s="27">
        <f t="shared" si="35"/>
        <v>110</v>
      </c>
      <c r="F174" s="29">
        <f t="shared" si="36"/>
        <v>110</v>
      </c>
      <c r="G174" s="30">
        <v>0</v>
      </c>
      <c r="H174" s="31">
        <v>0</v>
      </c>
      <c r="I174" s="32">
        <v>0</v>
      </c>
      <c r="J174" s="136"/>
      <c r="K174" s="33"/>
      <c r="L174" s="34"/>
      <c r="M174" s="34"/>
      <c r="N174" s="138"/>
      <c r="O174" s="34"/>
      <c r="P174" s="34"/>
      <c r="Q174" s="34"/>
      <c r="R174" s="138"/>
      <c r="S174" s="37"/>
      <c r="T174" s="34"/>
      <c r="U174" s="34"/>
      <c r="V174" s="138"/>
      <c r="W174" s="38"/>
      <c r="X174" s="31"/>
      <c r="Y174" s="31"/>
      <c r="Z174" s="105"/>
      <c r="AA174" s="37"/>
      <c r="AB174" s="34"/>
      <c r="AC174" s="34"/>
      <c r="AD174" s="105"/>
      <c r="AE174" s="104"/>
      <c r="AF174" s="105"/>
      <c r="AG174" s="43">
        <f t="shared" si="40"/>
        <v>0</v>
      </c>
      <c r="AH174" s="44">
        <f t="shared" si="40"/>
        <v>0</v>
      </c>
      <c r="AI174" s="44">
        <f t="shared" si="40"/>
        <v>0</v>
      </c>
      <c r="AJ174" s="94">
        <f t="shared" si="39"/>
        <v>0</v>
      </c>
      <c r="AK174" s="140">
        <f t="shared" si="30"/>
        <v>0</v>
      </c>
      <c r="AL174" s="47">
        <v>0.75</v>
      </c>
      <c r="AM174" s="48">
        <f t="shared" si="37"/>
        <v>0</v>
      </c>
      <c r="AN174" s="48">
        <f t="shared" si="38"/>
        <v>0</v>
      </c>
      <c r="AO174" s="49">
        <f t="shared" si="31"/>
        <v>0</v>
      </c>
      <c r="AP174" s="49">
        <f t="shared" si="32"/>
        <v>0</v>
      </c>
      <c r="AQ174" s="71"/>
      <c r="AR174" s="106"/>
      <c r="AS174" s="107"/>
      <c r="AT174" s="115"/>
      <c r="AU174" s="100"/>
      <c r="AV174" s="109"/>
      <c r="AW174" s="110"/>
      <c r="AX174" s="110"/>
      <c r="AY174" s="107"/>
      <c r="AZ174" s="116"/>
    </row>
    <row r="175" spans="1:52" s="246" customFormat="1" ht="16.5" thickBot="1" x14ac:dyDescent="0.3">
      <c r="A175" s="134">
        <v>360</v>
      </c>
      <c r="B175" s="134" t="s">
        <v>126</v>
      </c>
      <c r="C175" s="139">
        <v>328</v>
      </c>
      <c r="D175" s="26">
        <f t="shared" si="34"/>
        <v>109.33333333333333</v>
      </c>
      <c r="E175" s="27">
        <f t="shared" si="35"/>
        <v>109.33333333333333</v>
      </c>
      <c r="F175" s="29">
        <f t="shared" si="36"/>
        <v>109.33333333333333</v>
      </c>
      <c r="G175" s="30">
        <v>0</v>
      </c>
      <c r="H175" s="31">
        <v>0</v>
      </c>
      <c r="I175" s="32">
        <v>0</v>
      </c>
      <c r="J175" s="136"/>
      <c r="K175" s="33"/>
      <c r="L175" s="34"/>
      <c r="M175" s="34"/>
      <c r="N175" s="138"/>
      <c r="O175" s="34"/>
      <c r="P175" s="34"/>
      <c r="Q175" s="34"/>
      <c r="R175" s="138"/>
      <c r="S175" s="37"/>
      <c r="T175" s="34"/>
      <c r="U175" s="34"/>
      <c r="V175" s="138"/>
      <c r="W175" s="38"/>
      <c r="X175" s="31"/>
      <c r="Y175" s="31"/>
      <c r="Z175" s="105"/>
      <c r="AA175" s="37"/>
      <c r="AB175" s="34"/>
      <c r="AC175" s="34"/>
      <c r="AD175" s="105"/>
      <c r="AE175" s="104"/>
      <c r="AF175" s="105"/>
      <c r="AG175" s="43">
        <f t="shared" si="40"/>
        <v>0</v>
      </c>
      <c r="AH175" s="44">
        <f t="shared" si="40"/>
        <v>0</v>
      </c>
      <c r="AI175" s="44">
        <f t="shared" si="40"/>
        <v>0</v>
      </c>
      <c r="AJ175" s="94">
        <f t="shared" si="39"/>
        <v>0</v>
      </c>
      <c r="AK175" s="140">
        <f t="shared" si="30"/>
        <v>0</v>
      </c>
      <c r="AL175" s="47">
        <v>0.75</v>
      </c>
      <c r="AM175" s="48">
        <f t="shared" si="37"/>
        <v>0</v>
      </c>
      <c r="AN175" s="48">
        <f t="shared" si="38"/>
        <v>0</v>
      </c>
      <c r="AO175" s="49">
        <f t="shared" si="31"/>
        <v>0</v>
      </c>
      <c r="AP175" s="49"/>
      <c r="AQ175" s="71"/>
      <c r="AR175" s="106"/>
      <c r="AS175" s="107"/>
      <c r="AT175" s="115"/>
      <c r="AU175" s="100"/>
      <c r="AV175" s="109"/>
      <c r="AW175" s="110"/>
      <c r="AX175" s="110"/>
      <c r="AY175" s="107"/>
      <c r="AZ175" s="116"/>
    </row>
    <row r="176" spans="1:52" s="246" customFormat="1" ht="16.5" thickBot="1" x14ac:dyDescent="0.3">
      <c r="A176" s="134">
        <v>360</v>
      </c>
      <c r="B176" s="134" t="s">
        <v>127</v>
      </c>
      <c r="C176" s="139">
        <v>655</v>
      </c>
      <c r="D176" s="26">
        <f t="shared" si="34"/>
        <v>218.33333333333334</v>
      </c>
      <c r="E176" s="27">
        <f t="shared" si="35"/>
        <v>218.33333333333334</v>
      </c>
      <c r="F176" s="29">
        <f t="shared" si="36"/>
        <v>218.33333333333334</v>
      </c>
      <c r="G176" s="30">
        <v>0</v>
      </c>
      <c r="H176" s="31">
        <v>0</v>
      </c>
      <c r="I176" s="32">
        <v>0</v>
      </c>
      <c r="J176" s="136"/>
      <c r="K176" s="33"/>
      <c r="L176" s="34"/>
      <c r="M176" s="34"/>
      <c r="N176" s="138"/>
      <c r="O176" s="34"/>
      <c r="P176" s="34"/>
      <c r="Q176" s="34"/>
      <c r="R176" s="138"/>
      <c r="S176" s="37"/>
      <c r="T176" s="34"/>
      <c r="U176" s="34"/>
      <c r="V176" s="138"/>
      <c r="W176" s="38"/>
      <c r="X176" s="31"/>
      <c r="Y176" s="31"/>
      <c r="Z176" s="105"/>
      <c r="AA176" s="37"/>
      <c r="AB176" s="34"/>
      <c r="AC176" s="34"/>
      <c r="AD176" s="105"/>
      <c r="AE176" s="104"/>
      <c r="AF176" s="105"/>
      <c r="AG176" s="43">
        <f t="shared" si="40"/>
        <v>0</v>
      </c>
      <c r="AH176" s="44">
        <f t="shared" si="40"/>
        <v>0</v>
      </c>
      <c r="AI176" s="44">
        <f t="shared" si="40"/>
        <v>0</v>
      </c>
      <c r="AJ176" s="94">
        <f t="shared" si="39"/>
        <v>0</v>
      </c>
      <c r="AK176" s="140">
        <f t="shared" si="30"/>
        <v>0</v>
      </c>
      <c r="AL176" s="47">
        <v>0.75</v>
      </c>
      <c r="AM176" s="48">
        <f t="shared" si="37"/>
        <v>0</v>
      </c>
      <c r="AN176" s="48">
        <f t="shared" si="38"/>
        <v>0</v>
      </c>
      <c r="AO176" s="49">
        <f t="shared" si="31"/>
        <v>0</v>
      </c>
      <c r="AP176" s="49"/>
      <c r="AQ176" s="71"/>
      <c r="AR176" s="106"/>
      <c r="AS176" s="107"/>
      <c r="AT176" s="115"/>
      <c r="AU176" s="100"/>
      <c r="AV176" s="109"/>
      <c r="AW176" s="110"/>
      <c r="AX176" s="110"/>
      <c r="AY176" s="107"/>
      <c r="AZ176" s="116"/>
    </row>
    <row r="177" spans="1:52" s="246" customFormat="1" ht="16.5" thickBot="1" x14ac:dyDescent="0.3">
      <c r="A177" s="134">
        <v>360</v>
      </c>
      <c r="B177" s="134" t="s">
        <v>128</v>
      </c>
      <c r="C177" s="139">
        <v>330</v>
      </c>
      <c r="D177" s="26">
        <f t="shared" si="34"/>
        <v>110</v>
      </c>
      <c r="E177" s="27">
        <f t="shared" si="35"/>
        <v>110</v>
      </c>
      <c r="F177" s="29">
        <f t="shared" si="36"/>
        <v>110</v>
      </c>
      <c r="G177" s="30">
        <v>0</v>
      </c>
      <c r="H177" s="31">
        <v>0</v>
      </c>
      <c r="I177" s="32">
        <v>0</v>
      </c>
      <c r="J177" s="136"/>
      <c r="K177" s="33"/>
      <c r="L177" s="34"/>
      <c r="M177" s="34"/>
      <c r="N177" s="138"/>
      <c r="O177" s="34"/>
      <c r="P177" s="34"/>
      <c r="Q177" s="34"/>
      <c r="R177" s="138"/>
      <c r="S177" s="37"/>
      <c r="T177" s="34"/>
      <c r="U177" s="34"/>
      <c r="V177" s="138"/>
      <c r="W177" s="38"/>
      <c r="X177" s="31"/>
      <c r="Y177" s="31"/>
      <c r="Z177" s="105"/>
      <c r="AA177" s="37"/>
      <c r="AB177" s="34"/>
      <c r="AC177" s="34"/>
      <c r="AD177" s="105"/>
      <c r="AE177" s="104"/>
      <c r="AF177" s="105"/>
      <c r="AG177" s="43">
        <f t="shared" si="40"/>
        <v>0</v>
      </c>
      <c r="AH177" s="44">
        <f t="shared" si="40"/>
        <v>0</v>
      </c>
      <c r="AI177" s="44">
        <f t="shared" si="40"/>
        <v>0</v>
      </c>
      <c r="AJ177" s="94">
        <f t="shared" si="39"/>
        <v>0</v>
      </c>
      <c r="AK177" s="140">
        <f t="shared" si="30"/>
        <v>0</v>
      </c>
      <c r="AL177" s="47">
        <v>0.75</v>
      </c>
      <c r="AM177" s="48">
        <f t="shared" si="37"/>
        <v>0</v>
      </c>
      <c r="AN177" s="48">
        <f t="shared" si="38"/>
        <v>0</v>
      </c>
      <c r="AO177" s="49">
        <f t="shared" si="31"/>
        <v>0</v>
      </c>
      <c r="AP177" s="49"/>
      <c r="AQ177" s="71"/>
      <c r="AR177" s="106"/>
      <c r="AS177" s="107"/>
      <c r="AT177" s="115"/>
      <c r="AU177" s="100"/>
      <c r="AV177" s="109"/>
      <c r="AW177" s="110"/>
      <c r="AX177" s="110"/>
      <c r="AY177" s="107"/>
      <c r="AZ177" s="116"/>
    </row>
    <row r="178" spans="1:52" s="246" customFormat="1" ht="16.5" thickBot="1" x14ac:dyDescent="0.3">
      <c r="A178" s="134">
        <v>600</v>
      </c>
      <c r="B178" s="134" t="s">
        <v>129</v>
      </c>
      <c r="C178" s="139">
        <v>693</v>
      </c>
      <c r="D178" s="26">
        <f t="shared" si="34"/>
        <v>231</v>
      </c>
      <c r="E178" s="27">
        <f t="shared" si="35"/>
        <v>231</v>
      </c>
      <c r="F178" s="29">
        <f t="shared" si="36"/>
        <v>231</v>
      </c>
      <c r="G178" s="30">
        <v>0</v>
      </c>
      <c r="H178" s="31">
        <v>0</v>
      </c>
      <c r="I178" s="32">
        <v>0</v>
      </c>
      <c r="J178" s="136"/>
      <c r="K178" s="33"/>
      <c r="L178" s="34"/>
      <c r="M178" s="34"/>
      <c r="N178" s="138"/>
      <c r="O178" s="34"/>
      <c r="P178" s="34"/>
      <c r="Q178" s="34"/>
      <c r="R178" s="138"/>
      <c r="S178" s="37"/>
      <c r="T178" s="34"/>
      <c r="U178" s="34"/>
      <c r="V178" s="138"/>
      <c r="W178" s="38"/>
      <c r="X178" s="31"/>
      <c r="Y178" s="31"/>
      <c r="Z178" s="105"/>
      <c r="AA178" s="37"/>
      <c r="AB178" s="34"/>
      <c r="AC178" s="34"/>
      <c r="AD178" s="105"/>
      <c r="AE178" s="104"/>
      <c r="AF178" s="105"/>
      <c r="AG178" s="43">
        <f t="shared" si="40"/>
        <v>0</v>
      </c>
      <c r="AH178" s="44">
        <f t="shared" si="40"/>
        <v>0</v>
      </c>
      <c r="AI178" s="44">
        <f t="shared" si="40"/>
        <v>0</v>
      </c>
      <c r="AJ178" s="94">
        <f t="shared" si="39"/>
        <v>0</v>
      </c>
      <c r="AK178" s="140">
        <f t="shared" si="30"/>
        <v>0</v>
      </c>
      <c r="AL178" s="47">
        <v>0.75</v>
      </c>
      <c r="AM178" s="48">
        <f t="shared" si="37"/>
        <v>0</v>
      </c>
      <c r="AN178" s="48">
        <f t="shared" si="38"/>
        <v>0</v>
      </c>
      <c r="AO178" s="49">
        <f t="shared" si="31"/>
        <v>0</v>
      </c>
      <c r="AP178" s="49"/>
      <c r="AQ178" s="71"/>
      <c r="AR178" s="106"/>
      <c r="AS178" s="107"/>
      <c r="AT178" s="115"/>
      <c r="AU178" s="100"/>
      <c r="AV178" s="109"/>
      <c r="AW178" s="110"/>
      <c r="AX178" s="110"/>
      <c r="AY178" s="107"/>
      <c r="AZ178" s="116"/>
    </row>
    <row r="179" spans="1:52" s="246" customFormat="1" ht="16.5" thickBot="1" x14ac:dyDescent="0.3">
      <c r="A179" s="134">
        <v>600</v>
      </c>
      <c r="B179" s="134" t="s">
        <v>124</v>
      </c>
      <c r="C179" s="139">
        <v>3463</v>
      </c>
      <c r="D179" s="26">
        <f t="shared" si="34"/>
        <v>1154.3333333333333</v>
      </c>
      <c r="E179" s="27">
        <f t="shared" si="35"/>
        <v>1154.3333333333333</v>
      </c>
      <c r="F179" s="29">
        <f t="shared" si="36"/>
        <v>1154.3333333333333</v>
      </c>
      <c r="G179" s="30">
        <v>0</v>
      </c>
      <c r="H179" s="31">
        <v>0</v>
      </c>
      <c r="I179" s="32">
        <v>0</v>
      </c>
      <c r="J179" s="136"/>
      <c r="K179" s="33"/>
      <c r="L179" s="34"/>
      <c r="M179" s="34"/>
      <c r="N179" s="138"/>
      <c r="O179" s="34"/>
      <c r="P179" s="34"/>
      <c r="Q179" s="34"/>
      <c r="R179" s="138"/>
      <c r="S179" s="37"/>
      <c r="T179" s="34"/>
      <c r="U179" s="34"/>
      <c r="V179" s="138"/>
      <c r="W179" s="38"/>
      <c r="X179" s="31"/>
      <c r="Y179" s="31"/>
      <c r="Z179" s="105"/>
      <c r="AA179" s="37"/>
      <c r="AB179" s="34"/>
      <c r="AC179" s="34"/>
      <c r="AD179" s="105"/>
      <c r="AE179" s="104"/>
      <c r="AF179" s="105"/>
      <c r="AG179" s="43">
        <f t="shared" si="40"/>
        <v>0</v>
      </c>
      <c r="AH179" s="44">
        <f t="shared" si="40"/>
        <v>0</v>
      </c>
      <c r="AI179" s="44">
        <f t="shared" si="40"/>
        <v>0</v>
      </c>
      <c r="AJ179" s="94">
        <f t="shared" si="39"/>
        <v>0</v>
      </c>
      <c r="AK179" s="140">
        <f t="shared" si="30"/>
        <v>0</v>
      </c>
      <c r="AL179" s="47">
        <v>0.75</v>
      </c>
      <c r="AM179" s="48">
        <f t="shared" si="37"/>
        <v>0</v>
      </c>
      <c r="AN179" s="48">
        <f t="shared" si="38"/>
        <v>0</v>
      </c>
      <c r="AO179" s="49">
        <f t="shared" si="31"/>
        <v>0</v>
      </c>
      <c r="AP179" s="49">
        <f>AJ179*AL179</f>
        <v>0</v>
      </c>
      <c r="AQ179" s="71"/>
      <c r="AR179" s="106"/>
      <c r="AS179" s="107"/>
      <c r="AT179" s="115"/>
      <c r="AU179" s="100"/>
      <c r="AV179" s="109"/>
      <c r="AW179" s="110"/>
      <c r="AX179" s="110"/>
      <c r="AY179" s="107"/>
      <c r="AZ179" s="116"/>
    </row>
    <row r="180" spans="1:52" s="246" customFormat="1" ht="16.5" thickBot="1" x14ac:dyDescent="0.3">
      <c r="A180" s="134">
        <v>600</v>
      </c>
      <c r="B180" s="134" t="s">
        <v>123</v>
      </c>
      <c r="C180" s="139">
        <v>922</v>
      </c>
      <c r="D180" s="26">
        <f t="shared" si="34"/>
        <v>307.33333333333331</v>
      </c>
      <c r="E180" s="27">
        <f t="shared" si="35"/>
        <v>307.33333333333331</v>
      </c>
      <c r="F180" s="29">
        <f t="shared" si="36"/>
        <v>307.33333333333331</v>
      </c>
      <c r="G180" s="30">
        <v>0</v>
      </c>
      <c r="H180" s="31">
        <v>0</v>
      </c>
      <c r="I180" s="32">
        <v>0</v>
      </c>
      <c r="J180" s="136"/>
      <c r="K180" s="33"/>
      <c r="L180" s="34"/>
      <c r="M180" s="34"/>
      <c r="N180" s="138"/>
      <c r="O180" s="34"/>
      <c r="P180" s="34"/>
      <c r="Q180" s="34"/>
      <c r="R180" s="138"/>
      <c r="S180" s="37"/>
      <c r="T180" s="34"/>
      <c r="U180" s="34"/>
      <c r="V180" s="138"/>
      <c r="W180" s="38"/>
      <c r="X180" s="31"/>
      <c r="Y180" s="31"/>
      <c r="Z180" s="105"/>
      <c r="AA180" s="37"/>
      <c r="AB180" s="34"/>
      <c r="AC180" s="34"/>
      <c r="AD180" s="105"/>
      <c r="AE180" s="104"/>
      <c r="AF180" s="105"/>
      <c r="AG180" s="43">
        <f t="shared" si="40"/>
        <v>0</v>
      </c>
      <c r="AH180" s="44">
        <f t="shared" si="40"/>
        <v>0</v>
      </c>
      <c r="AI180" s="44">
        <f t="shared" si="40"/>
        <v>0</v>
      </c>
      <c r="AJ180" s="94">
        <f t="shared" si="39"/>
        <v>0</v>
      </c>
      <c r="AK180" s="140">
        <f t="shared" si="30"/>
        <v>0</v>
      </c>
      <c r="AL180" s="47">
        <v>0.75</v>
      </c>
      <c r="AM180" s="48">
        <f t="shared" si="37"/>
        <v>0</v>
      </c>
      <c r="AN180" s="48">
        <f t="shared" si="38"/>
        <v>0</v>
      </c>
      <c r="AO180" s="49">
        <f t="shared" si="31"/>
        <v>0</v>
      </c>
      <c r="AP180" s="49"/>
      <c r="AQ180" s="71"/>
      <c r="AR180" s="106"/>
      <c r="AS180" s="107"/>
      <c r="AT180" s="115"/>
      <c r="AU180" s="100"/>
      <c r="AV180" s="109"/>
      <c r="AW180" s="110"/>
      <c r="AX180" s="110"/>
      <c r="AY180" s="107"/>
      <c r="AZ180" s="116"/>
    </row>
    <row r="181" spans="1:52" s="246" customFormat="1" ht="16.5" thickBot="1" x14ac:dyDescent="0.3">
      <c r="A181" s="134">
        <v>625</v>
      </c>
      <c r="B181" s="134" t="s">
        <v>128</v>
      </c>
      <c r="C181" s="139">
        <v>220</v>
      </c>
      <c r="D181" s="26">
        <f t="shared" si="34"/>
        <v>73.333333333333329</v>
      </c>
      <c r="E181" s="27">
        <f t="shared" si="35"/>
        <v>73.333333333333329</v>
      </c>
      <c r="F181" s="29">
        <f t="shared" si="36"/>
        <v>73.333333333333329</v>
      </c>
      <c r="G181" s="30">
        <v>0</v>
      </c>
      <c r="H181" s="31">
        <v>0</v>
      </c>
      <c r="I181" s="32">
        <v>0</v>
      </c>
      <c r="J181" s="136"/>
      <c r="K181" s="33"/>
      <c r="L181" s="34"/>
      <c r="M181" s="34"/>
      <c r="N181" s="138"/>
      <c r="O181" s="34"/>
      <c r="P181" s="34"/>
      <c r="Q181" s="34"/>
      <c r="R181" s="138"/>
      <c r="S181" s="37"/>
      <c r="T181" s="34"/>
      <c r="U181" s="34"/>
      <c r="V181" s="138"/>
      <c r="W181" s="38"/>
      <c r="X181" s="31"/>
      <c r="Y181" s="31"/>
      <c r="Z181" s="105"/>
      <c r="AA181" s="37"/>
      <c r="AB181" s="34"/>
      <c r="AC181" s="34"/>
      <c r="AD181" s="105"/>
      <c r="AE181" s="104"/>
      <c r="AF181" s="105"/>
      <c r="AG181" s="43">
        <f t="shared" si="40"/>
        <v>0</v>
      </c>
      <c r="AH181" s="44">
        <f t="shared" si="40"/>
        <v>0</v>
      </c>
      <c r="AI181" s="44">
        <f t="shared" si="40"/>
        <v>0</v>
      </c>
      <c r="AJ181" s="94"/>
      <c r="AK181" s="140">
        <f t="shared" si="30"/>
        <v>0</v>
      </c>
      <c r="AL181" s="47">
        <v>0.75</v>
      </c>
      <c r="AM181" s="48">
        <f t="shared" si="37"/>
        <v>0</v>
      </c>
      <c r="AN181" s="48">
        <f t="shared" si="38"/>
        <v>0</v>
      </c>
      <c r="AO181" s="49">
        <f t="shared" si="31"/>
        <v>0</v>
      </c>
      <c r="AP181" s="49"/>
      <c r="AQ181" s="71"/>
      <c r="AR181" s="106"/>
      <c r="AS181" s="107"/>
      <c r="AT181" s="115"/>
      <c r="AU181" s="100"/>
      <c r="AV181" s="109"/>
      <c r="AW181" s="110"/>
      <c r="AX181" s="110"/>
      <c r="AY181" s="107"/>
      <c r="AZ181" s="116"/>
    </row>
    <row r="182" spans="1:52" s="246" customFormat="1" ht="16.5" thickBot="1" x14ac:dyDescent="0.3">
      <c r="A182" s="134">
        <v>625</v>
      </c>
      <c r="B182" s="134" t="s">
        <v>127</v>
      </c>
      <c r="C182" s="139">
        <v>660</v>
      </c>
      <c r="D182" s="26">
        <f t="shared" si="34"/>
        <v>220</v>
      </c>
      <c r="E182" s="27">
        <f t="shared" si="35"/>
        <v>220</v>
      </c>
      <c r="F182" s="29">
        <f t="shared" si="36"/>
        <v>220</v>
      </c>
      <c r="G182" s="30">
        <v>0</v>
      </c>
      <c r="H182" s="31">
        <v>0</v>
      </c>
      <c r="I182" s="32">
        <v>0</v>
      </c>
      <c r="J182" s="136"/>
      <c r="K182" s="33"/>
      <c r="L182" s="34"/>
      <c r="M182" s="34"/>
      <c r="N182" s="138"/>
      <c r="O182" s="34"/>
      <c r="P182" s="34"/>
      <c r="Q182" s="34"/>
      <c r="R182" s="138"/>
      <c r="S182" s="37"/>
      <c r="T182" s="34"/>
      <c r="U182" s="34"/>
      <c r="V182" s="138"/>
      <c r="W182" s="38"/>
      <c r="X182" s="31"/>
      <c r="Y182" s="31"/>
      <c r="Z182" s="105"/>
      <c r="AA182" s="37"/>
      <c r="AB182" s="34"/>
      <c r="AC182" s="34"/>
      <c r="AD182" s="105"/>
      <c r="AE182" s="104"/>
      <c r="AF182" s="105"/>
      <c r="AG182" s="43">
        <f t="shared" si="40"/>
        <v>0</v>
      </c>
      <c r="AH182" s="44">
        <f t="shared" si="40"/>
        <v>0</v>
      </c>
      <c r="AI182" s="44">
        <f t="shared" si="40"/>
        <v>0</v>
      </c>
      <c r="AJ182" s="94">
        <f t="shared" si="39"/>
        <v>0</v>
      </c>
      <c r="AK182" s="140">
        <f t="shared" si="30"/>
        <v>0</v>
      </c>
      <c r="AL182" s="47">
        <v>0.75</v>
      </c>
      <c r="AM182" s="48">
        <f t="shared" si="37"/>
        <v>0</v>
      </c>
      <c r="AN182" s="48">
        <f t="shared" si="38"/>
        <v>0</v>
      </c>
      <c r="AO182" s="49">
        <f t="shared" si="31"/>
        <v>0</v>
      </c>
      <c r="AP182" s="49">
        <f t="shared" si="32"/>
        <v>0</v>
      </c>
      <c r="AQ182" s="71"/>
      <c r="AR182" s="106"/>
      <c r="AS182" s="107"/>
      <c r="AT182" s="115"/>
      <c r="AU182" s="100"/>
      <c r="AV182" s="109"/>
      <c r="AW182" s="110"/>
      <c r="AX182" s="110"/>
      <c r="AY182" s="107"/>
      <c r="AZ182" s="116"/>
    </row>
    <row r="183" spans="1:52" s="246" customFormat="1" ht="16.5" thickBot="1" x14ac:dyDescent="0.3">
      <c r="A183" s="134">
        <v>625</v>
      </c>
      <c r="B183" s="134" t="s">
        <v>130</v>
      </c>
      <c r="C183" s="139">
        <v>440</v>
      </c>
      <c r="D183" s="26">
        <f t="shared" si="34"/>
        <v>146.66666666666666</v>
      </c>
      <c r="E183" s="27">
        <f t="shared" si="35"/>
        <v>146.66666666666666</v>
      </c>
      <c r="F183" s="29">
        <f t="shared" si="36"/>
        <v>146.66666666666666</v>
      </c>
      <c r="G183" s="30">
        <v>0</v>
      </c>
      <c r="H183" s="31">
        <v>0</v>
      </c>
      <c r="I183" s="32">
        <v>0</v>
      </c>
      <c r="J183" s="136"/>
      <c r="K183" s="33"/>
      <c r="L183" s="34"/>
      <c r="M183" s="34"/>
      <c r="N183" s="138"/>
      <c r="O183" s="34"/>
      <c r="P183" s="34"/>
      <c r="Q183" s="34"/>
      <c r="R183" s="138"/>
      <c r="S183" s="37"/>
      <c r="T183" s="34"/>
      <c r="U183" s="34"/>
      <c r="V183" s="138"/>
      <c r="W183" s="38"/>
      <c r="X183" s="31"/>
      <c r="Y183" s="31"/>
      <c r="Z183" s="105"/>
      <c r="AA183" s="37"/>
      <c r="AB183" s="34"/>
      <c r="AC183" s="34"/>
      <c r="AD183" s="105"/>
      <c r="AE183" s="104"/>
      <c r="AF183" s="105"/>
      <c r="AG183" s="43">
        <f t="shared" si="40"/>
        <v>0</v>
      </c>
      <c r="AH183" s="44">
        <f t="shared" si="40"/>
        <v>0</v>
      </c>
      <c r="AI183" s="44">
        <f t="shared" si="40"/>
        <v>0</v>
      </c>
      <c r="AJ183" s="94">
        <f>J183+N183+R183+V183+Z183+AD183</f>
        <v>0</v>
      </c>
      <c r="AK183" s="140">
        <f t="shared" si="30"/>
        <v>0</v>
      </c>
      <c r="AL183" s="47">
        <v>0.75</v>
      </c>
      <c r="AM183" s="48">
        <f t="shared" si="37"/>
        <v>0</v>
      </c>
      <c r="AN183" s="48">
        <f t="shared" si="38"/>
        <v>0</v>
      </c>
      <c r="AO183" s="49">
        <f t="shared" si="31"/>
        <v>0</v>
      </c>
      <c r="AP183" s="49">
        <f t="shared" si="32"/>
        <v>0</v>
      </c>
      <c r="AQ183" s="71"/>
      <c r="AR183" s="106"/>
      <c r="AS183" s="107"/>
      <c r="AT183" s="115"/>
      <c r="AU183" s="100"/>
      <c r="AV183" s="109"/>
      <c r="AW183" s="110"/>
      <c r="AX183" s="110"/>
      <c r="AY183" s="107"/>
      <c r="AZ183" s="116"/>
    </row>
    <row r="184" spans="1:52" s="246" customFormat="1" ht="16.5" thickBot="1" x14ac:dyDescent="0.3">
      <c r="A184" s="134">
        <v>625</v>
      </c>
      <c r="B184" s="134" t="s">
        <v>131</v>
      </c>
      <c r="C184" s="139">
        <v>220</v>
      </c>
      <c r="D184" s="26">
        <f t="shared" si="34"/>
        <v>73.333333333333329</v>
      </c>
      <c r="E184" s="27">
        <f t="shared" si="35"/>
        <v>73.333333333333329</v>
      </c>
      <c r="F184" s="29">
        <f t="shared" si="36"/>
        <v>73.333333333333329</v>
      </c>
      <c r="G184" s="30">
        <v>0</v>
      </c>
      <c r="H184" s="31">
        <v>0</v>
      </c>
      <c r="I184" s="32">
        <v>0</v>
      </c>
      <c r="J184" s="136"/>
      <c r="K184" s="33"/>
      <c r="L184" s="34"/>
      <c r="M184" s="34"/>
      <c r="N184" s="138"/>
      <c r="O184" s="34"/>
      <c r="P184" s="34"/>
      <c r="Q184" s="34"/>
      <c r="R184" s="138"/>
      <c r="S184" s="37"/>
      <c r="T184" s="34"/>
      <c r="U184" s="34"/>
      <c r="V184" s="138"/>
      <c r="W184" s="38"/>
      <c r="X184" s="31"/>
      <c r="Y184" s="31"/>
      <c r="Z184" s="105"/>
      <c r="AA184" s="37"/>
      <c r="AB184" s="34"/>
      <c r="AC184" s="34"/>
      <c r="AD184" s="105"/>
      <c r="AE184" s="104"/>
      <c r="AF184" s="105"/>
      <c r="AG184" s="43">
        <f t="shared" si="40"/>
        <v>0</v>
      </c>
      <c r="AH184" s="44">
        <f t="shared" si="40"/>
        <v>0</v>
      </c>
      <c r="AI184" s="44">
        <f t="shared" si="40"/>
        <v>0</v>
      </c>
      <c r="AJ184" s="94"/>
      <c r="AK184" s="140">
        <f t="shared" si="30"/>
        <v>0</v>
      </c>
      <c r="AL184" s="47">
        <v>0.75</v>
      </c>
      <c r="AM184" s="48">
        <f t="shared" si="37"/>
        <v>0</v>
      </c>
      <c r="AN184" s="48">
        <f t="shared" si="38"/>
        <v>0</v>
      </c>
      <c r="AO184" s="49">
        <f t="shared" si="31"/>
        <v>0</v>
      </c>
      <c r="AP184" s="49"/>
      <c r="AQ184" s="71"/>
      <c r="AR184" s="106"/>
      <c r="AS184" s="107"/>
      <c r="AT184" s="115"/>
      <c r="AU184" s="100"/>
      <c r="AV184" s="109"/>
      <c r="AW184" s="110"/>
      <c r="AX184" s="110"/>
      <c r="AY184" s="107"/>
      <c r="AZ184" s="116"/>
    </row>
    <row r="185" spans="1:52" s="246" customFormat="1" ht="16.5" thickBot="1" x14ac:dyDescent="0.3">
      <c r="A185" s="134"/>
      <c r="B185" s="134" t="s">
        <v>132</v>
      </c>
      <c r="C185" s="139"/>
      <c r="D185" s="141"/>
      <c r="E185" s="142"/>
      <c r="F185" s="143"/>
      <c r="G185" s="144">
        <v>16</v>
      </c>
      <c r="H185" s="145">
        <v>0</v>
      </c>
      <c r="I185" s="146">
        <v>0</v>
      </c>
      <c r="J185" s="136"/>
      <c r="K185" s="144"/>
      <c r="L185" s="34"/>
      <c r="M185" s="34"/>
      <c r="N185" s="138"/>
      <c r="O185" s="34"/>
      <c r="P185" s="34"/>
      <c r="Q185" s="34"/>
      <c r="R185" s="138"/>
      <c r="S185" s="37"/>
      <c r="T185" s="34"/>
      <c r="U185" s="34"/>
      <c r="V185" s="138"/>
      <c r="W185" s="38"/>
      <c r="X185" s="31"/>
      <c r="Y185" s="31"/>
      <c r="Z185" s="105"/>
      <c r="AA185" s="37"/>
      <c r="AB185" s="145"/>
      <c r="AC185" s="145"/>
      <c r="AD185" s="105"/>
      <c r="AE185" s="104"/>
      <c r="AF185" s="105"/>
      <c r="AG185" s="43">
        <f>G185+K185+O185+S185+W185+AA185</f>
        <v>16</v>
      </c>
      <c r="AH185" s="44">
        <f>H185+L185+P185+T185+X185+AB185</f>
        <v>0</v>
      </c>
      <c r="AI185" s="44">
        <f>I185+M185+Q185+U185+Y185+AC185</f>
        <v>0</v>
      </c>
      <c r="AJ185" s="94"/>
      <c r="AK185" s="140">
        <f t="shared" si="30"/>
        <v>16</v>
      </c>
      <c r="AL185" s="47">
        <v>0.25</v>
      </c>
      <c r="AM185" s="48">
        <f t="shared" si="37"/>
        <v>4</v>
      </c>
      <c r="AN185" s="48">
        <f t="shared" si="38"/>
        <v>0</v>
      </c>
      <c r="AO185" s="49">
        <f t="shared" si="31"/>
        <v>0</v>
      </c>
      <c r="AP185" s="49"/>
      <c r="AQ185" s="71"/>
      <c r="AR185" s="106"/>
      <c r="AS185" s="107"/>
      <c r="AT185" s="115"/>
      <c r="AU185" s="100"/>
      <c r="AV185" s="109"/>
      <c r="AW185" s="110"/>
      <c r="AX185" s="110"/>
      <c r="AY185" s="107"/>
      <c r="AZ185" s="116"/>
    </row>
    <row r="186" spans="1:52" ht="16.5" thickBot="1" x14ac:dyDescent="0.3">
      <c r="A186" s="147"/>
      <c r="B186" s="147" t="s">
        <v>133</v>
      </c>
      <c r="C186" s="148"/>
      <c r="D186" s="148"/>
      <c r="E186" s="148"/>
      <c r="F186" s="149"/>
      <c r="G186" s="150">
        <f>SUM(G3:G185)</f>
        <v>199</v>
      </c>
      <c r="H186" s="151">
        <f>SUM(H3:H185)</f>
        <v>305</v>
      </c>
      <c r="I186" s="152">
        <f>SUM(I3:I185)</f>
        <v>243</v>
      </c>
      <c r="J186" s="152"/>
      <c r="K186" s="150">
        <f>SUM(K3:K185)</f>
        <v>0</v>
      </c>
      <c r="L186" s="34">
        <f>SUM(L3:L185)</f>
        <v>0</v>
      </c>
      <c r="M186" s="34">
        <f>SUM(M3:M185)</f>
        <v>0</v>
      </c>
      <c r="N186" s="153"/>
      <c r="O186" s="34">
        <f>SUM(O3:O185)</f>
        <v>0</v>
      </c>
      <c r="P186" s="34">
        <f>SUM(P3:P185)</f>
        <v>0</v>
      </c>
      <c r="Q186" s="34">
        <f>SUM(Q3:Q185)</f>
        <v>0</v>
      </c>
      <c r="R186" s="153"/>
      <c r="S186" s="37">
        <f>SUM(S3:S185)</f>
        <v>0</v>
      </c>
      <c r="T186" s="34">
        <f>SUM(T3:T185)</f>
        <v>0</v>
      </c>
      <c r="U186" s="34">
        <f>SUM(U3:U185)</f>
        <v>0</v>
      </c>
      <c r="V186" s="153"/>
      <c r="W186" s="38">
        <f>SUM(W3:W185)</f>
        <v>0</v>
      </c>
      <c r="X186" s="31">
        <f>SUM(X3:X185)</f>
        <v>0</v>
      </c>
      <c r="Y186" s="31">
        <f>SUM(Y3:Y185)</f>
        <v>0</v>
      </c>
      <c r="Z186" s="153"/>
      <c r="AA186" s="37">
        <f>SUM(AA3:AA185)</f>
        <v>0</v>
      </c>
      <c r="AB186" s="151">
        <f>SUM(AB3:AB185)</f>
        <v>0</v>
      </c>
      <c r="AC186" s="151">
        <f>SUM(AC3:AC185)</f>
        <v>0</v>
      </c>
      <c r="AD186" s="154"/>
      <c r="AE186" s="155"/>
      <c r="AF186" s="154"/>
      <c r="AG186" s="43">
        <f>SUM(AG3:AG184)</f>
        <v>183</v>
      </c>
      <c r="AH186" s="44">
        <f>SUM(AH3:AH184)</f>
        <v>305</v>
      </c>
      <c r="AI186" s="44">
        <f>SUM(AI3:AI184)</f>
        <v>243</v>
      </c>
      <c r="AJ186" s="44">
        <f>SUM(AJ3:AJ183)</f>
        <v>0</v>
      </c>
      <c r="AK186" s="156">
        <f>SUM(AK4:AK183)</f>
        <v>731</v>
      </c>
      <c r="AL186" s="47"/>
      <c r="AM186" s="48">
        <f>SUM(AM3:AM184)</f>
        <v>207.3</v>
      </c>
      <c r="AN186" s="48">
        <f>SUM(AN3:AN184)</f>
        <v>292.14999999999998</v>
      </c>
      <c r="AO186" s="49">
        <f>SUM(AO3:AO184)</f>
        <v>205.05</v>
      </c>
      <c r="AP186" s="49">
        <f>AJ186*AL186</f>
        <v>0</v>
      </c>
      <c r="AQ186" s="71">
        <f>SUM(AQ3:AQ163)</f>
        <v>34800</v>
      </c>
      <c r="AR186" s="157"/>
      <c r="AS186" s="158"/>
      <c r="AT186" s="159">
        <v>21225.76500000001</v>
      </c>
      <c r="AU186" s="84">
        <f>SUM(AU3:AU133)</f>
        <v>203.2</v>
      </c>
      <c r="AV186" s="160"/>
      <c r="AW186" s="161">
        <v>2700</v>
      </c>
      <c r="AX186" s="161">
        <v>1500</v>
      </c>
      <c r="AY186" s="161"/>
      <c r="AZ186" s="162">
        <f>SUM(AZ3:AZ109)</f>
        <v>503.1400000000001</v>
      </c>
    </row>
    <row r="187" spans="1:52" ht="15.75" x14ac:dyDescent="0.25">
      <c r="C187" s="245" t="s">
        <v>134</v>
      </c>
      <c r="F187" s="163" t="s">
        <v>135</v>
      </c>
      <c r="G187" s="164"/>
      <c r="H187" s="165"/>
      <c r="I187" s="166"/>
      <c r="J187" s="166"/>
      <c r="K187" s="164"/>
      <c r="L187" s="165"/>
      <c r="M187" s="34"/>
      <c r="N187" s="167"/>
      <c r="O187" s="168"/>
      <c r="P187" s="34"/>
      <c r="Q187" s="165"/>
      <c r="R187" s="167"/>
      <c r="S187" s="168"/>
      <c r="T187" s="165"/>
      <c r="U187" s="165"/>
      <c r="V187" s="167"/>
      <c r="W187" s="168"/>
      <c r="X187" s="165"/>
      <c r="Y187" s="165"/>
      <c r="Z187" s="167"/>
      <c r="AA187" s="168"/>
      <c r="AB187" s="165"/>
      <c r="AC187" s="165"/>
      <c r="AD187" s="40"/>
      <c r="AE187" s="169"/>
      <c r="AF187" s="169"/>
      <c r="AG187" s="170"/>
      <c r="AH187" s="170"/>
      <c r="AI187" s="170"/>
      <c r="AJ187" s="170"/>
      <c r="AK187" s="171"/>
      <c r="AL187" s="172"/>
      <c r="AM187" s="172"/>
      <c r="AN187" s="172"/>
      <c r="AO187" s="72"/>
      <c r="AP187" s="49"/>
      <c r="AQ187" s="173"/>
      <c r="AR187" s="172"/>
      <c r="AS187" s="174"/>
      <c r="AT187" s="173"/>
      <c r="AU187" s="173" t="s">
        <v>136</v>
      </c>
      <c r="AV187" s="173"/>
      <c r="AW187" s="173"/>
      <c r="AX187" s="173"/>
    </row>
    <row r="188" spans="1:52" ht="16.5" thickBot="1" x14ac:dyDescent="0.3">
      <c r="F188" s="175" t="s">
        <v>137</v>
      </c>
      <c r="G188" s="176"/>
      <c r="H188" s="177"/>
      <c r="I188" s="178"/>
      <c r="J188" s="178"/>
      <c r="K188" s="176"/>
      <c r="L188" s="177"/>
      <c r="M188" s="34"/>
      <c r="N188" s="179"/>
      <c r="O188" s="180"/>
      <c r="P188" s="34"/>
      <c r="Q188" s="177"/>
      <c r="R188" s="179"/>
      <c r="S188" s="180"/>
      <c r="T188" s="177"/>
      <c r="U188" s="177"/>
      <c r="V188" s="179"/>
      <c r="W188" s="180"/>
      <c r="X188" s="177"/>
      <c r="Y188" s="177"/>
      <c r="Z188" s="179"/>
      <c r="AA188" s="180"/>
      <c r="AB188" s="177"/>
      <c r="AC188" s="177"/>
      <c r="AD188" s="154"/>
      <c r="AE188" s="181"/>
      <c r="AJ188" s="170"/>
      <c r="AK188" s="171"/>
      <c r="AN188" s="50"/>
      <c r="AO188" s="182"/>
      <c r="AP188" s="49"/>
      <c r="AS188" s="171"/>
      <c r="AX188" s="183">
        <f>AZ186-AW186-AX186</f>
        <v>-3696.8599999999997</v>
      </c>
    </row>
    <row r="189" spans="1:52" ht="15.75" thickBot="1" x14ac:dyDescent="0.3">
      <c r="F189" s="184"/>
      <c r="G189" s="185">
        <f t="shared" ref="G189:AD189" si="41">G187/50</f>
        <v>0</v>
      </c>
      <c r="H189" s="185">
        <f t="shared" si="41"/>
        <v>0</v>
      </c>
      <c r="I189" s="248">
        <f t="shared" si="41"/>
        <v>0</v>
      </c>
      <c r="J189" s="185">
        <f t="shared" si="41"/>
        <v>0</v>
      </c>
      <c r="K189" s="185">
        <f>K187/50</f>
        <v>0</v>
      </c>
      <c r="L189" s="185">
        <f>L187/50</f>
        <v>0</v>
      </c>
      <c r="M189" s="185">
        <f t="shared" si="41"/>
        <v>0</v>
      </c>
      <c r="N189" s="185">
        <f t="shared" si="41"/>
        <v>0</v>
      </c>
      <c r="O189" s="185">
        <f>O187/50</f>
        <v>0</v>
      </c>
      <c r="P189" s="185">
        <f t="shared" si="41"/>
        <v>0</v>
      </c>
      <c r="Q189" s="185">
        <f t="shared" si="41"/>
        <v>0</v>
      </c>
      <c r="R189" s="185">
        <f t="shared" si="41"/>
        <v>0</v>
      </c>
      <c r="S189" s="185">
        <f>S187/50</f>
        <v>0</v>
      </c>
      <c r="T189" s="185">
        <f t="shared" si="41"/>
        <v>0</v>
      </c>
      <c r="U189" s="185">
        <f t="shared" si="41"/>
        <v>0</v>
      </c>
      <c r="V189" s="185">
        <f t="shared" si="41"/>
        <v>0</v>
      </c>
      <c r="W189" s="185">
        <f>W187/50</f>
        <v>0</v>
      </c>
      <c r="X189" s="185">
        <f t="shared" si="41"/>
        <v>0</v>
      </c>
      <c r="Y189" s="185">
        <f t="shared" si="41"/>
        <v>0</v>
      </c>
      <c r="Z189" s="185">
        <f t="shared" si="41"/>
        <v>0</v>
      </c>
      <c r="AA189" s="185">
        <f>AA187/50</f>
        <v>0</v>
      </c>
      <c r="AB189" s="185">
        <f t="shared" si="41"/>
        <v>0</v>
      </c>
      <c r="AC189" s="185">
        <f t="shared" si="41"/>
        <v>0</v>
      </c>
      <c r="AD189" s="185">
        <f t="shared" si="41"/>
        <v>0</v>
      </c>
      <c r="AJ189" s="170"/>
      <c r="AK189" s="171"/>
      <c r="AN189" s="187" t="s">
        <v>138</v>
      </c>
      <c r="AO189" s="182" t="s">
        <v>139</v>
      </c>
      <c r="AP189" s="188" t="s">
        <v>140</v>
      </c>
      <c r="AQ189" s="189" t="s">
        <v>134</v>
      </c>
      <c r="AR189" s="189" t="s">
        <v>141</v>
      </c>
      <c r="AS189" s="190" t="s">
        <v>142</v>
      </c>
    </row>
    <row r="190" spans="1:52" ht="15.75" thickBot="1" x14ac:dyDescent="0.3">
      <c r="F190" s="191"/>
      <c r="G190" s="191">
        <f t="shared" ref="G190:AD190" si="42">G188+G189</f>
        <v>0</v>
      </c>
      <c r="H190" s="192">
        <f t="shared" si="42"/>
        <v>0</v>
      </c>
      <c r="I190" s="249">
        <f t="shared" si="42"/>
        <v>0</v>
      </c>
      <c r="J190" s="192">
        <f t="shared" si="42"/>
        <v>0</v>
      </c>
      <c r="K190" s="194">
        <f t="shared" si="42"/>
        <v>0</v>
      </c>
      <c r="L190" s="148">
        <f t="shared" si="42"/>
        <v>0</v>
      </c>
      <c r="M190" s="243">
        <f>M188+M189</f>
        <v>0</v>
      </c>
      <c r="N190" s="148">
        <f t="shared" si="42"/>
        <v>0</v>
      </c>
      <c r="O190" s="155"/>
      <c r="P190" s="148">
        <f t="shared" si="42"/>
        <v>0</v>
      </c>
      <c r="Q190" s="195">
        <f t="shared" si="42"/>
        <v>0</v>
      </c>
      <c r="R190" s="148">
        <f t="shared" si="42"/>
        <v>0</v>
      </c>
      <c r="S190" s="155">
        <f>S188+S189</f>
        <v>0</v>
      </c>
      <c r="T190" s="148">
        <f t="shared" si="42"/>
        <v>0</v>
      </c>
      <c r="U190" s="195">
        <f t="shared" si="42"/>
        <v>0</v>
      </c>
      <c r="V190" s="148">
        <f t="shared" si="42"/>
        <v>0</v>
      </c>
      <c r="W190" s="155">
        <f>W188+W189</f>
        <v>0</v>
      </c>
      <c r="X190" s="148">
        <f t="shared" si="42"/>
        <v>0</v>
      </c>
      <c r="Y190" s="195">
        <f t="shared" si="42"/>
        <v>0</v>
      </c>
      <c r="Z190" s="148">
        <f t="shared" si="42"/>
        <v>0</v>
      </c>
      <c r="AA190" s="155">
        <f>AA188+AA189</f>
        <v>0</v>
      </c>
      <c r="AB190" s="148">
        <f t="shared" si="42"/>
        <v>0</v>
      </c>
      <c r="AC190" s="195">
        <f t="shared" si="42"/>
        <v>0</v>
      </c>
      <c r="AD190" s="148">
        <f t="shared" si="42"/>
        <v>0</v>
      </c>
      <c r="AG190" s="253" t="s">
        <v>143</v>
      </c>
      <c r="AH190" s="253"/>
      <c r="AI190" s="253"/>
      <c r="AJ190" s="196"/>
      <c r="AK190" s="171"/>
      <c r="AL190" s="197" t="s">
        <v>4</v>
      </c>
      <c r="AM190" s="133" t="s">
        <v>144</v>
      </c>
      <c r="AN190" s="198">
        <v>400</v>
      </c>
      <c r="AO190" s="72">
        <f>AM186*0.5</f>
        <v>103.65</v>
      </c>
      <c r="AP190" s="199">
        <f>AN190+AO190</f>
        <v>503.65</v>
      </c>
      <c r="AQ190" s="86">
        <f>AG191*0.5</f>
        <v>0</v>
      </c>
      <c r="AR190" s="200">
        <f>AP190-AQ190</f>
        <v>503.65</v>
      </c>
      <c r="AS190" s="44"/>
      <c r="AT190" s="86">
        <f>AR190-AS190</f>
        <v>503.65</v>
      </c>
      <c r="AU190" s="201">
        <v>1080</v>
      </c>
    </row>
    <row r="191" spans="1:52" ht="15.75" thickBot="1" x14ac:dyDescent="0.3">
      <c r="B191" s="245" t="s">
        <v>145</v>
      </c>
      <c r="F191" s="202"/>
      <c r="G191" s="247">
        <f>G190*0.5</f>
        <v>0</v>
      </c>
      <c r="H191" s="247">
        <f t="shared" ref="H191:AC191" si="43">H190*0.5</f>
        <v>0</v>
      </c>
      <c r="I191" s="247">
        <f t="shared" si="43"/>
        <v>0</v>
      </c>
      <c r="J191" s="247">
        <f t="shared" si="43"/>
        <v>0</v>
      </c>
      <c r="K191" s="247">
        <f t="shared" si="43"/>
        <v>0</v>
      </c>
      <c r="L191" s="247">
        <f t="shared" si="43"/>
        <v>0</v>
      </c>
      <c r="M191" s="247">
        <f t="shared" si="43"/>
        <v>0</v>
      </c>
      <c r="N191" s="247">
        <f t="shared" si="43"/>
        <v>0</v>
      </c>
      <c r="O191" s="247">
        <f t="shared" si="43"/>
        <v>0</v>
      </c>
      <c r="P191" s="247">
        <f t="shared" si="43"/>
        <v>0</v>
      </c>
      <c r="Q191" s="247">
        <f t="shared" si="43"/>
        <v>0</v>
      </c>
      <c r="R191" s="247">
        <f t="shared" si="43"/>
        <v>0</v>
      </c>
      <c r="S191" s="247">
        <f t="shared" si="43"/>
        <v>0</v>
      </c>
      <c r="T191" s="247">
        <f t="shared" si="43"/>
        <v>0</v>
      </c>
      <c r="U191" s="247">
        <f t="shared" si="43"/>
        <v>0</v>
      </c>
      <c r="V191" s="247">
        <f t="shared" si="43"/>
        <v>0</v>
      </c>
      <c r="W191" s="247">
        <f t="shared" si="43"/>
        <v>0</v>
      </c>
      <c r="X191" s="247">
        <f t="shared" si="43"/>
        <v>0</v>
      </c>
      <c r="Y191" s="247">
        <f t="shared" si="43"/>
        <v>0</v>
      </c>
      <c r="Z191" s="247">
        <f t="shared" si="43"/>
        <v>0</v>
      </c>
      <c r="AA191" s="247">
        <f t="shared" si="43"/>
        <v>0</v>
      </c>
      <c r="AB191" s="247">
        <f t="shared" si="43"/>
        <v>0</v>
      </c>
      <c r="AC191" s="247">
        <f t="shared" si="43"/>
        <v>0</v>
      </c>
      <c r="AD191" s="204">
        <f>AD190*25</f>
        <v>0</v>
      </c>
      <c r="AG191" s="205">
        <f>G191+K191+O191+S191+W191+AA191</f>
        <v>0</v>
      </c>
      <c r="AH191" s="205">
        <f>H191+L191+P191+T191+X191+AB191</f>
        <v>0</v>
      </c>
      <c r="AI191" s="205">
        <f>I191+M191+Q191+U191+Y191+AC191</f>
        <v>0</v>
      </c>
      <c r="AJ191" s="205">
        <f>J191+N191+R191+V191+Z191+AD191</f>
        <v>0</v>
      </c>
      <c r="AK191" s="171"/>
      <c r="AL191" s="197" t="s">
        <v>189</v>
      </c>
      <c r="AM191" s="133" t="s">
        <v>146</v>
      </c>
      <c r="AN191" s="206">
        <v>400</v>
      </c>
      <c r="AO191" s="72">
        <f>AM186*0.5</f>
        <v>103.65</v>
      </c>
      <c r="AP191" s="199">
        <f>AN191+AO191</f>
        <v>503.65</v>
      </c>
      <c r="AQ191" s="86">
        <f>AG191*0.5</f>
        <v>0</v>
      </c>
      <c r="AR191" s="200">
        <f>AP191-AQ191</f>
        <v>503.65</v>
      </c>
      <c r="AS191" s="44"/>
      <c r="AT191" s="86">
        <f>AR191-AS191</f>
        <v>503.65</v>
      </c>
      <c r="AU191" s="207">
        <v>1080</v>
      </c>
    </row>
    <row r="192" spans="1:52" ht="15.75" thickBot="1" x14ac:dyDescent="0.3">
      <c r="B192" s="245" t="s">
        <v>147</v>
      </c>
      <c r="C192" s="245">
        <v>110203550</v>
      </c>
      <c r="AF192" s="171"/>
      <c r="AG192" s="171"/>
      <c r="AH192" s="171"/>
      <c r="AI192" s="171"/>
      <c r="AJ192" s="171"/>
      <c r="AK192" s="171"/>
      <c r="AL192" s="197"/>
      <c r="AM192" s="133" t="s">
        <v>148</v>
      </c>
      <c r="AN192" s="208"/>
      <c r="AO192" s="72"/>
      <c r="AP192" s="199">
        <f>AN192+AO192</f>
        <v>0</v>
      </c>
      <c r="AQ192" s="86"/>
      <c r="AR192" s="200">
        <f t="shared" ref="AR192:AR197" si="44">AP192-AQ192</f>
        <v>0</v>
      </c>
      <c r="AS192" s="209"/>
      <c r="AT192" s="86">
        <f>AR192-AS192</f>
        <v>0</v>
      </c>
      <c r="AU192" s="201"/>
    </row>
    <row r="193" spans="1:49 16384:16384" ht="19.5" thickBot="1" x14ac:dyDescent="0.35">
      <c r="A193" s="246"/>
      <c r="B193" s="246" t="s">
        <v>149</v>
      </c>
      <c r="C193" s="246">
        <v>110203550</v>
      </c>
      <c r="D193" s="246"/>
      <c r="E193" s="246"/>
      <c r="F193" s="246"/>
      <c r="G193" s="246"/>
      <c r="H193" s="246"/>
      <c r="J193" s="246"/>
      <c r="K193" s="246"/>
      <c r="L193" s="246"/>
      <c r="M193" s="210"/>
      <c r="N193" s="210"/>
      <c r="O193" s="210"/>
      <c r="P193" s="210"/>
      <c r="Q193" s="210"/>
      <c r="R193" s="246"/>
      <c r="S193" s="246"/>
      <c r="T193" s="246"/>
      <c r="V193" s="246"/>
      <c r="W193" s="246"/>
      <c r="X193" s="246"/>
      <c r="AF193" s="171"/>
      <c r="AG193" s="254">
        <f>AG191+AH191+AI191</f>
        <v>0</v>
      </c>
      <c r="AH193" s="255"/>
      <c r="AI193" s="256"/>
      <c r="AJ193" s="50">
        <f>AG193/2</f>
        <v>0</v>
      </c>
      <c r="AK193" s="171"/>
      <c r="AO193" s="44"/>
      <c r="AQ193" s="133"/>
      <c r="AR193" s="200">
        <f t="shared" si="44"/>
        <v>0</v>
      </c>
      <c r="AS193" s="209"/>
      <c r="AT193" s="133"/>
      <c r="AU193" s="201"/>
    </row>
    <row r="194" spans="1:49 16384:16384" x14ac:dyDescent="0.25">
      <c r="B194" s="246" t="s">
        <v>150</v>
      </c>
      <c r="C194" s="245" t="s">
        <v>151</v>
      </c>
      <c r="F194" s="246"/>
      <c r="G194" s="246"/>
      <c r="H194" s="246"/>
      <c r="J194" s="246"/>
      <c r="K194" s="246"/>
      <c r="L194" s="246"/>
      <c r="N194" s="246"/>
      <c r="O194" s="246"/>
      <c r="P194" s="246"/>
      <c r="R194" s="246"/>
      <c r="S194" s="246"/>
      <c r="T194" s="246"/>
      <c r="V194" s="246"/>
      <c r="W194" s="246"/>
      <c r="X194" s="246"/>
      <c r="AF194" s="171"/>
      <c r="AG194" s="181"/>
      <c r="AH194" s="210"/>
      <c r="AI194" s="211"/>
      <c r="AJ194" s="212"/>
      <c r="AK194" s="213"/>
      <c r="AL194" s="197" t="s">
        <v>6</v>
      </c>
      <c r="AM194" s="79" t="s">
        <v>144</v>
      </c>
      <c r="AN194" s="198">
        <v>400</v>
      </c>
      <c r="AO194" s="72">
        <f>AN186*0.55</f>
        <v>160.6825</v>
      </c>
      <c r="AP194" s="214">
        <f>AN194+AO194</f>
        <v>560.6825</v>
      </c>
      <c r="AQ194" s="86">
        <f>AH191*0.5</f>
        <v>0</v>
      </c>
      <c r="AR194" s="200">
        <f>AP194-AQ194</f>
        <v>560.6825</v>
      </c>
      <c r="AS194" s="215">
        <v>14</v>
      </c>
      <c r="AT194" s="86">
        <f>AR194-AS194</f>
        <v>546.6825</v>
      </c>
      <c r="AU194" s="207">
        <v>1295</v>
      </c>
      <c r="XFD194" s="245" t="s">
        <v>152</v>
      </c>
    </row>
    <row r="195" spans="1:49 16384:16384" x14ac:dyDescent="0.25">
      <c r="F195" s="246"/>
      <c r="G195" s="246"/>
      <c r="H195" s="246"/>
      <c r="J195" s="246"/>
      <c r="K195" s="246"/>
      <c r="L195" s="246"/>
      <c r="N195" s="246"/>
      <c r="O195" s="246"/>
      <c r="P195" s="246"/>
      <c r="R195" s="246"/>
      <c r="S195" s="246"/>
      <c r="T195" s="246"/>
      <c r="V195" s="246"/>
      <c r="W195" s="246"/>
      <c r="X195" s="246"/>
      <c r="AF195" s="171"/>
      <c r="AG195" s="181"/>
      <c r="AH195" s="210"/>
      <c r="AI195" s="216"/>
      <c r="AJ195" s="212"/>
      <c r="AK195" s="213"/>
      <c r="AL195" s="197"/>
      <c r="AM195" s="79" t="s">
        <v>186</v>
      </c>
      <c r="AN195" s="208">
        <v>0</v>
      </c>
      <c r="AO195" s="72"/>
      <c r="AP195" s="214">
        <f>AN195+AO195</f>
        <v>0</v>
      </c>
      <c r="AQ195" s="86"/>
      <c r="AR195" s="200">
        <f>AP195-AQ195</f>
        <v>0</v>
      </c>
      <c r="AS195" s="215"/>
      <c r="AT195" s="86">
        <f>AR195-AS195</f>
        <v>0</v>
      </c>
      <c r="AU195" s="207"/>
    </row>
    <row r="196" spans="1:49 16384:16384" x14ac:dyDescent="0.25">
      <c r="B196" s="245" t="s">
        <v>153</v>
      </c>
      <c r="F196" s="246"/>
      <c r="G196" s="246"/>
      <c r="H196" s="246"/>
      <c r="J196" s="246"/>
      <c r="K196" s="246"/>
      <c r="L196" s="246"/>
      <c r="N196" s="246"/>
      <c r="O196" s="246"/>
      <c r="P196" s="246"/>
      <c r="R196" s="246"/>
      <c r="S196" s="246"/>
      <c r="T196" s="246"/>
      <c r="V196" s="246"/>
      <c r="W196" s="246"/>
      <c r="X196" s="246"/>
      <c r="AF196" s="171"/>
      <c r="AG196" s="181"/>
      <c r="AH196" s="210"/>
      <c r="AI196" s="216"/>
      <c r="AJ196" s="212"/>
      <c r="AK196" s="213"/>
      <c r="AL196" s="197" t="s">
        <v>195</v>
      </c>
      <c r="AM196" s="93" t="s">
        <v>146</v>
      </c>
      <c r="AN196" s="206">
        <v>400</v>
      </c>
      <c r="AO196" s="72">
        <f>AN186*0.45</f>
        <v>131.4675</v>
      </c>
      <c r="AP196" s="217">
        <f>AN196+AO196</f>
        <v>531.46749999999997</v>
      </c>
      <c r="AQ196" s="86">
        <f>AH191*0.5</f>
        <v>0</v>
      </c>
      <c r="AR196" s="200">
        <f>AP196-AQ196</f>
        <v>531.46749999999997</v>
      </c>
      <c r="AS196" s="215">
        <v>14</v>
      </c>
      <c r="AT196" s="86">
        <f>AR196-AS196</f>
        <v>517.46749999999997</v>
      </c>
      <c r="AU196" s="201">
        <v>1125</v>
      </c>
    </row>
    <row r="197" spans="1:49 16384:16384" x14ac:dyDescent="0.25">
      <c r="X197" s="246"/>
      <c r="AB197" s="218"/>
      <c r="AC197" s="218"/>
      <c r="AD197" s="218"/>
      <c r="AF197" s="171"/>
      <c r="AG197" s="210"/>
      <c r="AH197" s="210"/>
      <c r="AI197" s="210"/>
      <c r="AJ197" s="210"/>
      <c r="AK197" s="210"/>
      <c r="AL197" s="133"/>
      <c r="AO197" s="219"/>
      <c r="AQ197" s="133"/>
      <c r="AR197" s="200">
        <f t="shared" si="44"/>
        <v>0</v>
      </c>
      <c r="AS197" s="209"/>
      <c r="AT197" s="133"/>
      <c r="AU197" s="201"/>
    </row>
    <row r="198" spans="1:49 16384:16384" x14ac:dyDescent="0.25">
      <c r="B198" s="245" t="s">
        <v>154</v>
      </c>
      <c r="X198" s="246"/>
      <c r="AF198" s="171"/>
      <c r="AG198" s="181"/>
      <c r="AH198" s="210"/>
      <c r="AI198" s="211"/>
      <c r="AJ198" s="212"/>
      <c r="AK198" s="213"/>
      <c r="AL198" s="197" t="s">
        <v>7</v>
      </c>
      <c r="AM198" s="79" t="s">
        <v>144</v>
      </c>
      <c r="AN198" s="198">
        <v>400</v>
      </c>
      <c r="AO198" s="72">
        <f>AO186*0.35</f>
        <v>71.767499999999998</v>
      </c>
      <c r="AP198" s="214">
        <f>AN198+AO198</f>
        <v>471.76749999999998</v>
      </c>
      <c r="AQ198" s="86">
        <f>AI191*0.5</f>
        <v>0</v>
      </c>
      <c r="AR198" s="200">
        <f>AP198-AQ198</f>
        <v>471.76749999999998</v>
      </c>
      <c r="AS198" s="220"/>
      <c r="AT198" s="86">
        <f>AR198-AS198</f>
        <v>471.76749999999998</v>
      </c>
      <c r="AU198" s="201">
        <v>1040</v>
      </c>
    </row>
    <row r="199" spans="1:49 16384:16384" ht="15.75" thickBot="1" x14ac:dyDescent="0.3">
      <c r="B199" s="245" t="s">
        <v>155</v>
      </c>
      <c r="C199" s="245" t="s">
        <v>156</v>
      </c>
      <c r="X199" s="246"/>
      <c r="AI199" s="221">
        <f>25*AG193/15</f>
        <v>0</v>
      </c>
      <c r="AJ199" s="50"/>
      <c r="AK199" s="213"/>
      <c r="AL199" s="197" t="s">
        <v>157</v>
      </c>
      <c r="AM199" s="79" t="s">
        <v>146</v>
      </c>
      <c r="AN199" s="198">
        <v>400</v>
      </c>
      <c r="AO199" s="72">
        <f>AO186*0.33</f>
        <v>67.666500000000013</v>
      </c>
      <c r="AP199" s="214">
        <f>AN199+AO199</f>
        <v>467.66650000000004</v>
      </c>
      <c r="AQ199" s="86">
        <f>AI191*0.5</f>
        <v>0</v>
      </c>
      <c r="AR199" s="200">
        <f>AP199-AQ199</f>
        <v>467.66650000000004</v>
      </c>
      <c r="AS199" s="44"/>
      <c r="AT199" s="86">
        <f>AR199-AS199</f>
        <v>467.66650000000004</v>
      </c>
      <c r="AU199" s="201">
        <v>1000</v>
      </c>
    </row>
    <row r="200" spans="1:49 16384:16384" ht="15.75" thickBot="1" x14ac:dyDescent="0.3">
      <c r="B200" s="245" t="s">
        <v>158</v>
      </c>
      <c r="X200" s="246"/>
      <c r="AG200" s="222" t="s">
        <v>13</v>
      </c>
      <c r="AH200" s="222" t="s">
        <v>14</v>
      </c>
      <c r="AI200" s="222" t="s">
        <v>15</v>
      </c>
      <c r="AK200" s="213"/>
      <c r="AL200" s="197" t="s">
        <v>159</v>
      </c>
      <c r="AM200" s="79" t="s">
        <v>148</v>
      </c>
      <c r="AN200" s="244">
        <v>400</v>
      </c>
      <c r="AO200" s="72">
        <f>AO186*0.32</f>
        <v>65.616</v>
      </c>
      <c r="AP200" s="214">
        <f>AN200+AO200</f>
        <v>465.61599999999999</v>
      </c>
      <c r="AQ200" s="86">
        <v>0</v>
      </c>
      <c r="AR200" s="223">
        <f>AP200-AQ200</f>
        <v>465.61599999999999</v>
      </c>
      <c r="AS200" s="44">
        <v>0</v>
      </c>
      <c r="AT200" s="86">
        <f>AR200-AS200</f>
        <v>465.61599999999999</v>
      </c>
      <c r="AU200" s="201">
        <v>985</v>
      </c>
    </row>
    <row r="201" spans="1:49 16384:16384" ht="15.75" thickBot="1" x14ac:dyDescent="0.3">
      <c r="A201" s="245" t="s">
        <v>160</v>
      </c>
      <c r="AG201" s="224">
        <f>AG191/23.5</f>
        <v>0</v>
      </c>
      <c r="AH201" s="225">
        <f>AH191/47</f>
        <v>0</v>
      </c>
      <c r="AI201" s="226">
        <f>AI191/23.5</f>
        <v>0</v>
      </c>
      <c r="AK201" s="212"/>
      <c r="AO201" s="227"/>
      <c r="AP201" s="50"/>
      <c r="AQ201" s="50"/>
      <c r="AR201" s="213"/>
      <c r="AS201" s="213"/>
      <c r="AT201" s="50"/>
      <c r="AU201" s="213">
        <f>SUM(AU190:AU200)</f>
        <v>7605</v>
      </c>
      <c r="AV201" s="210"/>
      <c r="AW201" s="213"/>
    </row>
    <row r="202" spans="1:49 16384:16384" x14ac:dyDescent="0.25">
      <c r="B202" s="245" t="s">
        <v>161</v>
      </c>
      <c r="AL202" s="181"/>
      <c r="AS202" s="212"/>
      <c r="AT202" s="212" t="s">
        <v>162</v>
      </c>
      <c r="AU202" s="228">
        <v>1200</v>
      </c>
    </row>
    <row r="203" spans="1:49 16384:16384" x14ac:dyDescent="0.25">
      <c r="B203" s="245" t="s">
        <v>163</v>
      </c>
      <c r="AG203" s="171"/>
      <c r="AJ203" s="210"/>
      <c r="AK203" s="216"/>
      <c r="AL203" s="216"/>
      <c r="AT203" s="245" t="s">
        <v>164</v>
      </c>
      <c r="AU203" s="210">
        <v>500</v>
      </c>
      <c r="AV203" s="242"/>
    </row>
    <row r="204" spans="1:49 16384:16384" x14ac:dyDescent="0.25">
      <c r="B204" s="245" t="s">
        <v>165</v>
      </c>
      <c r="AJ204" s="181"/>
      <c r="AK204" s="229"/>
      <c r="AL204" s="229"/>
      <c r="AT204" s="245" t="s">
        <v>166</v>
      </c>
      <c r="AU204" s="210">
        <v>100</v>
      </c>
      <c r="AV204" s="242"/>
    </row>
    <row r="205" spans="1:49 16384:16384" x14ac:dyDescent="0.25">
      <c r="C205" s="245">
        <v>100</v>
      </c>
      <c r="D205" s="245">
        <v>100</v>
      </c>
      <c r="AJ205" s="181"/>
      <c r="AK205" s="229"/>
      <c r="AL205" s="229"/>
      <c r="AR205" s="245" t="s">
        <v>136</v>
      </c>
      <c r="AT205" s="212" t="s">
        <v>167</v>
      </c>
      <c r="AU205" s="210">
        <v>200</v>
      </c>
    </row>
    <row r="206" spans="1:49 16384:16384" x14ac:dyDescent="0.25">
      <c r="A206" s="230" t="s">
        <v>168</v>
      </c>
      <c r="B206" s="230" t="s">
        <v>169</v>
      </c>
      <c r="C206" s="231">
        <v>44891</v>
      </c>
      <c r="D206" s="232">
        <v>44922</v>
      </c>
      <c r="AJ206" s="181"/>
      <c r="AK206" s="229"/>
      <c r="AL206" s="229"/>
      <c r="AR206" s="213"/>
      <c r="AU206" s="233">
        <f>SUM(AU201:AU205)</f>
        <v>9605</v>
      </c>
    </row>
    <row r="207" spans="1:49 16384:16384" x14ac:dyDescent="0.25">
      <c r="AG207" s="201" t="s">
        <v>170</v>
      </c>
      <c r="AH207" s="201" t="s">
        <v>171</v>
      </c>
      <c r="AU207" s="210"/>
    </row>
    <row r="208" spans="1:49 16384:16384" x14ac:dyDescent="0.25">
      <c r="B208" s="245" t="s">
        <v>172</v>
      </c>
      <c r="I208" s="245"/>
      <c r="J208" s="246"/>
      <c r="M208" s="245"/>
      <c r="N208" s="246"/>
      <c r="Q208" s="245"/>
      <c r="R208" s="246"/>
      <c r="U208" s="245"/>
      <c r="V208" s="246"/>
      <c r="Y208" s="245"/>
      <c r="Z208" s="246"/>
      <c r="AC208" s="245"/>
      <c r="AD208" s="246"/>
      <c r="AG208" s="234"/>
      <c r="AH208" s="133">
        <f>2844.55/22050</f>
        <v>0.1290045351473923</v>
      </c>
      <c r="AM208" s="210"/>
      <c r="AU208" s="235">
        <f>+AU206+AU207</f>
        <v>9605</v>
      </c>
      <c r="AV208" s="210"/>
      <c r="AW208" s="50"/>
    </row>
    <row r="209" spans="2:47" x14ac:dyDescent="0.25">
      <c r="B209" s="245" t="s">
        <v>173</v>
      </c>
      <c r="I209" s="245"/>
      <c r="J209" s="246"/>
      <c r="M209" s="245"/>
      <c r="N209" s="246"/>
      <c r="Q209" s="245"/>
      <c r="R209" s="246"/>
      <c r="U209" s="245"/>
      <c r="V209" s="246"/>
      <c r="Y209" s="245"/>
      <c r="Z209" s="246"/>
      <c r="AC209" s="245"/>
      <c r="AD209" s="246"/>
      <c r="AF209" s="210"/>
      <c r="AG209" s="201" t="s">
        <v>174</v>
      </c>
      <c r="AH209" s="112">
        <f>19205.55/441</f>
        <v>43.55</v>
      </c>
      <c r="AI209" s="210"/>
      <c r="AJ209" s="210"/>
      <c r="AK209" s="210"/>
      <c r="AL209" s="210"/>
      <c r="AM209" s="210"/>
      <c r="AN209" s="236"/>
      <c r="AU209" s="50">
        <f>AU208</f>
        <v>9605</v>
      </c>
    </row>
    <row r="210" spans="2:47" x14ac:dyDescent="0.25">
      <c r="B210" s="245" t="s">
        <v>175</v>
      </c>
      <c r="I210" s="245"/>
      <c r="J210" s="246"/>
      <c r="M210" s="245"/>
      <c r="N210" s="246"/>
      <c r="Q210" s="245"/>
      <c r="R210" s="246"/>
      <c r="U210" s="245"/>
      <c r="V210" s="246"/>
      <c r="Y210" s="245"/>
      <c r="Z210" s="246"/>
      <c r="AC210" s="245"/>
      <c r="AD210" s="246"/>
      <c r="AF210" s="181"/>
      <c r="AG210" s="237"/>
      <c r="AH210" s="237"/>
      <c r="AI210" s="237"/>
      <c r="AJ210" s="237"/>
      <c r="AK210" s="210"/>
      <c r="AL210" s="210"/>
      <c r="AN210" s="181"/>
      <c r="AO210" s="229"/>
      <c r="AP210" s="229"/>
      <c r="AQ210" s="210"/>
    </row>
    <row r="211" spans="2:47" x14ac:dyDescent="0.25">
      <c r="B211" s="245" t="s">
        <v>176</v>
      </c>
      <c r="I211" s="245"/>
      <c r="J211" s="246"/>
      <c r="M211" s="245"/>
      <c r="N211" s="246"/>
      <c r="Q211" s="245"/>
      <c r="R211" s="246"/>
      <c r="U211" s="245"/>
      <c r="V211" s="246"/>
      <c r="Y211" s="245"/>
      <c r="Z211" s="246"/>
      <c r="AC211" s="245"/>
      <c r="AD211" s="246"/>
      <c r="AF211" s="181"/>
      <c r="AG211" s="237"/>
      <c r="AH211" s="237"/>
      <c r="AI211" s="237"/>
      <c r="AJ211" s="237"/>
      <c r="AK211" s="210"/>
      <c r="AL211" s="210"/>
      <c r="AN211" s="181"/>
      <c r="AO211" s="229"/>
      <c r="AP211" s="229"/>
      <c r="AQ211" s="210"/>
      <c r="AS211" s="50"/>
      <c r="AU211" s="238"/>
    </row>
    <row r="212" spans="2:47" x14ac:dyDescent="0.25">
      <c r="B212" s="245" t="s">
        <v>177</v>
      </c>
      <c r="I212" s="245"/>
      <c r="J212" s="246"/>
      <c r="M212" s="245"/>
      <c r="N212" s="246"/>
      <c r="Q212" s="245"/>
      <c r="R212" s="246"/>
      <c r="U212" s="245"/>
      <c r="V212" s="246"/>
      <c r="Y212" s="245"/>
      <c r="Z212" s="246"/>
      <c r="AC212" s="245"/>
      <c r="AD212" s="246"/>
      <c r="AF212" s="181"/>
      <c r="AG212" s="237"/>
      <c r="AH212" s="237"/>
      <c r="AI212" s="237"/>
      <c r="AJ212" s="237"/>
      <c r="AK212" s="210"/>
      <c r="AL212" s="210"/>
      <c r="AN212" s="181"/>
      <c r="AO212" s="229"/>
      <c r="AP212" s="229"/>
      <c r="AQ212" s="210"/>
      <c r="AR212" s="50"/>
    </row>
    <row r="213" spans="2:47" x14ac:dyDescent="0.25">
      <c r="B213" s="245">
        <v>123456</v>
      </c>
      <c r="I213" s="245"/>
      <c r="J213" s="246"/>
      <c r="M213" s="245"/>
      <c r="N213" s="246"/>
      <c r="Q213" s="245"/>
      <c r="R213" s="246"/>
      <c r="U213" s="245"/>
      <c r="V213" s="246"/>
      <c r="Y213" s="245"/>
      <c r="Z213" s="246"/>
      <c r="AC213" s="245"/>
      <c r="AD213" s="246"/>
      <c r="AF213" s="181"/>
      <c r="AG213" s="237"/>
      <c r="AH213" s="237"/>
      <c r="AI213" s="237"/>
      <c r="AJ213" s="237"/>
      <c r="AK213" s="210"/>
      <c r="AL213" s="210"/>
      <c r="AN213" s="181"/>
      <c r="AO213" s="229"/>
      <c r="AP213" s="229"/>
      <c r="AQ213" s="210"/>
    </row>
    <row r="214" spans="2:47" x14ac:dyDescent="0.25">
      <c r="I214" s="245"/>
      <c r="J214" s="246"/>
      <c r="M214" s="245"/>
      <c r="N214" s="246"/>
      <c r="Q214" s="245"/>
      <c r="R214" s="246"/>
      <c r="U214" s="245"/>
      <c r="V214" s="246"/>
      <c r="Y214" s="245"/>
      <c r="Z214" s="246"/>
      <c r="AC214" s="245"/>
      <c r="AD214" s="246"/>
      <c r="AF214" s="181"/>
      <c r="AG214" s="237"/>
      <c r="AH214" s="237"/>
      <c r="AI214" s="237"/>
      <c r="AJ214" s="237"/>
      <c r="AK214" s="210"/>
      <c r="AL214" s="210"/>
      <c r="AN214" s="181"/>
      <c r="AO214" s="229"/>
      <c r="AP214" s="239"/>
      <c r="AQ214" s="210"/>
    </row>
    <row r="215" spans="2:47" x14ac:dyDescent="0.25">
      <c r="I215" s="245"/>
      <c r="J215" s="246"/>
      <c r="M215" s="245"/>
      <c r="N215" s="246"/>
      <c r="Q215" s="245"/>
      <c r="R215" s="246"/>
      <c r="U215" s="245"/>
      <c r="V215" s="246"/>
      <c r="Y215" s="245"/>
      <c r="Z215" s="246"/>
      <c r="AC215" s="245"/>
      <c r="AD215" s="246"/>
      <c r="AF215" s="181"/>
      <c r="AG215" s="237"/>
      <c r="AH215" s="237"/>
      <c r="AI215" s="237"/>
      <c r="AJ215" s="237"/>
      <c r="AK215" s="210"/>
      <c r="AL215" s="210"/>
      <c r="AN215" s="181"/>
      <c r="AO215" s="229"/>
      <c r="AP215" s="210"/>
      <c r="AQ215" s="210"/>
    </row>
    <row r="216" spans="2:47" x14ac:dyDescent="0.25">
      <c r="AF216" s="210"/>
      <c r="AG216" s="239"/>
      <c r="AH216" s="239"/>
      <c r="AI216" s="239"/>
      <c r="AJ216" s="239"/>
      <c r="AK216" s="210"/>
      <c r="AL216" s="210"/>
      <c r="AN216" s="210"/>
      <c r="AO216" s="239"/>
      <c r="AP216" s="246"/>
      <c r="AQ216" s="210"/>
    </row>
    <row r="217" spans="2:47" x14ac:dyDescent="0.25">
      <c r="AH217" s="210"/>
      <c r="AN217" s="210"/>
    </row>
    <row r="218" spans="2:47" x14ac:dyDescent="0.25">
      <c r="AH218" s="210"/>
    </row>
    <row r="219" spans="2:47" x14ac:dyDescent="0.25">
      <c r="AH219" s="210"/>
    </row>
    <row r="220" spans="2:47" x14ac:dyDescent="0.25">
      <c r="AM220" s="210"/>
    </row>
    <row r="221" spans="2:47" x14ac:dyDescent="0.25">
      <c r="AK221" s="240">
        <v>45283</v>
      </c>
      <c r="AM221" s="210"/>
    </row>
    <row r="222" spans="2:47" x14ac:dyDescent="0.25">
      <c r="AK222" s="133"/>
      <c r="AL222" s="133" t="s">
        <v>178</v>
      </c>
      <c r="AM222" s="112" t="s">
        <v>179</v>
      </c>
      <c r="AN222" s="133" t="s">
        <v>180</v>
      </c>
    </row>
    <row r="223" spans="2:47" x14ac:dyDescent="0.25">
      <c r="AK223" s="133" t="s">
        <v>181</v>
      </c>
      <c r="AL223" s="133">
        <v>225</v>
      </c>
      <c r="AM223" s="112">
        <v>5</v>
      </c>
      <c r="AN223" s="133">
        <f>AL223*AM223</f>
        <v>1125</v>
      </c>
      <c r="AQ223" s="245">
        <f>200*12</f>
        <v>2400</v>
      </c>
    </row>
    <row r="224" spans="2:47" x14ac:dyDescent="0.25">
      <c r="AK224" s="133" t="s">
        <v>182</v>
      </c>
      <c r="AL224" s="133">
        <v>200</v>
      </c>
      <c r="AM224" s="112">
        <v>5</v>
      </c>
      <c r="AN224" s="133">
        <f>AL224*AM224</f>
        <v>1000</v>
      </c>
      <c r="AQ224" s="245">
        <f>2400*4</f>
        <v>9600</v>
      </c>
    </row>
    <row r="225" spans="37:43" x14ac:dyDescent="0.25">
      <c r="AK225" s="133" t="s">
        <v>183</v>
      </c>
      <c r="AL225" s="133">
        <v>150</v>
      </c>
      <c r="AM225" s="112">
        <v>7</v>
      </c>
      <c r="AN225" s="133">
        <f>AL225*AM225</f>
        <v>1050</v>
      </c>
      <c r="AQ225" s="245">
        <f>600*12</f>
        <v>7200</v>
      </c>
    </row>
    <row r="226" spans="37:43" x14ac:dyDescent="0.25">
      <c r="AK226" s="133" t="s">
        <v>184</v>
      </c>
      <c r="AL226" s="133">
        <v>185</v>
      </c>
      <c r="AM226" s="112">
        <v>5</v>
      </c>
      <c r="AN226" s="133">
        <f>AL226*AM226</f>
        <v>925</v>
      </c>
    </row>
    <row r="227" spans="37:43" x14ac:dyDescent="0.25">
      <c r="AM227" s="210"/>
      <c r="AN227" s="241">
        <f>SUM(AN223:AN226)</f>
        <v>4100</v>
      </c>
    </row>
    <row r="228" spans="37:43" x14ac:dyDescent="0.25">
      <c r="AM228" s="210"/>
    </row>
    <row r="229" spans="37:43" x14ac:dyDescent="0.25">
      <c r="AK229" s="210" t="s">
        <v>185</v>
      </c>
      <c r="AM229" s="210"/>
      <c r="AN229" s="241">
        <v>16000</v>
      </c>
    </row>
    <row r="230" spans="37:43" x14ac:dyDescent="0.25">
      <c r="AM230" s="210"/>
    </row>
    <row r="231" spans="37:43" x14ac:dyDescent="0.25">
      <c r="AM231" s="210"/>
    </row>
    <row r="232" spans="37:43" x14ac:dyDescent="0.25">
      <c r="AM232" s="210"/>
    </row>
    <row r="233" spans="37:43" x14ac:dyDescent="0.25">
      <c r="AM233" s="210"/>
    </row>
    <row r="234" spans="37:43" x14ac:dyDescent="0.25">
      <c r="AM234" s="210"/>
    </row>
    <row r="235" spans="37:43" x14ac:dyDescent="0.25">
      <c r="AM235" s="210"/>
    </row>
    <row r="236" spans="37:43" x14ac:dyDescent="0.25">
      <c r="AM236" s="210"/>
    </row>
    <row r="237" spans="37:43" x14ac:dyDescent="0.25">
      <c r="AM237" s="210"/>
    </row>
    <row r="238" spans="37:43" x14ac:dyDescent="0.25">
      <c r="AM238" s="210"/>
    </row>
    <row r="239" spans="37:43" x14ac:dyDescent="0.25">
      <c r="AM239" s="210"/>
    </row>
    <row r="240" spans="37:43" x14ac:dyDescent="0.25">
      <c r="AM240" s="210"/>
    </row>
    <row r="241" spans="39:39" x14ac:dyDescent="0.25">
      <c r="AM241" s="210"/>
    </row>
    <row r="242" spans="39:39" x14ac:dyDescent="0.25">
      <c r="AM242" s="210"/>
    </row>
    <row r="243" spans="39:39" x14ac:dyDescent="0.25">
      <c r="AM243" s="210"/>
    </row>
    <row r="244" spans="39:39" x14ac:dyDescent="0.25">
      <c r="AM244" s="210"/>
    </row>
    <row r="245" spans="39:39" x14ac:dyDescent="0.25">
      <c r="AM245" s="210"/>
    </row>
    <row r="246" spans="39:39" x14ac:dyDescent="0.25">
      <c r="AM246" s="210"/>
    </row>
    <row r="247" spans="39:39" x14ac:dyDescent="0.25">
      <c r="AM247" s="210"/>
    </row>
    <row r="248" spans="39:39" x14ac:dyDescent="0.25">
      <c r="AM248" s="210"/>
    </row>
    <row r="249" spans="39:39" x14ac:dyDescent="0.25">
      <c r="AM249" s="210"/>
    </row>
    <row r="250" spans="39:39" x14ac:dyDescent="0.25">
      <c r="AM250" s="210"/>
    </row>
    <row r="251" spans="39:39" x14ac:dyDescent="0.25">
      <c r="AM251" s="210"/>
    </row>
    <row r="252" spans="39:39" x14ac:dyDescent="0.25">
      <c r="AM252" s="210"/>
    </row>
    <row r="253" spans="39:39" x14ac:dyDescent="0.25">
      <c r="AM253" s="210"/>
    </row>
    <row r="254" spans="39:39" x14ac:dyDescent="0.25">
      <c r="AM254" s="210"/>
    </row>
    <row r="255" spans="39:39" x14ac:dyDescent="0.25">
      <c r="AM255" s="210"/>
    </row>
    <row r="256" spans="39:39" x14ac:dyDescent="0.25">
      <c r="AM256" s="210"/>
    </row>
    <row r="257" spans="39:39" x14ac:dyDescent="0.25">
      <c r="AM257" s="210"/>
    </row>
    <row r="258" spans="39:39" x14ac:dyDescent="0.25">
      <c r="AM258" s="210"/>
    </row>
    <row r="259" spans="39:39" x14ac:dyDescent="0.25">
      <c r="AM259" s="210"/>
    </row>
    <row r="260" spans="39:39" x14ac:dyDescent="0.25">
      <c r="AM260" s="210"/>
    </row>
    <row r="261" spans="39:39" x14ac:dyDescent="0.25">
      <c r="AM261" s="210"/>
    </row>
    <row r="262" spans="39:39" x14ac:dyDescent="0.25">
      <c r="AM262" s="210"/>
    </row>
    <row r="263" spans="39:39" x14ac:dyDescent="0.25">
      <c r="AM263" s="210"/>
    </row>
    <row r="264" spans="39:39" x14ac:dyDescent="0.25">
      <c r="AM264" s="210"/>
    </row>
    <row r="265" spans="39:39" x14ac:dyDescent="0.25">
      <c r="AM265" s="210"/>
    </row>
    <row r="266" spans="39:39" x14ac:dyDescent="0.25">
      <c r="AM266" s="210"/>
    </row>
    <row r="267" spans="39:39" x14ac:dyDescent="0.25">
      <c r="AM267" s="210"/>
    </row>
    <row r="268" spans="39:39" x14ac:dyDescent="0.25">
      <c r="AM268" s="210"/>
    </row>
    <row r="269" spans="39:39" x14ac:dyDescent="0.25">
      <c r="AM269" s="210"/>
    </row>
    <row r="270" spans="39:39" x14ac:dyDescent="0.25">
      <c r="AM270" s="210"/>
    </row>
    <row r="271" spans="39:39" x14ac:dyDescent="0.25">
      <c r="AM271" s="210"/>
    </row>
    <row r="272" spans="39:39" x14ac:dyDescent="0.25">
      <c r="AM272" s="210"/>
    </row>
    <row r="273" spans="39:39" x14ac:dyDescent="0.25">
      <c r="AM273" s="210"/>
    </row>
    <row r="274" spans="39:39" x14ac:dyDescent="0.25">
      <c r="AM274" s="210"/>
    </row>
    <row r="275" spans="39:39" x14ac:dyDescent="0.25">
      <c r="AM275" s="210"/>
    </row>
    <row r="276" spans="39:39" x14ac:dyDescent="0.25">
      <c r="AM276" s="210"/>
    </row>
    <row r="277" spans="39:39" x14ac:dyDescent="0.25">
      <c r="AM277" s="210"/>
    </row>
    <row r="278" spans="39:39" x14ac:dyDescent="0.25">
      <c r="AM278" s="210"/>
    </row>
    <row r="279" spans="39:39" x14ac:dyDescent="0.25">
      <c r="AM279" s="210"/>
    </row>
    <row r="280" spans="39:39" x14ac:dyDescent="0.25">
      <c r="AM280" s="210"/>
    </row>
    <row r="281" spans="39:39" x14ac:dyDescent="0.25">
      <c r="AM281" s="210"/>
    </row>
    <row r="282" spans="39:39" x14ac:dyDescent="0.25">
      <c r="AM282" s="210"/>
    </row>
    <row r="283" spans="39:39" x14ac:dyDescent="0.25">
      <c r="AM283" s="210"/>
    </row>
    <row r="284" spans="39:39" x14ac:dyDescent="0.25">
      <c r="AM284" s="210"/>
    </row>
    <row r="285" spans="39:39" x14ac:dyDescent="0.25">
      <c r="AM285" s="210"/>
    </row>
    <row r="286" spans="39:39" x14ac:dyDescent="0.25">
      <c r="AM286" s="210"/>
    </row>
    <row r="287" spans="39:39" x14ac:dyDescent="0.25">
      <c r="AM287" s="210"/>
    </row>
    <row r="288" spans="39:39" x14ac:dyDescent="0.25">
      <c r="AM288" s="210"/>
    </row>
    <row r="289" spans="39:39" x14ac:dyDescent="0.25">
      <c r="AM289" s="210"/>
    </row>
    <row r="290" spans="39:39" x14ac:dyDescent="0.25">
      <c r="AM290" s="210"/>
    </row>
    <row r="291" spans="39:39" x14ac:dyDescent="0.25">
      <c r="AM291" s="210"/>
    </row>
    <row r="292" spans="39:39" x14ac:dyDescent="0.25">
      <c r="AM292" s="210"/>
    </row>
    <row r="293" spans="39:39" x14ac:dyDescent="0.25">
      <c r="AM293" s="210"/>
    </row>
    <row r="294" spans="39:39" x14ac:dyDescent="0.25">
      <c r="AM294" s="210"/>
    </row>
    <row r="295" spans="39:39" x14ac:dyDescent="0.25">
      <c r="AM295" s="210"/>
    </row>
    <row r="296" spans="39:39" x14ac:dyDescent="0.25">
      <c r="AM296" s="210"/>
    </row>
    <row r="297" spans="39:39" x14ac:dyDescent="0.25">
      <c r="AM297" s="210"/>
    </row>
    <row r="298" spans="39:39" x14ac:dyDescent="0.25">
      <c r="AM298" s="210"/>
    </row>
    <row r="299" spans="39:39" x14ac:dyDescent="0.25">
      <c r="AM299" s="210"/>
    </row>
    <row r="300" spans="39:39" x14ac:dyDescent="0.25">
      <c r="AM300" s="210"/>
    </row>
    <row r="301" spans="39:39" x14ac:dyDescent="0.25">
      <c r="AM301" s="210"/>
    </row>
    <row r="302" spans="39:39" x14ac:dyDescent="0.25">
      <c r="AM302" s="210"/>
    </row>
    <row r="303" spans="39:39" x14ac:dyDescent="0.25">
      <c r="AM303" s="210"/>
    </row>
    <row r="304" spans="39:39" x14ac:dyDescent="0.25">
      <c r="AM304" s="210"/>
    </row>
    <row r="305" spans="39:39" x14ac:dyDescent="0.25">
      <c r="AM305" s="210"/>
    </row>
    <row r="306" spans="39:39" x14ac:dyDescent="0.25">
      <c r="AM306" s="210"/>
    </row>
    <row r="307" spans="39:39" x14ac:dyDescent="0.25">
      <c r="AM307" s="210"/>
    </row>
    <row r="308" spans="39:39" x14ac:dyDescent="0.25">
      <c r="AM308" s="210"/>
    </row>
    <row r="309" spans="39:39" x14ac:dyDescent="0.25">
      <c r="AM309" s="210"/>
    </row>
    <row r="310" spans="39:39" x14ac:dyDescent="0.25">
      <c r="AM310" s="210"/>
    </row>
    <row r="311" spans="39:39" x14ac:dyDescent="0.25">
      <c r="AM311" s="210"/>
    </row>
    <row r="312" spans="39:39" x14ac:dyDescent="0.25">
      <c r="AM312" s="210"/>
    </row>
    <row r="313" spans="39:39" x14ac:dyDescent="0.25">
      <c r="AM313" s="210"/>
    </row>
    <row r="314" spans="39:39" x14ac:dyDescent="0.25">
      <c r="AM314" s="210"/>
    </row>
    <row r="315" spans="39:39" x14ac:dyDescent="0.25">
      <c r="AM315" s="210"/>
    </row>
    <row r="316" spans="39:39" x14ac:dyDescent="0.25">
      <c r="AM316" s="210"/>
    </row>
    <row r="317" spans="39:39" x14ac:dyDescent="0.25">
      <c r="AM317" s="210"/>
    </row>
    <row r="318" spans="39:39" x14ac:dyDescent="0.25">
      <c r="AM318" s="210"/>
    </row>
    <row r="319" spans="39:39" x14ac:dyDescent="0.25">
      <c r="AM319" s="210"/>
    </row>
    <row r="320" spans="39:39" x14ac:dyDescent="0.25">
      <c r="AM320" s="210"/>
    </row>
    <row r="321" spans="39:39" x14ac:dyDescent="0.25">
      <c r="AM321" s="210"/>
    </row>
    <row r="322" spans="39:39" x14ac:dyDescent="0.25">
      <c r="AM322" s="210"/>
    </row>
    <row r="323" spans="39:39" x14ac:dyDescent="0.25">
      <c r="AM323" s="210"/>
    </row>
    <row r="324" spans="39:39" x14ac:dyDescent="0.25">
      <c r="AM324" s="210"/>
    </row>
    <row r="325" spans="39:39" x14ac:dyDescent="0.25">
      <c r="AM325" s="210"/>
    </row>
    <row r="326" spans="39:39" x14ac:dyDescent="0.25">
      <c r="AM326" s="210"/>
    </row>
    <row r="327" spans="39:39" x14ac:dyDescent="0.25">
      <c r="AM327" s="210"/>
    </row>
    <row r="328" spans="39:39" x14ac:dyDescent="0.25">
      <c r="AM328" s="210"/>
    </row>
    <row r="329" spans="39:39" x14ac:dyDescent="0.25">
      <c r="AM329" s="210"/>
    </row>
    <row r="330" spans="39:39" x14ac:dyDescent="0.25">
      <c r="AM330" s="210"/>
    </row>
    <row r="331" spans="39:39" x14ac:dyDescent="0.25">
      <c r="AM331" s="210"/>
    </row>
    <row r="332" spans="39:39" x14ac:dyDescent="0.25">
      <c r="AM332" s="210"/>
    </row>
    <row r="333" spans="39:39" x14ac:dyDescent="0.25">
      <c r="AM333" s="210"/>
    </row>
    <row r="334" spans="39:39" x14ac:dyDescent="0.25">
      <c r="AM334" s="210"/>
    </row>
    <row r="335" spans="39:39" x14ac:dyDescent="0.25">
      <c r="AM335" s="210"/>
    </row>
    <row r="819065" spans="1:1" x14ac:dyDescent="0.25">
      <c r="A819065" s="242"/>
    </row>
    <row r="819066" spans="1:1" x14ac:dyDescent="0.25">
      <c r="A819066" s="242"/>
    </row>
    <row r="819067" spans="1:1" x14ac:dyDescent="0.25">
      <c r="A819067" s="242"/>
    </row>
    <row r="819068" spans="1:1" x14ac:dyDescent="0.25">
      <c r="A819068" s="242"/>
    </row>
    <row r="819069" spans="1:1" x14ac:dyDescent="0.25">
      <c r="A819069" s="242"/>
    </row>
    <row r="819070" spans="1:1" x14ac:dyDescent="0.25">
      <c r="A819070" s="242"/>
    </row>
    <row r="819071" spans="1:1" x14ac:dyDescent="0.25">
      <c r="A819071" s="242"/>
    </row>
    <row r="819072" spans="1:1" x14ac:dyDescent="0.25">
      <c r="A819072" s="242"/>
    </row>
    <row r="819073" spans="1:1" x14ac:dyDescent="0.25">
      <c r="A819073" s="242"/>
    </row>
    <row r="819074" spans="1:1" x14ac:dyDescent="0.25">
      <c r="A819074" s="242"/>
    </row>
    <row r="819075" spans="1:1" x14ac:dyDescent="0.25">
      <c r="A819075" s="242"/>
    </row>
    <row r="819076" spans="1:1" x14ac:dyDescent="0.25">
      <c r="A819076" s="242"/>
    </row>
    <row r="819077" spans="1:1" x14ac:dyDescent="0.25">
      <c r="A819077" s="242"/>
    </row>
    <row r="819078" spans="1:1" x14ac:dyDescent="0.25">
      <c r="A819078" s="242"/>
    </row>
    <row r="819079" spans="1:1" x14ac:dyDescent="0.25">
      <c r="A819079" s="242"/>
    </row>
    <row r="819080" spans="1:1" x14ac:dyDescent="0.25">
      <c r="A819080" s="242"/>
    </row>
    <row r="819081" spans="1:1" x14ac:dyDescent="0.25">
      <c r="A819081" s="242"/>
    </row>
    <row r="819082" spans="1:1" x14ac:dyDescent="0.25">
      <c r="A819082" s="242"/>
    </row>
    <row r="819083" spans="1:1" x14ac:dyDescent="0.25">
      <c r="A819083" s="242"/>
    </row>
    <row r="819084" spans="1:1" x14ac:dyDescent="0.25">
      <c r="A819084" s="242"/>
    </row>
    <row r="819085" spans="1:1" x14ac:dyDescent="0.25">
      <c r="A819085" s="242"/>
    </row>
    <row r="819086" spans="1:1" x14ac:dyDescent="0.25">
      <c r="A819086" s="242"/>
    </row>
    <row r="819087" spans="1:1" x14ac:dyDescent="0.25">
      <c r="A819087" s="242"/>
    </row>
    <row r="819088" spans="1:1" x14ac:dyDescent="0.25">
      <c r="A819088" s="242"/>
    </row>
    <row r="819089" spans="1:1" x14ac:dyDescent="0.25">
      <c r="A819089" s="242"/>
    </row>
    <row r="819090" spans="1:1" x14ac:dyDescent="0.25">
      <c r="A819090" s="242"/>
    </row>
    <row r="819091" spans="1:1" x14ac:dyDescent="0.25">
      <c r="A819091" s="242"/>
    </row>
    <row r="819092" spans="1:1" x14ac:dyDescent="0.25">
      <c r="A819092" s="242"/>
    </row>
    <row r="819093" spans="1:1" x14ac:dyDescent="0.25">
      <c r="A819093" s="242"/>
    </row>
    <row r="819094" spans="1:1" x14ac:dyDescent="0.25">
      <c r="A819094" s="242"/>
    </row>
    <row r="819095" spans="1:1" x14ac:dyDescent="0.25">
      <c r="A819095" s="242"/>
    </row>
    <row r="819096" spans="1:1" x14ac:dyDescent="0.25">
      <c r="A819096" s="242"/>
    </row>
    <row r="819097" spans="1:1" x14ac:dyDescent="0.25">
      <c r="A819097" s="242"/>
    </row>
    <row r="819098" spans="1:1" x14ac:dyDescent="0.25">
      <c r="A819098" s="242"/>
    </row>
    <row r="819099" spans="1:1" x14ac:dyDescent="0.25">
      <c r="A819099" s="242"/>
    </row>
    <row r="819100" spans="1:1" x14ac:dyDescent="0.25">
      <c r="A819100" s="242"/>
    </row>
    <row r="819101" spans="1:1" x14ac:dyDescent="0.25">
      <c r="A819101" s="242"/>
    </row>
    <row r="819102" spans="1:1" x14ac:dyDescent="0.25">
      <c r="A819102" s="242"/>
    </row>
    <row r="819103" spans="1:1" x14ac:dyDescent="0.25">
      <c r="A819103" s="242"/>
    </row>
    <row r="819104" spans="1:1" x14ac:dyDescent="0.25">
      <c r="A819104" s="242"/>
    </row>
    <row r="819105" spans="1:1" x14ac:dyDescent="0.25">
      <c r="A819105" s="242"/>
    </row>
    <row r="819106" spans="1:1" x14ac:dyDescent="0.25">
      <c r="A819106" s="242"/>
    </row>
    <row r="819107" spans="1:1" x14ac:dyDescent="0.25">
      <c r="A819107" s="242"/>
    </row>
    <row r="819108" spans="1:1" x14ac:dyDescent="0.25">
      <c r="A819108" s="242"/>
    </row>
    <row r="819109" spans="1:1" x14ac:dyDescent="0.25">
      <c r="A819109" s="242"/>
    </row>
    <row r="819110" spans="1:1" x14ac:dyDescent="0.25">
      <c r="A819110" s="242"/>
    </row>
    <row r="819111" spans="1:1" x14ac:dyDescent="0.25">
      <c r="A819111" s="242"/>
    </row>
    <row r="819112" spans="1:1" x14ac:dyDescent="0.25">
      <c r="A819112" s="242"/>
    </row>
    <row r="819113" spans="1:1" x14ac:dyDescent="0.25">
      <c r="A819113" s="242"/>
    </row>
    <row r="819114" spans="1:1" x14ac:dyDescent="0.25">
      <c r="A819114" s="242"/>
    </row>
    <row r="819115" spans="1:1" x14ac:dyDescent="0.25">
      <c r="A819115" s="242"/>
    </row>
    <row r="819116" spans="1:1" x14ac:dyDescent="0.25">
      <c r="A819116" s="242"/>
    </row>
    <row r="819117" spans="1:1" x14ac:dyDescent="0.25">
      <c r="A819117" s="242"/>
    </row>
    <row r="819118" spans="1:1" x14ac:dyDescent="0.25">
      <c r="A819118" s="242"/>
    </row>
    <row r="819119" spans="1:1" x14ac:dyDescent="0.25">
      <c r="A819119" s="242"/>
    </row>
    <row r="819120" spans="1:1" x14ac:dyDescent="0.25">
      <c r="A819120" s="242"/>
    </row>
    <row r="819121" spans="1:1" x14ac:dyDescent="0.25">
      <c r="A819121" s="242"/>
    </row>
    <row r="819122" spans="1:1" x14ac:dyDescent="0.25">
      <c r="A819122" s="242"/>
    </row>
    <row r="819123" spans="1:1" x14ac:dyDescent="0.25">
      <c r="A819123" s="242"/>
    </row>
    <row r="819124" spans="1:1" x14ac:dyDescent="0.25">
      <c r="A819124" s="242"/>
    </row>
    <row r="819125" spans="1:1" x14ac:dyDescent="0.25">
      <c r="A819125" s="242"/>
    </row>
    <row r="819126" spans="1:1" x14ac:dyDescent="0.25">
      <c r="A819126" s="242"/>
    </row>
    <row r="819127" spans="1:1" x14ac:dyDescent="0.25">
      <c r="A819127" s="242"/>
    </row>
    <row r="819128" spans="1:1" x14ac:dyDescent="0.25">
      <c r="A819128" s="242"/>
    </row>
    <row r="819129" spans="1:1" x14ac:dyDescent="0.25">
      <c r="A819129" s="242"/>
    </row>
    <row r="819130" spans="1:1" x14ac:dyDescent="0.25">
      <c r="A819130" s="242"/>
    </row>
    <row r="819131" spans="1:1" x14ac:dyDescent="0.25">
      <c r="A819131" s="242"/>
    </row>
    <row r="819132" spans="1:1" x14ac:dyDescent="0.25">
      <c r="A819132" s="242"/>
    </row>
    <row r="819133" spans="1:1" x14ac:dyDescent="0.25">
      <c r="A819133" s="242"/>
    </row>
    <row r="819134" spans="1:1" x14ac:dyDescent="0.25">
      <c r="A819134" s="242"/>
    </row>
    <row r="819135" spans="1:1" x14ac:dyDescent="0.25">
      <c r="A819135" s="242"/>
    </row>
    <row r="819136" spans="1:1" x14ac:dyDescent="0.25">
      <c r="A819136" s="242"/>
    </row>
    <row r="819137" spans="1:1" x14ac:dyDescent="0.25">
      <c r="A819137" s="242"/>
    </row>
    <row r="819138" spans="1:1" x14ac:dyDescent="0.25">
      <c r="A819138" s="242"/>
    </row>
    <row r="819139" spans="1:1" x14ac:dyDescent="0.25">
      <c r="A819139" s="242"/>
    </row>
    <row r="819140" spans="1:1" x14ac:dyDescent="0.25">
      <c r="A819140" s="242"/>
    </row>
    <row r="819141" spans="1:1" x14ac:dyDescent="0.25">
      <c r="A819141" s="242"/>
    </row>
    <row r="819142" spans="1:1" x14ac:dyDescent="0.25">
      <c r="A819142" s="242"/>
    </row>
    <row r="819143" spans="1:1" x14ac:dyDescent="0.25">
      <c r="A819143" s="242"/>
    </row>
    <row r="819144" spans="1:1" x14ac:dyDescent="0.25">
      <c r="A819144" s="242"/>
    </row>
    <row r="819145" spans="1:1" x14ac:dyDescent="0.25">
      <c r="A819145" s="242"/>
    </row>
    <row r="819146" spans="1:1" x14ac:dyDescent="0.25">
      <c r="A819146" s="242"/>
    </row>
    <row r="819147" spans="1:1" x14ac:dyDescent="0.25">
      <c r="A819147" s="242"/>
    </row>
    <row r="819148" spans="1:1" x14ac:dyDescent="0.25">
      <c r="A819148" s="242"/>
    </row>
    <row r="819149" spans="1:1" x14ac:dyDescent="0.25">
      <c r="A819149" s="242"/>
    </row>
    <row r="819150" spans="1:1" x14ac:dyDescent="0.25">
      <c r="A819150" s="242"/>
    </row>
    <row r="819151" spans="1:1" x14ac:dyDescent="0.25">
      <c r="A819151" s="242"/>
    </row>
    <row r="819152" spans="1:1" x14ac:dyDescent="0.25">
      <c r="A819152" s="242"/>
    </row>
    <row r="819153" spans="1:1" x14ac:dyDescent="0.25">
      <c r="A819153" s="242"/>
    </row>
    <row r="819154" spans="1:1" x14ac:dyDescent="0.25">
      <c r="A819154" s="242"/>
    </row>
    <row r="819155" spans="1:1" x14ac:dyDescent="0.25">
      <c r="A819155" s="242"/>
    </row>
    <row r="819156" spans="1:1" x14ac:dyDescent="0.25">
      <c r="A819156" s="242"/>
    </row>
    <row r="819157" spans="1:1" x14ac:dyDescent="0.25">
      <c r="A819157" s="242"/>
    </row>
    <row r="819158" spans="1:1" x14ac:dyDescent="0.25">
      <c r="A819158" s="242"/>
    </row>
    <row r="819159" spans="1:1" x14ac:dyDescent="0.25">
      <c r="A819159" s="242"/>
    </row>
    <row r="819160" spans="1:1" x14ac:dyDescent="0.25">
      <c r="A819160" s="242"/>
    </row>
    <row r="819161" spans="1:1" x14ac:dyDescent="0.25">
      <c r="A819161" s="242"/>
    </row>
    <row r="819162" spans="1:1" x14ac:dyDescent="0.25">
      <c r="A819162" s="242"/>
    </row>
    <row r="819163" spans="1:1" x14ac:dyDescent="0.25">
      <c r="A819163" s="242"/>
    </row>
    <row r="819164" spans="1:1" x14ac:dyDescent="0.25">
      <c r="A819164" s="242"/>
    </row>
    <row r="819165" spans="1:1" x14ac:dyDescent="0.25">
      <c r="A819165" s="242"/>
    </row>
    <row r="819166" spans="1:1" x14ac:dyDescent="0.25">
      <c r="A819166" s="242"/>
    </row>
    <row r="819167" spans="1:1" x14ac:dyDescent="0.25">
      <c r="A819167" s="242"/>
    </row>
    <row r="819168" spans="1:1" x14ac:dyDescent="0.25">
      <c r="A819168" s="242"/>
    </row>
    <row r="819169" spans="1:1" x14ac:dyDescent="0.25">
      <c r="A819169" s="242"/>
    </row>
    <row r="819170" spans="1:1" x14ac:dyDescent="0.25">
      <c r="A819170" s="242"/>
    </row>
    <row r="819171" spans="1:1" x14ac:dyDescent="0.25">
      <c r="A819171" s="242"/>
    </row>
    <row r="819172" spans="1:1" x14ac:dyDescent="0.25">
      <c r="A819172" s="242"/>
    </row>
    <row r="819173" spans="1:1" x14ac:dyDescent="0.25">
      <c r="A819173" s="242"/>
    </row>
    <row r="819174" spans="1:1" x14ac:dyDescent="0.25">
      <c r="A819174" s="242"/>
    </row>
    <row r="819175" spans="1:1" x14ac:dyDescent="0.25">
      <c r="A819175" s="242"/>
    </row>
    <row r="819176" spans="1:1" x14ac:dyDescent="0.25">
      <c r="A819176" s="242"/>
    </row>
    <row r="819177" spans="1:1" x14ac:dyDescent="0.25">
      <c r="A819177" s="242"/>
    </row>
    <row r="819178" spans="1:1" x14ac:dyDescent="0.25">
      <c r="A819178" s="242"/>
    </row>
    <row r="819179" spans="1:1" x14ac:dyDescent="0.25">
      <c r="A819179" s="242"/>
    </row>
    <row r="819180" spans="1:1" x14ac:dyDescent="0.25">
      <c r="A819180" s="242"/>
    </row>
    <row r="819181" spans="1:1" x14ac:dyDescent="0.25">
      <c r="A819181" s="242"/>
    </row>
    <row r="819182" spans="1:1" x14ac:dyDescent="0.25">
      <c r="A819182" s="242"/>
    </row>
    <row r="819183" spans="1:1" x14ac:dyDescent="0.25">
      <c r="A819183" s="242"/>
    </row>
    <row r="819184" spans="1:1" x14ac:dyDescent="0.25">
      <c r="A819184" s="242"/>
    </row>
    <row r="819185" spans="1:1" x14ac:dyDescent="0.25">
      <c r="A819185" s="242"/>
    </row>
    <row r="819186" spans="1:1" x14ac:dyDescent="0.25">
      <c r="A819186" s="242"/>
    </row>
    <row r="819187" spans="1:1" x14ac:dyDescent="0.25">
      <c r="A819187" s="242"/>
    </row>
    <row r="819188" spans="1:1" x14ac:dyDescent="0.25">
      <c r="A819188" s="242"/>
    </row>
    <row r="819189" spans="1:1" x14ac:dyDescent="0.25">
      <c r="A819189" s="242"/>
    </row>
    <row r="819190" spans="1:1" x14ac:dyDescent="0.25">
      <c r="A819190" s="242"/>
    </row>
    <row r="819191" spans="1:1" x14ac:dyDescent="0.25">
      <c r="A819191" s="242"/>
    </row>
    <row r="819192" spans="1:1" x14ac:dyDescent="0.25">
      <c r="A819192" s="242"/>
    </row>
    <row r="819193" spans="1:1" x14ac:dyDescent="0.25">
      <c r="A819193" s="242"/>
    </row>
    <row r="819194" spans="1:1" x14ac:dyDescent="0.25">
      <c r="A819194" s="242"/>
    </row>
    <row r="819195" spans="1:1" x14ac:dyDescent="0.25">
      <c r="A819195" s="242"/>
    </row>
    <row r="819196" spans="1:1" x14ac:dyDescent="0.25">
      <c r="A819196" s="242"/>
    </row>
    <row r="819197" spans="1:1" x14ac:dyDescent="0.25">
      <c r="A819197" s="242"/>
    </row>
    <row r="819198" spans="1:1" x14ac:dyDescent="0.25">
      <c r="A819198" s="242"/>
    </row>
    <row r="819199" spans="1:1" x14ac:dyDescent="0.25">
      <c r="A819199" s="242"/>
    </row>
    <row r="819200" spans="1:1" x14ac:dyDescent="0.25">
      <c r="A819200" s="242"/>
    </row>
    <row r="819201" spans="1:1" x14ac:dyDescent="0.25">
      <c r="A819201" s="242"/>
    </row>
    <row r="819202" spans="1:1" x14ac:dyDescent="0.25">
      <c r="A819202" s="242"/>
    </row>
    <row r="819203" spans="1:1" x14ac:dyDescent="0.25">
      <c r="A819203" s="242"/>
    </row>
    <row r="819204" spans="1:1" x14ac:dyDescent="0.25">
      <c r="A819204" s="242"/>
    </row>
    <row r="819205" spans="1:1" x14ac:dyDescent="0.25">
      <c r="A819205" s="242"/>
    </row>
    <row r="819206" spans="1:1" x14ac:dyDescent="0.25">
      <c r="A819206" s="242"/>
    </row>
    <row r="819207" spans="1:1" x14ac:dyDescent="0.25">
      <c r="A819207" s="242"/>
    </row>
    <row r="819208" spans="1:1" x14ac:dyDescent="0.25">
      <c r="A819208" s="242"/>
    </row>
    <row r="819209" spans="1:1" x14ac:dyDescent="0.25">
      <c r="A819209" s="242"/>
    </row>
    <row r="819210" spans="1:1" x14ac:dyDescent="0.25">
      <c r="A819210" s="242"/>
    </row>
    <row r="819211" spans="1:1" x14ac:dyDescent="0.25">
      <c r="A819211" s="242"/>
    </row>
    <row r="819212" spans="1:1" x14ac:dyDescent="0.25">
      <c r="A819212" s="242"/>
    </row>
    <row r="819213" spans="1:1" x14ac:dyDescent="0.25">
      <c r="A819213" s="242"/>
    </row>
    <row r="819214" spans="1:1" x14ac:dyDescent="0.25">
      <c r="A819214" s="242"/>
    </row>
    <row r="819215" spans="1:1" x14ac:dyDescent="0.25">
      <c r="A819215" s="242"/>
    </row>
    <row r="819216" spans="1:1" x14ac:dyDescent="0.25">
      <c r="A819216" s="242"/>
    </row>
    <row r="819217" spans="1:1" x14ac:dyDescent="0.25">
      <c r="A819217" s="242"/>
    </row>
    <row r="819218" spans="1:1" x14ac:dyDescent="0.25">
      <c r="A819218" s="242"/>
    </row>
    <row r="819219" spans="1:1" x14ac:dyDescent="0.25">
      <c r="A819219" s="242"/>
    </row>
    <row r="819220" spans="1:1" x14ac:dyDescent="0.25">
      <c r="A819220" s="242"/>
    </row>
    <row r="819221" spans="1:1" x14ac:dyDescent="0.25">
      <c r="A819221" s="242"/>
    </row>
    <row r="819222" spans="1:1" x14ac:dyDescent="0.25">
      <c r="A819222" s="242"/>
    </row>
    <row r="819223" spans="1:1" x14ac:dyDescent="0.25">
      <c r="A819223" s="242"/>
    </row>
    <row r="819224" spans="1:1" x14ac:dyDescent="0.25">
      <c r="A819224" s="242"/>
    </row>
    <row r="819225" spans="1:1" x14ac:dyDescent="0.25">
      <c r="A819225" s="242"/>
    </row>
    <row r="819226" spans="1:1" x14ac:dyDescent="0.25">
      <c r="A819226" s="242"/>
    </row>
    <row r="819227" spans="1:1" x14ac:dyDescent="0.25">
      <c r="A819227" s="242"/>
    </row>
    <row r="819228" spans="1:1" x14ac:dyDescent="0.25">
      <c r="A819228" s="242"/>
    </row>
    <row r="819229" spans="1:1" x14ac:dyDescent="0.25">
      <c r="A819229" s="242"/>
    </row>
    <row r="819230" spans="1:1" x14ac:dyDescent="0.25">
      <c r="A819230" s="242"/>
    </row>
    <row r="819231" spans="1:1" x14ac:dyDescent="0.25">
      <c r="A819231" s="242"/>
    </row>
    <row r="819232" spans="1:1" x14ac:dyDescent="0.25">
      <c r="A819232" s="242"/>
    </row>
    <row r="819233" spans="1:1" x14ac:dyDescent="0.25">
      <c r="A819233" s="242"/>
    </row>
    <row r="819234" spans="1:1" x14ac:dyDescent="0.25">
      <c r="A819234" s="242"/>
    </row>
    <row r="819235" spans="1:1" x14ac:dyDescent="0.25">
      <c r="A819235" s="242"/>
    </row>
    <row r="819236" spans="1:1" x14ac:dyDescent="0.25">
      <c r="A819236" s="242"/>
    </row>
    <row r="819237" spans="1:1" x14ac:dyDescent="0.25">
      <c r="A819237" s="242"/>
    </row>
    <row r="819238" spans="1:1" x14ac:dyDescent="0.25">
      <c r="A819238" s="242"/>
    </row>
    <row r="819239" spans="1:1" x14ac:dyDescent="0.25">
      <c r="A819239" s="242"/>
    </row>
    <row r="819240" spans="1:1" x14ac:dyDescent="0.25">
      <c r="A819240" s="242"/>
    </row>
    <row r="819241" spans="1:1" x14ac:dyDescent="0.25">
      <c r="A819241" s="242"/>
    </row>
    <row r="819242" spans="1:1" x14ac:dyDescent="0.25">
      <c r="A819242" s="242"/>
    </row>
    <row r="819243" spans="1:1" x14ac:dyDescent="0.25">
      <c r="A819243" s="242"/>
    </row>
    <row r="819244" spans="1:1" x14ac:dyDescent="0.25">
      <c r="A819244" s="242"/>
    </row>
    <row r="819245" spans="1:1" x14ac:dyDescent="0.25">
      <c r="A819245" s="242"/>
    </row>
    <row r="819246" spans="1:1" x14ac:dyDescent="0.25">
      <c r="A819246" s="242"/>
    </row>
    <row r="819247" spans="1:1" x14ac:dyDescent="0.25">
      <c r="A819247" s="242"/>
    </row>
    <row r="819248" spans="1:1" x14ac:dyDescent="0.25">
      <c r="A819248" s="242"/>
    </row>
    <row r="819249" spans="1:1" x14ac:dyDescent="0.25">
      <c r="A819249" s="242"/>
    </row>
    <row r="819250" spans="1:1" x14ac:dyDescent="0.25">
      <c r="A819250" s="242"/>
    </row>
    <row r="819251" spans="1:1" x14ac:dyDescent="0.25">
      <c r="A819251" s="242"/>
    </row>
    <row r="819252" spans="1:1" x14ac:dyDescent="0.25">
      <c r="A819252" s="242"/>
    </row>
    <row r="819253" spans="1:1" x14ac:dyDescent="0.25">
      <c r="A819253" s="242"/>
    </row>
    <row r="819254" spans="1:1" x14ac:dyDescent="0.25">
      <c r="A819254" s="242"/>
    </row>
    <row r="819255" spans="1:1" x14ac:dyDescent="0.25">
      <c r="A819255" s="242"/>
    </row>
    <row r="819256" spans="1:1" x14ac:dyDescent="0.25">
      <c r="A819256" s="242"/>
    </row>
    <row r="819257" spans="1:1" x14ac:dyDescent="0.25">
      <c r="A819257" s="242"/>
    </row>
    <row r="819258" spans="1:1" x14ac:dyDescent="0.25">
      <c r="A819258" s="242"/>
    </row>
    <row r="819259" spans="1:1" x14ac:dyDescent="0.25">
      <c r="A819259" s="242"/>
    </row>
    <row r="819260" spans="1:1" x14ac:dyDescent="0.25">
      <c r="A819260" s="242"/>
    </row>
    <row r="819261" spans="1:1" x14ac:dyDescent="0.25">
      <c r="A819261" s="242"/>
    </row>
    <row r="819262" spans="1:1" x14ac:dyDescent="0.25">
      <c r="A819262" s="242"/>
    </row>
    <row r="819263" spans="1:1" x14ac:dyDescent="0.25">
      <c r="A819263" s="242"/>
    </row>
    <row r="819264" spans="1:1" x14ac:dyDescent="0.25">
      <c r="A819264" s="242"/>
    </row>
    <row r="819265" spans="1:1" x14ac:dyDescent="0.25">
      <c r="A819265" s="242"/>
    </row>
    <row r="819266" spans="1:1" x14ac:dyDescent="0.25">
      <c r="A819266" s="242"/>
    </row>
    <row r="819267" spans="1:1" x14ac:dyDescent="0.25">
      <c r="A819267" s="242"/>
    </row>
    <row r="819268" spans="1:1" x14ac:dyDescent="0.25">
      <c r="A819268" s="242"/>
    </row>
    <row r="819269" spans="1:1" x14ac:dyDescent="0.25">
      <c r="A819269" s="242"/>
    </row>
    <row r="819270" spans="1:1" x14ac:dyDescent="0.25">
      <c r="A819270" s="242"/>
    </row>
    <row r="819271" spans="1:1" x14ac:dyDescent="0.25">
      <c r="A819271" s="242"/>
    </row>
    <row r="819272" spans="1:1" x14ac:dyDescent="0.25">
      <c r="A819272" s="242"/>
    </row>
    <row r="819273" spans="1:1" x14ac:dyDescent="0.25">
      <c r="A819273" s="242"/>
    </row>
    <row r="819274" spans="1:1" x14ac:dyDescent="0.25">
      <c r="A819274" s="242"/>
    </row>
    <row r="819275" spans="1:1" x14ac:dyDescent="0.25">
      <c r="A819275" s="242"/>
    </row>
    <row r="819276" spans="1:1" x14ac:dyDescent="0.25">
      <c r="A819276" s="242"/>
    </row>
    <row r="819277" spans="1:1" x14ac:dyDescent="0.25">
      <c r="A819277" s="242"/>
    </row>
    <row r="819278" spans="1:1" x14ac:dyDescent="0.25">
      <c r="A819278" s="242"/>
    </row>
    <row r="819279" spans="1:1" x14ac:dyDescent="0.25">
      <c r="A819279" s="242"/>
    </row>
    <row r="819280" spans="1:1" x14ac:dyDescent="0.25">
      <c r="A819280" s="242"/>
    </row>
    <row r="819281" spans="1:1" x14ac:dyDescent="0.25">
      <c r="A819281" s="242"/>
    </row>
    <row r="819282" spans="1:1" x14ac:dyDescent="0.25">
      <c r="A819282" s="242"/>
    </row>
    <row r="819283" spans="1:1" x14ac:dyDescent="0.25">
      <c r="A819283" s="242"/>
    </row>
    <row r="819284" spans="1:1" x14ac:dyDescent="0.25">
      <c r="A819284" s="242"/>
    </row>
    <row r="819285" spans="1:1" x14ac:dyDescent="0.25">
      <c r="A819285" s="242"/>
    </row>
    <row r="819286" spans="1:1" x14ac:dyDescent="0.25">
      <c r="A819286" s="242"/>
    </row>
    <row r="819287" spans="1:1" x14ac:dyDescent="0.25">
      <c r="A819287" s="242"/>
    </row>
    <row r="819288" spans="1:1" x14ac:dyDescent="0.25">
      <c r="A819288" s="242"/>
    </row>
    <row r="819289" spans="1:1" x14ac:dyDescent="0.25">
      <c r="A819289" s="242"/>
    </row>
    <row r="819290" spans="1:1" x14ac:dyDescent="0.25">
      <c r="A819290" s="242"/>
    </row>
    <row r="819291" spans="1:1" x14ac:dyDescent="0.25">
      <c r="A819291" s="242"/>
    </row>
    <row r="819292" spans="1:1" x14ac:dyDescent="0.25">
      <c r="A819292" s="242"/>
    </row>
    <row r="819293" spans="1:1" x14ac:dyDescent="0.25">
      <c r="A819293" s="242"/>
    </row>
    <row r="819294" spans="1:1" x14ac:dyDescent="0.25">
      <c r="A819294" s="242"/>
    </row>
    <row r="819295" spans="1:1" x14ac:dyDescent="0.25">
      <c r="A819295" s="242"/>
    </row>
    <row r="819296" spans="1:1" x14ac:dyDescent="0.25">
      <c r="A819296" s="242"/>
    </row>
    <row r="819297" spans="1:1" x14ac:dyDescent="0.25">
      <c r="A819297" s="242"/>
    </row>
    <row r="819298" spans="1:1" x14ac:dyDescent="0.25">
      <c r="A819298" s="242"/>
    </row>
    <row r="819299" spans="1:1" x14ac:dyDescent="0.25">
      <c r="A819299" s="242"/>
    </row>
    <row r="819300" spans="1:1" x14ac:dyDescent="0.25">
      <c r="A819300" s="242"/>
    </row>
    <row r="819301" spans="1:1" x14ac:dyDescent="0.25">
      <c r="A819301" s="242"/>
    </row>
    <row r="819302" spans="1:1" x14ac:dyDescent="0.25">
      <c r="A819302" s="242"/>
    </row>
    <row r="819303" spans="1:1" x14ac:dyDescent="0.25">
      <c r="A819303" s="242"/>
    </row>
    <row r="819304" spans="1:1" x14ac:dyDescent="0.25">
      <c r="A819304" s="242"/>
    </row>
    <row r="819305" spans="1:1" x14ac:dyDescent="0.25">
      <c r="A819305" s="242"/>
    </row>
    <row r="819306" spans="1:1" x14ac:dyDescent="0.25">
      <c r="A819306" s="242"/>
    </row>
    <row r="819307" spans="1:1" x14ac:dyDescent="0.25">
      <c r="A819307" s="242"/>
    </row>
    <row r="819308" spans="1:1" x14ac:dyDescent="0.25">
      <c r="A819308" s="242"/>
    </row>
    <row r="819309" spans="1:1" x14ac:dyDescent="0.25">
      <c r="A819309" s="242"/>
    </row>
    <row r="819310" spans="1:1" x14ac:dyDescent="0.25">
      <c r="A819310" s="242"/>
    </row>
    <row r="819311" spans="1:1" x14ac:dyDescent="0.25">
      <c r="A819311" s="242"/>
    </row>
    <row r="819312" spans="1:1" x14ac:dyDescent="0.25">
      <c r="A819312" s="242"/>
    </row>
    <row r="819313" spans="1:1" x14ac:dyDescent="0.25">
      <c r="A819313" s="242"/>
    </row>
    <row r="819314" spans="1:1" x14ac:dyDescent="0.25">
      <c r="A819314" s="242"/>
    </row>
    <row r="819315" spans="1:1" x14ac:dyDescent="0.25">
      <c r="A819315" s="242"/>
    </row>
    <row r="819316" spans="1:1" x14ac:dyDescent="0.25">
      <c r="A819316" s="242"/>
    </row>
    <row r="819317" spans="1:1" x14ac:dyDescent="0.25">
      <c r="A819317" s="242"/>
    </row>
    <row r="819318" spans="1:1" x14ac:dyDescent="0.25">
      <c r="A819318" s="242"/>
    </row>
    <row r="819319" spans="1:1" x14ac:dyDescent="0.25">
      <c r="A819319" s="242"/>
    </row>
    <row r="819320" spans="1:1" x14ac:dyDescent="0.25">
      <c r="A819320" s="242"/>
    </row>
    <row r="819321" spans="1:1" x14ac:dyDescent="0.25">
      <c r="A819321" s="242"/>
    </row>
    <row r="819322" spans="1:1" x14ac:dyDescent="0.25">
      <c r="A819322" s="242"/>
    </row>
    <row r="819323" spans="1:1" x14ac:dyDescent="0.25">
      <c r="A819323" s="242"/>
    </row>
    <row r="819324" spans="1:1" x14ac:dyDescent="0.25">
      <c r="A819324" s="242"/>
    </row>
    <row r="819325" spans="1:1" x14ac:dyDescent="0.25">
      <c r="A819325" s="242"/>
    </row>
    <row r="819326" spans="1:1" x14ac:dyDescent="0.25">
      <c r="A819326" s="242"/>
    </row>
    <row r="819327" spans="1:1" x14ac:dyDescent="0.25">
      <c r="A819327" s="242"/>
    </row>
    <row r="819328" spans="1:1" x14ac:dyDescent="0.25">
      <c r="A819328" s="242"/>
    </row>
    <row r="819329" spans="1:1" x14ac:dyDescent="0.25">
      <c r="A819329" s="242"/>
    </row>
    <row r="819330" spans="1:1" x14ac:dyDescent="0.25">
      <c r="A819330" s="242"/>
    </row>
    <row r="819331" spans="1:1" x14ac:dyDescent="0.25">
      <c r="A819331" s="242"/>
    </row>
    <row r="819332" spans="1:1" x14ac:dyDescent="0.25">
      <c r="A819332" s="242"/>
    </row>
    <row r="819333" spans="1:1" x14ac:dyDescent="0.25">
      <c r="A819333" s="242"/>
    </row>
    <row r="819334" spans="1:1" x14ac:dyDescent="0.25">
      <c r="A819334" s="242"/>
    </row>
    <row r="819335" spans="1:1" x14ac:dyDescent="0.25">
      <c r="A819335" s="242"/>
    </row>
    <row r="819336" spans="1:1" x14ac:dyDescent="0.25">
      <c r="A819336" s="242"/>
    </row>
    <row r="819337" spans="1:1" x14ac:dyDescent="0.25">
      <c r="A819337" s="242"/>
    </row>
    <row r="819338" spans="1:1" x14ac:dyDescent="0.25">
      <c r="A819338" s="242"/>
    </row>
    <row r="819339" spans="1:1" x14ac:dyDescent="0.25">
      <c r="A819339" s="242"/>
    </row>
    <row r="819340" spans="1:1" x14ac:dyDescent="0.25">
      <c r="A819340" s="242"/>
    </row>
    <row r="819341" spans="1:1" x14ac:dyDescent="0.25">
      <c r="A819341" s="242"/>
    </row>
    <row r="819342" spans="1:1" x14ac:dyDescent="0.25">
      <c r="A819342" s="242"/>
    </row>
    <row r="819343" spans="1:1" x14ac:dyDescent="0.25">
      <c r="A819343" s="242"/>
    </row>
    <row r="819344" spans="1:1" x14ac:dyDescent="0.25">
      <c r="A819344" s="242"/>
    </row>
    <row r="819345" spans="1:1" x14ac:dyDescent="0.25">
      <c r="A819345" s="242"/>
    </row>
    <row r="819346" spans="1:1" x14ac:dyDescent="0.25">
      <c r="A819346" s="242"/>
    </row>
    <row r="819347" spans="1:1" x14ac:dyDescent="0.25">
      <c r="A819347" s="242"/>
    </row>
    <row r="819348" spans="1:1" x14ac:dyDescent="0.25">
      <c r="A819348" s="242"/>
    </row>
    <row r="819349" spans="1:1" x14ac:dyDescent="0.25">
      <c r="A819349" s="242"/>
    </row>
    <row r="819350" spans="1:1" x14ac:dyDescent="0.25">
      <c r="A819350" s="242"/>
    </row>
    <row r="819351" spans="1:1" x14ac:dyDescent="0.25">
      <c r="A819351" s="242"/>
    </row>
    <row r="819352" spans="1:1" x14ac:dyDescent="0.25">
      <c r="A819352" s="242"/>
    </row>
    <row r="819353" spans="1:1" x14ac:dyDescent="0.25">
      <c r="A819353" s="242"/>
    </row>
    <row r="819354" spans="1:1" x14ac:dyDescent="0.25">
      <c r="A819354" s="242"/>
    </row>
    <row r="819355" spans="1:1" x14ac:dyDescent="0.25">
      <c r="A819355" s="242"/>
    </row>
    <row r="819356" spans="1:1" x14ac:dyDescent="0.25">
      <c r="A819356" s="242"/>
    </row>
    <row r="819357" spans="1:1" x14ac:dyDescent="0.25">
      <c r="A819357" s="242"/>
    </row>
    <row r="819358" spans="1:1" x14ac:dyDescent="0.25">
      <c r="A819358" s="242"/>
    </row>
    <row r="819359" spans="1:1" x14ac:dyDescent="0.25">
      <c r="A819359" s="242"/>
    </row>
    <row r="819360" spans="1:1" x14ac:dyDescent="0.25">
      <c r="A819360" s="242"/>
    </row>
    <row r="819361" spans="1:1" x14ac:dyDescent="0.25">
      <c r="A819361" s="242"/>
    </row>
    <row r="819362" spans="1:1" x14ac:dyDescent="0.25">
      <c r="A819362" s="242"/>
    </row>
    <row r="819363" spans="1:1" x14ac:dyDescent="0.25">
      <c r="A819363" s="242"/>
    </row>
    <row r="819364" spans="1:1" x14ac:dyDescent="0.25">
      <c r="A819364" s="242"/>
    </row>
    <row r="819365" spans="1:1" x14ac:dyDescent="0.25">
      <c r="A819365" s="242"/>
    </row>
    <row r="819366" spans="1:1" x14ac:dyDescent="0.25">
      <c r="A819366" s="242"/>
    </row>
    <row r="819367" spans="1:1" x14ac:dyDescent="0.25">
      <c r="A819367" s="242"/>
    </row>
    <row r="819368" spans="1:1" x14ac:dyDescent="0.25">
      <c r="A819368" s="242"/>
    </row>
    <row r="819369" spans="1:1" x14ac:dyDescent="0.25">
      <c r="A819369" s="242"/>
    </row>
    <row r="819370" spans="1:1" x14ac:dyDescent="0.25">
      <c r="A819370" s="242"/>
    </row>
    <row r="819371" spans="1:1" x14ac:dyDescent="0.25">
      <c r="A819371" s="242"/>
    </row>
    <row r="819372" spans="1:1" x14ac:dyDescent="0.25">
      <c r="A819372" s="242"/>
    </row>
    <row r="819373" spans="1:1" x14ac:dyDescent="0.25">
      <c r="A819373" s="242"/>
    </row>
    <row r="819374" spans="1:1" x14ac:dyDescent="0.25">
      <c r="A819374" s="242"/>
    </row>
    <row r="819375" spans="1:1" x14ac:dyDescent="0.25">
      <c r="A819375" s="242"/>
    </row>
    <row r="819376" spans="1:1" x14ac:dyDescent="0.25">
      <c r="A819376" s="242"/>
    </row>
    <row r="819377" spans="1:1" x14ac:dyDescent="0.25">
      <c r="A819377" s="242"/>
    </row>
    <row r="819378" spans="1:1" x14ac:dyDescent="0.25">
      <c r="A819378" s="242"/>
    </row>
    <row r="819379" spans="1:1" x14ac:dyDescent="0.25">
      <c r="A819379" s="242"/>
    </row>
    <row r="819380" spans="1:1" x14ac:dyDescent="0.25">
      <c r="A819380" s="242"/>
    </row>
    <row r="819381" spans="1:1" x14ac:dyDescent="0.25">
      <c r="A819381" s="242"/>
    </row>
    <row r="819382" spans="1:1" x14ac:dyDescent="0.25">
      <c r="A819382" s="242"/>
    </row>
    <row r="819383" spans="1:1" x14ac:dyDescent="0.25">
      <c r="A819383" s="242"/>
    </row>
    <row r="819384" spans="1:1" x14ac:dyDescent="0.25">
      <c r="A819384" s="242"/>
    </row>
    <row r="819385" spans="1:1" x14ac:dyDescent="0.25">
      <c r="A819385" s="242"/>
    </row>
    <row r="819386" spans="1:1" x14ac:dyDescent="0.25">
      <c r="A819386" s="242"/>
    </row>
    <row r="819387" spans="1:1" x14ac:dyDescent="0.25">
      <c r="A819387" s="242"/>
    </row>
    <row r="819388" spans="1:1" x14ac:dyDescent="0.25">
      <c r="A819388" s="242"/>
    </row>
    <row r="819389" spans="1:1" x14ac:dyDescent="0.25">
      <c r="A819389" s="242"/>
    </row>
    <row r="819390" spans="1:1" x14ac:dyDescent="0.25">
      <c r="A819390" s="242"/>
    </row>
    <row r="819391" spans="1:1" x14ac:dyDescent="0.25">
      <c r="A819391" s="242"/>
    </row>
    <row r="819392" spans="1:1" x14ac:dyDescent="0.25">
      <c r="A819392" s="242"/>
    </row>
    <row r="819393" spans="1:1" x14ac:dyDescent="0.25">
      <c r="A819393" s="242"/>
    </row>
    <row r="819394" spans="1:1" x14ac:dyDescent="0.25">
      <c r="A819394" s="242"/>
    </row>
    <row r="819395" spans="1:1" x14ac:dyDescent="0.25">
      <c r="A819395" s="242"/>
    </row>
    <row r="819396" spans="1:1" x14ac:dyDescent="0.25">
      <c r="A819396" s="242"/>
    </row>
    <row r="819397" spans="1:1" x14ac:dyDescent="0.25">
      <c r="A819397" s="242"/>
    </row>
    <row r="819398" spans="1:1" x14ac:dyDescent="0.25">
      <c r="A819398" s="242"/>
    </row>
    <row r="819399" spans="1:1" x14ac:dyDescent="0.25">
      <c r="A819399" s="242"/>
    </row>
    <row r="819400" spans="1:1" x14ac:dyDescent="0.25">
      <c r="A819400" s="242"/>
    </row>
    <row r="819401" spans="1:1" x14ac:dyDescent="0.25">
      <c r="A819401" s="242"/>
    </row>
    <row r="819402" spans="1:1" x14ac:dyDescent="0.25">
      <c r="A819402" s="242"/>
    </row>
    <row r="819403" spans="1:1" x14ac:dyDescent="0.25">
      <c r="A819403" s="242"/>
    </row>
    <row r="819404" spans="1:1" x14ac:dyDescent="0.25">
      <c r="A819404" s="242"/>
    </row>
    <row r="819405" spans="1:1" x14ac:dyDescent="0.25">
      <c r="A819405" s="242"/>
    </row>
    <row r="819406" spans="1:1" x14ac:dyDescent="0.25">
      <c r="A819406" s="242"/>
    </row>
    <row r="819407" spans="1:1" x14ac:dyDescent="0.25">
      <c r="A819407" s="242"/>
    </row>
    <row r="819408" spans="1:1" x14ac:dyDescent="0.25">
      <c r="A819408" s="242"/>
    </row>
    <row r="819409" spans="1:1" x14ac:dyDescent="0.25">
      <c r="A819409" s="242"/>
    </row>
    <row r="819410" spans="1:1" x14ac:dyDescent="0.25">
      <c r="A819410" s="242"/>
    </row>
    <row r="819411" spans="1:1" x14ac:dyDescent="0.25">
      <c r="A819411" s="242"/>
    </row>
    <row r="819412" spans="1:1" x14ac:dyDescent="0.25">
      <c r="A819412" s="242"/>
    </row>
    <row r="819413" spans="1:1" x14ac:dyDescent="0.25">
      <c r="A819413" s="242"/>
    </row>
    <row r="819414" spans="1:1" x14ac:dyDescent="0.25">
      <c r="A819414" s="242"/>
    </row>
    <row r="819415" spans="1:1" x14ac:dyDescent="0.25">
      <c r="A819415" s="242"/>
    </row>
    <row r="819416" spans="1:1" x14ac:dyDescent="0.25">
      <c r="A819416" s="242"/>
    </row>
    <row r="819417" spans="1:1" x14ac:dyDescent="0.25">
      <c r="A819417" s="242"/>
    </row>
    <row r="819418" spans="1:1" x14ac:dyDescent="0.25">
      <c r="A819418" s="242"/>
    </row>
    <row r="819419" spans="1:1" x14ac:dyDescent="0.25">
      <c r="A819419" s="242"/>
    </row>
    <row r="819420" spans="1:1" x14ac:dyDescent="0.25">
      <c r="A819420" s="242"/>
    </row>
    <row r="819421" spans="1:1" x14ac:dyDescent="0.25">
      <c r="A819421" s="242"/>
    </row>
    <row r="819422" spans="1:1" x14ac:dyDescent="0.25">
      <c r="A819422" s="242"/>
    </row>
    <row r="819423" spans="1:1" x14ac:dyDescent="0.25">
      <c r="A819423" s="242"/>
    </row>
    <row r="819424" spans="1:1" x14ac:dyDescent="0.25">
      <c r="A819424" s="242"/>
    </row>
    <row r="819425" spans="1:1" x14ac:dyDescent="0.25">
      <c r="A819425" s="242"/>
    </row>
    <row r="819426" spans="1:1" x14ac:dyDescent="0.25">
      <c r="A819426" s="242"/>
    </row>
    <row r="819427" spans="1:1" x14ac:dyDescent="0.25">
      <c r="A819427" s="242"/>
    </row>
    <row r="819428" spans="1:1" x14ac:dyDescent="0.25">
      <c r="A819428" s="242"/>
    </row>
    <row r="819429" spans="1:1" x14ac:dyDescent="0.25">
      <c r="A819429" s="242"/>
    </row>
    <row r="819430" spans="1:1" x14ac:dyDescent="0.25">
      <c r="A819430" s="242"/>
    </row>
    <row r="819431" spans="1:1" x14ac:dyDescent="0.25">
      <c r="A819431" s="242"/>
    </row>
    <row r="819432" spans="1:1" x14ac:dyDescent="0.25">
      <c r="A819432" s="242"/>
    </row>
    <row r="819433" spans="1:1" x14ac:dyDescent="0.25">
      <c r="A819433" s="242"/>
    </row>
    <row r="819434" spans="1:1" x14ac:dyDescent="0.25">
      <c r="A819434" s="242"/>
    </row>
    <row r="819435" spans="1:1" x14ac:dyDescent="0.25">
      <c r="A819435" s="242"/>
    </row>
    <row r="819436" spans="1:1" x14ac:dyDescent="0.25">
      <c r="A819436" s="242"/>
    </row>
    <row r="819437" spans="1:1" x14ac:dyDescent="0.25">
      <c r="A819437" s="242"/>
    </row>
    <row r="819438" spans="1:1" x14ac:dyDescent="0.25">
      <c r="A819438" s="242"/>
    </row>
    <row r="819439" spans="1:1" x14ac:dyDescent="0.25">
      <c r="A819439" s="242"/>
    </row>
    <row r="819440" spans="1:1" x14ac:dyDescent="0.25">
      <c r="A819440" s="242"/>
    </row>
    <row r="819441" spans="1:1" x14ac:dyDescent="0.25">
      <c r="A819441" s="242"/>
    </row>
    <row r="819442" spans="1:1" x14ac:dyDescent="0.25">
      <c r="A819442" s="242"/>
    </row>
    <row r="819443" spans="1:1" x14ac:dyDescent="0.25">
      <c r="A819443" s="242"/>
    </row>
    <row r="819444" spans="1:1" x14ac:dyDescent="0.25">
      <c r="A819444" s="242"/>
    </row>
    <row r="819445" spans="1:1" x14ac:dyDescent="0.25">
      <c r="A819445" s="242"/>
    </row>
    <row r="819446" spans="1:1" x14ac:dyDescent="0.25">
      <c r="A819446" s="242"/>
    </row>
    <row r="819447" spans="1:1" x14ac:dyDescent="0.25">
      <c r="A819447" s="242"/>
    </row>
    <row r="819448" spans="1:1" x14ac:dyDescent="0.25">
      <c r="A819448" s="242"/>
    </row>
    <row r="819449" spans="1:1" x14ac:dyDescent="0.25">
      <c r="A819449" s="242"/>
    </row>
    <row r="819450" spans="1:1" x14ac:dyDescent="0.25">
      <c r="A819450" s="242"/>
    </row>
    <row r="819451" spans="1:1" x14ac:dyDescent="0.25">
      <c r="A819451" s="242"/>
    </row>
    <row r="819452" spans="1:1" x14ac:dyDescent="0.25">
      <c r="A819452" s="242"/>
    </row>
    <row r="819453" spans="1:1" x14ac:dyDescent="0.25">
      <c r="A819453" s="242"/>
    </row>
    <row r="819454" spans="1:1" x14ac:dyDescent="0.25">
      <c r="A819454" s="242"/>
    </row>
    <row r="819455" spans="1:1" x14ac:dyDescent="0.25">
      <c r="A819455" s="242"/>
    </row>
    <row r="819456" spans="1:1" x14ac:dyDescent="0.25">
      <c r="A819456" s="242"/>
    </row>
    <row r="819457" spans="1:1" x14ac:dyDescent="0.25">
      <c r="A819457" s="242"/>
    </row>
    <row r="819458" spans="1:1" x14ac:dyDescent="0.25">
      <c r="A819458" s="242"/>
    </row>
    <row r="819459" spans="1:1" x14ac:dyDescent="0.25">
      <c r="A819459" s="242"/>
    </row>
    <row r="819460" spans="1:1" x14ac:dyDescent="0.25">
      <c r="A819460" s="242"/>
    </row>
    <row r="819461" spans="1:1" x14ac:dyDescent="0.25">
      <c r="A819461" s="242"/>
    </row>
    <row r="819462" spans="1:1" x14ac:dyDescent="0.25">
      <c r="A819462" s="242"/>
    </row>
    <row r="819463" spans="1:1" x14ac:dyDescent="0.25">
      <c r="A819463" s="242"/>
    </row>
    <row r="819464" spans="1:1" x14ac:dyDescent="0.25">
      <c r="A819464" s="242"/>
    </row>
    <row r="819465" spans="1:1" x14ac:dyDescent="0.25">
      <c r="A819465" s="242"/>
    </row>
    <row r="819466" spans="1:1" x14ac:dyDescent="0.25">
      <c r="A819466" s="242"/>
    </row>
    <row r="819467" spans="1:1" x14ac:dyDescent="0.25">
      <c r="A819467" s="242"/>
    </row>
    <row r="819468" spans="1:1" x14ac:dyDescent="0.25">
      <c r="A819468" s="242"/>
    </row>
    <row r="819469" spans="1:1" x14ac:dyDescent="0.25">
      <c r="A819469" s="242"/>
    </row>
    <row r="819470" spans="1:1" x14ac:dyDescent="0.25">
      <c r="A819470" s="242"/>
    </row>
    <row r="819471" spans="1:1" x14ac:dyDescent="0.25">
      <c r="A819471" s="242"/>
    </row>
    <row r="819472" spans="1:1" x14ac:dyDescent="0.25">
      <c r="A819472" s="242"/>
    </row>
    <row r="819473" spans="1:1" x14ac:dyDescent="0.25">
      <c r="A819473" s="242"/>
    </row>
    <row r="819474" spans="1:1" x14ac:dyDescent="0.25">
      <c r="A819474" s="242"/>
    </row>
    <row r="819475" spans="1:1" x14ac:dyDescent="0.25">
      <c r="A819475" s="242"/>
    </row>
    <row r="819476" spans="1:1" x14ac:dyDescent="0.25">
      <c r="A819476" s="242"/>
    </row>
    <row r="819477" spans="1:1" x14ac:dyDescent="0.25">
      <c r="A819477" s="242"/>
    </row>
    <row r="819478" spans="1:1" x14ac:dyDescent="0.25">
      <c r="A819478" s="242"/>
    </row>
    <row r="819479" spans="1:1" x14ac:dyDescent="0.25">
      <c r="A819479" s="242"/>
    </row>
    <row r="819480" spans="1:1" x14ac:dyDescent="0.25">
      <c r="A819480" s="242"/>
    </row>
    <row r="819481" spans="1:1" x14ac:dyDescent="0.25">
      <c r="A819481" s="242"/>
    </row>
    <row r="819482" spans="1:1" x14ac:dyDescent="0.25">
      <c r="A819482" s="242"/>
    </row>
    <row r="819483" spans="1:1" x14ac:dyDescent="0.25">
      <c r="A819483" s="242"/>
    </row>
    <row r="819484" spans="1:1" x14ac:dyDescent="0.25">
      <c r="A819484" s="242"/>
    </row>
    <row r="819485" spans="1:1" x14ac:dyDescent="0.25">
      <c r="A819485" s="242"/>
    </row>
    <row r="819486" spans="1:1" x14ac:dyDescent="0.25">
      <c r="A819486" s="242"/>
    </row>
    <row r="819487" spans="1:1" x14ac:dyDescent="0.25">
      <c r="A819487" s="242"/>
    </row>
    <row r="819488" spans="1:1" x14ac:dyDescent="0.25">
      <c r="A819488" s="242"/>
    </row>
    <row r="819489" spans="1:1" x14ac:dyDescent="0.25">
      <c r="A819489" s="242"/>
    </row>
    <row r="819490" spans="1:1" x14ac:dyDescent="0.25">
      <c r="A819490" s="242"/>
    </row>
    <row r="819491" spans="1:1" x14ac:dyDescent="0.25">
      <c r="A819491" s="242"/>
    </row>
    <row r="819492" spans="1:1" x14ac:dyDescent="0.25">
      <c r="A819492" s="242"/>
    </row>
    <row r="819493" spans="1:1" x14ac:dyDescent="0.25">
      <c r="A819493" s="242"/>
    </row>
    <row r="819494" spans="1:1" x14ac:dyDescent="0.25">
      <c r="A819494" s="242"/>
    </row>
    <row r="819495" spans="1:1" x14ac:dyDescent="0.25">
      <c r="A819495" s="242"/>
    </row>
    <row r="819496" spans="1:1" x14ac:dyDescent="0.25">
      <c r="A819496" s="242"/>
    </row>
    <row r="819497" spans="1:1" x14ac:dyDescent="0.25">
      <c r="A819497" s="242"/>
    </row>
    <row r="819498" spans="1:1" x14ac:dyDescent="0.25">
      <c r="A819498" s="242"/>
    </row>
    <row r="819499" spans="1:1" x14ac:dyDescent="0.25">
      <c r="A819499" s="242"/>
    </row>
    <row r="819500" spans="1:1" x14ac:dyDescent="0.25">
      <c r="A819500" s="242"/>
    </row>
    <row r="819501" spans="1:1" x14ac:dyDescent="0.25">
      <c r="A819501" s="242"/>
    </row>
    <row r="819502" spans="1:1" x14ac:dyDescent="0.25">
      <c r="A819502" s="242"/>
    </row>
    <row r="819503" spans="1:1" x14ac:dyDescent="0.25">
      <c r="A819503" s="242"/>
    </row>
    <row r="819504" spans="1:1" x14ac:dyDescent="0.25">
      <c r="A819504" s="242"/>
    </row>
    <row r="819505" spans="1:1" x14ac:dyDescent="0.25">
      <c r="A819505" s="242"/>
    </row>
    <row r="819506" spans="1:1" x14ac:dyDescent="0.25">
      <c r="A819506" s="242"/>
    </row>
    <row r="819507" spans="1:1" x14ac:dyDescent="0.25">
      <c r="A819507" s="242"/>
    </row>
    <row r="819508" spans="1:1" x14ac:dyDescent="0.25">
      <c r="A819508" s="242"/>
    </row>
    <row r="819509" spans="1:1" x14ac:dyDescent="0.25">
      <c r="A819509" s="242"/>
    </row>
    <row r="819510" spans="1:1" x14ac:dyDescent="0.25">
      <c r="A819510" s="242"/>
    </row>
    <row r="819511" spans="1:1" x14ac:dyDescent="0.25">
      <c r="A819511" s="242"/>
    </row>
    <row r="819512" spans="1:1" x14ac:dyDescent="0.25">
      <c r="A819512" s="242"/>
    </row>
    <row r="819513" spans="1:1" x14ac:dyDescent="0.25">
      <c r="A819513" s="242"/>
    </row>
    <row r="819514" spans="1:1" x14ac:dyDescent="0.25">
      <c r="A819514" s="242"/>
    </row>
    <row r="819515" spans="1:1" x14ac:dyDescent="0.25">
      <c r="A819515" s="242"/>
    </row>
    <row r="819516" spans="1:1" x14ac:dyDescent="0.25">
      <c r="A819516" s="242"/>
    </row>
    <row r="819517" spans="1:1" x14ac:dyDescent="0.25">
      <c r="A819517" s="242"/>
    </row>
    <row r="819518" spans="1:1" x14ac:dyDescent="0.25">
      <c r="A819518" s="242"/>
    </row>
    <row r="819519" spans="1:1" x14ac:dyDescent="0.25">
      <c r="A819519" s="242"/>
    </row>
    <row r="819520" spans="1:1" x14ac:dyDescent="0.25">
      <c r="A819520" s="242"/>
    </row>
    <row r="819521" spans="1:1" x14ac:dyDescent="0.25">
      <c r="A819521" s="242"/>
    </row>
    <row r="819522" spans="1:1" x14ac:dyDescent="0.25">
      <c r="A819522" s="242"/>
    </row>
    <row r="819523" spans="1:1" x14ac:dyDescent="0.25">
      <c r="A819523" s="242"/>
    </row>
    <row r="819524" spans="1:1" x14ac:dyDescent="0.25">
      <c r="A819524" s="242"/>
    </row>
    <row r="819525" spans="1:1" x14ac:dyDescent="0.25">
      <c r="A819525" s="242"/>
    </row>
    <row r="819526" spans="1:1" x14ac:dyDescent="0.25">
      <c r="A819526" s="242"/>
    </row>
    <row r="819527" spans="1:1" x14ac:dyDescent="0.25">
      <c r="A819527" s="242"/>
    </row>
    <row r="819528" spans="1:1" x14ac:dyDescent="0.25">
      <c r="A819528" s="242"/>
    </row>
    <row r="819529" spans="1:1" x14ac:dyDescent="0.25">
      <c r="A819529" s="242"/>
    </row>
    <row r="819530" spans="1:1" x14ac:dyDescent="0.25">
      <c r="A819530" s="242"/>
    </row>
    <row r="819531" spans="1:1" x14ac:dyDescent="0.25">
      <c r="A819531" s="242"/>
    </row>
    <row r="819532" spans="1:1" x14ac:dyDescent="0.25">
      <c r="A819532" s="242"/>
    </row>
    <row r="819533" spans="1:1" x14ac:dyDescent="0.25">
      <c r="A819533" s="242"/>
    </row>
    <row r="819534" spans="1:1" x14ac:dyDescent="0.25">
      <c r="A819534" s="242"/>
    </row>
    <row r="819535" spans="1:1" x14ac:dyDescent="0.25">
      <c r="A819535" s="242"/>
    </row>
    <row r="819536" spans="1:1" x14ac:dyDescent="0.25">
      <c r="A819536" s="242"/>
    </row>
    <row r="819537" spans="1:1" x14ac:dyDescent="0.25">
      <c r="A819537" s="242"/>
    </row>
    <row r="819538" spans="1:1" x14ac:dyDescent="0.25">
      <c r="A819538" s="242"/>
    </row>
    <row r="819539" spans="1:1" x14ac:dyDescent="0.25">
      <c r="A819539" s="242"/>
    </row>
    <row r="819540" spans="1:1" x14ac:dyDescent="0.25">
      <c r="A819540" s="242"/>
    </row>
    <row r="819541" spans="1:1" x14ac:dyDescent="0.25">
      <c r="A819541" s="242"/>
    </row>
    <row r="819542" spans="1:1" x14ac:dyDescent="0.25">
      <c r="A819542" s="242"/>
    </row>
    <row r="819543" spans="1:1" x14ac:dyDescent="0.25">
      <c r="A819543" s="242"/>
    </row>
    <row r="819544" spans="1:1" x14ac:dyDescent="0.25">
      <c r="A819544" s="242"/>
    </row>
    <row r="819545" spans="1:1" x14ac:dyDescent="0.25">
      <c r="A819545" s="242"/>
    </row>
    <row r="819546" spans="1:1" x14ac:dyDescent="0.25">
      <c r="A819546" s="242"/>
    </row>
    <row r="819547" spans="1:1" x14ac:dyDescent="0.25">
      <c r="A819547" s="242"/>
    </row>
    <row r="819548" spans="1:1" x14ac:dyDescent="0.25">
      <c r="A819548" s="242"/>
    </row>
    <row r="819549" spans="1:1" x14ac:dyDescent="0.25">
      <c r="A819549" s="242"/>
    </row>
    <row r="819550" spans="1:1" x14ac:dyDescent="0.25">
      <c r="A819550" s="242"/>
    </row>
    <row r="819551" spans="1:1" x14ac:dyDescent="0.25">
      <c r="A819551" s="242"/>
    </row>
    <row r="819552" spans="1:1" x14ac:dyDescent="0.25">
      <c r="A819552" s="242"/>
    </row>
    <row r="819553" spans="1:1" x14ac:dyDescent="0.25">
      <c r="A819553" s="242"/>
    </row>
    <row r="819554" spans="1:1" x14ac:dyDescent="0.25">
      <c r="A819554" s="242"/>
    </row>
    <row r="819555" spans="1:1" x14ac:dyDescent="0.25">
      <c r="A819555" s="242"/>
    </row>
    <row r="819556" spans="1:1" x14ac:dyDescent="0.25">
      <c r="A819556" s="242"/>
    </row>
    <row r="819557" spans="1:1" x14ac:dyDescent="0.25">
      <c r="A819557" s="242"/>
    </row>
    <row r="819558" spans="1:1" x14ac:dyDescent="0.25">
      <c r="A819558" s="242"/>
    </row>
    <row r="819559" spans="1:1" x14ac:dyDescent="0.25">
      <c r="A819559" s="242"/>
    </row>
    <row r="819560" spans="1:1" x14ac:dyDescent="0.25">
      <c r="A819560" s="242"/>
    </row>
    <row r="819561" spans="1:1" x14ac:dyDescent="0.25">
      <c r="A819561" s="242"/>
    </row>
    <row r="819562" spans="1:1" x14ac:dyDescent="0.25">
      <c r="A819562" s="242"/>
    </row>
    <row r="819563" spans="1:1" x14ac:dyDescent="0.25">
      <c r="A819563" s="242"/>
    </row>
    <row r="819564" spans="1:1" x14ac:dyDescent="0.25">
      <c r="A819564" s="242"/>
    </row>
    <row r="819565" spans="1:1" x14ac:dyDescent="0.25">
      <c r="A819565" s="242"/>
    </row>
    <row r="819566" spans="1:1" x14ac:dyDescent="0.25">
      <c r="A819566" s="242"/>
    </row>
    <row r="819567" spans="1:1" x14ac:dyDescent="0.25">
      <c r="A819567" s="242"/>
    </row>
    <row r="819568" spans="1:1" x14ac:dyDescent="0.25">
      <c r="A819568" s="242"/>
    </row>
    <row r="819569" spans="1:1" x14ac:dyDescent="0.25">
      <c r="A819569" s="242"/>
    </row>
    <row r="819570" spans="1:1" x14ac:dyDescent="0.25">
      <c r="A819570" s="242"/>
    </row>
    <row r="819571" spans="1:1" x14ac:dyDescent="0.25">
      <c r="A819571" s="242"/>
    </row>
    <row r="819572" spans="1:1" x14ac:dyDescent="0.25">
      <c r="A819572" s="242"/>
    </row>
    <row r="819573" spans="1:1" x14ac:dyDescent="0.25">
      <c r="A819573" s="242"/>
    </row>
    <row r="819574" spans="1:1" x14ac:dyDescent="0.25">
      <c r="A819574" s="242"/>
    </row>
    <row r="819575" spans="1:1" x14ac:dyDescent="0.25">
      <c r="A819575" s="242"/>
    </row>
    <row r="819576" spans="1:1" x14ac:dyDescent="0.25">
      <c r="A819576" s="242"/>
    </row>
    <row r="819577" spans="1:1" x14ac:dyDescent="0.25">
      <c r="A819577" s="242"/>
    </row>
    <row r="819578" spans="1:1" x14ac:dyDescent="0.25">
      <c r="A819578" s="242"/>
    </row>
    <row r="819579" spans="1:1" x14ac:dyDescent="0.25">
      <c r="A819579" s="242"/>
    </row>
    <row r="819580" spans="1:1" x14ac:dyDescent="0.25">
      <c r="A819580" s="242"/>
    </row>
    <row r="819581" spans="1:1" x14ac:dyDescent="0.25">
      <c r="A819581" s="242"/>
    </row>
    <row r="819582" spans="1:1" x14ac:dyDescent="0.25">
      <c r="A819582" s="242"/>
    </row>
    <row r="819583" spans="1:1" x14ac:dyDescent="0.25">
      <c r="A819583" s="242"/>
    </row>
    <row r="819584" spans="1:1" x14ac:dyDescent="0.25">
      <c r="A819584" s="242"/>
    </row>
    <row r="819585" spans="1:1" x14ac:dyDescent="0.25">
      <c r="A819585" s="242"/>
    </row>
    <row r="819586" spans="1:1" x14ac:dyDescent="0.25">
      <c r="A819586" s="242"/>
    </row>
    <row r="819587" spans="1:1" x14ac:dyDescent="0.25">
      <c r="A819587" s="242"/>
    </row>
    <row r="819588" spans="1:1" x14ac:dyDescent="0.25">
      <c r="A819588" s="242"/>
    </row>
    <row r="819589" spans="1:1" x14ac:dyDescent="0.25">
      <c r="A819589" s="242"/>
    </row>
    <row r="819590" spans="1:1" x14ac:dyDescent="0.25">
      <c r="A819590" s="242"/>
    </row>
    <row r="819591" spans="1:1" x14ac:dyDescent="0.25">
      <c r="A819591" s="242"/>
    </row>
    <row r="819592" spans="1:1" x14ac:dyDescent="0.25">
      <c r="A819592" s="242"/>
    </row>
    <row r="819593" spans="1:1" x14ac:dyDescent="0.25">
      <c r="A819593" s="242"/>
    </row>
    <row r="819594" spans="1:1" x14ac:dyDescent="0.25">
      <c r="A819594" s="242"/>
    </row>
    <row r="819595" spans="1:1" x14ac:dyDescent="0.25">
      <c r="A819595" s="242"/>
    </row>
    <row r="819596" spans="1:1" x14ac:dyDescent="0.25">
      <c r="A819596" s="242"/>
    </row>
    <row r="819597" spans="1:1" x14ac:dyDescent="0.25">
      <c r="A819597" s="242"/>
    </row>
    <row r="819598" spans="1:1" x14ac:dyDescent="0.25">
      <c r="A819598" s="242"/>
    </row>
    <row r="819599" spans="1:1" x14ac:dyDescent="0.25">
      <c r="A819599" s="242"/>
    </row>
    <row r="819600" spans="1:1" x14ac:dyDescent="0.25">
      <c r="A819600" s="242"/>
    </row>
    <row r="819601" spans="1:1" x14ac:dyDescent="0.25">
      <c r="A819601" s="242"/>
    </row>
    <row r="819602" spans="1:1" x14ac:dyDescent="0.25">
      <c r="A819602" s="242"/>
    </row>
    <row r="819603" spans="1:1" x14ac:dyDescent="0.25">
      <c r="A819603" s="242"/>
    </row>
    <row r="819604" spans="1:1" x14ac:dyDescent="0.25">
      <c r="A819604" s="242"/>
    </row>
    <row r="819605" spans="1:1" x14ac:dyDescent="0.25">
      <c r="A819605" s="242"/>
    </row>
    <row r="819606" spans="1:1" x14ac:dyDescent="0.25">
      <c r="A819606" s="242"/>
    </row>
    <row r="819607" spans="1:1" x14ac:dyDescent="0.25">
      <c r="A819607" s="242"/>
    </row>
    <row r="819608" spans="1:1" x14ac:dyDescent="0.25">
      <c r="A819608" s="242"/>
    </row>
    <row r="819609" spans="1:1" x14ac:dyDescent="0.25">
      <c r="A819609" s="242"/>
    </row>
    <row r="819610" spans="1:1" x14ac:dyDescent="0.25">
      <c r="A819610" s="242"/>
    </row>
    <row r="819611" spans="1:1" x14ac:dyDescent="0.25">
      <c r="A819611" s="242"/>
    </row>
    <row r="819612" spans="1:1" x14ac:dyDescent="0.25">
      <c r="A819612" s="242"/>
    </row>
    <row r="819613" spans="1:1" x14ac:dyDescent="0.25">
      <c r="A819613" s="242"/>
    </row>
    <row r="819614" spans="1:1" x14ac:dyDescent="0.25">
      <c r="A819614" s="242"/>
    </row>
    <row r="819615" spans="1:1" x14ac:dyDescent="0.25">
      <c r="A819615" s="242"/>
    </row>
    <row r="819616" spans="1:1" x14ac:dyDescent="0.25">
      <c r="A819616" s="242"/>
    </row>
    <row r="819617" spans="1:1" x14ac:dyDescent="0.25">
      <c r="A819617" s="242"/>
    </row>
    <row r="819618" spans="1:1" x14ac:dyDescent="0.25">
      <c r="A819618" s="242"/>
    </row>
    <row r="819619" spans="1:1" x14ac:dyDescent="0.25">
      <c r="A819619" s="242"/>
    </row>
    <row r="819620" spans="1:1" x14ac:dyDescent="0.25">
      <c r="A819620" s="242"/>
    </row>
    <row r="819621" spans="1:1" x14ac:dyDescent="0.25">
      <c r="A819621" s="242"/>
    </row>
    <row r="819622" spans="1:1" x14ac:dyDescent="0.25">
      <c r="A819622" s="242"/>
    </row>
    <row r="819623" spans="1:1" x14ac:dyDescent="0.25">
      <c r="A819623" s="242"/>
    </row>
    <row r="819624" spans="1:1" x14ac:dyDescent="0.25">
      <c r="A819624" s="242"/>
    </row>
    <row r="819625" spans="1:1" x14ac:dyDescent="0.25">
      <c r="A819625" s="242"/>
    </row>
    <row r="819626" spans="1:1" x14ac:dyDescent="0.25">
      <c r="A819626" s="242"/>
    </row>
    <row r="819627" spans="1:1" x14ac:dyDescent="0.25">
      <c r="A819627" s="242"/>
    </row>
    <row r="819628" spans="1:1" x14ac:dyDescent="0.25">
      <c r="A819628" s="242"/>
    </row>
    <row r="819629" spans="1:1" x14ac:dyDescent="0.25">
      <c r="A819629" s="242"/>
    </row>
    <row r="819630" spans="1:1" x14ac:dyDescent="0.25">
      <c r="A819630" s="242"/>
    </row>
    <row r="819631" spans="1:1" x14ac:dyDescent="0.25">
      <c r="A819631" s="242"/>
    </row>
    <row r="819632" spans="1:1" x14ac:dyDescent="0.25">
      <c r="A819632" s="242"/>
    </row>
    <row r="819633" spans="1:1" x14ac:dyDescent="0.25">
      <c r="A819633" s="242"/>
    </row>
    <row r="819634" spans="1:1" x14ac:dyDescent="0.25">
      <c r="A819634" s="242"/>
    </row>
    <row r="819635" spans="1:1" x14ac:dyDescent="0.25">
      <c r="A819635" s="242"/>
    </row>
    <row r="819636" spans="1:1" x14ac:dyDescent="0.25">
      <c r="A819636" s="242"/>
    </row>
    <row r="819637" spans="1:1" x14ac:dyDescent="0.25">
      <c r="A819637" s="242"/>
    </row>
    <row r="819638" spans="1:1" x14ac:dyDescent="0.25">
      <c r="A819638" s="242"/>
    </row>
    <row r="819639" spans="1:1" x14ac:dyDescent="0.25">
      <c r="A819639" s="242"/>
    </row>
    <row r="819640" spans="1:1" x14ac:dyDescent="0.25">
      <c r="A819640" s="242"/>
    </row>
    <row r="819641" spans="1:1" x14ac:dyDescent="0.25">
      <c r="A819641" s="242"/>
    </row>
    <row r="819642" spans="1:1" x14ac:dyDescent="0.25">
      <c r="A819642" s="242"/>
    </row>
    <row r="819643" spans="1:1" x14ac:dyDescent="0.25">
      <c r="A819643" s="242"/>
    </row>
    <row r="819644" spans="1:1" x14ac:dyDescent="0.25">
      <c r="A819644" s="242"/>
    </row>
    <row r="819645" spans="1:1" x14ac:dyDescent="0.25">
      <c r="A819645" s="242"/>
    </row>
    <row r="819646" spans="1:1" x14ac:dyDescent="0.25">
      <c r="A819646" s="242"/>
    </row>
    <row r="819647" spans="1:1" x14ac:dyDescent="0.25">
      <c r="A819647" s="242"/>
    </row>
    <row r="819648" spans="1:1" x14ac:dyDescent="0.25">
      <c r="A819648" s="242"/>
    </row>
    <row r="819649" spans="1:1" x14ac:dyDescent="0.25">
      <c r="A819649" s="242"/>
    </row>
    <row r="819650" spans="1:1" x14ac:dyDescent="0.25">
      <c r="A819650" s="242"/>
    </row>
    <row r="819651" spans="1:1" x14ac:dyDescent="0.25">
      <c r="A819651" s="242"/>
    </row>
    <row r="819652" spans="1:1" x14ac:dyDescent="0.25">
      <c r="A819652" s="242"/>
    </row>
    <row r="819653" spans="1:1" x14ac:dyDescent="0.25">
      <c r="A819653" s="242"/>
    </row>
    <row r="819654" spans="1:1" x14ac:dyDescent="0.25">
      <c r="A819654" s="242"/>
    </row>
    <row r="819655" spans="1:1" x14ac:dyDescent="0.25">
      <c r="A819655" s="242"/>
    </row>
    <row r="819656" spans="1:1" x14ac:dyDescent="0.25">
      <c r="A819656" s="242"/>
    </row>
    <row r="819657" spans="1:1" x14ac:dyDescent="0.25">
      <c r="A819657" s="242"/>
    </row>
    <row r="819658" spans="1:1" x14ac:dyDescent="0.25">
      <c r="A819658" s="242"/>
    </row>
    <row r="819659" spans="1:1" x14ac:dyDescent="0.25">
      <c r="A819659" s="242"/>
    </row>
    <row r="819660" spans="1:1" x14ac:dyDescent="0.25">
      <c r="A819660" s="242"/>
    </row>
    <row r="819661" spans="1:1" x14ac:dyDescent="0.25">
      <c r="A819661" s="242"/>
    </row>
    <row r="819662" spans="1:1" x14ac:dyDescent="0.25">
      <c r="A819662" s="242"/>
    </row>
    <row r="819663" spans="1:1" x14ac:dyDescent="0.25">
      <c r="A819663" s="242"/>
    </row>
    <row r="819664" spans="1:1" x14ac:dyDescent="0.25">
      <c r="A819664" s="242"/>
    </row>
    <row r="819665" spans="1:1" x14ac:dyDescent="0.25">
      <c r="A819665" s="242"/>
    </row>
    <row r="819666" spans="1:1" x14ac:dyDescent="0.25">
      <c r="A819666" s="242"/>
    </row>
    <row r="819667" spans="1:1" x14ac:dyDescent="0.25">
      <c r="A819667" s="242"/>
    </row>
    <row r="819668" spans="1:1" x14ac:dyDescent="0.25">
      <c r="A819668" s="242"/>
    </row>
    <row r="819669" spans="1:1" x14ac:dyDescent="0.25">
      <c r="A819669" s="242"/>
    </row>
    <row r="819670" spans="1:1" x14ac:dyDescent="0.25">
      <c r="A819670" s="242"/>
    </row>
    <row r="819671" spans="1:1" x14ac:dyDescent="0.25">
      <c r="A819671" s="242"/>
    </row>
    <row r="819672" spans="1:1" x14ac:dyDescent="0.25">
      <c r="A819672" s="242"/>
    </row>
    <row r="819673" spans="1:1" x14ac:dyDescent="0.25">
      <c r="A819673" s="242"/>
    </row>
    <row r="819674" spans="1:1" x14ac:dyDescent="0.25">
      <c r="A819674" s="242"/>
    </row>
    <row r="819675" spans="1:1" x14ac:dyDescent="0.25">
      <c r="A819675" s="242"/>
    </row>
    <row r="819676" spans="1:1" x14ac:dyDescent="0.25">
      <c r="A819676" s="242"/>
    </row>
    <row r="819677" spans="1:1" x14ac:dyDescent="0.25">
      <c r="A819677" s="242"/>
    </row>
    <row r="819678" spans="1:1" x14ac:dyDescent="0.25">
      <c r="A819678" s="242"/>
    </row>
    <row r="819679" spans="1:1" x14ac:dyDescent="0.25">
      <c r="A819679" s="242"/>
    </row>
    <row r="819680" spans="1:1" x14ac:dyDescent="0.25">
      <c r="A819680" s="242"/>
    </row>
    <row r="819681" spans="1:1" x14ac:dyDescent="0.25">
      <c r="A819681" s="242"/>
    </row>
    <row r="819682" spans="1:1" x14ac:dyDescent="0.25">
      <c r="A819682" s="242"/>
    </row>
    <row r="819683" spans="1:1" x14ac:dyDescent="0.25">
      <c r="A819683" s="242"/>
    </row>
    <row r="819684" spans="1:1" x14ac:dyDescent="0.25">
      <c r="A819684" s="242"/>
    </row>
    <row r="819685" spans="1:1" x14ac:dyDescent="0.25">
      <c r="A819685" s="242"/>
    </row>
    <row r="819686" spans="1:1" x14ac:dyDescent="0.25">
      <c r="A819686" s="242"/>
    </row>
    <row r="819687" spans="1:1" x14ac:dyDescent="0.25">
      <c r="A819687" s="242"/>
    </row>
    <row r="819688" spans="1:1" x14ac:dyDescent="0.25">
      <c r="A819688" s="242"/>
    </row>
    <row r="819689" spans="1:1" x14ac:dyDescent="0.25">
      <c r="A819689" s="242"/>
    </row>
    <row r="819690" spans="1:1" x14ac:dyDescent="0.25">
      <c r="A819690" s="242"/>
    </row>
    <row r="819691" spans="1:1" x14ac:dyDescent="0.25">
      <c r="A819691" s="242"/>
    </row>
    <row r="819692" spans="1:1" x14ac:dyDescent="0.25">
      <c r="A819692" s="242"/>
    </row>
    <row r="819693" spans="1:1" x14ac:dyDescent="0.25">
      <c r="A819693" s="242"/>
    </row>
    <row r="819694" spans="1:1" x14ac:dyDescent="0.25">
      <c r="A819694" s="242"/>
    </row>
    <row r="819695" spans="1:1" x14ac:dyDescent="0.25">
      <c r="A819695" s="242"/>
    </row>
    <row r="819696" spans="1:1" x14ac:dyDescent="0.25">
      <c r="A819696" s="242"/>
    </row>
    <row r="819697" spans="1:1" x14ac:dyDescent="0.25">
      <c r="A819697" s="242"/>
    </row>
    <row r="819698" spans="1:1" x14ac:dyDescent="0.25">
      <c r="A819698" s="242"/>
    </row>
    <row r="819699" spans="1:1" x14ac:dyDescent="0.25">
      <c r="A819699" s="242"/>
    </row>
    <row r="819700" spans="1:1" x14ac:dyDescent="0.25">
      <c r="A819700" s="242"/>
    </row>
    <row r="819701" spans="1:1" x14ac:dyDescent="0.25">
      <c r="A819701" s="242"/>
    </row>
    <row r="819702" spans="1:1" x14ac:dyDescent="0.25">
      <c r="A819702" s="242"/>
    </row>
    <row r="819703" spans="1:1" x14ac:dyDescent="0.25">
      <c r="A819703" s="242"/>
    </row>
    <row r="819704" spans="1:1" x14ac:dyDescent="0.25">
      <c r="A819704" s="242"/>
    </row>
    <row r="819705" spans="1:1" x14ac:dyDescent="0.25">
      <c r="A819705" s="242"/>
    </row>
    <row r="819706" spans="1:1" x14ac:dyDescent="0.25">
      <c r="A819706" s="242"/>
    </row>
    <row r="819707" spans="1:1" x14ac:dyDescent="0.25">
      <c r="A819707" s="242"/>
    </row>
    <row r="819708" spans="1:1" x14ac:dyDescent="0.25">
      <c r="A819708" s="242"/>
    </row>
    <row r="819709" spans="1:1" x14ac:dyDescent="0.25">
      <c r="A819709" s="242"/>
    </row>
    <row r="819710" spans="1:1" x14ac:dyDescent="0.25">
      <c r="A819710" s="242"/>
    </row>
    <row r="819711" spans="1:1" x14ac:dyDescent="0.25">
      <c r="A819711" s="242"/>
    </row>
    <row r="819712" spans="1:1" x14ac:dyDescent="0.25">
      <c r="A819712" s="242"/>
    </row>
    <row r="819713" spans="1:1" x14ac:dyDescent="0.25">
      <c r="A819713" s="242"/>
    </row>
    <row r="819714" spans="1:1" x14ac:dyDescent="0.25">
      <c r="A819714" s="242"/>
    </row>
    <row r="819715" spans="1:1" x14ac:dyDescent="0.25">
      <c r="A819715" s="242"/>
    </row>
    <row r="819716" spans="1:1" x14ac:dyDescent="0.25">
      <c r="A819716" s="242"/>
    </row>
    <row r="819717" spans="1:1" x14ac:dyDescent="0.25">
      <c r="A819717" s="242"/>
    </row>
    <row r="819718" spans="1:1" x14ac:dyDescent="0.25">
      <c r="A819718" s="242"/>
    </row>
    <row r="819719" spans="1:1" x14ac:dyDescent="0.25">
      <c r="A819719" s="242"/>
    </row>
    <row r="819720" spans="1:1" x14ac:dyDescent="0.25">
      <c r="A819720" s="242"/>
    </row>
    <row r="819721" spans="1:1" x14ac:dyDescent="0.25">
      <c r="A819721" s="242"/>
    </row>
    <row r="819722" spans="1:1" x14ac:dyDescent="0.25">
      <c r="A819722" s="242"/>
    </row>
    <row r="819723" spans="1:1" x14ac:dyDescent="0.25">
      <c r="A819723" s="242"/>
    </row>
    <row r="819724" spans="1:1" x14ac:dyDescent="0.25">
      <c r="A819724" s="242"/>
    </row>
    <row r="819725" spans="1:1" x14ac:dyDescent="0.25">
      <c r="A819725" s="242"/>
    </row>
    <row r="819726" spans="1:1" x14ac:dyDescent="0.25">
      <c r="A819726" s="242"/>
    </row>
    <row r="819727" spans="1:1" x14ac:dyDescent="0.25">
      <c r="A819727" s="242"/>
    </row>
    <row r="819728" spans="1:1" x14ac:dyDescent="0.25">
      <c r="A819728" s="242"/>
    </row>
    <row r="819729" spans="1:1" x14ac:dyDescent="0.25">
      <c r="A819729" s="242"/>
    </row>
    <row r="819730" spans="1:1" x14ac:dyDescent="0.25">
      <c r="A819730" s="242"/>
    </row>
    <row r="819731" spans="1:1" x14ac:dyDescent="0.25">
      <c r="A819731" s="242"/>
    </row>
    <row r="819732" spans="1:1" x14ac:dyDescent="0.25">
      <c r="A819732" s="242"/>
    </row>
    <row r="819733" spans="1:1" x14ac:dyDescent="0.25">
      <c r="A819733" s="242"/>
    </row>
    <row r="819734" spans="1:1" x14ac:dyDescent="0.25">
      <c r="A819734" s="242"/>
    </row>
    <row r="819735" spans="1:1" x14ac:dyDescent="0.25">
      <c r="A819735" s="242"/>
    </row>
    <row r="819736" spans="1:1" x14ac:dyDescent="0.25">
      <c r="A819736" s="242"/>
    </row>
    <row r="819737" spans="1:1" x14ac:dyDescent="0.25">
      <c r="A819737" s="242"/>
    </row>
    <row r="819738" spans="1:1" x14ac:dyDescent="0.25">
      <c r="A819738" s="242"/>
    </row>
    <row r="819739" spans="1:1" x14ac:dyDescent="0.25">
      <c r="A819739" s="242"/>
    </row>
    <row r="819740" spans="1:1" x14ac:dyDescent="0.25">
      <c r="A819740" s="242"/>
    </row>
    <row r="819741" spans="1:1" x14ac:dyDescent="0.25">
      <c r="A819741" s="242"/>
    </row>
    <row r="819742" spans="1:1" x14ac:dyDescent="0.25">
      <c r="A819742" s="242"/>
    </row>
    <row r="819743" spans="1:1" x14ac:dyDescent="0.25">
      <c r="A819743" s="242"/>
    </row>
    <row r="819744" spans="1:1" x14ac:dyDescent="0.25">
      <c r="A819744" s="242"/>
    </row>
    <row r="819745" spans="1:1" x14ac:dyDescent="0.25">
      <c r="A819745" s="242"/>
    </row>
    <row r="819746" spans="1:1" x14ac:dyDescent="0.25">
      <c r="A819746" s="242"/>
    </row>
    <row r="819747" spans="1:1" x14ac:dyDescent="0.25">
      <c r="A819747" s="242"/>
    </row>
    <row r="819748" spans="1:1" x14ac:dyDescent="0.25">
      <c r="A819748" s="242"/>
    </row>
    <row r="819749" spans="1:1" x14ac:dyDescent="0.25">
      <c r="A819749" s="242"/>
    </row>
    <row r="819750" spans="1:1" x14ac:dyDescent="0.25">
      <c r="A819750" s="242"/>
    </row>
    <row r="819751" spans="1:1" x14ac:dyDescent="0.25">
      <c r="A819751" s="242"/>
    </row>
    <row r="819752" spans="1:1" x14ac:dyDescent="0.25">
      <c r="A819752" s="242"/>
    </row>
    <row r="819753" spans="1:1" x14ac:dyDescent="0.25">
      <c r="A819753" s="242"/>
    </row>
    <row r="819754" spans="1:1" x14ac:dyDescent="0.25">
      <c r="A819754" s="242"/>
    </row>
    <row r="819755" spans="1:1" x14ac:dyDescent="0.25">
      <c r="A819755" s="242"/>
    </row>
    <row r="819756" spans="1:1" x14ac:dyDescent="0.25">
      <c r="A819756" s="242"/>
    </row>
    <row r="819757" spans="1:1" x14ac:dyDescent="0.25">
      <c r="A819757" s="242"/>
    </row>
    <row r="819758" spans="1:1" x14ac:dyDescent="0.25">
      <c r="A819758" s="242"/>
    </row>
    <row r="819759" spans="1:1" x14ac:dyDescent="0.25">
      <c r="A819759" s="242"/>
    </row>
    <row r="819760" spans="1:1" x14ac:dyDescent="0.25">
      <c r="A819760" s="242"/>
    </row>
    <row r="819761" spans="1:1" x14ac:dyDescent="0.25">
      <c r="A819761" s="242"/>
    </row>
    <row r="819762" spans="1:1" x14ac:dyDescent="0.25">
      <c r="A819762" s="242"/>
    </row>
    <row r="819763" spans="1:1" x14ac:dyDescent="0.25">
      <c r="A819763" s="242"/>
    </row>
    <row r="819764" spans="1:1" x14ac:dyDescent="0.25">
      <c r="A819764" s="242"/>
    </row>
    <row r="819765" spans="1:1" x14ac:dyDescent="0.25">
      <c r="A819765" s="242"/>
    </row>
    <row r="819766" spans="1:1" x14ac:dyDescent="0.25">
      <c r="A819766" s="242"/>
    </row>
    <row r="819767" spans="1:1" x14ac:dyDescent="0.25">
      <c r="A819767" s="242"/>
    </row>
    <row r="819768" spans="1:1" x14ac:dyDescent="0.25">
      <c r="A819768" s="242"/>
    </row>
    <row r="819769" spans="1:1" x14ac:dyDescent="0.25">
      <c r="A819769" s="242"/>
    </row>
    <row r="819770" spans="1:1" x14ac:dyDescent="0.25">
      <c r="A819770" s="242"/>
    </row>
    <row r="819771" spans="1:1" x14ac:dyDescent="0.25">
      <c r="A819771" s="242"/>
    </row>
    <row r="819772" spans="1:1" x14ac:dyDescent="0.25">
      <c r="A819772" s="242"/>
    </row>
    <row r="819773" spans="1:1" x14ac:dyDescent="0.25">
      <c r="A819773" s="242"/>
    </row>
    <row r="819774" spans="1:1" x14ac:dyDescent="0.25">
      <c r="A819774" s="242"/>
    </row>
    <row r="819775" spans="1:1" x14ac:dyDescent="0.25">
      <c r="A819775" s="242"/>
    </row>
    <row r="819776" spans="1:1" x14ac:dyDescent="0.25">
      <c r="A819776" s="242"/>
    </row>
    <row r="819777" spans="1:1" x14ac:dyDescent="0.25">
      <c r="A819777" s="242"/>
    </row>
    <row r="819778" spans="1:1" x14ac:dyDescent="0.25">
      <c r="A819778" s="242"/>
    </row>
    <row r="819779" spans="1:1" x14ac:dyDescent="0.25">
      <c r="A819779" s="242"/>
    </row>
    <row r="819780" spans="1:1" x14ac:dyDescent="0.25">
      <c r="A819780" s="242"/>
    </row>
    <row r="819781" spans="1:1" x14ac:dyDescent="0.25">
      <c r="A819781" s="242"/>
    </row>
    <row r="819782" spans="1:1" x14ac:dyDescent="0.25">
      <c r="A819782" s="242"/>
    </row>
    <row r="819783" spans="1:1" x14ac:dyDescent="0.25">
      <c r="A819783" s="242"/>
    </row>
    <row r="819784" spans="1:1" x14ac:dyDescent="0.25">
      <c r="A819784" s="242"/>
    </row>
    <row r="819785" spans="1:1" x14ac:dyDescent="0.25">
      <c r="A819785" s="242"/>
    </row>
    <row r="819786" spans="1:1" x14ac:dyDescent="0.25">
      <c r="A819786" s="242"/>
    </row>
    <row r="819787" spans="1:1" x14ac:dyDescent="0.25">
      <c r="A819787" s="242"/>
    </row>
    <row r="819788" spans="1:1" x14ac:dyDescent="0.25">
      <c r="A819788" s="242"/>
    </row>
    <row r="819789" spans="1:1" x14ac:dyDescent="0.25">
      <c r="A819789" s="242"/>
    </row>
    <row r="819790" spans="1:1" x14ac:dyDescent="0.25">
      <c r="A819790" s="242"/>
    </row>
    <row r="819791" spans="1:1" x14ac:dyDescent="0.25">
      <c r="A819791" s="242"/>
    </row>
    <row r="819792" spans="1:1" x14ac:dyDescent="0.25">
      <c r="A819792" s="242"/>
    </row>
    <row r="819793" spans="1:1" x14ac:dyDescent="0.25">
      <c r="A819793" s="242"/>
    </row>
    <row r="819794" spans="1:1" x14ac:dyDescent="0.25">
      <c r="A819794" s="242"/>
    </row>
    <row r="819795" spans="1:1" x14ac:dyDescent="0.25">
      <c r="A819795" s="242"/>
    </row>
    <row r="819796" spans="1:1" x14ac:dyDescent="0.25">
      <c r="A819796" s="242"/>
    </row>
    <row r="819797" spans="1:1" x14ac:dyDescent="0.25">
      <c r="A819797" s="242"/>
    </row>
    <row r="819798" spans="1:1" x14ac:dyDescent="0.25">
      <c r="A819798" s="242"/>
    </row>
    <row r="819799" spans="1:1" x14ac:dyDescent="0.25">
      <c r="A819799" s="242"/>
    </row>
    <row r="819800" spans="1:1" x14ac:dyDescent="0.25">
      <c r="A819800" s="242"/>
    </row>
    <row r="819801" spans="1:1" x14ac:dyDescent="0.25">
      <c r="A819801" s="242"/>
    </row>
    <row r="819802" spans="1:1" x14ac:dyDescent="0.25">
      <c r="A819802" s="242"/>
    </row>
    <row r="819803" spans="1:1" x14ac:dyDescent="0.25">
      <c r="A819803" s="242"/>
    </row>
    <row r="819804" spans="1:1" x14ac:dyDescent="0.25">
      <c r="A819804" s="242"/>
    </row>
    <row r="819805" spans="1:1" x14ac:dyDescent="0.25">
      <c r="A819805" s="242"/>
    </row>
    <row r="819806" spans="1:1" x14ac:dyDescent="0.25">
      <c r="A819806" s="242"/>
    </row>
    <row r="819807" spans="1:1" x14ac:dyDescent="0.25">
      <c r="A819807" s="242"/>
    </row>
    <row r="819808" spans="1:1" x14ac:dyDescent="0.25">
      <c r="A819808" s="242"/>
    </row>
    <row r="819809" spans="1:1" x14ac:dyDescent="0.25">
      <c r="A819809" s="242"/>
    </row>
    <row r="819810" spans="1:1" x14ac:dyDescent="0.25">
      <c r="A819810" s="242"/>
    </row>
    <row r="819811" spans="1:1" x14ac:dyDescent="0.25">
      <c r="A819811" s="242"/>
    </row>
    <row r="819812" spans="1:1" x14ac:dyDescent="0.25">
      <c r="A819812" s="242"/>
    </row>
    <row r="819813" spans="1:1" x14ac:dyDescent="0.25">
      <c r="A819813" s="242"/>
    </row>
    <row r="819814" spans="1:1" x14ac:dyDescent="0.25">
      <c r="A819814" s="242"/>
    </row>
    <row r="819815" spans="1:1" x14ac:dyDescent="0.25">
      <c r="A819815" s="242"/>
    </row>
    <row r="819816" spans="1:1" x14ac:dyDescent="0.25">
      <c r="A819816" s="242"/>
    </row>
    <row r="819817" spans="1:1" x14ac:dyDescent="0.25">
      <c r="A819817" s="242"/>
    </row>
    <row r="819818" spans="1:1" x14ac:dyDescent="0.25">
      <c r="A819818" s="242"/>
    </row>
    <row r="819819" spans="1:1" x14ac:dyDescent="0.25">
      <c r="A819819" s="242"/>
    </row>
    <row r="819820" spans="1:1" x14ac:dyDescent="0.25">
      <c r="A819820" s="242"/>
    </row>
    <row r="819821" spans="1:1" x14ac:dyDescent="0.25">
      <c r="A819821" s="242"/>
    </row>
    <row r="819822" spans="1:1" x14ac:dyDescent="0.25">
      <c r="A819822" s="242"/>
    </row>
    <row r="819823" spans="1:1" x14ac:dyDescent="0.25">
      <c r="A819823" s="242"/>
    </row>
    <row r="819824" spans="1:1" x14ac:dyDescent="0.25">
      <c r="A819824" s="242"/>
    </row>
    <row r="819825" spans="1:1" x14ac:dyDescent="0.25">
      <c r="A819825" s="242"/>
    </row>
    <row r="819826" spans="1:1" x14ac:dyDescent="0.25">
      <c r="A819826" s="242"/>
    </row>
    <row r="819827" spans="1:1" x14ac:dyDescent="0.25">
      <c r="A819827" s="242"/>
    </row>
    <row r="819828" spans="1:1" x14ac:dyDescent="0.25">
      <c r="A819828" s="242"/>
    </row>
    <row r="819829" spans="1:1" x14ac:dyDescent="0.25">
      <c r="A819829" s="242"/>
    </row>
    <row r="819830" spans="1:1" x14ac:dyDescent="0.25">
      <c r="A819830" s="242"/>
    </row>
    <row r="819831" spans="1:1" x14ac:dyDescent="0.25">
      <c r="A819831" s="242"/>
    </row>
    <row r="819832" spans="1:1" x14ac:dyDescent="0.25">
      <c r="A819832" s="242"/>
    </row>
    <row r="819833" spans="1:1" x14ac:dyDescent="0.25">
      <c r="A819833" s="242"/>
    </row>
    <row r="819834" spans="1:1" x14ac:dyDescent="0.25">
      <c r="A819834" s="242"/>
    </row>
    <row r="819835" spans="1:1" x14ac:dyDescent="0.25">
      <c r="A819835" s="242"/>
    </row>
    <row r="819836" spans="1:1" x14ac:dyDescent="0.25">
      <c r="A819836" s="242"/>
    </row>
    <row r="819837" spans="1:1" x14ac:dyDescent="0.25">
      <c r="A819837" s="242"/>
    </row>
    <row r="819838" spans="1:1" x14ac:dyDescent="0.25">
      <c r="A819838" s="242"/>
    </row>
    <row r="819839" spans="1:1" x14ac:dyDescent="0.25">
      <c r="A819839" s="242"/>
    </row>
    <row r="819840" spans="1:1" x14ac:dyDescent="0.25">
      <c r="A819840" s="242"/>
    </row>
    <row r="819841" spans="1:1" x14ac:dyDescent="0.25">
      <c r="A819841" s="242"/>
    </row>
    <row r="819842" spans="1:1" x14ac:dyDescent="0.25">
      <c r="A819842" s="242"/>
    </row>
    <row r="819843" spans="1:1" x14ac:dyDescent="0.25">
      <c r="A819843" s="242"/>
    </row>
    <row r="819844" spans="1:1" x14ac:dyDescent="0.25">
      <c r="A819844" s="242"/>
    </row>
    <row r="819845" spans="1:1" x14ac:dyDescent="0.25">
      <c r="A819845" s="242"/>
    </row>
    <row r="819846" spans="1:1" x14ac:dyDescent="0.25">
      <c r="A819846" s="242"/>
    </row>
    <row r="819847" spans="1:1" x14ac:dyDescent="0.25">
      <c r="A819847" s="242"/>
    </row>
    <row r="819848" spans="1:1" x14ac:dyDescent="0.25">
      <c r="A819848" s="242"/>
    </row>
    <row r="819849" spans="1:1" x14ac:dyDescent="0.25">
      <c r="A819849" s="242"/>
    </row>
    <row r="819850" spans="1:1" x14ac:dyDescent="0.25">
      <c r="A819850" s="242"/>
    </row>
    <row r="819851" spans="1:1" x14ac:dyDescent="0.25">
      <c r="A819851" s="242"/>
    </row>
    <row r="819852" spans="1:1" x14ac:dyDescent="0.25">
      <c r="A819852" s="242"/>
    </row>
    <row r="819853" spans="1:1" x14ac:dyDescent="0.25">
      <c r="A819853" s="242"/>
    </row>
    <row r="819854" spans="1:1" x14ac:dyDescent="0.25">
      <c r="A819854" s="242"/>
    </row>
    <row r="819855" spans="1:1" x14ac:dyDescent="0.25">
      <c r="A819855" s="242"/>
    </row>
    <row r="819856" spans="1:1" x14ac:dyDescent="0.25">
      <c r="A819856" s="242"/>
    </row>
    <row r="819857" spans="1:1" x14ac:dyDescent="0.25">
      <c r="A819857" s="242"/>
    </row>
    <row r="819858" spans="1:1" x14ac:dyDescent="0.25">
      <c r="A819858" s="242"/>
    </row>
    <row r="819859" spans="1:1" x14ac:dyDescent="0.25">
      <c r="A819859" s="242"/>
    </row>
    <row r="819860" spans="1:1" x14ac:dyDescent="0.25">
      <c r="A819860" s="242"/>
    </row>
    <row r="819861" spans="1:1" x14ac:dyDescent="0.25">
      <c r="A819861" s="242"/>
    </row>
    <row r="819862" spans="1:1" x14ac:dyDescent="0.25">
      <c r="A819862" s="242"/>
    </row>
    <row r="819863" spans="1:1" x14ac:dyDescent="0.25">
      <c r="A819863" s="242"/>
    </row>
    <row r="819864" spans="1:1" x14ac:dyDescent="0.25">
      <c r="A819864" s="242"/>
    </row>
    <row r="819865" spans="1:1" x14ac:dyDescent="0.25">
      <c r="A819865" s="242"/>
    </row>
    <row r="819866" spans="1:1" x14ac:dyDescent="0.25">
      <c r="A819866" s="242"/>
    </row>
    <row r="819867" spans="1:1" x14ac:dyDescent="0.25">
      <c r="A819867" s="242"/>
    </row>
    <row r="819868" spans="1:1" x14ac:dyDescent="0.25">
      <c r="A819868" s="242"/>
    </row>
    <row r="819869" spans="1:1" x14ac:dyDescent="0.25">
      <c r="A819869" s="242"/>
    </row>
    <row r="819870" spans="1:1" x14ac:dyDescent="0.25">
      <c r="A819870" s="242"/>
    </row>
    <row r="819871" spans="1:1" x14ac:dyDescent="0.25">
      <c r="A819871" s="242"/>
    </row>
    <row r="819872" spans="1:1" x14ac:dyDescent="0.25">
      <c r="A819872" s="242"/>
    </row>
    <row r="819873" spans="1:1" x14ac:dyDescent="0.25">
      <c r="A819873" s="242"/>
    </row>
    <row r="819874" spans="1:1" x14ac:dyDescent="0.25">
      <c r="A819874" s="242"/>
    </row>
    <row r="819875" spans="1:1" x14ac:dyDescent="0.25">
      <c r="A819875" s="242"/>
    </row>
    <row r="819876" spans="1:1" x14ac:dyDescent="0.25">
      <c r="A819876" s="242"/>
    </row>
    <row r="819877" spans="1:1" x14ac:dyDescent="0.25">
      <c r="A819877" s="242"/>
    </row>
    <row r="819878" spans="1:1" x14ac:dyDescent="0.25">
      <c r="A819878" s="242"/>
    </row>
    <row r="819879" spans="1:1" x14ac:dyDescent="0.25">
      <c r="A819879" s="242"/>
    </row>
    <row r="819880" spans="1:1" x14ac:dyDescent="0.25">
      <c r="A819880" s="242"/>
    </row>
    <row r="819881" spans="1:1" x14ac:dyDescent="0.25">
      <c r="A819881" s="242"/>
    </row>
    <row r="819882" spans="1:1" x14ac:dyDescent="0.25">
      <c r="A819882" s="242"/>
    </row>
    <row r="819883" spans="1:1" x14ac:dyDescent="0.25">
      <c r="A819883" s="242"/>
    </row>
    <row r="819884" spans="1:1" x14ac:dyDescent="0.25">
      <c r="A819884" s="242"/>
    </row>
    <row r="819885" spans="1:1" x14ac:dyDescent="0.25">
      <c r="A819885" s="242"/>
    </row>
    <row r="819886" spans="1:1" x14ac:dyDescent="0.25">
      <c r="A819886" s="242"/>
    </row>
    <row r="819887" spans="1:1" x14ac:dyDescent="0.25">
      <c r="A819887" s="242"/>
    </row>
    <row r="819888" spans="1:1" x14ac:dyDescent="0.25">
      <c r="A819888" s="242"/>
    </row>
    <row r="819889" spans="1:1" x14ac:dyDescent="0.25">
      <c r="A819889" s="242"/>
    </row>
    <row r="819890" spans="1:1" x14ac:dyDescent="0.25">
      <c r="A819890" s="242"/>
    </row>
    <row r="819891" spans="1:1" x14ac:dyDescent="0.25">
      <c r="A819891" s="242"/>
    </row>
    <row r="819892" spans="1:1" x14ac:dyDescent="0.25">
      <c r="A819892" s="242"/>
    </row>
    <row r="819893" spans="1:1" x14ac:dyDescent="0.25">
      <c r="A819893" s="242"/>
    </row>
    <row r="819894" spans="1:1" x14ac:dyDescent="0.25">
      <c r="A819894" s="242"/>
    </row>
    <row r="819895" spans="1:1" x14ac:dyDescent="0.25">
      <c r="A819895" s="242"/>
    </row>
    <row r="819896" spans="1:1" x14ac:dyDescent="0.25">
      <c r="A819896" s="242"/>
    </row>
    <row r="819897" spans="1:1" x14ac:dyDescent="0.25">
      <c r="A819897" s="242"/>
    </row>
    <row r="819898" spans="1:1" x14ac:dyDescent="0.25">
      <c r="A819898" s="242"/>
    </row>
    <row r="819899" spans="1:1" x14ac:dyDescent="0.25">
      <c r="A819899" s="242"/>
    </row>
    <row r="819900" spans="1:1" x14ac:dyDescent="0.25">
      <c r="A819900" s="242"/>
    </row>
    <row r="819901" spans="1:1" x14ac:dyDescent="0.25">
      <c r="A819901" s="242"/>
    </row>
    <row r="819902" spans="1:1" x14ac:dyDescent="0.25">
      <c r="A819902" s="242"/>
    </row>
    <row r="819903" spans="1:1" x14ac:dyDescent="0.25">
      <c r="A819903" s="242"/>
    </row>
    <row r="819904" spans="1:1" x14ac:dyDescent="0.25">
      <c r="A819904" s="242"/>
    </row>
    <row r="819905" spans="1:1" x14ac:dyDescent="0.25">
      <c r="A819905" s="242"/>
    </row>
    <row r="819906" spans="1:1" x14ac:dyDescent="0.25">
      <c r="A819906" s="242"/>
    </row>
    <row r="819907" spans="1:1" x14ac:dyDescent="0.25">
      <c r="A819907" s="242"/>
    </row>
    <row r="819908" spans="1:1" x14ac:dyDescent="0.25">
      <c r="A819908" s="242"/>
    </row>
    <row r="819909" spans="1:1" x14ac:dyDescent="0.25">
      <c r="A819909" s="242"/>
    </row>
    <row r="819910" spans="1:1" x14ac:dyDescent="0.25">
      <c r="A819910" s="242"/>
    </row>
    <row r="819911" spans="1:1" x14ac:dyDescent="0.25">
      <c r="A819911" s="242"/>
    </row>
    <row r="819912" spans="1:1" x14ac:dyDescent="0.25">
      <c r="A819912" s="242"/>
    </row>
    <row r="819913" spans="1:1" x14ac:dyDescent="0.25">
      <c r="A819913" s="242"/>
    </row>
    <row r="819914" spans="1:1" x14ac:dyDescent="0.25">
      <c r="A819914" s="242"/>
    </row>
    <row r="819915" spans="1:1" x14ac:dyDescent="0.25">
      <c r="A819915" s="242"/>
    </row>
    <row r="819916" spans="1:1" x14ac:dyDescent="0.25">
      <c r="A819916" s="242"/>
    </row>
    <row r="819917" spans="1:1" x14ac:dyDescent="0.25">
      <c r="A819917" s="242"/>
    </row>
    <row r="819918" spans="1:1" x14ac:dyDescent="0.25">
      <c r="A819918" s="242"/>
    </row>
    <row r="819919" spans="1:1" x14ac:dyDescent="0.25">
      <c r="A819919" s="242"/>
    </row>
    <row r="819920" spans="1:1" x14ac:dyDescent="0.25">
      <c r="A819920" s="242"/>
    </row>
    <row r="819921" spans="1:1" x14ac:dyDescent="0.25">
      <c r="A819921" s="242"/>
    </row>
    <row r="819922" spans="1:1" x14ac:dyDescent="0.25">
      <c r="A819922" s="242"/>
    </row>
    <row r="819923" spans="1:1" x14ac:dyDescent="0.25">
      <c r="A819923" s="242"/>
    </row>
    <row r="819924" spans="1:1" x14ac:dyDescent="0.25">
      <c r="A819924" s="242"/>
    </row>
    <row r="819925" spans="1:1" x14ac:dyDescent="0.25">
      <c r="A819925" s="242"/>
    </row>
    <row r="819926" spans="1:1" x14ac:dyDescent="0.25">
      <c r="A819926" s="242"/>
    </row>
    <row r="819927" spans="1:1" x14ac:dyDescent="0.25">
      <c r="A819927" s="242"/>
    </row>
    <row r="819928" spans="1:1" x14ac:dyDescent="0.25">
      <c r="A819928" s="242"/>
    </row>
    <row r="819929" spans="1:1" x14ac:dyDescent="0.25">
      <c r="A819929" s="242"/>
    </row>
    <row r="819930" spans="1:1" x14ac:dyDescent="0.25">
      <c r="A819930" s="242"/>
    </row>
    <row r="819931" spans="1:1" x14ac:dyDescent="0.25">
      <c r="A819931" s="242"/>
    </row>
    <row r="819932" spans="1:1" x14ac:dyDescent="0.25">
      <c r="A819932" s="242"/>
    </row>
    <row r="819933" spans="1:1" x14ac:dyDescent="0.25">
      <c r="A819933" s="242"/>
    </row>
    <row r="819934" spans="1:1" x14ac:dyDescent="0.25">
      <c r="A819934" s="242"/>
    </row>
    <row r="819935" spans="1:1" x14ac:dyDescent="0.25">
      <c r="A819935" s="242"/>
    </row>
    <row r="819936" spans="1:1" x14ac:dyDescent="0.25">
      <c r="A819936" s="242"/>
    </row>
    <row r="819937" spans="1:1" x14ac:dyDescent="0.25">
      <c r="A819937" s="242"/>
    </row>
    <row r="819938" spans="1:1" x14ac:dyDescent="0.25">
      <c r="A819938" s="242"/>
    </row>
    <row r="819939" spans="1:1" x14ac:dyDescent="0.25">
      <c r="A819939" s="242"/>
    </row>
    <row r="819940" spans="1:1" x14ac:dyDescent="0.25">
      <c r="A819940" s="242"/>
    </row>
    <row r="819941" spans="1:1" x14ac:dyDescent="0.25">
      <c r="A819941" s="242"/>
    </row>
    <row r="819942" spans="1:1" x14ac:dyDescent="0.25">
      <c r="A819942" s="242"/>
    </row>
    <row r="819943" spans="1:1" x14ac:dyDescent="0.25">
      <c r="A819943" s="242"/>
    </row>
    <row r="819944" spans="1:1" x14ac:dyDescent="0.25">
      <c r="A819944" s="242"/>
    </row>
    <row r="819945" spans="1:1" x14ac:dyDescent="0.25">
      <c r="A819945" s="242"/>
    </row>
    <row r="819946" spans="1:1" x14ac:dyDescent="0.25">
      <c r="A819946" s="242"/>
    </row>
    <row r="819947" spans="1:1" x14ac:dyDescent="0.25">
      <c r="A819947" s="242"/>
    </row>
    <row r="819948" spans="1:1" x14ac:dyDescent="0.25">
      <c r="A819948" s="242"/>
    </row>
    <row r="819949" spans="1:1" x14ac:dyDescent="0.25">
      <c r="A819949" s="242"/>
    </row>
    <row r="819950" spans="1:1" x14ac:dyDescent="0.25">
      <c r="A819950" s="242"/>
    </row>
    <row r="819951" spans="1:1" x14ac:dyDescent="0.25">
      <c r="A819951" s="242"/>
    </row>
    <row r="819952" spans="1:1" x14ac:dyDescent="0.25">
      <c r="A819952" s="242"/>
    </row>
    <row r="819953" spans="1:1" x14ac:dyDescent="0.25">
      <c r="A819953" s="242"/>
    </row>
    <row r="819954" spans="1:1" x14ac:dyDescent="0.25">
      <c r="A819954" s="242"/>
    </row>
    <row r="819955" spans="1:1" x14ac:dyDescent="0.25">
      <c r="A819955" s="242"/>
    </row>
    <row r="819956" spans="1:1" x14ac:dyDescent="0.25">
      <c r="A819956" s="242"/>
    </row>
    <row r="819957" spans="1:1" x14ac:dyDescent="0.25">
      <c r="A819957" s="242"/>
    </row>
    <row r="819958" spans="1:1" x14ac:dyDescent="0.25">
      <c r="A819958" s="242"/>
    </row>
    <row r="819959" spans="1:1" x14ac:dyDescent="0.25">
      <c r="A819959" s="242"/>
    </row>
    <row r="819960" spans="1:1" x14ac:dyDescent="0.25">
      <c r="A819960" s="242"/>
    </row>
    <row r="819961" spans="1:1" x14ac:dyDescent="0.25">
      <c r="A819961" s="242"/>
    </row>
    <row r="819962" spans="1:1" x14ac:dyDescent="0.25">
      <c r="A819962" s="242"/>
    </row>
    <row r="819963" spans="1:1" x14ac:dyDescent="0.25">
      <c r="A819963" s="242"/>
    </row>
    <row r="819964" spans="1:1" x14ac:dyDescent="0.25">
      <c r="A819964" s="242"/>
    </row>
    <row r="819965" spans="1:1" x14ac:dyDescent="0.25">
      <c r="A819965" s="242"/>
    </row>
    <row r="819966" spans="1:1" x14ac:dyDescent="0.25">
      <c r="A819966" s="242"/>
    </row>
    <row r="819967" spans="1:1" x14ac:dyDescent="0.25">
      <c r="A819967" s="242"/>
    </row>
    <row r="819968" spans="1:1" x14ac:dyDescent="0.25">
      <c r="A819968" s="242"/>
    </row>
    <row r="819969" spans="1:1" x14ac:dyDescent="0.25">
      <c r="A819969" s="242"/>
    </row>
    <row r="819970" spans="1:1" x14ac:dyDescent="0.25">
      <c r="A819970" s="242"/>
    </row>
    <row r="819971" spans="1:1" x14ac:dyDescent="0.25">
      <c r="A819971" s="242"/>
    </row>
    <row r="819972" spans="1:1" x14ac:dyDescent="0.25">
      <c r="A819972" s="242"/>
    </row>
    <row r="819973" spans="1:1" x14ac:dyDescent="0.25">
      <c r="A819973" s="242"/>
    </row>
    <row r="819974" spans="1:1" x14ac:dyDescent="0.25">
      <c r="A819974" s="242"/>
    </row>
    <row r="819975" spans="1:1" x14ac:dyDescent="0.25">
      <c r="A819975" s="242"/>
    </row>
    <row r="819976" spans="1:1" x14ac:dyDescent="0.25">
      <c r="A819976" s="242"/>
    </row>
    <row r="819977" spans="1:1" x14ac:dyDescent="0.25">
      <c r="A819977" s="242"/>
    </row>
    <row r="819978" spans="1:1" x14ac:dyDescent="0.25">
      <c r="A819978" s="242"/>
    </row>
    <row r="819979" spans="1:1" x14ac:dyDescent="0.25">
      <c r="A819979" s="242"/>
    </row>
    <row r="819980" spans="1:1" x14ac:dyDescent="0.25">
      <c r="A819980" s="242"/>
    </row>
    <row r="819981" spans="1:1" x14ac:dyDescent="0.25">
      <c r="A819981" s="242"/>
    </row>
    <row r="819982" spans="1:1" x14ac:dyDescent="0.25">
      <c r="A819982" s="242"/>
    </row>
    <row r="819983" spans="1:1" x14ac:dyDescent="0.25">
      <c r="A819983" s="242"/>
    </row>
    <row r="819984" spans="1:1" x14ac:dyDescent="0.25">
      <c r="A819984" s="242"/>
    </row>
    <row r="819985" spans="1:1" x14ac:dyDescent="0.25">
      <c r="A819985" s="242"/>
    </row>
    <row r="819986" spans="1:1" x14ac:dyDescent="0.25">
      <c r="A819986" s="242"/>
    </row>
    <row r="819987" spans="1:1" x14ac:dyDescent="0.25">
      <c r="A819987" s="242"/>
    </row>
    <row r="819988" spans="1:1" x14ac:dyDescent="0.25">
      <c r="A819988" s="242"/>
    </row>
    <row r="819989" spans="1:1" x14ac:dyDescent="0.25">
      <c r="A819989" s="242"/>
    </row>
    <row r="819990" spans="1:1" x14ac:dyDescent="0.25">
      <c r="A819990" s="242"/>
    </row>
    <row r="819991" spans="1:1" x14ac:dyDescent="0.25">
      <c r="A819991" s="242"/>
    </row>
    <row r="819992" spans="1:1" x14ac:dyDescent="0.25">
      <c r="A819992" s="242"/>
    </row>
    <row r="819993" spans="1:1" x14ac:dyDescent="0.25">
      <c r="A819993" s="242"/>
    </row>
    <row r="819994" spans="1:1" x14ac:dyDescent="0.25">
      <c r="A819994" s="242"/>
    </row>
    <row r="819995" spans="1:1" x14ac:dyDescent="0.25">
      <c r="A819995" s="242"/>
    </row>
    <row r="819996" spans="1:1" x14ac:dyDescent="0.25">
      <c r="A819996" s="242"/>
    </row>
    <row r="819997" spans="1:1" x14ac:dyDescent="0.25">
      <c r="A819997" s="242"/>
    </row>
    <row r="819998" spans="1:1" x14ac:dyDescent="0.25">
      <c r="A819998" s="242"/>
    </row>
    <row r="819999" spans="1:1" x14ac:dyDescent="0.25">
      <c r="A819999" s="242"/>
    </row>
    <row r="820000" spans="1:1" x14ac:dyDescent="0.25">
      <c r="A820000" s="242"/>
    </row>
    <row r="820001" spans="1:1" x14ac:dyDescent="0.25">
      <c r="A820001" s="242"/>
    </row>
    <row r="820002" spans="1:1" x14ac:dyDescent="0.25">
      <c r="A820002" s="242"/>
    </row>
    <row r="820003" spans="1:1" x14ac:dyDescent="0.25">
      <c r="A820003" s="242"/>
    </row>
    <row r="820004" spans="1:1" x14ac:dyDescent="0.25">
      <c r="A820004" s="242"/>
    </row>
    <row r="820005" spans="1:1" x14ac:dyDescent="0.25">
      <c r="A820005" s="242"/>
    </row>
    <row r="820006" spans="1:1" x14ac:dyDescent="0.25">
      <c r="A820006" s="242"/>
    </row>
    <row r="820007" spans="1:1" x14ac:dyDescent="0.25">
      <c r="A820007" s="242"/>
    </row>
    <row r="820008" spans="1:1" x14ac:dyDescent="0.25">
      <c r="A820008" s="242"/>
    </row>
    <row r="820009" spans="1:1" x14ac:dyDescent="0.25">
      <c r="A820009" s="242"/>
    </row>
    <row r="820010" spans="1:1" x14ac:dyDescent="0.25">
      <c r="A820010" s="242"/>
    </row>
    <row r="820011" spans="1:1" x14ac:dyDescent="0.25">
      <c r="A820011" s="242"/>
    </row>
    <row r="820012" spans="1:1" x14ac:dyDescent="0.25">
      <c r="A820012" s="242"/>
    </row>
    <row r="820013" spans="1:1" x14ac:dyDescent="0.25">
      <c r="A820013" s="242"/>
    </row>
    <row r="820014" spans="1:1" x14ac:dyDescent="0.25">
      <c r="A820014" s="242"/>
    </row>
    <row r="820015" spans="1:1" x14ac:dyDescent="0.25">
      <c r="A820015" s="242"/>
    </row>
    <row r="820016" spans="1:1" x14ac:dyDescent="0.25">
      <c r="A820016" s="242"/>
    </row>
    <row r="820017" spans="1:1" x14ac:dyDescent="0.25">
      <c r="A820017" s="242"/>
    </row>
    <row r="820018" spans="1:1" x14ac:dyDescent="0.25">
      <c r="A820018" s="242"/>
    </row>
    <row r="820019" spans="1:1" x14ac:dyDescent="0.25">
      <c r="A820019" s="242"/>
    </row>
    <row r="820020" spans="1:1" x14ac:dyDescent="0.25">
      <c r="A820020" s="242"/>
    </row>
    <row r="820021" spans="1:1" x14ac:dyDescent="0.25">
      <c r="A820021" s="242"/>
    </row>
    <row r="820022" spans="1:1" x14ac:dyDescent="0.25">
      <c r="A820022" s="242"/>
    </row>
    <row r="820023" spans="1:1" x14ac:dyDescent="0.25">
      <c r="A820023" s="242"/>
    </row>
    <row r="820024" spans="1:1" x14ac:dyDescent="0.25">
      <c r="A820024" s="242"/>
    </row>
    <row r="820025" spans="1:1" x14ac:dyDescent="0.25">
      <c r="A820025" s="242"/>
    </row>
    <row r="820026" spans="1:1" x14ac:dyDescent="0.25">
      <c r="A820026" s="242"/>
    </row>
    <row r="820027" spans="1:1" x14ac:dyDescent="0.25">
      <c r="A820027" s="242"/>
    </row>
    <row r="820028" spans="1:1" x14ac:dyDescent="0.25">
      <c r="A820028" s="242"/>
    </row>
    <row r="820029" spans="1:1" x14ac:dyDescent="0.25">
      <c r="A820029" s="242"/>
    </row>
    <row r="820030" spans="1:1" x14ac:dyDescent="0.25">
      <c r="A820030" s="242"/>
    </row>
    <row r="820031" spans="1:1" x14ac:dyDescent="0.25">
      <c r="A820031" s="242"/>
    </row>
    <row r="820032" spans="1:1" x14ac:dyDescent="0.25">
      <c r="A820032" s="242"/>
    </row>
    <row r="820033" spans="1:1" x14ac:dyDescent="0.25">
      <c r="A820033" s="242"/>
    </row>
    <row r="820034" spans="1:1" x14ac:dyDescent="0.25">
      <c r="A820034" s="242"/>
    </row>
    <row r="820035" spans="1:1" x14ac:dyDescent="0.25">
      <c r="A820035" s="242"/>
    </row>
    <row r="820036" spans="1:1" x14ac:dyDescent="0.25">
      <c r="A820036" s="242"/>
    </row>
    <row r="820037" spans="1:1" x14ac:dyDescent="0.25">
      <c r="A820037" s="242"/>
    </row>
    <row r="820038" spans="1:1" x14ac:dyDescent="0.25">
      <c r="A820038" s="242"/>
    </row>
    <row r="820039" spans="1:1" x14ac:dyDescent="0.25">
      <c r="A820039" s="242"/>
    </row>
    <row r="820040" spans="1:1" x14ac:dyDescent="0.25">
      <c r="A820040" s="242"/>
    </row>
    <row r="820041" spans="1:1" x14ac:dyDescent="0.25">
      <c r="A820041" s="242"/>
    </row>
    <row r="820042" spans="1:1" x14ac:dyDescent="0.25">
      <c r="A820042" s="242"/>
    </row>
    <row r="820043" spans="1:1" x14ac:dyDescent="0.25">
      <c r="A820043" s="242"/>
    </row>
    <row r="820044" spans="1:1" x14ac:dyDescent="0.25">
      <c r="A820044" s="242"/>
    </row>
    <row r="820045" spans="1:1" x14ac:dyDescent="0.25">
      <c r="A820045" s="242"/>
    </row>
    <row r="820046" spans="1:1" x14ac:dyDescent="0.25">
      <c r="A820046" s="242"/>
    </row>
    <row r="820047" spans="1:1" x14ac:dyDescent="0.25">
      <c r="A820047" s="242"/>
    </row>
    <row r="820048" spans="1:1" x14ac:dyDescent="0.25">
      <c r="A820048" s="242"/>
    </row>
    <row r="820049" spans="1:1" x14ac:dyDescent="0.25">
      <c r="A820049" s="242"/>
    </row>
    <row r="820050" spans="1:1" x14ac:dyDescent="0.25">
      <c r="A820050" s="242"/>
    </row>
    <row r="820051" spans="1:1" x14ac:dyDescent="0.25">
      <c r="A820051" s="242"/>
    </row>
    <row r="820052" spans="1:1" x14ac:dyDescent="0.25">
      <c r="A820052" s="242"/>
    </row>
    <row r="820053" spans="1:1" x14ac:dyDescent="0.25">
      <c r="A820053" s="242"/>
    </row>
    <row r="820054" spans="1:1" x14ac:dyDescent="0.25">
      <c r="A820054" s="242"/>
    </row>
    <row r="820055" spans="1:1" x14ac:dyDescent="0.25">
      <c r="A820055" s="242"/>
    </row>
    <row r="820056" spans="1:1" x14ac:dyDescent="0.25">
      <c r="A820056" s="242"/>
    </row>
    <row r="820057" spans="1:1" x14ac:dyDescent="0.25">
      <c r="A820057" s="242"/>
    </row>
    <row r="820058" spans="1:1" x14ac:dyDescent="0.25">
      <c r="A820058" s="242"/>
    </row>
    <row r="820059" spans="1:1" x14ac:dyDescent="0.25">
      <c r="A820059" s="242"/>
    </row>
    <row r="820060" spans="1:1" x14ac:dyDescent="0.25">
      <c r="A820060" s="242"/>
    </row>
    <row r="820061" spans="1:1" x14ac:dyDescent="0.25">
      <c r="A820061" s="242"/>
    </row>
    <row r="820062" spans="1:1" x14ac:dyDescent="0.25">
      <c r="A820062" s="242"/>
    </row>
    <row r="820063" spans="1:1" x14ac:dyDescent="0.25">
      <c r="A820063" s="242"/>
    </row>
    <row r="820064" spans="1:1" x14ac:dyDescent="0.25">
      <c r="A820064" s="242"/>
    </row>
    <row r="820065" spans="1:1" x14ac:dyDescent="0.25">
      <c r="A820065" s="242"/>
    </row>
    <row r="820066" spans="1:1" x14ac:dyDescent="0.25">
      <c r="A820066" s="242"/>
    </row>
    <row r="820067" spans="1:1" x14ac:dyDescent="0.25">
      <c r="A820067" s="242"/>
    </row>
    <row r="820068" spans="1:1" x14ac:dyDescent="0.25">
      <c r="A820068" s="242"/>
    </row>
    <row r="820069" spans="1:1" x14ac:dyDescent="0.25">
      <c r="A820069" s="242"/>
    </row>
    <row r="820070" spans="1:1" x14ac:dyDescent="0.25">
      <c r="A820070" s="242"/>
    </row>
    <row r="820071" spans="1:1" x14ac:dyDescent="0.25">
      <c r="A820071" s="242"/>
    </row>
    <row r="820072" spans="1:1" x14ac:dyDescent="0.25">
      <c r="A820072" s="242"/>
    </row>
    <row r="820073" spans="1:1" x14ac:dyDescent="0.25">
      <c r="A820073" s="242"/>
    </row>
    <row r="820074" spans="1:1" x14ac:dyDescent="0.25">
      <c r="A820074" s="242"/>
    </row>
    <row r="820075" spans="1:1" x14ac:dyDescent="0.25">
      <c r="A820075" s="242"/>
    </row>
    <row r="820076" spans="1:1" x14ac:dyDescent="0.25">
      <c r="A820076" s="242"/>
    </row>
    <row r="820077" spans="1:1" x14ac:dyDescent="0.25">
      <c r="A820077" s="242"/>
    </row>
    <row r="820078" spans="1:1" x14ac:dyDescent="0.25">
      <c r="A820078" s="242"/>
    </row>
    <row r="820079" spans="1:1" x14ac:dyDescent="0.25">
      <c r="A820079" s="242"/>
    </row>
    <row r="820080" spans="1:1" x14ac:dyDescent="0.25">
      <c r="A820080" s="242"/>
    </row>
    <row r="820081" spans="1:1" x14ac:dyDescent="0.25">
      <c r="A820081" s="242"/>
    </row>
    <row r="820082" spans="1:1" x14ac:dyDescent="0.25">
      <c r="A820082" s="242"/>
    </row>
    <row r="820083" spans="1:1" x14ac:dyDescent="0.25">
      <c r="A820083" s="242"/>
    </row>
    <row r="820084" spans="1:1" x14ac:dyDescent="0.25">
      <c r="A820084" s="242"/>
    </row>
    <row r="820085" spans="1:1" x14ac:dyDescent="0.25">
      <c r="A820085" s="242"/>
    </row>
    <row r="820086" spans="1:1" x14ac:dyDescent="0.25">
      <c r="A820086" s="242"/>
    </row>
    <row r="820087" spans="1:1" x14ac:dyDescent="0.25">
      <c r="A820087" s="242"/>
    </row>
    <row r="820088" spans="1:1" x14ac:dyDescent="0.25">
      <c r="A820088" s="242"/>
    </row>
    <row r="820089" spans="1:1" x14ac:dyDescent="0.25">
      <c r="A820089" s="242"/>
    </row>
    <row r="820090" spans="1:1" x14ac:dyDescent="0.25">
      <c r="A820090" s="242"/>
    </row>
    <row r="820091" spans="1:1" x14ac:dyDescent="0.25">
      <c r="A820091" s="242"/>
    </row>
    <row r="820092" spans="1:1" x14ac:dyDescent="0.25">
      <c r="A820092" s="242"/>
    </row>
    <row r="820093" spans="1:1" x14ac:dyDescent="0.25">
      <c r="A820093" s="242"/>
    </row>
    <row r="820094" spans="1:1" x14ac:dyDescent="0.25">
      <c r="A820094" s="242"/>
    </row>
    <row r="820095" spans="1:1" x14ac:dyDescent="0.25">
      <c r="A820095" s="242"/>
    </row>
    <row r="820096" spans="1:1" x14ac:dyDescent="0.25">
      <c r="A820096" s="242"/>
    </row>
    <row r="820097" spans="1:1" x14ac:dyDescent="0.25">
      <c r="A820097" s="242"/>
    </row>
    <row r="820098" spans="1:1" x14ac:dyDescent="0.25">
      <c r="A820098" s="242"/>
    </row>
    <row r="820099" spans="1:1" x14ac:dyDescent="0.25">
      <c r="A820099" s="242"/>
    </row>
    <row r="820100" spans="1:1" x14ac:dyDescent="0.25">
      <c r="A820100" s="242"/>
    </row>
    <row r="820101" spans="1:1" x14ac:dyDescent="0.25">
      <c r="A820101" s="242"/>
    </row>
    <row r="820102" spans="1:1" x14ac:dyDescent="0.25">
      <c r="A820102" s="242"/>
    </row>
    <row r="820103" spans="1:1" x14ac:dyDescent="0.25">
      <c r="A820103" s="242"/>
    </row>
    <row r="820104" spans="1:1" x14ac:dyDescent="0.25">
      <c r="A820104" s="242"/>
    </row>
    <row r="820105" spans="1:1" x14ac:dyDescent="0.25">
      <c r="A820105" s="242"/>
    </row>
    <row r="820106" spans="1:1" x14ac:dyDescent="0.25">
      <c r="A820106" s="242"/>
    </row>
    <row r="820107" spans="1:1" x14ac:dyDescent="0.25">
      <c r="A820107" s="242"/>
    </row>
    <row r="820108" spans="1:1" x14ac:dyDescent="0.25">
      <c r="A820108" s="242"/>
    </row>
    <row r="820109" spans="1:1" x14ac:dyDescent="0.25">
      <c r="A820109" s="242"/>
    </row>
    <row r="820110" spans="1:1" x14ac:dyDescent="0.25">
      <c r="A820110" s="242"/>
    </row>
    <row r="820111" spans="1:1" x14ac:dyDescent="0.25">
      <c r="A820111" s="242"/>
    </row>
    <row r="820112" spans="1:1" x14ac:dyDescent="0.25">
      <c r="A820112" s="242"/>
    </row>
    <row r="820113" spans="1:1" x14ac:dyDescent="0.25">
      <c r="A820113" s="242"/>
    </row>
    <row r="820114" spans="1:1" x14ac:dyDescent="0.25">
      <c r="A820114" s="242"/>
    </row>
    <row r="820115" spans="1:1" x14ac:dyDescent="0.25">
      <c r="A820115" s="242"/>
    </row>
    <row r="820116" spans="1:1" x14ac:dyDescent="0.25">
      <c r="A820116" s="242"/>
    </row>
    <row r="820117" spans="1:1" x14ac:dyDescent="0.25">
      <c r="A820117" s="242"/>
    </row>
    <row r="820118" spans="1:1" x14ac:dyDescent="0.25">
      <c r="A820118" s="242"/>
    </row>
    <row r="820119" spans="1:1" x14ac:dyDescent="0.25">
      <c r="A820119" s="242"/>
    </row>
    <row r="820120" spans="1:1" x14ac:dyDescent="0.25">
      <c r="A820120" s="242"/>
    </row>
    <row r="820121" spans="1:1" x14ac:dyDescent="0.25">
      <c r="A820121" s="242"/>
    </row>
    <row r="820122" spans="1:1" x14ac:dyDescent="0.25">
      <c r="A820122" s="242"/>
    </row>
    <row r="820123" spans="1:1" x14ac:dyDescent="0.25">
      <c r="A820123" s="242"/>
    </row>
    <row r="820124" spans="1:1" x14ac:dyDescent="0.25">
      <c r="A820124" s="242"/>
    </row>
    <row r="820125" spans="1:1" x14ac:dyDescent="0.25">
      <c r="A820125" s="242"/>
    </row>
    <row r="820126" spans="1:1" x14ac:dyDescent="0.25">
      <c r="A820126" s="242"/>
    </row>
    <row r="820127" spans="1:1" x14ac:dyDescent="0.25">
      <c r="A820127" s="242"/>
    </row>
    <row r="820128" spans="1:1" x14ac:dyDescent="0.25">
      <c r="A820128" s="242"/>
    </row>
    <row r="820129" spans="1:1" x14ac:dyDescent="0.25">
      <c r="A820129" s="242"/>
    </row>
    <row r="820130" spans="1:1" x14ac:dyDescent="0.25">
      <c r="A820130" s="242"/>
    </row>
    <row r="820131" spans="1:1" x14ac:dyDescent="0.25">
      <c r="A820131" s="242"/>
    </row>
    <row r="820132" spans="1:1" x14ac:dyDescent="0.25">
      <c r="A820132" s="242"/>
    </row>
    <row r="820133" spans="1:1" x14ac:dyDescent="0.25">
      <c r="A820133" s="242"/>
    </row>
    <row r="820134" spans="1:1" x14ac:dyDescent="0.25">
      <c r="A820134" s="242"/>
    </row>
    <row r="820135" spans="1:1" x14ac:dyDescent="0.25">
      <c r="A820135" s="242"/>
    </row>
    <row r="820136" spans="1:1" x14ac:dyDescent="0.25">
      <c r="A820136" s="242"/>
    </row>
    <row r="820137" spans="1:1" x14ac:dyDescent="0.25">
      <c r="A820137" s="242"/>
    </row>
    <row r="820138" spans="1:1" x14ac:dyDescent="0.25">
      <c r="A820138" s="242"/>
    </row>
    <row r="820139" spans="1:1" x14ac:dyDescent="0.25">
      <c r="A820139" s="242"/>
    </row>
    <row r="820140" spans="1:1" x14ac:dyDescent="0.25">
      <c r="A820140" s="242"/>
    </row>
    <row r="820141" spans="1:1" x14ac:dyDescent="0.25">
      <c r="A820141" s="242"/>
    </row>
    <row r="820142" spans="1:1" x14ac:dyDescent="0.25">
      <c r="A820142" s="242"/>
    </row>
    <row r="820143" spans="1:1" x14ac:dyDescent="0.25">
      <c r="A820143" s="242"/>
    </row>
    <row r="820144" spans="1:1" x14ac:dyDescent="0.25">
      <c r="A820144" s="242"/>
    </row>
    <row r="820145" spans="1:1" x14ac:dyDescent="0.25">
      <c r="A820145" s="242"/>
    </row>
    <row r="820146" spans="1:1" x14ac:dyDescent="0.25">
      <c r="A820146" s="242"/>
    </row>
    <row r="820147" spans="1:1" x14ac:dyDescent="0.25">
      <c r="A820147" s="242"/>
    </row>
    <row r="820148" spans="1:1" x14ac:dyDescent="0.25">
      <c r="A820148" s="242"/>
    </row>
    <row r="820149" spans="1:1" x14ac:dyDescent="0.25">
      <c r="A820149" s="242"/>
    </row>
    <row r="820150" spans="1:1" x14ac:dyDescent="0.25">
      <c r="A820150" s="242"/>
    </row>
    <row r="820151" spans="1:1" x14ac:dyDescent="0.25">
      <c r="A820151" s="242"/>
    </row>
    <row r="820152" spans="1:1" x14ac:dyDescent="0.25">
      <c r="A820152" s="242"/>
    </row>
    <row r="820153" spans="1:1" x14ac:dyDescent="0.25">
      <c r="A820153" s="242"/>
    </row>
    <row r="820154" spans="1:1" x14ac:dyDescent="0.25">
      <c r="A820154" s="242"/>
    </row>
    <row r="820155" spans="1:1" x14ac:dyDescent="0.25">
      <c r="A820155" s="242"/>
    </row>
    <row r="820156" spans="1:1" x14ac:dyDescent="0.25">
      <c r="A820156" s="242"/>
    </row>
    <row r="820157" spans="1:1" x14ac:dyDescent="0.25">
      <c r="A820157" s="242"/>
    </row>
    <row r="820158" spans="1:1" x14ac:dyDescent="0.25">
      <c r="A820158" s="242"/>
    </row>
    <row r="820159" spans="1:1" x14ac:dyDescent="0.25">
      <c r="A820159" s="242"/>
    </row>
    <row r="820160" spans="1:1" x14ac:dyDescent="0.25">
      <c r="A820160" s="242"/>
    </row>
    <row r="820161" spans="1:1" x14ac:dyDescent="0.25">
      <c r="A820161" s="242"/>
    </row>
    <row r="820162" spans="1:1" x14ac:dyDescent="0.25">
      <c r="A820162" s="242"/>
    </row>
    <row r="820163" spans="1:1" x14ac:dyDescent="0.25">
      <c r="A820163" s="242"/>
    </row>
    <row r="820164" spans="1:1" x14ac:dyDescent="0.25">
      <c r="A820164" s="242"/>
    </row>
    <row r="820165" spans="1:1" x14ac:dyDescent="0.25">
      <c r="A820165" s="242"/>
    </row>
    <row r="820166" spans="1:1" x14ac:dyDescent="0.25">
      <c r="A820166" s="242"/>
    </row>
    <row r="820167" spans="1:1" x14ac:dyDescent="0.25">
      <c r="A820167" s="242"/>
    </row>
    <row r="820168" spans="1:1" x14ac:dyDescent="0.25">
      <c r="A820168" s="242"/>
    </row>
    <row r="820169" spans="1:1" x14ac:dyDescent="0.25">
      <c r="A820169" s="242"/>
    </row>
    <row r="820170" spans="1:1" x14ac:dyDescent="0.25">
      <c r="A820170" s="242"/>
    </row>
    <row r="820171" spans="1:1" x14ac:dyDescent="0.25">
      <c r="A820171" s="242"/>
    </row>
    <row r="820172" spans="1:1" x14ac:dyDescent="0.25">
      <c r="A820172" s="242"/>
    </row>
    <row r="820173" spans="1:1" x14ac:dyDescent="0.25">
      <c r="A820173" s="242"/>
    </row>
    <row r="820174" spans="1:1" x14ac:dyDescent="0.25">
      <c r="A820174" s="242"/>
    </row>
    <row r="820175" spans="1:1" x14ac:dyDescent="0.25">
      <c r="A820175" s="242"/>
    </row>
    <row r="820176" spans="1:1" x14ac:dyDescent="0.25">
      <c r="A820176" s="242"/>
    </row>
    <row r="820177" spans="1:1" x14ac:dyDescent="0.25">
      <c r="A820177" s="242"/>
    </row>
    <row r="820178" spans="1:1" x14ac:dyDescent="0.25">
      <c r="A820178" s="242"/>
    </row>
    <row r="820179" spans="1:1" x14ac:dyDescent="0.25">
      <c r="A820179" s="242"/>
    </row>
    <row r="820180" spans="1:1" x14ac:dyDescent="0.25">
      <c r="A820180" s="242"/>
    </row>
    <row r="820181" spans="1:1" x14ac:dyDescent="0.25">
      <c r="A820181" s="242"/>
    </row>
    <row r="820182" spans="1:1" x14ac:dyDescent="0.25">
      <c r="A820182" s="242"/>
    </row>
    <row r="820183" spans="1:1" x14ac:dyDescent="0.25">
      <c r="A820183" s="242"/>
    </row>
    <row r="820184" spans="1:1" x14ac:dyDescent="0.25">
      <c r="A820184" s="242"/>
    </row>
    <row r="820185" spans="1:1" x14ac:dyDescent="0.25">
      <c r="A820185" s="242"/>
    </row>
    <row r="820186" spans="1:1" x14ac:dyDescent="0.25">
      <c r="A820186" s="242"/>
    </row>
    <row r="820187" spans="1:1" x14ac:dyDescent="0.25">
      <c r="A820187" s="242"/>
    </row>
    <row r="820188" spans="1:1" x14ac:dyDescent="0.25">
      <c r="A820188" s="242"/>
    </row>
    <row r="820189" spans="1:1" x14ac:dyDescent="0.25">
      <c r="A820189" s="242"/>
    </row>
    <row r="820190" spans="1:1" x14ac:dyDescent="0.25">
      <c r="A820190" s="242"/>
    </row>
    <row r="820191" spans="1:1" x14ac:dyDescent="0.25">
      <c r="A820191" s="242"/>
    </row>
    <row r="820192" spans="1:1" x14ac:dyDescent="0.25">
      <c r="A820192" s="242"/>
    </row>
    <row r="820193" spans="1:1" x14ac:dyDescent="0.25">
      <c r="A820193" s="242"/>
    </row>
    <row r="820194" spans="1:1" x14ac:dyDescent="0.25">
      <c r="A820194" s="242"/>
    </row>
    <row r="820195" spans="1:1" x14ac:dyDescent="0.25">
      <c r="A820195" s="242"/>
    </row>
    <row r="820196" spans="1:1" x14ac:dyDescent="0.25">
      <c r="A820196" s="242"/>
    </row>
    <row r="820197" spans="1:1" x14ac:dyDescent="0.25">
      <c r="A820197" s="242"/>
    </row>
    <row r="820198" spans="1:1" x14ac:dyDescent="0.25">
      <c r="A820198" s="242"/>
    </row>
    <row r="820199" spans="1:1" x14ac:dyDescent="0.25">
      <c r="A820199" s="242"/>
    </row>
    <row r="820200" spans="1:1" x14ac:dyDescent="0.25">
      <c r="A820200" s="242"/>
    </row>
    <row r="820201" spans="1:1" x14ac:dyDescent="0.25">
      <c r="A820201" s="242"/>
    </row>
    <row r="820202" spans="1:1" x14ac:dyDescent="0.25">
      <c r="A820202" s="242"/>
    </row>
    <row r="820203" spans="1:1" x14ac:dyDescent="0.25">
      <c r="A820203" s="242"/>
    </row>
    <row r="820204" spans="1:1" x14ac:dyDescent="0.25">
      <c r="A820204" s="242"/>
    </row>
    <row r="820205" spans="1:1" x14ac:dyDescent="0.25">
      <c r="A820205" s="242"/>
    </row>
    <row r="820206" spans="1:1" x14ac:dyDescent="0.25">
      <c r="A820206" s="242"/>
    </row>
    <row r="820207" spans="1:1" x14ac:dyDescent="0.25">
      <c r="A820207" s="242"/>
    </row>
    <row r="820208" spans="1:1" x14ac:dyDescent="0.25">
      <c r="A820208" s="242"/>
    </row>
    <row r="820209" spans="1:1" x14ac:dyDescent="0.25">
      <c r="A820209" s="242"/>
    </row>
    <row r="820210" spans="1:1" x14ac:dyDescent="0.25">
      <c r="A820210" s="242"/>
    </row>
    <row r="820211" spans="1:1" x14ac:dyDescent="0.25">
      <c r="A820211" s="242"/>
    </row>
    <row r="820212" spans="1:1" x14ac:dyDescent="0.25">
      <c r="A820212" s="242"/>
    </row>
    <row r="820213" spans="1:1" x14ac:dyDescent="0.25">
      <c r="A820213" s="242"/>
    </row>
    <row r="820214" spans="1:1" x14ac:dyDescent="0.25">
      <c r="A820214" s="242"/>
    </row>
    <row r="820215" spans="1:1" x14ac:dyDescent="0.25">
      <c r="A820215" s="242"/>
    </row>
    <row r="820216" spans="1:1" x14ac:dyDescent="0.25">
      <c r="A820216" s="242"/>
    </row>
    <row r="820217" spans="1:1" x14ac:dyDescent="0.25">
      <c r="A820217" s="242"/>
    </row>
    <row r="820218" spans="1:1" x14ac:dyDescent="0.25">
      <c r="A820218" s="242"/>
    </row>
    <row r="820219" spans="1:1" x14ac:dyDescent="0.25">
      <c r="A820219" s="242"/>
    </row>
    <row r="820220" spans="1:1" x14ac:dyDescent="0.25">
      <c r="A820220" s="242"/>
    </row>
    <row r="820221" spans="1:1" x14ac:dyDescent="0.25">
      <c r="A820221" s="242"/>
    </row>
    <row r="820222" spans="1:1" x14ac:dyDescent="0.25">
      <c r="A820222" s="242"/>
    </row>
    <row r="820223" spans="1:1" x14ac:dyDescent="0.25">
      <c r="A820223" s="242"/>
    </row>
    <row r="820224" spans="1:1" x14ac:dyDescent="0.25">
      <c r="A820224" s="242"/>
    </row>
    <row r="820225" spans="1:1" x14ac:dyDescent="0.25">
      <c r="A820225" s="242"/>
    </row>
    <row r="820226" spans="1:1" x14ac:dyDescent="0.25">
      <c r="A820226" s="242"/>
    </row>
    <row r="820227" spans="1:1" x14ac:dyDescent="0.25">
      <c r="A820227" s="242"/>
    </row>
    <row r="820228" spans="1:1" x14ac:dyDescent="0.25">
      <c r="A820228" s="242"/>
    </row>
    <row r="820229" spans="1:1" x14ac:dyDescent="0.25">
      <c r="A820229" s="242"/>
    </row>
    <row r="820230" spans="1:1" x14ac:dyDescent="0.25">
      <c r="A820230" s="242"/>
    </row>
    <row r="820231" spans="1:1" x14ac:dyDescent="0.25">
      <c r="A820231" s="242"/>
    </row>
    <row r="820232" spans="1:1" x14ac:dyDescent="0.25">
      <c r="A820232" s="242"/>
    </row>
    <row r="820233" spans="1:1" x14ac:dyDescent="0.25">
      <c r="A820233" s="242"/>
    </row>
    <row r="820234" spans="1:1" x14ac:dyDescent="0.25">
      <c r="A820234" s="242"/>
    </row>
    <row r="820235" spans="1:1" x14ac:dyDescent="0.25">
      <c r="A820235" s="242"/>
    </row>
    <row r="820236" spans="1:1" x14ac:dyDescent="0.25">
      <c r="A820236" s="242"/>
    </row>
    <row r="820237" spans="1:1" x14ac:dyDescent="0.25">
      <c r="A820237" s="242"/>
    </row>
    <row r="820238" spans="1:1" x14ac:dyDescent="0.25">
      <c r="A820238" s="242"/>
    </row>
    <row r="820239" spans="1:1" x14ac:dyDescent="0.25">
      <c r="A820239" s="242"/>
    </row>
    <row r="820240" spans="1:1" x14ac:dyDescent="0.25">
      <c r="A820240" s="242"/>
    </row>
    <row r="820241" spans="1:1" x14ac:dyDescent="0.25">
      <c r="A820241" s="242"/>
    </row>
    <row r="820242" spans="1:1" x14ac:dyDescent="0.25">
      <c r="A820242" s="242"/>
    </row>
    <row r="820243" spans="1:1" x14ac:dyDescent="0.25">
      <c r="A820243" s="242"/>
    </row>
    <row r="820244" spans="1:1" x14ac:dyDescent="0.25">
      <c r="A820244" s="242"/>
    </row>
    <row r="820245" spans="1:1" x14ac:dyDescent="0.25">
      <c r="A820245" s="242"/>
    </row>
    <row r="820246" spans="1:1" x14ac:dyDescent="0.25">
      <c r="A820246" s="242"/>
    </row>
    <row r="820247" spans="1:1" x14ac:dyDescent="0.25">
      <c r="A820247" s="242"/>
    </row>
    <row r="820248" spans="1:1" x14ac:dyDescent="0.25">
      <c r="A820248" s="242"/>
    </row>
    <row r="820249" spans="1:1" x14ac:dyDescent="0.25">
      <c r="A820249" s="242"/>
    </row>
    <row r="820250" spans="1:1" x14ac:dyDescent="0.25">
      <c r="A820250" s="242"/>
    </row>
    <row r="820251" spans="1:1" x14ac:dyDescent="0.25">
      <c r="A820251" s="242"/>
    </row>
    <row r="820252" spans="1:1" x14ac:dyDescent="0.25">
      <c r="A820252" s="242"/>
    </row>
    <row r="820253" spans="1:1" x14ac:dyDescent="0.25">
      <c r="A820253" s="242"/>
    </row>
    <row r="820254" spans="1:1" x14ac:dyDescent="0.25">
      <c r="A820254" s="242"/>
    </row>
    <row r="820255" spans="1:1" x14ac:dyDescent="0.25">
      <c r="A820255" s="242"/>
    </row>
    <row r="820256" spans="1:1" x14ac:dyDescent="0.25">
      <c r="A820256" s="242"/>
    </row>
    <row r="820257" spans="1:1" x14ac:dyDescent="0.25">
      <c r="A820257" s="242"/>
    </row>
    <row r="820258" spans="1:1" x14ac:dyDescent="0.25">
      <c r="A820258" s="242"/>
    </row>
    <row r="820259" spans="1:1" x14ac:dyDescent="0.25">
      <c r="A820259" s="242"/>
    </row>
    <row r="820260" spans="1:1" x14ac:dyDescent="0.25">
      <c r="A820260" s="242"/>
    </row>
    <row r="820261" spans="1:1" x14ac:dyDescent="0.25">
      <c r="A820261" s="242"/>
    </row>
    <row r="820262" spans="1:1" x14ac:dyDescent="0.25">
      <c r="A820262" s="242"/>
    </row>
    <row r="820263" spans="1:1" x14ac:dyDescent="0.25">
      <c r="A820263" s="242"/>
    </row>
    <row r="820264" spans="1:1" x14ac:dyDescent="0.25">
      <c r="A820264" s="242"/>
    </row>
    <row r="820265" spans="1:1" x14ac:dyDescent="0.25">
      <c r="A820265" s="242"/>
    </row>
    <row r="820266" spans="1:1" x14ac:dyDescent="0.25">
      <c r="A820266" s="242"/>
    </row>
    <row r="820267" spans="1:1" x14ac:dyDescent="0.25">
      <c r="A820267" s="242"/>
    </row>
    <row r="820268" spans="1:1" x14ac:dyDescent="0.25">
      <c r="A820268" s="242"/>
    </row>
    <row r="820269" spans="1:1" x14ac:dyDescent="0.25">
      <c r="A820269" s="242"/>
    </row>
    <row r="820270" spans="1:1" x14ac:dyDescent="0.25">
      <c r="A820270" s="242"/>
    </row>
    <row r="820271" spans="1:1" x14ac:dyDescent="0.25">
      <c r="A820271" s="242"/>
    </row>
    <row r="820272" spans="1:1" x14ac:dyDescent="0.25">
      <c r="A820272" s="242"/>
    </row>
    <row r="820273" spans="1:1" x14ac:dyDescent="0.25">
      <c r="A820273" s="242"/>
    </row>
    <row r="820274" spans="1:1" x14ac:dyDescent="0.25">
      <c r="A820274" s="242"/>
    </row>
    <row r="820275" spans="1:1" x14ac:dyDescent="0.25">
      <c r="A820275" s="242"/>
    </row>
    <row r="820276" spans="1:1" x14ac:dyDescent="0.25">
      <c r="A820276" s="242"/>
    </row>
    <row r="820277" spans="1:1" x14ac:dyDescent="0.25">
      <c r="A820277" s="242"/>
    </row>
    <row r="820278" spans="1:1" x14ac:dyDescent="0.25">
      <c r="A820278" s="242"/>
    </row>
    <row r="820279" spans="1:1" x14ac:dyDescent="0.25">
      <c r="A820279" s="242"/>
    </row>
    <row r="820280" spans="1:1" x14ac:dyDescent="0.25">
      <c r="A820280" s="242"/>
    </row>
    <row r="820281" spans="1:1" x14ac:dyDescent="0.25">
      <c r="A820281" s="242"/>
    </row>
    <row r="820282" spans="1:1" x14ac:dyDescent="0.25">
      <c r="A820282" s="242"/>
    </row>
    <row r="820283" spans="1:1" x14ac:dyDescent="0.25">
      <c r="A820283" s="242"/>
    </row>
    <row r="820284" spans="1:1" x14ac:dyDescent="0.25">
      <c r="A820284" s="242"/>
    </row>
    <row r="820285" spans="1:1" x14ac:dyDescent="0.25">
      <c r="A820285" s="242"/>
    </row>
    <row r="820286" spans="1:1" x14ac:dyDescent="0.25">
      <c r="A820286" s="242"/>
    </row>
    <row r="820287" spans="1:1" x14ac:dyDescent="0.25">
      <c r="A820287" s="242"/>
    </row>
    <row r="820288" spans="1:1" x14ac:dyDescent="0.25">
      <c r="A820288" s="242"/>
    </row>
    <row r="820289" spans="1:1" x14ac:dyDescent="0.25">
      <c r="A820289" s="242"/>
    </row>
    <row r="820290" spans="1:1" x14ac:dyDescent="0.25">
      <c r="A820290" s="242"/>
    </row>
    <row r="820291" spans="1:1" x14ac:dyDescent="0.25">
      <c r="A820291" s="242"/>
    </row>
    <row r="820292" spans="1:1" x14ac:dyDescent="0.25">
      <c r="A820292" s="242"/>
    </row>
    <row r="820293" spans="1:1" x14ac:dyDescent="0.25">
      <c r="A820293" s="242"/>
    </row>
    <row r="820294" spans="1:1" x14ac:dyDescent="0.25">
      <c r="A820294" s="242"/>
    </row>
    <row r="820295" spans="1:1" x14ac:dyDescent="0.25">
      <c r="A820295" s="242"/>
    </row>
    <row r="820296" spans="1:1" x14ac:dyDescent="0.25">
      <c r="A820296" s="242"/>
    </row>
    <row r="820297" spans="1:1" x14ac:dyDescent="0.25">
      <c r="A820297" s="242"/>
    </row>
    <row r="820298" spans="1:1" x14ac:dyDescent="0.25">
      <c r="A820298" s="242"/>
    </row>
    <row r="820299" spans="1:1" x14ac:dyDescent="0.25">
      <c r="A820299" s="242"/>
    </row>
    <row r="820300" spans="1:1" x14ac:dyDescent="0.25">
      <c r="A820300" s="242"/>
    </row>
    <row r="820301" spans="1:1" x14ac:dyDescent="0.25">
      <c r="A820301" s="242"/>
    </row>
    <row r="820302" spans="1:1" x14ac:dyDescent="0.25">
      <c r="A820302" s="242"/>
    </row>
    <row r="820303" spans="1:1" x14ac:dyDescent="0.25">
      <c r="A820303" s="242"/>
    </row>
    <row r="820304" spans="1:1" x14ac:dyDescent="0.25">
      <c r="A820304" s="242"/>
    </row>
    <row r="820305" spans="1:1" x14ac:dyDescent="0.25">
      <c r="A820305" s="242"/>
    </row>
    <row r="820306" spans="1:1" x14ac:dyDescent="0.25">
      <c r="A820306" s="242"/>
    </row>
    <row r="820307" spans="1:1" x14ac:dyDescent="0.25">
      <c r="A820307" s="242"/>
    </row>
    <row r="820308" spans="1:1" x14ac:dyDescent="0.25">
      <c r="A820308" s="242"/>
    </row>
    <row r="820309" spans="1:1" x14ac:dyDescent="0.25">
      <c r="A820309" s="242"/>
    </row>
    <row r="820310" spans="1:1" x14ac:dyDescent="0.25">
      <c r="A820310" s="242"/>
    </row>
    <row r="820311" spans="1:1" x14ac:dyDescent="0.25">
      <c r="A820311" s="242"/>
    </row>
    <row r="820312" spans="1:1" x14ac:dyDescent="0.25">
      <c r="A820312" s="242"/>
    </row>
    <row r="820313" spans="1:1" x14ac:dyDescent="0.25">
      <c r="A820313" s="242"/>
    </row>
    <row r="820314" spans="1:1" x14ac:dyDescent="0.25">
      <c r="A820314" s="242"/>
    </row>
    <row r="820315" spans="1:1" x14ac:dyDescent="0.25">
      <c r="A820315" s="242"/>
    </row>
    <row r="820316" spans="1:1" x14ac:dyDescent="0.25">
      <c r="A820316" s="242"/>
    </row>
    <row r="820317" spans="1:1" x14ac:dyDescent="0.25">
      <c r="A820317" s="242"/>
    </row>
    <row r="820318" spans="1:1" x14ac:dyDescent="0.25">
      <c r="A820318" s="242"/>
    </row>
    <row r="820319" spans="1:1" x14ac:dyDescent="0.25">
      <c r="A820319" s="242"/>
    </row>
    <row r="820320" spans="1:1" x14ac:dyDescent="0.25">
      <c r="A820320" s="242"/>
    </row>
    <row r="820321" spans="1:1" x14ac:dyDescent="0.25">
      <c r="A820321" s="242"/>
    </row>
    <row r="820322" spans="1:1" x14ac:dyDescent="0.25">
      <c r="A820322" s="242"/>
    </row>
    <row r="820323" spans="1:1" x14ac:dyDescent="0.25">
      <c r="A820323" s="242"/>
    </row>
    <row r="820324" spans="1:1" x14ac:dyDescent="0.25">
      <c r="A820324" s="242"/>
    </row>
    <row r="820325" spans="1:1" x14ac:dyDescent="0.25">
      <c r="A820325" s="242"/>
    </row>
    <row r="820326" spans="1:1" x14ac:dyDescent="0.25">
      <c r="A820326" s="242"/>
    </row>
    <row r="820327" spans="1:1" x14ac:dyDescent="0.25">
      <c r="A820327" s="242"/>
    </row>
    <row r="820328" spans="1:1" x14ac:dyDescent="0.25">
      <c r="A820328" s="242"/>
    </row>
    <row r="820329" spans="1:1" x14ac:dyDescent="0.25">
      <c r="A820329" s="242"/>
    </row>
    <row r="820330" spans="1:1" x14ac:dyDescent="0.25">
      <c r="A820330" s="242"/>
    </row>
    <row r="820331" spans="1:1" x14ac:dyDescent="0.25">
      <c r="A820331" s="242"/>
    </row>
    <row r="820332" spans="1:1" x14ac:dyDescent="0.25">
      <c r="A820332" s="242"/>
    </row>
    <row r="820333" spans="1:1" x14ac:dyDescent="0.25">
      <c r="A820333" s="242"/>
    </row>
    <row r="820334" spans="1:1" x14ac:dyDescent="0.25">
      <c r="A820334" s="242"/>
    </row>
    <row r="820335" spans="1:1" x14ac:dyDescent="0.25">
      <c r="A820335" s="242"/>
    </row>
    <row r="820336" spans="1:1" x14ac:dyDescent="0.25">
      <c r="A820336" s="242"/>
    </row>
    <row r="820337" spans="1:1" x14ac:dyDescent="0.25">
      <c r="A820337" s="242"/>
    </row>
    <row r="820338" spans="1:1" x14ac:dyDescent="0.25">
      <c r="A820338" s="242"/>
    </row>
    <row r="820339" spans="1:1" x14ac:dyDescent="0.25">
      <c r="A820339" s="242"/>
    </row>
    <row r="820340" spans="1:1" x14ac:dyDescent="0.25">
      <c r="A820340" s="242"/>
    </row>
    <row r="820341" spans="1:1" x14ac:dyDescent="0.25">
      <c r="A820341" s="242"/>
    </row>
    <row r="820342" spans="1:1" x14ac:dyDescent="0.25">
      <c r="A820342" s="242"/>
    </row>
    <row r="820343" spans="1:1" x14ac:dyDescent="0.25">
      <c r="A820343" s="242"/>
    </row>
    <row r="820344" spans="1:1" x14ac:dyDescent="0.25">
      <c r="A820344" s="242"/>
    </row>
    <row r="820345" spans="1:1" x14ac:dyDescent="0.25">
      <c r="A820345" s="242"/>
    </row>
    <row r="820346" spans="1:1" x14ac:dyDescent="0.25">
      <c r="A820346" s="242"/>
    </row>
    <row r="820347" spans="1:1" x14ac:dyDescent="0.25">
      <c r="A820347" s="242"/>
    </row>
    <row r="820348" spans="1:1" x14ac:dyDescent="0.25">
      <c r="A820348" s="242"/>
    </row>
    <row r="820349" spans="1:1" x14ac:dyDescent="0.25">
      <c r="A820349" s="242"/>
    </row>
    <row r="820350" spans="1:1" x14ac:dyDescent="0.25">
      <c r="A820350" s="242"/>
    </row>
    <row r="820351" spans="1:1" x14ac:dyDescent="0.25">
      <c r="A820351" s="242"/>
    </row>
    <row r="820352" spans="1:1" x14ac:dyDescent="0.25">
      <c r="A820352" s="242"/>
    </row>
    <row r="820353" spans="1:1" x14ac:dyDescent="0.25">
      <c r="A820353" s="242"/>
    </row>
    <row r="820354" spans="1:1" x14ac:dyDescent="0.25">
      <c r="A820354" s="242"/>
    </row>
    <row r="820355" spans="1:1" x14ac:dyDescent="0.25">
      <c r="A820355" s="242"/>
    </row>
    <row r="820356" spans="1:1" x14ac:dyDescent="0.25">
      <c r="A820356" s="242"/>
    </row>
    <row r="820357" spans="1:1" x14ac:dyDescent="0.25">
      <c r="A820357" s="242"/>
    </row>
    <row r="820358" spans="1:1" x14ac:dyDescent="0.25">
      <c r="A820358" s="242"/>
    </row>
    <row r="820359" spans="1:1" x14ac:dyDescent="0.25">
      <c r="A820359" s="242"/>
    </row>
    <row r="820360" spans="1:1" x14ac:dyDescent="0.25">
      <c r="A820360" s="242"/>
    </row>
    <row r="820361" spans="1:1" x14ac:dyDescent="0.25">
      <c r="A820361" s="242"/>
    </row>
    <row r="820362" spans="1:1" x14ac:dyDescent="0.25">
      <c r="A820362" s="242"/>
    </row>
    <row r="820363" spans="1:1" x14ac:dyDescent="0.25">
      <c r="A820363" s="242"/>
    </row>
    <row r="820364" spans="1:1" x14ac:dyDescent="0.25">
      <c r="A820364" s="242"/>
    </row>
    <row r="820365" spans="1:1" x14ac:dyDescent="0.25">
      <c r="A820365" s="242"/>
    </row>
    <row r="820366" spans="1:1" x14ac:dyDescent="0.25">
      <c r="A820366" s="242"/>
    </row>
    <row r="820367" spans="1:1" x14ac:dyDescent="0.25">
      <c r="A820367" s="242"/>
    </row>
    <row r="820368" spans="1:1" x14ac:dyDescent="0.25">
      <c r="A820368" s="242"/>
    </row>
    <row r="820369" spans="1:1" x14ac:dyDescent="0.25">
      <c r="A820369" s="242"/>
    </row>
    <row r="820370" spans="1:1" x14ac:dyDescent="0.25">
      <c r="A820370" s="242"/>
    </row>
    <row r="820371" spans="1:1" x14ac:dyDescent="0.25">
      <c r="A820371" s="242"/>
    </row>
    <row r="820372" spans="1:1" x14ac:dyDescent="0.25">
      <c r="A820372" s="242"/>
    </row>
    <row r="820373" spans="1:1" x14ac:dyDescent="0.25">
      <c r="A820373" s="242"/>
    </row>
    <row r="820374" spans="1:1" x14ac:dyDescent="0.25">
      <c r="A820374" s="242"/>
    </row>
    <row r="820375" spans="1:1" x14ac:dyDescent="0.25">
      <c r="A820375" s="242"/>
    </row>
    <row r="820376" spans="1:1" x14ac:dyDescent="0.25">
      <c r="A820376" s="242"/>
    </row>
    <row r="820377" spans="1:1" x14ac:dyDescent="0.25">
      <c r="A820377" s="242"/>
    </row>
    <row r="820378" spans="1:1" x14ac:dyDescent="0.25">
      <c r="A820378" s="242"/>
    </row>
    <row r="820379" spans="1:1" x14ac:dyDescent="0.25">
      <c r="A820379" s="242"/>
    </row>
    <row r="820380" spans="1:1" x14ac:dyDescent="0.25">
      <c r="A820380" s="242"/>
    </row>
    <row r="820381" spans="1:1" x14ac:dyDescent="0.25">
      <c r="A820381" s="242"/>
    </row>
    <row r="820382" spans="1:1" x14ac:dyDescent="0.25">
      <c r="A820382" s="242"/>
    </row>
    <row r="820383" spans="1:1" x14ac:dyDescent="0.25">
      <c r="A820383" s="242"/>
    </row>
    <row r="820384" spans="1:1" x14ac:dyDescent="0.25">
      <c r="A820384" s="242"/>
    </row>
    <row r="820385" spans="1:1" x14ac:dyDescent="0.25">
      <c r="A820385" s="242"/>
    </row>
    <row r="820386" spans="1:1" x14ac:dyDescent="0.25">
      <c r="A820386" s="242"/>
    </row>
    <row r="820387" spans="1:1" x14ac:dyDescent="0.25">
      <c r="A820387" s="242"/>
    </row>
    <row r="820388" spans="1:1" x14ac:dyDescent="0.25">
      <c r="A820388" s="242"/>
    </row>
    <row r="820389" spans="1:1" x14ac:dyDescent="0.25">
      <c r="A820389" s="242"/>
    </row>
    <row r="820390" spans="1:1" x14ac:dyDescent="0.25">
      <c r="A820390" s="242"/>
    </row>
    <row r="820391" spans="1:1" x14ac:dyDescent="0.25">
      <c r="A820391" s="242"/>
    </row>
    <row r="820392" spans="1:1" x14ac:dyDescent="0.25">
      <c r="A820392" s="242"/>
    </row>
    <row r="820393" spans="1:1" x14ac:dyDescent="0.25">
      <c r="A820393" s="242"/>
    </row>
    <row r="820394" spans="1:1" x14ac:dyDescent="0.25">
      <c r="A820394" s="242"/>
    </row>
    <row r="820395" spans="1:1" x14ac:dyDescent="0.25">
      <c r="A820395" s="242"/>
    </row>
    <row r="820396" spans="1:1" x14ac:dyDescent="0.25">
      <c r="A820396" s="242"/>
    </row>
    <row r="820397" spans="1:1" x14ac:dyDescent="0.25">
      <c r="A820397" s="242"/>
    </row>
    <row r="820398" spans="1:1" x14ac:dyDescent="0.25">
      <c r="A820398" s="242"/>
    </row>
    <row r="820399" spans="1:1" x14ac:dyDescent="0.25">
      <c r="A820399" s="242"/>
    </row>
    <row r="820400" spans="1:1" x14ac:dyDescent="0.25">
      <c r="A820400" s="242"/>
    </row>
    <row r="820401" spans="1:1" x14ac:dyDescent="0.25">
      <c r="A820401" s="242"/>
    </row>
    <row r="820402" spans="1:1" x14ac:dyDescent="0.25">
      <c r="A820402" s="242"/>
    </row>
    <row r="820403" spans="1:1" x14ac:dyDescent="0.25">
      <c r="A820403" s="242"/>
    </row>
    <row r="820404" spans="1:1" x14ac:dyDescent="0.25">
      <c r="A820404" s="242"/>
    </row>
    <row r="820405" spans="1:1" x14ac:dyDescent="0.25">
      <c r="A820405" s="242"/>
    </row>
    <row r="820406" spans="1:1" x14ac:dyDescent="0.25">
      <c r="A820406" s="242"/>
    </row>
    <row r="820407" spans="1:1" x14ac:dyDescent="0.25">
      <c r="A820407" s="242"/>
    </row>
    <row r="820408" spans="1:1" x14ac:dyDescent="0.25">
      <c r="A820408" s="242"/>
    </row>
    <row r="820409" spans="1:1" x14ac:dyDescent="0.25">
      <c r="A820409" s="242"/>
    </row>
    <row r="820410" spans="1:1" x14ac:dyDescent="0.25">
      <c r="A820410" s="242"/>
    </row>
    <row r="820411" spans="1:1" x14ac:dyDescent="0.25">
      <c r="A820411" s="242"/>
    </row>
    <row r="820412" spans="1:1" x14ac:dyDescent="0.25">
      <c r="A820412" s="242"/>
    </row>
    <row r="820413" spans="1:1" x14ac:dyDescent="0.25">
      <c r="A820413" s="242"/>
    </row>
    <row r="820414" spans="1:1" x14ac:dyDescent="0.25">
      <c r="A820414" s="242"/>
    </row>
    <row r="820415" spans="1:1" x14ac:dyDescent="0.25">
      <c r="A820415" s="242"/>
    </row>
    <row r="820416" spans="1:1" x14ac:dyDescent="0.25">
      <c r="A820416" s="242"/>
    </row>
    <row r="820417" spans="1:1" x14ac:dyDescent="0.25">
      <c r="A820417" s="242"/>
    </row>
    <row r="820418" spans="1:1" x14ac:dyDescent="0.25">
      <c r="A820418" s="242"/>
    </row>
    <row r="820419" spans="1:1" x14ac:dyDescent="0.25">
      <c r="A820419" s="242"/>
    </row>
    <row r="820420" spans="1:1" x14ac:dyDescent="0.25">
      <c r="A820420" s="242"/>
    </row>
    <row r="820421" spans="1:1" x14ac:dyDescent="0.25">
      <c r="A820421" s="242"/>
    </row>
    <row r="820422" spans="1:1" x14ac:dyDescent="0.25">
      <c r="A820422" s="242"/>
    </row>
    <row r="820423" spans="1:1" x14ac:dyDescent="0.25">
      <c r="A820423" s="242"/>
    </row>
    <row r="820424" spans="1:1" x14ac:dyDescent="0.25">
      <c r="A820424" s="242"/>
    </row>
    <row r="820425" spans="1:1" x14ac:dyDescent="0.25">
      <c r="A820425" s="242"/>
    </row>
    <row r="820426" spans="1:1" x14ac:dyDescent="0.25">
      <c r="A820426" s="242"/>
    </row>
    <row r="820427" spans="1:1" x14ac:dyDescent="0.25">
      <c r="A820427" s="242"/>
    </row>
    <row r="820428" spans="1:1" x14ac:dyDescent="0.25">
      <c r="A820428" s="242"/>
    </row>
    <row r="820429" spans="1:1" x14ac:dyDescent="0.25">
      <c r="A820429" s="242"/>
    </row>
    <row r="820430" spans="1:1" x14ac:dyDescent="0.25">
      <c r="A820430" s="242"/>
    </row>
    <row r="820431" spans="1:1" x14ac:dyDescent="0.25">
      <c r="A820431" s="242"/>
    </row>
    <row r="820432" spans="1:1" x14ac:dyDescent="0.25">
      <c r="A820432" s="242"/>
    </row>
    <row r="820433" spans="1:1" x14ac:dyDescent="0.25">
      <c r="A820433" s="242"/>
    </row>
    <row r="820434" spans="1:1" x14ac:dyDescent="0.25">
      <c r="A820434" s="242"/>
    </row>
    <row r="820435" spans="1:1" x14ac:dyDescent="0.25">
      <c r="A820435" s="242"/>
    </row>
    <row r="820436" spans="1:1" x14ac:dyDescent="0.25">
      <c r="A820436" s="242"/>
    </row>
    <row r="820437" spans="1:1" x14ac:dyDescent="0.25">
      <c r="A820437" s="242"/>
    </row>
    <row r="820438" spans="1:1" x14ac:dyDescent="0.25">
      <c r="A820438" s="242"/>
    </row>
    <row r="820439" spans="1:1" x14ac:dyDescent="0.25">
      <c r="A820439" s="242"/>
    </row>
    <row r="820440" spans="1:1" x14ac:dyDescent="0.25">
      <c r="A820440" s="242"/>
    </row>
    <row r="820441" spans="1:1" x14ac:dyDescent="0.25">
      <c r="A820441" s="242"/>
    </row>
    <row r="820442" spans="1:1" x14ac:dyDescent="0.25">
      <c r="A820442" s="242"/>
    </row>
    <row r="820443" spans="1:1" x14ac:dyDescent="0.25">
      <c r="A820443" s="242"/>
    </row>
    <row r="820444" spans="1:1" x14ac:dyDescent="0.25">
      <c r="A820444" s="242"/>
    </row>
    <row r="820445" spans="1:1" x14ac:dyDescent="0.25">
      <c r="A820445" s="242"/>
    </row>
    <row r="820446" spans="1:1" x14ac:dyDescent="0.25">
      <c r="A820446" s="242"/>
    </row>
    <row r="820447" spans="1:1" x14ac:dyDescent="0.25">
      <c r="A820447" s="242"/>
    </row>
    <row r="820448" spans="1:1" x14ac:dyDescent="0.25">
      <c r="A820448" s="242"/>
    </row>
    <row r="820449" spans="1:1" x14ac:dyDescent="0.25">
      <c r="A820449" s="242"/>
    </row>
    <row r="820450" spans="1:1" x14ac:dyDescent="0.25">
      <c r="A820450" s="242"/>
    </row>
    <row r="820451" spans="1:1" x14ac:dyDescent="0.25">
      <c r="A820451" s="242"/>
    </row>
    <row r="820452" spans="1:1" x14ac:dyDescent="0.25">
      <c r="A820452" s="242"/>
    </row>
    <row r="820453" spans="1:1" x14ac:dyDescent="0.25">
      <c r="A820453" s="242"/>
    </row>
    <row r="820454" spans="1:1" x14ac:dyDescent="0.25">
      <c r="A820454" s="242"/>
    </row>
    <row r="820455" spans="1:1" x14ac:dyDescent="0.25">
      <c r="A820455" s="242"/>
    </row>
    <row r="820456" spans="1:1" x14ac:dyDescent="0.25">
      <c r="A820456" s="242"/>
    </row>
    <row r="820457" spans="1:1" x14ac:dyDescent="0.25">
      <c r="A820457" s="242"/>
    </row>
    <row r="820458" spans="1:1" x14ac:dyDescent="0.25">
      <c r="A820458" s="242"/>
    </row>
    <row r="820459" spans="1:1" x14ac:dyDescent="0.25">
      <c r="A820459" s="242"/>
    </row>
    <row r="820460" spans="1:1" x14ac:dyDescent="0.25">
      <c r="A820460" s="242"/>
    </row>
    <row r="820461" spans="1:1" x14ac:dyDescent="0.25">
      <c r="A820461" s="242"/>
    </row>
    <row r="820462" spans="1:1" x14ac:dyDescent="0.25">
      <c r="A820462" s="242"/>
    </row>
    <row r="820463" spans="1:1" x14ac:dyDescent="0.25">
      <c r="A820463" s="242"/>
    </row>
    <row r="820464" spans="1:1" x14ac:dyDescent="0.25">
      <c r="A820464" s="242"/>
    </row>
    <row r="820465" spans="1:1" x14ac:dyDescent="0.25">
      <c r="A820465" s="242"/>
    </row>
    <row r="820466" spans="1:1" x14ac:dyDescent="0.25">
      <c r="A820466" s="242"/>
    </row>
    <row r="820467" spans="1:1" x14ac:dyDescent="0.25">
      <c r="A820467" s="242"/>
    </row>
    <row r="820468" spans="1:1" x14ac:dyDescent="0.25">
      <c r="A820468" s="242"/>
    </row>
    <row r="820469" spans="1:1" x14ac:dyDescent="0.25">
      <c r="A820469" s="242"/>
    </row>
    <row r="820470" spans="1:1" x14ac:dyDescent="0.25">
      <c r="A820470" s="242"/>
    </row>
    <row r="820471" spans="1:1" x14ac:dyDescent="0.25">
      <c r="A820471" s="242"/>
    </row>
    <row r="820472" spans="1:1" x14ac:dyDescent="0.25">
      <c r="A820472" s="242"/>
    </row>
    <row r="820473" spans="1:1" x14ac:dyDescent="0.25">
      <c r="A820473" s="242"/>
    </row>
    <row r="820474" spans="1:1" x14ac:dyDescent="0.25">
      <c r="A820474" s="242"/>
    </row>
    <row r="820475" spans="1:1" x14ac:dyDescent="0.25">
      <c r="A820475" s="242"/>
    </row>
    <row r="820476" spans="1:1" x14ac:dyDescent="0.25">
      <c r="A820476" s="242"/>
    </row>
    <row r="820477" spans="1:1" x14ac:dyDescent="0.25">
      <c r="A820477" s="242"/>
    </row>
    <row r="820478" spans="1:1" x14ac:dyDescent="0.25">
      <c r="A820478" s="242"/>
    </row>
    <row r="820479" spans="1:1" x14ac:dyDescent="0.25">
      <c r="A820479" s="242"/>
    </row>
    <row r="820480" spans="1:1" x14ac:dyDescent="0.25">
      <c r="A820480" s="242"/>
    </row>
    <row r="820481" spans="1:1" x14ac:dyDescent="0.25">
      <c r="A820481" s="242"/>
    </row>
    <row r="820482" spans="1:1" x14ac:dyDescent="0.25">
      <c r="A820482" s="242"/>
    </row>
    <row r="820483" spans="1:1" x14ac:dyDescent="0.25">
      <c r="A820483" s="242"/>
    </row>
    <row r="820484" spans="1:1" x14ac:dyDescent="0.25">
      <c r="A820484" s="242"/>
    </row>
    <row r="820485" spans="1:1" x14ac:dyDescent="0.25">
      <c r="A820485" s="242"/>
    </row>
    <row r="820486" spans="1:1" x14ac:dyDescent="0.25">
      <c r="A820486" s="242"/>
    </row>
    <row r="820487" spans="1:1" x14ac:dyDescent="0.25">
      <c r="A820487" s="242"/>
    </row>
    <row r="820488" spans="1:1" x14ac:dyDescent="0.25">
      <c r="A820488" s="242"/>
    </row>
    <row r="820489" spans="1:1" x14ac:dyDescent="0.25">
      <c r="A820489" s="242"/>
    </row>
    <row r="820490" spans="1:1" x14ac:dyDescent="0.25">
      <c r="A820490" s="242"/>
    </row>
    <row r="820491" spans="1:1" x14ac:dyDescent="0.25">
      <c r="A820491" s="242"/>
    </row>
    <row r="820492" spans="1:1" x14ac:dyDescent="0.25">
      <c r="A820492" s="242"/>
    </row>
    <row r="820493" spans="1:1" x14ac:dyDescent="0.25">
      <c r="A820493" s="242"/>
    </row>
    <row r="820494" spans="1:1" x14ac:dyDescent="0.25">
      <c r="A820494" s="242"/>
    </row>
    <row r="820495" spans="1:1" x14ac:dyDescent="0.25">
      <c r="A820495" s="242"/>
    </row>
    <row r="820496" spans="1:1" x14ac:dyDescent="0.25">
      <c r="A820496" s="242"/>
    </row>
    <row r="820497" spans="1:1" x14ac:dyDescent="0.25">
      <c r="A820497" s="242"/>
    </row>
    <row r="820498" spans="1:1" x14ac:dyDescent="0.25">
      <c r="A820498" s="242"/>
    </row>
    <row r="820499" spans="1:1" x14ac:dyDescent="0.25">
      <c r="A820499" s="242"/>
    </row>
    <row r="820500" spans="1:1" x14ac:dyDescent="0.25">
      <c r="A820500" s="242"/>
    </row>
    <row r="820501" spans="1:1" x14ac:dyDescent="0.25">
      <c r="A820501" s="242"/>
    </row>
    <row r="820502" spans="1:1" x14ac:dyDescent="0.25">
      <c r="A820502" s="242"/>
    </row>
    <row r="820503" spans="1:1" x14ac:dyDescent="0.25">
      <c r="A820503" s="242"/>
    </row>
    <row r="820504" spans="1:1" x14ac:dyDescent="0.25">
      <c r="A820504" s="242"/>
    </row>
    <row r="820505" spans="1:1" x14ac:dyDescent="0.25">
      <c r="A820505" s="242"/>
    </row>
    <row r="820506" spans="1:1" x14ac:dyDescent="0.25">
      <c r="A820506" s="242"/>
    </row>
    <row r="820507" spans="1:1" x14ac:dyDescent="0.25">
      <c r="A820507" s="242"/>
    </row>
    <row r="820508" spans="1:1" x14ac:dyDescent="0.25">
      <c r="A820508" s="242"/>
    </row>
    <row r="820509" spans="1:1" x14ac:dyDescent="0.25">
      <c r="A820509" s="242"/>
    </row>
    <row r="820510" spans="1:1" x14ac:dyDescent="0.25">
      <c r="A820510" s="242"/>
    </row>
    <row r="820511" spans="1:1" x14ac:dyDescent="0.25">
      <c r="A820511" s="242"/>
    </row>
    <row r="820512" spans="1:1" x14ac:dyDescent="0.25">
      <c r="A820512" s="242"/>
    </row>
    <row r="820513" spans="1:1" x14ac:dyDescent="0.25">
      <c r="A820513" s="242"/>
    </row>
    <row r="820514" spans="1:1" x14ac:dyDescent="0.25">
      <c r="A820514" s="242"/>
    </row>
    <row r="820515" spans="1:1" x14ac:dyDescent="0.25">
      <c r="A820515" s="242"/>
    </row>
    <row r="820516" spans="1:1" x14ac:dyDescent="0.25">
      <c r="A820516" s="242"/>
    </row>
    <row r="820517" spans="1:1" x14ac:dyDescent="0.25">
      <c r="A820517" s="242"/>
    </row>
    <row r="820518" spans="1:1" x14ac:dyDescent="0.25">
      <c r="A820518" s="242"/>
    </row>
    <row r="820519" spans="1:1" x14ac:dyDescent="0.25">
      <c r="A820519" s="242"/>
    </row>
    <row r="820520" spans="1:1" x14ac:dyDescent="0.25">
      <c r="A820520" s="242"/>
    </row>
    <row r="820521" spans="1:1" x14ac:dyDescent="0.25">
      <c r="A820521" s="242"/>
    </row>
    <row r="820522" spans="1:1" x14ac:dyDescent="0.25">
      <c r="A820522" s="242"/>
    </row>
    <row r="820523" spans="1:1" x14ac:dyDescent="0.25">
      <c r="A820523" s="242"/>
    </row>
    <row r="820524" spans="1:1" x14ac:dyDescent="0.25">
      <c r="A820524" s="242"/>
    </row>
    <row r="820525" spans="1:1" x14ac:dyDescent="0.25">
      <c r="A820525" s="242"/>
    </row>
    <row r="820526" spans="1:1" x14ac:dyDescent="0.25">
      <c r="A820526" s="242"/>
    </row>
    <row r="820527" spans="1:1" x14ac:dyDescent="0.25">
      <c r="A820527" s="242"/>
    </row>
    <row r="820528" spans="1:1" x14ac:dyDescent="0.25">
      <c r="A820528" s="242"/>
    </row>
    <row r="820529" spans="1:1" x14ac:dyDescent="0.25">
      <c r="A820529" s="242"/>
    </row>
    <row r="820530" spans="1:1" x14ac:dyDescent="0.25">
      <c r="A820530" s="242"/>
    </row>
    <row r="820531" spans="1:1" x14ac:dyDescent="0.25">
      <c r="A820531" s="242"/>
    </row>
    <row r="820532" spans="1:1" x14ac:dyDescent="0.25">
      <c r="A820532" s="242"/>
    </row>
    <row r="820533" spans="1:1" x14ac:dyDescent="0.25">
      <c r="A820533" s="242"/>
    </row>
    <row r="820534" spans="1:1" x14ac:dyDescent="0.25">
      <c r="A820534" s="242"/>
    </row>
    <row r="820535" spans="1:1" x14ac:dyDescent="0.25">
      <c r="A820535" s="242"/>
    </row>
    <row r="820536" spans="1:1" x14ac:dyDescent="0.25">
      <c r="A820536" s="242"/>
    </row>
    <row r="820537" spans="1:1" x14ac:dyDescent="0.25">
      <c r="A820537" s="242"/>
    </row>
    <row r="820538" spans="1:1" x14ac:dyDescent="0.25">
      <c r="A820538" s="242"/>
    </row>
    <row r="820539" spans="1:1" x14ac:dyDescent="0.25">
      <c r="A820539" s="242"/>
    </row>
    <row r="820540" spans="1:1" x14ac:dyDescent="0.25">
      <c r="A820540" s="242"/>
    </row>
    <row r="820541" spans="1:1" x14ac:dyDescent="0.25">
      <c r="A820541" s="242"/>
    </row>
    <row r="820542" spans="1:1" x14ac:dyDescent="0.25">
      <c r="A820542" s="242"/>
    </row>
    <row r="820543" spans="1:1" x14ac:dyDescent="0.25">
      <c r="A820543" s="242"/>
    </row>
    <row r="820544" spans="1:1" x14ac:dyDescent="0.25">
      <c r="A820544" s="242"/>
    </row>
    <row r="820545" spans="1:1" x14ac:dyDescent="0.25">
      <c r="A820545" s="242"/>
    </row>
    <row r="820546" spans="1:1" x14ac:dyDescent="0.25">
      <c r="A820546" s="242"/>
    </row>
    <row r="820547" spans="1:1" x14ac:dyDescent="0.25">
      <c r="A820547" s="242"/>
    </row>
    <row r="820548" spans="1:1" x14ac:dyDescent="0.25">
      <c r="A820548" s="242"/>
    </row>
    <row r="820549" spans="1:1" x14ac:dyDescent="0.25">
      <c r="A820549" s="242"/>
    </row>
    <row r="820550" spans="1:1" x14ac:dyDescent="0.25">
      <c r="A820550" s="242"/>
    </row>
    <row r="820551" spans="1:1" x14ac:dyDescent="0.25">
      <c r="A820551" s="242"/>
    </row>
    <row r="820552" spans="1:1" x14ac:dyDescent="0.25">
      <c r="A820552" s="242"/>
    </row>
    <row r="820553" spans="1:1" x14ac:dyDescent="0.25">
      <c r="A820553" s="242"/>
    </row>
    <row r="820554" spans="1:1" x14ac:dyDescent="0.25">
      <c r="A820554" s="242"/>
    </row>
    <row r="820555" spans="1:1" x14ac:dyDescent="0.25">
      <c r="A820555" s="242"/>
    </row>
    <row r="820556" spans="1:1" x14ac:dyDescent="0.25">
      <c r="A820556" s="242"/>
    </row>
    <row r="820557" spans="1:1" x14ac:dyDescent="0.25">
      <c r="A820557" s="242"/>
    </row>
    <row r="820558" spans="1:1" x14ac:dyDescent="0.25">
      <c r="A820558" s="242"/>
    </row>
    <row r="820559" spans="1:1" x14ac:dyDescent="0.25">
      <c r="A820559" s="242"/>
    </row>
    <row r="820560" spans="1:1" x14ac:dyDescent="0.25">
      <c r="A820560" s="242"/>
    </row>
    <row r="820561" spans="1:1" x14ac:dyDescent="0.25">
      <c r="A820561" s="242"/>
    </row>
    <row r="820562" spans="1:1" x14ac:dyDescent="0.25">
      <c r="A820562" s="242"/>
    </row>
    <row r="820563" spans="1:1" x14ac:dyDescent="0.25">
      <c r="A820563" s="242"/>
    </row>
    <row r="820564" spans="1:1" x14ac:dyDescent="0.25">
      <c r="A820564" s="242"/>
    </row>
    <row r="820565" spans="1:1" x14ac:dyDescent="0.25">
      <c r="A820565" s="242"/>
    </row>
    <row r="820566" spans="1:1" x14ac:dyDescent="0.25">
      <c r="A820566" s="242"/>
    </row>
    <row r="820567" spans="1:1" x14ac:dyDescent="0.25">
      <c r="A820567" s="242"/>
    </row>
    <row r="820568" spans="1:1" x14ac:dyDescent="0.25">
      <c r="A820568" s="242"/>
    </row>
    <row r="820569" spans="1:1" x14ac:dyDescent="0.25">
      <c r="A820569" s="242"/>
    </row>
    <row r="820570" spans="1:1" x14ac:dyDescent="0.25">
      <c r="A820570" s="242"/>
    </row>
    <row r="820571" spans="1:1" x14ac:dyDescent="0.25">
      <c r="A820571" s="242"/>
    </row>
    <row r="820572" spans="1:1" x14ac:dyDescent="0.25">
      <c r="A820572" s="242"/>
    </row>
    <row r="820573" spans="1:1" x14ac:dyDescent="0.25">
      <c r="A820573" s="242"/>
    </row>
    <row r="820574" spans="1:1" x14ac:dyDescent="0.25">
      <c r="A820574" s="242"/>
    </row>
    <row r="820575" spans="1:1" x14ac:dyDescent="0.25">
      <c r="A820575" s="242"/>
    </row>
    <row r="820576" spans="1:1" x14ac:dyDescent="0.25">
      <c r="A820576" s="242"/>
    </row>
    <row r="820577" spans="1:1" x14ac:dyDescent="0.25">
      <c r="A820577" s="242"/>
    </row>
    <row r="820578" spans="1:1" x14ac:dyDescent="0.25">
      <c r="A820578" s="242"/>
    </row>
    <row r="820579" spans="1:1" x14ac:dyDescent="0.25">
      <c r="A820579" s="242"/>
    </row>
    <row r="820580" spans="1:1" x14ac:dyDescent="0.25">
      <c r="A820580" s="242"/>
    </row>
    <row r="820581" spans="1:1" x14ac:dyDescent="0.25">
      <c r="A820581" s="242"/>
    </row>
    <row r="820582" spans="1:1" x14ac:dyDescent="0.25">
      <c r="A820582" s="242"/>
    </row>
    <row r="820583" spans="1:1" x14ac:dyDescent="0.25">
      <c r="A820583" s="242"/>
    </row>
    <row r="820584" spans="1:1" x14ac:dyDescent="0.25">
      <c r="A820584" s="242"/>
    </row>
    <row r="820585" spans="1:1" x14ac:dyDescent="0.25">
      <c r="A820585" s="242"/>
    </row>
    <row r="820586" spans="1:1" x14ac:dyDescent="0.25">
      <c r="A820586" s="242"/>
    </row>
    <row r="820587" spans="1:1" x14ac:dyDescent="0.25">
      <c r="A820587" s="242"/>
    </row>
    <row r="820588" spans="1:1" x14ac:dyDescent="0.25">
      <c r="A820588" s="242"/>
    </row>
    <row r="820589" spans="1:1" x14ac:dyDescent="0.25">
      <c r="A820589" s="242"/>
    </row>
    <row r="820590" spans="1:1" x14ac:dyDescent="0.25">
      <c r="A820590" s="242"/>
    </row>
    <row r="820591" spans="1:1" x14ac:dyDescent="0.25">
      <c r="A820591" s="242"/>
    </row>
    <row r="820592" spans="1:1" x14ac:dyDescent="0.25">
      <c r="A820592" s="242"/>
    </row>
    <row r="820593" spans="1:1" x14ac:dyDescent="0.25">
      <c r="A820593" s="242"/>
    </row>
    <row r="820594" spans="1:1" x14ac:dyDescent="0.25">
      <c r="A820594" s="242"/>
    </row>
    <row r="820595" spans="1:1" x14ac:dyDescent="0.25">
      <c r="A820595" s="242"/>
    </row>
    <row r="820596" spans="1:1" x14ac:dyDescent="0.25">
      <c r="A820596" s="242"/>
    </row>
    <row r="820597" spans="1:1" x14ac:dyDescent="0.25">
      <c r="A820597" s="242"/>
    </row>
    <row r="820598" spans="1:1" x14ac:dyDescent="0.25">
      <c r="A820598" s="242"/>
    </row>
    <row r="820599" spans="1:1" x14ac:dyDescent="0.25">
      <c r="A820599" s="242"/>
    </row>
    <row r="820600" spans="1:1" x14ac:dyDescent="0.25">
      <c r="A820600" s="242"/>
    </row>
    <row r="820601" spans="1:1" x14ac:dyDescent="0.25">
      <c r="A820601" s="242"/>
    </row>
    <row r="820602" spans="1:1" x14ac:dyDescent="0.25">
      <c r="A820602" s="242"/>
    </row>
    <row r="820603" spans="1:1" x14ac:dyDescent="0.25">
      <c r="A820603" s="242"/>
    </row>
    <row r="820604" spans="1:1" x14ac:dyDescent="0.25">
      <c r="A820604" s="242"/>
    </row>
    <row r="820605" spans="1:1" x14ac:dyDescent="0.25">
      <c r="A820605" s="242"/>
    </row>
    <row r="820606" spans="1:1" x14ac:dyDescent="0.25">
      <c r="A820606" s="242"/>
    </row>
    <row r="820607" spans="1:1" x14ac:dyDescent="0.25">
      <c r="A820607" s="242"/>
    </row>
    <row r="820608" spans="1:1" x14ac:dyDescent="0.25">
      <c r="A820608" s="242"/>
    </row>
    <row r="820609" spans="1:1" x14ac:dyDescent="0.25">
      <c r="A820609" s="242"/>
    </row>
    <row r="820610" spans="1:1" x14ac:dyDescent="0.25">
      <c r="A820610" s="242"/>
    </row>
    <row r="820611" spans="1:1" x14ac:dyDescent="0.25">
      <c r="A820611" s="242"/>
    </row>
    <row r="820612" spans="1:1" x14ac:dyDescent="0.25">
      <c r="A820612" s="242"/>
    </row>
    <row r="820613" spans="1:1" x14ac:dyDescent="0.25">
      <c r="A820613" s="242"/>
    </row>
    <row r="820614" spans="1:1" x14ac:dyDescent="0.25">
      <c r="A820614" s="242"/>
    </row>
    <row r="820615" spans="1:1" x14ac:dyDescent="0.25">
      <c r="A820615" s="242"/>
    </row>
    <row r="820616" spans="1:1" x14ac:dyDescent="0.25">
      <c r="A820616" s="242"/>
    </row>
    <row r="820617" spans="1:1" x14ac:dyDescent="0.25">
      <c r="A820617" s="242"/>
    </row>
    <row r="820618" spans="1:1" x14ac:dyDescent="0.25">
      <c r="A820618" s="242"/>
    </row>
    <row r="820619" spans="1:1" x14ac:dyDescent="0.25">
      <c r="A820619" s="242"/>
    </row>
    <row r="820620" spans="1:1" x14ac:dyDescent="0.25">
      <c r="A820620" s="242"/>
    </row>
    <row r="820621" spans="1:1" x14ac:dyDescent="0.25">
      <c r="A820621" s="242"/>
    </row>
    <row r="820622" spans="1:1" x14ac:dyDescent="0.25">
      <c r="A820622" s="242"/>
    </row>
    <row r="820623" spans="1:1" x14ac:dyDescent="0.25">
      <c r="A820623" s="242"/>
    </row>
    <row r="820624" spans="1:1" x14ac:dyDescent="0.25">
      <c r="A820624" s="242"/>
    </row>
    <row r="820625" spans="1:1" x14ac:dyDescent="0.25">
      <c r="A820625" s="242"/>
    </row>
    <row r="820626" spans="1:1" x14ac:dyDescent="0.25">
      <c r="A820626" s="242"/>
    </row>
    <row r="820627" spans="1:1" x14ac:dyDescent="0.25">
      <c r="A820627" s="242"/>
    </row>
    <row r="820628" spans="1:1" x14ac:dyDescent="0.25">
      <c r="A820628" s="242"/>
    </row>
    <row r="820629" spans="1:1" x14ac:dyDescent="0.25">
      <c r="A820629" s="242"/>
    </row>
    <row r="820630" spans="1:1" x14ac:dyDescent="0.25">
      <c r="A820630" s="242"/>
    </row>
    <row r="820631" spans="1:1" x14ac:dyDescent="0.25">
      <c r="A820631" s="242"/>
    </row>
    <row r="820632" spans="1:1" x14ac:dyDescent="0.25">
      <c r="A820632" s="242"/>
    </row>
    <row r="820633" spans="1:1" x14ac:dyDescent="0.25">
      <c r="A820633" s="242"/>
    </row>
    <row r="820634" spans="1:1" x14ac:dyDescent="0.25">
      <c r="A820634" s="242"/>
    </row>
    <row r="820635" spans="1:1" x14ac:dyDescent="0.25">
      <c r="A820635" s="242"/>
    </row>
    <row r="820636" spans="1:1" x14ac:dyDescent="0.25">
      <c r="A820636" s="242"/>
    </row>
    <row r="820637" spans="1:1" x14ac:dyDescent="0.25">
      <c r="A820637" s="242"/>
    </row>
    <row r="820638" spans="1:1" x14ac:dyDescent="0.25">
      <c r="A820638" s="242"/>
    </row>
    <row r="820639" spans="1:1" x14ac:dyDescent="0.25">
      <c r="A820639" s="242"/>
    </row>
    <row r="820640" spans="1:1" x14ac:dyDescent="0.25">
      <c r="A820640" s="242"/>
    </row>
    <row r="820641" spans="1:1" x14ac:dyDescent="0.25">
      <c r="A820641" s="242"/>
    </row>
    <row r="820642" spans="1:1" x14ac:dyDescent="0.25">
      <c r="A820642" s="242"/>
    </row>
    <row r="820643" spans="1:1" x14ac:dyDescent="0.25">
      <c r="A820643" s="242"/>
    </row>
    <row r="820644" spans="1:1" x14ac:dyDescent="0.25">
      <c r="A820644" s="242"/>
    </row>
    <row r="820645" spans="1:1" x14ac:dyDescent="0.25">
      <c r="A820645" s="242"/>
    </row>
    <row r="820646" spans="1:1" x14ac:dyDescent="0.25">
      <c r="A820646" s="242"/>
    </row>
    <row r="820647" spans="1:1" x14ac:dyDescent="0.25">
      <c r="A820647" s="242"/>
    </row>
    <row r="820648" spans="1:1" x14ac:dyDescent="0.25">
      <c r="A820648" s="242"/>
    </row>
    <row r="820649" spans="1:1" x14ac:dyDescent="0.25">
      <c r="A820649" s="242"/>
    </row>
    <row r="820650" spans="1:1" x14ac:dyDescent="0.25">
      <c r="A820650" s="242"/>
    </row>
    <row r="820651" spans="1:1" x14ac:dyDescent="0.25">
      <c r="A820651" s="242"/>
    </row>
    <row r="820652" spans="1:1" x14ac:dyDescent="0.25">
      <c r="A820652" s="242"/>
    </row>
    <row r="820653" spans="1:1" x14ac:dyDescent="0.25">
      <c r="A820653" s="242"/>
    </row>
    <row r="820654" spans="1:1" x14ac:dyDescent="0.25">
      <c r="A820654" s="242"/>
    </row>
    <row r="820655" spans="1:1" x14ac:dyDescent="0.25">
      <c r="A820655" s="242"/>
    </row>
    <row r="820656" spans="1:1" x14ac:dyDescent="0.25">
      <c r="A820656" s="242"/>
    </row>
    <row r="820657" spans="1:1" x14ac:dyDescent="0.25">
      <c r="A820657" s="242"/>
    </row>
    <row r="820658" spans="1:1" x14ac:dyDescent="0.25">
      <c r="A820658" s="242"/>
    </row>
    <row r="820659" spans="1:1" x14ac:dyDescent="0.25">
      <c r="A820659" s="242"/>
    </row>
    <row r="820660" spans="1:1" x14ac:dyDescent="0.25">
      <c r="A820660" s="242"/>
    </row>
    <row r="820661" spans="1:1" x14ac:dyDescent="0.25">
      <c r="A820661" s="242"/>
    </row>
    <row r="820662" spans="1:1" x14ac:dyDescent="0.25">
      <c r="A820662" s="242"/>
    </row>
    <row r="820663" spans="1:1" x14ac:dyDescent="0.25">
      <c r="A820663" s="242"/>
    </row>
    <row r="820664" spans="1:1" x14ac:dyDescent="0.25">
      <c r="A820664" s="242"/>
    </row>
    <row r="820665" spans="1:1" x14ac:dyDescent="0.25">
      <c r="A820665" s="242"/>
    </row>
    <row r="820666" spans="1:1" x14ac:dyDescent="0.25">
      <c r="A820666" s="242"/>
    </row>
    <row r="820667" spans="1:1" x14ac:dyDescent="0.25">
      <c r="A820667" s="242"/>
    </row>
    <row r="820668" spans="1:1" x14ac:dyDescent="0.25">
      <c r="A820668" s="242"/>
    </row>
    <row r="820669" spans="1:1" x14ac:dyDescent="0.25">
      <c r="A820669" s="242"/>
    </row>
    <row r="820670" spans="1:1" x14ac:dyDescent="0.25">
      <c r="A820670" s="242"/>
    </row>
    <row r="820671" spans="1:1" x14ac:dyDescent="0.25">
      <c r="A820671" s="242"/>
    </row>
    <row r="820672" spans="1:1" x14ac:dyDescent="0.25">
      <c r="A820672" s="242"/>
    </row>
    <row r="820673" spans="1:1" x14ac:dyDescent="0.25">
      <c r="A820673" s="242"/>
    </row>
    <row r="820674" spans="1:1" x14ac:dyDescent="0.25">
      <c r="A820674" s="242"/>
    </row>
    <row r="820675" spans="1:1" x14ac:dyDescent="0.25">
      <c r="A820675" s="242"/>
    </row>
    <row r="820676" spans="1:1" x14ac:dyDescent="0.25">
      <c r="A820676" s="242"/>
    </row>
    <row r="820677" spans="1:1" x14ac:dyDescent="0.25">
      <c r="A820677" s="242"/>
    </row>
    <row r="820678" spans="1:1" x14ac:dyDescent="0.25">
      <c r="A820678" s="242"/>
    </row>
    <row r="820679" spans="1:1" x14ac:dyDescent="0.25">
      <c r="A820679" s="242"/>
    </row>
    <row r="820680" spans="1:1" x14ac:dyDescent="0.25">
      <c r="A820680" s="242"/>
    </row>
    <row r="820681" spans="1:1" x14ac:dyDescent="0.25">
      <c r="A820681" s="242"/>
    </row>
    <row r="820682" spans="1:1" x14ac:dyDescent="0.25">
      <c r="A820682" s="242"/>
    </row>
    <row r="820683" spans="1:1" x14ac:dyDescent="0.25">
      <c r="A820683" s="242"/>
    </row>
    <row r="820684" spans="1:1" x14ac:dyDescent="0.25">
      <c r="A820684" s="242"/>
    </row>
    <row r="820685" spans="1:1" x14ac:dyDescent="0.25">
      <c r="A820685" s="242"/>
    </row>
    <row r="820686" spans="1:1" x14ac:dyDescent="0.25">
      <c r="A820686" s="242"/>
    </row>
    <row r="820687" spans="1:1" x14ac:dyDescent="0.25">
      <c r="A820687" s="242"/>
    </row>
    <row r="820688" spans="1:1" x14ac:dyDescent="0.25">
      <c r="A820688" s="242"/>
    </row>
    <row r="820689" spans="1:1" x14ac:dyDescent="0.25">
      <c r="A820689" s="242"/>
    </row>
    <row r="820690" spans="1:1" x14ac:dyDescent="0.25">
      <c r="A820690" s="242"/>
    </row>
    <row r="820691" spans="1:1" x14ac:dyDescent="0.25">
      <c r="A820691" s="242"/>
    </row>
    <row r="820692" spans="1:1" x14ac:dyDescent="0.25">
      <c r="A820692" s="242"/>
    </row>
    <row r="820693" spans="1:1" x14ac:dyDescent="0.25">
      <c r="A820693" s="242"/>
    </row>
    <row r="820694" spans="1:1" x14ac:dyDescent="0.25">
      <c r="A820694" s="242"/>
    </row>
    <row r="820695" spans="1:1" x14ac:dyDescent="0.25">
      <c r="A820695" s="242"/>
    </row>
    <row r="820696" spans="1:1" x14ac:dyDescent="0.25">
      <c r="A820696" s="242"/>
    </row>
    <row r="820697" spans="1:1" x14ac:dyDescent="0.25">
      <c r="A820697" s="242"/>
    </row>
    <row r="820698" spans="1:1" x14ac:dyDescent="0.25">
      <c r="A820698" s="242"/>
    </row>
    <row r="820699" spans="1:1" x14ac:dyDescent="0.25">
      <c r="A820699" s="242"/>
    </row>
    <row r="820700" spans="1:1" x14ac:dyDescent="0.25">
      <c r="A820700" s="242"/>
    </row>
    <row r="820701" spans="1:1" x14ac:dyDescent="0.25">
      <c r="A820701" s="242"/>
    </row>
    <row r="820702" spans="1:1" x14ac:dyDescent="0.25">
      <c r="A820702" s="242"/>
    </row>
    <row r="820703" spans="1:1" x14ac:dyDescent="0.25">
      <c r="A820703" s="242"/>
    </row>
    <row r="820704" spans="1:1" x14ac:dyDescent="0.25">
      <c r="A820704" s="242"/>
    </row>
    <row r="820705" spans="1:1" x14ac:dyDescent="0.25">
      <c r="A820705" s="242"/>
    </row>
    <row r="820706" spans="1:1" x14ac:dyDescent="0.25">
      <c r="A820706" s="242"/>
    </row>
    <row r="820707" spans="1:1" x14ac:dyDescent="0.25">
      <c r="A820707" s="242"/>
    </row>
    <row r="820708" spans="1:1" x14ac:dyDescent="0.25">
      <c r="A820708" s="242"/>
    </row>
    <row r="820709" spans="1:1" x14ac:dyDescent="0.25">
      <c r="A820709" s="242"/>
    </row>
    <row r="820710" spans="1:1" x14ac:dyDescent="0.25">
      <c r="A820710" s="242"/>
    </row>
    <row r="820711" spans="1:1" x14ac:dyDescent="0.25">
      <c r="A820711" s="242"/>
    </row>
    <row r="820712" spans="1:1" x14ac:dyDescent="0.25">
      <c r="A820712" s="242"/>
    </row>
    <row r="820713" spans="1:1" x14ac:dyDescent="0.25">
      <c r="A820713" s="242"/>
    </row>
    <row r="820714" spans="1:1" x14ac:dyDescent="0.25">
      <c r="A820714" s="242"/>
    </row>
    <row r="820715" spans="1:1" x14ac:dyDescent="0.25">
      <c r="A820715" s="242"/>
    </row>
    <row r="820716" spans="1:1" x14ac:dyDescent="0.25">
      <c r="A820716" s="242"/>
    </row>
    <row r="820717" spans="1:1" x14ac:dyDescent="0.25">
      <c r="A820717" s="242"/>
    </row>
    <row r="820718" spans="1:1" x14ac:dyDescent="0.25">
      <c r="A820718" s="242"/>
    </row>
    <row r="820719" spans="1:1" x14ac:dyDescent="0.25">
      <c r="A820719" s="242"/>
    </row>
    <row r="820720" spans="1:1" x14ac:dyDescent="0.25">
      <c r="A820720" s="242"/>
    </row>
    <row r="820721" spans="1:1" x14ac:dyDescent="0.25">
      <c r="A820721" s="242"/>
    </row>
    <row r="820722" spans="1:1" x14ac:dyDescent="0.25">
      <c r="A820722" s="242"/>
    </row>
    <row r="820723" spans="1:1" x14ac:dyDescent="0.25">
      <c r="A820723" s="242"/>
    </row>
    <row r="820724" spans="1:1" x14ac:dyDescent="0.25">
      <c r="A820724" s="242"/>
    </row>
    <row r="820725" spans="1:1" x14ac:dyDescent="0.25">
      <c r="A820725" s="242"/>
    </row>
    <row r="820726" spans="1:1" x14ac:dyDescent="0.25">
      <c r="A820726" s="242"/>
    </row>
    <row r="820727" spans="1:1" x14ac:dyDescent="0.25">
      <c r="A820727" s="242"/>
    </row>
    <row r="820728" spans="1:1" x14ac:dyDescent="0.25">
      <c r="A820728" s="242"/>
    </row>
    <row r="820729" spans="1:1" x14ac:dyDescent="0.25">
      <c r="A820729" s="242"/>
    </row>
    <row r="820730" spans="1:1" x14ac:dyDescent="0.25">
      <c r="A820730" s="242"/>
    </row>
    <row r="820731" spans="1:1" x14ac:dyDescent="0.25">
      <c r="A820731" s="242"/>
    </row>
    <row r="820732" spans="1:1" x14ac:dyDescent="0.25">
      <c r="A820732" s="242"/>
    </row>
    <row r="820733" spans="1:1" x14ac:dyDescent="0.25">
      <c r="A820733" s="242"/>
    </row>
    <row r="820734" spans="1:1" x14ac:dyDescent="0.25">
      <c r="A820734" s="242"/>
    </row>
    <row r="820735" spans="1:1" x14ac:dyDescent="0.25">
      <c r="A820735" s="242"/>
    </row>
    <row r="820736" spans="1:1" x14ac:dyDescent="0.25">
      <c r="A820736" s="242"/>
    </row>
    <row r="820737" spans="1:1" x14ac:dyDescent="0.25">
      <c r="A820737" s="242"/>
    </row>
    <row r="820738" spans="1:1" x14ac:dyDescent="0.25">
      <c r="A820738" s="242"/>
    </row>
    <row r="820739" spans="1:1" x14ac:dyDescent="0.25">
      <c r="A820739" s="242"/>
    </row>
    <row r="820740" spans="1:1" x14ac:dyDescent="0.25">
      <c r="A820740" s="242"/>
    </row>
    <row r="820741" spans="1:1" x14ac:dyDescent="0.25">
      <c r="A820741" s="242"/>
    </row>
    <row r="820742" spans="1:1" x14ac:dyDescent="0.25">
      <c r="A820742" s="242"/>
    </row>
    <row r="820743" spans="1:1" x14ac:dyDescent="0.25">
      <c r="A820743" s="242"/>
    </row>
    <row r="820744" spans="1:1" x14ac:dyDescent="0.25">
      <c r="A820744" s="242"/>
    </row>
    <row r="820745" spans="1:1" x14ac:dyDescent="0.25">
      <c r="A820745" s="242"/>
    </row>
    <row r="820746" spans="1:1" x14ac:dyDescent="0.25">
      <c r="A820746" s="242"/>
    </row>
    <row r="820747" spans="1:1" x14ac:dyDescent="0.25">
      <c r="A820747" s="242"/>
    </row>
    <row r="820748" spans="1:1" x14ac:dyDescent="0.25">
      <c r="A820748" s="242"/>
    </row>
    <row r="820749" spans="1:1" x14ac:dyDescent="0.25">
      <c r="A820749" s="242"/>
    </row>
    <row r="820750" spans="1:1" x14ac:dyDescent="0.25">
      <c r="A820750" s="242"/>
    </row>
    <row r="820751" spans="1:1" x14ac:dyDescent="0.25">
      <c r="A820751" s="242"/>
    </row>
    <row r="820752" spans="1:1" x14ac:dyDescent="0.25">
      <c r="A820752" s="242"/>
    </row>
    <row r="820753" spans="1:1" x14ac:dyDescent="0.25">
      <c r="A820753" s="242"/>
    </row>
    <row r="820754" spans="1:1" x14ac:dyDescent="0.25">
      <c r="A820754" s="242"/>
    </row>
    <row r="820755" spans="1:1" x14ac:dyDescent="0.25">
      <c r="A820755" s="242"/>
    </row>
    <row r="820756" spans="1:1" x14ac:dyDescent="0.25">
      <c r="A820756" s="242"/>
    </row>
    <row r="820757" spans="1:1" x14ac:dyDescent="0.25">
      <c r="A820757" s="242"/>
    </row>
    <row r="820758" spans="1:1" x14ac:dyDescent="0.25">
      <c r="A820758" s="242"/>
    </row>
    <row r="820759" spans="1:1" x14ac:dyDescent="0.25">
      <c r="A820759" s="242"/>
    </row>
    <row r="820760" spans="1:1" x14ac:dyDescent="0.25">
      <c r="A820760" s="242"/>
    </row>
    <row r="820761" spans="1:1" x14ac:dyDescent="0.25">
      <c r="A820761" s="242"/>
    </row>
    <row r="820762" spans="1:1" x14ac:dyDescent="0.25">
      <c r="A820762" s="242"/>
    </row>
    <row r="820763" spans="1:1" x14ac:dyDescent="0.25">
      <c r="A820763" s="242"/>
    </row>
    <row r="820764" spans="1:1" x14ac:dyDescent="0.25">
      <c r="A820764" s="242"/>
    </row>
    <row r="820765" spans="1:1" x14ac:dyDescent="0.25">
      <c r="A820765" s="242"/>
    </row>
    <row r="820766" spans="1:1" x14ac:dyDescent="0.25">
      <c r="A820766" s="242"/>
    </row>
    <row r="820767" spans="1:1" x14ac:dyDescent="0.25">
      <c r="A820767" s="242"/>
    </row>
    <row r="820768" spans="1:1" x14ac:dyDescent="0.25">
      <c r="A820768" s="242"/>
    </row>
    <row r="820769" spans="1:1" x14ac:dyDescent="0.25">
      <c r="A820769" s="242"/>
    </row>
    <row r="820770" spans="1:1" x14ac:dyDescent="0.25">
      <c r="A820770" s="242"/>
    </row>
    <row r="820771" spans="1:1" x14ac:dyDescent="0.25">
      <c r="A820771" s="242"/>
    </row>
    <row r="820772" spans="1:1" x14ac:dyDescent="0.25">
      <c r="A820772" s="242"/>
    </row>
    <row r="820773" spans="1:1" x14ac:dyDescent="0.25">
      <c r="A820773" s="242"/>
    </row>
    <row r="820774" spans="1:1" x14ac:dyDescent="0.25">
      <c r="A820774" s="242"/>
    </row>
    <row r="820775" spans="1:1" x14ac:dyDescent="0.25">
      <c r="A820775" s="242"/>
    </row>
    <row r="820776" spans="1:1" x14ac:dyDescent="0.25">
      <c r="A820776" s="242"/>
    </row>
    <row r="820777" spans="1:1" x14ac:dyDescent="0.25">
      <c r="A820777" s="242"/>
    </row>
    <row r="820778" spans="1:1" x14ac:dyDescent="0.25">
      <c r="A820778" s="242"/>
    </row>
    <row r="820779" spans="1:1" x14ac:dyDescent="0.25">
      <c r="A820779" s="242"/>
    </row>
    <row r="820780" spans="1:1" x14ac:dyDescent="0.25">
      <c r="A820780" s="242"/>
    </row>
    <row r="820781" spans="1:1" x14ac:dyDescent="0.25">
      <c r="A820781" s="242"/>
    </row>
    <row r="820782" spans="1:1" x14ac:dyDescent="0.25">
      <c r="A820782" s="242"/>
    </row>
    <row r="820783" spans="1:1" x14ac:dyDescent="0.25">
      <c r="A820783" s="242"/>
    </row>
    <row r="820784" spans="1:1" x14ac:dyDescent="0.25">
      <c r="A820784" s="242"/>
    </row>
    <row r="820785" spans="1:1" x14ac:dyDescent="0.25">
      <c r="A820785" s="242"/>
    </row>
    <row r="820786" spans="1:1" x14ac:dyDescent="0.25">
      <c r="A820786" s="242"/>
    </row>
    <row r="820787" spans="1:1" x14ac:dyDescent="0.25">
      <c r="A820787" s="242"/>
    </row>
    <row r="820788" spans="1:1" x14ac:dyDescent="0.25">
      <c r="A820788" s="242"/>
    </row>
    <row r="820789" spans="1:1" x14ac:dyDescent="0.25">
      <c r="A820789" s="242"/>
    </row>
    <row r="820790" spans="1:1" x14ac:dyDescent="0.25">
      <c r="A820790" s="242"/>
    </row>
    <row r="820791" spans="1:1" x14ac:dyDescent="0.25">
      <c r="A820791" s="242"/>
    </row>
    <row r="820792" spans="1:1" x14ac:dyDescent="0.25">
      <c r="A820792" s="242"/>
    </row>
    <row r="820793" spans="1:1" x14ac:dyDescent="0.25">
      <c r="A820793" s="242"/>
    </row>
    <row r="820794" spans="1:1" x14ac:dyDescent="0.25">
      <c r="A820794" s="242"/>
    </row>
    <row r="820795" spans="1:1" x14ac:dyDescent="0.25">
      <c r="A820795" s="242"/>
    </row>
    <row r="820796" spans="1:1" x14ac:dyDescent="0.25">
      <c r="A820796" s="242"/>
    </row>
    <row r="820797" spans="1:1" x14ac:dyDescent="0.25">
      <c r="A820797" s="242"/>
    </row>
    <row r="820798" spans="1:1" x14ac:dyDescent="0.25">
      <c r="A820798" s="242"/>
    </row>
    <row r="820799" spans="1:1" x14ac:dyDescent="0.25">
      <c r="A820799" s="242"/>
    </row>
    <row r="820800" spans="1:1" x14ac:dyDescent="0.25">
      <c r="A820800" s="242"/>
    </row>
    <row r="820801" spans="1:1" x14ac:dyDescent="0.25">
      <c r="A820801" s="242"/>
    </row>
    <row r="820802" spans="1:1" x14ac:dyDescent="0.25">
      <c r="A820802" s="242"/>
    </row>
    <row r="820803" spans="1:1" x14ac:dyDescent="0.25">
      <c r="A820803" s="242"/>
    </row>
    <row r="820804" spans="1:1" x14ac:dyDescent="0.25">
      <c r="A820804" s="242"/>
    </row>
    <row r="820805" spans="1:1" x14ac:dyDescent="0.25">
      <c r="A820805" s="242"/>
    </row>
    <row r="820806" spans="1:1" x14ac:dyDescent="0.25">
      <c r="A820806" s="242"/>
    </row>
    <row r="820807" spans="1:1" x14ac:dyDescent="0.25">
      <c r="A820807" s="242"/>
    </row>
    <row r="820808" spans="1:1" x14ac:dyDescent="0.25">
      <c r="A820808" s="242"/>
    </row>
    <row r="820809" spans="1:1" x14ac:dyDescent="0.25">
      <c r="A820809" s="242"/>
    </row>
    <row r="820810" spans="1:1" x14ac:dyDescent="0.25">
      <c r="A820810" s="242"/>
    </row>
    <row r="820811" spans="1:1" x14ac:dyDescent="0.25">
      <c r="A820811" s="242"/>
    </row>
    <row r="820812" spans="1:1" x14ac:dyDescent="0.25">
      <c r="A820812" s="242"/>
    </row>
    <row r="820813" spans="1:1" x14ac:dyDescent="0.25">
      <c r="A820813" s="242"/>
    </row>
    <row r="820814" spans="1:1" x14ac:dyDescent="0.25">
      <c r="A820814" s="242"/>
    </row>
    <row r="820815" spans="1:1" x14ac:dyDescent="0.25">
      <c r="A820815" s="242"/>
    </row>
    <row r="820816" spans="1:1" x14ac:dyDescent="0.25">
      <c r="A820816" s="242"/>
    </row>
    <row r="820817" spans="1:1" x14ac:dyDescent="0.25">
      <c r="A820817" s="242"/>
    </row>
    <row r="820818" spans="1:1" x14ac:dyDescent="0.25">
      <c r="A820818" s="242"/>
    </row>
    <row r="820819" spans="1:1" x14ac:dyDescent="0.25">
      <c r="A820819" s="242"/>
    </row>
    <row r="820820" spans="1:1" x14ac:dyDescent="0.25">
      <c r="A820820" s="242"/>
    </row>
    <row r="820821" spans="1:1" x14ac:dyDescent="0.25">
      <c r="A820821" s="242"/>
    </row>
    <row r="820822" spans="1:1" x14ac:dyDescent="0.25">
      <c r="A820822" s="242"/>
    </row>
    <row r="820823" spans="1:1" x14ac:dyDescent="0.25">
      <c r="A820823" s="242"/>
    </row>
    <row r="820824" spans="1:1" x14ac:dyDescent="0.25">
      <c r="A820824" s="242"/>
    </row>
    <row r="820825" spans="1:1" x14ac:dyDescent="0.25">
      <c r="A820825" s="242"/>
    </row>
    <row r="820826" spans="1:1" x14ac:dyDescent="0.25">
      <c r="A820826" s="242"/>
    </row>
    <row r="820827" spans="1:1" x14ac:dyDescent="0.25">
      <c r="A820827" s="242"/>
    </row>
    <row r="820828" spans="1:1" x14ac:dyDescent="0.25">
      <c r="A820828" s="242"/>
    </row>
    <row r="820829" spans="1:1" x14ac:dyDescent="0.25">
      <c r="A820829" s="242"/>
    </row>
    <row r="820830" spans="1:1" x14ac:dyDescent="0.25">
      <c r="A820830" s="242"/>
    </row>
    <row r="820831" spans="1:1" x14ac:dyDescent="0.25">
      <c r="A820831" s="242"/>
    </row>
    <row r="820832" spans="1:1" x14ac:dyDescent="0.25">
      <c r="A820832" s="242"/>
    </row>
    <row r="820833" spans="1:1" x14ac:dyDescent="0.25">
      <c r="A820833" s="242"/>
    </row>
    <row r="820834" spans="1:1" x14ac:dyDescent="0.25">
      <c r="A820834" s="242"/>
    </row>
    <row r="820835" spans="1:1" x14ac:dyDescent="0.25">
      <c r="A820835" s="242"/>
    </row>
    <row r="820836" spans="1:1" x14ac:dyDescent="0.25">
      <c r="A820836" s="242"/>
    </row>
    <row r="820837" spans="1:1" x14ac:dyDescent="0.25">
      <c r="A820837" s="242"/>
    </row>
    <row r="820838" spans="1:1" x14ac:dyDescent="0.25">
      <c r="A820838" s="242"/>
    </row>
    <row r="820839" spans="1:1" x14ac:dyDescent="0.25">
      <c r="A820839" s="242"/>
    </row>
    <row r="820840" spans="1:1" x14ac:dyDescent="0.25">
      <c r="A820840" s="242"/>
    </row>
    <row r="820841" spans="1:1" x14ac:dyDescent="0.25">
      <c r="A820841" s="242"/>
    </row>
    <row r="820842" spans="1:1" x14ac:dyDescent="0.25">
      <c r="A820842" s="242"/>
    </row>
    <row r="820843" spans="1:1" x14ac:dyDescent="0.25">
      <c r="A820843" s="242"/>
    </row>
    <row r="820844" spans="1:1" x14ac:dyDescent="0.25">
      <c r="A820844" s="242"/>
    </row>
    <row r="820845" spans="1:1" x14ac:dyDescent="0.25">
      <c r="A820845" s="242"/>
    </row>
    <row r="820846" spans="1:1" x14ac:dyDescent="0.25">
      <c r="A820846" s="242"/>
    </row>
    <row r="820847" spans="1:1" x14ac:dyDescent="0.25">
      <c r="A820847" s="242"/>
    </row>
    <row r="820848" spans="1:1" x14ac:dyDescent="0.25">
      <c r="A820848" s="242"/>
    </row>
    <row r="820849" spans="1:1" x14ac:dyDescent="0.25">
      <c r="A820849" s="242"/>
    </row>
    <row r="820850" spans="1:1" x14ac:dyDescent="0.25">
      <c r="A820850" s="242"/>
    </row>
    <row r="820851" spans="1:1" x14ac:dyDescent="0.25">
      <c r="A820851" s="242"/>
    </row>
    <row r="820852" spans="1:1" x14ac:dyDescent="0.25">
      <c r="A820852" s="242"/>
    </row>
    <row r="820853" spans="1:1" x14ac:dyDescent="0.25">
      <c r="A820853" s="242"/>
    </row>
    <row r="820854" spans="1:1" x14ac:dyDescent="0.25">
      <c r="A820854" s="242"/>
    </row>
    <row r="820855" spans="1:1" x14ac:dyDescent="0.25">
      <c r="A820855" s="242"/>
    </row>
    <row r="820856" spans="1:1" x14ac:dyDescent="0.25">
      <c r="A820856" s="242"/>
    </row>
    <row r="820857" spans="1:1" x14ac:dyDescent="0.25">
      <c r="A820857" s="242"/>
    </row>
    <row r="820858" spans="1:1" x14ac:dyDescent="0.25">
      <c r="A820858" s="242"/>
    </row>
    <row r="820859" spans="1:1" x14ac:dyDescent="0.25">
      <c r="A820859" s="242"/>
    </row>
    <row r="820860" spans="1:1" x14ac:dyDescent="0.25">
      <c r="A820860" s="242"/>
    </row>
    <row r="820861" spans="1:1" x14ac:dyDescent="0.25">
      <c r="A820861" s="242"/>
    </row>
    <row r="820862" spans="1:1" x14ac:dyDescent="0.25">
      <c r="A820862" s="242"/>
    </row>
    <row r="820863" spans="1:1" x14ac:dyDescent="0.25">
      <c r="A820863" s="242"/>
    </row>
    <row r="820864" spans="1:1" x14ac:dyDescent="0.25">
      <c r="A820864" s="242"/>
    </row>
    <row r="820865" spans="1:1" x14ac:dyDescent="0.25">
      <c r="A820865" s="242"/>
    </row>
    <row r="820866" spans="1:1" x14ac:dyDescent="0.25">
      <c r="A820866" s="242"/>
    </row>
    <row r="820867" spans="1:1" x14ac:dyDescent="0.25">
      <c r="A820867" s="242"/>
    </row>
    <row r="820868" spans="1:1" x14ac:dyDescent="0.25">
      <c r="A820868" s="242"/>
    </row>
    <row r="820869" spans="1:1" x14ac:dyDescent="0.25">
      <c r="A820869" s="242"/>
    </row>
    <row r="820870" spans="1:1" x14ac:dyDescent="0.25">
      <c r="A820870" s="242"/>
    </row>
    <row r="820871" spans="1:1" x14ac:dyDescent="0.25">
      <c r="A820871" s="242"/>
    </row>
    <row r="820872" spans="1:1" x14ac:dyDescent="0.25">
      <c r="A820872" s="242"/>
    </row>
    <row r="820873" spans="1:1" x14ac:dyDescent="0.25">
      <c r="A820873" s="242"/>
    </row>
    <row r="820874" spans="1:1" x14ac:dyDescent="0.25">
      <c r="A820874" s="242"/>
    </row>
    <row r="820875" spans="1:1" x14ac:dyDescent="0.25">
      <c r="A820875" s="242"/>
    </row>
    <row r="820876" spans="1:1" x14ac:dyDescent="0.25">
      <c r="A820876" s="242"/>
    </row>
    <row r="820877" spans="1:1" x14ac:dyDescent="0.25">
      <c r="A820877" s="242"/>
    </row>
    <row r="820878" spans="1:1" x14ac:dyDescent="0.25">
      <c r="A820878" s="242"/>
    </row>
    <row r="820879" spans="1:1" x14ac:dyDescent="0.25">
      <c r="A820879" s="242"/>
    </row>
    <row r="820880" spans="1:1" x14ac:dyDescent="0.25">
      <c r="A820880" s="242"/>
    </row>
    <row r="820881" spans="1:1" x14ac:dyDescent="0.25">
      <c r="A820881" s="242"/>
    </row>
    <row r="820882" spans="1:1" x14ac:dyDescent="0.25">
      <c r="A820882" s="242"/>
    </row>
    <row r="820883" spans="1:1" x14ac:dyDescent="0.25">
      <c r="A820883" s="242"/>
    </row>
    <row r="820884" spans="1:1" x14ac:dyDescent="0.25">
      <c r="A820884" s="242"/>
    </row>
    <row r="820885" spans="1:1" x14ac:dyDescent="0.25">
      <c r="A820885" s="242"/>
    </row>
    <row r="820886" spans="1:1" x14ac:dyDescent="0.25">
      <c r="A820886" s="242"/>
    </row>
    <row r="820887" spans="1:1" x14ac:dyDescent="0.25">
      <c r="A820887" s="242"/>
    </row>
    <row r="820888" spans="1:1" x14ac:dyDescent="0.25">
      <c r="A820888" s="242"/>
    </row>
    <row r="820889" spans="1:1" x14ac:dyDescent="0.25">
      <c r="A820889" s="242"/>
    </row>
    <row r="820890" spans="1:1" x14ac:dyDescent="0.25">
      <c r="A820890" s="242"/>
    </row>
    <row r="820891" spans="1:1" x14ac:dyDescent="0.25">
      <c r="A820891" s="242"/>
    </row>
    <row r="820892" spans="1:1" x14ac:dyDescent="0.25">
      <c r="A820892" s="242"/>
    </row>
    <row r="820893" spans="1:1" x14ac:dyDescent="0.25">
      <c r="A820893" s="242"/>
    </row>
    <row r="820894" spans="1:1" x14ac:dyDescent="0.25">
      <c r="A820894" s="242"/>
    </row>
    <row r="820895" spans="1:1" x14ac:dyDescent="0.25">
      <c r="A820895" s="242"/>
    </row>
    <row r="820896" spans="1:1" x14ac:dyDescent="0.25">
      <c r="A820896" s="242"/>
    </row>
    <row r="820897" spans="1:1" x14ac:dyDescent="0.25">
      <c r="A820897" s="242"/>
    </row>
    <row r="820898" spans="1:1" x14ac:dyDescent="0.25">
      <c r="A820898" s="242"/>
    </row>
    <row r="820899" spans="1:1" x14ac:dyDescent="0.25">
      <c r="A820899" s="242"/>
    </row>
    <row r="820900" spans="1:1" x14ac:dyDescent="0.25">
      <c r="A820900" s="242"/>
    </row>
    <row r="820901" spans="1:1" x14ac:dyDescent="0.25">
      <c r="A820901" s="242"/>
    </row>
    <row r="820902" spans="1:1" x14ac:dyDescent="0.25">
      <c r="A820902" s="242"/>
    </row>
    <row r="820903" spans="1:1" x14ac:dyDescent="0.25">
      <c r="A820903" s="242"/>
    </row>
    <row r="820904" spans="1:1" x14ac:dyDescent="0.25">
      <c r="A820904" s="242"/>
    </row>
    <row r="820905" spans="1:1" x14ac:dyDescent="0.25">
      <c r="A820905" s="242"/>
    </row>
    <row r="820906" spans="1:1" x14ac:dyDescent="0.25">
      <c r="A820906" s="242"/>
    </row>
    <row r="820907" spans="1:1" x14ac:dyDescent="0.25">
      <c r="A820907" s="242"/>
    </row>
    <row r="820908" spans="1:1" x14ac:dyDescent="0.25">
      <c r="A820908" s="242"/>
    </row>
    <row r="820909" spans="1:1" x14ac:dyDescent="0.25">
      <c r="A820909" s="242"/>
    </row>
    <row r="820910" spans="1:1" x14ac:dyDescent="0.25">
      <c r="A820910" s="242"/>
    </row>
    <row r="820911" spans="1:1" x14ac:dyDescent="0.25">
      <c r="A820911" s="242"/>
    </row>
    <row r="820912" spans="1:1" x14ac:dyDescent="0.25">
      <c r="A820912" s="242"/>
    </row>
    <row r="820913" spans="1:1" x14ac:dyDescent="0.25">
      <c r="A820913" s="242"/>
    </row>
    <row r="820914" spans="1:1" x14ac:dyDescent="0.25">
      <c r="A820914" s="242"/>
    </row>
    <row r="820915" spans="1:1" x14ac:dyDescent="0.25">
      <c r="A820915" s="242"/>
    </row>
    <row r="820916" spans="1:1" x14ac:dyDescent="0.25">
      <c r="A820916" s="242"/>
    </row>
    <row r="820917" spans="1:1" x14ac:dyDescent="0.25">
      <c r="A820917" s="242"/>
    </row>
    <row r="820918" spans="1:1" x14ac:dyDescent="0.25">
      <c r="A820918" s="242"/>
    </row>
    <row r="820919" spans="1:1" x14ac:dyDescent="0.25">
      <c r="A820919" s="242"/>
    </row>
    <row r="820920" spans="1:1" x14ac:dyDescent="0.25">
      <c r="A820920" s="242"/>
    </row>
    <row r="820921" spans="1:1" x14ac:dyDescent="0.25">
      <c r="A820921" s="242"/>
    </row>
    <row r="820922" spans="1:1" x14ac:dyDescent="0.25">
      <c r="A820922" s="242"/>
    </row>
    <row r="820923" spans="1:1" x14ac:dyDescent="0.25">
      <c r="A820923" s="242"/>
    </row>
    <row r="820924" spans="1:1" x14ac:dyDescent="0.25">
      <c r="A820924" s="242"/>
    </row>
    <row r="820925" spans="1:1" x14ac:dyDescent="0.25">
      <c r="A820925" s="242"/>
    </row>
    <row r="820926" spans="1:1" x14ac:dyDescent="0.25">
      <c r="A820926" s="242"/>
    </row>
    <row r="820927" spans="1:1" x14ac:dyDescent="0.25">
      <c r="A820927" s="242"/>
    </row>
    <row r="820928" spans="1:1" x14ac:dyDescent="0.25">
      <c r="A820928" s="242"/>
    </row>
    <row r="820929" spans="1:1" x14ac:dyDescent="0.25">
      <c r="A820929" s="242"/>
    </row>
    <row r="820930" spans="1:1" x14ac:dyDescent="0.25">
      <c r="A820930" s="242"/>
    </row>
    <row r="820931" spans="1:1" x14ac:dyDescent="0.25">
      <c r="A820931" s="242"/>
    </row>
    <row r="820932" spans="1:1" x14ac:dyDescent="0.25">
      <c r="A820932" s="242"/>
    </row>
    <row r="820933" spans="1:1" x14ac:dyDescent="0.25">
      <c r="A820933" s="242"/>
    </row>
    <row r="820934" spans="1:1" x14ac:dyDescent="0.25">
      <c r="A820934" s="242"/>
    </row>
    <row r="820935" spans="1:1" x14ac:dyDescent="0.25">
      <c r="A820935" s="242"/>
    </row>
    <row r="820936" spans="1:1" x14ac:dyDescent="0.25">
      <c r="A820936" s="242"/>
    </row>
    <row r="820937" spans="1:1" x14ac:dyDescent="0.25">
      <c r="A820937" s="242"/>
    </row>
    <row r="820938" spans="1:1" x14ac:dyDescent="0.25">
      <c r="A820938" s="242"/>
    </row>
    <row r="820939" spans="1:1" x14ac:dyDescent="0.25">
      <c r="A820939" s="242"/>
    </row>
    <row r="820940" spans="1:1" x14ac:dyDescent="0.25">
      <c r="A820940" s="242"/>
    </row>
    <row r="820941" spans="1:1" x14ac:dyDescent="0.25">
      <c r="A820941" s="242"/>
    </row>
    <row r="820942" spans="1:1" x14ac:dyDescent="0.25">
      <c r="A820942" s="242"/>
    </row>
    <row r="820943" spans="1:1" x14ac:dyDescent="0.25">
      <c r="A820943" s="242"/>
    </row>
    <row r="820944" spans="1:1" x14ac:dyDescent="0.25">
      <c r="A820944" s="242"/>
    </row>
    <row r="820945" spans="1:1" x14ac:dyDescent="0.25">
      <c r="A820945" s="242"/>
    </row>
    <row r="820946" spans="1:1" x14ac:dyDescent="0.25">
      <c r="A820946" s="242"/>
    </row>
    <row r="820947" spans="1:1" x14ac:dyDescent="0.25">
      <c r="A820947" s="242"/>
    </row>
    <row r="820948" spans="1:1" x14ac:dyDescent="0.25">
      <c r="A820948" s="242"/>
    </row>
    <row r="820949" spans="1:1" x14ac:dyDescent="0.25">
      <c r="A820949" s="242"/>
    </row>
    <row r="820950" spans="1:1" x14ac:dyDescent="0.25">
      <c r="A820950" s="242"/>
    </row>
    <row r="820951" spans="1:1" x14ac:dyDescent="0.25">
      <c r="A820951" s="242"/>
    </row>
    <row r="820952" spans="1:1" x14ac:dyDescent="0.25">
      <c r="A820952" s="242"/>
    </row>
    <row r="820953" spans="1:1" x14ac:dyDescent="0.25">
      <c r="A820953" s="242"/>
    </row>
    <row r="820954" spans="1:1" x14ac:dyDescent="0.25">
      <c r="A820954" s="242"/>
    </row>
    <row r="820955" spans="1:1" x14ac:dyDescent="0.25">
      <c r="A820955" s="242"/>
    </row>
    <row r="820956" spans="1:1" x14ac:dyDescent="0.25">
      <c r="A820956" s="242"/>
    </row>
    <row r="820957" spans="1:1" x14ac:dyDescent="0.25">
      <c r="A820957" s="242"/>
    </row>
    <row r="820958" spans="1:1" x14ac:dyDescent="0.25">
      <c r="A820958" s="242"/>
    </row>
    <row r="820959" spans="1:1" x14ac:dyDescent="0.25">
      <c r="A820959" s="242"/>
    </row>
    <row r="820960" spans="1:1" x14ac:dyDescent="0.25">
      <c r="A820960" s="242"/>
    </row>
    <row r="820961" spans="1:1" x14ac:dyDescent="0.25">
      <c r="A820961" s="242"/>
    </row>
    <row r="820962" spans="1:1" x14ac:dyDescent="0.25">
      <c r="A820962" s="242"/>
    </row>
    <row r="820963" spans="1:1" x14ac:dyDescent="0.25">
      <c r="A820963" s="242"/>
    </row>
    <row r="820964" spans="1:1" x14ac:dyDescent="0.25">
      <c r="A820964" s="242"/>
    </row>
    <row r="820965" spans="1:1" x14ac:dyDescent="0.25">
      <c r="A820965" s="242"/>
    </row>
    <row r="820966" spans="1:1" x14ac:dyDescent="0.25">
      <c r="A820966" s="242"/>
    </row>
    <row r="820967" spans="1:1" x14ac:dyDescent="0.25">
      <c r="A820967" s="242"/>
    </row>
    <row r="820968" spans="1:1" x14ac:dyDescent="0.25">
      <c r="A820968" s="242"/>
    </row>
    <row r="820969" spans="1:1" x14ac:dyDescent="0.25">
      <c r="A820969" s="242"/>
    </row>
    <row r="820970" spans="1:1" x14ac:dyDescent="0.25">
      <c r="A820970" s="242"/>
    </row>
    <row r="820971" spans="1:1" x14ac:dyDescent="0.25">
      <c r="A820971" s="242"/>
    </row>
    <row r="820972" spans="1:1" x14ac:dyDescent="0.25">
      <c r="A820972" s="242"/>
    </row>
    <row r="820973" spans="1:1" x14ac:dyDescent="0.25">
      <c r="A820973" s="242"/>
    </row>
    <row r="820974" spans="1:1" x14ac:dyDescent="0.25">
      <c r="A820974" s="242"/>
    </row>
    <row r="820975" spans="1:1" x14ac:dyDescent="0.25">
      <c r="A820975" s="242"/>
    </row>
    <row r="820976" spans="1:1" x14ac:dyDescent="0.25">
      <c r="A820976" s="242"/>
    </row>
    <row r="820977" spans="1:1" x14ac:dyDescent="0.25">
      <c r="A820977" s="242"/>
    </row>
    <row r="820978" spans="1:1" x14ac:dyDescent="0.25">
      <c r="A820978" s="242"/>
    </row>
    <row r="820979" spans="1:1" x14ac:dyDescent="0.25">
      <c r="A820979" s="242"/>
    </row>
    <row r="820980" spans="1:1" x14ac:dyDescent="0.25">
      <c r="A820980" s="242"/>
    </row>
    <row r="820981" spans="1:1" x14ac:dyDescent="0.25">
      <c r="A820981" s="242"/>
    </row>
    <row r="820982" spans="1:1" x14ac:dyDescent="0.25">
      <c r="A820982" s="242"/>
    </row>
    <row r="820983" spans="1:1" x14ac:dyDescent="0.25">
      <c r="A820983" s="242"/>
    </row>
    <row r="820984" spans="1:1" x14ac:dyDescent="0.25">
      <c r="A820984" s="242"/>
    </row>
    <row r="820985" spans="1:1" x14ac:dyDescent="0.25">
      <c r="A820985" s="242"/>
    </row>
    <row r="820986" spans="1:1" x14ac:dyDescent="0.25">
      <c r="A820986" s="242"/>
    </row>
    <row r="820987" spans="1:1" x14ac:dyDescent="0.25">
      <c r="A820987" s="242"/>
    </row>
    <row r="820988" spans="1:1" x14ac:dyDescent="0.25">
      <c r="A820988" s="242"/>
    </row>
    <row r="820989" spans="1:1" x14ac:dyDescent="0.25">
      <c r="A820989" s="242"/>
    </row>
    <row r="820990" spans="1:1" x14ac:dyDescent="0.25">
      <c r="A820990" s="242"/>
    </row>
    <row r="820991" spans="1:1" x14ac:dyDescent="0.25">
      <c r="A820991" s="242"/>
    </row>
    <row r="820992" spans="1:1" x14ac:dyDescent="0.25">
      <c r="A820992" s="242"/>
    </row>
    <row r="820993" spans="1:1" x14ac:dyDescent="0.25">
      <c r="A820993" s="242"/>
    </row>
    <row r="820994" spans="1:1" x14ac:dyDescent="0.25">
      <c r="A820994" s="242"/>
    </row>
    <row r="820995" spans="1:1" x14ac:dyDescent="0.25">
      <c r="A820995" s="242"/>
    </row>
    <row r="820996" spans="1:1" x14ac:dyDescent="0.25">
      <c r="A820996" s="242"/>
    </row>
    <row r="820997" spans="1:1" x14ac:dyDescent="0.25">
      <c r="A820997" s="242"/>
    </row>
    <row r="820998" spans="1:1" x14ac:dyDescent="0.25">
      <c r="A820998" s="242"/>
    </row>
    <row r="820999" spans="1:1" x14ac:dyDescent="0.25">
      <c r="A820999" s="242"/>
    </row>
    <row r="821000" spans="1:1" x14ac:dyDescent="0.25">
      <c r="A821000" s="242"/>
    </row>
    <row r="821001" spans="1:1" x14ac:dyDescent="0.25">
      <c r="A821001" s="242"/>
    </row>
    <row r="821002" spans="1:1" x14ac:dyDescent="0.25">
      <c r="A821002" s="242"/>
    </row>
    <row r="821003" spans="1:1" x14ac:dyDescent="0.25">
      <c r="A821003" s="242"/>
    </row>
    <row r="821004" spans="1:1" x14ac:dyDescent="0.25">
      <c r="A821004" s="242"/>
    </row>
    <row r="821005" spans="1:1" x14ac:dyDescent="0.25">
      <c r="A821005" s="242"/>
    </row>
    <row r="821006" spans="1:1" x14ac:dyDescent="0.25">
      <c r="A821006" s="242"/>
    </row>
    <row r="821007" spans="1:1" x14ac:dyDescent="0.25">
      <c r="A821007" s="242"/>
    </row>
    <row r="821008" spans="1:1" x14ac:dyDescent="0.25">
      <c r="A821008" s="242"/>
    </row>
    <row r="821009" spans="1:1" x14ac:dyDescent="0.25">
      <c r="A821009" s="242"/>
    </row>
    <row r="821010" spans="1:1" x14ac:dyDescent="0.25">
      <c r="A821010" s="242"/>
    </row>
    <row r="821011" spans="1:1" x14ac:dyDescent="0.25">
      <c r="A821011" s="242"/>
    </row>
    <row r="821012" spans="1:1" x14ac:dyDescent="0.25">
      <c r="A821012" s="242"/>
    </row>
    <row r="821013" spans="1:1" x14ac:dyDescent="0.25">
      <c r="A821013" s="242"/>
    </row>
    <row r="821014" spans="1:1" x14ac:dyDescent="0.25">
      <c r="A821014" s="242"/>
    </row>
    <row r="821015" spans="1:1" x14ac:dyDescent="0.25">
      <c r="A821015" s="242"/>
    </row>
    <row r="821016" spans="1:1" x14ac:dyDescent="0.25">
      <c r="A821016" s="242"/>
    </row>
    <row r="821017" spans="1:1" x14ac:dyDescent="0.25">
      <c r="A821017" s="242"/>
    </row>
    <row r="821018" spans="1:1" x14ac:dyDescent="0.25">
      <c r="A821018" s="242"/>
    </row>
    <row r="821019" spans="1:1" x14ac:dyDescent="0.25">
      <c r="A821019" s="242"/>
    </row>
    <row r="821020" spans="1:1" x14ac:dyDescent="0.25">
      <c r="A821020" s="242"/>
    </row>
    <row r="821021" spans="1:1" x14ac:dyDescent="0.25">
      <c r="A821021" s="242"/>
    </row>
    <row r="821022" spans="1:1" x14ac:dyDescent="0.25">
      <c r="A821022" s="242"/>
    </row>
    <row r="821023" spans="1:1" x14ac:dyDescent="0.25">
      <c r="A821023" s="242"/>
    </row>
    <row r="821024" spans="1:1" x14ac:dyDescent="0.25">
      <c r="A821024" s="242"/>
    </row>
    <row r="821025" spans="1:1" x14ac:dyDescent="0.25">
      <c r="A821025" s="242"/>
    </row>
    <row r="821026" spans="1:1" x14ac:dyDescent="0.25">
      <c r="A821026" s="242"/>
    </row>
    <row r="821027" spans="1:1" x14ac:dyDescent="0.25">
      <c r="A821027" s="242"/>
    </row>
    <row r="821028" spans="1:1" x14ac:dyDescent="0.25">
      <c r="A821028" s="242"/>
    </row>
    <row r="821029" spans="1:1" x14ac:dyDescent="0.25">
      <c r="A821029" s="242"/>
    </row>
    <row r="821030" spans="1:1" x14ac:dyDescent="0.25">
      <c r="A821030" s="242"/>
    </row>
    <row r="821031" spans="1:1" x14ac:dyDescent="0.25">
      <c r="A821031" s="242"/>
    </row>
    <row r="821032" spans="1:1" x14ac:dyDescent="0.25">
      <c r="A821032" s="242"/>
    </row>
    <row r="821033" spans="1:1" x14ac:dyDescent="0.25">
      <c r="A821033" s="242"/>
    </row>
    <row r="821034" spans="1:1" x14ac:dyDescent="0.25">
      <c r="A821034" s="242"/>
    </row>
    <row r="821035" spans="1:1" x14ac:dyDescent="0.25">
      <c r="A821035" s="242"/>
    </row>
    <row r="821036" spans="1:1" x14ac:dyDescent="0.25">
      <c r="A821036" s="242"/>
    </row>
    <row r="821037" spans="1:1" x14ac:dyDescent="0.25">
      <c r="A821037" s="242"/>
    </row>
    <row r="821038" spans="1:1" x14ac:dyDescent="0.25">
      <c r="A821038" s="242"/>
    </row>
    <row r="821039" spans="1:1" x14ac:dyDescent="0.25">
      <c r="A821039" s="242"/>
    </row>
    <row r="821040" spans="1:1" x14ac:dyDescent="0.25">
      <c r="A821040" s="242"/>
    </row>
    <row r="821041" spans="1:1" x14ac:dyDescent="0.25">
      <c r="A821041" s="242"/>
    </row>
    <row r="821042" spans="1:1" x14ac:dyDescent="0.25">
      <c r="A821042" s="242"/>
    </row>
    <row r="821043" spans="1:1" x14ac:dyDescent="0.25">
      <c r="A821043" s="242"/>
    </row>
    <row r="821044" spans="1:1" x14ac:dyDescent="0.25">
      <c r="A821044" s="242"/>
    </row>
    <row r="821045" spans="1:1" x14ac:dyDescent="0.25">
      <c r="A821045" s="242"/>
    </row>
    <row r="821046" spans="1:1" x14ac:dyDescent="0.25">
      <c r="A821046" s="242"/>
    </row>
    <row r="821047" spans="1:1" x14ac:dyDescent="0.25">
      <c r="A821047" s="242"/>
    </row>
    <row r="821048" spans="1:1" x14ac:dyDescent="0.25">
      <c r="A821048" s="242"/>
    </row>
    <row r="821049" spans="1:1" x14ac:dyDescent="0.25">
      <c r="A821049" s="242"/>
    </row>
    <row r="821050" spans="1:1" x14ac:dyDescent="0.25">
      <c r="A821050" s="242"/>
    </row>
    <row r="821051" spans="1:1" x14ac:dyDescent="0.25">
      <c r="A821051" s="242"/>
    </row>
    <row r="821052" spans="1:1" x14ac:dyDescent="0.25">
      <c r="A821052" s="242"/>
    </row>
    <row r="821053" spans="1:1" x14ac:dyDescent="0.25">
      <c r="A821053" s="242"/>
    </row>
    <row r="821054" spans="1:1" x14ac:dyDescent="0.25">
      <c r="A821054" s="242"/>
    </row>
    <row r="821055" spans="1:1" x14ac:dyDescent="0.25">
      <c r="A821055" s="242"/>
    </row>
    <row r="821056" spans="1:1" x14ac:dyDescent="0.25">
      <c r="A821056" s="242"/>
    </row>
    <row r="821057" spans="1:1" x14ac:dyDescent="0.25">
      <c r="A821057" s="242"/>
    </row>
    <row r="821058" spans="1:1" x14ac:dyDescent="0.25">
      <c r="A821058" s="242"/>
    </row>
    <row r="821059" spans="1:1" x14ac:dyDescent="0.25">
      <c r="A821059" s="242"/>
    </row>
    <row r="821060" spans="1:1" x14ac:dyDescent="0.25">
      <c r="A821060" s="242"/>
    </row>
    <row r="821061" spans="1:1" x14ac:dyDescent="0.25">
      <c r="A821061" s="242"/>
    </row>
    <row r="821062" spans="1:1" x14ac:dyDescent="0.25">
      <c r="A821062" s="242"/>
    </row>
    <row r="821063" spans="1:1" x14ac:dyDescent="0.25">
      <c r="A821063" s="242"/>
    </row>
    <row r="821064" spans="1:1" x14ac:dyDescent="0.25">
      <c r="A821064" s="242"/>
    </row>
    <row r="821065" spans="1:1" x14ac:dyDescent="0.25">
      <c r="A821065" s="242"/>
    </row>
    <row r="821066" spans="1:1" x14ac:dyDescent="0.25">
      <c r="A821066" s="242"/>
    </row>
    <row r="821067" spans="1:1" x14ac:dyDescent="0.25">
      <c r="A821067" s="242"/>
    </row>
    <row r="821068" spans="1:1" x14ac:dyDescent="0.25">
      <c r="A821068" s="242"/>
    </row>
    <row r="821069" spans="1:1" x14ac:dyDescent="0.25">
      <c r="A821069" s="242"/>
    </row>
    <row r="821070" spans="1:1" x14ac:dyDescent="0.25">
      <c r="A821070" s="242"/>
    </row>
    <row r="821071" spans="1:1" x14ac:dyDescent="0.25">
      <c r="A821071" s="242"/>
    </row>
    <row r="821072" spans="1:1" x14ac:dyDescent="0.25">
      <c r="A821072" s="242"/>
    </row>
    <row r="821073" spans="1:1" x14ac:dyDescent="0.25">
      <c r="A821073" s="242"/>
    </row>
    <row r="821074" spans="1:1" x14ac:dyDescent="0.25">
      <c r="A821074" s="242"/>
    </row>
    <row r="821075" spans="1:1" x14ac:dyDescent="0.25">
      <c r="A821075" s="242"/>
    </row>
    <row r="821076" spans="1:1" x14ac:dyDescent="0.25">
      <c r="A821076" s="242"/>
    </row>
    <row r="821077" spans="1:1" x14ac:dyDescent="0.25">
      <c r="A821077" s="242"/>
    </row>
    <row r="821078" spans="1:1" x14ac:dyDescent="0.25">
      <c r="A821078" s="242"/>
    </row>
    <row r="821079" spans="1:1" x14ac:dyDescent="0.25">
      <c r="A821079" s="242"/>
    </row>
    <row r="821080" spans="1:1" x14ac:dyDescent="0.25">
      <c r="A821080" s="242"/>
    </row>
    <row r="821081" spans="1:1" x14ac:dyDescent="0.25">
      <c r="A821081" s="242"/>
    </row>
    <row r="821082" spans="1:1" x14ac:dyDescent="0.25">
      <c r="A821082" s="242"/>
    </row>
    <row r="821083" spans="1:1" x14ac:dyDescent="0.25">
      <c r="A821083" s="242"/>
    </row>
    <row r="821084" spans="1:1" x14ac:dyDescent="0.25">
      <c r="A821084" s="242"/>
    </row>
    <row r="821085" spans="1:1" x14ac:dyDescent="0.25">
      <c r="A821085" s="242"/>
    </row>
    <row r="821086" spans="1:1" x14ac:dyDescent="0.25">
      <c r="A821086" s="242"/>
    </row>
    <row r="821087" spans="1:1" x14ac:dyDescent="0.25">
      <c r="A821087" s="242"/>
    </row>
    <row r="821088" spans="1:1" x14ac:dyDescent="0.25">
      <c r="A821088" s="242"/>
    </row>
    <row r="821089" spans="1:1" x14ac:dyDescent="0.25">
      <c r="A821089" s="242"/>
    </row>
    <row r="821090" spans="1:1" x14ac:dyDescent="0.25">
      <c r="A821090" s="242"/>
    </row>
    <row r="821091" spans="1:1" x14ac:dyDescent="0.25">
      <c r="A821091" s="242"/>
    </row>
    <row r="821092" spans="1:1" x14ac:dyDescent="0.25">
      <c r="A821092" s="242"/>
    </row>
    <row r="821093" spans="1:1" x14ac:dyDescent="0.25">
      <c r="A821093" s="242"/>
    </row>
    <row r="821094" spans="1:1" x14ac:dyDescent="0.25">
      <c r="A821094" s="242"/>
    </row>
    <row r="821095" spans="1:1" x14ac:dyDescent="0.25">
      <c r="A821095" s="242"/>
    </row>
    <row r="821096" spans="1:1" x14ac:dyDescent="0.25">
      <c r="A821096" s="242"/>
    </row>
    <row r="821097" spans="1:1" x14ac:dyDescent="0.25">
      <c r="A821097" s="242"/>
    </row>
    <row r="821098" spans="1:1" x14ac:dyDescent="0.25">
      <c r="A821098" s="242"/>
    </row>
    <row r="821099" spans="1:1" x14ac:dyDescent="0.25">
      <c r="A821099" s="242"/>
    </row>
    <row r="821100" spans="1:1" x14ac:dyDescent="0.25">
      <c r="A821100" s="242"/>
    </row>
    <row r="821101" spans="1:1" x14ac:dyDescent="0.25">
      <c r="A821101" s="242"/>
    </row>
    <row r="821102" spans="1:1" x14ac:dyDescent="0.25">
      <c r="A821102" s="242"/>
    </row>
    <row r="821103" spans="1:1" x14ac:dyDescent="0.25">
      <c r="A821103" s="242"/>
    </row>
    <row r="821104" spans="1:1" x14ac:dyDescent="0.25">
      <c r="A821104" s="242"/>
    </row>
    <row r="821105" spans="1:1" x14ac:dyDescent="0.25">
      <c r="A821105" s="242"/>
    </row>
    <row r="821106" spans="1:1" x14ac:dyDescent="0.25">
      <c r="A821106" s="242"/>
    </row>
    <row r="821107" spans="1:1" x14ac:dyDescent="0.25">
      <c r="A821107" s="242"/>
    </row>
    <row r="821108" spans="1:1" x14ac:dyDescent="0.25">
      <c r="A821108" s="242"/>
    </row>
    <row r="821109" spans="1:1" x14ac:dyDescent="0.25">
      <c r="A821109" s="242"/>
    </row>
    <row r="821110" spans="1:1" x14ac:dyDescent="0.25">
      <c r="A821110" s="242"/>
    </row>
    <row r="821111" spans="1:1" x14ac:dyDescent="0.25">
      <c r="A821111" s="242"/>
    </row>
    <row r="821112" spans="1:1" x14ac:dyDescent="0.25">
      <c r="A821112" s="242"/>
    </row>
    <row r="821113" spans="1:1" x14ac:dyDescent="0.25">
      <c r="A821113" s="242"/>
    </row>
    <row r="821114" spans="1:1" x14ac:dyDescent="0.25">
      <c r="A821114" s="242"/>
    </row>
    <row r="821115" spans="1:1" x14ac:dyDescent="0.25">
      <c r="A821115" s="242"/>
    </row>
    <row r="821116" spans="1:1" x14ac:dyDescent="0.25">
      <c r="A821116" s="242"/>
    </row>
    <row r="821117" spans="1:1" x14ac:dyDescent="0.25">
      <c r="A821117" s="242"/>
    </row>
    <row r="821118" spans="1:1" x14ac:dyDescent="0.25">
      <c r="A821118" s="242"/>
    </row>
    <row r="821119" spans="1:1" x14ac:dyDescent="0.25">
      <c r="A821119" s="242"/>
    </row>
    <row r="821120" spans="1:1" x14ac:dyDescent="0.25">
      <c r="A821120" s="242"/>
    </row>
    <row r="821121" spans="1:1" x14ac:dyDescent="0.25">
      <c r="A821121" s="242"/>
    </row>
    <row r="821122" spans="1:1" x14ac:dyDescent="0.25">
      <c r="A821122" s="242"/>
    </row>
    <row r="821123" spans="1:1" x14ac:dyDescent="0.25">
      <c r="A821123" s="242"/>
    </row>
    <row r="821124" spans="1:1" x14ac:dyDescent="0.25">
      <c r="A821124" s="242"/>
    </row>
    <row r="821125" spans="1:1" x14ac:dyDescent="0.25">
      <c r="A821125" s="242"/>
    </row>
    <row r="821126" spans="1:1" x14ac:dyDescent="0.25">
      <c r="A821126" s="242"/>
    </row>
    <row r="821127" spans="1:1" x14ac:dyDescent="0.25">
      <c r="A821127" s="242"/>
    </row>
    <row r="821128" spans="1:1" x14ac:dyDescent="0.25">
      <c r="A821128" s="242"/>
    </row>
    <row r="821129" spans="1:1" x14ac:dyDescent="0.25">
      <c r="A821129" s="242"/>
    </row>
    <row r="821130" spans="1:1" x14ac:dyDescent="0.25">
      <c r="A821130" s="242"/>
    </row>
    <row r="821131" spans="1:1" x14ac:dyDescent="0.25">
      <c r="A821131" s="242"/>
    </row>
    <row r="821132" spans="1:1" x14ac:dyDescent="0.25">
      <c r="A821132" s="242"/>
    </row>
    <row r="821133" spans="1:1" x14ac:dyDescent="0.25">
      <c r="A821133" s="242"/>
    </row>
    <row r="821134" spans="1:1" x14ac:dyDescent="0.25">
      <c r="A821134" s="242"/>
    </row>
    <row r="821135" spans="1:1" x14ac:dyDescent="0.25">
      <c r="A821135" s="242"/>
    </row>
    <row r="821136" spans="1:1" x14ac:dyDescent="0.25">
      <c r="A821136" s="242"/>
    </row>
    <row r="821137" spans="1:1" x14ac:dyDescent="0.25">
      <c r="A821137" s="242"/>
    </row>
    <row r="821138" spans="1:1" x14ac:dyDescent="0.25">
      <c r="A821138" s="242"/>
    </row>
    <row r="821139" spans="1:1" x14ac:dyDescent="0.25">
      <c r="A821139" s="242"/>
    </row>
    <row r="821140" spans="1:1" x14ac:dyDescent="0.25">
      <c r="A821140" s="242"/>
    </row>
    <row r="821141" spans="1:1" x14ac:dyDescent="0.25">
      <c r="A821141" s="242"/>
    </row>
    <row r="821142" spans="1:1" x14ac:dyDescent="0.25">
      <c r="A821142" s="242"/>
    </row>
    <row r="821143" spans="1:1" x14ac:dyDescent="0.25">
      <c r="A821143" s="242"/>
    </row>
    <row r="821144" spans="1:1" x14ac:dyDescent="0.25">
      <c r="A821144" s="242"/>
    </row>
    <row r="821145" spans="1:1" x14ac:dyDescent="0.25">
      <c r="A821145" s="242"/>
    </row>
    <row r="821146" spans="1:1" x14ac:dyDescent="0.25">
      <c r="A821146" s="242"/>
    </row>
    <row r="821147" spans="1:1" x14ac:dyDescent="0.25">
      <c r="A821147" s="242"/>
    </row>
    <row r="821148" spans="1:1" x14ac:dyDescent="0.25">
      <c r="A821148" s="242"/>
    </row>
    <row r="821149" spans="1:1" x14ac:dyDescent="0.25">
      <c r="A821149" s="242"/>
    </row>
    <row r="821150" spans="1:1" x14ac:dyDescent="0.25">
      <c r="A821150" s="242"/>
    </row>
    <row r="821151" spans="1:1" x14ac:dyDescent="0.25">
      <c r="A821151" s="242"/>
    </row>
    <row r="821152" spans="1:1" x14ac:dyDescent="0.25">
      <c r="A821152" s="242"/>
    </row>
    <row r="821153" spans="1:1" x14ac:dyDescent="0.25">
      <c r="A821153" s="242"/>
    </row>
    <row r="821154" spans="1:1" x14ac:dyDescent="0.25">
      <c r="A821154" s="242"/>
    </row>
    <row r="821155" spans="1:1" x14ac:dyDescent="0.25">
      <c r="A821155" s="242"/>
    </row>
    <row r="821156" spans="1:1" x14ac:dyDescent="0.25">
      <c r="A821156" s="242"/>
    </row>
    <row r="821157" spans="1:1" x14ac:dyDescent="0.25">
      <c r="A821157" s="242"/>
    </row>
    <row r="821158" spans="1:1" x14ac:dyDescent="0.25">
      <c r="A821158" s="242"/>
    </row>
    <row r="821159" spans="1:1" x14ac:dyDescent="0.25">
      <c r="A821159" s="242"/>
    </row>
    <row r="821160" spans="1:1" x14ac:dyDescent="0.25">
      <c r="A821160" s="242"/>
    </row>
    <row r="821161" spans="1:1" x14ac:dyDescent="0.25">
      <c r="A821161" s="242"/>
    </row>
    <row r="821162" spans="1:1" x14ac:dyDescent="0.25">
      <c r="A821162" s="242"/>
    </row>
    <row r="821163" spans="1:1" x14ac:dyDescent="0.25">
      <c r="A821163" s="242"/>
    </row>
    <row r="821164" spans="1:1" x14ac:dyDescent="0.25">
      <c r="A821164" s="242"/>
    </row>
    <row r="821165" spans="1:1" x14ac:dyDescent="0.25">
      <c r="A821165" s="242"/>
    </row>
    <row r="821166" spans="1:1" x14ac:dyDescent="0.25">
      <c r="A821166" s="242"/>
    </row>
    <row r="821167" spans="1:1" x14ac:dyDescent="0.25">
      <c r="A821167" s="242"/>
    </row>
    <row r="821168" spans="1:1" x14ac:dyDescent="0.25">
      <c r="A821168" s="242"/>
    </row>
    <row r="821169" spans="1:1" x14ac:dyDescent="0.25">
      <c r="A821169" s="242"/>
    </row>
    <row r="821170" spans="1:1" x14ac:dyDescent="0.25">
      <c r="A821170" s="242"/>
    </row>
    <row r="821171" spans="1:1" x14ac:dyDescent="0.25">
      <c r="A821171" s="242"/>
    </row>
    <row r="821172" spans="1:1" x14ac:dyDescent="0.25">
      <c r="A821172" s="242"/>
    </row>
    <row r="821173" spans="1:1" x14ac:dyDescent="0.25">
      <c r="A821173" s="242"/>
    </row>
    <row r="821174" spans="1:1" x14ac:dyDescent="0.25">
      <c r="A821174" s="242"/>
    </row>
    <row r="821175" spans="1:1" x14ac:dyDescent="0.25">
      <c r="A821175" s="242"/>
    </row>
    <row r="821176" spans="1:1" x14ac:dyDescent="0.25">
      <c r="A821176" s="242"/>
    </row>
    <row r="821177" spans="1:1" x14ac:dyDescent="0.25">
      <c r="A821177" s="242"/>
    </row>
    <row r="821178" spans="1:1" x14ac:dyDescent="0.25">
      <c r="A821178" s="242"/>
    </row>
    <row r="821179" spans="1:1" x14ac:dyDescent="0.25">
      <c r="A821179" s="242"/>
    </row>
    <row r="821180" spans="1:1" x14ac:dyDescent="0.25">
      <c r="A821180" s="242"/>
    </row>
    <row r="821181" spans="1:1" x14ac:dyDescent="0.25">
      <c r="A821181" s="242"/>
    </row>
    <row r="821182" spans="1:1" x14ac:dyDescent="0.25">
      <c r="A821182" s="242"/>
    </row>
    <row r="821183" spans="1:1" x14ac:dyDescent="0.25">
      <c r="A821183" s="242"/>
    </row>
    <row r="821184" spans="1:1" x14ac:dyDescent="0.25">
      <c r="A821184" s="242"/>
    </row>
    <row r="821185" spans="1:1" x14ac:dyDescent="0.25">
      <c r="A821185" s="242"/>
    </row>
    <row r="821186" spans="1:1" x14ac:dyDescent="0.25">
      <c r="A821186" s="242"/>
    </row>
    <row r="821187" spans="1:1" x14ac:dyDescent="0.25">
      <c r="A821187" s="242"/>
    </row>
    <row r="821188" spans="1:1" x14ac:dyDescent="0.25">
      <c r="A821188" s="242"/>
    </row>
    <row r="821189" spans="1:1" x14ac:dyDescent="0.25">
      <c r="A821189" s="242"/>
    </row>
    <row r="821190" spans="1:1" x14ac:dyDescent="0.25">
      <c r="A821190" s="242"/>
    </row>
    <row r="821191" spans="1:1" x14ac:dyDescent="0.25">
      <c r="A821191" s="242"/>
    </row>
    <row r="821192" spans="1:1" x14ac:dyDescent="0.25">
      <c r="A821192" s="242"/>
    </row>
    <row r="821193" spans="1:1" x14ac:dyDescent="0.25">
      <c r="A821193" s="242"/>
    </row>
    <row r="821194" spans="1:1" x14ac:dyDescent="0.25">
      <c r="A821194" s="242"/>
    </row>
    <row r="821195" spans="1:1" x14ac:dyDescent="0.25">
      <c r="A821195" s="242"/>
    </row>
    <row r="821196" spans="1:1" x14ac:dyDescent="0.25">
      <c r="A821196" s="242"/>
    </row>
    <row r="821197" spans="1:1" x14ac:dyDescent="0.25">
      <c r="A821197" s="242"/>
    </row>
    <row r="821198" spans="1:1" x14ac:dyDescent="0.25">
      <c r="A821198" s="242"/>
    </row>
    <row r="821199" spans="1:1" x14ac:dyDescent="0.25">
      <c r="A821199" s="242"/>
    </row>
    <row r="821200" spans="1:1" x14ac:dyDescent="0.25">
      <c r="A821200" s="242"/>
    </row>
    <row r="821201" spans="1:1" x14ac:dyDescent="0.25">
      <c r="A821201" s="242"/>
    </row>
    <row r="821202" spans="1:1" x14ac:dyDescent="0.25">
      <c r="A821202" s="242"/>
    </row>
    <row r="821203" spans="1:1" x14ac:dyDescent="0.25">
      <c r="A821203" s="242"/>
    </row>
    <row r="821204" spans="1:1" x14ac:dyDescent="0.25">
      <c r="A821204" s="242"/>
    </row>
    <row r="821205" spans="1:1" x14ac:dyDescent="0.25">
      <c r="A821205" s="242"/>
    </row>
    <row r="821206" spans="1:1" x14ac:dyDescent="0.25">
      <c r="A821206" s="242"/>
    </row>
    <row r="821207" spans="1:1" x14ac:dyDescent="0.25">
      <c r="A821207" s="242"/>
    </row>
    <row r="821208" spans="1:1" x14ac:dyDescent="0.25">
      <c r="A821208" s="242"/>
    </row>
    <row r="821209" spans="1:1" x14ac:dyDescent="0.25">
      <c r="A821209" s="242"/>
    </row>
    <row r="821210" spans="1:1" x14ac:dyDescent="0.25">
      <c r="A821210" s="242"/>
    </row>
    <row r="821211" spans="1:1" x14ac:dyDescent="0.25">
      <c r="A821211" s="242"/>
    </row>
    <row r="821212" spans="1:1" x14ac:dyDescent="0.25">
      <c r="A821212" s="242"/>
    </row>
    <row r="821213" spans="1:1" x14ac:dyDescent="0.25">
      <c r="A821213" s="242"/>
    </row>
    <row r="821214" spans="1:1" x14ac:dyDescent="0.25">
      <c r="A821214" s="242"/>
    </row>
    <row r="821215" spans="1:1" x14ac:dyDescent="0.25">
      <c r="A821215" s="242"/>
    </row>
    <row r="821216" spans="1:1" x14ac:dyDescent="0.25">
      <c r="A821216" s="242"/>
    </row>
    <row r="821217" spans="1:1" x14ac:dyDescent="0.25">
      <c r="A821217" s="242"/>
    </row>
    <row r="821218" spans="1:1" x14ac:dyDescent="0.25">
      <c r="A821218" s="242"/>
    </row>
    <row r="821219" spans="1:1" x14ac:dyDescent="0.25">
      <c r="A821219" s="242"/>
    </row>
    <row r="821220" spans="1:1" x14ac:dyDescent="0.25">
      <c r="A821220" s="242"/>
    </row>
    <row r="821221" spans="1:1" x14ac:dyDescent="0.25">
      <c r="A821221" s="242"/>
    </row>
    <row r="821222" spans="1:1" x14ac:dyDescent="0.25">
      <c r="A821222" s="242"/>
    </row>
    <row r="821223" spans="1:1" x14ac:dyDescent="0.25">
      <c r="A821223" s="242"/>
    </row>
    <row r="821224" spans="1:1" x14ac:dyDescent="0.25">
      <c r="A821224" s="242"/>
    </row>
    <row r="821225" spans="1:1" x14ac:dyDescent="0.25">
      <c r="A821225" s="242"/>
    </row>
    <row r="821226" spans="1:1" x14ac:dyDescent="0.25">
      <c r="A821226" s="242"/>
    </row>
    <row r="821227" spans="1:1" x14ac:dyDescent="0.25">
      <c r="A821227" s="242"/>
    </row>
    <row r="821228" spans="1:1" x14ac:dyDescent="0.25">
      <c r="A821228" s="242"/>
    </row>
    <row r="821229" spans="1:1" x14ac:dyDescent="0.25">
      <c r="A821229" s="242"/>
    </row>
    <row r="821230" spans="1:1" x14ac:dyDescent="0.25">
      <c r="A821230" s="242"/>
    </row>
    <row r="821231" spans="1:1" x14ac:dyDescent="0.25">
      <c r="A821231" s="242"/>
    </row>
    <row r="821232" spans="1:1" x14ac:dyDescent="0.25">
      <c r="A821232" s="242"/>
    </row>
    <row r="821233" spans="1:1" x14ac:dyDescent="0.25">
      <c r="A821233" s="242"/>
    </row>
    <row r="821234" spans="1:1" x14ac:dyDescent="0.25">
      <c r="A821234" s="242"/>
    </row>
    <row r="821235" spans="1:1" x14ac:dyDescent="0.25">
      <c r="A821235" s="242"/>
    </row>
    <row r="821236" spans="1:1" x14ac:dyDescent="0.25">
      <c r="A821236" s="242"/>
    </row>
    <row r="821237" spans="1:1" x14ac:dyDescent="0.25">
      <c r="A821237" s="242"/>
    </row>
    <row r="821238" spans="1:1" x14ac:dyDescent="0.25">
      <c r="A821238" s="242"/>
    </row>
    <row r="821239" spans="1:1" x14ac:dyDescent="0.25">
      <c r="A821239" s="242"/>
    </row>
    <row r="821240" spans="1:1" x14ac:dyDescent="0.25">
      <c r="A821240" s="242"/>
    </row>
    <row r="821241" spans="1:1" x14ac:dyDescent="0.25">
      <c r="A821241" s="242"/>
    </row>
    <row r="821242" spans="1:1" x14ac:dyDescent="0.25">
      <c r="A821242" s="242"/>
    </row>
    <row r="821243" spans="1:1" x14ac:dyDescent="0.25">
      <c r="A821243" s="242"/>
    </row>
    <row r="821244" spans="1:1" x14ac:dyDescent="0.25">
      <c r="A821244" s="242"/>
    </row>
    <row r="821245" spans="1:1" x14ac:dyDescent="0.25">
      <c r="A821245" s="242"/>
    </row>
    <row r="821246" spans="1:1" x14ac:dyDescent="0.25">
      <c r="A821246" s="242"/>
    </row>
    <row r="821247" spans="1:1" x14ac:dyDescent="0.25">
      <c r="A821247" s="242"/>
    </row>
    <row r="821248" spans="1:1" x14ac:dyDescent="0.25">
      <c r="A821248" s="242"/>
    </row>
    <row r="821249" spans="1:1" x14ac:dyDescent="0.25">
      <c r="A821249" s="242"/>
    </row>
    <row r="821250" spans="1:1" x14ac:dyDescent="0.25">
      <c r="A821250" s="242"/>
    </row>
    <row r="821251" spans="1:1" x14ac:dyDescent="0.25">
      <c r="A821251" s="242"/>
    </row>
    <row r="821252" spans="1:1" x14ac:dyDescent="0.25">
      <c r="A821252" s="242"/>
    </row>
    <row r="821253" spans="1:1" x14ac:dyDescent="0.25">
      <c r="A821253" s="242"/>
    </row>
    <row r="821254" spans="1:1" x14ac:dyDescent="0.25">
      <c r="A821254" s="242"/>
    </row>
    <row r="821255" spans="1:1" x14ac:dyDescent="0.25">
      <c r="A821255" s="242"/>
    </row>
    <row r="821256" spans="1:1" x14ac:dyDescent="0.25">
      <c r="A821256" s="242"/>
    </row>
    <row r="821257" spans="1:1" x14ac:dyDescent="0.25">
      <c r="A821257" s="242"/>
    </row>
    <row r="821258" spans="1:1" x14ac:dyDescent="0.25">
      <c r="A821258" s="242"/>
    </row>
    <row r="821259" spans="1:1" x14ac:dyDescent="0.25">
      <c r="A821259" s="242"/>
    </row>
    <row r="821260" spans="1:1" x14ac:dyDescent="0.25">
      <c r="A821260" s="242"/>
    </row>
    <row r="821261" spans="1:1" x14ac:dyDescent="0.25">
      <c r="A821261" s="242"/>
    </row>
    <row r="821262" spans="1:1" x14ac:dyDescent="0.25">
      <c r="A821262" s="242"/>
    </row>
    <row r="821263" spans="1:1" x14ac:dyDescent="0.25">
      <c r="A821263" s="242"/>
    </row>
    <row r="821264" spans="1:1" x14ac:dyDescent="0.25">
      <c r="A821264" s="242"/>
    </row>
    <row r="821265" spans="1:1" x14ac:dyDescent="0.25">
      <c r="A821265" s="242"/>
    </row>
    <row r="821266" spans="1:1" x14ac:dyDescent="0.25">
      <c r="A821266" s="242"/>
    </row>
    <row r="821267" spans="1:1" x14ac:dyDescent="0.25">
      <c r="A821267" s="242"/>
    </row>
    <row r="821268" spans="1:1" x14ac:dyDescent="0.25">
      <c r="A821268" s="242"/>
    </row>
    <row r="821269" spans="1:1" x14ac:dyDescent="0.25">
      <c r="A821269" s="242"/>
    </row>
    <row r="821270" spans="1:1" x14ac:dyDescent="0.25">
      <c r="A821270" s="242"/>
    </row>
    <row r="821271" spans="1:1" x14ac:dyDescent="0.25">
      <c r="A821271" s="242"/>
    </row>
    <row r="821272" spans="1:1" x14ac:dyDescent="0.25">
      <c r="A821272" s="242"/>
    </row>
    <row r="821273" spans="1:1" x14ac:dyDescent="0.25">
      <c r="A821273" s="242"/>
    </row>
    <row r="821274" spans="1:1" x14ac:dyDescent="0.25">
      <c r="A821274" s="242"/>
    </row>
    <row r="821275" spans="1:1" x14ac:dyDescent="0.25">
      <c r="A821275" s="242"/>
    </row>
    <row r="821276" spans="1:1" x14ac:dyDescent="0.25">
      <c r="A821276" s="242"/>
    </row>
    <row r="821277" spans="1:1" x14ac:dyDescent="0.25">
      <c r="A821277" s="242"/>
    </row>
    <row r="821278" spans="1:1" x14ac:dyDescent="0.25">
      <c r="A821278" s="242"/>
    </row>
    <row r="821279" spans="1:1" x14ac:dyDescent="0.25">
      <c r="A821279" s="242"/>
    </row>
    <row r="821280" spans="1:1" x14ac:dyDescent="0.25">
      <c r="A821280" s="242"/>
    </row>
    <row r="821281" spans="1:1" x14ac:dyDescent="0.25">
      <c r="A821281" s="242"/>
    </row>
    <row r="821282" spans="1:1" x14ac:dyDescent="0.25">
      <c r="A821282" s="242"/>
    </row>
    <row r="821283" spans="1:1" x14ac:dyDescent="0.25">
      <c r="A821283" s="242"/>
    </row>
    <row r="821284" spans="1:1" x14ac:dyDescent="0.25">
      <c r="A821284" s="242"/>
    </row>
    <row r="821285" spans="1:1" x14ac:dyDescent="0.25">
      <c r="A821285" s="242"/>
    </row>
    <row r="821286" spans="1:1" x14ac:dyDescent="0.25">
      <c r="A821286" s="242"/>
    </row>
    <row r="821287" spans="1:1" x14ac:dyDescent="0.25">
      <c r="A821287" s="242"/>
    </row>
    <row r="821288" spans="1:1" x14ac:dyDescent="0.25">
      <c r="A821288" s="242"/>
    </row>
    <row r="821289" spans="1:1" x14ac:dyDescent="0.25">
      <c r="A821289" s="242"/>
    </row>
    <row r="821290" spans="1:1" x14ac:dyDescent="0.25">
      <c r="A821290" s="242"/>
    </row>
    <row r="821291" spans="1:1" x14ac:dyDescent="0.25">
      <c r="A821291" s="242"/>
    </row>
    <row r="821292" spans="1:1" x14ac:dyDescent="0.25">
      <c r="A821292" s="242"/>
    </row>
    <row r="821293" spans="1:1" x14ac:dyDescent="0.25">
      <c r="A821293" s="242"/>
    </row>
    <row r="821294" spans="1:1" x14ac:dyDescent="0.25">
      <c r="A821294" s="242"/>
    </row>
    <row r="821295" spans="1:1" x14ac:dyDescent="0.25">
      <c r="A821295" s="242"/>
    </row>
    <row r="821296" spans="1:1" x14ac:dyDescent="0.25">
      <c r="A821296" s="242"/>
    </row>
    <row r="821297" spans="1:1" x14ac:dyDescent="0.25">
      <c r="A821297" s="242"/>
    </row>
    <row r="821298" spans="1:1" x14ac:dyDescent="0.25">
      <c r="A821298" s="242"/>
    </row>
    <row r="821299" spans="1:1" x14ac:dyDescent="0.25">
      <c r="A821299" s="242"/>
    </row>
    <row r="821300" spans="1:1" x14ac:dyDescent="0.25">
      <c r="A821300" s="242"/>
    </row>
    <row r="821301" spans="1:1" x14ac:dyDescent="0.25">
      <c r="A821301" s="242"/>
    </row>
    <row r="821302" spans="1:1" x14ac:dyDescent="0.25">
      <c r="A821302" s="242"/>
    </row>
    <row r="821303" spans="1:1" x14ac:dyDescent="0.25">
      <c r="A821303" s="242"/>
    </row>
    <row r="821304" spans="1:1" x14ac:dyDescent="0.25">
      <c r="A821304" s="242"/>
    </row>
    <row r="821305" spans="1:1" x14ac:dyDescent="0.25">
      <c r="A821305" s="242"/>
    </row>
    <row r="821306" spans="1:1" x14ac:dyDescent="0.25">
      <c r="A821306" s="242"/>
    </row>
    <row r="821307" spans="1:1" x14ac:dyDescent="0.25">
      <c r="A821307" s="242"/>
    </row>
    <row r="821308" spans="1:1" x14ac:dyDescent="0.25">
      <c r="A821308" s="242"/>
    </row>
    <row r="821309" spans="1:1" x14ac:dyDescent="0.25">
      <c r="A821309" s="242"/>
    </row>
    <row r="821310" spans="1:1" x14ac:dyDescent="0.25">
      <c r="A821310" s="242"/>
    </row>
    <row r="821311" spans="1:1" x14ac:dyDescent="0.25">
      <c r="A821311" s="242"/>
    </row>
    <row r="821312" spans="1:1" x14ac:dyDescent="0.25">
      <c r="A821312" s="242"/>
    </row>
    <row r="821313" spans="1:1" x14ac:dyDescent="0.25">
      <c r="A821313" s="242"/>
    </row>
    <row r="821314" spans="1:1" x14ac:dyDescent="0.25">
      <c r="A821314" s="242"/>
    </row>
    <row r="821315" spans="1:1" x14ac:dyDescent="0.25">
      <c r="A821315" s="242"/>
    </row>
    <row r="821316" spans="1:1" x14ac:dyDescent="0.25">
      <c r="A821316" s="242"/>
    </row>
    <row r="821317" spans="1:1" x14ac:dyDescent="0.25">
      <c r="A821317" s="242"/>
    </row>
    <row r="821318" spans="1:1" x14ac:dyDescent="0.25">
      <c r="A821318" s="242"/>
    </row>
    <row r="821319" spans="1:1" x14ac:dyDescent="0.25">
      <c r="A821319" s="242"/>
    </row>
    <row r="821320" spans="1:1" x14ac:dyDescent="0.25">
      <c r="A821320" s="242"/>
    </row>
    <row r="821321" spans="1:1" x14ac:dyDescent="0.25">
      <c r="A821321" s="242"/>
    </row>
    <row r="821322" spans="1:1" x14ac:dyDescent="0.25">
      <c r="A821322" s="242"/>
    </row>
    <row r="821323" spans="1:1" x14ac:dyDescent="0.25">
      <c r="A821323" s="242"/>
    </row>
    <row r="821324" spans="1:1" x14ac:dyDescent="0.25">
      <c r="A821324" s="242"/>
    </row>
    <row r="821325" spans="1:1" x14ac:dyDescent="0.25">
      <c r="A821325" s="242"/>
    </row>
    <row r="821326" spans="1:1" x14ac:dyDescent="0.25">
      <c r="A821326" s="242"/>
    </row>
    <row r="821327" spans="1:1" x14ac:dyDescent="0.25">
      <c r="A821327" s="242"/>
    </row>
    <row r="821328" spans="1:1" x14ac:dyDescent="0.25">
      <c r="A821328" s="242"/>
    </row>
    <row r="821329" spans="1:1" x14ac:dyDescent="0.25">
      <c r="A821329" s="242"/>
    </row>
    <row r="821330" spans="1:1" x14ac:dyDescent="0.25">
      <c r="A821330" s="242"/>
    </row>
    <row r="821331" spans="1:1" x14ac:dyDescent="0.25">
      <c r="A821331" s="242"/>
    </row>
    <row r="821332" spans="1:1" x14ac:dyDescent="0.25">
      <c r="A821332" s="242"/>
    </row>
    <row r="821333" spans="1:1" x14ac:dyDescent="0.25">
      <c r="A821333" s="242"/>
    </row>
    <row r="821334" spans="1:1" x14ac:dyDescent="0.25">
      <c r="A821334" s="242"/>
    </row>
    <row r="821335" spans="1:1" x14ac:dyDescent="0.25">
      <c r="A821335" s="242"/>
    </row>
    <row r="821336" spans="1:1" x14ac:dyDescent="0.25">
      <c r="A821336" s="242"/>
    </row>
    <row r="821337" spans="1:1" x14ac:dyDescent="0.25">
      <c r="A821337" s="242"/>
    </row>
    <row r="821338" spans="1:1" x14ac:dyDescent="0.25">
      <c r="A821338" s="242"/>
    </row>
    <row r="821339" spans="1:1" x14ac:dyDescent="0.25">
      <c r="A821339" s="242"/>
    </row>
    <row r="821340" spans="1:1" x14ac:dyDescent="0.25">
      <c r="A821340" s="242"/>
    </row>
    <row r="821341" spans="1:1" x14ac:dyDescent="0.25">
      <c r="A821341" s="242"/>
    </row>
    <row r="821342" spans="1:1" x14ac:dyDescent="0.25">
      <c r="A821342" s="242"/>
    </row>
    <row r="821343" spans="1:1" x14ac:dyDescent="0.25">
      <c r="A821343" s="242"/>
    </row>
    <row r="821344" spans="1:1" x14ac:dyDescent="0.25">
      <c r="A821344" s="242"/>
    </row>
    <row r="821345" spans="1:1" x14ac:dyDescent="0.25">
      <c r="A821345" s="242"/>
    </row>
    <row r="821346" spans="1:1" x14ac:dyDescent="0.25">
      <c r="A821346" s="242"/>
    </row>
    <row r="821347" spans="1:1" x14ac:dyDescent="0.25">
      <c r="A821347" s="242"/>
    </row>
    <row r="821348" spans="1:1" x14ac:dyDescent="0.25">
      <c r="A821348" s="242"/>
    </row>
    <row r="821349" spans="1:1" x14ac:dyDescent="0.25">
      <c r="A821349" s="242"/>
    </row>
    <row r="821350" spans="1:1" x14ac:dyDescent="0.25">
      <c r="A821350" s="242"/>
    </row>
    <row r="821351" spans="1:1" x14ac:dyDescent="0.25">
      <c r="A821351" s="242"/>
    </row>
    <row r="821352" spans="1:1" x14ac:dyDescent="0.25">
      <c r="A821352" s="242"/>
    </row>
    <row r="821353" spans="1:1" x14ac:dyDescent="0.25">
      <c r="A821353" s="242"/>
    </row>
    <row r="821354" spans="1:1" x14ac:dyDescent="0.25">
      <c r="A821354" s="242"/>
    </row>
    <row r="821355" spans="1:1" x14ac:dyDescent="0.25">
      <c r="A821355" s="242"/>
    </row>
    <row r="821356" spans="1:1" x14ac:dyDescent="0.25">
      <c r="A821356" s="242"/>
    </row>
    <row r="821357" spans="1:1" x14ac:dyDescent="0.25">
      <c r="A821357" s="242"/>
    </row>
    <row r="821358" spans="1:1" x14ac:dyDescent="0.25">
      <c r="A821358" s="242"/>
    </row>
    <row r="821359" spans="1:1" x14ac:dyDescent="0.25">
      <c r="A821359" s="242"/>
    </row>
    <row r="821360" spans="1:1" x14ac:dyDescent="0.25">
      <c r="A821360" s="242"/>
    </row>
    <row r="821361" spans="1:1" x14ac:dyDescent="0.25">
      <c r="A821361" s="242"/>
    </row>
    <row r="821362" spans="1:1" x14ac:dyDescent="0.25">
      <c r="A821362" s="242"/>
    </row>
    <row r="821363" spans="1:1" x14ac:dyDescent="0.25">
      <c r="A821363" s="242"/>
    </row>
    <row r="821364" spans="1:1" x14ac:dyDescent="0.25">
      <c r="A821364" s="242"/>
    </row>
    <row r="821365" spans="1:1" x14ac:dyDescent="0.25">
      <c r="A821365" s="242"/>
    </row>
    <row r="821366" spans="1:1" x14ac:dyDescent="0.25">
      <c r="A821366" s="242"/>
    </row>
    <row r="821367" spans="1:1" x14ac:dyDescent="0.25">
      <c r="A821367" s="242"/>
    </row>
    <row r="821368" spans="1:1" x14ac:dyDescent="0.25">
      <c r="A821368" s="242"/>
    </row>
    <row r="821369" spans="1:1" x14ac:dyDescent="0.25">
      <c r="A821369" s="242"/>
    </row>
    <row r="821370" spans="1:1" x14ac:dyDescent="0.25">
      <c r="A821370" s="242"/>
    </row>
    <row r="821371" spans="1:1" x14ac:dyDescent="0.25">
      <c r="A821371" s="242"/>
    </row>
    <row r="821372" spans="1:1" x14ac:dyDescent="0.25">
      <c r="A821372" s="242"/>
    </row>
    <row r="821373" spans="1:1" x14ac:dyDescent="0.25">
      <c r="A821373" s="242"/>
    </row>
    <row r="821374" spans="1:1" x14ac:dyDescent="0.25">
      <c r="A821374" s="242"/>
    </row>
    <row r="821375" spans="1:1" x14ac:dyDescent="0.25">
      <c r="A821375" s="242"/>
    </row>
    <row r="821376" spans="1:1" x14ac:dyDescent="0.25">
      <c r="A821376" s="242"/>
    </row>
    <row r="821377" spans="1:1" x14ac:dyDescent="0.25">
      <c r="A821377" s="242"/>
    </row>
    <row r="821378" spans="1:1" x14ac:dyDescent="0.25">
      <c r="A821378" s="242"/>
    </row>
    <row r="821379" spans="1:1" x14ac:dyDescent="0.25">
      <c r="A821379" s="242"/>
    </row>
    <row r="821380" spans="1:1" x14ac:dyDescent="0.25">
      <c r="A821380" s="242"/>
    </row>
    <row r="821381" spans="1:1" x14ac:dyDescent="0.25">
      <c r="A821381" s="242"/>
    </row>
    <row r="821382" spans="1:1" x14ac:dyDescent="0.25">
      <c r="A821382" s="242"/>
    </row>
    <row r="821383" spans="1:1" x14ac:dyDescent="0.25">
      <c r="A821383" s="242"/>
    </row>
    <row r="821384" spans="1:1" x14ac:dyDescent="0.25">
      <c r="A821384" s="242"/>
    </row>
    <row r="821385" spans="1:1" x14ac:dyDescent="0.25">
      <c r="A821385" s="242"/>
    </row>
    <row r="821386" spans="1:1" x14ac:dyDescent="0.25">
      <c r="A821386" s="242"/>
    </row>
    <row r="821387" spans="1:1" x14ac:dyDescent="0.25">
      <c r="A821387" s="242"/>
    </row>
    <row r="821388" spans="1:1" x14ac:dyDescent="0.25">
      <c r="A821388" s="242"/>
    </row>
    <row r="821389" spans="1:1" x14ac:dyDescent="0.25">
      <c r="A821389" s="242"/>
    </row>
    <row r="821390" spans="1:1" x14ac:dyDescent="0.25">
      <c r="A821390" s="242"/>
    </row>
    <row r="821391" spans="1:1" x14ac:dyDescent="0.25">
      <c r="A821391" s="242"/>
    </row>
    <row r="821392" spans="1:1" x14ac:dyDescent="0.25">
      <c r="A821392" s="242"/>
    </row>
    <row r="821393" spans="1:1" x14ac:dyDescent="0.25">
      <c r="A821393" s="242"/>
    </row>
    <row r="821394" spans="1:1" x14ac:dyDescent="0.25">
      <c r="A821394" s="242"/>
    </row>
    <row r="821395" spans="1:1" x14ac:dyDescent="0.25">
      <c r="A821395" s="242"/>
    </row>
    <row r="821396" spans="1:1" x14ac:dyDescent="0.25">
      <c r="A821396" s="242"/>
    </row>
    <row r="821397" spans="1:1" x14ac:dyDescent="0.25">
      <c r="A821397" s="242"/>
    </row>
    <row r="821398" spans="1:1" x14ac:dyDescent="0.25">
      <c r="A821398" s="242"/>
    </row>
    <row r="821399" spans="1:1" x14ac:dyDescent="0.25">
      <c r="A821399" s="242"/>
    </row>
    <row r="821400" spans="1:1" x14ac:dyDescent="0.25">
      <c r="A821400" s="242"/>
    </row>
    <row r="821401" spans="1:1" x14ac:dyDescent="0.25">
      <c r="A821401" s="242"/>
    </row>
    <row r="821402" spans="1:1" x14ac:dyDescent="0.25">
      <c r="A821402" s="242"/>
    </row>
    <row r="821403" spans="1:1" x14ac:dyDescent="0.25">
      <c r="A821403" s="242"/>
    </row>
    <row r="821404" spans="1:1" x14ac:dyDescent="0.25">
      <c r="A821404" s="242"/>
    </row>
    <row r="821405" spans="1:1" x14ac:dyDescent="0.25">
      <c r="A821405" s="242"/>
    </row>
    <row r="821406" spans="1:1" x14ac:dyDescent="0.25">
      <c r="A821406" s="242"/>
    </row>
    <row r="821407" spans="1:1" x14ac:dyDescent="0.25">
      <c r="A821407" s="242"/>
    </row>
    <row r="821408" spans="1:1" x14ac:dyDescent="0.25">
      <c r="A821408" s="242"/>
    </row>
    <row r="821409" spans="1:1" x14ac:dyDescent="0.25">
      <c r="A821409" s="242"/>
    </row>
    <row r="821410" spans="1:1" x14ac:dyDescent="0.25">
      <c r="A821410" s="242"/>
    </row>
    <row r="821411" spans="1:1" x14ac:dyDescent="0.25">
      <c r="A821411" s="242"/>
    </row>
    <row r="821412" spans="1:1" x14ac:dyDescent="0.25">
      <c r="A821412" s="242"/>
    </row>
    <row r="821413" spans="1:1" x14ac:dyDescent="0.25">
      <c r="A821413" s="242"/>
    </row>
    <row r="821414" spans="1:1" x14ac:dyDescent="0.25">
      <c r="A821414" s="242"/>
    </row>
    <row r="821415" spans="1:1" x14ac:dyDescent="0.25">
      <c r="A821415" s="242"/>
    </row>
    <row r="821416" spans="1:1" x14ac:dyDescent="0.25">
      <c r="A821416" s="242"/>
    </row>
    <row r="821417" spans="1:1" x14ac:dyDescent="0.25">
      <c r="A821417" s="242"/>
    </row>
    <row r="821418" spans="1:1" x14ac:dyDescent="0.25">
      <c r="A821418" s="242"/>
    </row>
    <row r="821419" spans="1:1" x14ac:dyDescent="0.25">
      <c r="A821419" s="242"/>
    </row>
    <row r="821420" spans="1:1" x14ac:dyDescent="0.25">
      <c r="A821420" s="242"/>
    </row>
    <row r="821421" spans="1:1" x14ac:dyDescent="0.25">
      <c r="A821421" s="242"/>
    </row>
    <row r="821422" spans="1:1" x14ac:dyDescent="0.25">
      <c r="A821422" s="242"/>
    </row>
    <row r="821423" spans="1:1" x14ac:dyDescent="0.25">
      <c r="A821423" s="242"/>
    </row>
    <row r="821424" spans="1:1" x14ac:dyDescent="0.25">
      <c r="A821424" s="242"/>
    </row>
    <row r="821425" spans="1:1" x14ac:dyDescent="0.25">
      <c r="A821425" s="242"/>
    </row>
    <row r="821426" spans="1:1" x14ac:dyDescent="0.25">
      <c r="A821426" s="242"/>
    </row>
    <row r="821427" spans="1:1" x14ac:dyDescent="0.25">
      <c r="A821427" s="242"/>
    </row>
    <row r="821428" spans="1:1" x14ac:dyDescent="0.25">
      <c r="A821428" s="242"/>
    </row>
    <row r="821429" spans="1:1" x14ac:dyDescent="0.25">
      <c r="A821429" s="242"/>
    </row>
    <row r="821430" spans="1:1" x14ac:dyDescent="0.25">
      <c r="A821430" s="242"/>
    </row>
    <row r="821431" spans="1:1" x14ac:dyDescent="0.25">
      <c r="A821431" s="242"/>
    </row>
    <row r="821432" spans="1:1" x14ac:dyDescent="0.25">
      <c r="A821432" s="242"/>
    </row>
    <row r="821433" spans="1:1" x14ac:dyDescent="0.25">
      <c r="A821433" s="242"/>
    </row>
    <row r="821434" spans="1:1" x14ac:dyDescent="0.25">
      <c r="A821434" s="242"/>
    </row>
    <row r="821435" spans="1:1" x14ac:dyDescent="0.25">
      <c r="A821435" s="242"/>
    </row>
    <row r="821436" spans="1:1" x14ac:dyDescent="0.25">
      <c r="A821436" s="242"/>
    </row>
    <row r="821437" spans="1:1" x14ac:dyDescent="0.25">
      <c r="A821437" s="242"/>
    </row>
    <row r="821438" spans="1:1" x14ac:dyDescent="0.25">
      <c r="A821438" s="242"/>
    </row>
    <row r="821439" spans="1:1" x14ac:dyDescent="0.25">
      <c r="A821439" s="242"/>
    </row>
    <row r="821440" spans="1:1" x14ac:dyDescent="0.25">
      <c r="A821440" s="242"/>
    </row>
    <row r="821441" spans="1:1" x14ac:dyDescent="0.25">
      <c r="A821441" s="242"/>
    </row>
    <row r="821442" spans="1:1" x14ac:dyDescent="0.25">
      <c r="A821442" s="242"/>
    </row>
    <row r="821443" spans="1:1" x14ac:dyDescent="0.25">
      <c r="A821443" s="242"/>
    </row>
    <row r="821444" spans="1:1" x14ac:dyDescent="0.25">
      <c r="A821444" s="242"/>
    </row>
    <row r="821445" spans="1:1" x14ac:dyDescent="0.25">
      <c r="A821445" s="242"/>
    </row>
    <row r="821446" spans="1:1" x14ac:dyDescent="0.25">
      <c r="A821446" s="242"/>
    </row>
    <row r="821447" spans="1:1" x14ac:dyDescent="0.25">
      <c r="A821447" s="242"/>
    </row>
    <row r="821448" spans="1:1" x14ac:dyDescent="0.25">
      <c r="A821448" s="242"/>
    </row>
    <row r="821449" spans="1:1" x14ac:dyDescent="0.25">
      <c r="A821449" s="242"/>
    </row>
    <row r="821450" spans="1:1" x14ac:dyDescent="0.25">
      <c r="A821450" s="242"/>
    </row>
    <row r="821451" spans="1:1" x14ac:dyDescent="0.25">
      <c r="A821451" s="242"/>
    </row>
    <row r="821452" spans="1:1" x14ac:dyDescent="0.25">
      <c r="A821452" s="242"/>
    </row>
    <row r="821453" spans="1:1" x14ac:dyDescent="0.25">
      <c r="A821453" s="242"/>
    </row>
    <row r="821454" spans="1:1" x14ac:dyDescent="0.25">
      <c r="A821454" s="242"/>
    </row>
    <row r="821455" spans="1:1" x14ac:dyDescent="0.25">
      <c r="A821455" s="242"/>
    </row>
    <row r="821456" spans="1:1" x14ac:dyDescent="0.25">
      <c r="A821456" s="242"/>
    </row>
    <row r="821457" spans="1:1" x14ac:dyDescent="0.25">
      <c r="A821457" s="242"/>
    </row>
    <row r="821458" spans="1:1" x14ac:dyDescent="0.25">
      <c r="A821458" s="242"/>
    </row>
    <row r="821459" spans="1:1" x14ac:dyDescent="0.25">
      <c r="A821459" s="242"/>
    </row>
    <row r="821460" spans="1:1" x14ac:dyDescent="0.25">
      <c r="A821460" s="242"/>
    </row>
    <row r="821461" spans="1:1" x14ac:dyDescent="0.25">
      <c r="A821461" s="242"/>
    </row>
    <row r="821462" spans="1:1" x14ac:dyDescent="0.25">
      <c r="A821462" s="242"/>
    </row>
    <row r="821463" spans="1:1" x14ac:dyDescent="0.25">
      <c r="A821463" s="242"/>
    </row>
    <row r="821464" spans="1:1" x14ac:dyDescent="0.25">
      <c r="A821464" s="242"/>
    </row>
    <row r="821465" spans="1:1" x14ac:dyDescent="0.25">
      <c r="A821465" s="242"/>
    </row>
    <row r="821466" spans="1:1" x14ac:dyDescent="0.25">
      <c r="A821466" s="242"/>
    </row>
    <row r="821467" spans="1:1" x14ac:dyDescent="0.25">
      <c r="A821467" s="242"/>
    </row>
    <row r="821468" spans="1:1" x14ac:dyDescent="0.25">
      <c r="A821468" s="242"/>
    </row>
    <row r="821469" spans="1:1" x14ac:dyDescent="0.25">
      <c r="A821469" s="242"/>
    </row>
    <row r="821470" spans="1:1" x14ac:dyDescent="0.25">
      <c r="A821470" s="242"/>
    </row>
    <row r="821471" spans="1:1" x14ac:dyDescent="0.25">
      <c r="A821471" s="242"/>
    </row>
    <row r="821472" spans="1:1" x14ac:dyDescent="0.25">
      <c r="A821472" s="242"/>
    </row>
    <row r="821473" spans="1:1" x14ac:dyDescent="0.25">
      <c r="A821473" s="242"/>
    </row>
    <row r="821474" spans="1:1" x14ac:dyDescent="0.25">
      <c r="A821474" s="242"/>
    </row>
    <row r="821475" spans="1:1" x14ac:dyDescent="0.25">
      <c r="A821475" s="242"/>
    </row>
    <row r="821476" spans="1:1" x14ac:dyDescent="0.25">
      <c r="A821476" s="242"/>
    </row>
    <row r="821477" spans="1:1" x14ac:dyDescent="0.25">
      <c r="A821477" s="242"/>
    </row>
    <row r="821478" spans="1:1" x14ac:dyDescent="0.25">
      <c r="A821478" s="242"/>
    </row>
    <row r="821479" spans="1:1" x14ac:dyDescent="0.25">
      <c r="A821479" s="242"/>
    </row>
    <row r="821480" spans="1:1" x14ac:dyDescent="0.25">
      <c r="A821480" s="242"/>
    </row>
    <row r="821481" spans="1:1" x14ac:dyDescent="0.25">
      <c r="A821481" s="242"/>
    </row>
    <row r="821482" spans="1:1" x14ac:dyDescent="0.25">
      <c r="A821482" s="242"/>
    </row>
    <row r="821483" spans="1:1" x14ac:dyDescent="0.25">
      <c r="A821483" s="242"/>
    </row>
    <row r="821484" spans="1:1" x14ac:dyDescent="0.25">
      <c r="A821484" s="242"/>
    </row>
    <row r="821485" spans="1:1" x14ac:dyDescent="0.25">
      <c r="A821485" s="242"/>
    </row>
    <row r="821486" spans="1:1" x14ac:dyDescent="0.25">
      <c r="A821486" s="242"/>
    </row>
    <row r="821487" spans="1:1" x14ac:dyDescent="0.25">
      <c r="A821487" s="242"/>
    </row>
    <row r="821488" spans="1:1" x14ac:dyDescent="0.25">
      <c r="A821488" s="242"/>
    </row>
    <row r="821489" spans="1:1" x14ac:dyDescent="0.25">
      <c r="A821489" s="242"/>
    </row>
    <row r="821490" spans="1:1" x14ac:dyDescent="0.25">
      <c r="A821490" s="242"/>
    </row>
    <row r="821491" spans="1:1" x14ac:dyDescent="0.25">
      <c r="A821491" s="242"/>
    </row>
    <row r="821492" spans="1:1" x14ac:dyDescent="0.25">
      <c r="A821492" s="242"/>
    </row>
    <row r="821493" spans="1:1" x14ac:dyDescent="0.25">
      <c r="A821493" s="242"/>
    </row>
    <row r="821494" spans="1:1" x14ac:dyDescent="0.25">
      <c r="A821494" s="242"/>
    </row>
    <row r="821495" spans="1:1" x14ac:dyDescent="0.25">
      <c r="A821495" s="242"/>
    </row>
    <row r="821496" spans="1:1" x14ac:dyDescent="0.25">
      <c r="A821496" s="242"/>
    </row>
    <row r="821497" spans="1:1" x14ac:dyDescent="0.25">
      <c r="A821497" s="242"/>
    </row>
    <row r="821498" spans="1:1" x14ac:dyDescent="0.25">
      <c r="A821498" s="242"/>
    </row>
    <row r="821499" spans="1:1" x14ac:dyDescent="0.25">
      <c r="A821499" s="242"/>
    </row>
    <row r="821500" spans="1:1" x14ac:dyDescent="0.25">
      <c r="A821500" s="242"/>
    </row>
    <row r="821501" spans="1:1" x14ac:dyDescent="0.25">
      <c r="A821501" s="242"/>
    </row>
    <row r="821502" spans="1:1" x14ac:dyDescent="0.25">
      <c r="A821502" s="242"/>
    </row>
    <row r="821503" spans="1:1" x14ac:dyDescent="0.25">
      <c r="A821503" s="242"/>
    </row>
    <row r="821504" spans="1:1" x14ac:dyDescent="0.25">
      <c r="A821504" s="242"/>
    </row>
    <row r="821505" spans="1:1" x14ac:dyDescent="0.25">
      <c r="A821505" s="242"/>
    </row>
    <row r="821506" spans="1:1" x14ac:dyDescent="0.25">
      <c r="A821506" s="242"/>
    </row>
    <row r="821507" spans="1:1" x14ac:dyDescent="0.25">
      <c r="A821507" s="242"/>
    </row>
    <row r="821508" spans="1:1" x14ac:dyDescent="0.25">
      <c r="A821508" s="242"/>
    </row>
    <row r="821509" spans="1:1" x14ac:dyDescent="0.25">
      <c r="A821509" s="242"/>
    </row>
    <row r="821510" spans="1:1" x14ac:dyDescent="0.25">
      <c r="A821510" s="242"/>
    </row>
    <row r="821511" spans="1:1" x14ac:dyDescent="0.25">
      <c r="A821511" s="242"/>
    </row>
    <row r="821512" spans="1:1" x14ac:dyDescent="0.25">
      <c r="A821512" s="242"/>
    </row>
    <row r="821513" spans="1:1" x14ac:dyDescent="0.25">
      <c r="A821513" s="242"/>
    </row>
    <row r="821514" spans="1:1" x14ac:dyDescent="0.25">
      <c r="A821514" s="242"/>
    </row>
    <row r="821515" spans="1:1" x14ac:dyDescent="0.25">
      <c r="A821515" s="242"/>
    </row>
    <row r="821516" spans="1:1" x14ac:dyDescent="0.25">
      <c r="A821516" s="242"/>
    </row>
    <row r="821517" spans="1:1" x14ac:dyDescent="0.25">
      <c r="A821517" s="242"/>
    </row>
    <row r="821518" spans="1:1" x14ac:dyDescent="0.25">
      <c r="A821518" s="242"/>
    </row>
    <row r="821519" spans="1:1" x14ac:dyDescent="0.25">
      <c r="A821519" s="242"/>
    </row>
    <row r="821520" spans="1:1" x14ac:dyDescent="0.25">
      <c r="A821520" s="242"/>
    </row>
    <row r="821521" spans="1:1" x14ac:dyDescent="0.25">
      <c r="A821521" s="242"/>
    </row>
    <row r="821522" spans="1:1" x14ac:dyDescent="0.25">
      <c r="A821522" s="242"/>
    </row>
    <row r="821523" spans="1:1" x14ac:dyDescent="0.25">
      <c r="A821523" s="242"/>
    </row>
    <row r="821524" spans="1:1" x14ac:dyDescent="0.25">
      <c r="A821524" s="242"/>
    </row>
    <row r="821525" spans="1:1" x14ac:dyDescent="0.25">
      <c r="A821525" s="242"/>
    </row>
    <row r="821526" spans="1:1" x14ac:dyDescent="0.25">
      <c r="A821526" s="242"/>
    </row>
    <row r="821527" spans="1:1" x14ac:dyDescent="0.25">
      <c r="A821527" s="242"/>
    </row>
    <row r="821528" spans="1:1" x14ac:dyDescent="0.25">
      <c r="A821528" s="242"/>
    </row>
    <row r="821529" spans="1:1" x14ac:dyDescent="0.25">
      <c r="A821529" s="242"/>
    </row>
    <row r="821530" spans="1:1" x14ac:dyDescent="0.25">
      <c r="A821530" s="242"/>
    </row>
    <row r="821531" spans="1:1" x14ac:dyDescent="0.25">
      <c r="A821531" s="242"/>
    </row>
    <row r="821532" spans="1:1" x14ac:dyDescent="0.25">
      <c r="A821532" s="242"/>
    </row>
    <row r="821533" spans="1:1" x14ac:dyDescent="0.25">
      <c r="A821533" s="242"/>
    </row>
    <row r="821534" spans="1:1" x14ac:dyDescent="0.25">
      <c r="A821534" s="242"/>
    </row>
    <row r="821535" spans="1:1" x14ac:dyDescent="0.25">
      <c r="A821535" s="242"/>
    </row>
    <row r="821536" spans="1:1" x14ac:dyDescent="0.25">
      <c r="A821536" s="242"/>
    </row>
    <row r="821537" spans="1:1" x14ac:dyDescent="0.25">
      <c r="A821537" s="242"/>
    </row>
    <row r="821538" spans="1:1" x14ac:dyDescent="0.25">
      <c r="A821538" s="242"/>
    </row>
    <row r="821539" spans="1:1" x14ac:dyDescent="0.25">
      <c r="A821539" s="242"/>
    </row>
    <row r="821540" spans="1:1" x14ac:dyDescent="0.25">
      <c r="A821540" s="242"/>
    </row>
    <row r="821541" spans="1:1" x14ac:dyDescent="0.25">
      <c r="A821541" s="242"/>
    </row>
    <row r="821542" spans="1:1" x14ac:dyDescent="0.25">
      <c r="A821542" s="242"/>
    </row>
    <row r="821543" spans="1:1" x14ac:dyDescent="0.25">
      <c r="A821543" s="242"/>
    </row>
    <row r="821544" spans="1:1" x14ac:dyDescent="0.25">
      <c r="A821544" s="242"/>
    </row>
    <row r="821545" spans="1:1" x14ac:dyDescent="0.25">
      <c r="A821545" s="242"/>
    </row>
    <row r="821546" spans="1:1" x14ac:dyDescent="0.25">
      <c r="A821546" s="242"/>
    </row>
    <row r="821547" spans="1:1" x14ac:dyDescent="0.25">
      <c r="A821547" s="242"/>
    </row>
    <row r="821548" spans="1:1" x14ac:dyDescent="0.25">
      <c r="A821548" s="242"/>
    </row>
    <row r="821549" spans="1:1" x14ac:dyDescent="0.25">
      <c r="A821549" s="242"/>
    </row>
    <row r="821550" spans="1:1" x14ac:dyDescent="0.25">
      <c r="A821550" s="242"/>
    </row>
    <row r="821551" spans="1:1" x14ac:dyDescent="0.25">
      <c r="A821551" s="242"/>
    </row>
    <row r="821552" spans="1:1" x14ac:dyDescent="0.25">
      <c r="A821552" s="242"/>
    </row>
    <row r="821553" spans="1:1" x14ac:dyDescent="0.25">
      <c r="A821553" s="242"/>
    </row>
    <row r="821554" spans="1:1" x14ac:dyDescent="0.25">
      <c r="A821554" s="242"/>
    </row>
    <row r="821555" spans="1:1" x14ac:dyDescent="0.25">
      <c r="A821555" s="242"/>
    </row>
    <row r="821556" spans="1:1" x14ac:dyDescent="0.25">
      <c r="A821556" s="242"/>
    </row>
    <row r="821557" spans="1:1" x14ac:dyDescent="0.25">
      <c r="A821557" s="242"/>
    </row>
    <row r="821558" spans="1:1" x14ac:dyDescent="0.25">
      <c r="A821558" s="242"/>
    </row>
    <row r="821559" spans="1:1" x14ac:dyDescent="0.25">
      <c r="A821559" s="242"/>
    </row>
    <row r="821560" spans="1:1" x14ac:dyDescent="0.25">
      <c r="A821560" s="242"/>
    </row>
    <row r="821561" spans="1:1" x14ac:dyDescent="0.25">
      <c r="A821561" s="242"/>
    </row>
    <row r="821562" spans="1:1" x14ac:dyDescent="0.25">
      <c r="A821562" s="242"/>
    </row>
    <row r="821563" spans="1:1" x14ac:dyDescent="0.25">
      <c r="A821563" s="242"/>
    </row>
    <row r="821564" spans="1:1" x14ac:dyDescent="0.25">
      <c r="A821564" s="242"/>
    </row>
    <row r="821565" spans="1:1" x14ac:dyDescent="0.25">
      <c r="A821565" s="242"/>
    </row>
    <row r="821566" spans="1:1" x14ac:dyDescent="0.25">
      <c r="A821566" s="242"/>
    </row>
    <row r="821567" spans="1:1" x14ac:dyDescent="0.25">
      <c r="A821567" s="242"/>
    </row>
    <row r="821568" spans="1:1" x14ac:dyDescent="0.25">
      <c r="A821568" s="242"/>
    </row>
    <row r="821569" spans="1:1" x14ac:dyDescent="0.25">
      <c r="A821569" s="242"/>
    </row>
    <row r="821570" spans="1:1" x14ac:dyDescent="0.25">
      <c r="A821570" s="242"/>
    </row>
    <row r="821571" spans="1:1" x14ac:dyDescent="0.25">
      <c r="A821571" s="242"/>
    </row>
    <row r="821572" spans="1:1" x14ac:dyDescent="0.25">
      <c r="A821572" s="242"/>
    </row>
    <row r="821573" spans="1:1" x14ac:dyDescent="0.25">
      <c r="A821573" s="242"/>
    </row>
    <row r="821574" spans="1:1" x14ac:dyDescent="0.25">
      <c r="A821574" s="242"/>
    </row>
    <row r="821575" spans="1:1" x14ac:dyDescent="0.25">
      <c r="A821575" s="242"/>
    </row>
    <row r="821576" spans="1:1" x14ac:dyDescent="0.25">
      <c r="A821576" s="242"/>
    </row>
    <row r="821577" spans="1:1" x14ac:dyDescent="0.25">
      <c r="A821577" s="242"/>
    </row>
    <row r="821578" spans="1:1" x14ac:dyDescent="0.25">
      <c r="A821578" s="242"/>
    </row>
    <row r="821579" spans="1:1" x14ac:dyDescent="0.25">
      <c r="A821579" s="242"/>
    </row>
    <row r="821580" spans="1:1" x14ac:dyDescent="0.25">
      <c r="A821580" s="242"/>
    </row>
    <row r="821581" spans="1:1" x14ac:dyDescent="0.25">
      <c r="A821581" s="242"/>
    </row>
    <row r="821582" spans="1:1" x14ac:dyDescent="0.25">
      <c r="A821582" s="242"/>
    </row>
    <row r="821583" spans="1:1" x14ac:dyDescent="0.25">
      <c r="A821583" s="242"/>
    </row>
    <row r="821584" spans="1:1" x14ac:dyDescent="0.25">
      <c r="A821584" s="242"/>
    </row>
    <row r="821585" spans="1:1" x14ac:dyDescent="0.25">
      <c r="A821585" s="242"/>
    </row>
    <row r="821586" spans="1:1" x14ac:dyDescent="0.25">
      <c r="A821586" s="242"/>
    </row>
    <row r="821587" spans="1:1" x14ac:dyDescent="0.25">
      <c r="A821587" s="242"/>
    </row>
    <row r="821588" spans="1:1" x14ac:dyDescent="0.25">
      <c r="A821588" s="242"/>
    </row>
    <row r="821589" spans="1:1" x14ac:dyDescent="0.25">
      <c r="A821589" s="242"/>
    </row>
    <row r="821590" spans="1:1" x14ac:dyDescent="0.25">
      <c r="A821590" s="242"/>
    </row>
    <row r="821591" spans="1:1" x14ac:dyDescent="0.25">
      <c r="A821591" s="242"/>
    </row>
    <row r="821592" spans="1:1" x14ac:dyDescent="0.25">
      <c r="A821592" s="242"/>
    </row>
    <row r="821593" spans="1:1" x14ac:dyDescent="0.25">
      <c r="A821593" s="242"/>
    </row>
    <row r="821594" spans="1:1" x14ac:dyDescent="0.25">
      <c r="A821594" s="242"/>
    </row>
    <row r="821595" spans="1:1" x14ac:dyDescent="0.25">
      <c r="A821595" s="242"/>
    </row>
    <row r="821596" spans="1:1" x14ac:dyDescent="0.25">
      <c r="A821596" s="242"/>
    </row>
    <row r="821597" spans="1:1" x14ac:dyDescent="0.25">
      <c r="A821597" s="242"/>
    </row>
    <row r="821598" spans="1:1" x14ac:dyDescent="0.25">
      <c r="A821598" s="242"/>
    </row>
    <row r="821599" spans="1:1" x14ac:dyDescent="0.25">
      <c r="A821599" s="242"/>
    </row>
    <row r="821600" spans="1:1" x14ac:dyDescent="0.25">
      <c r="A821600" s="242"/>
    </row>
    <row r="821601" spans="1:1" x14ac:dyDescent="0.25">
      <c r="A821601" s="242"/>
    </row>
    <row r="821602" spans="1:1" x14ac:dyDescent="0.25">
      <c r="A821602" s="242"/>
    </row>
    <row r="821603" spans="1:1" x14ac:dyDescent="0.25">
      <c r="A821603" s="242"/>
    </row>
    <row r="821604" spans="1:1" x14ac:dyDescent="0.25">
      <c r="A821604" s="242"/>
    </row>
    <row r="821605" spans="1:1" x14ac:dyDescent="0.25">
      <c r="A821605" s="242"/>
    </row>
    <row r="821606" spans="1:1" x14ac:dyDescent="0.25">
      <c r="A821606" s="242"/>
    </row>
    <row r="821607" spans="1:1" x14ac:dyDescent="0.25">
      <c r="A821607" s="242"/>
    </row>
    <row r="821608" spans="1:1" x14ac:dyDescent="0.25">
      <c r="A821608" s="242"/>
    </row>
    <row r="821609" spans="1:1" x14ac:dyDescent="0.25">
      <c r="A821609" s="242"/>
    </row>
    <row r="821610" spans="1:1" x14ac:dyDescent="0.25">
      <c r="A821610" s="242"/>
    </row>
    <row r="821611" spans="1:1" x14ac:dyDescent="0.25">
      <c r="A821611" s="242"/>
    </row>
    <row r="821612" spans="1:1" x14ac:dyDescent="0.25">
      <c r="A821612" s="242"/>
    </row>
    <row r="821613" spans="1:1" x14ac:dyDescent="0.25">
      <c r="A821613" s="242"/>
    </row>
    <row r="821614" spans="1:1" x14ac:dyDescent="0.25">
      <c r="A821614" s="242"/>
    </row>
    <row r="821615" spans="1:1" x14ac:dyDescent="0.25">
      <c r="A821615" s="242"/>
    </row>
    <row r="821616" spans="1:1" x14ac:dyDescent="0.25">
      <c r="A821616" s="242"/>
    </row>
    <row r="821617" spans="1:1" x14ac:dyDescent="0.25">
      <c r="A821617" s="242"/>
    </row>
    <row r="821618" spans="1:1" x14ac:dyDescent="0.25">
      <c r="A821618" s="242"/>
    </row>
    <row r="821619" spans="1:1" x14ac:dyDescent="0.25">
      <c r="A821619" s="242"/>
    </row>
    <row r="821620" spans="1:1" x14ac:dyDescent="0.25">
      <c r="A821620" s="242"/>
    </row>
    <row r="821621" spans="1:1" x14ac:dyDescent="0.25">
      <c r="A821621" s="242"/>
    </row>
    <row r="821622" spans="1:1" x14ac:dyDescent="0.25">
      <c r="A821622" s="242"/>
    </row>
    <row r="821623" spans="1:1" x14ac:dyDescent="0.25">
      <c r="A821623" s="242"/>
    </row>
    <row r="821624" spans="1:1" x14ac:dyDescent="0.25">
      <c r="A821624" s="242"/>
    </row>
    <row r="821625" spans="1:1" x14ac:dyDescent="0.25">
      <c r="A821625" s="242"/>
    </row>
    <row r="821626" spans="1:1" x14ac:dyDescent="0.25">
      <c r="A821626" s="242"/>
    </row>
    <row r="821627" spans="1:1" x14ac:dyDescent="0.25">
      <c r="A821627" s="242"/>
    </row>
    <row r="821628" spans="1:1" x14ac:dyDescent="0.25">
      <c r="A821628" s="242"/>
    </row>
    <row r="821629" spans="1:1" x14ac:dyDescent="0.25">
      <c r="A821629" s="242"/>
    </row>
    <row r="821630" spans="1:1" x14ac:dyDescent="0.25">
      <c r="A821630" s="242"/>
    </row>
    <row r="821631" spans="1:1" x14ac:dyDescent="0.25">
      <c r="A821631" s="242"/>
    </row>
    <row r="821632" spans="1:1" x14ac:dyDescent="0.25">
      <c r="A821632" s="242"/>
    </row>
    <row r="821633" spans="1:1" x14ac:dyDescent="0.25">
      <c r="A821633" s="242"/>
    </row>
    <row r="821634" spans="1:1" x14ac:dyDescent="0.25">
      <c r="A821634" s="242"/>
    </row>
    <row r="821635" spans="1:1" x14ac:dyDescent="0.25">
      <c r="A821635" s="242"/>
    </row>
    <row r="821636" spans="1:1" x14ac:dyDescent="0.25">
      <c r="A821636" s="242"/>
    </row>
    <row r="821637" spans="1:1" x14ac:dyDescent="0.25">
      <c r="A821637" s="242"/>
    </row>
    <row r="821638" spans="1:1" x14ac:dyDescent="0.25">
      <c r="A821638" s="242"/>
    </row>
    <row r="821639" spans="1:1" x14ac:dyDescent="0.25">
      <c r="A821639" s="242"/>
    </row>
    <row r="821640" spans="1:1" x14ac:dyDescent="0.25">
      <c r="A821640" s="242"/>
    </row>
    <row r="821641" spans="1:1" x14ac:dyDescent="0.25">
      <c r="A821641" s="242"/>
    </row>
    <row r="821642" spans="1:1" x14ac:dyDescent="0.25">
      <c r="A821642" s="242"/>
    </row>
    <row r="821643" spans="1:1" x14ac:dyDescent="0.25">
      <c r="A821643" s="242"/>
    </row>
    <row r="821644" spans="1:1" x14ac:dyDescent="0.25">
      <c r="A821644" s="242"/>
    </row>
    <row r="821645" spans="1:1" x14ac:dyDescent="0.25">
      <c r="A821645" s="242"/>
    </row>
    <row r="821646" spans="1:1" x14ac:dyDescent="0.25">
      <c r="A821646" s="242"/>
    </row>
    <row r="821647" spans="1:1" x14ac:dyDescent="0.25">
      <c r="A821647" s="242"/>
    </row>
    <row r="821648" spans="1:1" x14ac:dyDescent="0.25">
      <c r="A821648" s="242"/>
    </row>
    <row r="821649" spans="1:1" x14ac:dyDescent="0.25">
      <c r="A821649" s="242"/>
    </row>
    <row r="821650" spans="1:1" x14ac:dyDescent="0.25">
      <c r="A821650" s="242"/>
    </row>
    <row r="821651" spans="1:1" x14ac:dyDescent="0.25">
      <c r="A821651" s="242"/>
    </row>
    <row r="821652" spans="1:1" x14ac:dyDescent="0.25">
      <c r="A821652" s="242"/>
    </row>
    <row r="821653" spans="1:1" x14ac:dyDescent="0.25">
      <c r="A821653" s="242"/>
    </row>
    <row r="821654" spans="1:1" x14ac:dyDescent="0.25">
      <c r="A821654" s="242"/>
    </row>
    <row r="821655" spans="1:1" x14ac:dyDescent="0.25">
      <c r="A821655" s="242"/>
    </row>
    <row r="821656" spans="1:1" x14ac:dyDescent="0.25">
      <c r="A821656" s="242"/>
    </row>
    <row r="821657" spans="1:1" x14ac:dyDescent="0.25">
      <c r="A821657" s="242"/>
    </row>
    <row r="821658" spans="1:1" x14ac:dyDescent="0.25">
      <c r="A821658" s="242"/>
    </row>
    <row r="821659" spans="1:1" x14ac:dyDescent="0.25">
      <c r="A821659" s="242"/>
    </row>
    <row r="821660" spans="1:1" x14ac:dyDescent="0.25">
      <c r="A821660" s="242"/>
    </row>
    <row r="821661" spans="1:1" x14ac:dyDescent="0.25">
      <c r="A821661" s="242"/>
    </row>
    <row r="821662" spans="1:1" x14ac:dyDescent="0.25">
      <c r="A821662" s="242"/>
    </row>
    <row r="821663" spans="1:1" x14ac:dyDescent="0.25">
      <c r="A821663" s="242"/>
    </row>
    <row r="821664" spans="1:1" x14ac:dyDescent="0.25">
      <c r="A821664" s="242"/>
    </row>
    <row r="821665" spans="1:1" x14ac:dyDescent="0.25">
      <c r="A821665" s="242"/>
    </row>
    <row r="821666" spans="1:1" x14ac:dyDescent="0.25">
      <c r="A821666" s="242"/>
    </row>
    <row r="821667" spans="1:1" x14ac:dyDescent="0.25">
      <c r="A821667" s="242"/>
    </row>
    <row r="821668" spans="1:1" x14ac:dyDescent="0.25">
      <c r="A821668" s="242"/>
    </row>
    <row r="821669" spans="1:1" x14ac:dyDescent="0.25">
      <c r="A821669" s="242"/>
    </row>
    <row r="821670" spans="1:1" x14ac:dyDescent="0.25">
      <c r="A821670" s="242"/>
    </row>
    <row r="821671" spans="1:1" x14ac:dyDescent="0.25">
      <c r="A821671" s="242"/>
    </row>
    <row r="821672" spans="1:1" x14ac:dyDescent="0.25">
      <c r="A821672" s="242"/>
    </row>
    <row r="821673" spans="1:1" x14ac:dyDescent="0.25">
      <c r="A821673" s="242"/>
    </row>
    <row r="821674" spans="1:1" x14ac:dyDescent="0.25">
      <c r="A821674" s="242"/>
    </row>
    <row r="821675" spans="1:1" x14ac:dyDescent="0.25">
      <c r="A821675" s="242"/>
    </row>
    <row r="821676" spans="1:1" x14ac:dyDescent="0.25">
      <c r="A821676" s="242"/>
    </row>
    <row r="821677" spans="1:1" x14ac:dyDescent="0.25">
      <c r="A821677" s="242"/>
    </row>
    <row r="821678" spans="1:1" x14ac:dyDescent="0.25">
      <c r="A821678" s="242"/>
    </row>
    <row r="821679" spans="1:1" x14ac:dyDescent="0.25">
      <c r="A821679" s="242"/>
    </row>
    <row r="821680" spans="1:1" x14ac:dyDescent="0.25">
      <c r="A821680" s="242"/>
    </row>
    <row r="821681" spans="1:1" x14ac:dyDescent="0.25">
      <c r="A821681" s="242"/>
    </row>
    <row r="821682" spans="1:1" x14ac:dyDescent="0.25">
      <c r="A821682" s="242"/>
    </row>
    <row r="821683" spans="1:1" x14ac:dyDescent="0.25">
      <c r="A821683" s="242"/>
    </row>
    <row r="821684" spans="1:1" x14ac:dyDescent="0.25">
      <c r="A821684" s="242"/>
    </row>
    <row r="821685" spans="1:1" x14ac:dyDescent="0.25">
      <c r="A821685" s="242"/>
    </row>
    <row r="821686" spans="1:1" x14ac:dyDescent="0.25">
      <c r="A821686" s="242"/>
    </row>
    <row r="821687" spans="1:1" x14ac:dyDescent="0.25">
      <c r="A821687" s="242"/>
    </row>
    <row r="821688" spans="1:1" x14ac:dyDescent="0.25">
      <c r="A821688" s="242"/>
    </row>
    <row r="821689" spans="1:1" x14ac:dyDescent="0.25">
      <c r="A821689" s="242"/>
    </row>
    <row r="821690" spans="1:1" x14ac:dyDescent="0.25">
      <c r="A821690" s="242"/>
    </row>
    <row r="821691" spans="1:1" x14ac:dyDescent="0.25">
      <c r="A821691" s="242"/>
    </row>
    <row r="821692" spans="1:1" x14ac:dyDescent="0.25">
      <c r="A821692" s="242"/>
    </row>
    <row r="821693" spans="1:1" x14ac:dyDescent="0.25">
      <c r="A821693" s="242"/>
    </row>
    <row r="821694" spans="1:1" x14ac:dyDescent="0.25">
      <c r="A821694" s="242"/>
    </row>
    <row r="821695" spans="1:1" x14ac:dyDescent="0.25">
      <c r="A821695" s="242"/>
    </row>
    <row r="821696" spans="1:1" x14ac:dyDescent="0.25">
      <c r="A821696" s="242"/>
    </row>
    <row r="821697" spans="1:1" x14ac:dyDescent="0.25">
      <c r="A821697" s="242"/>
    </row>
    <row r="821698" spans="1:1" x14ac:dyDescent="0.25">
      <c r="A821698" s="242"/>
    </row>
    <row r="821699" spans="1:1" x14ac:dyDescent="0.25">
      <c r="A821699" s="242"/>
    </row>
    <row r="821700" spans="1:1" x14ac:dyDescent="0.25">
      <c r="A821700" s="242"/>
    </row>
    <row r="821701" spans="1:1" x14ac:dyDescent="0.25">
      <c r="A821701" s="242"/>
    </row>
    <row r="821702" spans="1:1" x14ac:dyDescent="0.25">
      <c r="A821702" s="242"/>
    </row>
    <row r="821703" spans="1:1" x14ac:dyDescent="0.25">
      <c r="A821703" s="242"/>
    </row>
    <row r="821704" spans="1:1" x14ac:dyDescent="0.25">
      <c r="A821704" s="242"/>
    </row>
    <row r="821705" spans="1:1" x14ac:dyDescent="0.25">
      <c r="A821705" s="242"/>
    </row>
    <row r="821706" spans="1:1" x14ac:dyDescent="0.25">
      <c r="A821706" s="242"/>
    </row>
    <row r="821707" spans="1:1" x14ac:dyDescent="0.25">
      <c r="A821707" s="242"/>
    </row>
    <row r="821708" spans="1:1" x14ac:dyDescent="0.25">
      <c r="A821708" s="242"/>
    </row>
    <row r="821709" spans="1:1" x14ac:dyDescent="0.25">
      <c r="A821709" s="242"/>
    </row>
    <row r="821710" spans="1:1" x14ac:dyDescent="0.25">
      <c r="A821710" s="242"/>
    </row>
    <row r="821711" spans="1:1" x14ac:dyDescent="0.25">
      <c r="A821711" s="242"/>
    </row>
    <row r="821712" spans="1:1" x14ac:dyDescent="0.25">
      <c r="A821712" s="242"/>
    </row>
    <row r="821713" spans="1:1" x14ac:dyDescent="0.25">
      <c r="A821713" s="242"/>
    </row>
    <row r="821714" spans="1:1" x14ac:dyDescent="0.25">
      <c r="A821714" s="242"/>
    </row>
    <row r="821715" spans="1:1" x14ac:dyDescent="0.25">
      <c r="A821715" s="242"/>
    </row>
    <row r="821716" spans="1:1" x14ac:dyDescent="0.25">
      <c r="A821716" s="242"/>
    </row>
    <row r="821717" spans="1:1" x14ac:dyDescent="0.25">
      <c r="A821717" s="242"/>
    </row>
    <row r="821718" spans="1:1" x14ac:dyDescent="0.25">
      <c r="A821718" s="242"/>
    </row>
    <row r="821719" spans="1:1" x14ac:dyDescent="0.25">
      <c r="A821719" s="242"/>
    </row>
    <row r="821720" spans="1:1" x14ac:dyDescent="0.25">
      <c r="A821720" s="242"/>
    </row>
    <row r="821721" spans="1:1" x14ac:dyDescent="0.25">
      <c r="A821721" s="242"/>
    </row>
    <row r="821722" spans="1:1" x14ac:dyDescent="0.25">
      <c r="A821722" s="242"/>
    </row>
    <row r="821723" spans="1:1" x14ac:dyDescent="0.25">
      <c r="A821723" s="242"/>
    </row>
    <row r="821724" spans="1:1" x14ac:dyDescent="0.25">
      <c r="A821724" s="242"/>
    </row>
    <row r="821725" spans="1:1" x14ac:dyDescent="0.25">
      <c r="A821725" s="242"/>
    </row>
    <row r="821726" spans="1:1" x14ac:dyDescent="0.25">
      <c r="A821726" s="242"/>
    </row>
    <row r="821727" spans="1:1" x14ac:dyDescent="0.25">
      <c r="A821727" s="242"/>
    </row>
    <row r="821728" spans="1:1" x14ac:dyDescent="0.25">
      <c r="A821728" s="242"/>
    </row>
    <row r="821729" spans="1:1" x14ac:dyDescent="0.25">
      <c r="A821729" s="242"/>
    </row>
    <row r="821730" spans="1:1" x14ac:dyDescent="0.25">
      <c r="A821730" s="242"/>
    </row>
    <row r="821731" spans="1:1" x14ac:dyDescent="0.25">
      <c r="A821731" s="242"/>
    </row>
    <row r="821732" spans="1:1" x14ac:dyDescent="0.25">
      <c r="A821732" s="242"/>
    </row>
    <row r="821733" spans="1:1" x14ac:dyDescent="0.25">
      <c r="A821733" s="242"/>
    </row>
    <row r="821734" spans="1:1" x14ac:dyDescent="0.25">
      <c r="A821734" s="242"/>
    </row>
    <row r="821735" spans="1:1" x14ac:dyDescent="0.25">
      <c r="A821735" s="242"/>
    </row>
    <row r="821736" spans="1:1" x14ac:dyDescent="0.25">
      <c r="A821736" s="242"/>
    </row>
    <row r="821737" spans="1:1" x14ac:dyDescent="0.25">
      <c r="A821737" s="242"/>
    </row>
    <row r="821738" spans="1:1" x14ac:dyDescent="0.25">
      <c r="A821738" s="242"/>
    </row>
    <row r="821739" spans="1:1" x14ac:dyDescent="0.25">
      <c r="A821739" s="242"/>
    </row>
    <row r="821740" spans="1:1" x14ac:dyDescent="0.25">
      <c r="A821740" s="242"/>
    </row>
    <row r="821741" spans="1:1" x14ac:dyDescent="0.25">
      <c r="A821741" s="242"/>
    </row>
    <row r="821742" spans="1:1" x14ac:dyDescent="0.25">
      <c r="A821742" s="242"/>
    </row>
    <row r="821743" spans="1:1" x14ac:dyDescent="0.25">
      <c r="A821743" s="242"/>
    </row>
    <row r="821744" spans="1:1" x14ac:dyDescent="0.25">
      <c r="A821744" s="242"/>
    </row>
    <row r="821745" spans="1:1" x14ac:dyDescent="0.25">
      <c r="A821745" s="242"/>
    </row>
    <row r="821746" spans="1:1" x14ac:dyDescent="0.25">
      <c r="A821746" s="242"/>
    </row>
    <row r="821747" spans="1:1" x14ac:dyDescent="0.25">
      <c r="A821747" s="242"/>
    </row>
    <row r="821748" spans="1:1" x14ac:dyDescent="0.25">
      <c r="A821748" s="242"/>
    </row>
    <row r="821749" spans="1:1" x14ac:dyDescent="0.25">
      <c r="A821749" s="242"/>
    </row>
    <row r="821750" spans="1:1" x14ac:dyDescent="0.25">
      <c r="A821750" s="242"/>
    </row>
    <row r="821751" spans="1:1" x14ac:dyDescent="0.25">
      <c r="A821751" s="242"/>
    </row>
    <row r="821752" spans="1:1" x14ac:dyDescent="0.25">
      <c r="A821752" s="242"/>
    </row>
    <row r="821753" spans="1:1" x14ac:dyDescent="0.25">
      <c r="A821753" s="242"/>
    </row>
    <row r="821754" spans="1:1" x14ac:dyDescent="0.25">
      <c r="A821754" s="242"/>
    </row>
    <row r="821755" spans="1:1" x14ac:dyDescent="0.25">
      <c r="A821755" s="242"/>
    </row>
    <row r="821756" spans="1:1" x14ac:dyDescent="0.25">
      <c r="A821756" s="242"/>
    </row>
    <row r="821757" spans="1:1" x14ac:dyDescent="0.25">
      <c r="A821757" s="242"/>
    </row>
    <row r="821758" spans="1:1" x14ac:dyDescent="0.25">
      <c r="A821758" s="242"/>
    </row>
    <row r="821759" spans="1:1" x14ac:dyDescent="0.25">
      <c r="A821759" s="242"/>
    </row>
    <row r="821760" spans="1:1" x14ac:dyDescent="0.25">
      <c r="A821760" s="242"/>
    </row>
    <row r="821761" spans="1:1" x14ac:dyDescent="0.25">
      <c r="A821761" s="242"/>
    </row>
    <row r="821762" spans="1:1" x14ac:dyDescent="0.25">
      <c r="A821762" s="242"/>
    </row>
    <row r="821763" spans="1:1" x14ac:dyDescent="0.25">
      <c r="A821763" s="242"/>
    </row>
    <row r="821764" spans="1:1" x14ac:dyDescent="0.25">
      <c r="A821764" s="242"/>
    </row>
    <row r="821765" spans="1:1" x14ac:dyDescent="0.25">
      <c r="A821765" s="242"/>
    </row>
    <row r="821766" spans="1:1" x14ac:dyDescent="0.25">
      <c r="A821766" s="242"/>
    </row>
    <row r="821767" spans="1:1" x14ac:dyDescent="0.25">
      <c r="A821767" s="242"/>
    </row>
    <row r="821768" spans="1:1" x14ac:dyDescent="0.25">
      <c r="A821768" s="242"/>
    </row>
    <row r="821769" spans="1:1" x14ac:dyDescent="0.25">
      <c r="A821769" s="242"/>
    </row>
    <row r="821770" spans="1:1" x14ac:dyDescent="0.25">
      <c r="A821770" s="242"/>
    </row>
    <row r="821771" spans="1:1" x14ac:dyDescent="0.25">
      <c r="A821771" s="242"/>
    </row>
    <row r="821772" spans="1:1" x14ac:dyDescent="0.25">
      <c r="A821772" s="242"/>
    </row>
    <row r="821773" spans="1:1" x14ac:dyDescent="0.25">
      <c r="A821773" s="242"/>
    </row>
    <row r="821774" spans="1:1" x14ac:dyDescent="0.25">
      <c r="A821774" s="242"/>
    </row>
    <row r="821775" spans="1:1" x14ac:dyDescent="0.25">
      <c r="A821775" s="242"/>
    </row>
    <row r="821776" spans="1:1" x14ac:dyDescent="0.25">
      <c r="A821776" s="242"/>
    </row>
    <row r="821777" spans="1:1" x14ac:dyDescent="0.25">
      <c r="A821777" s="242"/>
    </row>
    <row r="821778" spans="1:1" x14ac:dyDescent="0.25">
      <c r="A821778" s="242"/>
    </row>
    <row r="821779" spans="1:1" x14ac:dyDescent="0.25">
      <c r="A821779" s="242"/>
    </row>
    <row r="821780" spans="1:1" x14ac:dyDescent="0.25">
      <c r="A821780" s="242"/>
    </row>
    <row r="821781" spans="1:1" x14ac:dyDescent="0.25">
      <c r="A821781" s="242"/>
    </row>
    <row r="821782" spans="1:1" x14ac:dyDescent="0.25">
      <c r="A821782" s="242"/>
    </row>
    <row r="821783" spans="1:1" x14ac:dyDescent="0.25">
      <c r="A821783" s="242"/>
    </row>
    <row r="821784" spans="1:1" x14ac:dyDescent="0.25">
      <c r="A821784" s="242"/>
    </row>
    <row r="821785" spans="1:1" x14ac:dyDescent="0.25">
      <c r="A821785" s="242"/>
    </row>
    <row r="821786" spans="1:1" x14ac:dyDescent="0.25">
      <c r="A821786" s="242"/>
    </row>
    <row r="821787" spans="1:1" x14ac:dyDescent="0.25">
      <c r="A821787" s="242"/>
    </row>
    <row r="821788" spans="1:1" x14ac:dyDescent="0.25">
      <c r="A821788" s="242"/>
    </row>
    <row r="821789" spans="1:1" x14ac:dyDescent="0.25">
      <c r="A821789" s="242"/>
    </row>
    <row r="821790" spans="1:1" x14ac:dyDescent="0.25">
      <c r="A821790" s="242"/>
    </row>
    <row r="821791" spans="1:1" x14ac:dyDescent="0.25">
      <c r="A821791" s="242"/>
    </row>
    <row r="821792" spans="1:1" x14ac:dyDescent="0.25">
      <c r="A821792" s="242"/>
    </row>
    <row r="821793" spans="1:1" x14ac:dyDescent="0.25">
      <c r="A821793" s="242"/>
    </row>
    <row r="821794" spans="1:1" x14ac:dyDescent="0.25">
      <c r="A821794" s="242"/>
    </row>
    <row r="821795" spans="1:1" x14ac:dyDescent="0.25">
      <c r="A821795" s="242"/>
    </row>
    <row r="821796" spans="1:1" x14ac:dyDescent="0.25">
      <c r="A821796" s="242"/>
    </row>
    <row r="821797" spans="1:1" x14ac:dyDescent="0.25">
      <c r="A821797" s="242"/>
    </row>
    <row r="821798" spans="1:1" x14ac:dyDescent="0.25">
      <c r="A821798" s="242"/>
    </row>
    <row r="821799" spans="1:1" x14ac:dyDescent="0.25">
      <c r="A821799" s="242"/>
    </row>
    <row r="821800" spans="1:1" x14ac:dyDescent="0.25">
      <c r="A821800" s="242"/>
    </row>
    <row r="821801" spans="1:1" x14ac:dyDescent="0.25">
      <c r="A821801" s="242"/>
    </row>
    <row r="821802" spans="1:1" x14ac:dyDescent="0.25">
      <c r="A821802" s="242"/>
    </row>
    <row r="821803" spans="1:1" x14ac:dyDescent="0.25">
      <c r="A821803" s="242"/>
    </row>
    <row r="821804" spans="1:1" x14ac:dyDescent="0.25">
      <c r="A821804" s="242"/>
    </row>
    <row r="821805" spans="1:1" x14ac:dyDescent="0.25">
      <c r="A821805" s="242"/>
    </row>
    <row r="821806" spans="1:1" x14ac:dyDescent="0.25">
      <c r="A821806" s="242"/>
    </row>
    <row r="821807" spans="1:1" x14ac:dyDescent="0.25">
      <c r="A821807" s="242"/>
    </row>
    <row r="821808" spans="1:1" x14ac:dyDescent="0.25">
      <c r="A821808" s="242"/>
    </row>
    <row r="821809" spans="1:1" x14ac:dyDescent="0.25">
      <c r="A821809" s="242"/>
    </row>
    <row r="821810" spans="1:1" x14ac:dyDescent="0.25">
      <c r="A821810" s="242"/>
    </row>
    <row r="821811" spans="1:1" x14ac:dyDescent="0.25">
      <c r="A821811" s="242"/>
    </row>
    <row r="821812" spans="1:1" x14ac:dyDescent="0.25">
      <c r="A821812" s="242"/>
    </row>
    <row r="821813" spans="1:1" x14ac:dyDescent="0.25">
      <c r="A821813" s="242"/>
    </row>
    <row r="821814" spans="1:1" x14ac:dyDescent="0.25">
      <c r="A821814" s="242"/>
    </row>
    <row r="821815" spans="1:1" x14ac:dyDescent="0.25">
      <c r="A821815" s="242"/>
    </row>
    <row r="821816" spans="1:1" x14ac:dyDescent="0.25">
      <c r="A821816" s="242"/>
    </row>
    <row r="821817" spans="1:1" x14ac:dyDescent="0.25">
      <c r="A821817" s="242"/>
    </row>
    <row r="821818" spans="1:1" x14ac:dyDescent="0.25">
      <c r="A821818" s="242"/>
    </row>
    <row r="821819" spans="1:1" x14ac:dyDescent="0.25">
      <c r="A821819" s="242"/>
    </row>
    <row r="821820" spans="1:1" x14ac:dyDescent="0.25">
      <c r="A821820" s="242"/>
    </row>
    <row r="821821" spans="1:1" x14ac:dyDescent="0.25">
      <c r="A821821" s="242"/>
    </row>
    <row r="821822" spans="1:1" x14ac:dyDescent="0.25">
      <c r="A821822" s="242"/>
    </row>
    <row r="821823" spans="1:1" x14ac:dyDescent="0.25">
      <c r="A821823" s="242"/>
    </row>
    <row r="821824" spans="1:1" x14ac:dyDescent="0.25">
      <c r="A821824" s="242"/>
    </row>
    <row r="821825" spans="1:1" x14ac:dyDescent="0.25">
      <c r="A821825" s="242"/>
    </row>
    <row r="821826" spans="1:1" x14ac:dyDescent="0.25">
      <c r="A821826" s="242"/>
    </row>
    <row r="821827" spans="1:1" x14ac:dyDescent="0.25">
      <c r="A821827" s="242"/>
    </row>
    <row r="821828" spans="1:1" x14ac:dyDescent="0.25">
      <c r="A821828" s="242"/>
    </row>
    <row r="821829" spans="1:1" x14ac:dyDescent="0.25">
      <c r="A821829" s="242"/>
    </row>
    <row r="821830" spans="1:1" x14ac:dyDescent="0.25">
      <c r="A821830" s="242"/>
    </row>
    <row r="821831" spans="1:1" x14ac:dyDescent="0.25">
      <c r="A821831" s="242"/>
    </row>
    <row r="821832" spans="1:1" x14ac:dyDescent="0.25">
      <c r="A821832" s="242"/>
    </row>
    <row r="821833" spans="1:1" x14ac:dyDescent="0.25">
      <c r="A821833" s="242"/>
    </row>
    <row r="821834" spans="1:1" x14ac:dyDescent="0.25">
      <c r="A821834" s="242"/>
    </row>
    <row r="821835" spans="1:1" x14ac:dyDescent="0.25">
      <c r="A821835" s="242"/>
    </row>
    <row r="821836" spans="1:1" x14ac:dyDescent="0.25">
      <c r="A821836" s="242"/>
    </row>
    <row r="821837" spans="1:1" x14ac:dyDescent="0.25">
      <c r="A821837" s="242"/>
    </row>
    <row r="821838" spans="1:1" x14ac:dyDescent="0.25">
      <c r="A821838" s="242"/>
    </row>
    <row r="821839" spans="1:1" x14ac:dyDescent="0.25">
      <c r="A821839" s="242"/>
    </row>
    <row r="821840" spans="1:1" x14ac:dyDescent="0.25">
      <c r="A821840" s="242"/>
    </row>
    <row r="821841" spans="1:1" x14ac:dyDescent="0.25">
      <c r="A821841" s="242"/>
    </row>
    <row r="821842" spans="1:1" x14ac:dyDescent="0.25">
      <c r="A821842" s="242"/>
    </row>
    <row r="821843" spans="1:1" x14ac:dyDescent="0.25">
      <c r="A821843" s="242"/>
    </row>
    <row r="821844" spans="1:1" x14ac:dyDescent="0.25">
      <c r="A821844" s="242"/>
    </row>
    <row r="821845" spans="1:1" x14ac:dyDescent="0.25">
      <c r="A821845" s="242"/>
    </row>
    <row r="821846" spans="1:1" x14ac:dyDescent="0.25">
      <c r="A821846" s="242"/>
    </row>
    <row r="821847" spans="1:1" x14ac:dyDescent="0.25">
      <c r="A821847" s="242"/>
    </row>
    <row r="821848" spans="1:1" x14ac:dyDescent="0.25">
      <c r="A821848" s="242"/>
    </row>
    <row r="821849" spans="1:1" x14ac:dyDescent="0.25">
      <c r="A821849" s="242"/>
    </row>
    <row r="821850" spans="1:1" x14ac:dyDescent="0.25">
      <c r="A821850" s="242"/>
    </row>
    <row r="821851" spans="1:1" x14ac:dyDescent="0.25">
      <c r="A821851" s="242"/>
    </row>
    <row r="821852" spans="1:1" x14ac:dyDescent="0.25">
      <c r="A821852" s="242"/>
    </row>
    <row r="821853" spans="1:1" x14ac:dyDescent="0.25">
      <c r="A821853" s="242"/>
    </row>
    <row r="821854" spans="1:1" x14ac:dyDescent="0.25">
      <c r="A821854" s="242"/>
    </row>
    <row r="821855" spans="1:1" x14ac:dyDescent="0.25">
      <c r="A821855" s="242"/>
    </row>
    <row r="821856" spans="1:1" x14ac:dyDescent="0.25">
      <c r="A821856" s="242"/>
    </row>
    <row r="821857" spans="1:1" x14ac:dyDescent="0.25">
      <c r="A821857" s="242"/>
    </row>
    <row r="821858" spans="1:1" x14ac:dyDescent="0.25">
      <c r="A821858" s="242"/>
    </row>
    <row r="821859" spans="1:1" x14ac:dyDescent="0.25">
      <c r="A821859" s="242"/>
    </row>
    <row r="821860" spans="1:1" x14ac:dyDescent="0.25">
      <c r="A821860" s="242"/>
    </row>
    <row r="821861" spans="1:1" x14ac:dyDescent="0.25">
      <c r="A821861" s="242"/>
    </row>
    <row r="821862" spans="1:1" x14ac:dyDescent="0.25">
      <c r="A821862" s="242"/>
    </row>
    <row r="821863" spans="1:1" x14ac:dyDescent="0.25">
      <c r="A821863" s="242"/>
    </row>
    <row r="821864" spans="1:1" x14ac:dyDescent="0.25">
      <c r="A821864" s="242"/>
    </row>
    <row r="821865" spans="1:1" x14ac:dyDescent="0.25">
      <c r="A821865" s="242"/>
    </row>
    <row r="821866" spans="1:1" x14ac:dyDescent="0.25">
      <c r="A821866" s="242"/>
    </row>
    <row r="821867" spans="1:1" x14ac:dyDescent="0.25">
      <c r="A821867" s="242"/>
    </row>
    <row r="821868" spans="1:1" x14ac:dyDescent="0.25">
      <c r="A821868" s="242"/>
    </row>
    <row r="821869" spans="1:1" x14ac:dyDescent="0.25">
      <c r="A821869" s="242"/>
    </row>
    <row r="821870" spans="1:1" x14ac:dyDescent="0.25">
      <c r="A821870" s="242"/>
    </row>
    <row r="821871" spans="1:1" x14ac:dyDescent="0.25">
      <c r="A821871" s="242"/>
    </row>
    <row r="821872" spans="1:1" x14ac:dyDescent="0.25">
      <c r="A821872" s="242"/>
    </row>
    <row r="821873" spans="1:1" x14ac:dyDescent="0.25">
      <c r="A821873" s="242"/>
    </row>
    <row r="821874" spans="1:1" x14ac:dyDescent="0.25">
      <c r="A821874" s="242"/>
    </row>
    <row r="821875" spans="1:1" x14ac:dyDescent="0.25">
      <c r="A821875" s="242"/>
    </row>
    <row r="821876" spans="1:1" x14ac:dyDescent="0.25">
      <c r="A821876" s="242"/>
    </row>
    <row r="821877" spans="1:1" x14ac:dyDescent="0.25">
      <c r="A821877" s="242"/>
    </row>
    <row r="821878" spans="1:1" x14ac:dyDescent="0.25">
      <c r="A821878" s="242"/>
    </row>
    <row r="821879" spans="1:1" x14ac:dyDescent="0.25">
      <c r="A821879" s="242"/>
    </row>
    <row r="821880" spans="1:1" x14ac:dyDescent="0.25">
      <c r="A821880" s="242"/>
    </row>
    <row r="821881" spans="1:1" x14ac:dyDescent="0.25">
      <c r="A821881" s="242"/>
    </row>
    <row r="821882" spans="1:1" x14ac:dyDescent="0.25">
      <c r="A821882" s="242"/>
    </row>
    <row r="821883" spans="1:1" x14ac:dyDescent="0.25">
      <c r="A821883" s="242"/>
    </row>
    <row r="821884" spans="1:1" x14ac:dyDescent="0.25">
      <c r="A821884" s="242"/>
    </row>
    <row r="821885" spans="1:1" x14ac:dyDescent="0.25">
      <c r="A821885" s="242"/>
    </row>
    <row r="821886" spans="1:1" x14ac:dyDescent="0.25">
      <c r="A821886" s="242"/>
    </row>
    <row r="821887" spans="1:1" x14ac:dyDescent="0.25">
      <c r="A821887" s="242"/>
    </row>
    <row r="821888" spans="1:1" x14ac:dyDescent="0.25">
      <c r="A821888" s="242"/>
    </row>
    <row r="821889" spans="1:1" x14ac:dyDescent="0.25">
      <c r="A821889" s="242"/>
    </row>
    <row r="821890" spans="1:1" x14ac:dyDescent="0.25">
      <c r="A821890" s="242"/>
    </row>
    <row r="821891" spans="1:1" x14ac:dyDescent="0.25">
      <c r="A821891" s="242"/>
    </row>
    <row r="821892" spans="1:1" x14ac:dyDescent="0.25">
      <c r="A821892" s="242"/>
    </row>
    <row r="821893" spans="1:1" x14ac:dyDescent="0.25">
      <c r="A821893" s="242"/>
    </row>
    <row r="821894" spans="1:1" x14ac:dyDescent="0.25">
      <c r="A821894" s="242"/>
    </row>
    <row r="821895" spans="1:1" x14ac:dyDescent="0.25">
      <c r="A821895" s="242"/>
    </row>
    <row r="821896" spans="1:1" x14ac:dyDescent="0.25">
      <c r="A821896" s="242"/>
    </row>
    <row r="821897" spans="1:1" x14ac:dyDescent="0.25">
      <c r="A821897" s="242"/>
    </row>
    <row r="821898" spans="1:1" x14ac:dyDescent="0.25">
      <c r="A821898" s="242"/>
    </row>
    <row r="821899" spans="1:1" x14ac:dyDescent="0.25">
      <c r="A821899" s="242"/>
    </row>
    <row r="821900" spans="1:1" x14ac:dyDescent="0.25">
      <c r="A821900" s="242"/>
    </row>
    <row r="821901" spans="1:1" x14ac:dyDescent="0.25">
      <c r="A821901" s="242"/>
    </row>
    <row r="821902" spans="1:1" x14ac:dyDescent="0.25">
      <c r="A821902" s="242"/>
    </row>
    <row r="821903" spans="1:1" x14ac:dyDescent="0.25">
      <c r="A821903" s="242"/>
    </row>
    <row r="821904" spans="1:1" x14ac:dyDescent="0.25">
      <c r="A821904" s="242"/>
    </row>
    <row r="821905" spans="1:1" x14ac:dyDescent="0.25">
      <c r="A821905" s="242"/>
    </row>
    <row r="821906" spans="1:1" x14ac:dyDescent="0.25">
      <c r="A821906" s="242"/>
    </row>
    <row r="821907" spans="1:1" x14ac:dyDescent="0.25">
      <c r="A821907" s="242"/>
    </row>
    <row r="821908" spans="1:1" x14ac:dyDescent="0.25">
      <c r="A821908" s="242"/>
    </row>
    <row r="821909" spans="1:1" x14ac:dyDescent="0.25">
      <c r="A821909" s="242"/>
    </row>
    <row r="821910" spans="1:1" x14ac:dyDescent="0.25">
      <c r="A821910" s="242"/>
    </row>
    <row r="821911" spans="1:1" x14ac:dyDescent="0.25">
      <c r="A821911" s="242"/>
    </row>
    <row r="821912" spans="1:1" x14ac:dyDescent="0.25">
      <c r="A821912" s="242"/>
    </row>
    <row r="821913" spans="1:1" x14ac:dyDescent="0.25">
      <c r="A821913" s="242"/>
    </row>
    <row r="821914" spans="1:1" x14ac:dyDescent="0.25">
      <c r="A821914" s="242"/>
    </row>
    <row r="821915" spans="1:1" x14ac:dyDescent="0.25">
      <c r="A821915" s="242"/>
    </row>
    <row r="821916" spans="1:1" x14ac:dyDescent="0.25">
      <c r="A821916" s="242"/>
    </row>
    <row r="821917" spans="1:1" x14ac:dyDescent="0.25">
      <c r="A821917" s="242"/>
    </row>
    <row r="821918" spans="1:1" x14ac:dyDescent="0.25">
      <c r="A821918" s="242"/>
    </row>
    <row r="821919" spans="1:1" x14ac:dyDescent="0.25">
      <c r="A821919" s="242"/>
    </row>
    <row r="821920" spans="1:1" x14ac:dyDescent="0.25">
      <c r="A821920" s="242"/>
    </row>
    <row r="821921" spans="1:1" x14ac:dyDescent="0.25">
      <c r="A821921" s="242"/>
    </row>
    <row r="821922" spans="1:1" x14ac:dyDescent="0.25">
      <c r="A821922" s="242"/>
    </row>
    <row r="821923" spans="1:1" x14ac:dyDescent="0.25">
      <c r="A821923" s="242"/>
    </row>
    <row r="821924" spans="1:1" x14ac:dyDescent="0.25">
      <c r="A821924" s="242"/>
    </row>
    <row r="821925" spans="1:1" x14ac:dyDescent="0.25">
      <c r="A821925" s="242"/>
    </row>
    <row r="821926" spans="1:1" x14ac:dyDescent="0.25">
      <c r="A821926" s="242"/>
    </row>
    <row r="821927" spans="1:1" x14ac:dyDescent="0.25">
      <c r="A821927" s="242"/>
    </row>
    <row r="821928" spans="1:1" x14ac:dyDescent="0.25">
      <c r="A821928" s="242"/>
    </row>
    <row r="821929" spans="1:1" x14ac:dyDescent="0.25">
      <c r="A821929" s="242"/>
    </row>
    <row r="821930" spans="1:1" x14ac:dyDescent="0.25">
      <c r="A821930" s="242"/>
    </row>
    <row r="821931" spans="1:1" x14ac:dyDescent="0.25">
      <c r="A821931" s="242"/>
    </row>
    <row r="821932" spans="1:1" x14ac:dyDescent="0.25">
      <c r="A821932" s="242"/>
    </row>
    <row r="821933" spans="1:1" x14ac:dyDescent="0.25">
      <c r="A821933" s="242"/>
    </row>
    <row r="821934" spans="1:1" x14ac:dyDescent="0.25">
      <c r="A821934" s="242"/>
    </row>
    <row r="821935" spans="1:1" x14ac:dyDescent="0.25">
      <c r="A821935" s="242"/>
    </row>
    <row r="821936" spans="1:1" x14ac:dyDescent="0.25">
      <c r="A821936" s="242"/>
    </row>
    <row r="821937" spans="1:1" x14ac:dyDescent="0.25">
      <c r="A821937" s="242"/>
    </row>
    <row r="821938" spans="1:1" x14ac:dyDescent="0.25">
      <c r="A821938" s="242"/>
    </row>
    <row r="821939" spans="1:1" x14ac:dyDescent="0.25">
      <c r="A821939" s="242"/>
    </row>
    <row r="821940" spans="1:1" x14ac:dyDescent="0.25">
      <c r="A821940" s="242"/>
    </row>
    <row r="821941" spans="1:1" x14ac:dyDescent="0.25">
      <c r="A821941" s="242"/>
    </row>
    <row r="821942" spans="1:1" x14ac:dyDescent="0.25">
      <c r="A821942" s="242"/>
    </row>
    <row r="821943" spans="1:1" x14ac:dyDescent="0.25">
      <c r="A821943" s="242"/>
    </row>
    <row r="821944" spans="1:1" x14ac:dyDescent="0.25">
      <c r="A821944" s="242"/>
    </row>
    <row r="821945" spans="1:1" x14ac:dyDescent="0.25">
      <c r="A821945" s="242"/>
    </row>
    <row r="821946" spans="1:1" x14ac:dyDescent="0.25">
      <c r="A821946" s="242"/>
    </row>
    <row r="821947" spans="1:1" x14ac:dyDescent="0.25">
      <c r="A821947" s="242"/>
    </row>
    <row r="821948" spans="1:1" x14ac:dyDescent="0.25">
      <c r="A821948" s="242"/>
    </row>
    <row r="821949" spans="1:1" x14ac:dyDescent="0.25">
      <c r="A821949" s="242"/>
    </row>
    <row r="821950" spans="1:1" x14ac:dyDescent="0.25">
      <c r="A821950" s="242"/>
    </row>
    <row r="821951" spans="1:1" x14ac:dyDescent="0.25">
      <c r="A821951" s="242"/>
    </row>
    <row r="821952" spans="1:1" x14ac:dyDescent="0.25">
      <c r="A821952" s="242"/>
    </row>
    <row r="821953" spans="1:1" x14ac:dyDescent="0.25">
      <c r="A821953" s="242"/>
    </row>
    <row r="821954" spans="1:1" x14ac:dyDescent="0.25">
      <c r="A821954" s="242"/>
    </row>
    <row r="821955" spans="1:1" x14ac:dyDescent="0.25">
      <c r="A821955" s="242"/>
    </row>
    <row r="821956" spans="1:1" x14ac:dyDescent="0.25">
      <c r="A821956" s="242"/>
    </row>
    <row r="821957" spans="1:1" x14ac:dyDescent="0.25">
      <c r="A821957" s="242"/>
    </row>
    <row r="821958" spans="1:1" x14ac:dyDescent="0.25">
      <c r="A821958" s="242"/>
    </row>
    <row r="821959" spans="1:1" x14ac:dyDescent="0.25">
      <c r="A821959" s="242"/>
    </row>
    <row r="821960" spans="1:1" x14ac:dyDescent="0.25">
      <c r="A821960" s="242"/>
    </row>
    <row r="821961" spans="1:1" x14ac:dyDescent="0.25">
      <c r="A821961" s="242"/>
    </row>
    <row r="821962" spans="1:1" x14ac:dyDescent="0.25">
      <c r="A821962" s="242"/>
    </row>
    <row r="821963" spans="1:1" x14ac:dyDescent="0.25">
      <c r="A821963" s="242"/>
    </row>
    <row r="821964" spans="1:1" x14ac:dyDescent="0.25">
      <c r="A821964" s="242"/>
    </row>
    <row r="821965" spans="1:1" x14ac:dyDescent="0.25">
      <c r="A821965" s="242"/>
    </row>
    <row r="821966" spans="1:1" x14ac:dyDescent="0.25">
      <c r="A821966" s="242"/>
    </row>
    <row r="821967" spans="1:1" x14ac:dyDescent="0.25">
      <c r="A821967" s="242"/>
    </row>
    <row r="821968" spans="1:1" x14ac:dyDescent="0.25">
      <c r="A821968" s="242"/>
    </row>
    <row r="821969" spans="1:1" x14ac:dyDescent="0.25">
      <c r="A821969" s="242"/>
    </row>
    <row r="821970" spans="1:1" x14ac:dyDescent="0.25">
      <c r="A821970" s="242"/>
    </row>
    <row r="821971" spans="1:1" x14ac:dyDescent="0.25">
      <c r="A821971" s="242"/>
    </row>
    <row r="821972" spans="1:1" x14ac:dyDescent="0.25">
      <c r="A821972" s="242"/>
    </row>
    <row r="821973" spans="1:1" x14ac:dyDescent="0.25">
      <c r="A821973" s="242"/>
    </row>
    <row r="821974" spans="1:1" x14ac:dyDescent="0.25">
      <c r="A821974" s="242"/>
    </row>
    <row r="821975" spans="1:1" x14ac:dyDescent="0.25">
      <c r="A821975" s="242"/>
    </row>
    <row r="821976" spans="1:1" x14ac:dyDescent="0.25">
      <c r="A821976" s="242"/>
    </row>
    <row r="821977" spans="1:1" x14ac:dyDescent="0.25">
      <c r="A821977" s="242"/>
    </row>
    <row r="821978" spans="1:1" x14ac:dyDescent="0.25">
      <c r="A821978" s="242"/>
    </row>
    <row r="821979" spans="1:1" x14ac:dyDescent="0.25">
      <c r="A821979" s="242"/>
    </row>
    <row r="821980" spans="1:1" x14ac:dyDescent="0.25">
      <c r="A821980" s="242"/>
    </row>
    <row r="821981" spans="1:1" x14ac:dyDescent="0.25">
      <c r="A821981" s="242"/>
    </row>
    <row r="821982" spans="1:1" x14ac:dyDescent="0.25">
      <c r="A821982" s="242"/>
    </row>
    <row r="821983" spans="1:1" x14ac:dyDescent="0.25">
      <c r="A821983" s="242"/>
    </row>
    <row r="821984" spans="1:1" x14ac:dyDescent="0.25">
      <c r="A821984" s="242"/>
    </row>
    <row r="821985" spans="1:1" x14ac:dyDescent="0.25">
      <c r="A821985" s="242"/>
    </row>
    <row r="821986" spans="1:1" x14ac:dyDescent="0.25">
      <c r="A821986" s="242"/>
    </row>
    <row r="821987" spans="1:1" x14ac:dyDescent="0.25">
      <c r="A821987" s="242"/>
    </row>
    <row r="821988" spans="1:1" x14ac:dyDescent="0.25">
      <c r="A821988" s="242"/>
    </row>
    <row r="821989" spans="1:1" x14ac:dyDescent="0.25">
      <c r="A821989" s="242"/>
    </row>
    <row r="821990" spans="1:1" x14ac:dyDescent="0.25">
      <c r="A821990" s="242"/>
    </row>
    <row r="821991" spans="1:1" x14ac:dyDescent="0.25">
      <c r="A821991" s="242"/>
    </row>
    <row r="821992" spans="1:1" x14ac:dyDescent="0.25">
      <c r="A821992" s="242"/>
    </row>
    <row r="821993" spans="1:1" x14ac:dyDescent="0.25">
      <c r="A821993" s="242"/>
    </row>
    <row r="821994" spans="1:1" x14ac:dyDescent="0.25">
      <c r="A821994" s="242"/>
    </row>
    <row r="821995" spans="1:1" x14ac:dyDescent="0.25">
      <c r="A821995" s="242"/>
    </row>
    <row r="821996" spans="1:1" x14ac:dyDescent="0.25">
      <c r="A821996" s="242"/>
    </row>
    <row r="821997" spans="1:1" x14ac:dyDescent="0.25">
      <c r="A821997" s="242"/>
    </row>
    <row r="821998" spans="1:1" x14ac:dyDescent="0.25">
      <c r="A821998" s="242"/>
    </row>
    <row r="821999" spans="1:1" x14ac:dyDescent="0.25">
      <c r="A821999" s="242"/>
    </row>
    <row r="822000" spans="1:1" x14ac:dyDescent="0.25">
      <c r="A822000" s="242"/>
    </row>
    <row r="822001" spans="1:1" x14ac:dyDescent="0.25">
      <c r="A822001" s="242"/>
    </row>
    <row r="822002" spans="1:1" x14ac:dyDescent="0.25">
      <c r="A822002" s="242"/>
    </row>
    <row r="822003" spans="1:1" x14ac:dyDescent="0.25">
      <c r="A822003" s="242"/>
    </row>
    <row r="822004" spans="1:1" x14ac:dyDescent="0.25">
      <c r="A822004" s="242"/>
    </row>
    <row r="822005" spans="1:1" x14ac:dyDescent="0.25">
      <c r="A822005" s="242"/>
    </row>
    <row r="822006" spans="1:1" x14ac:dyDescent="0.25">
      <c r="A822006" s="242"/>
    </row>
    <row r="822007" spans="1:1" x14ac:dyDescent="0.25">
      <c r="A822007" s="242"/>
    </row>
    <row r="822008" spans="1:1" x14ac:dyDescent="0.25">
      <c r="A822008" s="242"/>
    </row>
    <row r="822009" spans="1:1" x14ac:dyDescent="0.25">
      <c r="A822009" s="242"/>
    </row>
    <row r="822010" spans="1:1" x14ac:dyDescent="0.25">
      <c r="A822010" s="242"/>
    </row>
    <row r="822011" spans="1:1" x14ac:dyDescent="0.25">
      <c r="A822011" s="242"/>
    </row>
    <row r="822012" spans="1:1" x14ac:dyDescent="0.25">
      <c r="A822012" s="242"/>
    </row>
    <row r="822013" spans="1:1" x14ac:dyDescent="0.25">
      <c r="A822013" s="242"/>
    </row>
    <row r="822014" spans="1:1" x14ac:dyDescent="0.25">
      <c r="A822014" s="242"/>
    </row>
    <row r="822015" spans="1:1" x14ac:dyDescent="0.25">
      <c r="A822015" s="242"/>
    </row>
    <row r="822016" spans="1:1" x14ac:dyDescent="0.25">
      <c r="A822016" s="242"/>
    </row>
    <row r="822017" spans="1:1" x14ac:dyDescent="0.25">
      <c r="A822017" s="242"/>
    </row>
    <row r="822018" spans="1:1" x14ac:dyDescent="0.25">
      <c r="A822018" s="242"/>
    </row>
    <row r="822019" spans="1:1" x14ac:dyDescent="0.25">
      <c r="A822019" s="242"/>
    </row>
    <row r="822020" spans="1:1" x14ac:dyDescent="0.25">
      <c r="A822020" s="242"/>
    </row>
    <row r="822021" spans="1:1" x14ac:dyDescent="0.25">
      <c r="A822021" s="242"/>
    </row>
    <row r="822022" spans="1:1" x14ac:dyDescent="0.25">
      <c r="A822022" s="242"/>
    </row>
    <row r="822023" spans="1:1" x14ac:dyDescent="0.25">
      <c r="A822023" s="242"/>
    </row>
    <row r="822024" spans="1:1" x14ac:dyDescent="0.25">
      <c r="A822024" s="242"/>
    </row>
    <row r="822025" spans="1:1" x14ac:dyDescent="0.25">
      <c r="A822025" s="242"/>
    </row>
    <row r="822026" spans="1:1" x14ac:dyDescent="0.25">
      <c r="A822026" s="242"/>
    </row>
    <row r="822027" spans="1:1" x14ac:dyDescent="0.25">
      <c r="A822027" s="242"/>
    </row>
    <row r="822028" spans="1:1" x14ac:dyDescent="0.25">
      <c r="A822028" s="242"/>
    </row>
    <row r="822029" spans="1:1" x14ac:dyDescent="0.25">
      <c r="A822029" s="242"/>
    </row>
    <row r="822030" spans="1:1" x14ac:dyDescent="0.25">
      <c r="A822030" s="242"/>
    </row>
    <row r="822031" spans="1:1" x14ac:dyDescent="0.25">
      <c r="A822031" s="242"/>
    </row>
    <row r="822032" spans="1:1" x14ac:dyDescent="0.25">
      <c r="A822032" s="242"/>
    </row>
    <row r="822033" spans="1:1" x14ac:dyDescent="0.25">
      <c r="A822033" s="242"/>
    </row>
    <row r="822034" spans="1:1" x14ac:dyDescent="0.25">
      <c r="A822034" s="242"/>
    </row>
    <row r="822035" spans="1:1" x14ac:dyDescent="0.25">
      <c r="A822035" s="242"/>
    </row>
    <row r="822036" spans="1:1" x14ac:dyDescent="0.25">
      <c r="A822036" s="242"/>
    </row>
    <row r="822037" spans="1:1" x14ac:dyDescent="0.25">
      <c r="A822037" s="242"/>
    </row>
    <row r="822038" spans="1:1" x14ac:dyDescent="0.25">
      <c r="A822038" s="242"/>
    </row>
    <row r="822039" spans="1:1" x14ac:dyDescent="0.25">
      <c r="A822039" s="242"/>
    </row>
    <row r="822040" spans="1:1" x14ac:dyDescent="0.25">
      <c r="A822040" s="242"/>
    </row>
    <row r="822041" spans="1:1" x14ac:dyDescent="0.25">
      <c r="A822041" s="242"/>
    </row>
    <row r="822042" spans="1:1" x14ac:dyDescent="0.25">
      <c r="A822042" s="242"/>
    </row>
    <row r="822043" spans="1:1" x14ac:dyDescent="0.25">
      <c r="A822043" s="242"/>
    </row>
    <row r="822044" spans="1:1" x14ac:dyDescent="0.25">
      <c r="A822044" s="242"/>
    </row>
    <row r="822045" spans="1:1" x14ac:dyDescent="0.25">
      <c r="A822045" s="242"/>
    </row>
    <row r="822046" spans="1:1" x14ac:dyDescent="0.25">
      <c r="A822046" s="242"/>
    </row>
    <row r="822047" spans="1:1" x14ac:dyDescent="0.25">
      <c r="A822047" s="242"/>
    </row>
    <row r="822048" spans="1:1" x14ac:dyDescent="0.25">
      <c r="A822048" s="242"/>
    </row>
    <row r="822049" spans="1:1" x14ac:dyDescent="0.25">
      <c r="A822049" s="242"/>
    </row>
    <row r="822050" spans="1:1" x14ac:dyDescent="0.25">
      <c r="A822050" s="242"/>
    </row>
    <row r="822051" spans="1:1" x14ac:dyDescent="0.25">
      <c r="A822051" s="242"/>
    </row>
    <row r="822052" spans="1:1" x14ac:dyDescent="0.25">
      <c r="A822052" s="242"/>
    </row>
    <row r="822053" spans="1:1" x14ac:dyDescent="0.25">
      <c r="A822053" s="242"/>
    </row>
    <row r="822054" spans="1:1" x14ac:dyDescent="0.25">
      <c r="A822054" s="242"/>
    </row>
    <row r="822055" spans="1:1" x14ac:dyDescent="0.25">
      <c r="A822055" s="242"/>
    </row>
    <row r="822056" spans="1:1" x14ac:dyDescent="0.25">
      <c r="A822056" s="242"/>
    </row>
    <row r="822057" spans="1:1" x14ac:dyDescent="0.25">
      <c r="A822057" s="242"/>
    </row>
    <row r="822058" spans="1:1" x14ac:dyDescent="0.25">
      <c r="A822058" s="242"/>
    </row>
    <row r="822059" spans="1:1" x14ac:dyDescent="0.25">
      <c r="A822059" s="242"/>
    </row>
    <row r="822060" spans="1:1" x14ac:dyDescent="0.25">
      <c r="A822060" s="242"/>
    </row>
    <row r="822061" spans="1:1" x14ac:dyDescent="0.25">
      <c r="A822061" s="242"/>
    </row>
    <row r="822062" spans="1:1" x14ac:dyDescent="0.25">
      <c r="A822062" s="242"/>
    </row>
    <row r="822063" spans="1:1" x14ac:dyDescent="0.25">
      <c r="A822063" s="242"/>
    </row>
    <row r="822064" spans="1:1" x14ac:dyDescent="0.25">
      <c r="A822064" s="242"/>
    </row>
    <row r="822065" spans="1:1" x14ac:dyDescent="0.25">
      <c r="A822065" s="242"/>
    </row>
    <row r="822066" spans="1:1" x14ac:dyDescent="0.25">
      <c r="A822066" s="242"/>
    </row>
    <row r="822067" spans="1:1" x14ac:dyDescent="0.25">
      <c r="A822067" s="242"/>
    </row>
    <row r="822068" spans="1:1" x14ac:dyDescent="0.25">
      <c r="A822068" s="242"/>
    </row>
    <row r="822069" spans="1:1" x14ac:dyDescent="0.25">
      <c r="A822069" s="242"/>
    </row>
    <row r="822070" spans="1:1" x14ac:dyDescent="0.25">
      <c r="A822070" s="242"/>
    </row>
    <row r="822071" spans="1:1" x14ac:dyDescent="0.25">
      <c r="A822071" s="242"/>
    </row>
    <row r="822072" spans="1:1" x14ac:dyDescent="0.25">
      <c r="A822072" s="242"/>
    </row>
    <row r="822073" spans="1:1" x14ac:dyDescent="0.25">
      <c r="A822073" s="242"/>
    </row>
    <row r="822074" spans="1:1" x14ac:dyDescent="0.25">
      <c r="A822074" s="242"/>
    </row>
    <row r="822075" spans="1:1" x14ac:dyDescent="0.25">
      <c r="A822075" s="242"/>
    </row>
    <row r="822076" spans="1:1" x14ac:dyDescent="0.25">
      <c r="A822076" s="242"/>
    </row>
    <row r="822077" spans="1:1" x14ac:dyDescent="0.25">
      <c r="A822077" s="242"/>
    </row>
    <row r="822078" spans="1:1" x14ac:dyDescent="0.25">
      <c r="A822078" s="242"/>
    </row>
    <row r="822079" spans="1:1" x14ac:dyDescent="0.25">
      <c r="A822079" s="242"/>
    </row>
    <row r="822080" spans="1:1" x14ac:dyDescent="0.25">
      <c r="A822080" s="242"/>
    </row>
    <row r="822081" spans="1:1" x14ac:dyDescent="0.25">
      <c r="A822081" s="242"/>
    </row>
    <row r="822082" spans="1:1" x14ac:dyDescent="0.25">
      <c r="A822082" s="242"/>
    </row>
    <row r="822083" spans="1:1" x14ac:dyDescent="0.25">
      <c r="A822083" s="242"/>
    </row>
    <row r="822084" spans="1:1" x14ac:dyDescent="0.25">
      <c r="A822084" s="242"/>
    </row>
    <row r="822085" spans="1:1" x14ac:dyDescent="0.25">
      <c r="A822085" s="242"/>
    </row>
    <row r="822086" spans="1:1" x14ac:dyDescent="0.25">
      <c r="A822086" s="242"/>
    </row>
    <row r="822087" spans="1:1" x14ac:dyDescent="0.25">
      <c r="A822087" s="242"/>
    </row>
    <row r="822088" spans="1:1" x14ac:dyDescent="0.25">
      <c r="A822088" s="242"/>
    </row>
    <row r="822089" spans="1:1" x14ac:dyDescent="0.25">
      <c r="A822089" s="242"/>
    </row>
    <row r="822090" spans="1:1" x14ac:dyDescent="0.25">
      <c r="A822090" s="242"/>
    </row>
    <row r="822091" spans="1:1" x14ac:dyDescent="0.25">
      <c r="A822091" s="242"/>
    </row>
    <row r="822092" spans="1:1" x14ac:dyDescent="0.25">
      <c r="A822092" s="242"/>
    </row>
    <row r="822093" spans="1:1" x14ac:dyDescent="0.25">
      <c r="A822093" s="242"/>
    </row>
    <row r="822094" spans="1:1" x14ac:dyDescent="0.25">
      <c r="A822094" s="242"/>
    </row>
    <row r="822095" spans="1:1" x14ac:dyDescent="0.25">
      <c r="A822095" s="242"/>
    </row>
    <row r="822096" spans="1:1" x14ac:dyDescent="0.25">
      <c r="A822096" s="242"/>
    </row>
    <row r="822097" spans="1:1" x14ac:dyDescent="0.25">
      <c r="A822097" s="242"/>
    </row>
    <row r="822098" spans="1:1" x14ac:dyDescent="0.25">
      <c r="A822098" s="242"/>
    </row>
    <row r="822099" spans="1:1" x14ac:dyDescent="0.25">
      <c r="A822099" s="242"/>
    </row>
    <row r="822100" spans="1:1" x14ac:dyDescent="0.25">
      <c r="A822100" s="242"/>
    </row>
    <row r="822101" spans="1:1" x14ac:dyDescent="0.25">
      <c r="A822101" s="242"/>
    </row>
    <row r="822102" spans="1:1" x14ac:dyDescent="0.25">
      <c r="A822102" s="242"/>
    </row>
    <row r="822103" spans="1:1" x14ac:dyDescent="0.25">
      <c r="A822103" s="242"/>
    </row>
    <row r="822104" spans="1:1" x14ac:dyDescent="0.25">
      <c r="A822104" s="242"/>
    </row>
    <row r="822105" spans="1:1" x14ac:dyDescent="0.25">
      <c r="A822105" s="242"/>
    </row>
    <row r="822106" spans="1:1" x14ac:dyDescent="0.25">
      <c r="A822106" s="242"/>
    </row>
    <row r="822107" spans="1:1" x14ac:dyDescent="0.25">
      <c r="A822107" s="242"/>
    </row>
    <row r="822108" spans="1:1" x14ac:dyDescent="0.25">
      <c r="A822108" s="242"/>
    </row>
    <row r="822109" spans="1:1" x14ac:dyDescent="0.25">
      <c r="A822109" s="242"/>
    </row>
    <row r="822110" spans="1:1" x14ac:dyDescent="0.25">
      <c r="A822110" s="242"/>
    </row>
    <row r="822111" spans="1:1" x14ac:dyDescent="0.25">
      <c r="A822111" s="242"/>
    </row>
    <row r="822112" spans="1:1" x14ac:dyDescent="0.25">
      <c r="A822112" s="242"/>
    </row>
    <row r="822113" spans="1:1" x14ac:dyDescent="0.25">
      <c r="A822113" s="242"/>
    </row>
    <row r="822114" spans="1:1" x14ac:dyDescent="0.25">
      <c r="A822114" s="242"/>
    </row>
    <row r="822115" spans="1:1" x14ac:dyDescent="0.25">
      <c r="A822115" s="242"/>
    </row>
    <row r="822116" spans="1:1" x14ac:dyDescent="0.25">
      <c r="A822116" s="242"/>
    </row>
    <row r="822117" spans="1:1" x14ac:dyDescent="0.25">
      <c r="A822117" s="242"/>
    </row>
    <row r="822118" spans="1:1" x14ac:dyDescent="0.25">
      <c r="A822118" s="242"/>
    </row>
    <row r="822119" spans="1:1" x14ac:dyDescent="0.25">
      <c r="A822119" s="242"/>
    </row>
    <row r="822120" spans="1:1" x14ac:dyDescent="0.25">
      <c r="A822120" s="242"/>
    </row>
    <row r="822121" spans="1:1" x14ac:dyDescent="0.25">
      <c r="A822121" s="242"/>
    </row>
    <row r="822122" spans="1:1" x14ac:dyDescent="0.25">
      <c r="A822122" s="242"/>
    </row>
    <row r="822123" spans="1:1" x14ac:dyDescent="0.25">
      <c r="A822123" s="242"/>
    </row>
    <row r="822124" spans="1:1" x14ac:dyDescent="0.25">
      <c r="A822124" s="242"/>
    </row>
    <row r="822125" spans="1:1" x14ac:dyDescent="0.25">
      <c r="A822125" s="242"/>
    </row>
    <row r="822126" spans="1:1" x14ac:dyDescent="0.25">
      <c r="A822126" s="242"/>
    </row>
    <row r="822127" spans="1:1" x14ac:dyDescent="0.25">
      <c r="A822127" s="242"/>
    </row>
    <row r="822128" spans="1:1" x14ac:dyDescent="0.25">
      <c r="A822128" s="242"/>
    </row>
    <row r="822129" spans="1:1" x14ac:dyDescent="0.25">
      <c r="A822129" s="242"/>
    </row>
    <row r="822130" spans="1:1" x14ac:dyDescent="0.25">
      <c r="A822130" s="242"/>
    </row>
    <row r="822131" spans="1:1" x14ac:dyDescent="0.25">
      <c r="A822131" s="242"/>
    </row>
    <row r="822132" spans="1:1" x14ac:dyDescent="0.25">
      <c r="A822132" s="242"/>
    </row>
    <row r="822133" spans="1:1" x14ac:dyDescent="0.25">
      <c r="A822133" s="242"/>
    </row>
    <row r="822134" spans="1:1" x14ac:dyDescent="0.25">
      <c r="A822134" s="242"/>
    </row>
    <row r="822135" spans="1:1" x14ac:dyDescent="0.25">
      <c r="A822135" s="242"/>
    </row>
    <row r="822136" spans="1:1" x14ac:dyDescent="0.25">
      <c r="A822136" s="242"/>
    </row>
    <row r="822137" spans="1:1" x14ac:dyDescent="0.25">
      <c r="A822137" s="242"/>
    </row>
    <row r="822138" spans="1:1" x14ac:dyDescent="0.25">
      <c r="A822138" s="242"/>
    </row>
    <row r="822139" spans="1:1" x14ac:dyDescent="0.25">
      <c r="A822139" s="242"/>
    </row>
    <row r="822140" spans="1:1" x14ac:dyDescent="0.25">
      <c r="A822140" s="242"/>
    </row>
    <row r="822141" spans="1:1" x14ac:dyDescent="0.25">
      <c r="A822141" s="242"/>
    </row>
    <row r="822142" spans="1:1" x14ac:dyDescent="0.25">
      <c r="A822142" s="242"/>
    </row>
    <row r="822143" spans="1:1" x14ac:dyDescent="0.25">
      <c r="A822143" s="242"/>
    </row>
    <row r="822144" spans="1:1" x14ac:dyDescent="0.25">
      <c r="A822144" s="242"/>
    </row>
    <row r="822145" spans="1:1" x14ac:dyDescent="0.25">
      <c r="A822145" s="242"/>
    </row>
    <row r="822146" spans="1:1" x14ac:dyDescent="0.25">
      <c r="A822146" s="242"/>
    </row>
    <row r="822147" spans="1:1" x14ac:dyDescent="0.25">
      <c r="A822147" s="242"/>
    </row>
    <row r="822148" spans="1:1" x14ac:dyDescent="0.25">
      <c r="A822148" s="242"/>
    </row>
    <row r="822149" spans="1:1" x14ac:dyDescent="0.25">
      <c r="A822149" s="242"/>
    </row>
    <row r="822150" spans="1:1" x14ac:dyDescent="0.25">
      <c r="A822150" s="242"/>
    </row>
    <row r="822151" spans="1:1" x14ac:dyDescent="0.25">
      <c r="A822151" s="242"/>
    </row>
    <row r="822152" spans="1:1" x14ac:dyDescent="0.25">
      <c r="A822152" s="242"/>
    </row>
    <row r="822153" spans="1:1" x14ac:dyDescent="0.25">
      <c r="A822153" s="242"/>
    </row>
    <row r="822154" spans="1:1" x14ac:dyDescent="0.25">
      <c r="A822154" s="242"/>
    </row>
    <row r="822155" spans="1:1" x14ac:dyDescent="0.25">
      <c r="A822155" s="242"/>
    </row>
    <row r="822156" spans="1:1" x14ac:dyDescent="0.25">
      <c r="A822156" s="242"/>
    </row>
    <row r="822157" spans="1:1" x14ac:dyDescent="0.25">
      <c r="A822157" s="242"/>
    </row>
    <row r="822158" spans="1:1" x14ac:dyDescent="0.25">
      <c r="A822158" s="242"/>
    </row>
    <row r="822159" spans="1:1" x14ac:dyDescent="0.25">
      <c r="A822159" s="242"/>
    </row>
    <row r="822160" spans="1:1" x14ac:dyDescent="0.25">
      <c r="A822160" s="242"/>
    </row>
    <row r="822161" spans="1:1" x14ac:dyDescent="0.25">
      <c r="A822161" s="242"/>
    </row>
    <row r="822162" spans="1:1" x14ac:dyDescent="0.25">
      <c r="A822162" s="242"/>
    </row>
    <row r="822163" spans="1:1" x14ac:dyDescent="0.25">
      <c r="A822163" s="242"/>
    </row>
    <row r="822164" spans="1:1" x14ac:dyDescent="0.25">
      <c r="A822164" s="242"/>
    </row>
    <row r="822165" spans="1:1" x14ac:dyDescent="0.25">
      <c r="A822165" s="242"/>
    </row>
    <row r="822166" spans="1:1" x14ac:dyDescent="0.25">
      <c r="A822166" s="242"/>
    </row>
    <row r="822167" spans="1:1" x14ac:dyDescent="0.25">
      <c r="A822167" s="242"/>
    </row>
    <row r="822168" spans="1:1" x14ac:dyDescent="0.25">
      <c r="A822168" s="242"/>
    </row>
    <row r="822169" spans="1:1" x14ac:dyDescent="0.25">
      <c r="A822169" s="242"/>
    </row>
    <row r="822170" spans="1:1" x14ac:dyDescent="0.25">
      <c r="A822170" s="242"/>
    </row>
    <row r="822171" spans="1:1" x14ac:dyDescent="0.25">
      <c r="A822171" s="242"/>
    </row>
    <row r="822172" spans="1:1" x14ac:dyDescent="0.25">
      <c r="A822172" s="242"/>
    </row>
    <row r="822173" spans="1:1" x14ac:dyDescent="0.25">
      <c r="A822173" s="242"/>
    </row>
    <row r="822174" spans="1:1" x14ac:dyDescent="0.25">
      <c r="A822174" s="242"/>
    </row>
    <row r="822175" spans="1:1" x14ac:dyDescent="0.25">
      <c r="A822175" s="242"/>
    </row>
    <row r="822176" spans="1:1" x14ac:dyDescent="0.25">
      <c r="A822176" s="242"/>
    </row>
    <row r="822177" spans="1:1" x14ac:dyDescent="0.25">
      <c r="A822177" s="242"/>
    </row>
    <row r="822178" spans="1:1" x14ac:dyDescent="0.25">
      <c r="A822178" s="242"/>
    </row>
    <row r="822179" spans="1:1" x14ac:dyDescent="0.25">
      <c r="A822179" s="242"/>
    </row>
    <row r="822180" spans="1:1" x14ac:dyDescent="0.25">
      <c r="A822180" s="242"/>
    </row>
    <row r="822181" spans="1:1" x14ac:dyDescent="0.25">
      <c r="A822181" s="242"/>
    </row>
    <row r="822182" spans="1:1" x14ac:dyDescent="0.25">
      <c r="A822182" s="242"/>
    </row>
    <row r="822183" spans="1:1" x14ac:dyDescent="0.25">
      <c r="A822183" s="242"/>
    </row>
    <row r="822184" spans="1:1" x14ac:dyDescent="0.25">
      <c r="A822184" s="242"/>
    </row>
    <row r="822185" spans="1:1" x14ac:dyDescent="0.25">
      <c r="A822185" s="242"/>
    </row>
    <row r="822186" spans="1:1" x14ac:dyDescent="0.25">
      <c r="A822186" s="242"/>
    </row>
    <row r="822187" spans="1:1" x14ac:dyDescent="0.25">
      <c r="A822187" s="242"/>
    </row>
    <row r="822188" spans="1:1" x14ac:dyDescent="0.25">
      <c r="A822188" s="242"/>
    </row>
    <row r="822189" spans="1:1" x14ac:dyDescent="0.25">
      <c r="A822189" s="242"/>
    </row>
    <row r="822190" spans="1:1" x14ac:dyDescent="0.25">
      <c r="A822190" s="242"/>
    </row>
    <row r="822191" spans="1:1" x14ac:dyDescent="0.25">
      <c r="A822191" s="242"/>
    </row>
    <row r="822192" spans="1:1" x14ac:dyDescent="0.25">
      <c r="A822192" s="242"/>
    </row>
    <row r="822193" spans="1:1" x14ac:dyDescent="0.25">
      <c r="A822193" s="242"/>
    </row>
    <row r="822194" spans="1:1" x14ac:dyDescent="0.25">
      <c r="A822194" s="242"/>
    </row>
    <row r="822195" spans="1:1" x14ac:dyDescent="0.25">
      <c r="A822195" s="242"/>
    </row>
    <row r="822196" spans="1:1" x14ac:dyDescent="0.25">
      <c r="A822196" s="242"/>
    </row>
    <row r="822197" spans="1:1" x14ac:dyDescent="0.25">
      <c r="A822197" s="242"/>
    </row>
    <row r="822198" spans="1:1" x14ac:dyDescent="0.25">
      <c r="A822198" s="242"/>
    </row>
    <row r="822199" spans="1:1" x14ac:dyDescent="0.25">
      <c r="A822199" s="242"/>
    </row>
    <row r="822200" spans="1:1" x14ac:dyDescent="0.25">
      <c r="A822200" s="242"/>
    </row>
    <row r="822201" spans="1:1" x14ac:dyDescent="0.25">
      <c r="A822201" s="242"/>
    </row>
    <row r="822202" spans="1:1" x14ac:dyDescent="0.25">
      <c r="A822202" s="242"/>
    </row>
    <row r="822203" spans="1:1" x14ac:dyDescent="0.25">
      <c r="A822203" s="242"/>
    </row>
    <row r="822204" spans="1:1" x14ac:dyDescent="0.25">
      <c r="A822204" s="242"/>
    </row>
    <row r="822205" spans="1:1" x14ac:dyDescent="0.25">
      <c r="A822205" s="242"/>
    </row>
    <row r="822206" spans="1:1" x14ac:dyDescent="0.25">
      <c r="A822206" s="242"/>
    </row>
    <row r="822207" spans="1:1" x14ac:dyDescent="0.25">
      <c r="A822207" s="242"/>
    </row>
    <row r="822208" spans="1:1" x14ac:dyDescent="0.25">
      <c r="A822208" s="242"/>
    </row>
    <row r="822209" spans="1:1" x14ac:dyDescent="0.25">
      <c r="A822209" s="242"/>
    </row>
    <row r="822210" spans="1:1" x14ac:dyDescent="0.25">
      <c r="A822210" s="242"/>
    </row>
    <row r="822211" spans="1:1" x14ac:dyDescent="0.25">
      <c r="A822211" s="242"/>
    </row>
    <row r="822212" spans="1:1" x14ac:dyDescent="0.25">
      <c r="A822212" s="242"/>
    </row>
    <row r="822213" spans="1:1" x14ac:dyDescent="0.25">
      <c r="A822213" s="242"/>
    </row>
    <row r="822214" spans="1:1" x14ac:dyDescent="0.25">
      <c r="A822214" s="242"/>
    </row>
    <row r="822215" spans="1:1" x14ac:dyDescent="0.25">
      <c r="A822215" s="242"/>
    </row>
    <row r="822216" spans="1:1" x14ac:dyDescent="0.25">
      <c r="A822216" s="242"/>
    </row>
    <row r="822217" spans="1:1" x14ac:dyDescent="0.25">
      <c r="A822217" s="242"/>
    </row>
    <row r="822218" spans="1:1" x14ac:dyDescent="0.25">
      <c r="A822218" s="242"/>
    </row>
    <row r="822219" spans="1:1" x14ac:dyDescent="0.25">
      <c r="A822219" s="242"/>
    </row>
    <row r="822220" spans="1:1" x14ac:dyDescent="0.25">
      <c r="A822220" s="242"/>
    </row>
    <row r="822221" spans="1:1" x14ac:dyDescent="0.25">
      <c r="A822221" s="242"/>
    </row>
    <row r="822222" spans="1:1" x14ac:dyDescent="0.25">
      <c r="A822222" s="242"/>
    </row>
    <row r="822223" spans="1:1" x14ac:dyDescent="0.25">
      <c r="A822223" s="242"/>
    </row>
    <row r="822224" spans="1:1" x14ac:dyDescent="0.25">
      <c r="A822224" s="242"/>
    </row>
    <row r="822225" spans="1:1" x14ac:dyDescent="0.25">
      <c r="A822225" s="242"/>
    </row>
    <row r="822226" spans="1:1" x14ac:dyDescent="0.25">
      <c r="A822226" s="242"/>
    </row>
    <row r="822227" spans="1:1" x14ac:dyDescent="0.25">
      <c r="A822227" s="242"/>
    </row>
    <row r="822228" spans="1:1" x14ac:dyDescent="0.25">
      <c r="A822228" s="242"/>
    </row>
    <row r="822229" spans="1:1" x14ac:dyDescent="0.25">
      <c r="A822229" s="242"/>
    </row>
    <row r="822230" spans="1:1" x14ac:dyDescent="0.25">
      <c r="A822230" s="242"/>
    </row>
    <row r="822231" spans="1:1" x14ac:dyDescent="0.25">
      <c r="A822231" s="242"/>
    </row>
    <row r="822232" spans="1:1" x14ac:dyDescent="0.25">
      <c r="A822232" s="242"/>
    </row>
    <row r="822233" spans="1:1" x14ac:dyDescent="0.25">
      <c r="A822233" s="242"/>
    </row>
    <row r="822234" spans="1:1" x14ac:dyDescent="0.25">
      <c r="A822234" s="242"/>
    </row>
    <row r="822235" spans="1:1" x14ac:dyDescent="0.25">
      <c r="A822235" s="242"/>
    </row>
    <row r="822236" spans="1:1" x14ac:dyDescent="0.25">
      <c r="A822236" s="242"/>
    </row>
    <row r="822237" spans="1:1" x14ac:dyDescent="0.25">
      <c r="A822237" s="242"/>
    </row>
    <row r="822238" spans="1:1" x14ac:dyDescent="0.25">
      <c r="A822238" s="242"/>
    </row>
    <row r="822239" spans="1:1" x14ac:dyDescent="0.25">
      <c r="A822239" s="242"/>
    </row>
    <row r="822240" spans="1:1" x14ac:dyDescent="0.25">
      <c r="A822240" s="242"/>
    </row>
    <row r="822241" spans="1:1" x14ac:dyDescent="0.25">
      <c r="A822241" s="242"/>
    </row>
    <row r="822242" spans="1:1" x14ac:dyDescent="0.25">
      <c r="A822242" s="242"/>
    </row>
    <row r="822243" spans="1:1" x14ac:dyDescent="0.25">
      <c r="A822243" s="242"/>
    </row>
    <row r="822244" spans="1:1" x14ac:dyDescent="0.25">
      <c r="A822244" s="242"/>
    </row>
    <row r="822245" spans="1:1" x14ac:dyDescent="0.25">
      <c r="A822245" s="242"/>
    </row>
    <row r="822246" spans="1:1" x14ac:dyDescent="0.25">
      <c r="A822246" s="242"/>
    </row>
    <row r="822247" spans="1:1" x14ac:dyDescent="0.25">
      <c r="A822247" s="242"/>
    </row>
    <row r="822248" spans="1:1" x14ac:dyDescent="0.25">
      <c r="A822248" s="242"/>
    </row>
    <row r="822249" spans="1:1" x14ac:dyDescent="0.25">
      <c r="A822249" s="242"/>
    </row>
    <row r="822250" spans="1:1" x14ac:dyDescent="0.25">
      <c r="A822250" s="242"/>
    </row>
    <row r="822251" spans="1:1" x14ac:dyDescent="0.25">
      <c r="A822251" s="242"/>
    </row>
    <row r="822252" spans="1:1" x14ac:dyDescent="0.25">
      <c r="A822252" s="242"/>
    </row>
    <row r="822253" spans="1:1" x14ac:dyDescent="0.25">
      <c r="A822253" s="242"/>
    </row>
    <row r="822254" spans="1:1" x14ac:dyDescent="0.25">
      <c r="A822254" s="242"/>
    </row>
    <row r="822255" spans="1:1" x14ac:dyDescent="0.25">
      <c r="A822255" s="242"/>
    </row>
    <row r="822256" spans="1:1" x14ac:dyDescent="0.25">
      <c r="A822256" s="242"/>
    </row>
    <row r="822257" spans="1:1" x14ac:dyDescent="0.25">
      <c r="A822257" s="242"/>
    </row>
    <row r="822258" spans="1:1" x14ac:dyDescent="0.25">
      <c r="A822258" s="242"/>
    </row>
    <row r="822259" spans="1:1" x14ac:dyDescent="0.25">
      <c r="A822259" s="242"/>
    </row>
    <row r="822260" spans="1:1" x14ac:dyDescent="0.25">
      <c r="A822260" s="242"/>
    </row>
    <row r="822261" spans="1:1" x14ac:dyDescent="0.25">
      <c r="A822261" s="242"/>
    </row>
    <row r="822262" spans="1:1" x14ac:dyDescent="0.25">
      <c r="A822262" s="242"/>
    </row>
    <row r="822263" spans="1:1" x14ac:dyDescent="0.25">
      <c r="A822263" s="242"/>
    </row>
    <row r="822264" spans="1:1" x14ac:dyDescent="0.25">
      <c r="A822264" s="242"/>
    </row>
    <row r="822265" spans="1:1" x14ac:dyDescent="0.25">
      <c r="A822265" s="242"/>
    </row>
    <row r="822266" spans="1:1" x14ac:dyDescent="0.25">
      <c r="A822266" s="242"/>
    </row>
    <row r="822267" spans="1:1" x14ac:dyDescent="0.25">
      <c r="A822267" s="242"/>
    </row>
    <row r="822268" spans="1:1" x14ac:dyDescent="0.25">
      <c r="A822268" s="242"/>
    </row>
    <row r="822269" spans="1:1" x14ac:dyDescent="0.25">
      <c r="A822269" s="242"/>
    </row>
    <row r="822270" spans="1:1" x14ac:dyDescent="0.25">
      <c r="A822270" s="242"/>
    </row>
    <row r="822271" spans="1:1" x14ac:dyDescent="0.25">
      <c r="A822271" s="242"/>
    </row>
    <row r="822272" spans="1:1" x14ac:dyDescent="0.25">
      <c r="A822272" s="242"/>
    </row>
    <row r="822273" spans="1:1" x14ac:dyDescent="0.25">
      <c r="A822273" s="242"/>
    </row>
    <row r="822274" spans="1:1" x14ac:dyDescent="0.25">
      <c r="A822274" s="242"/>
    </row>
    <row r="822275" spans="1:1" x14ac:dyDescent="0.25">
      <c r="A822275" s="242"/>
    </row>
    <row r="822276" spans="1:1" x14ac:dyDescent="0.25">
      <c r="A822276" s="242"/>
    </row>
    <row r="822277" spans="1:1" x14ac:dyDescent="0.25">
      <c r="A822277" s="242"/>
    </row>
    <row r="822278" spans="1:1" x14ac:dyDescent="0.25">
      <c r="A822278" s="242"/>
    </row>
    <row r="822279" spans="1:1" x14ac:dyDescent="0.25">
      <c r="A822279" s="242"/>
    </row>
    <row r="822280" spans="1:1" x14ac:dyDescent="0.25">
      <c r="A822280" s="242"/>
    </row>
    <row r="822281" spans="1:1" x14ac:dyDescent="0.25">
      <c r="A822281" s="242"/>
    </row>
    <row r="822282" spans="1:1" x14ac:dyDescent="0.25">
      <c r="A822282" s="242"/>
    </row>
    <row r="822283" spans="1:1" x14ac:dyDescent="0.25">
      <c r="A822283" s="242"/>
    </row>
    <row r="822284" spans="1:1" x14ac:dyDescent="0.25">
      <c r="A822284" s="242"/>
    </row>
    <row r="822285" spans="1:1" x14ac:dyDescent="0.25">
      <c r="A822285" s="242"/>
    </row>
    <row r="822286" spans="1:1" x14ac:dyDescent="0.25">
      <c r="A822286" s="242"/>
    </row>
    <row r="822287" spans="1:1" x14ac:dyDescent="0.25">
      <c r="A822287" s="242"/>
    </row>
    <row r="822288" spans="1:1" x14ac:dyDescent="0.25">
      <c r="A822288" s="242"/>
    </row>
    <row r="822289" spans="1:1" x14ac:dyDescent="0.25">
      <c r="A822289" s="242"/>
    </row>
    <row r="822290" spans="1:1" x14ac:dyDescent="0.25">
      <c r="A822290" s="242"/>
    </row>
    <row r="822291" spans="1:1" x14ac:dyDescent="0.25">
      <c r="A822291" s="242"/>
    </row>
    <row r="822292" spans="1:1" x14ac:dyDescent="0.25">
      <c r="A822292" s="242"/>
    </row>
    <row r="822293" spans="1:1" x14ac:dyDescent="0.25">
      <c r="A822293" s="242"/>
    </row>
    <row r="822294" spans="1:1" x14ac:dyDescent="0.25">
      <c r="A822294" s="242"/>
    </row>
    <row r="822295" spans="1:1" x14ac:dyDescent="0.25">
      <c r="A822295" s="242"/>
    </row>
    <row r="822296" spans="1:1" x14ac:dyDescent="0.25">
      <c r="A822296" s="242"/>
    </row>
    <row r="822297" spans="1:1" x14ac:dyDescent="0.25">
      <c r="A822297" s="242"/>
    </row>
    <row r="822298" spans="1:1" x14ac:dyDescent="0.25">
      <c r="A822298" s="242"/>
    </row>
    <row r="822299" spans="1:1" x14ac:dyDescent="0.25">
      <c r="A822299" s="242"/>
    </row>
    <row r="822300" spans="1:1" x14ac:dyDescent="0.25">
      <c r="A822300" s="242"/>
    </row>
    <row r="822301" spans="1:1" x14ac:dyDescent="0.25">
      <c r="A822301" s="242"/>
    </row>
    <row r="822302" spans="1:1" x14ac:dyDescent="0.25">
      <c r="A822302" s="242"/>
    </row>
    <row r="822303" spans="1:1" x14ac:dyDescent="0.25">
      <c r="A822303" s="242"/>
    </row>
    <row r="822304" spans="1:1" x14ac:dyDescent="0.25">
      <c r="A822304" s="242"/>
    </row>
    <row r="822305" spans="1:1" x14ac:dyDescent="0.25">
      <c r="A822305" s="242"/>
    </row>
    <row r="822306" spans="1:1" x14ac:dyDescent="0.25">
      <c r="A822306" s="242"/>
    </row>
    <row r="822307" spans="1:1" x14ac:dyDescent="0.25">
      <c r="A822307" s="242"/>
    </row>
    <row r="822308" spans="1:1" x14ac:dyDescent="0.25">
      <c r="A822308" s="242"/>
    </row>
    <row r="822309" spans="1:1" x14ac:dyDescent="0.25">
      <c r="A822309" s="242"/>
    </row>
    <row r="822310" spans="1:1" x14ac:dyDescent="0.25">
      <c r="A822310" s="242"/>
    </row>
    <row r="822311" spans="1:1" x14ac:dyDescent="0.25">
      <c r="A822311" s="242"/>
    </row>
    <row r="822312" spans="1:1" x14ac:dyDescent="0.25">
      <c r="A822312" s="242"/>
    </row>
    <row r="822313" spans="1:1" x14ac:dyDescent="0.25">
      <c r="A822313" s="242"/>
    </row>
    <row r="822314" spans="1:1" x14ac:dyDescent="0.25">
      <c r="A822314" s="242"/>
    </row>
    <row r="822315" spans="1:1" x14ac:dyDescent="0.25">
      <c r="A822315" s="242"/>
    </row>
    <row r="822316" spans="1:1" x14ac:dyDescent="0.25">
      <c r="A822316" s="242"/>
    </row>
    <row r="822317" spans="1:1" x14ac:dyDescent="0.25">
      <c r="A822317" s="242"/>
    </row>
    <row r="822318" spans="1:1" x14ac:dyDescent="0.25">
      <c r="A822318" s="242"/>
    </row>
    <row r="822319" spans="1:1" x14ac:dyDescent="0.25">
      <c r="A822319" s="242"/>
    </row>
    <row r="822320" spans="1:1" x14ac:dyDescent="0.25">
      <c r="A822320" s="242"/>
    </row>
    <row r="822321" spans="1:1" x14ac:dyDescent="0.25">
      <c r="A822321" s="242"/>
    </row>
    <row r="822322" spans="1:1" x14ac:dyDescent="0.25">
      <c r="A822322" s="242"/>
    </row>
    <row r="822323" spans="1:1" x14ac:dyDescent="0.25">
      <c r="A822323" s="242"/>
    </row>
    <row r="822324" spans="1:1" x14ac:dyDescent="0.25">
      <c r="A822324" s="242"/>
    </row>
    <row r="822325" spans="1:1" x14ac:dyDescent="0.25">
      <c r="A822325" s="242"/>
    </row>
    <row r="822326" spans="1:1" x14ac:dyDescent="0.25">
      <c r="A822326" s="242"/>
    </row>
    <row r="822327" spans="1:1" x14ac:dyDescent="0.25">
      <c r="A822327" s="242"/>
    </row>
    <row r="822328" spans="1:1" x14ac:dyDescent="0.25">
      <c r="A822328" s="242"/>
    </row>
    <row r="822329" spans="1:1" x14ac:dyDescent="0.25">
      <c r="A822329" s="242"/>
    </row>
    <row r="822330" spans="1:1" x14ac:dyDescent="0.25">
      <c r="A822330" s="242"/>
    </row>
    <row r="822331" spans="1:1" x14ac:dyDescent="0.25">
      <c r="A822331" s="242"/>
    </row>
    <row r="822332" spans="1:1" x14ac:dyDescent="0.25">
      <c r="A822332" s="242"/>
    </row>
    <row r="822333" spans="1:1" x14ac:dyDescent="0.25">
      <c r="A822333" s="242"/>
    </row>
    <row r="822334" spans="1:1" x14ac:dyDescent="0.25">
      <c r="A822334" s="242"/>
    </row>
    <row r="822335" spans="1:1" x14ac:dyDescent="0.25">
      <c r="A822335" s="242"/>
    </row>
    <row r="822336" spans="1:1" x14ac:dyDescent="0.25">
      <c r="A822336" s="242"/>
    </row>
    <row r="822337" spans="1:1" x14ac:dyDescent="0.25">
      <c r="A822337" s="242"/>
    </row>
    <row r="822338" spans="1:1" x14ac:dyDescent="0.25">
      <c r="A822338" s="242"/>
    </row>
    <row r="822339" spans="1:1" x14ac:dyDescent="0.25">
      <c r="A822339" s="242"/>
    </row>
    <row r="822340" spans="1:1" x14ac:dyDescent="0.25">
      <c r="A822340" s="242"/>
    </row>
    <row r="822341" spans="1:1" x14ac:dyDescent="0.25">
      <c r="A822341" s="242"/>
    </row>
    <row r="822342" spans="1:1" x14ac:dyDescent="0.25">
      <c r="A822342" s="242"/>
    </row>
    <row r="822343" spans="1:1" x14ac:dyDescent="0.25">
      <c r="A822343" s="242"/>
    </row>
    <row r="822344" spans="1:1" x14ac:dyDescent="0.25">
      <c r="A822344" s="242"/>
    </row>
    <row r="822345" spans="1:1" x14ac:dyDescent="0.25">
      <c r="A822345" s="242"/>
    </row>
    <row r="822346" spans="1:1" x14ac:dyDescent="0.25">
      <c r="A822346" s="242"/>
    </row>
    <row r="822347" spans="1:1" x14ac:dyDescent="0.25">
      <c r="A822347" s="242"/>
    </row>
    <row r="822348" spans="1:1" x14ac:dyDescent="0.25">
      <c r="A822348" s="242"/>
    </row>
    <row r="822349" spans="1:1" x14ac:dyDescent="0.25">
      <c r="A822349" s="242"/>
    </row>
    <row r="822350" spans="1:1" x14ac:dyDescent="0.25">
      <c r="A822350" s="242"/>
    </row>
    <row r="822351" spans="1:1" x14ac:dyDescent="0.25">
      <c r="A822351" s="242"/>
    </row>
    <row r="822352" spans="1:1" x14ac:dyDescent="0.25">
      <c r="A822352" s="242"/>
    </row>
    <row r="822353" spans="1:1" x14ac:dyDescent="0.25">
      <c r="A822353" s="242"/>
    </row>
    <row r="822354" spans="1:1" x14ac:dyDescent="0.25">
      <c r="A822354" s="242"/>
    </row>
    <row r="822355" spans="1:1" x14ac:dyDescent="0.25">
      <c r="A822355" s="242"/>
    </row>
    <row r="822356" spans="1:1" x14ac:dyDescent="0.25">
      <c r="A822356" s="242"/>
    </row>
    <row r="822357" spans="1:1" x14ac:dyDescent="0.25">
      <c r="A822357" s="242"/>
    </row>
    <row r="822358" spans="1:1" x14ac:dyDescent="0.25">
      <c r="A822358" s="242"/>
    </row>
    <row r="822359" spans="1:1" x14ac:dyDescent="0.25">
      <c r="A822359" s="242"/>
    </row>
    <row r="822360" spans="1:1" x14ac:dyDescent="0.25">
      <c r="A822360" s="242"/>
    </row>
    <row r="822361" spans="1:1" x14ac:dyDescent="0.25">
      <c r="A822361" s="242"/>
    </row>
    <row r="822362" spans="1:1" x14ac:dyDescent="0.25">
      <c r="A822362" s="242"/>
    </row>
    <row r="822363" spans="1:1" x14ac:dyDescent="0.25">
      <c r="A822363" s="242"/>
    </row>
    <row r="822364" spans="1:1" x14ac:dyDescent="0.25">
      <c r="A822364" s="242"/>
    </row>
    <row r="822365" spans="1:1" x14ac:dyDescent="0.25">
      <c r="A822365" s="242"/>
    </row>
    <row r="822366" spans="1:1" x14ac:dyDescent="0.25">
      <c r="A822366" s="242"/>
    </row>
    <row r="822367" spans="1:1" x14ac:dyDescent="0.25">
      <c r="A822367" s="242"/>
    </row>
    <row r="822368" spans="1:1" x14ac:dyDescent="0.25">
      <c r="A822368" s="242"/>
    </row>
    <row r="822369" spans="1:1" x14ac:dyDescent="0.25">
      <c r="A822369" s="242"/>
    </row>
    <row r="822370" spans="1:1" x14ac:dyDescent="0.25">
      <c r="A822370" s="242"/>
    </row>
    <row r="822371" spans="1:1" x14ac:dyDescent="0.25">
      <c r="A822371" s="242"/>
    </row>
    <row r="822372" spans="1:1" x14ac:dyDescent="0.25">
      <c r="A822372" s="242"/>
    </row>
    <row r="822373" spans="1:1" x14ac:dyDescent="0.25">
      <c r="A822373" s="242"/>
    </row>
    <row r="822374" spans="1:1" x14ac:dyDescent="0.25">
      <c r="A822374" s="242"/>
    </row>
    <row r="822375" spans="1:1" x14ac:dyDescent="0.25">
      <c r="A822375" s="242"/>
    </row>
    <row r="822376" spans="1:1" x14ac:dyDescent="0.25">
      <c r="A822376" s="242"/>
    </row>
    <row r="822377" spans="1:1" x14ac:dyDescent="0.25">
      <c r="A822377" s="242"/>
    </row>
    <row r="822378" spans="1:1" x14ac:dyDescent="0.25">
      <c r="A822378" s="242"/>
    </row>
    <row r="822379" spans="1:1" x14ac:dyDescent="0.25">
      <c r="A822379" s="242"/>
    </row>
    <row r="822380" spans="1:1" x14ac:dyDescent="0.25">
      <c r="A822380" s="242"/>
    </row>
    <row r="822381" spans="1:1" x14ac:dyDescent="0.25">
      <c r="A822381" s="242"/>
    </row>
    <row r="822382" spans="1:1" x14ac:dyDescent="0.25">
      <c r="A822382" s="242"/>
    </row>
    <row r="822383" spans="1:1" x14ac:dyDescent="0.25">
      <c r="A822383" s="242"/>
    </row>
    <row r="822384" spans="1:1" x14ac:dyDescent="0.25">
      <c r="A822384" s="242"/>
    </row>
    <row r="822385" spans="1:1" x14ac:dyDescent="0.25">
      <c r="A822385" s="242"/>
    </row>
    <row r="822386" spans="1:1" x14ac:dyDescent="0.25">
      <c r="A822386" s="242"/>
    </row>
    <row r="822387" spans="1:1" x14ac:dyDescent="0.25">
      <c r="A822387" s="242"/>
    </row>
    <row r="822388" spans="1:1" x14ac:dyDescent="0.25">
      <c r="A822388" s="242"/>
    </row>
    <row r="822389" spans="1:1" x14ac:dyDescent="0.25">
      <c r="A822389" s="242"/>
    </row>
    <row r="822390" spans="1:1" x14ac:dyDescent="0.25">
      <c r="A822390" s="242"/>
    </row>
    <row r="822391" spans="1:1" x14ac:dyDescent="0.25">
      <c r="A822391" s="242"/>
    </row>
    <row r="822392" spans="1:1" x14ac:dyDescent="0.25">
      <c r="A822392" s="242"/>
    </row>
    <row r="822393" spans="1:1" x14ac:dyDescent="0.25">
      <c r="A822393" s="242"/>
    </row>
    <row r="822394" spans="1:1" x14ac:dyDescent="0.25">
      <c r="A822394" s="242"/>
    </row>
    <row r="822395" spans="1:1" x14ac:dyDescent="0.25">
      <c r="A822395" s="242"/>
    </row>
    <row r="822396" spans="1:1" x14ac:dyDescent="0.25">
      <c r="A822396" s="242"/>
    </row>
    <row r="822397" spans="1:1" x14ac:dyDescent="0.25">
      <c r="A822397" s="242"/>
    </row>
    <row r="822398" spans="1:1" x14ac:dyDescent="0.25">
      <c r="A822398" s="242"/>
    </row>
    <row r="822399" spans="1:1" x14ac:dyDescent="0.25">
      <c r="A822399" s="242"/>
    </row>
    <row r="822400" spans="1:1" x14ac:dyDescent="0.25">
      <c r="A822400" s="242"/>
    </row>
    <row r="822401" spans="1:1" x14ac:dyDescent="0.25">
      <c r="A822401" s="242"/>
    </row>
    <row r="822402" spans="1:1" x14ac:dyDescent="0.25">
      <c r="A822402" s="242"/>
    </row>
    <row r="822403" spans="1:1" x14ac:dyDescent="0.25">
      <c r="A822403" s="242"/>
    </row>
    <row r="822404" spans="1:1" x14ac:dyDescent="0.25">
      <c r="A822404" s="242"/>
    </row>
    <row r="822405" spans="1:1" x14ac:dyDescent="0.25">
      <c r="A822405" s="242"/>
    </row>
    <row r="822406" spans="1:1" x14ac:dyDescent="0.25">
      <c r="A822406" s="242"/>
    </row>
    <row r="822407" spans="1:1" x14ac:dyDescent="0.25">
      <c r="A822407" s="242"/>
    </row>
    <row r="822408" spans="1:1" x14ac:dyDescent="0.25">
      <c r="A822408" s="242"/>
    </row>
    <row r="822409" spans="1:1" x14ac:dyDescent="0.25">
      <c r="A822409" s="242"/>
    </row>
    <row r="822410" spans="1:1" x14ac:dyDescent="0.25">
      <c r="A822410" s="242"/>
    </row>
    <row r="822411" spans="1:1" x14ac:dyDescent="0.25">
      <c r="A822411" s="242"/>
    </row>
    <row r="822412" spans="1:1" x14ac:dyDescent="0.25">
      <c r="A822412" s="242"/>
    </row>
    <row r="822413" spans="1:1" x14ac:dyDescent="0.25">
      <c r="A822413" s="242"/>
    </row>
    <row r="822414" spans="1:1" x14ac:dyDescent="0.25">
      <c r="A822414" s="242"/>
    </row>
    <row r="822415" spans="1:1" x14ac:dyDescent="0.25">
      <c r="A822415" s="242"/>
    </row>
    <row r="822416" spans="1:1" x14ac:dyDescent="0.25">
      <c r="A822416" s="242"/>
    </row>
    <row r="822417" spans="1:1" x14ac:dyDescent="0.25">
      <c r="A822417" s="242"/>
    </row>
    <row r="822418" spans="1:1" x14ac:dyDescent="0.25">
      <c r="A822418" s="242"/>
    </row>
    <row r="822419" spans="1:1" x14ac:dyDescent="0.25">
      <c r="A822419" s="242"/>
    </row>
    <row r="822420" spans="1:1" x14ac:dyDescent="0.25">
      <c r="A822420" s="242"/>
    </row>
    <row r="822421" spans="1:1" x14ac:dyDescent="0.25">
      <c r="A822421" s="242"/>
    </row>
    <row r="822422" spans="1:1" x14ac:dyDescent="0.25">
      <c r="A822422" s="242"/>
    </row>
    <row r="822423" spans="1:1" x14ac:dyDescent="0.25">
      <c r="A822423" s="242"/>
    </row>
    <row r="822424" spans="1:1" x14ac:dyDescent="0.25">
      <c r="A822424" s="242"/>
    </row>
    <row r="822425" spans="1:1" x14ac:dyDescent="0.25">
      <c r="A822425" s="242"/>
    </row>
    <row r="822426" spans="1:1" x14ac:dyDescent="0.25">
      <c r="A822426" s="242"/>
    </row>
    <row r="822427" spans="1:1" x14ac:dyDescent="0.25">
      <c r="A822427" s="242"/>
    </row>
    <row r="822428" spans="1:1" x14ac:dyDescent="0.25">
      <c r="A822428" s="242"/>
    </row>
    <row r="822429" spans="1:1" x14ac:dyDescent="0.25">
      <c r="A822429" s="242"/>
    </row>
    <row r="822430" spans="1:1" x14ac:dyDescent="0.25">
      <c r="A822430" s="242"/>
    </row>
    <row r="822431" spans="1:1" x14ac:dyDescent="0.25">
      <c r="A822431" s="242"/>
    </row>
    <row r="822432" spans="1:1" x14ac:dyDescent="0.25">
      <c r="A822432" s="242"/>
    </row>
    <row r="822433" spans="1:1" x14ac:dyDescent="0.25">
      <c r="A822433" s="242"/>
    </row>
    <row r="822434" spans="1:1" x14ac:dyDescent="0.25">
      <c r="A822434" s="242"/>
    </row>
    <row r="822435" spans="1:1" x14ac:dyDescent="0.25">
      <c r="A822435" s="242"/>
    </row>
    <row r="822436" spans="1:1" x14ac:dyDescent="0.25">
      <c r="A822436" s="242"/>
    </row>
    <row r="822437" spans="1:1" x14ac:dyDescent="0.25">
      <c r="A822437" s="242"/>
    </row>
    <row r="822438" spans="1:1" x14ac:dyDescent="0.25">
      <c r="A822438" s="242"/>
    </row>
    <row r="822439" spans="1:1" x14ac:dyDescent="0.25">
      <c r="A822439" s="242"/>
    </row>
    <row r="822440" spans="1:1" x14ac:dyDescent="0.25">
      <c r="A822440" s="242"/>
    </row>
    <row r="822441" spans="1:1" x14ac:dyDescent="0.25">
      <c r="A822441" s="242"/>
    </row>
    <row r="822442" spans="1:1" x14ac:dyDescent="0.25">
      <c r="A822442" s="242"/>
    </row>
    <row r="822443" spans="1:1" x14ac:dyDescent="0.25">
      <c r="A822443" s="242"/>
    </row>
    <row r="822444" spans="1:1" x14ac:dyDescent="0.25">
      <c r="A822444" s="242"/>
    </row>
    <row r="822445" spans="1:1" x14ac:dyDescent="0.25">
      <c r="A822445" s="242"/>
    </row>
    <row r="822446" spans="1:1" x14ac:dyDescent="0.25">
      <c r="A822446" s="242"/>
    </row>
    <row r="822447" spans="1:1" x14ac:dyDescent="0.25">
      <c r="A822447" s="242"/>
    </row>
    <row r="822448" spans="1:1" x14ac:dyDescent="0.25">
      <c r="A822448" s="242"/>
    </row>
    <row r="822449" spans="1:1" x14ac:dyDescent="0.25">
      <c r="A822449" s="242"/>
    </row>
    <row r="822450" spans="1:1" x14ac:dyDescent="0.25">
      <c r="A822450" s="242"/>
    </row>
    <row r="822451" spans="1:1" x14ac:dyDescent="0.25">
      <c r="A822451" s="242"/>
    </row>
    <row r="822452" spans="1:1" x14ac:dyDescent="0.25">
      <c r="A822452" s="242"/>
    </row>
    <row r="822453" spans="1:1" x14ac:dyDescent="0.25">
      <c r="A822453" s="242"/>
    </row>
    <row r="822454" spans="1:1" x14ac:dyDescent="0.25">
      <c r="A822454" s="242"/>
    </row>
    <row r="822455" spans="1:1" x14ac:dyDescent="0.25">
      <c r="A822455" s="242"/>
    </row>
    <row r="822456" spans="1:1" x14ac:dyDescent="0.25">
      <c r="A822456" s="242"/>
    </row>
    <row r="822457" spans="1:1" x14ac:dyDescent="0.25">
      <c r="A822457" s="242"/>
    </row>
    <row r="822458" spans="1:1" x14ac:dyDescent="0.25">
      <c r="A822458" s="242"/>
    </row>
    <row r="822459" spans="1:1" x14ac:dyDescent="0.25">
      <c r="A822459" s="242"/>
    </row>
    <row r="822460" spans="1:1" x14ac:dyDescent="0.25">
      <c r="A822460" s="242"/>
    </row>
    <row r="822461" spans="1:1" x14ac:dyDescent="0.25">
      <c r="A822461" s="242"/>
    </row>
    <row r="822462" spans="1:1" x14ac:dyDescent="0.25">
      <c r="A822462" s="242"/>
    </row>
    <row r="822463" spans="1:1" x14ac:dyDescent="0.25">
      <c r="A822463" s="242"/>
    </row>
    <row r="822464" spans="1:1" x14ac:dyDescent="0.25">
      <c r="A822464" s="242"/>
    </row>
    <row r="822465" spans="1:1" x14ac:dyDescent="0.25">
      <c r="A822465" s="242"/>
    </row>
    <row r="822466" spans="1:1" x14ac:dyDescent="0.25">
      <c r="A822466" s="242"/>
    </row>
    <row r="822467" spans="1:1" x14ac:dyDescent="0.25">
      <c r="A822467" s="242"/>
    </row>
    <row r="822468" spans="1:1" x14ac:dyDescent="0.25">
      <c r="A822468" s="242"/>
    </row>
    <row r="822469" spans="1:1" x14ac:dyDescent="0.25">
      <c r="A822469" s="242"/>
    </row>
    <row r="822470" spans="1:1" x14ac:dyDescent="0.25">
      <c r="A822470" s="242"/>
    </row>
    <row r="822471" spans="1:1" x14ac:dyDescent="0.25">
      <c r="A822471" s="242"/>
    </row>
    <row r="822472" spans="1:1" x14ac:dyDescent="0.25">
      <c r="A822472" s="242"/>
    </row>
    <row r="822473" spans="1:1" x14ac:dyDescent="0.25">
      <c r="A822473" s="242"/>
    </row>
    <row r="822474" spans="1:1" x14ac:dyDescent="0.25">
      <c r="A822474" s="242"/>
    </row>
    <row r="822475" spans="1:1" x14ac:dyDescent="0.25">
      <c r="A822475" s="242"/>
    </row>
    <row r="822476" spans="1:1" x14ac:dyDescent="0.25">
      <c r="A822476" s="242"/>
    </row>
    <row r="822477" spans="1:1" x14ac:dyDescent="0.25">
      <c r="A822477" s="242"/>
    </row>
    <row r="822478" spans="1:1" x14ac:dyDescent="0.25">
      <c r="A822478" s="242"/>
    </row>
    <row r="822479" spans="1:1" x14ac:dyDescent="0.25">
      <c r="A822479" s="242"/>
    </row>
    <row r="822480" spans="1:1" x14ac:dyDescent="0.25">
      <c r="A822480" s="242"/>
    </row>
    <row r="822481" spans="1:1" x14ac:dyDescent="0.25">
      <c r="A822481" s="242"/>
    </row>
    <row r="822482" spans="1:1" x14ac:dyDescent="0.25">
      <c r="A822482" s="242"/>
    </row>
    <row r="822483" spans="1:1" x14ac:dyDescent="0.25">
      <c r="A822483" s="242"/>
    </row>
    <row r="822484" spans="1:1" x14ac:dyDescent="0.25">
      <c r="A822484" s="242"/>
    </row>
    <row r="822485" spans="1:1" x14ac:dyDescent="0.25">
      <c r="A822485" s="242"/>
    </row>
    <row r="822486" spans="1:1" x14ac:dyDescent="0.25">
      <c r="A822486" s="242"/>
    </row>
    <row r="822487" spans="1:1" x14ac:dyDescent="0.25">
      <c r="A822487" s="242"/>
    </row>
    <row r="822488" spans="1:1" x14ac:dyDescent="0.25">
      <c r="A822488" s="242"/>
    </row>
    <row r="822489" spans="1:1" x14ac:dyDescent="0.25">
      <c r="A822489" s="242"/>
    </row>
    <row r="822490" spans="1:1" x14ac:dyDescent="0.25">
      <c r="A822490" s="242"/>
    </row>
    <row r="822491" spans="1:1" x14ac:dyDescent="0.25">
      <c r="A822491" s="242"/>
    </row>
    <row r="822492" spans="1:1" x14ac:dyDescent="0.25">
      <c r="A822492" s="242"/>
    </row>
    <row r="822493" spans="1:1" x14ac:dyDescent="0.25">
      <c r="A822493" s="242"/>
    </row>
    <row r="822494" spans="1:1" x14ac:dyDescent="0.25">
      <c r="A822494" s="242"/>
    </row>
    <row r="822495" spans="1:1" x14ac:dyDescent="0.25">
      <c r="A822495" s="242"/>
    </row>
    <row r="822496" spans="1:1" x14ac:dyDescent="0.25">
      <c r="A822496" s="242"/>
    </row>
    <row r="822497" spans="1:1" x14ac:dyDescent="0.25">
      <c r="A822497" s="242"/>
    </row>
    <row r="822498" spans="1:1" x14ac:dyDescent="0.25">
      <c r="A822498" s="242"/>
    </row>
    <row r="822499" spans="1:1" x14ac:dyDescent="0.25">
      <c r="A822499" s="242"/>
    </row>
    <row r="822500" spans="1:1" x14ac:dyDescent="0.25">
      <c r="A822500" s="242"/>
    </row>
    <row r="822501" spans="1:1" x14ac:dyDescent="0.25">
      <c r="A822501" s="242"/>
    </row>
    <row r="822502" spans="1:1" x14ac:dyDescent="0.25">
      <c r="A822502" s="242"/>
    </row>
    <row r="822503" spans="1:1" x14ac:dyDescent="0.25">
      <c r="A822503" s="242"/>
    </row>
    <row r="822504" spans="1:1" x14ac:dyDescent="0.25">
      <c r="A822504" s="242"/>
    </row>
    <row r="822505" spans="1:1" x14ac:dyDescent="0.25">
      <c r="A822505" s="242"/>
    </row>
    <row r="822506" spans="1:1" x14ac:dyDescent="0.25">
      <c r="A822506" s="242"/>
    </row>
    <row r="822507" spans="1:1" x14ac:dyDescent="0.25">
      <c r="A822507" s="242"/>
    </row>
    <row r="822508" spans="1:1" x14ac:dyDescent="0.25">
      <c r="A822508" s="242"/>
    </row>
    <row r="822509" spans="1:1" x14ac:dyDescent="0.25">
      <c r="A822509" s="242"/>
    </row>
    <row r="822510" spans="1:1" x14ac:dyDescent="0.25">
      <c r="A822510" s="242"/>
    </row>
    <row r="822511" spans="1:1" x14ac:dyDescent="0.25">
      <c r="A822511" s="242"/>
    </row>
    <row r="822512" spans="1:1" x14ac:dyDescent="0.25">
      <c r="A822512" s="242"/>
    </row>
    <row r="822513" spans="1:1" x14ac:dyDescent="0.25">
      <c r="A822513" s="242"/>
    </row>
    <row r="822514" spans="1:1" x14ac:dyDescent="0.25">
      <c r="A822514" s="242"/>
    </row>
    <row r="822515" spans="1:1" x14ac:dyDescent="0.25">
      <c r="A822515" s="242"/>
    </row>
    <row r="822516" spans="1:1" x14ac:dyDescent="0.25">
      <c r="A822516" s="242"/>
    </row>
    <row r="822517" spans="1:1" x14ac:dyDescent="0.25">
      <c r="A822517" s="242"/>
    </row>
    <row r="822518" spans="1:1" x14ac:dyDescent="0.25">
      <c r="A822518" s="242"/>
    </row>
    <row r="822519" spans="1:1" x14ac:dyDescent="0.25">
      <c r="A822519" s="242"/>
    </row>
    <row r="822520" spans="1:1" x14ac:dyDescent="0.25">
      <c r="A822520" s="242"/>
    </row>
    <row r="822521" spans="1:1" x14ac:dyDescent="0.25">
      <c r="A822521" s="242"/>
    </row>
    <row r="822522" spans="1:1" x14ac:dyDescent="0.25">
      <c r="A822522" s="242"/>
    </row>
    <row r="822523" spans="1:1" x14ac:dyDescent="0.25">
      <c r="A822523" s="242"/>
    </row>
    <row r="822524" spans="1:1" x14ac:dyDescent="0.25">
      <c r="A822524" s="242"/>
    </row>
    <row r="822525" spans="1:1" x14ac:dyDescent="0.25">
      <c r="A822525" s="242"/>
    </row>
    <row r="822526" spans="1:1" x14ac:dyDescent="0.25">
      <c r="A822526" s="242"/>
    </row>
    <row r="822527" spans="1:1" x14ac:dyDescent="0.25">
      <c r="A822527" s="242"/>
    </row>
    <row r="822528" spans="1:1" x14ac:dyDescent="0.25">
      <c r="A822528" s="242"/>
    </row>
    <row r="822529" spans="1:1" x14ac:dyDescent="0.25">
      <c r="A822529" s="242"/>
    </row>
    <row r="822530" spans="1:1" x14ac:dyDescent="0.25">
      <c r="A822530" s="242"/>
    </row>
    <row r="822531" spans="1:1" x14ac:dyDescent="0.25">
      <c r="A822531" s="242"/>
    </row>
    <row r="822532" spans="1:1" x14ac:dyDescent="0.25">
      <c r="A822532" s="242"/>
    </row>
    <row r="822533" spans="1:1" x14ac:dyDescent="0.25">
      <c r="A822533" s="242"/>
    </row>
    <row r="822534" spans="1:1" x14ac:dyDescent="0.25">
      <c r="A822534" s="242"/>
    </row>
    <row r="822535" spans="1:1" x14ac:dyDescent="0.25">
      <c r="A822535" s="242"/>
    </row>
    <row r="822536" spans="1:1" x14ac:dyDescent="0.25">
      <c r="A822536" s="242"/>
    </row>
    <row r="822537" spans="1:1" x14ac:dyDescent="0.25">
      <c r="A822537" s="242"/>
    </row>
    <row r="822538" spans="1:1" x14ac:dyDescent="0.25">
      <c r="A822538" s="242"/>
    </row>
    <row r="822539" spans="1:1" x14ac:dyDescent="0.25">
      <c r="A822539" s="242"/>
    </row>
    <row r="822540" spans="1:1" x14ac:dyDescent="0.25">
      <c r="A822540" s="242"/>
    </row>
    <row r="822541" spans="1:1" x14ac:dyDescent="0.25">
      <c r="A822541" s="242"/>
    </row>
    <row r="822542" spans="1:1" x14ac:dyDescent="0.25">
      <c r="A822542" s="242"/>
    </row>
    <row r="822543" spans="1:1" x14ac:dyDescent="0.25">
      <c r="A822543" s="242"/>
    </row>
    <row r="822544" spans="1:1" x14ac:dyDescent="0.25">
      <c r="A822544" s="242"/>
    </row>
    <row r="822545" spans="1:1" x14ac:dyDescent="0.25">
      <c r="A822545" s="242"/>
    </row>
    <row r="822546" spans="1:1" x14ac:dyDescent="0.25">
      <c r="A822546" s="242"/>
    </row>
    <row r="822547" spans="1:1" x14ac:dyDescent="0.25">
      <c r="A822547" s="242"/>
    </row>
    <row r="822548" spans="1:1" x14ac:dyDescent="0.25">
      <c r="A822548" s="242"/>
    </row>
    <row r="822549" spans="1:1" x14ac:dyDescent="0.25">
      <c r="A822549" s="242"/>
    </row>
    <row r="822550" spans="1:1" x14ac:dyDescent="0.25">
      <c r="A822550" s="242"/>
    </row>
    <row r="822551" spans="1:1" x14ac:dyDescent="0.25">
      <c r="A822551" s="242"/>
    </row>
    <row r="822552" spans="1:1" x14ac:dyDescent="0.25">
      <c r="A822552" s="242"/>
    </row>
    <row r="822553" spans="1:1" x14ac:dyDescent="0.25">
      <c r="A822553" s="242"/>
    </row>
    <row r="822554" spans="1:1" x14ac:dyDescent="0.25">
      <c r="A822554" s="242"/>
    </row>
    <row r="822555" spans="1:1" x14ac:dyDescent="0.25">
      <c r="A822555" s="242"/>
    </row>
    <row r="822556" spans="1:1" x14ac:dyDescent="0.25">
      <c r="A822556" s="242"/>
    </row>
    <row r="822557" spans="1:1" x14ac:dyDescent="0.25">
      <c r="A822557" s="242"/>
    </row>
    <row r="822558" spans="1:1" x14ac:dyDescent="0.25">
      <c r="A822558" s="242"/>
    </row>
    <row r="822559" spans="1:1" x14ac:dyDescent="0.25">
      <c r="A822559" s="242"/>
    </row>
    <row r="822560" spans="1:1" x14ac:dyDescent="0.25">
      <c r="A822560" s="242"/>
    </row>
    <row r="822561" spans="1:1" x14ac:dyDescent="0.25">
      <c r="A822561" s="242"/>
    </row>
    <row r="822562" spans="1:1" x14ac:dyDescent="0.25">
      <c r="A822562" s="242"/>
    </row>
    <row r="822563" spans="1:1" x14ac:dyDescent="0.25">
      <c r="A822563" s="242"/>
    </row>
    <row r="822564" spans="1:1" x14ac:dyDescent="0.25">
      <c r="A822564" s="242"/>
    </row>
    <row r="822565" spans="1:1" x14ac:dyDescent="0.25">
      <c r="A822565" s="242"/>
    </row>
    <row r="822566" spans="1:1" x14ac:dyDescent="0.25">
      <c r="A822566" s="242"/>
    </row>
    <row r="822567" spans="1:1" x14ac:dyDescent="0.25">
      <c r="A822567" s="242"/>
    </row>
    <row r="822568" spans="1:1" x14ac:dyDescent="0.25">
      <c r="A822568" s="242"/>
    </row>
    <row r="822569" spans="1:1" x14ac:dyDescent="0.25">
      <c r="A822569" s="242"/>
    </row>
    <row r="822570" spans="1:1" x14ac:dyDescent="0.25">
      <c r="A822570" s="242"/>
    </row>
    <row r="822571" spans="1:1" x14ac:dyDescent="0.25">
      <c r="A822571" s="242"/>
    </row>
    <row r="822572" spans="1:1" x14ac:dyDescent="0.25">
      <c r="A822572" s="242"/>
    </row>
    <row r="822573" spans="1:1" x14ac:dyDescent="0.25">
      <c r="A822573" s="242"/>
    </row>
    <row r="822574" spans="1:1" x14ac:dyDescent="0.25">
      <c r="A822574" s="242"/>
    </row>
    <row r="822575" spans="1:1" x14ac:dyDescent="0.25">
      <c r="A822575" s="242"/>
    </row>
    <row r="822576" spans="1:1" x14ac:dyDescent="0.25">
      <c r="A822576" s="242"/>
    </row>
    <row r="822577" spans="1:1" x14ac:dyDescent="0.25">
      <c r="A822577" s="242"/>
    </row>
    <row r="822578" spans="1:1" x14ac:dyDescent="0.25">
      <c r="A822578" s="242"/>
    </row>
    <row r="822579" spans="1:1" x14ac:dyDescent="0.25">
      <c r="A822579" s="242"/>
    </row>
    <row r="822580" spans="1:1" x14ac:dyDescent="0.25">
      <c r="A822580" s="242"/>
    </row>
    <row r="822581" spans="1:1" x14ac:dyDescent="0.25">
      <c r="A822581" s="242"/>
    </row>
    <row r="822582" spans="1:1" x14ac:dyDescent="0.25">
      <c r="A822582" s="242"/>
    </row>
    <row r="822583" spans="1:1" x14ac:dyDescent="0.25">
      <c r="A822583" s="242"/>
    </row>
    <row r="822584" spans="1:1" x14ac:dyDescent="0.25">
      <c r="A822584" s="242"/>
    </row>
    <row r="822585" spans="1:1" x14ac:dyDescent="0.25">
      <c r="A822585" s="242"/>
    </row>
    <row r="822586" spans="1:1" x14ac:dyDescent="0.25">
      <c r="A822586" s="242"/>
    </row>
    <row r="822587" spans="1:1" x14ac:dyDescent="0.25">
      <c r="A822587" s="242"/>
    </row>
    <row r="822588" spans="1:1" x14ac:dyDescent="0.25">
      <c r="A822588" s="242"/>
    </row>
    <row r="822589" spans="1:1" x14ac:dyDescent="0.25">
      <c r="A822589" s="242"/>
    </row>
    <row r="822590" spans="1:1" x14ac:dyDescent="0.25">
      <c r="A822590" s="242"/>
    </row>
    <row r="822591" spans="1:1" x14ac:dyDescent="0.25">
      <c r="A822591" s="242"/>
    </row>
    <row r="822592" spans="1:1" x14ac:dyDescent="0.25">
      <c r="A822592" s="242"/>
    </row>
    <row r="822593" spans="1:1" x14ac:dyDescent="0.25">
      <c r="A822593" s="242"/>
    </row>
    <row r="822594" spans="1:1" x14ac:dyDescent="0.25">
      <c r="A822594" s="242"/>
    </row>
    <row r="822595" spans="1:1" x14ac:dyDescent="0.25">
      <c r="A822595" s="242"/>
    </row>
    <row r="822596" spans="1:1" x14ac:dyDescent="0.25">
      <c r="A822596" s="242"/>
    </row>
    <row r="822597" spans="1:1" x14ac:dyDescent="0.25">
      <c r="A822597" s="242"/>
    </row>
    <row r="822598" spans="1:1" x14ac:dyDescent="0.25">
      <c r="A822598" s="242"/>
    </row>
    <row r="822599" spans="1:1" x14ac:dyDescent="0.25">
      <c r="A822599" s="242"/>
    </row>
    <row r="822600" spans="1:1" x14ac:dyDescent="0.25">
      <c r="A822600" s="242"/>
    </row>
    <row r="822601" spans="1:1" x14ac:dyDescent="0.25">
      <c r="A822601" s="242"/>
    </row>
    <row r="822602" spans="1:1" x14ac:dyDescent="0.25">
      <c r="A822602" s="242"/>
    </row>
    <row r="822603" spans="1:1" x14ac:dyDescent="0.25">
      <c r="A822603" s="242"/>
    </row>
    <row r="822604" spans="1:1" x14ac:dyDescent="0.25">
      <c r="A822604" s="242"/>
    </row>
    <row r="822605" spans="1:1" x14ac:dyDescent="0.25">
      <c r="A822605" s="242"/>
    </row>
    <row r="822606" spans="1:1" x14ac:dyDescent="0.25">
      <c r="A822606" s="242"/>
    </row>
    <row r="822607" spans="1:1" x14ac:dyDescent="0.25">
      <c r="A822607" s="242"/>
    </row>
    <row r="822608" spans="1:1" x14ac:dyDescent="0.25">
      <c r="A822608" s="242"/>
    </row>
    <row r="822609" spans="1:1" x14ac:dyDescent="0.25">
      <c r="A822609" s="242"/>
    </row>
    <row r="822610" spans="1:1" x14ac:dyDescent="0.25">
      <c r="A822610" s="242"/>
    </row>
    <row r="822611" spans="1:1" x14ac:dyDescent="0.25">
      <c r="A822611" s="242"/>
    </row>
    <row r="822612" spans="1:1" x14ac:dyDescent="0.25">
      <c r="A822612" s="242"/>
    </row>
    <row r="822613" spans="1:1" x14ac:dyDescent="0.25">
      <c r="A822613" s="242"/>
    </row>
    <row r="822614" spans="1:1" x14ac:dyDescent="0.25">
      <c r="A822614" s="242"/>
    </row>
    <row r="822615" spans="1:1" x14ac:dyDescent="0.25">
      <c r="A822615" s="242"/>
    </row>
    <row r="822616" spans="1:1" x14ac:dyDescent="0.25">
      <c r="A822616" s="242"/>
    </row>
    <row r="822617" spans="1:1" x14ac:dyDescent="0.25">
      <c r="A822617" s="242"/>
    </row>
    <row r="822618" spans="1:1" x14ac:dyDescent="0.25">
      <c r="A822618" s="242"/>
    </row>
    <row r="822619" spans="1:1" x14ac:dyDescent="0.25">
      <c r="A822619" s="242"/>
    </row>
    <row r="822620" spans="1:1" x14ac:dyDescent="0.25">
      <c r="A822620" s="242"/>
    </row>
    <row r="822621" spans="1:1" x14ac:dyDescent="0.25">
      <c r="A822621" s="242"/>
    </row>
    <row r="822622" spans="1:1" x14ac:dyDescent="0.25">
      <c r="A822622" s="242"/>
    </row>
    <row r="822623" spans="1:1" x14ac:dyDescent="0.25">
      <c r="A822623" s="242"/>
    </row>
    <row r="822624" spans="1:1" x14ac:dyDescent="0.25">
      <c r="A822624" s="242"/>
    </row>
    <row r="822625" spans="1:1" x14ac:dyDescent="0.25">
      <c r="A822625" s="242"/>
    </row>
    <row r="822626" spans="1:1" x14ac:dyDescent="0.25">
      <c r="A822626" s="242"/>
    </row>
    <row r="822627" spans="1:1" x14ac:dyDescent="0.25">
      <c r="A822627" s="242"/>
    </row>
    <row r="822628" spans="1:1" x14ac:dyDescent="0.25">
      <c r="A822628" s="242"/>
    </row>
    <row r="822629" spans="1:1" x14ac:dyDescent="0.25">
      <c r="A822629" s="242"/>
    </row>
    <row r="822630" spans="1:1" x14ac:dyDescent="0.25">
      <c r="A822630" s="242"/>
    </row>
    <row r="822631" spans="1:1" x14ac:dyDescent="0.25">
      <c r="A822631" s="242"/>
    </row>
    <row r="822632" spans="1:1" x14ac:dyDescent="0.25">
      <c r="A822632" s="242"/>
    </row>
    <row r="822633" spans="1:1" x14ac:dyDescent="0.25">
      <c r="A822633" s="242"/>
    </row>
    <row r="822634" spans="1:1" x14ac:dyDescent="0.25">
      <c r="A822634" s="242"/>
    </row>
    <row r="822635" spans="1:1" x14ac:dyDescent="0.25">
      <c r="A822635" s="242"/>
    </row>
    <row r="822636" spans="1:1" x14ac:dyDescent="0.25">
      <c r="A822636" s="242"/>
    </row>
    <row r="822637" spans="1:1" x14ac:dyDescent="0.25">
      <c r="A822637" s="242"/>
    </row>
    <row r="822638" spans="1:1" x14ac:dyDescent="0.25">
      <c r="A822638" s="242"/>
    </row>
    <row r="822639" spans="1:1" x14ac:dyDescent="0.25">
      <c r="A822639" s="242"/>
    </row>
    <row r="822640" spans="1:1" x14ac:dyDescent="0.25">
      <c r="A822640" s="242"/>
    </row>
    <row r="822641" spans="1:1" x14ac:dyDescent="0.25">
      <c r="A822641" s="242"/>
    </row>
    <row r="822642" spans="1:1" x14ac:dyDescent="0.25">
      <c r="A822642" s="242"/>
    </row>
    <row r="822643" spans="1:1" x14ac:dyDescent="0.25">
      <c r="A822643" s="242"/>
    </row>
    <row r="822644" spans="1:1" x14ac:dyDescent="0.25">
      <c r="A822644" s="242"/>
    </row>
    <row r="822645" spans="1:1" x14ac:dyDescent="0.25">
      <c r="A822645" s="242"/>
    </row>
    <row r="822646" spans="1:1" x14ac:dyDescent="0.25">
      <c r="A822646" s="242"/>
    </row>
    <row r="822647" spans="1:1" x14ac:dyDescent="0.25">
      <c r="A822647" s="242"/>
    </row>
    <row r="822648" spans="1:1" x14ac:dyDescent="0.25">
      <c r="A822648" s="242"/>
    </row>
    <row r="822649" spans="1:1" x14ac:dyDescent="0.25">
      <c r="A822649" s="242"/>
    </row>
    <row r="822650" spans="1:1" x14ac:dyDescent="0.25">
      <c r="A822650" s="242"/>
    </row>
    <row r="822651" spans="1:1" x14ac:dyDescent="0.25">
      <c r="A822651" s="242"/>
    </row>
    <row r="822652" spans="1:1" x14ac:dyDescent="0.25">
      <c r="A822652" s="242"/>
    </row>
    <row r="822653" spans="1:1" x14ac:dyDescent="0.25">
      <c r="A822653" s="242"/>
    </row>
    <row r="822654" spans="1:1" x14ac:dyDescent="0.25">
      <c r="A822654" s="242"/>
    </row>
    <row r="822655" spans="1:1" x14ac:dyDescent="0.25">
      <c r="A822655" s="242"/>
    </row>
    <row r="822656" spans="1:1" x14ac:dyDescent="0.25">
      <c r="A822656" s="242"/>
    </row>
    <row r="822657" spans="1:1" x14ac:dyDescent="0.25">
      <c r="A822657" s="242"/>
    </row>
    <row r="822658" spans="1:1" x14ac:dyDescent="0.25">
      <c r="A822658" s="242"/>
    </row>
    <row r="822659" spans="1:1" x14ac:dyDescent="0.25">
      <c r="A822659" s="242"/>
    </row>
    <row r="822660" spans="1:1" x14ac:dyDescent="0.25">
      <c r="A822660" s="242"/>
    </row>
    <row r="822661" spans="1:1" x14ac:dyDescent="0.25">
      <c r="A822661" s="242"/>
    </row>
    <row r="822662" spans="1:1" x14ac:dyDescent="0.25">
      <c r="A822662" s="242"/>
    </row>
    <row r="822663" spans="1:1" x14ac:dyDescent="0.25">
      <c r="A822663" s="242"/>
    </row>
    <row r="822664" spans="1:1" x14ac:dyDescent="0.25">
      <c r="A822664" s="242"/>
    </row>
    <row r="822665" spans="1:1" x14ac:dyDescent="0.25">
      <c r="A822665" s="242"/>
    </row>
    <row r="822666" spans="1:1" x14ac:dyDescent="0.25">
      <c r="A822666" s="242"/>
    </row>
    <row r="822667" spans="1:1" x14ac:dyDescent="0.25">
      <c r="A822667" s="242"/>
    </row>
    <row r="822668" spans="1:1" x14ac:dyDescent="0.25">
      <c r="A822668" s="242"/>
    </row>
    <row r="822669" spans="1:1" x14ac:dyDescent="0.25">
      <c r="A822669" s="242"/>
    </row>
    <row r="822670" spans="1:1" x14ac:dyDescent="0.25">
      <c r="A822670" s="242"/>
    </row>
    <row r="822671" spans="1:1" x14ac:dyDescent="0.25">
      <c r="A822671" s="242"/>
    </row>
    <row r="822672" spans="1:1" x14ac:dyDescent="0.25">
      <c r="A822672" s="242"/>
    </row>
    <row r="822673" spans="1:1" x14ac:dyDescent="0.25">
      <c r="A822673" s="242"/>
    </row>
    <row r="822674" spans="1:1" x14ac:dyDescent="0.25">
      <c r="A822674" s="242"/>
    </row>
    <row r="822675" spans="1:1" x14ac:dyDescent="0.25">
      <c r="A822675" s="242"/>
    </row>
    <row r="822676" spans="1:1" x14ac:dyDescent="0.25">
      <c r="A822676" s="242"/>
    </row>
    <row r="822677" spans="1:1" x14ac:dyDescent="0.25">
      <c r="A822677" s="242"/>
    </row>
    <row r="822678" spans="1:1" x14ac:dyDescent="0.25">
      <c r="A822678" s="242"/>
    </row>
    <row r="822679" spans="1:1" x14ac:dyDescent="0.25">
      <c r="A822679" s="242"/>
    </row>
    <row r="822680" spans="1:1" x14ac:dyDescent="0.25">
      <c r="A822680" s="242"/>
    </row>
    <row r="822681" spans="1:1" x14ac:dyDescent="0.25">
      <c r="A822681" s="242"/>
    </row>
    <row r="822682" spans="1:1" x14ac:dyDescent="0.25">
      <c r="A822682" s="242"/>
    </row>
    <row r="822683" spans="1:1" x14ac:dyDescent="0.25">
      <c r="A822683" s="242"/>
    </row>
    <row r="822684" spans="1:1" x14ac:dyDescent="0.25">
      <c r="A822684" s="242"/>
    </row>
    <row r="822685" spans="1:1" x14ac:dyDescent="0.25">
      <c r="A822685" s="242"/>
    </row>
    <row r="822686" spans="1:1" x14ac:dyDescent="0.25">
      <c r="A822686" s="242"/>
    </row>
    <row r="822687" spans="1:1" x14ac:dyDescent="0.25">
      <c r="A822687" s="242"/>
    </row>
    <row r="822688" spans="1:1" x14ac:dyDescent="0.25">
      <c r="A822688" s="242"/>
    </row>
    <row r="822689" spans="1:1" x14ac:dyDescent="0.25">
      <c r="A822689" s="242"/>
    </row>
    <row r="822690" spans="1:1" x14ac:dyDescent="0.25">
      <c r="A822690" s="242"/>
    </row>
    <row r="822691" spans="1:1" x14ac:dyDescent="0.25">
      <c r="A822691" s="242"/>
    </row>
    <row r="822692" spans="1:1" x14ac:dyDescent="0.25">
      <c r="A822692" s="242"/>
    </row>
    <row r="822693" spans="1:1" x14ac:dyDescent="0.25">
      <c r="A822693" s="242"/>
    </row>
    <row r="822694" spans="1:1" x14ac:dyDescent="0.25">
      <c r="A822694" s="242"/>
    </row>
    <row r="822695" spans="1:1" x14ac:dyDescent="0.25">
      <c r="A822695" s="242"/>
    </row>
    <row r="822696" spans="1:1" x14ac:dyDescent="0.25">
      <c r="A822696" s="242"/>
    </row>
    <row r="822697" spans="1:1" x14ac:dyDescent="0.25">
      <c r="A822697" s="242"/>
    </row>
    <row r="822698" spans="1:1" x14ac:dyDescent="0.25">
      <c r="A822698" s="242"/>
    </row>
    <row r="822699" spans="1:1" x14ac:dyDescent="0.25">
      <c r="A822699" s="242"/>
    </row>
    <row r="822700" spans="1:1" x14ac:dyDescent="0.25">
      <c r="A822700" s="242"/>
    </row>
    <row r="822701" spans="1:1" x14ac:dyDescent="0.25">
      <c r="A822701" s="242"/>
    </row>
    <row r="822702" spans="1:1" x14ac:dyDescent="0.25">
      <c r="A822702" s="242"/>
    </row>
    <row r="822703" spans="1:1" x14ac:dyDescent="0.25">
      <c r="A822703" s="242"/>
    </row>
    <row r="822704" spans="1:1" x14ac:dyDescent="0.25">
      <c r="A822704" s="242"/>
    </row>
    <row r="822705" spans="1:1" x14ac:dyDescent="0.25">
      <c r="A822705" s="242"/>
    </row>
    <row r="822706" spans="1:1" x14ac:dyDescent="0.25">
      <c r="A822706" s="242"/>
    </row>
    <row r="822707" spans="1:1" x14ac:dyDescent="0.25">
      <c r="A822707" s="242"/>
    </row>
    <row r="822708" spans="1:1" x14ac:dyDescent="0.25">
      <c r="A822708" s="242"/>
    </row>
    <row r="822709" spans="1:1" x14ac:dyDescent="0.25">
      <c r="A822709" s="242"/>
    </row>
    <row r="822710" spans="1:1" x14ac:dyDescent="0.25">
      <c r="A822710" s="242"/>
    </row>
    <row r="822711" spans="1:1" x14ac:dyDescent="0.25">
      <c r="A822711" s="242"/>
    </row>
    <row r="822712" spans="1:1" x14ac:dyDescent="0.25">
      <c r="A822712" s="242"/>
    </row>
    <row r="822713" spans="1:1" x14ac:dyDescent="0.25">
      <c r="A822713" s="242"/>
    </row>
    <row r="822714" spans="1:1" x14ac:dyDescent="0.25">
      <c r="A822714" s="242"/>
    </row>
    <row r="822715" spans="1:1" x14ac:dyDescent="0.25">
      <c r="A822715" s="242"/>
    </row>
    <row r="822716" spans="1:1" x14ac:dyDescent="0.25">
      <c r="A822716" s="242"/>
    </row>
    <row r="822717" spans="1:1" x14ac:dyDescent="0.25">
      <c r="A822717" s="242"/>
    </row>
    <row r="822718" spans="1:1" x14ac:dyDescent="0.25">
      <c r="A822718" s="242"/>
    </row>
    <row r="822719" spans="1:1" x14ac:dyDescent="0.25">
      <c r="A822719" s="242"/>
    </row>
    <row r="822720" spans="1:1" x14ac:dyDescent="0.25">
      <c r="A822720" s="242"/>
    </row>
    <row r="822721" spans="1:1" x14ac:dyDescent="0.25">
      <c r="A822721" s="242"/>
    </row>
    <row r="822722" spans="1:1" x14ac:dyDescent="0.25">
      <c r="A822722" s="242"/>
    </row>
    <row r="822723" spans="1:1" x14ac:dyDescent="0.25">
      <c r="A822723" s="242"/>
    </row>
    <row r="822724" spans="1:1" x14ac:dyDescent="0.25">
      <c r="A822724" s="242"/>
    </row>
    <row r="822725" spans="1:1" x14ac:dyDescent="0.25">
      <c r="A822725" s="242"/>
    </row>
    <row r="822726" spans="1:1" x14ac:dyDescent="0.25">
      <c r="A822726" s="242"/>
    </row>
    <row r="822727" spans="1:1" x14ac:dyDescent="0.25">
      <c r="A822727" s="242"/>
    </row>
    <row r="822728" spans="1:1" x14ac:dyDescent="0.25">
      <c r="A822728" s="242"/>
    </row>
    <row r="822729" spans="1:1" x14ac:dyDescent="0.25">
      <c r="A822729" s="242"/>
    </row>
    <row r="822730" spans="1:1" x14ac:dyDescent="0.25">
      <c r="A822730" s="242"/>
    </row>
    <row r="822731" spans="1:1" x14ac:dyDescent="0.25">
      <c r="A822731" s="242"/>
    </row>
    <row r="822732" spans="1:1" x14ac:dyDescent="0.25">
      <c r="A822732" s="242"/>
    </row>
    <row r="822733" spans="1:1" x14ac:dyDescent="0.25">
      <c r="A822733" s="242"/>
    </row>
    <row r="822734" spans="1:1" x14ac:dyDescent="0.25">
      <c r="A822734" s="242"/>
    </row>
    <row r="822735" spans="1:1" x14ac:dyDescent="0.25">
      <c r="A822735" s="242"/>
    </row>
    <row r="822736" spans="1:1" x14ac:dyDescent="0.25">
      <c r="A822736" s="242"/>
    </row>
    <row r="822737" spans="1:1" x14ac:dyDescent="0.25">
      <c r="A822737" s="242"/>
    </row>
    <row r="822738" spans="1:1" x14ac:dyDescent="0.25">
      <c r="A822738" s="242"/>
    </row>
    <row r="822739" spans="1:1" x14ac:dyDescent="0.25">
      <c r="A822739" s="242"/>
    </row>
    <row r="822740" spans="1:1" x14ac:dyDescent="0.25">
      <c r="A822740" s="242"/>
    </row>
    <row r="822741" spans="1:1" x14ac:dyDescent="0.25">
      <c r="A822741" s="242"/>
    </row>
    <row r="822742" spans="1:1" x14ac:dyDescent="0.25">
      <c r="A822742" s="242"/>
    </row>
    <row r="822743" spans="1:1" x14ac:dyDescent="0.25">
      <c r="A822743" s="242"/>
    </row>
    <row r="822744" spans="1:1" x14ac:dyDescent="0.25">
      <c r="A822744" s="242"/>
    </row>
    <row r="822745" spans="1:1" x14ac:dyDescent="0.25">
      <c r="A822745" s="242"/>
    </row>
    <row r="822746" spans="1:1" x14ac:dyDescent="0.25">
      <c r="A822746" s="242"/>
    </row>
    <row r="822747" spans="1:1" x14ac:dyDescent="0.25">
      <c r="A822747" s="242"/>
    </row>
    <row r="822748" spans="1:1" x14ac:dyDescent="0.25">
      <c r="A822748" s="242"/>
    </row>
    <row r="822749" spans="1:1" x14ac:dyDescent="0.25">
      <c r="A822749" s="242"/>
    </row>
    <row r="822750" spans="1:1" x14ac:dyDescent="0.25">
      <c r="A822750" s="242"/>
    </row>
    <row r="822751" spans="1:1" x14ac:dyDescent="0.25">
      <c r="A822751" s="242"/>
    </row>
    <row r="822752" spans="1:1" x14ac:dyDescent="0.25">
      <c r="A822752" s="242"/>
    </row>
    <row r="822753" spans="1:1" x14ac:dyDescent="0.25">
      <c r="A822753" s="242"/>
    </row>
    <row r="822754" spans="1:1" x14ac:dyDescent="0.25">
      <c r="A822754" s="242"/>
    </row>
    <row r="822755" spans="1:1" x14ac:dyDescent="0.25">
      <c r="A822755" s="242"/>
    </row>
    <row r="822756" spans="1:1" x14ac:dyDescent="0.25">
      <c r="A822756" s="242"/>
    </row>
    <row r="822757" spans="1:1" x14ac:dyDescent="0.25">
      <c r="A822757" s="242"/>
    </row>
    <row r="822758" spans="1:1" x14ac:dyDescent="0.25">
      <c r="A822758" s="242"/>
    </row>
    <row r="822759" spans="1:1" x14ac:dyDescent="0.25">
      <c r="A822759" s="242"/>
    </row>
    <row r="822760" spans="1:1" x14ac:dyDescent="0.25">
      <c r="A822760" s="242"/>
    </row>
    <row r="822761" spans="1:1" x14ac:dyDescent="0.25">
      <c r="A822761" s="242"/>
    </row>
    <row r="822762" spans="1:1" x14ac:dyDescent="0.25">
      <c r="A822762" s="242"/>
    </row>
    <row r="822763" spans="1:1" x14ac:dyDescent="0.25">
      <c r="A822763" s="242"/>
    </row>
    <row r="822764" spans="1:1" x14ac:dyDescent="0.25">
      <c r="A822764" s="242"/>
    </row>
    <row r="822765" spans="1:1" x14ac:dyDescent="0.25">
      <c r="A822765" s="242"/>
    </row>
    <row r="822766" spans="1:1" x14ac:dyDescent="0.25">
      <c r="A822766" s="242"/>
    </row>
    <row r="822767" spans="1:1" x14ac:dyDescent="0.25">
      <c r="A822767" s="242"/>
    </row>
    <row r="822768" spans="1:1" x14ac:dyDescent="0.25">
      <c r="A822768" s="242"/>
    </row>
    <row r="822769" spans="1:1" x14ac:dyDescent="0.25">
      <c r="A822769" s="242"/>
    </row>
    <row r="822770" spans="1:1" x14ac:dyDescent="0.25">
      <c r="A822770" s="242"/>
    </row>
    <row r="822771" spans="1:1" x14ac:dyDescent="0.25">
      <c r="A822771" s="242"/>
    </row>
    <row r="822772" spans="1:1" x14ac:dyDescent="0.25">
      <c r="A822772" s="242"/>
    </row>
    <row r="822773" spans="1:1" x14ac:dyDescent="0.25">
      <c r="A822773" s="242"/>
    </row>
    <row r="822774" spans="1:1" x14ac:dyDescent="0.25">
      <c r="A822774" s="242"/>
    </row>
    <row r="822775" spans="1:1" x14ac:dyDescent="0.25">
      <c r="A822775" s="242"/>
    </row>
    <row r="822776" spans="1:1" x14ac:dyDescent="0.25">
      <c r="A822776" s="242"/>
    </row>
    <row r="822777" spans="1:1" x14ac:dyDescent="0.25">
      <c r="A822777" s="242"/>
    </row>
    <row r="822778" spans="1:1" x14ac:dyDescent="0.25">
      <c r="A822778" s="242"/>
    </row>
    <row r="822779" spans="1:1" x14ac:dyDescent="0.25">
      <c r="A822779" s="242"/>
    </row>
    <row r="822780" spans="1:1" x14ac:dyDescent="0.25">
      <c r="A822780" s="242"/>
    </row>
    <row r="822781" spans="1:1" x14ac:dyDescent="0.25">
      <c r="A822781" s="242"/>
    </row>
    <row r="822782" spans="1:1" x14ac:dyDescent="0.25">
      <c r="A822782" s="242"/>
    </row>
    <row r="822783" spans="1:1" x14ac:dyDescent="0.25">
      <c r="A822783" s="242"/>
    </row>
    <row r="822784" spans="1:1" x14ac:dyDescent="0.25">
      <c r="A822784" s="242"/>
    </row>
    <row r="822785" spans="1:1" x14ac:dyDescent="0.25">
      <c r="A822785" s="242"/>
    </row>
    <row r="822786" spans="1:1" x14ac:dyDescent="0.25">
      <c r="A822786" s="242"/>
    </row>
    <row r="822787" spans="1:1" x14ac:dyDescent="0.25">
      <c r="A822787" s="242"/>
    </row>
    <row r="822788" spans="1:1" x14ac:dyDescent="0.25">
      <c r="A822788" s="242"/>
    </row>
    <row r="822789" spans="1:1" x14ac:dyDescent="0.25">
      <c r="A822789" s="242"/>
    </row>
    <row r="822790" spans="1:1" x14ac:dyDescent="0.25">
      <c r="A822790" s="242"/>
    </row>
    <row r="822791" spans="1:1" x14ac:dyDescent="0.25">
      <c r="A822791" s="242"/>
    </row>
    <row r="822792" spans="1:1" x14ac:dyDescent="0.25">
      <c r="A822792" s="242"/>
    </row>
    <row r="822793" spans="1:1" x14ac:dyDescent="0.25">
      <c r="A822793" s="242"/>
    </row>
    <row r="822794" spans="1:1" x14ac:dyDescent="0.25">
      <c r="A822794" s="242"/>
    </row>
    <row r="822795" spans="1:1" x14ac:dyDescent="0.25">
      <c r="A822795" s="242"/>
    </row>
    <row r="822796" spans="1:1" x14ac:dyDescent="0.25">
      <c r="A822796" s="242"/>
    </row>
    <row r="822797" spans="1:1" x14ac:dyDescent="0.25">
      <c r="A822797" s="242"/>
    </row>
    <row r="822798" spans="1:1" x14ac:dyDescent="0.25">
      <c r="A822798" s="242"/>
    </row>
    <row r="822799" spans="1:1" x14ac:dyDescent="0.25">
      <c r="A822799" s="242"/>
    </row>
    <row r="822800" spans="1:1" x14ac:dyDescent="0.25">
      <c r="A822800" s="242"/>
    </row>
    <row r="822801" spans="1:1" x14ac:dyDescent="0.25">
      <c r="A822801" s="242"/>
    </row>
    <row r="822802" spans="1:1" x14ac:dyDescent="0.25">
      <c r="A822802" s="242"/>
    </row>
    <row r="822803" spans="1:1" x14ac:dyDescent="0.25">
      <c r="A822803" s="242"/>
    </row>
    <row r="822804" spans="1:1" x14ac:dyDescent="0.25">
      <c r="A822804" s="242"/>
    </row>
    <row r="822805" spans="1:1" x14ac:dyDescent="0.25">
      <c r="A822805" s="242"/>
    </row>
    <row r="822806" spans="1:1" x14ac:dyDescent="0.25">
      <c r="A822806" s="242"/>
    </row>
    <row r="822807" spans="1:1" x14ac:dyDescent="0.25">
      <c r="A822807" s="242"/>
    </row>
    <row r="822808" spans="1:1" x14ac:dyDescent="0.25">
      <c r="A822808" s="242"/>
    </row>
    <row r="822809" spans="1:1" x14ac:dyDescent="0.25">
      <c r="A822809" s="242"/>
    </row>
    <row r="822810" spans="1:1" x14ac:dyDescent="0.25">
      <c r="A822810" s="242"/>
    </row>
    <row r="822811" spans="1:1" x14ac:dyDescent="0.25">
      <c r="A822811" s="242"/>
    </row>
    <row r="822812" spans="1:1" x14ac:dyDescent="0.25">
      <c r="A822812" s="242"/>
    </row>
    <row r="822813" spans="1:1" x14ac:dyDescent="0.25">
      <c r="A822813" s="242"/>
    </row>
    <row r="822814" spans="1:1" x14ac:dyDescent="0.25">
      <c r="A822814" s="242"/>
    </row>
    <row r="822815" spans="1:1" x14ac:dyDescent="0.25">
      <c r="A822815" s="242"/>
    </row>
    <row r="822816" spans="1:1" x14ac:dyDescent="0.25">
      <c r="A822816" s="242"/>
    </row>
    <row r="822817" spans="1:1" x14ac:dyDescent="0.25">
      <c r="A822817" s="242"/>
    </row>
    <row r="822818" spans="1:1" x14ac:dyDescent="0.25">
      <c r="A822818" s="242"/>
    </row>
    <row r="822819" spans="1:1" x14ac:dyDescent="0.25">
      <c r="A822819" s="242"/>
    </row>
    <row r="822820" spans="1:1" x14ac:dyDescent="0.25">
      <c r="A822820" s="242"/>
    </row>
    <row r="822821" spans="1:1" x14ac:dyDescent="0.25">
      <c r="A822821" s="242"/>
    </row>
    <row r="822822" spans="1:1" x14ac:dyDescent="0.25">
      <c r="A822822" s="242"/>
    </row>
    <row r="822823" spans="1:1" x14ac:dyDescent="0.25">
      <c r="A822823" s="242"/>
    </row>
    <row r="822824" spans="1:1" x14ac:dyDescent="0.25">
      <c r="A822824" s="242"/>
    </row>
    <row r="822825" spans="1:1" x14ac:dyDescent="0.25">
      <c r="A822825" s="242"/>
    </row>
    <row r="822826" spans="1:1" x14ac:dyDescent="0.25">
      <c r="A822826" s="242"/>
    </row>
    <row r="822827" spans="1:1" x14ac:dyDescent="0.25">
      <c r="A822827" s="242"/>
    </row>
    <row r="822828" spans="1:1" x14ac:dyDescent="0.25">
      <c r="A822828" s="242"/>
    </row>
    <row r="822829" spans="1:1" x14ac:dyDescent="0.25">
      <c r="A822829" s="242"/>
    </row>
    <row r="822830" spans="1:1" x14ac:dyDescent="0.25">
      <c r="A822830" s="242"/>
    </row>
    <row r="822831" spans="1:1" x14ac:dyDescent="0.25">
      <c r="A822831" s="242"/>
    </row>
    <row r="822832" spans="1:1" x14ac:dyDescent="0.25">
      <c r="A822832" s="242"/>
    </row>
    <row r="822833" spans="1:1" x14ac:dyDescent="0.25">
      <c r="A822833" s="242"/>
    </row>
    <row r="822834" spans="1:1" x14ac:dyDescent="0.25">
      <c r="A822834" s="242"/>
    </row>
    <row r="822835" spans="1:1" x14ac:dyDescent="0.25">
      <c r="A822835" s="242"/>
    </row>
    <row r="822836" spans="1:1" x14ac:dyDescent="0.25">
      <c r="A822836" s="242"/>
    </row>
    <row r="822837" spans="1:1" x14ac:dyDescent="0.25">
      <c r="A822837" s="242"/>
    </row>
    <row r="822838" spans="1:1" x14ac:dyDescent="0.25">
      <c r="A822838" s="242"/>
    </row>
    <row r="822839" spans="1:1" x14ac:dyDescent="0.25">
      <c r="A822839" s="242"/>
    </row>
    <row r="822840" spans="1:1" x14ac:dyDescent="0.25">
      <c r="A822840" s="242"/>
    </row>
    <row r="822841" spans="1:1" x14ac:dyDescent="0.25">
      <c r="A822841" s="242"/>
    </row>
    <row r="822842" spans="1:1" x14ac:dyDescent="0.25">
      <c r="A822842" s="242"/>
    </row>
    <row r="822843" spans="1:1" x14ac:dyDescent="0.25">
      <c r="A822843" s="242"/>
    </row>
    <row r="822844" spans="1:1" x14ac:dyDescent="0.25">
      <c r="A822844" s="242"/>
    </row>
    <row r="822845" spans="1:1" x14ac:dyDescent="0.25">
      <c r="A822845" s="242"/>
    </row>
    <row r="822846" spans="1:1" x14ac:dyDescent="0.25">
      <c r="A822846" s="242"/>
    </row>
    <row r="822847" spans="1:1" x14ac:dyDescent="0.25">
      <c r="A822847" s="242"/>
    </row>
    <row r="822848" spans="1:1" x14ac:dyDescent="0.25">
      <c r="A822848" s="242"/>
    </row>
    <row r="822849" spans="1:1" x14ac:dyDescent="0.25">
      <c r="A822849" s="242"/>
    </row>
    <row r="822850" spans="1:1" x14ac:dyDescent="0.25">
      <c r="A822850" s="242"/>
    </row>
    <row r="822851" spans="1:1" x14ac:dyDescent="0.25">
      <c r="A822851" s="242"/>
    </row>
    <row r="822852" spans="1:1" x14ac:dyDescent="0.25">
      <c r="A822852" s="242"/>
    </row>
    <row r="822853" spans="1:1" x14ac:dyDescent="0.25">
      <c r="A822853" s="242"/>
    </row>
    <row r="822854" spans="1:1" x14ac:dyDescent="0.25">
      <c r="A822854" s="242"/>
    </row>
    <row r="822855" spans="1:1" x14ac:dyDescent="0.25">
      <c r="A822855" s="242"/>
    </row>
    <row r="822856" spans="1:1" x14ac:dyDescent="0.25">
      <c r="A822856" s="242"/>
    </row>
    <row r="822857" spans="1:1" x14ac:dyDescent="0.25">
      <c r="A822857" s="242"/>
    </row>
    <row r="822858" spans="1:1" x14ac:dyDescent="0.25">
      <c r="A822858" s="242"/>
    </row>
    <row r="822859" spans="1:1" x14ac:dyDescent="0.25">
      <c r="A822859" s="242"/>
    </row>
    <row r="822860" spans="1:1" x14ac:dyDescent="0.25">
      <c r="A822860" s="242"/>
    </row>
    <row r="822861" spans="1:1" x14ac:dyDescent="0.25">
      <c r="A822861" s="242"/>
    </row>
    <row r="822862" spans="1:1" x14ac:dyDescent="0.25">
      <c r="A822862" s="242"/>
    </row>
    <row r="822863" spans="1:1" x14ac:dyDescent="0.25">
      <c r="A822863" s="242"/>
    </row>
    <row r="822864" spans="1:1" x14ac:dyDescent="0.25">
      <c r="A822864" s="242"/>
    </row>
    <row r="822865" spans="1:1" x14ac:dyDescent="0.25">
      <c r="A822865" s="242"/>
    </row>
    <row r="822866" spans="1:1" x14ac:dyDescent="0.25">
      <c r="A822866" s="242"/>
    </row>
    <row r="822867" spans="1:1" x14ac:dyDescent="0.25">
      <c r="A822867" s="242"/>
    </row>
    <row r="822868" spans="1:1" x14ac:dyDescent="0.25">
      <c r="A822868" s="242"/>
    </row>
    <row r="822869" spans="1:1" x14ac:dyDescent="0.25">
      <c r="A822869" s="242"/>
    </row>
    <row r="822870" spans="1:1" x14ac:dyDescent="0.25">
      <c r="A822870" s="242"/>
    </row>
    <row r="822871" spans="1:1" x14ac:dyDescent="0.25">
      <c r="A822871" s="242"/>
    </row>
    <row r="822872" spans="1:1" x14ac:dyDescent="0.25">
      <c r="A822872" s="242"/>
    </row>
    <row r="822873" spans="1:1" x14ac:dyDescent="0.25">
      <c r="A822873" s="242"/>
    </row>
    <row r="822874" spans="1:1" x14ac:dyDescent="0.25">
      <c r="A822874" s="242"/>
    </row>
    <row r="822875" spans="1:1" x14ac:dyDescent="0.25">
      <c r="A822875" s="242"/>
    </row>
    <row r="822876" spans="1:1" x14ac:dyDescent="0.25">
      <c r="A822876" s="242"/>
    </row>
    <row r="822877" spans="1:1" x14ac:dyDescent="0.25">
      <c r="A822877" s="242"/>
    </row>
    <row r="822878" spans="1:1" x14ac:dyDescent="0.25">
      <c r="A822878" s="242"/>
    </row>
    <row r="822879" spans="1:1" x14ac:dyDescent="0.25">
      <c r="A822879" s="242"/>
    </row>
    <row r="822880" spans="1:1" x14ac:dyDescent="0.25">
      <c r="A822880" s="242"/>
    </row>
    <row r="822881" spans="1:1" x14ac:dyDescent="0.25">
      <c r="A822881" s="242"/>
    </row>
    <row r="822882" spans="1:1" x14ac:dyDescent="0.25">
      <c r="A822882" s="242"/>
    </row>
    <row r="822883" spans="1:1" x14ac:dyDescent="0.25">
      <c r="A822883" s="242"/>
    </row>
    <row r="822884" spans="1:1" x14ac:dyDescent="0.25">
      <c r="A822884" s="242"/>
    </row>
    <row r="822885" spans="1:1" x14ac:dyDescent="0.25">
      <c r="A822885" s="242"/>
    </row>
    <row r="822886" spans="1:1" x14ac:dyDescent="0.25">
      <c r="A822886" s="242"/>
    </row>
    <row r="822887" spans="1:1" x14ac:dyDescent="0.25">
      <c r="A822887" s="242"/>
    </row>
    <row r="822888" spans="1:1" x14ac:dyDescent="0.25">
      <c r="A822888" s="242"/>
    </row>
    <row r="822889" spans="1:1" x14ac:dyDescent="0.25">
      <c r="A822889" s="242"/>
    </row>
    <row r="822890" spans="1:1" x14ac:dyDescent="0.25">
      <c r="A822890" s="242"/>
    </row>
    <row r="822891" spans="1:1" x14ac:dyDescent="0.25">
      <c r="A822891" s="242"/>
    </row>
    <row r="822892" spans="1:1" x14ac:dyDescent="0.25">
      <c r="A822892" s="242"/>
    </row>
    <row r="822893" spans="1:1" x14ac:dyDescent="0.25">
      <c r="A822893" s="242"/>
    </row>
    <row r="822894" spans="1:1" x14ac:dyDescent="0.25">
      <c r="A822894" s="242"/>
    </row>
    <row r="822895" spans="1:1" x14ac:dyDescent="0.25">
      <c r="A822895" s="242"/>
    </row>
    <row r="822896" spans="1:1" x14ac:dyDescent="0.25">
      <c r="A822896" s="242"/>
    </row>
    <row r="822897" spans="1:1" x14ac:dyDescent="0.25">
      <c r="A822897" s="242"/>
    </row>
    <row r="822898" spans="1:1" x14ac:dyDescent="0.25">
      <c r="A822898" s="242"/>
    </row>
    <row r="822899" spans="1:1" x14ac:dyDescent="0.25">
      <c r="A822899" s="242"/>
    </row>
    <row r="822900" spans="1:1" x14ac:dyDescent="0.25">
      <c r="A822900" s="242"/>
    </row>
    <row r="822901" spans="1:1" x14ac:dyDescent="0.25">
      <c r="A822901" s="242"/>
    </row>
    <row r="822902" spans="1:1" x14ac:dyDescent="0.25">
      <c r="A822902" s="242"/>
    </row>
    <row r="822903" spans="1:1" x14ac:dyDescent="0.25">
      <c r="A822903" s="242"/>
    </row>
    <row r="822904" spans="1:1" x14ac:dyDescent="0.25">
      <c r="A822904" s="242"/>
    </row>
    <row r="822905" spans="1:1" x14ac:dyDescent="0.25">
      <c r="A822905" s="242"/>
    </row>
    <row r="822906" spans="1:1" x14ac:dyDescent="0.25">
      <c r="A822906" s="242"/>
    </row>
    <row r="822907" spans="1:1" x14ac:dyDescent="0.25">
      <c r="A822907" s="242"/>
    </row>
    <row r="822908" spans="1:1" x14ac:dyDescent="0.25">
      <c r="A822908" s="242"/>
    </row>
    <row r="822909" spans="1:1" x14ac:dyDescent="0.25">
      <c r="A822909" s="242"/>
    </row>
    <row r="822910" spans="1:1" x14ac:dyDescent="0.25">
      <c r="A822910" s="242"/>
    </row>
    <row r="822911" spans="1:1" x14ac:dyDescent="0.25">
      <c r="A822911" s="242"/>
    </row>
    <row r="822912" spans="1:1" x14ac:dyDescent="0.25">
      <c r="A822912" s="242"/>
    </row>
    <row r="822913" spans="1:1" x14ac:dyDescent="0.25">
      <c r="A822913" s="242"/>
    </row>
    <row r="822914" spans="1:1" x14ac:dyDescent="0.25">
      <c r="A822914" s="242"/>
    </row>
    <row r="822915" spans="1:1" x14ac:dyDescent="0.25">
      <c r="A822915" s="242"/>
    </row>
    <row r="822916" spans="1:1" x14ac:dyDescent="0.25">
      <c r="A822916" s="242"/>
    </row>
    <row r="822917" spans="1:1" x14ac:dyDescent="0.25">
      <c r="A822917" s="242"/>
    </row>
    <row r="822918" spans="1:1" x14ac:dyDescent="0.25">
      <c r="A822918" s="242"/>
    </row>
    <row r="822919" spans="1:1" x14ac:dyDescent="0.25">
      <c r="A822919" s="242"/>
    </row>
    <row r="822920" spans="1:1" x14ac:dyDescent="0.25">
      <c r="A822920" s="242"/>
    </row>
    <row r="822921" spans="1:1" x14ac:dyDescent="0.25">
      <c r="A822921" s="242"/>
    </row>
    <row r="822922" spans="1:1" x14ac:dyDescent="0.25">
      <c r="A822922" s="242"/>
    </row>
    <row r="822923" spans="1:1" x14ac:dyDescent="0.25">
      <c r="A822923" s="242"/>
    </row>
    <row r="822924" spans="1:1" x14ac:dyDescent="0.25">
      <c r="A822924" s="242"/>
    </row>
    <row r="822925" spans="1:1" x14ac:dyDescent="0.25">
      <c r="A822925" s="242"/>
    </row>
    <row r="822926" spans="1:1" x14ac:dyDescent="0.25">
      <c r="A822926" s="242"/>
    </row>
    <row r="822927" spans="1:1" x14ac:dyDescent="0.25">
      <c r="A822927" s="242"/>
    </row>
    <row r="822928" spans="1:1" x14ac:dyDescent="0.25">
      <c r="A822928" s="242"/>
    </row>
    <row r="822929" spans="1:1" x14ac:dyDescent="0.25">
      <c r="A822929" s="242"/>
    </row>
    <row r="822930" spans="1:1" x14ac:dyDescent="0.25">
      <c r="A822930" s="242"/>
    </row>
    <row r="822931" spans="1:1" x14ac:dyDescent="0.25">
      <c r="A822931" s="242"/>
    </row>
    <row r="822932" spans="1:1" x14ac:dyDescent="0.25">
      <c r="A822932" s="242"/>
    </row>
    <row r="822933" spans="1:1" x14ac:dyDescent="0.25">
      <c r="A822933" s="242"/>
    </row>
    <row r="822934" spans="1:1" x14ac:dyDescent="0.25">
      <c r="A822934" s="242"/>
    </row>
    <row r="822935" spans="1:1" x14ac:dyDescent="0.25">
      <c r="A822935" s="242"/>
    </row>
    <row r="822936" spans="1:1" x14ac:dyDescent="0.25">
      <c r="A822936" s="242"/>
    </row>
    <row r="822937" spans="1:1" x14ac:dyDescent="0.25">
      <c r="A822937" s="242"/>
    </row>
    <row r="822938" spans="1:1" x14ac:dyDescent="0.25">
      <c r="A822938" s="242"/>
    </row>
    <row r="822939" spans="1:1" x14ac:dyDescent="0.25">
      <c r="A822939" s="242"/>
    </row>
    <row r="822940" spans="1:1" x14ac:dyDescent="0.25">
      <c r="A822940" s="242"/>
    </row>
    <row r="822941" spans="1:1" x14ac:dyDescent="0.25">
      <c r="A822941" s="242"/>
    </row>
    <row r="822942" spans="1:1" x14ac:dyDescent="0.25">
      <c r="A822942" s="242"/>
    </row>
    <row r="822943" spans="1:1" x14ac:dyDescent="0.25">
      <c r="A822943" s="242"/>
    </row>
    <row r="822944" spans="1:1" x14ac:dyDescent="0.25">
      <c r="A822944" s="242"/>
    </row>
    <row r="822945" spans="1:1" x14ac:dyDescent="0.25">
      <c r="A822945" s="242"/>
    </row>
    <row r="822946" spans="1:1" x14ac:dyDescent="0.25">
      <c r="A822946" s="242"/>
    </row>
    <row r="822947" spans="1:1" x14ac:dyDescent="0.25">
      <c r="A822947" s="242"/>
    </row>
    <row r="822948" spans="1:1" x14ac:dyDescent="0.25">
      <c r="A822948" s="242"/>
    </row>
    <row r="822949" spans="1:1" x14ac:dyDescent="0.25">
      <c r="A822949" s="242"/>
    </row>
    <row r="822950" spans="1:1" x14ac:dyDescent="0.25">
      <c r="A822950" s="242"/>
    </row>
    <row r="822951" spans="1:1" x14ac:dyDescent="0.25">
      <c r="A822951" s="242"/>
    </row>
    <row r="822952" spans="1:1" x14ac:dyDescent="0.25">
      <c r="A822952" s="242"/>
    </row>
    <row r="822953" spans="1:1" x14ac:dyDescent="0.25">
      <c r="A822953" s="242"/>
    </row>
    <row r="822954" spans="1:1" x14ac:dyDescent="0.25">
      <c r="A822954" s="242"/>
    </row>
    <row r="822955" spans="1:1" x14ac:dyDescent="0.25">
      <c r="A822955" s="242"/>
    </row>
    <row r="822956" spans="1:1" x14ac:dyDescent="0.25">
      <c r="A822956" s="242"/>
    </row>
    <row r="822957" spans="1:1" x14ac:dyDescent="0.25">
      <c r="A822957" s="242"/>
    </row>
    <row r="822958" spans="1:1" x14ac:dyDescent="0.25">
      <c r="A822958" s="242"/>
    </row>
    <row r="822959" spans="1:1" x14ac:dyDescent="0.25">
      <c r="A822959" s="242"/>
    </row>
    <row r="822960" spans="1:1" x14ac:dyDescent="0.25">
      <c r="A822960" s="242"/>
    </row>
    <row r="822961" spans="1:1" x14ac:dyDescent="0.25">
      <c r="A822961" s="242"/>
    </row>
    <row r="822962" spans="1:1" x14ac:dyDescent="0.25">
      <c r="A822962" s="242"/>
    </row>
    <row r="822963" spans="1:1" x14ac:dyDescent="0.25">
      <c r="A822963" s="242"/>
    </row>
    <row r="822964" spans="1:1" x14ac:dyDescent="0.25">
      <c r="A822964" s="242"/>
    </row>
    <row r="822965" spans="1:1" x14ac:dyDescent="0.25">
      <c r="A822965" s="242"/>
    </row>
    <row r="822966" spans="1:1" x14ac:dyDescent="0.25">
      <c r="A822966" s="242"/>
    </row>
    <row r="822967" spans="1:1" x14ac:dyDescent="0.25">
      <c r="A822967" s="242"/>
    </row>
    <row r="822968" spans="1:1" x14ac:dyDescent="0.25">
      <c r="A822968" s="242"/>
    </row>
    <row r="822969" spans="1:1" x14ac:dyDescent="0.25">
      <c r="A822969" s="242"/>
    </row>
    <row r="822970" spans="1:1" x14ac:dyDescent="0.25">
      <c r="A822970" s="242"/>
    </row>
    <row r="822971" spans="1:1" x14ac:dyDescent="0.25">
      <c r="A822971" s="242"/>
    </row>
    <row r="822972" spans="1:1" x14ac:dyDescent="0.25">
      <c r="A822972" s="242"/>
    </row>
    <row r="822973" spans="1:1" x14ac:dyDescent="0.25">
      <c r="A822973" s="242"/>
    </row>
    <row r="822974" spans="1:1" x14ac:dyDescent="0.25">
      <c r="A822974" s="242"/>
    </row>
    <row r="822975" spans="1:1" x14ac:dyDescent="0.25">
      <c r="A822975" s="242"/>
    </row>
    <row r="822976" spans="1:1" x14ac:dyDescent="0.25">
      <c r="A822976" s="242"/>
    </row>
    <row r="822977" spans="1:1" x14ac:dyDescent="0.25">
      <c r="A822977" s="242"/>
    </row>
    <row r="822978" spans="1:1" x14ac:dyDescent="0.25">
      <c r="A822978" s="242"/>
    </row>
    <row r="822979" spans="1:1" x14ac:dyDescent="0.25">
      <c r="A822979" s="242"/>
    </row>
    <row r="822980" spans="1:1" x14ac:dyDescent="0.25">
      <c r="A822980" s="242"/>
    </row>
    <row r="822981" spans="1:1" x14ac:dyDescent="0.25">
      <c r="A822981" s="242"/>
    </row>
    <row r="822982" spans="1:1" x14ac:dyDescent="0.25">
      <c r="A822982" s="242"/>
    </row>
    <row r="822983" spans="1:1" x14ac:dyDescent="0.25">
      <c r="A822983" s="242"/>
    </row>
    <row r="822984" spans="1:1" x14ac:dyDescent="0.25">
      <c r="A822984" s="242"/>
    </row>
    <row r="822985" spans="1:1" x14ac:dyDescent="0.25">
      <c r="A822985" s="242"/>
    </row>
    <row r="822986" spans="1:1" x14ac:dyDescent="0.25">
      <c r="A822986" s="242"/>
    </row>
    <row r="822987" spans="1:1" x14ac:dyDescent="0.25">
      <c r="A822987" s="242"/>
    </row>
    <row r="822988" spans="1:1" x14ac:dyDescent="0.25">
      <c r="A822988" s="242"/>
    </row>
    <row r="822989" spans="1:1" x14ac:dyDescent="0.25">
      <c r="A822989" s="242"/>
    </row>
    <row r="822990" spans="1:1" x14ac:dyDescent="0.25">
      <c r="A822990" s="242"/>
    </row>
    <row r="822991" spans="1:1" x14ac:dyDescent="0.25">
      <c r="A822991" s="242"/>
    </row>
    <row r="822992" spans="1:1" x14ac:dyDescent="0.25">
      <c r="A822992" s="242"/>
    </row>
    <row r="822993" spans="1:1" x14ac:dyDescent="0.25">
      <c r="A822993" s="242"/>
    </row>
    <row r="822994" spans="1:1" x14ac:dyDescent="0.25">
      <c r="A822994" s="242"/>
    </row>
    <row r="822995" spans="1:1" x14ac:dyDescent="0.25">
      <c r="A822995" s="242"/>
    </row>
    <row r="822996" spans="1:1" x14ac:dyDescent="0.25">
      <c r="A822996" s="242"/>
    </row>
    <row r="822997" spans="1:1" x14ac:dyDescent="0.25">
      <c r="A822997" s="242"/>
    </row>
    <row r="822998" spans="1:1" x14ac:dyDescent="0.25">
      <c r="A822998" s="242"/>
    </row>
    <row r="822999" spans="1:1" x14ac:dyDescent="0.25">
      <c r="A822999" s="242"/>
    </row>
    <row r="823000" spans="1:1" x14ac:dyDescent="0.25">
      <c r="A823000" s="242"/>
    </row>
    <row r="823001" spans="1:1" x14ac:dyDescent="0.25">
      <c r="A823001" s="242"/>
    </row>
    <row r="823002" spans="1:1" x14ac:dyDescent="0.25">
      <c r="A823002" s="242"/>
    </row>
    <row r="823003" spans="1:1" x14ac:dyDescent="0.25">
      <c r="A823003" s="242"/>
    </row>
    <row r="823004" spans="1:1" x14ac:dyDescent="0.25">
      <c r="A823004" s="242"/>
    </row>
    <row r="823005" spans="1:1" x14ac:dyDescent="0.25">
      <c r="A823005" s="242"/>
    </row>
    <row r="823006" spans="1:1" x14ac:dyDescent="0.25">
      <c r="A823006" s="242"/>
    </row>
    <row r="823007" spans="1:1" x14ac:dyDescent="0.25">
      <c r="A823007" s="242"/>
    </row>
    <row r="823008" spans="1:1" x14ac:dyDescent="0.25">
      <c r="A823008" s="242"/>
    </row>
    <row r="823009" spans="1:1" x14ac:dyDescent="0.25">
      <c r="A823009" s="242"/>
    </row>
    <row r="823010" spans="1:1" x14ac:dyDescent="0.25">
      <c r="A823010" s="242"/>
    </row>
    <row r="823011" spans="1:1" x14ac:dyDescent="0.25">
      <c r="A823011" s="242"/>
    </row>
    <row r="823012" spans="1:1" x14ac:dyDescent="0.25">
      <c r="A823012" s="242"/>
    </row>
    <row r="823013" spans="1:1" x14ac:dyDescent="0.25">
      <c r="A823013" s="242"/>
    </row>
    <row r="823014" spans="1:1" x14ac:dyDescent="0.25">
      <c r="A823014" s="242"/>
    </row>
    <row r="823015" spans="1:1" x14ac:dyDescent="0.25">
      <c r="A823015" s="242"/>
    </row>
    <row r="823016" spans="1:1" x14ac:dyDescent="0.25">
      <c r="A823016" s="242"/>
    </row>
    <row r="823017" spans="1:1" x14ac:dyDescent="0.25">
      <c r="A823017" s="242"/>
    </row>
    <row r="823018" spans="1:1" x14ac:dyDescent="0.25">
      <c r="A823018" s="242"/>
    </row>
    <row r="823019" spans="1:1" x14ac:dyDescent="0.25">
      <c r="A823019" s="242"/>
    </row>
    <row r="823020" spans="1:1" x14ac:dyDescent="0.25">
      <c r="A823020" s="242"/>
    </row>
    <row r="823021" spans="1:1" x14ac:dyDescent="0.25">
      <c r="A823021" s="242"/>
    </row>
    <row r="823022" spans="1:1" x14ac:dyDescent="0.25">
      <c r="A823022" s="242"/>
    </row>
    <row r="823023" spans="1:1" x14ac:dyDescent="0.25">
      <c r="A823023" s="242"/>
    </row>
    <row r="823024" spans="1:1" x14ac:dyDescent="0.25">
      <c r="A823024" s="242"/>
    </row>
    <row r="823025" spans="1:1" x14ac:dyDescent="0.25">
      <c r="A823025" s="242"/>
    </row>
    <row r="823026" spans="1:1" x14ac:dyDescent="0.25">
      <c r="A823026" s="242"/>
    </row>
    <row r="823027" spans="1:1" x14ac:dyDescent="0.25">
      <c r="A823027" s="242"/>
    </row>
    <row r="823028" spans="1:1" x14ac:dyDescent="0.25">
      <c r="A823028" s="242"/>
    </row>
    <row r="823029" spans="1:1" x14ac:dyDescent="0.25">
      <c r="A823029" s="242"/>
    </row>
    <row r="823030" spans="1:1" x14ac:dyDescent="0.25">
      <c r="A823030" s="242"/>
    </row>
    <row r="823031" spans="1:1" x14ac:dyDescent="0.25">
      <c r="A823031" s="242"/>
    </row>
    <row r="823032" spans="1:1" x14ac:dyDescent="0.25">
      <c r="A823032" s="242"/>
    </row>
    <row r="823033" spans="1:1" x14ac:dyDescent="0.25">
      <c r="A823033" s="242"/>
    </row>
    <row r="823034" spans="1:1" x14ac:dyDescent="0.25">
      <c r="A823034" s="242"/>
    </row>
    <row r="823035" spans="1:1" x14ac:dyDescent="0.25">
      <c r="A823035" s="242"/>
    </row>
    <row r="823036" spans="1:1" x14ac:dyDescent="0.25">
      <c r="A823036" s="242"/>
    </row>
    <row r="823037" spans="1:1" x14ac:dyDescent="0.25">
      <c r="A823037" s="242"/>
    </row>
    <row r="823038" spans="1:1" x14ac:dyDescent="0.25">
      <c r="A823038" s="242"/>
    </row>
    <row r="823039" spans="1:1" x14ac:dyDescent="0.25">
      <c r="A823039" s="242"/>
    </row>
    <row r="823040" spans="1:1" x14ac:dyDescent="0.25">
      <c r="A823040" s="242"/>
    </row>
    <row r="823041" spans="1:1" x14ac:dyDescent="0.25">
      <c r="A823041" s="242"/>
    </row>
    <row r="823042" spans="1:1" x14ac:dyDescent="0.25">
      <c r="A823042" s="242"/>
    </row>
    <row r="823043" spans="1:1" x14ac:dyDescent="0.25">
      <c r="A823043" s="242"/>
    </row>
    <row r="823044" spans="1:1" x14ac:dyDescent="0.25">
      <c r="A823044" s="242"/>
    </row>
    <row r="823045" spans="1:1" x14ac:dyDescent="0.25">
      <c r="A823045" s="242"/>
    </row>
    <row r="823046" spans="1:1" x14ac:dyDescent="0.25">
      <c r="A823046" s="242"/>
    </row>
    <row r="823047" spans="1:1" x14ac:dyDescent="0.25">
      <c r="A823047" s="242"/>
    </row>
    <row r="823048" spans="1:1" x14ac:dyDescent="0.25">
      <c r="A823048" s="242"/>
    </row>
    <row r="823049" spans="1:1" x14ac:dyDescent="0.25">
      <c r="A823049" s="242"/>
    </row>
    <row r="823050" spans="1:1" x14ac:dyDescent="0.25">
      <c r="A823050" s="242"/>
    </row>
    <row r="823051" spans="1:1" x14ac:dyDescent="0.25">
      <c r="A823051" s="242"/>
    </row>
    <row r="823052" spans="1:1" x14ac:dyDescent="0.25">
      <c r="A823052" s="242"/>
    </row>
    <row r="823053" spans="1:1" x14ac:dyDescent="0.25">
      <c r="A823053" s="242"/>
    </row>
    <row r="823054" spans="1:1" x14ac:dyDescent="0.25">
      <c r="A823054" s="242"/>
    </row>
    <row r="823055" spans="1:1" x14ac:dyDescent="0.25">
      <c r="A823055" s="242"/>
    </row>
    <row r="823056" spans="1:1" x14ac:dyDescent="0.25">
      <c r="A823056" s="242"/>
    </row>
    <row r="823057" spans="1:1" x14ac:dyDescent="0.25">
      <c r="A823057" s="242"/>
    </row>
    <row r="823058" spans="1:1" x14ac:dyDescent="0.25">
      <c r="A823058" s="242"/>
    </row>
    <row r="823059" spans="1:1" x14ac:dyDescent="0.25">
      <c r="A823059" s="242"/>
    </row>
    <row r="823060" spans="1:1" x14ac:dyDescent="0.25">
      <c r="A823060" s="242"/>
    </row>
    <row r="823061" spans="1:1" x14ac:dyDescent="0.25">
      <c r="A823061" s="242"/>
    </row>
    <row r="823062" spans="1:1" x14ac:dyDescent="0.25">
      <c r="A823062" s="242"/>
    </row>
    <row r="823063" spans="1:1" x14ac:dyDescent="0.25">
      <c r="A823063" s="242"/>
    </row>
    <row r="823064" spans="1:1" x14ac:dyDescent="0.25">
      <c r="A823064" s="242"/>
    </row>
    <row r="823065" spans="1:1" x14ac:dyDescent="0.25">
      <c r="A823065" s="242"/>
    </row>
    <row r="823066" spans="1:1" x14ac:dyDescent="0.25">
      <c r="A823066" s="242"/>
    </row>
    <row r="823067" spans="1:1" x14ac:dyDescent="0.25">
      <c r="A823067" s="242"/>
    </row>
    <row r="823068" spans="1:1" x14ac:dyDescent="0.25">
      <c r="A823068" s="242"/>
    </row>
    <row r="823069" spans="1:1" x14ac:dyDescent="0.25">
      <c r="A823069" s="242"/>
    </row>
    <row r="823070" spans="1:1" x14ac:dyDescent="0.25">
      <c r="A823070" s="242"/>
    </row>
    <row r="823071" spans="1:1" x14ac:dyDescent="0.25">
      <c r="A823071" s="242"/>
    </row>
    <row r="823072" spans="1:1" x14ac:dyDescent="0.25">
      <c r="A823072" s="242"/>
    </row>
    <row r="823073" spans="1:1" x14ac:dyDescent="0.25">
      <c r="A823073" s="242"/>
    </row>
    <row r="823074" spans="1:1" x14ac:dyDescent="0.25">
      <c r="A823074" s="242"/>
    </row>
    <row r="823075" spans="1:1" x14ac:dyDescent="0.25">
      <c r="A823075" s="242"/>
    </row>
    <row r="823076" spans="1:1" x14ac:dyDescent="0.25">
      <c r="A823076" s="242"/>
    </row>
    <row r="823077" spans="1:1" x14ac:dyDescent="0.25">
      <c r="A823077" s="242"/>
    </row>
    <row r="823078" spans="1:1" x14ac:dyDescent="0.25">
      <c r="A823078" s="242"/>
    </row>
    <row r="823079" spans="1:1" x14ac:dyDescent="0.25">
      <c r="A823079" s="242"/>
    </row>
    <row r="823080" spans="1:1" x14ac:dyDescent="0.25">
      <c r="A823080" s="242"/>
    </row>
    <row r="823081" spans="1:1" x14ac:dyDescent="0.25">
      <c r="A823081" s="242"/>
    </row>
    <row r="823082" spans="1:1" x14ac:dyDescent="0.25">
      <c r="A823082" s="242"/>
    </row>
    <row r="823083" spans="1:1" x14ac:dyDescent="0.25">
      <c r="A823083" s="242"/>
    </row>
    <row r="823084" spans="1:1" x14ac:dyDescent="0.25">
      <c r="A823084" s="242"/>
    </row>
    <row r="823085" spans="1:1" x14ac:dyDescent="0.25">
      <c r="A823085" s="242"/>
    </row>
    <row r="823086" spans="1:1" x14ac:dyDescent="0.25">
      <c r="A823086" s="242"/>
    </row>
    <row r="823087" spans="1:1" x14ac:dyDescent="0.25">
      <c r="A823087" s="242"/>
    </row>
    <row r="823088" spans="1:1" x14ac:dyDescent="0.25">
      <c r="A823088" s="242"/>
    </row>
    <row r="823089" spans="1:1" x14ac:dyDescent="0.25">
      <c r="A823089" s="242"/>
    </row>
    <row r="823090" spans="1:1" x14ac:dyDescent="0.25">
      <c r="A823090" s="242"/>
    </row>
    <row r="823091" spans="1:1" x14ac:dyDescent="0.25">
      <c r="A823091" s="242"/>
    </row>
    <row r="823092" spans="1:1" x14ac:dyDescent="0.25">
      <c r="A823092" s="242"/>
    </row>
    <row r="823093" spans="1:1" x14ac:dyDescent="0.25">
      <c r="A823093" s="242"/>
    </row>
    <row r="823094" spans="1:1" x14ac:dyDescent="0.25">
      <c r="A823094" s="242"/>
    </row>
    <row r="823095" spans="1:1" x14ac:dyDescent="0.25">
      <c r="A823095" s="242"/>
    </row>
    <row r="823096" spans="1:1" x14ac:dyDescent="0.25">
      <c r="A823096" s="242"/>
    </row>
    <row r="823097" spans="1:1" x14ac:dyDescent="0.25">
      <c r="A823097" s="242"/>
    </row>
    <row r="823098" spans="1:1" x14ac:dyDescent="0.25">
      <c r="A823098" s="242"/>
    </row>
    <row r="823099" spans="1:1" x14ac:dyDescent="0.25">
      <c r="A823099" s="242"/>
    </row>
    <row r="823100" spans="1:1" x14ac:dyDescent="0.25">
      <c r="A823100" s="242"/>
    </row>
    <row r="823101" spans="1:1" x14ac:dyDescent="0.25">
      <c r="A823101" s="242"/>
    </row>
    <row r="823102" spans="1:1" x14ac:dyDescent="0.25">
      <c r="A823102" s="242"/>
    </row>
    <row r="823103" spans="1:1" x14ac:dyDescent="0.25">
      <c r="A823103" s="242"/>
    </row>
    <row r="823104" spans="1:1" x14ac:dyDescent="0.25">
      <c r="A823104" s="242"/>
    </row>
    <row r="823105" spans="1:1" x14ac:dyDescent="0.25">
      <c r="A823105" s="242"/>
    </row>
    <row r="823106" spans="1:1" x14ac:dyDescent="0.25">
      <c r="A823106" s="242"/>
    </row>
    <row r="823107" spans="1:1" x14ac:dyDescent="0.25">
      <c r="A823107" s="242"/>
    </row>
    <row r="823108" spans="1:1" x14ac:dyDescent="0.25">
      <c r="A823108" s="242"/>
    </row>
    <row r="823109" spans="1:1" x14ac:dyDescent="0.25">
      <c r="A823109" s="242"/>
    </row>
    <row r="823110" spans="1:1" x14ac:dyDescent="0.25">
      <c r="A823110" s="242"/>
    </row>
    <row r="823111" spans="1:1" x14ac:dyDescent="0.25">
      <c r="A823111" s="242"/>
    </row>
    <row r="823112" spans="1:1" x14ac:dyDescent="0.25">
      <c r="A823112" s="242"/>
    </row>
    <row r="823113" spans="1:1" x14ac:dyDescent="0.25">
      <c r="A823113" s="242"/>
    </row>
    <row r="823114" spans="1:1" x14ac:dyDescent="0.25">
      <c r="A823114" s="242"/>
    </row>
    <row r="823115" spans="1:1" x14ac:dyDescent="0.25">
      <c r="A823115" s="242"/>
    </row>
    <row r="823116" spans="1:1" x14ac:dyDescent="0.25">
      <c r="A823116" s="242"/>
    </row>
    <row r="823117" spans="1:1" x14ac:dyDescent="0.25">
      <c r="A823117" s="242"/>
    </row>
    <row r="823118" spans="1:1" x14ac:dyDescent="0.25">
      <c r="A823118" s="242"/>
    </row>
    <row r="823119" spans="1:1" x14ac:dyDescent="0.25">
      <c r="A823119" s="242"/>
    </row>
    <row r="823120" spans="1:1" x14ac:dyDescent="0.25">
      <c r="A823120" s="242"/>
    </row>
    <row r="823121" spans="1:1" x14ac:dyDescent="0.25">
      <c r="A823121" s="242"/>
    </row>
    <row r="823122" spans="1:1" x14ac:dyDescent="0.25">
      <c r="A823122" s="242"/>
    </row>
    <row r="823123" spans="1:1" x14ac:dyDescent="0.25">
      <c r="A823123" s="242"/>
    </row>
    <row r="823124" spans="1:1" x14ac:dyDescent="0.25">
      <c r="A823124" s="242"/>
    </row>
    <row r="823125" spans="1:1" x14ac:dyDescent="0.25">
      <c r="A823125" s="242"/>
    </row>
    <row r="823126" spans="1:1" x14ac:dyDescent="0.25">
      <c r="A823126" s="242"/>
    </row>
    <row r="823127" spans="1:1" x14ac:dyDescent="0.25">
      <c r="A823127" s="242"/>
    </row>
    <row r="823128" spans="1:1" x14ac:dyDescent="0.25">
      <c r="A823128" s="242"/>
    </row>
    <row r="823129" spans="1:1" x14ac:dyDescent="0.25">
      <c r="A823129" s="242"/>
    </row>
    <row r="823130" spans="1:1" x14ac:dyDescent="0.25">
      <c r="A823130" s="242"/>
    </row>
    <row r="823131" spans="1:1" x14ac:dyDescent="0.25">
      <c r="A823131" s="242"/>
    </row>
    <row r="823132" spans="1:1" x14ac:dyDescent="0.25">
      <c r="A823132" s="242"/>
    </row>
    <row r="823133" spans="1:1" x14ac:dyDescent="0.25">
      <c r="A823133" s="242"/>
    </row>
    <row r="823134" spans="1:1" x14ac:dyDescent="0.25">
      <c r="A823134" s="242"/>
    </row>
    <row r="823135" spans="1:1" x14ac:dyDescent="0.25">
      <c r="A823135" s="242"/>
    </row>
    <row r="823136" spans="1:1" x14ac:dyDescent="0.25">
      <c r="A823136" s="242"/>
    </row>
    <row r="823137" spans="1:1" x14ac:dyDescent="0.25">
      <c r="A823137" s="242"/>
    </row>
    <row r="823138" spans="1:1" x14ac:dyDescent="0.25">
      <c r="A823138" s="242"/>
    </row>
    <row r="823139" spans="1:1" x14ac:dyDescent="0.25">
      <c r="A823139" s="242"/>
    </row>
    <row r="823140" spans="1:1" x14ac:dyDescent="0.25">
      <c r="A823140" s="242"/>
    </row>
    <row r="823141" spans="1:1" x14ac:dyDescent="0.25">
      <c r="A823141" s="242"/>
    </row>
    <row r="823142" spans="1:1" x14ac:dyDescent="0.25">
      <c r="A823142" s="242"/>
    </row>
    <row r="823143" spans="1:1" x14ac:dyDescent="0.25">
      <c r="A823143" s="242"/>
    </row>
    <row r="823144" spans="1:1" x14ac:dyDescent="0.25">
      <c r="A823144" s="242"/>
    </row>
    <row r="823145" spans="1:1" x14ac:dyDescent="0.25">
      <c r="A823145" s="242"/>
    </row>
    <row r="823146" spans="1:1" x14ac:dyDescent="0.25">
      <c r="A823146" s="242"/>
    </row>
    <row r="823147" spans="1:1" x14ac:dyDescent="0.25">
      <c r="A823147" s="242"/>
    </row>
    <row r="823148" spans="1:1" x14ac:dyDescent="0.25">
      <c r="A823148" s="242"/>
    </row>
    <row r="823149" spans="1:1" x14ac:dyDescent="0.25">
      <c r="A823149" s="242"/>
    </row>
    <row r="823150" spans="1:1" x14ac:dyDescent="0.25">
      <c r="A823150" s="242"/>
    </row>
    <row r="823151" spans="1:1" x14ac:dyDescent="0.25">
      <c r="A823151" s="242"/>
    </row>
    <row r="823152" spans="1:1" x14ac:dyDescent="0.25">
      <c r="A823152" s="242"/>
    </row>
    <row r="823153" spans="1:1" x14ac:dyDescent="0.25">
      <c r="A823153" s="242"/>
    </row>
    <row r="823154" spans="1:1" x14ac:dyDescent="0.25">
      <c r="A823154" s="242"/>
    </row>
    <row r="823155" spans="1:1" x14ac:dyDescent="0.25">
      <c r="A823155" s="242"/>
    </row>
    <row r="823156" spans="1:1" x14ac:dyDescent="0.25">
      <c r="A823156" s="242"/>
    </row>
    <row r="823157" spans="1:1" x14ac:dyDescent="0.25">
      <c r="A823157" s="242"/>
    </row>
    <row r="823158" spans="1:1" x14ac:dyDescent="0.25">
      <c r="A823158" s="242"/>
    </row>
    <row r="823159" spans="1:1" x14ac:dyDescent="0.25">
      <c r="A823159" s="242"/>
    </row>
    <row r="823160" spans="1:1" x14ac:dyDescent="0.25">
      <c r="A823160" s="242"/>
    </row>
    <row r="823161" spans="1:1" x14ac:dyDescent="0.25">
      <c r="A823161" s="242"/>
    </row>
    <row r="823162" spans="1:1" x14ac:dyDescent="0.25">
      <c r="A823162" s="242"/>
    </row>
    <row r="823163" spans="1:1" x14ac:dyDescent="0.25">
      <c r="A823163" s="242"/>
    </row>
    <row r="823164" spans="1:1" x14ac:dyDescent="0.25">
      <c r="A823164" s="242"/>
    </row>
    <row r="823165" spans="1:1" x14ac:dyDescent="0.25">
      <c r="A823165" s="242"/>
    </row>
    <row r="823166" spans="1:1" x14ac:dyDescent="0.25">
      <c r="A823166" s="242"/>
    </row>
    <row r="823167" spans="1:1" x14ac:dyDescent="0.25">
      <c r="A823167" s="242"/>
    </row>
    <row r="823168" spans="1:1" x14ac:dyDescent="0.25">
      <c r="A823168" s="242"/>
    </row>
    <row r="823169" spans="1:1" x14ac:dyDescent="0.25">
      <c r="A823169" s="242"/>
    </row>
    <row r="823170" spans="1:1" x14ac:dyDescent="0.25">
      <c r="A823170" s="242"/>
    </row>
    <row r="823171" spans="1:1" x14ac:dyDescent="0.25">
      <c r="A823171" s="242"/>
    </row>
    <row r="823172" spans="1:1" x14ac:dyDescent="0.25">
      <c r="A823172" s="242"/>
    </row>
    <row r="823173" spans="1:1" x14ac:dyDescent="0.25">
      <c r="A823173" s="242"/>
    </row>
    <row r="823174" spans="1:1" x14ac:dyDescent="0.25">
      <c r="A823174" s="242"/>
    </row>
    <row r="823175" spans="1:1" x14ac:dyDescent="0.25">
      <c r="A823175" s="242"/>
    </row>
    <row r="823176" spans="1:1" x14ac:dyDescent="0.25">
      <c r="A823176" s="242"/>
    </row>
    <row r="823177" spans="1:1" x14ac:dyDescent="0.25">
      <c r="A823177" s="242"/>
    </row>
    <row r="823178" spans="1:1" x14ac:dyDescent="0.25">
      <c r="A823178" s="242"/>
    </row>
    <row r="823179" spans="1:1" x14ac:dyDescent="0.25">
      <c r="A823179" s="242"/>
    </row>
    <row r="823180" spans="1:1" x14ac:dyDescent="0.25">
      <c r="A823180" s="242"/>
    </row>
    <row r="823181" spans="1:1" x14ac:dyDescent="0.25">
      <c r="A823181" s="242"/>
    </row>
    <row r="823182" spans="1:1" x14ac:dyDescent="0.25">
      <c r="A823182" s="242"/>
    </row>
    <row r="823183" spans="1:1" x14ac:dyDescent="0.25">
      <c r="A823183" s="242"/>
    </row>
    <row r="823184" spans="1:1" x14ac:dyDescent="0.25">
      <c r="A823184" s="242"/>
    </row>
    <row r="823185" spans="1:1" x14ac:dyDescent="0.25">
      <c r="A823185" s="242"/>
    </row>
    <row r="823186" spans="1:1" x14ac:dyDescent="0.25">
      <c r="A823186" s="242"/>
    </row>
    <row r="823187" spans="1:1" x14ac:dyDescent="0.25">
      <c r="A823187" s="242"/>
    </row>
    <row r="823188" spans="1:1" x14ac:dyDescent="0.25">
      <c r="A823188" s="242"/>
    </row>
    <row r="823189" spans="1:1" x14ac:dyDescent="0.25">
      <c r="A823189" s="242"/>
    </row>
    <row r="823190" spans="1:1" x14ac:dyDescent="0.25">
      <c r="A823190" s="242"/>
    </row>
    <row r="823191" spans="1:1" x14ac:dyDescent="0.25">
      <c r="A823191" s="242"/>
    </row>
    <row r="823192" spans="1:1" x14ac:dyDescent="0.25">
      <c r="A823192" s="242"/>
    </row>
    <row r="823193" spans="1:1" x14ac:dyDescent="0.25">
      <c r="A823193" s="242"/>
    </row>
    <row r="823194" spans="1:1" x14ac:dyDescent="0.25">
      <c r="A823194" s="242"/>
    </row>
    <row r="823195" spans="1:1" x14ac:dyDescent="0.25">
      <c r="A823195" s="242"/>
    </row>
    <row r="823196" spans="1:1" x14ac:dyDescent="0.25">
      <c r="A823196" s="242"/>
    </row>
    <row r="823197" spans="1:1" x14ac:dyDescent="0.25">
      <c r="A823197" s="242"/>
    </row>
    <row r="823198" spans="1:1" x14ac:dyDescent="0.25">
      <c r="A823198" s="242"/>
    </row>
    <row r="823199" spans="1:1" x14ac:dyDescent="0.25">
      <c r="A823199" s="242"/>
    </row>
    <row r="823200" spans="1:1" x14ac:dyDescent="0.25">
      <c r="A823200" s="242"/>
    </row>
    <row r="823201" spans="1:1" x14ac:dyDescent="0.25">
      <c r="A823201" s="242"/>
    </row>
    <row r="823202" spans="1:1" x14ac:dyDescent="0.25">
      <c r="A823202" s="242"/>
    </row>
    <row r="823203" spans="1:1" x14ac:dyDescent="0.25">
      <c r="A823203" s="242"/>
    </row>
    <row r="823204" spans="1:1" x14ac:dyDescent="0.25">
      <c r="A823204" s="242"/>
    </row>
    <row r="823205" spans="1:1" x14ac:dyDescent="0.25">
      <c r="A823205" s="242"/>
    </row>
    <row r="823206" spans="1:1" x14ac:dyDescent="0.25">
      <c r="A823206" s="242"/>
    </row>
    <row r="823207" spans="1:1" x14ac:dyDescent="0.25">
      <c r="A823207" s="242"/>
    </row>
    <row r="823208" spans="1:1" x14ac:dyDescent="0.25">
      <c r="A823208" s="242"/>
    </row>
    <row r="823209" spans="1:1" x14ac:dyDescent="0.25">
      <c r="A823209" s="242"/>
    </row>
    <row r="823210" spans="1:1" x14ac:dyDescent="0.25">
      <c r="A823210" s="242"/>
    </row>
    <row r="823211" spans="1:1" x14ac:dyDescent="0.25">
      <c r="A823211" s="242"/>
    </row>
    <row r="823212" spans="1:1" x14ac:dyDescent="0.25">
      <c r="A823212" s="242"/>
    </row>
    <row r="823213" spans="1:1" x14ac:dyDescent="0.25">
      <c r="A823213" s="242"/>
    </row>
    <row r="823214" spans="1:1" x14ac:dyDescent="0.25">
      <c r="A823214" s="242"/>
    </row>
    <row r="823215" spans="1:1" x14ac:dyDescent="0.25">
      <c r="A823215" s="242"/>
    </row>
    <row r="823216" spans="1:1" x14ac:dyDescent="0.25">
      <c r="A823216" s="242"/>
    </row>
    <row r="823217" spans="1:1" x14ac:dyDescent="0.25">
      <c r="A823217" s="242"/>
    </row>
    <row r="823218" spans="1:1" x14ac:dyDescent="0.25">
      <c r="A823218" s="242"/>
    </row>
    <row r="823219" spans="1:1" x14ac:dyDescent="0.25">
      <c r="A823219" s="242"/>
    </row>
    <row r="823220" spans="1:1" x14ac:dyDescent="0.25">
      <c r="A823220" s="242"/>
    </row>
    <row r="823221" spans="1:1" x14ac:dyDescent="0.25">
      <c r="A823221" s="242"/>
    </row>
    <row r="823222" spans="1:1" x14ac:dyDescent="0.25">
      <c r="A823222" s="242"/>
    </row>
    <row r="823223" spans="1:1" x14ac:dyDescent="0.25">
      <c r="A823223" s="242"/>
    </row>
    <row r="823224" spans="1:1" x14ac:dyDescent="0.25">
      <c r="A823224" s="242"/>
    </row>
    <row r="823225" spans="1:1" x14ac:dyDescent="0.25">
      <c r="A823225" s="242"/>
    </row>
    <row r="823226" spans="1:1" x14ac:dyDescent="0.25">
      <c r="A823226" s="242"/>
    </row>
    <row r="823227" spans="1:1" x14ac:dyDescent="0.25">
      <c r="A823227" s="242"/>
    </row>
    <row r="823228" spans="1:1" x14ac:dyDescent="0.25">
      <c r="A823228" s="242"/>
    </row>
    <row r="823229" spans="1:1" x14ac:dyDescent="0.25">
      <c r="A823229" s="242"/>
    </row>
    <row r="823230" spans="1:1" x14ac:dyDescent="0.25">
      <c r="A823230" s="242"/>
    </row>
    <row r="823231" spans="1:1" x14ac:dyDescent="0.25">
      <c r="A823231" s="242"/>
    </row>
    <row r="823232" spans="1:1" x14ac:dyDescent="0.25">
      <c r="A823232" s="242"/>
    </row>
    <row r="823233" spans="1:1" x14ac:dyDescent="0.25">
      <c r="A823233" s="242"/>
    </row>
    <row r="823234" spans="1:1" x14ac:dyDescent="0.25">
      <c r="A823234" s="242"/>
    </row>
    <row r="823235" spans="1:1" x14ac:dyDescent="0.25">
      <c r="A823235" s="242"/>
    </row>
    <row r="823236" spans="1:1" x14ac:dyDescent="0.25">
      <c r="A823236" s="242"/>
    </row>
    <row r="823237" spans="1:1" x14ac:dyDescent="0.25">
      <c r="A823237" s="242"/>
    </row>
    <row r="823238" spans="1:1" x14ac:dyDescent="0.25">
      <c r="A823238" s="242"/>
    </row>
    <row r="823239" spans="1:1" x14ac:dyDescent="0.25">
      <c r="A823239" s="242"/>
    </row>
    <row r="823240" spans="1:1" x14ac:dyDescent="0.25">
      <c r="A823240" s="242"/>
    </row>
    <row r="823241" spans="1:1" x14ac:dyDescent="0.25">
      <c r="A823241" s="242"/>
    </row>
    <row r="823242" spans="1:1" x14ac:dyDescent="0.25">
      <c r="A823242" s="242"/>
    </row>
    <row r="823243" spans="1:1" x14ac:dyDescent="0.25">
      <c r="A823243" s="242"/>
    </row>
    <row r="823244" spans="1:1" x14ac:dyDescent="0.25">
      <c r="A823244" s="242"/>
    </row>
    <row r="823245" spans="1:1" x14ac:dyDescent="0.25">
      <c r="A823245" s="242"/>
    </row>
    <row r="823246" spans="1:1" x14ac:dyDescent="0.25">
      <c r="A823246" s="242"/>
    </row>
    <row r="823247" spans="1:1" x14ac:dyDescent="0.25">
      <c r="A823247" s="242"/>
    </row>
    <row r="823248" spans="1:1" x14ac:dyDescent="0.25">
      <c r="A823248" s="242"/>
    </row>
    <row r="823249" spans="1:1" x14ac:dyDescent="0.25">
      <c r="A823249" s="242"/>
    </row>
    <row r="823250" spans="1:1" x14ac:dyDescent="0.25">
      <c r="A823250" s="242"/>
    </row>
    <row r="823251" spans="1:1" x14ac:dyDescent="0.25">
      <c r="A823251" s="242"/>
    </row>
    <row r="823252" spans="1:1" x14ac:dyDescent="0.25">
      <c r="A823252" s="242"/>
    </row>
    <row r="823253" spans="1:1" x14ac:dyDescent="0.25">
      <c r="A823253" s="242"/>
    </row>
    <row r="823254" spans="1:1" x14ac:dyDescent="0.25">
      <c r="A823254" s="242"/>
    </row>
    <row r="823255" spans="1:1" x14ac:dyDescent="0.25">
      <c r="A823255" s="242"/>
    </row>
    <row r="823256" spans="1:1" x14ac:dyDescent="0.25">
      <c r="A823256" s="242"/>
    </row>
    <row r="823257" spans="1:1" x14ac:dyDescent="0.25">
      <c r="A823257" s="242"/>
    </row>
    <row r="823258" spans="1:1" x14ac:dyDescent="0.25">
      <c r="A823258" s="242"/>
    </row>
    <row r="823259" spans="1:1" x14ac:dyDescent="0.25">
      <c r="A823259" s="242"/>
    </row>
    <row r="823260" spans="1:1" x14ac:dyDescent="0.25">
      <c r="A823260" s="242"/>
    </row>
    <row r="823261" spans="1:1" x14ac:dyDescent="0.25">
      <c r="A823261" s="242"/>
    </row>
    <row r="823262" spans="1:1" x14ac:dyDescent="0.25">
      <c r="A823262" s="242"/>
    </row>
    <row r="823263" spans="1:1" x14ac:dyDescent="0.25">
      <c r="A823263" s="242"/>
    </row>
    <row r="823264" spans="1:1" x14ac:dyDescent="0.25">
      <c r="A823264" s="242"/>
    </row>
    <row r="823265" spans="1:1" x14ac:dyDescent="0.25">
      <c r="A823265" s="242"/>
    </row>
    <row r="823266" spans="1:1" x14ac:dyDescent="0.25">
      <c r="A823266" s="242"/>
    </row>
    <row r="823267" spans="1:1" x14ac:dyDescent="0.25">
      <c r="A823267" s="242"/>
    </row>
    <row r="823268" spans="1:1" x14ac:dyDescent="0.25">
      <c r="A823268" s="242"/>
    </row>
    <row r="823269" spans="1:1" x14ac:dyDescent="0.25">
      <c r="A823269" s="242"/>
    </row>
    <row r="823270" spans="1:1" x14ac:dyDescent="0.25">
      <c r="A823270" s="242"/>
    </row>
    <row r="823271" spans="1:1" x14ac:dyDescent="0.25">
      <c r="A823271" s="242"/>
    </row>
    <row r="823272" spans="1:1" x14ac:dyDescent="0.25">
      <c r="A823272" s="242"/>
    </row>
    <row r="823273" spans="1:1" x14ac:dyDescent="0.25">
      <c r="A823273" s="242"/>
    </row>
    <row r="823274" spans="1:1" x14ac:dyDescent="0.25">
      <c r="A823274" s="242"/>
    </row>
    <row r="823275" spans="1:1" x14ac:dyDescent="0.25">
      <c r="A823275" s="242"/>
    </row>
    <row r="823276" spans="1:1" x14ac:dyDescent="0.25">
      <c r="A823276" s="242"/>
    </row>
    <row r="823277" spans="1:1" x14ac:dyDescent="0.25">
      <c r="A823277" s="242"/>
    </row>
    <row r="823278" spans="1:1" x14ac:dyDescent="0.25">
      <c r="A823278" s="242"/>
    </row>
    <row r="823279" spans="1:1" x14ac:dyDescent="0.25">
      <c r="A823279" s="242"/>
    </row>
    <row r="823280" spans="1:1" x14ac:dyDescent="0.25">
      <c r="A823280" s="242"/>
    </row>
    <row r="823281" spans="1:1" x14ac:dyDescent="0.25">
      <c r="A823281" s="242"/>
    </row>
    <row r="823282" spans="1:1" x14ac:dyDescent="0.25">
      <c r="A823282" s="242"/>
    </row>
    <row r="823283" spans="1:1" x14ac:dyDescent="0.25">
      <c r="A823283" s="242"/>
    </row>
    <row r="823284" spans="1:1" x14ac:dyDescent="0.25">
      <c r="A823284" s="242"/>
    </row>
    <row r="823285" spans="1:1" x14ac:dyDescent="0.25">
      <c r="A823285" s="242"/>
    </row>
    <row r="823286" spans="1:1" x14ac:dyDescent="0.25">
      <c r="A823286" s="242"/>
    </row>
    <row r="823287" spans="1:1" x14ac:dyDescent="0.25">
      <c r="A823287" s="242"/>
    </row>
    <row r="823288" spans="1:1" x14ac:dyDescent="0.25">
      <c r="A823288" s="242"/>
    </row>
    <row r="823289" spans="1:1" x14ac:dyDescent="0.25">
      <c r="A823289" s="242"/>
    </row>
    <row r="823290" spans="1:1" x14ac:dyDescent="0.25">
      <c r="A823290" s="242"/>
    </row>
    <row r="823291" spans="1:1" x14ac:dyDescent="0.25">
      <c r="A823291" s="242"/>
    </row>
    <row r="823292" spans="1:1" x14ac:dyDescent="0.25">
      <c r="A823292" s="242"/>
    </row>
    <row r="823293" spans="1:1" x14ac:dyDescent="0.25">
      <c r="A823293" s="242"/>
    </row>
    <row r="823294" spans="1:1" x14ac:dyDescent="0.25">
      <c r="A823294" s="242"/>
    </row>
    <row r="823295" spans="1:1" x14ac:dyDescent="0.25">
      <c r="A823295" s="242"/>
    </row>
    <row r="823296" spans="1:1" x14ac:dyDescent="0.25">
      <c r="A823296" s="242"/>
    </row>
    <row r="823297" spans="1:1" x14ac:dyDescent="0.25">
      <c r="A823297" s="242"/>
    </row>
    <row r="823298" spans="1:1" x14ac:dyDescent="0.25">
      <c r="A823298" s="242"/>
    </row>
    <row r="823299" spans="1:1" x14ac:dyDescent="0.25">
      <c r="A823299" s="242"/>
    </row>
    <row r="823300" spans="1:1" x14ac:dyDescent="0.25">
      <c r="A823300" s="242"/>
    </row>
    <row r="823301" spans="1:1" x14ac:dyDescent="0.25">
      <c r="A823301" s="242"/>
    </row>
    <row r="823302" spans="1:1" x14ac:dyDescent="0.25">
      <c r="A823302" s="242"/>
    </row>
    <row r="823303" spans="1:1" x14ac:dyDescent="0.25">
      <c r="A823303" s="242"/>
    </row>
    <row r="823304" spans="1:1" x14ac:dyDescent="0.25">
      <c r="A823304" s="242"/>
    </row>
    <row r="823305" spans="1:1" x14ac:dyDescent="0.25">
      <c r="A823305" s="242"/>
    </row>
    <row r="823306" spans="1:1" x14ac:dyDescent="0.25">
      <c r="A823306" s="242"/>
    </row>
    <row r="823307" spans="1:1" x14ac:dyDescent="0.25">
      <c r="A823307" s="242"/>
    </row>
    <row r="823308" spans="1:1" x14ac:dyDescent="0.25">
      <c r="A823308" s="242"/>
    </row>
    <row r="823309" spans="1:1" x14ac:dyDescent="0.25">
      <c r="A823309" s="242"/>
    </row>
    <row r="823310" spans="1:1" x14ac:dyDescent="0.25">
      <c r="A823310" s="242"/>
    </row>
    <row r="823311" spans="1:1" x14ac:dyDescent="0.25">
      <c r="A823311" s="242"/>
    </row>
    <row r="823312" spans="1:1" x14ac:dyDescent="0.25">
      <c r="A823312" s="242"/>
    </row>
    <row r="823313" spans="1:1" x14ac:dyDescent="0.25">
      <c r="A823313" s="242"/>
    </row>
    <row r="823314" spans="1:1" x14ac:dyDescent="0.25">
      <c r="A823314" s="242"/>
    </row>
    <row r="823315" spans="1:1" x14ac:dyDescent="0.25">
      <c r="A823315" s="242"/>
    </row>
    <row r="823316" spans="1:1" x14ac:dyDescent="0.25">
      <c r="A823316" s="242"/>
    </row>
    <row r="823317" spans="1:1" x14ac:dyDescent="0.25">
      <c r="A823317" s="242"/>
    </row>
    <row r="823318" spans="1:1" x14ac:dyDescent="0.25">
      <c r="A823318" s="242"/>
    </row>
    <row r="823319" spans="1:1" x14ac:dyDescent="0.25">
      <c r="A823319" s="242"/>
    </row>
    <row r="823320" spans="1:1" x14ac:dyDescent="0.25">
      <c r="A823320" s="242"/>
    </row>
    <row r="823321" spans="1:1" x14ac:dyDescent="0.25">
      <c r="A823321" s="242"/>
    </row>
    <row r="823322" spans="1:1" x14ac:dyDescent="0.25">
      <c r="A823322" s="242"/>
    </row>
    <row r="823323" spans="1:1" x14ac:dyDescent="0.25">
      <c r="A823323" s="242"/>
    </row>
    <row r="823324" spans="1:1" x14ac:dyDescent="0.25">
      <c r="A823324" s="242"/>
    </row>
    <row r="823325" spans="1:1" x14ac:dyDescent="0.25">
      <c r="A823325" s="242"/>
    </row>
    <row r="823326" spans="1:1" x14ac:dyDescent="0.25">
      <c r="A823326" s="242"/>
    </row>
    <row r="823327" spans="1:1" x14ac:dyDescent="0.25">
      <c r="A823327" s="242"/>
    </row>
    <row r="823328" spans="1:1" x14ac:dyDescent="0.25">
      <c r="A823328" s="242"/>
    </row>
    <row r="823329" spans="1:1" x14ac:dyDescent="0.25">
      <c r="A823329" s="242"/>
    </row>
    <row r="823330" spans="1:1" x14ac:dyDescent="0.25">
      <c r="A823330" s="242"/>
    </row>
    <row r="823331" spans="1:1" x14ac:dyDescent="0.25">
      <c r="A823331" s="242"/>
    </row>
    <row r="823332" spans="1:1" x14ac:dyDescent="0.25">
      <c r="A823332" s="242"/>
    </row>
    <row r="823333" spans="1:1" x14ac:dyDescent="0.25">
      <c r="A823333" s="242"/>
    </row>
    <row r="823334" spans="1:1" x14ac:dyDescent="0.25">
      <c r="A823334" s="242"/>
    </row>
    <row r="823335" spans="1:1" x14ac:dyDescent="0.25">
      <c r="A823335" s="242"/>
    </row>
    <row r="823336" spans="1:1" x14ac:dyDescent="0.25">
      <c r="A823336" s="242"/>
    </row>
    <row r="823337" spans="1:1" x14ac:dyDescent="0.25">
      <c r="A823337" s="242"/>
    </row>
    <row r="823338" spans="1:1" x14ac:dyDescent="0.25">
      <c r="A823338" s="242"/>
    </row>
    <row r="823339" spans="1:1" x14ac:dyDescent="0.25">
      <c r="A823339" s="242"/>
    </row>
    <row r="823340" spans="1:1" x14ac:dyDescent="0.25">
      <c r="A823340" s="242"/>
    </row>
    <row r="823341" spans="1:1" x14ac:dyDescent="0.25">
      <c r="A823341" s="242"/>
    </row>
    <row r="823342" spans="1:1" x14ac:dyDescent="0.25">
      <c r="A823342" s="242"/>
    </row>
    <row r="823343" spans="1:1" x14ac:dyDescent="0.25">
      <c r="A823343" s="242"/>
    </row>
    <row r="823344" spans="1:1" x14ac:dyDescent="0.25">
      <c r="A823344" s="242"/>
    </row>
    <row r="823345" spans="1:1" x14ac:dyDescent="0.25">
      <c r="A823345" s="242"/>
    </row>
    <row r="823346" spans="1:1" x14ac:dyDescent="0.25">
      <c r="A823346" s="242"/>
    </row>
    <row r="823347" spans="1:1" x14ac:dyDescent="0.25">
      <c r="A823347" s="242"/>
    </row>
    <row r="823348" spans="1:1" x14ac:dyDescent="0.25">
      <c r="A823348" s="242"/>
    </row>
    <row r="823349" spans="1:1" x14ac:dyDescent="0.25">
      <c r="A823349" s="242"/>
    </row>
    <row r="823350" spans="1:1" x14ac:dyDescent="0.25">
      <c r="A823350" s="242"/>
    </row>
    <row r="823351" spans="1:1" x14ac:dyDescent="0.25">
      <c r="A823351" s="242"/>
    </row>
    <row r="823352" spans="1:1" x14ac:dyDescent="0.25">
      <c r="A823352" s="242"/>
    </row>
    <row r="823353" spans="1:1" x14ac:dyDescent="0.25">
      <c r="A823353" s="242"/>
    </row>
    <row r="823354" spans="1:1" x14ac:dyDescent="0.25">
      <c r="A823354" s="242"/>
    </row>
    <row r="823355" spans="1:1" x14ac:dyDescent="0.25">
      <c r="A823355" s="242"/>
    </row>
    <row r="823356" spans="1:1" x14ac:dyDescent="0.25">
      <c r="A823356" s="242"/>
    </row>
    <row r="823357" spans="1:1" x14ac:dyDescent="0.25">
      <c r="A823357" s="242"/>
    </row>
    <row r="823358" spans="1:1" x14ac:dyDescent="0.25">
      <c r="A823358" s="242"/>
    </row>
    <row r="823359" spans="1:1" x14ac:dyDescent="0.25">
      <c r="A823359" s="242"/>
    </row>
    <row r="823360" spans="1:1" x14ac:dyDescent="0.25">
      <c r="A823360" s="242"/>
    </row>
    <row r="823361" spans="1:1" x14ac:dyDescent="0.25">
      <c r="A823361" s="242"/>
    </row>
    <row r="823362" spans="1:1" x14ac:dyDescent="0.25">
      <c r="A823362" s="242"/>
    </row>
    <row r="823363" spans="1:1" x14ac:dyDescent="0.25">
      <c r="A823363" s="242"/>
    </row>
    <row r="823364" spans="1:1" x14ac:dyDescent="0.25">
      <c r="A823364" s="242"/>
    </row>
    <row r="823365" spans="1:1" x14ac:dyDescent="0.25">
      <c r="A823365" s="242"/>
    </row>
    <row r="823366" spans="1:1" x14ac:dyDescent="0.25">
      <c r="A823366" s="242"/>
    </row>
    <row r="823367" spans="1:1" x14ac:dyDescent="0.25">
      <c r="A823367" s="242"/>
    </row>
    <row r="823368" spans="1:1" x14ac:dyDescent="0.25">
      <c r="A823368" s="242"/>
    </row>
    <row r="823369" spans="1:1" x14ac:dyDescent="0.25">
      <c r="A823369" s="242"/>
    </row>
    <row r="823370" spans="1:1" x14ac:dyDescent="0.25">
      <c r="A823370" s="242"/>
    </row>
    <row r="823371" spans="1:1" x14ac:dyDescent="0.25">
      <c r="A823371" s="242"/>
    </row>
    <row r="823372" spans="1:1" x14ac:dyDescent="0.25">
      <c r="A823372" s="242"/>
    </row>
    <row r="823373" spans="1:1" x14ac:dyDescent="0.25">
      <c r="A823373" s="242"/>
    </row>
    <row r="823374" spans="1:1" x14ac:dyDescent="0.25">
      <c r="A823374" s="242"/>
    </row>
    <row r="823375" spans="1:1" x14ac:dyDescent="0.25">
      <c r="A823375" s="242"/>
    </row>
    <row r="823376" spans="1:1" x14ac:dyDescent="0.25">
      <c r="A823376" s="242"/>
    </row>
    <row r="823377" spans="1:1" x14ac:dyDescent="0.25">
      <c r="A823377" s="242"/>
    </row>
    <row r="823378" spans="1:1" x14ac:dyDescent="0.25">
      <c r="A823378" s="242"/>
    </row>
    <row r="823379" spans="1:1" x14ac:dyDescent="0.25">
      <c r="A823379" s="242"/>
    </row>
    <row r="823380" spans="1:1" x14ac:dyDescent="0.25">
      <c r="A823380" s="242"/>
    </row>
    <row r="823381" spans="1:1" x14ac:dyDescent="0.25">
      <c r="A823381" s="242"/>
    </row>
    <row r="823382" spans="1:1" x14ac:dyDescent="0.25">
      <c r="A823382" s="242"/>
    </row>
    <row r="823383" spans="1:1" x14ac:dyDescent="0.25">
      <c r="A823383" s="242"/>
    </row>
    <row r="823384" spans="1:1" x14ac:dyDescent="0.25">
      <c r="A823384" s="242"/>
    </row>
    <row r="823385" spans="1:1" x14ac:dyDescent="0.25">
      <c r="A823385" s="242"/>
    </row>
    <row r="823386" spans="1:1" x14ac:dyDescent="0.25">
      <c r="A823386" s="242"/>
    </row>
    <row r="823387" spans="1:1" x14ac:dyDescent="0.25">
      <c r="A823387" s="242"/>
    </row>
    <row r="823388" spans="1:1" x14ac:dyDescent="0.25">
      <c r="A823388" s="242"/>
    </row>
    <row r="823389" spans="1:1" x14ac:dyDescent="0.25">
      <c r="A823389" s="242"/>
    </row>
    <row r="823390" spans="1:1" x14ac:dyDescent="0.25">
      <c r="A823390" s="242"/>
    </row>
    <row r="823391" spans="1:1" x14ac:dyDescent="0.25">
      <c r="A823391" s="242"/>
    </row>
    <row r="823392" spans="1:1" x14ac:dyDescent="0.25">
      <c r="A823392" s="242"/>
    </row>
    <row r="823393" spans="1:1" x14ac:dyDescent="0.25">
      <c r="A823393" s="242"/>
    </row>
    <row r="823394" spans="1:1" x14ac:dyDescent="0.25">
      <c r="A823394" s="242"/>
    </row>
    <row r="823395" spans="1:1" x14ac:dyDescent="0.25">
      <c r="A823395" s="242"/>
    </row>
    <row r="823396" spans="1:1" x14ac:dyDescent="0.25">
      <c r="A823396" s="242"/>
    </row>
    <row r="823397" spans="1:1" x14ac:dyDescent="0.25">
      <c r="A823397" s="242"/>
    </row>
    <row r="823398" spans="1:1" x14ac:dyDescent="0.25">
      <c r="A823398" s="242"/>
    </row>
    <row r="823399" spans="1:1" x14ac:dyDescent="0.25">
      <c r="A823399" s="242"/>
    </row>
    <row r="823400" spans="1:1" x14ac:dyDescent="0.25">
      <c r="A823400" s="242"/>
    </row>
    <row r="823401" spans="1:1" x14ac:dyDescent="0.25">
      <c r="A823401" s="242"/>
    </row>
    <row r="823402" spans="1:1" x14ac:dyDescent="0.25">
      <c r="A823402" s="242"/>
    </row>
    <row r="823403" spans="1:1" x14ac:dyDescent="0.25">
      <c r="A823403" s="242"/>
    </row>
    <row r="823404" spans="1:1" x14ac:dyDescent="0.25">
      <c r="A823404" s="242"/>
    </row>
    <row r="823405" spans="1:1" x14ac:dyDescent="0.25">
      <c r="A823405" s="242"/>
    </row>
    <row r="823406" spans="1:1" x14ac:dyDescent="0.25">
      <c r="A823406" s="242"/>
    </row>
    <row r="823407" spans="1:1" x14ac:dyDescent="0.25">
      <c r="A823407" s="242"/>
    </row>
    <row r="823408" spans="1:1" x14ac:dyDescent="0.25">
      <c r="A823408" s="242"/>
    </row>
    <row r="823409" spans="1:1" x14ac:dyDescent="0.25">
      <c r="A823409" s="242"/>
    </row>
    <row r="823410" spans="1:1" x14ac:dyDescent="0.25">
      <c r="A823410" s="242"/>
    </row>
    <row r="823411" spans="1:1" x14ac:dyDescent="0.25">
      <c r="A823411" s="242"/>
    </row>
    <row r="823412" spans="1:1" x14ac:dyDescent="0.25">
      <c r="A823412" s="242"/>
    </row>
    <row r="823413" spans="1:1" x14ac:dyDescent="0.25">
      <c r="A823413" s="242"/>
    </row>
    <row r="823414" spans="1:1" x14ac:dyDescent="0.25">
      <c r="A823414" s="242"/>
    </row>
    <row r="823415" spans="1:1" x14ac:dyDescent="0.25">
      <c r="A823415" s="242"/>
    </row>
    <row r="823416" spans="1:1" x14ac:dyDescent="0.25">
      <c r="A823416" s="242"/>
    </row>
    <row r="823417" spans="1:1" x14ac:dyDescent="0.25">
      <c r="A823417" s="242"/>
    </row>
    <row r="823418" spans="1:1" x14ac:dyDescent="0.25">
      <c r="A823418" s="242"/>
    </row>
    <row r="823419" spans="1:1" x14ac:dyDescent="0.25">
      <c r="A823419" s="242"/>
    </row>
    <row r="823420" spans="1:1" x14ac:dyDescent="0.25">
      <c r="A823420" s="242"/>
    </row>
    <row r="823421" spans="1:1" x14ac:dyDescent="0.25">
      <c r="A823421" s="242"/>
    </row>
    <row r="823422" spans="1:1" x14ac:dyDescent="0.25">
      <c r="A823422" s="242"/>
    </row>
    <row r="823423" spans="1:1" x14ac:dyDescent="0.25">
      <c r="A823423" s="242"/>
    </row>
    <row r="823424" spans="1:1" x14ac:dyDescent="0.25">
      <c r="A823424" s="242"/>
    </row>
    <row r="823425" spans="1:1" x14ac:dyDescent="0.25">
      <c r="A823425" s="242"/>
    </row>
    <row r="823426" spans="1:1" x14ac:dyDescent="0.25">
      <c r="A823426" s="242"/>
    </row>
    <row r="823427" spans="1:1" x14ac:dyDescent="0.25">
      <c r="A823427" s="242"/>
    </row>
    <row r="823428" spans="1:1" x14ac:dyDescent="0.25">
      <c r="A823428" s="242"/>
    </row>
    <row r="823429" spans="1:1" x14ac:dyDescent="0.25">
      <c r="A823429" s="242"/>
    </row>
    <row r="823430" spans="1:1" x14ac:dyDescent="0.25">
      <c r="A823430" s="242"/>
    </row>
    <row r="823431" spans="1:1" x14ac:dyDescent="0.25">
      <c r="A823431" s="242"/>
    </row>
    <row r="823432" spans="1:1" x14ac:dyDescent="0.25">
      <c r="A823432" s="242"/>
    </row>
    <row r="823433" spans="1:1" x14ac:dyDescent="0.25">
      <c r="A823433" s="242"/>
    </row>
    <row r="823434" spans="1:1" x14ac:dyDescent="0.25">
      <c r="A823434" s="242"/>
    </row>
    <row r="823435" spans="1:1" x14ac:dyDescent="0.25">
      <c r="A823435" s="242"/>
    </row>
    <row r="823436" spans="1:1" x14ac:dyDescent="0.25">
      <c r="A823436" s="242"/>
    </row>
    <row r="823437" spans="1:1" x14ac:dyDescent="0.25">
      <c r="A823437" s="242"/>
    </row>
    <row r="823438" spans="1:1" x14ac:dyDescent="0.25">
      <c r="A823438" s="242"/>
    </row>
    <row r="823439" spans="1:1" x14ac:dyDescent="0.25">
      <c r="A823439" s="242"/>
    </row>
    <row r="823440" spans="1:1" x14ac:dyDescent="0.25">
      <c r="A823440" s="242"/>
    </row>
    <row r="823441" spans="1:1" x14ac:dyDescent="0.25">
      <c r="A823441" s="242"/>
    </row>
    <row r="823442" spans="1:1" x14ac:dyDescent="0.25">
      <c r="A823442" s="242"/>
    </row>
    <row r="823443" spans="1:1" x14ac:dyDescent="0.25">
      <c r="A823443" s="242"/>
    </row>
    <row r="823444" spans="1:1" x14ac:dyDescent="0.25">
      <c r="A823444" s="242"/>
    </row>
    <row r="823445" spans="1:1" x14ac:dyDescent="0.25">
      <c r="A823445" s="242"/>
    </row>
    <row r="823446" spans="1:1" x14ac:dyDescent="0.25">
      <c r="A823446" s="242"/>
    </row>
    <row r="823447" spans="1:1" x14ac:dyDescent="0.25">
      <c r="A823447" s="242"/>
    </row>
    <row r="823448" spans="1:1" x14ac:dyDescent="0.25">
      <c r="A823448" s="242"/>
    </row>
    <row r="823449" spans="1:1" x14ac:dyDescent="0.25">
      <c r="A823449" s="242"/>
    </row>
    <row r="823450" spans="1:1" x14ac:dyDescent="0.25">
      <c r="A823450" s="242"/>
    </row>
    <row r="823451" spans="1:1" x14ac:dyDescent="0.25">
      <c r="A823451" s="242"/>
    </row>
    <row r="823452" spans="1:1" x14ac:dyDescent="0.25">
      <c r="A823452" s="242"/>
    </row>
    <row r="823453" spans="1:1" x14ac:dyDescent="0.25">
      <c r="A823453" s="242"/>
    </row>
    <row r="823454" spans="1:1" x14ac:dyDescent="0.25">
      <c r="A823454" s="242"/>
    </row>
    <row r="823455" spans="1:1" x14ac:dyDescent="0.25">
      <c r="A823455" s="242"/>
    </row>
    <row r="823456" spans="1:1" x14ac:dyDescent="0.25">
      <c r="A823456" s="242"/>
    </row>
    <row r="823457" spans="1:1" x14ac:dyDescent="0.25">
      <c r="A823457" s="242"/>
    </row>
    <row r="823458" spans="1:1" x14ac:dyDescent="0.25">
      <c r="A823458" s="242"/>
    </row>
    <row r="823459" spans="1:1" x14ac:dyDescent="0.25">
      <c r="A823459" s="242"/>
    </row>
    <row r="823460" spans="1:1" x14ac:dyDescent="0.25">
      <c r="A823460" s="242"/>
    </row>
    <row r="823461" spans="1:1" x14ac:dyDescent="0.25">
      <c r="A823461" s="242"/>
    </row>
    <row r="823462" spans="1:1" x14ac:dyDescent="0.25">
      <c r="A823462" s="242"/>
    </row>
    <row r="823463" spans="1:1" x14ac:dyDescent="0.25">
      <c r="A823463" s="242"/>
    </row>
    <row r="823464" spans="1:1" x14ac:dyDescent="0.25">
      <c r="A823464" s="242"/>
    </row>
    <row r="823465" spans="1:1" x14ac:dyDescent="0.25">
      <c r="A823465" s="242"/>
    </row>
    <row r="823466" spans="1:1" x14ac:dyDescent="0.25">
      <c r="A823466" s="242"/>
    </row>
    <row r="823467" spans="1:1" x14ac:dyDescent="0.25">
      <c r="A823467" s="242"/>
    </row>
    <row r="823468" spans="1:1" x14ac:dyDescent="0.25">
      <c r="A823468" s="242"/>
    </row>
    <row r="823469" spans="1:1" x14ac:dyDescent="0.25">
      <c r="A823469" s="242"/>
    </row>
    <row r="823470" spans="1:1" x14ac:dyDescent="0.25">
      <c r="A823470" s="242"/>
    </row>
    <row r="823471" spans="1:1" x14ac:dyDescent="0.25">
      <c r="A823471" s="242"/>
    </row>
    <row r="823472" spans="1:1" x14ac:dyDescent="0.25">
      <c r="A823472" s="242"/>
    </row>
    <row r="823473" spans="1:1" x14ac:dyDescent="0.25">
      <c r="A823473" s="242"/>
    </row>
    <row r="823474" spans="1:1" x14ac:dyDescent="0.25">
      <c r="A823474" s="242"/>
    </row>
    <row r="823475" spans="1:1" x14ac:dyDescent="0.25">
      <c r="A823475" s="242"/>
    </row>
    <row r="823476" spans="1:1" x14ac:dyDescent="0.25">
      <c r="A823476" s="242"/>
    </row>
    <row r="823477" spans="1:1" x14ac:dyDescent="0.25">
      <c r="A823477" s="242"/>
    </row>
    <row r="823478" spans="1:1" x14ac:dyDescent="0.25">
      <c r="A823478" s="242"/>
    </row>
    <row r="823479" spans="1:1" x14ac:dyDescent="0.25">
      <c r="A823479" s="242"/>
    </row>
    <row r="823480" spans="1:1" x14ac:dyDescent="0.25">
      <c r="A823480" s="242"/>
    </row>
    <row r="823481" spans="1:1" x14ac:dyDescent="0.25">
      <c r="A823481" s="242"/>
    </row>
    <row r="823482" spans="1:1" x14ac:dyDescent="0.25">
      <c r="A823482" s="242"/>
    </row>
    <row r="823483" spans="1:1" x14ac:dyDescent="0.25">
      <c r="A823483" s="242"/>
    </row>
    <row r="823484" spans="1:1" x14ac:dyDescent="0.25">
      <c r="A823484" s="242"/>
    </row>
    <row r="823485" spans="1:1" x14ac:dyDescent="0.25">
      <c r="A823485" s="242"/>
    </row>
    <row r="823486" spans="1:1" x14ac:dyDescent="0.25">
      <c r="A823486" s="242"/>
    </row>
    <row r="823487" spans="1:1" x14ac:dyDescent="0.25">
      <c r="A823487" s="242"/>
    </row>
    <row r="823488" spans="1:1" x14ac:dyDescent="0.25">
      <c r="A823488" s="242"/>
    </row>
    <row r="823489" spans="1:1" x14ac:dyDescent="0.25">
      <c r="A823489" s="242"/>
    </row>
    <row r="823490" spans="1:1" x14ac:dyDescent="0.25">
      <c r="A823490" s="242"/>
    </row>
    <row r="823491" spans="1:1" x14ac:dyDescent="0.25">
      <c r="A823491" s="242"/>
    </row>
    <row r="823492" spans="1:1" x14ac:dyDescent="0.25">
      <c r="A823492" s="242"/>
    </row>
    <row r="823493" spans="1:1" x14ac:dyDescent="0.25">
      <c r="A823493" s="242"/>
    </row>
    <row r="823494" spans="1:1" x14ac:dyDescent="0.25">
      <c r="A823494" s="242"/>
    </row>
    <row r="823495" spans="1:1" x14ac:dyDescent="0.25">
      <c r="A823495" s="242"/>
    </row>
    <row r="823496" spans="1:1" x14ac:dyDescent="0.25">
      <c r="A823496" s="242"/>
    </row>
    <row r="823497" spans="1:1" x14ac:dyDescent="0.25">
      <c r="A823497" s="242"/>
    </row>
    <row r="823498" spans="1:1" x14ac:dyDescent="0.25">
      <c r="A823498" s="242"/>
    </row>
    <row r="823499" spans="1:1" x14ac:dyDescent="0.25">
      <c r="A823499" s="242"/>
    </row>
    <row r="823500" spans="1:1" x14ac:dyDescent="0.25">
      <c r="A823500" s="242"/>
    </row>
    <row r="823501" spans="1:1" x14ac:dyDescent="0.25">
      <c r="A823501" s="242"/>
    </row>
    <row r="823502" spans="1:1" x14ac:dyDescent="0.25">
      <c r="A823502" s="242"/>
    </row>
    <row r="823503" spans="1:1" x14ac:dyDescent="0.25">
      <c r="A823503" s="242"/>
    </row>
    <row r="823504" spans="1:1" x14ac:dyDescent="0.25">
      <c r="A823504" s="242"/>
    </row>
    <row r="823505" spans="1:1" x14ac:dyDescent="0.25">
      <c r="A823505" s="242"/>
    </row>
    <row r="823506" spans="1:1" x14ac:dyDescent="0.25">
      <c r="A823506" s="242"/>
    </row>
    <row r="823507" spans="1:1" x14ac:dyDescent="0.25">
      <c r="A823507" s="242"/>
    </row>
    <row r="823508" spans="1:1" x14ac:dyDescent="0.25">
      <c r="A823508" s="242"/>
    </row>
    <row r="823509" spans="1:1" x14ac:dyDescent="0.25">
      <c r="A823509" s="242"/>
    </row>
    <row r="823510" spans="1:1" x14ac:dyDescent="0.25">
      <c r="A823510" s="242"/>
    </row>
    <row r="823511" spans="1:1" x14ac:dyDescent="0.25">
      <c r="A823511" s="242"/>
    </row>
    <row r="823512" spans="1:1" x14ac:dyDescent="0.25">
      <c r="A823512" s="242"/>
    </row>
    <row r="823513" spans="1:1" x14ac:dyDescent="0.25">
      <c r="A823513" s="242"/>
    </row>
    <row r="823514" spans="1:1" x14ac:dyDescent="0.25">
      <c r="A823514" s="242"/>
    </row>
    <row r="823515" spans="1:1" x14ac:dyDescent="0.25">
      <c r="A823515" s="242"/>
    </row>
    <row r="823516" spans="1:1" x14ac:dyDescent="0.25">
      <c r="A823516" s="242"/>
    </row>
    <row r="823517" spans="1:1" x14ac:dyDescent="0.25">
      <c r="A823517" s="242"/>
    </row>
    <row r="823518" spans="1:1" x14ac:dyDescent="0.25">
      <c r="A823518" s="242"/>
    </row>
    <row r="823519" spans="1:1" x14ac:dyDescent="0.25">
      <c r="A823519" s="242"/>
    </row>
    <row r="823520" spans="1:1" x14ac:dyDescent="0.25">
      <c r="A823520" s="242"/>
    </row>
    <row r="823521" spans="1:1" x14ac:dyDescent="0.25">
      <c r="A823521" s="242"/>
    </row>
    <row r="823522" spans="1:1" x14ac:dyDescent="0.25">
      <c r="A823522" s="242"/>
    </row>
    <row r="823523" spans="1:1" x14ac:dyDescent="0.25">
      <c r="A823523" s="242"/>
    </row>
    <row r="823524" spans="1:1" x14ac:dyDescent="0.25">
      <c r="A823524" s="242"/>
    </row>
    <row r="823525" spans="1:1" x14ac:dyDescent="0.25">
      <c r="A823525" s="242"/>
    </row>
    <row r="823526" spans="1:1" x14ac:dyDescent="0.25">
      <c r="A823526" s="242"/>
    </row>
    <row r="823527" spans="1:1" x14ac:dyDescent="0.25">
      <c r="A823527" s="242"/>
    </row>
    <row r="823528" spans="1:1" x14ac:dyDescent="0.25">
      <c r="A823528" s="242"/>
    </row>
    <row r="823529" spans="1:1" x14ac:dyDescent="0.25">
      <c r="A823529" s="242"/>
    </row>
    <row r="823530" spans="1:1" x14ac:dyDescent="0.25">
      <c r="A823530" s="242"/>
    </row>
    <row r="823531" spans="1:1" x14ac:dyDescent="0.25">
      <c r="A823531" s="242"/>
    </row>
    <row r="823532" spans="1:1" x14ac:dyDescent="0.25">
      <c r="A823532" s="242"/>
    </row>
    <row r="823533" spans="1:1" x14ac:dyDescent="0.25">
      <c r="A823533" s="242"/>
    </row>
    <row r="823534" spans="1:1" x14ac:dyDescent="0.25">
      <c r="A823534" s="242"/>
    </row>
    <row r="823535" spans="1:1" x14ac:dyDescent="0.25">
      <c r="A823535" s="242"/>
    </row>
    <row r="823536" spans="1:1" x14ac:dyDescent="0.25">
      <c r="A823536" s="242"/>
    </row>
    <row r="823537" spans="1:1" x14ac:dyDescent="0.25">
      <c r="A823537" s="242"/>
    </row>
    <row r="823538" spans="1:1" x14ac:dyDescent="0.25">
      <c r="A823538" s="242"/>
    </row>
    <row r="823539" spans="1:1" x14ac:dyDescent="0.25">
      <c r="A823539" s="242"/>
    </row>
    <row r="823540" spans="1:1" x14ac:dyDescent="0.25">
      <c r="A823540" s="242"/>
    </row>
    <row r="823541" spans="1:1" x14ac:dyDescent="0.25">
      <c r="A823541" s="242"/>
    </row>
    <row r="823542" spans="1:1" x14ac:dyDescent="0.25">
      <c r="A823542" s="242"/>
    </row>
    <row r="823543" spans="1:1" x14ac:dyDescent="0.25">
      <c r="A823543" s="242"/>
    </row>
    <row r="823544" spans="1:1" x14ac:dyDescent="0.25">
      <c r="A823544" s="242"/>
    </row>
    <row r="823545" spans="1:1" x14ac:dyDescent="0.25">
      <c r="A823545" s="242"/>
    </row>
    <row r="823546" spans="1:1" x14ac:dyDescent="0.25">
      <c r="A823546" s="242"/>
    </row>
    <row r="823547" spans="1:1" x14ac:dyDescent="0.25">
      <c r="A823547" s="242"/>
    </row>
    <row r="823548" spans="1:1" x14ac:dyDescent="0.25">
      <c r="A823548" s="242"/>
    </row>
    <row r="823549" spans="1:1" x14ac:dyDescent="0.25">
      <c r="A823549" s="242"/>
    </row>
    <row r="823550" spans="1:1" x14ac:dyDescent="0.25">
      <c r="A823550" s="242"/>
    </row>
    <row r="823551" spans="1:1" x14ac:dyDescent="0.25">
      <c r="A823551" s="242"/>
    </row>
    <row r="823552" spans="1:1" x14ac:dyDescent="0.25">
      <c r="A823552" s="242"/>
    </row>
    <row r="823553" spans="1:1" x14ac:dyDescent="0.25">
      <c r="A823553" s="242"/>
    </row>
    <row r="823554" spans="1:1" x14ac:dyDescent="0.25">
      <c r="A823554" s="242"/>
    </row>
    <row r="823555" spans="1:1" x14ac:dyDescent="0.25">
      <c r="A823555" s="242"/>
    </row>
    <row r="823556" spans="1:1" x14ac:dyDescent="0.25">
      <c r="A823556" s="242"/>
    </row>
    <row r="823557" spans="1:1" x14ac:dyDescent="0.25">
      <c r="A823557" s="242"/>
    </row>
    <row r="823558" spans="1:1" x14ac:dyDescent="0.25">
      <c r="A823558" s="242"/>
    </row>
    <row r="823559" spans="1:1" x14ac:dyDescent="0.25">
      <c r="A823559" s="242"/>
    </row>
    <row r="823560" spans="1:1" x14ac:dyDescent="0.25">
      <c r="A823560" s="242"/>
    </row>
    <row r="823561" spans="1:1" x14ac:dyDescent="0.25">
      <c r="A823561" s="242"/>
    </row>
    <row r="823562" spans="1:1" x14ac:dyDescent="0.25">
      <c r="A823562" s="242"/>
    </row>
    <row r="823563" spans="1:1" x14ac:dyDescent="0.25">
      <c r="A823563" s="242"/>
    </row>
    <row r="823564" spans="1:1" x14ac:dyDescent="0.25">
      <c r="A823564" s="242"/>
    </row>
    <row r="823565" spans="1:1" x14ac:dyDescent="0.25">
      <c r="A823565" s="242"/>
    </row>
    <row r="823566" spans="1:1" x14ac:dyDescent="0.25">
      <c r="A823566" s="242"/>
    </row>
    <row r="823567" spans="1:1" x14ac:dyDescent="0.25">
      <c r="A823567" s="242"/>
    </row>
    <row r="823568" spans="1:1" x14ac:dyDescent="0.25">
      <c r="A823568" s="242"/>
    </row>
    <row r="823569" spans="1:1" x14ac:dyDescent="0.25">
      <c r="A823569" s="242"/>
    </row>
    <row r="823570" spans="1:1" x14ac:dyDescent="0.25">
      <c r="A823570" s="242"/>
    </row>
    <row r="823571" spans="1:1" x14ac:dyDescent="0.25">
      <c r="A823571" s="242"/>
    </row>
    <row r="823572" spans="1:1" x14ac:dyDescent="0.25">
      <c r="A823572" s="242"/>
    </row>
    <row r="823573" spans="1:1" x14ac:dyDescent="0.25">
      <c r="A823573" s="242"/>
    </row>
    <row r="823574" spans="1:1" x14ac:dyDescent="0.25">
      <c r="A823574" s="242"/>
    </row>
    <row r="823575" spans="1:1" x14ac:dyDescent="0.25">
      <c r="A823575" s="242"/>
    </row>
    <row r="823576" spans="1:1" x14ac:dyDescent="0.25">
      <c r="A823576" s="242"/>
    </row>
    <row r="823577" spans="1:1" x14ac:dyDescent="0.25">
      <c r="A823577" s="242"/>
    </row>
    <row r="823578" spans="1:1" x14ac:dyDescent="0.25">
      <c r="A823578" s="242"/>
    </row>
    <row r="823579" spans="1:1" x14ac:dyDescent="0.25">
      <c r="A823579" s="242"/>
    </row>
    <row r="823580" spans="1:1" x14ac:dyDescent="0.25">
      <c r="A823580" s="242"/>
    </row>
    <row r="823581" spans="1:1" x14ac:dyDescent="0.25">
      <c r="A823581" s="242"/>
    </row>
    <row r="823582" spans="1:1" x14ac:dyDescent="0.25">
      <c r="A823582" s="242"/>
    </row>
    <row r="823583" spans="1:1" x14ac:dyDescent="0.25">
      <c r="A823583" s="242"/>
    </row>
    <row r="823584" spans="1:1" x14ac:dyDescent="0.25">
      <c r="A823584" s="242"/>
    </row>
    <row r="823585" spans="1:1" x14ac:dyDescent="0.25">
      <c r="A823585" s="242"/>
    </row>
    <row r="823586" spans="1:1" x14ac:dyDescent="0.25">
      <c r="A823586" s="242"/>
    </row>
    <row r="823587" spans="1:1" x14ac:dyDescent="0.25">
      <c r="A823587" s="242"/>
    </row>
    <row r="823588" spans="1:1" x14ac:dyDescent="0.25">
      <c r="A823588" s="242"/>
    </row>
    <row r="823589" spans="1:1" x14ac:dyDescent="0.25">
      <c r="A823589" s="242"/>
    </row>
    <row r="823590" spans="1:1" x14ac:dyDescent="0.25">
      <c r="A823590" s="242"/>
    </row>
    <row r="823591" spans="1:1" x14ac:dyDescent="0.25">
      <c r="A823591" s="242"/>
    </row>
    <row r="823592" spans="1:1" x14ac:dyDescent="0.25">
      <c r="A823592" s="242"/>
    </row>
    <row r="823593" spans="1:1" x14ac:dyDescent="0.25">
      <c r="A823593" s="242"/>
    </row>
    <row r="823594" spans="1:1" x14ac:dyDescent="0.25">
      <c r="A823594" s="242"/>
    </row>
    <row r="823595" spans="1:1" x14ac:dyDescent="0.25">
      <c r="A823595" s="242"/>
    </row>
    <row r="823596" spans="1:1" x14ac:dyDescent="0.25">
      <c r="A823596" s="242"/>
    </row>
    <row r="823597" spans="1:1" x14ac:dyDescent="0.25">
      <c r="A823597" s="242"/>
    </row>
    <row r="823598" spans="1:1" x14ac:dyDescent="0.25">
      <c r="A823598" s="242"/>
    </row>
    <row r="823599" spans="1:1" x14ac:dyDescent="0.25">
      <c r="A823599" s="242"/>
    </row>
    <row r="823600" spans="1:1" x14ac:dyDescent="0.25">
      <c r="A823600" s="242"/>
    </row>
    <row r="823601" spans="1:1" x14ac:dyDescent="0.25">
      <c r="A823601" s="242"/>
    </row>
    <row r="823602" spans="1:1" x14ac:dyDescent="0.25">
      <c r="A823602" s="242"/>
    </row>
    <row r="823603" spans="1:1" x14ac:dyDescent="0.25">
      <c r="A823603" s="242"/>
    </row>
    <row r="823604" spans="1:1" x14ac:dyDescent="0.25">
      <c r="A823604" s="242"/>
    </row>
    <row r="823605" spans="1:1" x14ac:dyDescent="0.25">
      <c r="A823605" s="242"/>
    </row>
    <row r="823606" spans="1:1" x14ac:dyDescent="0.25">
      <c r="A823606" s="242"/>
    </row>
    <row r="823607" spans="1:1" x14ac:dyDescent="0.25">
      <c r="A823607" s="242"/>
    </row>
    <row r="823608" spans="1:1" x14ac:dyDescent="0.25">
      <c r="A823608" s="242"/>
    </row>
    <row r="823609" spans="1:1" x14ac:dyDescent="0.25">
      <c r="A823609" s="242"/>
    </row>
    <row r="823610" spans="1:1" x14ac:dyDescent="0.25">
      <c r="A823610" s="242"/>
    </row>
    <row r="823611" spans="1:1" x14ac:dyDescent="0.25">
      <c r="A823611" s="242"/>
    </row>
    <row r="823612" spans="1:1" x14ac:dyDescent="0.25">
      <c r="A823612" s="242"/>
    </row>
    <row r="823613" spans="1:1" x14ac:dyDescent="0.25">
      <c r="A823613" s="242"/>
    </row>
    <row r="823614" spans="1:1" x14ac:dyDescent="0.25">
      <c r="A823614" s="242"/>
    </row>
    <row r="823615" spans="1:1" x14ac:dyDescent="0.25">
      <c r="A823615" s="242"/>
    </row>
    <row r="823616" spans="1:1" x14ac:dyDescent="0.25">
      <c r="A823616" s="242"/>
    </row>
    <row r="823617" spans="1:1" x14ac:dyDescent="0.25">
      <c r="A823617" s="242"/>
    </row>
    <row r="823618" spans="1:1" x14ac:dyDescent="0.25">
      <c r="A823618" s="242"/>
    </row>
    <row r="823619" spans="1:1" x14ac:dyDescent="0.25">
      <c r="A823619" s="242"/>
    </row>
    <row r="823620" spans="1:1" x14ac:dyDescent="0.25">
      <c r="A823620" s="242"/>
    </row>
    <row r="823621" spans="1:1" x14ac:dyDescent="0.25">
      <c r="A823621" s="242"/>
    </row>
    <row r="823622" spans="1:1" x14ac:dyDescent="0.25">
      <c r="A823622" s="242"/>
    </row>
    <row r="823623" spans="1:1" x14ac:dyDescent="0.25">
      <c r="A823623" s="242"/>
    </row>
    <row r="823624" spans="1:1" x14ac:dyDescent="0.25">
      <c r="A823624" s="242"/>
    </row>
    <row r="823625" spans="1:1" x14ac:dyDescent="0.25">
      <c r="A823625" s="242"/>
    </row>
    <row r="823626" spans="1:1" x14ac:dyDescent="0.25">
      <c r="A823626" s="242"/>
    </row>
    <row r="823627" spans="1:1" x14ac:dyDescent="0.25">
      <c r="A823627" s="242"/>
    </row>
    <row r="823628" spans="1:1" x14ac:dyDescent="0.25">
      <c r="A823628" s="242"/>
    </row>
    <row r="823629" spans="1:1" x14ac:dyDescent="0.25">
      <c r="A823629" s="242"/>
    </row>
    <row r="823630" spans="1:1" x14ac:dyDescent="0.25">
      <c r="A823630" s="242"/>
    </row>
    <row r="823631" spans="1:1" x14ac:dyDescent="0.25">
      <c r="A823631" s="242"/>
    </row>
    <row r="823632" spans="1:1" x14ac:dyDescent="0.25">
      <c r="A823632" s="242"/>
    </row>
    <row r="823633" spans="1:1" x14ac:dyDescent="0.25">
      <c r="A823633" s="242"/>
    </row>
    <row r="823634" spans="1:1" x14ac:dyDescent="0.25">
      <c r="A823634" s="242"/>
    </row>
    <row r="823635" spans="1:1" x14ac:dyDescent="0.25">
      <c r="A823635" s="242"/>
    </row>
    <row r="823636" spans="1:1" x14ac:dyDescent="0.25">
      <c r="A823636" s="242"/>
    </row>
    <row r="823637" spans="1:1" x14ac:dyDescent="0.25">
      <c r="A823637" s="242"/>
    </row>
    <row r="823638" spans="1:1" x14ac:dyDescent="0.25">
      <c r="A823638" s="242"/>
    </row>
    <row r="823639" spans="1:1" x14ac:dyDescent="0.25">
      <c r="A823639" s="242"/>
    </row>
    <row r="823640" spans="1:1" x14ac:dyDescent="0.25">
      <c r="A823640" s="242"/>
    </row>
    <row r="823641" spans="1:1" x14ac:dyDescent="0.25">
      <c r="A823641" s="242"/>
    </row>
    <row r="823642" spans="1:1" x14ac:dyDescent="0.25">
      <c r="A823642" s="242"/>
    </row>
    <row r="823643" spans="1:1" x14ac:dyDescent="0.25">
      <c r="A823643" s="242"/>
    </row>
    <row r="823644" spans="1:1" x14ac:dyDescent="0.25">
      <c r="A823644" s="242"/>
    </row>
    <row r="823645" spans="1:1" x14ac:dyDescent="0.25">
      <c r="A823645" s="242"/>
    </row>
    <row r="823646" spans="1:1" x14ac:dyDescent="0.25">
      <c r="A823646" s="242"/>
    </row>
    <row r="823647" spans="1:1" x14ac:dyDescent="0.25">
      <c r="A823647" s="242"/>
    </row>
    <row r="823648" spans="1:1" x14ac:dyDescent="0.25">
      <c r="A823648" s="242"/>
    </row>
    <row r="823649" spans="1:1" x14ac:dyDescent="0.25">
      <c r="A823649" s="242"/>
    </row>
    <row r="823650" spans="1:1" x14ac:dyDescent="0.25">
      <c r="A823650" s="242"/>
    </row>
    <row r="823651" spans="1:1" x14ac:dyDescent="0.25">
      <c r="A823651" s="242"/>
    </row>
    <row r="823652" spans="1:1" x14ac:dyDescent="0.25">
      <c r="A823652" s="242"/>
    </row>
    <row r="823653" spans="1:1" x14ac:dyDescent="0.25">
      <c r="A823653" s="242"/>
    </row>
    <row r="823654" spans="1:1" x14ac:dyDescent="0.25">
      <c r="A823654" s="242"/>
    </row>
    <row r="823655" spans="1:1" x14ac:dyDescent="0.25">
      <c r="A823655" s="242"/>
    </row>
    <row r="823656" spans="1:1" x14ac:dyDescent="0.25">
      <c r="A823656" s="242"/>
    </row>
    <row r="823657" spans="1:1" x14ac:dyDescent="0.25">
      <c r="A823657" s="242"/>
    </row>
    <row r="823658" spans="1:1" x14ac:dyDescent="0.25">
      <c r="A823658" s="242"/>
    </row>
    <row r="823659" spans="1:1" x14ac:dyDescent="0.25">
      <c r="A823659" s="242"/>
    </row>
    <row r="823660" spans="1:1" x14ac:dyDescent="0.25">
      <c r="A823660" s="242"/>
    </row>
    <row r="823661" spans="1:1" x14ac:dyDescent="0.25">
      <c r="A823661" s="242"/>
    </row>
    <row r="823662" spans="1:1" x14ac:dyDescent="0.25">
      <c r="A823662" s="242"/>
    </row>
    <row r="823663" spans="1:1" x14ac:dyDescent="0.25">
      <c r="A823663" s="242"/>
    </row>
    <row r="823664" spans="1:1" x14ac:dyDescent="0.25">
      <c r="A823664" s="242"/>
    </row>
    <row r="823665" spans="1:1" x14ac:dyDescent="0.25">
      <c r="A823665" s="242"/>
    </row>
    <row r="823666" spans="1:1" x14ac:dyDescent="0.25">
      <c r="A823666" s="242"/>
    </row>
    <row r="823667" spans="1:1" x14ac:dyDescent="0.25">
      <c r="A823667" s="242"/>
    </row>
    <row r="823668" spans="1:1" x14ac:dyDescent="0.25">
      <c r="A823668" s="242"/>
    </row>
    <row r="823669" spans="1:1" x14ac:dyDescent="0.25">
      <c r="A823669" s="242"/>
    </row>
    <row r="823670" spans="1:1" x14ac:dyDescent="0.25">
      <c r="A823670" s="242"/>
    </row>
    <row r="823671" spans="1:1" x14ac:dyDescent="0.25">
      <c r="A823671" s="242"/>
    </row>
    <row r="823672" spans="1:1" x14ac:dyDescent="0.25">
      <c r="A823672" s="242"/>
    </row>
    <row r="823673" spans="1:1" x14ac:dyDescent="0.25">
      <c r="A823673" s="242"/>
    </row>
    <row r="823674" spans="1:1" x14ac:dyDescent="0.25">
      <c r="A823674" s="242"/>
    </row>
    <row r="823675" spans="1:1" x14ac:dyDescent="0.25">
      <c r="A823675" s="242"/>
    </row>
    <row r="823676" spans="1:1" x14ac:dyDescent="0.25">
      <c r="A823676" s="242"/>
    </row>
    <row r="823677" spans="1:1" x14ac:dyDescent="0.25">
      <c r="A823677" s="242"/>
    </row>
    <row r="823678" spans="1:1" x14ac:dyDescent="0.25">
      <c r="A823678" s="242"/>
    </row>
    <row r="823679" spans="1:1" x14ac:dyDescent="0.25">
      <c r="A823679" s="242"/>
    </row>
    <row r="823680" spans="1:1" x14ac:dyDescent="0.25">
      <c r="A823680" s="242"/>
    </row>
    <row r="823681" spans="1:1" x14ac:dyDescent="0.25">
      <c r="A823681" s="242"/>
    </row>
    <row r="823682" spans="1:1" x14ac:dyDescent="0.25">
      <c r="A823682" s="242"/>
    </row>
    <row r="823683" spans="1:1" x14ac:dyDescent="0.25">
      <c r="A823683" s="242"/>
    </row>
    <row r="823684" spans="1:1" x14ac:dyDescent="0.25">
      <c r="A823684" s="242"/>
    </row>
    <row r="823685" spans="1:1" x14ac:dyDescent="0.25">
      <c r="A823685" s="242"/>
    </row>
    <row r="823686" spans="1:1" x14ac:dyDescent="0.25">
      <c r="A823686" s="242"/>
    </row>
    <row r="823687" spans="1:1" x14ac:dyDescent="0.25">
      <c r="A823687" s="242"/>
    </row>
    <row r="823688" spans="1:1" x14ac:dyDescent="0.25">
      <c r="A823688" s="242"/>
    </row>
    <row r="823689" spans="1:1" x14ac:dyDescent="0.25">
      <c r="A823689" s="242"/>
    </row>
    <row r="823690" spans="1:1" x14ac:dyDescent="0.25">
      <c r="A823690" s="242"/>
    </row>
    <row r="823691" spans="1:1" x14ac:dyDescent="0.25">
      <c r="A823691" s="242"/>
    </row>
    <row r="823692" spans="1:1" x14ac:dyDescent="0.25">
      <c r="A823692" s="242"/>
    </row>
    <row r="823693" spans="1:1" x14ac:dyDescent="0.25">
      <c r="A823693" s="242"/>
    </row>
    <row r="823694" spans="1:1" x14ac:dyDescent="0.25">
      <c r="A823694" s="242"/>
    </row>
    <row r="823695" spans="1:1" x14ac:dyDescent="0.25">
      <c r="A823695" s="242"/>
    </row>
    <row r="823696" spans="1:1" x14ac:dyDescent="0.25">
      <c r="A823696" s="242"/>
    </row>
    <row r="823697" spans="1:1" x14ac:dyDescent="0.25">
      <c r="A823697" s="242"/>
    </row>
    <row r="823698" spans="1:1" x14ac:dyDescent="0.25">
      <c r="A823698" s="242"/>
    </row>
    <row r="823699" spans="1:1" x14ac:dyDescent="0.25">
      <c r="A823699" s="242"/>
    </row>
    <row r="823700" spans="1:1" x14ac:dyDescent="0.25">
      <c r="A823700" s="242"/>
    </row>
    <row r="823701" spans="1:1" x14ac:dyDescent="0.25">
      <c r="A823701" s="242"/>
    </row>
    <row r="823702" spans="1:1" x14ac:dyDescent="0.25">
      <c r="A823702" s="242"/>
    </row>
    <row r="823703" spans="1:1" x14ac:dyDescent="0.25">
      <c r="A823703" s="242"/>
    </row>
    <row r="823704" spans="1:1" x14ac:dyDescent="0.25">
      <c r="A823704" s="242"/>
    </row>
    <row r="823705" spans="1:1" x14ac:dyDescent="0.25">
      <c r="A823705" s="242"/>
    </row>
    <row r="823706" spans="1:1" x14ac:dyDescent="0.25">
      <c r="A823706" s="242"/>
    </row>
    <row r="823707" spans="1:1" x14ac:dyDescent="0.25">
      <c r="A823707" s="242"/>
    </row>
    <row r="823708" spans="1:1" x14ac:dyDescent="0.25">
      <c r="A823708" s="242"/>
    </row>
    <row r="823709" spans="1:1" x14ac:dyDescent="0.25">
      <c r="A823709" s="242"/>
    </row>
    <row r="823710" spans="1:1" x14ac:dyDescent="0.25">
      <c r="A823710" s="242"/>
    </row>
    <row r="823711" spans="1:1" x14ac:dyDescent="0.25">
      <c r="A823711" s="242"/>
    </row>
    <row r="823712" spans="1:1" x14ac:dyDescent="0.25">
      <c r="A823712" s="242"/>
    </row>
    <row r="823713" spans="1:1" x14ac:dyDescent="0.25">
      <c r="A823713" s="242"/>
    </row>
    <row r="823714" spans="1:1" x14ac:dyDescent="0.25">
      <c r="A823714" s="242"/>
    </row>
    <row r="823715" spans="1:1" x14ac:dyDescent="0.25">
      <c r="A823715" s="242"/>
    </row>
    <row r="823716" spans="1:1" x14ac:dyDescent="0.25">
      <c r="A823716" s="242"/>
    </row>
    <row r="823717" spans="1:1" x14ac:dyDescent="0.25">
      <c r="A823717" s="242"/>
    </row>
    <row r="823718" spans="1:1" x14ac:dyDescent="0.25">
      <c r="A823718" s="242"/>
    </row>
    <row r="823719" spans="1:1" x14ac:dyDescent="0.25">
      <c r="A823719" s="242"/>
    </row>
    <row r="823720" spans="1:1" x14ac:dyDescent="0.25">
      <c r="A823720" s="242"/>
    </row>
    <row r="823721" spans="1:1" x14ac:dyDescent="0.25">
      <c r="A823721" s="242"/>
    </row>
    <row r="823722" spans="1:1" x14ac:dyDescent="0.25">
      <c r="A823722" s="242"/>
    </row>
    <row r="823723" spans="1:1" x14ac:dyDescent="0.25">
      <c r="A823723" s="242"/>
    </row>
    <row r="823724" spans="1:1" x14ac:dyDescent="0.25">
      <c r="A823724" s="242"/>
    </row>
    <row r="823725" spans="1:1" x14ac:dyDescent="0.25">
      <c r="A823725" s="242"/>
    </row>
    <row r="823726" spans="1:1" x14ac:dyDescent="0.25">
      <c r="A823726" s="242"/>
    </row>
    <row r="823727" spans="1:1" x14ac:dyDescent="0.25">
      <c r="A823727" s="242"/>
    </row>
    <row r="823728" spans="1:1" x14ac:dyDescent="0.25">
      <c r="A823728" s="242"/>
    </row>
    <row r="823729" spans="1:1" x14ac:dyDescent="0.25">
      <c r="A823729" s="242"/>
    </row>
    <row r="823730" spans="1:1" x14ac:dyDescent="0.25">
      <c r="A823730" s="242"/>
    </row>
    <row r="823731" spans="1:1" x14ac:dyDescent="0.25">
      <c r="A823731" s="242"/>
    </row>
    <row r="823732" spans="1:1" x14ac:dyDescent="0.25">
      <c r="A823732" s="242"/>
    </row>
    <row r="823733" spans="1:1" x14ac:dyDescent="0.25">
      <c r="A823733" s="242"/>
    </row>
    <row r="823734" spans="1:1" x14ac:dyDescent="0.25">
      <c r="A823734" s="242"/>
    </row>
    <row r="823735" spans="1:1" x14ac:dyDescent="0.25">
      <c r="A823735" s="242"/>
    </row>
    <row r="823736" spans="1:1" x14ac:dyDescent="0.25">
      <c r="A823736" s="242"/>
    </row>
    <row r="823737" spans="1:1" x14ac:dyDescent="0.25">
      <c r="A823737" s="242"/>
    </row>
    <row r="823738" spans="1:1" x14ac:dyDescent="0.25">
      <c r="A823738" s="242"/>
    </row>
    <row r="823739" spans="1:1" x14ac:dyDescent="0.25">
      <c r="A823739" s="242"/>
    </row>
    <row r="823740" spans="1:1" x14ac:dyDescent="0.25">
      <c r="A823740" s="242"/>
    </row>
    <row r="823741" spans="1:1" x14ac:dyDescent="0.25">
      <c r="A823741" s="242"/>
    </row>
    <row r="823742" spans="1:1" x14ac:dyDescent="0.25">
      <c r="A823742" s="242"/>
    </row>
    <row r="823743" spans="1:1" x14ac:dyDescent="0.25">
      <c r="A823743" s="242"/>
    </row>
    <row r="823744" spans="1:1" x14ac:dyDescent="0.25">
      <c r="A823744" s="242"/>
    </row>
    <row r="823745" spans="1:1" x14ac:dyDescent="0.25">
      <c r="A823745" s="242"/>
    </row>
    <row r="823746" spans="1:1" x14ac:dyDescent="0.25">
      <c r="A823746" s="242"/>
    </row>
    <row r="823747" spans="1:1" x14ac:dyDescent="0.25">
      <c r="A823747" s="242"/>
    </row>
    <row r="823748" spans="1:1" x14ac:dyDescent="0.25">
      <c r="A823748" s="242"/>
    </row>
    <row r="823749" spans="1:1" x14ac:dyDescent="0.25">
      <c r="A823749" s="242"/>
    </row>
    <row r="823750" spans="1:1" x14ac:dyDescent="0.25">
      <c r="A823750" s="242"/>
    </row>
    <row r="823751" spans="1:1" x14ac:dyDescent="0.25">
      <c r="A823751" s="242"/>
    </row>
    <row r="823752" spans="1:1" x14ac:dyDescent="0.25">
      <c r="A823752" s="242"/>
    </row>
    <row r="823753" spans="1:1" x14ac:dyDescent="0.25">
      <c r="A823753" s="242"/>
    </row>
    <row r="823754" spans="1:1" x14ac:dyDescent="0.25">
      <c r="A823754" s="242"/>
    </row>
    <row r="823755" spans="1:1" x14ac:dyDescent="0.25">
      <c r="A823755" s="242"/>
    </row>
    <row r="823756" spans="1:1" x14ac:dyDescent="0.25">
      <c r="A823756" s="242"/>
    </row>
    <row r="823757" spans="1:1" x14ac:dyDescent="0.25">
      <c r="A823757" s="242"/>
    </row>
    <row r="823758" spans="1:1" x14ac:dyDescent="0.25">
      <c r="A823758" s="242"/>
    </row>
    <row r="823759" spans="1:1" x14ac:dyDescent="0.25">
      <c r="A823759" s="242"/>
    </row>
    <row r="823760" spans="1:1" x14ac:dyDescent="0.25">
      <c r="A823760" s="242"/>
    </row>
    <row r="823761" spans="1:1" x14ac:dyDescent="0.25">
      <c r="A823761" s="242"/>
    </row>
    <row r="823762" spans="1:1" x14ac:dyDescent="0.25">
      <c r="A823762" s="242"/>
    </row>
    <row r="823763" spans="1:1" x14ac:dyDescent="0.25">
      <c r="A823763" s="242"/>
    </row>
    <row r="823764" spans="1:1" x14ac:dyDescent="0.25">
      <c r="A823764" s="242"/>
    </row>
    <row r="823765" spans="1:1" x14ac:dyDescent="0.25">
      <c r="A823765" s="242"/>
    </row>
    <row r="823766" spans="1:1" x14ac:dyDescent="0.25">
      <c r="A823766" s="242"/>
    </row>
    <row r="823767" spans="1:1" x14ac:dyDescent="0.25">
      <c r="A823767" s="242"/>
    </row>
    <row r="823768" spans="1:1" x14ac:dyDescent="0.25">
      <c r="A823768" s="242"/>
    </row>
    <row r="823769" spans="1:1" x14ac:dyDescent="0.25">
      <c r="A823769" s="242"/>
    </row>
    <row r="823770" spans="1:1" x14ac:dyDescent="0.25">
      <c r="A823770" s="242"/>
    </row>
    <row r="823771" spans="1:1" x14ac:dyDescent="0.25">
      <c r="A823771" s="242"/>
    </row>
    <row r="823772" spans="1:1" x14ac:dyDescent="0.25">
      <c r="A823772" s="242"/>
    </row>
    <row r="823773" spans="1:1" x14ac:dyDescent="0.25">
      <c r="A823773" s="242"/>
    </row>
    <row r="823774" spans="1:1" x14ac:dyDescent="0.25">
      <c r="A823774" s="242"/>
    </row>
    <row r="823775" spans="1:1" x14ac:dyDescent="0.25">
      <c r="A823775" s="242"/>
    </row>
    <row r="823776" spans="1:1" x14ac:dyDescent="0.25">
      <c r="A823776" s="242"/>
    </row>
    <row r="823777" spans="1:1" x14ac:dyDescent="0.25">
      <c r="A823777" s="242"/>
    </row>
    <row r="823778" spans="1:1" x14ac:dyDescent="0.25">
      <c r="A823778" s="242"/>
    </row>
    <row r="823779" spans="1:1" x14ac:dyDescent="0.25">
      <c r="A823779" s="242"/>
    </row>
    <row r="823780" spans="1:1" x14ac:dyDescent="0.25">
      <c r="A823780" s="242"/>
    </row>
    <row r="823781" spans="1:1" x14ac:dyDescent="0.25">
      <c r="A823781" s="242"/>
    </row>
    <row r="823782" spans="1:1" x14ac:dyDescent="0.25">
      <c r="A823782" s="242"/>
    </row>
    <row r="823783" spans="1:1" x14ac:dyDescent="0.25">
      <c r="A823783" s="242"/>
    </row>
    <row r="823784" spans="1:1" x14ac:dyDescent="0.25">
      <c r="A823784" s="242"/>
    </row>
    <row r="823785" spans="1:1" x14ac:dyDescent="0.25">
      <c r="A823785" s="242"/>
    </row>
    <row r="823786" spans="1:1" x14ac:dyDescent="0.25">
      <c r="A823786" s="242"/>
    </row>
    <row r="823787" spans="1:1" x14ac:dyDescent="0.25">
      <c r="A823787" s="242"/>
    </row>
    <row r="823788" spans="1:1" x14ac:dyDescent="0.25">
      <c r="A823788" s="242"/>
    </row>
    <row r="823789" spans="1:1" x14ac:dyDescent="0.25">
      <c r="A823789" s="242"/>
    </row>
    <row r="823790" spans="1:1" x14ac:dyDescent="0.25">
      <c r="A823790" s="242"/>
    </row>
    <row r="823791" spans="1:1" x14ac:dyDescent="0.25">
      <c r="A823791" s="242"/>
    </row>
    <row r="823792" spans="1:1" x14ac:dyDescent="0.25">
      <c r="A823792" s="242"/>
    </row>
    <row r="823793" spans="1:1" x14ac:dyDescent="0.25">
      <c r="A823793" s="242"/>
    </row>
    <row r="823794" spans="1:1" x14ac:dyDescent="0.25">
      <c r="A823794" s="242"/>
    </row>
    <row r="823795" spans="1:1" x14ac:dyDescent="0.25">
      <c r="A823795" s="242"/>
    </row>
    <row r="823796" spans="1:1" x14ac:dyDescent="0.25">
      <c r="A823796" s="242"/>
    </row>
    <row r="823797" spans="1:1" x14ac:dyDescent="0.25">
      <c r="A823797" s="242"/>
    </row>
    <row r="823798" spans="1:1" x14ac:dyDescent="0.25">
      <c r="A823798" s="242"/>
    </row>
    <row r="823799" spans="1:1" x14ac:dyDescent="0.25">
      <c r="A823799" s="242"/>
    </row>
    <row r="823800" spans="1:1" x14ac:dyDescent="0.25">
      <c r="A823800" s="242"/>
    </row>
    <row r="823801" spans="1:1" x14ac:dyDescent="0.25">
      <c r="A823801" s="242"/>
    </row>
    <row r="823802" spans="1:1" x14ac:dyDescent="0.25">
      <c r="A823802" s="242"/>
    </row>
    <row r="823803" spans="1:1" x14ac:dyDescent="0.25">
      <c r="A823803" s="242"/>
    </row>
    <row r="823804" spans="1:1" x14ac:dyDescent="0.25">
      <c r="A823804" s="242"/>
    </row>
    <row r="823805" spans="1:1" x14ac:dyDescent="0.25">
      <c r="A823805" s="242"/>
    </row>
    <row r="823806" spans="1:1" x14ac:dyDescent="0.25">
      <c r="A823806" s="242"/>
    </row>
    <row r="823807" spans="1:1" x14ac:dyDescent="0.25">
      <c r="A823807" s="242"/>
    </row>
    <row r="823808" spans="1:1" x14ac:dyDescent="0.25">
      <c r="A823808" s="242"/>
    </row>
    <row r="823809" spans="1:1" x14ac:dyDescent="0.25">
      <c r="A823809" s="242"/>
    </row>
    <row r="823810" spans="1:1" x14ac:dyDescent="0.25">
      <c r="A823810" s="242"/>
    </row>
    <row r="823811" spans="1:1" x14ac:dyDescent="0.25">
      <c r="A823811" s="242"/>
    </row>
    <row r="823812" spans="1:1" x14ac:dyDescent="0.25">
      <c r="A823812" s="242"/>
    </row>
    <row r="823813" spans="1:1" x14ac:dyDescent="0.25">
      <c r="A823813" s="242"/>
    </row>
    <row r="823814" spans="1:1" x14ac:dyDescent="0.25">
      <c r="A823814" s="242"/>
    </row>
    <row r="823815" spans="1:1" x14ac:dyDescent="0.25">
      <c r="A823815" s="242"/>
    </row>
    <row r="823816" spans="1:1" x14ac:dyDescent="0.25">
      <c r="A823816" s="242"/>
    </row>
    <row r="823817" spans="1:1" x14ac:dyDescent="0.25">
      <c r="A823817" s="242"/>
    </row>
    <row r="823818" spans="1:1" x14ac:dyDescent="0.25">
      <c r="A823818" s="242"/>
    </row>
    <row r="823819" spans="1:1" x14ac:dyDescent="0.25">
      <c r="A823819" s="242"/>
    </row>
    <row r="823820" spans="1:1" x14ac:dyDescent="0.25">
      <c r="A823820" s="242"/>
    </row>
    <row r="823821" spans="1:1" x14ac:dyDescent="0.25">
      <c r="A823821" s="242"/>
    </row>
    <row r="823822" spans="1:1" x14ac:dyDescent="0.25">
      <c r="A823822" s="242"/>
    </row>
    <row r="823823" spans="1:1" x14ac:dyDescent="0.25">
      <c r="A823823" s="242"/>
    </row>
    <row r="823824" spans="1:1" x14ac:dyDescent="0.25">
      <c r="A823824" s="242"/>
    </row>
    <row r="823825" spans="1:1" x14ac:dyDescent="0.25">
      <c r="A823825" s="242"/>
    </row>
    <row r="823826" spans="1:1" x14ac:dyDescent="0.25">
      <c r="A823826" s="242"/>
    </row>
    <row r="823827" spans="1:1" x14ac:dyDescent="0.25">
      <c r="A823827" s="242"/>
    </row>
    <row r="823828" spans="1:1" x14ac:dyDescent="0.25">
      <c r="A823828" s="242"/>
    </row>
    <row r="823829" spans="1:1" x14ac:dyDescent="0.25">
      <c r="A823829" s="242"/>
    </row>
    <row r="823830" spans="1:1" x14ac:dyDescent="0.25">
      <c r="A823830" s="242"/>
    </row>
    <row r="823831" spans="1:1" x14ac:dyDescent="0.25">
      <c r="A823831" s="242"/>
    </row>
    <row r="823832" spans="1:1" x14ac:dyDescent="0.25">
      <c r="A823832" s="242"/>
    </row>
    <row r="823833" spans="1:1" x14ac:dyDescent="0.25">
      <c r="A823833" s="242"/>
    </row>
    <row r="823834" spans="1:1" x14ac:dyDescent="0.25">
      <c r="A823834" s="242"/>
    </row>
    <row r="823835" spans="1:1" x14ac:dyDescent="0.25">
      <c r="A823835" s="242"/>
    </row>
    <row r="823836" spans="1:1" x14ac:dyDescent="0.25">
      <c r="A823836" s="242"/>
    </row>
    <row r="823837" spans="1:1" x14ac:dyDescent="0.25">
      <c r="A823837" s="242"/>
    </row>
    <row r="823838" spans="1:1" x14ac:dyDescent="0.25">
      <c r="A823838" s="242"/>
    </row>
    <row r="823839" spans="1:1" x14ac:dyDescent="0.25">
      <c r="A823839" s="242"/>
    </row>
    <row r="823840" spans="1:1" x14ac:dyDescent="0.25">
      <c r="A823840" s="242"/>
    </row>
    <row r="823841" spans="1:1" x14ac:dyDescent="0.25">
      <c r="A823841" s="242"/>
    </row>
    <row r="823842" spans="1:1" x14ac:dyDescent="0.25">
      <c r="A823842" s="242"/>
    </row>
    <row r="823843" spans="1:1" x14ac:dyDescent="0.25">
      <c r="A823843" s="242"/>
    </row>
    <row r="823844" spans="1:1" x14ac:dyDescent="0.25">
      <c r="A823844" s="242"/>
    </row>
    <row r="823845" spans="1:1" x14ac:dyDescent="0.25">
      <c r="A823845" s="242"/>
    </row>
    <row r="823846" spans="1:1" x14ac:dyDescent="0.25">
      <c r="A823846" s="242"/>
    </row>
    <row r="823847" spans="1:1" x14ac:dyDescent="0.25">
      <c r="A823847" s="242"/>
    </row>
    <row r="823848" spans="1:1" x14ac:dyDescent="0.25">
      <c r="A823848" s="242"/>
    </row>
    <row r="823849" spans="1:1" x14ac:dyDescent="0.25">
      <c r="A823849" s="242"/>
    </row>
    <row r="823850" spans="1:1" x14ac:dyDescent="0.25">
      <c r="A823850" s="242"/>
    </row>
    <row r="823851" spans="1:1" x14ac:dyDescent="0.25">
      <c r="A823851" s="242"/>
    </row>
    <row r="823852" spans="1:1" x14ac:dyDescent="0.25">
      <c r="A823852" s="242"/>
    </row>
    <row r="823853" spans="1:1" x14ac:dyDescent="0.25">
      <c r="A823853" s="242"/>
    </row>
    <row r="823854" spans="1:1" x14ac:dyDescent="0.25">
      <c r="A823854" s="242"/>
    </row>
    <row r="823855" spans="1:1" x14ac:dyDescent="0.25">
      <c r="A823855" s="242"/>
    </row>
    <row r="823856" spans="1:1" x14ac:dyDescent="0.25">
      <c r="A823856" s="242"/>
    </row>
    <row r="823857" spans="1:1" x14ac:dyDescent="0.25">
      <c r="A823857" s="242"/>
    </row>
    <row r="823858" spans="1:1" x14ac:dyDescent="0.25">
      <c r="A823858" s="242"/>
    </row>
    <row r="823859" spans="1:1" x14ac:dyDescent="0.25">
      <c r="A823859" s="242"/>
    </row>
    <row r="823860" spans="1:1" x14ac:dyDescent="0.25">
      <c r="A823860" s="242"/>
    </row>
    <row r="823861" spans="1:1" x14ac:dyDescent="0.25">
      <c r="A823861" s="242"/>
    </row>
    <row r="823862" spans="1:1" x14ac:dyDescent="0.25">
      <c r="A823862" s="242"/>
    </row>
    <row r="823863" spans="1:1" x14ac:dyDescent="0.25">
      <c r="A823863" s="242"/>
    </row>
    <row r="823864" spans="1:1" x14ac:dyDescent="0.25">
      <c r="A823864" s="242"/>
    </row>
    <row r="823865" spans="1:1" x14ac:dyDescent="0.25">
      <c r="A823865" s="242"/>
    </row>
    <row r="823866" spans="1:1" x14ac:dyDescent="0.25">
      <c r="A823866" s="242"/>
    </row>
    <row r="823867" spans="1:1" x14ac:dyDescent="0.25">
      <c r="A823867" s="242"/>
    </row>
    <row r="823868" spans="1:1" x14ac:dyDescent="0.25">
      <c r="A823868" s="242"/>
    </row>
    <row r="823869" spans="1:1" x14ac:dyDescent="0.25">
      <c r="A823869" s="242"/>
    </row>
    <row r="823870" spans="1:1" x14ac:dyDescent="0.25">
      <c r="A823870" s="242"/>
    </row>
    <row r="823871" spans="1:1" x14ac:dyDescent="0.25">
      <c r="A823871" s="242"/>
    </row>
    <row r="823872" spans="1:1" x14ac:dyDescent="0.25">
      <c r="A823872" s="242"/>
    </row>
    <row r="823873" spans="1:1" x14ac:dyDescent="0.25">
      <c r="A823873" s="242"/>
    </row>
    <row r="823874" spans="1:1" x14ac:dyDescent="0.25">
      <c r="A823874" s="242"/>
    </row>
    <row r="823875" spans="1:1" x14ac:dyDescent="0.25">
      <c r="A823875" s="242"/>
    </row>
    <row r="823876" spans="1:1" x14ac:dyDescent="0.25">
      <c r="A823876" s="242"/>
    </row>
    <row r="823877" spans="1:1" x14ac:dyDescent="0.25">
      <c r="A823877" s="242"/>
    </row>
    <row r="823878" spans="1:1" x14ac:dyDescent="0.25">
      <c r="A823878" s="242"/>
    </row>
    <row r="823879" spans="1:1" x14ac:dyDescent="0.25">
      <c r="A823879" s="242"/>
    </row>
    <row r="823880" spans="1:1" x14ac:dyDescent="0.25">
      <c r="A823880" s="242"/>
    </row>
    <row r="823881" spans="1:1" x14ac:dyDescent="0.25">
      <c r="A823881" s="242"/>
    </row>
    <row r="823882" spans="1:1" x14ac:dyDescent="0.25">
      <c r="A823882" s="242"/>
    </row>
    <row r="823883" spans="1:1" x14ac:dyDescent="0.25">
      <c r="A823883" s="242"/>
    </row>
    <row r="823884" spans="1:1" x14ac:dyDescent="0.25">
      <c r="A823884" s="242"/>
    </row>
    <row r="823885" spans="1:1" x14ac:dyDescent="0.25">
      <c r="A823885" s="242"/>
    </row>
    <row r="823886" spans="1:1" x14ac:dyDescent="0.25">
      <c r="A823886" s="242"/>
    </row>
    <row r="823887" spans="1:1" x14ac:dyDescent="0.25">
      <c r="A823887" s="242"/>
    </row>
    <row r="823888" spans="1:1" x14ac:dyDescent="0.25">
      <c r="A823888" s="242"/>
    </row>
    <row r="823889" spans="1:1" x14ac:dyDescent="0.25">
      <c r="A823889" s="242"/>
    </row>
    <row r="823890" spans="1:1" x14ac:dyDescent="0.25">
      <c r="A823890" s="242"/>
    </row>
    <row r="823891" spans="1:1" x14ac:dyDescent="0.25">
      <c r="A823891" s="242"/>
    </row>
    <row r="823892" spans="1:1" x14ac:dyDescent="0.25">
      <c r="A823892" s="242"/>
    </row>
    <row r="823893" spans="1:1" x14ac:dyDescent="0.25">
      <c r="A823893" s="242"/>
    </row>
    <row r="823894" spans="1:1" x14ac:dyDescent="0.25">
      <c r="A823894" s="242"/>
    </row>
    <row r="823895" spans="1:1" x14ac:dyDescent="0.25">
      <c r="A823895" s="242"/>
    </row>
    <row r="823896" spans="1:1" x14ac:dyDescent="0.25">
      <c r="A823896" s="242"/>
    </row>
    <row r="823897" spans="1:1" x14ac:dyDescent="0.25">
      <c r="A823897" s="242"/>
    </row>
    <row r="823898" spans="1:1" x14ac:dyDescent="0.25">
      <c r="A823898" s="242"/>
    </row>
    <row r="823899" spans="1:1" x14ac:dyDescent="0.25">
      <c r="A823899" s="242"/>
    </row>
    <row r="823900" spans="1:1" x14ac:dyDescent="0.25">
      <c r="A823900" s="242"/>
    </row>
    <row r="823901" spans="1:1" x14ac:dyDescent="0.25">
      <c r="A823901" s="242"/>
    </row>
    <row r="823902" spans="1:1" x14ac:dyDescent="0.25">
      <c r="A823902" s="242"/>
    </row>
    <row r="823903" spans="1:1" x14ac:dyDescent="0.25">
      <c r="A823903" s="242"/>
    </row>
    <row r="823904" spans="1:1" x14ac:dyDescent="0.25">
      <c r="A823904" s="242"/>
    </row>
    <row r="823905" spans="1:1" x14ac:dyDescent="0.25">
      <c r="A823905" s="242"/>
    </row>
    <row r="823906" spans="1:1" x14ac:dyDescent="0.25">
      <c r="A823906" s="242"/>
    </row>
    <row r="823907" spans="1:1" x14ac:dyDescent="0.25">
      <c r="A823907" s="242"/>
    </row>
    <row r="823908" spans="1:1" x14ac:dyDescent="0.25">
      <c r="A823908" s="242"/>
    </row>
    <row r="823909" spans="1:1" x14ac:dyDescent="0.25">
      <c r="A823909" s="242"/>
    </row>
    <row r="823910" spans="1:1" x14ac:dyDescent="0.25">
      <c r="A823910" s="242"/>
    </row>
    <row r="823911" spans="1:1" x14ac:dyDescent="0.25">
      <c r="A823911" s="242"/>
    </row>
    <row r="823912" spans="1:1" x14ac:dyDescent="0.25">
      <c r="A823912" s="242"/>
    </row>
    <row r="823913" spans="1:1" x14ac:dyDescent="0.25">
      <c r="A823913" s="242"/>
    </row>
    <row r="823914" spans="1:1" x14ac:dyDescent="0.25">
      <c r="A823914" s="242"/>
    </row>
    <row r="823915" spans="1:1" x14ac:dyDescent="0.25">
      <c r="A823915" s="242"/>
    </row>
    <row r="823916" spans="1:1" x14ac:dyDescent="0.25">
      <c r="A823916" s="242"/>
    </row>
    <row r="823917" spans="1:1" x14ac:dyDescent="0.25">
      <c r="A823917" s="242"/>
    </row>
    <row r="823918" spans="1:1" x14ac:dyDescent="0.25">
      <c r="A823918" s="242"/>
    </row>
    <row r="823919" spans="1:1" x14ac:dyDescent="0.25">
      <c r="A823919" s="242"/>
    </row>
    <row r="823920" spans="1:1" x14ac:dyDescent="0.25">
      <c r="A823920" s="242"/>
    </row>
    <row r="823921" spans="1:1" x14ac:dyDescent="0.25">
      <c r="A823921" s="242"/>
    </row>
    <row r="823922" spans="1:1" x14ac:dyDescent="0.25">
      <c r="A823922" s="242"/>
    </row>
    <row r="823923" spans="1:1" x14ac:dyDescent="0.25">
      <c r="A823923" s="242"/>
    </row>
    <row r="823924" spans="1:1" x14ac:dyDescent="0.25">
      <c r="A823924" s="242"/>
    </row>
    <row r="823925" spans="1:1" x14ac:dyDescent="0.25">
      <c r="A823925" s="242"/>
    </row>
    <row r="823926" spans="1:1" x14ac:dyDescent="0.25">
      <c r="A823926" s="242"/>
    </row>
    <row r="823927" spans="1:1" x14ac:dyDescent="0.25">
      <c r="A823927" s="242"/>
    </row>
    <row r="823928" spans="1:1" x14ac:dyDescent="0.25">
      <c r="A823928" s="242"/>
    </row>
    <row r="823929" spans="1:1" x14ac:dyDescent="0.25">
      <c r="A823929" s="242"/>
    </row>
    <row r="823930" spans="1:1" x14ac:dyDescent="0.25">
      <c r="A823930" s="242"/>
    </row>
    <row r="823931" spans="1:1" x14ac:dyDescent="0.25">
      <c r="A823931" s="242"/>
    </row>
    <row r="823932" spans="1:1" x14ac:dyDescent="0.25">
      <c r="A823932" s="242"/>
    </row>
    <row r="823933" spans="1:1" x14ac:dyDescent="0.25">
      <c r="A823933" s="242"/>
    </row>
    <row r="823934" spans="1:1" x14ac:dyDescent="0.25">
      <c r="A823934" s="242"/>
    </row>
    <row r="823935" spans="1:1" x14ac:dyDescent="0.25">
      <c r="A823935" s="242"/>
    </row>
    <row r="823936" spans="1:1" x14ac:dyDescent="0.25">
      <c r="A823936" s="242"/>
    </row>
    <row r="823937" spans="1:1" x14ac:dyDescent="0.25">
      <c r="A823937" s="242"/>
    </row>
    <row r="823938" spans="1:1" x14ac:dyDescent="0.25">
      <c r="A823938" s="242"/>
    </row>
    <row r="823939" spans="1:1" x14ac:dyDescent="0.25">
      <c r="A823939" s="242"/>
    </row>
    <row r="823940" spans="1:1" x14ac:dyDescent="0.25">
      <c r="A823940" s="242"/>
    </row>
    <row r="823941" spans="1:1" x14ac:dyDescent="0.25">
      <c r="A823941" s="242"/>
    </row>
    <row r="823942" spans="1:1" x14ac:dyDescent="0.25">
      <c r="A823942" s="242"/>
    </row>
    <row r="823943" spans="1:1" x14ac:dyDescent="0.25">
      <c r="A823943" s="242"/>
    </row>
    <row r="823944" spans="1:1" x14ac:dyDescent="0.25">
      <c r="A823944" s="242"/>
    </row>
    <row r="823945" spans="1:1" x14ac:dyDescent="0.25">
      <c r="A823945" s="242"/>
    </row>
    <row r="823946" spans="1:1" x14ac:dyDescent="0.25">
      <c r="A823946" s="242"/>
    </row>
    <row r="823947" spans="1:1" x14ac:dyDescent="0.25">
      <c r="A823947" s="242"/>
    </row>
    <row r="823948" spans="1:1" x14ac:dyDescent="0.25">
      <c r="A823948" s="242"/>
    </row>
    <row r="823949" spans="1:1" x14ac:dyDescent="0.25">
      <c r="A823949" s="242"/>
    </row>
    <row r="823950" spans="1:1" x14ac:dyDescent="0.25">
      <c r="A823950" s="242"/>
    </row>
    <row r="823951" spans="1:1" x14ac:dyDescent="0.25">
      <c r="A823951" s="242"/>
    </row>
    <row r="823952" spans="1:1" x14ac:dyDescent="0.25">
      <c r="A823952" s="242"/>
    </row>
    <row r="823953" spans="1:1" x14ac:dyDescent="0.25">
      <c r="A823953" s="242"/>
    </row>
    <row r="823954" spans="1:1" x14ac:dyDescent="0.25">
      <c r="A823954" s="242"/>
    </row>
    <row r="823955" spans="1:1" x14ac:dyDescent="0.25">
      <c r="A823955" s="242"/>
    </row>
    <row r="823956" spans="1:1" x14ac:dyDescent="0.25">
      <c r="A823956" s="242"/>
    </row>
    <row r="823957" spans="1:1" x14ac:dyDescent="0.25">
      <c r="A823957" s="242"/>
    </row>
    <row r="823958" spans="1:1" x14ac:dyDescent="0.25">
      <c r="A823958" s="242"/>
    </row>
    <row r="823959" spans="1:1" x14ac:dyDescent="0.25">
      <c r="A823959" s="242"/>
    </row>
    <row r="823960" spans="1:1" x14ac:dyDescent="0.25">
      <c r="A823960" s="242"/>
    </row>
    <row r="823961" spans="1:1" x14ac:dyDescent="0.25">
      <c r="A823961" s="242"/>
    </row>
    <row r="823962" spans="1:1" x14ac:dyDescent="0.25">
      <c r="A823962" s="242"/>
    </row>
    <row r="823963" spans="1:1" x14ac:dyDescent="0.25">
      <c r="A823963" s="242"/>
    </row>
    <row r="823964" spans="1:1" x14ac:dyDescent="0.25">
      <c r="A823964" s="242"/>
    </row>
    <row r="823965" spans="1:1" x14ac:dyDescent="0.25">
      <c r="A823965" s="242"/>
    </row>
    <row r="823966" spans="1:1" x14ac:dyDescent="0.25">
      <c r="A823966" s="242"/>
    </row>
    <row r="823967" spans="1:1" x14ac:dyDescent="0.25">
      <c r="A823967" s="242"/>
    </row>
    <row r="823968" spans="1:1" x14ac:dyDescent="0.25">
      <c r="A823968" s="242"/>
    </row>
    <row r="823969" spans="1:1" x14ac:dyDescent="0.25">
      <c r="A823969" s="242"/>
    </row>
    <row r="823970" spans="1:1" x14ac:dyDescent="0.25">
      <c r="A823970" s="242"/>
    </row>
    <row r="823971" spans="1:1" x14ac:dyDescent="0.25">
      <c r="A823971" s="242"/>
    </row>
    <row r="823972" spans="1:1" x14ac:dyDescent="0.25">
      <c r="A823972" s="242"/>
    </row>
    <row r="823973" spans="1:1" x14ac:dyDescent="0.25">
      <c r="A823973" s="242"/>
    </row>
    <row r="823974" spans="1:1" x14ac:dyDescent="0.25">
      <c r="A823974" s="242"/>
    </row>
    <row r="823975" spans="1:1" x14ac:dyDescent="0.25">
      <c r="A823975" s="242"/>
    </row>
    <row r="823976" spans="1:1" x14ac:dyDescent="0.25">
      <c r="A823976" s="242"/>
    </row>
    <row r="823977" spans="1:1" x14ac:dyDescent="0.25">
      <c r="A823977" s="242"/>
    </row>
    <row r="823978" spans="1:1" x14ac:dyDescent="0.25">
      <c r="A823978" s="242"/>
    </row>
    <row r="823979" spans="1:1" x14ac:dyDescent="0.25">
      <c r="A823979" s="242"/>
    </row>
    <row r="823980" spans="1:1" x14ac:dyDescent="0.25">
      <c r="A823980" s="242"/>
    </row>
    <row r="823981" spans="1:1" x14ac:dyDescent="0.25">
      <c r="A823981" s="242"/>
    </row>
    <row r="823982" spans="1:1" x14ac:dyDescent="0.25">
      <c r="A823982" s="242"/>
    </row>
    <row r="823983" spans="1:1" x14ac:dyDescent="0.25">
      <c r="A823983" s="242"/>
    </row>
    <row r="823984" spans="1:1" x14ac:dyDescent="0.25">
      <c r="A823984" s="242"/>
    </row>
    <row r="823985" spans="1:1" x14ac:dyDescent="0.25">
      <c r="A823985" s="242"/>
    </row>
    <row r="823986" spans="1:1" x14ac:dyDescent="0.25">
      <c r="A823986" s="242"/>
    </row>
    <row r="823987" spans="1:1" x14ac:dyDescent="0.25">
      <c r="A823987" s="242"/>
    </row>
    <row r="823988" spans="1:1" x14ac:dyDescent="0.25">
      <c r="A823988" s="242"/>
    </row>
    <row r="823989" spans="1:1" x14ac:dyDescent="0.25">
      <c r="A823989" s="242"/>
    </row>
    <row r="823990" spans="1:1" x14ac:dyDescent="0.25">
      <c r="A823990" s="242"/>
    </row>
    <row r="823991" spans="1:1" x14ac:dyDescent="0.25">
      <c r="A823991" s="242"/>
    </row>
    <row r="823992" spans="1:1" x14ac:dyDescent="0.25">
      <c r="A823992" s="242"/>
    </row>
    <row r="823993" spans="1:1" x14ac:dyDescent="0.25">
      <c r="A823993" s="242"/>
    </row>
    <row r="823994" spans="1:1" x14ac:dyDescent="0.25">
      <c r="A823994" s="242"/>
    </row>
    <row r="823995" spans="1:1" x14ac:dyDescent="0.25">
      <c r="A823995" s="242"/>
    </row>
    <row r="823996" spans="1:1" x14ac:dyDescent="0.25">
      <c r="A823996" s="242"/>
    </row>
    <row r="823997" spans="1:1" x14ac:dyDescent="0.25">
      <c r="A823997" s="242"/>
    </row>
    <row r="823998" spans="1:1" x14ac:dyDescent="0.25">
      <c r="A823998" s="242"/>
    </row>
    <row r="823999" spans="1:1" x14ac:dyDescent="0.25">
      <c r="A823999" s="242"/>
    </row>
    <row r="824000" spans="1:1" x14ac:dyDescent="0.25">
      <c r="A824000" s="242"/>
    </row>
    <row r="824001" spans="1:1" x14ac:dyDescent="0.25">
      <c r="A824001" s="242"/>
    </row>
    <row r="824002" spans="1:1" x14ac:dyDescent="0.25">
      <c r="A824002" s="242"/>
    </row>
    <row r="824003" spans="1:1" x14ac:dyDescent="0.25">
      <c r="A824003" s="242"/>
    </row>
    <row r="824004" spans="1:1" x14ac:dyDescent="0.25">
      <c r="A824004" s="242"/>
    </row>
    <row r="824005" spans="1:1" x14ac:dyDescent="0.25">
      <c r="A824005" s="242"/>
    </row>
    <row r="824006" spans="1:1" x14ac:dyDescent="0.25">
      <c r="A824006" s="242"/>
    </row>
    <row r="824007" spans="1:1" x14ac:dyDescent="0.25">
      <c r="A824007" s="242"/>
    </row>
    <row r="824008" spans="1:1" x14ac:dyDescent="0.25">
      <c r="A824008" s="242"/>
    </row>
    <row r="824009" spans="1:1" x14ac:dyDescent="0.25">
      <c r="A824009" s="242"/>
    </row>
    <row r="824010" spans="1:1" x14ac:dyDescent="0.25">
      <c r="A824010" s="242"/>
    </row>
    <row r="824011" spans="1:1" x14ac:dyDescent="0.25">
      <c r="A824011" s="242"/>
    </row>
    <row r="824012" spans="1:1" x14ac:dyDescent="0.25">
      <c r="A824012" s="242"/>
    </row>
    <row r="824013" spans="1:1" x14ac:dyDescent="0.25">
      <c r="A824013" s="242"/>
    </row>
    <row r="824014" spans="1:1" x14ac:dyDescent="0.25">
      <c r="A824014" s="242"/>
    </row>
    <row r="824015" spans="1:1" x14ac:dyDescent="0.25">
      <c r="A824015" s="242"/>
    </row>
    <row r="824016" spans="1:1" x14ac:dyDescent="0.25">
      <c r="A824016" s="242"/>
    </row>
    <row r="824017" spans="1:1" x14ac:dyDescent="0.25">
      <c r="A824017" s="242"/>
    </row>
    <row r="824018" spans="1:1" x14ac:dyDescent="0.25">
      <c r="A824018" s="242"/>
    </row>
    <row r="824019" spans="1:1" x14ac:dyDescent="0.25">
      <c r="A824019" s="242"/>
    </row>
    <row r="824020" spans="1:1" x14ac:dyDescent="0.25">
      <c r="A824020" s="242"/>
    </row>
    <row r="824021" spans="1:1" x14ac:dyDescent="0.25">
      <c r="A824021" s="242"/>
    </row>
    <row r="824022" spans="1:1" x14ac:dyDescent="0.25">
      <c r="A824022" s="242"/>
    </row>
    <row r="824023" spans="1:1" x14ac:dyDescent="0.25">
      <c r="A824023" s="242"/>
    </row>
    <row r="824024" spans="1:1" x14ac:dyDescent="0.25">
      <c r="A824024" s="242"/>
    </row>
    <row r="824025" spans="1:1" x14ac:dyDescent="0.25">
      <c r="A824025" s="242"/>
    </row>
    <row r="824026" spans="1:1" x14ac:dyDescent="0.25">
      <c r="A824026" s="242"/>
    </row>
    <row r="824027" spans="1:1" x14ac:dyDescent="0.25">
      <c r="A824027" s="242"/>
    </row>
    <row r="824028" spans="1:1" x14ac:dyDescent="0.25">
      <c r="A824028" s="242"/>
    </row>
    <row r="824029" spans="1:1" x14ac:dyDescent="0.25">
      <c r="A824029" s="242"/>
    </row>
    <row r="824030" spans="1:1" x14ac:dyDescent="0.25">
      <c r="A824030" s="242"/>
    </row>
    <row r="824031" spans="1:1" x14ac:dyDescent="0.25">
      <c r="A824031" s="242"/>
    </row>
    <row r="824032" spans="1:1" x14ac:dyDescent="0.25">
      <c r="A824032" s="242"/>
    </row>
    <row r="824033" spans="1:1" x14ac:dyDescent="0.25">
      <c r="A824033" s="242"/>
    </row>
    <row r="824034" spans="1:1" x14ac:dyDescent="0.25">
      <c r="A824034" s="242"/>
    </row>
    <row r="824035" spans="1:1" x14ac:dyDescent="0.25">
      <c r="A824035" s="242"/>
    </row>
    <row r="824036" spans="1:1" x14ac:dyDescent="0.25">
      <c r="A824036" s="242"/>
    </row>
    <row r="824037" spans="1:1" x14ac:dyDescent="0.25">
      <c r="A824037" s="242"/>
    </row>
    <row r="824038" spans="1:1" x14ac:dyDescent="0.25">
      <c r="A824038" s="242"/>
    </row>
    <row r="824039" spans="1:1" x14ac:dyDescent="0.25">
      <c r="A824039" s="242"/>
    </row>
    <row r="824040" spans="1:1" x14ac:dyDescent="0.25">
      <c r="A824040" s="242"/>
    </row>
    <row r="824041" spans="1:1" x14ac:dyDescent="0.25">
      <c r="A824041" s="242"/>
    </row>
    <row r="824042" spans="1:1" x14ac:dyDescent="0.25">
      <c r="A824042" s="242"/>
    </row>
    <row r="824043" spans="1:1" x14ac:dyDescent="0.25">
      <c r="A824043" s="242"/>
    </row>
    <row r="824044" spans="1:1" x14ac:dyDescent="0.25">
      <c r="A824044" s="242"/>
    </row>
    <row r="824045" spans="1:1" x14ac:dyDescent="0.25">
      <c r="A824045" s="242"/>
    </row>
    <row r="824046" spans="1:1" x14ac:dyDescent="0.25">
      <c r="A824046" s="242"/>
    </row>
    <row r="824047" spans="1:1" x14ac:dyDescent="0.25">
      <c r="A824047" s="242"/>
    </row>
    <row r="824048" spans="1:1" x14ac:dyDescent="0.25">
      <c r="A824048" s="242"/>
    </row>
    <row r="824049" spans="1:1" x14ac:dyDescent="0.25">
      <c r="A824049" s="242"/>
    </row>
    <row r="824050" spans="1:1" x14ac:dyDescent="0.25">
      <c r="A824050" s="242"/>
    </row>
    <row r="824051" spans="1:1" x14ac:dyDescent="0.25">
      <c r="A824051" s="242"/>
    </row>
    <row r="824052" spans="1:1" x14ac:dyDescent="0.25">
      <c r="A824052" s="242"/>
    </row>
    <row r="824053" spans="1:1" x14ac:dyDescent="0.25">
      <c r="A824053" s="242"/>
    </row>
    <row r="824054" spans="1:1" x14ac:dyDescent="0.25">
      <c r="A824054" s="242"/>
    </row>
    <row r="824055" spans="1:1" x14ac:dyDescent="0.25">
      <c r="A824055" s="242"/>
    </row>
    <row r="824056" spans="1:1" x14ac:dyDescent="0.25">
      <c r="A824056" s="242"/>
    </row>
    <row r="824057" spans="1:1" x14ac:dyDescent="0.25">
      <c r="A824057" s="242"/>
    </row>
    <row r="824058" spans="1:1" x14ac:dyDescent="0.25">
      <c r="A824058" s="242"/>
    </row>
    <row r="824059" spans="1:1" x14ac:dyDescent="0.25">
      <c r="A824059" s="242"/>
    </row>
    <row r="824060" spans="1:1" x14ac:dyDescent="0.25">
      <c r="A824060" s="242"/>
    </row>
    <row r="824061" spans="1:1" x14ac:dyDescent="0.25">
      <c r="A824061" s="242"/>
    </row>
    <row r="824062" spans="1:1" x14ac:dyDescent="0.25">
      <c r="A824062" s="242"/>
    </row>
    <row r="824063" spans="1:1" x14ac:dyDescent="0.25">
      <c r="A824063" s="242"/>
    </row>
    <row r="824064" spans="1:1" x14ac:dyDescent="0.25">
      <c r="A824064" s="242"/>
    </row>
    <row r="824065" spans="1:1" x14ac:dyDescent="0.25">
      <c r="A824065" s="242"/>
    </row>
    <row r="824066" spans="1:1" x14ac:dyDescent="0.25">
      <c r="A824066" s="242"/>
    </row>
    <row r="824067" spans="1:1" x14ac:dyDescent="0.25">
      <c r="A824067" s="242"/>
    </row>
    <row r="824068" spans="1:1" x14ac:dyDescent="0.25">
      <c r="A824068" s="242"/>
    </row>
    <row r="824069" spans="1:1" x14ac:dyDescent="0.25">
      <c r="A824069" s="242"/>
    </row>
    <row r="824070" spans="1:1" x14ac:dyDescent="0.25">
      <c r="A824070" s="242"/>
    </row>
    <row r="824071" spans="1:1" x14ac:dyDescent="0.25">
      <c r="A824071" s="242"/>
    </row>
    <row r="824072" spans="1:1" x14ac:dyDescent="0.25">
      <c r="A824072" s="242"/>
    </row>
    <row r="824073" spans="1:1" x14ac:dyDescent="0.25">
      <c r="A824073" s="242"/>
    </row>
    <row r="824074" spans="1:1" x14ac:dyDescent="0.25">
      <c r="A824074" s="242"/>
    </row>
    <row r="824075" spans="1:1" x14ac:dyDescent="0.25">
      <c r="A824075" s="242"/>
    </row>
    <row r="824076" spans="1:1" x14ac:dyDescent="0.25">
      <c r="A824076" s="242"/>
    </row>
    <row r="824077" spans="1:1" x14ac:dyDescent="0.25">
      <c r="A824077" s="242"/>
    </row>
    <row r="824078" spans="1:1" x14ac:dyDescent="0.25">
      <c r="A824078" s="242"/>
    </row>
    <row r="824079" spans="1:1" x14ac:dyDescent="0.25">
      <c r="A824079" s="242"/>
    </row>
    <row r="824080" spans="1:1" x14ac:dyDescent="0.25">
      <c r="A824080" s="242"/>
    </row>
    <row r="824081" spans="1:1" x14ac:dyDescent="0.25">
      <c r="A824081" s="242"/>
    </row>
    <row r="824082" spans="1:1" x14ac:dyDescent="0.25">
      <c r="A824082" s="242"/>
    </row>
    <row r="824083" spans="1:1" x14ac:dyDescent="0.25">
      <c r="A824083" s="242"/>
    </row>
    <row r="824084" spans="1:1" x14ac:dyDescent="0.25">
      <c r="A824084" s="242"/>
    </row>
    <row r="824085" spans="1:1" x14ac:dyDescent="0.25">
      <c r="A824085" s="242"/>
    </row>
    <row r="824086" spans="1:1" x14ac:dyDescent="0.25">
      <c r="A824086" s="242"/>
    </row>
    <row r="824087" spans="1:1" x14ac:dyDescent="0.25">
      <c r="A824087" s="242"/>
    </row>
    <row r="824088" spans="1:1" x14ac:dyDescent="0.25">
      <c r="A824088" s="242"/>
    </row>
    <row r="824089" spans="1:1" x14ac:dyDescent="0.25">
      <c r="A824089" s="242"/>
    </row>
    <row r="824090" spans="1:1" x14ac:dyDescent="0.25">
      <c r="A824090" s="242"/>
    </row>
    <row r="824091" spans="1:1" x14ac:dyDescent="0.25">
      <c r="A824091" s="242"/>
    </row>
    <row r="824092" spans="1:1" x14ac:dyDescent="0.25">
      <c r="A824092" s="242"/>
    </row>
    <row r="824093" spans="1:1" x14ac:dyDescent="0.25">
      <c r="A824093" s="242"/>
    </row>
    <row r="824094" spans="1:1" x14ac:dyDescent="0.25">
      <c r="A824094" s="242"/>
    </row>
    <row r="824095" spans="1:1" x14ac:dyDescent="0.25">
      <c r="A824095" s="242"/>
    </row>
    <row r="824096" spans="1:1" x14ac:dyDescent="0.25">
      <c r="A824096" s="242"/>
    </row>
    <row r="824097" spans="1:1" x14ac:dyDescent="0.25">
      <c r="A824097" s="242"/>
    </row>
    <row r="824098" spans="1:1" x14ac:dyDescent="0.25">
      <c r="A824098" s="242"/>
    </row>
    <row r="824099" spans="1:1" x14ac:dyDescent="0.25">
      <c r="A824099" s="242"/>
    </row>
    <row r="824100" spans="1:1" x14ac:dyDescent="0.25">
      <c r="A824100" s="242"/>
    </row>
    <row r="824101" spans="1:1" x14ac:dyDescent="0.25">
      <c r="A824101" s="242"/>
    </row>
    <row r="824102" spans="1:1" x14ac:dyDescent="0.25">
      <c r="A824102" s="242"/>
    </row>
    <row r="824103" spans="1:1" x14ac:dyDescent="0.25">
      <c r="A824103" s="242"/>
    </row>
    <row r="824104" spans="1:1" x14ac:dyDescent="0.25">
      <c r="A824104" s="242"/>
    </row>
    <row r="824105" spans="1:1" x14ac:dyDescent="0.25">
      <c r="A824105" s="242"/>
    </row>
    <row r="824106" spans="1:1" x14ac:dyDescent="0.25">
      <c r="A824106" s="242"/>
    </row>
    <row r="824107" spans="1:1" x14ac:dyDescent="0.25">
      <c r="A824107" s="242"/>
    </row>
    <row r="824108" spans="1:1" x14ac:dyDescent="0.25">
      <c r="A824108" s="242"/>
    </row>
    <row r="824109" spans="1:1" x14ac:dyDescent="0.25">
      <c r="A824109" s="242"/>
    </row>
    <row r="824110" spans="1:1" x14ac:dyDescent="0.25">
      <c r="A824110" s="242"/>
    </row>
    <row r="824111" spans="1:1" x14ac:dyDescent="0.25">
      <c r="A824111" s="242"/>
    </row>
    <row r="824112" spans="1:1" x14ac:dyDescent="0.25">
      <c r="A824112" s="242"/>
    </row>
    <row r="824113" spans="1:1" x14ac:dyDescent="0.25">
      <c r="A824113" s="242"/>
    </row>
    <row r="824114" spans="1:1" x14ac:dyDescent="0.25">
      <c r="A824114" s="242"/>
    </row>
    <row r="824115" spans="1:1" x14ac:dyDescent="0.25">
      <c r="A824115" s="242"/>
    </row>
    <row r="824116" spans="1:1" x14ac:dyDescent="0.25">
      <c r="A824116" s="242"/>
    </row>
    <row r="824117" spans="1:1" x14ac:dyDescent="0.25">
      <c r="A824117" s="242"/>
    </row>
    <row r="824118" spans="1:1" x14ac:dyDescent="0.25">
      <c r="A824118" s="242"/>
    </row>
    <row r="824119" spans="1:1" x14ac:dyDescent="0.25">
      <c r="A824119" s="242"/>
    </row>
    <row r="824120" spans="1:1" x14ac:dyDescent="0.25">
      <c r="A824120" s="242"/>
    </row>
    <row r="824121" spans="1:1" x14ac:dyDescent="0.25">
      <c r="A824121" s="242"/>
    </row>
    <row r="824122" spans="1:1" x14ac:dyDescent="0.25">
      <c r="A824122" s="242"/>
    </row>
    <row r="824123" spans="1:1" x14ac:dyDescent="0.25">
      <c r="A824123" s="242"/>
    </row>
    <row r="824124" spans="1:1" x14ac:dyDescent="0.25">
      <c r="A824124" s="242"/>
    </row>
    <row r="824125" spans="1:1" x14ac:dyDescent="0.25">
      <c r="A824125" s="242"/>
    </row>
    <row r="824126" spans="1:1" x14ac:dyDescent="0.25">
      <c r="A824126" s="242"/>
    </row>
    <row r="824127" spans="1:1" x14ac:dyDescent="0.25">
      <c r="A824127" s="242"/>
    </row>
    <row r="824128" spans="1:1" x14ac:dyDescent="0.25">
      <c r="A824128" s="242"/>
    </row>
    <row r="824129" spans="1:1" x14ac:dyDescent="0.25">
      <c r="A824129" s="242"/>
    </row>
    <row r="824130" spans="1:1" x14ac:dyDescent="0.25">
      <c r="A824130" s="242"/>
    </row>
    <row r="824131" spans="1:1" x14ac:dyDescent="0.25">
      <c r="A824131" s="242"/>
    </row>
    <row r="824132" spans="1:1" x14ac:dyDescent="0.25">
      <c r="A824132" s="242"/>
    </row>
    <row r="824133" spans="1:1" x14ac:dyDescent="0.25">
      <c r="A824133" s="242"/>
    </row>
    <row r="824134" spans="1:1" x14ac:dyDescent="0.25">
      <c r="A824134" s="242"/>
    </row>
    <row r="824135" spans="1:1" x14ac:dyDescent="0.25">
      <c r="A824135" s="242"/>
    </row>
    <row r="824136" spans="1:1" x14ac:dyDescent="0.25">
      <c r="A824136" s="242"/>
    </row>
    <row r="824137" spans="1:1" x14ac:dyDescent="0.25">
      <c r="A824137" s="242"/>
    </row>
    <row r="824138" spans="1:1" x14ac:dyDescent="0.25">
      <c r="A824138" s="242"/>
    </row>
    <row r="824139" spans="1:1" x14ac:dyDescent="0.25">
      <c r="A824139" s="242"/>
    </row>
    <row r="824140" spans="1:1" x14ac:dyDescent="0.25">
      <c r="A824140" s="242"/>
    </row>
    <row r="824141" spans="1:1" x14ac:dyDescent="0.25">
      <c r="A824141" s="242"/>
    </row>
    <row r="824142" spans="1:1" x14ac:dyDescent="0.25">
      <c r="A824142" s="242"/>
    </row>
    <row r="824143" spans="1:1" x14ac:dyDescent="0.25">
      <c r="A824143" s="242"/>
    </row>
    <row r="824144" spans="1:1" x14ac:dyDescent="0.25">
      <c r="A824144" s="242"/>
    </row>
    <row r="824145" spans="1:1" x14ac:dyDescent="0.25">
      <c r="A824145" s="242"/>
    </row>
    <row r="824146" spans="1:1" x14ac:dyDescent="0.25">
      <c r="A824146" s="242"/>
    </row>
    <row r="824147" spans="1:1" x14ac:dyDescent="0.25">
      <c r="A824147" s="242"/>
    </row>
    <row r="824148" spans="1:1" x14ac:dyDescent="0.25">
      <c r="A824148" s="242"/>
    </row>
    <row r="824149" spans="1:1" x14ac:dyDescent="0.25">
      <c r="A824149" s="242"/>
    </row>
    <row r="824150" spans="1:1" x14ac:dyDescent="0.25">
      <c r="A824150" s="242"/>
    </row>
    <row r="824151" spans="1:1" x14ac:dyDescent="0.25">
      <c r="A824151" s="242"/>
    </row>
    <row r="824152" spans="1:1" x14ac:dyDescent="0.25">
      <c r="A824152" s="242"/>
    </row>
    <row r="824153" spans="1:1" x14ac:dyDescent="0.25">
      <c r="A824153" s="242"/>
    </row>
    <row r="824154" spans="1:1" x14ac:dyDescent="0.25">
      <c r="A824154" s="242"/>
    </row>
    <row r="824155" spans="1:1" x14ac:dyDescent="0.25">
      <c r="A824155" s="242"/>
    </row>
    <row r="824156" spans="1:1" x14ac:dyDescent="0.25">
      <c r="A824156" s="242"/>
    </row>
    <row r="824157" spans="1:1" x14ac:dyDescent="0.25">
      <c r="A824157" s="242"/>
    </row>
    <row r="824158" spans="1:1" x14ac:dyDescent="0.25">
      <c r="A824158" s="242"/>
    </row>
    <row r="824159" spans="1:1" x14ac:dyDescent="0.25">
      <c r="A824159" s="242"/>
    </row>
    <row r="824160" spans="1:1" x14ac:dyDescent="0.25">
      <c r="A824160" s="242"/>
    </row>
    <row r="824161" spans="1:1" x14ac:dyDescent="0.25">
      <c r="A824161" s="242"/>
    </row>
    <row r="824162" spans="1:1" x14ac:dyDescent="0.25">
      <c r="A824162" s="242"/>
    </row>
    <row r="824163" spans="1:1" x14ac:dyDescent="0.25">
      <c r="A824163" s="242"/>
    </row>
    <row r="824164" spans="1:1" x14ac:dyDescent="0.25">
      <c r="A824164" s="242"/>
    </row>
    <row r="824165" spans="1:1" x14ac:dyDescent="0.25">
      <c r="A824165" s="242"/>
    </row>
    <row r="824166" spans="1:1" x14ac:dyDescent="0.25">
      <c r="A824166" s="242"/>
    </row>
    <row r="824167" spans="1:1" x14ac:dyDescent="0.25">
      <c r="A824167" s="242"/>
    </row>
    <row r="824168" spans="1:1" x14ac:dyDescent="0.25">
      <c r="A824168" s="242"/>
    </row>
    <row r="824169" spans="1:1" x14ac:dyDescent="0.25">
      <c r="A824169" s="242"/>
    </row>
    <row r="824170" spans="1:1" x14ac:dyDescent="0.25">
      <c r="A824170" s="242"/>
    </row>
    <row r="824171" spans="1:1" x14ac:dyDescent="0.25">
      <c r="A824171" s="242"/>
    </row>
    <row r="824172" spans="1:1" x14ac:dyDescent="0.25">
      <c r="A824172" s="242"/>
    </row>
    <row r="824173" spans="1:1" x14ac:dyDescent="0.25">
      <c r="A824173" s="242"/>
    </row>
    <row r="824174" spans="1:1" x14ac:dyDescent="0.25">
      <c r="A824174" s="242"/>
    </row>
    <row r="824175" spans="1:1" x14ac:dyDescent="0.25">
      <c r="A824175" s="242"/>
    </row>
    <row r="824176" spans="1:1" x14ac:dyDescent="0.25">
      <c r="A824176" s="242"/>
    </row>
    <row r="824177" spans="1:1" x14ac:dyDescent="0.25">
      <c r="A824177" s="242"/>
    </row>
    <row r="824178" spans="1:1" x14ac:dyDescent="0.25">
      <c r="A824178" s="242"/>
    </row>
    <row r="824179" spans="1:1" x14ac:dyDescent="0.25">
      <c r="A824179" s="242"/>
    </row>
    <row r="824180" spans="1:1" x14ac:dyDescent="0.25">
      <c r="A824180" s="242"/>
    </row>
    <row r="824181" spans="1:1" x14ac:dyDescent="0.25">
      <c r="A824181" s="242"/>
    </row>
    <row r="824182" spans="1:1" x14ac:dyDescent="0.25">
      <c r="A824182" s="242"/>
    </row>
    <row r="824183" spans="1:1" x14ac:dyDescent="0.25">
      <c r="A824183" s="242"/>
    </row>
    <row r="824184" spans="1:1" x14ac:dyDescent="0.25">
      <c r="A824184" s="242"/>
    </row>
    <row r="824185" spans="1:1" x14ac:dyDescent="0.25">
      <c r="A824185" s="242"/>
    </row>
    <row r="824186" spans="1:1" x14ac:dyDescent="0.25">
      <c r="A824186" s="242"/>
    </row>
    <row r="824187" spans="1:1" x14ac:dyDescent="0.25">
      <c r="A824187" s="242"/>
    </row>
    <row r="824188" spans="1:1" x14ac:dyDescent="0.25">
      <c r="A824188" s="242"/>
    </row>
    <row r="824189" spans="1:1" x14ac:dyDescent="0.25">
      <c r="A824189" s="242"/>
    </row>
    <row r="824190" spans="1:1" x14ac:dyDescent="0.25">
      <c r="A824190" s="242"/>
    </row>
    <row r="824191" spans="1:1" x14ac:dyDescent="0.25">
      <c r="A824191" s="242"/>
    </row>
    <row r="824192" spans="1:1" x14ac:dyDescent="0.25">
      <c r="A824192" s="242"/>
    </row>
    <row r="824193" spans="1:1" x14ac:dyDescent="0.25">
      <c r="A824193" s="242"/>
    </row>
    <row r="824194" spans="1:1" x14ac:dyDescent="0.25">
      <c r="A824194" s="242"/>
    </row>
    <row r="824195" spans="1:1" x14ac:dyDescent="0.25">
      <c r="A824195" s="242"/>
    </row>
    <row r="824196" spans="1:1" x14ac:dyDescent="0.25">
      <c r="A824196" s="242"/>
    </row>
    <row r="824197" spans="1:1" x14ac:dyDescent="0.25">
      <c r="A824197" s="242"/>
    </row>
    <row r="824198" spans="1:1" x14ac:dyDescent="0.25">
      <c r="A824198" s="242"/>
    </row>
    <row r="824199" spans="1:1" x14ac:dyDescent="0.25">
      <c r="A824199" s="242"/>
    </row>
    <row r="824200" spans="1:1" x14ac:dyDescent="0.25">
      <c r="A824200" s="242"/>
    </row>
    <row r="824201" spans="1:1" x14ac:dyDescent="0.25">
      <c r="A824201" s="242"/>
    </row>
    <row r="824202" spans="1:1" x14ac:dyDescent="0.25">
      <c r="A824202" s="242"/>
    </row>
    <row r="824203" spans="1:1" x14ac:dyDescent="0.25">
      <c r="A824203" s="242"/>
    </row>
    <row r="824204" spans="1:1" x14ac:dyDescent="0.25">
      <c r="A824204" s="242"/>
    </row>
    <row r="824205" spans="1:1" x14ac:dyDescent="0.25">
      <c r="A824205" s="242"/>
    </row>
    <row r="824206" spans="1:1" x14ac:dyDescent="0.25">
      <c r="A824206" s="242"/>
    </row>
    <row r="824207" spans="1:1" x14ac:dyDescent="0.25">
      <c r="A824207" s="242"/>
    </row>
    <row r="824208" spans="1:1" x14ac:dyDescent="0.25">
      <c r="A824208" s="242"/>
    </row>
    <row r="824209" spans="1:1" x14ac:dyDescent="0.25">
      <c r="A824209" s="242"/>
    </row>
    <row r="824210" spans="1:1" x14ac:dyDescent="0.25">
      <c r="A824210" s="242"/>
    </row>
    <row r="824211" spans="1:1" x14ac:dyDescent="0.25">
      <c r="A824211" s="242"/>
    </row>
    <row r="824212" spans="1:1" x14ac:dyDescent="0.25">
      <c r="A824212" s="242"/>
    </row>
    <row r="824213" spans="1:1" x14ac:dyDescent="0.25">
      <c r="A824213" s="242"/>
    </row>
    <row r="824214" spans="1:1" x14ac:dyDescent="0.25">
      <c r="A824214" s="242"/>
    </row>
    <row r="824215" spans="1:1" x14ac:dyDescent="0.25">
      <c r="A824215" s="242"/>
    </row>
    <row r="824216" spans="1:1" x14ac:dyDescent="0.25">
      <c r="A824216" s="242"/>
    </row>
    <row r="824217" spans="1:1" x14ac:dyDescent="0.25">
      <c r="A824217" s="242"/>
    </row>
    <row r="824218" spans="1:1" x14ac:dyDescent="0.25">
      <c r="A824218" s="242"/>
    </row>
    <row r="824219" spans="1:1" x14ac:dyDescent="0.25">
      <c r="A824219" s="242"/>
    </row>
    <row r="824220" spans="1:1" x14ac:dyDescent="0.25">
      <c r="A824220" s="242"/>
    </row>
    <row r="824221" spans="1:1" x14ac:dyDescent="0.25">
      <c r="A824221" s="242"/>
    </row>
    <row r="824222" spans="1:1" x14ac:dyDescent="0.25">
      <c r="A824222" s="242"/>
    </row>
    <row r="824223" spans="1:1" x14ac:dyDescent="0.25">
      <c r="A824223" s="242"/>
    </row>
    <row r="824224" spans="1:1" x14ac:dyDescent="0.25">
      <c r="A824224" s="242"/>
    </row>
    <row r="824225" spans="1:1" x14ac:dyDescent="0.25">
      <c r="A824225" s="242"/>
    </row>
    <row r="824226" spans="1:1" x14ac:dyDescent="0.25">
      <c r="A824226" s="242"/>
    </row>
    <row r="824227" spans="1:1" x14ac:dyDescent="0.25">
      <c r="A824227" s="242"/>
    </row>
    <row r="824228" spans="1:1" x14ac:dyDescent="0.25">
      <c r="A824228" s="242"/>
    </row>
    <row r="824229" spans="1:1" x14ac:dyDescent="0.25">
      <c r="A824229" s="242"/>
    </row>
    <row r="824230" spans="1:1" x14ac:dyDescent="0.25">
      <c r="A824230" s="242"/>
    </row>
    <row r="824231" spans="1:1" x14ac:dyDescent="0.25">
      <c r="A824231" s="242"/>
    </row>
    <row r="824232" spans="1:1" x14ac:dyDescent="0.25">
      <c r="A824232" s="242"/>
    </row>
    <row r="824233" spans="1:1" x14ac:dyDescent="0.25">
      <c r="A824233" s="242"/>
    </row>
    <row r="824234" spans="1:1" x14ac:dyDescent="0.25">
      <c r="A824234" s="242"/>
    </row>
    <row r="824235" spans="1:1" x14ac:dyDescent="0.25">
      <c r="A824235" s="242"/>
    </row>
    <row r="824236" spans="1:1" x14ac:dyDescent="0.25">
      <c r="A824236" s="242"/>
    </row>
    <row r="824237" spans="1:1" x14ac:dyDescent="0.25">
      <c r="A824237" s="242"/>
    </row>
    <row r="824238" spans="1:1" x14ac:dyDescent="0.25">
      <c r="A824238" s="242"/>
    </row>
    <row r="824239" spans="1:1" x14ac:dyDescent="0.25">
      <c r="A824239" s="242"/>
    </row>
    <row r="824240" spans="1:1" x14ac:dyDescent="0.25">
      <c r="A824240" s="242"/>
    </row>
    <row r="824241" spans="1:1" x14ac:dyDescent="0.25">
      <c r="A824241" s="242"/>
    </row>
    <row r="824242" spans="1:1" x14ac:dyDescent="0.25">
      <c r="A824242" s="242"/>
    </row>
    <row r="824243" spans="1:1" x14ac:dyDescent="0.25">
      <c r="A824243" s="242"/>
    </row>
    <row r="824244" spans="1:1" x14ac:dyDescent="0.25">
      <c r="A824244" s="242"/>
    </row>
    <row r="824245" spans="1:1" x14ac:dyDescent="0.25">
      <c r="A824245" s="242"/>
    </row>
    <row r="824246" spans="1:1" x14ac:dyDescent="0.25">
      <c r="A824246" s="242"/>
    </row>
    <row r="824247" spans="1:1" x14ac:dyDescent="0.25">
      <c r="A824247" s="242"/>
    </row>
    <row r="824248" spans="1:1" x14ac:dyDescent="0.25">
      <c r="A824248" s="242"/>
    </row>
    <row r="824249" spans="1:1" x14ac:dyDescent="0.25">
      <c r="A824249" s="242"/>
    </row>
    <row r="824250" spans="1:1" x14ac:dyDescent="0.25">
      <c r="A824250" s="242"/>
    </row>
    <row r="824251" spans="1:1" x14ac:dyDescent="0.25">
      <c r="A824251" s="242"/>
    </row>
    <row r="824252" spans="1:1" x14ac:dyDescent="0.25">
      <c r="A824252" s="242"/>
    </row>
    <row r="824253" spans="1:1" x14ac:dyDescent="0.25">
      <c r="A824253" s="242"/>
    </row>
    <row r="824254" spans="1:1" x14ac:dyDescent="0.25">
      <c r="A824254" s="242"/>
    </row>
    <row r="824255" spans="1:1" x14ac:dyDescent="0.25">
      <c r="A824255" s="242"/>
    </row>
    <row r="824256" spans="1:1" x14ac:dyDescent="0.25">
      <c r="A824256" s="242"/>
    </row>
    <row r="824257" spans="1:1" x14ac:dyDescent="0.25">
      <c r="A824257" s="242"/>
    </row>
    <row r="824258" spans="1:1" x14ac:dyDescent="0.25">
      <c r="A824258" s="242"/>
    </row>
    <row r="824259" spans="1:1" x14ac:dyDescent="0.25">
      <c r="A824259" s="242"/>
    </row>
    <row r="824260" spans="1:1" x14ac:dyDescent="0.25">
      <c r="A824260" s="242"/>
    </row>
    <row r="824261" spans="1:1" x14ac:dyDescent="0.25">
      <c r="A824261" s="242"/>
    </row>
    <row r="824262" spans="1:1" x14ac:dyDescent="0.25">
      <c r="A824262" s="242"/>
    </row>
    <row r="824263" spans="1:1" x14ac:dyDescent="0.25">
      <c r="A824263" s="242"/>
    </row>
    <row r="824264" spans="1:1" x14ac:dyDescent="0.25">
      <c r="A824264" s="242"/>
    </row>
    <row r="824265" spans="1:1" x14ac:dyDescent="0.25">
      <c r="A824265" s="242"/>
    </row>
    <row r="824266" spans="1:1" x14ac:dyDescent="0.25">
      <c r="A824266" s="242"/>
    </row>
    <row r="824267" spans="1:1" x14ac:dyDescent="0.25">
      <c r="A824267" s="242"/>
    </row>
    <row r="824268" spans="1:1" x14ac:dyDescent="0.25">
      <c r="A824268" s="242"/>
    </row>
    <row r="824269" spans="1:1" x14ac:dyDescent="0.25">
      <c r="A824269" s="242"/>
    </row>
    <row r="824270" spans="1:1" x14ac:dyDescent="0.25">
      <c r="A824270" s="242"/>
    </row>
    <row r="824271" spans="1:1" x14ac:dyDescent="0.25">
      <c r="A824271" s="242"/>
    </row>
    <row r="824272" spans="1:1" x14ac:dyDescent="0.25">
      <c r="A824272" s="242"/>
    </row>
    <row r="824273" spans="1:1" x14ac:dyDescent="0.25">
      <c r="A824273" s="242"/>
    </row>
    <row r="824274" spans="1:1" x14ac:dyDescent="0.25">
      <c r="A824274" s="242"/>
    </row>
    <row r="824275" spans="1:1" x14ac:dyDescent="0.25">
      <c r="A824275" s="242"/>
    </row>
    <row r="824276" spans="1:1" x14ac:dyDescent="0.25">
      <c r="A824276" s="242"/>
    </row>
    <row r="824277" spans="1:1" x14ac:dyDescent="0.25">
      <c r="A824277" s="242"/>
    </row>
    <row r="824278" spans="1:1" x14ac:dyDescent="0.25">
      <c r="A824278" s="242"/>
    </row>
    <row r="824279" spans="1:1" x14ac:dyDescent="0.25">
      <c r="A824279" s="242"/>
    </row>
    <row r="824280" spans="1:1" x14ac:dyDescent="0.25">
      <c r="A824280" s="242"/>
    </row>
    <row r="824281" spans="1:1" x14ac:dyDescent="0.25">
      <c r="A824281" s="242"/>
    </row>
    <row r="824282" spans="1:1" x14ac:dyDescent="0.25">
      <c r="A824282" s="242"/>
    </row>
    <row r="824283" spans="1:1" x14ac:dyDescent="0.25">
      <c r="A824283" s="242"/>
    </row>
    <row r="824284" spans="1:1" x14ac:dyDescent="0.25">
      <c r="A824284" s="242"/>
    </row>
    <row r="824285" spans="1:1" x14ac:dyDescent="0.25">
      <c r="A824285" s="242"/>
    </row>
    <row r="824286" spans="1:1" x14ac:dyDescent="0.25">
      <c r="A824286" s="242"/>
    </row>
    <row r="824287" spans="1:1" x14ac:dyDescent="0.25">
      <c r="A824287" s="242"/>
    </row>
    <row r="824288" spans="1:1" x14ac:dyDescent="0.25">
      <c r="A824288" s="242"/>
    </row>
    <row r="824289" spans="1:1" x14ac:dyDescent="0.25">
      <c r="A824289" s="242"/>
    </row>
    <row r="824290" spans="1:1" x14ac:dyDescent="0.25">
      <c r="A824290" s="242"/>
    </row>
    <row r="824291" spans="1:1" x14ac:dyDescent="0.25">
      <c r="A824291" s="242"/>
    </row>
    <row r="824292" spans="1:1" x14ac:dyDescent="0.25">
      <c r="A824292" s="242"/>
    </row>
    <row r="824293" spans="1:1" x14ac:dyDescent="0.25">
      <c r="A824293" s="242"/>
    </row>
    <row r="824294" spans="1:1" x14ac:dyDescent="0.25">
      <c r="A824294" s="242"/>
    </row>
    <row r="824295" spans="1:1" x14ac:dyDescent="0.25">
      <c r="A824295" s="242"/>
    </row>
    <row r="824296" spans="1:1" x14ac:dyDescent="0.25">
      <c r="A824296" s="242"/>
    </row>
    <row r="824297" spans="1:1" x14ac:dyDescent="0.25">
      <c r="A824297" s="242"/>
    </row>
    <row r="824298" spans="1:1" x14ac:dyDescent="0.25">
      <c r="A824298" s="242"/>
    </row>
    <row r="824299" spans="1:1" x14ac:dyDescent="0.25">
      <c r="A824299" s="242"/>
    </row>
    <row r="824300" spans="1:1" x14ac:dyDescent="0.25">
      <c r="A824300" s="242"/>
    </row>
    <row r="824301" spans="1:1" x14ac:dyDescent="0.25">
      <c r="A824301" s="242"/>
    </row>
    <row r="824302" spans="1:1" x14ac:dyDescent="0.25">
      <c r="A824302" s="242"/>
    </row>
    <row r="824303" spans="1:1" x14ac:dyDescent="0.25">
      <c r="A824303" s="242"/>
    </row>
    <row r="824304" spans="1:1" x14ac:dyDescent="0.25">
      <c r="A824304" s="242"/>
    </row>
    <row r="824305" spans="1:1" x14ac:dyDescent="0.25">
      <c r="A824305" s="242"/>
    </row>
    <row r="824306" spans="1:1" x14ac:dyDescent="0.25">
      <c r="A824306" s="242"/>
    </row>
    <row r="824307" spans="1:1" x14ac:dyDescent="0.25">
      <c r="A824307" s="242"/>
    </row>
    <row r="824308" spans="1:1" x14ac:dyDescent="0.25">
      <c r="A824308" s="242"/>
    </row>
    <row r="824309" spans="1:1" x14ac:dyDescent="0.25">
      <c r="A824309" s="242"/>
    </row>
    <row r="824310" spans="1:1" x14ac:dyDescent="0.25">
      <c r="A824310" s="242"/>
    </row>
    <row r="824311" spans="1:1" x14ac:dyDescent="0.25">
      <c r="A824311" s="242"/>
    </row>
    <row r="824312" spans="1:1" x14ac:dyDescent="0.25">
      <c r="A824312" s="242"/>
    </row>
    <row r="824313" spans="1:1" x14ac:dyDescent="0.25">
      <c r="A824313" s="242"/>
    </row>
    <row r="824314" spans="1:1" x14ac:dyDescent="0.25">
      <c r="A824314" s="242"/>
    </row>
    <row r="824315" spans="1:1" x14ac:dyDescent="0.25">
      <c r="A824315" s="242"/>
    </row>
    <row r="824316" spans="1:1" x14ac:dyDescent="0.25">
      <c r="A824316" s="242"/>
    </row>
    <row r="824317" spans="1:1" x14ac:dyDescent="0.25">
      <c r="A824317" s="242"/>
    </row>
    <row r="824318" spans="1:1" x14ac:dyDescent="0.25">
      <c r="A824318" s="242"/>
    </row>
    <row r="824319" spans="1:1" x14ac:dyDescent="0.25">
      <c r="A824319" s="242"/>
    </row>
    <row r="824320" spans="1:1" x14ac:dyDescent="0.25">
      <c r="A824320" s="242"/>
    </row>
    <row r="824321" spans="1:1" x14ac:dyDescent="0.25">
      <c r="A824321" s="242"/>
    </row>
    <row r="824322" spans="1:1" x14ac:dyDescent="0.25">
      <c r="A824322" s="242"/>
    </row>
    <row r="824323" spans="1:1" x14ac:dyDescent="0.25">
      <c r="A824323" s="242"/>
    </row>
    <row r="824324" spans="1:1" x14ac:dyDescent="0.25">
      <c r="A824324" s="242"/>
    </row>
    <row r="824325" spans="1:1" x14ac:dyDescent="0.25">
      <c r="A824325" s="242"/>
    </row>
    <row r="824326" spans="1:1" x14ac:dyDescent="0.25">
      <c r="A824326" s="242"/>
    </row>
    <row r="824327" spans="1:1" x14ac:dyDescent="0.25">
      <c r="A824327" s="242"/>
    </row>
    <row r="824328" spans="1:1" x14ac:dyDescent="0.25">
      <c r="A824328" s="242"/>
    </row>
    <row r="824329" spans="1:1" x14ac:dyDescent="0.25">
      <c r="A824329" s="242"/>
    </row>
    <row r="824330" spans="1:1" x14ac:dyDescent="0.25">
      <c r="A824330" s="242"/>
    </row>
    <row r="824331" spans="1:1" x14ac:dyDescent="0.25">
      <c r="A824331" s="242"/>
    </row>
    <row r="824332" spans="1:1" x14ac:dyDescent="0.25">
      <c r="A824332" s="242"/>
    </row>
    <row r="824333" spans="1:1" x14ac:dyDescent="0.25">
      <c r="A824333" s="242"/>
    </row>
    <row r="824334" spans="1:1" x14ac:dyDescent="0.25">
      <c r="A824334" s="242"/>
    </row>
    <row r="824335" spans="1:1" x14ac:dyDescent="0.25">
      <c r="A824335" s="242"/>
    </row>
    <row r="824336" spans="1:1" x14ac:dyDescent="0.25">
      <c r="A824336" s="242"/>
    </row>
    <row r="824337" spans="1:1" x14ac:dyDescent="0.25">
      <c r="A824337" s="242"/>
    </row>
    <row r="824338" spans="1:1" x14ac:dyDescent="0.25">
      <c r="A824338" s="242"/>
    </row>
    <row r="824339" spans="1:1" x14ac:dyDescent="0.25">
      <c r="A824339" s="242"/>
    </row>
    <row r="824340" spans="1:1" x14ac:dyDescent="0.25">
      <c r="A824340" s="242"/>
    </row>
    <row r="824341" spans="1:1" x14ac:dyDescent="0.25">
      <c r="A824341" s="242"/>
    </row>
    <row r="824342" spans="1:1" x14ac:dyDescent="0.25">
      <c r="A824342" s="242"/>
    </row>
    <row r="824343" spans="1:1" x14ac:dyDescent="0.25">
      <c r="A824343" s="242"/>
    </row>
    <row r="824344" spans="1:1" x14ac:dyDescent="0.25">
      <c r="A824344" s="242"/>
    </row>
    <row r="824345" spans="1:1" x14ac:dyDescent="0.25">
      <c r="A824345" s="242"/>
    </row>
    <row r="824346" spans="1:1" x14ac:dyDescent="0.25">
      <c r="A824346" s="242"/>
    </row>
    <row r="824347" spans="1:1" x14ac:dyDescent="0.25">
      <c r="A824347" s="242"/>
    </row>
    <row r="824348" spans="1:1" x14ac:dyDescent="0.25">
      <c r="A824348" s="242"/>
    </row>
    <row r="824349" spans="1:1" x14ac:dyDescent="0.25">
      <c r="A824349" s="242"/>
    </row>
    <row r="824350" spans="1:1" x14ac:dyDescent="0.25">
      <c r="A824350" s="242"/>
    </row>
    <row r="824351" spans="1:1" x14ac:dyDescent="0.25">
      <c r="A824351" s="242"/>
    </row>
    <row r="824352" spans="1:1" x14ac:dyDescent="0.25">
      <c r="A824352" s="242"/>
    </row>
    <row r="824353" spans="1:1" x14ac:dyDescent="0.25">
      <c r="A824353" s="242"/>
    </row>
    <row r="824354" spans="1:1" x14ac:dyDescent="0.25">
      <c r="A824354" s="242"/>
    </row>
    <row r="824355" spans="1:1" x14ac:dyDescent="0.25">
      <c r="A824355" s="242"/>
    </row>
    <row r="824356" spans="1:1" x14ac:dyDescent="0.25">
      <c r="A824356" s="242"/>
    </row>
    <row r="824357" spans="1:1" x14ac:dyDescent="0.25">
      <c r="A824357" s="242"/>
    </row>
    <row r="824358" spans="1:1" x14ac:dyDescent="0.25">
      <c r="A824358" s="242"/>
    </row>
    <row r="824359" spans="1:1" x14ac:dyDescent="0.25">
      <c r="A824359" s="242"/>
    </row>
    <row r="824360" spans="1:1" x14ac:dyDescent="0.25">
      <c r="A824360" s="242"/>
    </row>
    <row r="824361" spans="1:1" x14ac:dyDescent="0.25">
      <c r="A824361" s="242"/>
    </row>
    <row r="824362" spans="1:1" x14ac:dyDescent="0.25">
      <c r="A824362" s="242"/>
    </row>
    <row r="824363" spans="1:1" x14ac:dyDescent="0.25">
      <c r="A824363" s="242"/>
    </row>
    <row r="824364" spans="1:1" x14ac:dyDescent="0.25">
      <c r="A824364" s="242"/>
    </row>
    <row r="824365" spans="1:1" x14ac:dyDescent="0.25">
      <c r="A824365" s="242"/>
    </row>
    <row r="824366" spans="1:1" x14ac:dyDescent="0.25">
      <c r="A824366" s="242"/>
    </row>
    <row r="824367" spans="1:1" x14ac:dyDescent="0.25">
      <c r="A824367" s="242"/>
    </row>
    <row r="824368" spans="1:1" x14ac:dyDescent="0.25">
      <c r="A824368" s="242"/>
    </row>
    <row r="824369" spans="1:1" x14ac:dyDescent="0.25">
      <c r="A824369" s="242"/>
    </row>
    <row r="824370" spans="1:1" x14ac:dyDescent="0.25">
      <c r="A824370" s="242"/>
    </row>
    <row r="824371" spans="1:1" x14ac:dyDescent="0.25">
      <c r="A824371" s="242"/>
    </row>
    <row r="824372" spans="1:1" x14ac:dyDescent="0.25">
      <c r="A824372" s="242"/>
    </row>
    <row r="824373" spans="1:1" x14ac:dyDescent="0.25">
      <c r="A824373" s="242"/>
    </row>
    <row r="824374" spans="1:1" x14ac:dyDescent="0.25">
      <c r="A824374" s="242"/>
    </row>
    <row r="824375" spans="1:1" x14ac:dyDescent="0.25">
      <c r="A824375" s="242"/>
    </row>
    <row r="824376" spans="1:1" x14ac:dyDescent="0.25">
      <c r="A824376" s="242"/>
    </row>
    <row r="824377" spans="1:1" x14ac:dyDescent="0.25">
      <c r="A824377" s="242"/>
    </row>
    <row r="824378" spans="1:1" x14ac:dyDescent="0.25">
      <c r="A824378" s="242"/>
    </row>
    <row r="824379" spans="1:1" x14ac:dyDescent="0.25">
      <c r="A824379" s="242"/>
    </row>
    <row r="824380" spans="1:1" x14ac:dyDescent="0.25">
      <c r="A824380" s="242"/>
    </row>
    <row r="824381" spans="1:1" x14ac:dyDescent="0.25">
      <c r="A824381" s="242"/>
    </row>
    <row r="824382" spans="1:1" x14ac:dyDescent="0.25">
      <c r="A824382" s="242"/>
    </row>
    <row r="824383" spans="1:1" x14ac:dyDescent="0.25">
      <c r="A824383" s="242"/>
    </row>
    <row r="824384" spans="1:1" x14ac:dyDescent="0.25">
      <c r="A824384" s="242"/>
    </row>
    <row r="824385" spans="1:1" x14ac:dyDescent="0.25">
      <c r="A824385" s="242"/>
    </row>
    <row r="824386" spans="1:1" x14ac:dyDescent="0.25">
      <c r="A824386" s="242"/>
    </row>
    <row r="824387" spans="1:1" x14ac:dyDescent="0.25">
      <c r="A824387" s="242"/>
    </row>
    <row r="824388" spans="1:1" x14ac:dyDescent="0.25">
      <c r="A824388" s="242"/>
    </row>
    <row r="824389" spans="1:1" x14ac:dyDescent="0.25">
      <c r="A824389" s="242"/>
    </row>
    <row r="824390" spans="1:1" x14ac:dyDescent="0.25">
      <c r="A824390" s="242"/>
    </row>
    <row r="824391" spans="1:1" x14ac:dyDescent="0.25">
      <c r="A824391" s="242"/>
    </row>
    <row r="824392" spans="1:1" x14ac:dyDescent="0.25">
      <c r="A824392" s="242"/>
    </row>
    <row r="824393" spans="1:1" x14ac:dyDescent="0.25">
      <c r="A824393" s="242"/>
    </row>
    <row r="824394" spans="1:1" x14ac:dyDescent="0.25">
      <c r="A824394" s="242"/>
    </row>
    <row r="824395" spans="1:1" x14ac:dyDescent="0.25">
      <c r="A824395" s="242"/>
    </row>
    <row r="824396" spans="1:1" x14ac:dyDescent="0.25">
      <c r="A824396" s="242"/>
    </row>
    <row r="824397" spans="1:1" x14ac:dyDescent="0.25">
      <c r="A824397" s="242"/>
    </row>
    <row r="824398" spans="1:1" x14ac:dyDescent="0.25">
      <c r="A824398" s="242"/>
    </row>
    <row r="824399" spans="1:1" x14ac:dyDescent="0.25">
      <c r="A824399" s="242"/>
    </row>
    <row r="824400" spans="1:1" x14ac:dyDescent="0.25">
      <c r="A824400" s="242"/>
    </row>
    <row r="824401" spans="1:1" x14ac:dyDescent="0.25">
      <c r="A824401" s="242"/>
    </row>
    <row r="824402" spans="1:1" x14ac:dyDescent="0.25">
      <c r="A824402" s="242"/>
    </row>
    <row r="824403" spans="1:1" x14ac:dyDescent="0.25">
      <c r="A824403" s="242"/>
    </row>
    <row r="824404" spans="1:1" x14ac:dyDescent="0.25">
      <c r="A824404" s="242"/>
    </row>
    <row r="824405" spans="1:1" x14ac:dyDescent="0.25">
      <c r="A824405" s="242"/>
    </row>
    <row r="824406" spans="1:1" x14ac:dyDescent="0.25">
      <c r="A824406" s="242"/>
    </row>
    <row r="824407" spans="1:1" x14ac:dyDescent="0.25">
      <c r="A824407" s="242"/>
    </row>
    <row r="824408" spans="1:1" x14ac:dyDescent="0.25">
      <c r="A824408" s="242"/>
    </row>
    <row r="824409" spans="1:1" x14ac:dyDescent="0.25">
      <c r="A824409" s="242"/>
    </row>
    <row r="824410" spans="1:1" x14ac:dyDescent="0.25">
      <c r="A824410" s="242"/>
    </row>
    <row r="824411" spans="1:1" x14ac:dyDescent="0.25">
      <c r="A824411" s="242"/>
    </row>
    <row r="824412" spans="1:1" x14ac:dyDescent="0.25">
      <c r="A824412" s="242"/>
    </row>
    <row r="824413" spans="1:1" x14ac:dyDescent="0.25">
      <c r="A824413" s="242"/>
    </row>
    <row r="824414" spans="1:1" x14ac:dyDescent="0.25">
      <c r="A824414" s="242"/>
    </row>
    <row r="824415" spans="1:1" x14ac:dyDescent="0.25">
      <c r="A824415" s="242"/>
    </row>
    <row r="824416" spans="1:1" x14ac:dyDescent="0.25">
      <c r="A824416" s="242"/>
    </row>
    <row r="824417" spans="1:1" x14ac:dyDescent="0.25">
      <c r="A824417" s="242"/>
    </row>
    <row r="824418" spans="1:1" x14ac:dyDescent="0.25">
      <c r="A824418" s="242"/>
    </row>
    <row r="824419" spans="1:1" x14ac:dyDescent="0.25">
      <c r="A824419" s="242"/>
    </row>
    <row r="824420" spans="1:1" x14ac:dyDescent="0.25">
      <c r="A824420" s="242"/>
    </row>
    <row r="824421" spans="1:1" x14ac:dyDescent="0.25">
      <c r="A824421" s="242"/>
    </row>
    <row r="824422" spans="1:1" x14ac:dyDescent="0.25">
      <c r="A824422" s="242"/>
    </row>
    <row r="824423" spans="1:1" x14ac:dyDescent="0.25">
      <c r="A824423" s="242"/>
    </row>
    <row r="824424" spans="1:1" x14ac:dyDescent="0.25">
      <c r="A824424" s="242"/>
    </row>
    <row r="824425" spans="1:1" x14ac:dyDescent="0.25">
      <c r="A824425" s="242"/>
    </row>
    <row r="824426" spans="1:1" x14ac:dyDescent="0.25">
      <c r="A824426" s="242"/>
    </row>
    <row r="824427" spans="1:1" x14ac:dyDescent="0.25">
      <c r="A824427" s="242"/>
    </row>
    <row r="824428" spans="1:1" x14ac:dyDescent="0.25">
      <c r="A824428" s="242"/>
    </row>
    <row r="824429" spans="1:1" x14ac:dyDescent="0.25">
      <c r="A824429" s="242"/>
    </row>
    <row r="824430" spans="1:1" x14ac:dyDescent="0.25">
      <c r="A824430" s="242"/>
    </row>
    <row r="824431" spans="1:1" x14ac:dyDescent="0.25">
      <c r="A824431" s="242"/>
    </row>
    <row r="824432" spans="1:1" x14ac:dyDescent="0.25">
      <c r="A824432" s="242"/>
    </row>
    <row r="824433" spans="1:1" x14ac:dyDescent="0.25">
      <c r="A824433" s="242"/>
    </row>
    <row r="824434" spans="1:1" x14ac:dyDescent="0.25">
      <c r="A824434" s="242"/>
    </row>
    <row r="824435" spans="1:1" x14ac:dyDescent="0.25">
      <c r="A824435" s="242"/>
    </row>
    <row r="824436" spans="1:1" x14ac:dyDescent="0.25">
      <c r="A824436" s="242"/>
    </row>
    <row r="824437" spans="1:1" x14ac:dyDescent="0.25">
      <c r="A824437" s="242"/>
    </row>
    <row r="824438" spans="1:1" x14ac:dyDescent="0.25">
      <c r="A824438" s="242"/>
    </row>
    <row r="824439" spans="1:1" x14ac:dyDescent="0.25">
      <c r="A824439" s="242"/>
    </row>
    <row r="824440" spans="1:1" x14ac:dyDescent="0.25">
      <c r="A824440" s="242"/>
    </row>
    <row r="824441" spans="1:1" x14ac:dyDescent="0.25">
      <c r="A824441" s="242"/>
    </row>
    <row r="824442" spans="1:1" x14ac:dyDescent="0.25">
      <c r="A824442" s="242"/>
    </row>
    <row r="824443" spans="1:1" x14ac:dyDescent="0.25">
      <c r="A824443" s="242"/>
    </row>
    <row r="824444" spans="1:1" x14ac:dyDescent="0.25">
      <c r="A824444" s="242"/>
    </row>
    <row r="824445" spans="1:1" x14ac:dyDescent="0.25">
      <c r="A824445" s="242"/>
    </row>
    <row r="824446" spans="1:1" x14ac:dyDescent="0.25">
      <c r="A824446" s="242"/>
    </row>
    <row r="824447" spans="1:1" x14ac:dyDescent="0.25">
      <c r="A824447" s="242"/>
    </row>
    <row r="824448" spans="1:1" x14ac:dyDescent="0.25">
      <c r="A824448" s="242"/>
    </row>
    <row r="824449" spans="1:1" x14ac:dyDescent="0.25">
      <c r="A824449" s="242"/>
    </row>
    <row r="824450" spans="1:1" x14ac:dyDescent="0.25">
      <c r="A824450" s="242"/>
    </row>
    <row r="824451" spans="1:1" x14ac:dyDescent="0.25">
      <c r="A824451" s="242"/>
    </row>
    <row r="824452" spans="1:1" x14ac:dyDescent="0.25">
      <c r="A824452" s="242"/>
    </row>
    <row r="824453" spans="1:1" x14ac:dyDescent="0.25">
      <c r="A824453" s="242"/>
    </row>
    <row r="824454" spans="1:1" x14ac:dyDescent="0.25">
      <c r="A824454" s="242"/>
    </row>
    <row r="824455" spans="1:1" x14ac:dyDescent="0.25">
      <c r="A824455" s="242"/>
    </row>
    <row r="824456" spans="1:1" x14ac:dyDescent="0.25">
      <c r="A824456" s="242"/>
    </row>
    <row r="824457" spans="1:1" x14ac:dyDescent="0.25">
      <c r="A824457" s="242"/>
    </row>
    <row r="824458" spans="1:1" x14ac:dyDescent="0.25">
      <c r="A824458" s="242"/>
    </row>
    <row r="824459" spans="1:1" x14ac:dyDescent="0.25">
      <c r="A824459" s="242"/>
    </row>
    <row r="824460" spans="1:1" x14ac:dyDescent="0.25">
      <c r="A824460" s="242"/>
    </row>
    <row r="824461" spans="1:1" x14ac:dyDescent="0.25">
      <c r="A824461" s="242"/>
    </row>
    <row r="824462" spans="1:1" x14ac:dyDescent="0.25">
      <c r="A824462" s="242"/>
    </row>
    <row r="824463" spans="1:1" x14ac:dyDescent="0.25">
      <c r="A824463" s="242"/>
    </row>
    <row r="824464" spans="1:1" x14ac:dyDescent="0.25">
      <c r="A824464" s="242"/>
    </row>
    <row r="824465" spans="1:1" x14ac:dyDescent="0.25">
      <c r="A824465" s="242"/>
    </row>
    <row r="824466" spans="1:1" x14ac:dyDescent="0.25">
      <c r="A824466" s="242"/>
    </row>
    <row r="824467" spans="1:1" x14ac:dyDescent="0.25">
      <c r="A824467" s="242"/>
    </row>
    <row r="824468" spans="1:1" x14ac:dyDescent="0.25">
      <c r="A824468" s="242"/>
    </row>
    <row r="824469" spans="1:1" x14ac:dyDescent="0.25">
      <c r="A824469" s="242"/>
    </row>
    <row r="824470" spans="1:1" x14ac:dyDescent="0.25">
      <c r="A824470" s="242"/>
    </row>
    <row r="824471" spans="1:1" x14ac:dyDescent="0.25">
      <c r="A824471" s="242"/>
    </row>
    <row r="824472" spans="1:1" x14ac:dyDescent="0.25">
      <c r="A824472" s="242"/>
    </row>
    <row r="824473" spans="1:1" x14ac:dyDescent="0.25">
      <c r="A824473" s="242"/>
    </row>
    <row r="824474" spans="1:1" x14ac:dyDescent="0.25">
      <c r="A824474" s="242"/>
    </row>
    <row r="824475" spans="1:1" x14ac:dyDescent="0.25">
      <c r="A824475" s="242"/>
    </row>
    <row r="824476" spans="1:1" x14ac:dyDescent="0.25">
      <c r="A824476" s="242"/>
    </row>
    <row r="824477" spans="1:1" x14ac:dyDescent="0.25">
      <c r="A824477" s="242"/>
    </row>
    <row r="824478" spans="1:1" x14ac:dyDescent="0.25">
      <c r="A824478" s="242"/>
    </row>
    <row r="824479" spans="1:1" x14ac:dyDescent="0.25">
      <c r="A824479" s="242"/>
    </row>
    <row r="824480" spans="1:1" x14ac:dyDescent="0.25">
      <c r="A824480" s="242"/>
    </row>
    <row r="824481" spans="1:1" x14ac:dyDescent="0.25">
      <c r="A824481" s="242"/>
    </row>
    <row r="824482" spans="1:1" x14ac:dyDescent="0.25">
      <c r="A824482" s="242"/>
    </row>
    <row r="824483" spans="1:1" x14ac:dyDescent="0.25">
      <c r="A824483" s="242"/>
    </row>
    <row r="824484" spans="1:1" x14ac:dyDescent="0.25">
      <c r="A824484" s="242"/>
    </row>
    <row r="824485" spans="1:1" x14ac:dyDescent="0.25">
      <c r="A824485" s="242"/>
    </row>
    <row r="824486" spans="1:1" x14ac:dyDescent="0.25">
      <c r="A824486" s="242"/>
    </row>
    <row r="824487" spans="1:1" x14ac:dyDescent="0.25">
      <c r="A824487" s="242"/>
    </row>
    <row r="824488" spans="1:1" x14ac:dyDescent="0.25">
      <c r="A824488" s="242"/>
    </row>
    <row r="824489" spans="1:1" x14ac:dyDescent="0.25">
      <c r="A824489" s="242"/>
    </row>
    <row r="824490" spans="1:1" x14ac:dyDescent="0.25">
      <c r="A824490" s="242"/>
    </row>
    <row r="824491" spans="1:1" x14ac:dyDescent="0.25">
      <c r="A824491" s="242"/>
    </row>
    <row r="824492" spans="1:1" x14ac:dyDescent="0.25">
      <c r="A824492" s="242"/>
    </row>
    <row r="824493" spans="1:1" x14ac:dyDescent="0.25">
      <c r="A824493" s="242"/>
    </row>
    <row r="824494" spans="1:1" x14ac:dyDescent="0.25">
      <c r="A824494" s="242"/>
    </row>
    <row r="824495" spans="1:1" x14ac:dyDescent="0.25">
      <c r="A824495" s="242"/>
    </row>
    <row r="824496" spans="1:1" x14ac:dyDescent="0.25">
      <c r="A824496" s="242"/>
    </row>
    <row r="824497" spans="1:1" x14ac:dyDescent="0.25">
      <c r="A824497" s="242"/>
    </row>
    <row r="824498" spans="1:1" x14ac:dyDescent="0.25">
      <c r="A824498" s="242"/>
    </row>
    <row r="824499" spans="1:1" x14ac:dyDescent="0.25">
      <c r="A824499" s="242"/>
    </row>
    <row r="824500" spans="1:1" x14ac:dyDescent="0.25">
      <c r="A824500" s="242"/>
    </row>
    <row r="824501" spans="1:1" x14ac:dyDescent="0.25">
      <c r="A824501" s="242"/>
    </row>
    <row r="824502" spans="1:1" x14ac:dyDescent="0.25">
      <c r="A824502" s="242"/>
    </row>
    <row r="824503" spans="1:1" x14ac:dyDescent="0.25">
      <c r="A824503" s="242"/>
    </row>
    <row r="824504" spans="1:1" x14ac:dyDescent="0.25">
      <c r="A824504" s="242"/>
    </row>
    <row r="824505" spans="1:1" x14ac:dyDescent="0.25">
      <c r="A824505" s="242"/>
    </row>
    <row r="824506" spans="1:1" x14ac:dyDescent="0.25">
      <c r="A824506" s="242"/>
    </row>
    <row r="824507" spans="1:1" x14ac:dyDescent="0.25">
      <c r="A824507" s="242"/>
    </row>
    <row r="824508" spans="1:1" x14ac:dyDescent="0.25">
      <c r="A824508" s="242"/>
    </row>
    <row r="824509" spans="1:1" x14ac:dyDescent="0.25">
      <c r="A824509" s="242"/>
    </row>
    <row r="824510" spans="1:1" x14ac:dyDescent="0.25">
      <c r="A824510" s="242"/>
    </row>
    <row r="824511" spans="1:1" x14ac:dyDescent="0.25">
      <c r="A824511" s="242"/>
    </row>
    <row r="824512" spans="1:1" x14ac:dyDescent="0.25">
      <c r="A824512" s="242"/>
    </row>
    <row r="824513" spans="1:1" x14ac:dyDescent="0.25">
      <c r="A824513" s="242"/>
    </row>
    <row r="824514" spans="1:1" x14ac:dyDescent="0.25">
      <c r="A824514" s="242"/>
    </row>
    <row r="824515" spans="1:1" x14ac:dyDescent="0.25">
      <c r="A824515" s="242"/>
    </row>
    <row r="824516" spans="1:1" x14ac:dyDescent="0.25">
      <c r="A824516" s="242"/>
    </row>
    <row r="824517" spans="1:1" x14ac:dyDescent="0.25">
      <c r="A824517" s="242"/>
    </row>
    <row r="824518" spans="1:1" x14ac:dyDescent="0.25">
      <c r="A824518" s="242"/>
    </row>
    <row r="824519" spans="1:1" x14ac:dyDescent="0.25">
      <c r="A824519" s="242"/>
    </row>
    <row r="824520" spans="1:1" x14ac:dyDescent="0.25">
      <c r="A824520" s="242"/>
    </row>
    <row r="824521" spans="1:1" x14ac:dyDescent="0.25">
      <c r="A824521" s="242"/>
    </row>
    <row r="824522" spans="1:1" x14ac:dyDescent="0.25">
      <c r="A824522" s="242"/>
    </row>
    <row r="824523" spans="1:1" x14ac:dyDescent="0.25">
      <c r="A824523" s="242"/>
    </row>
    <row r="824524" spans="1:1" x14ac:dyDescent="0.25">
      <c r="A824524" s="242"/>
    </row>
    <row r="824525" spans="1:1" x14ac:dyDescent="0.25">
      <c r="A824525" s="242"/>
    </row>
    <row r="824526" spans="1:1" x14ac:dyDescent="0.25">
      <c r="A824526" s="242"/>
    </row>
    <row r="824527" spans="1:1" x14ac:dyDescent="0.25">
      <c r="A824527" s="242"/>
    </row>
    <row r="824528" spans="1:1" x14ac:dyDescent="0.25">
      <c r="A824528" s="242"/>
    </row>
    <row r="824529" spans="1:1" x14ac:dyDescent="0.25">
      <c r="A824529" s="242"/>
    </row>
    <row r="824530" spans="1:1" x14ac:dyDescent="0.25">
      <c r="A824530" s="242"/>
    </row>
    <row r="824531" spans="1:1" x14ac:dyDescent="0.25">
      <c r="A824531" s="242"/>
    </row>
    <row r="824532" spans="1:1" x14ac:dyDescent="0.25">
      <c r="A824532" s="242"/>
    </row>
    <row r="824533" spans="1:1" x14ac:dyDescent="0.25">
      <c r="A824533" s="242"/>
    </row>
    <row r="824534" spans="1:1" x14ac:dyDescent="0.25">
      <c r="A824534" s="242"/>
    </row>
    <row r="824535" spans="1:1" x14ac:dyDescent="0.25">
      <c r="A824535" s="242"/>
    </row>
    <row r="824536" spans="1:1" x14ac:dyDescent="0.25">
      <c r="A824536" s="242"/>
    </row>
    <row r="824537" spans="1:1" x14ac:dyDescent="0.25">
      <c r="A824537" s="242"/>
    </row>
    <row r="824538" spans="1:1" x14ac:dyDescent="0.25">
      <c r="A824538" s="242"/>
    </row>
    <row r="824539" spans="1:1" x14ac:dyDescent="0.25">
      <c r="A824539" s="242"/>
    </row>
    <row r="824540" spans="1:1" x14ac:dyDescent="0.25">
      <c r="A824540" s="242"/>
    </row>
    <row r="824541" spans="1:1" x14ac:dyDescent="0.25">
      <c r="A824541" s="242"/>
    </row>
    <row r="824542" spans="1:1" x14ac:dyDescent="0.25">
      <c r="A824542" s="242"/>
    </row>
    <row r="824543" spans="1:1" x14ac:dyDescent="0.25">
      <c r="A824543" s="242"/>
    </row>
    <row r="824544" spans="1:1" x14ac:dyDescent="0.25">
      <c r="A824544" s="242"/>
    </row>
    <row r="824545" spans="1:1" x14ac:dyDescent="0.25">
      <c r="A824545" s="242"/>
    </row>
    <row r="824546" spans="1:1" x14ac:dyDescent="0.25">
      <c r="A824546" s="242"/>
    </row>
    <row r="824547" spans="1:1" x14ac:dyDescent="0.25">
      <c r="A824547" s="242"/>
    </row>
    <row r="824548" spans="1:1" x14ac:dyDescent="0.25">
      <c r="A824548" s="242"/>
    </row>
    <row r="824549" spans="1:1" x14ac:dyDescent="0.25">
      <c r="A824549" s="242"/>
    </row>
    <row r="824550" spans="1:1" x14ac:dyDescent="0.25">
      <c r="A824550" s="242"/>
    </row>
    <row r="824551" spans="1:1" x14ac:dyDescent="0.25">
      <c r="A824551" s="242"/>
    </row>
    <row r="824552" spans="1:1" x14ac:dyDescent="0.25">
      <c r="A824552" s="242"/>
    </row>
    <row r="824553" spans="1:1" x14ac:dyDescent="0.25">
      <c r="A824553" s="242"/>
    </row>
    <row r="824554" spans="1:1" x14ac:dyDescent="0.25">
      <c r="A824554" s="242"/>
    </row>
    <row r="824555" spans="1:1" x14ac:dyDescent="0.25">
      <c r="A824555" s="242"/>
    </row>
    <row r="824556" spans="1:1" x14ac:dyDescent="0.25">
      <c r="A824556" s="242"/>
    </row>
    <row r="824557" spans="1:1" x14ac:dyDescent="0.25">
      <c r="A824557" s="242"/>
    </row>
    <row r="824558" spans="1:1" x14ac:dyDescent="0.25">
      <c r="A824558" s="242"/>
    </row>
    <row r="824559" spans="1:1" x14ac:dyDescent="0.25">
      <c r="A824559" s="242"/>
    </row>
    <row r="824560" spans="1:1" x14ac:dyDescent="0.25">
      <c r="A824560" s="242"/>
    </row>
    <row r="824561" spans="1:1" x14ac:dyDescent="0.25">
      <c r="A824561" s="242"/>
    </row>
    <row r="824562" spans="1:1" x14ac:dyDescent="0.25">
      <c r="A824562" s="242"/>
    </row>
    <row r="824563" spans="1:1" x14ac:dyDescent="0.25">
      <c r="A824563" s="242"/>
    </row>
    <row r="824564" spans="1:1" x14ac:dyDescent="0.25">
      <c r="A824564" s="242"/>
    </row>
    <row r="824565" spans="1:1" x14ac:dyDescent="0.25">
      <c r="A824565" s="242"/>
    </row>
    <row r="824566" spans="1:1" x14ac:dyDescent="0.25">
      <c r="A824566" s="242"/>
    </row>
    <row r="824567" spans="1:1" x14ac:dyDescent="0.25">
      <c r="A824567" s="242"/>
    </row>
    <row r="824568" spans="1:1" x14ac:dyDescent="0.25">
      <c r="A824568" s="242"/>
    </row>
    <row r="824569" spans="1:1" x14ac:dyDescent="0.25">
      <c r="A824569" s="242"/>
    </row>
    <row r="824570" spans="1:1" x14ac:dyDescent="0.25">
      <c r="A824570" s="242"/>
    </row>
    <row r="824571" spans="1:1" x14ac:dyDescent="0.25">
      <c r="A824571" s="242"/>
    </row>
    <row r="824572" spans="1:1" x14ac:dyDescent="0.25">
      <c r="A824572" s="242"/>
    </row>
    <row r="824573" spans="1:1" x14ac:dyDescent="0.25">
      <c r="A824573" s="242"/>
    </row>
    <row r="824574" spans="1:1" x14ac:dyDescent="0.25">
      <c r="A824574" s="242"/>
    </row>
    <row r="824575" spans="1:1" x14ac:dyDescent="0.25">
      <c r="A824575" s="242"/>
    </row>
    <row r="824576" spans="1:1" x14ac:dyDescent="0.25">
      <c r="A824576" s="242"/>
    </row>
    <row r="824577" spans="1:1" x14ac:dyDescent="0.25">
      <c r="A824577" s="242"/>
    </row>
    <row r="824578" spans="1:1" x14ac:dyDescent="0.25">
      <c r="A824578" s="242"/>
    </row>
    <row r="824579" spans="1:1" x14ac:dyDescent="0.25">
      <c r="A824579" s="242"/>
    </row>
    <row r="824580" spans="1:1" x14ac:dyDescent="0.25">
      <c r="A824580" s="242"/>
    </row>
    <row r="824581" spans="1:1" x14ac:dyDescent="0.25">
      <c r="A824581" s="242"/>
    </row>
    <row r="824582" spans="1:1" x14ac:dyDescent="0.25">
      <c r="A824582" s="242"/>
    </row>
    <row r="824583" spans="1:1" x14ac:dyDescent="0.25">
      <c r="A824583" s="242"/>
    </row>
    <row r="824584" spans="1:1" x14ac:dyDescent="0.25">
      <c r="A824584" s="242"/>
    </row>
    <row r="824585" spans="1:1" x14ac:dyDescent="0.25">
      <c r="A824585" s="242"/>
    </row>
    <row r="824586" spans="1:1" x14ac:dyDescent="0.25">
      <c r="A824586" s="242"/>
    </row>
    <row r="824587" spans="1:1" x14ac:dyDescent="0.25">
      <c r="A824587" s="242"/>
    </row>
    <row r="824588" spans="1:1" x14ac:dyDescent="0.25">
      <c r="A824588" s="242"/>
    </row>
    <row r="824589" spans="1:1" x14ac:dyDescent="0.25">
      <c r="A824589" s="242"/>
    </row>
    <row r="824590" spans="1:1" x14ac:dyDescent="0.25">
      <c r="A824590" s="242"/>
    </row>
    <row r="824591" spans="1:1" x14ac:dyDescent="0.25">
      <c r="A824591" s="242"/>
    </row>
    <row r="824592" spans="1:1" x14ac:dyDescent="0.25">
      <c r="A824592" s="242"/>
    </row>
    <row r="824593" spans="1:1" x14ac:dyDescent="0.25">
      <c r="A824593" s="242"/>
    </row>
    <row r="824594" spans="1:1" x14ac:dyDescent="0.25">
      <c r="A824594" s="242"/>
    </row>
    <row r="824595" spans="1:1" x14ac:dyDescent="0.25">
      <c r="A824595" s="242"/>
    </row>
    <row r="824596" spans="1:1" x14ac:dyDescent="0.25">
      <c r="A824596" s="242"/>
    </row>
    <row r="824597" spans="1:1" x14ac:dyDescent="0.25">
      <c r="A824597" s="242"/>
    </row>
    <row r="824598" spans="1:1" x14ac:dyDescent="0.25">
      <c r="A824598" s="242"/>
    </row>
    <row r="824599" spans="1:1" x14ac:dyDescent="0.25">
      <c r="A824599" s="242"/>
    </row>
    <row r="824600" spans="1:1" x14ac:dyDescent="0.25">
      <c r="A824600" s="242"/>
    </row>
    <row r="824601" spans="1:1" x14ac:dyDescent="0.25">
      <c r="A824601" s="242"/>
    </row>
    <row r="824602" spans="1:1" x14ac:dyDescent="0.25">
      <c r="A824602" s="242"/>
    </row>
    <row r="824603" spans="1:1" x14ac:dyDescent="0.25">
      <c r="A824603" s="242"/>
    </row>
    <row r="824604" spans="1:1" x14ac:dyDescent="0.25">
      <c r="A824604" s="242"/>
    </row>
    <row r="824605" spans="1:1" x14ac:dyDescent="0.25">
      <c r="A824605" s="242"/>
    </row>
    <row r="824606" spans="1:1" x14ac:dyDescent="0.25">
      <c r="A824606" s="242"/>
    </row>
    <row r="824607" spans="1:1" x14ac:dyDescent="0.25">
      <c r="A824607" s="242"/>
    </row>
    <row r="824608" spans="1:1" x14ac:dyDescent="0.25">
      <c r="A824608" s="242"/>
    </row>
    <row r="824609" spans="1:1" x14ac:dyDescent="0.25">
      <c r="A824609" s="242"/>
    </row>
    <row r="824610" spans="1:1" x14ac:dyDescent="0.25">
      <c r="A824610" s="242"/>
    </row>
    <row r="824611" spans="1:1" x14ac:dyDescent="0.25">
      <c r="A824611" s="242"/>
    </row>
    <row r="824612" spans="1:1" x14ac:dyDescent="0.25">
      <c r="A824612" s="242"/>
    </row>
    <row r="824613" spans="1:1" x14ac:dyDescent="0.25">
      <c r="A824613" s="242"/>
    </row>
    <row r="824614" spans="1:1" x14ac:dyDescent="0.25">
      <c r="A824614" s="242"/>
    </row>
    <row r="824615" spans="1:1" x14ac:dyDescent="0.25">
      <c r="A824615" s="242"/>
    </row>
    <row r="824616" spans="1:1" x14ac:dyDescent="0.25">
      <c r="A824616" s="242"/>
    </row>
    <row r="824617" spans="1:1" x14ac:dyDescent="0.25">
      <c r="A824617" s="242"/>
    </row>
    <row r="824618" spans="1:1" x14ac:dyDescent="0.25">
      <c r="A824618" s="242"/>
    </row>
    <row r="824619" spans="1:1" x14ac:dyDescent="0.25">
      <c r="A824619" s="242"/>
    </row>
    <row r="824620" spans="1:1" x14ac:dyDescent="0.25">
      <c r="A824620" s="242"/>
    </row>
    <row r="824621" spans="1:1" x14ac:dyDescent="0.25">
      <c r="A824621" s="242"/>
    </row>
    <row r="824622" spans="1:1" x14ac:dyDescent="0.25">
      <c r="A824622" s="242"/>
    </row>
    <row r="824623" spans="1:1" x14ac:dyDescent="0.25">
      <c r="A824623" s="242"/>
    </row>
    <row r="824624" spans="1:1" x14ac:dyDescent="0.25">
      <c r="A824624" s="242"/>
    </row>
    <row r="824625" spans="1:1" x14ac:dyDescent="0.25">
      <c r="A824625" s="242"/>
    </row>
    <row r="824626" spans="1:1" x14ac:dyDescent="0.25">
      <c r="A824626" s="242"/>
    </row>
    <row r="824627" spans="1:1" x14ac:dyDescent="0.25">
      <c r="A824627" s="242"/>
    </row>
    <row r="824628" spans="1:1" x14ac:dyDescent="0.25">
      <c r="A824628" s="242"/>
    </row>
    <row r="824629" spans="1:1" x14ac:dyDescent="0.25">
      <c r="A824629" s="242"/>
    </row>
    <row r="824630" spans="1:1" x14ac:dyDescent="0.25">
      <c r="A824630" s="242"/>
    </row>
    <row r="824631" spans="1:1" x14ac:dyDescent="0.25">
      <c r="A824631" s="242"/>
    </row>
    <row r="824632" spans="1:1" x14ac:dyDescent="0.25">
      <c r="A824632" s="242"/>
    </row>
    <row r="824633" spans="1:1" x14ac:dyDescent="0.25">
      <c r="A824633" s="242"/>
    </row>
    <row r="824634" spans="1:1" x14ac:dyDescent="0.25">
      <c r="A824634" s="242"/>
    </row>
    <row r="824635" spans="1:1" x14ac:dyDescent="0.25">
      <c r="A824635" s="242"/>
    </row>
    <row r="824636" spans="1:1" x14ac:dyDescent="0.25">
      <c r="A824636" s="242"/>
    </row>
    <row r="824637" spans="1:1" x14ac:dyDescent="0.25">
      <c r="A824637" s="242"/>
    </row>
    <row r="824638" spans="1:1" x14ac:dyDescent="0.25">
      <c r="A824638" s="242"/>
    </row>
    <row r="824639" spans="1:1" x14ac:dyDescent="0.25">
      <c r="A824639" s="242"/>
    </row>
    <row r="824640" spans="1:1" x14ac:dyDescent="0.25">
      <c r="A824640" s="242"/>
    </row>
    <row r="824641" spans="1:1" x14ac:dyDescent="0.25">
      <c r="A824641" s="242"/>
    </row>
    <row r="824642" spans="1:1" x14ac:dyDescent="0.25">
      <c r="A824642" s="242"/>
    </row>
    <row r="824643" spans="1:1" x14ac:dyDescent="0.25">
      <c r="A824643" s="242"/>
    </row>
    <row r="824644" spans="1:1" x14ac:dyDescent="0.25">
      <c r="A824644" s="242"/>
    </row>
    <row r="824645" spans="1:1" x14ac:dyDescent="0.25">
      <c r="A824645" s="242"/>
    </row>
    <row r="824646" spans="1:1" x14ac:dyDescent="0.25">
      <c r="A824646" s="242"/>
    </row>
    <row r="824647" spans="1:1" x14ac:dyDescent="0.25">
      <c r="A824647" s="242"/>
    </row>
    <row r="824648" spans="1:1" x14ac:dyDescent="0.25">
      <c r="A824648" s="242"/>
    </row>
    <row r="824649" spans="1:1" x14ac:dyDescent="0.25">
      <c r="A824649" s="242"/>
    </row>
    <row r="824650" spans="1:1" x14ac:dyDescent="0.25">
      <c r="A824650" s="242"/>
    </row>
    <row r="824651" spans="1:1" x14ac:dyDescent="0.25">
      <c r="A824651" s="242"/>
    </row>
    <row r="824652" spans="1:1" x14ac:dyDescent="0.25">
      <c r="A824652" s="242"/>
    </row>
    <row r="824653" spans="1:1" x14ac:dyDescent="0.25">
      <c r="A824653" s="242"/>
    </row>
    <row r="824654" spans="1:1" x14ac:dyDescent="0.25">
      <c r="A824654" s="242"/>
    </row>
    <row r="824655" spans="1:1" x14ac:dyDescent="0.25">
      <c r="A824655" s="242"/>
    </row>
    <row r="824656" spans="1:1" x14ac:dyDescent="0.25">
      <c r="A824656" s="242"/>
    </row>
    <row r="824657" spans="1:1" x14ac:dyDescent="0.25">
      <c r="A824657" s="242"/>
    </row>
    <row r="824658" spans="1:1" x14ac:dyDescent="0.25">
      <c r="A824658" s="242"/>
    </row>
    <row r="824659" spans="1:1" x14ac:dyDescent="0.25">
      <c r="A824659" s="242"/>
    </row>
    <row r="824660" spans="1:1" x14ac:dyDescent="0.25">
      <c r="A824660" s="242"/>
    </row>
    <row r="824661" spans="1:1" x14ac:dyDescent="0.25">
      <c r="A824661" s="242"/>
    </row>
    <row r="824662" spans="1:1" x14ac:dyDescent="0.25">
      <c r="A824662" s="242"/>
    </row>
    <row r="824663" spans="1:1" x14ac:dyDescent="0.25">
      <c r="A824663" s="242"/>
    </row>
    <row r="824664" spans="1:1" x14ac:dyDescent="0.25">
      <c r="A824664" s="242"/>
    </row>
    <row r="824665" spans="1:1" x14ac:dyDescent="0.25">
      <c r="A824665" s="242"/>
    </row>
    <row r="824666" spans="1:1" x14ac:dyDescent="0.25">
      <c r="A824666" s="242"/>
    </row>
    <row r="824667" spans="1:1" x14ac:dyDescent="0.25">
      <c r="A824667" s="242"/>
    </row>
    <row r="824668" spans="1:1" x14ac:dyDescent="0.25">
      <c r="A824668" s="242"/>
    </row>
    <row r="824669" spans="1:1" x14ac:dyDescent="0.25">
      <c r="A824669" s="242"/>
    </row>
    <row r="824670" spans="1:1" x14ac:dyDescent="0.25">
      <c r="A824670" s="242"/>
    </row>
    <row r="824671" spans="1:1" x14ac:dyDescent="0.25">
      <c r="A824671" s="242"/>
    </row>
    <row r="824672" spans="1:1" x14ac:dyDescent="0.25">
      <c r="A824672" s="242"/>
    </row>
    <row r="824673" spans="1:1" x14ac:dyDescent="0.25">
      <c r="A824673" s="242"/>
    </row>
    <row r="824674" spans="1:1" x14ac:dyDescent="0.25">
      <c r="A824674" s="242"/>
    </row>
    <row r="824675" spans="1:1" x14ac:dyDescent="0.25">
      <c r="A824675" s="242"/>
    </row>
    <row r="824676" spans="1:1" x14ac:dyDescent="0.25">
      <c r="A824676" s="242"/>
    </row>
    <row r="824677" spans="1:1" x14ac:dyDescent="0.25">
      <c r="A824677" s="242"/>
    </row>
    <row r="824678" spans="1:1" x14ac:dyDescent="0.25">
      <c r="A824678" s="242"/>
    </row>
    <row r="824679" spans="1:1" x14ac:dyDescent="0.25">
      <c r="A824679" s="242"/>
    </row>
    <row r="824680" spans="1:1" x14ac:dyDescent="0.25">
      <c r="A824680" s="242"/>
    </row>
    <row r="824681" spans="1:1" x14ac:dyDescent="0.25">
      <c r="A824681" s="242"/>
    </row>
    <row r="824682" spans="1:1" x14ac:dyDescent="0.25">
      <c r="A824682" s="242"/>
    </row>
    <row r="824683" spans="1:1" x14ac:dyDescent="0.25">
      <c r="A824683" s="242"/>
    </row>
    <row r="824684" spans="1:1" x14ac:dyDescent="0.25">
      <c r="A824684" s="242"/>
    </row>
    <row r="824685" spans="1:1" x14ac:dyDescent="0.25">
      <c r="A824685" s="242"/>
    </row>
    <row r="824686" spans="1:1" x14ac:dyDescent="0.25">
      <c r="A824686" s="242"/>
    </row>
    <row r="824687" spans="1:1" x14ac:dyDescent="0.25">
      <c r="A824687" s="242"/>
    </row>
    <row r="824688" spans="1:1" x14ac:dyDescent="0.25">
      <c r="A824688" s="242"/>
    </row>
    <row r="824689" spans="1:1" x14ac:dyDescent="0.25">
      <c r="A824689" s="242"/>
    </row>
    <row r="824690" spans="1:1" x14ac:dyDescent="0.25">
      <c r="A824690" s="242"/>
    </row>
    <row r="824691" spans="1:1" x14ac:dyDescent="0.25">
      <c r="A824691" s="242"/>
    </row>
    <row r="824692" spans="1:1" x14ac:dyDescent="0.25">
      <c r="A824692" s="242"/>
    </row>
    <row r="824693" spans="1:1" x14ac:dyDescent="0.25">
      <c r="A824693" s="242"/>
    </row>
    <row r="824694" spans="1:1" x14ac:dyDescent="0.25">
      <c r="A824694" s="242"/>
    </row>
    <row r="824695" spans="1:1" x14ac:dyDescent="0.25">
      <c r="A824695" s="242"/>
    </row>
    <row r="824696" spans="1:1" x14ac:dyDescent="0.25">
      <c r="A824696" s="242"/>
    </row>
    <row r="824697" spans="1:1" x14ac:dyDescent="0.25">
      <c r="A824697" s="242"/>
    </row>
    <row r="824698" spans="1:1" x14ac:dyDescent="0.25">
      <c r="A824698" s="242"/>
    </row>
    <row r="824699" spans="1:1" x14ac:dyDescent="0.25">
      <c r="A824699" s="242"/>
    </row>
    <row r="824700" spans="1:1" x14ac:dyDescent="0.25">
      <c r="A824700" s="242"/>
    </row>
    <row r="824701" spans="1:1" x14ac:dyDescent="0.25">
      <c r="A824701" s="242"/>
    </row>
    <row r="824702" spans="1:1" x14ac:dyDescent="0.25">
      <c r="A824702" s="242"/>
    </row>
    <row r="824703" spans="1:1" x14ac:dyDescent="0.25">
      <c r="A824703" s="242"/>
    </row>
    <row r="824704" spans="1:1" x14ac:dyDescent="0.25">
      <c r="A824704" s="242"/>
    </row>
    <row r="824705" spans="1:1" x14ac:dyDescent="0.25">
      <c r="A824705" s="242"/>
    </row>
    <row r="824706" spans="1:1" x14ac:dyDescent="0.25">
      <c r="A824706" s="242"/>
    </row>
    <row r="824707" spans="1:1" x14ac:dyDescent="0.25">
      <c r="A824707" s="242"/>
    </row>
    <row r="824708" spans="1:1" x14ac:dyDescent="0.25">
      <c r="A824708" s="242"/>
    </row>
    <row r="824709" spans="1:1" x14ac:dyDescent="0.25">
      <c r="A824709" s="242"/>
    </row>
    <row r="824710" spans="1:1" x14ac:dyDescent="0.25">
      <c r="A824710" s="242"/>
    </row>
    <row r="824711" spans="1:1" x14ac:dyDescent="0.25">
      <c r="A824711" s="242"/>
    </row>
    <row r="824712" spans="1:1" x14ac:dyDescent="0.25">
      <c r="A824712" s="242"/>
    </row>
    <row r="824713" spans="1:1" x14ac:dyDescent="0.25">
      <c r="A824713" s="242"/>
    </row>
    <row r="824714" spans="1:1" x14ac:dyDescent="0.25">
      <c r="A824714" s="242"/>
    </row>
    <row r="824715" spans="1:1" x14ac:dyDescent="0.25">
      <c r="A824715" s="242"/>
    </row>
    <row r="824716" spans="1:1" x14ac:dyDescent="0.25">
      <c r="A824716" s="242"/>
    </row>
    <row r="824717" spans="1:1" x14ac:dyDescent="0.25">
      <c r="A824717" s="242"/>
    </row>
    <row r="824718" spans="1:1" x14ac:dyDescent="0.25">
      <c r="A824718" s="242"/>
    </row>
    <row r="824719" spans="1:1" x14ac:dyDescent="0.25">
      <c r="A824719" s="242"/>
    </row>
    <row r="824720" spans="1:1" x14ac:dyDescent="0.25">
      <c r="A824720" s="242"/>
    </row>
    <row r="824721" spans="1:1" x14ac:dyDescent="0.25">
      <c r="A824721" s="242"/>
    </row>
    <row r="824722" spans="1:1" x14ac:dyDescent="0.25">
      <c r="A824722" s="242"/>
    </row>
    <row r="824723" spans="1:1" x14ac:dyDescent="0.25">
      <c r="A824723" s="242"/>
    </row>
    <row r="824724" spans="1:1" x14ac:dyDescent="0.25">
      <c r="A824724" s="242"/>
    </row>
    <row r="824725" spans="1:1" x14ac:dyDescent="0.25">
      <c r="A824725" s="242"/>
    </row>
    <row r="824726" spans="1:1" x14ac:dyDescent="0.25">
      <c r="A824726" s="242"/>
    </row>
    <row r="824727" spans="1:1" x14ac:dyDescent="0.25">
      <c r="A824727" s="242"/>
    </row>
    <row r="824728" spans="1:1" x14ac:dyDescent="0.25">
      <c r="A824728" s="242"/>
    </row>
    <row r="824729" spans="1:1" x14ac:dyDescent="0.25">
      <c r="A824729" s="242"/>
    </row>
    <row r="824730" spans="1:1" x14ac:dyDescent="0.25">
      <c r="A824730" s="242"/>
    </row>
    <row r="824731" spans="1:1" x14ac:dyDescent="0.25">
      <c r="A824731" s="242"/>
    </row>
    <row r="824732" spans="1:1" x14ac:dyDescent="0.25">
      <c r="A824732" s="242"/>
    </row>
    <row r="824733" spans="1:1" x14ac:dyDescent="0.25">
      <c r="A824733" s="242"/>
    </row>
    <row r="824734" spans="1:1" x14ac:dyDescent="0.25">
      <c r="A824734" s="242"/>
    </row>
    <row r="824735" spans="1:1" x14ac:dyDescent="0.25">
      <c r="A824735" s="242"/>
    </row>
    <row r="824736" spans="1:1" x14ac:dyDescent="0.25">
      <c r="A824736" s="242"/>
    </row>
    <row r="824737" spans="1:1" x14ac:dyDescent="0.25">
      <c r="A824737" s="242"/>
    </row>
    <row r="824738" spans="1:1" x14ac:dyDescent="0.25">
      <c r="A824738" s="242"/>
    </row>
    <row r="824739" spans="1:1" x14ac:dyDescent="0.25">
      <c r="A824739" s="242"/>
    </row>
    <row r="824740" spans="1:1" x14ac:dyDescent="0.25">
      <c r="A824740" s="242"/>
    </row>
    <row r="824741" spans="1:1" x14ac:dyDescent="0.25">
      <c r="A824741" s="242"/>
    </row>
    <row r="824742" spans="1:1" x14ac:dyDescent="0.25">
      <c r="A824742" s="242"/>
    </row>
    <row r="824743" spans="1:1" x14ac:dyDescent="0.25">
      <c r="A824743" s="242"/>
    </row>
    <row r="824744" spans="1:1" x14ac:dyDescent="0.25">
      <c r="A824744" s="242"/>
    </row>
    <row r="824745" spans="1:1" x14ac:dyDescent="0.25">
      <c r="A824745" s="242"/>
    </row>
    <row r="824746" spans="1:1" x14ac:dyDescent="0.25">
      <c r="A824746" s="242"/>
    </row>
    <row r="824747" spans="1:1" x14ac:dyDescent="0.25">
      <c r="A824747" s="242"/>
    </row>
    <row r="824748" spans="1:1" x14ac:dyDescent="0.25">
      <c r="A824748" s="242"/>
    </row>
    <row r="824749" spans="1:1" x14ac:dyDescent="0.25">
      <c r="A824749" s="242"/>
    </row>
    <row r="824750" spans="1:1" x14ac:dyDescent="0.25">
      <c r="A824750" s="242"/>
    </row>
    <row r="824751" spans="1:1" x14ac:dyDescent="0.25">
      <c r="A824751" s="242"/>
    </row>
    <row r="824752" spans="1:1" x14ac:dyDescent="0.25">
      <c r="A824752" s="242"/>
    </row>
    <row r="824753" spans="1:1" x14ac:dyDescent="0.25">
      <c r="A824753" s="242"/>
    </row>
    <row r="824754" spans="1:1" x14ac:dyDescent="0.25">
      <c r="A824754" s="242"/>
    </row>
    <row r="824755" spans="1:1" x14ac:dyDescent="0.25">
      <c r="A824755" s="242"/>
    </row>
    <row r="824756" spans="1:1" x14ac:dyDescent="0.25">
      <c r="A824756" s="242"/>
    </row>
    <row r="824757" spans="1:1" x14ac:dyDescent="0.25">
      <c r="A824757" s="242"/>
    </row>
    <row r="824758" spans="1:1" x14ac:dyDescent="0.25">
      <c r="A824758" s="242"/>
    </row>
    <row r="824759" spans="1:1" x14ac:dyDescent="0.25">
      <c r="A824759" s="242"/>
    </row>
    <row r="824760" spans="1:1" x14ac:dyDescent="0.25">
      <c r="A824760" s="242"/>
    </row>
    <row r="824761" spans="1:1" x14ac:dyDescent="0.25">
      <c r="A824761" s="242"/>
    </row>
    <row r="824762" spans="1:1" x14ac:dyDescent="0.25">
      <c r="A824762" s="242"/>
    </row>
    <row r="824763" spans="1:1" x14ac:dyDescent="0.25">
      <c r="A824763" s="242"/>
    </row>
    <row r="824764" spans="1:1" x14ac:dyDescent="0.25">
      <c r="A824764" s="242"/>
    </row>
    <row r="824765" spans="1:1" x14ac:dyDescent="0.25">
      <c r="A824765" s="242"/>
    </row>
    <row r="824766" spans="1:1" x14ac:dyDescent="0.25">
      <c r="A824766" s="242"/>
    </row>
    <row r="824767" spans="1:1" x14ac:dyDescent="0.25">
      <c r="A824767" s="242"/>
    </row>
    <row r="824768" spans="1:1" x14ac:dyDescent="0.25">
      <c r="A824768" s="242"/>
    </row>
    <row r="824769" spans="1:1" x14ac:dyDescent="0.25">
      <c r="A824769" s="242"/>
    </row>
    <row r="824770" spans="1:1" x14ac:dyDescent="0.25">
      <c r="A824770" s="242"/>
    </row>
    <row r="824771" spans="1:1" x14ac:dyDescent="0.25">
      <c r="A824771" s="242"/>
    </row>
    <row r="824772" spans="1:1" x14ac:dyDescent="0.25">
      <c r="A824772" s="242"/>
    </row>
    <row r="824773" spans="1:1" x14ac:dyDescent="0.25">
      <c r="A824773" s="242"/>
    </row>
    <row r="824774" spans="1:1" x14ac:dyDescent="0.25">
      <c r="A824774" s="242"/>
    </row>
    <row r="824775" spans="1:1" x14ac:dyDescent="0.25">
      <c r="A824775" s="242"/>
    </row>
    <row r="824776" spans="1:1" x14ac:dyDescent="0.25">
      <c r="A824776" s="242"/>
    </row>
    <row r="824777" spans="1:1" x14ac:dyDescent="0.25">
      <c r="A824777" s="242"/>
    </row>
    <row r="824778" spans="1:1" x14ac:dyDescent="0.25">
      <c r="A824778" s="242"/>
    </row>
    <row r="824779" spans="1:1" x14ac:dyDescent="0.25">
      <c r="A824779" s="242"/>
    </row>
    <row r="824780" spans="1:1" x14ac:dyDescent="0.25">
      <c r="A824780" s="242"/>
    </row>
    <row r="824781" spans="1:1" x14ac:dyDescent="0.25">
      <c r="A824781" s="242"/>
    </row>
    <row r="824782" spans="1:1" x14ac:dyDescent="0.25">
      <c r="A824782" s="242"/>
    </row>
    <row r="824783" spans="1:1" x14ac:dyDescent="0.25">
      <c r="A824783" s="242"/>
    </row>
    <row r="824784" spans="1:1" x14ac:dyDescent="0.25">
      <c r="A824784" s="242"/>
    </row>
    <row r="824785" spans="1:1" x14ac:dyDescent="0.25">
      <c r="A824785" s="242"/>
    </row>
    <row r="824786" spans="1:1" x14ac:dyDescent="0.25">
      <c r="A824786" s="242"/>
    </row>
    <row r="824787" spans="1:1" x14ac:dyDescent="0.25">
      <c r="A824787" s="242"/>
    </row>
    <row r="824788" spans="1:1" x14ac:dyDescent="0.25">
      <c r="A824788" s="242"/>
    </row>
    <row r="824789" spans="1:1" x14ac:dyDescent="0.25">
      <c r="A824789" s="242"/>
    </row>
    <row r="824790" spans="1:1" x14ac:dyDescent="0.25">
      <c r="A824790" s="242"/>
    </row>
    <row r="824791" spans="1:1" x14ac:dyDescent="0.25">
      <c r="A824791" s="242"/>
    </row>
    <row r="824792" spans="1:1" x14ac:dyDescent="0.25">
      <c r="A824792" s="242"/>
    </row>
    <row r="824793" spans="1:1" x14ac:dyDescent="0.25">
      <c r="A824793" s="242"/>
    </row>
    <row r="824794" spans="1:1" x14ac:dyDescent="0.25">
      <c r="A824794" s="242"/>
    </row>
    <row r="824795" spans="1:1" x14ac:dyDescent="0.25">
      <c r="A824795" s="242"/>
    </row>
    <row r="824796" spans="1:1" x14ac:dyDescent="0.25">
      <c r="A824796" s="242"/>
    </row>
    <row r="824797" spans="1:1" x14ac:dyDescent="0.25">
      <c r="A824797" s="242"/>
    </row>
    <row r="824798" spans="1:1" x14ac:dyDescent="0.25">
      <c r="A824798" s="242"/>
    </row>
    <row r="824799" spans="1:1" x14ac:dyDescent="0.25">
      <c r="A824799" s="242"/>
    </row>
    <row r="824800" spans="1:1" x14ac:dyDescent="0.25">
      <c r="A824800" s="242"/>
    </row>
    <row r="824801" spans="1:1" x14ac:dyDescent="0.25">
      <c r="A824801" s="242"/>
    </row>
    <row r="824802" spans="1:1" x14ac:dyDescent="0.25">
      <c r="A824802" s="242"/>
    </row>
    <row r="824803" spans="1:1" x14ac:dyDescent="0.25">
      <c r="A824803" s="242"/>
    </row>
    <row r="824804" spans="1:1" x14ac:dyDescent="0.25">
      <c r="A824804" s="242"/>
    </row>
    <row r="824805" spans="1:1" x14ac:dyDescent="0.25">
      <c r="A824805" s="242"/>
    </row>
    <row r="824806" spans="1:1" x14ac:dyDescent="0.25">
      <c r="A824806" s="242"/>
    </row>
    <row r="824807" spans="1:1" x14ac:dyDescent="0.25">
      <c r="A824807" s="242"/>
    </row>
    <row r="824808" spans="1:1" x14ac:dyDescent="0.25">
      <c r="A824808" s="242"/>
    </row>
    <row r="824809" spans="1:1" x14ac:dyDescent="0.25">
      <c r="A824809" s="242"/>
    </row>
    <row r="824810" spans="1:1" x14ac:dyDescent="0.25">
      <c r="A824810" s="242"/>
    </row>
    <row r="824811" spans="1:1" x14ac:dyDescent="0.25">
      <c r="A824811" s="242"/>
    </row>
    <row r="824812" spans="1:1" x14ac:dyDescent="0.25">
      <c r="A824812" s="242"/>
    </row>
    <row r="824813" spans="1:1" x14ac:dyDescent="0.25">
      <c r="A824813" s="242"/>
    </row>
    <row r="824814" spans="1:1" x14ac:dyDescent="0.25">
      <c r="A824814" s="242"/>
    </row>
    <row r="824815" spans="1:1" x14ac:dyDescent="0.25">
      <c r="A824815" s="242"/>
    </row>
    <row r="824816" spans="1:1" x14ac:dyDescent="0.25">
      <c r="A824816" s="242"/>
    </row>
    <row r="824817" spans="1:1" x14ac:dyDescent="0.25">
      <c r="A824817" s="242"/>
    </row>
    <row r="824818" spans="1:1" x14ac:dyDescent="0.25">
      <c r="A824818" s="242"/>
    </row>
    <row r="824819" spans="1:1" x14ac:dyDescent="0.25">
      <c r="A824819" s="242"/>
    </row>
    <row r="824820" spans="1:1" x14ac:dyDescent="0.25">
      <c r="A824820" s="242"/>
    </row>
    <row r="824821" spans="1:1" x14ac:dyDescent="0.25">
      <c r="A824821" s="242"/>
    </row>
    <row r="824822" spans="1:1" x14ac:dyDescent="0.25">
      <c r="A824822" s="242"/>
    </row>
    <row r="824823" spans="1:1" x14ac:dyDescent="0.25">
      <c r="A824823" s="242"/>
    </row>
    <row r="824824" spans="1:1" x14ac:dyDescent="0.25">
      <c r="A824824" s="242"/>
    </row>
    <row r="824825" spans="1:1" x14ac:dyDescent="0.25">
      <c r="A824825" s="242"/>
    </row>
    <row r="824826" spans="1:1" x14ac:dyDescent="0.25">
      <c r="A824826" s="242"/>
    </row>
    <row r="824827" spans="1:1" x14ac:dyDescent="0.25">
      <c r="A824827" s="242"/>
    </row>
    <row r="824828" spans="1:1" x14ac:dyDescent="0.25">
      <c r="A824828" s="242"/>
    </row>
    <row r="824829" spans="1:1" x14ac:dyDescent="0.25">
      <c r="A824829" s="242"/>
    </row>
    <row r="824830" spans="1:1" x14ac:dyDescent="0.25">
      <c r="A824830" s="242"/>
    </row>
    <row r="824831" spans="1:1" x14ac:dyDescent="0.25">
      <c r="A824831" s="242"/>
    </row>
    <row r="824832" spans="1:1" x14ac:dyDescent="0.25">
      <c r="A824832" s="242"/>
    </row>
    <row r="824833" spans="1:1" x14ac:dyDescent="0.25">
      <c r="A824833" s="242"/>
    </row>
    <row r="824834" spans="1:1" x14ac:dyDescent="0.25">
      <c r="A824834" s="242"/>
    </row>
    <row r="824835" spans="1:1" x14ac:dyDescent="0.25">
      <c r="A824835" s="242"/>
    </row>
    <row r="824836" spans="1:1" x14ac:dyDescent="0.25">
      <c r="A824836" s="242"/>
    </row>
    <row r="824837" spans="1:1" x14ac:dyDescent="0.25">
      <c r="A824837" s="242"/>
    </row>
    <row r="824838" spans="1:1" x14ac:dyDescent="0.25">
      <c r="A824838" s="242"/>
    </row>
    <row r="824839" spans="1:1" x14ac:dyDescent="0.25">
      <c r="A824839" s="242"/>
    </row>
    <row r="824840" spans="1:1" x14ac:dyDescent="0.25">
      <c r="A824840" s="242"/>
    </row>
    <row r="824841" spans="1:1" x14ac:dyDescent="0.25">
      <c r="A824841" s="242"/>
    </row>
    <row r="824842" spans="1:1" x14ac:dyDescent="0.25">
      <c r="A824842" s="242"/>
    </row>
    <row r="824843" spans="1:1" x14ac:dyDescent="0.25">
      <c r="A824843" s="242"/>
    </row>
    <row r="824844" spans="1:1" x14ac:dyDescent="0.25">
      <c r="A824844" s="242"/>
    </row>
    <row r="824845" spans="1:1" x14ac:dyDescent="0.25">
      <c r="A824845" s="242"/>
    </row>
    <row r="824846" spans="1:1" x14ac:dyDescent="0.25">
      <c r="A824846" s="242"/>
    </row>
    <row r="824847" spans="1:1" x14ac:dyDescent="0.25">
      <c r="A824847" s="242"/>
    </row>
    <row r="824848" spans="1:1" x14ac:dyDescent="0.25">
      <c r="A824848" s="242"/>
    </row>
    <row r="824849" spans="1:1" x14ac:dyDescent="0.25">
      <c r="A824849" s="242"/>
    </row>
    <row r="824850" spans="1:1" x14ac:dyDescent="0.25">
      <c r="A824850" s="242"/>
    </row>
    <row r="824851" spans="1:1" x14ac:dyDescent="0.25">
      <c r="A824851" s="242"/>
    </row>
    <row r="824852" spans="1:1" x14ac:dyDescent="0.25">
      <c r="A824852" s="242"/>
    </row>
    <row r="824853" spans="1:1" x14ac:dyDescent="0.25">
      <c r="A824853" s="242"/>
    </row>
    <row r="824854" spans="1:1" x14ac:dyDescent="0.25">
      <c r="A824854" s="242"/>
    </row>
    <row r="824855" spans="1:1" x14ac:dyDescent="0.25">
      <c r="A824855" s="242"/>
    </row>
    <row r="824856" spans="1:1" x14ac:dyDescent="0.25">
      <c r="A824856" s="242"/>
    </row>
    <row r="824857" spans="1:1" x14ac:dyDescent="0.25">
      <c r="A824857" s="242"/>
    </row>
    <row r="824858" spans="1:1" x14ac:dyDescent="0.25">
      <c r="A824858" s="242"/>
    </row>
    <row r="824859" spans="1:1" x14ac:dyDescent="0.25">
      <c r="A824859" s="242"/>
    </row>
    <row r="824860" spans="1:1" x14ac:dyDescent="0.25">
      <c r="A824860" s="242"/>
    </row>
    <row r="824861" spans="1:1" x14ac:dyDescent="0.25">
      <c r="A824861" s="242"/>
    </row>
    <row r="824862" spans="1:1" x14ac:dyDescent="0.25">
      <c r="A824862" s="242"/>
    </row>
    <row r="824863" spans="1:1" x14ac:dyDescent="0.25">
      <c r="A824863" s="242"/>
    </row>
    <row r="824864" spans="1:1" x14ac:dyDescent="0.25">
      <c r="A824864" s="242"/>
    </row>
    <row r="824865" spans="1:1" x14ac:dyDescent="0.25">
      <c r="A824865" s="242"/>
    </row>
    <row r="824866" spans="1:1" x14ac:dyDescent="0.25">
      <c r="A824866" s="242"/>
    </row>
    <row r="824867" spans="1:1" x14ac:dyDescent="0.25">
      <c r="A824867" s="242"/>
    </row>
    <row r="824868" spans="1:1" x14ac:dyDescent="0.25">
      <c r="A824868" s="242"/>
    </row>
    <row r="824869" spans="1:1" x14ac:dyDescent="0.25">
      <c r="A824869" s="242"/>
    </row>
    <row r="824870" spans="1:1" x14ac:dyDescent="0.25">
      <c r="A824870" s="242"/>
    </row>
    <row r="824871" spans="1:1" x14ac:dyDescent="0.25">
      <c r="A824871" s="242"/>
    </row>
    <row r="824872" spans="1:1" x14ac:dyDescent="0.25">
      <c r="A824872" s="242"/>
    </row>
    <row r="824873" spans="1:1" x14ac:dyDescent="0.25">
      <c r="A824873" s="242"/>
    </row>
    <row r="824874" spans="1:1" x14ac:dyDescent="0.25">
      <c r="A824874" s="242"/>
    </row>
    <row r="824875" spans="1:1" x14ac:dyDescent="0.25">
      <c r="A824875" s="242"/>
    </row>
    <row r="824876" spans="1:1" x14ac:dyDescent="0.25">
      <c r="A824876" s="242"/>
    </row>
    <row r="824877" spans="1:1" x14ac:dyDescent="0.25">
      <c r="A824877" s="242"/>
    </row>
    <row r="824878" spans="1:1" x14ac:dyDescent="0.25">
      <c r="A824878" s="242"/>
    </row>
    <row r="824879" spans="1:1" x14ac:dyDescent="0.25">
      <c r="A824879" s="242"/>
    </row>
    <row r="824880" spans="1:1" x14ac:dyDescent="0.25">
      <c r="A824880" s="242"/>
    </row>
    <row r="824881" spans="1:1" x14ac:dyDescent="0.25">
      <c r="A824881" s="242"/>
    </row>
    <row r="824882" spans="1:1" x14ac:dyDescent="0.25">
      <c r="A824882" s="242"/>
    </row>
    <row r="824883" spans="1:1" x14ac:dyDescent="0.25">
      <c r="A824883" s="242"/>
    </row>
    <row r="824884" spans="1:1" x14ac:dyDescent="0.25">
      <c r="A824884" s="242"/>
    </row>
    <row r="824885" spans="1:1" x14ac:dyDescent="0.25">
      <c r="A824885" s="242"/>
    </row>
    <row r="824886" spans="1:1" x14ac:dyDescent="0.25">
      <c r="A824886" s="242"/>
    </row>
    <row r="824887" spans="1:1" x14ac:dyDescent="0.25">
      <c r="A824887" s="242"/>
    </row>
    <row r="824888" spans="1:1" x14ac:dyDescent="0.25">
      <c r="A824888" s="242"/>
    </row>
    <row r="824889" spans="1:1" x14ac:dyDescent="0.25">
      <c r="A824889" s="242"/>
    </row>
    <row r="824890" spans="1:1" x14ac:dyDescent="0.25">
      <c r="A824890" s="242"/>
    </row>
    <row r="824891" spans="1:1" x14ac:dyDescent="0.25">
      <c r="A824891" s="242"/>
    </row>
    <row r="824892" spans="1:1" x14ac:dyDescent="0.25">
      <c r="A824892" s="242"/>
    </row>
    <row r="824893" spans="1:1" x14ac:dyDescent="0.25">
      <c r="A824893" s="242"/>
    </row>
    <row r="824894" spans="1:1" x14ac:dyDescent="0.25">
      <c r="A824894" s="242"/>
    </row>
    <row r="824895" spans="1:1" x14ac:dyDescent="0.25">
      <c r="A824895" s="242"/>
    </row>
    <row r="824896" spans="1:1" x14ac:dyDescent="0.25">
      <c r="A824896" s="242"/>
    </row>
    <row r="824897" spans="1:1" x14ac:dyDescent="0.25">
      <c r="A824897" s="242"/>
    </row>
    <row r="824898" spans="1:1" x14ac:dyDescent="0.25">
      <c r="A824898" s="242"/>
    </row>
    <row r="824899" spans="1:1" x14ac:dyDescent="0.25">
      <c r="A824899" s="242"/>
    </row>
    <row r="824900" spans="1:1" x14ac:dyDescent="0.25">
      <c r="A824900" s="242"/>
    </row>
    <row r="824901" spans="1:1" x14ac:dyDescent="0.25">
      <c r="A824901" s="242"/>
    </row>
    <row r="824902" spans="1:1" x14ac:dyDescent="0.25">
      <c r="A824902" s="242"/>
    </row>
    <row r="824903" spans="1:1" x14ac:dyDescent="0.25">
      <c r="A824903" s="242"/>
    </row>
    <row r="824904" spans="1:1" x14ac:dyDescent="0.25">
      <c r="A824904" s="242"/>
    </row>
    <row r="824905" spans="1:1" x14ac:dyDescent="0.25">
      <c r="A824905" s="242"/>
    </row>
    <row r="824906" spans="1:1" x14ac:dyDescent="0.25">
      <c r="A824906" s="242"/>
    </row>
    <row r="824907" spans="1:1" x14ac:dyDescent="0.25">
      <c r="A824907" s="242"/>
    </row>
    <row r="824908" spans="1:1" x14ac:dyDescent="0.25">
      <c r="A824908" s="242"/>
    </row>
    <row r="824909" spans="1:1" x14ac:dyDescent="0.25">
      <c r="A824909" s="242"/>
    </row>
    <row r="824910" spans="1:1" x14ac:dyDescent="0.25">
      <c r="A824910" s="242"/>
    </row>
    <row r="824911" spans="1:1" x14ac:dyDescent="0.25">
      <c r="A824911" s="242"/>
    </row>
    <row r="824912" spans="1:1" x14ac:dyDescent="0.25">
      <c r="A824912" s="242"/>
    </row>
    <row r="824913" spans="1:1" x14ac:dyDescent="0.25">
      <c r="A824913" s="242"/>
    </row>
    <row r="824914" spans="1:1" x14ac:dyDescent="0.25">
      <c r="A824914" s="242"/>
    </row>
    <row r="824915" spans="1:1" x14ac:dyDescent="0.25">
      <c r="A824915" s="242"/>
    </row>
    <row r="824916" spans="1:1" x14ac:dyDescent="0.25">
      <c r="A824916" s="242"/>
    </row>
    <row r="824917" spans="1:1" x14ac:dyDescent="0.25">
      <c r="A824917" s="242"/>
    </row>
    <row r="824918" spans="1:1" x14ac:dyDescent="0.25">
      <c r="A824918" s="242"/>
    </row>
    <row r="824919" spans="1:1" x14ac:dyDescent="0.25">
      <c r="A824919" s="242"/>
    </row>
    <row r="824920" spans="1:1" x14ac:dyDescent="0.25">
      <c r="A824920" s="242"/>
    </row>
    <row r="824921" spans="1:1" x14ac:dyDescent="0.25">
      <c r="A824921" s="242"/>
    </row>
    <row r="824922" spans="1:1" x14ac:dyDescent="0.25">
      <c r="A824922" s="242"/>
    </row>
    <row r="824923" spans="1:1" x14ac:dyDescent="0.25">
      <c r="A824923" s="242"/>
    </row>
    <row r="824924" spans="1:1" x14ac:dyDescent="0.25">
      <c r="A824924" s="242"/>
    </row>
    <row r="824925" spans="1:1" x14ac:dyDescent="0.25">
      <c r="A824925" s="242"/>
    </row>
    <row r="824926" spans="1:1" x14ac:dyDescent="0.25">
      <c r="A824926" s="242"/>
    </row>
    <row r="824927" spans="1:1" x14ac:dyDescent="0.25">
      <c r="A824927" s="242"/>
    </row>
    <row r="824928" spans="1:1" x14ac:dyDescent="0.25">
      <c r="A824928" s="242"/>
    </row>
    <row r="824929" spans="1:1" x14ac:dyDescent="0.25">
      <c r="A824929" s="242"/>
    </row>
    <row r="824930" spans="1:1" x14ac:dyDescent="0.25">
      <c r="A824930" s="242"/>
    </row>
    <row r="824931" spans="1:1" x14ac:dyDescent="0.25">
      <c r="A824931" s="242"/>
    </row>
    <row r="824932" spans="1:1" x14ac:dyDescent="0.25">
      <c r="A824932" s="242"/>
    </row>
    <row r="824933" spans="1:1" x14ac:dyDescent="0.25">
      <c r="A824933" s="242"/>
    </row>
    <row r="824934" spans="1:1" x14ac:dyDescent="0.25">
      <c r="A824934" s="242"/>
    </row>
    <row r="824935" spans="1:1" x14ac:dyDescent="0.25">
      <c r="A824935" s="242"/>
    </row>
    <row r="824936" spans="1:1" x14ac:dyDescent="0.25">
      <c r="A824936" s="242"/>
    </row>
    <row r="824937" spans="1:1" x14ac:dyDescent="0.25">
      <c r="A824937" s="242"/>
    </row>
    <row r="824938" spans="1:1" x14ac:dyDescent="0.25">
      <c r="A824938" s="242"/>
    </row>
    <row r="824939" spans="1:1" x14ac:dyDescent="0.25">
      <c r="A824939" s="242"/>
    </row>
    <row r="824940" spans="1:1" x14ac:dyDescent="0.25">
      <c r="A824940" s="242"/>
    </row>
    <row r="824941" spans="1:1" x14ac:dyDescent="0.25">
      <c r="A824941" s="242"/>
    </row>
    <row r="824942" spans="1:1" x14ac:dyDescent="0.25">
      <c r="A824942" s="242"/>
    </row>
    <row r="824943" spans="1:1" x14ac:dyDescent="0.25">
      <c r="A824943" s="242"/>
    </row>
    <row r="824944" spans="1:1" x14ac:dyDescent="0.25">
      <c r="A824944" s="242"/>
    </row>
    <row r="824945" spans="1:1" x14ac:dyDescent="0.25">
      <c r="A824945" s="242"/>
    </row>
    <row r="824946" spans="1:1" x14ac:dyDescent="0.25">
      <c r="A824946" s="242"/>
    </row>
    <row r="824947" spans="1:1" x14ac:dyDescent="0.25">
      <c r="A824947" s="242"/>
    </row>
    <row r="824948" spans="1:1" x14ac:dyDescent="0.25">
      <c r="A824948" s="242"/>
    </row>
    <row r="824949" spans="1:1" x14ac:dyDescent="0.25">
      <c r="A824949" s="242"/>
    </row>
    <row r="824950" spans="1:1" x14ac:dyDescent="0.25">
      <c r="A824950" s="242"/>
    </row>
    <row r="824951" spans="1:1" x14ac:dyDescent="0.25">
      <c r="A824951" s="242"/>
    </row>
    <row r="824952" spans="1:1" x14ac:dyDescent="0.25">
      <c r="A824952" s="242"/>
    </row>
    <row r="824953" spans="1:1" x14ac:dyDescent="0.25">
      <c r="A824953" s="242"/>
    </row>
    <row r="824954" spans="1:1" x14ac:dyDescent="0.25">
      <c r="A824954" s="242"/>
    </row>
    <row r="824955" spans="1:1" x14ac:dyDescent="0.25">
      <c r="A824955" s="242"/>
    </row>
    <row r="824956" spans="1:1" x14ac:dyDescent="0.25">
      <c r="A824956" s="242"/>
    </row>
    <row r="824957" spans="1:1" x14ac:dyDescent="0.25">
      <c r="A824957" s="242"/>
    </row>
    <row r="824958" spans="1:1" x14ac:dyDescent="0.25">
      <c r="A824958" s="242"/>
    </row>
    <row r="824959" spans="1:1" x14ac:dyDescent="0.25">
      <c r="A824959" s="242"/>
    </row>
    <row r="824960" spans="1:1" x14ac:dyDescent="0.25">
      <c r="A824960" s="242"/>
    </row>
    <row r="824961" spans="1:1" x14ac:dyDescent="0.25">
      <c r="A824961" s="242"/>
    </row>
    <row r="824962" spans="1:1" x14ac:dyDescent="0.25">
      <c r="A824962" s="242"/>
    </row>
    <row r="824963" spans="1:1" x14ac:dyDescent="0.25">
      <c r="A824963" s="242"/>
    </row>
    <row r="824964" spans="1:1" x14ac:dyDescent="0.25">
      <c r="A824964" s="242"/>
    </row>
    <row r="824965" spans="1:1" x14ac:dyDescent="0.25">
      <c r="A824965" s="242"/>
    </row>
    <row r="824966" spans="1:1" x14ac:dyDescent="0.25">
      <c r="A824966" s="242"/>
    </row>
    <row r="824967" spans="1:1" x14ac:dyDescent="0.25">
      <c r="A824967" s="242"/>
    </row>
    <row r="824968" spans="1:1" x14ac:dyDescent="0.25">
      <c r="A824968" s="242"/>
    </row>
    <row r="824969" spans="1:1" x14ac:dyDescent="0.25">
      <c r="A824969" s="242"/>
    </row>
    <row r="824970" spans="1:1" x14ac:dyDescent="0.25">
      <c r="A824970" s="242"/>
    </row>
    <row r="824971" spans="1:1" x14ac:dyDescent="0.25">
      <c r="A824971" s="242"/>
    </row>
    <row r="824972" spans="1:1" x14ac:dyDescent="0.25">
      <c r="A824972" s="242"/>
    </row>
    <row r="824973" spans="1:1" x14ac:dyDescent="0.25">
      <c r="A824973" s="242"/>
    </row>
    <row r="824974" spans="1:1" x14ac:dyDescent="0.25">
      <c r="A824974" s="242"/>
    </row>
    <row r="824975" spans="1:1" x14ac:dyDescent="0.25">
      <c r="A824975" s="242"/>
    </row>
    <row r="824976" spans="1:1" x14ac:dyDescent="0.25">
      <c r="A824976" s="242"/>
    </row>
    <row r="824977" spans="1:1" x14ac:dyDescent="0.25">
      <c r="A824977" s="242"/>
    </row>
    <row r="824978" spans="1:1" x14ac:dyDescent="0.25">
      <c r="A824978" s="242"/>
    </row>
    <row r="824979" spans="1:1" x14ac:dyDescent="0.25">
      <c r="A824979" s="242"/>
    </row>
    <row r="824980" spans="1:1" x14ac:dyDescent="0.25">
      <c r="A824980" s="242"/>
    </row>
    <row r="824981" spans="1:1" x14ac:dyDescent="0.25">
      <c r="A824981" s="242"/>
    </row>
    <row r="824982" spans="1:1" x14ac:dyDescent="0.25">
      <c r="A824982" s="242"/>
    </row>
    <row r="824983" spans="1:1" x14ac:dyDescent="0.25">
      <c r="A824983" s="242"/>
    </row>
    <row r="824984" spans="1:1" x14ac:dyDescent="0.25">
      <c r="A824984" s="242"/>
    </row>
    <row r="824985" spans="1:1" x14ac:dyDescent="0.25">
      <c r="A824985" s="242"/>
    </row>
    <row r="824986" spans="1:1" x14ac:dyDescent="0.25">
      <c r="A824986" s="242"/>
    </row>
    <row r="824987" spans="1:1" x14ac:dyDescent="0.25">
      <c r="A824987" s="242"/>
    </row>
    <row r="824988" spans="1:1" x14ac:dyDescent="0.25">
      <c r="A824988" s="242"/>
    </row>
    <row r="824989" spans="1:1" x14ac:dyDescent="0.25">
      <c r="A824989" s="242"/>
    </row>
    <row r="824990" spans="1:1" x14ac:dyDescent="0.25">
      <c r="A824990" s="242"/>
    </row>
    <row r="824991" spans="1:1" x14ac:dyDescent="0.25">
      <c r="A824991" s="242"/>
    </row>
    <row r="824992" spans="1:1" x14ac:dyDescent="0.25">
      <c r="A824992" s="242"/>
    </row>
    <row r="824993" spans="1:1" x14ac:dyDescent="0.25">
      <c r="A824993" s="242"/>
    </row>
    <row r="824994" spans="1:1" x14ac:dyDescent="0.25">
      <c r="A824994" s="242"/>
    </row>
    <row r="824995" spans="1:1" x14ac:dyDescent="0.25">
      <c r="A824995" s="242"/>
    </row>
    <row r="824996" spans="1:1" x14ac:dyDescent="0.25">
      <c r="A824996" s="242"/>
    </row>
    <row r="824997" spans="1:1" x14ac:dyDescent="0.25">
      <c r="A824997" s="242"/>
    </row>
    <row r="824998" spans="1:1" x14ac:dyDescent="0.25">
      <c r="A824998" s="242"/>
    </row>
    <row r="824999" spans="1:1" x14ac:dyDescent="0.25">
      <c r="A824999" s="242"/>
    </row>
    <row r="825000" spans="1:1" x14ac:dyDescent="0.25">
      <c r="A825000" s="242"/>
    </row>
    <row r="825001" spans="1:1" x14ac:dyDescent="0.25">
      <c r="A825001" s="242"/>
    </row>
    <row r="825002" spans="1:1" x14ac:dyDescent="0.25">
      <c r="A825002" s="242"/>
    </row>
    <row r="825003" spans="1:1" x14ac:dyDescent="0.25">
      <c r="A825003" s="242"/>
    </row>
    <row r="825004" spans="1:1" x14ac:dyDescent="0.25">
      <c r="A825004" s="242"/>
    </row>
    <row r="825005" spans="1:1" x14ac:dyDescent="0.25">
      <c r="A825005" s="242"/>
    </row>
    <row r="825006" spans="1:1" x14ac:dyDescent="0.25">
      <c r="A825006" s="242"/>
    </row>
    <row r="825007" spans="1:1" x14ac:dyDescent="0.25">
      <c r="A825007" s="242"/>
    </row>
    <row r="825008" spans="1:1" x14ac:dyDescent="0.25">
      <c r="A825008" s="242"/>
    </row>
    <row r="825009" spans="1:1" x14ac:dyDescent="0.25">
      <c r="A825009" s="242"/>
    </row>
    <row r="825010" spans="1:1" x14ac:dyDescent="0.25">
      <c r="A825010" s="242"/>
    </row>
    <row r="825011" spans="1:1" x14ac:dyDescent="0.25">
      <c r="A825011" s="242"/>
    </row>
    <row r="825012" spans="1:1" x14ac:dyDescent="0.25">
      <c r="A825012" s="242"/>
    </row>
    <row r="825013" spans="1:1" x14ac:dyDescent="0.25">
      <c r="A825013" s="242"/>
    </row>
    <row r="825014" spans="1:1" x14ac:dyDescent="0.25">
      <c r="A825014" s="242"/>
    </row>
    <row r="825015" spans="1:1" x14ac:dyDescent="0.25">
      <c r="A825015" s="242"/>
    </row>
    <row r="825016" spans="1:1" x14ac:dyDescent="0.25">
      <c r="A825016" s="242"/>
    </row>
    <row r="825017" spans="1:1" x14ac:dyDescent="0.25">
      <c r="A825017" s="242"/>
    </row>
    <row r="825018" spans="1:1" x14ac:dyDescent="0.25">
      <c r="A825018" s="242"/>
    </row>
    <row r="825019" spans="1:1" x14ac:dyDescent="0.25">
      <c r="A825019" s="242"/>
    </row>
    <row r="825020" spans="1:1" x14ac:dyDescent="0.25">
      <c r="A825020" s="242"/>
    </row>
    <row r="825021" spans="1:1" x14ac:dyDescent="0.25">
      <c r="A825021" s="242"/>
    </row>
    <row r="825022" spans="1:1" x14ac:dyDescent="0.25">
      <c r="A825022" s="242"/>
    </row>
    <row r="825023" spans="1:1" x14ac:dyDescent="0.25">
      <c r="A825023" s="242"/>
    </row>
    <row r="825024" spans="1:1" x14ac:dyDescent="0.25">
      <c r="A825024" s="242"/>
    </row>
    <row r="825025" spans="1:1" x14ac:dyDescent="0.25">
      <c r="A825025" s="242"/>
    </row>
    <row r="825026" spans="1:1" x14ac:dyDescent="0.25">
      <c r="A825026" s="242"/>
    </row>
    <row r="825027" spans="1:1" x14ac:dyDescent="0.25">
      <c r="A825027" s="242"/>
    </row>
    <row r="825028" spans="1:1" x14ac:dyDescent="0.25">
      <c r="A825028" s="242"/>
    </row>
    <row r="825029" spans="1:1" x14ac:dyDescent="0.25">
      <c r="A825029" s="242"/>
    </row>
    <row r="825030" spans="1:1" x14ac:dyDescent="0.25">
      <c r="A825030" s="242"/>
    </row>
    <row r="825031" spans="1:1" x14ac:dyDescent="0.25">
      <c r="A825031" s="242"/>
    </row>
    <row r="825032" spans="1:1" x14ac:dyDescent="0.25">
      <c r="A825032" s="242"/>
    </row>
    <row r="825033" spans="1:1" x14ac:dyDescent="0.25">
      <c r="A825033" s="242"/>
    </row>
    <row r="825034" spans="1:1" x14ac:dyDescent="0.25">
      <c r="A825034" s="242"/>
    </row>
    <row r="825035" spans="1:1" x14ac:dyDescent="0.25">
      <c r="A825035" s="242"/>
    </row>
    <row r="825036" spans="1:1" x14ac:dyDescent="0.25">
      <c r="A825036" s="242"/>
    </row>
    <row r="825037" spans="1:1" x14ac:dyDescent="0.25">
      <c r="A825037" s="242"/>
    </row>
    <row r="825038" spans="1:1" x14ac:dyDescent="0.25">
      <c r="A825038" s="242"/>
    </row>
    <row r="825039" spans="1:1" x14ac:dyDescent="0.25">
      <c r="A825039" s="242"/>
    </row>
    <row r="825040" spans="1:1" x14ac:dyDescent="0.25">
      <c r="A825040" s="242"/>
    </row>
    <row r="825041" spans="1:1" x14ac:dyDescent="0.25">
      <c r="A825041" s="242"/>
    </row>
    <row r="825042" spans="1:1" x14ac:dyDescent="0.25">
      <c r="A825042" s="242"/>
    </row>
    <row r="825043" spans="1:1" x14ac:dyDescent="0.25">
      <c r="A825043" s="242"/>
    </row>
    <row r="825044" spans="1:1" x14ac:dyDescent="0.25">
      <c r="A825044" s="242"/>
    </row>
    <row r="825045" spans="1:1" x14ac:dyDescent="0.25">
      <c r="A825045" s="242"/>
    </row>
    <row r="825046" spans="1:1" x14ac:dyDescent="0.25">
      <c r="A825046" s="242"/>
    </row>
    <row r="825047" spans="1:1" x14ac:dyDescent="0.25">
      <c r="A825047" s="242"/>
    </row>
    <row r="825048" spans="1:1" x14ac:dyDescent="0.25">
      <c r="A825048" s="242"/>
    </row>
    <row r="825049" spans="1:1" x14ac:dyDescent="0.25">
      <c r="A825049" s="242"/>
    </row>
    <row r="825050" spans="1:1" x14ac:dyDescent="0.25">
      <c r="A825050" s="242"/>
    </row>
    <row r="825051" spans="1:1" x14ac:dyDescent="0.25">
      <c r="A825051" s="242"/>
    </row>
    <row r="825052" spans="1:1" x14ac:dyDescent="0.25">
      <c r="A825052" s="242"/>
    </row>
    <row r="825053" spans="1:1" x14ac:dyDescent="0.25">
      <c r="A825053" s="242"/>
    </row>
    <row r="825054" spans="1:1" x14ac:dyDescent="0.25">
      <c r="A825054" s="242"/>
    </row>
    <row r="825055" spans="1:1" x14ac:dyDescent="0.25">
      <c r="A825055" s="242"/>
    </row>
    <row r="825056" spans="1:1" x14ac:dyDescent="0.25">
      <c r="A825056" s="242"/>
    </row>
    <row r="825057" spans="1:1" x14ac:dyDescent="0.25">
      <c r="A825057" s="242"/>
    </row>
    <row r="825058" spans="1:1" x14ac:dyDescent="0.25">
      <c r="A825058" s="242"/>
    </row>
    <row r="825059" spans="1:1" x14ac:dyDescent="0.25">
      <c r="A825059" s="242"/>
    </row>
    <row r="825060" spans="1:1" x14ac:dyDescent="0.25">
      <c r="A825060" s="242"/>
    </row>
    <row r="825061" spans="1:1" x14ac:dyDescent="0.25">
      <c r="A825061" s="242"/>
    </row>
    <row r="825062" spans="1:1" x14ac:dyDescent="0.25">
      <c r="A825062" s="242"/>
    </row>
    <row r="825063" spans="1:1" x14ac:dyDescent="0.25">
      <c r="A825063" s="242"/>
    </row>
    <row r="825064" spans="1:1" x14ac:dyDescent="0.25">
      <c r="A825064" s="242"/>
    </row>
    <row r="825065" spans="1:1" x14ac:dyDescent="0.25">
      <c r="A825065" s="242"/>
    </row>
    <row r="825066" spans="1:1" x14ac:dyDescent="0.25">
      <c r="A825066" s="242"/>
    </row>
    <row r="825067" spans="1:1" x14ac:dyDescent="0.25">
      <c r="A825067" s="242"/>
    </row>
    <row r="825068" spans="1:1" x14ac:dyDescent="0.25">
      <c r="A825068" s="242"/>
    </row>
    <row r="825069" spans="1:1" x14ac:dyDescent="0.25">
      <c r="A825069" s="242"/>
    </row>
    <row r="825070" spans="1:1" x14ac:dyDescent="0.25">
      <c r="A825070" s="242"/>
    </row>
    <row r="825071" spans="1:1" x14ac:dyDescent="0.25">
      <c r="A825071" s="242"/>
    </row>
    <row r="825072" spans="1:1" x14ac:dyDescent="0.25">
      <c r="A825072" s="242"/>
    </row>
    <row r="825073" spans="1:1" x14ac:dyDescent="0.25">
      <c r="A825073" s="242"/>
    </row>
    <row r="825074" spans="1:1" x14ac:dyDescent="0.25">
      <c r="A825074" s="242"/>
    </row>
    <row r="825075" spans="1:1" x14ac:dyDescent="0.25">
      <c r="A825075" s="242"/>
    </row>
    <row r="825076" spans="1:1" x14ac:dyDescent="0.25">
      <c r="A825076" s="242"/>
    </row>
    <row r="825077" spans="1:1" x14ac:dyDescent="0.25">
      <c r="A825077" s="242"/>
    </row>
    <row r="825078" spans="1:1" x14ac:dyDescent="0.25">
      <c r="A825078" s="242"/>
    </row>
    <row r="825079" spans="1:1" x14ac:dyDescent="0.25">
      <c r="A825079" s="242"/>
    </row>
    <row r="825080" spans="1:1" x14ac:dyDescent="0.25">
      <c r="A825080" s="242"/>
    </row>
    <row r="825081" spans="1:1" x14ac:dyDescent="0.25">
      <c r="A825081" s="242"/>
    </row>
    <row r="825082" spans="1:1" x14ac:dyDescent="0.25">
      <c r="A825082" s="242"/>
    </row>
    <row r="825083" spans="1:1" x14ac:dyDescent="0.25">
      <c r="A825083" s="242"/>
    </row>
    <row r="825084" spans="1:1" x14ac:dyDescent="0.25">
      <c r="A825084" s="242"/>
    </row>
    <row r="825085" spans="1:1" x14ac:dyDescent="0.25">
      <c r="A825085" s="242"/>
    </row>
    <row r="825086" spans="1:1" x14ac:dyDescent="0.25">
      <c r="A825086" s="242"/>
    </row>
    <row r="825087" spans="1:1" x14ac:dyDescent="0.25">
      <c r="A825087" s="242"/>
    </row>
    <row r="825088" spans="1:1" x14ac:dyDescent="0.25">
      <c r="A825088" s="242"/>
    </row>
    <row r="825089" spans="1:1" x14ac:dyDescent="0.25">
      <c r="A825089" s="242"/>
    </row>
    <row r="825090" spans="1:1" x14ac:dyDescent="0.25">
      <c r="A825090" s="242"/>
    </row>
    <row r="825091" spans="1:1" x14ac:dyDescent="0.25">
      <c r="A825091" s="242"/>
    </row>
    <row r="825092" spans="1:1" x14ac:dyDescent="0.25">
      <c r="A825092" s="242"/>
    </row>
    <row r="825093" spans="1:1" x14ac:dyDescent="0.25">
      <c r="A825093" s="242"/>
    </row>
    <row r="825094" spans="1:1" x14ac:dyDescent="0.25">
      <c r="A825094" s="242"/>
    </row>
    <row r="825095" spans="1:1" x14ac:dyDescent="0.25">
      <c r="A825095" s="242"/>
    </row>
    <row r="825096" spans="1:1" x14ac:dyDescent="0.25">
      <c r="A825096" s="242"/>
    </row>
    <row r="825097" spans="1:1" x14ac:dyDescent="0.25">
      <c r="A825097" s="242"/>
    </row>
    <row r="825098" spans="1:1" x14ac:dyDescent="0.25">
      <c r="A825098" s="242"/>
    </row>
    <row r="825099" spans="1:1" x14ac:dyDescent="0.25">
      <c r="A825099" s="242"/>
    </row>
    <row r="825100" spans="1:1" x14ac:dyDescent="0.25">
      <c r="A825100" s="242"/>
    </row>
    <row r="825101" spans="1:1" x14ac:dyDescent="0.25">
      <c r="A825101" s="242"/>
    </row>
    <row r="825102" spans="1:1" x14ac:dyDescent="0.25">
      <c r="A825102" s="242"/>
    </row>
    <row r="825103" spans="1:1" x14ac:dyDescent="0.25">
      <c r="A825103" s="242"/>
    </row>
    <row r="825104" spans="1:1" x14ac:dyDescent="0.25">
      <c r="A825104" s="242"/>
    </row>
    <row r="825105" spans="1:1" x14ac:dyDescent="0.25">
      <c r="A825105" s="242"/>
    </row>
    <row r="825106" spans="1:1" x14ac:dyDescent="0.25">
      <c r="A825106" s="242"/>
    </row>
    <row r="825107" spans="1:1" x14ac:dyDescent="0.25">
      <c r="A825107" s="242"/>
    </row>
    <row r="825108" spans="1:1" x14ac:dyDescent="0.25">
      <c r="A825108" s="242"/>
    </row>
    <row r="825109" spans="1:1" x14ac:dyDescent="0.25">
      <c r="A825109" s="242"/>
    </row>
    <row r="825110" spans="1:1" x14ac:dyDescent="0.25">
      <c r="A825110" s="242"/>
    </row>
    <row r="825111" spans="1:1" x14ac:dyDescent="0.25">
      <c r="A825111" s="242"/>
    </row>
    <row r="825112" spans="1:1" x14ac:dyDescent="0.25">
      <c r="A825112" s="242"/>
    </row>
    <row r="825113" spans="1:1" x14ac:dyDescent="0.25">
      <c r="A825113" s="242"/>
    </row>
    <row r="825114" spans="1:1" x14ac:dyDescent="0.25">
      <c r="A825114" s="242"/>
    </row>
    <row r="825115" spans="1:1" x14ac:dyDescent="0.25">
      <c r="A825115" s="242"/>
    </row>
    <row r="825116" spans="1:1" x14ac:dyDescent="0.25">
      <c r="A825116" s="242"/>
    </row>
    <row r="825117" spans="1:1" x14ac:dyDescent="0.25">
      <c r="A825117" s="242"/>
    </row>
    <row r="825118" spans="1:1" x14ac:dyDescent="0.25">
      <c r="A825118" s="242"/>
    </row>
    <row r="825119" spans="1:1" x14ac:dyDescent="0.25">
      <c r="A825119" s="242"/>
    </row>
    <row r="825120" spans="1:1" x14ac:dyDescent="0.25">
      <c r="A825120" s="242"/>
    </row>
    <row r="825121" spans="1:1" x14ac:dyDescent="0.25">
      <c r="A825121" s="242"/>
    </row>
    <row r="825122" spans="1:1" x14ac:dyDescent="0.25">
      <c r="A825122" s="242"/>
    </row>
    <row r="825123" spans="1:1" x14ac:dyDescent="0.25">
      <c r="A825123" s="242"/>
    </row>
    <row r="825124" spans="1:1" x14ac:dyDescent="0.25">
      <c r="A825124" s="242"/>
    </row>
    <row r="825125" spans="1:1" x14ac:dyDescent="0.25">
      <c r="A825125" s="242"/>
    </row>
    <row r="825126" spans="1:1" x14ac:dyDescent="0.25">
      <c r="A825126" s="242"/>
    </row>
    <row r="825127" spans="1:1" x14ac:dyDescent="0.25">
      <c r="A825127" s="242"/>
    </row>
    <row r="825128" spans="1:1" x14ac:dyDescent="0.25">
      <c r="A825128" s="242"/>
    </row>
    <row r="825129" spans="1:1" x14ac:dyDescent="0.25">
      <c r="A825129" s="242"/>
    </row>
    <row r="825130" spans="1:1" x14ac:dyDescent="0.25">
      <c r="A825130" s="242"/>
    </row>
    <row r="825131" spans="1:1" x14ac:dyDescent="0.25">
      <c r="A825131" s="242"/>
    </row>
    <row r="825132" spans="1:1" x14ac:dyDescent="0.25">
      <c r="A825132" s="242"/>
    </row>
    <row r="825133" spans="1:1" x14ac:dyDescent="0.25">
      <c r="A825133" s="242"/>
    </row>
    <row r="825134" spans="1:1" x14ac:dyDescent="0.25">
      <c r="A825134" s="242"/>
    </row>
    <row r="825135" spans="1:1" x14ac:dyDescent="0.25">
      <c r="A825135" s="242"/>
    </row>
    <row r="825136" spans="1:1" x14ac:dyDescent="0.25">
      <c r="A825136" s="242"/>
    </row>
    <row r="825137" spans="1:1" x14ac:dyDescent="0.25">
      <c r="A825137" s="242"/>
    </row>
    <row r="825138" spans="1:1" x14ac:dyDescent="0.25">
      <c r="A825138" s="242"/>
    </row>
    <row r="825139" spans="1:1" x14ac:dyDescent="0.25">
      <c r="A825139" s="242"/>
    </row>
    <row r="825140" spans="1:1" x14ac:dyDescent="0.25">
      <c r="A825140" s="242"/>
    </row>
    <row r="825141" spans="1:1" x14ac:dyDescent="0.25">
      <c r="A825141" s="242"/>
    </row>
    <row r="825142" spans="1:1" x14ac:dyDescent="0.25">
      <c r="A825142" s="242"/>
    </row>
    <row r="825143" spans="1:1" x14ac:dyDescent="0.25">
      <c r="A825143" s="242"/>
    </row>
    <row r="825144" spans="1:1" x14ac:dyDescent="0.25">
      <c r="A825144" s="242"/>
    </row>
    <row r="825145" spans="1:1" x14ac:dyDescent="0.25">
      <c r="A825145" s="242"/>
    </row>
    <row r="825146" spans="1:1" x14ac:dyDescent="0.25">
      <c r="A825146" s="242"/>
    </row>
    <row r="825147" spans="1:1" x14ac:dyDescent="0.25">
      <c r="A825147" s="242"/>
    </row>
    <row r="825148" spans="1:1" x14ac:dyDescent="0.25">
      <c r="A825148" s="242"/>
    </row>
    <row r="825149" spans="1:1" x14ac:dyDescent="0.25">
      <c r="A825149" s="242"/>
    </row>
    <row r="825150" spans="1:1" x14ac:dyDescent="0.25">
      <c r="A825150" s="242"/>
    </row>
    <row r="825151" spans="1:1" x14ac:dyDescent="0.25">
      <c r="A825151" s="242"/>
    </row>
    <row r="825152" spans="1:1" x14ac:dyDescent="0.25">
      <c r="A825152" s="242"/>
    </row>
    <row r="825153" spans="1:1" x14ac:dyDescent="0.25">
      <c r="A825153" s="242"/>
    </row>
    <row r="825154" spans="1:1" x14ac:dyDescent="0.25">
      <c r="A825154" s="242"/>
    </row>
    <row r="825155" spans="1:1" x14ac:dyDescent="0.25">
      <c r="A825155" s="242"/>
    </row>
    <row r="825156" spans="1:1" x14ac:dyDescent="0.25">
      <c r="A825156" s="242"/>
    </row>
    <row r="825157" spans="1:1" x14ac:dyDescent="0.25">
      <c r="A825157" s="242"/>
    </row>
    <row r="825158" spans="1:1" x14ac:dyDescent="0.25">
      <c r="A825158" s="242"/>
    </row>
    <row r="825159" spans="1:1" x14ac:dyDescent="0.25">
      <c r="A825159" s="242"/>
    </row>
    <row r="825160" spans="1:1" x14ac:dyDescent="0.25">
      <c r="A825160" s="242"/>
    </row>
    <row r="825161" spans="1:1" x14ac:dyDescent="0.25">
      <c r="A825161" s="242"/>
    </row>
    <row r="825162" spans="1:1" x14ac:dyDescent="0.25">
      <c r="A825162" s="242"/>
    </row>
    <row r="825163" spans="1:1" x14ac:dyDescent="0.25">
      <c r="A825163" s="242"/>
    </row>
    <row r="825164" spans="1:1" x14ac:dyDescent="0.25">
      <c r="A825164" s="242"/>
    </row>
    <row r="825165" spans="1:1" x14ac:dyDescent="0.25">
      <c r="A825165" s="242"/>
    </row>
    <row r="825166" spans="1:1" x14ac:dyDescent="0.25">
      <c r="A825166" s="242"/>
    </row>
    <row r="825167" spans="1:1" x14ac:dyDescent="0.25">
      <c r="A825167" s="242"/>
    </row>
    <row r="825168" spans="1:1" x14ac:dyDescent="0.25">
      <c r="A825168" s="242"/>
    </row>
    <row r="825169" spans="1:1" x14ac:dyDescent="0.25">
      <c r="A825169" s="242"/>
    </row>
    <row r="825170" spans="1:1" x14ac:dyDescent="0.25">
      <c r="A825170" s="242"/>
    </row>
    <row r="825171" spans="1:1" x14ac:dyDescent="0.25">
      <c r="A825171" s="242"/>
    </row>
    <row r="825172" spans="1:1" x14ac:dyDescent="0.25">
      <c r="A825172" s="242"/>
    </row>
    <row r="825173" spans="1:1" x14ac:dyDescent="0.25">
      <c r="A825173" s="242"/>
    </row>
    <row r="825174" spans="1:1" x14ac:dyDescent="0.25">
      <c r="A825174" s="242"/>
    </row>
    <row r="825175" spans="1:1" x14ac:dyDescent="0.25">
      <c r="A825175" s="242"/>
    </row>
    <row r="825176" spans="1:1" x14ac:dyDescent="0.25">
      <c r="A825176" s="242"/>
    </row>
    <row r="825177" spans="1:1" x14ac:dyDescent="0.25">
      <c r="A825177" s="242"/>
    </row>
    <row r="825178" spans="1:1" x14ac:dyDescent="0.25">
      <c r="A825178" s="242"/>
    </row>
    <row r="825179" spans="1:1" x14ac:dyDescent="0.25">
      <c r="A825179" s="242"/>
    </row>
    <row r="825180" spans="1:1" x14ac:dyDescent="0.25">
      <c r="A825180" s="242"/>
    </row>
    <row r="825181" spans="1:1" x14ac:dyDescent="0.25">
      <c r="A825181" s="242"/>
    </row>
    <row r="825182" spans="1:1" x14ac:dyDescent="0.25">
      <c r="A825182" s="242"/>
    </row>
    <row r="825183" spans="1:1" x14ac:dyDescent="0.25">
      <c r="A825183" s="242"/>
    </row>
    <row r="825184" spans="1:1" x14ac:dyDescent="0.25">
      <c r="A825184" s="242"/>
    </row>
    <row r="825185" spans="1:1" x14ac:dyDescent="0.25">
      <c r="A825185" s="242"/>
    </row>
    <row r="825186" spans="1:1" x14ac:dyDescent="0.25">
      <c r="A825186" s="242"/>
    </row>
    <row r="825187" spans="1:1" x14ac:dyDescent="0.25">
      <c r="A825187" s="242"/>
    </row>
    <row r="825188" spans="1:1" x14ac:dyDescent="0.25">
      <c r="A825188" s="242"/>
    </row>
    <row r="825189" spans="1:1" x14ac:dyDescent="0.25">
      <c r="A825189" s="242"/>
    </row>
    <row r="825190" spans="1:1" x14ac:dyDescent="0.25">
      <c r="A825190" s="242"/>
    </row>
    <row r="825191" spans="1:1" x14ac:dyDescent="0.25">
      <c r="A825191" s="242"/>
    </row>
    <row r="825192" spans="1:1" x14ac:dyDescent="0.25">
      <c r="A825192" s="242"/>
    </row>
    <row r="825193" spans="1:1" x14ac:dyDescent="0.25">
      <c r="A825193" s="242"/>
    </row>
    <row r="825194" spans="1:1" x14ac:dyDescent="0.25">
      <c r="A825194" s="242"/>
    </row>
    <row r="825195" spans="1:1" x14ac:dyDescent="0.25">
      <c r="A825195" s="242"/>
    </row>
    <row r="825196" spans="1:1" x14ac:dyDescent="0.25">
      <c r="A825196" s="242"/>
    </row>
    <row r="825197" spans="1:1" x14ac:dyDescent="0.25">
      <c r="A825197" s="242"/>
    </row>
    <row r="825198" spans="1:1" x14ac:dyDescent="0.25">
      <c r="A825198" s="242"/>
    </row>
    <row r="825199" spans="1:1" x14ac:dyDescent="0.25">
      <c r="A825199" s="242"/>
    </row>
    <row r="825200" spans="1:1" x14ac:dyDescent="0.25">
      <c r="A825200" s="242"/>
    </row>
    <row r="825201" spans="1:1" x14ac:dyDescent="0.25">
      <c r="A825201" s="242"/>
    </row>
    <row r="825202" spans="1:1" x14ac:dyDescent="0.25">
      <c r="A825202" s="242"/>
    </row>
    <row r="825203" spans="1:1" x14ac:dyDescent="0.25">
      <c r="A825203" s="242"/>
    </row>
    <row r="825204" spans="1:1" x14ac:dyDescent="0.25">
      <c r="A825204" s="242"/>
    </row>
    <row r="825205" spans="1:1" x14ac:dyDescent="0.25">
      <c r="A825205" s="242"/>
    </row>
    <row r="825206" spans="1:1" x14ac:dyDescent="0.25">
      <c r="A825206" s="242"/>
    </row>
    <row r="825207" spans="1:1" x14ac:dyDescent="0.25">
      <c r="A825207" s="242"/>
    </row>
    <row r="825208" spans="1:1" x14ac:dyDescent="0.25">
      <c r="A825208" s="242"/>
    </row>
    <row r="825209" spans="1:1" x14ac:dyDescent="0.25">
      <c r="A825209" s="242"/>
    </row>
    <row r="825210" spans="1:1" x14ac:dyDescent="0.25">
      <c r="A825210" s="242"/>
    </row>
    <row r="825211" spans="1:1" x14ac:dyDescent="0.25">
      <c r="A825211" s="242"/>
    </row>
    <row r="825212" spans="1:1" x14ac:dyDescent="0.25">
      <c r="A825212" s="242"/>
    </row>
    <row r="825213" spans="1:1" x14ac:dyDescent="0.25">
      <c r="A825213" s="242"/>
    </row>
    <row r="825214" spans="1:1" x14ac:dyDescent="0.25">
      <c r="A825214" s="242"/>
    </row>
    <row r="825215" spans="1:1" x14ac:dyDescent="0.25">
      <c r="A825215" s="242"/>
    </row>
    <row r="825216" spans="1:1" x14ac:dyDescent="0.25">
      <c r="A825216" s="242"/>
    </row>
    <row r="825217" spans="1:1" x14ac:dyDescent="0.25">
      <c r="A825217" s="242"/>
    </row>
    <row r="825218" spans="1:1" x14ac:dyDescent="0.25">
      <c r="A825218" s="242"/>
    </row>
    <row r="825219" spans="1:1" x14ac:dyDescent="0.25">
      <c r="A825219" s="242"/>
    </row>
    <row r="825220" spans="1:1" x14ac:dyDescent="0.25">
      <c r="A825220" s="242"/>
    </row>
    <row r="825221" spans="1:1" x14ac:dyDescent="0.25">
      <c r="A825221" s="242"/>
    </row>
    <row r="825222" spans="1:1" x14ac:dyDescent="0.25">
      <c r="A825222" s="242"/>
    </row>
    <row r="825223" spans="1:1" x14ac:dyDescent="0.25">
      <c r="A825223" s="242"/>
    </row>
    <row r="825224" spans="1:1" x14ac:dyDescent="0.25">
      <c r="A825224" s="242"/>
    </row>
    <row r="825225" spans="1:1" x14ac:dyDescent="0.25">
      <c r="A825225" s="242"/>
    </row>
    <row r="825226" spans="1:1" x14ac:dyDescent="0.25">
      <c r="A825226" s="242"/>
    </row>
    <row r="825227" spans="1:1" x14ac:dyDescent="0.25">
      <c r="A825227" s="242"/>
    </row>
    <row r="825228" spans="1:1" x14ac:dyDescent="0.25">
      <c r="A825228" s="242"/>
    </row>
    <row r="825229" spans="1:1" x14ac:dyDescent="0.25">
      <c r="A825229" s="242"/>
    </row>
    <row r="825230" spans="1:1" x14ac:dyDescent="0.25">
      <c r="A825230" s="242"/>
    </row>
    <row r="825231" spans="1:1" x14ac:dyDescent="0.25">
      <c r="A825231" s="242"/>
    </row>
    <row r="825232" spans="1:1" x14ac:dyDescent="0.25">
      <c r="A825232" s="242"/>
    </row>
    <row r="825233" spans="1:1" x14ac:dyDescent="0.25">
      <c r="A825233" s="242"/>
    </row>
    <row r="825234" spans="1:1" x14ac:dyDescent="0.25">
      <c r="A825234" s="242"/>
    </row>
    <row r="825235" spans="1:1" x14ac:dyDescent="0.25">
      <c r="A825235" s="242"/>
    </row>
    <row r="825236" spans="1:1" x14ac:dyDescent="0.25">
      <c r="A825236" s="242"/>
    </row>
    <row r="825237" spans="1:1" x14ac:dyDescent="0.25">
      <c r="A825237" s="242"/>
    </row>
    <row r="825238" spans="1:1" x14ac:dyDescent="0.25">
      <c r="A825238" s="242"/>
    </row>
    <row r="825239" spans="1:1" x14ac:dyDescent="0.25">
      <c r="A825239" s="242"/>
    </row>
    <row r="825240" spans="1:1" x14ac:dyDescent="0.25">
      <c r="A825240" s="242"/>
    </row>
    <row r="825241" spans="1:1" x14ac:dyDescent="0.25">
      <c r="A825241" s="242"/>
    </row>
    <row r="825242" spans="1:1" x14ac:dyDescent="0.25">
      <c r="A825242" s="242"/>
    </row>
    <row r="825243" spans="1:1" x14ac:dyDescent="0.25">
      <c r="A825243" s="242"/>
    </row>
    <row r="825244" spans="1:1" x14ac:dyDescent="0.25">
      <c r="A825244" s="242"/>
    </row>
    <row r="825245" spans="1:1" x14ac:dyDescent="0.25">
      <c r="A825245" s="242"/>
    </row>
    <row r="825246" spans="1:1" x14ac:dyDescent="0.25">
      <c r="A825246" s="242"/>
    </row>
    <row r="825247" spans="1:1" x14ac:dyDescent="0.25">
      <c r="A825247" s="242"/>
    </row>
    <row r="825248" spans="1:1" x14ac:dyDescent="0.25">
      <c r="A825248" s="242"/>
    </row>
    <row r="825249" spans="1:1" x14ac:dyDescent="0.25">
      <c r="A825249" s="242"/>
    </row>
    <row r="825250" spans="1:1" x14ac:dyDescent="0.25">
      <c r="A825250" s="242"/>
    </row>
    <row r="825251" spans="1:1" x14ac:dyDescent="0.25">
      <c r="A825251" s="242"/>
    </row>
    <row r="825252" spans="1:1" x14ac:dyDescent="0.25">
      <c r="A825252" s="242"/>
    </row>
    <row r="825253" spans="1:1" x14ac:dyDescent="0.25">
      <c r="A825253" s="242"/>
    </row>
    <row r="825254" spans="1:1" x14ac:dyDescent="0.25">
      <c r="A825254" s="242"/>
    </row>
    <row r="825255" spans="1:1" x14ac:dyDescent="0.25">
      <c r="A825255" s="242"/>
    </row>
    <row r="825256" spans="1:1" x14ac:dyDescent="0.25">
      <c r="A825256" s="242"/>
    </row>
    <row r="825257" spans="1:1" x14ac:dyDescent="0.25">
      <c r="A825257" s="242"/>
    </row>
    <row r="825258" spans="1:1" x14ac:dyDescent="0.25">
      <c r="A825258" s="242"/>
    </row>
    <row r="825259" spans="1:1" x14ac:dyDescent="0.25">
      <c r="A825259" s="242"/>
    </row>
    <row r="825260" spans="1:1" x14ac:dyDescent="0.25">
      <c r="A825260" s="242"/>
    </row>
    <row r="825261" spans="1:1" x14ac:dyDescent="0.25">
      <c r="A825261" s="242"/>
    </row>
    <row r="825262" spans="1:1" x14ac:dyDescent="0.25">
      <c r="A825262" s="242"/>
    </row>
    <row r="825263" spans="1:1" x14ac:dyDescent="0.25">
      <c r="A825263" s="242"/>
    </row>
    <row r="825264" spans="1:1" x14ac:dyDescent="0.25">
      <c r="A825264" s="242"/>
    </row>
    <row r="825265" spans="1:1" x14ac:dyDescent="0.25">
      <c r="A825265" s="242"/>
    </row>
    <row r="825266" spans="1:1" x14ac:dyDescent="0.25">
      <c r="A825266" s="242"/>
    </row>
    <row r="825267" spans="1:1" x14ac:dyDescent="0.25">
      <c r="A825267" s="242"/>
    </row>
    <row r="825268" spans="1:1" x14ac:dyDescent="0.25">
      <c r="A825268" s="242"/>
    </row>
    <row r="825269" spans="1:1" x14ac:dyDescent="0.25">
      <c r="A825269" s="242"/>
    </row>
    <row r="825270" spans="1:1" x14ac:dyDescent="0.25">
      <c r="A825270" s="242"/>
    </row>
    <row r="825271" spans="1:1" x14ac:dyDescent="0.25">
      <c r="A825271" s="242"/>
    </row>
    <row r="825272" spans="1:1" x14ac:dyDescent="0.25">
      <c r="A825272" s="242"/>
    </row>
    <row r="825273" spans="1:1" x14ac:dyDescent="0.25">
      <c r="A825273" s="242"/>
    </row>
    <row r="825274" spans="1:1" x14ac:dyDescent="0.25">
      <c r="A825274" s="242"/>
    </row>
    <row r="825275" spans="1:1" x14ac:dyDescent="0.25">
      <c r="A825275" s="242"/>
    </row>
    <row r="825276" spans="1:1" x14ac:dyDescent="0.25">
      <c r="A825276" s="242"/>
    </row>
    <row r="825277" spans="1:1" x14ac:dyDescent="0.25">
      <c r="A825277" s="242"/>
    </row>
    <row r="825278" spans="1:1" x14ac:dyDescent="0.25">
      <c r="A825278" s="242"/>
    </row>
    <row r="825279" spans="1:1" x14ac:dyDescent="0.25">
      <c r="A825279" s="242"/>
    </row>
    <row r="825280" spans="1:1" x14ac:dyDescent="0.25">
      <c r="A825280" s="242"/>
    </row>
    <row r="825281" spans="1:1" x14ac:dyDescent="0.25">
      <c r="A825281" s="242"/>
    </row>
    <row r="825282" spans="1:1" x14ac:dyDescent="0.25">
      <c r="A825282" s="242"/>
    </row>
    <row r="825283" spans="1:1" x14ac:dyDescent="0.25">
      <c r="A825283" s="242"/>
    </row>
    <row r="825284" spans="1:1" x14ac:dyDescent="0.25">
      <c r="A825284" s="242"/>
    </row>
    <row r="825285" spans="1:1" x14ac:dyDescent="0.25">
      <c r="A825285" s="242"/>
    </row>
    <row r="825286" spans="1:1" x14ac:dyDescent="0.25">
      <c r="A825286" s="242"/>
    </row>
    <row r="825287" spans="1:1" x14ac:dyDescent="0.25">
      <c r="A825287" s="242"/>
    </row>
    <row r="825288" spans="1:1" x14ac:dyDescent="0.25">
      <c r="A825288" s="242"/>
    </row>
    <row r="825289" spans="1:1" x14ac:dyDescent="0.25">
      <c r="A825289" s="242"/>
    </row>
    <row r="825290" spans="1:1" x14ac:dyDescent="0.25">
      <c r="A825290" s="242"/>
    </row>
    <row r="825291" spans="1:1" x14ac:dyDescent="0.25">
      <c r="A825291" s="242"/>
    </row>
    <row r="825292" spans="1:1" x14ac:dyDescent="0.25">
      <c r="A825292" s="242"/>
    </row>
    <row r="825293" spans="1:1" x14ac:dyDescent="0.25">
      <c r="A825293" s="242"/>
    </row>
    <row r="825294" spans="1:1" x14ac:dyDescent="0.25">
      <c r="A825294" s="242"/>
    </row>
    <row r="825295" spans="1:1" x14ac:dyDescent="0.25">
      <c r="A825295" s="242"/>
    </row>
    <row r="825296" spans="1:1" x14ac:dyDescent="0.25">
      <c r="A825296" s="242"/>
    </row>
    <row r="825297" spans="1:1" x14ac:dyDescent="0.25">
      <c r="A825297" s="242"/>
    </row>
    <row r="825298" spans="1:1" x14ac:dyDescent="0.25">
      <c r="A825298" s="242"/>
    </row>
    <row r="825299" spans="1:1" x14ac:dyDescent="0.25">
      <c r="A825299" s="242"/>
    </row>
    <row r="825300" spans="1:1" x14ac:dyDescent="0.25">
      <c r="A825300" s="242"/>
    </row>
    <row r="825301" spans="1:1" x14ac:dyDescent="0.25">
      <c r="A825301" s="242"/>
    </row>
    <row r="825302" spans="1:1" x14ac:dyDescent="0.25">
      <c r="A825302" s="242"/>
    </row>
    <row r="825303" spans="1:1" x14ac:dyDescent="0.25">
      <c r="A825303" s="242"/>
    </row>
    <row r="825304" spans="1:1" x14ac:dyDescent="0.25">
      <c r="A825304" s="242"/>
    </row>
    <row r="825305" spans="1:1" x14ac:dyDescent="0.25">
      <c r="A825305" s="242"/>
    </row>
    <row r="825306" spans="1:1" x14ac:dyDescent="0.25">
      <c r="A825306" s="242"/>
    </row>
    <row r="825307" spans="1:1" x14ac:dyDescent="0.25">
      <c r="A825307" s="242"/>
    </row>
    <row r="825308" spans="1:1" x14ac:dyDescent="0.25">
      <c r="A825308" s="242"/>
    </row>
    <row r="825309" spans="1:1" x14ac:dyDescent="0.25">
      <c r="A825309" s="242"/>
    </row>
    <row r="825310" spans="1:1" x14ac:dyDescent="0.25">
      <c r="A825310" s="242"/>
    </row>
    <row r="825311" spans="1:1" x14ac:dyDescent="0.25">
      <c r="A825311" s="242"/>
    </row>
    <row r="825312" spans="1:1" x14ac:dyDescent="0.25">
      <c r="A825312" s="242"/>
    </row>
    <row r="825313" spans="1:1" x14ac:dyDescent="0.25">
      <c r="A825313" s="242"/>
    </row>
    <row r="825314" spans="1:1" x14ac:dyDescent="0.25">
      <c r="A825314" s="242"/>
    </row>
    <row r="825315" spans="1:1" x14ac:dyDescent="0.25">
      <c r="A825315" s="242"/>
    </row>
    <row r="825316" spans="1:1" x14ac:dyDescent="0.25">
      <c r="A825316" s="242"/>
    </row>
    <row r="825317" spans="1:1" x14ac:dyDescent="0.25">
      <c r="A825317" s="242"/>
    </row>
    <row r="825318" spans="1:1" x14ac:dyDescent="0.25">
      <c r="A825318" s="242"/>
    </row>
    <row r="825319" spans="1:1" x14ac:dyDescent="0.25">
      <c r="A825319" s="242"/>
    </row>
    <row r="825320" spans="1:1" x14ac:dyDescent="0.25">
      <c r="A825320" s="242"/>
    </row>
    <row r="825321" spans="1:1" x14ac:dyDescent="0.25">
      <c r="A825321" s="242"/>
    </row>
    <row r="825322" spans="1:1" x14ac:dyDescent="0.25">
      <c r="A825322" s="242"/>
    </row>
    <row r="825323" spans="1:1" x14ac:dyDescent="0.25">
      <c r="A825323" s="242"/>
    </row>
    <row r="825324" spans="1:1" x14ac:dyDescent="0.25">
      <c r="A825324" s="242"/>
    </row>
    <row r="825325" spans="1:1" x14ac:dyDescent="0.25">
      <c r="A825325" s="242"/>
    </row>
    <row r="825326" spans="1:1" x14ac:dyDescent="0.25">
      <c r="A825326" s="242"/>
    </row>
    <row r="825327" spans="1:1" x14ac:dyDescent="0.25">
      <c r="A825327" s="242"/>
    </row>
    <row r="825328" spans="1:1" x14ac:dyDescent="0.25">
      <c r="A825328" s="242"/>
    </row>
    <row r="825329" spans="1:1" x14ac:dyDescent="0.25">
      <c r="A825329" s="242"/>
    </row>
    <row r="825330" spans="1:1" x14ac:dyDescent="0.25">
      <c r="A825330" s="242"/>
    </row>
    <row r="825331" spans="1:1" x14ac:dyDescent="0.25">
      <c r="A825331" s="242"/>
    </row>
    <row r="825332" spans="1:1" x14ac:dyDescent="0.25">
      <c r="A825332" s="242"/>
    </row>
    <row r="825333" spans="1:1" x14ac:dyDescent="0.25">
      <c r="A825333" s="242"/>
    </row>
    <row r="825334" spans="1:1" x14ac:dyDescent="0.25">
      <c r="A825334" s="242"/>
    </row>
    <row r="825335" spans="1:1" x14ac:dyDescent="0.25">
      <c r="A825335" s="242"/>
    </row>
    <row r="825336" spans="1:1" x14ac:dyDescent="0.25">
      <c r="A825336" s="242"/>
    </row>
    <row r="825337" spans="1:1" x14ac:dyDescent="0.25">
      <c r="A825337" s="242"/>
    </row>
    <row r="825338" spans="1:1" x14ac:dyDescent="0.25">
      <c r="A825338" s="242"/>
    </row>
    <row r="825339" spans="1:1" x14ac:dyDescent="0.25">
      <c r="A825339" s="242"/>
    </row>
    <row r="825340" spans="1:1" x14ac:dyDescent="0.25">
      <c r="A825340" s="242"/>
    </row>
    <row r="825341" spans="1:1" x14ac:dyDescent="0.25">
      <c r="A825341" s="242"/>
    </row>
    <row r="825342" spans="1:1" x14ac:dyDescent="0.25">
      <c r="A825342" s="242"/>
    </row>
    <row r="825343" spans="1:1" x14ac:dyDescent="0.25">
      <c r="A825343" s="242"/>
    </row>
    <row r="825344" spans="1:1" x14ac:dyDescent="0.25">
      <c r="A825344" s="242"/>
    </row>
    <row r="825345" spans="1:1" x14ac:dyDescent="0.25">
      <c r="A825345" s="242"/>
    </row>
    <row r="825346" spans="1:1" x14ac:dyDescent="0.25">
      <c r="A825346" s="242"/>
    </row>
    <row r="825347" spans="1:1" x14ac:dyDescent="0.25">
      <c r="A825347" s="242"/>
    </row>
    <row r="825348" spans="1:1" x14ac:dyDescent="0.25">
      <c r="A825348" s="242"/>
    </row>
    <row r="825349" spans="1:1" x14ac:dyDescent="0.25">
      <c r="A825349" s="242"/>
    </row>
    <row r="825350" spans="1:1" x14ac:dyDescent="0.25">
      <c r="A825350" s="242"/>
    </row>
    <row r="825351" spans="1:1" x14ac:dyDescent="0.25">
      <c r="A825351" s="242"/>
    </row>
    <row r="825352" spans="1:1" x14ac:dyDescent="0.25">
      <c r="A825352" s="242"/>
    </row>
    <row r="825353" spans="1:1" x14ac:dyDescent="0.25">
      <c r="A825353" s="242"/>
    </row>
    <row r="825354" spans="1:1" x14ac:dyDescent="0.25">
      <c r="A825354" s="242"/>
    </row>
    <row r="825355" spans="1:1" x14ac:dyDescent="0.25">
      <c r="A825355" s="242"/>
    </row>
    <row r="825356" spans="1:1" x14ac:dyDescent="0.25">
      <c r="A825356" s="242"/>
    </row>
    <row r="825357" spans="1:1" x14ac:dyDescent="0.25">
      <c r="A825357" s="242"/>
    </row>
    <row r="825358" spans="1:1" x14ac:dyDescent="0.25">
      <c r="A825358" s="242"/>
    </row>
    <row r="825359" spans="1:1" x14ac:dyDescent="0.25">
      <c r="A825359" s="242"/>
    </row>
    <row r="825360" spans="1:1" x14ac:dyDescent="0.25">
      <c r="A825360" s="242"/>
    </row>
    <row r="825361" spans="1:1" x14ac:dyDescent="0.25">
      <c r="A825361" s="242"/>
    </row>
    <row r="825362" spans="1:1" x14ac:dyDescent="0.25">
      <c r="A825362" s="242"/>
    </row>
    <row r="825363" spans="1:1" x14ac:dyDescent="0.25">
      <c r="A825363" s="242"/>
    </row>
    <row r="825364" spans="1:1" x14ac:dyDescent="0.25">
      <c r="A825364" s="242"/>
    </row>
    <row r="825365" spans="1:1" x14ac:dyDescent="0.25">
      <c r="A825365" s="242"/>
    </row>
    <row r="825366" spans="1:1" x14ac:dyDescent="0.25">
      <c r="A825366" s="242"/>
    </row>
    <row r="825367" spans="1:1" x14ac:dyDescent="0.25">
      <c r="A825367" s="242"/>
    </row>
    <row r="825368" spans="1:1" x14ac:dyDescent="0.25">
      <c r="A825368" s="242"/>
    </row>
    <row r="825369" spans="1:1" x14ac:dyDescent="0.25">
      <c r="A825369" s="242"/>
    </row>
    <row r="825370" spans="1:1" x14ac:dyDescent="0.25">
      <c r="A825370" s="242"/>
    </row>
    <row r="825371" spans="1:1" x14ac:dyDescent="0.25">
      <c r="A825371" s="242"/>
    </row>
    <row r="825372" spans="1:1" x14ac:dyDescent="0.25">
      <c r="A825372" s="242"/>
    </row>
    <row r="825373" spans="1:1" x14ac:dyDescent="0.25">
      <c r="A825373" s="242"/>
    </row>
    <row r="825374" spans="1:1" x14ac:dyDescent="0.25">
      <c r="A825374" s="242"/>
    </row>
    <row r="825375" spans="1:1" x14ac:dyDescent="0.25">
      <c r="A825375" s="242"/>
    </row>
    <row r="825376" spans="1:1" x14ac:dyDescent="0.25">
      <c r="A825376" s="242"/>
    </row>
    <row r="825377" spans="1:1" x14ac:dyDescent="0.25">
      <c r="A825377" s="242"/>
    </row>
    <row r="825378" spans="1:1" x14ac:dyDescent="0.25">
      <c r="A825378" s="242"/>
    </row>
    <row r="825379" spans="1:1" x14ac:dyDescent="0.25">
      <c r="A825379" s="242"/>
    </row>
    <row r="825380" spans="1:1" x14ac:dyDescent="0.25">
      <c r="A825380" s="242"/>
    </row>
    <row r="825381" spans="1:1" x14ac:dyDescent="0.25">
      <c r="A825381" s="242"/>
    </row>
    <row r="825382" spans="1:1" x14ac:dyDescent="0.25">
      <c r="A825382" s="242"/>
    </row>
    <row r="825383" spans="1:1" x14ac:dyDescent="0.25">
      <c r="A825383" s="242"/>
    </row>
    <row r="825384" spans="1:1" x14ac:dyDescent="0.25">
      <c r="A825384" s="242"/>
    </row>
    <row r="825385" spans="1:1" x14ac:dyDescent="0.25">
      <c r="A825385" s="242"/>
    </row>
    <row r="825386" spans="1:1" x14ac:dyDescent="0.25">
      <c r="A825386" s="242"/>
    </row>
    <row r="825387" spans="1:1" x14ac:dyDescent="0.25">
      <c r="A825387" s="242"/>
    </row>
    <row r="825388" spans="1:1" x14ac:dyDescent="0.25">
      <c r="A825388" s="242"/>
    </row>
    <row r="825389" spans="1:1" x14ac:dyDescent="0.25">
      <c r="A825389" s="242"/>
    </row>
    <row r="825390" spans="1:1" x14ac:dyDescent="0.25">
      <c r="A825390" s="242"/>
    </row>
    <row r="825391" spans="1:1" x14ac:dyDescent="0.25">
      <c r="A825391" s="242"/>
    </row>
    <row r="825392" spans="1:1" x14ac:dyDescent="0.25">
      <c r="A825392" s="242"/>
    </row>
    <row r="825393" spans="1:1" x14ac:dyDescent="0.25">
      <c r="A825393" s="242"/>
    </row>
    <row r="825394" spans="1:1" x14ac:dyDescent="0.25">
      <c r="A825394" s="242"/>
    </row>
    <row r="825395" spans="1:1" x14ac:dyDescent="0.25">
      <c r="A825395" s="242"/>
    </row>
    <row r="825396" spans="1:1" x14ac:dyDescent="0.25">
      <c r="A825396" s="242"/>
    </row>
    <row r="825397" spans="1:1" x14ac:dyDescent="0.25">
      <c r="A825397" s="242"/>
    </row>
    <row r="825398" spans="1:1" x14ac:dyDescent="0.25">
      <c r="A825398" s="242"/>
    </row>
    <row r="825399" spans="1:1" x14ac:dyDescent="0.25">
      <c r="A825399" s="242"/>
    </row>
    <row r="825400" spans="1:1" x14ac:dyDescent="0.25">
      <c r="A825400" s="242"/>
    </row>
    <row r="825401" spans="1:1" x14ac:dyDescent="0.25">
      <c r="A825401" s="242"/>
    </row>
    <row r="825402" spans="1:1" x14ac:dyDescent="0.25">
      <c r="A825402" s="242"/>
    </row>
    <row r="825403" spans="1:1" x14ac:dyDescent="0.25">
      <c r="A825403" s="242"/>
    </row>
    <row r="825404" spans="1:1" x14ac:dyDescent="0.25">
      <c r="A825404" s="242"/>
    </row>
    <row r="825405" spans="1:1" x14ac:dyDescent="0.25">
      <c r="A825405" s="242"/>
    </row>
    <row r="825406" spans="1:1" x14ac:dyDescent="0.25">
      <c r="A825406" s="242"/>
    </row>
    <row r="825407" spans="1:1" x14ac:dyDescent="0.25">
      <c r="A825407" s="242"/>
    </row>
    <row r="825408" spans="1:1" x14ac:dyDescent="0.25">
      <c r="A825408" s="242"/>
    </row>
    <row r="825409" spans="1:1" x14ac:dyDescent="0.25">
      <c r="A825409" s="242"/>
    </row>
    <row r="825410" spans="1:1" x14ac:dyDescent="0.25">
      <c r="A825410" s="242"/>
    </row>
    <row r="825411" spans="1:1" x14ac:dyDescent="0.25">
      <c r="A825411" s="242"/>
    </row>
    <row r="825412" spans="1:1" x14ac:dyDescent="0.25">
      <c r="A825412" s="242"/>
    </row>
    <row r="825413" spans="1:1" x14ac:dyDescent="0.25">
      <c r="A825413" s="242"/>
    </row>
    <row r="825414" spans="1:1" x14ac:dyDescent="0.25">
      <c r="A825414" s="242"/>
    </row>
    <row r="825415" spans="1:1" x14ac:dyDescent="0.25">
      <c r="A825415" s="242"/>
    </row>
    <row r="825416" spans="1:1" x14ac:dyDescent="0.25">
      <c r="A825416" s="242"/>
    </row>
    <row r="825417" spans="1:1" x14ac:dyDescent="0.25">
      <c r="A825417" s="242"/>
    </row>
    <row r="825418" spans="1:1" x14ac:dyDescent="0.25">
      <c r="A825418" s="242"/>
    </row>
    <row r="825419" spans="1:1" x14ac:dyDescent="0.25">
      <c r="A825419" s="242"/>
    </row>
    <row r="825420" spans="1:1" x14ac:dyDescent="0.25">
      <c r="A825420" s="242"/>
    </row>
    <row r="825421" spans="1:1" x14ac:dyDescent="0.25">
      <c r="A825421" s="242"/>
    </row>
    <row r="825422" spans="1:1" x14ac:dyDescent="0.25">
      <c r="A825422" s="242"/>
    </row>
    <row r="825423" spans="1:1" x14ac:dyDescent="0.25">
      <c r="A825423" s="242"/>
    </row>
    <row r="825424" spans="1:1" x14ac:dyDescent="0.25">
      <c r="A825424" s="242"/>
    </row>
    <row r="825425" spans="1:1" x14ac:dyDescent="0.25">
      <c r="A825425" s="242"/>
    </row>
    <row r="825426" spans="1:1" x14ac:dyDescent="0.25">
      <c r="A825426" s="242"/>
    </row>
    <row r="825427" spans="1:1" x14ac:dyDescent="0.25">
      <c r="A825427" s="242"/>
    </row>
    <row r="825428" spans="1:1" x14ac:dyDescent="0.25">
      <c r="A825428" s="242"/>
    </row>
    <row r="825429" spans="1:1" x14ac:dyDescent="0.25">
      <c r="A825429" s="242"/>
    </row>
    <row r="825430" spans="1:1" x14ac:dyDescent="0.25">
      <c r="A825430" s="242"/>
    </row>
    <row r="825431" spans="1:1" x14ac:dyDescent="0.25">
      <c r="A825431" s="242"/>
    </row>
    <row r="825432" spans="1:1" x14ac:dyDescent="0.25">
      <c r="A825432" s="242"/>
    </row>
    <row r="825433" spans="1:1" x14ac:dyDescent="0.25">
      <c r="A825433" s="242"/>
    </row>
    <row r="825434" spans="1:1" x14ac:dyDescent="0.25">
      <c r="A825434" s="242"/>
    </row>
    <row r="825435" spans="1:1" x14ac:dyDescent="0.25">
      <c r="A825435" s="242"/>
    </row>
    <row r="825436" spans="1:1" x14ac:dyDescent="0.25">
      <c r="A825436" s="242"/>
    </row>
    <row r="825437" spans="1:1" x14ac:dyDescent="0.25">
      <c r="A825437" s="242"/>
    </row>
    <row r="825438" spans="1:1" x14ac:dyDescent="0.25">
      <c r="A825438" s="242"/>
    </row>
    <row r="825439" spans="1:1" x14ac:dyDescent="0.25">
      <c r="A825439" s="242"/>
    </row>
    <row r="825440" spans="1:1" x14ac:dyDescent="0.25">
      <c r="A825440" s="242"/>
    </row>
    <row r="825441" spans="1:1" x14ac:dyDescent="0.25">
      <c r="A825441" s="242"/>
    </row>
    <row r="825442" spans="1:1" x14ac:dyDescent="0.25">
      <c r="A825442" s="242"/>
    </row>
    <row r="825443" spans="1:1" x14ac:dyDescent="0.25">
      <c r="A825443" s="242"/>
    </row>
    <row r="825444" spans="1:1" x14ac:dyDescent="0.25">
      <c r="A825444" s="242"/>
    </row>
    <row r="825445" spans="1:1" x14ac:dyDescent="0.25">
      <c r="A825445" s="242"/>
    </row>
    <row r="825446" spans="1:1" x14ac:dyDescent="0.25">
      <c r="A825446" s="242"/>
    </row>
    <row r="825447" spans="1:1" x14ac:dyDescent="0.25">
      <c r="A825447" s="242"/>
    </row>
    <row r="825448" spans="1:1" x14ac:dyDescent="0.25">
      <c r="A825448" s="242"/>
    </row>
    <row r="825449" spans="1:1" x14ac:dyDescent="0.25">
      <c r="A825449" s="242"/>
    </row>
    <row r="825450" spans="1:1" x14ac:dyDescent="0.25">
      <c r="A825450" s="242"/>
    </row>
    <row r="825451" spans="1:1" x14ac:dyDescent="0.25">
      <c r="A825451" s="242"/>
    </row>
    <row r="825452" spans="1:1" x14ac:dyDescent="0.25">
      <c r="A825452" s="242"/>
    </row>
    <row r="825453" spans="1:1" x14ac:dyDescent="0.25">
      <c r="A825453" s="242"/>
    </row>
    <row r="825454" spans="1:1" x14ac:dyDescent="0.25">
      <c r="A825454" s="242"/>
    </row>
    <row r="825455" spans="1:1" x14ac:dyDescent="0.25">
      <c r="A825455" s="242"/>
    </row>
    <row r="825456" spans="1:1" x14ac:dyDescent="0.25">
      <c r="A825456" s="242"/>
    </row>
    <row r="825457" spans="1:1" x14ac:dyDescent="0.25">
      <c r="A825457" s="242"/>
    </row>
    <row r="825458" spans="1:1" x14ac:dyDescent="0.25">
      <c r="A825458" s="242"/>
    </row>
    <row r="825459" spans="1:1" x14ac:dyDescent="0.25">
      <c r="A825459" s="242"/>
    </row>
    <row r="825460" spans="1:1" x14ac:dyDescent="0.25">
      <c r="A825460" s="242"/>
    </row>
    <row r="825461" spans="1:1" x14ac:dyDescent="0.25">
      <c r="A825461" s="242"/>
    </row>
    <row r="825462" spans="1:1" x14ac:dyDescent="0.25">
      <c r="A825462" s="242"/>
    </row>
    <row r="825463" spans="1:1" x14ac:dyDescent="0.25">
      <c r="A825463" s="242"/>
    </row>
    <row r="825464" spans="1:1" x14ac:dyDescent="0.25">
      <c r="A825464" s="242"/>
    </row>
    <row r="825465" spans="1:1" x14ac:dyDescent="0.25">
      <c r="A825465" s="242"/>
    </row>
    <row r="825466" spans="1:1" x14ac:dyDescent="0.25">
      <c r="A825466" s="242"/>
    </row>
    <row r="825467" spans="1:1" x14ac:dyDescent="0.25">
      <c r="A825467" s="242"/>
    </row>
    <row r="825468" spans="1:1" x14ac:dyDescent="0.25">
      <c r="A825468" s="242"/>
    </row>
    <row r="825469" spans="1:1" x14ac:dyDescent="0.25">
      <c r="A825469" s="242"/>
    </row>
    <row r="825470" spans="1:1" x14ac:dyDescent="0.25">
      <c r="A825470" s="242"/>
    </row>
    <row r="825471" spans="1:1" x14ac:dyDescent="0.25">
      <c r="A825471" s="242"/>
    </row>
    <row r="825472" spans="1:1" x14ac:dyDescent="0.25">
      <c r="A825472" s="242"/>
    </row>
    <row r="825473" spans="1:1" x14ac:dyDescent="0.25">
      <c r="A825473" s="242"/>
    </row>
    <row r="825474" spans="1:1" x14ac:dyDescent="0.25">
      <c r="A825474" s="242"/>
    </row>
    <row r="825475" spans="1:1" x14ac:dyDescent="0.25">
      <c r="A825475" s="242"/>
    </row>
    <row r="825476" spans="1:1" x14ac:dyDescent="0.25">
      <c r="A825476" s="242"/>
    </row>
    <row r="825477" spans="1:1" x14ac:dyDescent="0.25">
      <c r="A825477" s="242"/>
    </row>
    <row r="825478" spans="1:1" x14ac:dyDescent="0.25">
      <c r="A825478" s="242"/>
    </row>
    <row r="825479" spans="1:1" x14ac:dyDescent="0.25">
      <c r="A825479" s="242"/>
    </row>
    <row r="825480" spans="1:1" x14ac:dyDescent="0.25">
      <c r="A825480" s="242"/>
    </row>
    <row r="825481" spans="1:1" x14ac:dyDescent="0.25">
      <c r="A825481" s="242"/>
    </row>
    <row r="825482" spans="1:1" x14ac:dyDescent="0.25">
      <c r="A825482" s="242"/>
    </row>
    <row r="825483" spans="1:1" x14ac:dyDescent="0.25">
      <c r="A825483" s="242"/>
    </row>
    <row r="825484" spans="1:1" x14ac:dyDescent="0.25">
      <c r="A825484" s="242"/>
    </row>
    <row r="825485" spans="1:1" x14ac:dyDescent="0.25">
      <c r="A825485" s="242"/>
    </row>
    <row r="825486" spans="1:1" x14ac:dyDescent="0.25">
      <c r="A825486" s="242"/>
    </row>
    <row r="825487" spans="1:1" x14ac:dyDescent="0.25">
      <c r="A825487" s="242"/>
    </row>
    <row r="825488" spans="1:1" x14ac:dyDescent="0.25">
      <c r="A825488" s="242"/>
    </row>
    <row r="825489" spans="1:1" x14ac:dyDescent="0.25">
      <c r="A825489" s="242"/>
    </row>
    <row r="825490" spans="1:1" x14ac:dyDescent="0.25">
      <c r="A825490" s="242"/>
    </row>
    <row r="825491" spans="1:1" x14ac:dyDescent="0.25">
      <c r="A825491" s="242"/>
    </row>
    <row r="825492" spans="1:1" x14ac:dyDescent="0.25">
      <c r="A825492" s="242"/>
    </row>
    <row r="825493" spans="1:1" x14ac:dyDescent="0.25">
      <c r="A825493" s="242"/>
    </row>
    <row r="825494" spans="1:1" x14ac:dyDescent="0.25">
      <c r="A825494" s="242"/>
    </row>
    <row r="825495" spans="1:1" x14ac:dyDescent="0.25">
      <c r="A825495" s="242"/>
    </row>
    <row r="825496" spans="1:1" x14ac:dyDescent="0.25">
      <c r="A825496" s="242"/>
    </row>
    <row r="825497" spans="1:1" x14ac:dyDescent="0.25">
      <c r="A825497" s="242"/>
    </row>
    <row r="825498" spans="1:1" x14ac:dyDescent="0.25">
      <c r="A825498" s="242"/>
    </row>
    <row r="825499" spans="1:1" x14ac:dyDescent="0.25">
      <c r="A825499" s="242"/>
    </row>
    <row r="825500" spans="1:1" x14ac:dyDescent="0.25">
      <c r="A825500" s="242"/>
    </row>
    <row r="825501" spans="1:1" x14ac:dyDescent="0.25">
      <c r="A825501" s="242"/>
    </row>
    <row r="825502" spans="1:1" x14ac:dyDescent="0.25">
      <c r="A825502" s="242"/>
    </row>
    <row r="825503" spans="1:1" x14ac:dyDescent="0.25">
      <c r="A825503" s="242"/>
    </row>
    <row r="825504" spans="1:1" x14ac:dyDescent="0.25">
      <c r="A825504" s="242"/>
    </row>
    <row r="825505" spans="1:1" x14ac:dyDescent="0.25">
      <c r="A825505" s="242"/>
    </row>
    <row r="825506" spans="1:1" x14ac:dyDescent="0.25">
      <c r="A825506" s="242"/>
    </row>
    <row r="825507" spans="1:1" x14ac:dyDescent="0.25">
      <c r="A825507" s="242"/>
    </row>
    <row r="825508" spans="1:1" x14ac:dyDescent="0.25">
      <c r="A825508" s="242"/>
    </row>
    <row r="825509" spans="1:1" x14ac:dyDescent="0.25">
      <c r="A825509" s="242"/>
    </row>
    <row r="825510" spans="1:1" x14ac:dyDescent="0.25">
      <c r="A825510" s="242"/>
    </row>
    <row r="825511" spans="1:1" x14ac:dyDescent="0.25">
      <c r="A825511" s="242"/>
    </row>
    <row r="825512" spans="1:1" x14ac:dyDescent="0.25">
      <c r="A825512" s="242"/>
    </row>
    <row r="825513" spans="1:1" x14ac:dyDescent="0.25">
      <c r="A825513" s="242"/>
    </row>
    <row r="825514" spans="1:1" x14ac:dyDescent="0.25">
      <c r="A825514" s="242"/>
    </row>
    <row r="825515" spans="1:1" x14ac:dyDescent="0.25">
      <c r="A825515" s="242"/>
    </row>
    <row r="825516" spans="1:1" x14ac:dyDescent="0.25">
      <c r="A825516" s="242"/>
    </row>
    <row r="825517" spans="1:1" x14ac:dyDescent="0.25">
      <c r="A825517" s="242"/>
    </row>
    <row r="825518" spans="1:1" x14ac:dyDescent="0.25">
      <c r="A825518" s="242"/>
    </row>
    <row r="825519" spans="1:1" x14ac:dyDescent="0.25">
      <c r="A825519" s="242"/>
    </row>
    <row r="825520" spans="1:1" x14ac:dyDescent="0.25">
      <c r="A825520" s="242"/>
    </row>
    <row r="825521" spans="1:1" x14ac:dyDescent="0.25">
      <c r="A825521" s="242"/>
    </row>
    <row r="825522" spans="1:1" x14ac:dyDescent="0.25">
      <c r="A825522" s="242"/>
    </row>
    <row r="825523" spans="1:1" x14ac:dyDescent="0.25">
      <c r="A825523" s="242"/>
    </row>
    <row r="825524" spans="1:1" x14ac:dyDescent="0.25">
      <c r="A825524" s="242"/>
    </row>
    <row r="825525" spans="1:1" x14ac:dyDescent="0.25">
      <c r="A825525" s="242"/>
    </row>
    <row r="825526" spans="1:1" x14ac:dyDescent="0.25">
      <c r="A825526" s="242"/>
    </row>
    <row r="825527" spans="1:1" x14ac:dyDescent="0.25">
      <c r="A825527" s="242"/>
    </row>
    <row r="825528" spans="1:1" x14ac:dyDescent="0.25">
      <c r="A825528" s="242"/>
    </row>
    <row r="825529" spans="1:1" x14ac:dyDescent="0.25">
      <c r="A825529" s="242"/>
    </row>
    <row r="825530" spans="1:1" x14ac:dyDescent="0.25">
      <c r="A825530" s="242"/>
    </row>
    <row r="825531" spans="1:1" x14ac:dyDescent="0.25">
      <c r="A825531" s="242"/>
    </row>
    <row r="825532" spans="1:1" x14ac:dyDescent="0.25">
      <c r="A825532" s="242"/>
    </row>
    <row r="825533" spans="1:1" x14ac:dyDescent="0.25">
      <c r="A825533" s="242"/>
    </row>
    <row r="825534" spans="1:1" x14ac:dyDescent="0.25">
      <c r="A825534" s="242"/>
    </row>
    <row r="825535" spans="1:1" x14ac:dyDescent="0.25">
      <c r="A825535" s="242"/>
    </row>
    <row r="825536" spans="1:1" x14ac:dyDescent="0.25">
      <c r="A825536" s="242"/>
    </row>
    <row r="825537" spans="1:1" x14ac:dyDescent="0.25">
      <c r="A825537" s="242"/>
    </row>
    <row r="825538" spans="1:1" x14ac:dyDescent="0.25">
      <c r="A825538" s="242"/>
    </row>
    <row r="825539" spans="1:1" x14ac:dyDescent="0.25">
      <c r="A825539" s="242"/>
    </row>
    <row r="825540" spans="1:1" x14ac:dyDescent="0.25">
      <c r="A825540" s="242"/>
    </row>
    <row r="825541" spans="1:1" x14ac:dyDescent="0.25">
      <c r="A825541" s="242"/>
    </row>
    <row r="825542" spans="1:1" x14ac:dyDescent="0.25">
      <c r="A825542" s="242"/>
    </row>
    <row r="825543" spans="1:1" x14ac:dyDescent="0.25">
      <c r="A825543" s="242"/>
    </row>
    <row r="825544" spans="1:1" x14ac:dyDescent="0.25">
      <c r="A825544" s="242"/>
    </row>
    <row r="825545" spans="1:1" x14ac:dyDescent="0.25">
      <c r="A825545" s="242"/>
    </row>
    <row r="825546" spans="1:1" x14ac:dyDescent="0.25">
      <c r="A825546" s="242"/>
    </row>
    <row r="825547" spans="1:1" x14ac:dyDescent="0.25">
      <c r="A825547" s="242"/>
    </row>
    <row r="825548" spans="1:1" x14ac:dyDescent="0.25">
      <c r="A825548" s="242"/>
    </row>
    <row r="825549" spans="1:1" x14ac:dyDescent="0.25">
      <c r="A825549" s="242"/>
    </row>
    <row r="825550" spans="1:1" x14ac:dyDescent="0.25">
      <c r="A825550" s="242"/>
    </row>
    <row r="825551" spans="1:1" x14ac:dyDescent="0.25">
      <c r="A825551" s="242"/>
    </row>
    <row r="825552" spans="1:1" x14ac:dyDescent="0.25">
      <c r="A825552" s="242"/>
    </row>
    <row r="825553" spans="1:1" x14ac:dyDescent="0.25">
      <c r="A825553" s="242"/>
    </row>
    <row r="825554" spans="1:1" x14ac:dyDescent="0.25">
      <c r="A825554" s="242"/>
    </row>
    <row r="825555" spans="1:1" x14ac:dyDescent="0.25">
      <c r="A825555" s="242"/>
    </row>
    <row r="825556" spans="1:1" x14ac:dyDescent="0.25">
      <c r="A825556" s="242"/>
    </row>
    <row r="825557" spans="1:1" x14ac:dyDescent="0.25">
      <c r="A825557" s="242"/>
    </row>
    <row r="825558" spans="1:1" x14ac:dyDescent="0.25">
      <c r="A825558" s="242"/>
    </row>
    <row r="825559" spans="1:1" x14ac:dyDescent="0.25">
      <c r="A825559" s="242"/>
    </row>
    <row r="825560" spans="1:1" x14ac:dyDescent="0.25">
      <c r="A825560" s="242"/>
    </row>
    <row r="825561" spans="1:1" x14ac:dyDescent="0.25">
      <c r="A825561" s="242"/>
    </row>
    <row r="825562" spans="1:1" x14ac:dyDescent="0.25">
      <c r="A825562" s="242"/>
    </row>
    <row r="825563" spans="1:1" x14ac:dyDescent="0.25">
      <c r="A825563" s="242"/>
    </row>
    <row r="825564" spans="1:1" x14ac:dyDescent="0.25">
      <c r="A825564" s="242"/>
    </row>
    <row r="825565" spans="1:1" x14ac:dyDescent="0.25">
      <c r="A825565" s="242"/>
    </row>
    <row r="825566" spans="1:1" x14ac:dyDescent="0.25">
      <c r="A825566" s="242"/>
    </row>
    <row r="825567" spans="1:1" x14ac:dyDescent="0.25">
      <c r="A825567" s="242"/>
    </row>
    <row r="825568" spans="1:1" x14ac:dyDescent="0.25">
      <c r="A825568" s="242"/>
    </row>
    <row r="825569" spans="1:1" x14ac:dyDescent="0.25">
      <c r="A825569" s="242"/>
    </row>
    <row r="825570" spans="1:1" x14ac:dyDescent="0.25">
      <c r="A825570" s="242"/>
    </row>
    <row r="825571" spans="1:1" x14ac:dyDescent="0.25">
      <c r="A825571" s="242"/>
    </row>
    <row r="825572" spans="1:1" x14ac:dyDescent="0.25">
      <c r="A825572" s="242"/>
    </row>
    <row r="825573" spans="1:1" x14ac:dyDescent="0.25">
      <c r="A825573" s="242"/>
    </row>
    <row r="825574" spans="1:1" x14ac:dyDescent="0.25">
      <c r="A825574" s="242"/>
    </row>
    <row r="825575" spans="1:1" x14ac:dyDescent="0.25">
      <c r="A825575" s="242"/>
    </row>
    <row r="825576" spans="1:1" x14ac:dyDescent="0.25">
      <c r="A825576" s="242"/>
    </row>
    <row r="825577" spans="1:1" x14ac:dyDescent="0.25">
      <c r="A825577" s="242"/>
    </row>
    <row r="825578" spans="1:1" x14ac:dyDescent="0.25">
      <c r="A825578" s="242"/>
    </row>
    <row r="825579" spans="1:1" x14ac:dyDescent="0.25">
      <c r="A825579" s="242"/>
    </row>
    <row r="825580" spans="1:1" x14ac:dyDescent="0.25">
      <c r="A825580" s="242"/>
    </row>
    <row r="825581" spans="1:1" x14ac:dyDescent="0.25">
      <c r="A825581" s="242"/>
    </row>
    <row r="825582" spans="1:1" x14ac:dyDescent="0.25">
      <c r="A825582" s="242"/>
    </row>
    <row r="825583" spans="1:1" x14ac:dyDescent="0.25">
      <c r="A825583" s="242"/>
    </row>
    <row r="825584" spans="1:1" x14ac:dyDescent="0.25">
      <c r="A825584" s="242"/>
    </row>
    <row r="825585" spans="1:1" x14ac:dyDescent="0.25">
      <c r="A825585" s="242"/>
    </row>
    <row r="825586" spans="1:1" x14ac:dyDescent="0.25">
      <c r="A825586" s="242"/>
    </row>
    <row r="825587" spans="1:1" x14ac:dyDescent="0.25">
      <c r="A825587" s="242"/>
    </row>
    <row r="825588" spans="1:1" x14ac:dyDescent="0.25">
      <c r="A825588" s="242"/>
    </row>
    <row r="825589" spans="1:1" x14ac:dyDescent="0.25">
      <c r="A825589" s="242"/>
    </row>
    <row r="825590" spans="1:1" x14ac:dyDescent="0.25">
      <c r="A825590" s="242"/>
    </row>
    <row r="825591" spans="1:1" x14ac:dyDescent="0.25">
      <c r="A825591" s="242"/>
    </row>
    <row r="825592" spans="1:1" x14ac:dyDescent="0.25">
      <c r="A825592" s="242"/>
    </row>
    <row r="825593" spans="1:1" x14ac:dyDescent="0.25">
      <c r="A825593" s="242"/>
    </row>
    <row r="825594" spans="1:1" x14ac:dyDescent="0.25">
      <c r="A825594" s="242"/>
    </row>
    <row r="825595" spans="1:1" x14ac:dyDescent="0.25">
      <c r="A825595" s="242"/>
    </row>
    <row r="825596" spans="1:1" x14ac:dyDescent="0.25">
      <c r="A825596" s="242"/>
    </row>
    <row r="825597" spans="1:1" x14ac:dyDescent="0.25">
      <c r="A825597" s="242"/>
    </row>
    <row r="825598" spans="1:1" x14ac:dyDescent="0.25">
      <c r="A825598" s="242"/>
    </row>
    <row r="825599" spans="1:1" x14ac:dyDescent="0.25">
      <c r="A825599" s="242"/>
    </row>
    <row r="825600" spans="1:1" x14ac:dyDescent="0.25">
      <c r="A825600" s="242"/>
    </row>
    <row r="825601" spans="1:1" x14ac:dyDescent="0.25">
      <c r="A825601" s="242"/>
    </row>
    <row r="825602" spans="1:1" x14ac:dyDescent="0.25">
      <c r="A825602" s="242"/>
    </row>
    <row r="825603" spans="1:1" x14ac:dyDescent="0.25">
      <c r="A825603" s="242"/>
    </row>
    <row r="825604" spans="1:1" x14ac:dyDescent="0.25">
      <c r="A825604" s="242"/>
    </row>
    <row r="825605" spans="1:1" x14ac:dyDescent="0.25">
      <c r="A825605" s="242"/>
    </row>
    <row r="825606" spans="1:1" x14ac:dyDescent="0.25">
      <c r="A825606" s="242"/>
    </row>
    <row r="825607" spans="1:1" x14ac:dyDescent="0.25">
      <c r="A825607" s="242"/>
    </row>
    <row r="825608" spans="1:1" x14ac:dyDescent="0.25">
      <c r="A825608" s="242"/>
    </row>
    <row r="825609" spans="1:1" x14ac:dyDescent="0.25">
      <c r="A825609" s="242"/>
    </row>
    <row r="825610" spans="1:1" x14ac:dyDescent="0.25">
      <c r="A825610" s="242"/>
    </row>
    <row r="825611" spans="1:1" x14ac:dyDescent="0.25">
      <c r="A825611" s="242"/>
    </row>
    <row r="825612" spans="1:1" x14ac:dyDescent="0.25">
      <c r="A825612" s="242"/>
    </row>
    <row r="825613" spans="1:1" x14ac:dyDescent="0.25">
      <c r="A825613" s="242"/>
    </row>
    <row r="825614" spans="1:1" x14ac:dyDescent="0.25">
      <c r="A825614" s="242"/>
    </row>
    <row r="825615" spans="1:1" x14ac:dyDescent="0.25">
      <c r="A825615" s="242"/>
    </row>
    <row r="825616" spans="1:1" x14ac:dyDescent="0.25">
      <c r="A825616" s="242"/>
    </row>
    <row r="825617" spans="1:1" x14ac:dyDescent="0.25">
      <c r="A825617" s="242"/>
    </row>
    <row r="825618" spans="1:1" x14ac:dyDescent="0.25">
      <c r="A825618" s="242"/>
    </row>
    <row r="825619" spans="1:1" x14ac:dyDescent="0.25">
      <c r="A825619" s="242"/>
    </row>
    <row r="825620" spans="1:1" x14ac:dyDescent="0.25">
      <c r="A825620" s="242"/>
    </row>
    <row r="825621" spans="1:1" x14ac:dyDescent="0.25">
      <c r="A825621" s="242"/>
    </row>
    <row r="825622" spans="1:1" x14ac:dyDescent="0.25">
      <c r="A825622" s="242"/>
    </row>
    <row r="825623" spans="1:1" x14ac:dyDescent="0.25">
      <c r="A825623" s="242"/>
    </row>
    <row r="825624" spans="1:1" x14ac:dyDescent="0.25">
      <c r="A825624" s="242"/>
    </row>
    <row r="825625" spans="1:1" x14ac:dyDescent="0.25">
      <c r="A825625" s="242"/>
    </row>
    <row r="825626" spans="1:1" x14ac:dyDescent="0.25">
      <c r="A825626" s="242"/>
    </row>
    <row r="825627" spans="1:1" x14ac:dyDescent="0.25">
      <c r="A825627" s="242"/>
    </row>
    <row r="825628" spans="1:1" x14ac:dyDescent="0.25">
      <c r="A825628" s="242"/>
    </row>
    <row r="825629" spans="1:1" x14ac:dyDescent="0.25">
      <c r="A825629" s="242"/>
    </row>
    <row r="825630" spans="1:1" x14ac:dyDescent="0.25">
      <c r="A825630" s="242"/>
    </row>
    <row r="825631" spans="1:1" x14ac:dyDescent="0.25">
      <c r="A825631" s="242"/>
    </row>
    <row r="825632" spans="1:1" x14ac:dyDescent="0.25">
      <c r="A825632" s="242"/>
    </row>
    <row r="825633" spans="1:1" x14ac:dyDescent="0.25">
      <c r="A825633" s="242"/>
    </row>
    <row r="825634" spans="1:1" x14ac:dyDescent="0.25">
      <c r="A825634" s="242"/>
    </row>
    <row r="825635" spans="1:1" x14ac:dyDescent="0.25">
      <c r="A825635" s="242"/>
    </row>
    <row r="825636" spans="1:1" x14ac:dyDescent="0.25">
      <c r="A825636" s="242"/>
    </row>
    <row r="825637" spans="1:1" x14ac:dyDescent="0.25">
      <c r="A825637" s="242"/>
    </row>
    <row r="825638" spans="1:1" x14ac:dyDescent="0.25">
      <c r="A825638" s="242"/>
    </row>
    <row r="825639" spans="1:1" x14ac:dyDescent="0.25">
      <c r="A825639" s="242"/>
    </row>
    <row r="825640" spans="1:1" x14ac:dyDescent="0.25">
      <c r="A825640" s="242"/>
    </row>
    <row r="825641" spans="1:1" x14ac:dyDescent="0.25">
      <c r="A825641" s="242"/>
    </row>
    <row r="825642" spans="1:1" x14ac:dyDescent="0.25">
      <c r="A825642" s="242"/>
    </row>
    <row r="825643" spans="1:1" x14ac:dyDescent="0.25">
      <c r="A825643" s="242"/>
    </row>
    <row r="825644" spans="1:1" x14ac:dyDescent="0.25">
      <c r="A825644" s="242"/>
    </row>
    <row r="825645" spans="1:1" x14ac:dyDescent="0.25">
      <c r="A825645" s="242"/>
    </row>
    <row r="825646" spans="1:1" x14ac:dyDescent="0.25">
      <c r="A825646" s="242"/>
    </row>
    <row r="825647" spans="1:1" x14ac:dyDescent="0.25">
      <c r="A825647" s="242"/>
    </row>
    <row r="825648" spans="1:1" x14ac:dyDescent="0.25">
      <c r="A825648" s="242"/>
    </row>
    <row r="825649" spans="1:1" x14ac:dyDescent="0.25">
      <c r="A825649" s="242"/>
    </row>
    <row r="825650" spans="1:1" x14ac:dyDescent="0.25">
      <c r="A825650" s="242"/>
    </row>
    <row r="825651" spans="1:1" x14ac:dyDescent="0.25">
      <c r="A825651" s="242"/>
    </row>
    <row r="825652" spans="1:1" x14ac:dyDescent="0.25">
      <c r="A825652" s="242"/>
    </row>
    <row r="825653" spans="1:1" x14ac:dyDescent="0.25">
      <c r="A825653" s="242"/>
    </row>
    <row r="825654" spans="1:1" x14ac:dyDescent="0.25">
      <c r="A825654" s="242"/>
    </row>
    <row r="825655" spans="1:1" x14ac:dyDescent="0.25">
      <c r="A825655" s="242"/>
    </row>
    <row r="825656" spans="1:1" x14ac:dyDescent="0.25">
      <c r="A825656" s="242"/>
    </row>
    <row r="825657" spans="1:1" x14ac:dyDescent="0.25">
      <c r="A825657" s="242"/>
    </row>
    <row r="825658" spans="1:1" x14ac:dyDescent="0.25">
      <c r="A825658" s="242"/>
    </row>
    <row r="825659" spans="1:1" x14ac:dyDescent="0.25">
      <c r="A825659" s="242"/>
    </row>
    <row r="825660" spans="1:1" x14ac:dyDescent="0.25">
      <c r="A825660" s="242"/>
    </row>
    <row r="825661" spans="1:1" x14ac:dyDescent="0.25">
      <c r="A825661" s="242"/>
    </row>
    <row r="825662" spans="1:1" x14ac:dyDescent="0.25">
      <c r="A825662" s="242"/>
    </row>
    <row r="825663" spans="1:1" x14ac:dyDescent="0.25">
      <c r="A825663" s="242"/>
    </row>
    <row r="825664" spans="1:1" x14ac:dyDescent="0.25">
      <c r="A825664" s="242"/>
    </row>
    <row r="825665" spans="1:1" x14ac:dyDescent="0.25">
      <c r="A825665" s="242"/>
    </row>
    <row r="825666" spans="1:1" x14ac:dyDescent="0.25">
      <c r="A825666" s="242"/>
    </row>
    <row r="825667" spans="1:1" x14ac:dyDescent="0.25">
      <c r="A825667" s="242"/>
    </row>
    <row r="825668" spans="1:1" x14ac:dyDescent="0.25">
      <c r="A825668" s="242"/>
    </row>
    <row r="825669" spans="1:1" x14ac:dyDescent="0.25">
      <c r="A825669" s="242"/>
    </row>
    <row r="825670" spans="1:1" x14ac:dyDescent="0.25">
      <c r="A825670" s="242"/>
    </row>
    <row r="825671" spans="1:1" x14ac:dyDescent="0.25">
      <c r="A825671" s="242"/>
    </row>
    <row r="825672" spans="1:1" x14ac:dyDescent="0.25">
      <c r="A825672" s="242"/>
    </row>
    <row r="825673" spans="1:1" x14ac:dyDescent="0.25">
      <c r="A825673" s="242"/>
    </row>
    <row r="825674" spans="1:1" x14ac:dyDescent="0.25">
      <c r="A825674" s="242"/>
    </row>
    <row r="825675" spans="1:1" x14ac:dyDescent="0.25">
      <c r="A825675" s="242"/>
    </row>
    <row r="825676" spans="1:1" x14ac:dyDescent="0.25">
      <c r="A825676" s="242"/>
    </row>
    <row r="825677" spans="1:1" x14ac:dyDescent="0.25">
      <c r="A825677" s="242"/>
    </row>
    <row r="825678" spans="1:1" x14ac:dyDescent="0.25">
      <c r="A825678" s="242"/>
    </row>
    <row r="825679" spans="1:1" x14ac:dyDescent="0.25">
      <c r="A825679" s="242"/>
    </row>
    <row r="825680" spans="1:1" x14ac:dyDescent="0.25">
      <c r="A825680" s="242"/>
    </row>
    <row r="825681" spans="1:1" x14ac:dyDescent="0.25">
      <c r="A825681" s="242"/>
    </row>
    <row r="825682" spans="1:1" x14ac:dyDescent="0.25">
      <c r="A825682" s="242"/>
    </row>
    <row r="825683" spans="1:1" x14ac:dyDescent="0.25">
      <c r="A825683" s="242"/>
    </row>
    <row r="825684" spans="1:1" x14ac:dyDescent="0.25">
      <c r="A825684" s="242"/>
    </row>
    <row r="825685" spans="1:1" x14ac:dyDescent="0.25">
      <c r="A825685" s="242"/>
    </row>
    <row r="825686" spans="1:1" x14ac:dyDescent="0.25">
      <c r="A825686" s="242"/>
    </row>
    <row r="825687" spans="1:1" x14ac:dyDescent="0.25">
      <c r="A825687" s="242"/>
    </row>
    <row r="825688" spans="1:1" x14ac:dyDescent="0.25">
      <c r="A825688" s="242"/>
    </row>
    <row r="825689" spans="1:1" x14ac:dyDescent="0.25">
      <c r="A825689" s="242"/>
    </row>
    <row r="825690" spans="1:1" x14ac:dyDescent="0.25">
      <c r="A825690" s="242"/>
    </row>
    <row r="825691" spans="1:1" x14ac:dyDescent="0.25">
      <c r="A825691" s="242"/>
    </row>
    <row r="825692" spans="1:1" x14ac:dyDescent="0.25">
      <c r="A825692" s="242"/>
    </row>
    <row r="825693" spans="1:1" x14ac:dyDescent="0.25">
      <c r="A825693" s="242"/>
    </row>
    <row r="825694" spans="1:1" x14ac:dyDescent="0.25">
      <c r="A825694" s="242"/>
    </row>
    <row r="825695" spans="1:1" x14ac:dyDescent="0.25">
      <c r="A825695" s="242"/>
    </row>
    <row r="825696" spans="1:1" x14ac:dyDescent="0.25">
      <c r="A825696" s="242"/>
    </row>
    <row r="825697" spans="1:1" x14ac:dyDescent="0.25">
      <c r="A825697" s="242"/>
    </row>
    <row r="825698" spans="1:1" x14ac:dyDescent="0.25">
      <c r="A825698" s="242"/>
    </row>
    <row r="825699" spans="1:1" x14ac:dyDescent="0.25">
      <c r="A825699" s="242"/>
    </row>
    <row r="825700" spans="1:1" x14ac:dyDescent="0.25">
      <c r="A825700" s="242"/>
    </row>
    <row r="825701" spans="1:1" x14ac:dyDescent="0.25">
      <c r="A825701" s="242"/>
    </row>
    <row r="825702" spans="1:1" x14ac:dyDescent="0.25">
      <c r="A825702" s="242"/>
    </row>
    <row r="825703" spans="1:1" x14ac:dyDescent="0.25">
      <c r="A825703" s="242"/>
    </row>
    <row r="825704" spans="1:1" x14ac:dyDescent="0.25">
      <c r="A825704" s="242"/>
    </row>
    <row r="825705" spans="1:1" x14ac:dyDescent="0.25">
      <c r="A825705" s="242"/>
    </row>
    <row r="825706" spans="1:1" x14ac:dyDescent="0.25">
      <c r="A825706" s="242"/>
    </row>
    <row r="825707" spans="1:1" x14ac:dyDescent="0.25">
      <c r="A825707" s="242"/>
    </row>
    <row r="825708" spans="1:1" x14ac:dyDescent="0.25">
      <c r="A825708" s="242"/>
    </row>
    <row r="825709" spans="1:1" x14ac:dyDescent="0.25">
      <c r="A825709" s="242"/>
    </row>
    <row r="825710" spans="1:1" x14ac:dyDescent="0.25">
      <c r="A825710" s="242"/>
    </row>
    <row r="825711" spans="1:1" x14ac:dyDescent="0.25">
      <c r="A825711" s="242"/>
    </row>
    <row r="825712" spans="1:1" x14ac:dyDescent="0.25">
      <c r="A825712" s="242"/>
    </row>
    <row r="825713" spans="1:1" x14ac:dyDescent="0.25">
      <c r="A825713" s="242"/>
    </row>
    <row r="825714" spans="1:1" x14ac:dyDescent="0.25">
      <c r="A825714" s="242"/>
    </row>
    <row r="825715" spans="1:1" x14ac:dyDescent="0.25">
      <c r="A825715" s="242"/>
    </row>
    <row r="825716" spans="1:1" x14ac:dyDescent="0.25">
      <c r="A825716" s="242"/>
    </row>
    <row r="825717" spans="1:1" x14ac:dyDescent="0.25">
      <c r="A825717" s="242"/>
    </row>
    <row r="825718" spans="1:1" x14ac:dyDescent="0.25">
      <c r="A825718" s="242"/>
    </row>
    <row r="825719" spans="1:1" x14ac:dyDescent="0.25">
      <c r="A825719" s="242"/>
    </row>
    <row r="825720" spans="1:1" x14ac:dyDescent="0.25">
      <c r="A825720" s="242"/>
    </row>
    <row r="825721" spans="1:1" x14ac:dyDescent="0.25">
      <c r="A825721" s="242"/>
    </row>
    <row r="825722" spans="1:1" x14ac:dyDescent="0.25">
      <c r="A825722" s="242"/>
    </row>
    <row r="825723" spans="1:1" x14ac:dyDescent="0.25">
      <c r="A825723" s="242"/>
    </row>
    <row r="825724" spans="1:1" x14ac:dyDescent="0.25">
      <c r="A825724" s="242"/>
    </row>
    <row r="825725" spans="1:1" x14ac:dyDescent="0.25">
      <c r="A825725" s="242"/>
    </row>
    <row r="825726" spans="1:1" x14ac:dyDescent="0.25">
      <c r="A825726" s="242"/>
    </row>
    <row r="825727" spans="1:1" x14ac:dyDescent="0.25">
      <c r="A825727" s="242"/>
    </row>
    <row r="825728" spans="1:1" x14ac:dyDescent="0.25">
      <c r="A825728" s="242"/>
    </row>
    <row r="825729" spans="1:1" x14ac:dyDescent="0.25">
      <c r="A825729" s="242"/>
    </row>
    <row r="825730" spans="1:1" x14ac:dyDescent="0.25">
      <c r="A825730" s="242"/>
    </row>
    <row r="825731" spans="1:1" x14ac:dyDescent="0.25">
      <c r="A825731" s="242"/>
    </row>
    <row r="825732" spans="1:1" x14ac:dyDescent="0.25">
      <c r="A825732" s="242"/>
    </row>
    <row r="825733" spans="1:1" x14ac:dyDescent="0.25">
      <c r="A825733" s="242"/>
    </row>
    <row r="825734" spans="1:1" x14ac:dyDescent="0.25">
      <c r="A825734" s="242"/>
    </row>
    <row r="825735" spans="1:1" x14ac:dyDescent="0.25">
      <c r="A825735" s="242"/>
    </row>
    <row r="825736" spans="1:1" x14ac:dyDescent="0.25">
      <c r="A825736" s="242"/>
    </row>
    <row r="825737" spans="1:1" x14ac:dyDescent="0.25">
      <c r="A825737" s="242"/>
    </row>
    <row r="825738" spans="1:1" x14ac:dyDescent="0.25">
      <c r="A825738" s="242"/>
    </row>
    <row r="825739" spans="1:1" x14ac:dyDescent="0.25">
      <c r="A825739" s="242"/>
    </row>
    <row r="825740" spans="1:1" x14ac:dyDescent="0.25">
      <c r="A825740" s="242"/>
    </row>
    <row r="825741" spans="1:1" x14ac:dyDescent="0.25">
      <c r="A825741" s="242"/>
    </row>
    <row r="825742" spans="1:1" x14ac:dyDescent="0.25">
      <c r="A825742" s="242"/>
    </row>
    <row r="825743" spans="1:1" x14ac:dyDescent="0.25">
      <c r="A825743" s="242"/>
    </row>
    <row r="825744" spans="1:1" x14ac:dyDescent="0.25">
      <c r="A825744" s="242"/>
    </row>
    <row r="825745" spans="1:1" x14ac:dyDescent="0.25">
      <c r="A825745" s="242"/>
    </row>
    <row r="825746" spans="1:1" x14ac:dyDescent="0.25">
      <c r="A825746" s="242"/>
    </row>
    <row r="825747" spans="1:1" x14ac:dyDescent="0.25">
      <c r="A825747" s="242"/>
    </row>
    <row r="825748" spans="1:1" x14ac:dyDescent="0.25">
      <c r="A825748" s="242"/>
    </row>
    <row r="825749" spans="1:1" x14ac:dyDescent="0.25">
      <c r="A825749" s="242"/>
    </row>
    <row r="825750" spans="1:1" x14ac:dyDescent="0.25">
      <c r="A825750" s="242"/>
    </row>
    <row r="825751" spans="1:1" x14ac:dyDescent="0.25">
      <c r="A825751" s="242"/>
    </row>
    <row r="825752" spans="1:1" x14ac:dyDescent="0.25">
      <c r="A825752" s="242"/>
    </row>
    <row r="825753" spans="1:1" x14ac:dyDescent="0.25">
      <c r="A825753" s="242"/>
    </row>
    <row r="825754" spans="1:1" x14ac:dyDescent="0.25">
      <c r="A825754" s="242"/>
    </row>
    <row r="825755" spans="1:1" x14ac:dyDescent="0.25">
      <c r="A825755" s="242"/>
    </row>
    <row r="825756" spans="1:1" x14ac:dyDescent="0.25">
      <c r="A825756" s="242"/>
    </row>
    <row r="825757" spans="1:1" x14ac:dyDescent="0.25">
      <c r="A825757" s="242"/>
    </row>
    <row r="825758" spans="1:1" x14ac:dyDescent="0.25">
      <c r="A825758" s="242"/>
    </row>
    <row r="825759" spans="1:1" x14ac:dyDescent="0.25">
      <c r="A825759" s="242"/>
    </row>
    <row r="825760" spans="1:1" x14ac:dyDescent="0.25">
      <c r="A825760" s="242"/>
    </row>
    <row r="825761" spans="1:1" x14ac:dyDescent="0.25">
      <c r="A825761" s="242"/>
    </row>
    <row r="825762" spans="1:1" x14ac:dyDescent="0.25">
      <c r="A825762" s="242"/>
    </row>
    <row r="825763" spans="1:1" x14ac:dyDescent="0.25">
      <c r="A825763" s="242"/>
    </row>
    <row r="825764" spans="1:1" x14ac:dyDescent="0.25">
      <c r="A825764" s="242"/>
    </row>
    <row r="825765" spans="1:1" x14ac:dyDescent="0.25">
      <c r="A825765" s="242"/>
    </row>
    <row r="825766" spans="1:1" x14ac:dyDescent="0.25">
      <c r="A825766" s="242"/>
    </row>
    <row r="825767" spans="1:1" x14ac:dyDescent="0.25">
      <c r="A825767" s="242"/>
    </row>
    <row r="825768" spans="1:1" x14ac:dyDescent="0.25">
      <c r="A825768" s="242"/>
    </row>
    <row r="825769" spans="1:1" x14ac:dyDescent="0.25">
      <c r="A825769" s="242"/>
    </row>
    <row r="825770" spans="1:1" x14ac:dyDescent="0.25">
      <c r="A825770" s="242"/>
    </row>
    <row r="825771" spans="1:1" x14ac:dyDescent="0.25">
      <c r="A825771" s="242"/>
    </row>
    <row r="825772" spans="1:1" x14ac:dyDescent="0.25">
      <c r="A825772" s="242"/>
    </row>
    <row r="825773" spans="1:1" x14ac:dyDescent="0.25">
      <c r="A825773" s="242"/>
    </row>
    <row r="825774" spans="1:1" x14ac:dyDescent="0.25">
      <c r="A825774" s="242"/>
    </row>
    <row r="825775" spans="1:1" x14ac:dyDescent="0.25">
      <c r="A825775" s="242"/>
    </row>
    <row r="825776" spans="1:1" x14ac:dyDescent="0.25">
      <c r="A825776" s="242"/>
    </row>
    <row r="825777" spans="1:1" x14ac:dyDescent="0.25">
      <c r="A825777" s="242"/>
    </row>
    <row r="825778" spans="1:1" x14ac:dyDescent="0.25">
      <c r="A825778" s="242"/>
    </row>
    <row r="825779" spans="1:1" x14ac:dyDescent="0.25">
      <c r="A825779" s="242"/>
    </row>
    <row r="825780" spans="1:1" x14ac:dyDescent="0.25">
      <c r="A825780" s="242"/>
    </row>
    <row r="825781" spans="1:1" x14ac:dyDescent="0.25">
      <c r="A825781" s="242"/>
    </row>
    <row r="825782" spans="1:1" x14ac:dyDescent="0.25">
      <c r="A825782" s="242"/>
    </row>
    <row r="825783" spans="1:1" x14ac:dyDescent="0.25">
      <c r="A825783" s="242"/>
    </row>
    <row r="825784" spans="1:1" x14ac:dyDescent="0.25">
      <c r="A825784" s="242"/>
    </row>
    <row r="825785" spans="1:1" x14ac:dyDescent="0.25">
      <c r="A825785" s="242"/>
    </row>
    <row r="825786" spans="1:1" x14ac:dyDescent="0.25">
      <c r="A825786" s="242"/>
    </row>
    <row r="825787" spans="1:1" x14ac:dyDescent="0.25">
      <c r="A825787" s="242"/>
    </row>
    <row r="825788" spans="1:1" x14ac:dyDescent="0.25">
      <c r="A825788" s="242"/>
    </row>
    <row r="825789" spans="1:1" x14ac:dyDescent="0.25">
      <c r="A825789" s="242"/>
    </row>
    <row r="825790" spans="1:1" x14ac:dyDescent="0.25">
      <c r="A825790" s="242"/>
    </row>
    <row r="825791" spans="1:1" x14ac:dyDescent="0.25">
      <c r="A825791" s="242"/>
    </row>
    <row r="825792" spans="1:1" x14ac:dyDescent="0.25">
      <c r="A825792" s="242"/>
    </row>
    <row r="825793" spans="1:1" x14ac:dyDescent="0.25">
      <c r="A825793" s="242"/>
    </row>
    <row r="825794" spans="1:1" x14ac:dyDescent="0.25">
      <c r="A825794" s="242"/>
    </row>
    <row r="825795" spans="1:1" x14ac:dyDescent="0.25">
      <c r="A825795" s="242"/>
    </row>
    <row r="825796" spans="1:1" x14ac:dyDescent="0.25">
      <c r="A825796" s="242"/>
    </row>
    <row r="825797" spans="1:1" x14ac:dyDescent="0.25">
      <c r="A825797" s="242"/>
    </row>
    <row r="825798" spans="1:1" x14ac:dyDescent="0.25">
      <c r="A825798" s="242"/>
    </row>
    <row r="825799" spans="1:1" x14ac:dyDescent="0.25">
      <c r="A825799" s="242"/>
    </row>
    <row r="825800" spans="1:1" x14ac:dyDescent="0.25">
      <c r="A825800" s="242"/>
    </row>
    <row r="825801" spans="1:1" x14ac:dyDescent="0.25">
      <c r="A825801" s="242"/>
    </row>
    <row r="825802" spans="1:1" x14ac:dyDescent="0.25">
      <c r="A825802" s="242"/>
    </row>
    <row r="825803" spans="1:1" x14ac:dyDescent="0.25">
      <c r="A825803" s="242"/>
    </row>
    <row r="825804" spans="1:1" x14ac:dyDescent="0.25">
      <c r="A825804" s="242"/>
    </row>
    <row r="825805" spans="1:1" x14ac:dyDescent="0.25">
      <c r="A825805" s="242"/>
    </row>
    <row r="825806" spans="1:1" x14ac:dyDescent="0.25">
      <c r="A825806" s="242"/>
    </row>
    <row r="825807" spans="1:1" x14ac:dyDescent="0.25">
      <c r="A825807" s="242"/>
    </row>
    <row r="825808" spans="1:1" x14ac:dyDescent="0.25">
      <c r="A825808" s="242"/>
    </row>
    <row r="825809" spans="1:1" x14ac:dyDescent="0.25">
      <c r="A825809" s="242"/>
    </row>
    <row r="825810" spans="1:1" x14ac:dyDescent="0.25">
      <c r="A825810" s="242"/>
    </row>
    <row r="825811" spans="1:1" x14ac:dyDescent="0.25">
      <c r="A825811" s="242"/>
    </row>
    <row r="825812" spans="1:1" x14ac:dyDescent="0.25">
      <c r="A825812" s="242"/>
    </row>
    <row r="825813" spans="1:1" x14ac:dyDescent="0.25">
      <c r="A825813" s="242"/>
    </row>
    <row r="825814" spans="1:1" x14ac:dyDescent="0.25">
      <c r="A825814" s="242"/>
    </row>
    <row r="825815" spans="1:1" x14ac:dyDescent="0.25">
      <c r="A825815" s="242"/>
    </row>
    <row r="825816" spans="1:1" x14ac:dyDescent="0.25">
      <c r="A825816" s="242"/>
    </row>
    <row r="825817" spans="1:1" x14ac:dyDescent="0.25">
      <c r="A825817" s="242"/>
    </row>
    <row r="825818" spans="1:1" x14ac:dyDescent="0.25">
      <c r="A825818" s="242"/>
    </row>
    <row r="825819" spans="1:1" x14ac:dyDescent="0.25">
      <c r="A825819" s="242"/>
    </row>
    <row r="825820" spans="1:1" x14ac:dyDescent="0.25">
      <c r="A825820" s="242"/>
    </row>
    <row r="825821" spans="1:1" x14ac:dyDescent="0.25">
      <c r="A825821" s="242"/>
    </row>
    <row r="825822" spans="1:1" x14ac:dyDescent="0.25">
      <c r="A825822" s="242"/>
    </row>
    <row r="825823" spans="1:1" x14ac:dyDescent="0.25">
      <c r="A825823" s="242"/>
    </row>
    <row r="825824" spans="1:1" x14ac:dyDescent="0.25">
      <c r="A825824" s="242"/>
    </row>
    <row r="825825" spans="1:1" x14ac:dyDescent="0.25">
      <c r="A825825" s="242"/>
    </row>
    <row r="825826" spans="1:1" x14ac:dyDescent="0.25">
      <c r="A825826" s="242"/>
    </row>
    <row r="825827" spans="1:1" x14ac:dyDescent="0.25">
      <c r="A825827" s="242"/>
    </row>
    <row r="825828" spans="1:1" x14ac:dyDescent="0.25">
      <c r="A825828" s="242"/>
    </row>
    <row r="825829" spans="1:1" x14ac:dyDescent="0.25">
      <c r="A825829" s="242"/>
    </row>
    <row r="825830" spans="1:1" x14ac:dyDescent="0.25">
      <c r="A825830" s="242"/>
    </row>
    <row r="825831" spans="1:1" x14ac:dyDescent="0.25">
      <c r="A825831" s="242"/>
    </row>
    <row r="825832" spans="1:1" x14ac:dyDescent="0.25">
      <c r="A825832" s="242"/>
    </row>
    <row r="825833" spans="1:1" x14ac:dyDescent="0.25">
      <c r="A825833" s="242"/>
    </row>
    <row r="825834" spans="1:1" x14ac:dyDescent="0.25">
      <c r="A825834" s="242"/>
    </row>
    <row r="825835" spans="1:1" x14ac:dyDescent="0.25">
      <c r="A825835" s="242"/>
    </row>
    <row r="825836" spans="1:1" x14ac:dyDescent="0.25">
      <c r="A825836" s="242"/>
    </row>
    <row r="825837" spans="1:1" x14ac:dyDescent="0.25">
      <c r="A825837" s="242"/>
    </row>
    <row r="825838" spans="1:1" x14ac:dyDescent="0.25">
      <c r="A825838" s="242"/>
    </row>
    <row r="825839" spans="1:1" x14ac:dyDescent="0.25">
      <c r="A825839" s="242"/>
    </row>
    <row r="825840" spans="1:1" x14ac:dyDescent="0.25">
      <c r="A825840" s="242"/>
    </row>
    <row r="825841" spans="1:1" x14ac:dyDescent="0.25">
      <c r="A825841" s="242"/>
    </row>
    <row r="825842" spans="1:1" x14ac:dyDescent="0.25">
      <c r="A825842" s="242"/>
    </row>
    <row r="825843" spans="1:1" x14ac:dyDescent="0.25">
      <c r="A825843" s="242"/>
    </row>
    <row r="825844" spans="1:1" x14ac:dyDescent="0.25">
      <c r="A825844" s="242"/>
    </row>
    <row r="825845" spans="1:1" x14ac:dyDescent="0.25">
      <c r="A825845" s="242"/>
    </row>
    <row r="825846" spans="1:1" x14ac:dyDescent="0.25">
      <c r="A825846" s="242"/>
    </row>
    <row r="825847" spans="1:1" x14ac:dyDescent="0.25">
      <c r="A825847" s="242"/>
    </row>
    <row r="825848" spans="1:1" x14ac:dyDescent="0.25">
      <c r="A825848" s="242"/>
    </row>
    <row r="825849" spans="1:1" x14ac:dyDescent="0.25">
      <c r="A825849" s="242"/>
    </row>
    <row r="825850" spans="1:1" x14ac:dyDescent="0.25">
      <c r="A825850" s="242"/>
    </row>
    <row r="825851" spans="1:1" x14ac:dyDescent="0.25">
      <c r="A825851" s="242"/>
    </row>
    <row r="825852" spans="1:1" x14ac:dyDescent="0.25">
      <c r="A825852" s="242"/>
    </row>
    <row r="825853" spans="1:1" x14ac:dyDescent="0.25">
      <c r="A825853" s="242"/>
    </row>
    <row r="825854" spans="1:1" x14ac:dyDescent="0.25">
      <c r="A825854" s="242"/>
    </row>
    <row r="825855" spans="1:1" x14ac:dyDescent="0.25">
      <c r="A825855" s="242"/>
    </row>
    <row r="825856" spans="1:1" x14ac:dyDescent="0.25">
      <c r="A825856" s="242"/>
    </row>
    <row r="825857" spans="1:1" x14ac:dyDescent="0.25">
      <c r="A825857" s="242"/>
    </row>
    <row r="825858" spans="1:1" x14ac:dyDescent="0.25">
      <c r="A825858" s="242"/>
    </row>
    <row r="825859" spans="1:1" x14ac:dyDescent="0.25">
      <c r="A825859" s="242"/>
    </row>
    <row r="825860" spans="1:1" x14ac:dyDescent="0.25">
      <c r="A825860" s="242"/>
    </row>
    <row r="825861" spans="1:1" x14ac:dyDescent="0.25">
      <c r="A825861" s="242"/>
    </row>
    <row r="825862" spans="1:1" x14ac:dyDescent="0.25">
      <c r="A825862" s="242"/>
    </row>
    <row r="825863" spans="1:1" x14ac:dyDescent="0.25">
      <c r="A825863" s="242"/>
    </row>
    <row r="825864" spans="1:1" x14ac:dyDescent="0.25">
      <c r="A825864" s="242"/>
    </row>
    <row r="825865" spans="1:1" x14ac:dyDescent="0.25">
      <c r="A825865" s="242"/>
    </row>
    <row r="825866" spans="1:1" x14ac:dyDescent="0.25">
      <c r="A825866" s="242"/>
    </row>
    <row r="825867" spans="1:1" x14ac:dyDescent="0.25">
      <c r="A825867" s="242"/>
    </row>
    <row r="825868" spans="1:1" x14ac:dyDescent="0.25">
      <c r="A825868" s="242"/>
    </row>
    <row r="825869" spans="1:1" x14ac:dyDescent="0.25">
      <c r="A825869" s="242"/>
    </row>
    <row r="825870" spans="1:1" x14ac:dyDescent="0.25">
      <c r="A825870" s="242"/>
    </row>
    <row r="825871" spans="1:1" x14ac:dyDescent="0.25">
      <c r="A825871" s="242"/>
    </row>
    <row r="825872" spans="1:1" x14ac:dyDescent="0.25">
      <c r="A825872" s="242"/>
    </row>
    <row r="825873" spans="1:1" x14ac:dyDescent="0.25">
      <c r="A825873" s="242"/>
    </row>
    <row r="825874" spans="1:1" x14ac:dyDescent="0.25">
      <c r="A825874" s="242"/>
    </row>
    <row r="825875" spans="1:1" x14ac:dyDescent="0.25">
      <c r="A825875" s="242"/>
    </row>
    <row r="825876" spans="1:1" x14ac:dyDescent="0.25">
      <c r="A825876" s="242"/>
    </row>
    <row r="825877" spans="1:1" x14ac:dyDescent="0.25">
      <c r="A825877" s="242"/>
    </row>
    <row r="825878" spans="1:1" x14ac:dyDescent="0.25">
      <c r="A825878" s="242"/>
    </row>
    <row r="825879" spans="1:1" x14ac:dyDescent="0.25">
      <c r="A825879" s="242"/>
    </row>
    <row r="825880" spans="1:1" x14ac:dyDescent="0.25">
      <c r="A825880" s="242"/>
    </row>
    <row r="825881" spans="1:1" x14ac:dyDescent="0.25">
      <c r="A825881" s="242"/>
    </row>
    <row r="825882" spans="1:1" x14ac:dyDescent="0.25">
      <c r="A825882" s="242"/>
    </row>
    <row r="825883" spans="1:1" x14ac:dyDescent="0.25">
      <c r="A825883" s="242"/>
    </row>
    <row r="825884" spans="1:1" x14ac:dyDescent="0.25">
      <c r="A825884" s="242"/>
    </row>
    <row r="825885" spans="1:1" x14ac:dyDescent="0.25">
      <c r="A825885" s="242"/>
    </row>
    <row r="825886" spans="1:1" x14ac:dyDescent="0.25">
      <c r="A825886" s="242"/>
    </row>
    <row r="825887" spans="1:1" x14ac:dyDescent="0.25">
      <c r="A825887" s="242"/>
    </row>
    <row r="825888" spans="1:1" x14ac:dyDescent="0.25">
      <c r="A825888" s="242"/>
    </row>
    <row r="825889" spans="1:1" x14ac:dyDescent="0.25">
      <c r="A825889" s="242"/>
    </row>
    <row r="825890" spans="1:1" x14ac:dyDescent="0.25">
      <c r="A825890" s="242"/>
    </row>
    <row r="825891" spans="1:1" x14ac:dyDescent="0.25">
      <c r="A825891" s="242"/>
    </row>
    <row r="825892" spans="1:1" x14ac:dyDescent="0.25">
      <c r="A825892" s="242"/>
    </row>
    <row r="825893" spans="1:1" x14ac:dyDescent="0.25">
      <c r="A825893" s="242"/>
    </row>
    <row r="825894" spans="1:1" x14ac:dyDescent="0.25">
      <c r="A825894" s="242"/>
    </row>
    <row r="825895" spans="1:1" x14ac:dyDescent="0.25">
      <c r="A825895" s="242"/>
    </row>
    <row r="825896" spans="1:1" x14ac:dyDescent="0.25">
      <c r="A825896" s="242"/>
    </row>
    <row r="825897" spans="1:1" x14ac:dyDescent="0.25">
      <c r="A825897" s="242"/>
    </row>
    <row r="825898" spans="1:1" x14ac:dyDescent="0.25">
      <c r="A825898" s="242"/>
    </row>
    <row r="825899" spans="1:1" x14ac:dyDescent="0.25">
      <c r="A825899" s="242"/>
    </row>
    <row r="825900" spans="1:1" x14ac:dyDescent="0.25">
      <c r="A825900" s="242"/>
    </row>
    <row r="825901" spans="1:1" x14ac:dyDescent="0.25">
      <c r="A825901" s="242"/>
    </row>
    <row r="825902" spans="1:1" x14ac:dyDescent="0.25">
      <c r="A825902" s="242"/>
    </row>
    <row r="825903" spans="1:1" x14ac:dyDescent="0.25">
      <c r="A825903" s="242"/>
    </row>
    <row r="825904" spans="1:1" x14ac:dyDescent="0.25">
      <c r="A825904" s="242"/>
    </row>
    <row r="825905" spans="1:1" x14ac:dyDescent="0.25">
      <c r="A825905" s="242"/>
    </row>
    <row r="825906" spans="1:1" x14ac:dyDescent="0.25">
      <c r="A825906" s="242"/>
    </row>
    <row r="825907" spans="1:1" x14ac:dyDescent="0.25">
      <c r="A825907" s="242"/>
    </row>
    <row r="825908" spans="1:1" x14ac:dyDescent="0.25">
      <c r="A825908" s="242"/>
    </row>
    <row r="825909" spans="1:1" x14ac:dyDescent="0.25">
      <c r="A825909" s="242"/>
    </row>
    <row r="825910" spans="1:1" x14ac:dyDescent="0.25">
      <c r="A825910" s="242"/>
    </row>
    <row r="825911" spans="1:1" x14ac:dyDescent="0.25">
      <c r="A825911" s="242"/>
    </row>
    <row r="825912" spans="1:1" x14ac:dyDescent="0.25">
      <c r="A825912" s="242"/>
    </row>
    <row r="825913" spans="1:1" x14ac:dyDescent="0.25">
      <c r="A825913" s="242"/>
    </row>
    <row r="825914" spans="1:1" x14ac:dyDescent="0.25">
      <c r="A825914" s="242"/>
    </row>
    <row r="825915" spans="1:1" x14ac:dyDescent="0.25">
      <c r="A825915" s="242"/>
    </row>
    <row r="825916" spans="1:1" x14ac:dyDescent="0.25">
      <c r="A825916" s="242"/>
    </row>
    <row r="825917" spans="1:1" x14ac:dyDescent="0.25">
      <c r="A825917" s="242"/>
    </row>
    <row r="825918" spans="1:1" x14ac:dyDescent="0.25">
      <c r="A825918" s="242"/>
    </row>
    <row r="825919" spans="1:1" x14ac:dyDescent="0.25">
      <c r="A825919" s="242"/>
    </row>
    <row r="825920" spans="1:1" x14ac:dyDescent="0.25">
      <c r="A825920" s="242"/>
    </row>
    <row r="825921" spans="1:1" x14ac:dyDescent="0.25">
      <c r="A825921" s="242"/>
    </row>
    <row r="825922" spans="1:1" x14ac:dyDescent="0.25">
      <c r="A825922" s="242"/>
    </row>
    <row r="825923" spans="1:1" x14ac:dyDescent="0.25">
      <c r="A825923" s="242"/>
    </row>
    <row r="825924" spans="1:1" x14ac:dyDescent="0.25">
      <c r="A825924" s="242"/>
    </row>
    <row r="825925" spans="1:1" x14ac:dyDescent="0.25">
      <c r="A825925" s="242"/>
    </row>
    <row r="825926" spans="1:1" x14ac:dyDescent="0.25">
      <c r="A825926" s="242"/>
    </row>
    <row r="825927" spans="1:1" x14ac:dyDescent="0.25">
      <c r="A825927" s="242"/>
    </row>
    <row r="825928" spans="1:1" x14ac:dyDescent="0.25">
      <c r="A825928" s="242"/>
    </row>
    <row r="825929" spans="1:1" x14ac:dyDescent="0.25">
      <c r="A825929" s="242"/>
    </row>
    <row r="825930" spans="1:1" x14ac:dyDescent="0.25">
      <c r="A825930" s="242"/>
    </row>
    <row r="825931" spans="1:1" x14ac:dyDescent="0.25">
      <c r="A825931" s="242"/>
    </row>
    <row r="825932" spans="1:1" x14ac:dyDescent="0.25">
      <c r="A825932" s="242"/>
    </row>
    <row r="825933" spans="1:1" x14ac:dyDescent="0.25">
      <c r="A825933" s="242"/>
    </row>
    <row r="825934" spans="1:1" x14ac:dyDescent="0.25">
      <c r="A825934" s="242"/>
    </row>
    <row r="825935" spans="1:1" x14ac:dyDescent="0.25">
      <c r="A825935" s="242"/>
    </row>
    <row r="825936" spans="1:1" x14ac:dyDescent="0.25">
      <c r="A825936" s="242"/>
    </row>
    <row r="825937" spans="1:1" x14ac:dyDescent="0.25">
      <c r="A825937" s="242"/>
    </row>
    <row r="825938" spans="1:1" x14ac:dyDescent="0.25">
      <c r="A825938" s="242"/>
    </row>
    <row r="825939" spans="1:1" x14ac:dyDescent="0.25">
      <c r="A825939" s="242"/>
    </row>
    <row r="825940" spans="1:1" x14ac:dyDescent="0.25">
      <c r="A825940" s="242"/>
    </row>
    <row r="825941" spans="1:1" x14ac:dyDescent="0.25">
      <c r="A825941" s="242"/>
    </row>
    <row r="825942" spans="1:1" x14ac:dyDescent="0.25">
      <c r="A825942" s="242"/>
    </row>
    <row r="825943" spans="1:1" x14ac:dyDescent="0.25">
      <c r="A825943" s="242"/>
    </row>
    <row r="825944" spans="1:1" x14ac:dyDescent="0.25">
      <c r="A825944" s="242"/>
    </row>
    <row r="825945" spans="1:1" x14ac:dyDescent="0.25">
      <c r="A825945" s="242"/>
    </row>
    <row r="825946" spans="1:1" x14ac:dyDescent="0.25">
      <c r="A825946" s="242"/>
    </row>
    <row r="825947" spans="1:1" x14ac:dyDescent="0.25">
      <c r="A825947" s="242"/>
    </row>
    <row r="825948" spans="1:1" x14ac:dyDescent="0.25">
      <c r="A825948" s="242"/>
    </row>
    <row r="825949" spans="1:1" x14ac:dyDescent="0.25">
      <c r="A825949" s="242"/>
    </row>
    <row r="825950" spans="1:1" x14ac:dyDescent="0.25">
      <c r="A825950" s="242"/>
    </row>
    <row r="825951" spans="1:1" x14ac:dyDescent="0.25">
      <c r="A825951" s="242"/>
    </row>
    <row r="825952" spans="1:1" x14ac:dyDescent="0.25">
      <c r="A825952" s="242"/>
    </row>
    <row r="825953" spans="1:1" x14ac:dyDescent="0.25">
      <c r="A825953" s="242"/>
    </row>
    <row r="825954" spans="1:1" x14ac:dyDescent="0.25">
      <c r="A825954" s="242"/>
    </row>
    <row r="825955" spans="1:1" x14ac:dyDescent="0.25">
      <c r="A825955" s="242"/>
    </row>
    <row r="825956" spans="1:1" x14ac:dyDescent="0.25">
      <c r="A825956" s="242"/>
    </row>
    <row r="825957" spans="1:1" x14ac:dyDescent="0.25">
      <c r="A825957" s="242"/>
    </row>
    <row r="825958" spans="1:1" x14ac:dyDescent="0.25">
      <c r="A825958" s="242"/>
    </row>
    <row r="825959" spans="1:1" x14ac:dyDescent="0.25">
      <c r="A825959" s="242"/>
    </row>
    <row r="825960" spans="1:1" x14ac:dyDescent="0.25">
      <c r="A825960" s="242"/>
    </row>
    <row r="825961" spans="1:1" x14ac:dyDescent="0.25">
      <c r="A825961" s="242"/>
    </row>
    <row r="825962" spans="1:1" x14ac:dyDescent="0.25">
      <c r="A825962" s="242"/>
    </row>
    <row r="825963" spans="1:1" x14ac:dyDescent="0.25">
      <c r="A825963" s="242"/>
    </row>
    <row r="825964" spans="1:1" x14ac:dyDescent="0.25">
      <c r="A825964" s="242"/>
    </row>
    <row r="825965" spans="1:1" x14ac:dyDescent="0.25">
      <c r="A825965" s="242"/>
    </row>
    <row r="825966" spans="1:1" x14ac:dyDescent="0.25">
      <c r="A825966" s="242"/>
    </row>
    <row r="825967" spans="1:1" x14ac:dyDescent="0.25">
      <c r="A825967" s="242"/>
    </row>
    <row r="825968" spans="1:1" x14ac:dyDescent="0.25">
      <c r="A825968" s="242"/>
    </row>
    <row r="825969" spans="1:1" x14ac:dyDescent="0.25">
      <c r="A825969" s="242"/>
    </row>
    <row r="825970" spans="1:1" x14ac:dyDescent="0.25">
      <c r="A825970" s="242"/>
    </row>
    <row r="825971" spans="1:1" x14ac:dyDescent="0.25">
      <c r="A825971" s="242"/>
    </row>
    <row r="825972" spans="1:1" x14ac:dyDescent="0.25">
      <c r="A825972" s="242"/>
    </row>
    <row r="825973" spans="1:1" x14ac:dyDescent="0.25">
      <c r="A825973" s="242"/>
    </row>
    <row r="825974" spans="1:1" x14ac:dyDescent="0.25">
      <c r="A825974" s="242"/>
    </row>
    <row r="825975" spans="1:1" x14ac:dyDescent="0.25">
      <c r="A825975" s="242"/>
    </row>
    <row r="825976" spans="1:1" x14ac:dyDescent="0.25">
      <c r="A825976" s="242"/>
    </row>
    <row r="825977" spans="1:1" x14ac:dyDescent="0.25">
      <c r="A825977" s="242"/>
    </row>
    <row r="825978" spans="1:1" x14ac:dyDescent="0.25">
      <c r="A825978" s="242"/>
    </row>
    <row r="825979" spans="1:1" x14ac:dyDescent="0.25">
      <c r="A825979" s="242"/>
    </row>
    <row r="825980" spans="1:1" x14ac:dyDescent="0.25">
      <c r="A825980" s="242"/>
    </row>
    <row r="825981" spans="1:1" x14ac:dyDescent="0.25">
      <c r="A825981" s="242"/>
    </row>
    <row r="825982" spans="1:1" x14ac:dyDescent="0.25">
      <c r="A825982" s="242"/>
    </row>
    <row r="825983" spans="1:1" x14ac:dyDescent="0.25">
      <c r="A825983" s="242"/>
    </row>
    <row r="825984" spans="1:1" x14ac:dyDescent="0.25">
      <c r="A825984" s="242"/>
    </row>
    <row r="825985" spans="1:1" x14ac:dyDescent="0.25">
      <c r="A825985" s="242"/>
    </row>
    <row r="825986" spans="1:1" x14ac:dyDescent="0.25">
      <c r="A825986" s="242"/>
    </row>
    <row r="825987" spans="1:1" x14ac:dyDescent="0.25">
      <c r="A825987" s="242"/>
    </row>
    <row r="825988" spans="1:1" x14ac:dyDescent="0.25">
      <c r="A825988" s="242"/>
    </row>
    <row r="825989" spans="1:1" x14ac:dyDescent="0.25">
      <c r="A825989" s="242"/>
    </row>
    <row r="825990" spans="1:1" x14ac:dyDescent="0.25">
      <c r="A825990" s="242"/>
    </row>
    <row r="825991" spans="1:1" x14ac:dyDescent="0.25">
      <c r="A825991" s="242"/>
    </row>
    <row r="825992" spans="1:1" x14ac:dyDescent="0.25">
      <c r="A825992" s="242"/>
    </row>
    <row r="825993" spans="1:1" x14ac:dyDescent="0.25">
      <c r="A825993" s="242"/>
    </row>
    <row r="825994" spans="1:1" x14ac:dyDescent="0.25">
      <c r="A825994" s="242"/>
    </row>
    <row r="825995" spans="1:1" x14ac:dyDescent="0.25">
      <c r="A825995" s="242"/>
    </row>
    <row r="825996" spans="1:1" x14ac:dyDescent="0.25">
      <c r="A825996" s="242"/>
    </row>
    <row r="825997" spans="1:1" x14ac:dyDescent="0.25">
      <c r="A825997" s="242"/>
    </row>
    <row r="825998" spans="1:1" x14ac:dyDescent="0.25">
      <c r="A825998" s="242"/>
    </row>
    <row r="825999" spans="1:1" x14ac:dyDescent="0.25">
      <c r="A825999" s="242"/>
    </row>
    <row r="826000" spans="1:1" x14ac:dyDescent="0.25">
      <c r="A826000" s="242"/>
    </row>
    <row r="826001" spans="1:1" x14ac:dyDescent="0.25">
      <c r="A826001" s="242"/>
    </row>
    <row r="826002" spans="1:1" x14ac:dyDescent="0.25">
      <c r="A826002" s="242"/>
    </row>
    <row r="826003" spans="1:1" x14ac:dyDescent="0.25">
      <c r="A826003" s="242"/>
    </row>
    <row r="826004" spans="1:1" x14ac:dyDescent="0.25">
      <c r="A826004" s="242"/>
    </row>
    <row r="826005" spans="1:1" x14ac:dyDescent="0.25">
      <c r="A826005" s="242"/>
    </row>
    <row r="826006" spans="1:1" x14ac:dyDescent="0.25">
      <c r="A826006" s="242"/>
    </row>
    <row r="826007" spans="1:1" x14ac:dyDescent="0.25">
      <c r="A826007" s="242"/>
    </row>
    <row r="826008" spans="1:1" x14ac:dyDescent="0.25">
      <c r="A826008" s="242"/>
    </row>
    <row r="826009" spans="1:1" x14ac:dyDescent="0.25">
      <c r="A826009" s="242"/>
    </row>
    <row r="826010" spans="1:1" x14ac:dyDescent="0.25">
      <c r="A826010" s="242"/>
    </row>
    <row r="826011" spans="1:1" x14ac:dyDescent="0.25">
      <c r="A826011" s="242"/>
    </row>
    <row r="826012" spans="1:1" x14ac:dyDescent="0.25">
      <c r="A826012" s="242"/>
    </row>
    <row r="826013" spans="1:1" x14ac:dyDescent="0.25">
      <c r="A826013" s="242"/>
    </row>
    <row r="826014" spans="1:1" x14ac:dyDescent="0.25">
      <c r="A826014" s="242"/>
    </row>
    <row r="826015" spans="1:1" x14ac:dyDescent="0.25">
      <c r="A826015" s="242"/>
    </row>
    <row r="826016" spans="1:1" x14ac:dyDescent="0.25">
      <c r="A826016" s="242"/>
    </row>
    <row r="826017" spans="1:1" x14ac:dyDescent="0.25">
      <c r="A826017" s="242"/>
    </row>
    <row r="826018" spans="1:1" x14ac:dyDescent="0.25">
      <c r="A826018" s="242"/>
    </row>
    <row r="826019" spans="1:1" x14ac:dyDescent="0.25">
      <c r="A826019" s="242"/>
    </row>
    <row r="826020" spans="1:1" x14ac:dyDescent="0.25">
      <c r="A826020" s="242"/>
    </row>
    <row r="826021" spans="1:1" x14ac:dyDescent="0.25">
      <c r="A826021" s="242"/>
    </row>
    <row r="826022" spans="1:1" x14ac:dyDescent="0.25">
      <c r="A826022" s="242"/>
    </row>
    <row r="826023" spans="1:1" x14ac:dyDescent="0.25">
      <c r="A826023" s="242"/>
    </row>
    <row r="826024" spans="1:1" x14ac:dyDescent="0.25">
      <c r="A826024" s="242"/>
    </row>
    <row r="826025" spans="1:1" x14ac:dyDescent="0.25">
      <c r="A826025" s="242"/>
    </row>
    <row r="826026" spans="1:1" x14ac:dyDescent="0.25">
      <c r="A826026" s="242"/>
    </row>
    <row r="826027" spans="1:1" x14ac:dyDescent="0.25">
      <c r="A826027" s="242"/>
    </row>
    <row r="826028" spans="1:1" x14ac:dyDescent="0.25">
      <c r="A826028" s="242"/>
    </row>
    <row r="826029" spans="1:1" x14ac:dyDescent="0.25">
      <c r="A826029" s="242"/>
    </row>
    <row r="826030" spans="1:1" x14ac:dyDescent="0.25">
      <c r="A826030" s="242"/>
    </row>
    <row r="826031" spans="1:1" x14ac:dyDescent="0.25">
      <c r="A826031" s="242"/>
    </row>
    <row r="826032" spans="1:1" x14ac:dyDescent="0.25">
      <c r="A826032" s="242"/>
    </row>
    <row r="826033" spans="1:1" x14ac:dyDescent="0.25">
      <c r="A826033" s="242"/>
    </row>
    <row r="826034" spans="1:1" x14ac:dyDescent="0.25">
      <c r="A826034" s="242"/>
    </row>
    <row r="826035" spans="1:1" x14ac:dyDescent="0.25">
      <c r="A826035" s="242"/>
    </row>
    <row r="826036" spans="1:1" x14ac:dyDescent="0.25">
      <c r="A826036" s="242"/>
    </row>
    <row r="826037" spans="1:1" x14ac:dyDescent="0.25">
      <c r="A826037" s="242"/>
    </row>
    <row r="826038" spans="1:1" x14ac:dyDescent="0.25">
      <c r="A826038" s="242"/>
    </row>
    <row r="826039" spans="1:1" x14ac:dyDescent="0.25">
      <c r="A826039" s="242"/>
    </row>
    <row r="826040" spans="1:1" x14ac:dyDescent="0.25">
      <c r="A826040" s="242"/>
    </row>
    <row r="826041" spans="1:1" x14ac:dyDescent="0.25">
      <c r="A826041" s="242"/>
    </row>
    <row r="826042" spans="1:1" x14ac:dyDescent="0.25">
      <c r="A826042" s="242"/>
    </row>
    <row r="826043" spans="1:1" x14ac:dyDescent="0.25">
      <c r="A826043" s="242"/>
    </row>
    <row r="826044" spans="1:1" x14ac:dyDescent="0.25">
      <c r="A826044" s="242"/>
    </row>
    <row r="826045" spans="1:1" x14ac:dyDescent="0.25">
      <c r="A826045" s="242"/>
    </row>
    <row r="826046" spans="1:1" x14ac:dyDescent="0.25">
      <c r="A826046" s="242"/>
    </row>
    <row r="826047" spans="1:1" x14ac:dyDescent="0.25">
      <c r="A826047" s="242"/>
    </row>
    <row r="826048" spans="1:1" x14ac:dyDescent="0.25">
      <c r="A826048" s="242"/>
    </row>
    <row r="826049" spans="1:1" x14ac:dyDescent="0.25">
      <c r="A826049" s="242"/>
    </row>
    <row r="826050" spans="1:1" x14ac:dyDescent="0.25">
      <c r="A826050" s="242"/>
    </row>
    <row r="826051" spans="1:1" x14ac:dyDescent="0.25">
      <c r="A826051" s="242"/>
    </row>
    <row r="826052" spans="1:1" x14ac:dyDescent="0.25">
      <c r="A826052" s="242"/>
    </row>
    <row r="826053" spans="1:1" x14ac:dyDescent="0.25">
      <c r="A826053" s="242"/>
    </row>
    <row r="826054" spans="1:1" x14ac:dyDescent="0.25">
      <c r="A826054" s="242"/>
    </row>
    <row r="826055" spans="1:1" x14ac:dyDescent="0.25">
      <c r="A826055" s="242"/>
    </row>
    <row r="826056" spans="1:1" x14ac:dyDescent="0.25">
      <c r="A826056" s="242"/>
    </row>
    <row r="826057" spans="1:1" x14ac:dyDescent="0.25">
      <c r="A826057" s="242"/>
    </row>
    <row r="826058" spans="1:1" x14ac:dyDescent="0.25">
      <c r="A826058" s="242"/>
    </row>
    <row r="826059" spans="1:1" x14ac:dyDescent="0.25">
      <c r="A826059" s="242"/>
    </row>
    <row r="826060" spans="1:1" x14ac:dyDescent="0.25">
      <c r="A826060" s="242"/>
    </row>
    <row r="826061" spans="1:1" x14ac:dyDescent="0.25">
      <c r="A826061" s="242"/>
    </row>
    <row r="826062" spans="1:1" x14ac:dyDescent="0.25">
      <c r="A826062" s="242"/>
    </row>
    <row r="826063" spans="1:1" x14ac:dyDescent="0.25">
      <c r="A826063" s="242"/>
    </row>
    <row r="826064" spans="1:1" x14ac:dyDescent="0.25">
      <c r="A826064" s="242"/>
    </row>
    <row r="826065" spans="1:1" x14ac:dyDescent="0.25">
      <c r="A826065" s="242"/>
    </row>
    <row r="826066" spans="1:1" x14ac:dyDescent="0.25">
      <c r="A826066" s="242"/>
    </row>
    <row r="826067" spans="1:1" x14ac:dyDescent="0.25">
      <c r="A826067" s="242"/>
    </row>
    <row r="826068" spans="1:1" x14ac:dyDescent="0.25">
      <c r="A826068" s="242"/>
    </row>
    <row r="826069" spans="1:1" x14ac:dyDescent="0.25">
      <c r="A826069" s="242"/>
    </row>
    <row r="826070" spans="1:1" x14ac:dyDescent="0.25">
      <c r="A826070" s="242"/>
    </row>
    <row r="826071" spans="1:1" x14ac:dyDescent="0.25">
      <c r="A826071" s="242"/>
    </row>
    <row r="826072" spans="1:1" x14ac:dyDescent="0.25">
      <c r="A826072" s="242"/>
    </row>
    <row r="826073" spans="1:1" x14ac:dyDescent="0.25">
      <c r="A826073" s="242"/>
    </row>
    <row r="826074" spans="1:1" x14ac:dyDescent="0.25">
      <c r="A826074" s="242"/>
    </row>
    <row r="826075" spans="1:1" x14ac:dyDescent="0.25">
      <c r="A826075" s="242"/>
    </row>
    <row r="826076" spans="1:1" x14ac:dyDescent="0.25">
      <c r="A826076" s="242"/>
    </row>
    <row r="826077" spans="1:1" x14ac:dyDescent="0.25">
      <c r="A826077" s="242"/>
    </row>
    <row r="826078" spans="1:1" x14ac:dyDescent="0.25">
      <c r="A826078" s="242"/>
    </row>
    <row r="826079" spans="1:1" x14ac:dyDescent="0.25">
      <c r="A826079" s="242"/>
    </row>
    <row r="826080" spans="1:1" x14ac:dyDescent="0.25">
      <c r="A826080" s="242"/>
    </row>
    <row r="826081" spans="1:1" x14ac:dyDescent="0.25">
      <c r="A826081" s="242"/>
    </row>
    <row r="826082" spans="1:1" x14ac:dyDescent="0.25">
      <c r="A826082" s="242"/>
    </row>
    <row r="826083" spans="1:1" x14ac:dyDescent="0.25">
      <c r="A826083" s="242"/>
    </row>
    <row r="826084" spans="1:1" x14ac:dyDescent="0.25">
      <c r="A826084" s="242"/>
    </row>
    <row r="826085" spans="1:1" x14ac:dyDescent="0.25">
      <c r="A826085" s="242"/>
    </row>
    <row r="826086" spans="1:1" x14ac:dyDescent="0.25">
      <c r="A826086" s="242"/>
    </row>
    <row r="826087" spans="1:1" x14ac:dyDescent="0.25">
      <c r="A826087" s="242"/>
    </row>
    <row r="826088" spans="1:1" x14ac:dyDescent="0.25">
      <c r="A826088" s="242"/>
    </row>
    <row r="826089" spans="1:1" x14ac:dyDescent="0.25">
      <c r="A826089" s="242"/>
    </row>
    <row r="826090" spans="1:1" x14ac:dyDescent="0.25">
      <c r="A826090" s="242"/>
    </row>
    <row r="826091" spans="1:1" x14ac:dyDescent="0.25">
      <c r="A826091" s="242"/>
    </row>
    <row r="826092" spans="1:1" x14ac:dyDescent="0.25">
      <c r="A826092" s="242"/>
    </row>
    <row r="826093" spans="1:1" x14ac:dyDescent="0.25">
      <c r="A826093" s="242"/>
    </row>
    <row r="826094" spans="1:1" x14ac:dyDescent="0.25">
      <c r="A826094" s="242"/>
    </row>
    <row r="826095" spans="1:1" x14ac:dyDescent="0.25">
      <c r="A826095" s="242"/>
    </row>
    <row r="826096" spans="1:1" x14ac:dyDescent="0.25">
      <c r="A826096" s="242"/>
    </row>
    <row r="826097" spans="1:1" x14ac:dyDescent="0.25">
      <c r="A826097" s="242"/>
    </row>
    <row r="826098" spans="1:1" x14ac:dyDescent="0.25">
      <c r="A826098" s="242"/>
    </row>
    <row r="826099" spans="1:1" x14ac:dyDescent="0.25">
      <c r="A826099" s="242"/>
    </row>
    <row r="826100" spans="1:1" x14ac:dyDescent="0.25">
      <c r="A826100" s="242"/>
    </row>
    <row r="826101" spans="1:1" x14ac:dyDescent="0.25">
      <c r="A826101" s="242"/>
    </row>
    <row r="826102" spans="1:1" x14ac:dyDescent="0.25">
      <c r="A826102" s="242"/>
    </row>
    <row r="826103" spans="1:1" x14ac:dyDescent="0.25">
      <c r="A826103" s="242"/>
    </row>
    <row r="826104" spans="1:1" x14ac:dyDescent="0.25">
      <c r="A826104" s="242"/>
    </row>
    <row r="826105" spans="1:1" x14ac:dyDescent="0.25">
      <c r="A826105" s="242"/>
    </row>
    <row r="826106" spans="1:1" x14ac:dyDescent="0.25">
      <c r="A826106" s="242"/>
    </row>
    <row r="826107" spans="1:1" x14ac:dyDescent="0.25">
      <c r="A826107" s="242"/>
    </row>
    <row r="826108" spans="1:1" x14ac:dyDescent="0.25">
      <c r="A826108" s="242"/>
    </row>
    <row r="826109" spans="1:1" x14ac:dyDescent="0.25">
      <c r="A826109" s="242"/>
    </row>
    <row r="826110" spans="1:1" x14ac:dyDescent="0.25">
      <c r="A826110" s="242"/>
    </row>
    <row r="826111" spans="1:1" x14ac:dyDescent="0.25">
      <c r="A826111" s="242"/>
    </row>
    <row r="826112" spans="1:1" x14ac:dyDescent="0.25">
      <c r="A826112" s="242"/>
    </row>
    <row r="826113" spans="1:1" x14ac:dyDescent="0.25">
      <c r="A826113" s="242"/>
    </row>
    <row r="826114" spans="1:1" x14ac:dyDescent="0.25">
      <c r="A826114" s="242"/>
    </row>
    <row r="826115" spans="1:1" x14ac:dyDescent="0.25">
      <c r="A826115" s="242"/>
    </row>
    <row r="826116" spans="1:1" x14ac:dyDescent="0.25">
      <c r="A826116" s="242"/>
    </row>
    <row r="826117" spans="1:1" x14ac:dyDescent="0.25">
      <c r="A826117" s="242"/>
    </row>
    <row r="826118" spans="1:1" x14ac:dyDescent="0.25">
      <c r="A826118" s="242"/>
    </row>
    <row r="826119" spans="1:1" x14ac:dyDescent="0.25">
      <c r="A826119" s="242"/>
    </row>
    <row r="826120" spans="1:1" x14ac:dyDescent="0.25">
      <c r="A826120" s="242"/>
    </row>
    <row r="826121" spans="1:1" x14ac:dyDescent="0.25">
      <c r="A826121" s="242"/>
    </row>
    <row r="826122" spans="1:1" x14ac:dyDescent="0.25">
      <c r="A826122" s="242"/>
    </row>
    <row r="826123" spans="1:1" x14ac:dyDescent="0.25">
      <c r="A826123" s="242"/>
    </row>
    <row r="826124" spans="1:1" x14ac:dyDescent="0.25">
      <c r="A826124" s="242"/>
    </row>
    <row r="826125" spans="1:1" x14ac:dyDescent="0.25">
      <c r="A826125" s="242"/>
    </row>
    <row r="826126" spans="1:1" x14ac:dyDescent="0.25">
      <c r="A826126" s="242"/>
    </row>
    <row r="826127" spans="1:1" x14ac:dyDescent="0.25">
      <c r="A826127" s="242"/>
    </row>
    <row r="826128" spans="1:1" x14ac:dyDescent="0.25">
      <c r="A826128" s="242"/>
    </row>
    <row r="826129" spans="1:1" x14ac:dyDescent="0.25">
      <c r="A826129" s="242"/>
    </row>
    <row r="826130" spans="1:1" x14ac:dyDescent="0.25">
      <c r="A826130" s="242"/>
    </row>
    <row r="826131" spans="1:1" x14ac:dyDescent="0.25">
      <c r="A826131" s="242"/>
    </row>
    <row r="826132" spans="1:1" x14ac:dyDescent="0.25">
      <c r="A826132" s="242"/>
    </row>
    <row r="826133" spans="1:1" x14ac:dyDescent="0.25">
      <c r="A826133" s="242"/>
    </row>
    <row r="826134" spans="1:1" x14ac:dyDescent="0.25">
      <c r="A826134" s="242"/>
    </row>
    <row r="826135" spans="1:1" x14ac:dyDescent="0.25">
      <c r="A826135" s="242"/>
    </row>
    <row r="826136" spans="1:1" x14ac:dyDescent="0.25">
      <c r="A826136" s="242"/>
    </row>
    <row r="826137" spans="1:1" x14ac:dyDescent="0.25">
      <c r="A826137" s="242"/>
    </row>
    <row r="826138" spans="1:1" x14ac:dyDescent="0.25">
      <c r="A826138" s="242"/>
    </row>
    <row r="826139" spans="1:1" x14ac:dyDescent="0.25">
      <c r="A826139" s="242"/>
    </row>
    <row r="826140" spans="1:1" x14ac:dyDescent="0.25">
      <c r="A826140" s="242"/>
    </row>
    <row r="826141" spans="1:1" x14ac:dyDescent="0.25">
      <c r="A826141" s="242"/>
    </row>
    <row r="826142" spans="1:1" x14ac:dyDescent="0.25">
      <c r="A826142" s="242"/>
    </row>
    <row r="826143" spans="1:1" x14ac:dyDescent="0.25">
      <c r="A826143" s="242"/>
    </row>
    <row r="826144" spans="1:1" x14ac:dyDescent="0.25">
      <c r="A826144" s="242"/>
    </row>
    <row r="826145" spans="1:1" x14ac:dyDescent="0.25">
      <c r="A826145" s="242"/>
    </row>
    <row r="826146" spans="1:1" x14ac:dyDescent="0.25">
      <c r="A826146" s="242"/>
    </row>
    <row r="826147" spans="1:1" x14ac:dyDescent="0.25">
      <c r="A826147" s="242"/>
    </row>
    <row r="826148" spans="1:1" x14ac:dyDescent="0.25">
      <c r="A826148" s="242"/>
    </row>
    <row r="826149" spans="1:1" x14ac:dyDescent="0.25">
      <c r="A826149" s="242"/>
    </row>
    <row r="826150" spans="1:1" x14ac:dyDescent="0.25">
      <c r="A826150" s="242"/>
    </row>
    <row r="826151" spans="1:1" x14ac:dyDescent="0.25">
      <c r="A826151" s="242"/>
    </row>
    <row r="826152" spans="1:1" x14ac:dyDescent="0.25">
      <c r="A826152" s="242"/>
    </row>
    <row r="826153" spans="1:1" x14ac:dyDescent="0.25">
      <c r="A826153" s="242"/>
    </row>
    <row r="826154" spans="1:1" x14ac:dyDescent="0.25">
      <c r="A826154" s="242"/>
    </row>
    <row r="826155" spans="1:1" x14ac:dyDescent="0.25">
      <c r="A826155" s="242"/>
    </row>
    <row r="826156" spans="1:1" x14ac:dyDescent="0.25">
      <c r="A826156" s="242"/>
    </row>
    <row r="826157" spans="1:1" x14ac:dyDescent="0.25">
      <c r="A826157" s="242"/>
    </row>
    <row r="826158" spans="1:1" x14ac:dyDescent="0.25">
      <c r="A826158" s="242"/>
    </row>
    <row r="826159" spans="1:1" x14ac:dyDescent="0.25">
      <c r="A826159" s="242"/>
    </row>
    <row r="826160" spans="1:1" x14ac:dyDescent="0.25">
      <c r="A826160" s="242"/>
    </row>
    <row r="826161" spans="1:1" x14ac:dyDescent="0.25">
      <c r="A826161" s="242"/>
    </row>
    <row r="826162" spans="1:1" x14ac:dyDescent="0.25">
      <c r="A826162" s="242"/>
    </row>
    <row r="826163" spans="1:1" x14ac:dyDescent="0.25">
      <c r="A826163" s="242"/>
    </row>
    <row r="826164" spans="1:1" x14ac:dyDescent="0.25">
      <c r="A826164" s="242"/>
    </row>
    <row r="826165" spans="1:1" x14ac:dyDescent="0.25">
      <c r="A826165" s="242"/>
    </row>
    <row r="826166" spans="1:1" x14ac:dyDescent="0.25">
      <c r="A826166" s="242"/>
    </row>
    <row r="826167" spans="1:1" x14ac:dyDescent="0.25">
      <c r="A826167" s="242"/>
    </row>
    <row r="826168" spans="1:1" x14ac:dyDescent="0.25">
      <c r="A826168" s="242"/>
    </row>
    <row r="826169" spans="1:1" x14ac:dyDescent="0.25">
      <c r="A826169" s="242"/>
    </row>
    <row r="826170" spans="1:1" x14ac:dyDescent="0.25">
      <c r="A826170" s="242"/>
    </row>
    <row r="826171" spans="1:1" x14ac:dyDescent="0.25">
      <c r="A826171" s="242"/>
    </row>
    <row r="826172" spans="1:1" x14ac:dyDescent="0.25">
      <c r="A826172" s="242"/>
    </row>
    <row r="826173" spans="1:1" x14ac:dyDescent="0.25">
      <c r="A826173" s="242"/>
    </row>
    <row r="826174" spans="1:1" x14ac:dyDescent="0.25">
      <c r="A826174" s="242"/>
    </row>
    <row r="826175" spans="1:1" x14ac:dyDescent="0.25">
      <c r="A826175" s="242"/>
    </row>
    <row r="826176" spans="1:1" x14ac:dyDescent="0.25">
      <c r="A826176" s="242"/>
    </row>
    <row r="826177" spans="1:1" x14ac:dyDescent="0.25">
      <c r="A826177" s="242"/>
    </row>
    <row r="826178" spans="1:1" x14ac:dyDescent="0.25">
      <c r="A826178" s="242"/>
    </row>
    <row r="826179" spans="1:1" x14ac:dyDescent="0.25">
      <c r="A826179" s="242"/>
    </row>
    <row r="826180" spans="1:1" x14ac:dyDescent="0.25">
      <c r="A826180" s="242"/>
    </row>
    <row r="826181" spans="1:1" x14ac:dyDescent="0.25">
      <c r="A826181" s="242"/>
    </row>
    <row r="826182" spans="1:1" x14ac:dyDescent="0.25">
      <c r="A826182" s="242"/>
    </row>
    <row r="826183" spans="1:1" x14ac:dyDescent="0.25">
      <c r="A826183" s="242"/>
    </row>
    <row r="826184" spans="1:1" x14ac:dyDescent="0.25">
      <c r="A826184" s="242"/>
    </row>
    <row r="826185" spans="1:1" x14ac:dyDescent="0.25">
      <c r="A826185" s="242"/>
    </row>
    <row r="826186" spans="1:1" x14ac:dyDescent="0.25">
      <c r="A826186" s="242"/>
    </row>
    <row r="826187" spans="1:1" x14ac:dyDescent="0.25">
      <c r="A826187" s="242"/>
    </row>
    <row r="826188" spans="1:1" x14ac:dyDescent="0.25">
      <c r="A826188" s="242"/>
    </row>
    <row r="826189" spans="1:1" x14ac:dyDescent="0.25">
      <c r="A826189" s="242"/>
    </row>
    <row r="826190" spans="1:1" x14ac:dyDescent="0.25">
      <c r="A826190" s="242"/>
    </row>
    <row r="826191" spans="1:1" x14ac:dyDescent="0.25">
      <c r="A826191" s="242"/>
    </row>
    <row r="826192" spans="1:1" x14ac:dyDescent="0.25">
      <c r="A826192" s="242"/>
    </row>
    <row r="826193" spans="1:1" x14ac:dyDescent="0.25">
      <c r="A826193" s="242"/>
    </row>
    <row r="826194" spans="1:1" x14ac:dyDescent="0.25">
      <c r="A826194" s="242"/>
    </row>
    <row r="826195" spans="1:1" x14ac:dyDescent="0.25">
      <c r="A826195" s="242"/>
    </row>
    <row r="826196" spans="1:1" x14ac:dyDescent="0.25">
      <c r="A826196" s="242"/>
    </row>
    <row r="826197" spans="1:1" x14ac:dyDescent="0.25">
      <c r="A826197" s="242"/>
    </row>
    <row r="826198" spans="1:1" x14ac:dyDescent="0.25">
      <c r="A826198" s="242"/>
    </row>
    <row r="826199" spans="1:1" x14ac:dyDescent="0.25">
      <c r="A826199" s="242"/>
    </row>
    <row r="826200" spans="1:1" x14ac:dyDescent="0.25">
      <c r="A826200" s="242"/>
    </row>
    <row r="826201" spans="1:1" x14ac:dyDescent="0.25">
      <c r="A826201" s="242"/>
    </row>
    <row r="826202" spans="1:1" x14ac:dyDescent="0.25">
      <c r="A826202" s="242"/>
    </row>
    <row r="826203" spans="1:1" x14ac:dyDescent="0.25">
      <c r="A826203" s="242"/>
    </row>
    <row r="826204" spans="1:1" x14ac:dyDescent="0.25">
      <c r="A826204" s="242"/>
    </row>
    <row r="826205" spans="1:1" x14ac:dyDescent="0.25">
      <c r="A826205" s="242"/>
    </row>
    <row r="826206" spans="1:1" x14ac:dyDescent="0.25">
      <c r="A826206" s="242"/>
    </row>
    <row r="826207" spans="1:1" x14ac:dyDescent="0.25">
      <c r="A826207" s="242"/>
    </row>
    <row r="826208" spans="1:1" x14ac:dyDescent="0.25">
      <c r="A826208" s="242"/>
    </row>
    <row r="826209" spans="1:1" x14ac:dyDescent="0.25">
      <c r="A826209" s="242"/>
    </row>
    <row r="826210" spans="1:1" x14ac:dyDescent="0.25">
      <c r="A826210" s="242"/>
    </row>
    <row r="826211" spans="1:1" x14ac:dyDescent="0.25">
      <c r="A826211" s="242"/>
    </row>
    <row r="826212" spans="1:1" x14ac:dyDescent="0.25">
      <c r="A826212" s="242"/>
    </row>
    <row r="826213" spans="1:1" x14ac:dyDescent="0.25">
      <c r="A826213" s="242"/>
    </row>
    <row r="826214" spans="1:1" x14ac:dyDescent="0.25">
      <c r="A826214" s="242"/>
    </row>
    <row r="826215" spans="1:1" x14ac:dyDescent="0.25">
      <c r="A826215" s="242"/>
    </row>
    <row r="826216" spans="1:1" x14ac:dyDescent="0.25">
      <c r="A826216" s="242"/>
    </row>
    <row r="826217" spans="1:1" x14ac:dyDescent="0.25">
      <c r="A826217" s="242"/>
    </row>
    <row r="826218" spans="1:1" x14ac:dyDescent="0.25">
      <c r="A826218" s="242"/>
    </row>
    <row r="826219" spans="1:1" x14ac:dyDescent="0.25">
      <c r="A826219" s="242"/>
    </row>
    <row r="826220" spans="1:1" x14ac:dyDescent="0.25">
      <c r="A826220" s="242"/>
    </row>
    <row r="826221" spans="1:1" x14ac:dyDescent="0.25">
      <c r="A826221" s="242"/>
    </row>
    <row r="826222" spans="1:1" x14ac:dyDescent="0.25">
      <c r="A826222" s="242"/>
    </row>
    <row r="826223" spans="1:1" x14ac:dyDescent="0.25">
      <c r="A826223" s="242"/>
    </row>
    <row r="826224" spans="1:1" x14ac:dyDescent="0.25">
      <c r="A826224" s="242"/>
    </row>
    <row r="826225" spans="1:1" x14ac:dyDescent="0.25">
      <c r="A826225" s="242"/>
    </row>
    <row r="826226" spans="1:1" x14ac:dyDescent="0.25">
      <c r="A826226" s="242"/>
    </row>
    <row r="826227" spans="1:1" x14ac:dyDescent="0.25">
      <c r="A826227" s="242"/>
    </row>
    <row r="826228" spans="1:1" x14ac:dyDescent="0.25">
      <c r="A826228" s="242"/>
    </row>
    <row r="826229" spans="1:1" x14ac:dyDescent="0.25">
      <c r="A826229" s="242"/>
    </row>
    <row r="826230" spans="1:1" x14ac:dyDescent="0.25">
      <c r="A826230" s="242"/>
    </row>
    <row r="826231" spans="1:1" x14ac:dyDescent="0.25">
      <c r="A826231" s="242"/>
    </row>
    <row r="826232" spans="1:1" x14ac:dyDescent="0.25">
      <c r="A826232" s="242"/>
    </row>
    <row r="826233" spans="1:1" x14ac:dyDescent="0.25">
      <c r="A826233" s="242"/>
    </row>
    <row r="826234" spans="1:1" x14ac:dyDescent="0.25">
      <c r="A826234" s="242"/>
    </row>
    <row r="826235" spans="1:1" x14ac:dyDescent="0.25">
      <c r="A826235" s="242"/>
    </row>
    <row r="826236" spans="1:1" x14ac:dyDescent="0.25">
      <c r="A826236" s="242"/>
    </row>
    <row r="826237" spans="1:1" x14ac:dyDescent="0.25">
      <c r="A826237" s="242"/>
    </row>
    <row r="826238" spans="1:1" x14ac:dyDescent="0.25">
      <c r="A826238" s="242"/>
    </row>
    <row r="826239" spans="1:1" x14ac:dyDescent="0.25">
      <c r="A826239" s="242"/>
    </row>
    <row r="826240" spans="1:1" x14ac:dyDescent="0.25">
      <c r="A826240" s="242"/>
    </row>
    <row r="826241" spans="1:1" x14ac:dyDescent="0.25">
      <c r="A826241" s="242"/>
    </row>
    <row r="826242" spans="1:1" x14ac:dyDescent="0.25">
      <c r="A826242" s="242"/>
    </row>
    <row r="826243" spans="1:1" x14ac:dyDescent="0.25">
      <c r="A826243" s="242"/>
    </row>
    <row r="826244" spans="1:1" x14ac:dyDescent="0.25">
      <c r="A826244" s="242"/>
    </row>
    <row r="826245" spans="1:1" x14ac:dyDescent="0.25">
      <c r="A826245" s="242"/>
    </row>
    <row r="826246" spans="1:1" x14ac:dyDescent="0.25">
      <c r="A826246" s="242"/>
    </row>
    <row r="826247" spans="1:1" x14ac:dyDescent="0.25">
      <c r="A826247" s="242"/>
    </row>
    <row r="826248" spans="1:1" x14ac:dyDescent="0.25">
      <c r="A826248" s="242"/>
    </row>
    <row r="826249" spans="1:1" x14ac:dyDescent="0.25">
      <c r="A826249" s="242"/>
    </row>
    <row r="826250" spans="1:1" x14ac:dyDescent="0.25">
      <c r="A826250" s="242"/>
    </row>
    <row r="826251" spans="1:1" x14ac:dyDescent="0.25">
      <c r="A826251" s="242"/>
    </row>
    <row r="826252" spans="1:1" x14ac:dyDescent="0.25">
      <c r="A826252" s="242"/>
    </row>
    <row r="826253" spans="1:1" x14ac:dyDescent="0.25">
      <c r="A826253" s="242"/>
    </row>
    <row r="826254" spans="1:1" x14ac:dyDescent="0.25">
      <c r="A826254" s="242"/>
    </row>
    <row r="826255" spans="1:1" x14ac:dyDescent="0.25">
      <c r="A826255" s="242"/>
    </row>
    <row r="826256" spans="1:1" x14ac:dyDescent="0.25">
      <c r="A826256" s="242"/>
    </row>
    <row r="826257" spans="1:1" x14ac:dyDescent="0.25">
      <c r="A826257" s="242"/>
    </row>
    <row r="826258" spans="1:1" x14ac:dyDescent="0.25">
      <c r="A826258" s="242"/>
    </row>
    <row r="826259" spans="1:1" x14ac:dyDescent="0.25">
      <c r="A826259" s="242"/>
    </row>
    <row r="826260" spans="1:1" x14ac:dyDescent="0.25">
      <c r="A826260" s="242"/>
    </row>
    <row r="826261" spans="1:1" x14ac:dyDescent="0.25">
      <c r="A826261" s="242"/>
    </row>
    <row r="826262" spans="1:1" x14ac:dyDescent="0.25">
      <c r="A826262" s="242"/>
    </row>
    <row r="826263" spans="1:1" x14ac:dyDescent="0.25">
      <c r="A826263" s="242"/>
    </row>
    <row r="826264" spans="1:1" x14ac:dyDescent="0.25">
      <c r="A826264" s="242"/>
    </row>
    <row r="826265" spans="1:1" x14ac:dyDescent="0.25">
      <c r="A826265" s="242"/>
    </row>
    <row r="826266" spans="1:1" x14ac:dyDescent="0.25">
      <c r="A826266" s="242"/>
    </row>
    <row r="826267" spans="1:1" x14ac:dyDescent="0.25">
      <c r="A826267" s="242"/>
    </row>
    <row r="826268" spans="1:1" x14ac:dyDescent="0.25">
      <c r="A826268" s="242"/>
    </row>
    <row r="826269" spans="1:1" x14ac:dyDescent="0.25">
      <c r="A826269" s="242"/>
    </row>
    <row r="826270" spans="1:1" x14ac:dyDescent="0.25">
      <c r="A826270" s="242"/>
    </row>
    <row r="826271" spans="1:1" x14ac:dyDescent="0.25">
      <c r="A826271" s="242"/>
    </row>
    <row r="826272" spans="1:1" x14ac:dyDescent="0.25">
      <c r="A826272" s="242"/>
    </row>
    <row r="826273" spans="1:1" x14ac:dyDescent="0.25">
      <c r="A826273" s="242"/>
    </row>
    <row r="826274" spans="1:1" x14ac:dyDescent="0.25">
      <c r="A826274" s="242"/>
    </row>
    <row r="826275" spans="1:1" x14ac:dyDescent="0.25">
      <c r="A826275" s="242"/>
    </row>
    <row r="826276" spans="1:1" x14ac:dyDescent="0.25">
      <c r="A826276" s="242"/>
    </row>
    <row r="826277" spans="1:1" x14ac:dyDescent="0.25">
      <c r="A826277" s="242"/>
    </row>
    <row r="826278" spans="1:1" x14ac:dyDescent="0.25">
      <c r="A826278" s="242"/>
    </row>
    <row r="826279" spans="1:1" x14ac:dyDescent="0.25">
      <c r="A826279" s="242"/>
    </row>
    <row r="826280" spans="1:1" x14ac:dyDescent="0.25">
      <c r="A826280" s="242"/>
    </row>
    <row r="826281" spans="1:1" x14ac:dyDescent="0.25">
      <c r="A826281" s="242"/>
    </row>
    <row r="826282" spans="1:1" x14ac:dyDescent="0.25">
      <c r="A826282" s="242"/>
    </row>
    <row r="826283" spans="1:1" x14ac:dyDescent="0.25">
      <c r="A826283" s="242"/>
    </row>
    <row r="826284" spans="1:1" x14ac:dyDescent="0.25">
      <c r="A826284" s="242"/>
    </row>
    <row r="826285" spans="1:1" x14ac:dyDescent="0.25">
      <c r="A826285" s="242"/>
    </row>
    <row r="826286" spans="1:1" x14ac:dyDescent="0.25">
      <c r="A826286" s="242"/>
    </row>
    <row r="826287" spans="1:1" x14ac:dyDescent="0.25">
      <c r="A826287" s="242"/>
    </row>
    <row r="826288" spans="1:1" x14ac:dyDescent="0.25">
      <c r="A826288" s="242"/>
    </row>
    <row r="826289" spans="1:1" x14ac:dyDescent="0.25">
      <c r="A826289" s="242"/>
    </row>
    <row r="826290" spans="1:1" x14ac:dyDescent="0.25">
      <c r="A826290" s="242"/>
    </row>
    <row r="826291" spans="1:1" x14ac:dyDescent="0.25">
      <c r="A826291" s="242"/>
    </row>
    <row r="826292" spans="1:1" x14ac:dyDescent="0.25">
      <c r="A826292" s="242"/>
    </row>
    <row r="826293" spans="1:1" x14ac:dyDescent="0.25">
      <c r="A826293" s="242"/>
    </row>
    <row r="826294" spans="1:1" x14ac:dyDescent="0.25">
      <c r="A826294" s="242"/>
    </row>
    <row r="826295" spans="1:1" x14ac:dyDescent="0.25">
      <c r="A826295" s="242"/>
    </row>
    <row r="826296" spans="1:1" x14ac:dyDescent="0.25">
      <c r="A826296" s="242"/>
    </row>
    <row r="826297" spans="1:1" x14ac:dyDescent="0.25">
      <c r="A826297" s="242"/>
    </row>
    <row r="826298" spans="1:1" x14ac:dyDescent="0.25">
      <c r="A826298" s="242"/>
    </row>
    <row r="826299" spans="1:1" x14ac:dyDescent="0.25">
      <c r="A826299" s="242"/>
    </row>
    <row r="826300" spans="1:1" x14ac:dyDescent="0.25">
      <c r="A826300" s="242"/>
    </row>
    <row r="826301" spans="1:1" x14ac:dyDescent="0.25">
      <c r="A826301" s="242"/>
    </row>
    <row r="826302" spans="1:1" x14ac:dyDescent="0.25">
      <c r="A826302" s="242"/>
    </row>
    <row r="826303" spans="1:1" x14ac:dyDescent="0.25">
      <c r="A826303" s="242"/>
    </row>
    <row r="826304" spans="1:1" x14ac:dyDescent="0.25">
      <c r="A826304" s="242"/>
    </row>
    <row r="826305" spans="1:1" x14ac:dyDescent="0.25">
      <c r="A826305" s="242"/>
    </row>
    <row r="826306" spans="1:1" x14ac:dyDescent="0.25">
      <c r="A826306" s="242"/>
    </row>
    <row r="826307" spans="1:1" x14ac:dyDescent="0.25">
      <c r="A826307" s="242"/>
    </row>
    <row r="826308" spans="1:1" x14ac:dyDescent="0.25">
      <c r="A826308" s="242"/>
    </row>
    <row r="826309" spans="1:1" x14ac:dyDescent="0.25">
      <c r="A826309" s="242"/>
    </row>
    <row r="826310" spans="1:1" x14ac:dyDescent="0.25">
      <c r="A826310" s="242"/>
    </row>
    <row r="826311" spans="1:1" x14ac:dyDescent="0.25">
      <c r="A826311" s="242"/>
    </row>
    <row r="826312" spans="1:1" x14ac:dyDescent="0.25">
      <c r="A826312" s="242"/>
    </row>
    <row r="826313" spans="1:1" x14ac:dyDescent="0.25">
      <c r="A826313" s="242"/>
    </row>
    <row r="826314" spans="1:1" x14ac:dyDescent="0.25">
      <c r="A826314" s="242"/>
    </row>
    <row r="826315" spans="1:1" x14ac:dyDescent="0.25">
      <c r="A826315" s="242"/>
    </row>
    <row r="826316" spans="1:1" x14ac:dyDescent="0.25">
      <c r="A826316" s="242"/>
    </row>
    <row r="826317" spans="1:1" x14ac:dyDescent="0.25">
      <c r="A826317" s="242"/>
    </row>
    <row r="826318" spans="1:1" x14ac:dyDescent="0.25">
      <c r="A826318" s="242"/>
    </row>
    <row r="826319" spans="1:1" x14ac:dyDescent="0.25">
      <c r="A826319" s="242"/>
    </row>
    <row r="826320" spans="1:1" x14ac:dyDescent="0.25">
      <c r="A826320" s="242"/>
    </row>
    <row r="826321" spans="1:1" x14ac:dyDescent="0.25">
      <c r="A826321" s="242"/>
    </row>
    <row r="826322" spans="1:1" x14ac:dyDescent="0.25">
      <c r="A826322" s="242"/>
    </row>
    <row r="826323" spans="1:1" x14ac:dyDescent="0.25">
      <c r="A826323" s="242"/>
    </row>
    <row r="826324" spans="1:1" x14ac:dyDescent="0.25">
      <c r="A826324" s="242"/>
    </row>
    <row r="826325" spans="1:1" x14ac:dyDescent="0.25">
      <c r="A826325" s="242"/>
    </row>
    <row r="826326" spans="1:1" x14ac:dyDescent="0.25">
      <c r="A826326" s="242"/>
    </row>
    <row r="826327" spans="1:1" x14ac:dyDescent="0.25">
      <c r="A826327" s="242"/>
    </row>
    <row r="826328" spans="1:1" x14ac:dyDescent="0.25">
      <c r="A826328" s="242"/>
    </row>
    <row r="826329" spans="1:1" x14ac:dyDescent="0.25">
      <c r="A826329" s="242"/>
    </row>
    <row r="826330" spans="1:1" x14ac:dyDescent="0.25">
      <c r="A826330" s="242"/>
    </row>
    <row r="826331" spans="1:1" x14ac:dyDescent="0.25">
      <c r="A826331" s="242"/>
    </row>
    <row r="826332" spans="1:1" x14ac:dyDescent="0.25">
      <c r="A826332" s="242"/>
    </row>
    <row r="826333" spans="1:1" x14ac:dyDescent="0.25">
      <c r="A826333" s="242"/>
    </row>
    <row r="826334" spans="1:1" x14ac:dyDescent="0.25">
      <c r="A826334" s="242"/>
    </row>
    <row r="826335" spans="1:1" x14ac:dyDescent="0.25">
      <c r="A826335" s="242"/>
    </row>
    <row r="826336" spans="1:1" x14ac:dyDescent="0.25">
      <c r="A826336" s="242"/>
    </row>
    <row r="826337" spans="1:1" x14ac:dyDescent="0.25">
      <c r="A826337" s="242"/>
    </row>
    <row r="826338" spans="1:1" x14ac:dyDescent="0.25">
      <c r="A826338" s="242"/>
    </row>
    <row r="826339" spans="1:1" x14ac:dyDescent="0.25">
      <c r="A826339" s="242"/>
    </row>
    <row r="826340" spans="1:1" x14ac:dyDescent="0.25">
      <c r="A826340" s="242"/>
    </row>
    <row r="826341" spans="1:1" x14ac:dyDescent="0.25">
      <c r="A826341" s="242"/>
    </row>
    <row r="826342" spans="1:1" x14ac:dyDescent="0.25">
      <c r="A826342" s="242"/>
    </row>
    <row r="826343" spans="1:1" x14ac:dyDescent="0.25">
      <c r="A826343" s="242"/>
    </row>
    <row r="826344" spans="1:1" x14ac:dyDescent="0.25">
      <c r="A826344" s="242"/>
    </row>
    <row r="826345" spans="1:1" x14ac:dyDescent="0.25">
      <c r="A826345" s="242"/>
    </row>
    <row r="826346" spans="1:1" x14ac:dyDescent="0.25">
      <c r="A826346" s="242"/>
    </row>
    <row r="826347" spans="1:1" x14ac:dyDescent="0.25">
      <c r="A826347" s="242"/>
    </row>
    <row r="826348" spans="1:1" x14ac:dyDescent="0.25">
      <c r="A826348" s="242"/>
    </row>
    <row r="826349" spans="1:1" x14ac:dyDescent="0.25">
      <c r="A826349" s="242"/>
    </row>
    <row r="826350" spans="1:1" x14ac:dyDescent="0.25">
      <c r="A826350" s="242"/>
    </row>
    <row r="826351" spans="1:1" x14ac:dyDescent="0.25">
      <c r="A826351" s="242"/>
    </row>
    <row r="826352" spans="1:1" x14ac:dyDescent="0.25">
      <c r="A826352" s="242"/>
    </row>
    <row r="826353" spans="1:1" x14ac:dyDescent="0.25">
      <c r="A826353" s="242"/>
    </row>
    <row r="826354" spans="1:1" x14ac:dyDescent="0.25">
      <c r="A826354" s="242"/>
    </row>
    <row r="826355" spans="1:1" x14ac:dyDescent="0.25">
      <c r="A826355" s="242"/>
    </row>
    <row r="826356" spans="1:1" x14ac:dyDescent="0.25">
      <c r="A826356" s="242"/>
    </row>
    <row r="826357" spans="1:1" x14ac:dyDescent="0.25">
      <c r="A826357" s="242"/>
    </row>
    <row r="826358" spans="1:1" x14ac:dyDescent="0.25">
      <c r="A826358" s="242"/>
    </row>
    <row r="826359" spans="1:1" x14ac:dyDescent="0.25">
      <c r="A826359" s="242"/>
    </row>
    <row r="826360" spans="1:1" x14ac:dyDescent="0.25">
      <c r="A826360" s="242"/>
    </row>
    <row r="826361" spans="1:1" x14ac:dyDescent="0.25">
      <c r="A826361" s="242"/>
    </row>
    <row r="826362" spans="1:1" x14ac:dyDescent="0.25">
      <c r="A826362" s="242"/>
    </row>
    <row r="826363" spans="1:1" x14ac:dyDescent="0.25">
      <c r="A826363" s="242"/>
    </row>
    <row r="826364" spans="1:1" x14ac:dyDescent="0.25">
      <c r="A826364" s="242"/>
    </row>
    <row r="826365" spans="1:1" x14ac:dyDescent="0.25">
      <c r="A826365" s="242"/>
    </row>
    <row r="826366" spans="1:1" x14ac:dyDescent="0.25">
      <c r="A826366" s="242"/>
    </row>
    <row r="826367" spans="1:1" x14ac:dyDescent="0.25">
      <c r="A826367" s="242"/>
    </row>
    <row r="826368" spans="1:1" x14ac:dyDescent="0.25">
      <c r="A826368" s="242"/>
    </row>
    <row r="826369" spans="1:1" x14ac:dyDescent="0.25">
      <c r="A826369" s="242"/>
    </row>
    <row r="826370" spans="1:1" x14ac:dyDescent="0.25">
      <c r="A826370" s="242"/>
    </row>
    <row r="826371" spans="1:1" x14ac:dyDescent="0.25">
      <c r="A826371" s="242"/>
    </row>
    <row r="826372" spans="1:1" x14ac:dyDescent="0.25">
      <c r="A826372" s="242"/>
    </row>
    <row r="826373" spans="1:1" x14ac:dyDescent="0.25">
      <c r="A826373" s="242"/>
    </row>
    <row r="826374" spans="1:1" x14ac:dyDescent="0.25">
      <c r="A826374" s="242"/>
    </row>
    <row r="826375" spans="1:1" x14ac:dyDescent="0.25">
      <c r="A826375" s="242"/>
    </row>
    <row r="826376" spans="1:1" x14ac:dyDescent="0.25">
      <c r="A826376" s="242"/>
    </row>
    <row r="826377" spans="1:1" x14ac:dyDescent="0.25">
      <c r="A826377" s="242"/>
    </row>
    <row r="826378" spans="1:1" x14ac:dyDescent="0.25">
      <c r="A826378" s="242"/>
    </row>
    <row r="826379" spans="1:1" x14ac:dyDescent="0.25">
      <c r="A826379" s="242"/>
    </row>
    <row r="826380" spans="1:1" x14ac:dyDescent="0.25">
      <c r="A826380" s="242"/>
    </row>
    <row r="826381" spans="1:1" x14ac:dyDescent="0.25">
      <c r="A826381" s="242"/>
    </row>
    <row r="826382" spans="1:1" x14ac:dyDescent="0.25">
      <c r="A826382" s="242"/>
    </row>
    <row r="826383" spans="1:1" x14ac:dyDescent="0.25">
      <c r="A826383" s="242"/>
    </row>
    <row r="826384" spans="1:1" x14ac:dyDescent="0.25">
      <c r="A826384" s="242"/>
    </row>
    <row r="826385" spans="1:1" x14ac:dyDescent="0.25">
      <c r="A826385" s="242"/>
    </row>
    <row r="826386" spans="1:1" x14ac:dyDescent="0.25">
      <c r="A826386" s="242"/>
    </row>
    <row r="826387" spans="1:1" x14ac:dyDescent="0.25">
      <c r="A826387" s="242"/>
    </row>
    <row r="826388" spans="1:1" x14ac:dyDescent="0.25">
      <c r="A826388" s="242"/>
    </row>
    <row r="826389" spans="1:1" x14ac:dyDescent="0.25">
      <c r="A826389" s="242"/>
    </row>
    <row r="826390" spans="1:1" x14ac:dyDescent="0.25">
      <c r="A826390" s="242"/>
    </row>
    <row r="826391" spans="1:1" x14ac:dyDescent="0.25">
      <c r="A826391" s="242"/>
    </row>
    <row r="826392" spans="1:1" x14ac:dyDescent="0.25">
      <c r="A826392" s="242"/>
    </row>
    <row r="826393" spans="1:1" x14ac:dyDescent="0.25">
      <c r="A826393" s="242"/>
    </row>
    <row r="826394" spans="1:1" x14ac:dyDescent="0.25">
      <c r="A826394" s="242"/>
    </row>
    <row r="826395" spans="1:1" x14ac:dyDescent="0.25">
      <c r="A826395" s="242"/>
    </row>
    <row r="826396" spans="1:1" x14ac:dyDescent="0.25">
      <c r="A826396" s="242"/>
    </row>
    <row r="826397" spans="1:1" x14ac:dyDescent="0.25">
      <c r="A826397" s="242"/>
    </row>
    <row r="826398" spans="1:1" x14ac:dyDescent="0.25">
      <c r="A826398" s="242"/>
    </row>
    <row r="826399" spans="1:1" x14ac:dyDescent="0.25">
      <c r="A826399" s="242"/>
    </row>
    <row r="826400" spans="1:1" x14ac:dyDescent="0.25">
      <c r="A826400" s="242"/>
    </row>
    <row r="826401" spans="1:1" x14ac:dyDescent="0.25">
      <c r="A826401" s="242"/>
    </row>
    <row r="826402" spans="1:1" x14ac:dyDescent="0.25">
      <c r="A826402" s="242"/>
    </row>
    <row r="826403" spans="1:1" x14ac:dyDescent="0.25">
      <c r="A826403" s="242"/>
    </row>
    <row r="826404" spans="1:1" x14ac:dyDescent="0.25">
      <c r="A826404" s="242"/>
    </row>
    <row r="826405" spans="1:1" x14ac:dyDescent="0.25">
      <c r="A826405" s="242"/>
    </row>
    <row r="826406" spans="1:1" x14ac:dyDescent="0.25">
      <c r="A826406" s="242"/>
    </row>
    <row r="826407" spans="1:1" x14ac:dyDescent="0.25">
      <c r="A826407" s="242"/>
    </row>
    <row r="826408" spans="1:1" x14ac:dyDescent="0.25">
      <c r="A826408" s="242"/>
    </row>
    <row r="826409" spans="1:1" x14ac:dyDescent="0.25">
      <c r="A826409" s="242"/>
    </row>
    <row r="826410" spans="1:1" x14ac:dyDescent="0.25">
      <c r="A826410" s="242"/>
    </row>
    <row r="826411" spans="1:1" x14ac:dyDescent="0.25">
      <c r="A826411" s="242"/>
    </row>
    <row r="826412" spans="1:1" x14ac:dyDescent="0.25">
      <c r="A826412" s="242"/>
    </row>
    <row r="826413" spans="1:1" x14ac:dyDescent="0.25">
      <c r="A826413" s="242"/>
    </row>
    <row r="826414" spans="1:1" x14ac:dyDescent="0.25">
      <c r="A826414" s="242"/>
    </row>
    <row r="826415" spans="1:1" x14ac:dyDescent="0.25">
      <c r="A826415" s="242"/>
    </row>
    <row r="826416" spans="1:1" x14ac:dyDescent="0.25">
      <c r="A826416" s="242"/>
    </row>
    <row r="826417" spans="1:1" x14ac:dyDescent="0.25">
      <c r="A826417" s="242"/>
    </row>
    <row r="826418" spans="1:1" x14ac:dyDescent="0.25">
      <c r="A826418" s="242"/>
    </row>
    <row r="826419" spans="1:1" x14ac:dyDescent="0.25">
      <c r="A826419" s="242"/>
    </row>
    <row r="826420" spans="1:1" x14ac:dyDescent="0.25">
      <c r="A826420" s="242"/>
    </row>
    <row r="826421" spans="1:1" x14ac:dyDescent="0.25">
      <c r="A826421" s="242"/>
    </row>
    <row r="826422" spans="1:1" x14ac:dyDescent="0.25">
      <c r="A826422" s="242"/>
    </row>
    <row r="826423" spans="1:1" x14ac:dyDescent="0.25">
      <c r="A826423" s="242"/>
    </row>
    <row r="826424" spans="1:1" x14ac:dyDescent="0.25">
      <c r="A826424" s="242"/>
    </row>
    <row r="826425" spans="1:1" x14ac:dyDescent="0.25">
      <c r="A826425" s="242"/>
    </row>
    <row r="826426" spans="1:1" x14ac:dyDescent="0.25">
      <c r="A826426" s="242"/>
    </row>
    <row r="826427" spans="1:1" x14ac:dyDescent="0.25">
      <c r="A826427" s="242"/>
    </row>
    <row r="826428" spans="1:1" x14ac:dyDescent="0.25">
      <c r="A826428" s="242"/>
    </row>
    <row r="826429" spans="1:1" x14ac:dyDescent="0.25">
      <c r="A826429" s="242"/>
    </row>
    <row r="826430" spans="1:1" x14ac:dyDescent="0.25">
      <c r="A826430" s="242"/>
    </row>
    <row r="826431" spans="1:1" x14ac:dyDescent="0.25">
      <c r="A826431" s="242"/>
    </row>
    <row r="826432" spans="1:1" x14ac:dyDescent="0.25">
      <c r="A826432" s="242"/>
    </row>
    <row r="826433" spans="1:1" x14ac:dyDescent="0.25">
      <c r="A826433" s="242"/>
    </row>
    <row r="826434" spans="1:1" x14ac:dyDescent="0.25">
      <c r="A826434" s="242"/>
    </row>
    <row r="826435" spans="1:1" x14ac:dyDescent="0.25">
      <c r="A826435" s="242"/>
    </row>
    <row r="826436" spans="1:1" x14ac:dyDescent="0.25">
      <c r="A826436" s="242"/>
    </row>
    <row r="826437" spans="1:1" x14ac:dyDescent="0.25">
      <c r="A826437" s="242"/>
    </row>
    <row r="826438" spans="1:1" x14ac:dyDescent="0.25">
      <c r="A826438" s="242"/>
    </row>
    <row r="826439" spans="1:1" x14ac:dyDescent="0.25">
      <c r="A826439" s="242"/>
    </row>
    <row r="826440" spans="1:1" x14ac:dyDescent="0.25">
      <c r="A826440" s="242"/>
    </row>
    <row r="826441" spans="1:1" x14ac:dyDescent="0.25">
      <c r="A826441" s="242"/>
    </row>
    <row r="826442" spans="1:1" x14ac:dyDescent="0.25">
      <c r="A826442" s="242"/>
    </row>
    <row r="826443" spans="1:1" x14ac:dyDescent="0.25">
      <c r="A826443" s="242"/>
    </row>
    <row r="826444" spans="1:1" x14ac:dyDescent="0.25">
      <c r="A826444" s="242"/>
    </row>
    <row r="826445" spans="1:1" x14ac:dyDescent="0.25">
      <c r="A826445" s="242"/>
    </row>
    <row r="826446" spans="1:1" x14ac:dyDescent="0.25">
      <c r="A826446" s="242"/>
    </row>
    <row r="826447" spans="1:1" x14ac:dyDescent="0.25">
      <c r="A826447" s="242"/>
    </row>
    <row r="826448" spans="1:1" x14ac:dyDescent="0.25">
      <c r="A826448" s="242"/>
    </row>
    <row r="826449" spans="1:1" x14ac:dyDescent="0.25">
      <c r="A826449" s="242"/>
    </row>
    <row r="826450" spans="1:1" x14ac:dyDescent="0.25">
      <c r="A826450" s="242"/>
    </row>
    <row r="826451" spans="1:1" x14ac:dyDescent="0.25">
      <c r="A826451" s="242"/>
    </row>
    <row r="826452" spans="1:1" x14ac:dyDescent="0.25">
      <c r="A826452" s="242"/>
    </row>
    <row r="826453" spans="1:1" x14ac:dyDescent="0.25">
      <c r="A826453" s="242"/>
    </row>
    <row r="826454" spans="1:1" x14ac:dyDescent="0.25">
      <c r="A826454" s="242"/>
    </row>
    <row r="826455" spans="1:1" x14ac:dyDescent="0.25">
      <c r="A826455" s="242"/>
    </row>
    <row r="826456" spans="1:1" x14ac:dyDescent="0.25">
      <c r="A826456" s="242"/>
    </row>
    <row r="826457" spans="1:1" x14ac:dyDescent="0.25">
      <c r="A826457" s="242"/>
    </row>
    <row r="826458" spans="1:1" x14ac:dyDescent="0.25">
      <c r="A826458" s="242"/>
    </row>
    <row r="826459" spans="1:1" x14ac:dyDescent="0.25">
      <c r="A826459" s="242"/>
    </row>
    <row r="826460" spans="1:1" x14ac:dyDescent="0.25">
      <c r="A826460" s="242"/>
    </row>
    <row r="826461" spans="1:1" x14ac:dyDescent="0.25">
      <c r="A826461" s="242"/>
    </row>
    <row r="826462" spans="1:1" x14ac:dyDescent="0.25">
      <c r="A826462" s="242"/>
    </row>
    <row r="826463" spans="1:1" x14ac:dyDescent="0.25">
      <c r="A826463" s="242"/>
    </row>
    <row r="826464" spans="1:1" x14ac:dyDescent="0.25">
      <c r="A826464" s="242"/>
    </row>
    <row r="826465" spans="1:1" x14ac:dyDescent="0.25">
      <c r="A826465" s="242"/>
    </row>
    <row r="826466" spans="1:1" x14ac:dyDescent="0.25">
      <c r="A826466" s="242"/>
    </row>
    <row r="826467" spans="1:1" x14ac:dyDescent="0.25">
      <c r="A826467" s="242"/>
    </row>
    <row r="826468" spans="1:1" x14ac:dyDescent="0.25">
      <c r="A826468" s="242"/>
    </row>
    <row r="826469" spans="1:1" x14ac:dyDescent="0.25">
      <c r="A826469" s="242"/>
    </row>
    <row r="826470" spans="1:1" x14ac:dyDescent="0.25">
      <c r="A826470" s="242"/>
    </row>
    <row r="826471" spans="1:1" x14ac:dyDescent="0.25">
      <c r="A826471" s="242"/>
    </row>
    <row r="826472" spans="1:1" x14ac:dyDescent="0.25">
      <c r="A826472" s="242"/>
    </row>
    <row r="826473" spans="1:1" x14ac:dyDescent="0.25">
      <c r="A826473" s="242"/>
    </row>
    <row r="826474" spans="1:1" x14ac:dyDescent="0.25">
      <c r="A826474" s="242"/>
    </row>
    <row r="826475" spans="1:1" x14ac:dyDescent="0.25">
      <c r="A826475" s="242"/>
    </row>
    <row r="826476" spans="1:1" x14ac:dyDescent="0.25">
      <c r="A826476" s="242"/>
    </row>
    <row r="826477" spans="1:1" x14ac:dyDescent="0.25">
      <c r="A826477" s="242"/>
    </row>
    <row r="826478" spans="1:1" x14ac:dyDescent="0.25">
      <c r="A826478" s="242"/>
    </row>
    <row r="826479" spans="1:1" x14ac:dyDescent="0.25">
      <c r="A826479" s="242"/>
    </row>
    <row r="826480" spans="1:1" x14ac:dyDescent="0.25">
      <c r="A826480" s="242"/>
    </row>
    <row r="826481" spans="1:1" x14ac:dyDescent="0.25">
      <c r="A826481" s="242"/>
    </row>
    <row r="826482" spans="1:1" x14ac:dyDescent="0.25">
      <c r="A826482" s="242"/>
    </row>
    <row r="826483" spans="1:1" x14ac:dyDescent="0.25">
      <c r="A826483" s="242"/>
    </row>
    <row r="826484" spans="1:1" x14ac:dyDescent="0.25">
      <c r="A826484" s="242"/>
    </row>
    <row r="826485" spans="1:1" x14ac:dyDescent="0.25">
      <c r="A826485" s="242"/>
    </row>
    <row r="826486" spans="1:1" x14ac:dyDescent="0.25">
      <c r="A826486" s="242"/>
    </row>
    <row r="826487" spans="1:1" x14ac:dyDescent="0.25">
      <c r="A826487" s="242"/>
    </row>
    <row r="826488" spans="1:1" x14ac:dyDescent="0.25">
      <c r="A826488" s="242"/>
    </row>
    <row r="826489" spans="1:1" x14ac:dyDescent="0.25">
      <c r="A826489" s="242"/>
    </row>
    <row r="826490" spans="1:1" x14ac:dyDescent="0.25">
      <c r="A826490" s="242"/>
    </row>
    <row r="826491" spans="1:1" x14ac:dyDescent="0.25">
      <c r="A826491" s="242"/>
    </row>
    <row r="826492" spans="1:1" x14ac:dyDescent="0.25">
      <c r="A826492" s="242"/>
    </row>
    <row r="826493" spans="1:1" x14ac:dyDescent="0.25">
      <c r="A826493" s="242"/>
    </row>
    <row r="826494" spans="1:1" x14ac:dyDescent="0.25">
      <c r="A826494" s="242"/>
    </row>
    <row r="826495" spans="1:1" x14ac:dyDescent="0.25">
      <c r="A826495" s="242"/>
    </row>
    <row r="826496" spans="1:1" x14ac:dyDescent="0.25">
      <c r="A826496" s="242"/>
    </row>
    <row r="826497" spans="1:1" x14ac:dyDescent="0.25">
      <c r="A826497" s="242"/>
    </row>
    <row r="826498" spans="1:1" x14ac:dyDescent="0.25">
      <c r="A826498" s="242"/>
    </row>
    <row r="826499" spans="1:1" x14ac:dyDescent="0.25">
      <c r="A826499" s="242"/>
    </row>
    <row r="826500" spans="1:1" x14ac:dyDescent="0.25">
      <c r="A826500" s="242"/>
    </row>
    <row r="826501" spans="1:1" x14ac:dyDescent="0.25">
      <c r="A826501" s="242"/>
    </row>
    <row r="826502" spans="1:1" x14ac:dyDescent="0.25">
      <c r="A826502" s="242"/>
    </row>
    <row r="826503" spans="1:1" x14ac:dyDescent="0.25">
      <c r="A826503" s="242"/>
    </row>
    <row r="826504" spans="1:1" x14ac:dyDescent="0.25">
      <c r="A826504" s="242"/>
    </row>
    <row r="826505" spans="1:1" x14ac:dyDescent="0.25">
      <c r="A826505" s="242"/>
    </row>
    <row r="826506" spans="1:1" x14ac:dyDescent="0.25">
      <c r="A826506" s="242"/>
    </row>
    <row r="826507" spans="1:1" x14ac:dyDescent="0.25">
      <c r="A826507" s="242"/>
    </row>
    <row r="826508" spans="1:1" x14ac:dyDescent="0.25">
      <c r="A826508" s="242"/>
    </row>
    <row r="826509" spans="1:1" x14ac:dyDescent="0.25">
      <c r="A826509" s="242"/>
    </row>
    <row r="826510" spans="1:1" x14ac:dyDescent="0.25">
      <c r="A826510" s="242"/>
    </row>
    <row r="826511" spans="1:1" x14ac:dyDescent="0.25">
      <c r="A826511" s="242"/>
    </row>
    <row r="826512" spans="1:1" x14ac:dyDescent="0.25">
      <c r="A826512" s="242"/>
    </row>
    <row r="826513" spans="1:1" x14ac:dyDescent="0.25">
      <c r="A826513" s="242"/>
    </row>
    <row r="826514" spans="1:1" x14ac:dyDescent="0.25">
      <c r="A826514" s="242"/>
    </row>
    <row r="826515" spans="1:1" x14ac:dyDescent="0.25">
      <c r="A826515" s="242"/>
    </row>
    <row r="826516" spans="1:1" x14ac:dyDescent="0.25">
      <c r="A826516" s="242"/>
    </row>
    <row r="826517" spans="1:1" x14ac:dyDescent="0.25">
      <c r="A826517" s="242"/>
    </row>
    <row r="826518" spans="1:1" x14ac:dyDescent="0.25">
      <c r="A826518" s="242"/>
    </row>
    <row r="826519" spans="1:1" x14ac:dyDescent="0.25">
      <c r="A826519" s="242"/>
    </row>
    <row r="826520" spans="1:1" x14ac:dyDescent="0.25">
      <c r="A826520" s="242"/>
    </row>
    <row r="826521" spans="1:1" x14ac:dyDescent="0.25">
      <c r="A826521" s="242"/>
    </row>
    <row r="826522" spans="1:1" x14ac:dyDescent="0.25">
      <c r="A826522" s="242"/>
    </row>
    <row r="826523" spans="1:1" x14ac:dyDescent="0.25">
      <c r="A826523" s="242"/>
    </row>
    <row r="826524" spans="1:1" x14ac:dyDescent="0.25">
      <c r="A826524" s="242"/>
    </row>
    <row r="826525" spans="1:1" x14ac:dyDescent="0.25">
      <c r="A826525" s="242"/>
    </row>
    <row r="826526" spans="1:1" x14ac:dyDescent="0.25">
      <c r="A826526" s="242"/>
    </row>
    <row r="826527" spans="1:1" x14ac:dyDescent="0.25">
      <c r="A826527" s="242"/>
    </row>
    <row r="826528" spans="1:1" x14ac:dyDescent="0.25">
      <c r="A826528" s="242"/>
    </row>
    <row r="826529" spans="1:1" x14ac:dyDescent="0.25">
      <c r="A826529" s="242"/>
    </row>
    <row r="826530" spans="1:1" x14ac:dyDescent="0.25">
      <c r="A826530" s="242"/>
    </row>
    <row r="826531" spans="1:1" x14ac:dyDescent="0.25">
      <c r="A826531" s="242"/>
    </row>
    <row r="826532" spans="1:1" x14ac:dyDescent="0.25">
      <c r="A826532" s="242"/>
    </row>
    <row r="826533" spans="1:1" x14ac:dyDescent="0.25">
      <c r="A826533" s="242"/>
    </row>
    <row r="826534" spans="1:1" x14ac:dyDescent="0.25">
      <c r="A826534" s="242"/>
    </row>
    <row r="826535" spans="1:1" x14ac:dyDescent="0.25">
      <c r="A826535" s="242"/>
    </row>
    <row r="826536" spans="1:1" x14ac:dyDescent="0.25">
      <c r="A826536" s="242"/>
    </row>
    <row r="826537" spans="1:1" x14ac:dyDescent="0.25">
      <c r="A826537" s="242"/>
    </row>
    <row r="826538" spans="1:1" x14ac:dyDescent="0.25">
      <c r="A826538" s="242"/>
    </row>
    <row r="826539" spans="1:1" x14ac:dyDescent="0.25">
      <c r="A826539" s="242"/>
    </row>
    <row r="826540" spans="1:1" x14ac:dyDescent="0.25">
      <c r="A826540" s="242"/>
    </row>
    <row r="826541" spans="1:1" x14ac:dyDescent="0.25">
      <c r="A826541" s="242"/>
    </row>
    <row r="826542" spans="1:1" x14ac:dyDescent="0.25">
      <c r="A826542" s="242"/>
    </row>
    <row r="826543" spans="1:1" x14ac:dyDescent="0.25">
      <c r="A826543" s="242"/>
    </row>
    <row r="826544" spans="1:1" x14ac:dyDescent="0.25">
      <c r="A826544" s="242"/>
    </row>
    <row r="826545" spans="1:1" x14ac:dyDescent="0.25">
      <c r="A826545" s="242"/>
    </row>
    <row r="826546" spans="1:1" x14ac:dyDescent="0.25">
      <c r="A826546" s="242"/>
    </row>
    <row r="826547" spans="1:1" x14ac:dyDescent="0.25">
      <c r="A826547" s="242"/>
    </row>
    <row r="826548" spans="1:1" x14ac:dyDescent="0.25">
      <c r="A826548" s="242"/>
    </row>
    <row r="826549" spans="1:1" x14ac:dyDescent="0.25">
      <c r="A826549" s="242"/>
    </row>
    <row r="826550" spans="1:1" x14ac:dyDescent="0.25">
      <c r="A826550" s="242"/>
    </row>
    <row r="826551" spans="1:1" x14ac:dyDescent="0.25">
      <c r="A826551" s="242"/>
    </row>
    <row r="826552" spans="1:1" x14ac:dyDescent="0.25">
      <c r="A826552" s="242"/>
    </row>
    <row r="826553" spans="1:1" x14ac:dyDescent="0.25">
      <c r="A826553" s="242"/>
    </row>
    <row r="826554" spans="1:1" x14ac:dyDescent="0.25">
      <c r="A826554" s="242"/>
    </row>
    <row r="826555" spans="1:1" x14ac:dyDescent="0.25">
      <c r="A826555" s="242"/>
    </row>
    <row r="826556" spans="1:1" x14ac:dyDescent="0.25">
      <c r="A826556" s="242"/>
    </row>
    <row r="826557" spans="1:1" x14ac:dyDescent="0.25">
      <c r="A826557" s="242"/>
    </row>
    <row r="826558" spans="1:1" x14ac:dyDescent="0.25">
      <c r="A826558" s="242"/>
    </row>
    <row r="826559" spans="1:1" x14ac:dyDescent="0.25">
      <c r="A826559" s="242"/>
    </row>
    <row r="826560" spans="1:1" x14ac:dyDescent="0.25">
      <c r="A826560" s="242"/>
    </row>
    <row r="826561" spans="1:1" x14ac:dyDescent="0.25">
      <c r="A826561" s="242"/>
    </row>
    <row r="826562" spans="1:1" x14ac:dyDescent="0.25">
      <c r="A826562" s="242"/>
    </row>
    <row r="826563" spans="1:1" x14ac:dyDescent="0.25">
      <c r="A826563" s="242"/>
    </row>
    <row r="826564" spans="1:1" x14ac:dyDescent="0.25">
      <c r="A826564" s="242"/>
    </row>
    <row r="826565" spans="1:1" x14ac:dyDescent="0.25">
      <c r="A826565" s="242"/>
    </row>
    <row r="826566" spans="1:1" x14ac:dyDescent="0.25">
      <c r="A826566" s="242"/>
    </row>
    <row r="826567" spans="1:1" x14ac:dyDescent="0.25">
      <c r="A826567" s="242"/>
    </row>
    <row r="826568" spans="1:1" x14ac:dyDescent="0.25">
      <c r="A826568" s="242"/>
    </row>
    <row r="826569" spans="1:1" x14ac:dyDescent="0.25">
      <c r="A826569" s="242"/>
    </row>
    <row r="826570" spans="1:1" x14ac:dyDescent="0.25">
      <c r="A826570" s="242"/>
    </row>
    <row r="826571" spans="1:1" x14ac:dyDescent="0.25">
      <c r="A826571" s="242"/>
    </row>
    <row r="826572" spans="1:1" x14ac:dyDescent="0.25">
      <c r="A826572" s="242"/>
    </row>
    <row r="826573" spans="1:1" x14ac:dyDescent="0.25">
      <c r="A826573" s="242"/>
    </row>
    <row r="826574" spans="1:1" x14ac:dyDescent="0.25">
      <c r="A826574" s="242"/>
    </row>
    <row r="826575" spans="1:1" x14ac:dyDescent="0.25">
      <c r="A826575" s="242"/>
    </row>
    <row r="826576" spans="1:1" x14ac:dyDescent="0.25">
      <c r="A826576" s="242"/>
    </row>
    <row r="826577" spans="1:1" x14ac:dyDescent="0.25">
      <c r="A826577" s="242"/>
    </row>
    <row r="826578" spans="1:1" x14ac:dyDescent="0.25">
      <c r="A826578" s="242"/>
    </row>
    <row r="826579" spans="1:1" x14ac:dyDescent="0.25">
      <c r="A826579" s="242"/>
    </row>
    <row r="826580" spans="1:1" x14ac:dyDescent="0.25">
      <c r="A826580" s="242"/>
    </row>
    <row r="826581" spans="1:1" x14ac:dyDescent="0.25">
      <c r="A826581" s="242"/>
    </row>
    <row r="826582" spans="1:1" x14ac:dyDescent="0.25">
      <c r="A826582" s="242"/>
    </row>
    <row r="826583" spans="1:1" x14ac:dyDescent="0.25">
      <c r="A826583" s="242"/>
    </row>
    <row r="826584" spans="1:1" x14ac:dyDescent="0.25">
      <c r="A826584" s="242"/>
    </row>
    <row r="826585" spans="1:1" x14ac:dyDescent="0.25">
      <c r="A826585" s="242"/>
    </row>
    <row r="826586" spans="1:1" x14ac:dyDescent="0.25">
      <c r="A826586" s="242"/>
    </row>
    <row r="826587" spans="1:1" x14ac:dyDescent="0.25">
      <c r="A826587" s="242"/>
    </row>
    <row r="826588" spans="1:1" x14ac:dyDescent="0.25">
      <c r="A826588" s="242"/>
    </row>
    <row r="826589" spans="1:1" x14ac:dyDescent="0.25">
      <c r="A826589" s="242"/>
    </row>
    <row r="826590" spans="1:1" x14ac:dyDescent="0.25">
      <c r="A826590" s="242"/>
    </row>
    <row r="826591" spans="1:1" x14ac:dyDescent="0.25">
      <c r="A826591" s="242"/>
    </row>
    <row r="826592" spans="1:1" x14ac:dyDescent="0.25">
      <c r="A826592" s="242"/>
    </row>
    <row r="826593" spans="1:1" x14ac:dyDescent="0.25">
      <c r="A826593" s="242"/>
    </row>
    <row r="826594" spans="1:1" x14ac:dyDescent="0.25">
      <c r="A826594" s="242"/>
    </row>
    <row r="826595" spans="1:1" x14ac:dyDescent="0.25">
      <c r="A826595" s="242"/>
    </row>
    <row r="826596" spans="1:1" x14ac:dyDescent="0.25">
      <c r="A826596" s="242"/>
    </row>
    <row r="826597" spans="1:1" x14ac:dyDescent="0.25">
      <c r="A826597" s="242"/>
    </row>
    <row r="826598" spans="1:1" x14ac:dyDescent="0.25">
      <c r="A826598" s="242"/>
    </row>
    <row r="826599" spans="1:1" x14ac:dyDescent="0.25">
      <c r="A826599" s="242"/>
    </row>
    <row r="826600" spans="1:1" x14ac:dyDescent="0.25">
      <c r="A826600" s="242"/>
    </row>
    <row r="826601" spans="1:1" x14ac:dyDescent="0.25">
      <c r="A826601" s="242"/>
    </row>
    <row r="826602" spans="1:1" x14ac:dyDescent="0.25">
      <c r="A826602" s="242"/>
    </row>
    <row r="826603" spans="1:1" x14ac:dyDescent="0.25">
      <c r="A826603" s="242"/>
    </row>
    <row r="826604" spans="1:1" x14ac:dyDescent="0.25">
      <c r="A826604" s="242"/>
    </row>
    <row r="826605" spans="1:1" x14ac:dyDescent="0.25">
      <c r="A826605" s="242"/>
    </row>
    <row r="826606" spans="1:1" x14ac:dyDescent="0.25">
      <c r="A826606" s="242"/>
    </row>
    <row r="826607" spans="1:1" x14ac:dyDescent="0.25">
      <c r="A826607" s="242"/>
    </row>
    <row r="826608" spans="1:1" x14ac:dyDescent="0.25">
      <c r="A826608" s="242"/>
    </row>
    <row r="826609" spans="1:1" x14ac:dyDescent="0.25">
      <c r="A826609" s="242"/>
    </row>
    <row r="826610" spans="1:1" x14ac:dyDescent="0.25">
      <c r="A826610" s="242"/>
    </row>
    <row r="826611" spans="1:1" x14ac:dyDescent="0.25">
      <c r="A826611" s="242"/>
    </row>
    <row r="826612" spans="1:1" x14ac:dyDescent="0.25">
      <c r="A826612" s="242"/>
    </row>
    <row r="826613" spans="1:1" x14ac:dyDescent="0.25">
      <c r="A826613" s="242"/>
    </row>
    <row r="826614" spans="1:1" x14ac:dyDescent="0.25">
      <c r="A826614" s="242"/>
    </row>
    <row r="826615" spans="1:1" x14ac:dyDescent="0.25">
      <c r="A826615" s="242"/>
    </row>
    <row r="826616" spans="1:1" x14ac:dyDescent="0.25">
      <c r="A826616" s="242"/>
    </row>
    <row r="826617" spans="1:1" x14ac:dyDescent="0.25">
      <c r="A826617" s="242"/>
    </row>
    <row r="826618" spans="1:1" x14ac:dyDescent="0.25">
      <c r="A826618" s="242"/>
    </row>
    <row r="826619" spans="1:1" x14ac:dyDescent="0.25">
      <c r="A826619" s="242"/>
    </row>
    <row r="826620" spans="1:1" x14ac:dyDescent="0.25">
      <c r="A826620" s="242"/>
    </row>
    <row r="826621" spans="1:1" x14ac:dyDescent="0.25">
      <c r="A826621" s="242"/>
    </row>
    <row r="826622" spans="1:1" x14ac:dyDescent="0.25">
      <c r="A826622" s="242"/>
    </row>
    <row r="826623" spans="1:1" x14ac:dyDescent="0.25">
      <c r="A826623" s="242"/>
    </row>
    <row r="826624" spans="1:1" x14ac:dyDescent="0.25">
      <c r="A826624" s="242"/>
    </row>
    <row r="826625" spans="1:1" x14ac:dyDescent="0.25">
      <c r="A826625" s="242"/>
    </row>
    <row r="826626" spans="1:1" x14ac:dyDescent="0.25">
      <c r="A826626" s="242"/>
    </row>
    <row r="826627" spans="1:1" x14ac:dyDescent="0.25">
      <c r="A826627" s="242"/>
    </row>
    <row r="826628" spans="1:1" x14ac:dyDescent="0.25">
      <c r="A826628" s="242"/>
    </row>
    <row r="826629" spans="1:1" x14ac:dyDescent="0.25">
      <c r="A826629" s="242"/>
    </row>
    <row r="826630" spans="1:1" x14ac:dyDescent="0.25">
      <c r="A826630" s="242"/>
    </row>
    <row r="826631" spans="1:1" x14ac:dyDescent="0.25">
      <c r="A826631" s="242"/>
    </row>
    <row r="826632" spans="1:1" x14ac:dyDescent="0.25">
      <c r="A826632" s="242"/>
    </row>
    <row r="826633" spans="1:1" x14ac:dyDescent="0.25">
      <c r="A826633" s="242"/>
    </row>
    <row r="826634" spans="1:1" x14ac:dyDescent="0.25">
      <c r="A826634" s="242"/>
    </row>
    <row r="826635" spans="1:1" x14ac:dyDescent="0.25">
      <c r="A826635" s="242"/>
    </row>
    <row r="826636" spans="1:1" x14ac:dyDescent="0.25">
      <c r="A826636" s="242"/>
    </row>
    <row r="826637" spans="1:1" x14ac:dyDescent="0.25">
      <c r="A826637" s="242"/>
    </row>
    <row r="826638" spans="1:1" x14ac:dyDescent="0.25">
      <c r="A826638" s="242"/>
    </row>
    <row r="826639" spans="1:1" x14ac:dyDescent="0.25">
      <c r="A826639" s="242"/>
    </row>
    <row r="826640" spans="1:1" x14ac:dyDescent="0.25">
      <c r="A826640" s="242"/>
    </row>
    <row r="826641" spans="1:1" x14ac:dyDescent="0.25">
      <c r="A826641" s="242"/>
    </row>
    <row r="826642" spans="1:1" x14ac:dyDescent="0.25">
      <c r="A826642" s="242"/>
    </row>
    <row r="826643" spans="1:1" x14ac:dyDescent="0.25">
      <c r="A826643" s="242"/>
    </row>
    <row r="826644" spans="1:1" x14ac:dyDescent="0.25">
      <c r="A826644" s="242"/>
    </row>
    <row r="826645" spans="1:1" x14ac:dyDescent="0.25">
      <c r="A826645" s="242"/>
    </row>
    <row r="826646" spans="1:1" x14ac:dyDescent="0.25">
      <c r="A826646" s="242"/>
    </row>
    <row r="826647" spans="1:1" x14ac:dyDescent="0.25">
      <c r="A826647" s="242"/>
    </row>
    <row r="826648" spans="1:1" x14ac:dyDescent="0.25">
      <c r="A826648" s="242"/>
    </row>
    <row r="826649" spans="1:1" x14ac:dyDescent="0.25">
      <c r="A826649" s="242"/>
    </row>
    <row r="826650" spans="1:1" x14ac:dyDescent="0.25">
      <c r="A826650" s="242"/>
    </row>
    <row r="826651" spans="1:1" x14ac:dyDescent="0.25">
      <c r="A826651" s="242"/>
    </row>
    <row r="826652" spans="1:1" x14ac:dyDescent="0.25">
      <c r="A826652" s="242"/>
    </row>
    <row r="826653" spans="1:1" x14ac:dyDescent="0.25">
      <c r="A826653" s="242"/>
    </row>
    <row r="826654" spans="1:1" x14ac:dyDescent="0.25">
      <c r="A826654" s="242"/>
    </row>
    <row r="826655" spans="1:1" x14ac:dyDescent="0.25">
      <c r="A826655" s="242"/>
    </row>
    <row r="826656" spans="1:1" x14ac:dyDescent="0.25">
      <c r="A826656" s="242"/>
    </row>
    <row r="826657" spans="1:1" x14ac:dyDescent="0.25">
      <c r="A826657" s="242"/>
    </row>
    <row r="826658" spans="1:1" x14ac:dyDescent="0.25">
      <c r="A826658" s="242"/>
    </row>
    <row r="826659" spans="1:1" x14ac:dyDescent="0.25">
      <c r="A826659" s="242"/>
    </row>
    <row r="826660" spans="1:1" x14ac:dyDescent="0.25">
      <c r="A826660" s="242"/>
    </row>
    <row r="826661" spans="1:1" x14ac:dyDescent="0.25">
      <c r="A826661" s="242"/>
    </row>
    <row r="826662" spans="1:1" x14ac:dyDescent="0.25">
      <c r="A826662" s="242"/>
    </row>
    <row r="826663" spans="1:1" x14ac:dyDescent="0.25">
      <c r="A826663" s="242"/>
    </row>
    <row r="826664" spans="1:1" x14ac:dyDescent="0.25">
      <c r="A826664" s="242"/>
    </row>
    <row r="826665" spans="1:1" x14ac:dyDescent="0.25">
      <c r="A826665" s="242"/>
    </row>
    <row r="826666" spans="1:1" x14ac:dyDescent="0.25">
      <c r="A826666" s="242"/>
    </row>
    <row r="826667" spans="1:1" x14ac:dyDescent="0.25">
      <c r="A826667" s="242"/>
    </row>
    <row r="826668" spans="1:1" x14ac:dyDescent="0.25">
      <c r="A826668" s="242"/>
    </row>
    <row r="826669" spans="1:1" x14ac:dyDescent="0.25">
      <c r="A826669" s="242"/>
    </row>
    <row r="826670" spans="1:1" x14ac:dyDescent="0.25">
      <c r="A826670" s="242"/>
    </row>
    <row r="826671" spans="1:1" x14ac:dyDescent="0.25">
      <c r="A826671" s="242"/>
    </row>
    <row r="826672" spans="1:1" x14ac:dyDescent="0.25">
      <c r="A826672" s="242"/>
    </row>
    <row r="826673" spans="1:1" x14ac:dyDescent="0.25">
      <c r="A826673" s="242"/>
    </row>
    <row r="826674" spans="1:1" x14ac:dyDescent="0.25">
      <c r="A826674" s="242"/>
    </row>
    <row r="826675" spans="1:1" x14ac:dyDescent="0.25">
      <c r="A826675" s="242"/>
    </row>
    <row r="826676" spans="1:1" x14ac:dyDescent="0.25">
      <c r="A826676" s="242"/>
    </row>
    <row r="826677" spans="1:1" x14ac:dyDescent="0.25">
      <c r="A826677" s="242"/>
    </row>
    <row r="826678" spans="1:1" x14ac:dyDescent="0.25">
      <c r="A826678" s="242"/>
    </row>
    <row r="826679" spans="1:1" x14ac:dyDescent="0.25">
      <c r="A826679" s="242"/>
    </row>
    <row r="826680" spans="1:1" x14ac:dyDescent="0.25">
      <c r="A826680" s="242"/>
    </row>
    <row r="826681" spans="1:1" x14ac:dyDescent="0.25">
      <c r="A826681" s="242"/>
    </row>
    <row r="826682" spans="1:1" x14ac:dyDescent="0.25">
      <c r="A826682" s="242"/>
    </row>
    <row r="826683" spans="1:1" x14ac:dyDescent="0.25">
      <c r="A826683" s="242"/>
    </row>
    <row r="826684" spans="1:1" x14ac:dyDescent="0.25">
      <c r="A826684" s="242"/>
    </row>
    <row r="826685" spans="1:1" x14ac:dyDescent="0.25">
      <c r="A826685" s="242"/>
    </row>
    <row r="826686" spans="1:1" x14ac:dyDescent="0.25">
      <c r="A826686" s="242"/>
    </row>
    <row r="826687" spans="1:1" x14ac:dyDescent="0.25">
      <c r="A826687" s="242"/>
    </row>
    <row r="826688" spans="1:1" x14ac:dyDescent="0.25">
      <c r="A826688" s="242"/>
    </row>
    <row r="826689" spans="1:1" x14ac:dyDescent="0.25">
      <c r="A826689" s="242"/>
    </row>
    <row r="826690" spans="1:1" x14ac:dyDescent="0.25">
      <c r="A826690" s="242"/>
    </row>
    <row r="826691" spans="1:1" x14ac:dyDescent="0.25">
      <c r="A826691" s="242"/>
    </row>
    <row r="826692" spans="1:1" x14ac:dyDescent="0.25">
      <c r="A826692" s="242"/>
    </row>
    <row r="826693" spans="1:1" x14ac:dyDescent="0.25">
      <c r="A826693" s="242"/>
    </row>
    <row r="826694" spans="1:1" x14ac:dyDescent="0.25">
      <c r="A826694" s="242"/>
    </row>
    <row r="826695" spans="1:1" x14ac:dyDescent="0.25">
      <c r="A826695" s="242"/>
    </row>
    <row r="826696" spans="1:1" x14ac:dyDescent="0.25">
      <c r="A826696" s="242"/>
    </row>
    <row r="826697" spans="1:1" x14ac:dyDescent="0.25">
      <c r="A826697" s="242"/>
    </row>
    <row r="826698" spans="1:1" x14ac:dyDescent="0.25">
      <c r="A826698" s="242"/>
    </row>
    <row r="826699" spans="1:1" x14ac:dyDescent="0.25">
      <c r="A826699" s="242"/>
    </row>
    <row r="826700" spans="1:1" x14ac:dyDescent="0.25">
      <c r="A826700" s="242"/>
    </row>
    <row r="826701" spans="1:1" x14ac:dyDescent="0.25">
      <c r="A826701" s="242"/>
    </row>
    <row r="826702" spans="1:1" x14ac:dyDescent="0.25">
      <c r="A826702" s="242"/>
    </row>
    <row r="826703" spans="1:1" x14ac:dyDescent="0.25">
      <c r="A826703" s="242"/>
    </row>
    <row r="826704" spans="1:1" x14ac:dyDescent="0.25">
      <c r="A826704" s="242"/>
    </row>
    <row r="826705" spans="1:1" x14ac:dyDescent="0.25">
      <c r="A826705" s="242"/>
    </row>
    <row r="826706" spans="1:1" x14ac:dyDescent="0.25">
      <c r="A826706" s="242"/>
    </row>
    <row r="826707" spans="1:1" x14ac:dyDescent="0.25">
      <c r="A826707" s="242"/>
    </row>
    <row r="826708" spans="1:1" x14ac:dyDescent="0.25">
      <c r="A826708" s="242"/>
    </row>
    <row r="826709" spans="1:1" x14ac:dyDescent="0.25">
      <c r="A826709" s="242"/>
    </row>
    <row r="826710" spans="1:1" x14ac:dyDescent="0.25">
      <c r="A826710" s="242"/>
    </row>
    <row r="826711" spans="1:1" x14ac:dyDescent="0.25">
      <c r="A826711" s="242"/>
    </row>
    <row r="826712" spans="1:1" x14ac:dyDescent="0.25">
      <c r="A826712" s="242"/>
    </row>
    <row r="826713" spans="1:1" x14ac:dyDescent="0.25">
      <c r="A826713" s="242"/>
    </row>
    <row r="826714" spans="1:1" x14ac:dyDescent="0.25">
      <c r="A826714" s="242"/>
    </row>
    <row r="826715" spans="1:1" x14ac:dyDescent="0.25">
      <c r="A826715" s="242"/>
    </row>
    <row r="826716" spans="1:1" x14ac:dyDescent="0.25">
      <c r="A826716" s="242"/>
    </row>
    <row r="826717" spans="1:1" x14ac:dyDescent="0.25">
      <c r="A826717" s="242"/>
    </row>
    <row r="826718" spans="1:1" x14ac:dyDescent="0.25">
      <c r="A826718" s="242"/>
    </row>
    <row r="826719" spans="1:1" x14ac:dyDescent="0.25">
      <c r="A826719" s="242"/>
    </row>
    <row r="826720" spans="1:1" x14ac:dyDescent="0.25">
      <c r="A826720" s="242"/>
    </row>
    <row r="826721" spans="1:1" x14ac:dyDescent="0.25">
      <c r="A826721" s="242"/>
    </row>
    <row r="826722" spans="1:1" x14ac:dyDescent="0.25">
      <c r="A826722" s="242"/>
    </row>
    <row r="826723" spans="1:1" x14ac:dyDescent="0.25">
      <c r="A826723" s="242"/>
    </row>
    <row r="826724" spans="1:1" x14ac:dyDescent="0.25">
      <c r="A826724" s="242"/>
    </row>
    <row r="826725" spans="1:1" x14ac:dyDescent="0.25">
      <c r="A826725" s="242"/>
    </row>
    <row r="826726" spans="1:1" x14ac:dyDescent="0.25">
      <c r="A826726" s="242"/>
    </row>
    <row r="826727" spans="1:1" x14ac:dyDescent="0.25">
      <c r="A826727" s="242"/>
    </row>
    <row r="826728" spans="1:1" x14ac:dyDescent="0.25">
      <c r="A826728" s="242"/>
    </row>
    <row r="826729" spans="1:1" x14ac:dyDescent="0.25">
      <c r="A826729" s="242"/>
    </row>
    <row r="826730" spans="1:1" x14ac:dyDescent="0.25">
      <c r="A826730" s="242"/>
    </row>
    <row r="826731" spans="1:1" x14ac:dyDescent="0.25">
      <c r="A826731" s="242"/>
    </row>
    <row r="826732" spans="1:1" x14ac:dyDescent="0.25">
      <c r="A826732" s="242"/>
    </row>
    <row r="826733" spans="1:1" x14ac:dyDescent="0.25">
      <c r="A826733" s="242"/>
    </row>
    <row r="826734" spans="1:1" x14ac:dyDescent="0.25">
      <c r="A826734" s="242"/>
    </row>
    <row r="826735" spans="1:1" x14ac:dyDescent="0.25">
      <c r="A826735" s="242"/>
    </row>
    <row r="826736" spans="1:1" x14ac:dyDescent="0.25">
      <c r="A826736" s="242"/>
    </row>
    <row r="826737" spans="1:1" x14ac:dyDescent="0.25">
      <c r="A826737" s="242"/>
    </row>
    <row r="826738" spans="1:1" x14ac:dyDescent="0.25">
      <c r="A826738" s="242"/>
    </row>
    <row r="826739" spans="1:1" x14ac:dyDescent="0.25">
      <c r="A826739" s="242"/>
    </row>
    <row r="826740" spans="1:1" x14ac:dyDescent="0.25">
      <c r="A826740" s="242"/>
    </row>
    <row r="826741" spans="1:1" x14ac:dyDescent="0.25">
      <c r="A826741" s="242"/>
    </row>
    <row r="826742" spans="1:1" x14ac:dyDescent="0.25">
      <c r="A826742" s="242"/>
    </row>
    <row r="826743" spans="1:1" x14ac:dyDescent="0.25">
      <c r="A826743" s="242"/>
    </row>
    <row r="826744" spans="1:1" x14ac:dyDescent="0.25">
      <c r="A826744" s="242"/>
    </row>
    <row r="826745" spans="1:1" x14ac:dyDescent="0.25">
      <c r="A826745" s="242"/>
    </row>
    <row r="826746" spans="1:1" x14ac:dyDescent="0.25">
      <c r="A826746" s="242"/>
    </row>
    <row r="826747" spans="1:1" x14ac:dyDescent="0.25">
      <c r="A826747" s="242"/>
    </row>
    <row r="826748" spans="1:1" x14ac:dyDescent="0.25">
      <c r="A826748" s="242"/>
    </row>
    <row r="826749" spans="1:1" x14ac:dyDescent="0.25">
      <c r="A826749" s="242"/>
    </row>
    <row r="826750" spans="1:1" x14ac:dyDescent="0.25">
      <c r="A826750" s="242"/>
    </row>
    <row r="826751" spans="1:1" x14ac:dyDescent="0.25">
      <c r="A826751" s="242"/>
    </row>
    <row r="826752" spans="1:1" x14ac:dyDescent="0.25">
      <c r="A826752" s="242"/>
    </row>
    <row r="826753" spans="1:1" x14ac:dyDescent="0.25">
      <c r="A826753" s="242"/>
    </row>
    <row r="826754" spans="1:1" x14ac:dyDescent="0.25">
      <c r="A826754" s="242"/>
    </row>
    <row r="826755" spans="1:1" x14ac:dyDescent="0.25">
      <c r="A826755" s="242"/>
    </row>
    <row r="826756" spans="1:1" x14ac:dyDescent="0.25">
      <c r="A826756" s="242"/>
    </row>
    <row r="826757" spans="1:1" x14ac:dyDescent="0.25">
      <c r="A826757" s="242"/>
    </row>
    <row r="826758" spans="1:1" x14ac:dyDescent="0.25">
      <c r="A826758" s="242"/>
    </row>
    <row r="826759" spans="1:1" x14ac:dyDescent="0.25">
      <c r="A826759" s="242"/>
    </row>
    <row r="826760" spans="1:1" x14ac:dyDescent="0.25">
      <c r="A826760" s="242"/>
    </row>
    <row r="826761" spans="1:1" x14ac:dyDescent="0.25">
      <c r="A826761" s="242"/>
    </row>
    <row r="826762" spans="1:1" x14ac:dyDescent="0.25">
      <c r="A826762" s="242"/>
    </row>
    <row r="826763" spans="1:1" x14ac:dyDescent="0.25">
      <c r="A826763" s="242"/>
    </row>
    <row r="826764" spans="1:1" x14ac:dyDescent="0.25">
      <c r="A826764" s="242"/>
    </row>
    <row r="826765" spans="1:1" x14ac:dyDescent="0.25">
      <c r="A826765" s="242"/>
    </row>
    <row r="826766" spans="1:1" x14ac:dyDescent="0.25">
      <c r="A826766" s="242"/>
    </row>
    <row r="826767" spans="1:1" x14ac:dyDescent="0.25">
      <c r="A826767" s="242"/>
    </row>
    <row r="826768" spans="1:1" x14ac:dyDescent="0.25">
      <c r="A826768" s="242"/>
    </row>
    <row r="826769" spans="1:1" x14ac:dyDescent="0.25">
      <c r="A826769" s="242"/>
    </row>
    <row r="826770" spans="1:1" x14ac:dyDescent="0.25">
      <c r="A826770" s="242"/>
    </row>
    <row r="826771" spans="1:1" x14ac:dyDescent="0.25">
      <c r="A826771" s="242"/>
    </row>
    <row r="826772" spans="1:1" x14ac:dyDescent="0.25">
      <c r="A826772" s="242"/>
    </row>
    <row r="826773" spans="1:1" x14ac:dyDescent="0.25">
      <c r="A826773" s="242"/>
    </row>
    <row r="826774" spans="1:1" x14ac:dyDescent="0.25">
      <c r="A826774" s="242"/>
    </row>
    <row r="826775" spans="1:1" x14ac:dyDescent="0.25">
      <c r="A826775" s="242"/>
    </row>
    <row r="826776" spans="1:1" x14ac:dyDescent="0.25">
      <c r="A826776" s="242"/>
    </row>
    <row r="826777" spans="1:1" x14ac:dyDescent="0.25">
      <c r="A826777" s="242"/>
    </row>
    <row r="826778" spans="1:1" x14ac:dyDescent="0.25">
      <c r="A826778" s="242"/>
    </row>
    <row r="826779" spans="1:1" x14ac:dyDescent="0.25">
      <c r="A826779" s="242"/>
    </row>
    <row r="826780" spans="1:1" x14ac:dyDescent="0.25">
      <c r="A826780" s="242"/>
    </row>
    <row r="826781" spans="1:1" x14ac:dyDescent="0.25">
      <c r="A826781" s="242"/>
    </row>
    <row r="826782" spans="1:1" x14ac:dyDescent="0.25">
      <c r="A826782" s="242"/>
    </row>
    <row r="826783" spans="1:1" x14ac:dyDescent="0.25">
      <c r="A826783" s="242"/>
    </row>
    <row r="826784" spans="1:1" x14ac:dyDescent="0.25">
      <c r="A826784" s="242"/>
    </row>
    <row r="826785" spans="1:1" x14ac:dyDescent="0.25">
      <c r="A826785" s="242"/>
    </row>
    <row r="826786" spans="1:1" x14ac:dyDescent="0.25">
      <c r="A826786" s="242"/>
    </row>
    <row r="826787" spans="1:1" x14ac:dyDescent="0.25">
      <c r="A826787" s="242"/>
    </row>
    <row r="826788" spans="1:1" x14ac:dyDescent="0.25">
      <c r="A826788" s="242"/>
    </row>
    <row r="826789" spans="1:1" x14ac:dyDescent="0.25">
      <c r="A826789" s="242"/>
    </row>
    <row r="826790" spans="1:1" x14ac:dyDescent="0.25">
      <c r="A826790" s="242"/>
    </row>
    <row r="826791" spans="1:1" x14ac:dyDescent="0.25">
      <c r="A826791" s="242"/>
    </row>
    <row r="826792" spans="1:1" x14ac:dyDescent="0.25">
      <c r="A826792" s="242"/>
    </row>
    <row r="826793" spans="1:1" x14ac:dyDescent="0.25">
      <c r="A826793" s="242"/>
    </row>
    <row r="826794" spans="1:1" x14ac:dyDescent="0.25">
      <c r="A826794" s="242"/>
    </row>
    <row r="826795" spans="1:1" x14ac:dyDescent="0.25">
      <c r="A826795" s="242"/>
    </row>
    <row r="826796" spans="1:1" x14ac:dyDescent="0.25">
      <c r="A826796" s="242"/>
    </row>
    <row r="826797" spans="1:1" x14ac:dyDescent="0.25">
      <c r="A826797" s="242"/>
    </row>
    <row r="826798" spans="1:1" x14ac:dyDescent="0.25">
      <c r="A826798" s="242"/>
    </row>
    <row r="826799" spans="1:1" x14ac:dyDescent="0.25">
      <c r="A826799" s="242"/>
    </row>
    <row r="826800" spans="1:1" x14ac:dyDescent="0.25">
      <c r="A826800" s="242"/>
    </row>
    <row r="826801" spans="1:1" x14ac:dyDescent="0.25">
      <c r="A826801" s="242"/>
    </row>
    <row r="826802" spans="1:1" x14ac:dyDescent="0.25">
      <c r="A826802" s="242"/>
    </row>
    <row r="826803" spans="1:1" x14ac:dyDescent="0.25">
      <c r="A826803" s="242"/>
    </row>
    <row r="826804" spans="1:1" x14ac:dyDescent="0.25">
      <c r="A826804" s="242"/>
    </row>
    <row r="826805" spans="1:1" x14ac:dyDescent="0.25">
      <c r="A826805" s="242"/>
    </row>
    <row r="826806" spans="1:1" x14ac:dyDescent="0.25">
      <c r="A826806" s="242"/>
    </row>
    <row r="826807" spans="1:1" x14ac:dyDescent="0.25">
      <c r="A826807" s="242"/>
    </row>
    <row r="826808" spans="1:1" x14ac:dyDescent="0.25">
      <c r="A826808" s="242"/>
    </row>
    <row r="826809" spans="1:1" x14ac:dyDescent="0.25">
      <c r="A826809" s="242"/>
    </row>
    <row r="826810" spans="1:1" x14ac:dyDescent="0.25">
      <c r="A826810" s="242"/>
    </row>
    <row r="826811" spans="1:1" x14ac:dyDescent="0.25">
      <c r="A826811" s="242"/>
    </row>
    <row r="826812" spans="1:1" x14ac:dyDescent="0.25">
      <c r="A826812" s="242"/>
    </row>
    <row r="826813" spans="1:1" x14ac:dyDescent="0.25">
      <c r="A826813" s="242"/>
    </row>
    <row r="826814" spans="1:1" x14ac:dyDescent="0.25">
      <c r="A826814" s="242"/>
    </row>
    <row r="826815" spans="1:1" x14ac:dyDescent="0.25">
      <c r="A826815" s="242"/>
    </row>
    <row r="826816" spans="1:1" x14ac:dyDescent="0.25">
      <c r="A826816" s="242"/>
    </row>
    <row r="826817" spans="1:1" x14ac:dyDescent="0.25">
      <c r="A826817" s="242"/>
    </row>
    <row r="826818" spans="1:1" x14ac:dyDescent="0.25">
      <c r="A826818" s="242"/>
    </row>
    <row r="826819" spans="1:1" x14ac:dyDescent="0.25">
      <c r="A826819" s="242"/>
    </row>
    <row r="826820" spans="1:1" x14ac:dyDescent="0.25">
      <c r="A826820" s="242"/>
    </row>
    <row r="826821" spans="1:1" x14ac:dyDescent="0.25">
      <c r="A826821" s="242"/>
    </row>
    <row r="826822" spans="1:1" x14ac:dyDescent="0.25">
      <c r="A826822" s="242"/>
    </row>
    <row r="826823" spans="1:1" x14ac:dyDescent="0.25">
      <c r="A826823" s="242"/>
    </row>
    <row r="826824" spans="1:1" x14ac:dyDescent="0.25">
      <c r="A826824" s="242"/>
    </row>
    <row r="826825" spans="1:1" x14ac:dyDescent="0.25">
      <c r="A826825" s="242"/>
    </row>
    <row r="826826" spans="1:1" x14ac:dyDescent="0.25">
      <c r="A826826" s="242"/>
    </row>
    <row r="826827" spans="1:1" x14ac:dyDescent="0.25">
      <c r="A826827" s="242"/>
    </row>
    <row r="826828" spans="1:1" x14ac:dyDescent="0.25">
      <c r="A826828" s="242"/>
    </row>
    <row r="826829" spans="1:1" x14ac:dyDescent="0.25">
      <c r="A826829" s="242"/>
    </row>
    <row r="826830" spans="1:1" x14ac:dyDescent="0.25">
      <c r="A826830" s="242"/>
    </row>
    <row r="826831" spans="1:1" x14ac:dyDescent="0.25">
      <c r="A826831" s="242"/>
    </row>
    <row r="826832" spans="1:1" x14ac:dyDescent="0.25">
      <c r="A826832" s="242"/>
    </row>
    <row r="826833" spans="1:1" x14ac:dyDescent="0.25">
      <c r="A826833" s="242"/>
    </row>
    <row r="826834" spans="1:1" x14ac:dyDescent="0.25">
      <c r="A826834" s="242"/>
    </row>
    <row r="826835" spans="1:1" x14ac:dyDescent="0.25">
      <c r="A826835" s="242"/>
    </row>
    <row r="826836" spans="1:1" x14ac:dyDescent="0.25">
      <c r="A826836" s="242"/>
    </row>
    <row r="826837" spans="1:1" x14ac:dyDescent="0.25">
      <c r="A826837" s="242"/>
    </row>
    <row r="826838" spans="1:1" x14ac:dyDescent="0.25">
      <c r="A826838" s="242"/>
    </row>
    <row r="826839" spans="1:1" x14ac:dyDescent="0.25">
      <c r="A826839" s="242"/>
    </row>
    <row r="826840" spans="1:1" x14ac:dyDescent="0.25">
      <c r="A826840" s="242"/>
    </row>
    <row r="826841" spans="1:1" x14ac:dyDescent="0.25">
      <c r="A826841" s="242"/>
    </row>
    <row r="826842" spans="1:1" x14ac:dyDescent="0.25">
      <c r="A826842" s="242"/>
    </row>
    <row r="826843" spans="1:1" x14ac:dyDescent="0.25">
      <c r="A826843" s="242"/>
    </row>
    <row r="826844" spans="1:1" x14ac:dyDescent="0.25">
      <c r="A826844" s="242"/>
    </row>
    <row r="826845" spans="1:1" x14ac:dyDescent="0.25">
      <c r="A826845" s="242"/>
    </row>
    <row r="826846" spans="1:1" x14ac:dyDescent="0.25">
      <c r="A826846" s="242"/>
    </row>
    <row r="826847" spans="1:1" x14ac:dyDescent="0.25">
      <c r="A826847" s="242"/>
    </row>
    <row r="826848" spans="1:1" x14ac:dyDescent="0.25">
      <c r="A826848" s="242"/>
    </row>
    <row r="826849" spans="1:1" x14ac:dyDescent="0.25">
      <c r="A826849" s="242"/>
    </row>
    <row r="826850" spans="1:1" x14ac:dyDescent="0.25">
      <c r="A826850" s="242"/>
    </row>
    <row r="826851" spans="1:1" x14ac:dyDescent="0.25">
      <c r="A826851" s="242"/>
    </row>
    <row r="826852" spans="1:1" x14ac:dyDescent="0.25">
      <c r="A826852" s="242"/>
    </row>
    <row r="826853" spans="1:1" x14ac:dyDescent="0.25">
      <c r="A826853" s="242"/>
    </row>
    <row r="826854" spans="1:1" x14ac:dyDescent="0.25">
      <c r="A826854" s="242"/>
    </row>
    <row r="826855" spans="1:1" x14ac:dyDescent="0.25">
      <c r="A826855" s="242"/>
    </row>
    <row r="826856" spans="1:1" x14ac:dyDescent="0.25">
      <c r="A826856" s="242"/>
    </row>
    <row r="826857" spans="1:1" x14ac:dyDescent="0.25">
      <c r="A826857" s="242"/>
    </row>
    <row r="826858" spans="1:1" x14ac:dyDescent="0.25">
      <c r="A826858" s="242"/>
    </row>
    <row r="826859" spans="1:1" x14ac:dyDescent="0.25">
      <c r="A826859" s="242"/>
    </row>
    <row r="826860" spans="1:1" x14ac:dyDescent="0.25">
      <c r="A826860" s="242"/>
    </row>
    <row r="826861" spans="1:1" x14ac:dyDescent="0.25">
      <c r="A826861" s="242"/>
    </row>
    <row r="826862" spans="1:1" x14ac:dyDescent="0.25">
      <c r="A826862" s="242"/>
    </row>
    <row r="826863" spans="1:1" x14ac:dyDescent="0.25">
      <c r="A826863" s="242"/>
    </row>
    <row r="826864" spans="1:1" x14ac:dyDescent="0.25">
      <c r="A826864" s="242"/>
    </row>
    <row r="826865" spans="1:1" x14ac:dyDescent="0.25">
      <c r="A826865" s="242"/>
    </row>
    <row r="826866" spans="1:1" x14ac:dyDescent="0.25">
      <c r="A826866" s="242"/>
    </row>
    <row r="826867" spans="1:1" x14ac:dyDescent="0.25">
      <c r="A826867" s="242"/>
    </row>
    <row r="826868" spans="1:1" x14ac:dyDescent="0.25">
      <c r="A826868" s="242"/>
    </row>
    <row r="826869" spans="1:1" x14ac:dyDescent="0.25">
      <c r="A826869" s="242"/>
    </row>
    <row r="826870" spans="1:1" x14ac:dyDescent="0.25">
      <c r="A826870" s="242"/>
    </row>
    <row r="826871" spans="1:1" x14ac:dyDescent="0.25">
      <c r="A826871" s="242"/>
    </row>
    <row r="826872" spans="1:1" x14ac:dyDescent="0.25">
      <c r="A826872" s="242"/>
    </row>
    <row r="826873" spans="1:1" x14ac:dyDescent="0.25">
      <c r="A826873" s="242"/>
    </row>
    <row r="826874" spans="1:1" x14ac:dyDescent="0.25">
      <c r="A826874" s="242"/>
    </row>
    <row r="826875" spans="1:1" x14ac:dyDescent="0.25">
      <c r="A826875" s="242"/>
    </row>
    <row r="826876" spans="1:1" x14ac:dyDescent="0.25">
      <c r="A826876" s="242"/>
    </row>
    <row r="826877" spans="1:1" x14ac:dyDescent="0.25">
      <c r="A826877" s="242"/>
    </row>
    <row r="826878" spans="1:1" x14ac:dyDescent="0.25">
      <c r="A826878" s="242"/>
    </row>
    <row r="826879" spans="1:1" x14ac:dyDescent="0.25">
      <c r="A826879" s="242"/>
    </row>
    <row r="826880" spans="1:1" x14ac:dyDescent="0.25">
      <c r="A826880" s="242"/>
    </row>
    <row r="826881" spans="1:1" x14ac:dyDescent="0.25">
      <c r="A826881" s="242"/>
    </row>
    <row r="826882" spans="1:1" x14ac:dyDescent="0.25">
      <c r="A826882" s="242"/>
    </row>
    <row r="826883" spans="1:1" x14ac:dyDescent="0.25">
      <c r="A826883" s="242"/>
    </row>
    <row r="826884" spans="1:1" x14ac:dyDescent="0.25">
      <c r="A826884" s="242"/>
    </row>
    <row r="826885" spans="1:1" x14ac:dyDescent="0.25">
      <c r="A826885" s="242"/>
    </row>
    <row r="826886" spans="1:1" x14ac:dyDescent="0.25">
      <c r="A826886" s="242"/>
    </row>
    <row r="826887" spans="1:1" x14ac:dyDescent="0.25">
      <c r="A826887" s="242"/>
    </row>
    <row r="826888" spans="1:1" x14ac:dyDescent="0.25">
      <c r="A826888" s="242"/>
    </row>
    <row r="826889" spans="1:1" x14ac:dyDescent="0.25">
      <c r="A826889" s="242"/>
    </row>
    <row r="826890" spans="1:1" x14ac:dyDescent="0.25">
      <c r="A826890" s="242"/>
    </row>
    <row r="826891" spans="1:1" x14ac:dyDescent="0.25">
      <c r="A826891" s="242"/>
    </row>
    <row r="826892" spans="1:1" x14ac:dyDescent="0.25">
      <c r="A826892" s="242"/>
    </row>
    <row r="826893" spans="1:1" x14ac:dyDescent="0.25">
      <c r="A826893" s="242"/>
    </row>
    <row r="826894" spans="1:1" x14ac:dyDescent="0.25">
      <c r="A826894" s="242"/>
    </row>
    <row r="826895" spans="1:1" x14ac:dyDescent="0.25">
      <c r="A826895" s="242"/>
    </row>
    <row r="826896" spans="1:1" x14ac:dyDescent="0.25">
      <c r="A826896" s="242"/>
    </row>
    <row r="826897" spans="1:1" x14ac:dyDescent="0.25">
      <c r="A826897" s="242"/>
    </row>
    <row r="826898" spans="1:1" x14ac:dyDescent="0.25">
      <c r="A826898" s="242"/>
    </row>
    <row r="826899" spans="1:1" x14ac:dyDescent="0.25">
      <c r="A826899" s="242"/>
    </row>
    <row r="826900" spans="1:1" x14ac:dyDescent="0.25">
      <c r="A826900" s="242"/>
    </row>
    <row r="826901" spans="1:1" x14ac:dyDescent="0.25">
      <c r="A826901" s="242"/>
    </row>
    <row r="826902" spans="1:1" x14ac:dyDescent="0.25">
      <c r="A826902" s="242"/>
    </row>
    <row r="826903" spans="1:1" x14ac:dyDescent="0.25">
      <c r="A826903" s="242"/>
    </row>
    <row r="826904" spans="1:1" x14ac:dyDescent="0.25">
      <c r="A826904" s="242"/>
    </row>
    <row r="826905" spans="1:1" x14ac:dyDescent="0.25">
      <c r="A826905" s="242"/>
    </row>
    <row r="826906" spans="1:1" x14ac:dyDescent="0.25">
      <c r="A826906" s="242"/>
    </row>
    <row r="826907" spans="1:1" x14ac:dyDescent="0.25">
      <c r="A826907" s="242"/>
    </row>
    <row r="826908" spans="1:1" x14ac:dyDescent="0.25">
      <c r="A826908" s="242"/>
    </row>
    <row r="826909" spans="1:1" x14ac:dyDescent="0.25">
      <c r="A826909" s="242"/>
    </row>
    <row r="826910" spans="1:1" x14ac:dyDescent="0.25">
      <c r="A826910" s="242"/>
    </row>
    <row r="826911" spans="1:1" x14ac:dyDescent="0.25">
      <c r="A826911" s="242"/>
    </row>
    <row r="826912" spans="1:1" x14ac:dyDescent="0.25">
      <c r="A826912" s="242"/>
    </row>
    <row r="826913" spans="1:1" x14ac:dyDescent="0.25">
      <c r="A826913" s="242"/>
    </row>
    <row r="826914" spans="1:1" x14ac:dyDescent="0.25">
      <c r="A826914" s="242"/>
    </row>
    <row r="826915" spans="1:1" x14ac:dyDescent="0.25">
      <c r="A826915" s="242"/>
    </row>
    <row r="826916" spans="1:1" x14ac:dyDescent="0.25">
      <c r="A826916" s="242"/>
    </row>
    <row r="826917" spans="1:1" x14ac:dyDescent="0.25">
      <c r="A826917" s="242"/>
    </row>
    <row r="826918" spans="1:1" x14ac:dyDescent="0.25">
      <c r="A826918" s="242"/>
    </row>
    <row r="826919" spans="1:1" x14ac:dyDescent="0.25">
      <c r="A826919" s="242"/>
    </row>
    <row r="826920" spans="1:1" x14ac:dyDescent="0.25">
      <c r="A826920" s="242"/>
    </row>
    <row r="826921" spans="1:1" x14ac:dyDescent="0.25">
      <c r="A826921" s="242"/>
    </row>
    <row r="826922" spans="1:1" x14ac:dyDescent="0.25">
      <c r="A826922" s="242"/>
    </row>
    <row r="826923" spans="1:1" x14ac:dyDescent="0.25">
      <c r="A826923" s="242"/>
    </row>
    <row r="826924" spans="1:1" x14ac:dyDescent="0.25">
      <c r="A826924" s="242"/>
    </row>
    <row r="826925" spans="1:1" x14ac:dyDescent="0.25">
      <c r="A826925" s="242"/>
    </row>
    <row r="826926" spans="1:1" x14ac:dyDescent="0.25">
      <c r="A826926" s="242"/>
    </row>
    <row r="826927" spans="1:1" x14ac:dyDescent="0.25">
      <c r="A826927" s="242"/>
    </row>
    <row r="826928" spans="1:1" x14ac:dyDescent="0.25">
      <c r="A826928" s="242"/>
    </row>
    <row r="826929" spans="1:1" x14ac:dyDescent="0.25">
      <c r="A826929" s="242"/>
    </row>
    <row r="826930" spans="1:1" x14ac:dyDescent="0.25">
      <c r="A826930" s="242"/>
    </row>
    <row r="826931" spans="1:1" x14ac:dyDescent="0.25">
      <c r="A826931" s="242"/>
    </row>
    <row r="826932" spans="1:1" x14ac:dyDescent="0.25">
      <c r="A826932" s="242"/>
    </row>
    <row r="826933" spans="1:1" x14ac:dyDescent="0.25">
      <c r="A826933" s="242"/>
    </row>
    <row r="826934" spans="1:1" x14ac:dyDescent="0.25">
      <c r="A826934" s="242"/>
    </row>
    <row r="826935" spans="1:1" x14ac:dyDescent="0.25">
      <c r="A826935" s="242"/>
    </row>
    <row r="826936" spans="1:1" x14ac:dyDescent="0.25">
      <c r="A826936" s="242"/>
    </row>
    <row r="826937" spans="1:1" x14ac:dyDescent="0.25">
      <c r="A826937" s="242"/>
    </row>
    <row r="826938" spans="1:1" x14ac:dyDescent="0.25">
      <c r="A826938" s="242"/>
    </row>
    <row r="826939" spans="1:1" x14ac:dyDescent="0.25">
      <c r="A826939" s="242"/>
    </row>
    <row r="826940" spans="1:1" x14ac:dyDescent="0.25">
      <c r="A826940" s="242"/>
    </row>
    <row r="826941" spans="1:1" x14ac:dyDescent="0.25">
      <c r="A826941" s="242"/>
    </row>
    <row r="826942" spans="1:1" x14ac:dyDescent="0.25">
      <c r="A826942" s="242"/>
    </row>
    <row r="826943" spans="1:1" x14ac:dyDescent="0.25">
      <c r="A826943" s="242"/>
    </row>
    <row r="826944" spans="1:1" x14ac:dyDescent="0.25">
      <c r="A826944" s="242"/>
    </row>
    <row r="826945" spans="1:1" x14ac:dyDescent="0.25">
      <c r="A826945" s="242"/>
    </row>
    <row r="826946" spans="1:1" x14ac:dyDescent="0.25">
      <c r="A826946" s="242"/>
    </row>
    <row r="826947" spans="1:1" x14ac:dyDescent="0.25">
      <c r="A826947" s="242"/>
    </row>
    <row r="826948" spans="1:1" x14ac:dyDescent="0.25">
      <c r="A826948" s="242"/>
    </row>
    <row r="826949" spans="1:1" x14ac:dyDescent="0.25">
      <c r="A826949" s="242"/>
    </row>
    <row r="826950" spans="1:1" x14ac:dyDescent="0.25">
      <c r="A826950" s="242"/>
    </row>
    <row r="826951" spans="1:1" x14ac:dyDescent="0.25">
      <c r="A826951" s="242"/>
    </row>
    <row r="826952" spans="1:1" x14ac:dyDescent="0.25">
      <c r="A826952" s="242"/>
    </row>
    <row r="826953" spans="1:1" x14ac:dyDescent="0.25">
      <c r="A826953" s="242"/>
    </row>
    <row r="826954" spans="1:1" x14ac:dyDescent="0.25">
      <c r="A826954" s="242"/>
    </row>
    <row r="826955" spans="1:1" x14ac:dyDescent="0.25">
      <c r="A826955" s="242"/>
    </row>
    <row r="826956" spans="1:1" x14ac:dyDescent="0.25">
      <c r="A826956" s="242"/>
    </row>
    <row r="826957" spans="1:1" x14ac:dyDescent="0.25">
      <c r="A826957" s="242"/>
    </row>
    <row r="826958" spans="1:1" x14ac:dyDescent="0.25">
      <c r="A826958" s="242"/>
    </row>
    <row r="826959" spans="1:1" x14ac:dyDescent="0.25">
      <c r="A826959" s="242"/>
    </row>
    <row r="826960" spans="1:1" x14ac:dyDescent="0.25">
      <c r="A826960" s="242"/>
    </row>
    <row r="826961" spans="1:1" x14ac:dyDescent="0.25">
      <c r="A826961" s="242"/>
    </row>
    <row r="826962" spans="1:1" x14ac:dyDescent="0.25">
      <c r="A826962" s="242"/>
    </row>
    <row r="826963" spans="1:1" x14ac:dyDescent="0.25">
      <c r="A826963" s="242"/>
    </row>
    <row r="826964" spans="1:1" x14ac:dyDescent="0.25">
      <c r="A826964" s="242"/>
    </row>
    <row r="826965" spans="1:1" x14ac:dyDescent="0.25">
      <c r="A826965" s="242"/>
    </row>
    <row r="826966" spans="1:1" x14ac:dyDescent="0.25">
      <c r="A826966" s="242"/>
    </row>
    <row r="826967" spans="1:1" x14ac:dyDescent="0.25">
      <c r="A826967" s="242"/>
    </row>
    <row r="826968" spans="1:1" x14ac:dyDescent="0.25">
      <c r="A826968" s="242"/>
    </row>
    <row r="826969" spans="1:1" x14ac:dyDescent="0.25">
      <c r="A826969" s="242"/>
    </row>
    <row r="826970" spans="1:1" x14ac:dyDescent="0.25">
      <c r="A826970" s="242"/>
    </row>
    <row r="826971" spans="1:1" x14ac:dyDescent="0.25">
      <c r="A826971" s="242"/>
    </row>
    <row r="826972" spans="1:1" x14ac:dyDescent="0.25">
      <c r="A826972" s="242"/>
    </row>
    <row r="826973" spans="1:1" x14ac:dyDescent="0.25">
      <c r="A826973" s="242"/>
    </row>
    <row r="826974" spans="1:1" x14ac:dyDescent="0.25">
      <c r="A826974" s="242"/>
    </row>
    <row r="826975" spans="1:1" x14ac:dyDescent="0.25">
      <c r="A826975" s="242"/>
    </row>
    <row r="826976" spans="1:1" x14ac:dyDescent="0.25">
      <c r="A826976" s="242"/>
    </row>
    <row r="826977" spans="1:1" x14ac:dyDescent="0.25">
      <c r="A826977" s="242"/>
    </row>
    <row r="826978" spans="1:1" x14ac:dyDescent="0.25">
      <c r="A826978" s="242"/>
    </row>
    <row r="826979" spans="1:1" x14ac:dyDescent="0.25">
      <c r="A826979" s="242"/>
    </row>
    <row r="826980" spans="1:1" x14ac:dyDescent="0.25">
      <c r="A826980" s="242"/>
    </row>
    <row r="826981" spans="1:1" x14ac:dyDescent="0.25">
      <c r="A826981" s="242"/>
    </row>
    <row r="826982" spans="1:1" x14ac:dyDescent="0.25">
      <c r="A826982" s="242"/>
    </row>
    <row r="826983" spans="1:1" x14ac:dyDescent="0.25">
      <c r="A826983" s="242"/>
    </row>
    <row r="826984" spans="1:1" x14ac:dyDescent="0.25">
      <c r="A826984" s="242"/>
    </row>
    <row r="826985" spans="1:1" x14ac:dyDescent="0.25">
      <c r="A826985" s="242"/>
    </row>
    <row r="826986" spans="1:1" x14ac:dyDescent="0.25">
      <c r="A826986" s="242"/>
    </row>
    <row r="826987" spans="1:1" x14ac:dyDescent="0.25">
      <c r="A826987" s="242"/>
    </row>
    <row r="826988" spans="1:1" x14ac:dyDescent="0.25">
      <c r="A826988" s="242"/>
    </row>
    <row r="826989" spans="1:1" x14ac:dyDescent="0.25">
      <c r="A826989" s="242"/>
    </row>
    <row r="826990" spans="1:1" x14ac:dyDescent="0.25">
      <c r="A826990" s="242"/>
    </row>
    <row r="826991" spans="1:1" x14ac:dyDescent="0.25">
      <c r="A826991" s="242"/>
    </row>
    <row r="826992" spans="1:1" x14ac:dyDescent="0.25">
      <c r="A826992" s="242"/>
    </row>
    <row r="826993" spans="1:1" x14ac:dyDescent="0.25">
      <c r="A826993" s="242"/>
    </row>
    <row r="826994" spans="1:1" x14ac:dyDescent="0.25">
      <c r="A826994" s="242"/>
    </row>
    <row r="826995" spans="1:1" x14ac:dyDescent="0.25">
      <c r="A826995" s="242"/>
    </row>
    <row r="826996" spans="1:1" x14ac:dyDescent="0.25">
      <c r="A826996" s="242"/>
    </row>
    <row r="826997" spans="1:1" x14ac:dyDescent="0.25">
      <c r="A826997" s="242"/>
    </row>
    <row r="826998" spans="1:1" x14ac:dyDescent="0.25">
      <c r="A826998" s="242"/>
    </row>
    <row r="826999" spans="1:1" x14ac:dyDescent="0.25">
      <c r="A826999" s="242"/>
    </row>
    <row r="827000" spans="1:1" x14ac:dyDescent="0.25">
      <c r="A827000" s="242"/>
    </row>
    <row r="827001" spans="1:1" x14ac:dyDescent="0.25">
      <c r="A827001" s="242"/>
    </row>
    <row r="827002" spans="1:1" x14ac:dyDescent="0.25">
      <c r="A827002" s="242"/>
    </row>
    <row r="827003" spans="1:1" x14ac:dyDescent="0.25">
      <c r="A827003" s="242"/>
    </row>
    <row r="827004" spans="1:1" x14ac:dyDescent="0.25">
      <c r="A827004" s="242"/>
    </row>
    <row r="827005" spans="1:1" x14ac:dyDescent="0.25">
      <c r="A827005" s="242"/>
    </row>
    <row r="827006" spans="1:1" x14ac:dyDescent="0.25">
      <c r="A827006" s="242"/>
    </row>
    <row r="827007" spans="1:1" x14ac:dyDescent="0.25">
      <c r="A827007" s="242"/>
    </row>
    <row r="827008" spans="1:1" x14ac:dyDescent="0.25">
      <c r="A827008" s="242"/>
    </row>
    <row r="827009" spans="1:1" x14ac:dyDescent="0.25">
      <c r="A827009" s="242"/>
    </row>
    <row r="827010" spans="1:1" x14ac:dyDescent="0.25">
      <c r="A827010" s="242"/>
    </row>
    <row r="827011" spans="1:1" x14ac:dyDescent="0.25">
      <c r="A827011" s="242"/>
    </row>
    <row r="827012" spans="1:1" x14ac:dyDescent="0.25">
      <c r="A827012" s="242"/>
    </row>
    <row r="827013" spans="1:1" x14ac:dyDescent="0.25">
      <c r="A827013" s="242"/>
    </row>
    <row r="827014" spans="1:1" x14ac:dyDescent="0.25">
      <c r="A827014" s="242"/>
    </row>
    <row r="827015" spans="1:1" x14ac:dyDescent="0.25">
      <c r="A827015" s="242"/>
    </row>
    <row r="827016" spans="1:1" x14ac:dyDescent="0.25">
      <c r="A827016" s="242"/>
    </row>
    <row r="827017" spans="1:1" x14ac:dyDescent="0.25">
      <c r="A827017" s="242"/>
    </row>
    <row r="827018" spans="1:1" x14ac:dyDescent="0.25">
      <c r="A827018" s="242"/>
    </row>
    <row r="827019" spans="1:1" x14ac:dyDescent="0.25">
      <c r="A827019" s="242"/>
    </row>
    <row r="827020" spans="1:1" x14ac:dyDescent="0.25">
      <c r="A827020" s="242"/>
    </row>
    <row r="827021" spans="1:1" x14ac:dyDescent="0.25">
      <c r="A827021" s="242"/>
    </row>
    <row r="827022" spans="1:1" x14ac:dyDescent="0.25">
      <c r="A827022" s="242"/>
    </row>
    <row r="827023" spans="1:1" x14ac:dyDescent="0.25">
      <c r="A827023" s="242"/>
    </row>
    <row r="827024" spans="1:1" x14ac:dyDescent="0.25">
      <c r="A827024" s="242"/>
    </row>
    <row r="827025" spans="1:1" x14ac:dyDescent="0.25">
      <c r="A827025" s="242"/>
    </row>
    <row r="827026" spans="1:1" x14ac:dyDescent="0.25">
      <c r="A827026" s="242"/>
    </row>
    <row r="827027" spans="1:1" x14ac:dyDescent="0.25">
      <c r="A827027" s="242"/>
    </row>
    <row r="827028" spans="1:1" x14ac:dyDescent="0.25">
      <c r="A827028" s="242"/>
    </row>
    <row r="827029" spans="1:1" x14ac:dyDescent="0.25">
      <c r="A827029" s="242"/>
    </row>
    <row r="827030" spans="1:1" x14ac:dyDescent="0.25">
      <c r="A827030" s="242"/>
    </row>
    <row r="827031" spans="1:1" x14ac:dyDescent="0.25">
      <c r="A827031" s="242"/>
    </row>
    <row r="827032" spans="1:1" x14ac:dyDescent="0.25">
      <c r="A827032" s="242"/>
    </row>
    <row r="827033" spans="1:1" x14ac:dyDescent="0.25">
      <c r="A827033" s="242"/>
    </row>
    <row r="827034" spans="1:1" x14ac:dyDescent="0.25">
      <c r="A827034" s="242"/>
    </row>
    <row r="827035" spans="1:1" x14ac:dyDescent="0.25">
      <c r="A827035" s="242"/>
    </row>
    <row r="827036" spans="1:1" x14ac:dyDescent="0.25">
      <c r="A827036" s="242"/>
    </row>
    <row r="827037" spans="1:1" x14ac:dyDescent="0.25">
      <c r="A827037" s="242"/>
    </row>
    <row r="827038" spans="1:1" x14ac:dyDescent="0.25">
      <c r="A827038" s="242"/>
    </row>
    <row r="827039" spans="1:1" x14ac:dyDescent="0.25">
      <c r="A827039" s="242"/>
    </row>
    <row r="827040" spans="1:1" x14ac:dyDescent="0.25">
      <c r="A827040" s="242"/>
    </row>
    <row r="827041" spans="1:1" x14ac:dyDescent="0.25">
      <c r="A827041" s="242"/>
    </row>
    <row r="827042" spans="1:1" x14ac:dyDescent="0.25">
      <c r="A827042" s="242"/>
    </row>
    <row r="827043" spans="1:1" x14ac:dyDescent="0.25">
      <c r="A827043" s="242"/>
    </row>
    <row r="827044" spans="1:1" x14ac:dyDescent="0.25">
      <c r="A827044" s="242"/>
    </row>
    <row r="827045" spans="1:1" x14ac:dyDescent="0.25">
      <c r="A827045" s="242"/>
    </row>
    <row r="827046" spans="1:1" x14ac:dyDescent="0.25">
      <c r="A827046" s="242"/>
    </row>
    <row r="827047" spans="1:1" x14ac:dyDescent="0.25">
      <c r="A827047" s="242"/>
    </row>
    <row r="827048" spans="1:1" x14ac:dyDescent="0.25">
      <c r="A827048" s="242"/>
    </row>
    <row r="827049" spans="1:1" x14ac:dyDescent="0.25">
      <c r="A827049" s="242"/>
    </row>
    <row r="827050" spans="1:1" x14ac:dyDescent="0.25">
      <c r="A827050" s="242"/>
    </row>
    <row r="827051" spans="1:1" x14ac:dyDescent="0.25">
      <c r="A827051" s="242"/>
    </row>
    <row r="827052" spans="1:1" x14ac:dyDescent="0.25">
      <c r="A827052" s="242"/>
    </row>
    <row r="827053" spans="1:1" x14ac:dyDescent="0.25">
      <c r="A827053" s="242"/>
    </row>
    <row r="827054" spans="1:1" x14ac:dyDescent="0.25">
      <c r="A827054" s="242"/>
    </row>
    <row r="827055" spans="1:1" x14ac:dyDescent="0.25">
      <c r="A827055" s="242"/>
    </row>
    <row r="827056" spans="1:1" x14ac:dyDescent="0.25">
      <c r="A827056" s="242"/>
    </row>
    <row r="827057" spans="1:1" x14ac:dyDescent="0.25">
      <c r="A827057" s="242"/>
    </row>
    <row r="827058" spans="1:1" x14ac:dyDescent="0.25">
      <c r="A827058" s="242"/>
    </row>
    <row r="827059" spans="1:1" x14ac:dyDescent="0.25">
      <c r="A827059" s="242"/>
    </row>
    <row r="827060" spans="1:1" x14ac:dyDescent="0.25">
      <c r="A827060" s="242"/>
    </row>
    <row r="827061" spans="1:1" x14ac:dyDescent="0.25">
      <c r="A827061" s="242"/>
    </row>
    <row r="827062" spans="1:1" x14ac:dyDescent="0.25">
      <c r="A827062" s="242"/>
    </row>
    <row r="827063" spans="1:1" x14ac:dyDescent="0.25">
      <c r="A827063" s="242"/>
    </row>
    <row r="827064" spans="1:1" x14ac:dyDescent="0.25">
      <c r="A827064" s="242"/>
    </row>
    <row r="827065" spans="1:1" x14ac:dyDescent="0.25">
      <c r="A827065" s="242"/>
    </row>
    <row r="827066" spans="1:1" x14ac:dyDescent="0.25">
      <c r="A827066" s="242"/>
    </row>
    <row r="827067" spans="1:1" x14ac:dyDescent="0.25">
      <c r="A827067" s="242"/>
    </row>
    <row r="827068" spans="1:1" x14ac:dyDescent="0.25">
      <c r="A827068" s="242"/>
    </row>
    <row r="827069" spans="1:1" x14ac:dyDescent="0.25">
      <c r="A827069" s="242"/>
    </row>
    <row r="827070" spans="1:1" x14ac:dyDescent="0.25">
      <c r="A827070" s="242"/>
    </row>
    <row r="827071" spans="1:1" x14ac:dyDescent="0.25">
      <c r="A827071" s="242"/>
    </row>
    <row r="827072" spans="1:1" x14ac:dyDescent="0.25">
      <c r="A827072" s="242"/>
    </row>
    <row r="827073" spans="1:1" x14ac:dyDescent="0.25">
      <c r="A827073" s="242"/>
    </row>
    <row r="827074" spans="1:1" x14ac:dyDescent="0.25">
      <c r="A827074" s="242"/>
    </row>
    <row r="827075" spans="1:1" x14ac:dyDescent="0.25">
      <c r="A827075" s="242"/>
    </row>
    <row r="827076" spans="1:1" x14ac:dyDescent="0.25">
      <c r="A827076" s="242"/>
    </row>
    <row r="827077" spans="1:1" x14ac:dyDescent="0.25">
      <c r="A827077" s="242"/>
    </row>
    <row r="827078" spans="1:1" x14ac:dyDescent="0.25">
      <c r="A827078" s="242"/>
    </row>
    <row r="827079" spans="1:1" x14ac:dyDescent="0.25">
      <c r="A827079" s="242"/>
    </row>
    <row r="827080" spans="1:1" x14ac:dyDescent="0.25">
      <c r="A827080" s="242"/>
    </row>
    <row r="827081" spans="1:1" x14ac:dyDescent="0.25">
      <c r="A827081" s="242"/>
    </row>
    <row r="827082" spans="1:1" x14ac:dyDescent="0.25">
      <c r="A827082" s="242"/>
    </row>
    <row r="827083" spans="1:1" x14ac:dyDescent="0.25">
      <c r="A827083" s="242"/>
    </row>
    <row r="827084" spans="1:1" x14ac:dyDescent="0.25">
      <c r="A827084" s="242"/>
    </row>
    <row r="827085" spans="1:1" x14ac:dyDescent="0.25">
      <c r="A827085" s="242"/>
    </row>
    <row r="827086" spans="1:1" x14ac:dyDescent="0.25">
      <c r="A827086" s="242"/>
    </row>
    <row r="827087" spans="1:1" x14ac:dyDescent="0.25">
      <c r="A827087" s="242"/>
    </row>
    <row r="827088" spans="1:1" x14ac:dyDescent="0.25">
      <c r="A827088" s="242"/>
    </row>
    <row r="827089" spans="1:1" x14ac:dyDescent="0.25">
      <c r="A827089" s="242"/>
    </row>
    <row r="827090" spans="1:1" x14ac:dyDescent="0.25">
      <c r="A827090" s="242"/>
    </row>
    <row r="827091" spans="1:1" x14ac:dyDescent="0.25">
      <c r="A827091" s="242"/>
    </row>
    <row r="827092" spans="1:1" x14ac:dyDescent="0.25">
      <c r="A827092" s="242"/>
    </row>
    <row r="827093" spans="1:1" x14ac:dyDescent="0.25">
      <c r="A827093" s="242"/>
    </row>
    <row r="827094" spans="1:1" x14ac:dyDescent="0.25">
      <c r="A827094" s="242"/>
    </row>
    <row r="827095" spans="1:1" x14ac:dyDescent="0.25">
      <c r="A827095" s="242"/>
    </row>
    <row r="827096" spans="1:1" x14ac:dyDescent="0.25">
      <c r="A827096" s="242"/>
    </row>
    <row r="827097" spans="1:1" x14ac:dyDescent="0.25">
      <c r="A827097" s="242"/>
    </row>
    <row r="827098" spans="1:1" x14ac:dyDescent="0.25">
      <c r="A827098" s="242"/>
    </row>
    <row r="827099" spans="1:1" x14ac:dyDescent="0.25">
      <c r="A827099" s="242"/>
    </row>
    <row r="827100" spans="1:1" x14ac:dyDescent="0.25">
      <c r="A827100" s="242"/>
    </row>
    <row r="827101" spans="1:1" x14ac:dyDescent="0.25">
      <c r="A827101" s="242"/>
    </row>
    <row r="827102" spans="1:1" x14ac:dyDescent="0.25">
      <c r="A827102" s="242"/>
    </row>
    <row r="827103" spans="1:1" x14ac:dyDescent="0.25">
      <c r="A827103" s="242"/>
    </row>
    <row r="827104" spans="1:1" x14ac:dyDescent="0.25">
      <c r="A827104" s="242"/>
    </row>
    <row r="827105" spans="1:1" x14ac:dyDescent="0.25">
      <c r="A827105" s="242"/>
    </row>
    <row r="827106" spans="1:1" x14ac:dyDescent="0.25">
      <c r="A827106" s="242"/>
    </row>
    <row r="827107" spans="1:1" x14ac:dyDescent="0.25">
      <c r="A827107" s="242"/>
    </row>
    <row r="827108" spans="1:1" x14ac:dyDescent="0.25">
      <c r="A827108" s="242"/>
    </row>
    <row r="827109" spans="1:1" x14ac:dyDescent="0.25">
      <c r="A827109" s="242"/>
    </row>
    <row r="827110" spans="1:1" x14ac:dyDescent="0.25">
      <c r="A827110" s="242"/>
    </row>
    <row r="827111" spans="1:1" x14ac:dyDescent="0.25">
      <c r="A827111" s="242"/>
    </row>
    <row r="827112" spans="1:1" x14ac:dyDescent="0.25">
      <c r="A827112" s="242"/>
    </row>
    <row r="827113" spans="1:1" x14ac:dyDescent="0.25">
      <c r="A827113" s="242"/>
    </row>
    <row r="827114" spans="1:1" x14ac:dyDescent="0.25">
      <c r="A827114" s="242"/>
    </row>
    <row r="827115" spans="1:1" x14ac:dyDescent="0.25">
      <c r="A827115" s="242"/>
    </row>
    <row r="827116" spans="1:1" x14ac:dyDescent="0.25">
      <c r="A827116" s="242"/>
    </row>
    <row r="827117" spans="1:1" x14ac:dyDescent="0.25">
      <c r="A827117" s="242"/>
    </row>
    <row r="827118" spans="1:1" x14ac:dyDescent="0.25">
      <c r="A827118" s="242"/>
    </row>
    <row r="827119" spans="1:1" x14ac:dyDescent="0.25">
      <c r="A827119" s="242"/>
    </row>
    <row r="827120" spans="1:1" x14ac:dyDescent="0.25">
      <c r="A827120" s="242"/>
    </row>
    <row r="827121" spans="1:1" x14ac:dyDescent="0.25">
      <c r="A827121" s="242"/>
    </row>
    <row r="827122" spans="1:1" x14ac:dyDescent="0.25">
      <c r="A827122" s="242"/>
    </row>
    <row r="827123" spans="1:1" x14ac:dyDescent="0.25">
      <c r="A827123" s="242"/>
    </row>
    <row r="827124" spans="1:1" x14ac:dyDescent="0.25">
      <c r="A827124" s="242"/>
    </row>
    <row r="827125" spans="1:1" x14ac:dyDescent="0.25">
      <c r="A827125" s="242"/>
    </row>
    <row r="827126" spans="1:1" x14ac:dyDescent="0.25">
      <c r="A827126" s="242"/>
    </row>
    <row r="827127" spans="1:1" x14ac:dyDescent="0.25">
      <c r="A827127" s="242"/>
    </row>
    <row r="827128" spans="1:1" x14ac:dyDescent="0.25">
      <c r="A827128" s="242"/>
    </row>
    <row r="827129" spans="1:1" x14ac:dyDescent="0.25">
      <c r="A827129" s="242"/>
    </row>
    <row r="827130" spans="1:1" x14ac:dyDescent="0.25">
      <c r="A827130" s="242"/>
    </row>
    <row r="827131" spans="1:1" x14ac:dyDescent="0.25">
      <c r="A827131" s="242"/>
    </row>
    <row r="827132" spans="1:1" x14ac:dyDescent="0.25">
      <c r="A827132" s="242"/>
    </row>
    <row r="827133" spans="1:1" x14ac:dyDescent="0.25">
      <c r="A827133" s="242"/>
    </row>
    <row r="827134" spans="1:1" x14ac:dyDescent="0.25">
      <c r="A827134" s="242"/>
    </row>
    <row r="827135" spans="1:1" x14ac:dyDescent="0.25">
      <c r="A827135" s="242"/>
    </row>
    <row r="827136" spans="1:1" x14ac:dyDescent="0.25">
      <c r="A827136" s="242"/>
    </row>
    <row r="827137" spans="1:1" x14ac:dyDescent="0.25">
      <c r="A827137" s="242"/>
    </row>
    <row r="827138" spans="1:1" x14ac:dyDescent="0.25">
      <c r="A827138" s="242"/>
    </row>
    <row r="827139" spans="1:1" x14ac:dyDescent="0.25">
      <c r="A827139" s="242"/>
    </row>
    <row r="827140" spans="1:1" x14ac:dyDescent="0.25">
      <c r="A827140" s="242"/>
    </row>
    <row r="827141" spans="1:1" x14ac:dyDescent="0.25">
      <c r="A827141" s="242"/>
    </row>
    <row r="827142" spans="1:1" x14ac:dyDescent="0.25">
      <c r="A827142" s="242"/>
    </row>
    <row r="827143" spans="1:1" x14ac:dyDescent="0.25">
      <c r="A827143" s="242"/>
    </row>
    <row r="827144" spans="1:1" x14ac:dyDescent="0.25">
      <c r="A827144" s="242"/>
    </row>
    <row r="827145" spans="1:1" x14ac:dyDescent="0.25">
      <c r="A827145" s="242"/>
    </row>
    <row r="827146" spans="1:1" x14ac:dyDescent="0.25">
      <c r="A827146" s="242"/>
    </row>
    <row r="827147" spans="1:1" x14ac:dyDescent="0.25">
      <c r="A827147" s="242"/>
    </row>
    <row r="827148" spans="1:1" x14ac:dyDescent="0.25">
      <c r="A827148" s="242"/>
    </row>
    <row r="827149" spans="1:1" x14ac:dyDescent="0.25">
      <c r="A827149" s="242"/>
    </row>
    <row r="827150" spans="1:1" x14ac:dyDescent="0.25">
      <c r="A827150" s="242"/>
    </row>
    <row r="827151" spans="1:1" x14ac:dyDescent="0.25">
      <c r="A827151" s="242"/>
    </row>
    <row r="827152" spans="1:1" x14ac:dyDescent="0.25">
      <c r="A827152" s="242"/>
    </row>
    <row r="827153" spans="1:1" x14ac:dyDescent="0.25">
      <c r="A827153" s="242"/>
    </row>
    <row r="827154" spans="1:1" x14ac:dyDescent="0.25">
      <c r="A827154" s="242"/>
    </row>
    <row r="827155" spans="1:1" x14ac:dyDescent="0.25">
      <c r="A827155" s="242"/>
    </row>
    <row r="827156" spans="1:1" x14ac:dyDescent="0.25">
      <c r="A827156" s="242"/>
    </row>
    <row r="827157" spans="1:1" x14ac:dyDescent="0.25">
      <c r="A827157" s="242"/>
    </row>
    <row r="827158" spans="1:1" x14ac:dyDescent="0.25">
      <c r="A827158" s="242"/>
    </row>
    <row r="827159" spans="1:1" x14ac:dyDescent="0.25">
      <c r="A827159" s="242"/>
    </row>
    <row r="827160" spans="1:1" x14ac:dyDescent="0.25">
      <c r="A827160" s="242"/>
    </row>
    <row r="827161" spans="1:1" x14ac:dyDescent="0.25">
      <c r="A827161" s="242"/>
    </row>
    <row r="827162" spans="1:1" x14ac:dyDescent="0.25">
      <c r="A827162" s="242"/>
    </row>
    <row r="827163" spans="1:1" x14ac:dyDescent="0.25">
      <c r="A827163" s="242"/>
    </row>
    <row r="827164" spans="1:1" x14ac:dyDescent="0.25">
      <c r="A827164" s="242"/>
    </row>
    <row r="827165" spans="1:1" x14ac:dyDescent="0.25">
      <c r="A827165" s="242"/>
    </row>
    <row r="827166" spans="1:1" x14ac:dyDescent="0.25">
      <c r="A827166" s="242"/>
    </row>
    <row r="827167" spans="1:1" x14ac:dyDescent="0.25">
      <c r="A827167" s="242"/>
    </row>
    <row r="827168" spans="1:1" x14ac:dyDescent="0.25">
      <c r="A827168" s="242"/>
    </row>
    <row r="827169" spans="1:1" x14ac:dyDescent="0.25">
      <c r="A827169" s="242"/>
    </row>
    <row r="827170" spans="1:1" x14ac:dyDescent="0.25">
      <c r="A827170" s="242"/>
    </row>
    <row r="827171" spans="1:1" x14ac:dyDescent="0.25">
      <c r="A827171" s="242"/>
    </row>
    <row r="827172" spans="1:1" x14ac:dyDescent="0.25">
      <c r="A827172" s="242"/>
    </row>
    <row r="827173" spans="1:1" x14ac:dyDescent="0.25">
      <c r="A827173" s="242"/>
    </row>
    <row r="827174" spans="1:1" x14ac:dyDescent="0.25">
      <c r="A827174" s="242"/>
    </row>
    <row r="827175" spans="1:1" x14ac:dyDescent="0.25">
      <c r="A827175" s="242"/>
    </row>
    <row r="827176" spans="1:1" x14ac:dyDescent="0.25">
      <c r="A827176" s="242"/>
    </row>
    <row r="827177" spans="1:1" x14ac:dyDescent="0.25">
      <c r="A827177" s="242"/>
    </row>
    <row r="827178" spans="1:1" x14ac:dyDescent="0.25">
      <c r="A827178" s="242"/>
    </row>
    <row r="827179" spans="1:1" x14ac:dyDescent="0.25">
      <c r="A827179" s="242"/>
    </row>
    <row r="827180" spans="1:1" x14ac:dyDescent="0.25">
      <c r="A827180" s="242"/>
    </row>
    <row r="827181" spans="1:1" x14ac:dyDescent="0.25">
      <c r="A827181" s="242"/>
    </row>
    <row r="827182" spans="1:1" x14ac:dyDescent="0.25">
      <c r="A827182" s="242"/>
    </row>
    <row r="827183" spans="1:1" x14ac:dyDescent="0.25">
      <c r="A827183" s="242"/>
    </row>
    <row r="827184" spans="1:1" x14ac:dyDescent="0.25">
      <c r="A827184" s="242"/>
    </row>
    <row r="827185" spans="1:1" x14ac:dyDescent="0.25">
      <c r="A827185" s="242"/>
    </row>
    <row r="827186" spans="1:1" x14ac:dyDescent="0.25">
      <c r="A827186" s="242"/>
    </row>
    <row r="827187" spans="1:1" x14ac:dyDescent="0.25">
      <c r="A827187" s="242"/>
    </row>
    <row r="827188" spans="1:1" x14ac:dyDescent="0.25">
      <c r="A827188" s="242"/>
    </row>
    <row r="827189" spans="1:1" x14ac:dyDescent="0.25">
      <c r="A827189" s="242"/>
    </row>
    <row r="827190" spans="1:1" x14ac:dyDescent="0.25">
      <c r="A827190" s="242"/>
    </row>
    <row r="827191" spans="1:1" x14ac:dyDescent="0.25">
      <c r="A827191" s="242"/>
    </row>
    <row r="827192" spans="1:1" x14ac:dyDescent="0.25">
      <c r="A827192" s="242"/>
    </row>
    <row r="827193" spans="1:1" x14ac:dyDescent="0.25">
      <c r="A827193" s="242"/>
    </row>
    <row r="827194" spans="1:1" x14ac:dyDescent="0.25">
      <c r="A827194" s="242"/>
    </row>
    <row r="827195" spans="1:1" x14ac:dyDescent="0.25">
      <c r="A827195" s="242"/>
    </row>
    <row r="827196" spans="1:1" x14ac:dyDescent="0.25">
      <c r="A827196" s="242"/>
    </row>
    <row r="827197" spans="1:1" x14ac:dyDescent="0.25">
      <c r="A827197" s="242"/>
    </row>
    <row r="827198" spans="1:1" x14ac:dyDescent="0.25">
      <c r="A827198" s="242"/>
    </row>
    <row r="827199" spans="1:1" x14ac:dyDescent="0.25">
      <c r="A827199" s="242"/>
    </row>
    <row r="827200" spans="1:1" x14ac:dyDescent="0.25">
      <c r="A827200" s="242"/>
    </row>
    <row r="827201" spans="1:1" x14ac:dyDescent="0.25">
      <c r="A827201" s="242"/>
    </row>
    <row r="827202" spans="1:1" x14ac:dyDescent="0.25">
      <c r="A827202" s="242"/>
    </row>
    <row r="827203" spans="1:1" x14ac:dyDescent="0.25">
      <c r="A827203" s="242"/>
    </row>
    <row r="827204" spans="1:1" x14ac:dyDescent="0.25">
      <c r="A827204" s="242"/>
    </row>
    <row r="827205" spans="1:1" x14ac:dyDescent="0.25">
      <c r="A827205" s="242"/>
    </row>
    <row r="827206" spans="1:1" x14ac:dyDescent="0.25">
      <c r="A827206" s="242"/>
    </row>
    <row r="827207" spans="1:1" x14ac:dyDescent="0.25">
      <c r="A827207" s="242"/>
    </row>
    <row r="827208" spans="1:1" x14ac:dyDescent="0.25">
      <c r="A827208" s="242"/>
    </row>
    <row r="827209" spans="1:1" x14ac:dyDescent="0.25">
      <c r="A827209" s="242"/>
    </row>
    <row r="827210" spans="1:1" x14ac:dyDescent="0.25">
      <c r="A827210" s="242"/>
    </row>
    <row r="827211" spans="1:1" x14ac:dyDescent="0.25">
      <c r="A827211" s="242"/>
    </row>
    <row r="827212" spans="1:1" x14ac:dyDescent="0.25">
      <c r="A827212" s="242"/>
    </row>
    <row r="827213" spans="1:1" x14ac:dyDescent="0.25">
      <c r="A827213" s="242"/>
    </row>
    <row r="827214" spans="1:1" x14ac:dyDescent="0.25">
      <c r="A827214" s="242"/>
    </row>
    <row r="827215" spans="1:1" x14ac:dyDescent="0.25">
      <c r="A827215" s="242"/>
    </row>
    <row r="827216" spans="1:1" x14ac:dyDescent="0.25">
      <c r="A827216" s="242"/>
    </row>
    <row r="827217" spans="1:1" x14ac:dyDescent="0.25">
      <c r="A827217" s="242"/>
    </row>
    <row r="827218" spans="1:1" x14ac:dyDescent="0.25">
      <c r="A827218" s="242"/>
    </row>
    <row r="827219" spans="1:1" x14ac:dyDescent="0.25">
      <c r="A827219" s="242"/>
    </row>
    <row r="827220" spans="1:1" x14ac:dyDescent="0.25">
      <c r="A827220" s="242"/>
    </row>
    <row r="827221" spans="1:1" x14ac:dyDescent="0.25">
      <c r="A827221" s="242"/>
    </row>
    <row r="827222" spans="1:1" x14ac:dyDescent="0.25">
      <c r="A827222" s="242"/>
    </row>
    <row r="827223" spans="1:1" x14ac:dyDescent="0.25">
      <c r="A827223" s="242"/>
    </row>
    <row r="827224" spans="1:1" x14ac:dyDescent="0.25">
      <c r="A827224" s="242"/>
    </row>
    <row r="827225" spans="1:1" x14ac:dyDescent="0.25">
      <c r="A827225" s="242"/>
    </row>
    <row r="827226" spans="1:1" x14ac:dyDescent="0.25">
      <c r="A827226" s="242"/>
    </row>
    <row r="827227" spans="1:1" x14ac:dyDescent="0.25">
      <c r="A827227" s="242"/>
    </row>
    <row r="827228" spans="1:1" x14ac:dyDescent="0.25">
      <c r="A827228" s="242"/>
    </row>
    <row r="827229" spans="1:1" x14ac:dyDescent="0.25">
      <c r="A827229" s="242"/>
    </row>
    <row r="827230" spans="1:1" x14ac:dyDescent="0.25">
      <c r="A827230" s="242"/>
    </row>
    <row r="827231" spans="1:1" x14ac:dyDescent="0.25">
      <c r="A827231" s="242"/>
    </row>
    <row r="827232" spans="1:1" x14ac:dyDescent="0.25">
      <c r="A827232" s="242"/>
    </row>
    <row r="827233" spans="1:1" x14ac:dyDescent="0.25">
      <c r="A827233" s="242"/>
    </row>
    <row r="827234" spans="1:1" x14ac:dyDescent="0.25">
      <c r="A827234" s="242"/>
    </row>
    <row r="827235" spans="1:1" x14ac:dyDescent="0.25">
      <c r="A827235" s="242"/>
    </row>
    <row r="827236" spans="1:1" x14ac:dyDescent="0.25">
      <c r="A827236" s="242"/>
    </row>
    <row r="827237" spans="1:1" x14ac:dyDescent="0.25">
      <c r="A827237" s="242"/>
    </row>
    <row r="827238" spans="1:1" x14ac:dyDescent="0.25">
      <c r="A827238" s="242"/>
    </row>
    <row r="827239" spans="1:1" x14ac:dyDescent="0.25">
      <c r="A827239" s="242"/>
    </row>
    <row r="827240" spans="1:1" x14ac:dyDescent="0.25">
      <c r="A827240" s="242"/>
    </row>
    <row r="827241" spans="1:1" x14ac:dyDescent="0.25">
      <c r="A827241" s="242"/>
    </row>
    <row r="827242" spans="1:1" x14ac:dyDescent="0.25">
      <c r="A827242" s="242"/>
    </row>
    <row r="827243" spans="1:1" x14ac:dyDescent="0.25">
      <c r="A827243" s="242"/>
    </row>
    <row r="827244" spans="1:1" x14ac:dyDescent="0.25">
      <c r="A827244" s="242"/>
    </row>
    <row r="827245" spans="1:1" x14ac:dyDescent="0.25">
      <c r="A827245" s="242"/>
    </row>
    <row r="827246" spans="1:1" x14ac:dyDescent="0.25">
      <c r="A827246" s="242"/>
    </row>
    <row r="827247" spans="1:1" x14ac:dyDescent="0.25">
      <c r="A827247" s="242"/>
    </row>
    <row r="827248" spans="1:1" x14ac:dyDescent="0.25">
      <c r="A827248" s="242"/>
    </row>
    <row r="827249" spans="1:1" x14ac:dyDescent="0.25">
      <c r="A827249" s="242"/>
    </row>
    <row r="827250" spans="1:1" x14ac:dyDescent="0.25">
      <c r="A827250" s="242"/>
    </row>
    <row r="827251" spans="1:1" x14ac:dyDescent="0.25">
      <c r="A827251" s="242"/>
    </row>
    <row r="827252" spans="1:1" x14ac:dyDescent="0.25">
      <c r="A827252" s="242"/>
    </row>
    <row r="827253" spans="1:1" x14ac:dyDescent="0.25">
      <c r="A827253" s="242"/>
    </row>
    <row r="827254" spans="1:1" x14ac:dyDescent="0.25">
      <c r="A827254" s="242"/>
    </row>
    <row r="827255" spans="1:1" x14ac:dyDescent="0.25">
      <c r="A827255" s="242"/>
    </row>
    <row r="827256" spans="1:1" x14ac:dyDescent="0.25">
      <c r="A827256" s="242"/>
    </row>
    <row r="827257" spans="1:1" x14ac:dyDescent="0.25">
      <c r="A827257" s="242"/>
    </row>
    <row r="827258" spans="1:1" x14ac:dyDescent="0.25">
      <c r="A827258" s="242"/>
    </row>
    <row r="827259" spans="1:1" x14ac:dyDescent="0.25">
      <c r="A827259" s="242"/>
    </row>
    <row r="827260" spans="1:1" x14ac:dyDescent="0.25">
      <c r="A827260" s="242"/>
    </row>
    <row r="827261" spans="1:1" x14ac:dyDescent="0.25">
      <c r="A827261" s="242"/>
    </row>
    <row r="827262" spans="1:1" x14ac:dyDescent="0.25">
      <c r="A827262" s="242"/>
    </row>
    <row r="827263" spans="1:1" x14ac:dyDescent="0.25">
      <c r="A827263" s="242"/>
    </row>
    <row r="827264" spans="1:1" x14ac:dyDescent="0.25">
      <c r="A827264" s="242"/>
    </row>
    <row r="827265" spans="1:1" x14ac:dyDescent="0.25">
      <c r="A827265" s="242"/>
    </row>
    <row r="827266" spans="1:1" x14ac:dyDescent="0.25">
      <c r="A827266" s="242"/>
    </row>
    <row r="827267" spans="1:1" x14ac:dyDescent="0.25">
      <c r="A827267" s="242"/>
    </row>
    <row r="827268" spans="1:1" x14ac:dyDescent="0.25">
      <c r="A827268" s="242"/>
    </row>
    <row r="827269" spans="1:1" x14ac:dyDescent="0.25">
      <c r="A827269" s="242"/>
    </row>
    <row r="827270" spans="1:1" x14ac:dyDescent="0.25">
      <c r="A827270" s="242"/>
    </row>
    <row r="827271" spans="1:1" x14ac:dyDescent="0.25">
      <c r="A827271" s="242"/>
    </row>
    <row r="827272" spans="1:1" x14ac:dyDescent="0.25">
      <c r="A827272" s="242"/>
    </row>
    <row r="827273" spans="1:1" x14ac:dyDescent="0.25">
      <c r="A827273" s="242"/>
    </row>
    <row r="827274" spans="1:1" x14ac:dyDescent="0.25">
      <c r="A827274" s="242"/>
    </row>
    <row r="827275" spans="1:1" x14ac:dyDescent="0.25">
      <c r="A827275" s="242"/>
    </row>
    <row r="827276" spans="1:1" x14ac:dyDescent="0.25">
      <c r="A827276" s="242"/>
    </row>
    <row r="827277" spans="1:1" x14ac:dyDescent="0.25">
      <c r="A827277" s="242"/>
    </row>
    <row r="827278" spans="1:1" x14ac:dyDescent="0.25">
      <c r="A827278" s="242"/>
    </row>
    <row r="827279" spans="1:1" x14ac:dyDescent="0.25">
      <c r="A827279" s="242"/>
    </row>
    <row r="827280" spans="1:1" x14ac:dyDescent="0.25">
      <c r="A827280" s="242"/>
    </row>
    <row r="827281" spans="1:1" x14ac:dyDescent="0.25">
      <c r="A827281" s="242"/>
    </row>
    <row r="827282" spans="1:1" x14ac:dyDescent="0.25">
      <c r="A827282" s="242"/>
    </row>
    <row r="827283" spans="1:1" x14ac:dyDescent="0.25">
      <c r="A827283" s="242"/>
    </row>
    <row r="827284" spans="1:1" x14ac:dyDescent="0.25">
      <c r="A827284" s="242"/>
    </row>
    <row r="827285" spans="1:1" x14ac:dyDescent="0.25">
      <c r="A827285" s="242"/>
    </row>
    <row r="827286" spans="1:1" x14ac:dyDescent="0.25">
      <c r="A827286" s="242"/>
    </row>
    <row r="827287" spans="1:1" x14ac:dyDescent="0.25">
      <c r="A827287" s="242"/>
    </row>
    <row r="827288" spans="1:1" x14ac:dyDescent="0.25">
      <c r="A827288" s="242"/>
    </row>
    <row r="827289" spans="1:1" x14ac:dyDescent="0.25">
      <c r="A827289" s="242"/>
    </row>
    <row r="827290" spans="1:1" x14ac:dyDescent="0.25">
      <c r="A827290" s="242"/>
    </row>
    <row r="827291" spans="1:1" x14ac:dyDescent="0.25">
      <c r="A827291" s="242"/>
    </row>
    <row r="827292" spans="1:1" x14ac:dyDescent="0.25">
      <c r="A827292" s="242"/>
    </row>
    <row r="827293" spans="1:1" x14ac:dyDescent="0.25">
      <c r="A827293" s="242"/>
    </row>
    <row r="827294" spans="1:1" x14ac:dyDescent="0.25">
      <c r="A827294" s="242"/>
    </row>
    <row r="827295" spans="1:1" x14ac:dyDescent="0.25">
      <c r="A827295" s="242"/>
    </row>
    <row r="827296" spans="1:1" x14ac:dyDescent="0.25">
      <c r="A827296" s="242"/>
    </row>
    <row r="827297" spans="1:1" x14ac:dyDescent="0.25">
      <c r="A827297" s="242"/>
    </row>
    <row r="827298" spans="1:1" x14ac:dyDescent="0.25">
      <c r="A827298" s="242"/>
    </row>
    <row r="827299" spans="1:1" x14ac:dyDescent="0.25">
      <c r="A827299" s="242"/>
    </row>
    <row r="827300" spans="1:1" x14ac:dyDescent="0.25">
      <c r="A827300" s="242"/>
    </row>
    <row r="827301" spans="1:1" x14ac:dyDescent="0.25">
      <c r="A827301" s="242"/>
    </row>
    <row r="827302" spans="1:1" x14ac:dyDescent="0.25">
      <c r="A827302" s="242"/>
    </row>
    <row r="827303" spans="1:1" x14ac:dyDescent="0.25">
      <c r="A827303" s="242"/>
    </row>
    <row r="827304" spans="1:1" x14ac:dyDescent="0.25">
      <c r="A827304" s="242"/>
    </row>
    <row r="827305" spans="1:1" x14ac:dyDescent="0.25">
      <c r="A827305" s="242"/>
    </row>
    <row r="827306" spans="1:1" x14ac:dyDescent="0.25">
      <c r="A827306" s="242"/>
    </row>
    <row r="827307" spans="1:1" x14ac:dyDescent="0.25">
      <c r="A827307" s="242"/>
    </row>
    <row r="827308" spans="1:1" x14ac:dyDescent="0.25">
      <c r="A827308" s="242"/>
    </row>
    <row r="827309" spans="1:1" x14ac:dyDescent="0.25">
      <c r="A827309" s="242"/>
    </row>
    <row r="827310" spans="1:1" x14ac:dyDescent="0.25">
      <c r="A827310" s="242"/>
    </row>
    <row r="827311" spans="1:1" x14ac:dyDescent="0.25">
      <c r="A827311" s="242"/>
    </row>
    <row r="827312" spans="1:1" x14ac:dyDescent="0.25">
      <c r="A827312" s="242"/>
    </row>
    <row r="827313" spans="1:1" x14ac:dyDescent="0.25">
      <c r="A827313" s="242"/>
    </row>
    <row r="827314" spans="1:1" x14ac:dyDescent="0.25">
      <c r="A827314" s="242"/>
    </row>
    <row r="827315" spans="1:1" x14ac:dyDescent="0.25">
      <c r="A827315" s="242"/>
    </row>
    <row r="827316" spans="1:1" x14ac:dyDescent="0.25">
      <c r="A827316" s="242"/>
    </row>
    <row r="827317" spans="1:1" x14ac:dyDescent="0.25">
      <c r="A827317" s="242"/>
    </row>
    <row r="827318" spans="1:1" x14ac:dyDescent="0.25">
      <c r="A827318" s="242"/>
    </row>
    <row r="827319" spans="1:1" x14ac:dyDescent="0.25">
      <c r="A827319" s="242"/>
    </row>
    <row r="827320" spans="1:1" x14ac:dyDescent="0.25">
      <c r="A827320" s="242"/>
    </row>
    <row r="827321" spans="1:1" x14ac:dyDescent="0.25">
      <c r="A827321" s="242"/>
    </row>
    <row r="827322" spans="1:1" x14ac:dyDescent="0.25">
      <c r="A827322" s="242"/>
    </row>
    <row r="827323" spans="1:1" x14ac:dyDescent="0.25">
      <c r="A827323" s="242"/>
    </row>
    <row r="827324" spans="1:1" x14ac:dyDescent="0.25">
      <c r="A827324" s="242"/>
    </row>
    <row r="827325" spans="1:1" x14ac:dyDescent="0.25">
      <c r="A827325" s="242"/>
    </row>
    <row r="827326" spans="1:1" x14ac:dyDescent="0.25">
      <c r="A827326" s="242"/>
    </row>
    <row r="827327" spans="1:1" x14ac:dyDescent="0.25">
      <c r="A827327" s="242"/>
    </row>
    <row r="827328" spans="1:1" x14ac:dyDescent="0.25">
      <c r="A827328" s="242"/>
    </row>
    <row r="827329" spans="1:1" x14ac:dyDescent="0.25">
      <c r="A827329" s="242"/>
    </row>
    <row r="827330" spans="1:1" x14ac:dyDescent="0.25">
      <c r="A827330" s="242"/>
    </row>
    <row r="827331" spans="1:1" x14ac:dyDescent="0.25">
      <c r="A827331" s="242"/>
    </row>
    <row r="827332" spans="1:1" x14ac:dyDescent="0.25">
      <c r="A827332" s="242"/>
    </row>
    <row r="827333" spans="1:1" x14ac:dyDescent="0.25">
      <c r="A827333" s="242"/>
    </row>
    <row r="827334" spans="1:1" x14ac:dyDescent="0.25">
      <c r="A827334" s="242"/>
    </row>
    <row r="827335" spans="1:1" x14ac:dyDescent="0.25">
      <c r="A827335" s="242"/>
    </row>
    <row r="827336" spans="1:1" x14ac:dyDescent="0.25">
      <c r="A827336" s="242"/>
    </row>
    <row r="827337" spans="1:1" x14ac:dyDescent="0.25">
      <c r="A827337" s="242"/>
    </row>
    <row r="827338" spans="1:1" x14ac:dyDescent="0.25">
      <c r="A827338" s="242"/>
    </row>
    <row r="827339" spans="1:1" x14ac:dyDescent="0.25">
      <c r="A827339" s="242"/>
    </row>
    <row r="827340" spans="1:1" x14ac:dyDescent="0.25">
      <c r="A827340" s="242"/>
    </row>
    <row r="827341" spans="1:1" x14ac:dyDescent="0.25">
      <c r="A827341" s="242"/>
    </row>
    <row r="827342" spans="1:1" x14ac:dyDescent="0.25">
      <c r="A827342" s="242"/>
    </row>
    <row r="827343" spans="1:1" x14ac:dyDescent="0.25">
      <c r="A827343" s="242"/>
    </row>
    <row r="827344" spans="1:1" x14ac:dyDescent="0.25">
      <c r="A827344" s="242"/>
    </row>
    <row r="827345" spans="1:1" x14ac:dyDescent="0.25">
      <c r="A827345" s="242"/>
    </row>
    <row r="827346" spans="1:1" x14ac:dyDescent="0.25">
      <c r="A827346" s="242"/>
    </row>
    <row r="827347" spans="1:1" x14ac:dyDescent="0.25">
      <c r="A827347" s="242"/>
    </row>
    <row r="827348" spans="1:1" x14ac:dyDescent="0.25">
      <c r="A827348" s="242"/>
    </row>
    <row r="827349" spans="1:1" x14ac:dyDescent="0.25">
      <c r="A827349" s="242"/>
    </row>
    <row r="827350" spans="1:1" x14ac:dyDescent="0.25">
      <c r="A827350" s="242"/>
    </row>
    <row r="827351" spans="1:1" x14ac:dyDescent="0.25">
      <c r="A827351" s="242"/>
    </row>
    <row r="827352" spans="1:1" x14ac:dyDescent="0.25">
      <c r="A827352" s="242"/>
    </row>
    <row r="827353" spans="1:1" x14ac:dyDescent="0.25">
      <c r="A827353" s="242"/>
    </row>
    <row r="827354" spans="1:1" x14ac:dyDescent="0.25">
      <c r="A827354" s="242"/>
    </row>
    <row r="827355" spans="1:1" x14ac:dyDescent="0.25">
      <c r="A827355" s="242"/>
    </row>
    <row r="827356" spans="1:1" x14ac:dyDescent="0.25">
      <c r="A827356" s="242"/>
    </row>
    <row r="827357" spans="1:1" x14ac:dyDescent="0.25">
      <c r="A827357" s="242"/>
    </row>
    <row r="827358" spans="1:1" x14ac:dyDescent="0.25">
      <c r="A827358" s="242"/>
    </row>
    <row r="827359" spans="1:1" x14ac:dyDescent="0.25">
      <c r="A827359" s="242"/>
    </row>
    <row r="827360" spans="1:1" x14ac:dyDescent="0.25">
      <c r="A827360" s="242"/>
    </row>
    <row r="827361" spans="1:1" x14ac:dyDescent="0.25">
      <c r="A827361" s="242"/>
    </row>
    <row r="827362" spans="1:1" x14ac:dyDescent="0.25">
      <c r="A827362" s="242"/>
    </row>
    <row r="827363" spans="1:1" x14ac:dyDescent="0.25">
      <c r="A827363" s="242"/>
    </row>
    <row r="827364" spans="1:1" x14ac:dyDescent="0.25">
      <c r="A827364" s="242"/>
    </row>
    <row r="827365" spans="1:1" x14ac:dyDescent="0.25">
      <c r="A827365" s="242"/>
    </row>
    <row r="827366" spans="1:1" x14ac:dyDescent="0.25">
      <c r="A827366" s="242"/>
    </row>
    <row r="827367" spans="1:1" x14ac:dyDescent="0.25">
      <c r="A827367" s="242"/>
    </row>
    <row r="827368" spans="1:1" x14ac:dyDescent="0.25">
      <c r="A827368" s="242"/>
    </row>
    <row r="827369" spans="1:1" x14ac:dyDescent="0.25">
      <c r="A827369" s="242"/>
    </row>
    <row r="827370" spans="1:1" x14ac:dyDescent="0.25">
      <c r="A827370" s="242"/>
    </row>
    <row r="827371" spans="1:1" x14ac:dyDescent="0.25">
      <c r="A827371" s="242"/>
    </row>
    <row r="827372" spans="1:1" x14ac:dyDescent="0.25">
      <c r="A827372" s="242"/>
    </row>
    <row r="827373" spans="1:1" x14ac:dyDescent="0.25">
      <c r="A827373" s="242"/>
    </row>
    <row r="827374" spans="1:1" x14ac:dyDescent="0.25">
      <c r="A827374" s="242"/>
    </row>
    <row r="827375" spans="1:1" x14ac:dyDescent="0.25">
      <c r="A827375" s="242"/>
    </row>
    <row r="827376" spans="1:1" x14ac:dyDescent="0.25">
      <c r="A827376" s="242"/>
    </row>
    <row r="827377" spans="1:1" x14ac:dyDescent="0.25">
      <c r="A827377" s="242"/>
    </row>
    <row r="827378" spans="1:1" x14ac:dyDescent="0.25">
      <c r="A827378" s="242"/>
    </row>
    <row r="827379" spans="1:1" x14ac:dyDescent="0.25">
      <c r="A827379" s="242"/>
    </row>
    <row r="827380" spans="1:1" x14ac:dyDescent="0.25">
      <c r="A827380" s="242"/>
    </row>
    <row r="827381" spans="1:1" x14ac:dyDescent="0.25">
      <c r="A827381" s="242"/>
    </row>
    <row r="827382" spans="1:1" x14ac:dyDescent="0.25">
      <c r="A827382" s="242"/>
    </row>
    <row r="827383" spans="1:1" x14ac:dyDescent="0.25">
      <c r="A827383" s="242"/>
    </row>
    <row r="827384" spans="1:1" x14ac:dyDescent="0.25">
      <c r="A827384" s="242"/>
    </row>
    <row r="827385" spans="1:1" x14ac:dyDescent="0.25">
      <c r="A827385" s="242"/>
    </row>
    <row r="827386" spans="1:1" x14ac:dyDescent="0.25">
      <c r="A827386" s="242"/>
    </row>
    <row r="827387" spans="1:1" x14ac:dyDescent="0.25">
      <c r="A827387" s="242"/>
    </row>
    <row r="827388" spans="1:1" x14ac:dyDescent="0.25">
      <c r="A827388" s="242"/>
    </row>
    <row r="827389" spans="1:1" x14ac:dyDescent="0.25">
      <c r="A827389" s="242"/>
    </row>
    <row r="827390" spans="1:1" x14ac:dyDescent="0.25">
      <c r="A827390" s="242"/>
    </row>
    <row r="827391" spans="1:1" x14ac:dyDescent="0.25">
      <c r="A827391" s="242"/>
    </row>
    <row r="827392" spans="1:1" x14ac:dyDescent="0.25">
      <c r="A827392" s="242"/>
    </row>
    <row r="827393" spans="1:1" x14ac:dyDescent="0.25">
      <c r="A827393" s="242"/>
    </row>
    <row r="827394" spans="1:1" x14ac:dyDescent="0.25">
      <c r="A827394" s="242"/>
    </row>
    <row r="827395" spans="1:1" x14ac:dyDescent="0.25">
      <c r="A827395" s="242"/>
    </row>
    <row r="827396" spans="1:1" x14ac:dyDescent="0.25">
      <c r="A827396" s="242"/>
    </row>
    <row r="827397" spans="1:1" x14ac:dyDescent="0.25">
      <c r="A827397" s="242"/>
    </row>
    <row r="827398" spans="1:1" x14ac:dyDescent="0.25">
      <c r="A827398" s="242"/>
    </row>
    <row r="827399" spans="1:1" x14ac:dyDescent="0.25">
      <c r="A827399" s="242"/>
    </row>
    <row r="827400" spans="1:1" x14ac:dyDescent="0.25">
      <c r="A827400" s="242"/>
    </row>
    <row r="827401" spans="1:1" x14ac:dyDescent="0.25">
      <c r="A827401" s="242"/>
    </row>
    <row r="827402" spans="1:1" x14ac:dyDescent="0.25">
      <c r="A827402" s="242"/>
    </row>
    <row r="827403" spans="1:1" x14ac:dyDescent="0.25">
      <c r="A827403" s="242"/>
    </row>
    <row r="827404" spans="1:1" x14ac:dyDescent="0.25">
      <c r="A827404" s="242"/>
    </row>
    <row r="827405" spans="1:1" x14ac:dyDescent="0.25">
      <c r="A827405" s="242"/>
    </row>
    <row r="827406" spans="1:1" x14ac:dyDescent="0.25">
      <c r="A827406" s="242"/>
    </row>
    <row r="827407" spans="1:1" x14ac:dyDescent="0.25">
      <c r="A827407" s="242"/>
    </row>
    <row r="827408" spans="1:1" x14ac:dyDescent="0.25">
      <c r="A827408" s="242"/>
    </row>
    <row r="827409" spans="1:1" x14ac:dyDescent="0.25">
      <c r="A827409" s="242"/>
    </row>
    <row r="827410" spans="1:1" x14ac:dyDescent="0.25">
      <c r="A827410" s="242"/>
    </row>
    <row r="827411" spans="1:1" x14ac:dyDescent="0.25">
      <c r="A827411" s="242"/>
    </row>
    <row r="827412" spans="1:1" x14ac:dyDescent="0.25">
      <c r="A827412" s="242"/>
    </row>
    <row r="827413" spans="1:1" x14ac:dyDescent="0.25">
      <c r="A827413" s="242"/>
    </row>
    <row r="827414" spans="1:1" x14ac:dyDescent="0.25">
      <c r="A827414" s="242"/>
    </row>
    <row r="827415" spans="1:1" x14ac:dyDescent="0.25">
      <c r="A827415" s="242"/>
    </row>
    <row r="827416" spans="1:1" x14ac:dyDescent="0.25">
      <c r="A827416" s="242"/>
    </row>
    <row r="827417" spans="1:1" x14ac:dyDescent="0.25">
      <c r="A827417" s="242"/>
    </row>
    <row r="827418" spans="1:1" x14ac:dyDescent="0.25">
      <c r="A827418" s="242"/>
    </row>
    <row r="827419" spans="1:1" x14ac:dyDescent="0.25">
      <c r="A827419" s="242"/>
    </row>
    <row r="827420" spans="1:1" x14ac:dyDescent="0.25">
      <c r="A827420" s="242"/>
    </row>
    <row r="827421" spans="1:1" x14ac:dyDescent="0.25">
      <c r="A827421" s="242"/>
    </row>
    <row r="827422" spans="1:1" x14ac:dyDescent="0.25">
      <c r="A827422" s="242"/>
    </row>
    <row r="827423" spans="1:1" x14ac:dyDescent="0.25">
      <c r="A827423" s="242"/>
    </row>
    <row r="827424" spans="1:1" x14ac:dyDescent="0.25">
      <c r="A827424" s="242"/>
    </row>
    <row r="827425" spans="1:1" x14ac:dyDescent="0.25">
      <c r="A827425" s="242"/>
    </row>
    <row r="827426" spans="1:1" x14ac:dyDescent="0.25">
      <c r="A827426" s="242"/>
    </row>
    <row r="827427" spans="1:1" x14ac:dyDescent="0.25">
      <c r="A827427" s="242"/>
    </row>
    <row r="827428" spans="1:1" x14ac:dyDescent="0.25">
      <c r="A827428" s="242"/>
    </row>
    <row r="827429" spans="1:1" x14ac:dyDescent="0.25">
      <c r="A827429" s="242"/>
    </row>
    <row r="827430" spans="1:1" x14ac:dyDescent="0.25">
      <c r="A827430" s="242"/>
    </row>
    <row r="827431" spans="1:1" x14ac:dyDescent="0.25">
      <c r="A827431" s="242"/>
    </row>
    <row r="827432" spans="1:1" x14ac:dyDescent="0.25">
      <c r="A827432" s="242"/>
    </row>
    <row r="827433" spans="1:1" x14ac:dyDescent="0.25">
      <c r="A827433" s="242"/>
    </row>
    <row r="827434" spans="1:1" x14ac:dyDescent="0.25">
      <c r="A827434" s="242"/>
    </row>
    <row r="827435" spans="1:1" x14ac:dyDescent="0.25">
      <c r="A827435" s="242"/>
    </row>
    <row r="827436" spans="1:1" x14ac:dyDescent="0.25">
      <c r="A827436" s="242"/>
    </row>
    <row r="827437" spans="1:1" x14ac:dyDescent="0.25">
      <c r="A827437" s="242"/>
    </row>
    <row r="827438" spans="1:1" x14ac:dyDescent="0.25">
      <c r="A827438" s="242"/>
    </row>
    <row r="827439" spans="1:1" x14ac:dyDescent="0.25">
      <c r="A827439" s="242"/>
    </row>
    <row r="827440" spans="1:1" x14ac:dyDescent="0.25">
      <c r="A827440" s="242"/>
    </row>
    <row r="827441" spans="1:1" x14ac:dyDescent="0.25">
      <c r="A827441" s="242"/>
    </row>
    <row r="827442" spans="1:1" x14ac:dyDescent="0.25">
      <c r="A827442" s="242"/>
    </row>
    <row r="827443" spans="1:1" x14ac:dyDescent="0.25">
      <c r="A827443" s="242"/>
    </row>
    <row r="827444" spans="1:1" x14ac:dyDescent="0.25">
      <c r="A827444" s="242"/>
    </row>
    <row r="827445" spans="1:1" x14ac:dyDescent="0.25">
      <c r="A827445" s="242"/>
    </row>
    <row r="827446" spans="1:1" x14ac:dyDescent="0.25">
      <c r="A827446" s="242"/>
    </row>
    <row r="827447" spans="1:1" x14ac:dyDescent="0.25">
      <c r="A827447" s="242"/>
    </row>
    <row r="827448" spans="1:1" x14ac:dyDescent="0.25">
      <c r="A827448" s="242"/>
    </row>
    <row r="827449" spans="1:1" x14ac:dyDescent="0.25">
      <c r="A827449" s="242"/>
    </row>
    <row r="827450" spans="1:1" x14ac:dyDescent="0.25">
      <c r="A827450" s="242"/>
    </row>
    <row r="827451" spans="1:1" x14ac:dyDescent="0.25">
      <c r="A827451" s="242"/>
    </row>
    <row r="827452" spans="1:1" x14ac:dyDescent="0.25">
      <c r="A827452" s="242"/>
    </row>
    <row r="827453" spans="1:1" x14ac:dyDescent="0.25">
      <c r="A827453" s="242"/>
    </row>
    <row r="827454" spans="1:1" x14ac:dyDescent="0.25">
      <c r="A827454" s="242"/>
    </row>
    <row r="827455" spans="1:1" x14ac:dyDescent="0.25">
      <c r="A827455" s="242"/>
    </row>
    <row r="827456" spans="1:1" x14ac:dyDescent="0.25">
      <c r="A827456" s="242"/>
    </row>
    <row r="827457" spans="1:1" x14ac:dyDescent="0.25">
      <c r="A827457" s="242"/>
    </row>
    <row r="827458" spans="1:1" x14ac:dyDescent="0.25">
      <c r="A827458" s="242"/>
    </row>
    <row r="827459" spans="1:1" x14ac:dyDescent="0.25">
      <c r="A827459" s="242"/>
    </row>
    <row r="827460" spans="1:1" x14ac:dyDescent="0.25">
      <c r="A827460" s="242"/>
    </row>
    <row r="827461" spans="1:1" x14ac:dyDescent="0.25">
      <c r="A827461" s="242"/>
    </row>
    <row r="827462" spans="1:1" x14ac:dyDescent="0.25">
      <c r="A827462" s="242"/>
    </row>
    <row r="827463" spans="1:1" x14ac:dyDescent="0.25">
      <c r="A827463" s="242"/>
    </row>
    <row r="827464" spans="1:1" x14ac:dyDescent="0.25">
      <c r="A827464" s="242"/>
    </row>
    <row r="827465" spans="1:1" x14ac:dyDescent="0.25">
      <c r="A827465" s="242"/>
    </row>
    <row r="827466" spans="1:1" x14ac:dyDescent="0.25">
      <c r="A827466" s="242"/>
    </row>
    <row r="827467" spans="1:1" x14ac:dyDescent="0.25">
      <c r="A827467" s="242"/>
    </row>
    <row r="827468" spans="1:1" x14ac:dyDescent="0.25">
      <c r="A827468" s="242"/>
    </row>
    <row r="827469" spans="1:1" x14ac:dyDescent="0.25">
      <c r="A827469" s="242"/>
    </row>
    <row r="827470" spans="1:1" x14ac:dyDescent="0.25">
      <c r="A827470" s="242"/>
    </row>
    <row r="827471" spans="1:1" x14ac:dyDescent="0.25">
      <c r="A827471" s="242"/>
    </row>
    <row r="827472" spans="1:1" x14ac:dyDescent="0.25">
      <c r="A827472" s="242"/>
    </row>
    <row r="827473" spans="1:1" x14ac:dyDescent="0.25">
      <c r="A827473" s="242"/>
    </row>
    <row r="827474" spans="1:1" x14ac:dyDescent="0.25">
      <c r="A827474" s="242"/>
    </row>
    <row r="827475" spans="1:1" x14ac:dyDescent="0.25">
      <c r="A827475" s="242"/>
    </row>
    <row r="827476" spans="1:1" x14ac:dyDescent="0.25">
      <c r="A827476" s="242"/>
    </row>
    <row r="827477" spans="1:1" x14ac:dyDescent="0.25">
      <c r="A827477" s="242"/>
    </row>
    <row r="827478" spans="1:1" x14ac:dyDescent="0.25">
      <c r="A827478" s="242"/>
    </row>
    <row r="827479" spans="1:1" x14ac:dyDescent="0.25">
      <c r="A827479" s="242"/>
    </row>
    <row r="827480" spans="1:1" x14ac:dyDescent="0.25">
      <c r="A827480" s="242"/>
    </row>
    <row r="827481" spans="1:1" x14ac:dyDescent="0.25">
      <c r="A827481" s="242"/>
    </row>
    <row r="827482" spans="1:1" x14ac:dyDescent="0.25">
      <c r="A827482" s="242"/>
    </row>
    <row r="827483" spans="1:1" x14ac:dyDescent="0.25">
      <c r="A827483" s="242"/>
    </row>
    <row r="827484" spans="1:1" x14ac:dyDescent="0.25">
      <c r="A827484" s="242"/>
    </row>
    <row r="827485" spans="1:1" x14ac:dyDescent="0.25">
      <c r="A827485" s="242"/>
    </row>
    <row r="827486" spans="1:1" x14ac:dyDescent="0.25">
      <c r="A827486" s="242"/>
    </row>
    <row r="827487" spans="1:1" x14ac:dyDescent="0.25">
      <c r="A827487" s="242"/>
    </row>
    <row r="827488" spans="1:1" x14ac:dyDescent="0.25">
      <c r="A827488" s="242"/>
    </row>
    <row r="827489" spans="1:1" x14ac:dyDescent="0.25">
      <c r="A827489" s="242"/>
    </row>
    <row r="827490" spans="1:1" x14ac:dyDescent="0.25">
      <c r="A827490" s="242"/>
    </row>
    <row r="827491" spans="1:1" x14ac:dyDescent="0.25">
      <c r="A827491" s="242"/>
    </row>
    <row r="827492" spans="1:1" x14ac:dyDescent="0.25">
      <c r="A827492" s="242"/>
    </row>
    <row r="827493" spans="1:1" x14ac:dyDescent="0.25">
      <c r="A827493" s="242"/>
    </row>
    <row r="827494" spans="1:1" x14ac:dyDescent="0.25">
      <c r="A827494" s="242"/>
    </row>
    <row r="827495" spans="1:1" x14ac:dyDescent="0.25">
      <c r="A827495" s="242"/>
    </row>
    <row r="827496" spans="1:1" x14ac:dyDescent="0.25">
      <c r="A827496" s="242"/>
    </row>
    <row r="827497" spans="1:1" x14ac:dyDescent="0.25">
      <c r="A827497" s="242"/>
    </row>
    <row r="827498" spans="1:1" x14ac:dyDescent="0.25">
      <c r="A827498" s="242"/>
    </row>
    <row r="827499" spans="1:1" x14ac:dyDescent="0.25">
      <c r="A827499" s="242"/>
    </row>
    <row r="827500" spans="1:1" x14ac:dyDescent="0.25">
      <c r="A827500" s="242"/>
    </row>
    <row r="827501" spans="1:1" x14ac:dyDescent="0.25">
      <c r="A827501" s="242"/>
    </row>
    <row r="827502" spans="1:1" x14ac:dyDescent="0.25">
      <c r="A827502" s="242"/>
    </row>
    <row r="827503" spans="1:1" x14ac:dyDescent="0.25">
      <c r="A827503" s="242"/>
    </row>
    <row r="827504" spans="1:1" x14ac:dyDescent="0.25">
      <c r="A827504" s="242"/>
    </row>
    <row r="827505" spans="1:1" x14ac:dyDescent="0.25">
      <c r="A827505" s="242"/>
    </row>
    <row r="827506" spans="1:1" x14ac:dyDescent="0.25">
      <c r="A827506" s="242"/>
    </row>
    <row r="827507" spans="1:1" x14ac:dyDescent="0.25">
      <c r="A827507" s="242"/>
    </row>
    <row r="827508" spans="1:1" x14ac:dyDescent="0.25">
      <c r="A827508" s="242"/>
    </row>
    <row r="827509" spans="1:1" x14ac:dyDescent="0.25">
      <c r="A827509" s="242"/>
    </row>
    <row r="827510" spans="1:1" x14ac:dyDescent="0.25">
      <c r="A827510" s="242"/>
    </row>
    <row r="827511" spans="1:1" x14ac:dyDescent="0.25">
      <c r="A827511" s="242"/>
    </row>
    <row r="827512" spans="1:1" x14ac:dyDescent="0.25">
      <c r="A827512" s="242"/>
    </row>
    <row r="827513" spans="1:1" x14ac:dyDescent="0.25">
      <c r="A827513" s="242"/>
    </row>
    <row r="827514" spans="1:1" x14ac:dyDescent="0.25">
      <c r="A827514" s="242"/>
    </row>
    <row r="827515" spans="1:1" x14ac:dyDescent="0.25">
      <c r="A827515" s="242"/>
    </row>
    <row r="827516" spans="1:1" x14ac:dyDescent="0.25">
      <c r="A827516" s="242"/>
    </row>
    <row r="827517" spans="1:1" x14ac:dyDescent="0.25">
      <c r="A827517" s="242"/>
    </row>
    <row r="827518" spans="1:1" x14ac:dyDescent="0.25">
      <c r="A827518" s="242"/>
    </row>
    <row r="827519" spans="1:1" x14ac:dyDescent="0.25">
      <c r="A827519" s="242"/>
    </row>
    <row r="827520" spans="1:1" x14ac:dyDescent="0.25">
      <c r="A827520" s="242"/>
    </row>
    <row r="827521" spans="1:1" x14ac:dyDescent="0.25">
      <c r="A827521" s="242"/>
    </row>
    <row r="827522" spans="1:1" x14ac:dyDescent="0.25">
      <c r="A827522" s="242"/>
    </row>
    <row r="827523" spans="1:1" x14ac:dyDescent="0.25">
      <c r="A827523" s="242"/>
    </row>
    <row r="827524" spans="1:1" x14ac:dyDescent="0.25">
      <c r="A827524" s="242"/>
    </row>
    <row r="827525" spans="1:1" x14ac:dyDescent="0.25">
      <c r="A827525" s="242"/>
    </row>
    <row r="827526" spans="1:1" x14ac:dyDescent="0.25">
      <c r="A827526" s="242"/>
    </row>
    <row r="827527" spans="1:1" x14ac:dyDescent="0.25">
      <c r="A827527" s="242"/>
    </row>
    <row r="827528" spans="1:1" x14ac:dyDescent="0.25">
      <c r="A827528" s="242"/>
    </row>
    <row r="827529" spans="1:1" x14ac:dyDescent="0.25">
      <c r="A827529" s="242"/>
    </row>
    <row r="827530" spans="1:1" x14ac:dyDescent="0.25">
      <c r="A827530" s="242"/>
    </row>
    <row r="827531" spans="1:1" x14ac:dyDescent="0.25">
      <c r="A827531" s="242"/>
    </row>
    <row r="827532" spans="1:1" x14ac:dyDescent="0.25">
      <c r="A827532" s="242"/>
    </row>
    <row r="827533" spans="1:1" x14ac:dyDescent="0.25">
      <c r="A827533" s="242"/>
    </row>
    <row r="827534" spans="1:1" x14ac:dyDescent="0.25">
      <c r="A827534" s="242"/>
    </row>
    <row r="827535" spans="1:1" x14ac:dyDescent="0.25">
      <c r="A827535" s="242"/>
    </row>
    <row r="827536" spans="1:1" x14ac:dyDescent="0.25">
      <c r="A827536" s="242"/>
    </row>
    <row r="827537" spans="1:1" x14ac:dyDescent="0.25">
      <c r="A827537" s="242"/>
    </row>
    <row r="827538" spans="1:1" x14ac:dyDescent="0.25">
      <c r="A827538" s="242"/>
    </row>
    <row r="827539" spans="1:1" x14ac:dyDescent="0.25">
      <c r="A827539" s="242"/>
    </row>
    <row r="827540" spans="1:1" x14ac:dyDescent="0.25">
      <c r="A827540" s="242"/>
    </row>
    <row r="827541" spans="1:1" x14ac:dyDescent="0.25">
      <c r="A827541" s="242"/>
    </row>
    <row r="827542" spans="1:1" x14ac:dyDescent="0.25">
      <c r="A827542" s="242"/>
    </row>
    <row r="827543" spans="1:1" x14ac:dyDescent="0.25">
      <c r="A827543" s="242"/>
    </row>
    <row r="827544" spans="1:1" x14ac:dyDescent="0.25">
      <c r="A827544" s="242"/>
    </row>
    <row r="827545" spans="1:1" x14ac:dyDescent="0.25">
      <c r="A827545" s="242"/>
    </row>
    <row r="827546" spans="1:1" x14ac:dyDescent="0.25">
      <c r="A827546" s="242"/>
    </row>
    <row r="827547" spans="1:1" x14ac:dyDescent="0.25">
      <c r="A827547" s="242"/>
    </row>
    <row r="827548" spans="1:1" x14ac:dyDescent="0.25">
      <c r="A827548" s="242"/>
    </row>
    <row r="827549" spans="1:1" x14ac:dyDescent="0.25">
      <c r="A827549" s="242"/>
    </row>
    <row r="827550" spans="1:1" x14ac:dyDescent="0.25">
      <c r="A827550" s="242"/>
    </row>
    <row r="827551" spans="1:1" x14ac:dyDescent="0.25">
      <c r="A827551" s="242"/>
    </row>
    <row r="827552" spans="1:1" x14ac:dyDescent="0.25">
      <c r="A827552" s="242"/>
    </row>
    <row r="827553" spans="1:1" x14ac:dyDescent="0.25">
      <c r="A827553" s="242"/>
    </row>
    <row r="827554" spans="1:1" x14ac:dyDescent="0.25">
      <c r="A827554" s="242"/>
    </row>
    <row r="827555" spans="1:1" x14ac:dyDescent="0.25">
      <c r="A827555" s="242"/>
    </row>
    <row r="827556" spans="1:1" x14ac:dyDescent="0.25">
      <c r="A827556" s="242"/>
    </row>
    <row r="827557" spans="1:1" x14ac:dyDescent="0.25">
      <c r="A827557" s="242"/>
    </row>
    <row r="827558" spans="1:1" x14ac:dyDescent="0.25">
      <c r="A827558" s="242"/>
    </row>
    <row r="827559" spans="1:1" x14ac:dyDescent="0.25">
      <c r="A827559" s="242"/>
    </row>
    <row r="827560" spans="1:1" x14ac:dyDescent="0.25">
      <c r="A827560" s="242"/>
    </row>
    <row r="827561" spans="1:1" x14ac:dyDescent="0.25">
      <c r="A827561" s="242"/>
    </row>
    <row r="827562" spans="1:1" x14ac:dyDescent="0.25">
      <c r="A827562" s="242"/>
    </row>
    <row r="827563" spans="1:1" x14ac:dyDescent="0.25">
      <c r="A827563" s="242"/>
    </row>
    <row r="827564" spans="1:1" x14ac:dyDescent="0.25">
      <c r="A827564" s="242"/>
    </row>
    <row r="827565" spans="1:1" x14ac:dyDescent="0.25">
      <c r="A827565" s="242"/>
    </row>
    <row r="827566" spans="1:1" x14ac:dyDescent="0.25">
      <c r="A827566" s="242"/>
    </row>
    <row r="827567" spans="1:1" x14ac:dyDescent="0.25">
      <c r="A827567" s="242"/>
    </row>
    <row r="827568" spans="1:1" x14ac:dyDescent="0.25">
      <c r="A827568" s="242"/>
    </row>
    <row r="827569" spans="1:1" x14ac:dyDescent="0.25">
      <c r="A827569" s="242"/>
    </row>
    <row r="827570" spans="1:1" x14ac:dyDescent="0.25">
      <c r="A827570" s="242"/>
    </row>
    <row r="827571" spans="1:1" x14ac:dyDescent="0.25">
      <c r="A827571" s="242"/>
    </row>
    <row r="827572" spans="1:1" x14ac:dyDescent="0.25">
      <c r="A827572" s="242"/>
    </row>
    <row r="827573" spans="1:1" x14ac:dyDescent="0.25">
      <c r="A827573" s="242"/>
    </row>
    <row r="827574" spans="1:1" x14ac:dyDescent="0.25">
      <c r="A827574" s="242"/>
    </row>
    <row r="827575" spans="1:1" x14ac:dyDescent="0.25">
      <c r="A827575" s="242"/>
    </row>
    <row r="827576" spans="1:1" x14ac:dyDescent="0.25">
      <c r="A827576" s="242"/>
    </row>
    <row r="827577" spans="1:1" x14ac:dyDescent="0.25">
      <c r="A827577" s="242"/>
    </row>
    <row r="827578" spans="1:1" x14ac:dyDescent="0.25">
      <c r="A827578" s="242"/>
    </row>
    <row r="827579" spans="1:1" x14ac:dyDescent="0.25">
      <c r="A827579" s="242"/>
    </row>
    <row r="827580" spans="1:1" x14ac:dyDescent="0.25">
      <c r="A827580" s="242"/>
    </row>
    <row r="827581" spans="1:1" x14ac:dyDescent="0.25">
      <c r="A827581" s="242"/>
    </row>
    <row r="827582" spans="1:1" x14ac:dyDescent="0.25">
      <c r="A827582" s="242"/>
    </row>
    <row r="827583" spans="1:1" x14ac:dyDescent="0.25">
      <c r="A827583" s="242"/>
    </row>
    <row r="827584" spans="1:1" x14ac:dyDescent="0.25">
      <c r="A827584" s="242"/>
    </row>
    <row r="827585" spans="1:1" x14ac:dyDescent="0.25">
      <c r="A827585" s="242"/>
    </row>
    <row r="827586" spans="1:1" x14ac:dyDescent="0.25">
      <c r="A827586" s="242"/>
    </row>
    <row r="827587" spans="1:1" x14ac:dyDescent="0.25">
      <c r="A827587" s="242"/>
    </row>
    <row r="827588" spans="1:1" x14ac:dyDescent="0.25">
      <c r="A827588" s="242"/>
    </row>
    <row r="827589" spans="1:1" x14ac:dyDescent="0.25">
      <c r="A827589" s="242"/>
    </row>
    <row r="827590" spans="1:1" x14ac:dyDescent="0.25">
      <c r="A827590" s="242"/>
    </row>
    <row r="827591" spans="1:1" x14ac:dyDescent="0.25">
      <c r="A827591" s="242"/>
    </row>
    <row r="827592" spans="1:1" x14ac:dyDescent="0.25">
      <c r="A827592" s="242"/>
    </row>
    <row r="827593" spans="1:1" x14ac:dyDescent="0.25">
      <c r="A827593" s="242"/>
    </row>
    <row r="827594" spans="1:1" x14ac:dyDescent="0.25">
      <c r="A827594" s="242"/>
    </row>
    <row r="827595" spans="1:1" x14ac:dyDescent="0.25">
      <c r="A827595" s="242"/>
    </row>
    <row r="827596" spans="1:1" x14ac:dyDescent="0.25">
      <c r="A827596" s="242"/>
    </row>
    <row r="827597" spans="1:1" x14ac:dyDescent="0.25">
      <c r="A827597" s="242"/>
    </row>
    <row r="827598" spans="1:1" x14ac:dyDescent="0.25">
      <c r="A827598" s="242"/>
    </row>
    <row r="827599" spans="1:1" x14ac:dyDescent="0.25">
      <c r="A827599" s="242"/>
    </row>
    <row r="827600" spans="1:1" x14ac:dyDescent="0.25">
      <c r="A827600" s="242"/>
    </row>
    <row r="827601" spans="1:1" x14ac:dyDescent="0.25">
      <c r="A827601" s="242"/>
    </row>
    <row r="827602" spans="1:1" x14ac:dyDescent="0.25">
      <c r="A827602" s="242"/>
    </row>
    <row r="827603" spans="1:1" x14ac:dyDescent="0.25">
      <c r="A827603" s="242"/>
    </row>
    <row r="827604" spans="1:1" x14ac:dyDescent="0.25">
      <c r="A827604" s="242"/>
    </row>
    <row r="827605" spans="1:1" x14ac:dyDescent="0.25">
      <c r="A827605" s="242"/>
    </row>
    <row r="827606" spans="1:1" x14ac:dyDescent="0.25">
      <c r="A827606" s="242"/>
    </row>
    <row r="827607" spans="1:1" x14ac:dyDescent="0.25">
      <c r="A827607" s="242"/>
    </row>
    <row r="827608" spans="1:1" x14ac:dyDescent="0.25">
      <c r="A827608" s="242"/>
    </row>
    <row r="827609" spans="1:1" x14ac:dyDescent="0.25">
      <c r="A827609" s="242"/>
    </row>
    <row r="827610" spans="1:1" x14ac:dyDescent="0.25">
      <c r="A827610" s="242"/>
    </row>
    <row r="827611" spans="1:1" x14ac:dyDescent="0.25">
      <c r="A827611" s="242"/>
    </row>
    <row r="827612" spans="1:1" x14ac:dyDescent="0.25">
      <c r="A827612" s="242"/>
    </row>
    <row r="827613" spans="1:1" x14ac:dyDescent="0.25">
      <c r="A827613" s="242"/>
    </row>
    <row r="827614" spans="1:1" x14ac:dyDescent="0.25">
      <c r="A827614" s="242"/>
    </row>
    <row r="827615" spans="1:1" x14ac:dyDescent="0.25">
      <c r="A827615" s="242"/>
    </row>
    <row r="827616" spans="1:1" x14ac:dyDescent="0.25">
      <c r="A827616" s="242"/>
    </row>
    <row r="827617" spans="1:1" x14ac:dyDescent="0.25">
      <c r="A827617" s="242"/>
    </row>
    <row r="827618" spans="1:1" x14ac:dyDescent="0.25">
      <c r="A827618" s="242"/>
    </row>
    <row r="827619" spans="1:1" x14ac:dyDescent="0.25">
      <c r="A827619" s="242"/>
    </row>
    <row r="827620" spans="1:1" x14ac:dyDescent="0.25">
      <c r="A827620" s="242"/>
    </row>
    <row r="827621" spans="1:1" x14ac:dyDescent="0.25">
      <c r="A827621" s="242"/>
    </row>
    <row r="827622" spans="1:1" x14ac:dyDescent="0.25">
      <c r="A827622" s="242"/>
    </row>
    <row r="827623" spans="1:1" x14ac:dyDescent="0.25">
      <c r="A827623" s="242"/>
    </row>
    <row r="827624" spans="1:1" x14ac:dyDescent="0.25">
      <c r="A827624" s="242"/>
    </row>
    <row r="827625" spans="1:1" x14ac:dyDescent="0.25">
      <c r="A827625" s="242"/>
    </row>
    <row r="827626" spans="1:1" x14ac:dyDescent="0.25">
      <c r="A827626" s="242"/>
    </row>
    <row r="827627" spans="1:1" x14ac:dyDescent="0.25">
      <c r="A827627" s="242"/>
    </row>
    <row r="827628" spans="1:1" x14ac:dyDescent="0.25">
      <c r="A827628" s="242"/>
    </row>
    <row r="827629" spans="1:1" x14ac:dyDescent="0.25">
      <c r="A827629" s="242"/>
    </row>
    <row r="827630" spans="1:1" x14ac:dyDescent="0.25">
      <c r="A827630" s="242"/>
    </row>
    <row r="827631" spans="1:1" x14ac:dyDescent="0.25">
      <c r="A827631" s="242"/>
    </row>
    <row r="827632" spans="1:1" x14ac:dyDescent="0.25">
      <c r="A827632" s="242"/>
    </row>
    <row r="827633" spans="1:1" x14ac:dyDescent="0.25">
      <c r="A827633" s="242"/>
    </row>
    <row r="827634" spans="1:1" x14ac:dyDescent="0.25">
      <c r="A827634" s="242"/>
    </row>
    <row r="827635" spans="1:1" x14ac:dyDescent="0.25">
      <c r="A827635" s="242"/>
    </row>
    <row r="827636" spans="1:1" x14ac:dyDescent="0.25">
      <c r="A827636" s="242"/>
    </row>
    <row r="827637" spans="1:1" x14ac:dyDescent="0.25">
      <c r="A827637" s="242"/>
    </row>
    <row r="827638" spans="1:1" x14ac:dyDescent="0.25">
      <c r="A827638" s="242"/>
    </row>
    <row r="827639" spans="1:1" x14ac:dyDescent="0.25">
      <c r="A827639" s="242"/>
    </row>
    <row r="827640" spans="1:1" x14ac:dyDescent="0.25">
      <c r="A827640" s="242"/>
    </row>
    <row r="827641" spans="1:1" x14ac:dyDescent="0.25">
      <c r="A827641" s="242"/>
    </row>
    <row r="827642" spans="1:1" x14ac:dyDescent="0.25">
      <c r="A827642" s="242"/>
    </row>
    <row r="827643" spans="1:1" x14ac:dyDescent="0.25">
      <c r="A827643" s="242"/>
    </row>
    <row r="827644" spans="1:1" x14ac:dyDescent="0.25">
      <c r="A827644" s="242"/>
    </row>
    <row r="827645" spans="1:1" x14ac:dyDescent="0.25">
      <c r="A827645" s="242"/>
    </row>
    <row r="827646" spans="1:1" x14ac:dyDescent="0.25">
      <c r="A827646" s="242"/>
    </row>
    <row r="827647" spans="1:1" x14ac:dyDescent="0.25">
      <c r="A827647" s="242"/>
    </row>
    <row r="827648" spans="1:1" x14ac:dyDescent="0.25">
      <c r="A827648" s="242"/>
    </row>
    <row r="827649" spans="1:1" x14ac:dyDescent="0.25">
      <c r="A827649" s="242"/>
    </row>
    <row r="827650" spans="1:1" x14ac:dyDescent="0.25">
      <c r="A827650" s="242"/>
    </row>
    <row r="827651" spans="1:1" x14ac:dyDescent="0.25">
      <c r="A827651" s="242"/>
    </row>
    <row r="827652" spans="1:1" x14ac:dyDescent="0.25">
      <c r="A827652" s="242"/>
    </row>
    <row r="827653" spans="1:1" x14ac:dyDescent="0.25">
      <c r="A827653" s="242"/>
    </row>
    <row r="827654" spans="1:1" x14ac:dyDescent="0.25">
      <c r="A827654" s="242"/>
    </row>
    <row r="827655" spans="1:1" x14ac:dyDescent="0.25">
      <c r="A827655" s="242"/>
    </row>
    <row r="827656" spans="1:1" x14ac:dyDescent="0.25">
      <c r="A827656" s="242"/>
    </row>
    <row r="827657" spans="1:1" x14ac:dyDescent="0.25">
      <c r="A827657" s="242"/>
    </row>
    <row r="827658" spans="1:1" x14ac:dyDescent="0.25">
      <c r="A827658" s="242"/>
    </row>
    <row r="827659" spans="1:1" x14ac:dyDescent="0.25">
      <c r="A827659" s="242"/>
    </row>
    <row r="827660" spans="1:1" x14ac:dyDescent="0.25">
      <c r="A827660" s="242"/>
    </row>
    <row r="827661" spans="1:1" x14ac:dyDescent="0.25">
      <c r="A827661" s="242"/>
    </row>
    <row r="827662" spans="1:1" x14ac:dyDescent="0.25">
      <c r="A827662" s="242"/>
    </row>
    <row r="827663" spans="1:1" x14ac:dyDescent="0.25">
      <c r="A827663" s="242"/>
    </row>
    <row r="827664" spans="1:1" x14ac:dyDescent="0.25">
      <c r="A827664" s="242"/>
    </row>
    <row r="827665" spans="1:1" x14ac:dyDescent="0.25">
      <c r="A827665" s="242"/>
    </row>
    <row r="827666" spans="1:1" x14ac:dyDescent="0.25">
      <c r="A827666" s="242"/>
    </row>
    <row r="827667" spans="1:1" x14ac:dyDescent="0.25">
      <c r="A827667" s="242"/>
    </row>
    <row r="827668" spans="1:1" x14ac:dyDescent="0.25">
      <c r="A827668" s="242"/>
    </row>
    <row r="827669" spans="1:1" x14ac:dyDescent="0.25">
      <c r="A827669" s="242"/>
    </row>
    <row r="827670" spans="1:1" x14ac:dyDescent="0.25">
      <c r="A827670" s="242"/>
    </row>
    <row r="827671" spans="1:1" x14ac:dyDescent="0.25">
      <c r="A827671" s="242"/>
    </row>
    <row r="827672" spans="1:1" x14ac:dyDescent="0.25">
      <c r="A827672" s="242"/>
    </row>
    <row r="827673" spans="1:1" x14ac:dyDescent="0.25">
      <c r="A827673" s="242"/>
    </row>
    <row r="827674" spans="1:1" x14ac:dyDescent="0.25">
      <c r="A827674" s="242"/>
    </row>
    <row r="827675" spans="1:1" x14ac:dyDescent="0.25">
      <c r="A827675" s="242"/>
    </row>
    <row r="827676" spans="1:1" x14ac:dyDescent="0.25">
      <c r="A827676" s="242"/>
    </row>
    <row r="827677" spans="1:1" x14ac:dyDescent="0.25">
      <c r="A827677" s="242"/>
    </row>
    <row r="827678" spans="1:1" x14ac:dyDescent="0.25">
      <c r="A827678" s="242"/>
    </row>
    <row r="827679" spans="1:1" x14ac:dyDescent="0.25">
      <c r="A827679" s="242"/>
    </row>
    <row r="827680" spans="1:1" x14ac:dyDescent="0.25">
      <c r="A827680" s="242"/>
    </row>
    <row r="827681" spans="1:1" x14ac:dyDescent="0.25">
      <c r="A827681" s="242"/>
    </row>
    <row r="827682" spans="1:1" x14ac:dyDescent="0.25">
      <c r="A827682" s="242"/>
    </row>
    <row r="827683" spans="1:1" x14ac:dyDescent="0.25">
      <c r="A827683" s="242"/>
    </row>
    <row r="827684" spans="1:1" x14ac:dyDescent="0.25">
      <c r="A827684" s="242"/>
    </row>
    <row r="827685" spans="1:1" x14ac:dyDescent="0.25">
      <c r="A827685" s="242"/>
    </row>
    <row r="827686" spans="1:1" x14ac:dyDescent="0.25">
      <c r="A827686" s="242"/>
    </row>
    <row r="827687" spans="1:1" x14ac:dyDescent="0.25">
      <c r="A827687" s="242"/>
    </row>
    <row r="827688" spans="1:1" x14ac:dyDescent="0.25">
      <c r="A827688" s="242"/>
    </row>
    <row r="827689" spans="1:1" x14ac:dyDescent="0.25">
      <c r="A827689" s="242"/>
    </row>
    <row r="827690" spans="1:1" x14ac:dyDescent="0.25">
      <c r="A827690" s="242"/>
    </row>
    <row r="827691" spans="1:1" x14ac:dyDescent="0.25">
      <c r="A827691" s="242"/>
    </row>
    <row r="827692" spans="1:1" x14ac:dyDescent="0.25">
      <c r="A827692" s="242"/>
    </row>
    <row r="827693" spans="1:1" x14ac:dyDescent="0.25">
      <c r="A827693" s="242"/>
    </row>
    <row r="827694" spans="1:1" x14ac:dyDescent="0.25">
      <c r="A827694" s="242"/>
    </row>
    <row r="827695" spans="1:1" x14ac:dyDescent="0.25">
      <c r="A827695" s="242"/>
    </row>
    <row r="827696" spans="1:1" x14ac:dyDescent="0.25">
      <c r="A827696" s="242"/>
    </row>
    <row r="827697" spans="1:1" x14ac:dyDescent="0.25">
      <c r="A827697" s="242"/>
    </row>
    <row r="827698" spans="1:1" x14ac:dyDescent="0.25">
      <c r="A827698" s="242"/>
    </row>
    <row r="827699" spans="1:1" x14ac:dyDescent="0.25">
      <c r="A827699" s="242"/>
    </row>
    <row r="827700" spans="1:1" x14ac:dyDescent="0.25">
      <c r="A827700" s="242"/>
    </row>
    <row r="827701" spans="1:1" x14ac:dyDescent="0.25">
      <c r="A827701" s="242"/>
    </row>
    <row r="827702" spans="1:1" x14ac:dyDescent="0.25">
      <c r="A827702" s="242"/>
    </row>
    <row r="827703" spans="1:1" x14ac:dyDescent="0.25">
      <c r="A827703" s="242"/>
    </row>
    <row r="827704" spans="1:1" x14ac:dyDescent="0.25">
      <c r="A827704" s="242"/>
    </row>
    <row r="827705" spans="1:1" x14ac:dyDescent="0.25">
      <c r="A827705" s="242"/>
    </row>
    <row r="827706" spans="1:1" x14ac:dyDescent="0.25">
      <c r="A827706" s="242"/>
    </row>
    <row r="827707" spans="1:1" x14ac:dyDescent="0.25">
      <c r="A827707" s="242"/>
    </row>
    <row r="827708" spans="1:1" x14ac:dyDescent="0.25">
      <c r="A827708" s="242"/>
    </row>
    <row r="827709" spans="1:1" x14ac:dyDescent="0.25">
      <c r="A827709" s="242"/>
    </row>
    <row r="827710" spans="1:1" x14ac:dyDescent="0.25">
      <c r="A827710" s="242"/>
    </row>
    <row r="827711" spans="1:1" x14ac:dyDescent="0.25">
      <c r="A827711" s="242"/>
    </row>
    <row r="827712" spans="1:1" x14ac:dyDescent="0.25">
      <c r="A827712" s="242"/>
    </row>
    <row r="827713" spans="1:1" x14ac:dyDescent="0.25">
      <c r="A827713" s="242"/>
    </row>
    <row r="827714" spans="1:1" x14ac:dyDescent="0.25">
      <c r="A827714" s="242"/>
    </row>
    <row r="827715" spans="1:1" x14ac:dyDescent="0.25">
      <c r="A827715" s="242"/>
    </row>
    <row r="827716" spans="1:1" x14ac:dyDescent="0.25">
      <c r="A827716" s="242"/>
    </row>
    <row r="827717" spans="1:1" x14ac:dyDescent="0.25">
      <c r="A827717" s="242"/>
    </row>
    <row r="827718" spans="1:1" x14ac:dyDescent="0.25">
      <c r="A827718" s="242"/>
    </row>
    <row r="827719" spans="1:1" x14ac:dyDescent="0.25">
      <c r="A827719" s="242"/>
    </row>
    <row r="827720" spans="1:1" x14ac:dyDescent="0.25">
      <c r="A827720" s="242"/>
    </row>
    <row r="827721" spans="1:1" x14ac:dyDescent="0.25">
      <c r="A827721" s="242"/>
    </row>
    <row r="827722" spans="1:1" x14ac:dyDescent="0.25">
      <c r="A827722" s="242"/>
    </row>
    <row r="827723" spans="1:1" x14ac:dyDescent="0.25">
      <c r="A827723" s="242"/>
    </row>
    <row r="827724" spans="1:1" x14ac:dyDescent="0.25">
      <c r="A827724" s="242"/>
    </row>
    <row r="827725" spans="1:1" x14ac:dyDescent="0.25">
      <c r="A827725" s="242"/>
    </row>
    <row r="827726" spans="1:1" x14ac:dyDescent="0.25">
      <c r="A827726" s="242"/>
    </row>
    <row r="827727" spans="1:1" x14ac:dyDescent="0.25">
      <c r="A827727" s="242"/>
    </row>
    <row r="827728" spans="1:1" x14ac:dyDescent="0.25">
      <c r="A827728" s="242"/>
    </row>
    <row r="827729" spans="1:1" x14ac:dyDescent="0.25">
      <c r="A827729" s="242"/>
    </row>
    <row r="827730" spans="1:1" x14ac:dyDescent="0.25">
      <c r="A827730" s="242"/>
    </row>
    <row r="827731" spans="1:1" x14ac:dyDescent="0.25">
      <c r="A827731" s="242"/>
    </row>
    <row r="827732" spans="1:1" x14ac:dyDescent="0.25">
      <c r="A827732" s="242"/>
    </row>
    <row r="827733" spans="1:1" x14ac:dyDescent="0.25">
      <c r="A827733" s="242"/>
    </row>
    <row r="827734" spans="1:1" x14ac:dyDescent="0.25">
      <c r="A827734" s="242"/>
    </row>
    <row r="827735" spans="1:1" x14ac:dyDescent="0.25">
      <c r="A827735" s="242"/>
    </row>
    <row r="827736" spans="1:1" x14ac:dyDescent="0.25">
      <c r="A827736" s="242"/>
    </row>
    <row r="827737" spans="1:1" x14ac:dyDescent="0.25">
      <c r="A827737" s="242"/>
    </row>
    <row r="827738" spans="1:1" x14ac:dyDescent="0.25">
      <c r="A827738" s="242"/>
    </row>
    <row r="827739" spans="1:1" x14ac:dyDescent="0.25">
      <c r="A827739" s="242"/>
    </row>
    <row r="827740" spans="1:1" x14ac:dyDescent="0.25">
      <c r="A827740" s="242"/>
    </row>
    <row r="827741" spans="1:1" x14ac:dyDescent="0.25">
      <c r="A827741" s="242"/>
    </row>
    <row r="827742" spans="1:1" x14ac:dyDescent="0.25">
      <c r="A827742" s="242"/>
    </row>
    <row r="827743" spans="1:1" x14ac:dyDescent="0.25">
      <c r="A827743" s="242"/>
    </row>
    <row r="827744" spans="1:1" x14ac:dyDescent="0.25">
      <c r="A827744" s="242"/>
    </row>
    <row r="827745" spans="1:1" x14ac:dyDescent="0.25">
      <c r="A827745" s="242"/>
    </row>
    <row r="827746" spans="1:1" x14ac:dyDescent="0.25">
      <c r="A827746" s="242"/>
    </row>
    <row r="827747" spans="1:1" x14ac:dyDescent="0.25">
      <c r="A827747" s="242"/>
    </row>
    <row r="827748" spans="1:1" x14ac:dyDescent="0.25">
      <c r="A827748" s="242"/>
    </row>
    <row r="827749" spans="1:1" x14ac:dyDescent="0.25">
      <c r="A827749" s="242"/>
    </row>
    <row r="827750" spans="1:1" x14ac:dyDescent="0.25">
      <c r="A827750" s="242"/>
    </row>
    <row r="827751" spans="1:1" x14ac:dyDescent="0.25">
      <c r="A827751" s="242"/>
    </row>
    <row r="827752" spans="1:1" x14ac:dyDescent="0.25">
      <c r="A827752" s="242"/>
    </row>
    <row r="827753" spans="1:1" x14ac:dyDescent="0.25">
      <c r="A827753" s="242"/>
    </row>
    <row r="827754" spans="1:1" x14ac:dyDescent="0.25">
      <c r="A827754" s="242"/>
    </row>
    <row r="827755" spans="1:1" x14ac:dyDescent="0.25">
      <c r="A827755" s="242"/>
    </row>
    <row r="827756" spans="1:1" x14ac:dyDescent="0.25">
      <c r="A827756" s="242"/>
    </row>
    <row r="827757" spans="1:1" x14ac:dyDescent="0.25">
      <c r="A827757" s="242"/>
    </row>
    <row r="827758" spans="1:1" x14ac:dyDescent="0.25">
      <c r="A827758" s="242"/>
    </row>
    <row r="827759" spans="1:1" x14ac:dyDescent="0.25">
      <c r="A827759" s="242"/>
    </row>
    <row r="827760" spans="1:1" x14ac:dyDescent="0.25">
      <c r="A827760" s="242"/>
    </row>
    <row r="827761" spans="1:1" x14ac:dyDescent="0.25">
      <c r="A827761" s="242"/>
    </row>
    <row r="827762" spans="1:1" x14ac:dyDescent="0.25">
      <c r="A827762" s="242"/>
    </row>
    <row r="827763" spans="1:1" x14ac:dyDescent="0.25">
      <c r="A827763" s="242"/>
    </row>
    <row r="827764" spans="1:1" x14ac:dyDescent="0.25">
      <c r="A827764" s="242"/>
    </row>
    <row r="827765" spans="1:1" x14ac:dyDescent="0.25">
      <c r="A827765" s="242"/>
    </row>
    <row r="827766" spans="1:1" x14ac:dyDescent="0.25">
      <c r="A827766" s="242"/>
    </row>
    <row r="827767" spans="1:1" x14ac:dyDescent="0.25">
      <c r="A827767" s="242"/>
    </row>
    <row r="827768" spans="1:1" x14ac:dyDescent="0.25">
      <c r="A827768" s="242"/>
    </row>
    <row r="827769" spans="1:1" x14ac:dyDescent="0.25">
      <c r="A827769" s="242"/>
    </row>
    <row r="827770" spans="1:1" x14ac:dyDescent="0.25">
      <c r="A827770" s="242"/>
    </row>
    <row r="827771" spans="1:1" x14ac:dyDescent="0.25">
      <c r="A827771" s="242"/>
    </row>
    <row r="827772" spans="1:1" x14ac:dyDescent="0.25">
      <c r="A827772" s="242"/>
    </row>
    <row r="827773" spans="1:1" x14ac:dyDescent="0.25">
      <c r="A827773" s="242"/>
    </row>
    <row r="827774" spans="1:1" x14ac:dyDescent="0.25">
      <c r="A827774" s="242"/>
    </row>
    <row r="827775" spans="1:1" x14ac:dyDescent="0.25">
      <c r="A827775" s="242"/>
    </row>
    <row r="827776" spans="1:1" x14ac:dyDescent="0.25">
      <c r="A827776" s="242"/>
    </row>
    <row r="827777" spans="1:1" x14ac:dyDescent="0.25">
      <c r="A827777" s="242"/>
    </row>
    <row r="827778" spans="1:1" x14ac:dyDescent="0.25">
      <c r="A827778" s="242"/>
    </row>
    <row r="827779" spans="1:1" x14ac:dyDescent="0.25">
      <c r="A827779" s="242"/>
    </row>
    <row r="827780" spans="1:1" x14ac:dyDescent="0.25">
      <c r="A827780" s="242"/>
    </row>
    <row r="827781" spans="1:1" x14ac:dyDescent="0.25">
      <c r="A827781" s="242"/>
    </row>
    <row r="827782" spans="1:1" x14ac:dyDescent="0.25">
      <c r="A827782" s="242"/>
    </row>
    <row r="827783" spans="1:1" x14ac:dyDescent="0.25">
      <c r="A827783" s="242"/>
    </row>
    <row r="827784" spans="1:1" x14ac:dyDescent="0.25">
      <c r="A827784" s="242"/>
    </row>
    <row r="827785" spans="1:1" x14ac:dyDescent="0.25">
      <c r="A827785" s="242"/>
    </row>
    <row r="827786" spans="1:1" x14ac:dyDescent="0.25">
      <c r="A827786" s="242"/>
    </row>
    <row r="827787" spans="1:1" x14ac:dyDescent="0.25">
      <c r="A827787" s="242"/>
    </row>
    <row r="827788" spans="1:1" x14ac:dyDescent="0.25">
      <c r="A827788" s="242"/>
    </row>
    <row r="827789" spans="1:1" x14ac:dyDescent="0.25">
      <c r="A827789" s="242"/>
    </row>
    <row r="827790" spans="1:1" x14ac:dyDescent="0.25">
      <c r="A827790" s="242"/>
    </row>
    <row r="827791" spans="1:1" x14ac:dyDescent="0.25">
      <c r="A827791" s="242"/>
    </row>
    <row r="827792" spans="1:1" x14ac:dyDescent="0.25">
      <c r="A827792" s="242"/>
    </row>
    <row r="827793" spans="1:1" x14ac:dyDescent="0.25">
      <c r="A827793" s="242"/>
    </row>
    <row r="827794" spans="1:1" x14ac:dyDescent="0.25">
      <c r="A827794" s="242"/>
    </row>
    <row r="827795" spans="1:1" x14ac:dyDescent="0.25">
      <c r="A827795" s="242"/>
    </row>
    <row r="827796" spans="1:1" x14ac:dyDescent="0.25">
      <c r="A827796" s="242"/>
    </row>
    <row r="827797" spans="1:1" x14ac:dyDescent="0.25">
      <c r="A827797" s="242"/>
    </row>
    <row r="827798" spans="1:1" x14ac:dyDescent="0.25">
      <c r="A827798" s="242"/>
    </row>
    <row r="827799" spans="1:1" x14ac:dyDescent="0.25">
      <c r="A827799" s="242"/>
    </row>
    <row r="827800" spans="1:1" x14ac:dyDescent="0.25">
      <c r="A827800" s="242"/>
    </row>
    <row r="827801" spans="1:1" x14ac:dyDescent="0.25">
      <c r="A827801" s="242"/>
    </row>
    <row r="827802" spans="1:1" x14ac:dyDescent="0.25">
      <c r="A827802" s="242"/>
    </row>
    <row r="827803" spans="1:1" x14ac:dyDescent="0.25">
      <c r="A827803" s="242"/>
    </row>
    <row r="827804" spans="1:1" x14ac:dyDescent="0.25">
      <c r="A827804" s="242"/>
    </row>
    <row r="827805" spans="1:1" x14ac:dyDescent="0.25">
      <c r="A827805" s="242"/>
    </row>
    <row r="827806" spans="1:1" x14ac:dyDescent="0.25">
      <c r="A827806" s="242"/>
    </row>
    <row r="827807" spans="1:1" x14ac:dyDescent="0.25">
      <c r="A827807" s="242"/>
    </row>
    <row r="827808" spans="1:1" x14ac:dyDescent="0.25">
      <c r="A827808" s="242"/>
    </row>
    <row r="827809" spans="1:1" x14ac:dyDescent="0.25">
      <c r="A827809" s="242"/>
    </row>
    <row r="827810" spans="1:1" x14ac:dyDescent="0.25">
      <c r="A827810" s="242"/>
    </row>
    <row r="827811" spans="1:1" x14ac:dyDescent="0.25">
      <c r="A827811" s="242"/>
    </row>
    <row r="827812" spans="1:1" x14ac:dyDescent="0.25">
      <c r="A827812" s="242"/>
    </row>
    <row r="827813" spans="1:1" x14ac:dyDescent="0.25">
      <c r="A827813" s="242"/>
    </row>
    <row r="827814" spans="1:1" x14ac:dyDescent="0.25">
      <c r="A827814" s="242"/>
    </row>
    <row r="827815" spans="1:1" x14ac:dyDescent="0.25">
      <c r="A827815" s="242"/>
    </row>
    <row r="827816" spans="1:1" x14ac:dyDescent="0.25">
      <c r="A827816" s="242"/>
    </row>
    <row r="827817" spans="1:1" x14ac:dyDescent="0.25">
      <c r="A827817" s="242"/>
    </row>
    <row r="827818" spans="1:1" x14ac:dyDescent="0.25">
      <c r="A827818" s="242"/>
    </row>
    <row r="827819" spans="1:1" x14ac:dyDescent="0.25">
      <c r="A827819" s="242"/>
    </row>
    <row r="827820" spans="1:1" x14ac:dyDescent="0.25">
      <c r="A827820" s="242"/>
    </row>
    <row r="827821" spans="1:1" x14ac:dyDescent="0.25">
      <c r="A827821" s="242"/>
    </row>
    <row r="827822" spans="1:1" x14ac:dyDescent="0.25">
      <c r="A827822" s="242"/>
    </row>
    <row r="827823" spans="1:1" x14ac:dyDescent="0.25">
      <c r="A827823" s="242"/>
    </row>
    <row r="827824" spans="1:1" x14ac:dyDescent="0.25">
      <c r="A827824" s="242"/>
    </row>
    <row r="827825" spans="1:1" x14ac:dyDescent="0.25">
      <c r="A827825" s="242"/>
    </row>
    <row r="827826" spans="1:1" x14ac:dyDescent="0.25">
      <c r="A827826" s="242"/>
    </row>
    <row r="827827" spans="1:1" x14ac:dyDescent="0.25">
      <c r="A827827" s="242"/>
    </row>
    <row r="827828" spans="1:1" x14ac:dyDescent="0.25">
      <c r="A827828" s="242"/>
    </row>
    <row r="827829" spans="1:1" x14ac:dyDescent="0.25">
      <c r="A827829" s="242"/>
    </row>
    <row r="827830" spans="1:1" x14ac:dyDescent="0.25">
      <c r="A827830" s="242"/>
    </row>
    <row r="827831" spans="1:1" x14ac:dyDescent="0.25">
      <c r="A827831" s="242"/>
    </row>
    <row r="827832" spans="1:1" x14ac:dyDescent="0.25">
      <c r="A827832" s="242"/>
    </row>
    <row r="827833" spans="1:1" x14ac:dyDescent="0.25">
      <c r="A827833" s="242"/>
    </row>
    <row r="827834" spans="1:1" x14ac:dyDescent="0.25">
      <c r="A827834" s="242"/>
    </row>
    <row r="827835" spans="1:1" x14ac:dyDescent="0.25">
      <c r="A827835" s="242"/>
    </row>
    <row r="827836" spans="1:1" x14ac:dyDescent="0.25">
      <c r="A827836" s="242"/>
    </row>
    <row r="827837" spans="1:1" x14ac:dyDescent="0.25">
      <c r="A827837" s="242"/>
    </row>
    <row r="827838" spans="1:1" x14ac:dyDescent="0.25">
      <c r="A827838" s="242"/>
    </row>
    <row r="827839" spans="1:1" x14ac:dyDescent="0.25">
      <c r="A827839" s="242"/>
    </row>
    <row r="827840" spans="1:1" x14ac:dyDescent="0.25">
      <c r="A827840" s="242"/>
    </row>
    <row r="827841" spans="1:1" x14ac:dyDescent="0.25">
      <c r="A827841" s="242"/>
    </row>
    <row r="827842" spans="1:1" x14ac:dyDescent="0.25">
      <c r="A827842" s="242"/>
    </row>
    <row r="827843" spans="1:1" x14ac:dyDescent="0.25">
      <c r="A827843" s="242"/>
    </row>
    <row r="827844" spans="1:1" x14ac:dyDescent="0.25">
      <c r="A827844" s="242"/>
    </row>
    <row r="827845" spans="1:1" x14ac:dyDescent="0.25">
      <c r="A827845" s="242"/>
    </row>
    <row r="827846" spans="1:1" x14ac:dyDescent="0.25">
      <c r="A827846" s="242"/>
    </row>
    <row r="827847" spans="1:1" x14ac:dyDescent="0.25">
      <c r="A827847" s="242"/>
    </row>
    <row r="827848" spans="1:1" x14ac:dyDescent="0.25">
      <c r="A827848" s="242"/>
    </row>
    <row r="827849" spans="1:1" x14ac:dyDescent="0.25">
      <c r="A827849" s="242"/>
    </row>
    <row r="827850" spans="1:1" x14ac:dyDescent="0.25">
      <c r="A827850" s="242"/>
    </row>
    <row r="827851" spans="1:1" x14ac:dyDescent="0.25">
      <c r="A827851" s="242"/>
    </row>
    <row r="827852" spans="1:1" x14ac:dyDescent="0.25">
      <c r="A827852" s="242"/>
    </row>
    <row r="827853" spans="1:1" x14ac:dyDescent="0.25">
      <c r="A827853" s="242"/>
    </row>
    <row r="827854" spans="1:1" x14ac:dyDescent="0.25">
      <c r="A827854" s="242"/>
    </row>
    <row r="827855" spans="1:1" x14ac:dyDescent="0.25">
      <c r="A827855" s="242"/>
    </row>
    <row r="827856" spans="1:1" x14ac:dyDescent="0.25">
      <c r="A827856" s="242"/>
    </row>
    <row r="827857" spans="1:1" x14ac:dyDescent="0.25">
      <c r="A827857" s="242"/>
    </row>
    <row r="827858" spans="1:1" x14ac:dyDescent="0.25">
      <c r="A827858" s="242"/>
    </row>
    <row r="827859" spans="1:1" x14ac:dyDescent="0.25">
      <c r="A827859" s="242"/>
    </row>
    <row r="827860" spans="1:1" x14ac:dyDescent="0.25">
      <c r="A827860" s="242"/>
    </row>
    <row r="827861" spans="1:1" x14ac:dyDescent="0.25">
      <c r="A827861" s="242"/>
    </row>
    <row r="827862" spans="1:1" x14ac:dyDescent="0.25">
      <c r="A827862" s="242"/>
    </row>
    <row r="827863" spans="1:1" x14ac:dyDescent="0.25">
      <c r="A827863" s="242"/>
    </row>
    <row r="827864" spans="1:1" x14ac:dyDescent="0.25">
      <c r="A827864" s="242"/>
    </row>
    <row r="827865" spans="1:1" x14ac:dyDescent="0.25">
      <c r="A827865" s="242"/>
    </row>
    <row r="827866" spans="1:1" x14ac:dyDescent="0.25">
      <c r="A827866" s="242"/>
    </row>
    <row r="827867" spans="1:1" x14ac:dyDescent="0.25">
      <c r="A827867" s="242"/>
    </row>
    <row r="827868" spans="1:1" x14ac:dyDescent="0.25">
      <c r="A827868" s="242"/>
    </row>
    <row r="827869" spans="1:1" x14ac:dyDescent="0.25">
      <c r="A827869" s="242"/>
    </row>
    <row r="827870" spans="1:1" x14ac:dyDescent="0.25">
      <c r="A827870" s="242"/>
    </row>
    <row r="827871" spans="1:1" x14ac:dyDescent="0.25">
      <c r="A827871" s="242"/>
    </row>
    <row r="827872" spans="1:1" x14ac:dyDescent="0.25">
      <c r="A827872" s="242"/>
    </row>
    <row r="827873" spans="1:1" x14ac:dyDescent="0.25">
      <c r="A827873" s="242"/>
    </row>
    <row r="827874" spans="1:1" x14ac:dyDescent="0.25">
      <c r="A827874" s="242"/>
    </row>
    <row r="827875" spans="1:1" x14ac:dyDescent="0.25">
      <c r="A827875" s="242"/>
    </row>
    <row r="827876" spans="1:1" x14ac:dyDescent="0.25">
      <c r="A827876" s="242"/>
    </row>
    <row r="827877" spans="1:1" x14ac:dyDescent="0.25">
      <c r="A827877" s="242"/>
    </row>
    <row r="827878" spans="1:1" x14ac:dyDescent="0.25">
      <c r="A827878" s="242"/>
    </row>
    <row r="827879" spans="1:1" x14ac:dyDescent="0.25">
      <c r="A827879" s="242"/>
    </row>
    <row r="827880" spans="1:1" x14ac:dyDescent="0.25">
      <c r="A827880" s="242"/>
    </row>
    <row r="827881" spans="1:1" x14ac:dyDescent="0.25">
      <c r="A827881" s="242"/>
    </row>
    <row r="827882" spans="1:1" x14ac:dyDescent="0.25">
      <c r="A827882" s="242"/>
    </row>
    <row r="827883" spans="1:1" x14ac:dyDescent="0.25">
      <c r="A827883" s="242"/>
    </row>
    <row r="827884" spans="1:1" x14ac:dyDescent="0.25">
      <c r="A827884" s="242"/>
    </row>
    <row r="827885" spans="1:1" x14ac:dyDescent="0.25">
      <c r="A827885" s="242"/>
    </row>
    <row r="827886" spans="1:1" x14ac:dyDescent="0.25">
      <c r="A827886" s="242"/>
    </row>
    <row r="827887" spans="1:1" x14ac:dyDescent="0.25">
      <c r="A827887" s="242"/>
    </row>
    <row r="827888" spans="1:1" x14ac:dyDescent="0.25">
      <c r="A827888" s="242"/>
    </row>
    <row r="827889" spans="1:1" x14ac:dyDescent="0.25">
      <c r="A827889" s="242"/>
    </row>
    <row r="827890" spans="1:1" x14ac:dyDescent="0.25">
      <c r="A827890" s="242"/>
    </row>
    <row r="827891" spans="1:1" x14ac:dyDescent="0.25">
      <c r="A827891" s="242"/>
    </row>
    <row r="827892" spans="1:1" x14ac:dyDescent="0.25">
      <c r="A827892" s="242"/>
    </row>
    <row r="827893" spans="1:1" x14ac:dyDescent="0.25">
      <c r="A827893" s="242"/>
    </row>
    <row r="827894" spans="1:1" x14ac:dyDescent="0.25">
      <c r="A827894" s="242"/>
    </row>
    <row r="827895" spans="1:1" x14ac:dyDescent="0.25">
      <c r="A827895" s="242"/>
    </row>
    <row r="827896" spans="1:1" x14ac:dyDescent="0.25">
      <c r="A827896" s="242"/>
    </row>
    <row r="827897" spans="1:1" x14ac:dyDescent="0.25">
      <c r="A827897" s="242"/>
    </row>
    <row r="827898" spans="1:1" x14ac:dyDescent="0.25">
      <c r="A827898" s="242"/>
    </row>
    <row r="827899" spans="1:1" x14ac:dyDescent="0.25">
      <c r="A827899" s="242"/>
    </row>
    <row r="827900" spans="1:1" x14ac:dyDescent="0.25">
      <c r="A827900" s="242"/>
    </row>
    <row r="827901" spans="1:1" x14ac:dyDescent="0.25">
      <c r="A827901" s="242"/>
    </row>
    <row r="827902" spans="1:1" x14ac:dyDescent="0.25">
      <c r="A827902" s="242"/>
    </row>
    <row r="827903" spans="1:1" x14ac:dyDescent="0.25">
      <c r="A827903" s="242"/>
    </row>
    <row r="827904" spans="1:1" x14ac:dyDescent="0.25">
      <c r="A827904" s="242"/>
    </row>
    <row r="827905" spans="1:1" x14ac:dyDescent="0.25">
      <c r="A827905" s="242"/>
    </row>
    <row r="827906" spans="1:1" x14ac:dyDescent="0.25">
      <c r="A827906" s="242"/>
    </row>
    <row r="827907" spans="1:1" x14ac:dyDescent="0.25">
      <c r="A827907" s="242"/>
    </row>
    <row r="827908" spans="1:1" x14ac:dyDescent="0.25">
      <c r="A827908" s="242"/>
    </row>
    <row r="827909" spans="1:1" x14ac:dyDescent="0.25">
      <c r="A827909" s="242"/>
    </row>
    <row r="827910" spans="1:1" x14ac:dyDescent="0.25">
      <c r="A827910" s="242"/>
    </row>
    <row r="827911" spans="1:1" x14ac:dyDescent="0.25">
      <c r="A827911" s="242"/>
    </row>
    <row r="827912" spans="1:1" x14ac:dyDescent="0.25">
      <c r="A827912" s="242"/>
    </row>
    <row r="827913" spans="1:1" x14ac:dyDescent="0.25">
      <c r="A827913" s="242"/>
    </row>
    <row r="827914" spans="1:1" x14ac:dyDescent="0.25">
      <c r="A827914" s="242"/>
    </row>
    <row r="827915" spans="1:1" x14ac:dyDescent="0.25">
      <c r="A827915" s="242"/>
    </row>
    <row r="827916" spans="1:1" x14ac:dyDescent="0.25">
      <c r="A827916" s="242"/>
    </row>
    <row r="827917" spans="1:1" x14ac:dyDescent="0.25">
      <c r="A827917" s="242"/>
    </row>
    <row r="827918" spans="1:1" x14ac:dyDescent="0.25">
      <c r="A827918" s="242"/>
    </row>
    <row r="827919" spans="1:1" x14ac:dyDescent="0.25">
      <c r="A827919" s="242"/>
    </row>
    <row r="827920" spans="1:1" x14ac:dyDescent="0.25">
      <c r="A827920" s="242"/>
    </row>
    <row r="827921" spans="1:1" x14ac:dyDescent="0.25">
      <c r="A827921" s="242"/>
    </row>
    <row r="827922" spans="1:1" x14ac:dyDescent="0.25">
      <c r="A827922" s="242"/>
    </row>
    <row r="827923" spans="1:1" x14ac:dyDescent="0.25">
      <c r="A827923" s="242"/>
    </row>
    <row r="827924" spans="1:1" x14ac:dyDescent="0.25">
      <c r="A827924" s="242"/>
    </row>
    <row r="827925" spans="1:1" x14ac:dyDescent="0.25">
      <c r="A827925" s="242"/>
    </row>
    <row r="827926" spans="1:1" x14ac:dyDescent="0.25">
      <c r="A827926" s="242"/>
    </row>
    <row r="827927" spans="1:1" x14ac:dyDescent="0.25">
      <c r="A827927" s="242"/>
    </row>
    <row r="827928" spans="1:1" x14ac:dyDescent="0.25">
      <c r="A827928" s="242"/>
    </row>
    <row r="827929" spans="1:1" x14ac:dyDescent="0.25">
      <c r="A827929" s="242"/>
    </row>
    <row r="827930" spans="1:1" x14ac:dyDescent="0.25">
      <c r="A827930" s="242"/>
    </row>
    <row r="827931" spans="1:1" x14ac:dyDescent="0.25">
      <c r="A827931" s="242"/>
    </row>
    <row r="827932" spans="1:1" x14ac:dyDescent="0.25">
      <c r="A827932" s="242"/>
    </row>
    <row r="827933" spans="1:1" x14ac:dyDescent="0.25">
      <c r="A827933" s="242"/>
    </row>
    <row r="827934" spans="1:1" x14ac:dyDescent="0.25">
      <c r="A827934" s="242"/>
    </row>
    <row r="827935" spans="1:1" x14ac:dyDescent="0.25">
      <c r="A827935" s="242"/>
    </row>
    <row r="827936" spans="1:1" x14ac:dyDescent="0.25">
      <c r="A827936" s="242"/>
    </row>
    <row r="827937" spans="1:1" x14ac:dyDescent="0.25">
      <c r="A827937" s="242"/>
    </row>
    <row r="827938" spans="1:1" x14ac:dyDescent="0.25">
      <c r="A827938" s="242"/>
    </row>
    <row r="827939" spans="1:1" x14ac:dyDescent="0.25">
      <c r="A827939" s="242"/>
    </row>
    <row r="827940" spans="1:1" x14ac:dyDescent="0.25">
      <c r="A827940" s="242"/>
    </row>
    <row r="827941" spans="1:1" x14ac:dyDescent="0.25">
      <c r="A827941" s="242"/>
    </row>
    <row r="827942" spans="1:1" x14ac:dyDescent="0.25">
      <c r="A827942" s="242"/>
    </row>
    <row r="827943" spans="1:1" x14ac:dyDescent="0.25">
      <c r="A827943" s="242"/>
    </row>
    <row r="827944" spans="1:1" x14ac:dyDescent="0.25">
      <c r="A827944" s="242"/>
    </row>
    <row r="827945" spans="1:1" x14ac:dyDescent="0.25">
      <c r="A827945" s="242"/>
    </row>
    <row r="827946" spans="1:1" x14ac:dyDescent="0.25">
      <c r="A827946" s="242"/>
    </row>
    <row r="827947" spans="1:1" x14ac:dyDescent="0.25">
      <c r="A827947" s="242"/>
    </row>
    <row r="827948" spans="1:1" x14ac:dyDescent="0.25">
      <c r="A827948" s="242"/>
    </row>
    <row r="827949" spans="1:1" x14ac:dyDescent="0.25">
      <c r="A827949" s="242"/>
    </row>
    <row r="827950" spans="1:1" x14ac:dyDescent="0.25">
      <c r="A827950" s="242"/>
    </row>
    <row r="827951" spans="1:1" x14ac:dyDescent="0.25">
      <c r="A827951" s="242"/>
    </row>
    <row r="827952" spans="1:1" x14ac:dyDescent="0.25">
      <c r="A827952" s="242"/>
    </row>
    <row r="827953" spans="1:1" x14ac:dyDescent="0.25">
      <c r="A827953" s="242"/>
    </row>
    <row r="827954" spans="1:1" x14ac:dyDescent="0.25">
      <c r="A827954" s="242"/>
    </row>
    <row r="827955" spans="1:1" x14ac:dyDescent="0.25">
      <c r="A827955" s="242"/>
    </row>
    <row r="827956" spans="1:1" x14ac:dyDescent="0.25">
      <c r="A827956" s="242"/>
    </row>
    <row r="827957" spans="1:1" x14ac:dyDescent="0.25">
      <c r="A827957" s="242"/>
    </row>
    <row r="827958" spans="1:1" x14ac:dyDescent="0.25">
      <c r="A827958" s="242"/>
    </row>
    <row r="827959" spans="1:1" x14ac:dyDescent="0.25">
      <c r="A827959" s="242"/>
    </row>
    <row r="827960" spans="1:1" x14ac:dyDescent="0.25">
      <c r="A827960" s="242"/>
    </row>
    <row r="827961" spans="1:1" x14ac:dyDescent="0.25">
      <c r="A827961" s="242"/>
    </row>
    <row r="827962" spans="1:1" x14ac:dyDescent="0.25">
      <c r="A827962" s="242"/>
    </row>
    <row r="827963" spans="1:1" x14ac:dyDescent="0.25">
      <c r="A827963" s="242"/>
    </row>
    <row r="827964" spans="1:1" x14ac:dyDescent="0.25">
      <c r="A827964" s="242"/>
    </row>
    <row r="827965" spans="1:1" x14ac:dyDescent="0.25">
      <c r="A827965" s="242"/>
    </row>
    <row r="827966" spans="1:1" x14ac:dyDescent="0.25">
      <c r="A827966" s="242"/>
    </row>
    <row r="827967" spans="1:1" x14ac:dyDescent="0.25">
      <c r="A827967" s="242"/>
    </row>
    <row r="827968" spans="1:1" x14ac:dyDescent="0.25">
      <c r="A827968" s="242"/>
    </row>
    <row r="827969" spans="1:1" x14ac:dyDescent="0.25">
      <c r="A827969" s="242"/>
    </row>
    <row r="827970" spans="1:1" x14ac:dyDescent="0.25">
      <c r="A827970" s="242"/>
    </row>
    <row r="827971" spans="1:1" x14ac:dyDescent="0.25">
      <c r="A827971" s="242"/>
    </row>
    <row r="827972" spans="1:1" x14ac:dyDescent="0.25">
      <c r="A827972" s="242"/>
    </row>
    <row r="827973" spans="1:1" x14ac:dyDescent="0.25">
      <c r="A827973" s="242"/>
    </row>
    <row r="827974" spans="1:1" x14ac:dyDescent="0.25">
      <c r="A827974" s="242"/>
    </row>
    <row r="827975" spans="1:1" x14ac:dyDescent="0.25">
      <c r="A827975" s="242"/>
    </row>
    <row r="827976" spans="1:1" x14ac:dyDescent="0.25">
      <c r="A827976" s="242"/>
    </row>
    <row r="827977" spans="1:1" x14ac:dyDescent="0.25">
      <c r="A827977" s="242"/>
    </row>
    <row r="827978" spans="1:1" x14ac:dyDescent="0.25">
      <c r="A827978" s="242"/>
    </row>
    <row r="827979" spans="1:1" x14ac:dyDescent="0.25">
      <c r="A827979" s="242"/>
    </row>
    <row r="827980" spans="1:1" x14ac:dyDescent="0.25">
      <c r="A827980" s="242"/>
    </row>
    <row r="827981" spans="1:1" x14ac:dyDescent="0.25">
      <c r="A827981" s="242"/>
    </row>
    <row r="827982" spans="1:1" x14ac:dyDescent="0.25">
      <c r="A827982" s="242"/>
    </row>
    <row r="827983" spans="1:1" x14ac:dyDescent="0.25">
      <c r="A827983" s="242"/>
    </row>
    <row r="827984" spans="1:1" x14ac:dyDescent="0.25">
      <c r="A827984" s="242"/>
    </row>
    <row r="827985" spans="1:1" x14ac:dyDescent="0.25">
      <c r="A827985" s="242"/>
    </row>
    <row r="827986" spans="1:1" x14ac:dyDescent="0.25">
      <c r="A827986" s="242"/>
    </row>
    <row r="827987" spans="1:1" x14ac:dyDescent="0.25">
      <c r="A827987" s="242"/>
    </row>
    <row r="827988" spans="1:1" x14ac:dyDescent="0.25">
      <c r="A827988" s="242"/>
    </row>
    <row r="827989" spans="1:1" x14ac:dyDescent="0.25">
      <c r="A827989" s="242"/>
    </row>
    <row r="827990" spans="1:1" x14ac:dyDescent="0.25">
      <c r="A827990" s="242"/>
    </row>
    <row r="827991" spans="1:1" x14ac:dyDescent="0.25">
      <c r="A827991" s="242"/>
    </row>
    <row r="827992" spans="1:1" x14ac:dyDescent="0.25">
      <c r="A827992" s="242"/>
    </row>
    <row r="827993" spans="1:1" x14ac:dyDescent="0.25">
      <c r="A827993" s="242"/>
    </row>
    <row r="827994" spans="1:1" x14ac:dyDescent="0.25">
      <c r="A827994" s="242"/>
    </row>
    <row r="827995" spans="1:1" x14ac:dyDescent="0.25">
      <c r="A827995" s="242"/>
    </row>
    <row r="827996" spans="1:1" x14ac:dyDescent="0.25">
      <c r="A827996" s="242"/>
    </row>
    <row r="827997" spans="1:1" x14ac:dyDescent="0.25">
      <c r="A827997" s="242"/>
    </row>
    <row r="827998" spans="1:1" x14ac:dyDescent="0.25">
      <c r="A827998" s="242"/>
    </row>
    <row r="827999" spans="1:1" x14ac:dyDescent="0.25">
      <c r="A827999" s="242"/>
    </row>
    <row r="828000" spans="1:1" x14ac:dyDescent="0.25">
      <c r="A828000" s="242"/>
    </row>
    <row r="828001" spans="1:1" x14ac:dyDescent="0.25">
      <c r="A828001" s="242"/>
    </row>
    <row r="828002" spans="1:1" x14ac:dyDescent="0.25">
      <c r="A828002" s="242"/>
    </row>
    <row r="828003" spans="1:1" x14ac:dyDescent="0.25">
      <c r="A828003" s="242"/>
    </row>
    <row r="828004" spans="1:1" x14ac:dyDescent="0.25">
      <c r="A828004" s="242"/>
    </row>
    <row r="828005" spans="1:1" x14ac:dyDescent="0.25">
      <c r="A828005" s="242"/>
    </row>
    <row r="828006" spans="1:1" x14ac:dyDescent="0.25">
      <c r="A828006" s="242"/>
    </row>
    <row r="828007" spans="1:1" x14ac:dyDescent="0.25">
      <c r="A828007" s="242"/>
    </row>
    <row r="828008" spans="1:1" x14ac:dyDescent="0.25">
      <c r="A828008" s="242"/>
    </row>
    <row r="828009" spans="1:1" x14ac:dyDescent="0.25">
      <c r="A828009" s="242"/>
    </row>
    <row r="828010" spans="1:1" x14ac:dyDescent="0.25">
      <c r="A828010" s="242"/>
    </row>
    <row r="828011" spans="1:1" x14ac:dyDescent="0.25">
      <c r="A828011" s="242"/>
    </row>
    <row r="828012" spans="1:1" x14ac:dyDescent="0.25">
      <c r="A828012" s="242"/>
    </row>
    <row r="828013" spans="1:1" x14ac:dyDescent="0.25">
      <c r="A828013" s="242"/>
    </row>
    <row r="828014" spans="1:1" x14ac:dyDescent="0.25">
      <c r="A828014" s="242"/>
    </row>
    <row r="828015" spans="1:1" x14ac:dyDescent="0.25">
      <c r="A828015" s="242"/>
    </row>
    <row r="828016" spans="1:1" x14ac:dyDescent="0.25">
      <c r="A828016" s="242"/>
    </row>
    <row r="828017" spans="1:1" x14ac:dyDescent="0.25">
      <c r="A828017" s="242"/>
    </row>
    <row r="828018" spans="1:1" x14ac:dyDescent="0.25">
      <c r="A828018" s="242"/>
    </row>
    <row r="828019" spans="1:1" x14ac:dyDescent="0.25">
      <c r="A828019" s="242"/>
    </row>
    <row r="828020" spans="1:1" x14ac:dyDescent="0.25">
      <c r="A828020" s="242"/>
    </row>
    <row r="828021" spans="1:1" x14ac:dyDescent="0.25">
      <c r="A828021" s="242"/>
    </row>
    <row r="828022" spans="1:1" x14ac:dyDescent="0.25">
      <c r="A828022" s="242"/>
    </row>
    <row r="828023" spans="1:1" x14ac:dyDescent="0.25">
      <c r="A828023" s="242"/>
    </row>
    <row r="828024" spans="1:1" x14ac:dyDescent="0.25">
      <c r="A828024" s="242"/>
    </row>
    <row r="828025" spans="1:1" x14ac:dyDescent="0.25">
      <c r="A828025" s="242"/>
    </row>
    <row r="828026" spans="1:1" x14ac:dyDescent="0.25">
      <c r="A828026" s="242"/>
    </row>
    <row r="828027" spans="1:1" x14ac:dyDescent="0.25">
      <c r="A828027" s="242"/>
    </row>
    <row r="828028" spans="1:1" x14ac:dyDescent="0.25">
      <c r="A828028" s="242"/>
    </row>
    <row r="828029" spans="1:1" x14ac:dyDescent="0.25">
      <c r="A828029" s="242"/>
    </row>
    <row r="828030" spans="1:1" x14ac:dyDescent="0.25">
      <c r="A828030" s="242"/>
    </row>
    <row r="828031" spans="1:1" x14ac:dyDescent="0.25">
      <c r="A828031" s="242"/>
    </row>
    <row r="828032" spans="1:1" x14ac:dyDescent="0.25">
      <c r="A828032" s="242"/>
    </row>
    <row r="828033" spans="1:1" x14ac:dyDescent="0.25">
      <c r="A828033" s="242"/>
    </row>
    <row r="828034" spans="1:1" x14ac:dyDescent="0.25">
      <c r="A828034" s="242"/>
    </row>
    <row r="828035" spans="1:1" x14ac:dyDescent="0.25">
      <c r="A828035" s="242"/>
    </row>
    <row r="828036" spans="1:1" x14ac:dyDescent="0.25">
      <c r="A828036" s="242"/>
    </row>
    <row r="828037" spans="1:1" x14ac:dyDescent="0.25">
      <c r="A828037" s="242"/>
    </row>
    <row r="828038" spans="1:1" x14ac:dyDescent="0.25">
      <c r="A828038" s="242"/>
    </row>
    <row r="828039" spans="1:1" x14ac:dyDescent="0.25">
      <c r="A828039" s="242"/>
    </row>
    <row r="828040" spans="1:1" x14ac:dyDescent="0.25">
      <c r="A828040" s="242"/>
    </row>
    <row r="828041" spans="1:1" x14ac:dyDescent="0.25">
      <c r="A828041" s="242"/>
    </row>
    <row r="828042" spans="1:1" x14ac:dyDescent="0.25">
      <c r="A828042" s="242"/>
    </row>
    <row r="828043" spans="1:1" x14ac:dyDescent="0.25">
      <c r="A828043" s="242"/>
    </row>
    <row r="828044" spans="1:1" x14ac:dyDescent="0.25">
      <c r="A828044" s="242"/>
    </row>
    <row r="828045" spans="1:1" x14ac:dyDescent="0.25">
      <c r="A828045" s="242"/>
    </row>
    <row r="828046" spans="1:1" x14ac:dyDescent="0.25">
      <c r="A828046" s="242"/>
    </row>
    <row r="828047" spans="1:1" x14ac:dyDescent="0.25">
      <c r="A828047" s="242"/>
    </row>
    <row r="828048" spans="1:1" x14ac:dyDescent="0.25">
      <c r="A828048" s="242"/>
    </row>
    <row r="828049" spans="1:1" x14ac:dyDescent="0.25">
      <c r="A828049" s="242"/>
    </row>
    <row r="828050" spans="1:1" x14ac:dyDescent="0.25">
      <c r="A828050" s="242"/>
    </row>
    <row r="828051" spans="1:1" x14ac:dyDescent="0.25">
      <c r="A828051" s="242"/>
    </row>
    <row r="828052" spans="1:1" x14ac:dyDescent="0.25">
      <c r="A828052" s="242"/>
    </row>
    <row r="828053" spans="1:1" x14ac:dyDescent="0.25">
      <c r="A828053" s="242"/>
    </row>
    <row r="828054" spans="1:1" x14ac:dyDescent="0.25">
      <c r="A828054" s="242"/>
    </row>
    <row r="828055" spans="1:1" x14ac:dyDescent="0.25">
      <c r="A828055" s="242"/>
    </row>
    <row r="828056" spans="1:1" x14ac:dyDescent="0.25">
      <c r="A828056" s="242"/>
    </row>
    <row r="828057" spans="1:1" x14ac:dyDescent="0.25">
      <c r="A828057" s="242"/>
    </row>
    <row r="828058" spans="1:1" x14ac:dyDescent="0.25">
      <c r="A828058" s="242"/>
    </row>
    <row r="828059" spans="1:1" x14ac:dyDescent="0.25">
      <c r="A828059" s="242"/>
    </row>
    <row r="828060" spans="1:1" x14ac:dyDescent="0.25">
      <c r="A828060" s="242"/>
    </row>
    <row r="828061" spans="1:1" x14ac:dyDescent="0.25">
      <c r="A828061" s="242"/>
    </row>
    <row r="828062" spans="1:1" x14ac:dyDescent="0.25">
      <c r="A828062" s="242"/>
    </row>
    <row r="828063" spans="1:1" x14ac:dyDescent="0.25">
      <c r="A828063" s="242"/>
    </row>
    <row r="828064" spans="1:1" x14ac:dyDescent="0.25">
      <c r="A828064" s="242"/>
    </row>
    <row r="828065" spans="1:1" x14ac:dyDescent="0.25">
      <c r="A828065" s="242"/>
    </row>
    <row r="828066" spans="1:1" x14ac:dyDescent="0.25">
      <c r="A828066" s="242"/>
    </row>
    <row r="828067" spans="1:1" x14ac:dyDescent="0.25">
      <c r="A828067" s="242"/>
    </row>
    <row r="828068" spans="1:1" x14ac:dyDescent="0.25">
      <c r="A828068" s="242"/>
    </row>
    <row r="828069" spans="1:1" x14ac:dyDescent="0.25">
      <c r="A828069" s="242"/>
    </row>
    <row r="828070" spans="1:1" x14ac:dyDescent="0.25">
      <c r="A828070" s="242"/>
    </row>
    <row r="828071" spans="1:1" x14ac:dyDescent="0.25">
      <c r="A828071" s="242"/>
    </row>
    <row r="828072" spans="1:1" x14ac:dyDescent="0.25">
      <c r="A828072" s="242"/>
    </row>
    <row r="828073" spans="1:1" x14ac:dyDescent="0.25">
      <c r="A828073" s="242"/>
    </row>
    <row r="828074" spans="1:1" x14ac:dyDescent="0.25">
      <c r="A828074" s="242"/>
    </row>
    <row r="828075" spans="1:1" x14ac:dyDescent="0.25">
      <c r="A828075" s="242"/>
    </row>
    <row r="828076" spans="1:1" x14ac:dyDescent="0.25">
      <c r="A828076" s="242"/>
    </row>
    <row r="828077" spans="1:1" x14ac:dyDescent="0.25">
      <c r="A828077" s="242"/>
    </row>
    <row r="828078" spans="1:1" x14ac:dyDescent="0.25">
      <c r="A828078" s="242"/>
    </row>
    <row r="828079" spans="1:1" x14ac:dyDescent="0.25">
      <c r="A828079" s="242"/>
    </row>
    <row r="828080" spans="1:1" x14ac:dyDescent="0.25">
      <c r="A828080" s="242"/>
    </row>
    <row r="828081" spans="1:1" x14ac:dyDescent="0.25">
      <c r="A828081" s="242"/>
    </row>
    <row r="828082" spans="1:1" x14ac:dyDescent="0.25">
      <c r="A828082" s="242"/>
    </row>
    <row r="828083" spans="1:1" x14ac:dyDescent="0.25">
      <c r="A828083" s="242"/>
    </row>
    <row r="828084" spans="1:1" x14ac:dyDescent="0.25">
      <c r="A828084" s="242"/>
    </row>
    <row r="828085" spans="1:1" x14ac:dyDescent="0.25">
      <c r="A828085" s="242"/>
    </row>
    <row r="828086" spans="1:1" x14ac:dyDescent="0.25">
      <c r="A828086" s="242"/>
    </row>
    <row r="828087" spans="1:1" x14ac:dyDescent="0.25">
      <c r="A828087" s="242"/>
    </row>
    <row r="828088" spans="1:1" x14ac:dyDescent="0.25">
      <c r="A828088" s="242"/>
    </row>
    <row r="828089" spans="1:1" x14ac:dyDescent="0.25">
      <c r="A828089" s="242"/>
    </row>
    <row r="828090" spans="1:1" x14ac:dyDescent="0.25">
      <c r="A828090" s="242"/>
    </row>
    <row r="828091" spans="1:1" x14ac:dyDescent="0.25">
      <c r="A828091" s="242"/>
    </row>
    <row r="828092" spans="1:1" x14ac:dyDescent="0.25">
      <c r="A828092" s="242"/>
    </row>
    <row r="828093" spans="1:1" x14ac:dyDescent="0.25">
      <c r="A828093" s="242"/>
    </row>
    <row r="828094" spans="1:1" x14ac:dyDescent="0.25">
      <c r="A828094" s="242"/>
    </row>
    <row r="828095" spans="1:1" x14ac:dyDescent="0.25">
      <c r="A828095" s="242"/>
    </row>
    <row r="828096" spans="1:1" x14ac:dyDescent="0.25">
      <c r="A828096" s="242"/>
    </row>
    <row r="828097" spans="1:1" x14ac:dyDescent="0.25">
      <c r="A828097" s="242"/>
    </row>
    <row r="828098" spans="1:1" x14ac:dyDescent="0.25">
      <c r="A828098" s="242"/>
    </row>
    <row r="828099" spans="1:1" x14ac:dyDescent="0.25">
      <c r="A828099" s="242"/>
    </row>
    <row r="828100" spans="1:1" x14ac:dyDescent="0.25">
      <c r="A828100" s="242"/>
    </row>
    <row r="828101" spans="1:1" x14ac:dyDescent="0.25">
      <c r="A828101" s="242"/>
    </row>
    <row r="828102" spans="1:1" x14ac:dyDescent="0.25">
      <c r="A828102" s="242"/>
    </row>
    <row r="828103" spans="1:1" x14ac:dyDescent="0.25">
      <c r="A828103" s="242"/>
    </row>
    <row r="828104" spans="1:1" x14ac:dyDescent="0.25">
      <c r="A828104" s="242"/>
    </row>
    <row r="828105" spans="1:1" x14ac:dyDescent="0.25">
      <c r="A828105" s="242"/>
    </row>
    <row r="828106" spans="1:1" x14ac:dyDescent="0.25">
      <c r="A828106" s="242"/>
    </row>
    <row r="828107" spans="1:1" x14ac:dyDescent="0.25">
      <c r="A828107" s="242"/>
    </row>
    <row r="828108" spans="1:1" x14ac:dyDescent="0.25">
      <c r="A828108" s="242"/>
    </row>
    <row r="828109" spans="1:1" x14ac:dyDescent="0.25">
      <c r="A828109" s="242"/>
    </row>
    <row r="828110" spans="1:1" x14ac:dyDescent="0.25">
      <c r="A828110" s="242"/>
    </row>
    <row r="828111" spans="1:1" x14ac:dyDescent="0.25">
      <c r="A828111" s="242"/>
    </row>
    <row r="828112" spans="1:1" x14ac:dyDescent="0.25">
      <c r="A828112" s="242"/>
    </row>
    <row r="828113" spans="1:1" x14ac:dyDescent="0.25">
      <c r="A828113" s="242"/>
    </row>
    <row r="828114" spans="1:1" x14ac:dyDescent="0.25">
      <c r="A828114" s="242"/>
    </row>
    <row r="828115" spans="1:1" x14ac:dyDescent="0.25">
      <c r="A828115" s="242"/>
    </row>
    <row r="828116" spans="1:1" x14ac:dyDescent="0.25">
      <c r="A828116" s="242"/>
    </row>
    <row r="828117" spans="1:1" x14ac:dyDescent="0.25">
      <c r="A828117" s="242"/>
    </row>
    <row r="828118" spans="1:1" x14ac:dyDescent="0.25">
      <c r="A828118" s="242"/>
    </row>
    <row r="828119" spans="1:1" x14ac:dyDescent="0.25">
      <c r="A828119" s="242"/>
    </row>
    <row r="828120" spans="1:1" x14ac:dyDescent="0.25">
      <c r="A828120" s="242"/>
    </row>
    <row r="828121" spans="1:1" x14ac:dyDescent="0.25">
      <c r="A828121" s="242"/>
    </row>
    <row r="828122" spans="1:1" x14ac:dyDescent="0.25">
      <c r="A828122" s="242"/>
    </row>
    <row r="828123" spans="1:1" x14ac:dyDescent="0.25">
      <c r="A828123" s="242"/>
    </row>
    <row r="828124" spans="1:1" x14ac:dyDescent="0.25">
      <c r="A828124" s="242"/>
    </row>
    <row r="828125" spans="1:1" x14ac:dyDescent="0.25">
      <c r="A828125" s="242"/>
    </row>
    <row r="828126" spans="1:1" x14ac:dyDescent="0.25">
      <c r="A828126" s="242"/>
    </row>
    <row r="828127" spans="1:1" x14ac:dyDescent="0.25">
      <c r="A828127" s="242"/>
    </row>
    <row r="828128" spans="1:1" x14ac:dyDescent="0.25">
      <c r="A828128" s="242"/>
    </row>
    <row r="828129" spans="1:1" x14ac:dyDescent="0.25">
      <c r="A828129" s="242"/>
    </row>
    <row r="828130" spans="1:1" x14ac:dyDescent="0.25">
      <c r="A828130" s="242"/>
    </row>
    <row r="828131" spans="1:1" x14ac:dyDescent="0.25">
      <c r="A828131" s="242"/>
    </row>
    <row r="828132" spans="1:1" x14ac:dyDescent="0.25">
      <c r="A828132" s="242"/>
    </row>
    <row r="828133" spans="1:1" x14ac:dyDescent="0.25">
      <c r="A828133" s="242"/>
    </row>
    <row r="828134" spans="1:1" x14ac:dyDescent="0.25">
      <c r="A828134" s="242"/>
    </row>
    <row r="828135" spans="1:1" x14ac:dyDescent="0.25">
      <c r="A828135" s="242"/>
    </row>
    <row r="828136" spans="1:1" x14ac:dyDescent="0.25">
      <c r="A828136" s="242"/>
    </row>
    <row r="828137" spans="1:1" x14ac:dyDescent="0.25">
      <c r="A828137" s="242"/>
    </row>
    <row r="828138" spans="1:1" x14ac:dyDescent="0.25">
      <c r="A828138" s="242"/>
    </row>
    <row r="828139" spans="1:1" x14ac:dyDescent="0.25">
      <c r="A828139" s="242"/>
    </row>
    <row r="828140" spans="1:1" x14ac:dyDescent="0.25">
      <c r="A828140" s="242"/>
    </row>
    <row r="828141" spans="1:1" x14ac:dyDescent="0.25">
      <c r="A828141" s="242"/>
    </row>
    <row r="828142" spans="1:1" x14ac:dyDescent="0.25">
      <c r="A828142" s="242"/>
    </row>
    <row r="828143" spans="1:1" x14ac:dyDescent="0.25">
      <c r="A828143" s="242"/>
    </row>
    <row r="828144" spans="1:1" x14ac:dyDescent="0.25">
      <c r="A828144" s="242"/>
    </row>
    <row r="828145" spans="1:1" x14ac:dyDescent="0.25">
      <c r="A828145" s="242"/>
    </row>
    <row r="828146" spans="1:1" x14ac:dyDescent="0.25">
      <c r="A828146" s="242"/>
    </row>
    <row r="828147" spans="1:1" x14ac:dyDescent="0.25">
      <c r="A828147" s="242"/>
    </row>
    <row r="828148" spans="1:1" x14ac:dyDescent="0.25">
      <c r="A828148" s="242"/>
    </row>
    <row r="828149" spans="1:1" x14ac:dyDescent="0.25">
      <c r="A828149" s="242"/>
    </row>
    <row r="828150" spans="1:1" x14ac:dyDescent="0.25">
      <c r="A828150" s="242"/>
    </row>
    <row r="828151" spans="1:1" x14ac:dyDescent="0.25">
      <c r="A828151" s="242"/>
    </row>
    <row r="828152" spans="1:1" x14ac:dyDescent="0.25">
      <c r="A828152" s="242"/>
    </row>
    <row r="828153" spans="1:1" x14ac:dyDescent="0.25">
      <c r="A828153" s="242"/>
    </row>
    <row r="828154" spans="1:1" x14ac:dyDescent="0.25">
      <c r="A828154" s="242"/>
    </row>
    <row r="828155" spans="1:1" x14ac:dyDescent="0.25">
      <c r="A828155" s="242"/>
    </row>
    <row r="828156" spans="1:1" x14ac:dyDescent="0.25">
      <c r="A828156" s="242"/>
    </row>
    <row r="828157" spans="1:1" x14ac:dyDescent="0.25">
      <c r="A828157" s="242"/>
    </row>
    <row r="828158" spans="1:1" x14ac:dyDescent="0.25">
      <c r="A828158" s="242"/>
    </row>
    <row r="828159" spans="1:1" x14ac:dyDescent="0.25">
      <c r="A828159" s="242"/>
    </row>
    <row r="828160" spans="1:1" x14ac:dyDescent="0.25">
      <c r="A828160" s="242"/>
    </row>
    <row r="828161" spans="1:1" x14ac:dyDescent="0.25">
      <c r="A828161" s="242"/>
    </row>
    <row r="828162" spans="1:1" x14ac:dyDescent="0.25">
      <c r="A828162" s="242"/>
    </row>
    <row r="828163" spans="1:1" x14ac:dyDescent="0.25">
      <c r="A828163" s="242"/>
    </row>
    <row r="828164" spans="1:1" x14ac:dyDescent="0.25">
      <c r="A828164" s="242"/>
    </row>
    <row r="828165" spans="1:1" x14ac:dyDescent="0.25">
      <c r="A828165" s="242"/>
    </row>
    <row r="828166" spans="1:1" x14ac:dyDescent="0.25">
      <c r="A828166" s="242"/>
    </row>
    <row r="828167" spans="1:1" x14ac:dyDescent="0.25">
      <c r="A828167" s="242"/>
    </row>
    <row r="828168" spans="1:1" x14ac:dyDescent="0.25">
      <c r="A828168" s="242"/>
    </row>
    <row r="828169" spans="1:1" x14ac:dyDescent="0.25">
      <c r="A828169" s="242"/>
    </row>
    <row r="828170" spans="1:1" x14ac:dyDescent="0.25">
      <c r="A828170" s="242"/>
    </row>
    <row r="828171" spans="1:1" x14ac:dyDescent="0.25">
      <c r="A828171" s="242"/>
    </row>
    <row r="828172" spans="1:1" x14ac:dyDescent="0.25">
      <c r="A828172" s="242"/>
    </row>
    <row r="828173" spans="1:1" x14ac:dyDescent="0.25">
      <c r="A828173" s="242"/>
    </row>
    <row r="828174" spans="1:1" x14ac:dyDescent="0.25">
      <c r="A828174" s="242"/>
    </row>
    <row r="828175" spans="1:1" x14ac:dyDescent="0.25">
      <c r="A828175" s="242"/>
    </row>
    <row r="828176" spans="1:1" x14ac:dyDescent="0.25">
      <c r="A828176" s="242"/>
    </row>
    <row r="828177" spans="1:1" x14ac:dyDescent="0.25">
      <c r="A828177" s="242"/>
    </row>
    <row r="828178" spans="1:1" x14ac:dyDescent="0.25">
      <c r="A828178" s="242"/>
    </row>
    <row r="828179" spans="1:1" x14ac:dyDescent="0.25">
      <c r="A828179" s="242"/>
    </row>
    <row r="828180" spans="1:1" x14ac:dyDescent="0.25">
      <c r="A828180" s="242"/>
    </row>
    <row r="828181" spans="1:1" x14ac:dyDescent="0.25">
      <c r="A828181" s="242"/>
    </row>
    <row r="828182" spans="1:1" x14ac:dyDescent="0.25">
      <c r="A828182" s="242"/>
    </row>
    <row r="828183" spans="1:1" x14ac:dyDescent="0.25">
      <c r="A828183" s="242"/>
    </row>
    <row r="828184" spans="1:1" x14ac:dyDescent="0.25">
      <c r="A828184" s="242"/>
    </row>
    <row r="828185" spans="1:1" x14ac:dyDescent="0.25">
      <c r="A828185" s="242"/>
    </row>
    <row r="828186" spans="1:1" x14ac:dyDescent="0.25">
      <c r="A828186" s="242"/>
    </row>
    <row r="828187" spans="1:1" x14ac:dyDescent="0.25">
      <c r="A828187" s="242"/>
    </row>
    <row r="828188" spans="1:1" x14ac:dyDescent="0.25">
      <c r="A828188" s="242"/>
    </row>
    <row r="828189" spans="1:1" x14ac:dyDescent="0.25">
      <c r="A828189" s="242"/>
    </row>
    <row r="828190" spans="1:1" x14ac:dyDescent="0.25">
      <c r="A828190" s="242"/>
    </row>
    <row r="828191" spans="1:1" x14ac:dyDescent="0.25">
      <c r="A828191" s="242"/>
    </row>
    <row r="828192" spans="1:1" x14ac:dyDescent="0.25">
      <c r="A828192" s="242"/>
    </row>
    <row r="828193" spans="1:1" x14ac:dyDescent="0.25">
      <c r="A828193" s="242"/>
    </row>
    <row r="828194" spans="1:1" x14ac:dyDescent="0.25">
      <c r="A828194" s="242"/>
    </row>
    <row r="828195" spans="1:1" x14ac:dyDescent="0.25">
      <c r="A828195" s="242"/>
    </row>
    <row r="828196" spans="1:1" x14ac:dyDescent="0.25">
      <c r="A828196" s="242"/>
    </row>
    <row r="828197" spans="1:1" x14ac:dyDescent="0.25">
      <c r="A828197" s="242"/>
    </row>
    <row r="828198" spans="1:1" x14ac:dyDescent="0.25">
      <c r="A828198" s="242"/>
    </row>
    <row r="828199" spans="1:1" x14ac:dyDescent="0.25">
      <c r="A828199" s="242"/>
    </row>
    <row r="828200" spans="1:1" x14ac:dyDescent="0.25">
      <c r="A828200" s="242"/>
    </row>
    <row r="828201" spans="1:1" x14ac:dyDescent="0.25">
      <c r="A828201" s="242"/>
    </row>
    <row r="828202" spans="1:1" x14ac:dyDescent="0.25">
      <c r="A828202" s="242"/>
    </row>
    <row r="828203" spans="1:1" x14ac:dyDescent="0.25">
      <c r="A828203" s="242"/>
    </row>
    <row r="828204" spans="1:1" x14ac:dyDescent="0.25">
      <c r="A828204" s="242"/>
    </row>
    <row r="828205" spans="1:1" x14ac:dyDescent="0.25">
      <c r="A828205" s="242"/>
    </row>
    <row r="828206" spans="1:1" x14ac:dyDescent="0.25">
      <c r="A828206" s="242"/>
    </row>
    <row r="828207" spans="1:1" x14ac:dyDescent="0.25">
      <c r="A828207" s="242"/>
    </row>
    <row r="828208" spans="1:1" x14ac:dyDescent="0.25">
      <c r="A828208" s="242"/>
    </row>
    <row r="828209" spans="1:1" x14ac:dyDescent="0.25">
      <c r="A828209" s="242"/>
    </row>
    <row r="828210" spans="1:1" x14ac:dyDescent="0.25">
      <c r="A828210" s="242"/>
    </row>
    <row r="828211" spans="1:1" x14ac:dyDescent="0.25">
      <c r="A828211" s="242"/>
    </row>
    <row r="828212" spans="1:1" x14ac:dyDescent="0.25">
      <c r="A828212" s="242"/>
    </row>
    <row r="828213" spans="1:1" x14ac:dyDescent="0.25">
      <c r="A828213" s="242"/>
    </row>
    <row r="828214" spans="1:1" x14ac:dyDescent="0.25">
      <c r="A828214" s="242"/>
    </row>
    <row r="828215" spans="1:1" x14ac:dyDescent="0.25">
      <c r="A828215" s="242"/>
    </row>
    <row r="828216" spans="1:1" x14ac:dyDescent="0.25">
      <c r="A828216" s="242"/>
    </row>
    <row r="828217" spans="1:1" x14ac:dyDescent="0.25">
      <c r="A828217" s="242"/>
    </row>
    <row r="828218" spans="1:1" x14ac:dyDescent="0.25">
      <c r="A828218" s="242"/>
    </row>
    <row r="828219" spans="1:1" x14ac:dyDescent="0.25">
      <c r="A828219" s="242"/>
    </row>
    <row r="828220" spans="1:1" x14ac:dyDescent="0.25">
      <c r="A828220" s="242"/>
    </row>
    <row r="828221" spans="1:1" x14ac:dyDescent="0.25">
      <c r="A828221" s="242"/>
    </row>
    <row r="828222" spans="1:1" x14ac:dyDescent="0.25">
      <c r="A828222" s="242"/>
    </row>
    <row r="828223" spans="1:1" x14ac:dyDescent="0.25">
      <c r="A828223" s="242"/>
    </row>
    <row r="828224" spans="1:1" x14ac:dyDescent="0.25">
      <c r="A828224" s="242"/>
    </row>
    <row r="828225" spans="1:1" x14ac:dyDescent="0.25">
      <c r="A828225" s="242"/>
    </row>
    <row r="828226" spans="1:1" x14ac:dyDescent="0.25">
      <c r="A828226" s="242"/>
    </row>
    <row r="828227" spans="1:1" x14ac:dyDescent="0.25">
      <c r="A828227" s="242"/>
    </row>
    <row r="828228" spans="1:1" x14ac:dyDescent="0.25">
      <c r="A828228" s="242"/>
    </row>
    <row r="828229" spans="1:1" x14ac:dyDescent="0.25">
      <c r="A828229" s="242"/>
    </row>
    <row r="828230" spans="1:1" x14ac:dyDescent="0.25">
      <c r="A828230" s="242"/>
    </row>
    <row r="828231" spans="1:1" x14ac:dyDescent="0.25">
      <c r="A828231" s="242"/>
    </row>
    <row r="828232" spans="1:1" x14ac:dyDescent="0.25">
      <c r="A828232" s="242"/>
    </row>
    <row r="828233" spans="1:1" x14ac:dyDescent="0.25">
      <c r="A828233" s="242"/>
    </row>
    <row r="828234" spans="1:1" x14ac:dyDescent="0.25">
      <c r="A828234" s="242"/>
    </row>
    <row r="828235" spans="1:1" x14ac:dyDescent="0.25">
      <c r="A828235" s="242"/>
    </row>
    <row r="828236" spans="1:1" x14ac:dyDescent="0.25">
      <c r="A828236" s="242"/>
    </row>
    <row r="828237" spans="1:1" x14ac:dyDescent="0.25">
      <c r="A828237" s="242"/>
    </row>
    <row r="828238" spans="1:1" x14ac:dyDescent="0.25">
      <c r="A828238" s="242"/>
    </row>
    <row r="828239" spans="1:1" x14ac:dyDescent="0.25">
      <c r="A828239" s="242"/>
    </row>
    <row r="828240" spans="1:1" x14ac:dyDescent="0.25">
      <c r="A828240" s="242"/>
    </row>
    <row r="828241" spans="1:1" x14ac:dyDescent="0.25">
      <c r="A828241" s="242"/>
    </row>
    <row r="828242" spans="1:1" x14ac:dyDescent="0.25">
      <c r="A828242" s="242"/>
    </row>
    <row r="828243" spans="1:1" x14ac:dyDescent="0.25">
      <c r="A828243" s="242"/>
    </row>
    <row r="828244" spans="1:1" x14ac:dyDescent="0.25">
      <c r="A828244" s="242"/>
    </row>
    <row r="828245" spans="1:1" x14ac:dyDescent="0.25">
      <c r="A828245" s="242"/>
    </row>
    <row r="828246" spans="1:1" x14ac:dyDescent="0.25">
      <c r="A828246" s="242"/>
    </row>
    <row r="828247" spans="1:1" x14ac:dyDescent="0.25">
      <c r="A828247" s="242"/>
    </row>
    <row r="828248" spans="1:1" x14ac:dyDescent="0.25">
      <c r="A828248" s="242"/>
    </row>
    <row r="828249" spans="1:1" x14ac:dyDescent="0.25">
      <c r="A828249" s="242"/>
    </row>
    <row r="828250" spans="1:1" x14ac:dyDescent="0.25">
      <c r="A828250" s="242"/>
    </row>
    <row r="828251" spans="1:1" x14ac:dyDescent="0.25">
      <c r="A828251" s="242"/>
    </row>
    <row r="828252" spans="1:1" x14ac:dyDescent="0.25">
      <c r="A828252" s="242"/>
    </row>
    <row r="828253" spans="1:1" x14ac:dyDescent="0.25">
      <c r="A828253" s="242"/>
    </row>
    <row r="828254" spans="1:1" x14ac:dyDescent="0.25">
      <c r="A828254" s="242"/>
    </row>
    <row r="828255" spans="1:1" x14ac:dyDescent="0.25">
      <c r="A828255" s="242"/>
    </row>
    <row r="828256" spans="1:1" x14ac:dyDescent="0.25">
      <c r="A828256" s="242"/>
    </row>
    <row r="828257" spans="1:1" x14ac:dyDescent="0.25">
      <c r="A828257" s="242"/>
    </row>
    <row r="828258" spans="1:1" x14ac:dyDescent="0.25">
      <c r="A828258" s="242"/>
    </row>
    <row r="828259" spans="1:1" x14ac:dyDescent="0.25">
      <c r="A828259" s="242"/>
    </row>
    <row r="828260" spans="1:1" x14ac:dyDescent="0.25">
      <c r="A828260" s="242"/>
    </row>
    <row r="828261" spans="1:1" x14ac:dyDescent="0.25">
      <c r="A828261" s="242"/>
    </row>
    <row r="828262" spans="1:1" x14ac:dyDescent="0.25">
      <c r="A828262" s="242"/>
    </row>
    <row r="828263" spans="1:1" x14ac:dyDescent="0.25">
      <c r="A828263" s="242"/>
    </row>
    <row r="828264" spans="1:1" x14ac:dyDescent="0.25">
      <c r="A828264" s="242"/>
    </row>
    <row r="828265" spans="1:1" x14ac:dyDescent="0.25">
      <c r="A828265" s="242"/>
    </row>
    <row r="828266" spans="1:1" x14ac:dyDescent="0.25">
      <c r="A828266" s="242"/>
    </row>
    <row r="828267" spans="1:1" x14ac:dyDescent="0.25">
      <c r="A828267" s="242"/>
    </row>
    <row r="828268" spans="1:1" x14ac:dyDescent="0.25">
      <c r="A828268" s="242"/>
    </row>
    <row r="828269" spans="1:1" x14ac:dyDescent="0.25">
      <c r="A828269" s="242"/>
    </row>
    <row r="828270" spans="1:1" x14ac:dyDescent="0.25">
      <c r="A828270" s="242"/>
    </row>
    <row r="828271" spans="1:1" x14ac:dyDescent="0.25">
      <c r="A828271" s="242"/>
    </row>
    <row r="828272" spans="1:1" x14ac:dyDescent="0.25">
      <c r="A828272" s="242"/>
    </row>
    <row r="828273" spans="1:1" x14ac:dyDescent="0.25">
      <c r="A828273" s="242"/>
    </row>
    <row r="828274" spans="1:1" x14ac:dyDescent="0.25">
      <c r="A828274" s="242"/>
    </row>
    <row r="828275" spans="1:1" x14ac:dyDescent="0.25">
      <c r="A828275" s="242"/>
    </row>
    <row r="828276" spans="1:1" x14ac:dyDescent="0.25">
      <c r="A828276" s="242"/>
    </row>
    <row r="828277" spans="1:1" x14ac:dyDescent="0.25">
      <c r="A828277" s="242"/>
    </row>
    <row r="828278" spans="1:1" x14ac:dyDescent="0.25">
      <c r="A828278" s="242"/>
    </row>
    <row r="828279" spans="1:1" x14ac:dyDescent="0.25">
      <c r="A828279" s="242"/>
    </row>
    <row r="828280" spans="1:1" x14ac:dyDescent="0.25">
      <c r="A828280" s="242"/>
    </row>
    <row r="828281" spans="1:1" x14ac:dyDescent="0.25">
      <c r="A828281" s="242"/>
    </row>
    <row r="828282" spans="1:1" x14ac:dyDescent="0.25">
      <c r="A828282" s="242"/>
    </row>
    <row r="828283" spans="1:1" x14ac:dyDescent="0.25">
      <c r="A828283" s="242"/>
    </row>
    <row r="828284" spans="1:1" x14ac:dyDescent="0.25">
      <c r="A828284" s="242"/>
    </row>
    <row r="828285" spans="1:1" x14ac:dyDescent="0.25">
      <c r="A828285" s="242"/>
    </row>
    <row r="828286" spans="1:1" x14ac:dyDescent="0.25">
      <c r="A828286" s="242"/>
    </row>
    <row r="828287" spans="1:1" x14ac:dyDescent="0.25">
      <c r="A828287" s="242"/>
    </row>
    <row r="828288" spans="1:1" x14ac:dyDescent="0.25">
      <c r="A828288" s="242"/>
    </row>
    <row r="828289" spans="1:1" x14ac:dyDescent="0.25">
      <c r="A828289" s="242"/>
    </row>
    <row r="828290" spans="1:1" x14ac:dyDescent="0.25">
      <c r="A828290" s="242"/>
    </row>
    <row r="828291" spans="1:1" x14ac:dyDescent="0.25">
      <c r="A828291" s="242"/>
    </row>
    <row r="828292" spans="1:1" x14ac:dyDescent="0.25">
      <c r="A828292" s="242"/>
    </row>
    <row r="828293" spans="1:1" x14ac:dyDescent="0.25">
      <c r="A828293" s="242"/>
    </row>
    <row r="828294" spans="1:1" x14ac:dyDescent="0.25">
      <c r="A828294" s="242"/>
    </row>
    <row r="828295" spans="1:1" x14ac:dyDescent="0.25">
      <c r="A828295" s="242"/>
    </row>
    <row r="828296" spans="1:1" x14ac:dyDescent="0.25">
      <c r="A828296" s="242"/>
    </row>
    <row r="828297" spans="1:1" x14ac:dyDescent="0.25">
      <c r="A828297" s="242"/>
    </row>
    <row r="828298" spans="1:1" x14ac:dyDescent="0.25">
      <c r="A828298" s="242"/>
    </row>
    <row r="828299" spans="1:1" x14ac:dyDescent="0.25">
      <c r="A828299" s="242"/>
    </row>
    <row r="828300" spans="1:1" x14ac:dyDescent="0.25">
      <c r="A828300" s="242"/>
    </row>
    <row r="828301" spans="1:1" x14ac:dyDescent="0.25">
      <c r="A828301" s="242"/>
    </row>
    <row r="828302" spans="1:1" x14ac:dyDescent="0.25">
      <c r="A828302" s="242"/>
    </row>
    <row r="828303" spans="1:1" x14ac:dyDescent="0.25">
      <c r="A828303" s="242"/>
    </row>
    <row r="828304" spans="1:1" x14ac:dyDescent="0.25">
      <c r="A828304" s="242"/>
    </row>
    <row r="828305" spans="1:1" x14ac:dyDescent="0.25">
      <c r="A828305" s="242"/>
    </row>
    <row r="828306" spans="1:1" x14ac:dyDescent="0.25">
      <c r="A828306" s="242"/>
    </row>
    <row r="828307" spans="1:1" x14ac:dyDescent="0.25">
      <c r="A828307" s="242"/>
    </row>
    <row r="828308" spans="1:1" x14ac:dyDescent="0.25">
      <c r="A828308" s="242"/>
    </row>
    <row r="828309" spans="1:1" x14ac:dyDescent="0.25">
      <c r="A828309" s="242"/>
    </row>
    <row r="828310" spans="1:1" x14ac:dyDescent="0.25">
      <c r="A828310" s="242"/>
    </row>
    <row r="828311" spans="1:1" x14ac:dyDescent="0.25">
      <c r="A828311" s="242"/>
    </row>
    <row r="828312" spans="1:1" x14ac:dyDescent="0.25">
      <c r="A828312" s="242"/>
    </row>
    <row r="828313" spans="1:1" x14ac:dyDescent="0.25">
      <c r="A828313" s="242"/>
    </row>
    <row r="828314" spans="1:1" x14ac:dyDescent="0.25">
      <c r="A828314" s="242"/>
    </row>
    <row r="828315" spans="1:1" x14ac:dyDescent="0.25">
      <c r="A828315" s="242"/>
    </row>
    <row r="828316" spans="1:1" x14ac:dyDescent="0.25">
      <c r="A828316" s="242"/>
    </row>
    <row r="828317" spans="1:1" x14ac:dyDescent="0.25">
      <c r="A828317" s="242"/>
    </row>
    <row r="828318" spans="1:1" x14ac:dyDescent="0.25">
      <c r="A828318" s="242"/>
    </row>
    <row r="828319" spans="1:1" x14ac:dyDescent="0.25">
      <c r="A828319" s="242"/>
    </row>
    <row r="828320" spans="1:1" x14ac:dyDescent="0.25">
      <c r="A828320" s="242"/>
    </row>
    <row r="828321" spans="1:1" x14ac:dyDescent="0.25">
      <c r="A828321" s="242"/>
    </row>
    <row r="828322" spans="1:1" x14ac:dyDescent="0.25">
      <c r="A828322" s="242"/>
    </row>
    <row r="828323" spans="1:1" x14ac:dyDescent="0.25">
      <c r="A828323" s="242"/>
    </row>
    <row r="828324" spans="1:1" x14ac:dyDescent="0.25">
      <c r="A828324" s="242"/>
    </row>
    <row r="828325" spans="1:1" x14ac:dyDescent="0.25">
      <c r="A828325" s="242"/>
    </row>
    <row r="828326" spans="1:1" x14ac:dyDescent="0.25">
      <c r="A828326" s="242"/>
    </row>
    <row r="828327" spans="1:1" x14ac:dyDescent="0.25">
      <c r="A828327" s="242"/>
    </row>
    <row r="828328" spans="1:1" x14ac:dyDescent="0.25">
      <c r="A828328" s="242"/>
    </row>
    <row r="828329" spans="1:1" x14ac:dyDescent="0.25">
      <c r="A828329" s="242"/>
    </row>
    <row r="828330" spans="1:1" x14ac:dyDescent="0.25">
      <c r="A828330" s="242"/>
    </row>
    <row r="828331" spans="1:1" x14ac:dyDescent="0.25">
      <c r="A828331" s="242"/>
    </row>
    <row r="828332" spans="1:1" x14ac:dyDescent="0.25">
      <c r="A828332" s="242"/>
    </row>
    <row r="828333" spans="1:1" x14ac:dyDescent="0.25">
      <c r="A828333" s="242"/>
    </row>
    <row r="828334" spans="1:1" x14ac:dyDescent="0.25">
      <c r="A828334" s="242"/>
    </row>
    <row r="828335" spans="1:1" x14ac:dyDescent="0.25">
      <c r="A828335" s="242"/>
    </row>
    <row r="828336" spans="1:1" x14ac:dyDescent="0.25">
      <c r="A828336" s="242"/>
    </row>
    <row r="828337" spans="1:1" x14ac:dyDescent="0.25">
      <c r="A828337" s="242"/>
    </row>
    <row r="828338" spans="1:1" x14ac:dyDescent="0.25">
      <c r="A828338" s="242"/>
    </row>
    <row r="828339" spans="1:1" x14ac:dyDescent="0.25">
      <c r="A828339" s="242"/>
    </row>
    <row r="828340" spans="1:1" x14ac:dyDescent="0.25">
      <c r="A828340" s="242"/>
    </row>
    <row r="828341" spans="1:1" x14ac:dyDescent="0.25">
      <c r="A828341" s="242"/>
    </row>
    <row r="828342" spans="1:1" x14ac:dyDescent="0.25">
      <c r="A828342" s="242"/>
    </row>
    <row r="828343" spans="1:1" x14ac:dyDescent="0.25">
      <c r="A828343" s="242"/>
    </row>
    <row r="828344" spans="1:1" x14ac:dyDescent="0.25">
      <c r="A828344" s="242"/>
    </row>
    <row r="828345" spans="1:1" x14ac:dyDescent="0.25">
      <c r="A828345" s="242"/>
    </row>
    <row r="828346" spans="1:1" x14ac:dyDescent="0.25">
      <c r="A828346" s="242"/>
    </row>
    <row r="828347" spans="1:1" x14ac:dyDescent="0.25">
      <c r="A828347" s="242"/>
    </row>
    <row r="828348" spans="1:1" x14ac:dyDescent="0.25">
      <c r="A828348" s="242"/>
    </row>
    <row r="828349" spans="1:1" x14ac:dyDescent="0.25">
      <c r="A828349" s="242"/>
    </row>
    <row r="828350" spans="1:1" x14ac:dyDescent="0.25">
      <c r="A828350" s="242"/>
    </row>
    <row r="828351" spans="1:1" x14ac:dyDescent="0.25">
      <c r="A828351" s="242"/>
    </row>
    <row r="828352" spans="1:1" x14ac:dyDescent="0.25">
      <c r="A828352" s="242"/>
    </row>
    <row r="828353" spans="1:1" x14ac:dyDescent="0.25">
      <c r="A828353" s="242"/>
    </row>
    <row r="828354" spans="1:1" x14ac:dyDescent="0.25">
      <c r="A828354" s="242"/>
    </row>
    <row r="828355" spans="1:1" x14ac:dyDescent="0.25">
      <c r="A828355" s="242"/>
    </row>
    <row r="828356" spans="1:1" x14ac:dyDescent="0.25">
      <c r="A828356" s="242"/>
    </row>
    <row r="828357" spans="1:1" x14ac:dyDescent="0.25">
      <c r="A828357" s="242"/>
    </row>
    <row r="828358" spans="1:1" x14ac:dyDescent="0.25">
      <c r="A828358" s="242"/>
    </row>
    <row r="828359" spans="1:1" x14ac:dyDescent="0.25">
      <c r="A828359" s="242"/>
    </row>
    <row r="828360" spans="1:1" x14ac:dyDescent="0.25">
      <c r="A828360" s="242"/>
    </row>
    <row r="828361" spans="1:1" x14ac:dyDescent="0.25">
      <c r="A828361" s="242"/>
    </row>
    <row r="828362" spans="1:1" x14ac:dyDescent="0.25">
      <c r="A828362" s="242"/>
    </row>
    <row r="828363" spans="1:1" x14ac:dyDescent="0.25">
      <c r="A828363" s="242"/>
    </row>
    <row r="828364" spans="1:1" x14ac:dyDescent="0.25">
      <c r="A828364" s="242"/>
    </row>
    <row r="828365" spans="1:1" x14ac:dyDescent="0.25">
      <c r="A828365" s="242"/>
    </row>
    <row r="828366" spans="1:1" x14ac:dyDescent="0.25">
      <c r="A828366" s="242"/>
    </row>
    <row r="828367" spans="1:1" x14ac:dyDescent="0.25">
      <c r="A828367" s="242"/>
    </row>
    <row r="828368" spans="1:1" x14ac:dyDescent="0.25">
      <c r="A828368" s="242"/>
    </row>
    <row r="828369" spans="1:1" x14ac:dyDescent="0.25">
      <c r="A828369" s="242"/>
    </row>
    <row r="828370" spans="1:1" x14ac:dyDescent="0.25">
      <c r="A828370" s="242"/>
    </row>
    <row r="828371" spans="1:1" x14ac:dyDescent="0.25">
      <c r="A828371" s="242"/>
    </row>
    <row r="828372" spans="1:1" x14ac:dyDescent="0.25">
      <c r="A828372" s="242"/>
    </row>
    <row r="828373" spans="1:1" x14ac:dyDescent="0.25">
      <c r="A828373" s="242"/>
    </row>
    <row r="828374" spans="1:1" x14ac:dyDescent="0.25">
      <c r="A828374" s="242"/>
    </row>
    <row r="828375" spans="1:1" x14ac:dyDescent="0.25">
      <c r="A828375" s="242"/>
    </row>
    <row r="828376" spans="1:1" x14ac:dyDescent="0.25">
      <c r="A828376" s="242"/>
    </row>
    <row r="828377" spans="1:1" x14ac:dyDescent="0.25">
      <c r="A828377" s="242"/>
    </row>
    <row r="828378" spans="1:1" x14ac:dyDescent="0.25">
      <c r="A828378" s="242"/>
    </row>
    <row r="828379" spans="1:1" x14ac:dyDescent="0.25">
      <c r="A828379" s="242"/>
    </row>
    <row r="828380" spans="1:1" x14ac:dyDescent="0.25">
      <c r="A828380" s="242"/>
    </row>
    <row r="828381" spans="1:1" x14ac:dyDescent="0.25">
      <c r="A828381" s="242"/>
    </row>
    <row r="828382" spans="1:1" x14ac:dyDescent="0.25">
      <c r="A828382" s="242"/>
    </row>
    <row r="828383" spans="1:1" x14ac:dyDescent="0.25">
      <c r="A828383" s="242"/>
    </row>
    <row r="828384" spans="1:1" x14ac:dyDescent="0.25">
      <c r="A828384" s="242"/>
    </row>
    <row r="828385" spans="1:1" x14ac:dyDescent="0.25">
      <c r="A828385" s="242"/>
    </row>
    <row r="828386" spans="1:1" x14ac:dyDescent="0.25">
      <c r="A828386" s="242"/>
    </row>
    <row r="828387" spans="1:1" x14ac:dyDescent="0.25">
      <c r="A828387" s="242"/>
    </row>
    <row r="828388" spans="1:1" x14ac:dyDescent="0.25">
      <c r="A828388" s="242"/>
    </row>
    <row r="828389" spans="1:1" x14ac:dyDescent="0.25">
      <c r="A828389" s="242"/>
    </row>
    <row r="828390" spans="1:1" x14ac:dyDescent="0.25">
      <c r="A828390" s="242"/>
    </row>
    <row r="828391" spans="1:1" x14ac:dyDescent="0.25">
      <c r="A828391" s="242"/>
    </row>
    <row r="828392" spans="1:1" x14ac:dyDescent="0.25">
      <c r="A828392" s="242"/>
    </row>
    <row r="828393" spans="1:1" x14ac:dyDescent="0.25">
      <c r="A828393" s="242"/>
    </row>
    <row r="828394" spans="1:1" x14ac:dyDescent="0.25">
      <c r="A828394" s="242"/>
    </row>
    <row r="828395" spans="1:1" x14ac:dyDescent="0.25">
      <c r="A828395" s="242"/>
    </row>
    <row r="828396" spans="1:1" x14ac:dyDescent="0.25">
      <c r="A828396" s="242"/>
    </row>
    <row r="828397" spans="1:1" x14ac:dyDescent="0.25">
      <c r="A828397" s="242"/>
    </row>
    <row r="828398" spans="1:1" x14ac:dyDescent="0.25">
      <c r="A828398" s="242"/>
    </row>
    <row r="828399" spans="1:1" x14ac:dyDescent="0.25">
      <c r="A828399" s="242"/>
    </row>
    <row r="828400" spans="1:1" x14ac:dyDescent="0.25">
      <c r="A828400" s="242"/>
    </row>
    <row r="828401" spans="1:1" x14ac:dyDescent="0.25">
      <c r="A828401" s="242"/>
    </row>
    <row r="828402" spans="1:1" x14ac:dyDescent="0.25">
      <c r="A828402" s="242"/>
    </row>
    <row r="828403" spans="1:1" x14ac:dyDescent="0.25">
      <c r="A828403" s="242"/>
    </row>
    <row r="828404" spans="1:1" x14ac:dyDescent="0.25">
      <c r="A828404" s="242"/>
    </row>
    <row r="828405" spans="1:1" x14ac:dyDescent="0.25">
      <c r="A828405" s="242"/>
    </row>
    <row r="828406" spans="1:1" x14ac:dyDescent="0.25">
      <c r="A828406" s="242"/>
    </row>
    <row r="828407" spans="1:1" x14ac:dyDescent="0.25">
      <c r="A828407" s="242"/>
    </row>
    <row r="828408" spans="1:1" x14ac:dyDescent="0.25">
      <c r="A828408" s="242"/>
    </row>
    <row r="828409" spans="1:1" x14ac:dyDescent="0.25">
      <c r="A828409" s="242"/>
    </row>
    <row r="828410" spans="1:1" x14ac:dyDescent="0.25">
      <c r="A828410" s="242"/>
    </row>
    <row r="828411" spans="1:1" x14ac:dyDescent="0.25">
      <c r="A828411" s="242"/>
    </row>
    <row r="828412" spans="1:1" x14ac:dyDescent="0.25">
      <c r="A828412" s="242"/>
    </row>
    <row r="828413" spans="1:1" x14ac:dyDescent="0.25">
      <c r="A828413" s="242"/>
    </row>
    <row r="828414" spans="1:1" x14ac:dyDescent="0.25">
      <c r="A828414" s="242"/>
    </row>
    <row r="828415" spans="1:1" x14ac:dyDescent="0.25">
      <c r="A828415" s="242"/>
    </row>
    <row r="828416" spans="1:1" x14ac:dyDescent="0.25">
      <c r="A828416" s="242"/>
    </row>
    <row r="828417" spans="1:1" x14ac:dyDescent="0.25">
      <c r="A828417" s="242"/>
    </row>
    <row r="828418" spans="1:1" x14ac:dyDescent="0.25">
      <c r="A828418" s="242"/>
    </row>
    <row r="828419" spans="1:1" x14ac:dyDescent="0.25">
      <c r="A828419" s="242"/>
    </row>
    <row r="828420" spans="1:1" x14ac:dyDescent="0.25">
      <c r="A828420" s="242"/>
    </row>
    <row r="828421" spans="1:1" x14ac:dyDescent="0.25">
      <c r="A828421" s="242"/>
    </row>
    <row r="828422" spans="1:1" x14ac:dyDescent="0.25">
      <c r="A828422" s="242"/>
    </row>
    <row r="828423" spans="1:1" x14ac:dyDescent="0.25">
      <c r="A828423" s="242"/>
    </row>
    <row r="828424" spans="1:1" x14ac:dyDescent="0.25">
      <c r="A828424" s="242"/>
    </row>
    <row r="828425" spans="1:1" x14ac:dyDescent="0.25">
      <c r="A828425" s="242"/>
    </row>
    <row r="828426" spans="1:1" x14ac:dyDescent="0.25">
      <c r="A828426" s="242"/>
    </row>
    <row r="828427" spans="1:1" x14ac:dyDescent="0.25">
      <c r="A828427" s="242"/>
    </row>
    <row r="828428" spans="1:1" x14ac:dyDescent="0.25">
      <c r="A828428" s="242"/>
    </row>
    <row r="828429" spans="1:1" x14ac:dyDescent="0.25">
      <c r="A828429" s="242"/>
    </row>
    <row r="828430" spans="1:1" x14ac:dyDescent="0.25">
      <c r="A828430" s="242"/>
    </row>
    <row r="828431" spans="1:1" x14ac:dyDescent="0.25">
      <c r="A828431" s="242"/>
    </row>
    <row r="828432" spans="1:1" x14ac:dyDescent="0.25">
      <c r="A828432" s="242"/>
    </row>
    <row r="828433" spans="1:1" x14ac:dyDescent="0.25">
      <c r="A828433" s="242"/>
    </row>
    <row r="828434" spans="1:1" x14ac:dyDescent="0.25">
      <c r="A828434" s="242"/>
    </row>
    <row r="828435" spans="1:1" x14ac:dyDescent="0.25">
      <c r="A828435" s="242"/>
    </row>
    <row r="828436" spans="1:1" x14ac:dyDescent="0.25">
      <c r="A828436" s="242"/>
    </row>
    <row r="828437" spans="1:1" x14ac:dyDescent="0.25">
      <c r="A828437" s="242"/>
    </row>
    <row r="828438" spans="1:1" x14ac:dyDescent="0.25">
      <c r="A828438" s="242"/>
    </row>
    <row r="828439" spans="1:1" x14ac:dyDescent="0.25">
      <c r="A828439" s="242"/>
    </row>
    <row r="828440" spans="1:1" x14ac:dyDescent="0.25">
      <c r="A828440" s="242"/>
    </row>
    <row r="828441" spans="1:1" x14ac:dyDescent="0.25">
      <c r="A828441" s="242"/>
    </row>
    <row r="828442" spans="1:1" x14ac:dyDescent="0.25">
      <c r="A828442" s="242"/>
    </row>
    <row r="828443" spans="1:1" x14ac:dyDescent="0.25">
      <c r="A828443" s="242"/>
    </row>
    <row r="828444" spans="1:1" x14ac:dyDescent="0.25">
      <c r="A828444" s="242"/>
    </row>
    <row r="828445" spans="1:1" x14ac:dyDescent="0.25">
      <c r="A828445" s="242"/>
    </row>
    <row r="828446" spans="1:1" x14ac:dyDescent="0.25">
      <c r="A828446" s="242"/>
    </row>
    <row r="828447" spans="1:1" x14ac:dyDescent="0.25">
      <c r="A828447" s="242"/>
    </row>
    <row r="828448" spans="1:1" x14ac:dyDescent="0.25">
      <c r="A828448" s="242"/>
    </row>
    <row r="828449" spans="1:1" x14ac:dyDescent="0.25">
      <c r="A828449" s="242"/>
    </row>
    <row r="828450" spans="1:1" x14ac:dyDescent="0.25">
      <c r="A828450" s="242"/>
    </row>
    <row r="828451" spans="1:1" x14ac:dyDescent="0.25">
      <c r="A828451" s="242"/>
    </row>
    <row r="828452" spans="1:1" x14ac:dyDescent="0.25">
      <c r="A828452" s="242"/>
    </row>
    <row r="828453" spans="1:1" x14ac:dyDescent="0.25">
      <c r="A828453" s="242"/>
    </row>
    <row r="828454" spans="1:1" x14ac:dyDescent="0.25">
      <c r="A828454" s="242"/>
    </row>
    <row r="828455" spans="1:1" x14ac:dyDescent="0.25">
      <c r="A828455" s="242"/>
    </row>
    <row r="828456" spans="1:1" x14ac:dyDescent="0.25">
      <c r="A828456" s="242"/>
    </row>
    <row r="828457" spans="1:1" x14ac:dyDescent="0.25">
      <c r="A828457" s="242"/>
    </row>
    <row r="828458" spans="1:1" x14ac:dyDescent="0.25">
      <c r="A828458" s="242"/>
    </row>
    <row r="828459" spans="1:1" x14ac:dyDescent="0.25">
      <c r="A828459" s="242"/>
    </row>
    <row r="828460" spans="1:1" x14ac:dyDescent="0.25">
      <c r="A828460" s="242"/>
    </row>
    <row r="828461" spans="1:1" x14ac:dyDescent="0.25">
      <c r="A828461" s="242"/>
    </row>
    <row r="828462" spans="1:1" x14ac:dyDescent="0.25">
      <c r="A828462" s="242"/>
    </row>
    <row r="828463" spans="1:1" x14ac:dyDescent="0.25">
      <c r="A828463" s="242"/>
    </row>
    <row r="828464" spans="1:1" x14ac:dyDescent="0.25">
      <c r="A828464" s="242"/>
    </row>
    <row r="828465" spans="1:1" x14ac:dyDescent="0.25">
      <c r="A828465" s="242"/>
    </row>
    <row r="828466" spans="1:1" x14ac:dyDescent="0.25">
      <c r="A828466" s="242"/>
    </row>
    <row r="828467" spans="1:1" x14ac:dyDescent="0.25">
      <c r="A828467" s="242"/>
    </row>
    <row r="828468" spans="1:1" x14ac:dyDescent="0.25">
      <c r="A828468" s="242"/>
    </row>
    <row r="828469" spans="1:1" x14ac:dyDescent="0.25">
      <c r="A828469" s="242"/>
    </row>
    <row r="828470" spans="1:1" x14ac:dyDescent="0.25">
      <c r="A828470" s="242"/>
    </row>
    <row r="828471" spans="1:1" x14ac:dyDescent="0.25">
      <c r="A828471" s="242"/>
    </row>
    <row r="828472" spans="1:1" x14ac:dyDescent="0.25">
      <c r="A828472" s="242"/>
    </row>
    <row r="828473" spans="1:1" x14ac:dyDescent="0.25">
      <c r="A828473" s="242"/>
    </row>
    <row r="828474" spans="1:1" x14ac:dyDescent="0.25">
      <c r="A828474" s="242"/>
    </row>
    <row r="828475" spans="1:1" x14ac:dyDescent="0.25">
      <c r="A828475" s="242"/>
    </row>
    <row r="828476" spans="1:1" x14ac:dyDescent="0.25">
      <c r="A828476" s="242"/>
    </row>
    <row r="828477" spans="1:1" x14ac:dyDescent="0.25">
      <c r="A828477" s="242"/>
    </row>
    <row r="828478" spans="1:1" x14ac:dyDescent="0.25">
      <c r="A828478" s="242"/>
    </row>
    <row r="828479" spans="1:1" x14ac:dyDescent="0.25">
      <c r="A828479" s="242"/>
    </row>
    <row r="828480" spans="1:1" x14ac:dyDescent="0.25">
      <c r="A828480" s="242"/>
    </row>
    <row r="828481" spans="1:1" x14ac:dyDescent="0.25">
      <c r="A828481" s="242"/>
    </row>
    <row r="828482" spans="1:1" x14ac:dyDescent="0.25">
      <c r="A828482" s="242"/>
    </row>
    <row r="828483" spans="1:1" x14ac:dyDescent="0.25">
      <c r="A828483" s="242"/>
    </row>
    <row r="828484" spans="1:1" x14ac:dyDescent="0.25">
      <c r="A828484" s="242"/>
    </row>
    <row r="828485" spans="1:1" x14ac:dyDescent="0.25">
      <c r="A828485" s="242"/>
    </row>
    <row r="828486" spans="1:1" x14ac:dyDescent="0.25">
      <c r="A828486" s="242"/>
    </row>
    <row r="828487" spans="1:1" x14ac:dyDescent="0.25">
      <c r="A828487" s="242"/>
    </row>
    <row r="828488" spans="1:1" x14ac:dyDescent="0.25">
      <c r="A828488" s="242"/>
    </row>
    <row r="828489" spans="1:1" x14ac:dyDescent="0.25">
      <c r="A828489" s="242"/>
    </row>
    <row r="828490" spans="1:1" x14ac:dyDescent="0.25">
      <c r="A828490" s="242"/>
    </row>
    <row r="828491" spans="1:1" x14ac:dyDescent="0.25">
      <c r="A828491" s="242"/>
    </row>
    <row r="828492" spans="1:1" x14ac:dyDescent="0.25">
      <c r="A828492" s="242"/>
    </row>
    <row r="828493" spans="1:1" x14ac:dyDescent="0.25">
      <c r="A828493" s="242"/>
    </row>
    <row r="828494" spans="1:1" x14ac:dyDescent="0.25">
      <c r="A828494" s="242"/>
    </row>
    <row r="828495" spans="1:1" x14ac:dyDescent="0.25">
      <c r="A828495" s="242"/>
    </row>
    <row r="828496" spans="1:1" x14ac:dyDescent="0.25">
      <c r="A828496" s="242"/>
    </row>
    <row r="828497" spans="1:1" x14ac:dyDescent="0.25">
      <c r="A828497" s="242"/>
    </row>
    <row r="828498" spans="1:1" x14ac:dyDescent="0.25">
      <c r="A828498" s="242"/>
    </row>
    <row r="828499" spans="1:1" x14ac:dyDescent="0.25">
      <c r="A828499" s="242"/>
    </row>
    <row r="828500" spans="1:1" x14ac:dyDescent="0.25">
      <c r="A828500" s="242"/>
    </row>
    <row r="828501" spans="1:1" x14ac:dyDescent="0.25">
      <c r="A828501" s="242"/>
    </row>
    <row r="828502" spans="1:1" x14ac:dyDescent="0.25">
      <c r="A828502" s="242"/>
    </row>
    <row r="828503" spans="1:1" x14ac:dyDescent="0.25">
      <c r="A828503" s="242"/>
    </row>
    <row r="828504" spans="1:1" x14ac:dyDescent="0.25">
      <c r="A828504" s="242"/>
    </row>
    <row r="828505" spans="1:1" x14ac:dyDescent="0.25">
      <c r="A828505" s="242"/>
    </row>
    <row r="828506" spans="1:1" x14ac:dyDescent="0.25">
      <c r="A828506" s="242"/>
    </row>
    <row r="828507" spans="1:1" x14ac:dyDescent="0.25">
      <c r="A828507" s="242"/>
    </row>
    <row r="828508" spans="1:1" x14ac:dyDescent="0.25">
      <c r="A828508" s="242"/>
    </row>
    <row r="828509" spans="1:1" x14ac:dyDescent="0.25">
      <c r="A828509" s="242"/>
    </row>
    <row r="828510" spans="1:1" x14ac:dyDescent="0.25">
      <c r="A828510" s="242"/>
    </row>
    <row r="828511" spans="1:1" x14ac:dyDescent="0.25">
      <c r="A828511" s="242"/>
    </row>
    <row r="828512" spans="1:1" x14ac:dyDescent="0.25">
      <c r="A828512" s="242"/>
    </row>
    <row r="828513" spans="1:1" x14ac:dyDescent="0.25">
      <c r="A828513" s="242"/>
    </row>
    <row r="828514" spans="1:1" x14ac:dyDescent="0.25">
      <c r="A828514" s="242"/>
    </row>
    <row r="828515" spans="1:1" x14ac:dyDescent="0.25">
      <c r="A828515" s="242"/>
    </row>
    <row r="828516" spans="1:1" x14ac:dyDescent="0.25">
      <c r="A828516" s="242"/>
    </row>
    <row r="828517" spans="1:1" x14ac:dyDescent="0.25">
      <c r="A828517" s="242"/>
    </row>
    <row r="828518" spans="1:1" x14ac:dyDescent="0.25">
      <c r="A828518" s="242"/>
    </row>
    <row r="828519" spans="1:1" x14ac:dyDescent="0.25">
      <c r="A828519" s="242"/>
    </row>
    <row r="828520" spans="1:1" x14ac:dyDescent="0.25">
      <c r="A828520" s="242"/>
    </row>
    <row r="828521" spans="1:1" x14ac:dyDescent="0.25">
      <c r="A828521" s="242"/>
    </row>
    <row r="828522" spans="1:1" x14ac:dyDescent="0.25">
      <c r="A828522" s="242"/>
    </row>
    <row r="828523" spans="1:1" x14ac:dyDescent="0.25">
      <c r="A828523" s="242"/>
    </row>
    <row r="828524" spans="1:1" x14ac:dyDescent="0.25">
      <c r="A828524" s="242"/>
    </row>
    <row r="828525" spans="1:1" x14ac:dyDescent="0.25">
      <c r="A828525" s="242"/>
    </row>
    <row r="828526" spans="1:1" x14ac:dyDescent="0.25">
      <c r="A828526" s="242"/>
    </row>
    <row r="828527" spans="1:1" x14ac:dyDescent="0.25">
      <c r="A828527" s="242"/>
    </row>
    <row r="828528" spans="1:1" x14ac:dyDescent="0.25">
      <c r="A828528" s="242"/>
    </row>
    <row r="828529" spans="1:1" x14ac:dyDescent="0.25">
      <c r="A828529" s="242"/>
    </row>
    <row r="828530" spans="1:1" x14ac:dyDescent="0.25">
      <c r="A828530" s="242"/>
    </row>
    <row r="828531" spans="1:1" x14ac:dyDescent="0.25">
      <c r="A828531" s="242"/>
    </row>
    <row r="828532" spans="1:1" x14ac:dyDescent="0.25">
      <c r="A828532" s="242"/>
    </row>
    <row r="828533" spans="1:1" x14ac:dyDescent="0.25">
      <c r="A828533" s="242"/>
    </row>
    <row r="828534" spans="1:1" x14ac:dyDescent="0.25">
      <c r="A828534" s="242"/>
    </row>
    <row r="828535" spans="1:1" x14ac:dyDescent="0.25">
      <c r="A828535" s="242"/>
    </row>
    <row r="828536" spans="1:1" x14ac:dyDescent="0.25">
      <c r="A828536" s="242"/>
    </row>
    <row r="828537" spans="1:1" x14ac:dyDescent="0.25">
      <c r="A828537" s="242"/>
    </row>
    <row r="828538" spans="1:1" x14ac:dyDescent="0.25">
      <c r="A828538" s="242"/>
    </row>
    <row r="828539" spans="1:1" x14ac:dyDescent="0.25">
      <c r="A828539" s="242"/>
    </row>
    <row r="828540" spans="1:1" x14ac:dyDescent="0.25">
      <c r="A828540" s="242"/>
    </row>
    <row r="828541" spans="1:1" x14ac:dyDescent="0.25">
      <c r="A828541" s="242"/>
    </row>
    <row r="828542" spans="1:1" x14ac:dyDescent="0.25">
      <c r="A828542" s="242"/>
    </row>
    <row r="828543" spans="1:1" x14ac:dyDescent="0.25">
      <c r="A828543" s="242"/>
    </row>
    <row r="828544" spans="1:1" x14ac:dyDescent="0.25">
      <c r="A828544" s="242"/>
    </row>
    <row r="828545" spans="1:1" x14ac:dyDescent="0.25">
      <c r="A828545" s="242"/>
    </row>
    <row r="828546" spans="1:1" x14ac:dyDescent="0.25">
      <c r="A828546" s="242"/>
    </row>
    <row r="828547" spans="1:1" x14ac:dyDescent="0.25">
      <c r="A828547" s="242"/>
    </row>
    <row r="828548" spans="1:1" x14ac:dyDescent="0.25">
      <c r="A828548" s="242"/>
    </row>
    <row r="828549" spans="1:1" x14ac:dyDescent="0.25">
      <c r="A828549" s="242"/>
    </row>
    <row r="828550" spans="1:1" x14ac:dyDescent="0.25">
      <c r="A828550" s="242"/>
    </row>
    <row r="828551" spans="1:1" x14ac:dyDescent="0.25">
      <c r="A828551" s="242"/>
    </row>
    <row r="828552" spans="1:1" x14ac:dyDescent="0.25">
      <c r="A828552" s="242"/>
    </row>
    <row r="828553" spans="1:1" x14ac:dyDescent="0.25">
      <c r="A828553" s="242"/>
    </row>
    <row r="828554" spans="1:1" x14ac:dyDescent="0.25">
      <c r="A828554" s="242"/>
    </row>
    <row r="828555" spans="1:1" x14ac:dyDescent="0.25">
      <c r="A828555" s="242"/>
    </row>
    <row r="828556" spans="1:1" x14ac:dyDescent="0.25">
      <c r="A828556" s="242"/>
    </row>
    <row r="828557" spans="1:1" x14ac:dyDescent="0.25">
      <c r="A828557" s="242"/>
    </row>
    <row r="828558" spans="1:1" x14ac:dyDescent="0.25">
      <c r="A828558" s="242"/>
    </row>
    <row r="828559" spans="1:1" x14ac:dyDescent="0.25">
      <c r="A828559" s="242"/>
    </row>
    <row r="828560" spans="1:1" x14ac:dyDescent="0.25">
      <c r="A828560" s="242"/>
    </row>
    <row r="828561" spans="1:1" x14ac:dyDescent="0.25">
      <c r="A828561" s="242"/>
    </row>
    <row r="828562" spans="1:1" x14ac:dyDescent="0.25">
      <c r="A828562" s="242"/>
    </row>
    <row r="828563" spans="1:1" x14ac:dyDescent="0.25">
      <c r="A828563" s="242"/>
    </row>
    <row r="828564" spans="1:1" x14ac:dyDescent="0.25">
      <c r="A828564" s="242"/>
    </row>
    <row r="828565" spans="1:1" x14ac:dyDescent="0.25">
      <c r="A828565" s="242"/>
    </row>
    <row r="828566" spans="1:1" x14ac:dyDescent="0.25">
      <c r="A828566" s="242"/>
    </row>
    <row r="828567" spans="1:1" x14ac:dyDescent="0.25">
      <c r="A828567" s="242"/>
    </row>
    <row r="828568" spans="1:1" x14ac:dyDescent="0.25">
      <c r="A828568" s="242"/>
    </row>
    <row r="828569" spans="1:1" x14ac:dyDescent="0.25">
      <c r="A828569" s="242"/>
    </row>
    <row r="828570" spans="1:1" x14ac:dyDescent="0.25">
      <c r="A828570" s="242"/>
    </row>
    <row r="828571" spans="1:1" x14ac:dyDescent="0.25">
      <c r="A828571" s="242"/>
    </row>
    <row r="828572" spans="1:1" x14ac:dyDescent="0.25">
      <c r="A828572" s="242"/>
    </row>
    <row r="828573" spans="1:1" x14ac:dyDescent="0.25">
      <c r="A828573" s="242"/>
    </row>
    <row r="828574" spans="1:1" x14ac:dyDescent="0.25">
      <c r="A828574" s="242"/>
    </row>
    <row r="828575" spans="1:1" x14ac:dyDescent="0.25">
      <c r="A828575" s="242"/>
    </row>
    <row r="828576" spans="1:1" x14ac:dyDescent="0.25">
      <c r="A828576" s="242"/>
    </row>
    <row r="828577" spans="1:1" x14ac:dyDescent="0.25">
      <c r="A828577" s="242"/>
    </row>
    <row r="828578" spans="1:1" x14ac:dyDescent="0.25">
      <c r="A828578" s="242"/>
    </row>
    <row r="828579" spans="1:1" x14ac:dyDescent="0.25">
      <c r="A828579" s="242"/>
    </row>
    <row r="828580" spans="1:1" x14ac:dyDescent="0.25">
      <c r="A828580" s="242"/>
    </row>
    <row r="828581" spans="1:1" x14ac:dyDescent="0.25">
      <c r="A828581" s="242"/>
    </row>
    <row r="828582" spans="1:1" x14ac:dyDescent="0.25">
      <c r="A828582" s="242"/>
    </row>
    <row r="828583" spans="1:1" x14ac:dyDescent="0.25">
      <c r="A828583" s="242"/>
    </row>
    <row r="828584" spans="1:1" x14ac:dyDescent="0.25">
      <c r="A828584" s="242"/>
    </row>
    <row r="828585" spans="1:1" x14ac:dyDescent="0.25">
      <c r="A828585" s="242"/>
    </row>
    <row r="828586" spans="1:1" x14ac:dyDescent="0.25">
      <c r="A828586" s="242"/>
    </row>
    <row r="828587" spans="1:1" x14ac:dyDescent="0.25">
      <c r="A828587" s="242"/>
    </row>
    <row r="828588" spans="1:1" x14ac:dyDescent="0.25">
      <c r="A828588" s="242"/>
    </row>
    <row r="828589" spans="1:1" x14ac:dyDescent="0.25">
      <c r="A828589" s="242"/>
    </row>
    <row r="828590" spans="1:1" x14ac:dyDescent="0.25">
      <c r="A828590" s="242"/>
    </row>
    <row r="828591" spans="1:1" x14ac:dyDescent="0.25">
      <c r="A828591" s="242"/>
    </row>
    <row r="828592" spans="1:1" x14ac:dyDescent="0.25">
      <c r="A828592" s="242"/>
    </row>
    <row r="828593" spans="1:1" x14ac:dyDescent="0.25">
      <c r="A828593" s="242"/>
    </row>
    <row r="828594" spans="1:1" x14ac:dyDescent="0.25">
      <c r="A828594" s="242"/>
    </row>
    <row r="828595" spans="1:1" x14ac:dyDescent="0.25">
      <c r="A828595" s="242"/>
    </row>
    <row r="828596" spans="1:1" x14ac:dyDescent="0.25">
      <c r="A828596" s="242"/>
    </row>
    <row r="828597" spans="1:1" x14ac:dyDescent="0.25">
      <c r="A828597" s="242"/>
    </row>
    <row r="828598" spans="1:1" x14ac:dyDescent="0.25">
      <c r="A828598" s="242"/>
    </row>
    <row r="828599" spans="1:1" x14ac:dyDescent="0.25">
      <c r="A828599" s="242"/>
    </row>
    <row r="828600" spans="1:1" x14ac:dyDescent="0.25">
      <c r="A828600" s="242"/>
    </row>
    <row r="828601" spans="1:1" x14ac:dyDescent="0.25">
      <c r="A828601" s="242"/>
    </row>
    <row r="828602" spans="1:1" x14ac:dyDescent="0.25">
      <c r="A828602" s="242"/>
    </row>
    <row r="828603" spans="1:1" x14ac:dyDescent="0.25">
      <c r="A828603" s="242"/>
    </row>
    <row r="828604" spans="1:1" x14ac:dyDescent="0.25">
      <c r="A828604" s="242"/>
    </row>
    <row r="828605" spans="1:1" x14ac:dyDescent="0.25">
      <c r="A828605" s="242"/>
    </row>
    <row r="828606" spans="1:1" x14ac:dyDescent="0.25">
      <c r="A828606" s="242"/>
    </row>
    <row r="828607" spans="1:1" x14ac:dyDescent="0.25">
      <c r="A828607" s="242"/>
    </row>
    <row r="828608" spans="1:1" x14ac:dyDescent="0.25">
      <c r="A828608" s="242"/>
    </row>
    <row r="828609" spans="1:1" x14ac:dyDescent="0.25">
      <c r="A828609" s="242"/>
    </row>
    <row r="828610" spans="1:1" x14ac:dyDescent="0.25">
      <c r="A828610" s="242"/>
    </row>
    <row r="828611" spans="1:1" x14ac:dyDescent="0.25">
      <c r="A828611" s="242"/>
    </row>
    <row r="828612" spans="1:1" x14ac:dyDescent="0.25">
      <c r="A828612" s="242"/>
    </row>
    <row r="828613" spans="1:1" x14ac:dyDescent="0.25">
      <c r="A828613" s="242"/>
    </row>
    <row r="828614" spans="1:1" x14ac:dyDescent="0.25">
      <c r="A828614" s="242"/>
    </row>
    <row r="828615" spans="1:1" x14ac:dyDescent="0.25">
      <c r="A828615" s="242"/>
    </row>
    <row r="828616" spans="1:1" x14ac:dyDescent="0.25">
      <c r="A828616" s="242"/>
    </row>
    <row r="828617" spans="1:1" x14ac:dyDescent="0.25">
      <c r="A828617" s="242"/>
    </row>
    <row r="828618" spans="1:1" x14ac:dyDescent="0.25">
      <c r="A828618" s="242"/>
    </row>
    <row r="828619" spans="1:1" x14ac:dyDescent="0.25">
      <c r="A828619" s="242"/>
    </row>
    <row r="828620" spans="1:1" x14ac:dyDescent="0.25">
      <c r="A828620" s="242"/>
    </row>
    <row r="828621" spans="1:1" x14ac:dyDescent="0.25">
      <c r="A828621" s="242"/>
    </row>
    <row r="828622" spans="1:1" x14ac:dyDescent="0.25">
      <c r="A828622" s="242"/>
    </row>
    <row r="828623" spans="1:1" x14ac:dyDescent="0.25">
      <c r="A828623" s="242"/>
    </row>
    <row r="828624" spans="1:1" x14ac:dyDescent="0.25">
      <c r="A828624" s="242"/>
    </row>
    <row r="828625" spans="1:1" x14ac:dyDescent="0.25">
      <c r="A828625" s="242"/>
    </row>
    <row r="828626" spans="1:1" x14ac:dyDescent="0.25">
      <c r="A828626" s="242"/>
    </row>
    <row r="828627" spans="1:1" x14ac:dyDescent="0.25">
      <c r="A828627" s="242"/>
    </row>
    <row r="828628" spans="1:1" x14ac:dyDescent="0.25">
      <c r="A828628" s="242"/>
    </row>
    <row r="828629" spans="1:1" x14ac:dyDescent="0.25">
      <c r="A828629" s="242"/>
    </row>
    <row r="828630" spans="1:1" x14ac:dyDescent="0.25">
      <c r="A828630" s="242"/>
    </row>
    <row r="828631" spans="1:1" x14ac:dyDescent="0.25">
      <c r="A828631" s="242"/>
    </row>
    <row r="828632" spans="1:1" x14ac:dyDescent="0.25">
      <c r="A828632" s="242"/>
    </row>
    <row r="828633" spans="1:1" x14ac:dyDescent="0.25">
      <c r="A828633" s="242"/>
    </row>
    <row r="828634" spans="1:1" x14ac:dyDescent="0.25">
      <c r="A828634" s="242"/>
    </row>
    <row r="828635" spans="1:1" x14ac:dyDescent="0.25">
      <c r="A828635" s="242"/>
    </row>
    <row r="828636" spans="1:1" x14ac:dyDescent="0.25">
      <c r="A828636" s="242"/>
    </row>
    <row r="828637" spans="1:1" x14ac:dyDescent="0.25">
      <c r="A828637" s="242"/>
    </row>
    <row r="828638" spans="1:1" x14ac:dyDescent="0.25">
      <c r="A828638" s="242"/>
    </row>
    <row r="828639" spans="1:1" x14ac:dyDescent="0.25">
      <c r="A828639" s="242"/>
    </row>
    <row r="828640" spans="1:1" x14ac:dyDescent="0.25">
      <c r="A828640" s="242"/>
    </row>
    <row r="828641" spans="1:1" x14ac:dyDescent="0.25">
      <c r="A828641" s="242"/>
    </row>
    <row r="828642" spans="1:1" x14ac:dyDescent="0.25">
      <c r="A828642" s="242"/>
    </row>
    <row r="828643" spans="1:1" x14ac:dyDescent="0.25">
      <c r="A828643" s="242"/>
    </row>
    <row r="828644" spans="1:1" x14ac:dyDescent="0.25">
      <c r="A828644" s="242"/>
    </row>
    <row r="828645" spans="1:1" x14ac:dyDescent="0.25">
      <c r="A828645" s="242"/>
    </row>
    <row r="828646" spans="1:1" x14ac:dyDescent="0.25">
      <c r="A828646" s="242"/>
    </row>
    <row r="828647" spans="1:1" x14ac:dyDescent="0.25">
      <c r="A828647" s="242"/>
    </row>
    <row r="828648" spans="1:1" x14ac:dyDescent="0.25">
      <c r="A828648" s="242"/>
    </row>
    <row r="828649" spans="1:1" x14ac:dyDescent="0.25">
      <c r="A828649" s="242"/>
    </row>
    <row r="828650" spans="1:1" x14ac:dyDescent="0.25">
      <c r="A828650" s="242"/>
    </row>
    <row r="828651" spans="1:1" x14ac:dyDescent="0.25">
      <c r="A828651" s="242"/>
    </row>
    <row r="828652" spans="1:1" x14ac:dyDescent="0.25">
      <c r="A828652" s="242"/>
    </row>
    <row r="828653" spans="1:1" x14ac:dyDescent="0.25">
      <c r="A828653" s="242"/>
    </row>
    <row r="828654" spans="1:1" x14ac:dyDescent="0.25">
      <c r="A828654" s="242"/>
    </row>
    <row r="828655" spans="1:1" x14ac:dyDescent="0.25">
      <c r="A828655" s="242"/>
    </row>
    <row r="828656" spans="1:1" x14ac:dyDescent="0.25">
      <c r="A828656" s="242"/>
    </row>
    <row r="828657" spans="1:1" x14ac:dyDescent="0.25">
      <c r="A828657" s="242"/>
    </row>
    <row r="828658" spans="1:1" x14ac:dyDescent="0.25">
      <c r="A828658" s="242"/>
    </row>
    <row r="828659" spans="1:1" x14ac:dyDescent="0.25">
      <c r="A828659" s="242"/>
    </row>
    <row r="828660" spans="1:1" x14ac:dyDescent="0.25">
      <c r="A828660" s="242"/>
    </row>
    <row r="828661" spans="1:1" x14ac:dyDescent="0.25">
      <c r="A828661" s="242"/>
    </row>
    <row r="828662" spans="1:1" x14ac:dyDescent="0.25">
      <c r="A828662" s="242"/>
    </row>
    <row r="828663" spans="1:1" x14ac:dyDescent="0.25">
      <c r="A828663" s="242"/>
    </row>
    <row r="828664" spans="1:1" x14ac:dyDescent="0.25">
      <c r="A828664" s="242"/>
    </row>
    <row r="828665" spans="1:1" x14ac:dyDescent="0.25">
      <c r="A828665" s="242"/>
    </row>
    <row r="828666" spans="1:1" x14ac:dyDescent="0.25">
      <c r="A828666" s="242"/>
    </row>
    <row r="828667" spans="1:1" x14ac:dyDescent="0.25">
      <c r="A828667" s="242"/>
    </row>
    <row r="828668" spans="1:1" x14ac:dyDescent="0.25">
      <c r="A828668" s="242"/>
    </row>
    <row r="828669" spans="1:1" x14ac:dyDescent="0.25">
      <c r="A828669" s="242"/>
    </row>
    <row r="828670" spans="1:1" x14ac:dyDescent="0.25">
      <c r="A828670" s="242"/>
    </row>
    <row r="828671" spans="1:1" x14ac:dyDescent="0.25">
      <c r="A828671" s="242"/>
    </row>
    <row r="828672" spans="1:1" x14ac:dyDescent="0.25">
      <c r="A828672" s="242"/>
    </row>
    <row r="828673" spans="1:1" x14ac:dyDescent="0.25">
      <c r="A828673" s="242"/>
    </row>
    <row r="828674" spans="1:1" x14ac:dyDescent="0.25">
      <c r="A828674" s="242"/>
    </row>
    <row r="828675" spans="1:1" x14ac:dyDescent="0.25">
      <c r="A828675" s="242"/>
    </row>
    <row r="828676" spans="1:1" x14ac:dyDescent="0.25">
      <c r="A828676" s="242"/>
    </row>
    <row r="828677" spans="1:1" x14ac:dyDescent="0.25">
      <c r="A828677" s="242"/>
    </row>
    <row r="828678" spans="1:1" x14ac:dyDescent="0.25">
      <c r="A828678" s="242"/>
    </row>
    <row r="828679" spans="1:1" x14ac:dyDescent="0.25">
      <c r="A828679" s="242"/>
    </row>
    <row r="828680" spans="1:1" x14ac:dyDescent="0.25">
      <c r="A828680" s="242"/>
    </row>
    <row r="828681" spans="1:1" x14ac:dyDescent="0.25">
      <c r="A828681" s="242"/>
    </row>
    <row r="828682" spans="1:1" x14ac:dyDescent="0.25">
      <c r="A828682" s="242"/>
    </row>
    <row r="828683" spans="1:1" x14ac:dyDescent="0.25">
      <c r="A828683" s="242"/>
    </row>
    <row r="828684" spans="1:1" x14ac:dyDescent="0.25">
      <c r="A828684" s="242"/>
    </row>
    <row r="828685" spans="1:1" x14ac:dyDescent="0.25">
      <c r="A828685" s="242"/>
    </row>
    <row r="828686" spans="1:1" x14ac:dyDescent="0.25">
      <c r="A828686" s="242"/>
    </row>
    <row r="828687" spans="1:1" x14ac:dyDescent="0.25">
      <c r="A828687" s="242"/>
    </row>
    <row r="828688" spans="1:1" x14ac:dyDescent="0.25">
      <c r="A828688" s="242"/>
    </row>
    <row r="828689" spans="1:1" x14ac:dyDescent="0.25">
      <c r="A828689" s="242"/>
    </row>
    <row r="828690" spans="1:1" x14ac:dyDescent="0.25">
      <c r="A828690" s="242"/>
    </row>
    <row r="828691" spans="1:1" x14ac:dyDescent="0.25">
      <c r="A828691" s="242"/>
    </row>
    <row r="828692" spans="1:1" x14ac:dyDescent="0.25">
      <c r="A828692" s="242"/>
    </row>
    <row r="828693" spans="1:1" x14ac:dyDescent="0.25">
      <c r="A828693" s="242"/>
    </row>
    <row r="828694" spans="1:1" x14ac:dyDescent="0.25">
      <c r="A828694" s="242"/>
    </row>
    <row r="828695" spans="1:1" x14ac:dyDescent="0.25">
      <c r="A828695" s="242"/>
    </row>
    <row r="828696" spans="1:1" x14ac:dyDescent="0.25">
      <c r="A828696" s="242"/>
    </row>
    <row r="828697" spans="1:1" x14ac:dyDescent="0.25">
      <c r="A828697" s="242"/>
    </row>
    <row r="828698" spans="1:1" x14ac:dyDescent="0.25">
      <c r="A828698" s="242"/>
    </row>
    <row r="828699" spans="1:1" x14ac:dyDescent="0.25">
      <c r="A828699" s="242"/>
    </row>
    <row r="828700" spans="1:1" x14ac:dyDescent="0.25">
      <c r="A828700" s="242"/>
    </row>
    <row r="828701" spans="1:1" x14ac:dyDescent="0.25">
      <c r="A828701" s="242"/>
    </row>
    <row r="828702" spans="1:1" x14ac:dyDescent="0.25">
      <c r="A828702" s="242"/>
    </row>
    <row r="828703" spans="1:1" x14ac:dyDescent="0.25">
      <c r="A828703" s="242"/>
    </row>
    <row r="828704" spans="1:1" x14ac:dyDescent="0.25">
      <c r="A828704" s="242"/>
    </row>
    <row r="828705" spans="1:1" x14ac:dyDescent="0.25">
      <c r="A828705" s="242"/>
    </row>
    <row r="828706" spans="1:1" x14ac:dyDescent="0.25">
      <c r="A828706" s="242"/>
    </row>
    <row r="828707" spans="1:1" x14ac:dyDescent="0.25">
      <c r="A828707" s="242"/>
    </row>
    <row r="828708" spans="1:1" x14ac:dyDescent="0.25">
      <c r="A828708" s="242"/>
    </row>
    <row r="828709" spans="1:1" x14ac:dyDescent="0.25">
      <c r="A828709" s="242"/>
    </row>
    <row r="828710" spans="1:1" x14ac:dyDescent="0.25">
      <c r="A828710" s="242"/>
    </row>
    <row r="828711" spans="1:1" x14ac:dyDescent="0.25">
      <c r="A828711" s="242"/>
    </row>
    <row r="828712" spans="1:1" x14ac:dyDescent="0.25">
      <c r="A828712" s="242"/>
    </row>
    <row r="828713" spans="1:1" x14ac:dyDescent="0.25">
      <c r="A828713" s="242"/>
    </row>
    <row r="828714" spans="1:1" x14ac:dyDescent="0.25">
      <c r="A828714" s="242"/>
    </row>
    <row r="828715" spans="1:1" x14ac:dyDescent="0.25">
      <c r="A828715" s="242"/>
    </row>
    <row r="828716" spans="1:1" x14ac:dyDescent="0.25">
      <c r="A828716" s="242"/>
    </row>
    <row r="828717" spans="1:1" x14ac:dyDescent="0.25">
      <c r="A828717" s="242"/>
    </row>
    <row r="828718" spans="1:1" x14ac:dyDescent="0.25">
      <c r="A828718" s="242"/>
    </row>
    <row r="828719" spans="1:1" x14ac:dyDescent="0.25">
      <c r="A828719" s="242"/>
    </row>
    <row r="828720" spans="1:1" x14ac:dyDescent="0.25">
      <c r="A828720" s="242"/>
    </row>
    <row r="828721" spans="1:1" x14ac:dyDescent="0.25">
      <c r="A828721" s="242"/>
    </row>
    <row r="828722" spans="1:1" x14ac:dyDescent="0.25">
      <c r="A828722" s="242"/>
    </row>
    <row r="828723" spans="1:1" x14ac:dyDescent="0.25">
      <c r="A828723" s="242"/>
    </row>
    <row r="828724" spans="1:1" x14ac:dyDescent="0.25">
      <c r="A828724" s="242"/>
    </row>
    <row r="828725" spans="1:1" x14ac:dyDescent="0.25">
      <c r="A828725" s="242"/>
    </row>
    <row r="828726" spans="1:1" x14ac:dyDescent="0.25">
      <c r="A828726" s="242"/>
    </row>
    <row r="828727" spans="1:1" x14ac:dyDescent="0.25">
      <c r="A828727" s="242"/>
    </row>
    <row r="828728" spans="1:1" x14ac:dyDescent="0.25">
      <c r="A828728" s="242"/>
    </row>
    <row r="828729" spans="1:1" x14ac:dyDescent="0.25">
      <c r="A828729" s="242"/>
    </row>
    <row r="828730" spans="1:1" x14ac:dyDescent="0.25">
      <c r="A828730" s="242"/>
    </row>
    <row r="828731" spans="1:1" x14ac:dyDescent="0.25">
      <c r="A828731" s="242"/>
    </row>
    <row r="828732" spans="1:1" x14ac:dyDescent="0.25">
      <c r="A828732" s="242"/>
    </row>
    <row r="828733" spans="1:1" x14ac:dyDescent="0.25">
      <c r="A828733" s="242"/>
    </row>
    <row r="828734" spans="1:1" x14ac:dyDescent="0.25">
      <c r="A828734" s="242"/>
    </row>
    <row r="828735" spans="1:1" x14ac:dyDescent="0.25">
      <c r="A828735" s="242"/>
    </row>
    <row r="828736" spans="1:1" x14ac:dyDescent="0.25">
      <c r="A828736" s="242"/>
    </row>
    <row r="828737" spans="1:1" x14ac:dyDescent="0.25">
      <c r="A828737" s="242"/>
    </row>
    <row r="828738" spans="1:1" x14ac:dyDescent="0.25">
      <c r="A828738" s="242"/>
    </row>
    <row r="828739" spans="1:1" x14ac:dyDescent="0.25">
      <c r="A828739" s="242"/>
    </row>
    <row r="828740" spans="1:1" x14ac:dyDescent="0.25">
      <c r="A828740" s="242"/>
    </row>
    <row r="828741" spans="1:1" x14ac:dyDescent="0.25">
      <c r="A828741" s="242"/>
    </row>
    <row r="828742" spans="1:1" x14ac:dyDescent="0.25">
      <c r="A828742" s="242"/>
    </row>
    <row r="828743" spans="1:1" x14ac:dyDescent="0.25">
      <c r="A828743" s="242"/>
    </row>
    <row r="828744" spans="1:1" x14ac:dyDescent="0.25">
      <c r="A828744" s="242"/>
    </row>
    <row r="828745" spans="1:1" x14ac:dyDescent="0.25">
      <c r="A828745" s="242"/>
    </row>
    <row r="828746" spans="1:1" x14ac:dyDescent="0.25">
      <c r="A828746" s="242"/>
    </row>
    <row r="828747" spans="1:1" x14ac:dyDescent="0.25">
      <c r="A828747" s="242"/>
    </row>
    <row r="828748" spans="1:1" x14ac:dyDescent="0.25">
      <c r="A828748" s="242"/>
    </row>
    <row r="828749" spans="1:1" x14ac:dyDescent="0.25">
      <c r="A828749" s="242"/>
    </row>
    <row r="828750" spans="1:1" x14ac:dyDescent="0.25">
      <c r="A828750" s="242"/>
    </row>
    <row r="828751" spans="1:1" x14ac:dyDescent="0.25">
      <c r="A828751" s="242"/>
    </row>
    <row r="828752" spans="1:1" x14ac:dyDescent="0.25">
      <c r="A828752" s="242"/>
    </row>
    <row r="828753" spans="1:1" x14ac:dyDescent="0.25">
      <c r="A828753" s="242"/>
    </row>
    <row r="828754" spans="1:1" x14ac:dyDescent="0.25">
      <c r="A828754" s="242"/>
    </row>
    <row r="828755" spans="1:1" x14ac:dyDescent="0.25">
      <c r="A828755" s="242"/>
    </row>
    <row r="828756" spans="1:1" x14ac:dyDescent="0.25">
      <c r="A828756" s="242"/>
    </row>
    <row r="828757" spans="1:1" x14ac:dyDescent="0.25">
      <c r="A828757" s="242"/>
    </row>
    <row r="828758" spans="1:1" x14ac:dyDescent="0.25">
      <c r="A828758" s="242"/>
    </row>
    <row r="828759" spans="1:1" x14ac:dyDescent="0.25">
      <c r="A828759" s="242"/>
    </row>
    <row r="828760" spans="1:1" x14ac:dyDescent="0.25">
      <c r="A828760" s="242"/>
    </row>
    <row r="828761" spans="1:1" x14ac:dyDescent="0.25">
      <c r="A828761" s="242"/>
    </row>
    <row r="828762" spans="1:1" x14ac:dyDescent="0.25">
      <c r="A828762" s="242"/>
    </row>
    <row r="828763" spans="1:1" x14ac:dyDescent="0.25">
      <c r="A828763" s="242"/>
    </row>
    <row r="828764" spans="1:1" x14ac:dyDescent="0.25">
      <c r="A828764" s="242"/>
    </row>
    <row r="828765" spans="1:1" x14ac:dyDescent="0.25">
      <c r="A828765" s="242"/>
    </row>
    <row r="828766" spans="1:1" x14ac:dyDescent="0.25">
      <c r="A828766" s="242"/>
    </row>
    <row r="828767" spans="1:1" x14ac:dyDescent="0.25">
      <c r="A828767" s="242"/>
    </row>
    <row r="828768" spans="1:1" x14ac:dyDescent="0.25">
      <c r="A828768" s="242"/>
    </row>
    <row r="828769" spans="1:1" x14ac:dyDescent="0.25">
      <c r="A828769" s="242"/>
    </row>
    <row r="828770" spans="1:1" x14ac:dyDescent="0.25">
      <c r="A828770" s="242"/>
    </row>
    <row r="828771" spans="1:1" x14ac:dyDescent="0.25">
      <c r="A828771" s="242"/>
    </row>
    <row r="828772" spans="1:1" x14ac:dyDescent="0.25">
      <c r="A828772" s="242"/>
    </row>
    <row r="828773" spans="1:1" x14ac:dyDescent="0.25">
      <c r="A828773" s="242"/>
    </row>
    <row r="828774" spans="1:1" x14ac:dyDescent="0.25">
      <c r="A828774" s="242"/>
    </row>
    <row r="828775" spans="1:1" x14ac:dyDescent="0.25">
      <c r="A828775" s="242"/>
    </row>
    <row r="828776" spans="1:1" x14ac:dyDescent="0.25">
      <c r="A828776" s="242"/>
    </row>
    <row r="828777" spans="1:1" x14ac:dyDescent="0.25">
      <c r="A828777" s="242"/>
    </row>
    <row r="828778" spans="1:1" x14ac:dyDescent="0.25">
      <c r="A828778" s="242"/>
    </row>
    <row r="828779" spans="1:1" x14ac:dyDescent="0.25">
      <c r="A828779" s="242"/>
    </row>
    <row r="828780" spans="1:1" x14ac:dyDescent="0.25">
      <c r="A828780" s="242"/>
    </row>
    <row r="828781" spans="1:1" x14ac:dyDescent="0.25">
      <c r="A828781" s="242"/>
    </row>
    <row r="828782" spans="1:1" x14ac:dyDescent="0.25">
      <c r="A828782" s="242"/>
    </row>
    <row r="828783" spans="1:1" x14ac:dyDescent="0.25">
      <c r="A828783" s="242"/>
    </row>
    <row r="828784" spans="1:1" x14ac:dyDescent="0.25">
      <c r="A828784" s="242"/>
    </row>
    <row r="828785" spans="1:1" x14ac:dyDescent="0.25">
      <c r="A828785" s="242"/>
    </row>
    <row r="828786" spans="1:1" x14ac:dyDescent="0.25">
      <c r="A828786" s="242"/>
    </row>
    <row r="828787" spans="1:1" x14ac:dyDescent="0.25">
      <c r="A828787" s="242"/>
    </row>
    <row r="828788" spans="1:1" x14ac:dyDescent="0.25">
      <c r="A828788" s="242"/>
    </row>
    <row r="828789" spans="1:1" x14ac:dyDescent="0.25">
      <c r="A828789" s="242"/>
    </row>
    <row r="828790" spans="1:1" x14ac:dyDescent="0.25">
      <c r="A828790" s="242"/>
    </row>
    <row r="828791" spans="1:1" x14ac:dyDescent="0.25">
      <c r="A828791" s="242"/>
    </row>
    <row r="828792" spans="1:1" x14ac:dyDescent="0.25">
      <c r="A828792" s="242"/>
    </row>
    <row r="828793" spans="1:1" x14ac:dyDescent="0.25">
      <c r="A828793" s="242"/>
    </row>
    <row r="828794" spans="1:1" x14ac:dyDescent="0.25">
      <c r="A828794" s="242"/>
    </row>
    <row r="828795" spans="1:1" x14ac:dyDescent="0.25">
      <c r="A828795" s="242"/>
    </row>
    <row r="828796" spans="1:1" x14ac:dyDescent="0.25">
      <c r="A828796" s="242"/>
    </row>
    <row r="828797" spans="1:1" x14ac:dyDescent="0.25">
      <c r="A828797" s="242"/>
    </row>
    <row r="828798" spans="1:1" x14ac:dyDescent="0.25">
      <c r="A828798" s="242"/>
    </row>
    <row r="828799" spans="1:1" x14ac:dyDescent="0.25">
      <c r="A828799" s="242"/>
    </row>
    <row r="828800" spans="1:1" x14ac:dyDescent="0.25">
      <c r="A828800" s="242"/>
    </row>
    <row r="828801" spans="1:1" x14ac:dyDescent="0.25">
      <c r="A828801" s="242"/>
    </row>
    <row r="828802" spans="1:1" x14ac:dyDescent="0.25">
      <c r="A828802" s="242"/>
    </row>
    <row r="828803" spans="1:1" x14ac:dyDescent="0.25">
      <c r="A828803" s="242"/>
    </row>
    <row r="828804" spans="1:1" x14ac:dyDescent="0.25">
      <c r="A828804" s="242"/>
    </row>
    <row r="828805" spans="1:1" x14ac:dyDescent="0.25">
      <c r="A828805" s="242"/>
    </row>
    <row r="828806" spans="1:1" x14ac:dyDescent="0.25">
      <c r="A828806" s="242"/>
    </row>
    <row r="828807" spans="1:1" x14ac:dyDescent="0.25">
      <c r="A828807" s="242"/>
    </row>
    <row r="828808" spans="1:1" x14ac:dyDescent="0.25">
      <c r="A828808" s="242"/>
    </row>
    <row r="828809" spans="1:1" x14ac:dyDescent="0.25">
      <c r="A828809" s="242"/>
    </row>
    <row r="828810" spans="1:1" x14ac:dyDescent="0.25">
      <c r="A828810" s="242"/>
    </row>
    <row r="828811" spans="1:1" x14ac:dyDescent="0.25">
      <c r="A828811" s="242"/>
    </row>
    <row r="828812" spans="1:1" x14ac:dyDescent="0.25">
      <c r="A828812" s="242"/>
    </row>
    <row r="828813" spans="1:1" x14ac:dyDescent="0.25">
      <c r="A828813" s="242"/>
    </row>
    <row r="828814" spans="1:1" x14ac:dyDescent="0.25">
      <c r="A828814" s="242"/>
    </row>
    <row r="828815" spans="1:1" x14ac:dyDescent="0.25">
      <c r="A828815" s="242"/>
    </row>
    <row r="828816" spans="1:1" x14ac:dyDescent="0.25">
      <c r="A828816" s="242"/>
    </row>
    <row r="828817" spans="1:1" x14ac:dyDescent="0.25">
      <c r="A828817" s="242"/>
    </row>
    <row r="828818" spans="1:1" x14ac:dyDescent="0.25">
      <c r="A828818" s="242"/>
    </row>
    <row r="828819" spans="1:1" x14ac:dyDescent="0.25">
      <c r="A828819" s="242"/>
    </row>
    <row r="828820" spans="1:1" x14ac:dyDescent="0.25">
      <c r="A828820" s="242"/>
    </row>
    <row r="828821" spans="1:1" x14ac:dyDescent="0.25">
      <c r="A828821" s="242"/>
    </row>
    <row r="828822" spans="1:1" x14ac:dyDescent="0.25">
      <c r="A828822" s="242"/>
    </row>
    <row r="828823" spans="1:1" x14ac:dyDescent="0.25">
      <c r="A828823" s="242"/>
    </row>
    <row r="828824" spans="1:1" x14ac:dyDescent="0.25">
      <c r="A828824" s="242"/>
    </row>
    <row r="828825" spans="1:1" x14ac:dyDescent="0.25">
      <c r="A828825" s="242"/>
    </row>
    <row r="828826" spans="1:1" x14ac:dyDescent="0.25">
      <c r="A828826" s="242"/>
    </row>
    <row r="828827" spans="1:1" x14ac:dyDescent="0.25">
      <c r="A828827" s="242"/>
    </row>
    <row r="828828" spans="1:1" x14ac:dyDescent="0.25">
      <c r="A828828" s="242"/>
    </row>
    <row r="828829" spans="1:1" x14ac:dyDescent="0.25">
      <c r="A828829" s="242"/>
    </row>
    <row r="828830" spans="1:1" x14ac:dyDescent="0.25">
      <c r="A828830" s="242"/>
    </row>
    <row r="828831" spans="1:1" x14ac:dyDescent="0.25">
      <c r="A828831" s="242"/>
    </row>
    <row r="828832" spans="1:1" x14ac:dyDescent="0.25">
      <c r="A828832" s="242"/>
    </row>
    <row r="828833" spans="1:1" x14ac:dyDescent="0.25">
      <c r="A828833" s="242"/>
    </row>
    <row r="828834" spans="1:1" x14ac:dyDescent="0.25">
      <c r="A828834" s="242"/>
    </row>
    <row r="828835" spans="1:1" x14ac:dyDescent="0.25">
      <c r="A828835" s="242"/>
    </row>
    <row r="828836" spans="1:1" x14ac:dyDescent="0.25">
      <c r="A828836" s="242"/>
    </row>
    <row r="828837" spans="1:1" x14ac:dyDescent="0.25">
      <c r="A828837" s="242"/>
    </row>
    <row r="828838" spans="1:1" x14ac:dyDescent="0.25">
      <c r="A828838" s="242"/>
    </row>
    <row r="828839" spans="1:1" x14ac:dyDescent="0.25">
      <c r="A828839" s="242"/>
    </row>
    <row r="828840" spans="1:1" x14ac:dyDescent="0.25">
      <c r="A828840" s="242"/>
    </row>
    <row r="828841" spans="1:1" x14ac:dyDescent="0.25">
      <c r="A828841" s="242"/>
    </row>
    <row r="828842" spans="1:1" x14ac:dyDescent="0.25">
      <c r="A828842" s="242"/>
    </row>
    <row r="828843" spans="1:1" x14ac:dyDescent="0.25">
      <c r="A828843" s="242"/>
    </row>
    <row r="828844" spans="1:1" x14ac:dyDescent="0.25">
      <c r="A828844" s="242"/>
    </row>
    <row r="828845" spans="1:1" x14ac:dyDescent="0.25">
      <c r="A828845" s="242"/>
    </row>
    <row r="828846" spans="1:1" x14ac:dyDescent="0.25">
      <c r="A828846" s="242"/>
    </row>
    <row r="828847" spans="1:1" x14ac:dyDescent="0.25">
      <c r="A828847" s="242"/>
    </row>
    <row r="828848" spans="1:1" x14ac:dyDescent="0.25">
      <c r="A828848" s="242"/>
    </row>
    <row r="828849" spans="1:1" x14ac:dyDescent="0.25">
      <c r="A828849" s="242"/>
    </row>
    <row r="828850" spans="1:1" x14ac:dyDescent="0.25">
      <c r="A828850" s="242"/>
    </row>
    <row r="828851" spans="1:1" x14ac:dyDescent="0.25">
      <c r="A828851" s="242"/>
    </row>
    <row r="828852" spans="1:1" x14ac:dyDescent="0.25">
      <c r="A828852" s="242"/>
    </row>
    <row r="828853" spans="1:1" x14ac:dyDescent="0.25">
      <c r="A828853" s="242"/>
    </row>
    <row r="828854" spans="1:1" x14ac:dyDescent="0.25">
      <c r="A828854" s="242"/>
    </row>
    <row r="828855" spans="1:1" x14ac:dyDescent="0.25">
      <c r="A828855" s="242"/>
    </row>
    <row r="828856" spans="1:1" x14ac:dyDescent="0.25">
      <c r="A828856" s="242"/>
    </row>
    <row r="828857" spans="1:1" x14ac:dyDescent="0.25">
      <c r="A828857" s="242"/>
    </row>
    <row r="828858" spans="1:1" x14ac:dyDescent="0.25">
      <c r="A828858" s="242"/>
    </row>
    <row r="828859" spans="1:1" x14ac:dyDescent="0.25">
      <c r="A828859" s="242"/>
    </row>
    <row r="828860" spans="1:1" x14ac:dyDescent="0.25">
      <c r="A828860" s="242"/>
    </row>
    <row r="828861" spans="1:1" x14ac:dyDescent="0.25">
      <c r="A828861" s="242"/>
    </row>
    <row r="828862" spans="1:1" x14ac:dyDescent="0.25">
      <c r="A828862" s="242"/>
    </row>
    <row r="828863" spans="1:1" x14ac:dyDescent="0.25">
      <c r="A828863" s="242"/>
    </row>
    <row r="828864" spans="1:1" x14ac:dyDescent="0.25">
      <c r="A828864" s="242"/>
    </row>
    <row r="828865" spans="1:1" x14ac:dyDescent="0.25">
      <c r="A828865" s="242"/>
    </row>
    <row r="828866" spans="1:1" x14ac:dyDescent="0.25">
      <c r="A828866" s="242"/>
    </row>
    <row r="828867" spans="1:1" x14ac:dyDescent="0.25">
      <c r="A828867" s="242"/>
    </row>
    <row r="828868" spans="1:1" x14ac:dyDescent="0.25">
      <c r="A828868" s="242"/>
    </row>
    <row r="828869" spans="1:1" x14ac:dyDescent="0.25">
      <c r="A828869" s="242"/>
    </row>
    <row r="828870" spans="1:1" x14ac:dyDescent="0.25">
      <c r="A828870" s="242"/>
    </row>
    <row r="828871" spans="1:1" x14ac:dyDescent="0.25">
      <c r="A828871" s="242"/>
    </row>
    <row r="828872" spans="1:1" x14ac:dyDescent="0.25">
      <c r="A828872" s="242"/>
    </row>
    <row r="828873" spans="1:1" x14ac:dyDescent="0.25">
      <c r="A828873" s="242"/>
    </row>
    <row r="828874" spans="1:1" x14ac:dyDescent="0.25">
      <c r="A828874" s="242"/>
    </row>
    <row r="828875" spans="1:1" x14ac:dyDescent="0.25">
      <c r="A828875" s="242"/>
    </row>
    <row r="828876" spans="1:1" x14ac:dyDescent="0.25">
      <c r="A828876" s="242"/>
    </row>
    <row r="828877" spans="1:1" x14ac:dyDescent="0.25">
      <c r="A828877" s="242"/>
    </row>
    <row r="828878" spans="1:1" x14ac:dyDescent="0.25">
      <c r="A828878" s="242"/>
    </row>
    <row r="828879" spans="1:1" x14ac:dyDescent="0.25">
      <c r="A828879" s="242"/>
    </row>
    <row r="828880" spans="1:1" x14ac:dyDescent="0.25">
      <c r="A828880" s="242"/>
    </row>
    <row r="828881" spans="1:1" x14ac:dyDescent="0.25">
      <c r="A828881" s="242"/>
    </row>
    <row r="828882" spans="1:1" x14ac:dyDescent="0.25">
      <c r="A828882" s="242"/>
    </row>
    <row r="828883" spans="1:1" x14ac:dyDescent="0.25">
      <c r="A828883" s="242"/>
    </row>
    <row r="828884" spans="1:1" x14ac:dyDescent="0.25">
      <c r="A828884" s="242"/>
    </row>
    <row r="828885" spans="1:1" x14ac:dyDescent="0.25">
      <c r="A828885" s="242"/>
    </row>
    <row r="828886" spans="1:1" x14ac:dyDescent="0.25">
      <c r="A828886" s="242"/>
    </row>
    <row r="828887" spans="1:1" x14ac:dyDescent="0.25">
      <c r="A828887" s="242"/>
    </row>
    <row r="828888" spans="1:1" x14ac:dyDescent="0.25">
      <c r="A828888" s="242"/>
    </row>
    <row r="828889" spans="1:1" x14ac:dyDescent="0.25">
      <c r="A828889" s="242"/>
    </row>
    <row r="828890" spans="1:1" x14ac:dyDescent="0.25">
      <c r="A828890" s="242"/>
    </row>
    <row r="828891" spans="1:1" x14ac:dyDescent="0.25">
      <c r="A828891" s="242"/>
    </row>
    <row r="828892" spans="1:1" x14ac:dyDescent="0.25">
      <c r="A828892" s="242"/>
    </row>
    <row r="828893" spans="1:1" x14ac:dyDescent="0.25">
      <c r="A828893" s="242"/>
    </row>
    <row r="828894" spans="1:1" x14ac:dyDescent="0.25">
      <c r="A828894" s="242"/>
    </row>
    <row r="828895" spans="1:1" x14ac:dyDescent="0.25">
      <c r="A828895" s="242"/>
    </row>
    <row r="828896" spans="1:1" x14ac:dyDescent="0.25">
      <c r="A828896" s="242"/>
    </row>
    <row r="828897" spans="1:1" x14ac:dyDescent="0.25">
      <c r="A828897" s="242"/>
    </row>
    <row r="828898" spans="1:1" x14ac:dyDescent="0.25">
      <c r="A828898" s="242"/>
    </row>
    <row r="828899" spans="1:1" x14ac:dyDescent="0.25">
      <c r="A828899" s="242"/>
    </row>
    <row r="828900" spans="1:1" x14ac:dyDescent="0.25">
      <c r="A828900" s="242"/>
    </row>
    <row r="828901" spans="1:1" x14ac:dyDescent="0.25">
      <c r="A828901" s="242"/>
    </row>
    <row r="828902" spans="1:1" x14ac:dyDescent="0.25">
      <c r="A828902" s="242"/>
    </row>
    <row r="828903" spans="1:1" x14ac:dyDescent="0.25">
      <c r="A828903" s="242"/>
    </row>
    <row r="828904" spans="1:1" x14ac:dyDescent="0.25">
      <c r="A828904" s="242"/>
    </row>
    <row r="828905" spans="1:1" x14ac:dyDescent="0.25">
      <c r="A828905" s="242"/>
    </row>
    <row r="828906" spans="1:1" x14ac:dyDescent="0.25">
      <c r="A828906" s="242"/>
    </row>
    <row r="828907" spans="1:1" x14ac:dyDescent="0.25">
      <c r="A828907" s="242"/>
    </row>
    <row r="828908" spans="1:1" x14ac:dyDescent="0.25">
      <c r="A828908" s="242"/>
    </row>
    <row r="828909" spans="1:1" x14ac:dyDescent="0.25">
      <c r="A828909" s="242"/>
    </row>
    <row r="828910" spans="1:1" x14ac:dyDescent="0.25">
      <c r="A828910" s="242"/>
    </row>
    <row r="828911" spans="1:1" x14ac:dyDescent="0.25">
      <c r="A828911" s="242"/>
    </row>
    <row r="828912" spans="1:1" x14ac:dyDescent="0.25">
      <c r="A828912" s="242"/>
    </row>
    <row r="828913" spans="1:1" x14ac:dyDescent="0.25">
      <c r="A828913" s="242"/>
    </row>
    <row r="828914" spans="1:1" x14ac:dyDescent="0.25">
      <c r="A828914" s="242"/>
    </row>
    <row r="828915" spans="1:1" x14ac:dyDescent="0.25">
      <c r="A828915" s="242"/>
    </row>
    <row r="828916" spans="1:1" x14ac:dyDescent="0.25">
      <c r="A828916" s="242"/>
    </row>
    <row r="828917" spans="1:1" x14ac:dyDescent="0.25">
      <c r="A828917" s="242"/>
    </row>
    <row r="828918" spans="1:1" x14ac:dyDescent="0.25">
      <c r="A828918" s="242"/>
    </row>
    <row r="828919" spans="1:1" x14ac:dyDescent="0.25">
      <c r="A828919" s="242"/>
    </row>
    <row r="828920" spans="1:1" x14ac:dyDescent="0.25">
      <c r="A828920" s="242"/>
    </row>
    <row r="828921" spans="1:1" x14ac:dyDescent="0.25">
      <c r="A828921" s="242"/>
    </row>
    <row r="828922" spans="1:1" x14ac:dyDescent="0.25">
      <c r="A828922" s="242"/>
    </row>
    <row r="828923" spans="1:1" x14ac:dyDescent="0.25">
      <c r="A828923" s="242"/>
    </row>
    <row r="828924" spans="1:1" x14ac:dyDescent="0.25">
      <c r="A828924" s="242"/>
    </row>
    <row r="828925" spans="1:1" x14ac:dyDescent="0.25">
      <c r="A828925" s="242"/>
    </row>
    <row r="828926" spans="1:1" x14ac:dyDescent="0.25">
      <c r="A828926" s="242"/>
    </row>
    <row r="828927" spans="1:1" x14ac:dyDescent="0.25">
      <c r="A828927" s="242"/>
    </row>
    <row r="828928" spans="1:1" x14ac:dyDescent="0.25">
      <c r="A828928" s="242"/>
    </row>
    <row r="828929" spans="1:1" x14ac:dyDescent="0.25">
      <c r="A828929" s="242"/>
    </row>
    <row r="828930" spans="1:1" x14ac:dyDescent="0.25">
      <c r="A828930" s="242"/>
    </row>
    <row r="828931" spans="1:1" x14ac:dyDescent="0.25">
      <c r="A828931" s="242"/>
    </row>
    <row r="828932" spans="1:1" x14ac:dyDescent="0.25">
      <c r="A828932" s="242"/>
    </row>
    <row r="828933" spans="1:1" x14ac:dyDescent="0.25">
      <c r="A828933" s="242"/>
    </row>
    <row r="828934" spans="1:1" x14ac:dyDescent="0.25">
      <c r="A828934" s="242"/>
    </row>
    <row r="828935" spans="1:1" x14ac:dyDescent="0.25">
      <c r="A828935" s="242"/>
    </row>
    <row r="828936" spans="1:1" x14ac:dyDescent="0.25">
      <c r="A828936" s="242"/>
    </row>
    <row r="828937" spans="1:1" x14ac:dyDescent="0.25">
      <c r="A828937" s="242"/>
    </row>
    <row r="828938" spans="1:1" x14ac:dyDescent="0.25">
      <c r="A828938" s="242"/>
    </row>
    <row r="828939" spans="1:1" x14ac:dyDescent="0.25">
      <c r="A828939" s="242"/>
    </row>
    <row r="828940" spans="1:1" x14ac:dyDescent="0.25">
      <c r="A828940" s="242"/>
    </row>
    <row r="828941" spans="1:1" x14ac:dyDescent="0.25">
      <c r="A828941" s="242"/>
    </row>
    <row r="828942" spans="1:1" x14ac:dyDescent="0.25">
      <c r="A828942" s="242"/>
    </row>
    <row r="828943" spans="1:1" x14ac:dyDescent="0.25">
      <c r="A828943" s="242"/>
    </row>
    <row r="828944" spans="1:1" x14ac:dyDescent="0.25">
      <c r="A828944" s="242"/>
    </row>
    <row r="828945" spans="1:1" x14ac:dyDescent="0.25">
      <c r="A828945" s="242"/>
    </row>
    <row r="828946" spans="1:1" x14ac:dyDescent="0.25">
      <c r="A828946" s="242"/>
    </row>
    <row r="828947" spans="1:1" x14ac:dyDescent="0.25">
      <c r="A828947" s="242"/>
    </row>
    <row r="828948" spans="1:1" x14ac:dyDescent="0.25">
      <c r="A828948" s="242"/>
    </row>
    <row r="828949" spans="1:1" x14ac:dyDescent="0.25">
      <c r="A828949" s="242"/>
    </row>
    <row r="828950" spans="1:1" x14ac:dyDescent="0.25">
      <c r="A828950" s="242"/>
    </row>
    <row r="828951" spans="1:1" x14ac:dyDescent="0.25">
      <c r="A828951" s="242"/>
    </row>
    <row r="828952" spans="1:1" x14ac:dyDescent="0.25">
      <c r="A828952" s="242"/>
    </row>
    <row r="828953" spans="1:1" x14ac:dyDescent="0.25">
      <c r="A828953" s="242"/>
    </row>
    <row r="828954" spans="1:1" x14ac:dyDescent="0.25">
      <c r="A828954" s="242"/>
    </row>
    <row r="828955" spans="1:1" x14ac:dyDescent="0.25">
      <c r="A828955" s="242"/>
    </row>
    <row r="828956" spans="1:1" x14ac:dyDescent="0.25">
      <c r="A828956" s="242"/>
    </row>
    <row r="828957" spans="1:1" x14ac:dyDescent="0.25">
      <c r="A828957" s="242"/>
    </row>
    <row r="828958" spans="1:1" x14ac:dyDescent="0.25">
      <c r="A828958" s="242"/>
    </row>
    <row r="828959" spans="1:1" x14ac:dyDescent="0.25">
      <c r="A828959" s="242"/>
    </row>
    <row r="828960" spans="1:1" x14ac:dyDescent="0.25">
      <c r="A828960" s="242"/>
    </row>
    <row r="828961" spans="1:1" x14ac:dyDescent="0.25">
      <c r="A828961" s="242"/>
    </row>
    <row r="828962" spans="1:1" x14ac:dyDescent="0.25">
      <c r="A828962" s="242"/>
    </row>
    <row r="828963" spans="1:1" x14ac:dyDescent="0.25">
      <c r="A828963" s="242"/>
    </row>
    <row r="828964" spans="1:1" x14ac:dyDescent="0.25">
      <c r="A828964" s="242"/>
    </row>
    <row r="828965" spans="1:1" x14ac:dyDescent="0.25">
      <c r="A828965" s="242"/>
    </row>
    <row r="828966" spans="1:1" x14ac:dyDescent="0.25">
      <c r="A828966" s="242"/>
    </row>
    <row r="828967" spans="1:1" x14ac:dyDescent="0.25">
      <c r="A828967" s="242"/>
    </row>
    <row r="828968" spans="1:1" x14ac:dyDescent="0.25">
      <c r="A828968" s="242"/>
    </row>
    <row r="828969" spans="1:1" x14ac:dyDescent="0.25">
      <c r="A828969" s="242"/>
    </row>
    <row r="828970" spans="1:1" x14ac:dyDescent="0.25">
      <c r="A828970" s="242"/>
    </row>
    <row r="828971" spans="1:1" x14ac:dyDescent="0.25">
      <c r="A828971" s="242"/>
    </row>
    <row r="828972" spans="1:1" x14ac:dyDescent="0.25">
      <c r="A828972" s="242"/>
    </row>
    <row r="828973" spans="1:1" x14ac:dyDescent="0.25">
      <c r="A828973" s="242"/>
    </row>
    <row r="828974" spans="1:1" x14ac:dyDescent="0.25">
      <c r="A828974" s="242"/>
    </row>
    <row r="828975" spans="1:1" x14ac:dyDescent="0.25">
      <c r="A828975" s="242"/>
    </row>
    <row r="828976" spans="1:1" x14ac:dyDescent="0.25">
      <c r="A828976" s="242"/>
    </row>
    <row r="828977" spans="1:1" x14ac:dyDescent="0.25">
      <c r="A828977" s="242"/>
    </row>
    <row r="828978" spans="1:1" x14ac:dyDescent="0.25">
      <c r="A828978" s="242"/>
    </row>
    <row r="828979" spans="1:1" x14ac:dyDescent="0.25">
      <c r="A828979" s="242"/>
    </row>
    <row r="828980" spans="1:1" x14ac:dyDescent="0.25">
      <c r="A828980" s="242"/>
    </row>
    <row r="828981" spans="1:1" x14ac:dyDescent="0.25">
      <c r="A828981" s="242"/>
    </row>
    <row r="828982" spans="1:1" x14ac:dyDescent="0.25">
      <c r="A828982" s="242"/>
    </row>
    <row r="828983" spans="1:1" x14ac:dyDescent="0.25">
      <c r="A828983" s="242"/>
    </row>
    <row r="828984" spans="1:1" x14ac:dyDescent="0.25">
      <c r="A828984" s="242"/>
    </row>
    <row r="828985" spans="1:1" x14ac:dyDescent="0.25">
      <c r="A828985" s="242"/>
    </row>
    <row r="828986" spans="1:1" x14ac:dyDescent="0.25">
      <c r="A828986" s="242"/>
    </row>
    <row r="828987" spans="1:1" x14ac:dyDescent="0.25">
      <c r="A828987" s="242"/>
    </row>
    <row r="828988" spans="1:1" x14ac:dyDescent="0.25">
      <c r="A828988" s="242"/>
    </row>
    <row r="828989" spans="1:1" x14ac:dyDescent="0.25">
      <c r="A828989" s="242"/>
    </row>
    <row r="828990" spans="1:1" x14ac:dyDescent="0.25">
      <c r="A828990" s="242"/>
    </row>
    <row r="828991" spans="1:1" x14ac:dyDescent="0.25">
      <c r="A828991" s="242"/>
    </row>
    <row r="828992" spans="1:1" x14ac:dyDescent="0.25">
      <c r="A828992" s="242"/>
    </row>
    <row r="828993" spans="1:1" x14ac:dyDescent="0.25">
      <c r="A828993" s="242"/>
    </row>
    <row r="828994" spans="1:1" x14ac:dyDescent="0.25">
      <c r="A828994" s="242"/>
    </row>
    <row r="828995" spans="1:1" x14ac:dyDescent="0.25">
      <c r="A828995" s="242"/>
    </row>
    <row r="828996" spans="1:1" x14ac:dyDescent="0.25">
      <c r="A828996" s="242"/>
    </row>
    <row r="828997" spans="1:1" x14ac:dyDescent="0.25">
      <c r="A828997" s="242"/>
    </row>
    <row r="828998" spans="1:1" x14ac:dyDescent="0.25">
      <c r="A828998" s="242"/>
    </row>
    <row r="828999" spans="1:1" x14ac:dyDescent="0.25">
      <c r="A828999" s="242"/>
    </row>
    <row r="829000" spans="1:1" x14ac:dyDescent="0.25">
      <c r="A829000" s="242"/>
    </row>
    <row r="829001" spans="1:1" x14ac:dyDescent="0.25">
      <c r="A829001" s="242"/>
    </row>
    <row r="829002" spans="1:1" x14ac:dyDescent="0.25">
      <c r="A829002" s="242"/>
    </row>
    <row r="829003" spans="1:1" x14ac:dyDescent="0.25">
      <c r="A829003" s="242"/>
    </row>
    <row r="829004" spans="1:1" x14ac:dyDescent="0.25">
      <c r="A829004" s="242"/>
    </row>
    <row r="829005" spans="1:1" x14ac:dyDescent="0.25">
      <c r="A829005" s="242"/>
    </row>
    <row r="829006" spans="1:1" x14ac:dyDescent="0.25">
      <c r="A829006" s="242"/>
    </row>
    <row r="829007" spans="1:1" x14ac:dyDescent="0.25">
      <c r="A829007" s="242"/>
    </row>
    <row r="829008" spans="1:1" x14ac:dyDescent="0.25">
      <c r="A829008" s="242"/>
    </row>
    <row r="829009" spans="1:1" x14ac:dyDescent="0.25">
      <c r="A829009" s="242"/>
    </row>
  </sheetData>
  <mergeCells count="9">
    <mergeCell ref="AA1:AC1"/>
    <mergeCell ref="AG190:AI190"/>
    <mergeCell ref="AG193:AI193"/>
    <mergeCell ref="D1:F1"/>
    <mergeCell ref="G1:J1"/>
    <mergeCell ref="K1:N1"/>
    <mergeCell ref="O1:R1"/>
    <mergeCell ref="S1:V1"/>
    <mergeCell ref="W1:Z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829008"/>
  <sheetViews>
    <sheetView workbookViewId="0">
      <selection activeCell="H15" sqref="H15"/>
    </sheetView>
  </sheetViews>
  <sheetFormatPr baseColWidth="10" defaultRowHeight="15" x14ac:dyDescent="0.25"/>
  <cols>
    <col min="1" max="1" width="8.42578125" style="245" customWidth="1"/>
    <col min="2" max="2" width="27.85546875" style="245" customWidth="1"/>
    <col min="3" max="3" width="11.42578125" style="245"/>
    <col min="4" max="4" width="9.28515625" style="245" hidden="1" customWidth="1"/>
    <col min="5" max="5" width="9.42578125" style="245" hidden="1" customWidth="1"/>
    <col min="6" max="6" width="9.85546875" style="245" hidden="1" customWidth="1"/>
    <col min="7" max="7" width="11.5703125" style="245" customWidth="1"/>
    <col min="8" max="8" width="11.42578125" style="245"/>
    <col min="9" max="9" width="11.42578125" style="246"/>
    <col min="10" max="10" width="4.140625" style="245" customWidth="1"/>
    <col min="11" max="12" width="11.42578125" style="245"/>
    <col min="13" max="13" width="11.42578125" style="246"/>
    <col min="14" max="14" width="4.7109375" style="245" customWidth="1"/>
    <col min="15" max="16" width="11.42578125" style="245"/>
    <col min="17" max="17" width="11.42578125" style="246"/>
    <col min="18" max="18" width="4" style="245" customWidth="1"/>
    <col min="19" max="20" width="11.42578125" style="245"/>
    <col min="21" max="21" width="11.42578125" style="246"/>
    <col min="22" max="22" width="3.7109375" style="245" customWidth="1"/>
    <col min="23" max="24" width="10.5703125" style="245" customWidth="1"/>
    <col min="25" max="25" width="10.5703125" style="246" customWidth="1"/>
    <col min="26" max="26" width="4.7109375" style="245" customWidth="1"/>
    <col min="27" max="28" width="10.5703125" style="245" customWidth="1"/>
    <col min="29" max="29" width="10.5703125" style="246" customWidth="1"/>
    <col min="30" max="30" width="10.5703125" style="245" customWidth="1"/>
    <col min="31" max="31" width="11.42578125" style="245"/>
    <col min="32" max="32" width="7.85546875" style="245" customWidth="1"/>
    <col min="33" max="35" width="11.42578125" style="245"/>
    <col min="36" max="36" width="11.7109375" style="245" customWidth="1"/>
    <col min="37" max="37" width="9.28515625" style="245" customWidth="1"/>
    <col min="38" max="38" width="12.140625" style="245" bestFit="1" customWidth="1"/>
    <col min="39" max="39" width="9.7109375" style="245" customWidth="1"/>
    <col min="40" max="40" width="11.42578125" style="245"/>
    <col min="41" max="41" width="10.42578125" style="245" customWidth="1"/>
    <col min="42" max="42" width="11.42578125" style="245"/>
    <col min="43" max="43" width="9.140625" style="245" customWidth="1"/>
    <col min="44" max="44" width="11.42578125" style="245"/>
    <col min="45" max="45" width="10" style="245" customWidth="1"/>
    <col min="46" max="46" width="11.42578125" style="245"/>
    <col min="47" max="47" width="11" style="245" customWidth="1"/>
    <col min="48" max="16384" width="11.42578125" style="245"/>
  </cols>
  <sheetData>
    <row r="1" spans="1:52" ht="21.75" thickBot="1" x14ac:dyDescent="0.4">
      <c r="A1" s="245">
        <v>0</v>
      </c>
      <c r="D1" s="257" t="s">
        <v>0</v>
      </c>
      <c r="E1" s="258"/>
      <c r="F1" s="258"/>
      <c r="G1" s="259" t="s">
        <v>193</v>
      </c>
      <c r="H1" s="260"/>
      <c r="I1" s="260"/>
      <c r="J1" s="261"/>
      <c r="K1" s="262" t="s">
        <v>193</v>
      </c>
      <c r="L1" s="263"/>
      <c r="M1" s="263"/>
      <c r="N1" s="264"/>
      <c r="O1" s="262" t="s">
        <v>194</v>
      </c>
      <c r="P1" s="263"/>
      <c r="Q1" s="263"/>
      <c r="R1" s="264"/>
      <c r="S1" s="265" t="s">
        <v>194</v>
      </c>
      <c r="T1" s="265"/>
      <c r="U1" s="265"/>
      <c r="V1" s="265"/>
      <c r="W1" s="266" t="s">
        <v>194</v>
      </c>
      <c r="X1" s="267"/>
      <c r="Y1" s="267"/>
      <c r="Z1" s="268"/>
      <c r="AA1" s="251" t="s">
        <v>194</v>
      </c>
      <c r="AB1" s="252"/>
      <c r="AC1" s="252"/>
      <c r="AQ1" s="245">
        <f>11598.72/240</f>
        <v>48.327999999999996</v>
      </c>
      <c r="AR1" s="245">
        <f>598.4/105</f>
        <v>5.6990476190476187</v>
      </c>
      <c r="AS1" s="245">
        <f>4631.45/126</f>
        <v>36.757539682539679</v>
      </c>
      <c r="AT1" s="245">
        <f>43.5-36.76</f>
        <v>6.740000000000002</v>
      </c>
    </row>
    <row r="2" spans="1:52" ht="45.75" thickBot="1" x14ac:dyDescent="0.3">
      <c r="A2" s="1" t="s">
        <v>1</v>
      </c>
      <c r="B2" s="2" t="s">
        <v>2</v>
      </c>
      <c r="C2" s="3" t="s">
        <v>3</v>
      </c>
      <c r="D2" s="4" t="s">
        <v>4</v>
      </c>
      <c r="E2" s="5" t="s">
        <v>5</v>
      </c>
      <c r="F2" s="6" t="s">
        <v>6</v>
      </c>
      <c r="G2" s="7" t="s">
        <v>4</v>
      </c>
      <c r="H2" s="8" t="s">
        <v>6</v>
      </c>
      <c r="I2" s="9" t="s">
        <v>7</v>
      </c>
      <c r="J2" s="3"/>
      <c r="K2" s="8" t="s">
        <v>4</v>
      </c>
      <c r="L2" s="8" t="s">
        <v>6</v>
      </c>
      <c r="M2" s="9" t="s">
        <v>7</v>
      </c>
      <c r="N2" s="10"/>
      <c r="O2" s="8" t="s">
        <v>4</v>
      </c>
      <c r="P2" s="8" t="s">
        <v>6</v>
      </c>
      <c r="Q2" s="9" t="s">
        <v>7</v>
      </c>
      <c r="R2" s="10"/>
      <c r="S2" s="8" t="s">
        <v>4</v>
      </c>
      <c r="T2" s="8" t="s">
        <v>6</v>
      </c>
      <c r="U2" s="9" t="s">
        <v>7</v>
      </c>
      <c r="V2" s="10"/>
      <c r="W2" s="8" t="s">
        <v>4</v>
      </c>
      <c r="X2" s="8" t="s">
        <v>6</v>
      </c>
      <c r="Y2" s="9" t="s">
        <v>7</v>
      </c>
      <c r="Z2" s="11"/>
      <c r="AA2" s="8" t="s">
        <v>4</v>
      </c>
      <c r="AB2" s="8" t="s">
        <v>6</v>
      </c>
      <c r="AC2" s="9" t="s">
        <v>7</v>
      </c>
      <c r="AD2" s="10"/>
      <c r="AE2" s="12"/>
      <c r="AF2" s="13"/>
      <c r="AG2" s="14" t="s">
        <v>8</v>
      </c>
      <c r="AH2" s="15" t="s">
        <v>9</v>
      </c>
      <c r="AI2" s="13" t="s">
        <v>10</v>
      </c>
      <c r="AJ2" s="16"/>
      <c r="AK2" s="16" t="s">
        <v>11</v>
      </c>
      <c r="AL2" s="17" t="s">
        <v>12</v>
      </c>
      <c r="AM2" s="18" t="s">
        <v>13</v>
      </c>
      <c r="AN2" s="19" t="s">
        <v>14</v>
      </c>
      <c r="AO2" s="20" t="s">
        <v>15</v>
      </c>
      <c r="AP2" s="21"/>
      <c r="AQ2" s="22"/>
      <c r="AR2" s="23" t="s">
        <v>16</v>
      </c>
      <c r="AS2" s="15" t="s">
        <v>17</v>
      </c>
      <c r="AT2" s="15" t="s">
        <v>18</v>
      </c>
      <c r="AU2" s="24" t="s">
        <v>19</v>
      </c>
      <c r="AV2" s="15" t="s">
        <v>20</v>
      </c>
      <c r="AW2" s="15" t="s">
        <v>21</v>
      </c>
      <c r="AX2" s="15" t="s">
        <v>22</v>
      </c>
      <c r="AY2" s="15" t="s">
        <v>23</v>
      </c>
      <c r="AZ2" s="25" t="s">
        <v>24</v>
      </c>
    </row>
    <row r="3" spans="1:52" ht="16.5" thickBot="1" x14ac:dyDescent="0.3">
      <c r="A3" s="26">
        <v>3300</v>
      </c>
      <c r="B3" s="27" t="s">
        <v>25</v>
      </c>
      <c r="C3" s="28"/>
      <c r="D3" s="26">
        <f>C3/3</f>
        <v>0</v>
      </c>
      <c r="E3" s="27">
        <f>C3/3</f>
        <v>0</v>
      </c>
      <c r="F3" s="29">
        <f>C3/3</f>
        <v>0</v>
      </c>
      <c r="G3" s="30"/>
      <c r="H3" s="30"/>
      <c r="I3" s="32"/>
      <c r="J3" s="32"/>
      <c r="K3" s="33"/>
      <c r="L3" s="34"/>
      <c r="M3" s="34"/>
      <c r="N3" s="35"/>
      <c r="O3" s="36"/>
      <c r="P3" s="34"/>
      <c r="Q3" s="34"/>
      <c r="R3" s="35"/>
      <c r="S3" s="37"/>
      <c r="T3" s="34"/>
      <c r="U3" s="34"/>
      <c r="V3" s="35"/>
      <c r="W3" s="38"/>
      <c r="X3" s="31"/>
      <c r="Y3" s="31"/>
      <c r="Z3" s="39"/>
      <c r="AA3" s="37"/>
      <c r="AB3" s="34"/>
      <c r="AC3" s="34"/>
      <c r="AD3" s="40"/>
      <c r="AE3" s="41"/>
      <c r="AF3" s="42"/>
      <c r="AG3" s="43">
        <f t="shared" ref="AG3:AJ35" si="0">G3+K3+O3+S3+W3+AA3</f>
        <v>0</v>
      </c>
      <c r="AH3" s="44">
        <f>H3+L3+P3+T3+X3+AB3</f>
        <v>0</v>
      </c>
      <c r="AI3" s="44">
        <f>I3+M3+Q3+U3+Y3+AC3</f>
        <v>0</v>
      </c>
      <c r="AJ3" s="45">
        <f>J3+N3+R3+V3+Z3+AD3</f>
        <v>0</v>
      </c>
      <c r="AK3" s="46">
        <f t="shared" ref="AK3:AK67" si="1">AG3+AH3+AI3</f>
        <v>0</v>
      </c>
      <c r="AL3" s="47">
        <v>2</v>
      </c>
      <c r="AM3" s="48">
        <f>AG3*AL3</f>
        <v>0</v>
      </c>
      <c r="AN3" s="48">
        <f t="shared" ref="AN3:AN73" si="2">AH3*AL3</f>
        <v>0</v>
      </c>
      <c r="AO3" s="49">
        <f>AI3*AL3</f>
        <v>0</v>
      </c>
      <c r="AP3" s="49">
        <f t="shared" ref="AP3:AP67" si="3">AJ3*AL3</f>
        <v>0</v>
      </c>
      <c r="AQ3" s="50">
        <f>AK3*60</f>
        <v>0</v>
      </c>
      <c r="AR3" s="51">
        <v>51.6</v>
      </c>
      <c r="AS3" s="52">
        <v>8.3999999999999986</v>
      </c>
      <c r="AT3" s="53">
        <f>AK3*AS3</f>
        <v>0</v>
      </c>
      <c r="AU3" s="54">
        <f>AK3*AL3</f>
        <v>0</v>
      </c>
      <c r="AV3" s="55"/>
      <c r="AW3" s="56"/>
      <c r="AX3" s="56"/>
      <c r="AY3" s="52"/>
      <c r="AZ3" s="57">
        <f>AT3-AU3-AW3-AX3-AY3</f>
        <v>0</v>
      </c>
    </row>
    <row r="4" spans="1:52" ht="16.5" thickBot="1" x14ac:dyDescent="0.3">
      <c r="A4" s="58">
        <v>3.5</v>
      </c>
      <c r="B4" s="59" t="s">
        <v>26</v>
      </c>
      <c r="C4" s="60"/>
      <c r="D4" s="26">
        <f t="shared" ref="D4:D68" si="4">C4/3</f>
        <v>0</v>
      </c>
      <c r="E4" s="27">
        <f t="shared" ref="E4:E68" si="5">C4/3</f>
        <v>0</v>
      </c>
      <c r="F4" s="29">
        <f t="shared" ref="F4:F68" si="6">C4/3</f>
        <v>0</v>
      </c>
      <c r="G4" s="30"/>
      <c r="H4" s="31"/>
      <c r="I4" s="32"/>
      <c r="J4" s="61"/>
      <c r="K4" s="33"/>
      <c r="L4" s="34"/>
      <c r="M4" s="34"/>
      <c r="N4" s="62"/>
      <c r="O4" s="34"/>
      <c r="P4" s="34"/>
      <c r="Q4" s="34"/>
      <c r="R4" s="62"/>
      <c r="S4" s="37"/>
      <c r="T4" s="34"/>
      <c r="U4" s="34"/>
      <c r="V4" s="62"/>
      <c r="W4" s="38"/>
      <c r="X4" s="31"/>
      <c r="Y4" s="31"/>
      <c r="Z4" s="63"/>
      <c r="AA4" s="37"/>
      <c r="AB4" s="34"/>
      <c r="AC4" s="34"/>
      <c r="AD4" s="64"/>
      <c r="AE4" s="65"/>
      <c r="AF4" s="40"/>
      <c r="AG4" s="43">
        <f t="shared" si="0"/>
        <v>0</v>
      </c>
      <c r="AH4" s="44">
        <f t="shared" si="0"/>
        <v>0</v>
      </c>
      <c r="AI4" s="44">
        <f t="shared" si="0"/>
        <v>0</v>
      </c>
      <c r="AJ4" s="45">
        <f>J4+N4+R4+V4+Z4+AD4</f>
        <v>0</v>
      </c>
      <c r="AK4" s="46">
        <f t="shared" si="1"/>
        <v>0</v>
      </c>
      <c r="AL4" s="66">
        <v>1.75</v>
      </c>
      <c r="AM4" s="48">
        <f t="shared" ref="AM4:AM73" si="7">AG4*AL4</f>
        <v>0</v>
      </c>
      <c r="AN4" s="48">
        <f t="shared" si="2"/>
        <v>0</v>
      </c>
      <c r="AO4" s="49">
        <f t="shared" ref="AO4:AO68" si="8">AI4*AL4</f>
        <v>0</v>
      </c>
      <c r="AP4" s="49">
        <f t="shared" si="3"/>
        <v>0</v>
      </c>
      <c r="AQ4" s="50">
        <f t="shared" ref="AQ4:AQ67" si="9">AK4*60</f>
        <v>0</v>
      </c>
      <c r="AR4" s="67"/>
      <c r="AS4" s="68"/>
      <c r="AT4" s="69"/>
      <c r="AU4" s="70"/>
      <c r="AV4" s="71"/>
      <c r="AW4" s="72"/>
      <c r="AX4" s="72"/>
      <c r="AY4" s="68"/>
      <c r="AZ4" s="73"/>
    </row>
    <row r="5" spans="1:52" ht="16.5" thickBot="1" x14ac:dyDescent="0.3">
      <c r="A5" s="74">
        <v>3030</v>
      </c>
      <c r="B5" s="75" t="s">
        <v>26</v>
      </c>
      <c r="C5" s="76">
        <v>322</v>
      </c>
      <c r="D5" s="26">
        <f>C5/3</f>
        <v>107.33333333333333</v>
      </c>
      <c r="E5" s="27">
        <f t="shared" si="5"/>
        <v>107.33333333333333</v>
      </c>
      <c r="F5" s="29">
        <f t="shared" si="6"/>
        <v>107.33333333333333</v>
      </c>
      <c r="G5" s="30"/>
      <c r="H5" s="31"/>
      <c r="I5" s="32"/>
      <c r="J5" s="77"/>
      <c r="K5" s="33"/>
      <c r="L5" s="34"/>
      <c r="M5" s="34"/>
      <c r="N5" s="62"/>
      <c r="O5" s="34"/>
      <c r="P5" s="34"/>
      <c r="Q5" s="34"/>
      <c r="R5" s="62"/>
      <c r="S5" s="37"/>
      <c r="T5" s="34"/>
      <c r="U5" s="34"/>
      <c r="V5" s="62"/>
      <c r="W5" s="38"/>
      <c r="X5" s="31"/>
      <c r="Y5" s="31"/>
      <c r="Z5" s="78"/>
      <c r="AA5" s="37"/>
      <c r="AB5" s="34"/>
      <c r="AC5" s="34"/>
      <c r="AD5" s="64"/>
      <c r="AE5" s="79"/>
      <c r="AF5" s="64"/>
      <c r="AG5" s="43">
        <f t="shared" si="0"/>
        <v>0</v>
      </c>
      <c r="AH5" s="44">
        <f t="shared" si="0"/>
        <v>0</v>
      </c>
      <c r="AI5" s="44">
        <f t="shared" si="0"/>
        <v>0</v>
      </c>
      <c r="AJ5" s="45">
        <f t="shared" si="0"/>
        <v>0</v>
      </c>
      <c r="AK5" s="80">
        <f t="shared" si="1"/>
        <v>0</v>
      </c>
      <c r="AL5" s="66">
        <v>1.75</v>
      </c>
      <c r="AM5" s="48">
        <f t="shared" si="7"/>
        <v>0</v>
      </c>
      <c r="AN5" s="48">
        <f t="shared" si="2"/>
        <v>0</v>
      </c>
      <c r="AO5" s="49">
        <f t="shared" si="8"/>
        <v>0</v>
      </c>
      <c r="AP5" s="49">
        <f t="shared" si="3"/>
        <v>0</v>
      </c>
      <c r="AQ5" s="50">
        <f t="shared" si="9"/>
        <v>0</v>
      </c>
      <c r="AR5" s="81">
        <v>42.35</v>
      </c>
      <c r="AS5" s="82">
        <v>7.6499999999999986</v>
      </c>
      <c r="AT5" s="83">
        <f t="shared" ref="AT5:AT17" si="10">AK5*AS5</f>
        <v>0</v>
      </c>
      <c r="AU5" s="84">
        <f t="shared" ref="AU5:AU19" si="11">AK5*AL5</f>
        <v>0</v>
      </c>
      <c r="AV5" s="85">
        <v>0</v>
      </c>
      <c r="AW5" s="86"/>
      <c r="AX5" s="86"/>
      <c r="AY5" s="82"/>
      <c r="AZ5" s="87">
        <f t="shared" ref="AZ5:AZ17" si="12">AT5-AU5-AW5-AX5-AY5</f>
        <v>0</v>
      </c>
    </row>
    <row r="6" spans="1:52" ht="16.5" thickBot="1" x14ac:dyDescent="0.3">
      <c r="A6" s="74">
        <v>3030</v>
      </c>
      <c r="B6" s="75" t="s">
        <v>27</v>
      </c>
      <c r="C6" s="76">
        <v>64</v>
      </c>
      <c r="D6" s="26">
        <f>C6/3</f>
        <v>21.333333333333332</v>
      </c>
      <c r="E6" s="27">
        <f t="shared" si="5"/>
        <v>21.333333333333332</v>
      </c>
      <c r="F6" s="29">
        <f t="shared" si="6"/>
        <v>21.333333333333332</v>
      </c>
      <c r="G6" s="30"/>
      <c r="H6" s="31"/>
      <c r="I6" s="32"/>
      <c r="J6" s="77"/>
      <c r="K6" s="33"/>
      <c r="L6" s="34"/>
      <c r="M6" s="34"/>
      <c r="N6" s="62"/>
      <c r="O6" s="34"/>
      <c r="P6" s="34"/>
      <c r="Q6" s="34"/>
      <c r="R6" s="62"/>
      <c r="S6" s="37"/>
      <c r="T6" s="34"/>
      <c r="U6" s="34"/>
      <c r="V6" s="62"/>
      <c r="W6" s="38"/>
      <c r="X6" s="31"/>
      <c r="Y6" s="31"/>
      <c r="Z6" s="78"/>
      <c r="AA6" s="37"/>
      <c r="AB6" s="34"/>
      <c r="AC6" s="34"/>
      <c r="AD6" s="64"/>
      <c r="AE6" s="79"/>
      <c r="AF6" s="64"/>
      <c r="AG6" s="43">
        <f t="shared" si="0"/>
        <v>0</v>
      </c>
      <c r="AH6" s="44">
        <f t="shared" si="0"/>
        <v>0</v>
      </c>
      <c r="AI6" s="44">
        <f t="shared" si="0"/>
        <v>0</v>
      </c>
      <c r="AJ6" s="45">
        <f t="shared" si="0"/>
        <v>0</v>
      </c>
      <c r="AK6" s="80">
        <f t="shared" si="1"/>
        <v>0</v>
      </c>
      <c r="AL6" s="66">
        <v>1.75</v>
      </c>
      <c r="AM6" s="48">
        <f t="shared" si="7"/>
        <v>0</v>
      </c>
      <c r="AN6" s="48">
        <f t="shared" si="2"/>
        <v>0</v>
      </c>
      <c r="AO6" s="49">
        <f t="shared" si="8"/>
        <v>0</v>
      </c>
      <c r="AP6" s="49">
        <f t="shared" si="3"/>
        <v>0</v>
      </c>
      <c r="AQ6" s="50">
        <f t="shared" si="9"/>
        <v>0</v>
      </c>
      <c r="AR6" s="81">
        <v>42.5</v>
      </c>
      <c r="AS6" s="82">
        <v>7.5</v>
      </c>
      <c r="AT6" s="83">
        <f t="shared" si="10"/>
        <v>0</v>
      </c>
      <c r="AU6" s="84">
        <f t="shared" si="11"/>
        <v>0</v>
      </c>
      <c r="AV6" s="85">
        <v>0</v>
      </c>
      <c r="AW6" s="86"/>
      <c r="AX6" s="86"/>
      <c r="AY6" s="82"/>
      <c r="AZ6" s="87">
        <f t="shared" si="12"/>
        <v>0</v>
      </c>
    </row>
    <row r="7" spans="1:52" ht="16.5" thickBot="1" x14ac:dyDescent="0.3">
      <c r="A7" s="74">
        <v>3030</v>
      </c>
      <c r="B7" s="75" t="s">
        <v>25</v>
      </c>
      <c r="C7" s="76">
        <v>2776</v>
      </c>
      <c r="D7" s="26">
        <f t="shared" si="4"/>
        <v>925.33333333333337</v>
      </c>
      <c r="E7" s="27">
        <f t="shared" si="5"/>
        <v>925.33333333333337</v>
      </c>
      <c r="F7" s="29">
        <f t="shared" si="6"/>
        <v>925.33333333333337</v>
      </c>
      <c r="G7" s="30"/>
      <c r="H7" s="31"/>
      <c r="I7" s="32"/>
      <c r="J7" s="77"/>
      <c r="K7" s="33"/>
      <c r="L7" s="34"/>
      <c r="M7" s="34"/>
      <c r="N7" s="62"/>
      <c r="O7" s="34"/>
      <c r="P7" s="34"/>
      <c r="Q7" s="34"/>
      <c r="R7" s="62"/>
      <c r="S7" s="37"/>
      <c r="T7" s="34"/>
      <c r="U7" s="34"/>
      <c r="V7" s="62"/>
      <c r="W7" s="38"/>
      <c r="X7" s="31"/>
      <c r="Y7" s="31"/>
      <c r="Z7" s="78"/>
      <c r="AA7" s="37"/>
      <c r="AB7" s="34"/>
      <c r="AC7" s="34"/>
      <c r="AD7" s="64"/>
      <c r="AE7" s="79"/>
      <c r="AF7" s="64"/>
      <c r="AG7" s="43">
        <f t="shared" si="0"/>
        <v>0</v>
      </c>
      <c r="AH7" s="44">
        <f t="shared" si="0"/>
        <v>0</v>
      </c>
      <c r="AI7" s="44">
        <f t="shared" si="0"/>
        <v>0</v>
      </c>
      <c r="AJ7" s="45">
        <f t="shared" si="0"/>
        <v>0</v>
      </c>
      <c r="AK7" s="80">
        <f t="shared" si="1"/>
        <v>0</v>
      </c>
      <c r="AL7" s="47">
        <v>1.5</v>
      </c>
      <c r="AM7" s="48">
        <f t="shared" si="7"/>
        <v>0</v>
      </c>
      <c r="AN7" s="48">
        <f t="shared" si="2"/>
        <v>0</v>
      </c>
      <c r="AO7" s="49">
        <f t="shared" si="8"/>
        <v>0</v>
      </c>
      <c r="AP7" s="49">
        <f t="shared" si="3"/>
        <v>0</v>
      </c>
      <c r="AQ7" s="50">
        <f t="shared" si="9"/>
        <v>0</v>
      </c>
      <c r="AR7" s="81">
        <v>48.33</v>
      </c>
      <c r="AS7" s="82">
        <f>56-AR7</f>
        <v>7.6700000000000017</v>
      </c>
      <c r="AT7" s="83">
        <f t="shared" si="10"/>
        <v>0</v>
      </c>
      <c r="AU7" s="84">
        <f t="shared" si="11"/>
        <v>0</v>
      </c>
      <c r="AV7" s="85">
        <v>0</v>
      </c>
      <c r="AW7" s="86"/>
      <c r="AX7" s="86"/>
      <c r="AY7" s="82"/>
      <c r="AZ7" s="87">
        <f t="shared" si="12"/>
        <v>0</v>
      </c>
    </row>
    <row r="8" spans="1:52" ht="16.5" thickBot="1" x14ac:dyDescent="0.3">
      <c r="A8" s="74">
        <v>3030</v>
      </c>
      <c r="B8" s="75" t="s">
        <v>28</v>
      </c>
      <c r="C8" s="76">
        <v>136</v>
      </c>
      <c r="D8" s="26">
        <f t="shared" si="4"/>
        <v>45.333333333333336</v>
      </c>
      <c r="E8" s="27">
        <f t="shared" si="5"/>
        <v>45.333333333333336</v>
      </c>
      <c r="F8" s="29">
        <f t="shared" si="6"/>
        <v>45.333333333333336</v>
      </c>
      <c r="G8" s="30"/>
      <c r="H8" s="31"/>
      <c r="I8" s="32"/>
      <c r="J8" s="77"/>
      <c r="K8" s="33"/>
      <c r="L8" s="34"/>
      <c r="M8" s="34"/>
      <c r="N8" s="62"/>
      <c r="O8" s="34"/>
      <c r="P8" s="34"/>
      <c r="Q8" s="34"/>
      <c r="R8" s="62"/>
      <c r="S8" s="37"/>
      <c r="T8" s="34"/>
      <c r="U8" s="34"/>
      <c r="V8" s="62"/>
      <c r="W8" s="38"/>
      <c r="X8" s="31"/>
      <c r="Y8" s="31"/>
      <c r="Z8" s="78"/>
      <c r="AA8" s="37"/>
      <c r="AB8" s="34"/>
      <c r="AC8" s="34"/>
      <c r="AD8" s="64"/>
      <c r="AE8" s="79"/>
      <c r="AF8" s="64"/>
      <c r="AG8" s="43">
        <f t="shared" si="0"/>
        <v>0</v>
      </c>
      <c r="AH8" s="44">
        <f t="shared" si="0"/>
        <v>0</v>
      </c>
      <c r="AI8" s="44">
        <f t="shared" si="0"/>
        <v>0</v>
      </c>
      <c r="AJ8" s="45">
        <f t="shared" si="0"/>
        <v>0</v>
      </c>
      <c r="AK8" s="80">
        <f t="shared" si="1"/>
        <v>0</v>
      </c>
      <c r="AL8" s="47">
        <v>1.5</v>
      </c>
      <c r="AM8" s="48">
        <f t="shared" si="7"/>
        <v>0</v>
      </c>
      <c r="AN8" s="48">
        <f t="shared" si="2"/>
        <v>0</v>
      </c>
      <c r="AO8" s="49">
        <f t="shared" si="8"/>
        <v>0</v>
      </c>
      <c r="AP8" s="49">
        <f t="shared" si="3"/>
        <v>0</v>
      </c>
      <c r="AQ8" s="50">
        <f t="shared" si="9"/>
        <v>0</v>
      </c>
      <c r="AR8" s="81">
        <v>43.2</v>
      </c>
      <c r="AS8" s="82">
        <v>6.7999999999999972</v>
      </c>
      <c r="AT8" s="83">
        <f t="shared" si="10"/>
        <v>0</v>
      </c>
      <c r="AU8" s="84">
        <f t="shared" si="11"/>
        <v>0</v>
      </c>
      <c r="AV8" s="85">
        <v>0</v>
      </c>
      <c r="AW8" s="86"/>
      <c r="AX8" s="86"/>
      <c r="AY8" s="82"/>
      <c r="AZ8" s="87">
        <f t="shared" si="12"/>
        <v>0</v>
      </c>
    </row>
    <row r="9" spans="1:52" ht="16.5" thickBot="1" x14ac:dyDescent="0.3">
      <c r="A9" s="74">
        <v>3030</v>
      </c>
      <c r="B9" s="75" t="s">
        <v>29</v>
      </c>
      <c r="C9" s="76">
        <v>67</v>
      </c>
      <c r="D9" s="26">
        <f t="shared" si="4"/>
        <v>22.333333333333332</v>
      </c>
      <c r="E9" s="27">
        <f t="shared" si="5"/>
        <v>22.333333333333332</v>
      </c>
      <c r="F9" s="29">
        <f t="shared" si="6"/>
        <v>22.333333333333332</v>
      </c>
      <c r="G9" s="30"/>
      <c r="H9" s="31"/>
      <c r="I9" s="32"/>
      <c r="J9" s="77"/>
      <c r="K9" s="33"/>
      <c r="L9" s="34"/>
      <c r="M9" s="34"/>
      <c r="N9" s="62"/>
      <c r="O9" s="34"/>
      <c r="P9" s="34"/>
      <c r="Q9" s="34"/>
      <c r="R9" s="62"/>
      <c r="S9" s="37"/>
      <c r="T9" s="34"/>
      <c r="U9" s="34"/>
      <c r="V9" s="62"/>
      <c r="W9" s="38"/>
      <c r="X9" s="31"/>
      <c r="Y9" s="31"/>
      <c r="Z9" s="78"/>
      <c r="AA9" s="37"/>
      <c r="AB9" s="34"/>
      <c r="AC9" s="34"/>
      <c r="AD9" s="64"/>
      <c r="AE9" s="79"/>
      <c r="AF9" s="64"/>
      <c r="AG9" s="43">
        <f t="shared" si="0"/>
        <v>0</v>
      </c>
      <c r="AH9" s="44">
        <f t="shared" si="0"/>
        <v>0</v>
      </c>
      <c r="AI9" s="44">
        <f t="shared" si="0"/>
        <v>0</v>
      </c>
      <c r="AJ9" s="45">
        <f t="shared" si="0"/>
        <v>0</v>
      </c>
      <c r="AK9" s="80">
        <f t="shared" si="1"/>
        <v>0</v>
      </c>
      <c r="AL9" s="47">
        <v>1.5</v>
      </c>
      <c r="AM9" s="48">
        <f t="shared" si="7"/>
        <v>0</v>
      </c>
      <c r="AN9" s="48">
        <f t="shared" si="2"/>
        <v>0</v>
      </c>
      <c r="AO9" s="49">
        <f t="shared" si="8"/>
        <v>0</v>
      </c>
      <c r="AP9" s="49">
        <f t="shared" si="3"/>
        <v>0</v>
      </c>
      <c r="AQ9" s="50">
        <f t="shared" si="9"/>
        <v>0</v>
      </c>
      <c r="AR9" s="81">
        <v>43.2</v>
      </c>
      <c r="AS9" s="82">
        <v>6.7999999999999972</v>
      </c>
      <c r="AT9" s="83">
        <f t="shared" si="10"/>
        <v>0</v>
      </c>
      <c r="AU9" s="84">
        <f t="shared" si="11"/>
        <v>0</v>
      </c>
      <c r="AV9" s="85">
        <v>0</v>
      </c>
      <c r="AW9" s="86"/>
      <c r="AX9" s="86"/>
      <c r="AY9" s="82"/>
      <c r="AZ9" s="87">
        <f t="shared" si="12"/>
        <v>0</v>
      </c>
    </row>
    <row r="10" spans="1:52" ht="16.5" thickBot="1" x14ac:dyDescent="0.3">
      <c r="A10" s="74">
        <v>3030</v>
      </c>
      <c r="B10" s="75" t="s">
        <v>30</v>
      </c>
      <c r="C10" s="76"/>
      <c r="D10" s="26">
        <f t="shared" si="4"/>
        <v>0</v>
      </c>
      <c r="E10" s="27">
        <f t="shared" si="5"/>
        <v>0</v>
      </c>
      <c r="F10" s="29">
        <f t="shared" si="6"/>
        <v>0</v>
      </c>
      <c r="G10" s="30"/>
      <c r="H10" s="31"/>
      <c r="I10" s="32"/>
      <c r="J10" s="77"/>
      <c r="K10" s="33"/>
      <c r="L10" s="34"/>
      <c r="M10" s="34"/>
      <c r="N10" s="62"/>
      <c r="O10" s="34"/>
      <c r="P10" s="34"/>
      <c r="Q10" s="34"/>
      <c r="R10" s="62"/>
      <c r="S10" s="37"/>
      <c r="T10" s="34"/>
      <c r="U10" s="34"/>
      <c r="V10" s="62"/>
      <c r="W10" s="38"/>
      <c r="X10" s="31"/>
      <c r="Y10" s="31"/>
      <c r="Z10" s="78"/>
      <c r="AA10" s="37"/>
      <c r="AB10" s="34"/>
      <c r="AC10" s="34"/>
      <c r="AD10" s="64"/>
      <c r="AE10" s="79"/>
      <c r="AF10" s="64"/>
      <c r="AG10" s="43">
        <f t="shared" si="0"/>
        <v>0</v>
      </c>
      <c r="AH10" s="44">
        <f t="shared" si="0"/>
        <v>0</v>
      </c>
      <c r="AI10" s="44">
        <f t="shared" si="0"/>
        <v>0</v>
      </c>
      <c r="AJ10" s="45">
        <f t="shared" si="0"/>
        <v>0</v>
      </c>
      <c r="AK10" s="80">
        <f t="shared" si="1"/>
        <v>0</v>
      </c>
      <c r="AL10" s="47">
        <v>1.5</v>
      </c>
      <c r="AM10" s="48">
        <f t="shared" si="7"/>
        <v>0</v>
      </c>
      <c r="AN10" s="48">
        <f t="shared" si="2"/>
        <v>0</v>
      </c>
      <c r="AO10" s="49">
        <f t="shared" si="8"/>
        <v>0</v>
      </c>
      <c r="AP10" s="49">
        <f t="shared" si="3"/>
        <v>0</v>
      </c>
      <c r="AQ10" s="50">
        <f t="shared" si="9"/>
        <v>0</v>
      </c>
      <c r="AR10" s="81">
        <v>43.2</v>
      </c>
      <c r="AS10" s="82">
        <v>6.7999999999999972</v>
      </c>
      <c r="AT10" s="83">
        <f t="shared" si="10"/>
        <v>0</v>
      </c>
      <c r="AU10" s="84">
        <f t="shared" si="11"/>
        <v>0</v>
      </c>
      <c r="AV10" s="85">
        <v>0</v>
      </c>
      <c r="AW10" s="86"/>
      <c r="AX10" s="86"/>
      <c r="AY10" s="82"/>
      <c r="AZ10" s="87">
        <f t="shared" si="12"/>
        <v>0</v>
      </c>
    </row>
    <row r="11" spans="1:52" ht="16.5" thickBot="1" x14ac:dyDescent="0.3">
      <c r="A11" s="74">
        <v>3030</v>
      </c>
      <c r="B11" s="75" t="s">
        <v>31</v>
      </c>
      <c r="C11" s="76">
        <v>67</v>
      </c>
      <c r="D11" s="26">
        <f t="shared" si="4"/>
        <v>22.333333333333332</v>
      </c>
      <c r="E11" s="27">
        <f t="shared" si="5"/>
        <v>22.333333333333332</v>
      </c>
      <c r="F11" s="29">
        <f t="shared" si="6"/>
        <v>22.333333333333332</v>
      </c>
      <c r="G11" s="30"/>
      <c r="H11" s="31"/>
      <c r="I11" s="32"/>
      <c r="J11" s="77"/>
      <c r="K11" s="33"/>
      <c r="L11" s="34"/>
      <c r="M11" s="34"/>
      <c r="N11" s="62"/>
      <c r="O11" s="34"/>
      <c r="P11" s="34"/>
      <c r="Q11" s="34"/>
      <c r="R11" s="62"/>
      <c r="S11" s="37"/>
      <c r="T11" s="34"/>
      <c r="U11" s="34"/>
      <c r="V11" s="62"/>
      <c r="W11" s="38"/>
      <c r="X11" s="31"/>
      <c r="Y11" s="31"/>
      <c r="Z11" s="78"/>
      <c r="AA11" s="37"/>
      <c r="AB11" s="34"/>
      <c r="AC11" s="34"/>
      <c r="AD11" s="64"/>
      <c r="AE11" s="79"/>
      <c r="AF11" s="64"/>
      <c r="AG11" s="43">
        <f t="shared" si="0"/>
        <v>0</v>
      </c>
      <c r="AH11" s="44">
        <f t="shared" si="0"/>
        <v>0</v>
      </c>
      <c r="AI11" s="44">
        <f t="shared" si="0"/>
        <v>0</v>
      </c>
      <c r="AJ11" s="45">
        <f t="shared" si="0"/>
        <v>0</v>
      </c>
      <c r="AK11" s="80">
        <f t="shared" si="1"/>
        <v>0</v>
      </c>
      <c r="AL11" s="47">
        <v>1.5</v>
      </c>
      <c r="AM11" s="48">
        <f t="shared" si="7"/>
        <v>0</v>
      </c>
      <c r="AN11" s="48">
        <f t="shared" si="2"/>
        <v>0</v>
      </c>
      <c r="AO11" s="49">
        <f t="shared" si="8"/>
        <v>0</v>
      </c>
      <c r="AP11" s="49">
        <f t="shared" si="3"/>
        <v>0</v>
      </c>
      <c r="AQ11" s="50">
        <f t="shared" si="9"/>
        <v>0</v>
      </c>
      <c r="AR11" s="81">
        <v>43.2</v>
      </c>
      <c r="AS11" s="82">
        <v>6.7999999999999972</v>
      </c>
      <c r="AT11" s="83">
        <f t="shared" si="10"/>
        <v>0</v>
      </c>
      <c r="AU11" s="84">
        <f t="shared" si="11"/>
        <v>0</v>
      </c>
      <c r="AV11" s="85">
        <v>0</v>
      </c>
      <c r="AW11" s="86"/>
      <c r="AX11" s="86"/>
      <c r="AY11" s="82"/>
      <c r="AZ11" s="87">
        <f t="shared" si="12"/>
        <v>0</v>
      </c>
    </row>
    <row r="12" spans="1:52" ht="16.5" thickBot="1" x14ac:dyDescent="0.3">
      <c r="A12" s="74">
        <v>3030</v>
      </c>
      <c r="B12" s="75" t="s">
        <v>32</v>
      </c>
      <c r="C12" s="88">
        <v>0</v>
      </c>
      <c r="D12" s="26">
        <f t="shared" si="4"/>
        <v>0</v>
      </c>
      <c r="E12" s="27">
        <f t="shared" si="5"/>
        <v>0</v>
      </c>
      <c r="F12" s="29">
        <f t="shared" si="6"/>
        <v>0</v>
      </c>
      <c r="G12" s="30"/>
      <c r="H12" s="31"/>
      <c r="I12" s="32"/>
      <c r="J12" s="77"/>
      <c r="K12" s="33"/>
      <c r="L12" s="34"/>
      <c r="M12" s="34"/>
      <c r="N12" s="62"/>
      <c r="O12" s="34"/>
      <c r="P12" s="34"/>
      <c r="Q12" s="34"/>
      <c r="R12" s="62"/>
      <c r="S12" s="37"/>
      <c r="T12" s="34"/>
      <c r="U12" s="34"/>
      <c r="V12" s="62"/>
      <c r="W12" s="38"/>
      <c r="X12" s="31"/>
      <c r="Y12" s="31"/>
      <c r="Z12" s="78"/>
      <c r="AA12" s="37"/>
      <c r="AB12" s="34"/>
      <c r="AC12" s="34"/>
      <c r="AD12" s="64"/>
      <c r="AE12" s="79"/>
      <c r="AF12" s="64"/>
      <c r="AG12" s="43">
        <f t="shared" si="0"/>
        <v>0</v>
      </c>
      <c r="AH12" s="44">
        <f t="shared" si="0"/>
        <v>0</v>
      </c>
      <c r="AI12" s="44">
        <f t="shared" si="0"/>
        <v>0</v>
      </c>
      <c r="AJ12" s="45">
        <f t="shared" si="0"/>
        <v>0</v>
      </c>
      <c r="AK12" s="80">
        <f t="shared" si="1"/>
        <v>0</v>
      </c>
      <c r="AL12" s="47">
        <v>2</v>
      </c>
      <c r="AM12" s="48">
        <f t="shared" si="7"/>
        <v>0</v>
      </c>
      <c r="AN12" s="48">
        <f t="shared" si="2"/>
        <v>0</v>
      </c>
      <c r="AO12" s="49">
        <f t="shared" si="8"/>
        <v>0</v>
      </c>
      <c r="AP12" s="49">
        <f t="shared" si="3"/>
        <v>0</v>
      </c>
      <c r="AQ12" s="50">
        <f t="shared" si="9"/>
        <v>0</v>
      </c>
      <c r="AR12" s="81">
        <v>42.35</v>
      </c>
      <c r="AS12" s="82">
        <v>7.6499999999999986</v>
      </c>
      <c r="AT12" s="83">
        <f t="shared" si="10"/>
        <v>0</v>
      </c>
      <c r="AU12" s="84">
        <f t="shared" si="11"/>
        <v>0</v>
      </c>
      <c r="AV12" s="85">
        <v>0</v>
      </c>
      <c r="AW12" s="86"/>
      <c r="AX12" s="86"/>
      <c r="AY12" s="82"/>
      <c r="AZ12" s="87">
        <f t="shared" si="12"/>
        <v>0</v>
      </c>
    </row>
    <row r="13" spans="1:52" ht="16.5" thickBot="1" x14ac:dyDescent="0.3">
      <c r="A13" s="74">
        <v>2250</v>
      </c>
      <c r="B13" s="75" t="s">
        <v>25</v>
      </c>
      <c r="C13" s="76"/>
      <c r="D13" s="26">
        <f t="shared" si="4"/>
        <v>0</v>
      </c>
      <c r="E13" s="27">
        <f t="shared" si="5"/>
        <v>0</v>
      </c>
      <c r="F13" s="29">
        <f t="shared" si="6"/>
        <v>0</v>
      </c>
      <c r="G13" s="30"/>
      <c r="H13" s="31"/>
      <c r="I13" s="32"/>
      <c r="J13" s="77"/>
      <c r="K13" s="33"/>
      <c r="L13" s="34"/>
      <c r="M13" s="34"/>
      <c r="N13" s="62"/>
      <c r="O13" s="34"/>
      <c r="P13" s="34"/>
      <c r="Q13" s="34"/>
      <c r="R13" s="62"/>
      <c r="S13" s="37"/>
      <c r="T13" s="34"/>
      <c r="U13" s="34"/>
      <c r="V13" s="62"/>
      <c r="W13" s="38"/>
      <c r="X13" s="31"/>
      <c r="Y13" s="31"/>
      <c r="Z13" s="78"/>
      <c r="AA13" s="37"/>
      <c r="AB13" s="34"/>
      <c r="AC13" s="34"/>
      <c r="AD13" s="64"/>
      <c r="AE13" s="79"/>
      <c r="AF13" s="64"/>
      <c r="AG13" s="43">
        <f t="shared" si="0"/>
        <v>0</v>
      </c>
      <c r="AH13" s="44">
        <f t="shared" si="0"/>
        <v>0</v>
      </c>
      <c r="AI13" s="44">
        <f t="shared" si="0"/>
        <v>0</v>
      </c>
      <c r="AJ13" s="45">
        <f>J13+N13+R13+V13+Z13+AD13</f>
        <v>0</v>
      </c>
      <c r="AK13" s="80">
        <f t="shared" si="1"/>
        <v>0</v>
      </c>
      <c r="AL13" s="47">
        <v>1.5</v>
      </c>
      <c r="AM13" s="48">
        <f t="shared" si="7"/>
        <v>0</v>
      </c>
      <c r="AN13" s="48">
        <f t="shared" si="2"/>
        <v>0</v>
      </c>
      <c r="AO13" s="49">
        <f t="shared" si="8"/>
        <v>0</v>
      </c>
      <c r="AP13" s="49">
        <f t="shared" si="3"/>
        <v>0</v>
      </c>
      <c r="AQ13" s="50">
        <f t="shared" si="9"/>
        <v>0</v>
      </c>
      <c r="AR13" s="81">
        <v>34.68</v>
      </c>
      <c r="AS13" s="82">
        <v>5.32</v>
      </c>
      <c r="AT13" s="83">
        <f t="shared" si="10"/>
        <v>0</v>
      </c>
      <c r="AU13" s="84">
        <f t="shared" si="11"/>
        <v>0</v>
      </c>
      <c r="AV13" s="85">
        <v>0</v>
      </c>
      <c r="AW13" s="86"/>
      <c r="AX13" s="86"/>
      <c r="AY13" s="82"/>
      <c r="AZ13" s="87">
        <f t="shared" si="12"/>
        <v>0</v>
      </c>
    </row>
    <row r="14" spans="1:52" ht="16.5" thickBot="1" x14ac:dyDescent="0.3">
      <c r="A14" s="74">
        <v>2250</v>
      </c>
      <c r="B14" s="75" t="s">
        <v>33</v>
      </c>
      <c r="C14" s="76"/>
      <c r="D14" s="26">
        <f t="shared" si="4"/>
        <v>0</v>
      </c>
      <c r="E14" s="27">
        <f t="shared" si="5"/>
        <v>0</v>
      </c>
      <c r="F14" s="29">
        <f t="shared" si="6"/>
        <v>0</v>
      </c>
      <c r="G14" s="30"/>
      <c r="H14" s="31"/>
      <c r="I14" s="32"/>
      <c r="J14" s="77"/>
      <c r="K14" s="33"/>
      <c r="L14" s="34"/>
      <c r="M14" s="34"/>
      <c r="N14" s="62"/>
      <c r="O14" s="34"/>
      <c r="P14" s="34"/>
      <c r="Q14" s="34"/>
      <c r="R14" s="62"/>
      <c r="S14" s="37"/>
      <c r="T14" s="34"/>
      <c r="U14" s="34"/>
      <c r="V14" s="62"/>
      <c r="W14" s="38"/>
      <c r="X14" s="31"/>
      <c r="Y14" s="31"/>
      <c r="Z14" s="78"/>
      <c r="AA14" s="37"/>
      <c r="AB14" s="34"/>
      <c r="AC14" s="34"/>
      <c r="AD14" s="64"/>
      <c r="AE14" s="79"/>
      <c r="AF14" s="64"/>
      <c r="AG14" s="43">
        <f t="shared" si="0"/>
        <v>0</v>
      </c>
      <c r="AH14" s="44">
        <f t="shared" si="0"/>
        <v>0</v>
      </c>
      <c r="AI14" s="44">
        <f t="shared" si="0"/>
        <v>0</v>
      </c>
      <c r="AJ14" s="45">
        <f t="shared" si="0"/>
        <v>0</v>
      </c>
      <c r="AK14" s="80">
        <f t="shared" si="1"/>
        <v>0</v>
      </c>
      <c r="AL14" s="47">
        <v>1.5</v>
      </c>
      <c r="AM14" s="48">
        <f t="shared" si="7"/>
        <v>0</v>
      </c>
      <c r="AN14" s="48">
        <f t="shared" si="2"/>
        <v>0</v>
      </c>
      <c r="AO14" s="49">
        <f t="shared" si="8"/>
        <v>0</v>
      </c>
      <c r="AP14" s="49">
        <f t="shared" si="3"/>
        <v>0</v>
      </c>
      <c r="AQ14" s="50">
        <f t="shared" si="9"/>
        <v>0</v>
      </c>
      <c r="AR14" s="81">
        <v>34.68</v>
      </c>
      <c r="AS14" s="82">
        <v>5.32</v>
      </c>
      <c r="AT14" s="83">
        <f t="shared" si="10"/>
        <v>0</v>
      </c>
      <c r="AU14" s="84">
        <f t="shared" si="11"/>
        <v>0</v>
      </c>
      <c r="AV14" s="85">
        <v>0</v>
      </c>
      <c r="AW14" s="86"/>
      <c r="AX14" s="86"/>
      <c r="AY14" s="82"/>
      <c r="AZ14" s="87">
        <f t="shared" si="12"/>
        <v>0</v>
      </c>
    </row>
    <row r="15" spans="1:52" ht="16.5" thickBot="1" x14ac:dyDescent="0.3">
      <c r="A15" s="74">
        <v>1800</v>
      </c>
      <c r="B15" s="75" t="s">
        <v>34</v>
      </c>
      <c r="C15" s="76"/>
      <c r="D15" s="26">
        <f t="shared" si="4"/>
        <v>0</v>
      </c>
      <c r="E15" s="27">
        <f t="shared" si="5"/>
        <v>0</v>
      </c>
      <c r="F15" s="29">
        <f t="shared" si="6"/>
        <v>0</v>
      </c>
      <c r="G15" s="30"/>
      <c r="H15" s="31"/>
      <c r="I15" s="32"/>
      <c r="J15" s="77"/>
      <c r="K15" s="33"/>
      <c r="L15" s="34"/>
      <c r="M15" s="34"/>
      <c r="N15" s="62"/>
      <c r="O15" s="34"/>
      <c r="P15" s="34"/>
      <c r="Q15" s="34"/>
      <c r="R15" s="62"/>
      <c r="S15" s="37"/>
      <c r="T15" s="34"/>
      <c r="U15" s="34"/>
      <c r="V15" s="62"/>
      <c r="W15" s="38"/>
      <c r="X15" s="31"/>
      <c r="Y15" s="31"/>
      <c r="Z15" s="78"/>
      <c r="AA15" s="37"/>
      <c r="AB15" s="34"/>
      <c r="AC15" s="34"/>
      <c r="AD15" s="64"/>
      <c r="AE15" s="79"/>
      <c r="AF15" s="64"/>
      <c r="AG15" s="43">
        <f t="shared" si="0"/>
        <v>0</v>
      </c>
      <c r="AH15" s="44">
        <f t="shared" si="0"/>
        <v>0</v>
      </c>
      <c r="AI15" s="44">
        <f t="shared" si="0"/>
        <v>0</v>
      </c>
      <c r="AJ15" s="45">
        <f t="shared" si="0"/>
        <v>0</v>
      </c>
      <c r="AK15" s="80">
        <f t="shared" si="1"/>
        <v>0</v>
      </c>
      <c r="AL15" s="47">
        <v>1.5</v>
      </c>
      <c r="AM15" s="48">
        <f t="shared" si="7"/>
        <v>0</v>
      </c>
      <c r="AN15" s="48">
        <f t="shared" si="2"/>
        <v>0</v>
      </c>
      <c r="AO15" s="49">
        <f t="shared" si="8"/>
        <v>0</v>
      </c>
      <c r="AP15" s="49">
        <f t="shared" si="3"/>
        <v>0</v>
      </c>
      <c r="AQ15" s="50">
        <f t="shared" si="9"/>
        <v>0</v>
      </c>
      <c r="AR15" s="81">
        <v>29.54</v>
      </c>
      <c r="AS15" s="82">
        <v>5.4600000000000009</v>
      </c>
      <c r="AT15" s="83">
        <f t="shared" si="10"/>
        <v>0</v>
      </c>
      <c r="AU15" s="84">
        <f t="shared" si="11"/>
        <v>0</v>
      </c>
      <c r="AV15" s="85">
        <v>0</v>
      </c>
      <c r="AW15" s="86"/>
      <c r="AX15" s="86"/>
      <c r="AY15" s="82"/>
      <c r="AZ15" s="87">
        <f t="shared" si="12"/>
        <v>0</v>
      </c>
    </row>
    <row r="16" spans="1:52" ht="16.5" thickBot="1" x14ac:dyDescent="0.3">
      <c r="A16" s="74">
        <v>1800</v>
      </c>
      <c r="B16" s="75" t="s">
        <v>25</v>
      </c>
      <c r="C16" s="88"/>
      <c r="D16" s="26">
        <f t="shared" si="4"/>
        <v>0</v>
      </c>
      <c r="E16" s="27">
        <f t="shared" si="5"/>
        <v>0</v>
      </c>
      <c r="F16" s="29">
        <f t="shared" si="6"/>
        <v>0</v>
      </c>
      <c r="G16" s="30"/>
      <c r="H16" s="31"/>
      <c r="I16" s="32"/>
      <c r="J16" s="77"/>
      <c r="K16" s="33"/>
      <c r="L16" s="34"/>
      <c r="M16" s="34"/>
      <c r="N16" s="62"/>
      <c r="O16" s="34"/>
      <c r="P16" s="34"/>
      <c r="Q16" s="34"/>
      <c r="R16" s="62"/>
      <c r="S16" s="37"/>
      <c r="T16" s="34"/>
      <c r="U16" s="34"/>
      <c r="V16" s="62"/>
      <c r="W16" s="38"/>
      <c r="X16" s="31"/>
      <c r="Y16" s="31"/>
      <c r="Z16" s="78"/>
      <c r="AA16" s="37"/>
      <c r="AB16" s="34"/>
      <c r="AC16" s="34"/>
      <c r="AD16" s="64"/>
      <c r="AE16" s="79"/>
      <c r="AF16" s="64"/>
      <c r="AG16" s="43">
        <f t="shared" si="0"/>
        <v>0</v>
      </c>
      <c r="AH16" s="44">
        <f t="shared" si="0"/>
        <v>0</v>
      </c>
      <c r="AI16" s="44">
        <f t="shared" si="0"/>
        <v>0</v>
      </c>
      <c r="AJ16" s="45">
        <f t="shared" si="0"/>
        <v>0</v>
      </c>
      <c r="AK16" s="80">
        <f t="shared" si="1"/>
        <v>0</v>
      </c>
      <c r="AL16" s="47">
        <v>1.5</v>
      </c>
      <c r="AM16" s="48">
        <f t="shared" si="7"/>
        <v>0</v>
      </c>
      <c r="AN16" s="48">
        <f t="shared" si="2"/>
        <v>0</v>
      </c>
      <c r="AO16" s="49">
        <f t="shared" si="8"/>
        <v>0</v>
      </c>
      <c r="AP16" s="49">
        <f t="shared" si="3"/>
        <v>0</v>
      </c>
      <c r="AQ16" s="50">
        <f t="shared" si="9"/>
        <v>0</v>
      </c>
      <c r="AR16" s="81">
        <v>28.05</v>
      </c>
      <c r="AS16" s="82">
        <v>6.9499999999999993</v>
      </c>
      <c r="AT16" s="83">
        <f t="shared" si="10"/>
        <v>0</v>
      </c>
      <c r="AU16" s="84">
        <f t="shared" si="11"/>
        <v>0</v>
      </c>
      <c r="AV16" s="85">
        <v>0</v>
      </c>
      <c r="AW16" s="86"/>
      <c r="AX16" s="86"/>
      <c r="AY16" s="82"/>
      <c r="AZ16" s="87">
        <f t="shared" si="12"/>
        <v>0</v>
      </c>
    </row>
    <row r="17" spans="1:52" ht="16.5" thickBot="1" x14ac:dyDescent="0.3">
      <c r="A17" s="74">
        <v>1.3</v>
      </c>
      <c r="B17" s="75" t="s">
        <v>35</v>
      </c>
      <c r="C17" s="76">
        <v>1302</v>
      </c>
      <c r="D17" s="26">
        <f t="shared" si="4"/>
        <v>434</v>
      </c>
      <c r="E17" s="27">
        <f t="shared" si="5"/>
        <v>434</v>
      </c>
      <c r="F17" s="29">
        <f t="shared" si="6"/>
        <v>434</v>
      </c>
      <c r="G17" s="30"/>
      <c r="H17" s="31"/>
      <c r="I17" s="32"/>
      <c r="J17" s="77"/>
      <c r="K17" s="33"/>
      <c r="L17" s="34"/>
      <c r="M17" s="34"/>
      <c r="N17" s="62"/>
      <c r="O17" s="34"/>
      <c r="P17" s="34"/>
      <c r="Q17" s="34"/>
      <c r="R17" s="62"/>
      <c r="S17" s="37"/>
      <c r="T17" s="34"/>
      <c r="U17" s="34"/>
      <c r="V17" s="62"/>
      <c r="W17" s="38"/>
      <c r="X17" s="31"/>
      <c r="Y17" s="31"/>
      <c r="Z17" s="78"/>
      <c r="AA17" s="37"/>
      <c r="AB17" s="34"/>
      <c r="AC17" s="34"/>
      <c r="AD17" s="64"/>
      <c r="AE17" s="79"/>
      <c r="AF17" s="89"/>
      <c r="AG17" s="43">
        <f t="shared" si="0"/>
        <v>0</v>
      </c>
      <c r="AH17" s="44">
        <f t="shared" si="0"/>
        <v>0</v>
      </c>
      <c r="AI17" s="44">
        <f t="shared" si="0"/>
        <v>0</v>
      </c>
      <c r="AJ17" s="45">
        <f t="shared" si="0"/>
        <v>0</v>
      </c>
      <c r="AK17" s="80">
        <f t="shared" si="1"/>
        <v>0</v>
      </c>
      <c r="AL17" s="66">
        <v>1</v>
      </c>
      <c r="AM17" s="48">
        <f t="shared" si="7"/>
        <v>0</v>
      </c>
      <c r="AN17" s="48">
        <f t="shared" si="2"/>
        <v>0</v>
      </c>
      <c r="AO17" s="49">
        <f t="shared" si="8"/>
        <v>0</v>
      </c>
      <c r="AP17" s="49">
        <f t="shared" si="3"/>
        <v>0</v>
      </c>
      <c r="AQ17" s="50">
        <f t="shared" si="9"/>
        <v>0</v>
      </c>
      <c r="AR17" s="81"/>
      <c r="AS17" s="82">
        <v>5.7</v>
      </c>
      <c r="AT17" s="83">
        <f t="shared" si="10"/>
        <v>0</v>
      </c>
      <c r="AU17" s="84">
        <f t="shared" si="11"/>
        <v>0</v>
      </c>
      <c r="AV17" s="85"/>
      <c r="AW17" s="86"/>
      <c r="AX17" s="86"/>
      <c r="AY17" s="82"/>
      <c r="AZ17" s="87">
        <f t="shared" si="12"/>
        <v>0</v>
      </c>
    </row>
    <row r="18" spans="1:52" ht="16.5" thickBot="1" x14ac:dyDescent="0.3">
      <c r="A18" s="74">
        <v>1.3</v>
      </c>
      <c r="B18" s="75" t="s">
        <v>36</v>
      </c>
      <c r="C18" s="76"/>
      <c r="D18" s="26">
        <f t="shared" si="4"/>
        <v>0</v>
      </c>
      <c r="E18" s="27">
        <f t="shared" si="5"/>
        <v>0</v>
      </c>
      <c r="F18" s="29">
        <f t="shared" si="6"/>
        <v>0</v>
      </c>
      <c r="G18" s="30"/>
      <c r="H18" s="31"/>
      <c r="I18" s="32"/>
      <c r="J18" s="77"/>
      <c r="K18" s="33"/>
      <c r="L18" s="34"/>
      <c r="M18" s="34"/>
      <c r="N18" s="62"/>
      <c r="O18" s="34"/>
      <c r="P18" s="34"/>
      <c r="Q18" s="34"/>
      <c r="R18" s="62"/>
      <c r="S18" s="37"/>
      <c r="T18" s="34"/>
      <c r="U18" s="34"/>
      <c r="V18" s="62"/>
      <c r="W18" s="38"/>
      <c r="X18" s="31"/>
      <c r="Y18" s="31"/>
      <c r="Z18" s="78"/>
      <c r="AA18" s="37"/>
      <c r="AB18" s="34"/>
      <c r="AC18" s="34"/>
      <c r="AD18" s="64"/>
      <c r="AE18" s="79"/>
      <c r="AF18" s="64"/>
      <c r="AG18" s="43">
        <f t="shared" si="0"/>
        <v>0</v>
      </c>
      <c r="AH18" s="44">
        <f t="shared" si="0"/>
        <v>0</v>
      </c>
      <c r="AI18" s="44">
        <f t="shared" si="0"/>
        <v>0</v>
      </c>
      <c r="AJ18" s="45">
        <f t="shared" si="0"/>
        <v>0</v>
      </c>
      <c r="AK18" s="80">
        <f t="shared" si="1"/>
        <v>0</v>
      </c>
      <c r="AL18" s="47">
        <v>1</v>
      </c>
      <c r="AM18" s="48">
        <f t="shared" si="7"/>
        <v>0</v>
      </c>
      <c r="AN18" s="48">
        <f t="shared" si="2"/>
        <v>0</v>
      </c>
      <c r="AO18" s="49">
        <f t="shared" si="8"/>
        <v>0</v>
      </c>
      <c r="AP18" s="49">
        <f t="shared" si="3"/>
        <v>0</v>
      </c>
      <c r="AQ18" s="50">
        <f t="shared" si="9"/>
        <v>0</v>
      </c>
      <c r="AR18" s="81"/>
      <c r="AS18" s="82"/>
      <c r="AT18" s="83"/>
      <c r="AU18" s="84">
        <f t="shared" si="11"/>
        <v>0</v>
      </c>
      <c r="AV18" s="85"/>
      <c r="AW18" s="86"/>
      <c r="AX18" s="86"/>
      <c r="AY18" s="82"/>
      <c r="AZ18" s="87"/>
    </row>
    <row r="19" spans="1:52" ht="16.5" thickBot="1" x14ac:dyDescent="0.3">
      <c r="A19" s="74">
        <v>1.3</v>
      </c>
      <c r="B19" s="75" t="s">
        <v>37</v>
      </c>
      <c r="C19" s="76"/>
      <c r="D19" s="26">
        <f t="shared" si="4"/>
        <v>0</v>
      </c>
      <c r="E19" s="27">
        <f t="shared" si="5"/>
        <v>0</v>
      </c>
      <c r="F19" s="29">
        <f t="shared" si="6"/>
        <v>0</v>
      </c>
      <c r="G19" s="30"/>
      <c r="H19" s="31"/>
      <c r="I19" s="32"/>
      <c r="J19" s="77"/>
      <c r="K19" s="33"/>
      <c r="L19" s="34"/>
      <c r="M19" s="34"/>
      <c r="N19" s="62"/>
      <c r="O19" s="34"/>
      <c r="P19" s="34"/>
      <c r="Q19" s="34"/>
      <c r="R19" s="62"/>
      <c r="S19" s="37"/>
      <c r="T19" s="34"/>
      <c r="U19" s="34"/>
      <c r="V19" s="62"/>
      <c r="W19" s="38"/>
      <c r="X19" s="31"/>
      <c r="Y19" s="31"/>
      <c r="Z19" s="78"/>
      <c r="AA19" s="37"/>
      <c r="AB19" s="34"/>
      <c r="AC19" s="34"/>
      <c r="AD19" s="64"/>
      <c r="AE19" s="79"/>
      <c r="AF19" s="64"/>
      <c r="AG19" s="43">
        <f t="shared" si="0"/>
        <v>0</v>
      </c>
      <c r="AH19" s="44">
        <f t="shared" si="0"/>
        <v>0</v>
      </c>
      <c r="AI19" s="44">
        <f t="shared" si="0"/>
        <v>0</v>
      </c>
      <c r="AJ19" s="45">
        <f t="shared" si="0"/>
        <v>0</v>
      </c>
      <c r="AK19" s="80">
        <f t="shared" si="1"/>
        <v>0</v>
      </c>
      <c r="AL19" s="47">
        <v>1</v>
      </c>
      <c r="AM19" s="48">
        <f t="shared" si="7"/>
        <v>0</v>
      </c>
      <c r="AN19" s="48">
        <f t="shared" si="2"/>
        <v>0</v>
      </c>
      <c r="AO19" s="49">
        <f t="shared" si="8"/>
        <v>0</v>
      </c>
      <c r="AP19" s="49">
        <f t="shared" si="3"/>
        <v>0</v>
      </c>
      <c r="AQ19" s="50">
        <f t="shared" si="9"/>
        <v>0</v>
      </c>
      <c r="AR19" s="81"/>
      <c r="AS19" s="82"/>
      <c r="AT19" s="83"/>
      <c r="AU19" s="84">
        <f t="shared" si="11"/>
        <v>0</v>
      </c>
      <c r="AV19" s="85"/>
      <c r="AW19" s="86"/>
      <c r="AX19" s="86"/>
      <c r="AY19" s="82"/>
      <c r="AZ19" s="87"/>
    </row>
    <row r="20" spans="1:52" ht="16.5" thickBot="1" x14ac:dyDescent="0.3">
      <c r="A20" s="74">
        <v>1.3</v>
      </c>
      <c r="B20" s="75" t="s">
        <v>38</v>
      </c>
      <c r="C20" s="76">
        <v>90</v>
      </c>
      <c r="D20" s="26">
        <f t="shared" si="4"/>
        <v>30</v>
      </c>
      <c r="E20" s="27">
        <f t="shared" si="5"/>
        <v>30</v>
      </c>
      <c r="F20" s="29">
        <f t="shared" si="6"/>
        <v>30</v>
      </c>
      <c r="G20" s="30"/>
      <c r="H20" s="31"/>
      <c r="I20" s="32"/>
      <c r="J20" s="77"/>
      <c r="K20" s="33"/>
      <c r="L20" s="34"/>
      <c r="M20" s="34"/>
      <c r="N20" s="62"/>
      <c r="O20" s="34"/>
      <c r="P20" s="34"/>
      <c r="Q20" s="34"/>
      <c r="R20" s="62"/>
      <c r="S20" s="37"/>
      <c r="T20" s="34"/>
      <c r="U20" s="34"/>
      <c r="V20" s="62"/>
      <c r="W20" s="38"/>
      <c r="X20" s="31"/>
      <c r="Y20" s="31"/>
      <c r="Z20" s="78"/>
      <c r="AA20" s="37"/>
      <c r="AB20" s="34"/>
      <c r="AC20" s="34"/>
      <c r="AD20" s="64"/>
      <c r="AE20" s="79"/>
      <c r="AF20" s="64"/>
      <c r="AG20" s="43">
        <f t="shared" si="0"/>
        <v>0</v>
      </c>
      <c r="AH20" s="44">
        <f t="shared" si="0"/>
        <v>0</v>
      </c>
      <c r="AI20" s="44">
        <f t="shared" si="0"/>
        <v>0</v>
      </c>
      <c r="AJ20" s="45">
        <f t="shared" si="0"/>
        <v>0</v>
      </c>
      <c r="AK20" s="80">
        <f t="shared" si="1"/>
        <v>0</v>
      </c>
      <c r="AL20" s="66">
        <v>1.1499999999999999</v>
      </c>
      <c r="AM20" s="48">
        <f t="shared" si="7"/>
        <v>0</v>
      </c>
      <c r="AN20" s="48">
        <f t="shared" si="2"/>
        <v>0</v>
      </c>
      <c r="AO20" s="49">
        <f t="shared" si="8"/>
        <v>0</v>
      </c>
      <c r="AP20" s="49">
        <f t="shared" si="3"/>
        <v>0</v>
      </c>
      <c r="AQ20" s="50">
        <f t="shared" si="9"/>
        <v>0</v>
      </c>
      <c r="AR20" s="81"/>
      <c r="AS20" s="82"/>
      <c r="AT20" s="83"/>
      <c r="AU20" s="84"/>
      <c r="AV20" s="85"/>
      <c r="AW20" s="86"/>
      <c r="AX20" s="86"/>
      <c r="AY20" s="82"/>
      <c r="AZ20" s="87"/>
    </row>
    <row r="21" spans="1:52" ht="16.5" thickBot="1" x14ac:dyDescent="0.3">
      <c r="A21" s="74">
        <v>1.3</v>
      </c>
      <c r="B21" s="75" t="s">
        <v>39</v>
      </c>
      <c r="C21" s="76">
        <v>90</v>
      </c>
      <c r="D21" s="26">
        <f t="shared" si="4"/>
        <v>30</v>
      </c>
      <c r="E21" s="27">
        <f t="shared" si="5"/>
        <v>30</v>
      </c>
      <c r="F21" s="29">
        <f t="shared" si="6"/>
        <v>30</v>
      </c>
      <c r="G21" s="30"/>
      <c r="H21" s="31"/>
      <c r="I21" s="32"/>
      <c r="J21" s="77"/>
      <c r="K21" s="33"/>
      <c r="L21" s="34"/>
      <c r="M21" s="34"/>
      <c r="N21" s="62"/>
      <c r="O21" s="34"/>
      <c r="P21" s="34"/>
      <c r="Q21" s="34"/>
      <c r="R21" s="62"/>
      <c r="S21" s="37"/>
      <c r="T21" s="34"/>
      <c r="U21" s="34"/>
      <c r="V21" s="62"/>
      <c r="W21" s="38"/>
      <c r="X21" s="31"/>
      <c r="Y21" s="31"/>
      <c r="Z21" s="78"/>
      <c r="AA21" s="37"/>
      <c r="AB21" s="34"/>
      <c r="AC21" s="34"/>
      <c r="AD21" s="64"/>
      <c r="AE21" s="79"/>
      <c r="AF21" s="64"/>
      <c r="AG21" s="43">
        <f t="shared" si="0"/>
        <v>0</v>
      </c>
      <c r="AH21" s="44">
        <f t="shared" si="0"/>
        <v>0</v>
      </c>
      <c r="AI21" s="44">
        <f t="shared" si="0"/>
        <v>0</v>
      </c>
      <c r="AJ21" s="45">
        <f t="shared" si="0"/>
        <v>0</v>
      </c>
      <c r="AK21" s="80">
        <f t="shared" si="1"/>
        <v>0</v>
      </c>
      <c r="AL21" s="66">
        <v>1.1499999999999999</v>
      </c>
      <c r="AM21" s="48">
        <f t="shared" si="7"/>
        <v>0</v>
      </c>
      <c r="AN21" s="48">
        <f t="shared" si="2"/>
        <v>0</v>
      </c>
      <c r="AO21" s="49">
        <f t="shared" si="8"/>
        <v>0</v>
      </c>
      <c r="AP21" s="49">
        <f t="shared" si="3"/>
        <v>0</v>
      </c>
      <c r="AQ21" s="50">
        <f t="shared" si="9"/>
        <v>0</v>
      </c>
      <c r="AR21" s="81"/>
      <c r="AS21" s="82"/>
      <c r="AT21" s="83"/>
      <c r="AU21" s="84"/>
      <c r="AV21" s="85"/>
      <c r="AW21" s="86"/>
      <c r="AX21" s="86"/>
      <c r="AY21" s="82"/>
      <c r="AZ21" s="87"/>
    </row>
    <row r="22" spans="1:52" ht="16.5" thickBot="1" x14ac:dyDescent="0.3">
      <c r="A22" s="74">
        <v>1300</v>
      </c>
      <c r="B22" s="75" t="s">
        <v>40</v>
      </c>
      <c r="C22" s="76"/>
      <c r="D22" s="26">
        <f t="shared" si="4"/>
        <v>0</v>
      </c>
      <c r="E22" s="27">
        <f t="shared" si="5"/>
        <v>0</v>
      </c>
      <c r="F22" s="29">
        <f t="shared" si="6"/>
        <v>0</v>
      </c>
      <c r="G22" s="30"/>
      <c r="H22" s="31"/>
      <c r="I22" s="32"/>
      <c r="J22" s="77"/>
      <c r="K22" s="33"/>
      <c r="L22" s="34"/>
      <c r="M22" s="34"/>
      <c r="N22" s="62"/>
      <c r="O22" s="34"/>
      <c r="P22" s="34"/>
      <c r="Q22" s="34"/>
      <c r="R22" s="62"/>
      <c r="S22" s="37"/>
      <c r="T22" s="34"/>
      <c r="U22" s="34"/>
      <c r="V22" s="62"/>
      <c r="W22" s="38"/>
      <c r="X22" s="31"/>
      <c r="Y22" s="31"/>
      <c r="Z22" s="78"/>
      <c r="AA22" s="37"/>
      <c r="AB22" s="34"/>
      <c r="AC22" s="34"/>
      <c r="AD22" s="64"/>
      <c r="AE22" s="79"/>
      <c r="AF22" s="64"/>
      <c r="AG22" s="43">
        <f t="shared" si="0"/>
        <v>0</v>
      </c>
      <c r="AH22" s="44">
        <f t="shared" si="0"/>
        <v>0</v>
      </c>
      <c r="AI22" s="44">
        <f t="shared" si="0"/>
        <v>0</v>
      </c>
      <c r="AJ22" s="45">
        <f t="shared" si="0"/>
        <v>0</v>
      </c>
      <c r="AK22" s="80">
        <f t="shared" si="1"/>
        <v>0</v>
      </c>
      <c r="AL22" s="47">
        <v>1.5</v>
      </c>
      <c r="AM22" s="48">
        <f t="shared" si="7"/>
        <v>0</v>
      </c>
      <c r="AN22" s="48">
        <f t="shared" si="2"/>
        <v>0</v>
      </c>
      <c r="AO22" s="49">
        <f t="shared" si="8"/>
        <v>0</v>
      </c>
      <c r="AP22" s="49">
        <f t="shared" si="3"/>
        <v>0</v>
      </c>
      <c r="AQ22" s="50">
        <f t="shared" si="9"/>
        <v>0</v>
      </c>
      <c r="AR22" s="81">
        <v>43.1</v>
      </c>
      <c r="AS22" s="82">
        <v>6.8999999999999986</v>
      </c>
      <c r="AT22" s="83">
        <f>AK22*AS22</f>
        <v>0</v>
      </c>
      <c r="AU22" s="84">
        <f>AK22*AL22</f>
        <v>0</v>
      </c>
      <c r="AV22" s="85">
        <v>0</v>
      </c>
      <c r="AW22" s="86"/>
      <c r="AX22" s="86"/>
      <c r="AY22" s="82"/>
      <c r="AZ22" s="87">
        <f>AT22-AU22-AW22-AX22-AY22</f>
        <v>0</v>
      </c>
    </row>
    <row r="23" spans="1:52" ht="16.5" thickBot="1" x14ac:dyDescent="0.3">
      <c r="A23" s="74">
        <v>911</v>
      </c>
      <c r="B23" s="75" t="s">
        <v>25</v>
      </c>
      <c r="C23" s="76"/>
      <c r="D23" s="26">
        <f t="shared" si="4"/>
        <v>0</v>
      </c>
      <c r="E23" s="27">
        <f t="shared" si="5"/>
        <v>0</v>
      </c>
      <c r="F23" s="29">
        <f t="shared" si="6"/>
        <v>0</v>
      </c>
      <c r="G23" s="30"/>
      <c r="H23" s="31"/>
      <c r="I23" s="32"/>
      <c r="J23" s="77"/>
      <c r="K23" s="33"/>
      <c r="L23" s="34"/>
      <c r="M23" s="34"/>
      <c r="N23" s="62"/>
      <c r="O23" s="34"/>
      <c r="P23" s="34"/>
      <c r="Q23" s="34"/>
      <c r="R23" s="62"/>
      <c r="S23" s="37"/>
      <c r="T23" s="34"/>
      <c r="U23" s="34"/>
      <c r="V23" s="62"/>
      <c r="W23" s="38"/>
      <c r="X23" s="31"/>
      <c r="Y23" s="31"/>
      <c r="Z23" s="78"/>
      <c r="AA23" s="37"/>
      <c r="AB23" s="34"/>
      <c r="AC23" s="34"/>
      <c r="AD23" s="64"/>
      <c r="AE23" s="79"/>
      <c r="AF23" s="64"/>
      <c r="AG23" s="43">
        <f t="shared" si="0"/>
        <v>0</v>
      </c>
      <c r="AH23" s="44">
        <f t="shared" si="0"/>
        <v>0</v>
      </c>
      <c r="AI23" s="44">
        <f t="shared" si="0"/>
        <v>0</v>
      </c>
      <c r="AJ23" s="45">
        <f t="shared" si="0"/>
        <v>0</v>
      </c>
      <c r="AK23" s="80">
        <f t="shared" si="1"/>
        <v>0</v>
      </c>
      <c r="AL23" s="66">
        <v>0.65</v>
      </c>
      <c r="AM23" s="48">
        <f t="shared" si="7"/>
        <v>0</v>
      </c>
      <c r="AN23" s="48">
        <f t="shared" si="2"/>
        <v>0</v>
      </c>
      <c r="AO23" s="49">
        <f t="shared" si="8"/>
        <v>0</v>
      </c>
      <c r="AP23" s="49">
        <f t="shared" si="3"/>
        <v>0</v>
      </c>
      <c r="AQ23" s="50">
        <f t="shared" si="9"/>
        <v>0</v>
      </c>
      <c r="AR23" s="81">
        <v>17.29</v>
      </c>
      <c r="AS23" s="82">
        <v>2.7100000000000009</v>
      </c>
      <c r="AT23" s="83">
        <f>AK23*AS23</f>
        <v>0</v>
      </c>
      <c r="AU23" s="84">
        <f>AK23*AL23</f>
        <v>0</v>
      </c>
      <c r="AV23" s="85"/>
      <c r="AW23" s="86"/>
      <c r="AX23" s="86"/>
      <c r="AY23" s="82"/>
      <c r="AZ23" s="87">
        <f>AT23-AU23-AW23-AX23-AY23</f>
        <v>0</v>
      </c>
    </row>
    <row r="24" spans="1:52" ht="16.5" thickBot="1" x14ac:dyDescent="0.3">
      <c r="A24" s="74">
        <v>625</v>
      </c>
      <c r="B24" s="75" t="s">
        <v>41</v>
      </c>
      <c r="C24" s="76">
        <v>570</v>
      </c>
      <c r="D24" s="26">
        <f t="shared" si="4"/>
        <v>190</v>
      </c>
      <c r="E24" s="27">
        <f t="shared" si="5"/>
        <v>190</v>
      </c>
      <c r="F24" s="29">
        <f t="shared" si="6"/>
        <v>190</v>
      </c>
      <c r="G24" s="30"/>
      <c r="H24" s="31"/>
      <c r="I24" s="32"/>
      <c r="J24" s="77"/>
      <c r="K24" s="33"/>
      <c r="L24" s="34"/>
      <c r="M24" s="34"/>
      <c r="N24" s="62"/>
      <c r="O24" s="34"/>
      <c r="P24" s="34"/>
      <c r="Q24" s="34"/>
      <c r="R24" s="62"/>
      <c r="S24" s="37"/>
      <c r="T24" s="34"/>
      <c r="U24" s="34"/>
      <c r="V24" s="62"/>
      <c r="W24" s="38"/>
      <c r="X24" s="31"/>
      <c r="Y24" s="31"/>
      <c r="Z24" s="78"/>
      <c r="AA24" s="37"/>
      <c r="AB24" s="34"/>
      <c r="AC24" s="34"/>
      <c r="AD24" s="64"/>
      <c r="AE24" s="79"/>
      <c r="AF24" s="64"/>
      <c r="AG24" s="43">
        <f t="shared" si="0"/>
        <v>0</v>
      </c>
      <c r="AH24" s="44">
        <f t="shared" si="0"/>
        <v>0</v>
      </c>
      <c r="AI24" s="44">
        <f t="shared" si="0"/>
        <v>0</v>
      </c>
      <c r="AJ24" s="45">
        <f t="shared" si="0"/>
        <v>0</v>
      </c>
      <c r="AK24" s="80">
        <f t="shared" si="1"/>
        <v>0</v>
      </c>
      <c r="AL24" s="66">
        <v>1</v>
      </c>
      <c r="AM24" s="48">
        <f t="shared" si="7"/>
        <v>0</v>
      </c>
      <c r="AN24" s="48">
        <f t="shared" si="2"/>
        <v>0</v>
      </c>
      <c r="AO24" s="49">
        <f t="shared" si="8"/>
        <v>0</v>
      </c>
      <c r="AP24" s="49">
        <f t="shared" si="3"/>
        <v>0</v>
      </c>
      <c r="AQ24" s="50">
        <f t="shared" si="9"/>
        <v>0</v>
      </c>
      <c r="AR24" s="81"/>
      <c r="AS24" s="82">
        <v>6.74</v>
      </c>
      <c r="AT24" s="83">
        <f>AK24*AS24</f>
        <v>0</v>
      </c>
      <c r="AU24" s="84">
        <f>AK24*AL24</f>
        <v>0</v>
      </c>
      <c r="AV24" s="85">
        <v>0</v>
      </c>
      <c r="AW24" s="86"/>
      <c r="AX24" s="86"/>
      <c r="AY24" s="82"/>
      <c r="AZ24" s="87"/>
    </row>
    <row r="25" spans="1:52" ht="16.5" thickBot="1" x14ac:dyDescent="0.3">
      <c r="A25" s="74">
        <v>625</v>
      </c>
      <c r="B25" s="75" t="s">
        <v>42</v>
      </c>
      <c r="C25" s="76"/>
      <c r="D25" s="26"/>
      <c r="E25" s="27"/>
      <c r="F25" s="29"/>
      <c r="G25" s="30"/>
      <c r="H25" s="31"/>
      <c r="I25" s="32"/>
      <c r="J25" s="77"/>
      <c r="K25" s="33"/>
      <c r="L25" s="34"/>
      <c r="M25" s="34"/>
      <c r="N25" s="62"/>
      <c r="O25" s="34"/>
      <c r="P25" s="34"/>
      <c r="Q25" s="34"/>
      <c r="R25" s="62"/>
      <c r="S25" s="37"/>
      <c r="T25" s="34"/>
      <c r="U25" s="34"/>
      <c r="V25" s="62"/>
      <c r="W25" s="38"/>
      <c r="X25" s="31"/>
      <c r="Y25" s="31"/>
      <c r="Z25" s="78"/>
      <c r="AA25" s="37"/>
      <c r="AB25" s="34"/>
      <c r="AC25" s="34"/>
      <c r="AD25" s="64"/>
      <c r="AE25" s="79"/>
      <c r="AF25" s="64"/>
      <c r="AG25" s="43">
        <f t="shared" si="0"/>
        <v>0</v>
      </c>
      <c r="AH25" s="44">
        <f t="shared" si="0"/>
        <v>0</v>
      </c>
      <c r="AI25" s="44">
        <f t="shared" si="0"/>
        <v>0</v>
      </c>
      <c r="AJ25" s="45">
        <f t="shared" si="0"/>
        <v>0</v>
      </c>
      <c r="AK25" s="80">
        <f t="shared" si="1"/>
        <v>0</v>
      </c>
      <c r="AL25" s="66">
        <v>0.75</v>
      </c>
      <c r="AM25" s="48">
        <f t="shared" si="7"/>
        <v>0</v>
      </c>
      <c r="AN25" s="48">
        <f t="shared" si="2"/>
        <v>0</v>
      </c>
      <c r="AO25" s="49">
        <f t="shared" si="8"/>
        <v>0</v>
      </c>
      <c r="AP25" s="49">
        <f t="shared" si="3"/>
        <v>0</v>
      </c>
      <c r="AQ25" s="50">
        <f t="shared" si="9"/>
        <v>0</v>
      </c>
      <c r="AR25" s="81"/>
      <c r="AS25" s="82"/>
      <c r="AT25" s="83"/>
      <c r="AU25" s="84"/>
      <c r="AV25" s="85"/>
      <c r="AW25" s="86"/>
      <c r="AX25" s="86"/>
      <c r="AY25" s="82"/>
      <c r="AZ25" s="87"/>
    </row>
    <row r="26" spans="1:52" ht="16.5" thickBot="1" x14ac:dyDescent="0.3">
      <c r="A26" s="74">
        <v>625</v>
      </c>
      <c r="B26" s="75" t="s">
        <v>36</v>
      </c>
      <c r="C26" s="76"/>
      <c r="D26" s="26">
        <f t="shared" si="4"/>
        <v>0</v>
      </c>
      <c r="E26" s="27">
        <f t="shared" si="5"/>
        <v>0</v>
      </c>
      <c r="F26" s="29">
        <f t="shared" si="6"/>
        <v>0</v>
      </c>
      <c r="G26" s="30"/>
      <c r="H26" s="31"/>
      <c r="I26" s="32"/>
      <c r="J26" s="77"/>
      <c r="K26" s="33"/>
      <c r="L26" s="34"/>
      <c r="M26" s="34"/>
      <c r="N26" s="62"/>
      <c r="O26" s="34"/>
      <c r="P26" s="34"/>
      <c r="Q26" s="34"/>
      <c r="R26" s="62"/>
      <c r="S26" s="37"/>
      <c r="T26" s="34"/>
      <c r="U26" s="34"/>
      <c r="V26" s="62"/>
      <c r="W26" s="38"/>
      <c r="X26" s="31"/>
      <c r="Y26" s="31"/>
      <c r="Z26" s="78"/>
      <c r="AA26" s="37"/>
      <c r="AB26" s="34"/>
      <c r="AC26" s="34"/>
      <c r="AD26" s="64"/>
      <c r="AE26" s="79"/>
      <c r="AF26" s="64"/>
      <c r="AG26" s="43">
        <f t="shared" si="0"/>
        <v>0</v>
      </c>
      <c r="AH26" s="44">
        <f t="shared" si="0"/>
        <v>0</v>
      </c>
      <c r="AI26" s="44">
        <f t="shared" si="0"/>
        <v>0</v>
      </c>
      <c r="AJ26" s="45">
        <f t="shared" si="0"/>
        <v>0</v>
      </c>
      <c r="AK26" s="80">
        <f t="shared" si="1"/>
        <v>0</v>
      </c>
      <c r="AL26" s="47">
        <v>1</v>
      </c>
      <c r="AM26" s="48">
        <f t="shared" si="7"/>
        <v>0</v>
      </c>
      <c r="AN26" s="48">
        <f t="shared" si="2"/>
        <v>0</v>
      </c>
      <c r="AO26" s="49">
        <f t="shared" si="8"/>
        <v>0</v>
      </c>
      <c r="AP26" s="49">
        <f t="shared" si="3"/>
        <v>0</v>
      </c>
      <c r="AQ26" s="50">
        <f t="shared" si="9"/>
        <v>0</v>
      </c>
      <c r="AR26" s="81"/>
      <c r="AS26" s="82"/>
      <c r="AT26" s="83"/>
      <c r="AU26" s="84"/>
      <c r="AV26" s="85"/>
      <c r="AW26" s="86"/>
      <c r="AX26" s="86"/>
      <c r="AY26" s="82"/>
      <c r="AZ26" s="87"/>
    </row>
    <row r="27" spans="1:52" ht="16.5" thickBot="1" x14ac:dyDescent="0.3">
      <c r="A27" s="74">
        <v>625</v>
      </c>
      <c r="B27" s="75" t="s">
        <v>37</v>
      </c>
      <c r="C27" s="76"/>
      <c r="D27" s="26">
        <f t="shared" si="4"/>
        <v>0</v>
      </c>
      <c r="E27" s="27">
        <f t="shared" si="5"/>
        <v>0</v>
      </c>
      <c r="F27" s="29">
        <f t="shared" si="6"/>
        <v>0</v>
      </c>
      <c r="G27" s="30"/>
      <c r="H27" s="31"/>
      <c r="I27" s="32"/>
      <c r="J27" s="77"/>
      <c r="K27" s="33"/>
      <c r="L27" s="34"/>
      <c r="M27" s="34"/>
      <c r="N27" s="62"/>
      <c r="O27" s="34"/>
      <c r="P27" s="34"/>
      <c r="Q27" s="34"/>
      <c r="R27" s="62"/>
      <c r="S27" s="37"/>
      <c r="T27" s="34"/>
      <c r="U27" s="34"/>
      <c r="V27" s="62"/>
      <c r="W27" s="38"/>
      <c r="X27" s="31"/>
      <c r="Y27" s="31"/>
      <c r="Z27" s="78"/>
      <c r="AA27" s="37"/>
      <c r="AB27" s="34"/>
      <c r="AC27" s="34"/>
      <c r="AD27" s="64"/>
      <c r="AE27" s="79"/>
      <c r="AF27" s="64"/>
      <c r="AG27" s="43">
        <f t="shared" si="0"/>
        <v>0</v>
      </c>
      <c r="AH27" s="44">
        <f t="shared" si="0"/>
        <v>0</v>
      </c>
      <c r="AI27" s="44">
        <f t="shared" si="0"/>
        <v>0</v>
      </c>
      <c r="AJ27" s="45">
        <f t="shared" si="0"/>
        <v>0</v>
      </c>
      <c r="AK27" s="80">
        <f t="shared" si="1"/>
        <v>0</v>
      </c>
      <c r="AL27" s="47">
        <v>1</v>
      </c>
      <c r="AM27" s="48">
        <f t="shared" si="7"/>
        <v>0</v>
      </c>
      <c r="AN27" s="48">
        <f t="shared" si="2"/>
        <v>0</v>
      </c>
      <c r="AO27" s="49">
        <f t="shared" si="8"/>
        <v>0</v>
      </c>
      <c r="AP27" s="49">
        <f t="shared" si="3"/>
        <v>0</v>
      </c>
      <c r="AQ27" s="50">
        <f t="shared" si="9"/>
        <v>0</v>
      </c>
      <c r="AR27" s="81"/>
      <c r="AS27" s="82"/>
      <c r="AT27" s="83"/>
      <c r="AU27" s="84"/>
      <c r="AV27" s="85"/>
      <c r="AW27" s="86"/>
      <c r="AX27" s="86"/>
      <c r="AY27" s="82"/>
      <c r="AZ27" s="87"/>
    </row>
    <row r="28" spans="1:52" ht="16.5" thickBot="1" x14ac:dyDescent="0.3">
      <c r="A28" s="74">
        <v>625</v>
      </c>
      <c r="B28" s="75" t="s">
        <v>43</v>
      </c>
      <c r="C28" s="76">
        <v>117</v>
      </c>
      <c r="D28" s="26">
        <f t="shared" si="4"/>
        <v>39</v>
      </c>
      <c r="E28" s="27">
        <f t="shared" si="5"/>
        <v>39</v>
      </c>
      <c r="F28" s="29">
        <f t="shared" si="6"/>
        <v>39</v>
      </c>
      <c r="G28" s="30"/>
      <c r="H28" s="31"/>
      <c r="I28" s="32"/>
      <c r="J28" s="77"/>
      <c r="K28" s="33"/>
      <c r="L28" s="34"/>
      <c r="M28" s="34"/>
      <c r="N28" s="62"/>
      <c r="O28" s="34"/>
      <c r="P28" s="34"/>
      <c r="Q28" s="34"/>
      <c r="R28" s="62"/>
      <c r="S28" s="37"/>
      <c r="T28" s="34"/>
      <c r="U28" s="34"/>
      <c r="V28" s="62"/>
      <c r="W28" s="38"/>
      <c r="X28" s="31"/>
      <c r="Y28" s="31"/>
      <c r="Z28" s="78"/>
      <c r="AA28" s="37"/>
      <c r="AB28" s="34"/>
      <c r="AC28" s="34"/>
      <c r="AD28" s="64"/>
      <c r="AE28" s="79"/>
      <c r="AF28" s="64"/>
      <c r="AG28" s="43">
        <f t="shared" si="0"/>
        <v>0</v>
      </c>
      <c r="AH28" s="44">
        <f t="shared" si="0"/>
        <v>0</v>
      </c>
      <c r="AI28" s="44">
        <f t="shared" si="0"/>
        <v>0</v>
      </c>
      <c r="AJ28" s="45">
        <f t="shared" si="0"/>
        <v>0</v>
      </c>
      <c r="AK28" s="80">
        <f t="shared" si="1"/>
        <v>0</v>
      </c>
      <c r="AL28" s="66">
        <v>1</v>
      </c>
      <c r="AM28" s="48">
        <f t="shared" si="7"/>
        <v>0</v>
      </c>
      <c r="AN28" s="48">
        <f t="shared" si="2"/>
        <v>0</v>
      </c>
      <c r="AO28" s="49">
        <f t="shared" si="8"/>
        <v>0</v>
      </c>
      <c r="AP28" s="49">
        <f t="shared" si="3"/>
        <v>0</v>
      </c>
      <c r="AQ28" s="50">
        <f t="shared" si="9"/>
        <v>0</v>
      </c>
      <c r="AR28" s="81"/>
      <c r="AS28" s="82"/>
      <c r="AT28" s="83">
        <f>AK28*AS28</f>
        <v>0</v>
      </c>
      <c r="AU28" s="84">
        <f>AK28*AL28</f>
        <v>0</v>
      </c>
      <c r="AV28" s="85">
        <v>0</v>
      </c>
      <c r="AW28" s="86"/>
      <c r="AX28" s="86"/>
      <c r="AY28" s="82"/>
      <c r="AZ28" s="87"/>
    </row>
    <row r="29" spans="1:52" ht="16.5" thickBot="1" x14ac:dyDescent="0.3">
      <c r="A29" s="74">
        <v>625</v>
      </c>
      <c r="B29" s="75" t="s">
        <v>44</v>
      </c>
      <c r="C29" s="76"/>
      <c r="D29" s="26">
        <f t="shared" si="4"/>
        <v>0</v>
      </c>
      <c r="E29" s="27">
        <f t="shared" si="5"/>
        <v>0</v>
      </c>
      <c r="F29" s="29">
        <f t="shared" si="6"/>
        <v>0</v>
      </c>
      <c r="G29" s="30"/>
      <c r="H29" s="31"/>
      <c r="I29" s="32"/>
      <c r="J29" s="77"/>
      <c r="K29" s="33"/>
      <c r="L29" s="34"/>
      <c r="M29" s="34"/>
      <c r="N29" s="62"/>
      <c r="O29" s="34"/>
      <c r="P29" s="34"/>
      <c r="Q29" s="34"/>
      <c r="R29" s="62"/>
      <c r="S29" s="37"/>
      <c r="T29" s="34"/>
      <c r="U29" s="34"/>
      <c r="V29" s="62"/>
      <c r="W29" s="38"/>
      <c r="X29" s="31"/>
      <c r="Y29" s="31"/>
      <c r="Z29" s="78"/>
      <c r="AA29" s="37"/>
      <c r="AB29" s="34"/>
      <c r="AC29" s="34"/>
      <c r="AD29" s="64"/>
      <c r="AE29" s="79"/>
      <c r="AF29" s="64"/>
      <c r="AG29" s="43">
        <f t="shared" si="0"/>
        <v>0</v>
      </c>
      <c r="AH29" s="44">
        <f t="shared" si="0"/>
        <v>0</v>
      </c>
      <c r="AI29" s="44">
        <f t="shared" si="0"/>
        <v>0</v>
      </c>
      <c r="AJ29" s="45">
        <f t="shared" si="0"/>
        <v>0</v>
      </c>
      <c r="AK29" s="80">
        <f t="shared" si="1"/>
        <v>0</v>
      </c>
      <c r="AL29" s="47">
        <v>1</v>
      </c>
      <c r="AM29" s="48">
        <f t="shared" si="7"/>
        <v>0</v>
      </c>
      <c r="AN29" s="48">
        <f t="shared" si="2"/>
        <v>0</v>
      </c>
      <c r="AO29" s="49">
        <f t="shared" si="8"/>
        <v>0</v>
      </c>
      <c r="AP29" s="49">
        <f t="shared" si="3"/>
        <v>0</v>
      </c>
      <c r="AQ29" s="50">
        <f t="shared" si="9"/>
        <v>0</v>
      </c>
      <c r="AR29" s="81"/>
      <c r="AS29" s="82"/>
      <c r="AT29" s="83"/>
      <c r="AU29" s="84"/>
      <c r="AV29" s="85"/>
      <c r="AW29" s="86"/>
      <c r="AX29" s="86"/>
      <c r="AY29" s="82"/>
      <c r="AZ29" s="87"/>
    </row>
    <row r="30" spans="1:52" ht="16.5" thickBot="1" x14ac:dyDescent="0.3">
      <c r="A30" s="74">
        <v>625</v>
      </c>
      <c r="B30" s="75" t="s">
        <v>40</v>
      </c>
      <c r="C30" s="76"/>
      <c r="D30" s="26">
        <f t="shared" si="4"/>
        <v>0</v>
      </c>
      <c r="E30" s="27">
        <f t="shared" si="5"/>
        <v>0</v>
      </c>
      <c r="F30" s="29">
        <f t="shared" si="6"/>
        <v>0</v>
      </c>
      <c r="G30" s="30"/>
      <c r="H30" s="31"/>
      <c r="I30" s="32"/>
      <c r="J30" s="77"/>
      <c r="K30" s="33"/>
      <c r="L30" s="34"/>
      <c r="M30" s="34"/>
      <c r="N30" s="62"/>
      <c r="O30" s="34"/>
      <c r="P30" s="34"/>
      <c r="Q30" s="34"/>
      <c r="R30" s="62"/>
      <c r="S30" s="37"/>
      <c r="T30" s="34"/>
      <c r="U30" s="34"/>
      <c r="V30" s="62"/>
      <c r="W30" s="38"/>
      <c r="X30" s="31"/>
      <c r="Y30" s="31"/>
      <c r="Z30" s="78"/>
      <c r="AA30" s="37"/>
      <c r="AB30" s="34"/>
      <c r="AC30" s="34"/>
      <c r="AD30" s="64"/>
      <c r="AE30" s="79"/>
      <c r="AF30" s="64"/>
      <c r="AG30" s="43">
        <f t="shared" si="0"/>
        <v>0</v>
      </c>
      <c r="AH30" s="44">
        <f t="shared" si="0"/>
        <v>0</v>
      </c>
      <c r="AI30" s="44">
        <f t="shared" si="0"/>
        <v>0</v>
      </c>
      <c r="AJ30" s="45">
        <f t="shared" si="0"/>
        <v>0</v>
      </c>
      <c r="AK30" s="80">
        <f t="shared" si="1"/>
        <v>0</v>
      </c>
      <c r="AL30" s="47">
        <v>1</v>
      </c>
      <c r="AM30" s="48">
        <f t="shared" si="7"/>
        <v>0</v>
      </c>
      <c r="AN30" s="48">
        <f t="shared" si="2"/>
        <v>0</v>
      </c>
      <c r="AO30" s="49">
        <f t="shared" si="8"/>
        <v>0</v>
      </c>
      <c r="AP30" s="49">
        <f t="shared" si="3"/>
        <v>0</v>
      </c>
      <c r="AQ30" s="50">
        <f t="shared" si="9"/>
        <v>0</v>
      </c>
      <c r="AR30" s="81">
        <v>50.64</v>
      </c>
      <c r="AS30" s="82">
        <v>9.36</v>
      </c>
      <c r="AT30" s="83">
        <f t="shared" ref="AT30:AT48" si="13">AK30*AS30</f>
        <v>0</v>
      </c>
      <c r="AU30" s="84">
        <f t="shared" ref="AU30:AU53" si="14">AK30*AL30</f>
        <v>0</v>
      </c>
      <c r="AV30" s="85">
        <v>0</v>
      </c>
      <c r="AW30" s="86"/>
      <c r="AX30" s="86"/>
      <c r="AY30" s="82"/>
      <c r="AZ30" s="87">
        <f t="shared" ref="AZ30:AZ42" si="15">AT30-AU30-AW30-AX30-AY30</f>
        <v>0</v>
      </c>
    </row>
    <row r="31" spans="1:52" ht="16.5" thickBot="1" x14ac:dyDescent="0.3">
      <c r="A31" s="58">
        <v>400</v>
      </c>
      <c r="B31" s="59" t="s">
        <v>25</v>
      </c>
      <c r="C31" s="76"/>
      <c r="D31" s="26">
        <f t="shared" si="4"/>
        <v>0</v>
      </c>
      <c r="E31" s="27">
        <f t="shared" si="5"/>
        <v>0</v>
      </c>
      <c r="F31" s="29">
        <f t="shared" si="6"/>
        <v>0</v>
      </c>
      <c r="G31" s="30"/>
      <c r="H31" s="31"/>
      <c r="I31" s="32"/>
      <c r="J31" s="77"/>
      <c r="K31" s="33"/>
      <c r="L31" s="34"/>
      <c r="M31" s="34"/>
      <c r="N31" s="62"/>
      <c r="O31" s="34"/>
      <c r="P31" s="34"/>
      <c r="Q31" s="34"/>
      <c r="R31" s="62"/>
      <c r="S31" s="37"/>
      <c r="T31" s="34"/>
      <c r="U31" s="34"/>
      <c r="V31" s="62"/>
      <c r="W31" s="38"/>
      <c r="X31" s="31"/>
      <c r="Y31" s="31"/>
      <c r="Z31" s="78"/>
      <c r="AA31" s="37"/>
      <c r="AB31" s="34"/>
      <c r="AC31" s="34"/>
      <c r="AD31" s="64"/>
      <c r="AE31" s="79"/>
      <c r="AF31" s="64"/>
      <c r="AG31" s="43">
        <f t="shared" si="0"/>
        <v>0</v>
      </c>
      <c r="AH31" s="44">
        <f t="shared" si="0"/>
        <v>0</v>
      </c>
      <c r="AI31" s="44">
        <f t="shared" si="0"/>
        <v>0</v>
      </c>
      <c r="AJ31" s="45">
        <f t="shared" si="0"/>
        <v>0</v>
      </c>
      <c r="AK31" s="80">
        <f t="shared" si="1"/>
        <v>0</v>
      </c>
      <c r="AL31" s="66">
        <v>1.3</v>
      </c>
      <c r="AM31" s="48">
        <f t="shared" si="7"/>
        <v>0</v>
      </c>
      <c r="AN31" s="48">
        <f t="shared" si="2"/>
        <v>0</v>
      </c>
      <c r="AO31" s="49">
        <f t="shared" si="8"/>
        <v>0</v>
      </c>
      <c r="AP31" s="49">
        <f t="shared" si="3"/>
        <v>0</v>
      </c>
      <c r="AQ31" s="50">
        <f t="shared" si="9"/>
        <v>0</v>
      </c>
      <c r="AR31" s="81">
        <v>34.479999999999997</v>
      </c>
      <c r="AS31" s="82">
        <v>5.5200000000000031</v>
      </c>
      <c r="AT31" s="83">
        <f t="shared" si="13"/>
        <v>0</v>
      </c>
      <c r="AU31" s="84">
        <f t="shared" si="14"/>
        <v>0</v>
      </c>
      <c r="AV31" s="85">
        <v>0</v>
      </c>
      <c r="AW31" s="86"/>
      <c r="AX31" s="86"/>
      <c r="AY31" s="82"/>
      <c r="AZ31" s="87">
        <f t="shared" si="15"/>
        <v>0</v>
      </c>
    </row>
    <row r="32" spans="1:52" ht="16.5" thickBot="1" x14ac:dyDescent="0.3">
      <c r="A32" s="74">
        <v>400</v>
      </c>
      <c r="B32" s="75" t="s">
        <v>28</v>
      </c>
      <c r="C32" s="76"/>
      <c r="D32" s="26">
        <f t="shared" si="4"/>
        <v>0</v>
      </c>
      <c r="E32" s="27">
        <f t="shared" si="5"/>
        <v>0</v>
      </c>
      <c r="F32" s="29">
        <f t="shared" si="6"/>
        <v>0</v>
      </c>
      <c r="G32" s="30"/>
      <c r="H32" s="31"/>
      <c r="I32" s="32"/>
      <c r="J32" s="77"/>
      <c r="K32" s="33"/>
      <c r="L32" s="34"/>
      <c r="M32" s="34"/>
      <c r="N32" s="62"/>
      <c r="O32" s="34"/>
      <c r="P32" s="34"/>
      <c r="Q32" s="34"/>
      <c r="R32" s="62"/>
      <c r="S32" s="37"/>
      <c r="T32" s="34"/>
      <c r="U32" s="34"/>
      <c r="V32" s="62"/>
      <c r="W32" s="38"/>
      <c r="X32" s="31"/>
      <c r="Y32" s="31"/>
      <c r="Z32" s="78"/>
      <c r="AA32" s="37"/>
      <c r="AB32" s="34"/>
      <c r="AC32" s="34"/>
      <c r="AD32" s="64"/>
      <c r="AE32" s="79"/>
      <c r="AF32" s="64"/>
      <c r="AG32" s="43">
        <f t="shared" si="0"/>
        <v>0</v>
      </c>
      <c r="AH32" s="44">
        <f t="shared" si="0"/>
        <v>0</v>
      </c>
      <c r="AI32" s="44">
        <f t="shared" si="0"/>
        <v>0</v>
      </c>
      <c r="AJ32" s="45">
        <f t="shared" si="0"/>
        <v>0</v>
      </c>
      <c r="AK32" s="80">
        <f t="shared" si="1"/>
        <v>0</v>
      </c>
      <c r="AL32" s="66">
        <v>0.65</v>
      </c>
      <c r="AM32" s="48">
        <f t="shared" si="7"/>
        <v>0</v>
      </c>
      <c r="AN32" s="48">
        <f t="shared" si="2"/>
        <v>0</v>
      </c>
      <c r="AO32" s="49">
        <f t="shared" si="8"/>
        <v>0</v>
      </c>
      <c r="AP32" s="49">
        <f t="shared" si="3"/>
        <v>0</v>
      </c>
      <c r="AQ32" s="50">
        <f t="shared" si="9"/>
        <v>0</v>
      </c>
      <c r="AR32" s="81">
        <v>34.479999999999997</v>
      </c>
      <c r="AS32" s="82">
        <v>5.5200000000000031</v>
      </c>
      <c r="AT32" s="83">
        <f t="shared" si="13"/>
        <v>0</v>
      </c>
      <c r="AU32" s="84">
        <f t="shared" si="14"/>
        <v>0</v>
      </c>
      <c r="AV32" s="85">
        <v>0</v>
      </c>
      <c r="AW32" s="86"/>
      <c r="AX32" s="86"/>
      <c r="AY32" s="82"/>
      <c r="AZ32" s="87">
        <f t="shared" si="15"/>
        <v>0</v>
      </c>
    </row>
    <row r="33" spans="1:52" ht="16.5" thickBot="1" x14ac:dyDescent="0.3">
      <c r="A33" s="74">
        <v>400</v>
      </c>
      <c r="B33" s="75" t="s">
        <v>30</v>
      </c>
      <c r="C33" s="76"/>
      <c r="D33" s="26">
        <f t="shared" si="4"/>
        <v>0</v>
      </c>
      <c r="E33" s="27">
        <f t="shared" si="5"/>
        <v>0</v>
      </c>
      <c r="F33" s="29">
        <f t="shared" si="6"/>
        <v>0</v>
      </c>
      <c r="G33" s="30"/>
      <c r="H33" s="31"/>
      <c r="I33" s="32"/>
      <c r="J33" s="77"/>
      <c r="K33" s="33"/>
      <c r="L33" s="34"/>
      <c r="M33" s="34"/>
      <c r="N33" s="62"/>
      <c r="O33" s="34"/>
      <c r="P33" s="34"/>
      <c r="Q33" s="34"/>
      <c r="R33" s="62"/>
      <c r="S33" s="37"/>
      <c r="T33" s="34"/>
      <c r="U33" s="34"/>
      <c r="V33" s="62"/>
      <c r="W33" s="38"/>
      <c r="X33" s="31"/>
      <c r="Y33" s="31"/>
      <c r="Z33" s="78"/>
      <c r="AA33" s="37"/>
      <c r="AB33" s="34"/>
      <c r="AC33" s="34"/>
      <c r="AD33" s="64"/>
      <c r="AE33" s="79"/>
      <c r="AF33" s="64"/>
      <c r="AG33" s="43">
        <f t="shared" si="0"/>
        <v>0</v>
      </c>
      <c r="AH33" s="44">
        <f t="shared" si="0"/>
        <v>0</v>
      </c>
      <c r="AI33" s="44">
        <f t="shared" si="0"/>
        <v>0</v>
      </c>
      <c r="AJ33" s="45">
        <f t="shared" si="0"/>
        <v>0</v>
      </c>
      <c r="AK33" s="80">
        <f t="shared" si="1"/>
        <v>0</v>
      </c>
      <c r="AL33" s="66">
        <v>0.65</v>
      </c>
      <c r="AM33" s="48">
        <f t="shared" si="7"/>
        <v>0</v>
      </c>
      <c r="AN33" s="48">
        <f t="shared" si="2"/>
        <v>0</v>
      </c>
      <c r="AO33" s="49">
        <f t="shared" si="8"/>
        <v>0</v>
      </c>
      <c r="AP33" s="49">
        <f t="shared" si="3"/>
        <v>0</v>
      </c>
      <c r="AQ33" s="50">
        <f t="shared" si="9"/>
        <v>0</v>
      </c>
      <c r="AR33" s="81">
        <v>34.479999999999997</v>
      </c>
      <c r="AS33" s="82">
        <v>5.5200000000000031</v>
      </c>
      <c r="AT33" s="83">
        <f t="shared" si="13"/>
        <v>0</v>
      </c>
      <c r="AU33" s="84">
        <f t="shared" si="14"/>
        <v>0</v>
      </c>
      <c r="AV33" s="85">
        <v>0</v>
      </c>
      <c r="AW33" s="86"/>
      <c r="AX33" s="86"/>
      <c r="AY33" s="82"/>
      <c r="AZ33" s="87">
        <f t="shared" si="15"/>
        <v>0</v>
      </c>
    </row>
    <row r="34" spans="1:52" ht="16.5" thickBot="1" x14ac:dyDescent="0.3">
      <c r="A34" s="74">
        <v>360</v>
      </c>
      <c r="B34" s="75" t="s">
        <v>45</v>
      </c>
      <c r="C34" s="76"/>
      <c r="D34" s="26">
        <f t="shared" si="4"/>
        <v>0</v>
      </c>
      <c r="E34" s="27">
        <f t="shared" si="5"/>
        <v>0</v>
      </c>
      <c r="F34" s="29">
        <f t="shared" si="6"/>
        <v>0</v>
      </c>
      <c r="G34" s="30"/>
      <c r="H34" s="31"/>
      <c r="I34" s="32"/>
      <c r="J34" s="77"/>
      <c r="K34" s="33"/>
      <c r="L34" s="34"/>
      <c r="M34" s="34"/>
      <c r="N34" s="62"/>
      <c r="O34" s="34"/>
      <c r="P34" s="34"/>
      <c r="Q34" s="34"/>
      <c r="R34" s="62"/>
      <c r="S34" s="37"/>
      <c r="T34" s="34"/>
      <c r="U34" s="34"/>
      <c r="V34" s="62"/>
      <c r="W34" s="38"/>
      <c r="X34" s="31"/>
      <c r="Y34" s="31"/>
      <c r="Z34" s="78"/>
      <c r="AA34" s="37"/>
      <c r="AB34" s="34"/>
      <c r="AC34" s="34"/>
      <c r="AD34" s="64"/>
      <c r="AE34" s="79"/>
      <c r="AF34" s="64"/>
      <c r="AG34" s="43">
        <f t="shared" si="0"/>
        <v>0</v>
      </c>
      <c r="AH34" s="44">
        <f t="shared" si="0"/>
        <v>0</v>
      </c>
      <c r="AI34" s="44">
        <f t="shared" si="0"/>
        <v>0</v>
      </c>
      <c r="AJ34" s="45">
        <f t="shared" si="0"/>
        <v>0</v>
      </c>
      <c r="AK34" s="80">
        <f t="shared" si="1"/>
        <v>0</v>
      </c>
      <c r="AL34" s="66">
        <v>0.65</v>
      </c>
      <c r="AM34" s="48">
        <f t="shared" si="7"/>
        <v>0</v>
      </c>
      <c r="AN34" s="48">
        <f t="shared" si="2"/>
        <v>0</v>
      </c>
      <c r="AO34" s="49">
        <f t="shared" si="8"/>
        <v>0</v>
      </c>
      <c r="AP34" s="49">
        <f t="shared" si="3"/>
        <v>0</v>
      </c>
      <c r="AQ34" s="50">
        <f t="shared" si="9"/>
        <v>0</v>
      </c>
      <c r="AR34" s="81">
        <v>34.479999999999997</v>
      </c>
      <c r="AS34" s="82">
        <v>5.5200000000000031</v>
      </c>
      <c r="AT34" s="83">
        <f t="shared" si="13"/>
        <v>0</v>
      </c>
      <c r="AU34" s="84">
        <f t="shared" si="14"/>
        <v>0</v>
      </c>
      <c r="AV34" s="85">
        <v>0</v>
      </c>
      <c r="AW34" s="86"/>
      <c r="AX34" s="86"/>
      <c r="AY34" s="82"/>
      <c r="AZ34" s="87">
        <f t="shared" si="15"/>
        <v>0</v>
      </c>
    </row>
    <row r="35" spans="1:52" ht="16.5" thickBot="1" x14ac:dyDescent="0.3">
      <c r="A35" s="74">
        <v>360</v>
      </c>
      <c r="B35" s="75" t="s">
        <v>46</v>
      </c>
      <c r="C35" s="76"/>
      <c r="D35" s="26">
        <f t="shared" si="4"/>
        <v>0</v>
      </c>
      <c r="E35" s="27">
        <f t="shared" si="5"/>
        <v>0</v>
      </c>
      <c r="F35" s="29">
        <f t="shared" si="6"/>
        <v>0</v>
      </c>
      <c r="G35" s="30"/>
      <c r="H35" s="31"/>
      <c r="I35" s="32"/>
      <c r="J35" s="77"/>
      <c r="K35" s="33"/>
      <c r="L35" s="34"/>
      <c r="M35" s="34"/>
      <c r="N35" s="62"/>
      <c r="O35" s="34"/>
      <c r="P35" s="34"/>
      <c r="Q35" s="34"/>
      <c r="R35" s="62"/>
      <c r="S35" s="37"/>
      <c r="T35" s="34"/>
      <c r="U35" s="34"/>
      <c r="V35" s="62"/>
      <c r="W35" s="38"/>
      <c r="X35" s="31"/>
      <c r="Y35" s="31"/>
      <c r="Z35" s="78"/>
      <c r="AA35" s="37"/>
      <c r="AB35" s="34"/>
      <c r="AC35" s="34"/>
      <c r="AD35" s="64"/>
      <c r="AE35" s="79"/>
      <c r="AF35" s="64"/>
      <c r="AG35" s="43">
        <f t="shared" si="0"/>
        <v>0</v>
      </c>
      <c r="AH35" s="44">
        <f t="shared" si="0"/>
        <v>0</v>
      </c>
      <c r="AI35" s="44">
        <f t="shared" si="0"/>
        <v>0</v>
      </c>
      <c r="AJ35" s="45">
        <f t="shared" si="0"/>
        <v>0</v>
      </c>
      <c r="AK35" s="80">
        <f t="shared" si="1"/>
        <v>0</v>
      </c>
      <c r="AL35" s="47">
        <v>0.65</v>
      </c>
      <c r="AM35" s="48">
        <f t="shared" si="7"/>
        <v>0</v>
      </c>
      <c r="AN35" s="48">
        <f t="shared" si="2"/>
        <v>0</v>
      </c>
      <c r="AO35" s="49">
        <f t="shared" si="8"/>
        <v>0</v>
      </c>
      <c r="AP35" s="49">
        <f t="shared" si="3"/>
        <v>0</v>
      </c>
      <c r="AQ35" s="50">
        <f t="shared" si="9"/>
        <v>0</v>
      </c>
      <c r="AR35" s="81">
        <v>34.479999999999997</v>
      </c>
      <c r="AS35" s="82">
        <v>5.5200000000000031</v>
      </c>
      <c r="AT35" s="83">
        <f t="shared" si="13"/>
        <v>0</v>
      </c>
      <c r="AU35" s="84">
        <f t="shared" si="14"/>
        <v>0</v>
      </c>
      <c r="AV35" s="85">
        <v>0</v>
      </c>
      <c r="AW35" s="86"/>
      <c r="AX35" s="86"/>
      <c r="AY35" s="82"/>
      <c r="AZ35" s="87">
        <f t="shared" si="15"/>
        <v>0</v>
      </c>
    </row>
    <row r="36" spans="1:52" ht="16.5" thickBot="1" x14ac:dyDescent="0.3">
      <c r="A36" s="74">
        <v>400</v>
      </c>
      <c r="B36" s="75" t="s">
        <v>47</v>
      </c>
      <c r="C36" s="76"/>
      <c r="D36" s="26">
        <f t="shared" si="4"/>
        <v>0</v>
      </c>
      <c r="E36" s="27">
        <f t="shared" si="5"/>
        <v>0</v>
      </c>
      <c r="F36" s="29">
        <f t="shared" si="6"/>
        <v>0</v>
      </c>
      <c r="G36" s="30"/>
      <c r="H36" s="31"/>
      <c r="I36" s="32"/>
      <c r="J36" s="77"/>
      <c r="K36" s="33"/>
      <c r="L36" s="34"/>
      <c r="M36" s="34"/>
      <c r="N36" s="62"/>
      <c r="O36" s="34"/>
      <c r="P36" s="34"/>
      <c r="Q36" s="34"/>
      <c r="R36" s="62"/>
      <c r="S36" s="37"/>
      <c r="T36" s="34"/>
      <c r="U36" s="34"/>
      <c r="V36" s="62"/>
      <c r="W36" s="38"/>
      <c r="X36" s="31"/>
      <c r="Y36" s="31"/>
      <c r="Z36" s="78"/>
      <c r="AA36" s="37"/>
      <c r="AB36" s="34"/>
      <c r="AC36" s="34"/>
      <c r="AD36" s="64"/>
      <c r="AE36" s="79"/>
      <c r="AF36" s="64"/>
      <c r="AG36" s="43">
        <f t="shared" ref="AG36:AJ99" si="16">G36+K36+O36+S36+W36+AA36</f>
        <v>0</v>
      </c>
      <c r="AH36" s="44">
        <f t="shared" si="16"/>
        <v>0</v>
      </c>
      <c r="AI36" s="44">
        <f t="shared" si="16"/>
        <v>0</v>
      </c>
      <c r="AJ36" s="45">
        <f t="shared" si="16"/>
        <v>0</v>
      </c>
      <c r="AK36" s="80">
        <f t="shared" si="1"/>
        <v>0</v>
      </c>
      <c r="AL36" s="47">
        <v>0.75</v>
      </c>
      <c r="AM36" s="48">
        <f t="shared" si="7"/>
        <v>0</v>
      </c>
      <c r="AN36" s="48">
        <f t="shared" si="2"/>
        <v>0</v>
      </c>
      <c r="AO36" s="49">
        <f t="shared" si="8"/>
        <v>0</v>
      </c>
      <c r="AP36" s="49">
        <f t="shared" si="3"/>
        <v>0</v>
      </c>
      <c r="AQ36" s="50">
        <f t="shared" si="9"/>
        <v>0</v>
      </c>
      <c r="AR36" s="81">
        <v>34.479999999999997</v>
      </c>
      <c r="AS36" s="82">
        <v>5.5200000000000031</v>
      </c>
      <c r="AT36" s="83">
        <f t="shared" si="13"/>
        <v>0</v>
      </c>
      <c r="AU36" s="84">
        <f t="shared" si="14"/>
        <v>0</v>
      </c>
      <c r="AV36" s="85">
        <v>0</v>
      </c>
      <c r="AW36" s="86"/>
      <c r="AX36" s="86"/>
      <c r="AY36" s="82"/>
      <c r="AZ36" s="87">
        <f t="shared" si="15"/>
        <v>0</v>
      </c>
    </row>
    <row r="37" spans="1:52" ht="16.5" thickBot="1" x14ac:dyDescent="0.3">
      <c r="A37" s="74">
        <v>400</v>
      </c>
      <c r="B37" s="75" t="s">
        <v>34</v>
      </c>
      <c r="C37" s="76">
        <v>516</v>
      </c>
      <c r="D37" s="26">
        <f t="shared" si="4"/>
        <v>172</v>
      </c>
      <c r="E37" s="27">
        <f t="shared" si="5"/>
        <v>172</v>
      </c>
      <c r="F37" s="29">
        <f t="shared" si="6"/>
        <v>172</v>
      </c>
      <c r="G37" s="30"/>
      <c r="H37" s="31"/>
      <c r="I37" s="32"/>
      <c r="J37" s="77"/>
      <c r="K37" s="33"/>
      <c r="L37" s="34"/>
      <c r="M37" s="34"/>
      <c r="N37" s="62"/>
      <c r="O37" s="34"/>
      <c r="P37" s="34"/>
      <c r="Q37" s="34"/>
      <c r="R37" s="62"/>
      <c r="S37" s="37"/>
      <c r="T37" s="34"/>
      <c r="U37" s="34"/>
      <c r="V37" s="62"/>
      <c r="W37" s="38"/>
      <c r="X37" s="31"/>
      <c r="Y37" s="31"/>
      <c r="Z37" s="78"/>
      <c r="AA37" s="37"/>
      <c r="AB37" s="34"/>
      <c r="AC37" s="34"/>
      <c r="AD37" s="64"/>
      <c r="AE37" s="79"/>
      <c r="AF37" s="64"/>
      <c r="AG37" s="43">
        <f t="shared" si="16"/>
        <v>0</v>
      </c>
      <c r="AH37" s="44">
        <f t="shared" si="16"/>
        <v>0</v>
      </c>
      <c r="AI37" s="44">
        <f t="shared" si="16"/>
        <v>0</v>
      </c>
      <c r="AJ37" s="45">
        <f t="shared" si="16"/>
        <v>0</v>
      </c>
      <c r="AK37" s="80">
        <f t="shared" si="1"/>
        <v>0</v>
      </c>
      <c r="AL37" s="66">
        <v>0.65</v>
      </c>
      <c r="AM37" s="48">
        <f t="shared" si="7"/>
        <v>0</v>
      </c>
      <c r="AN37" s="48">
        <f t="shared" si="2"/>
        <v>0</v>
      </c>
      <c r="AO37" s="49">
        <f t="shared" si="8"/>
        <v>0</v>
      </c>
      <c r="AP37" s="49">
        <f t="shared" si="3"/>
        <v>0</v>
      </c>
      <c r="AQ37" s="50">
        <f t="shared" si="9"/>
        <v>0</v>
      </c>
      <c r="AR37" s="81">
        <v>34.44</v>
      </c>
      <c r="AS37" s="82">
        <v>5.5600000000000023</v>
      </c>
      <c r="AT37" s="83">
        <f t="shared" si="13"/>
        <v>0</v>
      </c>
      <c r="AU37" s="84">
        <f t="shared" si="14"/>
        <v>0</v>
      </c>
      <c r="AV37" s="85">
        <v>0</v>
      </c>
      <c r="AW37" s="86"/>
      <c r="AX37" s="86"/>
      <c r="AY37" s="82"/>
      <c r="AZ37" s="87">
        <f t="shared" si="15"/>
        <v>0</v>
      </c>
    </row>
    <row r="38" spans="1:52" ht="16.5" thickBot="1" x14ac:dyDescent="0.3">
      <c r="A38" s="74">
        <v>400</v>
      </c>
      <c r="B38" s="75" t="s">
        <v>27</v>
      </c>
      <c r="C38" s="76">
        <v>770</v>
      </c>
      <c r="D38" s="26">
        <f t="shared" si="4"/>
        <v>256.66666666666669</v>
      </c>
      <c r="E38" s="27">
        <f t="shared" si="5"/>
        <v>256.66666666666669</v>
      </c>
      <c r="F38" s="29">
        <f t="shared" si="6"/>
        <v>256.66666666666669</v>
      </c>
      <c r="G38" s="30"/>
      <c r="H38" s="31"/>
      <c r="I38" s="32"/>
      <c r="J38" s="77"/>
      <c r="K38" s="33"/>
      <c r="L38" s="34"/>
      <c r="M38" s="34"/>
      <c r="N38" s="62"/>
      <c r="O38" s="34"/>
      <c r="P38" s="34"/>
      <c r="Q38" s="34"/>
      <c r="R38" s="62"/>
      <c r="S38" s="37"/>
      <c r="T38" s="34"/>
      <c r="U38" s="34"/>
      <c r="V38" s="62"/>
      <c r="W38" s="38"/>
      <c r="X38" s="31"/>
      <c r="Y38" s="31"/>
      <c r="Z38" s="78"/>
      <c r="AA38" s="37"/>
      <c r="AB38" s="34"/>
      <c r="AC38" s="34"/>
      <c r="AD38" s="64"/>
      <c r="AE38" s="79"/>
      <c r="AF38" s="64"/>
      <c r="AG38" s="43">
        <f t="shared" si="16"/>
        <v>0</v>
      </c>
      <c r="AH38" s="44">
        <f t="shared" si="16"/>
        <v>0</v>
      </c>
      <c r="AI38" s="44">
        <f t="shared" si="16"/>
        <v>0</v>
      </c>
      <c r="AJ38" s="45">
        <f t="shared" si="16"/>
        <v>0</v>
      </c>
      <c r="AK38" s="80">
        <f t="shared" si="1"/>
        <v>0</v>
      </c>
      <c r="AL38" s="66">
        <v>0.65</v>
      </c>
      <c r="AM38" s="48">
        <f t="shared" si="7"/>
        <v>0</v>
      </c>
      <c r="AN38" s="48">
        <f t="shared" si="2"/>
        <v>0</v>
      </c>
      <c r="AO38" s="49">
        <f t="shared" si="8"/>
        <v>0</v>
      </c>
      <c r="AP38" s="49">
        <f t="shared" si="3"/>
        <v>0</v>
      </c>
      <c r="AQ38" s="50">
        <f t="shared" si="9"/>
        <v>0</v>
      </c>
      <c r="AR38" s="81">
        <v>34.479999999999997</v>
      </c>
      <c r="AS38" s="82">
        <v>5.5200000000000031</v>
      </c>
      <c r="AT38" s="83">
        <f t="shared" si="13"/>
        <v>0</v>
      </c>
      <c r="AU38" s="84">
        <f t="shared" si="14"/>
        <v>0</v>
      </c>
      <c r="AV38" s="85">
        <v>0</v>
      </c>
      <c r="AW38" s="86"/>
      <c r="AX38" s="86"/>
      <c r="AY38" s="82"/>
      <c r="AZ38" s="87">
        <f t="shared" si="15"/>
        <v>0</v>
      </c>
    </row>
    <row r="39" spans="1:52" ht="16.5" thickBot="1" x14ac:dyDescent="0.3">
      <c r="A39" s="74">
        <v>400</v>
      </c>
      <c r="B39" s="75" t="s">
        <v>40</v>
      </c>
      <c r="C39" s="76"/>
      <c r="D39" s="26">
        <f t="shared" si="4"/>
        <v>0</v>
      </c>
      <c r="E39" s="27">
        <f t="shared" si="5"/>
        <v>0</v>
      </c>
      <c r="F39" s="29">
        <f t="shared" si="6"/>
        <v>0</v>
      </c>
      <c r="G39" s="30"/>
      <c r="H39" s="31"/>
      <c r="I39" s="32"/>
      <c r="J39" s="77"/>
      <c r="K39" s="33"/>
      <c r="L39" s="34"/>
      <c r="M39" s="34"/>
      <c r="N39" s="62"/>
      <c r="O39" s="34"/>
      <c r="P39" s="34"/>
      <c r="Q39" s="34"/>
      <c r="R39" s="62"/>
      <c r="S39" s="37"/>
      <c r="T39" s="34"/>
      <c r="U39" s="34"/>
      <c r="V39" s="62"/>
      <c r="W39" s="38"/>
      <c r="X39" s="31"/>
      <c r="Y39" s="31"/>
      <c r="Z39" s="78"/>
      <c r="AA39" s="37"/>
      <c r="AB39" s="34"/>
      <c r="AC39" s="34"/>
      <c r="AD39" s="64"/>
      <c r="AE39" s="79"/>
      <c r="AF39" s="64"/>
      <c r="AG39" s="43">
        <f t="shared" si="16"/>
        <v>0</v>
      </c>
      <c r="AH39" s="44">
        <f t="shared" si="16"/>
        <v>0</v>
      </c>
      <c r="AI39" s="44">
        <f t="shared" si="16"/>
        <v>0</v>
      </c>
      <c r="AJ39" s="45">
        <f t="shared" si="16"/>
        <v>0</v>
      </c>
      <c r="AK39" s="80">
        <f t="shared" si="1"/>
        <v>0</v>
      </c>
      <c r="AL39" s="47">
        <v>0.75</v>
      </c>
      <c r="AM39" s="48">
        <f t="shared" si="7"/>
        <v>0</v>
      </c>
      <c r="AN39" s="48">
        <f t="shared" si="2"/>
        <v>0</v>
      </c>
      <c r="AO39" s="49">
        <f t="shared" si="8"/>
        <v>0</v>
      </c>
      <c r="AP39" s="49">
        <f t="shared" si="3"/>
        <v>0</v>
      </c>
      <c r="AQ39" s="50">
        <f t="shared" si="9"/>
        <v>0</v>
      </c>
      <c r="AR39" s="81">
        <v>34.520000000000003</v>
      </c>
      <c r="AS39" s="82">
        <v>5.4799999999999969</v>
      </c>
      <c r="AT39" s="83">
        <f t="shared" si="13"/>
        <v>0</v>
      </c>
      <c r="AU39" s="84">
        <f t="shared" si="14"/>
        <v>0</v>
      </c>
      <c r="AV39" s="85">
        <v>0</v>
      </c>
      <c r="AW39" s="86"/>
      <c r="AX39" s="86"/>
      <c r="AY39" s="82"/>
      <c r="AZ39" s="87">
        <f t="shared" si="15"/>
        <v>0</v>
      </c>
    </row>
    <row r="40" spans="1:52" ht="16.5" thickBot="1" x14ac:dyDescent="0.3">
      <c r="A40" s="74">
        <v>400</v>
      </c>
      <c r="B40" s="75" t="s">
        <v>48</v>
      </c>
      <c r="C40" s="76"/>
      <c r="D40" s="26">
        <f t="shared" si="4"/>
        <v>0</v>
      </c>
      <c r="E40" s="27">
        <f t="shared" si="5"/>
        <v>0</v>
      </c>
      <c r="F40" s="29">
        <f t="shared" si="6"/>
        <v>0</v>
      </c>
      <c r="G40" s="30"/>
      <c r="H40" s="31"/>
      <c r="I40" s="32"/>
      <c r="J40" s="77"/>
      <c r="K40" s="33"/>
      <c r="L40" s="34"/>
      <c r="M40" s="34"/>
      <c r="N40" s="62"/>
      <c r="O40" s="34"/>
      <c r="P40" s="34"/>
      <c r="Q40" s="34"/>
      <c r="R40" s="62"/>
      <c r="S40" s="37"/>
      <c r="T40" s="34"/>
      <c r="U40" s="34"/>
      <c r="V40" s="62"/>
      <c r="W40" s="38"/>
      <c r="X40" s="31"/>
      <c r="Y40" s="31"/>
      <c r="Z40" s="78"/>
      <c r="AA40" s="37"/>
      <c r="AB40" s="34"/>
      <c r="AC40" s="34"/>
      <c r="AD40" s="64"/>
      <c r="AE40" s="79"/>
      <c r="AF40" s="64"/>
      <c r="AG40" s="43">
        <f t="shared" si="16"/>
        <v>0</v>
      </c>
      <c r="AH40" s="44">
        <f t="shared" si="16"/>
        <v>0</v>
      </c>
      <c r="AI40" s="44">
        <f t="shared" si="16"/>
        <v>0</v>
      </c>
      <c r="AJ40" s="45">
        <f t="shared" si="16"/>
        <v>0</v>
      </c>
      <c r="AK40" s="80">
        <f t="shared" si="1"/>
        <v>0</v>
      </c>
      <c r="AL40" s="47">
        <v>0.75</v>
      </c>
      <c r="AM40" s="48">
        <f t="shared" si="7"/>
        <v>0</v>
      </c>
      <c r="AN40" s="48">
        <f t="shared" si="2"/>
        <v>0</v>
      </c>
      <c r="AO40" s="49">
        <f t="shared" si="8"/>
        <v>0</v>
      </c>
      <c r="AP40" s="49">
        <f t="shared" si="3"/>
        <v>0</v>
      </c>
      <c r="AQ40" s="50">
        <f t="shared" si="9"/>
        <v>0</v>
      </c>
      <c r="AR40" s="81">
        <v>34.520000000000003</v>
      </c>
      <c r="AS40" s="82">
        <v>5.4799999999999969</v>
      </c>
      <c r="AT40" s="83">
        <f t="shared" si="13"/>
        <v>0</v>
      </c>
      <c r="AU40" s="84">
        <f t="shared" si="14"/>
        <v>0</v>
      </c>
      <c r="AV40" s="85">
        <v>0</v>
      </c>
      <c r="AW40" s="86"/>
      <c r="AX40" s="86"/>
      <c r="AY40" s="82"/>
      <c r="AZ40" s="87">
        <f t="shared" si="15"/>
        <v>0</v>
      </c>
    </row>
    <row r="41" spans="1:52" ht="16.5" thickBot="1" x14ac:dyDescent="0.3">
      <c r="A41" s="74">
        <v>400</v>
      </c>
      <c r="B41" s="75" t="s">
        <v>49</v>
      </c>
      <c r="C41" s="76"/>
      <c r="D41" s="26">
        <f t="shared" si="4"/>
        <v>0</v>
      </c>
      <c r="E41" s="27">
        <f t="shared" si="5"/>
        <v>0</v>
      </c>
      <c r="F41" s="29">
        <f t="shared" si="6"/>
        <v>0</v>
      </c>
      <c r="G41" s="30"/>
      <c r="H41" s="31"/>
      <c r="I41" s="32"/>
      <c r="J41" s="77"/>
      <c r="K41" s="33"/>
      <c r="L41" s="34"/>
      <c r="M41" s="34"/>
      <c r="N41" s="62"/>
      <c r="O41" s="34"/>
      <c r="P41" s="34"/>
      <c r="Q41" s="34"/>
      <c r="R41" s="62"/>
      <c r="S41" s="37"/>
      <c r="T41" s="34"/>
      <c r="U41" s="34"/>
      <c r="V41" s="62"/>
      <c r="W41" s="38"/>
      <c r="X41" s="31"/>
      <c r="Y41" s="31"/>
      <c r="Z41" s="78"/>
      <c r="AA41" s="37"/>
      <c r="AB41" s="34"/>
      <c r="AC41" s="34"/>
      <c r="AD41" s="64"/>
      <c r="AE41" s="79"/>
      <c r="AF41" s="64"/>
      <c r="AG41" s="43">
        <f t="shared" si="16"/>
        <v>0</v>
      </c>
      <c r="AH41" s="44">
        <f t="shared" si="16"/>
        <v>0</v>
      </c>
      <c r="AI41" s="44">
        <f t="shared" si="16"/>
        <v>0</v>
      </c>
      <c r="AJ41" s="45">
        <f t="shared" si="16"/>
        <v>0</v>
      </c>
      <c r="AK41" s="80">
        <f t="shared" si="1"/>
        <v>0</v>
      </c>
      <c r="AL41" s="47">
        <v>0.75</v>
      </c>
      <c r="AM41" s="48">
        <f t="shared" si="7"/>
        <v>0</v>
      </c>
      <c r="AN41" s="48">
        <f t="shared" si="2"/>
        <v>0</v>
      </c>
      <c r="AO41" s="49">
        <f t="shared" si="8"/>
        <v>0</v>
      </c>
      <c r="AP41" s="49">
        <f t="shared" si="3"/>
        <v>0</v>
      </c>
      <c r="AQ41" s="50">
        <f t="shared" si="9"/>
        <v>0</v>
      </c>
      <c r="AR41" s="81">
        <v>34.479999999999997</v>
      </c>
      <c r="AS41" s="82">
        <v>5.5200000000000031</v>
      </c>
      <c r="AT41" s="83">
        <f t="shared" si="13"/>
        <v>0</v>
      </c>
      <c r="AU41" s="84">
        <f t="shared" si="14"/>
        <v>0</v>
      </c>
      <c r="AV41" s="85">
        <v>0</v>
      </c>
      <c r="AW41" s="86"/>
      <c r="AX41" s="86"/>
      <c r="AY41" s="82"/>
      <c r="AZ41" s="87">
        <f t="shared" si="15"/>
        <v>0</v>
      </c>
    </row>
    <row r="42" spans="1:52" ht="16.5" thickBot="1" x14ac:dyDescent="0.3">
      <c r="A42" s="74">
        <v>375</v>
      </c>
      <c r="B42" s="75" t="s">
        <v>50</v>
      </c>
      <c r="C42" s="76"/>
      <c r="D42" s="26">
        <f t="shared" si="4"/>
        <v>0</v>
      </c>
      <c r="E42" s="27">
        <f t="shared" si="5"/>
        <v>0</v>
      </c>
      <c r="F42" s="29">
        <f t="shared" si="6"/>
        <v>0</v>
      </c>
      <c r="G42" s="30"/>
      <c r="H42" s="31"/>
      <c r="I42" s="32"/>
      <c r="J42" s="77"/>
      <c r="K42" s="33"/>
      <c r="L42" s="34"/>
      <c r="M42" s="34"/>
      <c r="N42" s="62"/>
      <c r="O42" s="34"/>
      <c r="P42" s="34"/>
      <c r="Q42" s="34"/>
      <c r="R42" s="62"/>
      <c r="S42" s="37"/>
      <c r="T42" s="34"/>
      <c r="U42" s="34"/>
      <c r="V42" s="62"/>
      <c r="W42" s="38"/>
      <c r="X42" s="31"/>
      <c r="Y42" s="31"/>
      <c r="Z42" s="78"/>
      <c r="AA42" s="37"/>
      <c r="AB42" s="34"/>
      <c r="AC42" s="34"/>
      <c r="AD42" s="64"/>
      <c r="AE42" s="79"/>
      <c r="AF42" s="64"/>
      <c r="AG42" s="43">
        <f t="shared" si="16"/>
        <v>0</v>
      </c>
      <c r="AH42" s="44">
        <f t="shared" si="16"/>
        <v>0</v>
      </c>
      <c r="AI42" s="44">
        <f t="shared" si="16"/>
        <v>0</v>
      </c>
      <c r="AJ42" s="45">
        <f t="shared" si="16"/>
        <v>0</v>
      </c>
      <c r="AK42" s="80">
        <f t="shared" si="1"/>
        <v>0</v>
      </c>
      <c r="AL42" s="47">
        <v>0.75</v>
      </c>
      <c r="AM42" s="48">
        <f t="shared" si="7"/>
        <v>0</v>
      </c>
      <c r="AN42" s="48">
        <f t="shared" si="2"/>
        <v>0</v>
      </c>
      <c r="AO42" s="49">
        <f t="shared" si="8"/>
        <v>0</v>
      </c>
      <c r="AP42" s="49">
        <f t="shared" si="3"/>
        <v>0</v>
      </c>
      <c r="AQ42" s="50">
        <f t="shared" si="9"/>
        <v>0</v>
      </c>
      <c r="AR42" s="81">
        <v>34.520000000000003</v>
      </c>
      <c r="AS42" s="82">
        <v>5.4799999999999969</v>
      </c>
      <c r="AT42" s="83">
        <f t="shared" si="13"/>
        <v>0</v>
      </c>
      <c r="AU42" s="84">
        <f t="shared" si="14"/>
        <v>0</v>
      </c>
      <c r="AV42" s="85">
        <v>0</v>
      </c>
      <c r="AW42" s="86"/>
      <c r="AX42" s="86"/>
      <c r="AY42" s="82"/>
      <c r="AZ42" s="87">
        <f t="shared" si="15"/>
        <v>0</v>
      </c>
    </row>
    <row r="43" spans="1:52" ht="16.5" thickBot="1" x14ac:dyDescent="0.3">
      <c r="A43" s="74">
        <v>355</v>
      </c>
      <c r="B43" s="75" t="s">
        <v>51</v>
      </c>
      <c r="C43" s="76">
        <v>20</v>
      </c>
      <c r="D43" s="26">
        <f t="shared" si="4"/>
        <v>6.666666666666667</v>
      </c>
      <c r="E43" s="27">
        <f t="shared" si="5"/>
        <v>6.666666666666667</v>
      </c>
      <c r="F43" s="29">
        <f t="shared" si="6"/>
        <v>6.666666666666667</v>
      </c>
      <c r="G43" s="30"/>
      <c r="H43" s="31"/>
      <c r="I43" s="32"/>
      <c r="J43" s="77"/>
      <c r="K43" s="33"/>
      <c r="L43" s="34"/>
      <c r="M43" s="34"/>
      <c r="N43" s="62"/>
      <c r="O43" s="34"/>
      <c r="P43" s="34"/>
      <c r="Q43" s="34"/>
      <c r="R43" s="62"/>
      <c r="S43" s="37"/>
      <c r="T43" s="34"/>
      <c r="U43" s="34"/>
      <c r="V43" s="62"/>
      <c r="W43" s="38"/>
      <c r="X43" s="31"/>
      <c r="Y43" s="31"/>
      <c r="Z43" s="78"/>
      <c r="AA43" s="37"/>
      <c r="AB43" s="34"/>
      <c r="AC43" s="34"/>
      <c r="AD43" s="64"/>
      <c r="AE43" s="79"/>
      <c r="AF43" s="64"/>
      <c r="AG43" s="43">
        <f t="shared" si="16"/>
        <v>0</v>
      </c>
      <c r="AH43" s="44">
        <f t="shared" si="16"/>
        <v>0</v>
      </c>
      <c r="AI43" s="44">
        <f t="shared" si="16"/>
        <v>0</v>
      </c>
      <c r="AJ43" s="45">
        <f t="shared" si="16"/>
        <v>0</v>
      </c>
      <c r="AK43" s="80">
        <f t="shared" si="1"/>
        <v>0</v>
      </c>
      <c r="AL43" s="47">
        <v>0.5</v>
      </c>
      <c r="AM43" s="48">
        <f t="shared" si="7"/>
        <v>0</v>
      </c>
      <c r="AN43" s="48">
        <f t="shared" si="2"/>
        <v>0</v>
      </c>
      <c r="AO43" s="49">
        <f t="shared" si="8"/>
        <v>0</v>
      </c>
      <c r="AP43" s="49">
        <f t="shared" si="3"/>
        <v>0</v>
      </c>
      <c r="AQ43" s="50">
        <f t="shared" si="9"/>
        <v>0</v>
      </c>
      <c r="AR43" s="81"/>
      <c r="AS43" s="82"/>
      <c r="AT43" s="83">
        <f t="shared" si="13"/>
        <v>0</v>
      </c>
      <c r="AU43" s="84">
        <f t="shared" si="14"/>
        <v>0</v>
      </c>
      <c r="AV43" s="85"/>
      <c r="AW43" s="86"/>
      <c r="AX43" s="86"/>
      <c r="AY43" s="82"/>
      <c r="AZ43" s="87"/>
    </row>
    <row r="44" spans="1:52" ht="16.5" thickBot="1" x14ac:dyDescent="0.3">
      <c r="A44" s="74">
        <v>300</v>
      </c>
      <c r="B44" s="75" t="s">
        <v>52</v>
      </c>
      <c r="C44" s="76">
        <v>147</v>
      </c>
      <c r="D44" s="26">
        <f t="shared" si="4"/>
        <v>49</v>
      </c>
      <c r="E44" s="27">
        <f t="shared" si="5"/>
        <v>49</v>
      </c>
      <c r="F44" s="29">
        <f t="shared" si="6"/>
        <v>49</v>
      </c>
      <c r="G44" s="30"/>
      <c r="H44" s="31"/>
      <c r="I44" s="32"/>
      <c r="J44" s="77"/>
      <c r="K44" s="33"/>
      <c r="L44" s="34"/>
      <c r="M44" s="34"/>
      <c r="N44" s="62"/>
      <c r="O44" s="34"/>
      <c r="P44" s="34"/>
      <c r="Q44" s="34"/>
      <c r="R44" s="62"/>
      <c r="S44" s="37"/>
      <c r="T44" s="34"/>
      <c r="U44" s="34"/>
      <c r="V44" s="62"/>
      <c r="W44" s="38"/>
      <c r="X44" s="31"/>
      <c r="Y44" s="31"/>
      <c r="Z44" s="78"/>
      <c r="AA44" s="37"/>
      <c r="AB44" s="34"/>
      <c r="AC44" s="34"/>
      <c r="AD44" s="64"/>
      <c r="AE44" s="79"/>
      <c r="AF44" s="64"/>
      <c r="AG44" s="43">
        <f t="shared" si="16"/>
        <v>0</v>
      </c>
      <c r="AH44" s="44">
        <f t="shared" si="16"/>
        <v>0</v>
      </c>
      <c r="AI44" s="44">
        <f t="shared" si="16"/>
        <v>0</v>
      </c>
      <c r="AJ44" s="45">
        <f t="shared" si="16"/>
        <v>0</v>
      </c>
      <c r="AK44" s="80">
        <f t="shared" si="1"/>
        <v>0</v>
      </c>
      <c r="AL44" s="47">
        <v>1</v>
      </c>
      <c r="AM44" s="48">
        <f t="shared" si="7"/>
        <v>0</v>
      </c>
      <c r="AN44" s="48">
        <f t="shared" si="2"/>
        <v>0</v>
      </c>
      <c r="AO44" s="49">
        <f t="shared" si="8"/>
        <v>0</v>
      </c>
      <c r="AP44" s="49">
        <f t="shared" si="3"/>
        <v>0</v>
      </c>
      <c r="AQ44" s="50">
        <f t="shared" si="9"/>
        <v>0</v>
      </c>
      <c r="AR44" s="81">
        <v>51.9</v>
      </c>
      <c r="AS44" s="82">
        <v>8.1000000000000014</v>
      </c>
      <c r="AT44" s="83">
        <f t="shared" si="13"/>
        <v>0</v>
      </c>
      <c r="AU44" s="84">
        <f t="shared" si="14"/>
        <v>0</v>
      </c>
      <c r="AV44" s="85">
        <v>0</v>
      </c>
      <c r="AW44" s="86"/>
      <c r="AX44" s="86"/>
      <c r="AY44" s="82"/>
      <c r="AZ44" s="87">
        <f>AT44-AU44-AW44-AX44-AY44</f>
        <v>0</v>
      </c>
    </row>
    <row r="45" spans="1:52" ht="16.5" thickBot="1" x14ac:dyDescent="0.3">
      <c r="A45" s="74">
        <v>355</v>
      </c>
      <c r="B45" s="75" t="s">
        <v>53</v>
      </c>
      <c r="C45" s="76"/>
      <c r="D45" s="26">
        <f t="shared" si="4"/>
        <v>0</v>
      </c>
      <c r="E45" s="27">
        <f t="shared" si="5"/>
        <v>0</v>
      </c>
      <c r="F45" s="29">
        <f t="shared" si="6"/>
        <v>0</v>
      </c>
      <c r="G45" s="30"/>
      <c r="H45" s="31"/>
      <c r="I45" s="32"/>
      <c r="J45" s="77"/>
      <c r="K45" s="33"/>
      <c r="L45" s="34"/>
      <c r="M45" s="34"/>
      <c r="N45" s="62"/>
      <c r="O45" s="34"/>
      <c r="P45" s="34"/>
      <c r="Q45" s="34"/>
      <c r="R45" s="62"/>
      <c r="S45" s="37"/>
      <c r="T45" s="34"/>
      <c r="U45" s="34"/>
      <c r="V45" s="62"/>
      <c r="W45" s="38"/>
      <c r="X45" s="31"/>
      <c r="Y45" s="31"/>
      <c r="Z45" s="78"/>
      <c r="AA45" s="37"/>
      <c r="AB45" s="34"/>
      <c r="AC45" s="34"/>
      <c r="AD45" s="64"/>
      <c r="AE45" s="79"/>
      <c r="AF45" s="64"/>
      <c r="AG45" s="43">
        <f t="shared" si="16"/>
        <v>0</v>
      </c>
      <c r="AH45" s="44">
        <f t="shared" si="16"/>
        <v>0</v>
      </c>
      <c r="AI45" s="44">
        <f t="shared" si="16"/>
        <v>0</v>
      </c>
      <c r="AJ45" s="45">
        <f t="shared" si="16"/>
        <v>0</v>
      </c>
      <c r="AK45" s="80">
        <f t="shared" si="1"/>
        <v>0</v>
      </c>
      <c r="AL45" s="47">
        <v>0.5</v>
      </c>
      <c r="AM45" s="48">
        <f t="shared" si="7"/>
        <v>0</v>
      </c>
      <c r="AN45" s="48">
        <f t="shared" si="2"/>
        <v>0</v>
      </c>
      <c r="AO45" s="49">
        <f t="shared" si="8"/>
        <v>0</v>
      </c>
      <c r="AP45" s="49">
        <f t="shared" si="3"/>
        <v>0</v>
      </c>
      <c r="AQ45" s="50">
        <f t="shared" si="9"/>
        <v>0</v>
      </c>
      <c r="AR45" s="81">
        <v>15.36</v>
      </c>
      <c r="AS45" s="82">
        <v>2.14</v>
      </c>
      <c r="AT45" s="83">
        <f t="shared" si="13"/>
        <v>0</v>
      </c>
      <c r="AU45" s="84">
        <f t="shared" si="14"/>
        <v>0</v>
      </c>
      <c r="AV45" s="85"/>
      <c r="AW45" s="86"/>
      <c r="AX45" s="86"/>
      <c r="AY45" s="82"/>
      <c r="AZ45" s="87"/>
    </row>
    <row r="46" spans="1:52" ht="16.5" thickBot="1" x14ac:dyDescent="0.3">
      <c r="A46" s="74">
        <v>355</v>
      </c>
      <c r="B46" s="75" t="s">
        <v>54</v>
      </c>
      <c r="C46" s="76"/>
      <c r="D46" s="26">
        <f t="shared" si="4"/>
        <v>0</v>
      </c>
      <c r="E46" s="27">
        <f t="shared" si="5"/>
        <v>0</v>
      </c>
      <c r="F46" s="29">
        <f t="shared" si="6"/>
        <v>0</v>
      </c>
      <c r="G46" s="30"/>
      <c r="H46" s="31"/>
      <c r="I46" s="32"/>
      <c r="J46" s="77"/>
      <c r="K46" s="33"/>
      <c r="L46" s="34"/>
      <c r="M46" s="34"/>
      <c r="N46" s="62"/>
      <c r="O46" s="34"/>
      <c r="P46" s="34"/>
      <c r="Q46" s="34"/>
      <c r="R46" s="62"/>
      <c r="S46" s="37"/>
      <c r="T46" s="34"/>
      <c r="U46" s="34"/>
      <c r="V46" s="62"/>
      <c r="W46" s="38"/>
      <c r="X46" s="31"/>
      <c r="Y46" s="31"/>
      <c r="Z46" s="78"/>
      <c r="AA46" s="37"/>
      <c r="AB46" s="34"/>
      <c r="AC46" s="34"/>
      <c r="AD46" s="64"/>
      <c r="AE46" s="79"/>
      <c r="AF46" s="64"/>
      <c r="AG46" s="43">
        <f t="shared" si="16"/>
        <v>0</v>
      </c>
      <c r="AH46" s="44">
        <f t="shared" si="16"/>
        <v>0</v>
      </c>
      <c r="AI46" s="44">
        <f t="shared" si="16"/>
        <v>0</v>
      </c>
      <c r="AJ46" s="45">
        <f t="shared" si="16"/>
        <v>0</v>
      </c>
      <c r="AK46" s="80">
        <f t="shared" si="1"/>
        <v>0</v>
      </c>
      <c r="AL46" s="47">
        <v>0.5</v>
      </c>
      <c r="AM46" s="48">
        <f t="shared" si="7"/>
        <v>0</v>
      </c>
      <c r="AN46" s="48">
        <f t="shared" si="2"/>
        <v>0</v>
      </c>
      <c r="AO46" s="49">
        <f t="shared" si="8"/>
        <v>0</v>
      </c>
      <c r="AP46" s="49">
        <f t="shared" si="3"/>
        <v>0</v>
      </c>
      <c r="AQ46" s="50">
        <f t="shared" si="9"/>
        <v>0</v>
      </c>
      <c r="AR46" s="81"/>
      <c r="AS46" s="82"/>
      <c r="AT46" s="83">
        <f t="shared" si="13"/>
        <v>0</v>
      </c>
      <c r="AU46" s="84">
        <f t="shared" si="14"/>
        <v>0</v>
      </c>
      <c r="AV46" s="85"/>
      <c r="AW46" s="86"/>
      <c r="AX46" s="86"/>
      <c r="AY46" s="82"/>
      <c r="AZ46" s="87"/>
    </row>
    <row r="47" spans="1:52" ht="16.5" thickBot="1" x14ac:dyDescent="0.3">
      <c r="A47" s="74">
        <v>355</v>
      </c>
      <c r="B47" s="75" t="s">
        <v>55</v>
      </c>
      <c r="C47" s="76"/>
      <c r="D47" s="26">
        <f t="shared" si="4"/>
        <v>0</v>
      </c>
      <c r="E47" s="27">
        <f t="shared" si="5"/>
        <v>0</v>
      </c>
      <c r="F47" s="29">
        <f t="shared" si="6"/>
        <v>0</v>
      </c>
      <c r="G47" s="30"/>
      <c r="H47" s="31"/>
      <c r="I47" s="32"/>
      <c r="J47" s="77"/>
      <c r="K47" s="33"/>
      <c r="L47" s="34"/>
      <c r="M47" s="34"/>
      <c r="N47" s="62"/>
      <c r="O47" s="34"/>
      <c r="P47" s="34"/>
      <c r="Q47" s="34"/>
      <c r="R47" s="62"/>
      <c r="S47" s="37"/>
      <c r="T47" s="34"/>
      <c r="U47" s="34"/>
      <c r="V47" s="62"/>
      <c r="W47" s="38"/>
      <c r="X47" s="31"/>
      <c r="Y47" s="31"/>
      <c r="Z47" s="78"/>
      <c r="AA47" s="37"/>
      <c r="AB47" s="34"/>
      <c r="AC47" s="34"/>
      <c r="AD47" s="64"/>
      <c r="AE47" s="79"/>
      <c r="AF47" s="64"/>
      <c r="AG47" s="43">
        <f t="shared" si="16"/>
        <v>0</v>
      </c>
      <c r="AH47" s="44">
        <f t="shared" si="16"/>
        <v>0</v>
      </c>
      <c r="AI47" s="44">
        <f t="shared" si="16"/>
        <v>0</v>
      </c>
      <c r="AJ47" s="45">
        <f t="shared" si="16"/>
        <v>0</v>
      </c>
      <c r="AK47" s="80">
        <f t="shared" si="1"/>
        <v>0</v>
      </c>
      <c r="AL47" s="47">
        <v>0.5</v>
      </c>
      <c r="AM47" s="48">
        <f t="shared" si="7"/>
        <v>0</v>
      </c>
      <c r="AN47" s="48">
        <f t="shared" si="2"/>
        <v>0</v>
      </c>
      <c r="AO47" s="49">
        <f t="shared" si="8"/>
        <v>0</v>
      </c>
      <c r="AP47" s="49">
        <f t="shared" si="3"/>
        <v>0</v>
      </c>
      <c r="AQ47" s="50">
        <f t="shared" si="9"/>
        <v>0</v>
      </c>
      <c r="AR47" s="81"/>
      <c r="AS47" s="82"/>
      <c r="AT47" s="83">
        <f t="shared" si="13"/>
        <v>0</v>
      </c>
      <c r="AU47" s="84">
        <f t="shared" si="14"/>
        <v>0</v>
      </c>
      <c r="AV47" s="85"/>
      <c r="AW47" s="86"/>
      <c r="AX47" s="86"/>
      <c r="AY47" s="82"/>
      <c r="AZ47" s="87"/>
    </row>
    <row r="48" spans="1:52" ht="16.5" thickBot="1" x14ac:dyDescent="0.3">
      <c r="A48" s="74">
        <v>355</v>
      </c>
      <c r="B48" s="75" t="s">
        <v>56</v>
      </c>
      <c r="C48" s="76"/>
      <c r="D48" s="26">
        <f t="shared" si="4"/>
        <v>0</v>
      </c>
      <c r="E48" s="27">
        <f t="shared" si="5"/>
        <v>0</v>
      </c>
      <c r="F48" s="29">
        <f t="shared" si="6"/>
        <v>0</v>
      </c>
      <c r="G48" s="30"/>
      <c r="H48" s="31"/>
      <c r="I48" s="32"/>
      <c r="J48" s="77"/>
      <c r="K48" s="33"/>
      <c r="L48" s="34"/>
      <c r="M48" s="34"/>
      <c r="N48" s="62"/>
      <c r="O48" s="34"/>
      <c r="P48" s="34"/>
      <c r="Q48" s="34"/>
      <c r="R48" s="62"/>
      <c r="S48" s="37"/>
      <c r="T48" s="34"/>
      <c r="U48" s="34"/>
      <c r="V48" s="62"/>
      <c r="W48" s="38"/>
      <c r="X48" s="31"/>
      <c r="Y48" s="31"/>
      <c r="Z48" s="78"/>
      <c r="AA48" s="37"/>
      <c r="AB48" s="34"/>
      <c r="AC48" s="34"/>
      <c r="AD48" s="64"/>
      <c r="AE48" s="79"/>
      <c r="AF48" s="64"/>
      <c r="AG48" s="43">
        <f t="shared" si="16"/>
        <v>0</v>
      </c>
      <c r="AH48" s="44">
        <f t="shared" si="16"/>
        <v>0</v>
      </c>
      <c r="AI48" s="44">
        <f t="shared" si="16"/>
        <v>0</v>
      </c>
      <c r="AJ48" s="45">
        <f t="shared" si="16"/>
        <v>0</v>
      </c>
      <c r="AK48" s="80">
        <f t="shared" si="1"/>
        <v>0</v>
      </c>
      <c r="AL48" s="47">
        <v>0.5</v>
      </c>
      <c r="AM48" s="48">
        <f t="shared" si="7"/>
        <v>0</v>
      </c>
      <c r="AN48" s="48">
        <f t="shared" si="2"/>
        <v>0</v>
      </c>
      <c r="AO48" s="49">
        <f t="shared" si="8"/>
        <v>0</v>
      </c>
      <c r="AP48" s="49">
        <f t="shared" si="3"/>
        <v>0</v>
      </c>
      <c r="AQ48" s="50">
        <f t="shared" si="9"/>
        <v>0</v>
      </c>
      <c r="AR48" s="81"/>
      <c r="AS48" s="82"/>
      <c r="AT48" s="83">
        <f t="shared" si="13"/>
        <v>0</v>
      </c>
      <c r="AU48" s="84">
        <f t="shared" si="14"/>
        <v>0</v>
      </c>
      <c r="AV48" s="85"/>
      <c r="AW48" s="86"/>
      <c r="AX48" s="86"/>
      <c r="AY48" s="82"/>
      <c r="AZ48" s="87"/>
    </row>
    <row r="49" spans="1:52" ht="16.5" thickBot="1" x14ac:dyDescent="0.3">
      <c r="A49" s="74">
        <v>355</v>
      </c>
      <c r="B49" s="75" t="s">
        <v>57</v>
      </c>
      <c r="C49" s="76"/>
      <c r="D49" s="26">
        <f t="shared" si="4"/>
        <v>0</v>
      </c>
      <c r="E49" s="27">
        <f t="shared" si="5"/>
        <v>0</v>
      </c>
      <c r="F49" s="29">
        <f t="shared" si="6"/>
        <v>0</v>
      </c>
      <c r="G49" s="30"/>
      <c r="H49" s="31"/>
      <c r="I49" s="32"/>
      <c r="J49" s="77"/>
      <c r="K49" s="33"/>
      <c r="L49" s="34"/>
      <c r="M49" s="34"/>
      <c r="N49" s="62"/>
      <c r="O49" s="34"/>
      <c r="P49" s="34"/>
      <c r="Q49" s="34"/>
      <c r="R49" s="62"/>
      <c r="S49" s="37"/>
      <c r="T49" s="34"/>
      <c r="U49" s="34"/>
      <c r="V49" s="62"/>
      <c r="W49" s="38"/>
      <c r="X49" s="31"/>
      <c r="Y49" s="31"/>
      <c r="Z49" s="78"/>
      <c r="AA49" s="37"/>
      <c r="AB49" s="34"/>
      <c r="AC49" s="34"/>
      <c r="AD49" s="64"/>
      <c r="AE49" s="79"/>
      <c r="AF49" s="64"/>
      <c r="AG49" s="43">
        <f t="shared" si="16"/>
        <v>0</v>
      </c>
      <c r="AH49" s="44">
        <f t="shared" si="16"/>
        <v>0</v>
      </c>
      <c r="AI49" s="44">
        <f t="shared" si="16"/>
        <v>0</v>
      </c>
      <c r="AJ49" s="45">
        <f t="shared" si="16"/>
        <v>0</v>
      </c>
      <c r="AK49" s="80">
        <f t="shared" si="1"/>
        <v>0</v>
      </c>
      <c r="AL49" s="47">
        <v>0.5</v>
      </c>
      <c r="AM49" s="48">
        <f t="shared" si="7"/>
        <v>0</v>
      </c>
      <c r="AN49" s="48">
        <f t="shared" si="2"/>
        <v>0</v>
      </c>
      <c r="AO49" s="49">
        <f t="shared" si="8"/>
        <v>0</v>
      </c>
      <c r="AP49" s="49">
        <f t="shared" si="3"/>
        <v>0</v>
      </c>
      <c r="AQ49" s="50">
        <f t="shared" si="9"/>
        <v>0</v>
      </c>
      <c r="AR49" s="81"/>
      <c r="AS49" s="82"/>
      <c r="AT49" s="83"/>
      <c r="AU49" s="84">
        <f t="shared" si="14"/>
        <v>0</v>
      </c>
      <c r="AV49" s="85"/>
      <c r="AW49" s="86"/>
      <c r="AX49" s="86"/>
      <c r="AY49" s="82"/>
      <c r="AZ49" s="87"/>
    </row>
    <row r="50" spans="1:52" ht="16.5" thickBot="1" x14ac:dyDescent="0.3">
      <c r="A50" s="74">
        <v>625</v>
      </c>
      <c r="B50" s="75" t="s">
        <v>52</v>
      </c>
      <c r="C50" s="76"/>
      <c r="D50" s="26">
        <f t="shared" si="4"/>
        <v>0</v>
      </c>
      <c r="E50" s="27">
        <f t="shared" si="5"/>
        <v>0</v>
      </c>
      <c r="F50" s="29">
        <f t="shared" si="6"/>
        <v>0</v>
      </c>
      <c r="G50" s="30"/>
      <c r="H50" s="31"/>
      <c r="I50" s="32"/>
      <c r="J50" s="77"/>
      <c r="K50" s="33"/>
      <c r="L50" s="34"/>
      <c r="M50" s="34"/>
      <c r="N50" s="62"/>
      <c r="O50" s="34"/>
      <c r="P50" s="34"/>
      <c r="Q50" s="34"/>
      <c r="R50" s="62"/>
      <c r="S50" s="37"/>
      <c r="T50" s="34"/>
      <c r="U50" s="34"/>
      <c r="V50" s="62"/>
      <c r="W50" s="38"/>
      <c r="X50" s="31"/>
      <c r="Y50" s="31"/>
      <c r="Z50" s="78"/>
      <c r="AA50" s="37"/>
      <c r="AB50" s="34"/>
      <c r="AC50" s="34"/>
      <c r="AD50" s="64"/>
      <c r="AE50" s="79"/>
      <c r="AF50" s="64"/>
      <c r="AG50" s="43">
        <f t="shared" si="16"/>
        <v>0</v>
      </c>
      <c r="AH50" s="44">
        <f t="shared" si="16"/>
        <v>0</v>
      </c>
      <c r="AI50" s="44">
        <f t="shared" si="16"/>
        <v>0</v>
      </c>
      <c r="AJ50" s="45">
        <f t="shared" si="16"/>
        <v>0</v>
      </c>
      <c r="AK50" s="80">
        <f t="shared" si="1"/>
        <v>0</v>
      </c>
      <c r="AL50" s="47">
        <v>2</v>
      </c>
      <c r="AM50" s="48">
        <f t="shared" si="7"/>
        <v>0</v>
      </c>
      <c r="AN50" s="48">
        <f t="shared" si="2"/>
        <v>0</v>
      </c>
      <c r="AO50" s="49">
        <f t="shared" si="8"/>
        <v>0</v>
      </c>
      <c r="AP50" s="49">
        <f t="shared" si="3"/>
        <v>0</v>
      </c>
      <c r="AQ50" s="50">
        <f t="shared" si="9"/>
        <v>0</v>
      </c>
      <c r="AR50" s="81">
        <v>80.959999999999994</v>
      </c>
      <c r="AS50" s="82">
        <v>19.040000000000006</v>
      </c>
      <c r="AT50" s="83">
        <f>AK50*AS50</f>
        <v>0</v>
      </c>
      <c r="AU50" s="84">
        <f t="shared" si="14"/>
        <v>0</v>
      </c>
      <c r="AV50" s="85">
        <v>0</v>
      </c>
      <c r="AW50" s="86"/>
      <c r="AX50" s="86"/>
      <c r="AY50" s="82"/>
      <c r="AZ50" s="87">
        <f>AT50-AU50-AW50-AX50-AY50</f>
        <v>0</v>
      </c>
    </row>
    <row r="51" spans="1:52" ht="16.5" thickBot="1" x14ac:dyDescent="0.3">
      <c r="A51" s="74">
        <v>625</v>
      </c>
      <c r="B51" s="75" t="s">
        <v>58</v>
      </c>
      <c r="C51" s="76"/>
      <c r="D51" s="26">
        <f t="shared" si="4"/>
        <v>0</v>
      </c>
      <c r="E51" s="27">
        <f t="shared" si="5"/>
        <v>0</v>
      </c>
      <c r="F51" s="29">
        <f t="shared" si="6"/>
        <v>0</v>
      </c>
      <c r="G51" s="30"/>
      <c r="H51" s="31"/>
      <c r="I51" s="32"/>
      <c r="J51" s="77"/>
      <c r="K51" s="33"/>
      <c r="L51" s="34"/>
      <c r="M51" s="34"/>
      <c r="N51" s="62"/>
      <c r="O51" s="34"/>
      <c r="P51" s="34"/>
      <c r="Q51" s="34"/>
      <c r="R51" s="62"/>
      <c r="S51" s="37"/>
      <c r="T51" s="34"/>
      <c r="U51" s="34"/>
      <c r="V51" s="62"/>
      <c r="W51" s="38"/>
      <c r="X51" s="31"/>
      <c r="Y51" s="31"/>
      <c r="Z51" s="78"/>
      <c r="AA51" s="37"/>
      <c r="AB51" s="34"/>
      <c r="AC51" s="34"/>
      <c r="AD51" s="64"/>
      <c r="AE51" s="79"/>
      <c r="AF51" s="64"/>
      <c r="AG51" s="43">
        <f t="shared" si="16"/>
        <v>0</v>
      </c>
      <c r="AH51" s="44">
        <f t="shared" si="16"/>
        <v>0</v>
      </c>
      <c r="AI51" s="44">
        <f t="shared" si="16"/>
        <v>0</v>
      </c>
      <c r="AJ51" s="45">
        <f t="shared" si="16"/>
        <v>0</v>
      </c>
      <c r="AK51" s="80">
        <f t="shared" si="1"/>
        <v>0</v>
      </c>
      <c r="AL51" s="47">
        <v>1.5</v>
      </c>
      <c r="AM51" s="48">
        <f t="shared" si="7"/>
        <v>0</v>
      </c>
      <c r="AN51" s="48">
        <f t="shared" si="2"/>
        <v>0</v>
      </c>
      <c r="AO51" s="49">
        <f t="shared" si="8"/>
        <v>0</v>
      </c>
      <c r="AP51" s="49">
        <f t="shared" si="3"/>
        <v>0</v>
      </c>
      <c r="AQ51" s="50">
        <f t="shared" si="9"/>
        <v>0</v>
      </c>
      <c r="AR51" s="81">
        <v>69.84</v>
      </c>
      <c r="AS51" s="82">
        <v>10.159999999999997</v>
      </c>
      <c r="AT51" s="83">
        <f>AK51*AS51</f>
        <v>0</v>
      </c>
      <c r="AU51" s="84">
        <f t="shared" si="14"/>
        <v>0</v>
      </c>
      <c r="AV51" s="85">
        <v>0</v>
      </c>
      <c r="AW51" s="86"/>
      <c r="AX51" s="86"/>
      <c r="AY51" s="82"/>
      <c r="AZ51" s="87">
        <f>AT51-AU51-AW51-AX51-AY51</f>
        <v>0</v>
      </c>
    </row>
    <row r="52" spans="1:52" ht="16.5" thickBot="1" x14ac:dyDescent="0.3">
      <c r="A52" s="74">
        <v>360</v>
      </c>
      <c r="B52" s="75" t="s">
        <v>58</v>
      </c>
      <c r="C52" s="76">
        <v>910</v>
      </c>
      <c r="D52" s="26">
        <f t="shared" si="4"/>
        <v>303.33333333333331</v>
      </c>
      <c r="E52" s="27">
        <f t="shared" si="5"/>
        <v>303.33333333333331</v>
      </c>
      <c r="F52" s="29">
        <f t="shared" si="6"/>
        <v>303.33333333333331</v>
      </c>
      <c r="G52" s="30"/>
      <c r="H52" s="31"/>
      <c r="I52" s="32"/>
      <c r="J52" s="77"/>
      <c r="K52" s="33"/>
      <c r="L52" s="34"/>
      <c r="M52" s="34"/>
      <c r="N52" s="62"/>
      <c r="O52" s="34"/>
      <c r="P52" s="34"/>
      <c r="Q52" s="34"/>
      <c r="R52" s="62"/>
      <c r="S52" s="37"/>
      <c r="T52" s="34"/>
      <c r="U52" s="34"/>
      <c r="V52" s="62"/>
      <c r="W52" s="38"/>
      <c r="X52" s="31"/>
      <c r="Y52" s="31"/>
      <c r="Z52" s="78"/>
      <c r="AA52" s="37"/>
      <c r="AB52" s="34"/>
      <c r="AC52" s="34"/>
      <c r="AD52" s="64"/>
      <c r="AE52" s="79"/>
      <c r="AF52" s="64"/>
      <c r="AG52" s="43">
        <f t="shared" si="16"/>
        <v>0</v>
      </c>
      <c r="AH52" s="44">
        <f t="shared" si="16"/>
        <v>0</v>
      </c>
      <c r="AI52" s="44">
        <f t="shared" si="16"/>
        <v>0</v>
      </c>
      <c r="AJ52" s="45">
        <f t="shared" si="16"/>
        <v>0</v>
      </c>
      <c r="AK52" s="80">
        <f t="shared" si="1"/>
        <v>0</v>
      </c>
      <c r="AL52" s="47">
        <v>0.75</v>
      </c>
      <c r="AM52" s="48">
        <f t="shared" si="7"/>
        <v>0</v>
      </c>
      <c r="AN52" s="48">
        <f t="shared" si="2"/>
        <v>0</v>
      </c>
      <c r="AO52" s="49">
        <f t="shared" si="8"/>
        <v>0</v>
      </c>
      <c r="AP52" s="49">
        <f t="shared" si="3"/>
        <v>0</v>
      </c>
      <c r="AQ52" s="50">
        <f t="shared" si="9"/>
        <v>0</v>
      </c>
      <c r="AR52" s="81">
        <v>35.08</v>
      </c>
      <c r="AS52" s="82">
        <v>4.9200000000000017</v>
      </c>
      <c r="AT52" s="83">
        <f>AK52*AS52</f>
        <v>0</v>
      </c>
      <c r="AU52" s="84">
        <f t="shared" si="14"/>
        <v>0</v>
      </c>
      <c r="AV52" s="85">
        <v>0</v>
      </c>
      <c r="AW52" s="86"/>
      <c r="AX52" s="86"/>
      <c r="AY52" s="82"/>
      <c r="AZ52" s="87">
        <f>AT52-AU52-AW52-AX52-AY52</f>
        <v>0</v>
      </c>
    </row>
    <row r="53" spans="1:52" ht="16.5" thickBot="1" x14ac:dyDescent="0.3">
      <c r="A53" s="74">
        <v>625</v>
      </c>
      <c r="B53" s="75" t="s">
        <v>59</v>
      </c>
      <c r="C53" s="76"/>
      <c r="D53" s="26">
        <f t="shared" si="4"/>
        <v>0</v>
      </c>
      <c r="E53" s="27">
        <f t="shared" si="5"/>
        <v>0</v>
      </c>
      <c r="F53" s="29">
        <f t="shared" si="6"/>
        <v>0</v>
      </c>
      <c r="G53" s="30"/>
      <c r="H53" s="31"/>
      <c r="I53" s="32"/>
      <c r="J53" s="77"/>
      <c r="K53" s="33"/>
      <c r="L53" s="34"/>
      <c r="M53" s="34"/>
      <c r="N53" s="62"/>
      <c r="O53" s="34"/>
      <c r="P53" s="34"/>
      <c r="Q53" s="34"/>
      <c r="R53" s="62"/>
      <c r="S53" s="37"/>
      <c r="T53" s="34"/>
      <c r="U53" s="34"/>
      <c r="V53" s="62"/>
      <c r="W53" s="38"/>
      <c r="X53" s="31"/>
      <c r="Y53" s="31"/>
      <c r="Z53" s="78"/>
      <c r="AA53" s="37"/>
      <c r="AB53" s="34"/>
      <c r="AC53" s="34"/>
      <c r="AD53" s="64"/>
      <c r="AE53" s="79"/>
      <c r="AF53" s="64"/>
      <c r="AG53" s="43">
        <f t="shared" si="16"/>
        <v>0</v>
      </c>
      <c r="AH53" s="44">
        <f t="shared" si="16"/>
        <v>0</v>
      </c>
      <c r="AI53" s="44">
        <f t="shared" si="16"/>
        <v>0</v>
      </c>
      <c r="AJ53" s="45">
        <f t="shared" si="16"/>
        <v>0</v>
      </c>
      <c r="AK53" s="80">
        <f t="shared" si="1"/>
        <v>0</v>
      </c>
      <c r="AL53" s="47">
        <v>0.6</v>
      </c>
      <c r="AM53" s="48">
        <f t="shared" si="7"/>
        <v>0</v>
      </c>
      <c r="AN53" s="48">
        <f t="shared" si="2"/>
        <v>0</v>
      </c>
      <c r="AO53" s="49">
        <f t="shared" si="8"/>
        <v>0</v>
      </c>
      <c r="AP53" s="49">
        <f t="shared" si="3"/>
        <v>0</v>
      </c>
      <c r="AQ53" s="50">
        <f t="shared" si="9"/>
        <v>0</v>
      </c>
      <c r="AR53" s="81">
        <v>18.100000000000001</v>
      </c>
      <c r="AS53" s="82">
        <v>2.8999999999999986</v>
      </c>
      <c r="AT53" s="83">
        <f>AK53*AS53</f>
        <v>0</v>
      </c>
      <c r="AU53" s="84">
        <f t="shared" si="14"/>
        <v>0</v>
      </c>
      <c r="AV53" s="85">
        <v>0</v>
      </c>
      <c r="AW53" s="86"/>
      <c r="AX53" s="86"/>
      <c r="AY53" s="82"/>
      <c r="AZ53" s="87">
        <f>AT53-AU53-AW53-AX53-AY53</f>
        <v>0</v>
      </c>
    </row>
    <row r="54" spans="1:52" s="246" customFormat="1" ht="16.5" thickBot="1" x14ac:dyDescent="0.3">
      <c r="A54" s="90">
        <v>625</v>
      </c>
      <c r="B54" s="91" t="s">
        <v>60</v>
      </c>
      <c r="C54" s="92">
        <v>1383</v>
      </c>
      <c r="D54" s="26">
        <f t="shared" si="4"/>
        <v>461</v>
      </c>
      <c r="E54" s="27">
        <f t="shared" si="5"/>
        <v>461</v>
      </c>
      <c r="F54" s="29">
        <f t="shared" si="6"/>
        <v>461</v>
      </c>
      <c r="G54" s="30"/>
      <c r="H54" s="31"/>
      <c r="I54" s="32"/>
      <c r="J54" s="77"/>
      <c r="K54" s="33"/>
      <c r="L54" s="34"/>
      <c r="M54" s="34"/>
      <c r="N54" s="62"/>
      <c r="O54" s="34"/>
      <c r="P54" s="34"/>
      <c r="Q54" s="34"/>
      <c r="R54" s="62"/>
      <c r="S54" s="37"/>
      <c r="T54" s="34"/>
      <c r="U54" s="34"/>
      <c r="V54" s="62"/>
      <c r="W54" s="38"/>
      <c r="X54" s="31"/>
      <c r="Y54" s="31"/>
      <c r="Z54" s="78"/>
      <c r="AA54" s="37"/>
      <c r="AB54" s="34"/>
      <c r="AC54" s="34"/>
      <c r="AD54" s="78"/>
      <c r="AE54" s="93"/>
      <c r="AF54" s="78"/>
      <c r="AG54" s="43">
        <f t="shared" si="16"/>
        <v>0</v>
      </c>
      <c r="AH54" s="44">
        <f t="shared" si="16"/>
        <v>0</v>
      </c>
      <c r="AI54" s="44">
        <f t="shared" si="16"/>
        <v>0</v>
      </c>
      <c r="AJ54" s="94">
        <f t="shared" si="16"/>
        <v>0</v>
      </c>
      <c r="AK54" s="95">
        <f t="shared" si="1"/>
        <v>0</v>
      </c>
      <c r="AL54" s="246">
        <v>1</v>
      </c>
      <c r="AM54" s="48">
        <f t="shared" si="7"/>
        <v>0</v>
      </c>
      <c r="AN54" s="48">
        <f t="shared" si="2"/>
        <v>0</v>
      </c>
      <c r="AO54" s="49">
        <f t="shared" si="8"/>
        <v>0</v>
      </c>
      <c r="AP54" s="97">
        <f t="shared" si="3"/>
        <v>0</v>
      </c>
      <c r="AQ54" s="50">
        <f t="shared" si="9"/>
        <v>0</v>
      </c>
      <c r="AR54" s="98"/>
      <c r="AS54" s="94"/>
      <c r="AT54" s="99"/>
      <c r="AU54" s="100"/>
      <c r="AV54" s="101"/>
      <c r="AW54" s="102"/>
      <c r="AX54" s="102"/>
      <c r="AY54" s="94"/>
      <c r="AZ54" s="95"/>
    </row>
    <row r="55" spans="1:52" s="246" customFormat="1" ht="16.5" thickBot="1" x14ac:dyDescent="0.3">
      <c r="A55" s="90">
        <v>375</v>
      </c>
      <c r="B55" s="91" t="s">
        <v>59</v>
      </c>
      <c r="C55" s="92">
        <v>1018</v>
      </c>
      <c r="D55" s="26">
        <f t="shared" si="4"/>
        <v>339.33333333333331</v>
      </c>
      <c r="E55" s="27">
        <f t="shared" si="5"/>
        <v>339.33333333333331</v>
      </c>
      <c r="F55" s="29">
        <f t="shared" si="6"/>
        <v>339.33333333333331</v>
      </c>
      <c r="G55" s="30"/>
      <c r="H55" s="31"/>
      <c r="I55" s="32"/>
      <c r="J55" s="77"/>
      <c r="K55" s="33"/>
      <c r="L55" s="34"/>
      <c r="M55" s="34"/>
      <c r="N55" s="62"/>
      <c r="O55" s="34"/>
      <c r="P55" s="34"/>
      <c r="Q55" s="34"/>
      <c r="R55" s="62"/>
      <c r="S55" s="37"/>
      <c r="T55" s="34"/>
      <c r="U55" s="34"/>
      <c r="V55" s="62"/>
      <c r="W55" s="38"/>
      <c r="X55" s="31"/>
      <c r="Y55" s="31"/>
      <c r="Z55" s="78"/>
      <c r="AA55" s="37"/>
      <c r="AB55" s="34"/>
      <c r="AC55" s="34"/>
      <c r="AD55" s="78"/>
      <c r="AE55" s="93"/>
      <c r="AF55" s="78"/>
      <c r="AG55" s="43">
        <f t="shared" si="16"/>
        <v>0</v>
      </c>
      <c r="AH55" s="44">
        <f t="shared" si="16"/>
        <v>0</v>
      </c>
      <c r="AI55" s="44">
        <f t="shared" si="16"/>
        <v>0</v>
      </c>
      <c r="AJ55" s="94">
        <f t="shared" si="16"/>
        <v>0</v>
      </c>
      <c r="AK55" s="95">
        <f t="shared" si="1"/>
        <v>0</v>
      </c>
      <c r="AL55" s="246">
        <v>0.75</v>
      </c>
      <c r="AM55" s="48">
        <f t="shared" si="7"/>
        <v>0</v>
      </c>
      <c r="AN55" s="48">
        <f t="shared" si="2"/>
        <v>0</v>
      </c>
      <c r="AO55" s="49">
        <f t="shared" si="8"/>
        <v>0</v>
      </c>
      <c r="AP55" s="97">
        <f t="shared" si="3"/>
        <v>0</v>
      </c>
      <c r="AQ55" s="50">
        <f t="shared" si="9"/>
        <v>0</v>
      </c>
      <c r="AR55" s="98">
        <v>17.260000000000002</v>
      </c>
      <c r="AS55" s="94">
        <v>2.7399999999999984</v>
      </c>
      <c r="AT55" s="99">
        <f>AK55*AS55</f>
        <v>0</v>
      </c>
      <c r="AU55" s="100">
        <f>AK55*AL55</f>
        <v>0</v>
      </c>
      <c r="AV55" s="101">
        <v>0</v>
      </c>
      <c r="AW55" s="102"/>
      <c r="AX55" s="102"/>
      <c r="AY55" s="94"/>
      <c r="AZ55" s="95">
        <f>AT55-AU55-AW55-AX55-AY55</f>
        <v>0</v>
      </c>
    </row>
    <row r="56" spans="1:52" s="246" customFormat="1" ht="16.5" thickBot="1" x14ac:dyDescent="0.3">
      <c r="A56" s="103">
        <v>375</v>
      </c>
      <c r="B56" s="91" t="s">
        <v>61</v>
      </c>
      <c r="C56" s="92"/>
      <c r="D56" s="26">
        <f t="shared" si="4"/>
        <v>0</v>
      </c>
      <c r="E56" s="27">
        <f t="shared" si="5"/>
        <v>0</v>
      </c>
      <c r="F56" s="29">
        <f t="shared" si="6"/>
        <v>0</v>
      </c>
      <c r="G56" s="30"/>
      <c r="H56" s="31"/>
      <c r="I56" s="32"/>
      <c r="J56" s="77"/>
      <c r="K56" s="33"/>
      <c r="L56" s="34"/>
      <c r="M56" s="34"/>
      <c r="N56" s="62"/>
      <c r="O56" s="34"/>
      <c r="P56" s="34"/>
      <c r="Q56" s="34"/>
      <c r="R56" s="62"/>
      <c r="S56" s="37"/>
      <c r="T56" s="34"/>
      <c r="U56" s="34"/>
      <c r="V56" s="62"/>
      <c r="W56" s="38"/>
      <c r="X56" s="31"/>
      <c r="Y56" s="31"/>
      <c r="Z56" s="78"/>
      <c r="AA56" s="37"/>
      <c r="AB56" s="34"/>
      <c r="AC56" s="34"/>
      <c r="AD56" s="78"/>
      <c r="AE56" s="104"/>
      <c r="AF56" s="105"/>
      <c r="AG56" s="43">
        <f t="shared" si="16"/>
        <v>0</v>
      </c>
      <c r="AH56" s="44">
        <f t="shared" si="16"/>
        <v>0</v>
      </c>
      <c r="AI56" s="44">
        <f t="shared" si="16"/>
        <v>0</v>
      </c>
      <c r="AJ56" s="94">
        <f t="shared" si="16"/>
        <v>0</v>
      </c>
      <c r="AK56" s="95">
        <f t="shared" si="1"/>
        <v>0</v>
      </c>
      <c r="AL56" s="246">
        <v>0.75</v>
      </c>
      <c r="AM56" s="48">
        <f t="shared" si="7"/>
        <v>0</v>
      </c>
      <c r="AN56" s="48">
        <f t="shared" si="2"/>
        <v>0</v>
      </c>
      <c r="AO56" s="49">
        <f t="shared" si="8"/>
        <v>0</v>
      </c>
      <c r="AP56" s="97">
        <f t="shared" si="3"/>
        <v>0</v>
      </c>
      <c r="AQ56" s="50">
        <f t="shared" si="9"/>
        <v>0</v>
      </c>
      <c r="AR56" s="106"/>
      <c r="AS56" s="107"/>
      <c r="AT56" s="108"/>
      <c r="AU56" s="100"/>
      <c r="AV56" s="109"/>
      <c r="AW56" s="110"/>
      <c r="AX56" s="110"/>
      <c r="AY56" s="107"/>
      <c r="AZ56" s="111"/>
    </row>
    <row r="57" spans="1:52" s="246" customFormat="1" ht="16.5" thickBot="1" x14ac:dyDescent="0.3">
      <c r="A57" s="91">
        <v>1.3</v>
      </c>
      <c r="B57" s="91" t="s">
        <v>192</v>
      </c>
      <c r="C57" s="112">
        <v>1425</v>
      </c>
      <c r="D57" s="26">
        <f t="shared" si="4"/>
        <v>475</v>
      </c>
      <c r="E57" s="27">
        <f t="shared" si="5"/>
        <v>475</v>
      </c>
      <c r="F57" s="29">
        <f t="shared" si="6"/>
        <v>475</v>
      </c>
      <c r="G57" s="30"/>
      <c r="H57" s="31"/>
      <c r="I57" s="32"/>
      <c r="J57" s="113"/>
      <c r="K57" s="33"/>
      <c r="L57" s="34"/>
      <c r="M57" s="34"/>
      <c r="N57" s="114"/>
      <c r="O57" s="34"/>
      <c r="P57" s="34"/>
      <c r="Q57" s="34"/>
      <c r="R57" s="114"/>
      <c r="S57" s="37"/>
      <c r="T57" s="34"/>
      <c r="U57" s="34"/>
      <c r="V57" s="114"/>
      <c r="W57" s="38"/>
      <c r="X57" s="31"/>
      <c r="Y57" s="31"/>
      <c r="Z57" s="78"/>
      <c r="AA57" s="37"/>
      <c r="AB57" s="34"/>
      <c r="AC57" s="34"/>
      <c r="AD57" s="78"/>
      <c r="AE57" s="104"/>
      <c r="AF57" s="105"/>
      <c r="AG57" s="43">
        <f t="shared" si="16"/>
        <v>0</v>
      </c>
      <c r="AH57" s="44">
        <f t="shared" si="16"/>
        <v>0</v>
      </c>
      <c r="AI57" s="44">
        <f t="shared" si="16"/>
        <v>0</v>
      </c>
      <c r="AJ57" s="94">
        <f t="shared" si="16"/>
        <v>0</v>
      </c>
      <c r="AK57" s="95">
        <f t="shared" si="1"/>
        <v>0</v>
      </c>
      <c r="AL57" s="246">
        <v>0.75</v>
      </c>
      <c r="AM57" s="48">
        <f t="shared" si="7"/>
        <v>0</v>
      </c>
      <c r="AN57" s="48">
        <f t="shared" si="2"/>
        <v>0</v>
      </c>
      <c r="AO57" s="49">
        <f t="shared" si="8"/>
        <v>0</v>
      </c>
      <c r="AP57" s="97">
        <f t="shared" si="3"/>
        <v>0</v>
      </c>
      <c r="AQ57" s="50">
        <f t="shared" si="9"/>
        <v>0</v>
      </c>
      <c r="AR57" s="106"/>
      <c r="AS57" s="107"/>
      <c r="AT57" s="115"/>
      <c r="AU57" s="100">
        <f>AK57*AL57</f>
        <v>0</v>
      </c>
      <c r="AV57" s="109"/>
      <c r="AW57" s="110"/>
      <c r="AX57" s="110"/>
      <c r="AY57" s="107"/>
      <c r="AZ57" s="116"/>
    </row>
    <row r="58" spans="1:52" s="246" customFormat="1" ht="16.5" thickBot="1" x14ac:dyDescent="0.3">
      <c r="A58" s="90">
        <v>1000</v>
      </c>
      <c r="B58" s="91" t="s">
        <v>191</v>
      </c>
      <c r="C58" s="92"/>
      <c r="D58" s="26">
        <f t="shared" si="4"/>
        <v>0</v>
      </c>
      <c r="E58" s="27">
        <f t="shared" si="5"/>
        <v>0</v>
      </c>
      <c r="F58" s="29">
        <f t="shared" si="6"/>
        <v>0</v>
      </c>
      <c r="G58" s="30"/>
      <c r="H58" s="31"/>
      <c r="I58" s="32"/>
      <c r="J58" s="77"/>
      <c r="K58" s="33"/>
      <c r="L58" s="34"/>
      <c r="M58" s="34"/>
      <c r="N58" s="62"/>
      <c r="O58" s="34"/>
      <c r="P58" s="34"/>
      <c r="Q58" s="34"/>
      <c r="R58" s="62"/>
      <c r="S58" s="37"/>
      <c r="T58" s="34"/>
      <c r="U58" s="34"/>
      <c r="V58" s="62"/>
      <c r="W58" s="38"/>
      <c r="X58" s="31"/>
      <c r="Y58" s="31"/>
      <c r="Z58" s="78"/>
      <c r="AA58" s="37"/>
      <c r="AB58" s="34"/>
      <c r="AC58" s="34"/>
      <c r="AD58" s="78"/>
      <c r="AE58" s="93"/>
      <c r="AF58" s="78"/>
      <c r="AG58" s="43">
        <f t="shared" si="16"/>
        <v>0</v>
      </c>
      <c r="AH58" s="44">
        <f t="shared" si="16"/>
        <v>0</v>
      </c>
      <c r="AI58" s="44">
        <f t="shared" si="16"/>
        <v>0</v>
      </c>
      <c r="AJ58" s="94">
        <f t="shared" si="16"/>
        <v>0</v>
      </c>
      <c r="AK58" s="95">
        <f t="shared" si="1"/>
        <v>0</v>
      </c>
      <c r="AL58" s="246">
        <v>1</v>
      </c>
      <c r="AM58" s="48">
        <f t="shared" si="7"/>
        <v>0</v>
      </c>
      <c r="AN58" s="48">
        <f t="shared" si="2"/>
        <v>0</v>
      </c>
      <c r="AO58" s="49">
        <f t="shared" si="8"/>
        <v>0</v>
      </c>
      <c r="AP58" s="97">
        <f t="shared" si="3"/>
        <v>0</v>
      </c>
      <c r="AQ58" s="50">
        <f t="shared" si="9"/>
        <v>0</v>
      </c>
      <c r="AR58" s="98">
        <v>20.59</v>
      </c>
      <c r="AS58" s="94">
        <v>3.41</v>
      </c>
      <c r="AT58" s="99">
        <f>AK58*AS58</f>
        <v>0</v>
      </c>
      <c r="AU58" s="100">
        <f>AK58*AL58</f>
        <v>0</v>
      </c>
      <c r="AV58" s="101">
        <v>0</v>
      </c>
      <c r="AW58" s="102"/>
      <c r="AX58" s="102"/>
      <c r="AY58" s="94"/>
      <c r="AZ58" s="95">
        <f>AT58-AU58-AW58-AX58-AY58</f>
        <v>0</v>
      </c>
    </row>
    <row r="59" spans="1:52" s="246" customFormat="1" ht="16.5" thickBot="1" x14ac:dyDescent="0.3">
      <c r="A59" s="90">
        <v>3300</v>
      </c>
      <c r="B59" s="91" t="s">
        <v>62</v>
      </c>
      <c r="C59" s="92"/>
      <c r="D59" s="26">
        <f t="shared" si="4"/>
        <v>0</v>
      </c>
      <c r="E59" s="27">
        <f t="shared" si="5"/>
        <v>0</v>
      </c>
      <c r="F59" s="29">
        <f t="shared" si="6"/>
        <v>0</v>
      </c>
      <c r="G59" s="30"/>
      <c r="H59" s="31"/>
      <c r="I59" s="32"/>
      <c r="J59" s="77"/>
      <c r="K59" s="33"/>
      <c r="L59" s="34"/>
      <c r="M59" s="34"/>
      <c r="N59" s="62"/>
      <c r="O59" s="34"/>
      <c r="P59" s="34"/>
      <c r="Q59" s="34"/>
      <c r="R59" s="62"/>
      <c r="S59" s="37"/>
      <c r="T59" s="34"/>
      <c r="U59" s="34"/>
      <c r="V59" s="62"/>
      <c r="W59" s="38"/>
      <c r="X59" s="31"/>
      <c r="Y59" s="31"/>
      <c r="Z59" s="78"/>
      <c r="AA59" s="37"/>
      <c r="AB59" s="34"/>
      <c r="AC59" s="34"/>
      <c r="AD59" s="78"/>
      <c r="AE59" s="93"/>
      <c r="AF59" s="78"/>
      <c r="AG59" s="43">
        <f t="shared" si="16"/>
        <v>0</v>
      </c>
      <c r="AH59" s="44">
        <f t="shared" si="16"/>
        <v>0</v>
      </c>
      <c r="AI59" s="44">
        <f t="shared" si="16"/>
        <v>0</v>
      </c>
      <c r="AJ59" s="94">
        <f t="shared" si="16"/>
        <v>0</v>
      </c>
      <c r="AK59" s="95">
        <f t="shared" si="1"/>
        <v>0</v>
      </c>
      <c r="AL59" s="246">
        <v>1</v>
      </c>
      <c r="AM59" s="48">
        <f t="shared" si="7"/>
        <v>0</v>
      </c>
      <c r="AN59" s="48">
        <f t="shared" si="2"/>
        <v>0</v>
      </c>
      <c r="AO59" s="49">
        <f t="shared" si="8"/>
        <v>0</v>
      </c>
      <c r="AP59" s="97">
        <f t="shared" si="3"/>
        <v>0</v>
      </c>
      <c r="AQ59" s="50">
        <f t="shared" si="9"/>
        <v>0</v>
      </c>
      <c r="AR59" s="98"/>
      <c r="AS59" s="94"/>
      <c r="AT59" s="99"/>
      <c r="AU59" s="100"/>
      <c r="AV59" s="101"/>
      <c r="AW59" s="102"/>
      <c r="AX59" s="102"/>
      <c r="AY59" s="94"/>
      <c r="AZ59" s="95"/>
    </row>
    <row r="60" spans="1:52" s="246" customFormat="1" ht="16.5" thickBot="1" x14ac:dyDescent="0.3">
      <c r="A60" s="90">
        <v>145</v>
      </c>
      <c r="B60" s="91" t="s">
        <v>63</v>
      </c>
      <c r="C60" s="92">
        <v>146</v>
      </c>
      <c r="D60" s="26">
        <f t="shared" si="4"/>
        <v>48.666666666666664</v>
      </c>
      <c r="E60" s="27">
        <f t="shared" si="5"/>
        <v>48.666666666666664</v>
      </c>
      <c r="F60" s="29">
        <f t="shared" si="6"/>
        <v>48.666666666666664</v>
      </c>
      <c r="G60" s="30"/>
      <c r="H60" s="31"/>
      <c r="I60" s="32"/>
      <c r="J60" s="77"/>
      <c r="K60" s="33"/>
      <c r="L60" s="34"/>
      <c r="M60" s="34"/>
      <c r="N60" s="62"/>
      <c r="O60" s="34"/>
      <c r="P60" s="34"/>
      <c r="Q60" s="34"/>
      <c r="R60" s="62"/>
      <c r="S60" s="37"/>
      <c r="T60" s="34"/>
      <c r="U60" s="34"/>
      <c r="V60" s="62"/>
      <c r="W60" s="38"/>
      <c r="X60" s="31"/>
      <c r="Y60" s="31"/>
      <c r="Z60" s="78"/>
      <c r="AA60" s="37"/>
      <c r="AB60" s="34"/>
      <c r="AC60" s="34"/>
      <c r="AD60" s="78"/>
      <c r="AE60" s="93"/>
      <c r="AF60" s="78"/>
      <c r="AG60" s="43">
        <f t="shared" si="16"/>
        <v>0</v>
      </c>
      <c r="AH60" s="44">
        <f t="shared" si="16"/>
        <v>0</v>
      </c>
      <c r="AI60" s="44">
        <f t="shared" si="16"/>
        <v>0</v>
      </c>
      <c r="AJ60" s="94">
        <f t="shared" si="16"/>
        <v>0</v>
      </c>
      <c r="AK60" s="95">
        <f t="shared" si="1"/>
        <v>0</v>
      </c>
      <c r="AL60" s="246">
        <v>0.75</v>
      </c>
      <c r="AM60" s="48">
        <f t="shared" si="7"/>
        <v>0</v>
      </c>
      <c r="AN60" s="48">
        <f t="shared" si="2"/>
        <v>0</v>
      </c>
      <c r="AO60" s="49">
        <f t="shared" si="8"/>
        <v>0</v>
      </c>
      <c r="AP60" s="97">
        <f t="shared" si="3"/>
        <v>0</v>
      </c>
      <c r="AQ60" s="50">
        <f t="shared" si="9"/>
        <v>0</v>
      </c>
      <c r="AR60" s="98">
        <v>26.4</v>
      </c>
      <c r="AS60" s="94">
        <v>3.6000000000000014</v>
      </c>
      <c r="AT60" s="99">
        <f>AK60*AS60</f>
        <v>0</v>
      </c>
      <c r="AU60" s="100">
        <f>AK60*AL60</f>
        <v>0</v>
      </c>
      <c r="AV60" s="101">
        <v>0</v>
      </c>
      <c r="AW60" s="102"/>
      <c r="AX60" s="102"/>
      <c r="AY60" s="94"/>
      <c r="AZ60" s="95">
        <f>AT60-AU60-AW60-AX60-AY60</f>
        <v>0</v>
      </c>
    </row>
    <row r="61" spans="1:52" s="246" customFormat="1" ht="16.5" thickBot="1" x14ac:dyDescent="0.3">
      <c r="A61" s="90"/>
      <c r="B61" s="91" t="s">
        <v>64</v>
      </c>
      <c r="C61" s="92">
        <v>146</v>
      </c>
      <c r="D61" s="26">
        <f t="shared" si="4"/>
        <v>48.666666666666664</v>
      </c>
      <c r="E61" s="27">
        <f t="shared" si="5"/>
        <v>48.666666666666664</v>
      </c>
      <c r="F61" s="29">
        <f t="shared" si="6"/>
        <v>48.666666666666664</v>
      </c>
      <c r="G61" s="30"/>
      <c r="H61" s="31"/>
      <c r="I61" s="32"/>
      <c r="J61" s="77"/>
      <c r="K61" s="33"/>
      <c r="L61" s="34"/>
      <c r="M61" s="34"/>
      <c r="N61" s="62"/>
      <c r="O61" s="34"/>
      <c r="P61" s="34"/>
      <c r="Q61" s="34"/>
      <c r="R61" s="62"/>
      <c r="S61" s="37"/>
      <c r="T61" s="34"/>
      <c r="U61" s="34"/>
      <c r="V61" s="62"/>
      <c r="W61" s="38"/>
      <c r="X61" s="31"/>
      <c r="Y61" s="31"/>
      <c r="Z61" s="78"/>
      <c r="AA61" s="37"/>
      <c r="AB61" s="34"/>
      <c r="AC61" s="34"/>
      <c r="AD61" s="78"/>
      <c r="AE61" s="93"/>
      <c r="AF61" s="78"/>
      <c r="AG61" s="43">
        <f t="shared" si="16"/>
        <v>0</v>
      </c>
      <c r="AH61" s="44">
        <f t="shared" si="16"/>
        <v>0</v>
      </c>
      <c r="AI61" s="44">
        <f t="shared" si="16"/>
        <v>0</v>
      </c>
      <c r="AJ61" s="94">
        <f t="shared" si="16"/>
        <v>0</v>
      </c>
      <c r="AK61" s="95">
        <f t="shared" si="1"/>
        <v>0</v>
      </c>
      <c r="AL61" s="246">
        <v>0.75</v>
      </c>
      <c r="AM61" s="48">
        <f t="shared" si="7"/>
        <v>0</v>
      </c>
      <c r="AN61" s="48">
        <f t="shared" si="2"/>
        <v>0</v>
      </c>
      <c r="AO61" s="49">
        <f t="shared" si="8"/>
        <v>0</v>
      </c>
      <c r="AP61" s="97">
        <f t="shared" si="3"/>
        <v>0</v>
      </c>
      <c r="AQ61" s="50">
        <f t="shared" si="9"/>
        <v>0</v>
      </c>
      <c r="AR61" s="98"/>
      <c r="AS61" s="94"/>
      <c r="AT61" s="99"/>
      <c r="AU61" s="100"/>
      <c r="AV61" s="101"/>
      <c r="AW61" s="102"/>
      <c r="AX61" s="102"/>
      <c r="AY61" s="94"/>
      <c r="AZ61" s="95"/>
    </row>
    <row r="62" spans="1:52" s="246" customFormat="1" ht="16.5" thickBot="1" x14ac:dyDescent="0.3">
      <c r="A62" s="90"/>
      <c r="B62" s="91" t="s">
        <v>65</v>
      </c>
      <c r="C62" s="92"/>
      <c r="D62" s="26">
        <f t="shared" si="4"/>
        <v>0</v>
      </c>
      <c r="E62" s="27">
        <f t="shared" si="5"/>
        <v>0</v>
      </c>
      <c r="F62" s="29">
        <f t="shared" si="6"/>
        <v>0</v>
      </c>
      <c r="G62" s="30"/>
      <c r="H62" s="31"/>
      <c r="I62" s="32"/>
      <c r="J62" s="77"/>
      <c r="K62" s="33"/>
      <c r="L62" s="34"/>
      <c r="M62" s="34"/>
      <c r="N62" s="62"/>
      <c r="O62" s="34"/>
      <c r="P62" s="34"/>
      <c r="Q62" s="34"/>
      <c r="R62" s="62"/>
      <c r="S62" s="37"/>
      <c r="T62" s="34"/>
      <c r="U62" s="34"/>
      <c r="V62" s="62"/>
      <c r="W62" s="38"/>
      <c r="X62" s="31"/>
      <c r="Y62" s="31"/>
      <c r="Z62" s="78"/>
      <c r="AA62" s="37"/>
      <c r="AB62" s="34"/>
      <c r="AC62" s="34"/>
      <c r="AD62" s="78"/>
      <c r="AE62" s="93"/>
      <c r="AF62" s="78"/>
      <c r="AG62" s="43">
        <f t="shared" si="16"/>
        <v>0</v>
      </c>
      <c r="AH62" s="44">
        <f t="shared" si="16"/>
        <v>0</v>
      </c>
      <c r="AI62" s="44">
        <f t="shared" si="16"/>
        <v>0</v>
      </c>
      <c r="AJ62" s="94">
        <f t="shared" si="16"/>
        <v>0</v>
      </c>
      <c r="AK62" s="95">
        <f t="shared" si="1"/>
        <v>0</v>
      </c>
      <c r="AL62" s="246">
        <v>0.75</v>
      </c>
      <c r="AM62" s="48">
        <f t="shared" si="7"/>
        <v>0</v>
      </c>
      <c r="AN62" s="48">
        <f t="shared" si="2"/>
        <v>0</v>
      </c>
      <c r="AO62" s="49">
        <f t="shared" si="8"/>
        <v>0</v>
      </c>
      <c r="AP62" s="97">
        <f t="shared" si="3"/>
        <v>0</v>
      </c>
      <c r="AQ62" s="50">
        <f t="shared" si="9"/>
        <v>0</v>
      </c>
      <c r="AR62" s="98"/>
      <c r="AS62" s="94"/>
      <c r="AT62" s="99"/>
      <c r="AU62" s="100"/>
      <c r="AV62" s="101"/>
      <c r="AW62" s="102"/>
      <c r="AX62" s="102"/>
      <c r="AY62" s="94"/>
      <c r="AZ62" s="95"/>
    </row>
    <row r="63" spans="1:52" s="246" customFormat="1" ht="16.5" thickBot="1" x14ac:dyDescent="0.3">
      <c r="A63" s="90"/>
      <c r="B63" s="91" t="s">
        <v>66</v>
      </c>
      <c r="C63" s="92"/>
      <c r="D63" s="26">
        <f t="shared" si="4"/>
        <v>0</v>
      </c>
      <c r="E63" s="27">
        <f t="shared" si="5"/>
        <v>0</v>
      </c>
      <c r="F63" s="29">
        <f t="shared" si="6"/>
        <v>0</v>
      </c>
      <c r="G63" s="30"/>
      <c r="H63" s="31"/>
      <c r="I63" s="32"/>
      <c r="J63" s="77"/>
      <c r="K63" s="33"/>
      <c r="L63" s="34"/>
      <c r="M63" s="34"/>
      <c r="N63" s="62"/>
      <c r="O63" s="34"/>
      <c r="P63" s="34"/>
      <c r="Q63" s="34"/>
      <c r="R63" s="62"/>
      <c r="S63" s="37"/>
      <c r="T63" s="34"/>
      <c r="U63" s="34"/>
      <c r="V63" s="62"/>
      <c r="W63" s="38"/>
      <c r="X63" s="31"/>
      <c r="Y63" s="31"/>
      <c r="Z63" s="78"/>
      <c r="AA63" s="37"/>
      <c r="AB63" s="34"/>
      <c r="AC63" s="34"/>
      <c r="AD63" s="78"/>
      <c r="AE63" s="93"/>
      <c r="AF63" s="78"/>
      <c r="AG63" s="43">
        <f t="shared" si="16"/>
        <v>0</v>
      </c>
      <c r="AH63" s="44">
        <f t="shared" si="16"/>
        <v>0</v>
      </c>
      <c r="AI63" s="44">
        <f t="shared" si="16"/>
        <v>0</v>
      </c>
      <c r="AJ63" s="94">
        <f t="shared" si="16"/>
        <v>0</v>
      </c>
      <c r="AK63" s="95">
        <f t="shared" si="1"/>
        <v>0</v>
      </c>
      <c r="AL63" s="246">
        <v>0.75</v>
      </c>
      <c r="AM63" s="48">
        <f t="shared" si="7"/>
        <v>0</v>
      </c>
      <c r="AN63" s="48">
        <f t="shared" si="2"/>
        <v>0</v>
      </c>
      <c r="AO63" s="49">
        <f t="shared" si="8"/>
        <v>0</v>
      </c>
      <c r="AP63" s="97">
        <f t="shared" si="3"/>
        <v>0</v>
      </c>
      <c r="AQ63" s="50">
        <f t="shared" si="9"/>
        <v>0</v>
      </c>
      <c r="AR63" s="98"/>
      <c r="AS63" s="94"/>
      <c r="AT63" s="99"/>
      <c r="AU63" s="100"/>
      <c r="AV63" s="101"/>
      <c r="AW63" s="102"/>
      <c r="AX63" s="102"/>
      <c r="AY63" s="94"/>
      <c r="AZ63" s="95"/>
    </row>
    <row r="64" spans="1:52" s="246" customFormat="1" ht="16.5" thickBot="1" x14ac:dyDescent="0.3">
      <c r="A64" s="90">
        <v>145</v>
      </c>
      <c r="B64" s="91" t="s">
        <v>67</v>
      </c>
      <c r="C64" s="92"/>
      <c r="D64" s="26">
        <f t="shared" si="4"/>
        <v>0</v>
      </c>
      <c r="E64" s="27">
        <f t="shared" si="5"/>
        <v>0</v>
      </c>
      <c r="F64" s="29">
        <f t="shared" si="6"/>
        <v>0</v>
      </c>
      <c r="G64" s="30"/>
      <c r="H64" s="31"/>
      <c r="I64" s="32"/>
      <c r="J64" s="77"/>
      <c r="K64" s="33"/>
      <c r="L64" s="34"/>
      <c r="M64" s="34"/>
      <c r="N64" s="62"/>
      <c r="O64" s="34"/>
      <c r="P64" s="34"/>
      <c r="Q64" s="34"/>
      <c r="R64" s="62"/>
      <c r="S64" s="37"/>
      <c r="T64" s="34"/>
      <c r="U64" s="34"/>
      <c r="V64" s="62"/>
      <c r="W64" s="38"/>
      <c r="X64" s="31"/>
      <c r="Y64" s="31"/>
      <c r="Z64" s="78"/>
      <c r="AA64" s="37"/>
      <c r="AB64" s="34"/>
      <c r="AC64" s="34"/>
      <c r="AD64" s="78"/>
      <c r="AE64" s="93"/>
      <c r="AF64" s="78"/>
      <c r="AG64" s="43">
        <f t="shared" si="16"/>
        <v>0</v>
      </c>
      <c r="AH64" s="44">
        <f t="shared" si="16"/>
        <v>0</v>
      </c>
      <c r="AI64" s="44">
        <f t="shared" si="16"/>
        <v>0</v>
      </c>
      <c r="AJ64" s="94">
        <f t="shared" si="16"/>
        <v>0</v>
      </c>
      <c r="AK64" s="95">
        <f t="shared" si="1"/>
        <v>0</v>
      </c>
      <c r="AL64" s="246">
        <v>0.75</v>
      </c>
      <c r="AM64" s="48">
        <f t="shared" si="7"/>
        <v>0</v>
      </c>
      <c r="AN64" s="48">
        <f t="shared" si="2"/>
        <v>0</v>
      </c>
      <c r="AO64" s="49">
        <f t="shared" si="8"/>
        <v>0</v>
      </c>
      <c r="AP64" s="97">
        <f t="shared" si="3"/>
        <v>0</v>
      </c>
      <c r="AQ64" s="50">
        <f t="shared" si="9"/>
        <v>0</v>
      </c>
      <c r="AR64" s="98"/>
      <c r="AS64" s="94"/>
      <c r="AT64" s="99"/>
      <c r="AU64" s="100"/>
      <c r="AV64" s="101"/>
      <c r="AW64" s="102"/>
      <c r="AX64" s="102"/>
      <c r="AY64" s="94"/>
      <c r="AZ64" s="95"/>
    </row>
    <row r="65" spans="1:52" s="246" customFormat="1" ht="16.5" thickBot="1" x14ac:dyDescent="0.3">
      <c r="A65" s="90">
        <v>145</v>
      </c>
      <c r="B65" s="91" t="s">
        <v>68</v>
      </c>
      <c r="C65" s="92"/>
      <c r="D65" s="26">
        <f t="shared" si="4"/>
        <v>0</v>
      </c>
      <c r="E65" s="27">
        <f t="shared" si="5"/>
        <v>0</v>
      </c>
      <c r="F65" s="29">
        <f t="shared" si="6"/>
        <v>0</v>
      </c>
      <c r="G65" s="30"/>
      <c r="H65" s="31"/>
      <c r="I65" s="32"/>
      <c r="J65" s="77"/>
      <c r="K65" s="33"/>
      <c r="L65" s="34"/>
      <c r="M65" s="34"/>
      <c r="N65" s="62"/>
      <c r="O65" s="34"/>
      <c r="P65" s="34"/>
      <c r="Q65" s="34"/>
      <c r="R65" s="62"/>
      <c r="S65" s="37"/>
      <c r="T65" s="34"/>
      <c r="U65" s="34"/>
      <c r="V65" s="62"/>
      <c r="W65" s="38"/>
      <c r="X65" s="31"/>
      <c r="Y65" s="31"/>
      <c r="Z65" s="78"/>
      <c r="AA65" s="37"/>
      <c r="AB65" s="34"/>
      <c r="AC65" s="34"/>
      <c r="AD65" s="78"/>
      <c r="AE65" s="93"/>
      <c r="AF65" s="78"/>
      <c r="AG65" s="43">
        <f t="shared" si="16"/>
        <v>0</v>
      </c>
      <c r="AH65" s="44">
        <f t="shared" si="16"/>
        <v>0</v>
      </c>
      <c r="AI65" s="44">
        <f t="shared" si="16"/>
        <v>0</v>
      </c>
      <c r="AJ65" s="94">
        <f t="shared" si="16"/>
        <v>0</v>
      </c>
      <c r="AK65" s="95">
        <f t="shared" si="1"/>
        <v>0</v>
      </c>
      <c r="AL65" s="246">
        <v>0.75</v>
      </c>
      <c r="AM65" s="48">
        <f t="shared" si="7"/>
        <v>0</v>
      </c>
      <c r="AN65" s="48">
        <f t="shared" si="2"/>
        <v>0</v>
      </c>
      <c r="AO65" s="49">
        <f t="shared" si="8"/>
        <v>0</v>
      </c>
      <c r="AP65" s="97">
        <f t="shared" si="3"/>
        <v>0</v>
      </c>
      <c r="AQ65" s="50">
        <f t="shared" si="9"/>
        <v>0</v>
      </c>
      <c r="AR65" s="98"/>
      <c r="AS65" s="94"/>
      <c r="AT65" s="99"/>
      <c r="AU65" s="100"/>
      <c r="AV65" s="101"/>
      <c r="AW65" s="102"/>
      <c r="AX65" s="102"/>
      <c r="AY65" s="94"/>
      <c r="AZ65" s="95"/>
    </row>
    <row r="66" spans="1:52" s="246" customFormat="1" ht="16.5" thickBot="1" x14ac:dyDescent="0.3">
      <c r="A66" s="90">
        <v>145</v>
      </c>
      <c r="B66" s="91" t="s">
        <v>69</v>
      </c>
      <c r="C66" s="92"/>
      <c r="D66" s="26">
        <f t="shared" si="4"/>
        <v>0</v>
      </c>
      <c r="E66" s="27">
        <f t="shared" si="5"/>
        <v>0</v>
      </c>
      <c r="F66" s="29">
        <f t="shared" si="6"/>
        <v>0</v>
      </c>
      <c r="G66" s="30"/>
      <c r="H66" s="31"/>
      <c r="I66" s="32"/>
      <c r="J66" s="77"/>
      <c r="K66" s="33"/>
      <c r="L66" s="34"/>
      <c r="M66" s="34"/>
      <c r="N66" s="62"/>
      <c r="O66" s="34"/>
      <c r="P66" s="34"/>
      <c r="Q66" s="34"/>
      <c r="R66" s="62"/>
      <c r="S66" s="37"/>
      <c r="T66" s="34"/>
      <c r="U66" s="34"/>
      <c r="V66" s="62"/>
      <c r="W66" s="38"/>
      <c r="X66" s="31"/>
      <c r="Y66" s="31"/>
      <c r="Z66" s="78"/>
      <c r="AA66" s="37"/>
      <c r="AB66" s="34"/>
      <c r="AC66" s="34"/>
      <c r="AD66" s="78"/>
      <c r="AE66" s="93"/>
      <c r="AF66" s="78"/>
      <c r="AG66" s="43">
        <f t="shared" si="16"/>
        <v>0</v>
      </c>
      <c r="AH66" s="44">
        <f t="shared" si="16"/>
        <v>0</v>
      </c>
      <c r="AI66" s="44">
        <f t="shared" si="16"/>
        <v>0</v>
      </c>
      <c r="AJ66" s="94">
        <f t="shared" si="16"/>
        <v>0</v>
      </c>
      <c r="AK66" s="95">
        <f t="shared" si="1"/>
        <v>0</v>
      </c>
      <c r="AL66" s="246">
        <v>0.75</v>
      </c>
      <c r="AM66" s="48">
        <f t="shared" si="7"/>
        <v>0</v>
      </c>
      <c r="AN66" s="48">
        <f t="shared" si="2"/>
        <v>0</v>
      </c>
      <c r="AO66" s="49">
        <f t="shared" si="8"/>
        <v>0</v>
      </c>
      <c r="AP66" s="97">
        <f t="shared" si="3"/>
        <v>0</v>
      </c>
      <c r="AQ66" s="50">
        <f t="shared" si="9"/>
        <v>0</v>
      </c>
      <c r="AR66" s="98"/>
      <c r="AS66" s="94"/>
      <c r="AT66" s="99"/>
      <c r="AU66" s="100"/>
      <c r="AV66" s="101"/>
      <c r="AW66" s="102"/>
      <c r="AX66" s="102"/>
      <c r="AY66" s="94"/>
      <c r="AZ66" s="95"/>
    </row>
    <row r="67" spans="1:52" s="246" customFormat="1" ht="16.5" thickBot="1" x14ac:dyDescent="0.3">
      <c r="A67" s="90"/>
      <c r="B67" s="91" t="s">
        <v>70</v>
      </c>
      <c r="C67" s="92"/>
      <c r="D67" s="26">
        <f t="shared" si="4"/>
        <v>0</v>
      </c>
      <c r="E67" s="27">
        <f t="shared" si="5"/>
        <v>0</v>
      </c>
      <c r="F67" s="29">
        <f t="shared" si="6"/>
        <v>0</v>
      </c>
      <c r="G67" s="30"/>
      <c r="H67" s="31"/>
      <c r="I67" s="32"/>
      <c r="J67" s="77"/>
      <c r="K67" s="33"/>
      <c r="L67" s="34"/>
      <c r="M67" s="34"/>
      <c r="N67" s="62"/>
      <c r="O67" s="34"/>
      <c r="P67" s="34"/>
      <c r="Q67" s="34"/>
      <c r="R67" s="62"/>
      <c r="S67" s="37"/>
      <c r="T67" s="34"/>
      <c r="U67" s="34"/>
      <c r="V67" s="62"/>
      <c r="W67" s="38"/>
      <c r="X67" s="31"/>
      <c r="Y67" s="31"/>
      <c r="Z67" s="78"/>
      <c r="AA67" s="37"/>
      <c r="AB67" s="34"/>
      <c r="AC67" s="34"/>
      <c r="AD67" s="78"/>
      <c r="AE67" s="93"/>
      <c r="AF67" s="78"/>
      <c r="AG67" s="43">
        <f t="shared" si="16"/>
        <v>0</v>
      </c>
      <c r="AH67" s="44">
        <f t="shared" si="16"/>
        <v>0</v>
      </c>
      <c r="AI67" s="44">
        <f t="shared" si="16"/>
        <v>0</v>
      </c>
      <c r="AJ67" s="94">
        <f t="shared" si="16"/>
        <v>0</v>
      </c>
      <c r="AK67" s="95">
        <f t="shared" si="1"/>
        <v>0</v>
      </c>
      <c r="AL67" s="246">
        <v>0.75</v>
      </c>
      <c r="AM67" s="48">
        <f t="shared" si="7"/>
        <v>0</v>
      </c>
      <c r="AN67" s="48">
        <f t="shared" si="2"/>
        <v>0</v>
      </c>
      <c r="AO67" s="49">
        <f t="shared" si="8"/>
        <v>0</v>
      </c>
      <c r="AP67" s="97">
        <f t="shared" si="3"/>
        <v>0</v>
      </c>
      <c r="AQ67" s="50">
        <f t="shared" si="9"/>
        <v>0</v>
      </c>
      <c r="AR67" s="98"/>
      <c r="AS67" s="94"/>
      <c r="AT67" s="99"/>
      <c r="AU67" s="100"/>
      <c r="AV67" s="101"/>
      <c r="AW67" s="102"/>
      <c r="AX67" s="102"/>
      <c r="AY67" s="94"/>
      <c r="AZ67" s="95"/>
    </row>
    <row r="68" spans="1:52" s="246" customFormat="1" ht="16.5" thickBot="1" x14ac:dyDescent="0.3">
      <c r="A68" s="90"/>
      <c r="B68" s="91" t="s">
        <v>71</v>
      </c>
      <c r="C68" s="92"/>
      <c r="D68" s="26">
        <f t="shared" si="4"/>
        <v>0</v>
      </c>
      <c r="E68" s="27">
        <f t="shared" si="5"/>
        <v>0</v>
      </c>
      <c r="F68" s="29">
        <f t="shared" si="6"/>
        <v>0</v>
      </c>
      <c r="G68" s="30"/>
      <c r="H68" s="31"/>
      <c r="I68" s="32"/>
      <c r="J68" s="77"/>
      <c r="K68" s="33"/>
      <c r="L68" s="34"/>
      <c r="M68" s="34"/>
      <c r="N68" s="62"/>
      <c r="O68" s="34"/>
      <c r="P68" s="34"/>
      <c r="Q68" s="34"/>
      <c r="R68" s="62"/>
      <c r="S68" s="37"/>
      <c r="T68" s="34"/>
      <c r="U68" s="34"/>
      <c r="V68" s="62"/>
      <c r="W68" s="38"/>
      <c r="X68" s="31"/>
      <c r="Y68" s="31"/>
      <c r="Z68" s="78"/>
      <c r="AA68" s="37"/>
      <c r="AB68" s="34"/>
      <c r="AC68" s="34"/>
      <c r="AD68" s="78"/>
      <c r="AE68" s="93"/>
      <c r="AF68" s="78"/>
      <c r="AG68" s="43">
        <f t="shared" si="16"/>
        <v>0</v>
      </c>
      <c r="AH68" s="44">
        <f t="shared" si="16"/>
        <v>0</v>
      </c>
      <c r="AI68" s="44">
        <f t="shared" si="16"/>
        <v>0</v>
      </c>
      <c r="AJ68" s="94">
        <f t="shared" si="16"/>
        <v>0</v>
      </c>
      <c r="AK68" s="95">
        <f t="shared" ref="AK68:AK131" si="17">AG68+AH68+AI68</f>
        <v>0</v>
      </c>
      <c r="AL68" s="246">
        <v>0.75</v>
      </c>
      <c r="AM68" s="48">
        <f t="shared" si="7"/>
        <v>0</v>
      </c>
      <c r="AN68" s="48">
        <f t="shared" si="2"/>
        <v>0</v>
      </c>
      <c r="AO68" s="49">
        <f t="shared" si="8"/>
        <v>0</v>
      </c>
      <c r="AP68" s="97">
        <f t="shared" ref="AP68:AP131" si="18">AJ68*AL68</f>
        <v>0</v>
      </c>
      <c r="AQ68" s="50">
        <f t="shared" ref="AQ68:AQ131" si="19">AK68*60</f>
        <v>0</v>
      </c>
      <c r="AR68" s="98"/>
      <c r="AS68" s="94"/>
      <c r="AT68" s="99"/>
      <c r="AU68" s="100"/>
      <c r="AV68" s="101"/>
      <c r="AW68" s="102"/>
      <c r="AX68" s="102"/>
      <c r="AY68" s="94"/>
      <c r="AZ68" s="95"/>
    </row>
    <row r="69" spans="1:52" s="246" customFormat="1" ht="16.5" thickBot="1" x14ac:dyDescent="0.3">
      <c r="A69" s="90">
        <v>250</v>
      </c>
      <c r="B69" s="91" t="s">
        <v>63</v>
      </c>
      <c r="C69" s="92">
        <v>52</v>
      </c>
      <c r="D69" s="26">
        <f t="shared" ref="D69:D132" si="20">C69/3</f>
        <v>17.333333333333332</v>
      </c>
      <c r="E69" s="27">
        <f t="shared" ref="E69:E132" si="21">C69/3</f>
        <v>17.333333333333332</v>
      </c>
      <c r="F69" s="29">
        <f t="shared" ref="F69:F132" si="22">C69/3</f>
        <v>17.333333333333332</v>
      </c>
      <c r="G69" s="30"/>
      <c r="H69" s="31"/>
      <c r="I69" s="32"/>
      <c r="J69" s="77"/>
      <c r="K69" s="33"/>
      <c r="L69" s="34"/>
      <c r="M69" s="34"/>
      <c r="N69" s="62"/>
      <c r="O69" s="34"/>
      <c r="P69" s="34"/>
      <c r="Q69" s="34"/>
      <c r="R69" s="62"/>
      <c r="S69" s="37"/>
      <c r="T69" s="34"/>
      <c r="U69" s="34"/>
      <c r="V69" s="62"/>
      <c r="W69" s="38"/>
      <c r="X69" s="31"/>
      <c r="Y69" s="31"/>
      <c r="Z69" s="78"/>
      <c r="AA69" s="37"/>
      <c r="AB69" s="34"/>
      <c r="AC69" s="34"/>
      <c r="AD69" s="78"/>
      <c r="AE69" s="93"/>
      <c r="AF69" s="78"/>
      <c r="AG69" s="43">
        <f t="shared" si="16"/>
        <v>0</v>
      </c>
      <c r="AH69" s="44">
        <f t="shared" si="16"/>
        <v>0</v>
      </c>
      <c r="AI69" s="44">
        <f t="shared" si="16"/>
        <v>0</v>
      </c>
      <c r="AJ69" s="94">
        <f t="shared" si="16"/>
        <v>0</v>
      </c>
      <c r="AK69" s="95">
        <f t="shared" si="17"/>
        <v>0</v>
      </c>
      <c r="AL69" s="246">
        <v>1</v>
      </c>
      <c r="AM69" s="48">
        <f t="shared" si="7"/>
        <v>0</v>
      </c>
      <c r="AN69" s="48">
        <f t="shared" si="2"/>
        <v>0</v>
      </c>
      <c r="AO69" s="49">
        <f t="shared" ref="AO69:AO132" si="23">AI69*AL69</f>
        <v>0</v>
      </c>
      <c r="AP69" s="97">
        <f t="shared" si="18"/>
        <v>0</v>
      </c>
      <c r="AQ69" s="50">
        <f t="shared" si="19"/>
        <v>0</v>
      </c>
      <c r="AR69" s="98">
        <v>34.799999999999997</v>
      </c>
      <c r="AS69" s="94">
        <v>5.2000000000000028</v>
      </c>
      <c r="AT69" s="99">
        <f>AK69*AS69</f>
        <v>0</v>
      </c>
      <c r="AU69" s="100">
        <f>AK69*AL69</f>
        <v>0</v>
      </c>
      <c r="AV69" s="101">
        <v>0</v>
      </c>
      <c r="AW69" s="102"/>
      <c r="AX69" s="102"/>
      <c r="AY69" s="94"/>
      <c r="AZ69" s="95">
        <f>AT69-AU69-AW69-AX69-AY69</f>
        <v>0</v>
      </c>
    </row>
    <row r="70" spans="1:52" ht="16.5" thickBot="1" x14ac:dyDescent="0.3">
      <c r="A70" s="74"/>
      <c r="B70" s="75" t="s">
        <v>64</v>
      </c>
      <c r="C70" s="76"/>
      <c r="D70" s="26">
        <f t="shared" si="20"/>
        <v>0</v>
      </c>
      <c r="E70" s="27">
        <f t="shared" si="21"/>
        <v>0</v>
      </c>
      <c r="F70" s="29">
        <f t="shared" si="22"/>
        <v>0</v>
      </c>
      <c r="G70" s="30"/>
      <c r="H70" s="31"/>
      <c r="I70" s="32"/>
      <c r="J70" s="77"/>
      <c r="K70" s="33"/>
      <c r="L70" s="34"/>
      <c r="M70" s="34"/>
      <c r="N70" s="62"/>
      <c r="O70" s="34"/>
      <c r="P70" s="34"/>
      <c r="Q70" s="34"/>
      <c r="R70" s="62"/>
      <c r="S70" s="37"/>
      <c r="T70" s="34"/>
      <c r="U70" s="34"/>
      <c r="V70" s="62"/>
      <c r="W70" s="38"/>
      <c r="X70" s="31"/>
      <c r="Y70" s="31"/>
      <c r="Z70" s="78"/>
      <c r="AA70" s="37"/>
      <c r="AB70" s="34"/>
      <c r="AC70" s="34"/>
      <c r="AD70" s="64"/>
      <c r="AE70" s="79"/>
      <c r="AF70" s="64"/>
      <c r="AG70" s="43">
        <f t="shared" si="16"/>
        <v>0</v>
      </c>
      <c r="AH70" s="44">
        <f t="shared" si="16"/>
        <v>0</v>
      </c>
      <c r="AI70" s="44">
        <f t="shared" si="16"/>
        <v>0</v>
      </c>
      <c r="AJ70" s="45">
        <f t="shared" si="16"/>
        <v>0</v>
      </c>
      <c r="AK70" s="80">
        <f t="shared" si="17"/>
        <v>0</v>
      </c>
      <c r="AL70" s="47">
        <v>1</v>
      </c>
      <c r="AM70" s="48">
        <f t="shared" si="7"/>
        <v>0</v>
      </c>
      <c r="AN70" s="48">
        <f t="shared" si="2"/>
        <v>0</v>
      </c>
      <c r="AO70" s="49">
        <f t="shared" si="23"/>
        <v>0</v>
      </c>
      <c r="AP70" s="49">
        <f t="shared" si="18"/>
        <v>0</v>
      </c>
      <c r="AQ70" s="50">
        <f t="shared" si="19"/>
        <v>0</v>
      </c>
      <c r="AR70" s="81"/>
      <c r="AS70" s="82"/>
      <c r="AT70" s="83"/>
      <c r="AU70" s="84"/>
      <c r="AV70" s="85"/>
      <c r="AW70" s="86"/>
      <c r="AX70" s="86"/>
      <c r="AY70" s="82"/>
      <c r="AZ70" s="87"/>
    </row>
    <row r="71" spans="1:52" ht="16.5" thickBot="1" x14ac:dyDescent="0.3">
      <c r="A71" s="74"/>
      <c r="B71" s="75" t="s">
        <v>65</v>
      </c>
      <c r="C71" s="76"/>
      <c r="D71" s="26">
        <f t="shared" si="20"/>
        <v>0</v>
      </c>
      <c r="E71" s="27">
        <f t="shared" si="21"/>
        <v>0</v>
      </c>
      <c r="F71" s="29">
        <f t="shared" si="22"/>
        <v>0</v>
      </c>
      <c r="G71" s="30"/>
      <c r="H71" s="31"/>
      <c r="I71" s="32"/>
      <c r="J71" s="77"/>
      <c r="K71" s="33"/>
      <c r="L71" s="34"/>
      <c r="M71" s="34"/>
      <c r="N71" s="62"/>
      <c r="O71" s="34"/>
      <c r="P71" s="34"/>
      <c r="Q71" s="34"/>
      <c r="R71" s="62"/>
      <c r="S71" s="37"/>
      <c r="T71" s="34"/>
      <c r="U71" s="34"/>
      <c r="V71" s="62"/>
      <c r="W71" s="38"/>
      <c r="X71" s="31"/>
      <c r="Y71" s="31"/>
      <c r="Z71" s="78"/>
      <c r="AA71" s="37"/>
      <c r="AB71" s="34"/>
      <c r="AC71" s="34"/>
      <c r="AD71" s="64"/>
      <c r="AE71" s="79"/>
      <c r="AF71" s="64"/>
      <c r="AG71" s="43">
        <f t="shared" si="16"/>
        <v>0</v>
      </c>
      <c r="AH71" s="44">
        <f t="shared" si="16"/>
        <v>0</v>
      </c>
      <c r="AI71" s="44">
        <f t="shared" si="16"/>
        <v>0</v>
      </c>
      <c r="AJ71" s="45">
        <f t="shared" si="16"/>
        <v>0</v>
      </c>
      <c r="AK71" s="80">
        <f t="shared" si="17"/>
        <v>0</v>
      </c>
      <c r="AL71" s="47">
        <v>1</v>
      </c>
      <c r="AM71" s="48">
        <f t="shared" si="7"/>
        <v>0</v>
      </c>
      <c r="AN71" s="48">
        <f t="shared" si="2"/>
        <v>0</v>
      </c>
      <c r="AO71" s="49">
        <f t="shared" si="23"/>
        <v>0</v>
      </c>
      <c r="AP71" s="49">
        <f t="shared" si="18"/>
        <v>0</v>
      </c>
      <c r="AQ71" s="50">
        <f t="shared" si="19"/>
        <v>0</v>
      </c>
      <c r="AR71" s="81"/>
      <c r="AS71" s="82"/>
      <c r="AT71" s="83"/>
      <c r="AU71" s="84"/>
      <c r="AV71" s="85"/>
      <c r="AW71" s="86"/>
      <c r="AX71" s="86"/>
      <c r="AY71" s="82"/>
      <c r="AZ71" s="87"/>
    </row>
    <row r="72" spans="1:52" ht="16.5" thickBot="1" x14ac:dyDescent="0.3">
      <c r="A72" s="74"/>
      <c r="B72" s="75" t="s">
        <v>66</v>
      </c>
      <c r="C72" s="76"/>
      <c r="D72" s="26">
        <f t="shared" si="20"/>
        <v>0</v>
      </c>
      <c r="E72" s="27">
        <f t="shared" si="21"/>
        <v>0</v>
      </c>
      <c r="F72" s="29">
        <f t="shared" si="22"/>
        <v>0</v>
      </c>
      <c r="G72" s="30"/>
      <c r="H72" s="31"/>
      <c r="I72" s="32"/>
      <c r="J72" s="77"/>
      <c r="K72" s="33"/>
      <c r="L72" s="34"/>
      <c r="M72" s="34"/>
      <c r="N72" s="62"/>
      <c r="O72" s="34"/>
      <c r="P72" s="34"/>
      <c r="Q72" s="34"/>
      <c r="R72" s="62"/>
      <c r="S72" s="37"/>
      <c r="T72" s="34"/>
      <c r="U72" s="34"/>
      <c r="V72" s="62"/>
      <c r="W72" s="38"/>
      <c r="X72" s="31"/>
      <c r="Y72" s="31"/>
      <c r="Z72" s="78"/>
      <c r="AA72" s="37"/>
      <c r="AB72" s="34"/>
      <c r="AC72" s="34"/>
      <c r="AD72" s="64"/>
      <c r="AE72" s="79"/>
      <c r="AF72" s="64"/>
      <c r="AG72" s="43">
        <f t="shared" si="16"/>
        <v>0</v>
      </c>
      <c r="AH72" s="44">
        <f t="shared" si="16"/>
        <v>0</v>
      </c>
      <c r="AI72" s="44">
        <f t="shared" si="16"/>
        <v>0</v>
      </c>
      <c r="AJ72" s="45">
        <f t="shared" si="16"/>
        <v>0</v>
      </c>
      <c r="AK72" s="80">
        <f t="shared" si="17"/>
        <v>0</v>
      </c>
      <c r="AL72" s="47">
        <v>1</v>
      </c>
      <c r="AM72" s="48">
        <f t="shared" si="7"/>
        <v>0</v>
      </c>
      <c r="AN72" s="48">
        <f t="shared" si="2"/>
        <v>0</v>
      </c>
      <c r="AO72" s="49">
        <f t="shared" si="23"/>
        <v>0</v>
      </c>
      <c r="AP72" s="49">
        <f t="shared" si="18"/>
        <v>0</v>
      </c>
      <c r="AQ72" s="50">
        <f t="shared" si="19"/>
        <v>0</v>
      </c>
      <c r="AR72" s="81"/>
      <c r="AS72" s="82"/>
      <c r="AT72" s="83"/>
      <c r="AU72" s="84"/>
      <c r="AV72" s="85"/>
      <c r="AW72" s="86"/>
      <c r="AX72" s="86"/>
      <c r="AY72" s="82"/>
      <c r="AZ72" s="87"/>
    </row>
    <row r="73" spans="1:52" ht="16.5" thickBot="1" x14ac:dyDescent="0.3">
      <c r="A73" s="74">
        <v>250</v>
      </c>
      <c r="B73" s="75" t="s">
        <v>67</v>
      </c>
      <c r="C73" s="76"/>
      <c r="D73" s="26">
        <f t="shared" si="20"/>
        <v>0</v>
      </c>
      <c r="E73" s="27">
        <f t="shared" si="21"/>
        <v>0</v>
      </c>
      <c r="F73" s="29">
        <f t="shared" si="22"/>
        <v>0</v>
      </c>
      <c r="G73" s="30"/>
      <c r="H73" s="31"/>
      <c r="I73" s="32"/>
      <c r="J73" s="77"/>
      <c r="K73" s="33"/>
      <c r="L73" s="34"/>
      <c r="M73" s="34"/>
      <c r="N73" s="62"/>
      <c r="O73" s="34"/>
      <c r="P73" s="34"/>
      <c r="Q73" s="34"/>
      <c r="R73" s="62"/>
      <c r="S73" s="37"/>
      <c r="T73" s="34"/>
      <c r="U73" s="34"/>
      <c r="V73" s="62"/>
      <c r="W73" s="38"/>
      <c r="X73" s="31"/>
      <c r="Y73" s="31"/>
      <c r="Z73" s="78"/>
      <c r="AA73" s="37"/>
      <c r="AB73" s="34"/>
      <c r="AC73" s="34"/>
      <c r="AD73" s="64"/>
      <c r="AE73" s="79"/>
      <c r="AF73" s="64"/>
      <c r="AG73" s="43">
        <f t="shared" si="16"/>
        <v>0</v>
      </c>
      <c r="AH73" s="44">
        <f t="shared" si="16"/>
        <v>0</v>
      </c>
      <c r="AI73" s="44">
        <f t="shared" si="16"/>
        <v>0</v>
      </c>
      <c r="AJ73" s="45">
        <f t="shared" si="16"/>
        <v>0</v>
      </c>
      <c r="AK73" s="80">
        <f t="shared" si="17"/>
        <v>0</v>
      </c>
      <c r="AL73" s="47">
        <v>1</v>
      </c>
      <c r="AM73" s="48">
        <f t="shared" si="7"/>
        <v>0</v>
      </c>
      <c r="AN73" s="48">
        <f t="shared" si="2"/>
        <v>0</v>
      </c>
      <c r="AO73" s="49">
        <f t="shared" si="23"/>
        <v>0</v>
      </c>
      <c r="AP73" s="49">
        <f t="shared" si="18"/>
        <v>0</v>
      </c>
      <c r="AQ73" s="50">
        <f t="shared" si="19"/>
        <v>0</v>
      </c>
      <c r="AR73" s="81"/>
      <c r="AS73" s="82"/>
      <c r="AT73" s="83"/>
      <c r="AU73" s="84"/>
      <c r="AV73" s="85"/>
      <c r="AW73" s="86"/>
      <c r="AX73" s="86"/>
      <c r="AY73" s="82"/>
      <c r="AZ73" s="87"/>
    </row>
    <row r="74" spans="1:52" ht="16.5" thickBot="1" x14ac:dyDescent="0.3">
      <c r="A74" s="74">
        <v>1000</v>
      </c>
      <c r="B74" s="75" t="s">
        <v>63</v>
      </c>
      <c r="C74" s="76">
        <v>24</v>
      </c>
      <c r="D74" s="26">
        <f t="shared" si="20"/>
        <v>8</v>
      </c>
      <c r="E74" s="27">
        <f t="shared" si="21"/>
        <v>8</v>
      </c>
      <c r="F74" s="29">
        <f t="shared" si="22"/>
        <v>8</v>
      </c>
      <c r="G74" s="30"/>
      <c r="H74" s="31"/>
      <c r="I74" s="32"/>
      <c r="J74" s="77"/>
      <c r="K74" s="33"/>
      <c r="L74" s="34"/>
      <c r="M74" s="34"/>
      <c r="N74" s="62"/>
      <c r="O74" s="34"/>
      <c r="P74" s="34"/>
      <c r="Q74" s="34"/>
      <c r="R74" s="62"/>
      <c r="S74" s="37"/>
      <c r="T74" s="34"/>
      <c r="U74" s="34"/>
      <c r="V74" s="62"/>
      <c r="W74" s="38"/>
      <c r="X74" s="31"/>
      <c r="Y74" s="31"/>
      <c r="Z74" s="78"/>
      <c r="AA74" s="37"/>
      <c r="AB74" s="34"/>
      <c r="AC74" s="34"/>
      <c r="AD74" s="64"/>
      <c r="AE74" s="79"/>
      <c r="AF74" s="64"/>
      <c r="AG74" s="43">
        <f t="shared" si="16"/>
        <v>0</v>
      </c>
      <c r="AH74" s="44">
        <f t="shared" si="16"/>
        <v>0</v>
      </c>
      <c r="AI74" s="44">
        <f t="shared" si="16"/>
        <v>0</v>
      </c>
      <c r="AJ74" s="45">
        <f t="shared" si="16"/>
        <v>0</v>
      </c>
      <c r="AK74" s="80">
        <f t="shared" si="17"/>
        <v>0</v>
      </c>
      <c r="AL74" s="47">
        <v>0.75</v>
      </c>
      <c r="AM74" s="48">
        <f t="shared" ref="AM74:AM137" si="24">AG74*AL74</f>
        <v>0</v>
      </c>
      <c r="AN74" s="48">
        <f t="shared" ref="AN74:AN137" si="25">AH74*AL74</f>
        <v>0</v>
      </c>
      <c r="AO74" s="49">
        <f t="shared" si="23"/>
        <v>0</v>
      </c>
      <c r="AP74" s="49">
        <f t="shared" si="18"/>
        <v>0</v>
      </c>
      <c r="AQ74" s="50">
        <f t="shared" si="19"/>
        <v>0</v>
      </c>
      <c r="AR74" s="117">
        <v>67.84</v>
      </c>
      <c r="AS74" s="82">
        <v>2.1599999999999966</v>
      </c>
      <c r="AT74" s="83">
        <f>AK74*AS74</f>
        <v>0</v>
      </c>
      <c r="AU74" s="84">
        <f>AK74*AL74</f>
        <v>0</v>
      </c>
      <c r="AV74" s="85">
        <v>0</v>
      </c>
      <c r="AW74" s="86"/>
      <c r="AX74" s="86"/>
      <c r="AY74" s="82"/>
      <c r="AZ74" s="87">
        <f>AT74-AU74-AW74-AX74-AY74</f>
        <v>0</v>
      </c>
    </row>
    <row r="75" spans="1:52" ht="16.5" thickBot="1" x14ac:dyDescent="0.3">
      <c r="A75" s="74">
        <v>1000</v>
      </c>
      <c r="B75" s="75" t="s">
        <v>64</v>
      </c>
      <c r="C75" s="76"/>
      <c r="D75" s="26">
        <f t="shared" si="20"/>
        <v>0</v>
      </c>
      <c r="E75" s="27">
        <f t="shared" si="21"/>
        <v>0</v>
      </c>
      <c r="F75" s="29">
        <f t="shared" si="22"/>
        <v>0</v>
      </c>
      <c r="G75" s="30"/>
      <c r="H75" s="31"/>
      <c r="I75" s="32"/>
      <c r="J75" s="77"/>
      <c r="K75" s="33"/>
      <c r="L75" s="34"/>
      <c r="M75" s="34"/>
      <c r="N75" s="62"/>
      <c r="O75" s="34"/>
      <c r="P75" s="34"/>
      <c r="Q75" s="34"/>
      <c r="R75" s="62"/>
      <c r="S75" s="37"/>
      <c r="T75" s="34"/>
      <c r="U75" s="34"/>
      <c r="V75" s="62"/>
      <c r="W75" s="38"/>
      <c r="X75" s="31"/>
      <c r="Y75" s="31"/>
      <c r="Z75" s="78"/>
      <c r="AA75" s="37"/>
      <c r="AB75" s="34"/>
      <c r="AC75" s="34"/>
      <c r="AD75" s="64"/>
      <c r="AE75" s="79"/>
      <c r="AF75" s="64"/>
      <c r="AG75" s="43">
        <f t="shared" si="16"/>
        <v>0</v>
      </c>
      <c r="AH75" s="44">
        <f t="shared" si="16"/>
        <v>0</v>
      </c>
      <c r="AI75" s="44">
        <f t="shared" si="16"/>
        <v>0</v>
      </c>
      <c r="AJ75" s="45">
        <f t="shared" si="16"/>
        <v>0</v>
      </c>
      <c r="AK75" s="80">
        <f t="shared" si="17"/>
        <v>0</v>
      </c>
      <c r="AL75" s="47">
        <v>0.75</v>
      </c>
      <c r="AM75" s="48">
        <f t="shared" si="24"/>
        <v>0</v>
      </c>
      <c r="AN75" s="48">
        <f t="shared" si="25"/>
        <v>0</v>
      </c>
      <c r="AO75" s="49">
        <f t="shared" si="23"/>
        <v>0</v>
      </c>
      <c r="AP75" s="49">
        <f t="shared" si="18"/>
        <v>0</v>
      </c>
      <c r="AQ75" s="50">
        <f t="shared" si="19"/>
        <v>0</v>
      </c>
      <c r="AR75" s="117"/>
      <c r="AS75" s="82"/>
      <c r="AT75" s="83"/>
      <c r="AU75" s="84"/>
      <c r="AV75" s="85"/>
      <c r="AW75" s="86"/>
      <c r="AX75" s="86"/>
      <c r="AY75" s="82"/>
      <c r="AZ75" s="87"/>
    </row>
    <row r="76" spans="1:52" ht="16.5" thickBot="1" x14ac:dyDescent="0.3">
      <c r="A76" s="74">
        <v>1000</v>
      </c>
      <c r="B76" s="75" t="s">
        <v>65</v>
      </c>
      <c r="C76" s="76"/>
      <c r="D76" s="26">
        <f t="shared" si="20"/>
        <v>0</v>
      </c>
      <c r="E76" s="27">
        <f t="shared" si="21"/>
        <v>0</v>
      </c>
      <c r="F76" s="29">
        <f t="shared" si="22"/>
        <v>0</v>
      </c>
      <c r="G76" s="30"/>
      <c r="H76" s="31"/>
      <c r="I76" s="32"/>
      <c r="J76" s="77"/>
      <c r="K76" s="33"/>
      <c r="L76" s="34"/>
      <c r="M76" s="34"/>
      <c r="N76" s="62"/>
      <c r="O76" s="34"/>
      <c r="P76" s="34"/>
      <c r="Q76" s="34"/>
      <c r="R76" s="62"/>
      <c r="S76" s="37"/>
      <c r="T76" s="34"/>
      <c r="U76" s="34"/>
      <c r="V76" s="62"/>
      <c r="W76" s="38"/>
      <c r="X76" s="31"/>
      <c r="Y76" s="31"/>
      <c r="Z76" s="78"/>
      <c r="AA76" s="37"/>
      <c r="AB76" s="34"/>
      <c r="AC76" s="34"/>
      <c r="AD76" s="64"/>
      <c r="AE76" s="79"/>
      <c r="AF76" s="64"/>
      <c r="AG76" s="43">
        <f t="shared" si="16"/>
        <v>0</v>
      </c>
      <c r="AH76" s="44">
        <f t="shared" si="16"/>
        <v>0</v>
      </c>
      <c r="AI76" s="44">
        <f t="shared" si="16"/>
        <v>0</v>
      </c>
      <c r="AJ76" s="45">
        <f t="shared" si="16"/>
        <v>0</v>
      </c>
      <c r="AK76" s="80">
        <f t="shared" si="17"/>
        <v>0</v>
      </c>
      <c r="AL76" s="47">
        <v>0.75</v>
      </c>
      <c r="AM76" s="48">
        <f t="shared" si="24"/>
        <v>0</v>
      </c>
      <c r="AN76" s="48">
        <f t="shared" si="25"/>
        <v>0</v>
      </c>
      <c r="AO76" s="49">
        <f t="shared" si="23"/>
        <v>0</v>
      </c>
      <c r="AP76" s="49">
        <f t="shared" si="18"/>
        <v>0</v>
      </c>
      <c r="AQ76" s="50">
        <f t="shared" si="19"/>
        <v>0</v>
      </c>
      <c r="AR76" s="117"/>
      <c r="AS76" s="82"/>
      <c r="AT76" s="83"/>
      <c r="AU76" s="84"/>
      <c r="AV76" s="85"/>
      <c r="AW76" s="86"/>
      <c r="AX76" s="86"/>
      <c r="AY76" s="82"/>
      <c r="AZ76" s="87"/>
    </row>
    <row r="77" spans="1:52" ht="16.5" thickBot="1" x14ac:dyDescent="0.3">
      <c r="A77" s="74">
        <v>1000</v>
      </c>
      <c r="B77" s="75" t="s">
        <v>66</v>
      </c>
      <c r="C77" s="76"/>
      <c r="D77" s="26">
        <f t="shared" si="20"/>
        <v>0</v>
      </c>
      <c r="E77" s="27">
        <f t="shared" si="21"/>
        <v>0</v>
      </c>
      <c r="F77" s="29">
        <f t="shared" si="22"/>
        <v>0</v>
      </c>
      <c r="G77" s="30"/>
      <c r="H77" s="31"/>
      <c r="I77" s="32"/>
      <c r="J77" s="77"/>
      <c r="K77" s="33"/>
      <c r="L77" s="34"/>
      <c r="M77" s="34"/>
      <c r="N77" s="62"/>
      <c r="O77" s="34"/>
      <c r="P77" s="34"/>
      <c r="Q77" s="34"/>
      <c r="R77" s="62"/>
      <c r="S77" s="37"/>
      <c r="T77" s="34"/>
      <c r="U77" s="34"/>
      <c r="V77" s="62"/>
      <c r="W77" s="38"/>
      <c r="X77" s="31"/>
      <c r="Y77" s="31"/>
      <c r="Z77" s="78"/>
      <c r="AA77" s="37"/>
      <c r="AB77" s="34"/>
      <c r="AC77" s="34"/>
      <c r="AD77" s="64"/>
      <c r="AE77" s="79"/>
      <c r="AF77" s="64"/>
      <c r="AG77" s="43">
        <f t="shared" si="16"/>
        <v>0</v>
      </c>
      <c r="AH77" s="44">
        <f t="shared" si="16"/>
        <v>0</v>
      </c>
      <c r="AI77" s="44">
        <f t="shared" si="16"/>
        <v>0</v>
      </c>
      <c r="AJ77" s="45">
        <f t="shared" si="16"/>
        <v>0</v>
      </c>
      <c r="AK77" s="80">
        <f t="shared" si="17"/>
        <v>0</v>
      </c>
      <c r="AL77" s="47">
        <v>0.75</v>
      </c>
      <c r="AM77" s="48">
        <f t="shared" si="24"/>
        <v>0</v>
      </c>
      <c r="AN77" s="48">
        <f t="shared" si="25"/>
        <v>0</v>
      </c>
      <c r="AO77" s="49">
        <f t="shared" si="23"/>
        <v>0</v>
      </c>
      <c r="AP77" s="49">
        <f t="shared" si="18"/>
        <v>0</v>
      </c>
      <c r="AQ77" s="50">
        <f t="shared" si="19"/>
        <v>0</v>
      </c>
      <c r="AR77" s="117"/>
      <c r="AS77" s="82"/>
      <c r="AT77" s="83"/>
      <c r="AU77" s="84"/>
      <c r="AV77" s="85"/>
      <c r="AW77" s="86"/>
      <c r="AX77" s="86"/>
      <c r="AY77" s="82"/>
      <c r="AZ77" s="87"/>
    </row>
    <row r="78" spans="1:52" ht="16.5" thickBot="1" x14ac:dyDescent="0.3">
      <c r="A78" s="74">
        <v>1000</v>
      </c>
      <c r="B78" s="75" t="s">
        <v>67</v>
      </c>
      <c r="C78" s="76"/>
      <c r="D78" s="26">
        <f t="shared" si="20"/>
        <v>0</v>
      </c>
      <c r="E78" s="27">
        <f t="shared" si="21"/>
        <v>0</v>
      </c>
      <c r="F78" s="29">
        <f t="shared" si="22"/>
        <v>0</v>
      </c>
      <c r="G78" s="30"/>
      <c r="H78" s="31"/>
      <c r="I78" s="32"/>
      <c r="J78" s="77"/>
      <c r="K78" s="33"/>
      <c r="L78" s="34"/>
      <c r="M78" s="34"/>
      <c r="N78" s="62"/>
      <c r="O78" s="34"/>
      <c r="P78" s="34"/>
      <c r="Q78" s="34"/>
      <c r="R78" s="62"/>
      <c r="S78" s="37"/>
      <c r="T78" s="34"/>
      <c r="U78" s="34"/>
      <c r="V78" s="62"/>
      <c r="W78" s="38"/>
      <c r="X78" s="31"/>
      <c r="Y78" s="31"/>
      <c r="Z78" s="78"/>
      <c r="AA78" s="37"/>
      <c r="AB78" s="34"/>
      <c r="AC78" s="34"/>
      <c r="AD78" s="64"/>
      <c r="AE78" s="79"/>
      <c r="AF78" s="64"/>
      <c r="AG78" s="43">
        <f t="shared" si="16"/>
        <v>0</v>
      </c>
      <c r="AH78" s="44">
        <f t="shared" si="16"/>
        <v>0</v>
      </c>
      <c r="AI78" s="44">
        <f t="shared" si="16"/>
        <v>0</v>
      </c>
      <c r="AJ78" s="45">
        <f t="shared" si="16"/>
        <v>0</v>
      </c>
      <c r="AK78" s="80">
        <f t="shared" si="17"/>
        <v>0</v>
      </c>
      <c r="AL78" s="47">
        <v>0.75</v>
      </c>
      <c r="AM78" s="48">
        <f t="shared" si="24"/>
        <v>0</v>
      </c>
      <c r="AN78" s="48">
        <f t="shared" si="25"/>
        <v>0</v>
      </c>
      <c r="AO78" s="49">
        <f t="shared" si="23"/>
        <v>0</v>
      </c>
      <c r="AP78" s="49">
        <f t="shared" si="18"/>
        <v>0</v>
      </c>
      <c r="AQ78" s="50">
        <f t="shared" si="19"/>
        <v>0</v>
      </c>
      <c r="AR78" s="117"/>
      <c r="AS78" s="82"/>
      <c r="AT78" s="83"/>
      <c r="AU78" s="84"/>
      <c r="AV78" s="85"/>
      <c r="AW78" s="86"/>
      <c r="AX78" s="86"/>
      <c r="AY78" s="82"/>
      <c r="AZ78" s="87"/>
    </row>
    <row r="79" spans="1:52" ht="16.5" thickBot="1" x14ac:dyDescent="0.3">
      <c r="A79" s="74">
        <v>145</v>
      </c>
      <c r="B79" s="75" t="s">
        <v>72</v>
      </c>
      <c r="C79" s="76">
        <v>684</v>
      </c>
      <c r="D79" s="26">
        <f t="shared" si="20"/>
        <v>228</v>
      </c>
      <c r="E79" s="27">
        <f t="shared" si="21"/>
        <v>228</v>
      </c>
      <c r="F79" s="29">
        <f t="shared" si="22"/>
        <v>228</v>
      </c>
      <c r="G79" s="30"/>
      <c r="H79" s="31"/>
      <c r="I79" s="32"/>
      <c r="J79" s="77"/>
      <c r="K79" s="33"/>
      <c r="L79" s="34"/>
      <c r="M79" s="34"/>
      <c r="N79" s="62"/>
      <c r="O79" s="34"/>
      <c r="P79" s="34"/>
      <c r="Q79" s="34"/>
      <c r="R79" s="62"/>
      <c r="S79" s="37"/>
      <c r="T79" s="34"/>
      <c r="U79" s="34"/>
      <c r="V79" s="62"/>
      <c r="W79" s="38"/>
      <c r="X79" s="31"/>
      <c r="Y79" s="31"/>
      <c r="Z79" s="78"/>
      <c r="AA79" s="37"/>
      <c r="AB79" s="34"/>
      <c r="AC79" s="34"/>
      <c r="AD79" s="64"/>
      <c r="AE79" s="79"/>
      <c r="AF79" s="64"/>
      <c r="AG79" s="43">
        <f t="shared" si="16"/>
        <v>0</v>
      </c>
      <c r="AH79" s="44">
        <f t="shared" si="16"/>
        <v>0</v>
      </c>
      <c r="AI79" s="44">
        <f t="shared" si="16"/>
        <v>0</v>
      </c>
      <c r="AJ79" s="45">
        <f t="shared" si="16"/>
        <v>0</v>
      </c>
      <c r="AK79" s="80">
        <f t="shared" si="17"/>
        <v>0</v>
      </c>
      <c r="AL79" s="47">
        <v>0.75</v>
      </c>
      <c r="AM79" s="48">
        <f t="shared" si="24"/>
        <v>0</v>
      </c>
      <c r="AN79" s="48">
        <f t="shared" si="25"/>
        <v>0</v>
      </c>
      <c r="AO79" s="49">
        <f t="shared" si="23"/>
        <v>0</v>
      </c>
      <c r="AP79" s="49">
        <f t="shared" si="18"/>
        <v>0</v>
      </c>
      <c r="AQ79" s="50">
        <f t="shared" si="19"/>
        <v>0</v>
      </c>
      <c r="AR79" s="81">
        <v>17.920000000000002</v>
      </c>
      <c r="AS79" s="82">
        <v>2.5799999999999983</v>
      </c>
      <c r="AT79" s="83">
        <f>AK79*AS79</f>
        <v>0</v>
      </c>
      <c r="AU79" s="84">
        <f>AK79*AL79</f>
        <v>0</v>
      </c>
      <c r="AV79" s="85">
        <v>0</v>
      </c>
      <c r="AW79" s="86"/>
      <c r="AX79" s="86"/>
      <c r="AY79" s="82"/>
      <c r="AZ79" s="87">
        <f>AT79-AU79-AW79-AX79-AY79</f>
        <v>0</v>
      </c>
    </row>
    <row r="80" spans="1:52" ht="16.5" thickBot="1" x14ac:dyDescent="0.3">
      <c r="A80" s="74"/>
      <c r="B80" s="75" t="s">
        <v>73</v>
      </c>
      <c r="C80" s="76"/>
      <c r="D80" s="26">
        <f t="shared" si="20"/>
        <v>0</v>
      </c>
      <c r="E80" s="27">
        <f t="shared" si="21"/>
        <v>0</v>
      </c>
      <c r="F80" s="29">
        <f t="shared" si="22"/>
        <v>0</v>
      </c>
      <c r="G80" s="30"/>
      <c r="H80" s="31"/>
      <c r="I80" s="32"/>
      <c r="J80" s="77"/>
      <c r="K80" s="33"/>
      <c r="L80" s="34"/>
      <c r="M80" s="34"/>
      <c r="N80" s="62"/>
      <c r="O80" s="34"/>
      <c r="P80" s="34"/>
      <c r="Q80" s="34"/>
      <c r="R80" s="62"/>
      <c r="S80" s="37"/>
      <c r="T80" s="34"/>
      <c r="U80" s="34"/>
      <c r="V80" s="62"/>
      <c r="W80" s="38"/>
      <c r="X80" s="31"/>
      <c r="Y80" s="31"/>
      <c r="Z80" s="78"/>
      <c r="AA80" s="37"/>
      <c r="AB80" s="34"/>
      <c r="AC80" s="34"/>
      <c r="AD80" s="64"/>
      <c r="AE80" s="79"/>
      <c r="AF80" s="64"/>
      <c r="AG80" s="43">
        <f t="shared" si="16"/>
        <v>0</v>
      </c>
      <c r="AH80" s="44">
        <f t="shared" si="16"/>
        <v>0</v>
      </c>
      <c r="AI80" s="44">
        <f t="shared" si="16"/>
        <v>0</v>
      </c>
      <c r="AJ80" s="45">
        <f t="shared" si="16"/>
        <v>0</v>
      </c>
      <c r="AK80" s="80">
        <f t="shared" si="17"/>
        <v>0</v>
      </c>
      <c r="AL80" s="47">
        <v>0.75</v>
      </c>
      <c r="AM80" s="48">
        <f t="shared" si="24"/>
        <v>0</v>
      </c>
      <c r="AN80" s="48">
        <f t="shared" si="25"/>
        <v>0</v>
      </c>
      <c r="AO80" s="49">
        <f t="shared" si="23"/>
        <v>0</v>
      </c>
      <c r="AP80" s="49">
        <f t="shared" si="18"/>
        <v>0</v>
      </c>
      <c r="AQ80" s="50">
        <f t="shared" si="19"/>
        <v>0</v>
      </c>
      <c r="AR80" s="81"/>
      <c r="AS80" s="82"/>
      <c r="AT80" s="83"/>
      <c r="AU80" s="84"/>
      <c r="AV80" s="85"/>
      <c r="AW80" s="86"/>
      <c r="AX80" s="86"/>
      <c r="AY80" s="82"/>
      <c r="AZ80" s="87"/>
    </row>
    <row r="81" spans="1:52" ht="16.5" thickBot="1" x14ac:dyDescent="0.3">
      <c r="A81" s="74"/>
      <c r="B81" s="75" t="s">
        <v>74</v>
      </c>
      <c r="C81" s="76"/>
      <c r="D81" s="26">
        <f t="shared" si="20"/>
        <v>0</v>
      </c>
      <c r="E81" s="27">
        <f t="shared" si="21"/>
        <v>0</v>
      </c>
      <c r="F81" s="29">
        <f t="shared" si="22"/>
        <v>0</v>
      </c>
      <c r="G81" s="30"/>
      <c r="H81" s="31"/>
      <c r="I81" s="32"/>
      <c r="J81" s="77"/>
      <c r="K81" s="33"/>
      <c r="L81" s="34"/>
      <c r="M81" s="34"/>
      <c r="N81" s="62"/>
      <c r="O81" s="34"/>
      <c r="P81" s="34"/>
      <c r="Q81" s="34"/>
      <c r="R81" s="62"/>
      <c r="S81" s="37"/>
      <c r="T81" s="34"/>
      <c r="U81" s="34"/>
      <c r="V81" s="62"/>
      <c r="W81" s="38"/>
      <c r="X81" s="31"/>
      <c r="Y81" s="31"/>
      <c r="Z81" s="78"/>
      <c r="AA81" s="37"/>
      <c r="AB81" s="34"/>
      <c r="AC81" s="34"/>
      <c r="AD81" s="64"/>
      <c r="AE81" s="79"/>
      <c r="AF81" s="64"/>
      <c r="AG81" s="43">
        <f t="shared" si="16"/>
        <v>0</v>
      </c>
      <c r="AH81" s="44">
        <f t="shared" si="16"/>
        <v>0</v>
      </c>
      <c r="AI81" s="44">
        <f t="shared" si="16"/>
        <v>0</v>
      </c>
      <c r="AJ81" s="45">
        <f t="shared" si="16"/>
        <v>0</v>
      </c>
      <c r="AK81" s="80">
        <f t="shared" si="17"/>
        <v>0</v>
      </c>
      <c r="AL81" s="47">
        <v>0.75</v>
      </c>
      <c r="AM81" s="48">
        <f t="shared" si="24"/>
        <v>0</v>
      </c>
      <c r="AN81" s="48">
        <f t="shared" si="25"/>
        <v>0</v>
      </c>
      <c r="AO81" s="49">
        <f t="shared" si="23"/>
        <v>0</v>
      </c>
      <c r="AP81" s="49">
        <f t="shared" si="18"/>
        <v>0</v>
      </c>
      <c r="AQ81" s="50">
        <f t="shared" si="19"/>
        <v>0</v>
      </c>
      <c r="AR81" s="81"/>
      <c r="AS81" s="82"/>
      <c r="AT81" s="83"/>
      <c r="AU81" s="84"/>
      <c r="AV81" s="85"/>
      <c r="AW81" s="86"/>
      <c r="AX81" s="86"/>
      <c r="AY81" s="82"/>
      <c r="AZ81" s="87"/>
    </row>
    <row r="82" spans="1:52" ht="16.5" thickBot="1" x14ac:dyDescent="0.3">
      <c r="A82" s="74">
        <v>360</v>
      </c>
      <c r="B82" s="118" t="s">
        <v>75</v>
      </c>
      <c r="C82" s="76"/>
      <c r="D82" s="26">
        <f t="shared" si="20"/>
        <v>0</v>
      </c>
      <c r="E82" s="27">
        <f t="shared" si="21"/>
        <v>0</v>
      </c>
      <c r="F82" s="29">
        <f t="shared" si="22"/>
        <v>0</v>
      </c>
      <c r="G82" s="30"/>
      <c r="H82" s="31"/>
      <c r="I82" s="32"/>
      <c r="J82" s="77"/>
      <c r="K82" s="33"/>
      <c r="L82" s="34"/>
      <c r="M82" s="34"/>
      <c r="N82" s="62"/>
      <c r="O82" s="34"/>
      <c r="P82" s="34"/>
      <c r="Q82" s="34"/>
      <c r="R82" s="62"/>
      <c r="S82" s="37"/>
      <c r="T82" s="34"/>
      <c r="U82" s="34"/>
      <c r="V82" s="62"/>
      <c r="W82" s="38"/>
      <c r="X82" s="31"/>
      <c r="Y82" s="31"/>
      <c r="Z82" s="78"/>
      <c r="AA82" s="37"/>
      <c r="AB82" s="34"/>
      <c r="AC82" s="34"/>
      <c r="AD82" s="64"/>
      <c r="AE82" s="79"/>
      <c r="AF82" s="64"/>
      <c r="AG82" s="43">
        <f t="shared" si="16"/>
        <v>0</v>
      </c>
      <c r="AH82" s="44">
        <f t="shared" si="16"/>
        <v>0</v>
      </c>
      <c r="AI82" s="44">
        <f t="shared" si="16"/>
        <v>0</v>
      </c>
      <c r="AJ82" s="45">
        <f t="shared" si="16"/>
        <v>0</v>
      </c>
      <c r="AK82" s="80">
        <f t="shared" si="17"/>
        <v>0</v>
      </c>
      <c r="AL82" s="47">
        <v>0.44</v>
      </c>
      <c r="AM82" s="48">
        <f t="shared" si="24"/>
        <v>0</v>
      </c>
      <c r="AN82" s="48">
        <f t="shared" si="25"/>
        <v>0</v>
      </c>
      <c r="AO82" s="49">
        <f t="shared" si="23"/>
        <v>0</v>
      </c>
      <c r="AP82" s="49">
        <f t="shared" si="18"/>
        <v>0</v>
      </c>
      <c r="AQ82" s="50">
        <f t="shared" si="19"/>
        <v>0</v>
      </c>
      <c r="AR82" s="81">
        <v>11.75</v>
      </c>
      <c r="AS82" s="82">
        <v>1.25</v>
      </c>
      <c r="AT82" s="83">
        <f>AK82*AS82</f>
        <v>0</v>
      </c>
      <c r="AU82" s="84">
        <f>AK82*AL82</f>
        <v>0</v>
      </c>
      <c r="AV82" s="85">
        <v>0</v>
      </c>
      <c r="AW82" s="86"/>
      <c r="AX82" s="86"/>
      <c r="AY82" s="82"/>
      <c r="AZ82" s="87">
        <f>AT82-AU82-AW82-AX82-AY82</f>
        <v>0</v>
      </c>
    </row>
    <row r="83" spans="1:52" ht="16.5" thickBot="1" x14ac:dyDescent="0.3">
      <c r="A83" s="74"/>
      <c r="B83" s="118" t="s">
        <v>76</v>
      </c>
      <c r="C83" s="76"/>
      <c r="D83" s="26">
        <f t="shared" si="20"/>
        <v>0</v>
      </c>
      <c r="E83" s="27">
        <f t="shared" si="21"/>
        <v>0</v>
      </c>
      <c r="F83" s="29">
        <f t="shared" si="22"/>
        <v>0</v>
      </c>
      <c r="G83" s="30"/>
      <c r="H83" s="31"/>
      <c r="I83" s="32"/>
      <c r="J83" s="77"/>
      <c r="K83" s="33"/>
      <c r="L83" s="34"/>
      <c r="M83" s="34"/>
      <c r="N83" s="62"/>
      <c r="O83" s="34"/>
      <c r="P83" s="34"/>
      <c r="Q83" s="34"/>
      <c r="R83" s="62"/>
      <c r="S83" s="37"/>
      <c r="T83" s="34"/>
      <c r="U83" s="34"/>
      <c r="V83" s="62"/>
      <c r="W83" s="38"/>
      <c r="X83" s="31"/>
      <c r="Y83" s="31"/>
      <c r="Z83" s="78"/>
      <c r="AA83" s="37"/>
      <c r="AB83" s="34"/>
      <c r="AC83" s="34"/>
      <c r="AD83" s="64"/>
      <c r="AE83" s="79"/>
      <c r="AF83" s="64"/>
      <c r="AG83" s="43">
        <f t="shared" si="16"/>
        <v>0</v>
      </c>
      <c r="AH83" s="44">
        <f t="shared" si="16"/>
        <v>0</v>
      </c>
      <c r="AI83" s="44">
        <f t="shared" si="16"/>
        <v>0</v>
      </c>
      <c r="AJ83" s="45">
        <f t="shared" si="16"/>
        <v>0</v>
      </c>
      <c r="AK83" s="80">
        <f t="shared" si="17"/>
        <v>0</v>
      </c>
      <c r="AL83" s="47">
        <v>0.44</v>
      </c>
      <c r="AM83" s="48">
        <f t="shared" si="24"/>
        <v>0</v>
      </c>
      <c r="AN83" s="48">
        <f t="shared" si="25"/>
        <v>0</v>
      </c>
      <c r="AO83" s="49">
        <f t="shared" si="23"/>
        <v>0</v>
      </c>
      <c r="AP83" s="49">
        <f t="shared" si="18"/>
        <v>0</v>
      </c>
      <c r="AQ83" s="50">
        <f t="shared" si="19"/>
        <v>0</v>
      </c>
      <c r="AR83" s="81"/>
      <c r="AS83" s="82"/>
      <c r="AT83" s="83"/>
      <c r="AU83" s="84"/>
      <c r="AV83" s="85"/>
      <c r="AW83" s="86"/>
      <c r="AX83" s="86"/>
      <c r="AY83" s="82"/>
      <c r="AZ83" s="87"/>
    </row>
    <row r="84" spans="1:52" ht="16.5" thickBot="1" x14ac:dyDescent="0.3">
      <c r="A84" s="74"/>
      <c r="B84" s="118" t="s">
        <v>77</v>
      </c>
      <c r="C84" s="76"/>
      <c r="D84" s="26">
        <f t="shared" si="20"/>
        <v>0</v>
      </c>
      <c r="E84" s="27">
        <f t="shared" si="21"/>
        <v>0</v>
      </c>
      <c r="F84" s="29">
        <f t="shared" si="22"/>
        <v>0</v>
      </c>
      <c r="G84" s="30"/>
      <c r="H84" s="31"/>
      <c r="I84" s="32"/>
      <c r="J84" s="77"/>
      <c r="K84" s="33"/>
      <c r="L84" s="34"/>
      <c r="M84" s="34"/>
      <c r="N84" s="62"/>
      <c r="O84" s="34"/>
      <c r="P84" s="34"/>
      <c r="Q84" s="34"/>
      <c r="R84" s="62"/>
      <c r="S84" s="37"/>
      <c r="T84" s="34"/>
      <c r="U84" s="34"/>
      <c r="V84" s="62"/>
      <c r="W84" s="38"/>
      <c r="X84" s="31"/>
      <c r="Y84" s="31"/>
      <c r="Z84" s="78"/>
      <c r="AA84" s="37"/>
      <c r="AB84" s="34"/>
      <c r="AC84" s="34"/>
      <c r="AD84" s="64"/>
      <c r="AE84" s="79"/>
      <c r="AF84" s="64"/>
      <c r="AG84" s="43">
        <f t="shared" si="16"/>
        <v>0</v>
      </c>
      <c r="AH84" s="44">
        <f t="shared" si="16"/>
        <v>0</v>
      </c>
      <c r="AI84" s="44">
        <f t="shared" si="16"/>
        <v>0</v>
      </c>
      <c r="AJ84" s="45">
        <f t="shared" si="16"/>
        <v>0</v>
      </c>
      <c r="AK84" s="80">
        <f t="shared" si="17"/>
        <v>0</v>
      </c>
      <c r="AL84" s="47">
        <v>0.44</v>
      </c>
      <c r="AM84" s="48">
        <f t="shared" si="24"/>
        <v>0</v>
      </c>
      <c r="AN84" s="48">
        <f t="shared" si="25"/>
        <v>0</v>
      </c>
      <c r="AO84" s="49">
        <f t="shared" si="23"/>
        <v>0</v>
      </c>
      <c r="AP84" s="49">
        <f t="shared" si="18"/>
        <v>0</v>
      </c>
      <c r="AQ84" s="50">
        <f t="shared" si="19"/>
        <v>0</v>
      </c>
      <c r="AR84" s="81"/>
      <c r="AS84" s="82"/>
      <c r="AT84" s="83"/>
      <c r="AU84" s="84"/>
      <c r="AV84" s="85"/>
      <c r="AW84" s="86"/>
      <c r="AX84" s="86"/>
      <c r="AY84" s="82"/>
      <c r="AZ84" s="87"/>
    </row>
    <row r="85" spans="1:52" ht="16.5" thickBot="1" x14ac:dyDescent="0.3">
      <c r="A85" s="74"/>
      <c r="B85" s="75" t="s">
        <v>78</v>
      </c>
      <c r="C85" s="76"/>
      <c r="D85" s="26">
        <f t="shared" si="20"/>
        <v>0</v>
      </c>
      <c r="E85" s="27">
        <f t="shared" si="21"/>
        <v>0</v>
      </c>
      <c r="F85" s="29">
        <f t="shared" si="22"/>
        <v>0</v>
      </c>
      <c r="G85" s="30"/>
      <c r="H85" s="31"/>
      <c r="I85" s="32"/>
      <c r="J85" s="77"/>
      <c r="K85" s="33"/>
      <c r="L85" s="34"/>
      <c r="M85" s="34"/>
      <c r="N85" s="62"/>
      <c r="O85" s="34"/>
      <c r="P85" s="34"/>
      <c r="Q85" s="34"/>
      <c r="R85" s="62"/>
      <c r="S85" s="37"/>
      <c r="T85" s="34"/>
      <c r="U85" s="34"/>
      <c r="V85" s="62"/>
      <c r="W85" s="38"/>
      <c r="X85" s="31"/>
      <c r="Y85" s="31"/>
      <c r="Z85" s="78"/>
      <c r="AA85" s="37"/>
      <c r="AB85" s="34"/>
      <c r="AC85" s="34"/>
      <c r="AD85" s="64"/>
      <c r="AE85" s="79"/>
      <c r="AF85" s="64"/>
      <c r="AG85" s="43">
        <f t="shared" si="16"/>
        <v>0</v>
      </c>
      <c r="AH85" s="44">
        <f t="shared" si="16"/>
        <v>0</v>
      </c>
      <c r="AI85" s="44">
        <f t="shared" si="16"/>
        <v>0</v>
      </c>
      <c r="AJ85" s="45">
        <f t="shared" si="16"/>
        <v>0</v>
      </c>
      <c r="AK85" s="80">
        <f t="shared" si="17"/>
        <v>0</v>
      </c>
      <c r="AL85" s="47">
        <v>0.44</v>
      </c>
      <c r="AM85" s="48">
        <f t="shared" si="24"/>
        <v>0</v>
      </c>
      <c r="AN85" s="48">
        <f t="shared" si="25"/>
        <v>0</v>
      </c>
      <c r="AO85" s="49">
        <f t="shared" si="23"/>
        <v>0</v>
      </c>
      <c r="AP85" s="49">
        <f t="shared" si="18"/>
        <v>0</v>
      </c>
      <c r="AQ85" s="50">
        <f t="shared" si="19"/>
        <v>0</v>
      </c>
      <c r="AR85" s="81"/>
      <c r="AS85" s="82"/>
      <c r="AT85" s="83"/>
      <c r="AU85" s="84"/>
      <c r="AV85" s="85"/>
      <c r="AW85" s="86"/>
      <c r="AX85" s="86"/>
      <c r="AY85" s="82"/>
      <c r="AZ85" s="87"/>
    </row>
    <row r="86" spans="1:52" ht="16.5" thickBot="1" x14ac:dyDescent="0.3">
      <c r="A86" s="74"/>
      <c r="B86" s="75" t="s">
        <v>79</v>
      </c>
      <c r="C86" s="76"/>
      <c r="D86" s="26">
        <f t="shared" si="20"/>
        <v>0</v>
      </c>
      <c r="E86" s="27">
        <f t="shared" si="21"/>
        <v>0</v>
      </c>
      <c r="F86" s="29">
        <f t="shared" si="22"/>
        <v>0</v>
      </c>
      <c r="G86" s="30"/>
      <c r="H86" s="31"/>
      <c r="I86" s="32"/>
      <c r="J86" s="77"/>
      <c r="K86" s="33"/>
      <c r="L86" s="34"/>
      <c r="M86" s="34"/>
      <c r="N86" s="62"/>
      <c r="O86" s="34"/>
      <c r="P86" s="34"/>
      <c r="Q86" s="34"/>
      <c r="R86" s="62"/>
      <c r="S86" s="37"/>
      <c r="T86" s="34"/>
      <c r="U86" s="34"/>
      <c r="V86" s="62"/>
      <c r="W86" s="38"/>
      <c r="X86" s="31"/>
      <c r="Y86" s="31"/>
      <c r="Z86" s="78"/>
      <c r="AA86" s="37"/>
      <c r="AB86" s="34"/>
      <c r="AC86" s="34"/>
      <c r="AD86" s="64"/>
      <c r="AE86" s="79"/>
      <c r="AF86" s="64"/>
      <c r="AG86" s="43">
        <f t="shared" si="16"/>
        <v>0</v>
      </c>
      <c r="AH86" s="44">
        <f t="shared" si="16"/>
        <v>0</v>
      </c>
      <c r="AI86" s="44">
        <f t="shared" si="16"/>
        <v>0</v>
      </c>
      <c r="AJ86" s="45">
        <f t="shared" si="16"/>
        <v>0</v>
      </c>
      <c r="AK86" s="80">
        <f t="shared" si="17"/>
        <v>0</v>
      </c>
      <c r="AL86" s="47">
        <v>0.44</v>
      </c>
      <c r="AM86" s="48">
        <f t="shared" si="24"/>
        <v>0</v>
      </c>
      <c r="AN86" s="48">
        <f t="shared" si="25"/>
        <v>0</v>
      </c>
      <c r="AO86" s="49">
        <f t="shared" si="23"/>
        <v>0</v>
      </c>
      <c r="AP86" s="49">
        <f t="shared" si="18"/>
        <v>0</v>
      </c>
      <c r="AQ86" s="50">
        <f t="shared" si="19"/>
        <v>0</v>
      </c>
      <c r="AR86" s="81"/>
      <c r="AS86" s="82"/>
      <c r="AT86" s="83"/>
      <c r="AU86" s="84"/>
      <c r="AV86" s="85"/>
      <c r="AW86" s="86"/>
      <c r="AX86" s="86"/>
      <c r="AY86" s="82"/>
      <c r="AZ86" s="87"/>
    </row>
    <row r="87" spans="1:52" ht="16.5" thickBot="1" x14ac:dyDescent="0.3">
      <c r="A87" s="74"/>
      <c r="B87" s="75" t="s">
        <v>80</v>
      </c>
      <c r="C87" s="76"/>
      <c r="D87" s="26">
        <f t="shared" si="20"/>
        <v>0</v>
      </c>
      <c r="E87" s="27">
        <f t="shared" si="21"/>
        <v>0</v>
      </c>
      <c r="F87" s="29">
        <f t="shared" si="22"/>
        <v>0</v>
      </c>
      <c r="G87" s="30"/>
      <c r="H87" s="31"/>
      <c r="I87" s="32"/>
      <c r="J87" s="77"/>
      <c r="K87" s="33"/>
      <c r="L87" s="34"/>
      <c r="M87" s="34"/>
      <c r="N87" s="62"/>
      <c r="O87" s="34"/>
      <c r="P87" s="34"/>
      <c r="Q87" s="34"/>
      <c r="R87" s="62"/>
      <c r="S87" s="37"/>
      <c r="T87" s="34"/>
      <c r="U87" s="34"/>
      <c r="V87" s="62"/>
      <c r="W87" s="38"/>
      <c r="X87" s="31"/>
      <c r="Y87" s="31"/>
      <c r="Z87" s="78"/>
      <c r="AA87" s="37"/>
      <c r="AB87" s="34"/>
      <c r="AC87" s="34"/>
      <c r="AD87" s="64"/>
      <c r="AE87" s="79"/>
      <c r="AF87" s="64"/>
      <c r="AG87" s="43">
        <f t="shared" si="16"/>
        <v>0</v>
      </c>
      <c r="AH87" s="44">
        <f t="shared" si="16"/>
        <v>0</v>
      </c>
      <c r="AI87" s="44">
        <f t="shared" si="16"/>
        <v>0</v>
      </c>
      <c r="AJ87" s="45">
        <f t="shared" si="16"/>
        <v>0</v>
      </c>
      <c r="AK87" s="80">
        <f t="shared" si="17"/>
        <v>0</v>
      </c>
      <c r="AL87" s="47">
        <v>0.44</v>
      </c>
      <c r="AM87" s="48">
        <f t="shared" si="24"/>
        <v>0</v>
      </c>
      <c r="AN87" s="48">
        <f t="shared" si="25"/>
        <v>0</v>
      </c>
      <c r="AO87" s="49">
        <f t="shared" si="23"/>
        <v>0</v>
      </c>
      <c r="AP87" s="49">
        <f t="shared" si="18"/>
        <v>0</v>
      </c>
      <c r="AQ87" s="50">
        <f t="shared" si="19"/>
        <v>0</v>
      </c>
      <c r="AR87" s="81"/>
      <c r="AS87" s="82"/>
      <c r="AT87" s="83"/>
      <c r="AU87" s="84"/>
      <c r="AV87" s="85"/>
      <c r="AW87" s="86"/>
      <c r="AX87" s="86"/>
      <c r="AY87" s="82"/>
      <c r="AZ87" s="87"/>
    </row>
    <row r="88" spans="1:52" ht="16.5" thickBot="1" x14ac:dyDescent="0.3">
      <c r="A88" s="74"/>
      <c r="B88" s="75" t="s">
        <v>81</v>
      </c>
      <c r="C88" s="76"/>
      <c r="D88" s="26">
        <f t="shared" si="20"/>
        <v>0</v>
      </c>
      <c r="E88" s="27">
        <f t="shared" si="21"/>
        <v>0</v>
      </c>
      <c r="F88" s="29">
        <f t="shared" si="22"/>
        <v>0</v>
      </c>
      <c r="G88" s="30"/>
      <c r="H88" s="31"/>
      <c r="I88" s="32"/>
      <c r="J88" s="77"/>
      <c r="K88" s="33"/>
      <c r="L88" s="34"/>
      <c r="M88" s="34"/>
      <c r="N88" s="62"/>
      <c r="O88" s="34"/>
      <c r="P88" s="34"/>
      <c r="Q88" s="34"/>
      <c r="R88" s="62"/>
      <c r="S88" s="37"/>
      <c r="T88" s="34"/>
      <c r="U88" s="34"/>
      <c r="V88" s="62"/>
      <c r="W88" s="38"/>
      <c r="X88" s="31"/>
      <c r="Y88" s="31"/>
      <c r="Z88" s="78"/>
      <c r="AA88" s="37"/>
      <c r="AB88" s="34"/>
      <c r="AC88" s="34"/>
      <c r="AD88" s="64"/>
      <c r="AE88" s="79"/>
      <c r="AF88" s="64"/>
      <c r="AG88" s="43">
        <f t="shared" si="16"/>
        <v>0</v>
      </c>
      <c r="AH88" s="44">
        <f t="shared" si="16"/>
        <v>0</v>
      </c>
      <c r="AI88" s="44">
        <f t="shared" si="16"/>
        <v>0</v>
      </c>
      <c r="AJ88" s="45">
        <f>J88+N88+R88+V88+Z88+AD88</f>
        <v>0</v>
      </c>
      <c r="AK88" s="80">
        <f t="shared" si="17"/>
        <v>0</v>
      </c>
      <c r="AL88" s="47">
        <v>0.44</v>
      </c>
      <c r="AM88" s="48">
        <f t="shared" si="24"/>
        <v>0</v>
      </c>
      <c r="AN88" s="48">
        <f t="shared" si="25"/>
        <v>0</v>
      </c>
      <c r="AO88" s="49">
        <f t="shared" si="23"/>
        <v>0</v>
      </c>
      <c r="AP88" s="49">
        <f t="shared" si="18"/>
        <v>0</v>
      </c>
      <c r="AQ88" s="50">
        <f t="shared" si="19"/>
        <v>0</v>
      </c>
      <c r="AR88" s="81"/>
      <c r="AS88" s="82"/>
      <c r="AT88" s="83"/>
      <c r="AU88" s="84"/>
      <c r="AV88" s="85"/>
      <c r="AW88" s="86"/>
      <c r="AX88" s="86"/>
      <c r="AY88" s="82"/>
      <c r="AZ88" s="87"/>
    </row>
    <row r="89" spans="1:52" ht="16.5" thickBot="1" x14ac:dyDescent="0.3">
      <c r="A89" s="74">
        <v>625</v>
      </c>
      <c r="B89" s="75" t="s">
        <v>75</v>
      </c>
      <c r="C89" s="76"/>
      <c r="D89" s="26">
        <f t="shared" si="20"/>
        <v>0</v>
      </c>
      <c r="E89" s="27">
        <f t="shared" si="21"/>
        <v>0</v>
      </c>
      <c r="F89" s="29">
        <f t="shared" si="22"/>
        <v>0</v>
      </c>
      <c r="G89" s="30"/>
      <c r="H89" s="31"/>
      <c r="I89" s="32"/>
      <c r="J89" s="77"/>
      <c r="K89" s="33"/>
      <c r="L89" s="34"/>
      <c r="M89" s="34"/>
      <c r="N89" s="62"/>
      <c r="O89" s="34"/>
      <c r="P89" s="34"/>
      <c r="Q89" s="34"/>
      <c r="R89" s="62"/>
      <c r="S89" s="37"/>
      <c r="T89" s="34"/>
      <c r="U89" s="34"/>
      <c r="V89" s="62"/>
      <c r="W89" s="38"/>
      <c r="X89" s="31"/>
      <c r="Y89" s="31"/>
      <c r="Z89" s="78"/>
      <c r="AA89" s="37"/>
      <c r="AB89" s="34"/>
      <c r="AC89" s="34"/>
      <c r="AD89" s="64"/>
      <c r="AE89" s="79"/>
      <c r="AF89" s="64"/>
      <c r="AG89" s="43">
        <f t="shared" si="16"/>
        <v>0</v>
      </c>
      <c r="AH89" s="44">
        <f t="shared" si="16"/>
        <v>0</v>
      </c>
      <c r="AI89" s="44">
        <f t="shared" si="16"/>
        <v>0</v>
      </c>
      <c r="AJ89" s="45">
        <f>J89+N89+R89+V89+Z89+AD89</f>
        <v>0</v>
      </c>
      <c r="AK89" s="80">
        <f t="shared" si="17"/>
        <v>0</v>
      </c>
      <c r="AL89" s="47">
        <v>0.75</v>
      </c>
      <c r="AM89" s="48">
        <f t="shared" si="24"/>
        <v>0</v>
      </c>
      <c r="AN89" s="48">
        <f t="shared" si="25"/>
        <v>0</v>
      </c>
      <c r="AO89" s="49">
        <f t="shared" si="23"/>
        <v>0</v>
      </c>
      <c r="AP89" s="49">
        <f t="shared" si="18"/>
        <v>0</v>
      </c>
      <c r="AQ89" s="50">
        <f t="shared" si="19"/>
        <v>0</v>
      </c>
      <c r="AR89" s="81"/>
      <c r="AS89" s="82"/>
      <c r="AT89" s="83">
        <f>AK89*AS89</f>
        <v>0</v>
      </c>
      <c r="AU89" s="84">
        <f>AK89*AL89</f>
        <v>0</v>
      </c>
      <c r="AV89" s="85">
        <v>0</v>
      </c>
      <c r="AW89" s="86"/>
      <c r="AX89" s="86"/>
      <c r="AY89" s="82"/>
      <c r="AZ89" s="87"/>
    </row>
    <row r="90" spans="1:52" ht="16.5" thickBot="1" x14ac:dyDescent="0.3">
      <c r="A90" s="74"/>
      <c r="B90" s="75" t="s">
        <v>77</v>
      </c>
      <c r="C90" s="76"/>
      <c r="D90" s="26">
        <f t="shared" si="20"/>
        <v>0</v>
      </c>
      <c r="E90" s="27">
        <f t="shared" si="21"/>
        <v>0</v>
      </c>
      <c r="F90" s="29">
        <f t="shared" si="22"/>
        <v>0</v>
      </c>
      <c r="G90" s="30"/>
      <c r="H90" s="31"/>
      <c r="I90" s="32"/>
      <c r="J90" s="77"/>
      <c r="K90" s="33"/>
      <c r="L90" s="34"/>
      <c r="M90" s="34"/>
      <c r="N90" s="62"/>
      <c r="O90" s="34"/>
      <c r="P90" s="34"/>
      <c r="Q90" s="34"/>
      <c r="R90" s="62"/>
      <c r="S90" s="37"/>
      <c r="T90" s="34"/>
      <c r="U90" s="34"/>
      <c r="V90" s="62"/>
      <c r="W90" s="38"/>
      <c r="X90" s="31"/>
      <c r="Y90" s="31"/>
      <c r="Z90" s="78"/>
      <c r="AA90" s="37"/>
      <c r="AB90" s="34"/>
      <c r="AC90" s="34"/>
      <c r="AD90" s="64"/>
      <c r="AE90" s="79"/>
      <c r="AF90" s="64"/>
      <c r="AG90" s="43">
        <f t="shared" si="16"/>
        <v>0</v>
      </c>
      <c r="AH90" s="44">
        <f t="shared" si="16"/>
        <v>0</v>
      </c>
      <c r="AI90" s="44">
        <f t="shared" si="16"/>
        <v>0</v>
      </c>
      <c r="AJ90" s="45">
        <f>J90+N90+R90+V90+Z90+AD90</f>
        <v>0</v>
      </c>
      <c r="AK90" s="80">
        <f t="shared" si="17"/>
        <v>0</v>
      </c>
      <c r="AL90" s="47">
        <v>0.75</v>
      </c>
      <c r="AM90" s="48">
        <f t="shared" si="24"/>
        <v>0</v>
      </c>
      <c r="AN90" s="48">
        <f t="shared" si="25"/>
        <v>0</v>
      </c>
      <c r="AO90" s="49">
        <f t="shared" si="23"/>
        <v>0</v>
      </c>
      <c r="AP90" s="49">
        <f t="shared" si="18"/>
        <v>0</v>
      </c>
      <c r="AQ90" s="50">
        <f t="shared" si="19"/>
        <v>0</v>
      </c>
      <c r="AR90" s="81"/>
      <c r="AS90" s="82"/>
      <c r="AT90" s="83"/>
      <c r="AU90" s="84"/>
      <c r="AV90" s="85"/>
      <c r="AW90" s="86"/>
      <c r="AX90" s="86"/>
      <c r="AY90" s="82"/>
      <c r="AZ90" s="87"/>
    </row>
    <row r="91" spans="1:52" ht="16.5" thickBot="1" x14ac:dyDescent="0.3">
      <c r="A91" s="74"/>
      <c r="B91" s="75" t="s">
        <v>82</v>
      </c>
      <c r="C91" s="76"/>
      <c r="D91" s="26">
        <f t="shared" si="20"/>
        <v>0</v>
      </c>
      <c r="E91" s="27">
        <f t="shared" si="21"/>
        <v>0</v>
      </c>
      <c r="F91" s="29">
        <f t="shared" si="22"/>
        <v>0</v>
      </c>
      <c r="G91" s="30"/>
      <c r="H91" s="31"/>
      <c r="I91" s="32"/>
      <c r="J91" s="77"/>
      <c r="K91" s="33"/>
      <c r="L91" s="34"/>
      <c r="M91" s="34"/>
      <c r="N91" s="62"/>
      <c r="O91" s="34"/>
      <c r="P91" s="34"/>
      <c r="Q91" s="34"/>
      <c r="R91" s="62"/>
      <c r="S91" s="37"/>
      <c r="T91" s="34"/>
      <c r="U91" s="34"/>
      <c r="V91" s="62"/>
      <c r="W91" s="38"/>
      <c r="X91" s="31"/>
      <c r="Y91" s="31"/>
      <c r="Z91" s="78"/>
      <c r="AA91" s="37"/>
      <c r="AB91" s="34"/>
      <c r="AC91" s="34"/>
      <c r="AD91" s="64"/>
      <c r="AE91" s="79"/>
      <c r="AF91" s="64"/>
      <c r="AG91" s="43">
        <f t="shared" si="16"/>
        <v>0</v>
      </c>
      <c r="AH91" s="44">
        <f t="shared" si="16"/>
        <v>0</v>
      </c>
      <c r="AI91" s="44">
        <f t="shared" si="16"/>
        <v>0</v>
      </c>
      <c r="AJ91" s="45">
        <f t="shared" si="16"/>
        <v>0</v>
      </c>
      <c r="AK91" s="80">
        <f t="shared" si="17"/>
        <v>0</v>
      </c>
      <c r="AL91" s="47">
        <v>0.75</v>
      </c>
      <c r="AM91" s="48">
        <f t="shared" si="24"/>
        <v>0</v>
      </c>
      <c r="AN91" s="48">
        <f t="shared" si="25"/>
        <v>0</v>
      </c>
      <c r="AO91" s="49">
        <f t="shared" si="23"/>
        <v>0</v>
      </c>
      <c r="AP91" s="49">
        <f t="shared" si="18"/>
        <v>0</v>
      </c>
      <c r="AQ91" s="50">
        <f t="shared" si="19"/>
        <v>0</v>
      </c>
      <c r="AR91" s="81"/>
      <c r="AS91" s="82"/>
      <c r="AT91" s="83"/>
      <c r="AU91" s="84"/>
      <c r="AV91" s="85"/>
      <c r="AW91" s="86"/>
      <c r="AX91" s="86"/>
      <c r="AY91" s="82"/>
      <c r="AZ91" s="87"/>
    </row>
    <row r="92" spans="1:52" ht="16.5" thickBot="1" x14ac:dyDescent="0.3">
      <c r="A92" s="74"/>
      <c r="B92" s="75" t="s">
        <v>81</v>
      </c>
      <c r="C92" s="76"/>
      <c r="D92" s="26">
        <f t="shared" si="20"/>
        <v>0</v>
      </c>
      <c r="E92" s="27">
        <f t="shared" si="21"/>
        <v>0</v>
      </c>
      <c r="F92" s="29">
        <f t="shared" si="22"/>
        <v>0</v>
      </c>
      <c r="G92" s="30"/>
      <c r="H92" s="31"/>
      <c r="I92" s="32"/>
      <c r="J92" s="77"/>
      <c r="K92" s="33"/>
      <c r="L92" s="34"/>
      <c r="M92" s="34"/>
      <c r="N92" s="62"/>
      <c r="O92" s="34"/>
      <c r="P92" s="34"/>
      <c r="Q92" s="34"/>
      <c r="R92" s="62"/>
      <c r="S92" s="37"/>
      <c r="T92" s="34"/>
      <c r="U92" s="34"/>
      <c r="V92" s="62"/>
      <c r="W92" s="38"/>
      <c r="X92" s="31"/>
      <c r="Y92" s="31"/>
      <c r="Z92" s="78"/>
      <c r="AA92" s="37"/>
      <c r="AB92" s="34"/>
      <c r="AC92" s="34"/>
      <c r="AD92" s="64"/>
      <c r="AE92" s="79"/>
      <c r="AF92" s="64"/>
      <c r="AG92" s="43">
        <f t="shared" si="16"/>
        <v>0</v>
      </c>
      <c r="AH92" s="44">
        <f t="shared" si="16"/>
        <v>0</v>
      </c>
      <c r="AI92" s="44">
        <f t="shared" si="16"/>
        <v>0</v>
      </c>
      <c r="AJ92" s="45">
        <f t="shared" si="16"/>
        <v>0</v>
      </c>
      <c r="AK92" s="80">
        <f t="shared" si="17"/>
        <v>0</v>
      </c>
      <c r="AL92" s="47">
        <v>0.75</v>
      </c>
      <c r="AM92" s="48">
        <f t="shared" si="24"/>
        <v>0</v>
      </c>
      <c r="AN92" s="48">
        <f t="shared" si="25"/>
        <v>0</v>
      </c>
      <c r="AO92" s="49">
        <f t="shared" si="23"/>
        <v>0</v>
      </c>
      <c r="AP92" s="49">
        <f t="shared" si="18"/>
        <v>0</v>
      </c>
      <c r="AQ92" s="50">
        <f t="shared" si="19"/>
        <v>0</v>
      </c>
      <c r="AR92" s="81"/>
      <c r="AS92" s="82"/>
      <c r="AT92" s="83"/>
      <c r="AU92" s="84"/>
      <c r="AV92" s="85"/>
      <c r="AW92" s="86"/>
      <c r="AX92" s="86"/>
      <c r="AY92" s="82"/>
      <c r="AZ92" s="87"/>
    </row>
    <row r="93" spans="1:52" ht="16.5" thickBot="1" x14ac:dyDescent="0.3">
      <c r="A93" s="74"/>
      <c r="B93" s="75" t="s">
        <v>79</v>
      </c>
      <c r="C93" s="76"/>
      <c r="D93" s="26">
        <f t="shared" si="20"/>
        <v>0</v>
      </c>
      <c r="E93" s="27">
        <f t="shared" si="21"/>
        <v>0</v>
      </c>
      <c r="F93" s="29">
        <f t="shared" si="22"/>
        <v>0</v>
      </c>
      <c r="G93" s="30"/>
      <c r="H93" s="31"/>
      <c r="I93" s="32"/>
      <c r="J93" s="77"/>
      <c r="K93" s="33"/>
      <c r="L93" s="34"/>
      <c r="M93" s="34"/>
      <c r="N93" s="62"/>
      <c r="O93" s="34"/>
      <c r="P93" s="34"/>
      <c r="Q93" s="34"/>
      <c r="R93" s="62"/>
      <c r="S93" s="37"/>
      <c r="T93" s="34"/>
      <c r="U93" s="34"/>
      <c r="V93" s="62"/>
      <c r="W93" s="38"/>
      <c r="X93" s="31"/>
      <c r="Y93" s="31"/>
      <c r="Z93" s="78"/>
      <c r="AA93" s="37"/>
      <c r="AB93" s="34"/>
      <c r="AC93" s="34"/>
      <c r="AD93" s="64"/>
      <c r="AE93" s="79"/>
      <c r="AF93" s="64"/>
      <c r="AG93" s="43">
        <f t="shared" si="16"/>
        <v>0</v>
      </c>
      <c r="AH93" s="44">
        <f t="shared" si="16"/>
        <v>0</v>
      </c>
      <c r="AI93" s="44">
        <f t="shared" si="16"/>
        <v>0</v>
      </c>
      <c r="AJ93" s="45">
        <f t="shared" si="16"/>
        <v>0</v>
      </c>
      <c r="AK93" s="80">
        <f t="shared" si="17"/>
        <v>0</v>
      </c>
      <c r="AL93" s="47">
        <v>0.75</v>
      </c>
      <c r="AM93" s="48">
        <f t="shared" si="24"/>
        <v>0</v>
      </c>
      <c r="AN93" s="48">
        <f t="shared" si="25"/>
        <v>0</v>
      </c>
      <c r="AO93" s="49">
        <f t="shared" si="23"/>
        <v>0</v>
      </c>
      <c r="AP93" s="49">
        <f t="shared" si="18"/>
        <v>0</v>
      </c>
      <c r="AQ93" s="50">
        <f t="shared" si="19"/>
        <v>0</v>
      </c>
      <c r="AR93" s="81"/>
      <c r="AS93" s="82"/>
      <c r="AT93" s="83"/>
      <c r="AU93" s="84"/>
      <c r="AV93" s="85"/>
      <c r="AW93" s="86"/>
      <c r="AX93" s="86"/>
      <c r="AY93" s="82"/>
      <c r="AZ93" s="87"/>
    </row>
    <row r="94" spans="1:52" ht="16.5" thickBot="1" x14ac:dyDescent="0.3">
      <c r="A94" s="74"/>
      <c r="B94" s="75" t="s">
        <v>80</v>
      </c>
      <c r="C94" s="76"/>
      <c r="D94" s="26">
        <f t="shared" si="20"/>
        <v>0</v>
      </c>
      <c r="E94" s="27">
        <f t="shared" si="21"/>
        <v>0</v>
      </c>
      <c r="F94" s="29">
        <f t="shared" si="22"/>
        <v>0</v>
      </c>
      <c r="G94" s="30"/>
      <c r="H94" s="31"/>
      <c r="I94" s="32"/>
      <c r="J94" s="77"/>
      <c r="K94" s="33"/>
      <c r="L94" s="34"/>
      <c r="M94" s="34"/>
      <c r="N94" s="62"/>
      <c r="O94" s="34"/>
      <c r="P94" s="34"/>
      <c r="Q94" s="34"/>
      <c r="R94" s="62"/>
      <c r="S94" s="37"/>
      <c r="T94" s="34"/>
      <c r="U94" s="34"/>
      <c r="V94" s="62"/>
      <c r="W94" s="38"/>
      <c r="X94" s="31"/>
      <c r="Y94" s="31"/>
      <c r="Z94" s="78"/>
      <c r="AA94" s="37"/>
      <c r="AB94" s="34"/>
      <c r="AC94" s="34"/>
      <c r="AD94" s="64"/>
      <c r="AE94" s="79"/>
      <c r="AF94" s="64"/>
      <c r="AG94" s="43">
        <f t="shared" si="16"/>
        <v>0</v>
      </c>
      <c r="AH94" s="44">
        <f t="shared" si="16"/>
        <v>0</v>
      </c>
      <c r="AI94" s="44">
        <f t="shared" si="16"/>
        <v>0</v>
      </c>
      <c r="AJ94" s="45">
        <f t="shared" si="16"/>
        <v>0</v>
      </c>
      <c r="AK94" s="80">
        <f t="shared" si="17"/>
        <v>0</v>
      </c>
      <c r="AL94" s="47">
        <v>0.75</v>
      </c>
      <c r="AM94" s="48">
        <f t="shared" si="24"/>
        <v>0</v>
      </c>
      <c r="AN94" s="48">
        <f t="shared" si="25"/>
        <v>0</v>
      </c>
      <c r="AO94" s="49">
        <f t="shared" si="23"/>
        <v>0</v>
      </c>
      <c r="AP94" s="49">
        <f t="shared" si="18"/>
        <v>0</v>
      </c>
      <c r="AQ94" s="50">
        <f t="shared" si="19"/>
        <v>0</v>
      </c>
      <c r="AR94" s="81"/>
      <c r="AS94" s="82"/>
      <c r="AT94" s="83"/>
      <c r="AU94" s="84"/>
      <c r="AV94" s="85"/>
      <c r="AW94" s="86"/>
      <c r="AX94" s="86"/>
      <c r="AY94" s="82"/>
      <c r="AZ94" s="87"/>
    </row>
    <row r="95" spans="1:52" ht="16.5" thickBot="1" x14ac:dyDescent="0.3">
      <c r="A95" s="74"/>
      <c r="B95" s="75" t="s">
        <v>78</v>
      </c>
      <c r="C95" s="76"/>
      <c r="D95" s="26">
        <f t="shared" si="20"/>
        <v>0</v>
      </c>
      <c r="E95" s="27">
        <f t="shared" si="21"/>
        <v>0</v>
      </c>
      <c r="F95" s="29">
        <f t="shared" si="22"/>
        <v>0</v>
      </c>
      <c r="G95" s="30"/>
      <c r="H95" s="31"/>
      <c r="I95" s="32"/>
      <c r="J95" s="77"/>
      <c r="K95" s="33"/>
      <c r="L95" s="34"/>
      <c r="M95" s="34"/>
      <c r="N95" s="62"/>
      <c r="O95" s="34"/>
      <c r="P95" s="34"/>
      <c r="Q95" s="34"/>
      <c r="R95" s="62"/>
      <c r="S95" s="37"/>
      <c r="T95" s="34"/>
      <c r="U95" s="34"/>
      <c r="V95" s="62"/>
      <c r="W95" s="38"/>
      <c r="X95" s="31"/>
      <c r="Y95" s="31"/>
      <c r="Z95" s="78"/>
      <c r="AA95" s="37"/>
      <c r="AB95" s="34"/>
      <c r="AC95" s="34"/>
      <c r="AD95" s="64"/>
      <c r="AE95" s="79"/>
      <c r="AF95" s="64"/>
      <c r="AG95" s="43">
        <f t="shared" si="16"/>
        <v>0</v>
      </c>
      <c r="AH95" s="44">
        <f t="shared" si="16"/>
        <v>0</v>
      </c>
      <c r="AI95" s="44">
        <f t="shared" si="16"/>
        <v>0</v>
      </c>
      <c r="AJ95" s="45">
        <f t="shared" si="16"/>
        <v>0</v>
      </c>
      <c r="AK95" s="80">
        <f t="shared" si="17"/>
        <v>0</v>
      </c>
      <c r="AL95" s="47">
        <v>0.75</v>
      </c>
      <c r="AM95" s="48">
        <f t="shared" si="24"/>
        <v>0</v>
      </c>
      <c r="AN95" s="48">
        <f t="shared" si="25"/>
        <v>0</v>
      </c>
      <c r="AO95" s="49">
        <f t="shared" si="23"/>
        <v>0</v>
      </c>
      <c r="AP95" s="49">
        <f t="shared" si="18"/>
        <v>0</v>
      </c>
      <c r="AQ95" s="50">
        <f t="shared" si="19"/>
        <v>0</v>
      </c>
      <c r="AR95" s="81"/>
      <c r="AS95" s="82"/>
      <c r="AT95" s="83"/>
      <c r="AU95" s="84"/>
      <c r="AV95" s="85"/>
      <c r="AW95" s="86"/>
      <c r="AX95" s="86"/>
      <c r="AY95" s="82"/>
      <c r="AZ95" s="87"/>
    </row>
    <row r="96" spans="1:52" ht="16.5" thickBot="1" x14ac:dyDescent="0.3">
      <c r="A96" s="74">
        <v>500</v>
      </c>
      <c r="B96" s="75" t="s">
        <v>83</v>
      </c>
      <c r="C96" s="76">
        <v>100</v>
      </c>
      <c r="D96" s="26">
        <f t="shared" si="20"/>
        <v>33.333333333333336</v>
      </c>
      <c r="E96" s="27">
        <f t="shared" si="21"/>
        <v>33.333333333333336</v>
      </c>
      <c r="F96" s="29">
        <f t="shared" si="22"/>
        <v>33.333333333333336</v>
      </c>
      <c r="G96" s="30"/>
      <c r="H96" s="31"/>
      <c r="I96" s="32"/>
      <c r="J96" s="77"/>
      <c r="K96" s="33"/>
      <c r="L96" s="34"/>
      <c r="M96" s="34"/>
      <c r="N96" s="62"/>
      <c r="O96" s="34"/>
      <c r="P96" s="34"/>
      <c r="Q96" s="34"/>
      <c r="R96" s="62"/>
      <c r="S96" s="37"/>
      <c r="T96" s="34"/>
      <c r="U96" s="34"/>
      <c r="V96" s="62"/>
      <c r="W96" s="38"/>
      <c r="X96" s="31"/>
      <c r="Y96" s="31"/>
      <c r="Z96" s="78"/>
      <c r="AA96" s="37"/>
      <c r="AB96" s="34"/>
      <c r="AC96" s="34"/>
      <c r="AD96" s="64"/>
      <c r="AE96" s="79"/>
      <c r="AF96" s="64"/>
      <c r="AG96" s="43">
        <f t="shared" si="16"/>
        <v>0</v>
      </c>
      <c r="AH96" s="44">
        <f t="shared" si="16"/>
        <v>0</v>
      </c>
      <c r="AI96" s="44">
        <f t="shared" si="16"/>
        <v>0</v>
      </c>
      <c r="AJ96" s="45">
        <f t="shared" si="16"/>
        <v>0</v>
      </c>
      <c r="AK96" s="80">
        <f t="shared" si="17"/>
        <v>0</v>
      </c>
      <c r="AL96" s="47">
        <v>1</v>
      </c>
      <c r="AM96" s="48">
        <f t="shared" si="24"/>
        <v>0</v>
      </c>
      <c r="AN96" s="48">
        <f t="shared" si="25"/>
        <v>0</v>
      </c>
      <c r="AO96" s="49">
        <f t="shared" si="23"/>
        <v>0</v>
      </c>
      <c r="AP96" s="49">
        <f t="shared" si="18"/>
        <v>0</v>
      </c>
      <c r="AQ96" s="50">
        <f t="shared" si="19"/>
        <v>0</v>
      </c>
      <c r="AR96" s="81">
        <v>26.12</v>
      </c>
      <c r="AS96" s="82">
        <v>3.879999999999999</v>
      </c>
      <c r="AT96" s="83">
        <f>AK96*AS96</f>
        <v>0</v>
      </c>
      <c r="AU96" s="84">
        <f t="shared" ref="AU96:AU110" si="26">AK96*AL96</f>
        <v>0</v>
      </c>
      <c r="AV96" s="85">
        <v>0</v>
      </c>
      <c r="AW96" s="86"/>
      <c r="AX96" s="86"/>
      <c r="AY96" s="82"/>
      <c r="AZ96" s="87">
        <f>AT96-AU96-AW96-AX96-AY96</f>
        <v>0</v>
      </c>
    </row>
    <row r="97" spans="1:52" ht="16.5" thickBot="1" x14ac:dyDescent="0.3">
      <c r="A97" s="74">
        <v>360</v>
      </c>
      <c r="B97" s="75" t="s">
        <v>83</v>
      </c>
      <c r="C97" s="76">
        <v>80</v>
      </c>
      <c r="D97" s="26">
        <f t="shared" si="20"/>
        <v>26.666666666666668</v>
      </c>
      <c r="E97" s="27">
        <f t="shared" si="21"/>
        <v>26.666666666666668</v>
      </c>
      <c r="F97" s="29">
        <f t="shared" si="22"/>
        <v>26.666666666666668</v>
      </c>
      <c r="G97" s="30"/>
      <c r="H97" s="31"/>
      <c r="I97" s="32"/>
      <c r="J97" s="77"/>
      <c r="K97" s="33"/>
      <c r="L97" s="34"/>
      <c r="M97" s="34"/>
      <c r="N97" s="62"/>
      <c r="O97" s="34"/>
      <c r="P97" s="34"/>
      <c r="Q97" s="34"/>
      <c r="R97" s="62"/>
      <c r="S97" s="37"/>
      <c r="T97" s="34"/>
      <c r="U97" s="34"/>
      <c r="V97" s="62"/>
      <c r="W97" s="38"/>
      <c r="X97" s="31"/>
      <c r="Y97" s="31"/>
      <c r="Z97" s="78"/>
      <c r="AA97" s="37"/>
      <c r="AB97" s="34"/>
      <c r="AC97" s="34"/>
      <c r="AD97" s="64"/>
      <c r="AE97" s="79"/>
      <c r="AF97" s="64"/>
      <c r="AG97" s="43">
        <f t="shared" si="16"/>
        <v>0</v>
      </c>
      <c r="AH97" s="44">
        <f t="shared" si="16"/>
        <v>0</v>
      </c>
      <c r="AI97" s="44">
        <f t="shared" si="16"/>
        <v>0</v>
      </c>
      <c r="AJ97" s="45">
        <f t="shared" si="16"/>
        <v>0</v>
      </c>
      <c r="AK97" s="80">
        <f t="shared" si="17"/>
        <v>0</v>
      </c>
      <c r="AL97" s="47">
        <v>0.5</v>
      </c>
      <c r="AM97" s="48">
        <f t="shared" si="24"/>
        <v>0</v>
      </c>
      <c r="AN97" s="48">
        <f t="shared" si="25"/>
        <v>0</v>
      </c>
      <c r="AO97" s="49">
        <f t="shared" si="23"/>
        <v>0</v>
      </c>
      <c r="AP97" s="49">
        <f t="shared" si="18"/>
        <v>0</v>
      </c>
      <c r="AQ97" s="50">
        <f t="shared" si="19"/>
        <v>0</v>
      </c>
      <c r="AR97" s="81"/>
      <c r="AS97" s="82"/>
      <c r="AT97" s="83"/>
      <c r="AU97" s="84">
        <f t="shared" si="26"/>
        <v>0</v>
      </c>
      <c r="AV97" s="85">
        <v>0</v>
      </c>
      <c r="AW97" s="86"/>
      <c r="AX97" s="86"/>
      <c r="AY97" s="82"/>
      <c r="AZ97" s="87"/>
    </row>
    <row r="98" spans="1:52" ht="16.5" thickBot="1" x14ac:dyDescent="0.3">
      <c r="A98" s="74">
        <v>625</v>
      </c>
      <c r="B98" s="75" t="s">
        <v>84</v>
      </c>
      <c r="C98" s="88"/>
      <c r="D98" s="26">
        <f t="shared" si="20"/>
        <v>0</v>
      </c>
      <c r="E98" s="27">
        <f t="shared" si="21"/>
        <v>0</v>
      </c>
      <c r="F98" s="29">
        <f t="shared" si="22"/>
        <v>0</v>
      </c>
      <c r="G98" s="30"/>
      <c r="H98" s="31"/>
      <c r="I98" s="32"/>
      <c r="J98" s="77"/>
      <c r="K98" s="33"/>
      <c r="L98" s="34"/>
      <c r="M98" s="34"/>
      <c r="N98" s="62"/>
      <c r="O98" s="34"/>
      <c r="P98" s="34"/>
      <c r="Q98" s="34"/>
      <c r="R98" s="62"/>
      <c r="S98" s="37"/>
      <c r="T98" s="34"/>
      <c r="U98" s="34"/>
      <c r="V98" s="62"/>
      <c r="W98" s="38"/>
      <c r="X98" s="31"/>
      <c r="Y98" s="31"/>
      <c r="Z98" s="78"/>
      <c r="AA98" s="37"/>
      <c r="AB98" s="34"/>
      <c r="AC98" s="34"/>
      <c r="AD98" s="64"/>
      <c r="AE98" s="79"/>
      <c r="AF98" s="64"/>
      <c r="AG98" s="43">
        <f t="shared" si="16"/>
        <v>0</v>
      </c>
      <c r="AH98" s="44">
        <f t="shared" si="16"/>
        <v>0</v>
      </c>
      <c r="AI98" s="44">
        <f t="shared" si="16"/>
        <v>0</v>
      </c>
      <c r="AJ98" s="45">
        <f t="shared" si="16"/>
        <v>0</v>
      </c>
      <c r="AK98" s="80">
        <f t="shared" si="17"/>
        <v>0</v>
      </c>
      <c r="AL98" s="47">
        <v>1</v>
      </c>
      <c r="AM98" s="48">
        <f t="shared" si="24"/>
        <v>0</v>
      </c>
      <c r="AN98" s="48">
        <f t="shared" si="25"/>
        <v>0</v>
      </c>
      <c r="AO98" s="49">
        <f t="shared" si="23"/>
        <v>0</v>
      </c>
      <c r="AP98" s="49">
        <f t="shared" si="18"/>
        <v>0</v>
      </c>
      <c r="AQ98" s="50">
        <f t="shared" si="19"/>
        <v>0</v>
      </c>
      <c r="AR98" s="81">
        <v>50.64</v>
      </c>
      <c r="AS98" s="82">
        <v>9.36</v>
      </c>
      <c r="AT98" s="83">
        <f>AK98*AS98</f>
        <v>0</v>
      </c>
      <c r="AU98" s="84">
        <f t="shared" si="26"/>
        <v>0</v>
      </c>
      <c r="AV98" s="85">
        <v>0</v>
      </c>
      <c r="AW98" s="86"/>
      <c r="AX98" s="86"/>
      <c r="AY98" s="82"/>
      <c r="AZ98" s="87">
        <f>AT98-AU98-AW98-AX98-AY98</f>
        <v>0</v>
      </c>
    </row>
    <row r="99" spans="1:52" ht="16.5" thickBot="1" x14ac:dyDescent="0.3">
      <c r="A99" s="74">
        <v>3030</v>
      </c>
      <c r="B99" s="75" t="s">
        <v>85</v>
      </c>
      <c r="C99" s="76"/>
      <c r="D99" s="26">
        <f t="shared" si="20"/>
        <v>0</v>
      </c>
      <c r="E99" s="27">
        <f t="shared" si="21"/>
        <v>0</v>
      </c>
      <c r="F99" s="29">
        <f t="shared" si="22"/>
        <v>0</v>
      </c>
      <c r="G99" s="30"/>
      <c r="H99" s="31"/>
      <c r="I99" s="32"/>
      <c r="J99" s="77"/>
      <c r="K99" s="33"/>
      <c r="L99" s="34"/>
      <c r="M99" s="34"/>
      <c r="N99" s="62"/>
      <c r="O99" s="34"/>
      <c r="P99" s="34"/>
      <c r="Q99" s="34"/>
      <c r="R99" s="62"/>
      <c r="S99" s="37"/>
      <c r="T99" s="34"/>
      <c r="U99" s="34"/>
      <c r="V99" s="62"/>
      <c r="W99" s="38"/>
      <c r="X99" s="31"/>
      <c r="Y99" s="31"/>
      <c r="Z99" s="78"/>
      <c r="AA99" s="37"/>
      <c r="AB99" s="34"/>
      <c r="AC99" s="34"/>
      <c r="AD99" s="64"/>
      <c r="AE99" s="79"/>
      <c r="AF99" s="64"/>
      <c r="AG99" s="43">
        <f t="shared" si="16"/>
        <v>0</v>
      </c>
      <c r="AH99" s="44">
        <f t="shared" si="16"/>
        <v>0</v>
      </c>
      <c r="AI99" s="44">
        <f t="shared" si="16"/>
        <v>0</v>
      </c>
      <c r="AJ99" s="45">
        <f t="shared" si="16"/>
        <v>0</v>
      </c>
      <c r="AK99" s="80">
        <f t="shared" si="17"/>
        <v>0</v>
      </c>
      <c r="AL99" s="47">
        <v>2</v>
      </c>
      <c r="AM99" s="48">
        <f t="shared" si="24"/>
        <v>0</v>
      </c>
      <c r="AN99" s="48">
        <f t="shared" si="25"/>
        <v>0</v>
      </c>
      <c r="AO99" s="49">
        <f t="shared" si="23"/>
        <v>0</v>
      </c>
      <c r="AP99" s="49">
        <f t="shared" si="18"/>
        <v>0</v>
      </c>
      <c r="AQ99" s="50">
        <f t="shared" si="19"/>
        <v>0</v>
      </c>
      <c r="AR99" s="81">
        <v>42.35</v>
      </c>
      <c r="AS99" s="82">
        <v>7.6499999999999986</v>
      </c>
      <c r="AT99" s="83">
        <f>AK99*AS99</f>
        <v>0</v>
      </c>
      <c r="AU99" s="84">
        <f t="shared" si="26"/>
        <v>0</v>
      </c>
      <c r="AV99" s="85">
        <v>0</v>
      </c>
      <c r="AW99" s="86"/>
      <c r="AX99" s="86"/>
      <c r="AY99" s="82"/>
      <c r="AZ99" s="87">
        <f>AT99-AU99-AW99-AX99-AY99</f>
        <v>0</v>
      </c>
    </row>
    <row r="100" spans="1:52" ht="16.5" thickBot="1" x14ac:dyDescent="0.3">
      <c r="A100" s="74">
        <v>625</v>
      </c>
      <c r="B100" s="75" t="s">
        <v>86</v>
      </c>
      <c r="C100" s="88"/>
      <c r="D100" s="26">
        <f t="shared" si="20"/>
        <v>0</v>
      </c>
      <c r="E100" s="27">
        <f t="shared" si="21"/>
        <v>0</v>
      </c>
      <c r="F100" s="29">
        <f t="shared" si="22"/>
        <v>0</v>
      </c>
      <c r="G100" s="30"/>
      <c r="H100" s="31"/>
      <c r="I100" s="32"/>
      <c r="J100" s="77"/>
      <c r="K100" s="33"/>
      <c r="L100" s="34"/>
      <c r="M100" s="34"/>
      <c r="N100" s="62"/>
      <c r="O100" s="34"/>
      <c r="P100" s="34"/>
      <c r="Q100" s="34"/>
      <c r="R100" s="62"/>
      <c r="S100" s="37"/>
      <c r="T100" s="34"/>
      <c r="U100" s="34"/>
      <c r="V100" s="62"/>
      <c r="W100" s="38"/>
      <c r="X100" s="31"/>
      <c r="Y100" s="31"/>
      <c r="Z100" s="78"/>
      <c r="AA100" s="37"/>
      <c r="AB100" s="34"/>
      <c r="AC100" s="34"/>
      <c r="AD100" s="64"/>
      <c r="AE100" s="79"/>
      <c r="AF100" s="64"/>
      <c r="AG100" s="43">
        <f t="shared" ref="AG100:AJ163" si="27">G100+K100+O100+S100+W100+AA100</f>
        <v>0</v>
      </c>
      <c r="AH100" s="44">
        <f t="shared" si="27"/>
        <v>0</v>
      </c>
      <c r="AI100" s="44">
        <f t="shared" si="27"/>
        <v>0</v>
      </c>
      <c r="AJ100" s="45">
        <f t="shared" si="27"/>
        <v>0</v>
      </c>
      <c r="AK100" s="80">
        <f t="shared" si="17"/>
        <v>0</v>
      </c>
      <c r="AL100" s="47">
        <v>1</v>
      </c>
      <c r="AM100" s="48">
        <f t="shared" si="24"/>
        <v>0</v>
      </c>
      <c r="AN100" s="48">
        <f t="shared" si="25"/>
        <v>0</v>
      </c>
      <c r="AO100" s="49">
        <f t="shared" si="23"/>
        <v>0</v>
      </c>
      <c r="AP100" s="49">
        <f t="shared" si="18"/>
        <v>0</v>
      </c>
      <c r="AQ100" s="50">
        <f t="shared" si="19"/>
        <v>0</v>
      </c>
      <c r="AR100" s="81">
        <v>50.64</v>
      </c>
      <c r="AS100" s="82">
        <v>9.36</v>
      </c>
      <c r="AT100" s="119">
        <f>AK100*AS100</f>
        <v>0</v>
      </c>
      <c r="AU100" s="84">
        <f t="shared" si="26"/>
        <v>0</v>
      </c>
      <c r="AV100" s="85">
        <v>0</v>
      </c>
      <c r="AW100" s="86"/>
      <c r="AX100" s="86"/>
      <c r="AY100" s="82"/>
      <c r="AZ100" s="120">
        <f>AT100-AU100-AW100-AX100-AY100</f>
        <v>0</v>
      </c>
    </row>
    <row r="101" spans="1:52" ht="16.5" thickBot="1" x14ac:dyDescent="0.3">
      <c r="A101" s="75">
        <v>911</v>
      </c>
      <c r="B101" s="75" t="s">
        <v>87</v>
      </c>
      <c r="C101" s="121"/>
      <c r="D101" s="26">
        <f t="shared" si="20"/>
        <v>0</v>
      </c>
      <c r="E101" s="27">
        <f t="shared" si="21"/>
        <v>0</v>
      </c>
      <c r="F101" s="29">
        <f t="shared" si="22"/>
        <v>0</v>
      </c>
      <c r="G101" s="30"/>
      <c r="H101" s="31"/>
      <c r="I101" s="32"/>
      <c r="J101" s="77"/>
      <c r="K101" s="33"/>
      <c r="L101" s="34"/>
      <c r="M101" s="34"/>
      <c r="N101" s="62"/>
      <c r="O101" s="34"/>
      <c r="P101" s="34"/>
      <c r="Q101" s="34"/>
      <c r="R101" s="62"/>
      <c r="S101" s="37"/>
      <c r="T101" s="34"/>
      <c r="U101" s="34"/>
      <c r="V101" s="62"/>
      <c r="W101" s="38"/>
      <c r="X101" s="31"/>
      <c r="Y101" s="31"/>
      <c r="Z101" s="78"/>
      <c r="AA101" s="37"/>
      <c r="AB101" s="34"/>
      <c r="AC101" s="34"/>
      <c r="AD101" s="64"/>
      <c r="AE101" s="122"/>
      <c r="AF101" s="123"/>
      <c r="AG101" s="43">
        <f t="shared" si="27"/>
        <v>0</v>
      </c>
      <c r="AH101" s="44">
        <f t="shared" si="27"/>
        <v>0</v>
      </c>
      <c r="AI101" s="44">
        <f t="shared" si="27"/>
        <v>0</v>
      </c>
      <c r="AJ101" s="45">
        <f t="shared" si="27"/>
        <v>0</v>
      </c>
      <c r="AK101" s="80">
        <f t="shared" si="17"/>
        <v>0</v>
      </c>
      <c r="AL101" s="47">
        <v>0.5</v>
      </c>
      <c r="AM101" s="48">
        <f t="shared" si="24"/>
        <v>0</v>
      </c>
      <c r="AN101" s="48">
        <f t="shared" si="25"/>
        <v>0</v>
      </c>
      <c r="AO101" s="49">
        <f t="shared" si="23"/>
        <v>0</v>
      </c>
      <c r="AP101" s="49">
        <f t="shared" si="18"/>
        <v>0</v>
      </c>
      <c r="AQ101" s="50">
        <f t="shared" si="19"/>
        <v>0</v>
      </c>
      <c r="AR101" s="124"/>
      <c r="AS101" s="125"/>
      <c r="AT101" s="126"/>
      <c r="AU101" s="84">
        <f t="shared" si="26"/>
        <v>0</v>
      </c>
      <c r="AV101" s="127"/>
      <c r="AW101" s="128"/>
      <c r="AX101" s="128"/>
      <c r="AY101" s="125"/>
      <c r="AZ101" s="129"/>
    </row>
    <row r="102" spans="1:52" ht="16.5" thickBot="1" x14ac:dyDescent="0.3">
      <c r="A102" s="75">
        <v>355</v>
      </c>
      <c r="B102" s="75" t="s">
        <v>88</v>
      </c>
      <c r="C102" s="121">
        <v>24</v>
      </c>
      <c r="D102" s="26">
        <f t="shared" si="20"/>
        <v>8</v>
      </c>
      <c r="E102" s="27">
        <f t="shared" si="21"/>
        <v>8</v>
      </c>
      <c r="F102" s="29">
        <f t="shared" si="22"/>
        <v>8</v>
      </c>
      <c r="G102" s="30"/>
      <c r="H102" s="31"/>
      <c r="I102" s="32"/>
      <c r="J102" s="77"/>
      <c r="K102" s="33"/>
      <c r="L102" s="34"/>
      <c r="M102" s="34"/>
      <c r="N102" s="62"/>
      <c r="O102" s="34"/>
      <c r="P102" s="34"/>
      <c r="Q102" s="34"/>
      <c r="R102" s="62"/>
      <c r="S102" s="37"/>
      <c r="T102" s="34"/>
      <c r="U102" s="34"/>
      <c r="V102" s="62"/>
      <c r="W102" s="38"/>
      <c r="X102" s="31"/>
      <c r="Y102" s="31"/>
      <c r="Z102" s="78"/>
      <c r="AA102" s="37"/>
      <c r="AB102" s="34"/>
      <c r="AC102" s="34"/>
      <c r="AD102" s="64"/>
      <c r="AE102" s="122"/>
      <c r="AF102" s="123"/>
      <c r="AG102" s="43">
        <f t="shared" si="27"/>
        <v>0</v>
      </c>
      <c r="AH102" s="44">
        <f t="shared" si="27"/>
        <v>0</v>
      </c>
      <c r="AI102" s="44">
        <f t="shared" si="27"/>
        <v>0</v>
      </c>
      <c r="AJ102" s="45">
        <f t="shared" si="27"/>
        <v>0</v>
      </c>
      <c r="AK102" s="80">
        <f t="shared" si="17"/>
        <v>0</v>
      </c>
      <c r="AL102" s="47">
        <v>0.45</v>
      </c>
      <c r="AM102" s="48">
        <f t="shared" si="24"/>
        <v>0</v>
      </c>
      <c r="AN102" s="48">
        <f t="shared" si="25"/>
        <v>0</v>
      </c>
      <c r="AO102" s="49">
        <f t="shared" si="23"/>
        <v>0</v>
      </c>
      <c r="AP102" s="49">
        <f t="shared" si="18"/>
        <v>0</v>
      </c>
      <c r="AQ102" s="50">
        <f t="shared" si="19"/>
        <v>0</v>
      </c>
      <c r="AR102" s="124"/>
      <c r="AS102" s="125"/>
      <c r="AT102" s="126"/>
      <c r="AU102" s="84">
        <f t="shared" si="26"/>
        <v>0</v>
      </c>
      <c r="AV102" s="127"/>
      <c r="AW102" s="128"/>
      <c r="AX102" s="128"/>
      <c r="AY102" s="125"/>
      <c r="AZ102" s="129"/>
    </row>
    <row r="103" spans="1:52" ht="16.5" thickBot="1" x14ac:dyDescent="0.3">
      <c r="A103" s="75">
        <v>355</v>
      </c>
      <c r="B103" s="75" t="s">
        <v>28</v>
      </c>
      <c r="C103" s="121">
        <v>34</v>
      </c>
      <c r="D103" s="26">
        <f t="shared" si="20"/>
        <v>11.333333333333334</v>
      </c>
      <c r="E103" s="27">
        <f t="shared" si="21"/>
        <v>11.333333333333334</v>
      </c>
      <c r="F103" s="29">
        <f t="shared" si="22"/>
        <v>11.333333333333334</v>
      </c>
      <c r="G103" s="30"/>
      <c r="H103" s="31"/>
      <c r="I103" s="32"/>
      <c r="J103" s="77"/>
      <c r="K103" s="33"/>
      <c r="L103" s="34"/>
      <c r="M103" s="34"/>
      <c r="N103" s="62"/>
      <c r="O103" s="34"/>
      <c r="P103" s="34"/>
      <c r="Q103" s="34"/>
      <c r="R103" s="62"/>
      <c r="S103" s="37"/>
      <c r="T103" s="34"/>
      <c r="U103" s="34"/>
      <c r="V103" s="62"/>
      <c r="W103" s="38"/>
      <c r="X103" s="31"/>
      <c r="Y103" s="31"/>
      <c r="Z103" s="78"/>
      <c r="AA103" s="37"/>
      <c r="AB103" s="34"/>
      <c r="AC103" s="34"/>
      <c r="AD103" s="64"/>
      <c r="AE103" s="122"/>
      <c r="AF103" s="123"/>
      <c r="AG103" s="43">
        <f t="shared" si="27"/>
        <v>0</v>
      </c>
      <c r="AH103" s="44">
        <f t="shared" si="27"/>
        <v>0</v>
      </c>
      <c r="AI103" s="44">
        <f t="shared" si="27"/>
        <v>0</v>
      </c>
      <c r="AJ103" s="45">
        <f t="shared" si="27"/>
        <v>0</v>
      </c>
      <c r="AK103" s="80">
        <f t="shared" si="17"/>
        <v>0</v>
      </c>
      <c r="AL103" s="47">
        <v>0.45</v>
      </c>
      <c r="AM103" s="48">
        <f t="shared" si="24"/>
        <v>0</v>
      </c>
      <c r="AN103" s="48">
        <f t="shared" si="25"/>
        <v>0</v>
      </c>
      <c r="AO103" s="49">
        <f t="shared" si="23"/>
        <v>0</v>
      </c>
      <c r="AP103" s="49">
        <f t="shared" si="18"/>
        <v>0</v>
      </c>
      <c r="AQ103" s="50">
        <f t="shared" si="19"/>
        <v>0</v>
      </c>
      <c r="AR103" s="124"/>
      <c r="AS103" s="125"/>
      <c r="AT103" s="126"/>
      <c r="AU103" s="84">
        <f t="shared" si="26"/>
        <v>0</v>
      </c>
      <c r="AV103" s="127"/>
      <c r="AW103" s="128"/>
      <c r="AX103" s="128"/>
      <c r="AY103" s="125"/>
      <c r="AZ103" s="129"/>
    </row>
    <row r="104" spans="1:52" ht="16.5" thickBot="1" x14ac:dyDescent="0.3">
      <c r="A104" s="75">
        <v>355</v>
      </c>
      <c r="B104" s="75" t="s">
        <v>30</v>
      </c>
      <c r="C104" s="121"/>
      <c r="D104" s="26">
        <f t="shared" si="20"/>
        <v>0</v>
      </c>
      <c r="E104" s="27">
        <f t="shared" si="21"/>
        <v>0</v>
      </c>
      <c r="F104" s="29">
        <f t="shared" si="22"/>
        <v>0</v>
      </c>
      <c r="G104" s="30"/>
      <c r="H104" s="31"/>
      <c r="I104" s="32"/>
      <c r="J104" s="77"/>
      <c r="K104" s="33"/>
      <c r="L104" s="34"/>
      <c r="M104" s="34"/>
      <c r="N104" s="62"/>
      <c r="O104" s="34"/>
      <c r="P104" s="34"/>
      <c r="Q104" s="34"/>
      <c r="R104" s="62"/>
      <c r="S104" s="37"/>
      <c r="T104" s="34"/>
      <c r="U104" s="34"/>
      <c r="V104" s="62"/>
      <c r="W104" s="38"/>
      <c r="X104" s="31"/>
      <c r="Y104" s="31"/>
      <c r="Z104" s="78"/>
      <c r="AA104" s="37"/>
      <c r="AB104" s="34"/>
      <c r="AC104" s="34"/>
      <c r="AD104" s="64"/>
      <c r="AE104" s="122"/>
      <c r="AF104" s="123"/>
      <c r="AG104" s="43">
        <f t="shared" si="27"/>
        <v>0</v>
      </c>
      <c r="AH104" s="44">
        <f t="shared" si="27"/>
        <v>0</v>
      </c>
      <c r="AI104" s="44">
        <f t="shared" si="27"/>
        <v>0</v>
      </c>
      <c r="AJ104" s="45">
        <f t="shared" si="27"/>
        <v>0</v>
      </c>
      <c r="AK104" s="80">
        <f t="shared" si="17"/>
        <v>0</v>
      </c>
      <c r="AL104" s="47">
        <v>0.45</v>
      </c>
      <c r="AM104" s="48">
        <f t="shared" si="24"/>
        <v>0</v>
      </c>
      <c r="AN104" s="48">
        <f t="shared" si="25"/>
        <v>0</v>
      </c>
      <c r="AO104" s="49">
        <f t="shared" si="23"/>
        <v>0</v>
      </c>
      <c r="AP104" s="49">
        <f t="shared" si="18"/>
        <v>0</v>
      </c>
      <c r="AQ104" s="50">
        <f t="shared" si="19"/>
        <v>0</v>
      </c>
      <c r="AR104" s="124"/>
      <c r="AS104" s="125"/>
      <c r="AT104" s="126"/>
      <c r="AU104" s="84">
        <f t="shared" si="26"/>
        <v>0</v>
      </c>
      <c r="AV104" s="127"/>
      <c r="AW104" s="128"/>
      <c r="AX104" s="128"/>
      <c r="AY104" s="125"/>
      <c r="AZ104" s="129"/>
    </row>
    <row r="105" spans="1:52" ht="16.5" thickBot="1" x14ac:dyDescent="0.3">
      <c r="A105" s="75">
        <v>355</v>
      </c>
      <c r="B105" s="75" t="s">
        <v>29</v>
      </c>
      <c r="C105" s="121">
        <v>34</v>
      </c>
      <c r="D105" s="26">
        <f t="shared" si="20"/>
        <v>11.333333333333334</v>
      </c>
      <c r="E105" s="27">
        <f t="shared" si="21"/>
        <v>11.333333333333334</v>
      </c>
      <c r="F105" s="29">
        <f t="shared" si="22"/>
        <v>11.333333333333334</v>
      </c>
      <c r="G105" s="30"/>
      <c r="H105" s="31"/>
      <c r="I105" s="32"/>
      <c r="J105" s="77"/>
      <c r="K105" s="33"/>
      <c r="L105" s="34"/>
      <c r="M105" s="34"/>
      <c r="N105" s="62"/>
      <c r="O105" s="34"/>
      <c r="P105" s="34"/>
      <c r="Q105" s="34"/>
      <c r="R105" s="62"/>
      <c r="S105" s="37"/>
      <c r="T105" s="34"/>
      <c r="U105" s="34"/>
      <c r="V105" s="62"/>
      <c r="W105" s="38"/>
      <c r="X105" s="31"/>
      <c r="Y105" s="31"/>
      <c r="Z105" s="78"/>
      <c r="AA105" s="37"/>
      <c r="AB105" s="34"/>
      <c r="AC105" s="34"/>
      <c r="AD105" s="64"/>
      <c r="AE105" s="122"/>
      <c r="AF105" s="123"/>
      <c r="AG105" s="43">
        <f t="shared" si="27"/>
        <v>0</v>
      </c>
      <c r="AH105" s="44">
        <f t="shared" si="27"/>
        <v>0</v>
      </c>
      <c r="AI105" s="44">
        <f t="shared" si="27"/>
        <v>0</v>
      </c>
      <c r="AJ105" s="45">
        <f t="shared" si="27"/>
        <v>0</v>
      </c>
      <c r="AK105" s="80">
        <f t="shared" si="17"/>
        <v>0</v>
      </c>
      <c r="AL105" s="47">
        <v>0.45</v>
      </c>
      <c r="AM105" s="48">
        <f t="shared" si="24"/>
        <v>0</v>
      </c>
      <c r="AN105" s="48">
        <f t="shared" si="25"/>
        <v>0</v>
      </c>
      <c r="AO105" s="49">
        <f t="shared" si="23"/>
        <v>0</v>
      </c>
      <c r="AP105" s="49">
        <f t="shared" si="18"/>
        <v>0</v>
      </c>
      <c r="AQ105" s="50">
        <f t="shared" si="19"/>
        <v>0</v>
      </c>
      <c r="AR105" s="124"/>
      <c r="AS105" s="125"/>
      <c r="AT105" s="126"/>
      <c r="AU105" s="84">
        <f t="shared" si="26"/>
        <v>0</v>
      </c>
      <c r="AV105" s="127"/>
      <c r="AW105" s="128"/>
      <c r="AX105" s="128"/>
      <c r="AY105" s="125"/>
      <c r="AZ105" s="129"/>
    </row>
    <row r="106" spans="1:52" ht="16.5" thickBot="1" x14ac:dyDescent="0.3">
      <c r="A106" s="75">
        <v>355</v>
      </c>
      <c r="B106" s="75" t="s">
        <v>31</v>
      </c>
      <c r="C106" s="121">
        <v>14</v>
      </c>
      <c r="D106" s="26">
        <f t="shared" si="20"/>
        <v>4.666666666666667</v>
      </c>
      <c r="E106" s="27">
        <f t="shared" si="21"/>
        <v>4.666666666666667</v>
      </c>
      <c r="F106" s="29">
        <f t="shared" si="22"/>
        <v>4.666666666666667</v>
      </c>
      <c r="G106" s="30"/>
      <c r="H106" s="31"/>
      <c r="I106" s="32"/>
      <c r="J106" s="77"/>
      <c r="K106" s="33"/>
      <c r="L106" s="34"/>
      <c r="M106" s="34"/>
      <c r="N106" s="62"/>
      <c r="O106" s="34"/>
      <c r="P106" s="34"/>
      <c r="Q106" s="34"/>
      <c r="R106" s="62"/>
      <c r="S106" s="37"/>
      <c r="T106" s="34"/>
      <c r="U106" s="34"/>
      <c r="V106" s="62"/>
      <c r="W106" s="38"/>
      <c r="X106" s="31"/>
      <c r="Y106" s="31"/>
      <c r="Z106" s="78"/>
      <c r="AA106" s="37"/>
      <c r="AB106" s="34"/>
      <c r="AC106" s="34"/>
      <c r="AD106" s="64"/>
      <c r="AE106" s="122"/>
      <c r="AF106" s="123"/>
      <c r="AG106" s="43">
        <f t="shared" si="27"/>
        <v>0</v>
      </c>
      <c r="AH106" s="44">
        <f t="shared" si="27"/>
        <v>0</v>
      </c>
      <c r="AI106" s="44">
        <f t="shared" si="27"/>
        <v>0</v>
      </c>
      <c r="AJ106" s="45">
        <f t="shared" si="27"/>
        <v>0</v>
      </c>
      <c r="AK106" s="80">
        <f t="shared" si="17"/>
        <v>0</v>
      </c>
      <c r="AL106" s="47">
        <v>0.45</v>
      </c>
      <c r="AM106" s="48">
        <f t="shared" si="24"/>
        <v>0</v>
      </c>
      <c r="AN106" s="48">
        <f t="shared" si="25"/>
        <v>0</v>
      </c>
      <c r="AO106" s="49">
        <f t="shared" si="23"/>
        <v>0</v>
      </c>
      <c r="AP106" s="49">
        <f t="shared" si="18"/>
        <v>0</v>
      </c>
      <c r="AQ106" s="50">
        <f t="shared" si="19"/>
        <v>0</v>
      </c>
      <c r="AR106" s="124"/>
      <c r="AS106" s="125"/>
      <c r="AT106" s="126"/>
      <c r="AU106" s="84">
        <f t="shared" si="26"/>
        <v>0</v>
      </c>
      <c r="AV106" s="127"/>
      <c r="AW106" s="128"/>
      <c r="AX106" s="128"/>
      <c r="AY106" s="125"/>
      <c r="AZ106" s="129"/>
    </row>
    <row r="107" spans="1:52" ht="16.5" thickBot="1" x14ac:dyDescent="0.3">
      <c r="A107" s="75">
        <v>355</v>
      </c>
      <c r="B107" s="75" t="s">
        <v>47</v>
      </c>
      <c r="C107" s="121"/>
      <c r="D107" s="26">
        <f t="shared" si="20"/>
        <v>0</v>
      </c>
      <c r="E107" s="27">
        <f t="shared" si="21"/>
        <v>0</v>
      </c>
      <c r="F107" s="29">
        <f t="shared" si="22"/>
        <v>0</v>
      </c>
      <c r="G107" s="30"/>
      <c r="H107" s="31"/>
      <c r="I107" s="32"/>
      <c r="J107" s="77"/>
      <c r="K107" s="33"/>
      <c r="L107" s="34"/>
      <c r="M107" s="34"/>
      <c r="N107" s="62"/>
      <c r="O107" s="34"/>
      <c r="P107" s="34"/>
      <c r="Q107" s="34"/>
      <c r="R107" s="62"/>
      <c r="S107" s="37"/>
      <c r="T107" s="34"/>
      <c r="U107" s="34"/>
      <c r="V107" s="62"/>
      <c r="W107" s="38"/>
      <c r="X107" s="31"/>
      <c r="Y107" s="31"/>
      <c r="Z107" s="78"/>
      <c r="AA107" s="37"/>
      <c r="AB107" s="34"/>
      <c r="AC107" s="34"/>
      <c r="AD107" s="64"/>
      <c r="AE107" s="122"/>
      <c r="AF107" s="123"/>
      <c r="AG107" s="43">
        <f t="shared" si="27"/>
        <v>0</v>
      </c>
      <c r="AH107" s="44">
        <f t="shared" si="27"/>
        <v>0</v>
      </c>
      <c r="AI107" s="44">
        <f t="shared" si="27"/>
        <v>0</v>
      </c>
      <c r="AJ107" s="45">
        <f t="shared" si="27"/>
        <v>0</v>
      </c>
      <c r="AK107" s="80">
        <f t="shared" si="17"/>
        <v>0</v>
      </c>
      <c r="AL107" s="47">
        <v>0.45</v>
      </c>
      <c r="AM107" s="48">
        <f t="shared" si="24"/>
        <v>0</v>
      </c>
      <c r="AN107" s="48">
        <f t="shared" si="25"/>
        <v>0</v>
      </c>
      <c r="AO107" s="49">
        <f t="shared" si="23"/>
        <v>0</v>
      </c>
      <c r="AP107" s="49">
        <f t="shared" si="18"/>
        <v>0</v>
      </c>
      <c r="AQ107" s="50">
        <f t="shared" si="19"/>
        <v>0</v>
      </c>
      <c r="AR107" s="124"/>
      <c r="AS107" s="125"/>
      <c r="AT107" s="126"/>
      <c r="AU107" s="84">
        <f t="shared" si="26"/>
        <v>0</v>
      </c>
      <c r="AV107" s="127"/>
      <c r="AW107" s="128"/>
      <c r="AX107" s="128"/>
      <c r="AY107" s="125"/>
      <c r="AZ107" s="129"/>
    </row>
    <row r="108" spans="1:52" ht="16.5" thickBot="1" x14ac:dyDescent="0.3">
      <c r="A108" s="75">
        <v>355</v>
      </c>
      <c r="B108" s="75" t="s">
        <v>85</v>
      </c>
      <c r="C108" s="121"/>
      <c r="D108" s="26">
        <f t="shared" si="20"/>
        <v>0</v>
      </c>
      <c r="E108" s="27">
        <f t="shared" si="21"/>
        <v>0</v>
      </c>
      <c r="F108" s="29">
        <f t="shared" si="22"/>
        <v>0</v>
      </c>
      <c r="G108" s="30"/>
      <c r="H108" s="31"/>
      <c r="I108" s="32"/>
      <c r="J108" s="77"/>
      <c r="K108" s="33"/>
      <c r="L108" s="34"/>
      <c r="M108" s="34"/>
      <c r="N108" s="62"/>
      <c r="O108" s="34"/>
      <c r="P108" s="34"/>
      <c r="Q108" s="34"/>
      <c r="R108" s="62"/>
      <c r="S108" s="37"/>
      <c r="T108" s="34"/>
      <c r="U108" s="34"/>
      <c r="V108" s="62"/>
      <c r="W108" s="38"/>
      <c r="X108" s="31"/>
      <c r="Y108" s="31"/>
      <c r="Z108" s="78"/>
      <c r="AA108" s="37"/>
      <c r="AB108" s="34"/>
      <c r="AC108" s="34"/>
      <c r="AD108" s="64"/>
      <c r="AE108" s="122"/>
      <c r="AF108" s="123"/>
      <c r="AG108" s="43">
        <f t="shared" si="27"/>
        <v>0</v>
      </c>
      <c r="AH108" s="44">
        <f t="shared" si="27"/>
        <v>0</v>
      </c>
      <c r="AI108" s="44">
        <f t="shared" si="27"/>
        <v>0</v>
      </c>
      <c r="AJ108" s="45">
        <f t="shared" si="27"/>
        <v>0</v>
      </c>
      <c r="AK108" s="80">
        <f t="shared" si="17"/>
        <v>0</v>
      </c>
      <c r="AL108" s="47">
        <v>0.45</v>
      </c>
      <c r="AM108" s="48">
        <f t="shared" si="24"/>
        <v>0</v>
      </c>
      <c r="AN108" s="48">
        <f t="shared" si="25"/>
        <v>0</v>
      </c>
      <c r="AO108" s="49">
        <f t="shared" si="23"/>
        <v>0</v>
      </c>
      <c r="AP108" s="49">
        <f t="shared" si="18"/>
        <v>0</v>
      </c>
      <c r="AQ108" s="50">
        <f t="shared" si="19"/>
        <v>0</v>
      </c>
      <c r="AR108" s="124"/>
      <c r="AS108" s="125"/>
      <c r="AT108" s="126"/>
      <c r="AU108" s="84">
        <f t="shared" si="26"/>
        <v>0</v>
      </c>
      <c r="AV108" s="127"/>
      <c r="AW108" s="128"/>
      <c r="AX108" s="128"/>
      <c r="AY108" s="125"/>
      <c r="AZ108" s="129"/>
    </row>
    <row r="109" spans="1:52" ht="16.5" thickBot="1" x14ac:dyDescent="0.3">
      <c r="A109" s="75">
        <v>355</v>
      </c>
      <c r="B109" s="75" t="s">
        <v>89</v>
      </c>
      <c r="C109" s="121"/>
      <c r="D109" s="26">
        <f t="shared" si="20"/>
        <v>0</v>
      </c>
      <c r="E109" s="27">
        <f t="shared" si="21"/>
        <v>0</v>
      </c>
      <c r="F109" s="29">
        <f t="shared" si="22"/>
        <v>0</v>
      </c>
      <c r="G109" s="30"/>
      <c r="H109" s="31"/>
      <c r="I109" s="32"/>
      <c r="J109" s="130"/>
      <c r="K109" s="33"/>
      <c r="L109" s="34"/>
      <c r="M109" s="34"/>
      <c r="N109" s="62"/>
      <c r="O109" s="34"/>
      <c r="P109" s="34"/>
      <c r="Q109" s="34"/>
      <c r="R109" s="62"/>
      <c r="S109" s="37"/>
      <c r="T109" s="34"/>
      <c r="U109" s="34"/>
      <c r="V109" s="62"/>
      <c r="W109" s="38"/>
      <c r="X109" s="31"/>
      <c r="Y109" s="31"/>
      <c r="Z109" s="78"/>
      <c r="AA109" s="37"/>
      <c r="AB109" s="34"/>
      <c r="AC109" s="34"/>
      <c r="AD109" s="64"/>
      <c r="AE109" s="122"/>
      <c r="AF109" s="123"/>
      <c r="AG109" s="43">
        <f t="shared" si="27"/>
        <v>0</v>
      </c>
      <c r="AH109" s="44">
        <f t="shared" si="27"/>
        <v>0</v>
      </c>
      <c r="AI109" s="44">
        <f t="shared" si="27"/>
        <v>0</v>
      </c>
      <c r="AJ109" s="45">
        <f t="shared" si="27"/>
        <v>0</v>
      </c>
      <c r="AK109" s="80">
        <f t="shared" si="17"/>
        <v>0</v>
      </c>
      <c r="AL109" s="47">
        <v>0.45</v>
      </c>
      <c r="AM109" s="48">
        <f t="shared" si="24"/>
        <v>0</v>
      </c>
      <c r="AN109" s="48">
        <f t="shared" si="25"/>
        <v>0</v>
      </c>
      <c r="AO109" s="49">
        <f t="shared" si="23"/>
        <v>0</v>
      </c>
      <c r="AP109" s="49">
        <f t="shared" si="18"/>
        <v>0</v>
      </c>
      <c r="AQ109" s="50">
        <f t="shared" si="19"/>
        <v>0</v>
      </c>
      <c r="AR109" s="124"/>
      <c r="AS109" s="125"/>
      <c r="AT109" s="126"/>
      <c r="AU109" s="84">
        <f t="shared" si="26"/>
        <v>0</v>
      </c>
      <c r="AV109" s="127"/>
      <c r="AW109" s="128"/>
      <c r="AX109" s="128"/>
      <c r="AY109" s="125"/>
      <c r="AZ109" s="129"/>
    </row>
    <row r="110" spans="1:52" ht="16.5" thickBot="1" x14ac:dyDescent="0.3">
      <c r="A110" s="75">
        <v>145</v>
      </c>
      <c r="B110" s="131" t="s">
        <v>79</v>
      </c>
      <c r="C110" s="132"/>
      <c r="D110" s="26">
        <f t="shared" si="20"/>
        <v>0</v>
      </c>
      <c r="E110" s="27">
        <f t="shared" si="21"/>
        <v>0</v>
      </c>
      <c r="F110" s="29">
        <f t="shared" si="22"/>
        <v>0</v>
      </c>
      <c r="G110" s="30"/>
      <c r="H110" s="31"/>
      <c r="I110" s="32"/>
      <c r="J110" s="130"/>
      <c r="K110" s="33"/>
      <c r="L110" s="34"/>
      <c r="M110" s="34"/>
      <c r="N110" s="62"/>
      <c r="O110" s="34"/>
      <c r="P110" s="34"/>
      <c r="Q110" s="34"/>
      <c r="R110" s="62"/>
      <c r="S110" s="37"/>
      <c r="T110" s="34"/>
      <c r="U110" s="34"/>
      <c r="V110" s="62"/>
      <c r="W110" s="38"/>
      <c r="X110" s="31"/>
      <c r="Y110" s="31"/>
      <c r="Z110" s="78"/>
      <c r="AA110" s="37"/>
      <c r="AB110" s="34"/>
      <c r="AC110" s="34"/>
      <c r="AD110" s="64"/>
      <c r="AE110" s="122"/>
      <c r="AF110" s="123"/>
      <c r="AG110" s="43">
        <f t="shared" si="27"/>
        <v>0</v>
      </c>
      <c r="AH110" s="44">
        <f t="shared" si="27"/>
        <v>0</v>
      </c>
      <c r="AI110" s="44">
        <f t="shared" si="27"/>
        <v>0</v>
      </c>
      <c r="AJ110" s="45">
        <f t="shared" si="27"/>
        <v>0</v>
      </c>
      <c r="AK110" s="80">
        <f t="shared" si="17"/>
        <v>0</v>
      </c>
      <c r="AL110" s="47">
        <v>0.25</v>
      </c>
      <c r="AM110" s="48">
        <f t="shared" si="24"/>
        <v>0</v>
      </c>
      <c r="AN110" s="48">
        <f t="shared" si="25"/>
        <v>0</v>
      </c>
      <c r="AO110" s="49">
        <f t="shared" si="23"/>
        <v>0</v>
      </c>
      <c r="AP110" s="49">
        <f t="shared" si="18"/>
        <v>0</v>
      </c>
      <c r="AQ110" s="50">
        <f t="shared" si="19"/>
        <v>0</v>
      </c>
      <c r="AR110" s="124"/>
      <c r="AS110" s="125"/>
      <c r="AT110" s="126"/>
      <c r="AU110" s="84">
        <f t="shared" si="26"/>
        <v>0</v>
      </c>
      <c r="AV110" s="127"/>
      <c r="AW110" s="128"/>
      <c r="AX110" s="128"/>
      <c r="AY110" s="125"/>
      <c r="AZ110" s="129"/>
    </row>
    <row r="111" spans="1:52" ht="16.5" thickBot="1" x14ac:dyDescent="0.3">
      <c r="A111" s="75"/>
      <c r="B111" s="131" t="s">
        <v>77</v>
      </c>
      <c r="C111" s="132"/>
      <c r="D111" s="26">
        <f t="shared" si="20"/>
        <v>0</v>
      </c>
      <c r="E111" s="27">
        <f t="shared" si="21"/>
        <v>0</v>
      </c>
      <c r="F111" s="29">
        <f t="shared" si="22"/>
        <v>0</v>
      </c>
      <c r="G111" s="30"/>
      <c r="H111" s="31"/>
      <c r="I111" s="32"/>
      <c r="J111" s="130"/>
      <c r="K111" s="33"/>
      <c r="L111" s="34"/>
      <c r="M111" s="34"/>
      <c r="N111" s="62"/>
      <c r="O111" s="34"/>
      <c r="P111" s="34"/>
      <c r="Q111" s="34"/>
      <c r="R111" s="62"/>
      <c r="S111" s="37"/>
      <c r="T111" s="34"/>
      <c r="U111" s="34"/>
      <c r="V111" s="62"/>
      <c r="W111" s="38"/>
      <c r="X111" s="31"/>
      <c r="Y111" s="31"/>
      <c r="Z111" s="78"/>
      <c r="AA111" s="37"/>
      <c r="AB111" s="34"/>
      <c r="AC111" s="34"/>
      <c r="AD111" s="64"/>
      <c r="AE111" s="122"/>
      <c r="AF111" s="123"/>
      <c r="AG111" s="43">
        <f t="shared" si="27"/>
        <v>0</v>
      </c>
      <c r="AH111" s="44">
        <f t="shared" si="27"/>
        <v>0</v>
      </c>
      <c r="AI111" s="44">
        <f t="shared" si="27"/>
        <v>0</v>
      </c>
      <c r="AJ111" s="45">
        <f t="shared" si="27"/>
        <v>0</v>
      </c>
      <c r="AK111" s="80">
        <f t="shared" si="17"/>
        <v>0</v>
      </c>
      <c r="AL111" s="47">
        <v>0.25</v>
      </c>
      <c r="AM111" s="48">
        <f t="shared" si="24"/>
        <v>0</v>
      </c>
      <c r="AN111" s="48">
        <f t="shared" si="25"/>
        <v>0</v>
      </c>
      <c r="AO111" s="49">
        <f t="shared" si="23"/>
        <v>0</v>
      </c>
      <c r="AP111" s="49">
        <f t="shared" si="18"/>
        <v>0</v>
      </c>
      <c r="AQ111" s="50">
        <f t="shared" si="19"/>
        <v>0</v>
      </c>
      <c r="AR111" s="124"/>
      <c r="AS111" s="125"/>
      <c r="AT111" s="126"/>
      <c r="AU111" s="84"/>
      <c r="AV111" s="127"/>
      <c r="AW111" s="128"/>
      <c r="AX111" s="128"/>
      <c r="AY111" s="125"/>
      <c r="AZ111" s="129"/>
    </row>
    <row r="112" spans="1:52" ht="16.5" thickBot="1" x14ac:dyDescent="0.3">
      <c r="A112" s="75"/>
      <c r="B112" s="131" t="s">
        <v>81</v>
      </c>
      <c r="C112" s="132"/>
      <c r="D112" s="26">
        <f t="shared" si="20"/>
        <v>0</v>
      </c>
      <c r="E112" s="27">
        <f t="shared" si="21"/>
        <v>0</v>
      </c>
      <c r="F112" s="29">
        <f t="shared" si="22"/>
        <v>0</v>
      </c>
      <c r="G112" s="30"/>
      <c r="H112" s="31"/>
      <c r="I112" s="32"/>
      <c r="J112" s="130"/>
      <c r="K112" s="33"/>
      <c r="L112" s="34"/>
      <c r="M112" s="34"/>
      <c r="N112" s="62"/>
      <c r="O112" s="34"/>
      <c r="P112" s="34"/>
      <c r="Q112" s="34"/>
      <c r="R112" s="62"/>
      <c r="S112" s="37"/>
      <c r="T112" s="34"/>
      <c r="U112" s="34"/>
      <c r="V112" s="62"/>
      <c r="W112" s="38"/>
      <c r="X112" s="31"/>
      <c r="Y112" s="31"/>
      <c r="Z112" s="78"/>
      <c r="AA112" s="37"/>
      <c r="AB112" s="34"/>
      <c r="AC112" s="34"/>
      <c r="AD112" s="64"/>
      <c r="AE112" s="122"/>
      <c r="AF112" s="123"/>
      <c r="AG112" s="43">
        <f t="shared" si="27"/>
        <v>0</v>
      </c>
      <c r="AH112" s="44">
        <f t="shared" si="27"/>
        <v>0</v>
      </c>
      <c r="AI112" s="44">
        <f t="shared" si="27"/>
        <v>0</v>
      </c>
      <c r="AJ112" s="45">
        <f t="shared" si="27"/>
        <v>0</v>
      </c>
      <c r="AK112" s="80">
        <f t="shared" si="17"/>
        <v>0</v>
      </c>
      <c r="AL112" s="47">
        <v>0.25</v>
      </c>
      <c r="AM112" s="48">
        <f t="shared" si="24"/>
        <v>0</v>
      </c>
      <c r="AN112" s="48">
        <f t="shared" si="25"/>
        <v>0</v>
      </c>
      <c r="AO112" s="49">
        <f t="shared" si="23"/>
        <v>0</v>
      </c>
      <c r="AP112" s="49">
        <f t="shared" si="18"/>
        <v>0</v>
      </c>
      <c r="AQ112" s="50">
        <f t="shared" si="19"/>
        <v>0</v>
      </c>
      <c r="AR112" s="124"/>
      <c r="AS112" s="125"/>
      <c r="AT112" s="126"/>
      <c r="AU112" s="84"/>
      <c r="AV112" s="127"/>
      <c r="AW112" s="128"/>
      <c r="AX112" s="128"/>
      <c r="AY112" s="125"/>
      <c r="AZ112" s="129"/>
    </row>
    <row r="113" spans="1:52" ht="16.5" thickBot="1" x14ac:dyDescent="0.3">
      <c r="A113" s="75"/>
      <c r="B113" s="131" t="s">
        <v>75</v>
      </c>
      <c r="C113" s="132"/>
      <c r="D113" s="26">
        <f t="shared" si="20"/>
        <v>0</v>
      </c>
      <c r="E113" s="27">
        <f t="shared" si="21"/>
        <v>0</v>
      </c>
      <c r="F113" s="29">
        <f t="shared" si="22"/>
        <v>0</v>
      </c>
      <c r="G113" s="30"/>
      <c r="H113" s="31"/>
      <c r="I113" s="32"/>
      <c r="J113" s="130"/>
      <c r="K113" s="33"/>
      <c r="L113" s="34"/>
      <c r="M113" s="34"/>
      <c r="N113" s="62"/>
      <c r="O113" s="34"/>
      <c r="P113" s="34"/>
      <c r="Q113" s="34"/>
      <c r="R113" s="62"/>
      <c r="S113" s="37"/>
      <c r="T113" s="34"/>
      <c r="U113" s="34"/>
      <c r="V113" s="62"/>
      <c r="W113" s="38"/>
      <c r="X113" s="31"/>
      <c r="Y113" s="31"/>
      <c r="Z113" s="78"/>
      <c r="AA113" s="37"/>
      <c r="AB113" s="34"/>
      <c r="AC113" s="34"/>
      <c r="AD113" s="64"/>
      <c r="AE113" s="122"/>
      <c r="AF113" s="123"/>
      <c r="AG113" s="43">
        <f t="shared" si="27"/>
        <v>0</v>
      </c>
      <c r="AH113" s="44">
        <f t="shared" si="27"/>
        <v>0</v>
      </c>
      <c r="AI113" s="44">
        <f t="shared" si="27"/>
        <v>0</v>
      </c>
      <c r="AJ113" s="45">
        <f t="shared" si="27"/>
        <v>0</v>
      </c>
      <c r="AK113" s="80">
        <f t="shared" si="17"/>
        <v>0</v>
      </c>
      <c r="AL113" s="47">
        <v>0.25</v>
      </c>
      <c r="AM113" s="48">
        <f t="shared" si="24"/>
        <v>0</v>
      </c>
      <c r="AN113" s="48">
        <f t="shared" si="25"/>
        <v>0</v>
      </c>
      <c r="AO113" s="49">
        <f t="shared" si="23"/>
        <v>0</v>
      </c>
      <c r="AP113" s="49">
        <f t="shared" si="18"/>
        <v>0</v>
      </c>
      <c r="AQ113" s="50">
        <f t="shared" si="19"/>
        <v>0</v>
      </c>
      <c r="AR113" s="124"/>
      <c r="AS113" s="125"/>
      <c r="AT113" s="126"/>
      <c r="AU113" s="84"/>
      <c r="AV113" s="127"/>
      <c r="AW113" s="128"/>
      <c r="AX113" s="128"/>
      <c r="AY113" s="125"/>
      <c r="AZ113" s="129"/>
    </row>
    <row r="114" spans="1:52" ht="16.5" thickBot="1" x14ac:dyDescent="0.3">
      <c r="A114" s="75"/>
      <c r="B114" s="131" t="s">
        <v>82</v>
      </c>
      <c r="C114" s="132"/>
      <c r="D114" s="26">
        <f t="shared" si="20"/>
        <v>0</v>
      </c>
      <c r="E114" s="27">
        <f t="shared" si="21"/>
        <v>0</v>
      </c>
      <c r="F114" s="29">
        <f t="shared" si="22"/>
        <v>0</v>
      </c>
      <c r="G114" s="30"/>
      <c r="H114" s="31"/>
      <c r="I114" s="32"/>
      <c r="J114" s="130"/>
      <c r="K114" s="33"/>
      <c r="L114" s="34"/>
      <c r="M114" s="34"/>
      <c r="N114" s="62"/>
      <c r="O114" s="34"/>
      <c r="P114" s="34"/>
      <c r="Q114" s="34"/>
      <c r="R114" s="62"/>
      <c r="S114" s="37"/>
      <c r="T114" s="34"/>
      <c r="U114" s="34"/>
      <c r="V114" s="62"/>
      <c r="W114" s="38"/>
      <c r="X114" s="31"/>
      <c r="Y114" s="31"/>
      <c r="Z114" s="78"/>
      <c r="AA114" s="37"/>
      <c r="AB114" s="34"/>
      <c r="AC114" s="34"/>
      <c r="AD114" s="64"/>
      <c r="AE114" s="122"/>
      <c r="AF114" s="123"/>
      <c r="AG114" s="43">
        <f t="shared" si="27"/>
        <v>0</v>
      </c>
      <c r="AH114" s="44">
        <f t="shared" si="27"/>
        <v>0</v>
      </c>
      <c r="AI114" s="44">
        <f t="shared" si="27"/>
        <v>0</v>
      </c>
      <c r="AJ114" s="45">
        <f t="shared" si="27"/>
        <v>0</v>
      </c>
      <c r="AK114" s="80">
        <f t="shared" si="17"/>
        <v>0</v>
      </c>
      <c r="AL114" s="47">
        <v>0.25</v>
      </c>
      <c r="AM114" s="48">
        <f t="shared" si="24"/>
        <v>0</v>
      </c>
      <c r="AN114" s="48">
        <f t="shared" si="25"/>
        <v>0</v>
      </c>
      <c r="AO114" s="49">
        <f t="shared" si="23"/>
        <v>0</v>
      </c>
      <c r="AP114" s="49">
        <f t="shared" si="18"/>
        <v>0</v>
      </c>
      <c r="AQ114" s="50">
        <f t="shared" si="19"/>
        <v>0</v>
      </c>
      <c r="AR114" s="124"/>
      <c r="AS114" s="125"/>
      <c r="AT114" s="126"/>
      <c r="AU114" s="84"/>
      <c r="AV114" s="127"/>
      <c r="AW114" s="128"/>
      <c r="AX114" s="128"/>
      <c r="AY114" s="125"/>
      <c r="AZ114" s="129"/>
    </row>
    <row r="115" spans="1:52" ht="16.5" thickBot="1" x14ac:dyDescent="0.3">
      <c r="A115" s="75"/>
      <c r="B115" s="131" t="s">
        <v>78</v>
      </c>
      <c r="C115" s="132"/>
      <c r="D115" s="26">
        <f t="shared" si="20"/>
        <v>0</v>
      </c>
      <c r="E115" s="27">
        <f t="shared" si="21"/>
        <v>0</v>
      </c>
      <c r="F115" s="29">
        <f t="shared" si="22"/>
        <v>0</v>
      </c>
      <c r="G115" s="30"/>
      <c r="H115" s="31"/>
      <c r="I115" s="32"/>
      <c r="J115" s="130"/>
      <c r="K115" s="33"/>
      <c r="L115" s="34"/>
      <c r="M115" s="34"/>
      <c r="N115" s="62"/>
      <c r="O115" s="34"/>
      <c r="P115" s="34"/>
      <c r="Q115" s="34"/>
      <c r="R115" s="62"/>
      <c r="S115" s="37"/>
      <c r="T115" s="34"/>
      <c r="U115" s="34"/>
      <c r="V115" s="62"/>
      <c r="W115" s="38"/>
      <c r="X115" s="31"/>
      <c r="Y115" s="31"/>
      <c r="Z115" s="78"/>
      <c r="AA115" s="37"/>
      <c r="AB115" s="34"/>
      <c r="AC115" s="34"/>
      <c r="AD115" s="64"/>
      <c r="AE115" s="122"/>
      <c r="AF115" s="123"/>
      <c r="AG115" s="43">
        <f t="shared" si="27"/>
        <v>0</v>
      </c>
      <c r="AH115" s="44">
        <f t="shared" si="27"/>
        <v>0</v>
      </c>
      <c r="AI115" s="44">
        <f t="shared" si="27"/>
        <v>0</v>
      </c>
      <c r="AJ115" s="45">
        <f t="shared" si="27"/>
        <v>0</v>
      </c>
      <c r="AK115" s="80">
        <f t="shared" si="17"/>
        <v>0</v>
      </c>
      <c r="AL115" s="47">
        <v>0.25</v>
      </c>
      <c r="AM115" s="48">
        <f t="shared" si="24"/>
        <v>0</v>
      </c>
      <c r="AN115" s="48">
        <f t="shared" si="25"/>
        <v>0</v>
      </c>
      <c r="AO115" s="49">
        <f t="shared" si="23"/>
        <v>0</v>
      </c>
      <c r="AP115" s="49">
        <f t="shared" si="18"/>
        <v>0</v>
      </c>
      <c r="AQ115" s="50">
        <f t="shared" si="19"/>
        <v>0</v>
      </c>
      <c r="AR115" s="124"/>
      <c r="AS115" s="125"/>
      <c r="AT115" s="126"/>
      <c r="AU115" s="84"/>
      <c r="AV115" s="127"/>
      <c r="AW115" s="128"/>
      <c r="AX115" s="128"/>
      <c r="AY115" s="125"/>
      <c r="AZ115" s="129"/>
    </row>
    <row r="116" spans="1:52" ht="16.5" thickBot="1" x14ac:dyDescent="0.3">
      <c r="A116" s="75"/>
      <c r="B116" s="131" t="s">
        <v>90</v>
      </c>
      <c r="C116" s="132"/>
      <c r="D116" s="26">
        <f t="shared" si="20"/>
        <v>0</v>
      </c>
      <c r="E116" s="27">
        <f t="shared" si="21"/>
        <v>0</v>
      </c>
      <c r="F116" s="29">
        <f t="shared" si="22"/>
        <v>0</v>
      </c>
      <c r="G116" s="30"/>
      <c r="H116" s="31"/>
      <c r="I116" s="32"/>
      <c r="J116" s="130"/>
      <c r="K116" s="33"/>
      <c r="L116" s="34"/>
      <c r="M116" s="34"/>
      <c r="N116" s="62"/>
      <c r="O116" s="34"/>
      <c r="P116" s="34"/>
      <c r="Q116" s="34"/>
      <c r="R116" s="62"/>
      <c r="S116" s="37"/>
      <c r="T116" s="34"/>
      <c r="U116" s="34"/>
      <c r="V116" s="62"/>
      <c r="W116" s="38"/>
      <c r="X116" s="31"/>
      <c r="Y116" s="31"/>
      <c r="Z116" s="78"/>
      <c r="AA116" s="37"/>
      <c r="AB116" s="34"/>
      <c r="AC116" s="34"/>
      <c r="AD116" s="64"/>
      <c r="AE116" s="122"/>
      <c r="AF116" s="123"/>
      <c r="AG116" s="43">
        <f t="shared" si="27"/>
        <v>0</v>
      </c>
      <c r="AH116" s="44">
        <f t="shared" si="27"/>
        <v>0</v>
      </c>
      <c r="AI116" s="44">
        <f t="shared" si="27"/>
        <v>0</v>
      </c>
      <c r="AJ116" s="45">
        <f t="shared" si="27"/>
        <v>0</v>
      </c>
      <c r="AK116" s="80">
        <f t="shared" si="17"/>
        <v>0</v>
      </c>
      <c r="AL116" s="47">
        <v>0.25</v>
      </c>
      <c r="AM116" s="48">
        <f t="shared" si="24"/>
        <v>0</v>
      </c>
      <c r="AN116" s="48">
        <f t="shared" si="25"/>
        <v>0</v>
      </c>
      <c r="AO116" s="49">
        <f t="shared" si="23"/>
        <v>0</v>
      </c>
      <c r="AP116" s="49">
        <f t="shared" si="18"/>
        <v>0</v>
      </c>
      <c r="AQ116" s="50">
        <f t="shared" si="19"/>
        <v>0</v>
      </c>
      <c r="AR116" s="124"/>
      <c r="AS116" s="125"/>
      <c r="AT116" s="126"/>
      <c r="AU116" s="84"/>
      <c r="AV116" s="127"/>
      <c r="AW116" s="128"/>
      <c r="AX116" s="128"/>
      <c r="AY116" s="125"/>
      <c r="AZ116" s="129"/>
    </row>
    <row r="117" spans="1:52" ht="16.5" thickBot="1" x14ac:dyDescent="0.3">
      <c r="A117" s="75">
        <v>250</v>
      </c>
      <c r="B117" s="75" t="s">
        <v>26</v>
      </c>
      <c r="C117" s="133"/>
      <c r="D117" s="26">
        <f t="shared" si="20"/>
        <v>0</v>
      </c>
      <c r="E117" s="27">
        <f t="shared" si="21"/>
        <v>0</v>
      </c>
      <c r="F117" s="29">
        <f t="shared" si="22"/>
        <v>0</v>
      </c>
      <c r="G117" s="30"/>
      <c r="H117" s="31"/>
      <c r="I117" s="32"/>
      <c r="J117" s="130"/>
      <c r="K117" s="33"/>
      <c r="L117" s="34"/>
      <c r="M117" s="34"/>
      <c r="N117" s="62"/>
      <c r="O117" s="34"/>
      <c r="P117" s="34"/>
      <c r="Q117" s="34"/>
      <c r="R117" s="62"/>
      <c r="S117" s="37"/>
      <c r="T117" s="34"/>
      <c r="U117" s="34"/>
      <c r="V117" s="62"/>
      <c r="W117" s="38"/>
      <c r="X117" s="31"/>
      <c r="Y117" s="31"/>
      <c r="Z117" s="78"/>
      <c r="AA117" s="37"/>
      <c r="AB117" s="34"/>
      <c r="AC117" s="34"/>
      <c r="AD117" s="64"/>
      <c r="AE117" s="122"/>
      <c r="AF117" s="123"/>
      <c r="AG117" s="43">
        <f t="shared" si="27"/>
        <v>0</v>
      </c>
      <c r="AH117" s="44">
        <f t="shared" si="27"/>
        <v>0</v>
      </c>
      <c r="AI117" s="44">
        <f t="shared" si="27"/>
        <v>0</v>
      </c>
      <c r="AJ117" s="45">
        <f t="shared" si="27"/>
        <v>0</v>
      </c>
      <c r="AK117" s="80">
        <f t="shared" si="17"/>
        <v>0</v>
      </c>
      <c r="AL117" s="47">
        <v>1</v>
      </c>
      <c r="AM117" s="48">
        <f t="shared" si="24"/>
        <v>0</v>
      </c>
      <c r="AN117" s="48">
        <f t="shared" si="25"/>
        <v>0</v>
      </c>
      <c r="AO117" s="49">
        <f t="shared" si="23"/>
        <v>0</v>
      </c>
      <c r="AP117" s="49">
        <f t="shared" si="18"/>
        <v>0</v>
      </c>
      <c r="AQ117" s="50">
        <f t="shared" si="19"/>
        <v>0</v>
      </c>
      <c r="AR117" s="124"/>
      <c r="AS117" s="125"/>
      <c r="AT117" s="126"/>
      <c r="AU117" s="84">
        <f>AK117*AL117</f>
        <v>0</v>
      </c>
      <c r="AV117" s="127"/>
      <c r="AW117" s="128"/>
      <c r="AX117" s="128"/>
      <c r="AY117" s="125"/>
      <c r="AZ117" s="129"/>
    </row>
    <row r="118" spans="1:52" ht="16.5" thickBot="1" x14ac:dyDescent="0.3">
      <c r="A118" s="75">
        <v>250</v>
      </c>
      <c r="B118" s="75" t="s">
        <v>91</v>
      </c>
      <c r="C118" s="133"/>
      <c r="D118" s="26">
        <f t="shared" si="20"/>
        <v>0</v>
      </c>
      <c r="E118" s="27">
        <f t="shared" si="21"/>
        <v>0</v>
      </c>
      <c r="F118" s="29">
        <f t="shared" si="22"/>
        <v>0</v>
      </c>
      <c r="G118" s="30"/>
      <c r="H118" s="31"/>
      <c r="I118" s="32"/>
      <c r="J118" s="130"/>
      <c r="K118" s="33"/>
      <c r="L118" s="34"/>
      <c r="M118" s="34"/>
      <c r="N118" s="62"/>
      <c r="O118" s="34"/>
      <c r="P118" s="34"/>
      <c r="Q118" s="34"/>
      <c r="R118" s="62"/>
      <c r="S118" s="37"/>
      <c r="T118" s="34"/>
      <c r="U118" s="34"/>
      <c r="V118" s="62"/>
      <c r="W118" s="38"/>
      <c r="X118" s="31"/>
      <c r="Y118" s="31"/>
      <c r="Z118" s="78"/>
      <c r="AA118" s="37"/>
      <c r="AB118" s="34"/>
      <c r="AC118" s="34"/>
      <c r="AD118" s="64"/>
      <c r="AE118" s="122"/>
      <c r="AF118" s="123"/>
      <c r="AG118" s="43">
        <f t="shared" si="27"/>
        <v>0</v>
      </c>
      <c r="AH118" s="44">
        <f t="shared" si="27"/>
        <v>0</v>
      </c>
      <c r="AI118" s="44">
        <f t="shared" si="27"/>
        <v>0</v>
      </c>
      <c r="AJ118" s="45">
        <f t="shared" si="27"/>
        <v>0</v>
      </c>
      <c r="AK118" s="80">
        <f t="shared" si="17"/>
        <v>0</v>
      </c>
      <c r="AL118" s="47">
        <v>0.5</v>
      </c>
      <c r="AM118" s="48">
        <f t="shared" si="24"/>
        <v>0</v>
      </c>
      <c r="AN118" s="48">
        <f t="shared" si="25"/>
        <v>0</v>
      </c>
      <c r="AO118" s="49">
        <f t="shared" si="23"/>
        <v>0</v>
      </c>
      <c r="AP118" s="49">
        <f t="shared" si="18"/>
        <v>0</v>
      </c>
      <c r="AQ118" s="50">
        <f t="shared" si="19"/>
        <v>0</v>
      </c>
      <c r="AR118" s="124"/>
      <c r="AS118" s="125"/>
      <c r="AT118" s="126"/>
      <c r="AU118" s="84"/>
      <c r="AV118" s="127"/>
      <c r="AW118" s="128"/>
      <c r="AX118" s="128"/>
      <c r="AY118" s="125"/>
      <c r="AZ118" s="129"/>
    </row>
    <row r="119" spans="1:52" ht="16.5" thickBot="1" x14ac:dyDescent="0.3">
      <c r="A119" s="75">
        <v>1000</v>
      </c>
      <c r="B119" s="75" t="s">
        <v>91</v>
      </c>
      <c r="C119" s="133"/>
      <c r="D119" s="26">
        <f t="shared" si="20"/>
        <v>0</v>
      </c>
      <c r="E119" s="27">
        <f t="shared" si="21"/>
        <v>0</v>
      </c>
      <c r="F119" s="29">
        <f t="shared" si="22"/>
        <v>0</v>
      </c>
      <c r="G119" s="30"/>
      <c r="H119" s="31"/>
      <c r="I119" s="32"/>
      <c r="J119" s="130"/>
      <c r="K119" s="33"/>
      <c r="L119" s="34"/>
      <c r="M119" s="34"/>
      <c r="N119" s="62"/>
      <c r="O119" s="34"/>
      <c r="P119" s="34"/>
      <c r="Q119" s="34"/>
      <c r="R119" s="62"/>
      <c r="S119" s="37"/>
      <c r="T119" s="34"/>
      <c r="U119" s="34"/>
      <c r="V119" s="62"/>
      <c r="W119" s="38"/>
      <c r="X119" s="31"/>
      <c r="Y119" s="31"/>
      <c r="Z119" s="78"/>
      <c r="AA119" s="37"/>
      <c r="AB119" s="34"/>
      <c r="AC119" s="34"/>
      <c r="AD119" s="64"/>
      <c r="AE119" s="122"/>
      <c r="AF119" s="123"/>
      <c r="AG119" s="43">
        <f t="shared" si="27"/>
        <v>0</v>
      </c>
      <c r="AH119" s="44">
        <f t="shared" si="27"/>
        <v>0</v>
      </c>
      <c r="AI119" s="44">
        <f t="shared" si="27"/>
        <v>0</v>
      </c>
      <c r="AJ119" s="45">
        <f t="shared" si="27"/>
        <v>0</v>
      </c>
      <c r="AK119" s="80">
        <f t="shared" si="17"/>
        <v>0</v>
      </c>
      <c r="AL119" s="47">
        <v>0.5</v>
      </c>
      <c r="AM119" s="48">
        <f t="shared" si="24"/>
        <v>0</v>
      </c>
      <c r="AN119" s="48">
        <f t="shared" si="25"/>
        <v>0</v>
      </c>
      <c r="AO119" s="49">
        <f t="shared" si="23"/>
        <v>0</v>
      </c>
      <c r="AP119" s="49">
        <f t="shared" si="18"/>
        <v>0</v>
      </c>
      <c r="AQ119" s="50">
        <f t="shared" si="19"/>
        <v>0</v>
      </c>
      <c r="AR119" s="124"/>
      <c r="AS119" s="125"/>
      <c r="AT119" s="126"/>
      <c r="AU119" s="84"/>
      <c r="AV119" s="127"/>
      <c r="AW119" s="128"/>
      <c r="AX119" s="128"/>
      <c r="AY119" s="125"/>
      <c r="AZ119" s="129"/>
    </row>
    <row r="120" spans="1:52" ht="16.5" thickBot="1" x14ac:dyDescent="0.3">
      <c r="A120" s="75">
        <v>250</v>
      </c>
      <c r="B120" s="75" t="s">
        <v>92</v>
      </c>
      <c r="C120" s="133"/>
      <c r="D120" s="26">
        <f t="shared" si="20"/>
        <v>0</v>
      </c>
      <c r="E120" s="27">
        <f t="shared" si="21"/>
        <v>0</v>
      </c>
      <c r="F120" s="29">
        <f t="shared" si="22"/>
        <v>0</v>
      </c>
      <c r="G120" s="30"/>
      <c r="H120" s="31"/>
      <c r="I120" s="32"/>
      <c r="J120" s="130"/>
      <c r="K120" s="33"/>
      <c r="L120" s="34"/>
      <c r="M120" s="34"/>
      <c r="N120" s="62"/>
      <c r="O120" s="34"/>
      <c r="P120" s="34"/>
      <c r="Q120" s="34"/>
      <c r="R120" s="62"/>
      <c r="S120" s="37"/>
      <c r="T120" s="34"/>
      <c r="U120" s="34"/>
      <c r="V120" s="62"/>
      <c r="W120" s="38"/>
      <c r="X120" s="31"/>
      <c r="Y120" s="31"/>
      <c r="Z120" s="78"/>
      <c r="AA120" s="37"/>
      <c r="AB120" s="34"/>
      <c r="AC120" s="34"/>
      <c r="AD120" s="64"/>
      <c r="AE120" s="122"/>
      <c r="AF120" s="123"/>
      <c r="AG120" s="43">
        <f t="shared" si="27"/>
        <v>0</v>
      </c>
      <c r="AH120" s="44">
        <f t="shared" si="27"/>
        <v>0</v>
      </c>
      <c r="AI120" s="44">
        <f t="shared" si="27"/>
        <v>0</v>
      </c>
      <c r="AJ120" s="45">
        <f t="shared" si="27"/>
        <v>0</v>
      </c>
      <c r="AK120" s="80">
        <f t="shared" si="17"/>
        <v>0</v>
      </c>
      <c r="AL120" s="47">
        <v>0.5</v>
      </c>
      <c r="AM120" s="48">
        <f t="shared" si="24"/>
        <v>0</v>
      </c>
      <c r="AN120" s="48">
        <f t="shared" si="25"/>
        <v>0</v>
      </c>
      <c r="AO120" s="49">
        <f t="shared" si="23"/>
        <v>0</v>
      </c>
      <c r="AP120" s="49">
        <f t="shared" si="18"/>
        <v>0</v>
      </c>
      <c r="AQ120" s="50">
        <f t="shared" si="19"/>
        <v>0</v>
      </c>
      <c r="AR120" s="124"/>
      <c r="AS120" s="125"/>
      <c r="AT120" s="126"/>
      <c r="AU120" s="84"/>
      <c r="AV120" s="127"/>
      <c r="AW120" s="128"/>
      <c r="AX120" s="128"/>
      <c r="AY120" s="125"/>
      <c r="AZ120" s="129"/>
    </row>
    <row r="121" spans="1:52" ht="16.5" thickBot="1" x14ac:dyDescent="0.3">
      <c r="A121" s="75">
        <v>1.5</v>
      </c>
      <c r="B121" s="75" t="s">
        <v>93</v>
      </c>
      <c r="C121" s="133"/>
      <c r="D121" s="26">
        <f t="shared" si="20"/>
        <v>0</v>
      </c>
      <c r="E121" s="27">
        <f t="shared" si="21"/>
        <v>0</v>
      </c>
      <c r="F121" s="29">
        <f t="shared" si="22"/>
        <v>0</v>
      </c>
      <c r="G121" s="30"/>
      <c r="H121" s="31"/>
      <c r="I121" s="32"/>
      <c r="J121" s="130"/>
      <c r="K121" s="33"/>
      <c r="L121" s="34"/>
      <c r="M121" s="34"/>
      <c r="N121" s="62"/>
      <c r="O121" s="34"/>
      <c r="P121" s="34"/>
      <c r="Q121" s="34"/>
      <c r="R121" s="62"/>
      <c r="S121" s="37"/>
      <c r="T121" s="34"/>
      <c r="U121" s="34"/>
      <c r="V121" s="62"/>
      <c r="W121" s="38"/>
      <c r="X121" s="31"/>
      <c r="Y121" s="31"/>
      <c r="Z121" s="78"/>
      <c r="AA121" s="37"/>
      <c r="AB121" s="34"/>
      <c r="AC121" s="34"/>
      <c r="AD121" s="64"/>
      <c r="AE121" s="122"/>
      <c r="AF121" s="123"/>
      <c r="AG121" s="43">
        <f t="shared" si="27"/>
        <v>0</v>
      </c>
      <c r="AH121" s="44">
        <f t="shared" si="27"/>
        <v>0</v>
      </c>
      <c r="AI121" s="44">
        <f t="shared" si="27"/>
        <v>0</v>
      </c>
      <c r="AJ121" s="45">
        <f t="shared" si="27"/>
        <v>0</v>
      </c>
      <c r="AK121" s="80">
        <f t="shared" si="17"/>
        <v>0</v>
      </c>
      <c r="AL121" s="47">
        <v>0.75</v>
      </c>
      <c r="AM121" s="48">
        <f t="shared" si="24"/>
        <v>0</v>
      </c>
      <c r="AN121" s="48">
        <f t="shared" si="25"/>
        <v>0</v>
      </c>
      <c r="AO121" s="49">
        <f t="shared" si="23"/>
        <v>0</v>
      </c>
      <c r="AP121" s="49">
        <f t="shared" si="18"/>
        <v>0</v>
      </c>
      <c r="AQ121" s="50">
        <f t="shared" si="19"/>
        <v>0</v>
      </c>
      <c r="AR121" s="124"/>
      <c r="AS121" s="125"/>
      <c r="AT121" s="126"/>
      <c r="AU121" s="84">
        <f>AK121*AL121</f>
        <v>0</v>
      </c>
      <c r="AV121" s="127"/>
      <c r="AW121" s="128"/>
      <c r="AX121" s="128"/>
      <c r="AY121" s="125"/>
      <c r="AZ121" s="129"/>
    </row>
    <row r="122" spans="1:52" ht="16.5" thickBot="1" x14ac:dyDescent="0.3">
      <c r="A122" s="75">
        <v>1.5</v>
      </c>
      <c r="B122" s="75" t="s">
        <v>82</v>
      </c>
      <c r="C122" s="133"/>
      <c r="D122" s="26">
        <f t="shared" si="20"/>
        <v>0</v>
      </c>
      <c r="E122" s="27">
        <f t="shared" si="21"/>
        <v>0</v>
      </c>
      <c r="F122" s="29">
        <f t="shared" si="22"/>
        <v>0</v>
      </c>
      <c r="G122" s="30"/>
      <c r="H122" s="31"/>
      <c r="I122" s="32"/>
      <c r="J122" s="130"/>
      <c r="K122" s="33"/>
      <c r="L122" s="34"/>
      <c r="M122" s="34"/>
      <c r="N122" s="62"/>
      <c r="O122" s="34"/>
      <c r="P122" s="34"/>
      <c r="Q122" s="34"/>
      <c r="R122" s="62"/>
      <c r="S122" s="37"/>
      <c r="T122" s="34"/>
      <c r="U122" s="34"/>
      <c r="V122" s="62"/>
      <c r="W122" s="38"/>
      <c r="X122" s="31"/>
      <c r="Y122" s="31"/>
      <c r="Z122" s="78"/>
      <c r="AA122" s="37"/>
      <c r="AB122" s="34"/>
      <c r="AC122" s="34"/>
      <c r="AD122" s="64"/>
      <c r="AE122" s="122"/>
      <c r="AF122" s="123"/>
      <c r="AG122" s="43">
        <f t="shared" si="27"/>
        <v>0</v>
      </c>
      <c r="AH122" s="44">
        <f t="shared" si="27"/>
        <v>0</v>
      </c>
      <c r="AI122" s="44">
        <f t="shared" si="27"/>
        <v>0</v>
      </c>
      <c r="AJ122" s="45">
        <f t="shared" si="27"/>
        <v>0</v>
      </c>
      <c r="AK122" s="80">
        <f t="shared" si="17"/>
        <v>0</v>
      </c>
      <c r="AL122" s="47">
        <v>0.75</v>
      </c>
      <c r="AM122" s="48">
        <f t="shared" si="24"/>
        <v>0</v>
      </c>
      <c r="AN122" s="48">
        <f t="shared" si="25"/>
        <v>0</v>
      </c>
      <c r="AO122" s="49">
        <f t="shared" si="23"/>
        <v>0</v>
      </c>
      <c r="AP122" s="49">
        <f t="shared" si="18"/>
        <v>0</v>
      </c>
      <c r="AQ122" s="50">
        <f t="shared" si="19"/>
        <v>0</v>
      </c>
      <c r="AR122" s="124"/>
      <c r="AS122" s="125"/>
      <c r="AT122" s="126"/>
      <c r="AU122" s="84"/>
      <c r="AV122" s="127"/>
      <c r="AW122" s="128"/>
      <c r="AX122" s="128"/>
      <c r="AY122" s="125"/>
      <c r="AZ122" s="129"/>
    </row>
    <row r="123" spans="1:52" ht="16.5" thickBot="1" x14ac:dyDescent="0.3">
      <c r="A123" s="75">
        <v>250</v>
      </c>
      <c r="B123" s="75" t="s">
        <v>27</v>
      </c>
      <c r="C123" s="133"/>
      <c r="D123" s="26">
        <f t="shared" si="20"/>
        <v>0</v>
      </c>
      <c r="E123" s="27">
        <f t="shared" si="21"/>
        <v>0</v>
      </c>
      <c r="F123" s="29">
        <f t="shared" si="22"/>
        <v>0</v>
      </c>
      <c r="G123" s="30"/>
      <c r="H123" s="31"/>
      <c r="I123" s="32"/>
      <c r="J123" s="130"/>
      <c r="K123" s="33"/>
      <c r="L123" s="34"/>
      <c r="M123" s="34"/>
      <c r="N123" s="62"/>
      <c r="O123" s="34"/>
      <c r="P123" s="34"/>
      <c r="Q123" s="34"/>
      <c r="R123" s="62"/>
      <c r="S123" s="37"/>
      <c r="T123" s="34"/>
      <c r="U123" s="34"/>
      <c r="V123" s="62"/>
      <c r="W123" s="38"/>
      <c r="X123" s="31"/>
      <c r="Y123" s="31"/>
      <c r="Z123" s="78"/>
      <c r="AA123" s="37"/>
      <c r="AB123" s="34"/>
      <c r="AC123" s="34"/>
      <c r="AD123" s="64"/>
      <c r="AE123" s="122"/>
      <c r="AF123" s="123"/>
      <c r="AG123" s="43">
        <f t="shared" si="27"/>
        <v>0</v>
      </c>
      <c r="AH123" s="44">
        <f t="shared" si="27"/>
        <v>0</v>
      </c>
      <c r="AI123" s="44">
        <f t="shared" si="27"/>
        <v>0</v>
      </c>
      <c r="AJ123" s="45">
        <f t="shared" si="27"/>
        <v>0</v>
      </c>
      <c r="AK123" s="80">
        <f t="shared" si="17"/>
        <v>0</v>
      </c>
      <c r="AL123" s="47">
        <v>1</v>
      </c>
      <c r="AM123" s="48">
        <f t="shared" si="24"/>
        <v>0</v>
      </c>
      <c r="AN123" s="48">
        <f t="shared" si="25"/>
        <v>0</v>
      </c>
      <c r="AO123" s="49">
        <f t="shared" si="23"/>
        <v>0</v>
      </c>
      <c r="AP123" s="49">
        <f t="shared" si="18"/>
        <v>0</v>
      </c>
      <c r="AQ123" s="50">
        <f t="shared" si="19"/>
        <v>0</v>
      </c>
      <c r="AR123" s="124"/>
      <c r="AS123" s="125"/>
      <c r="AT123" s="126"/>
      <c r="AU123" s="84">
        <f t="shared" ref="AU123:AU132" si="28">AK123*AL123</f>
        <v>0</v>
      </c>
      <c r="AV123" s="127"/>
      <c r="AW123" s="128"/>
      <c r="AX123" s="128"/>
      <c r="AY123" s="125"/>
      <c r="AZ123" s="129"/>
    </row>
    <row r="124" spans="1:52" ht="16.5" thickBot="1" x14ac:dyDescent="0.3">
      <c r="A124" s="91">
        <v>400</v>
      </c>
      <c r="B124" s="91" t="s">
        <v>94</v>
      </c>
      <c r="C124" s="133"/>
      <c r="D124" s="26">
        <f t="shared" si="20"/>
        <v>0</v>
      </c>
      <c r="E124" s="27">
        <f t="shared" si="21"/>
        <v>0</v>
      </c>
      <c r="F124" s="29">
        <f t="shared" si="22"/>
        <v>0</v>
      </c>
      <c r="G124" s="30"/>
      <c r="H124" s="31"/>
      <c r="I124" s="32"/>
      <c r="J124" s="113"/>
      <c r="K124" s="33"/>
      <c r="L124" s="34"/>
      <c r="M124" s="34"/>
      <c r="N124" s="114"/>
      <c r="O124" s="34"/>
      <c r="P124" s="34"/>
      <c r="Q124" s="34"/>
      <c r="R124" s="114"/>
      <c r="S124" s="37"/>
      <c r="T124" s="34"/>
      <c r="U124" s="34"/>
      <c r="V124" s="114"/>
      <c r="W124" s="38"/>
      <c r="X124" s="31"/>
      <c r="Y124" s="31"/>
      <c r="Z124" s="78"/>
      <c r="AA124" s="37"/>
      <c r="AB124" s="34"/>
      <c r="AC124" s="34"/>
      <c r="AD124" s="64"/>
      <c r="AE124" s="122"/>
      <c r="AF124" s="123"/>
      <c r="AG124" s="43">
        <f t="shared" si="27"/>
        <v>0</v>
      </c>
      <c r="AH124" s="44">
        <f t="shared" si="27"/>
        <v>0</v>
      </c>
      <c r="AI124" s="44">
        <f t="shared" si="27"/>
        <v>0</v>
      </c>
      <c r="AJ124" s="45">
        <f t="shared" si="27"/>
        <v>0</v>
      </c>
      <c r="AK124" s="80">
        <f t="shared" si="17"/>
        <v>0</v>
      </c>
      <c r="AL124" s="47">
        <v>0.75</v>
      </c>
      <c r="AM124" s="48">
        <f t="shared" si="24"/>
        <v>0</v>
      </c>
      <c r="AN124" s="48">
        <f t="shared" si="25"/>
        <v>0</v>
      </c>
      <c r="AO124" s="49">
        <f t="shared" si="23"/>
        <v>0</v>
      </c>
      <c r="AP124" s="49">
        <f t="shared" si="18"/>
        <v>0</v>
      </c>
      <c r="AQ124" s="50">
        <f t="shared" si="19"/>
        <v>0</v>
      </c>
      <c r="AR124" s="124"/>
      <c r="AS124" s="125"/>
      <c r="AT124" s="126"/>
      <c r="AU124" s="84">
        <f t="shared" si="28"/>
        <v>0</v>
      </c>
      <c r="AV124" s="127"/>
      <c r="AW124" s="128"/>
      <c r="AX124" s="128"/>
      <c r="AY124" s="125"/>
      <c r="AZ124" s="129"/>
    </row>
    <row r="125" spans="1:52" ht="16.5" thickBot="1" x14ac:dyDescent="0.3">
      <c r="A125" s="91">
        <v>1000</v>
      </c>
      <c r="B125" s="91" t="s">
        <v>95</v>
      </c>
      <c r="C125" s="133"/>
      <c r="D125" s="26">
        <f t="shared" si="20"/>
        <v>0</v>
      </c>
      <c r="E125" s="27">
        <f t="shared" si="21"/>
        <v>0</v>
      </c>
      <c r="F125" s="29">
        <f t="shared" si="22"/>
        <v>0</v>
      </c>
      <c r="G125" s="30"/>
      <c r="H125" s="31"/>
      <c r="I125" s="32"/>
      <c r="J125" s="113"/>
      <c r="K125" s="33"/>
      <c r="L125" s="34"/>
      <c r="M125" s="34"/>
      <c r="N125" s="114"/>
      <c r="O125" s="34"/>
      <c r="P125" s="34"/>
      <c r="Q125" s="34"/>
      <c r="R125" s="114"/>
      <c r="S125" s="37"/>
      <c r="T125" s="34"/>
      <c r="U125" s="34"/>
      <c r="V125" s="114"/>
      <c r="W125" s="38"/>
      <c r="X125" s="31"/>
      <c r="Y125" s="31"/>
      <c r="Z125" s="78"/>
      <c r="AA125" s="37"/>
      <c r="AB125" s="34"/>
      <c r="AC125" s="34"/>
      <c r="AD125" s="64"/>
      <c r="AE125" s="122"/>
      <c r="AF125" s="123"/>
      <c r="AG125" s="43">
        <f t="shared" si="27"/>
        <v>0</v>
      </c>
      <c r="AH125" s="44">
        <f t="shared" si="27"/>
        <v>0</v>
      </c>
      <c r="AI125" s="44">
        <f t="shared" si="27"/>
        <v>0</v>
      </c>
      <c r="AJ125" s="45">
        <f t="shared" si="27"/>
        <v>0</v>
      </c>
      <c r="AK125" s="80">
        <f t="shared" si="17"/>
        <v>0</v>
      </c>
      <c r="AL125" s="47">
        <v>1</v>
      </c>
      <c r="AM125" s="48">
        <f t="shared" si="24"/>
        <v>0</v>
      </c>
      <c r="AN125" s="48">
        <f t="shared" si="25"/>
        <v>0</v>
      </c>
      <c r="AO125" s="49">
        <f t="shared" si="23"/>
        <v>0</v>
      </c>
      <c r="AP125" s="49">
        <f t="shared" si="18"/>
        <v>0</v>
      </c>
      <c r="AQ125" s="50">
        <f t="shared" si="19"/>
        <v>0</v>
      </c>
      <c r="AR125" s="124"/>
      <c r="AS125" s="125"/>
      <c r="AT125" s="126"/>
      <c r="AU125" s="84">
        <f t="shared" si="28"/>
        <v>0</v>
      </c>
      <c r="AV125" s="127"/>
      <c r="AW125" s="128"/>
      <c r="AX125" s="128"/>
      <c r="AY125" s="125"/>
      <c r="AZ125" s="129"/>
    </row>
    <row r="126" spans="1:52" ht="16.5" thickBot="1" x14ac:dyDescent="0.3">
      <c r="A126" s="134">
        <v>355</v>
      </c>
      <c r="B126" s="134" t="s">
        <v>96</v>
      </c>
      <c r="C126" s="135"/>
      <c r="D126" s="26">
        <f t="shared" si="20"/>
        <v>0</v>
      </c>
      <c r="E126" s="27">
        <f t="shared" si="21"/>
        <v>0</v>
      </c>
      <c r="F126" s="29">
        <f t="shared" si="22"/>
        <v>0</v>
      </c>
      <c r="G126" s="30"/>
      <c r="H126" s="31"/>
      <c r="I126" s="32"/>
      <c r="J126" s="136"/>
      <c r="K126" s="33"/>
      <c r="L126" s="34"/>
      <c r="M126" s="34"/>
      <c r="N126" s="114"/>
      <c r="O126" s="34"/>
      <c r="P126" s="34"/>
      <c r="Q126" s="34"/>
      <c r="R126" s="114"/>
      <c r="S126" s="37"/>
      <c r="T126" s="34"/>
      <c r="U126" s="34"/>
      <c r="V126" s="114"/>
      <c r="W126" s="38"/>
      <c r="X126" s="31"/>
      <c r="Y126" s="31"/>
      <c r="Z126" s="78"/>
      <c r="AA126" s="37"/>
      <c r="AB126" s="34"/>
      <c r="AC126" s="34"/>
      <c r="AD126" s="64"/>
      <c r="AE126" s="122"/>
      <c r="AF126" s="123"/>
      <c r="AG126" s="43">
        <f t="shared" si="27"/>
        <v>0</v>
      </c>
      <c r="AH126" s="44">
        <f t="shared" si="27"/>
        <v>0</v>
      </c>
      <c r="AI126" s="44">
        <f t="shared" si="27"/>
        <v>0</v>
      </c>
      <c r="AJ126" s="45">
        <f t="shared" si="27"/>
        <v>0</v>
      </c>
      <c r="AK126" s="137">
        <f t="shared" si="17"/>
        <v>0</v>
      </c>
      <c r="AL126" s="47">
        <v>0.45</v>
      </c>
      <c r="AM126" s="48">
        <f t="shared" si="24"/>
        <v>0</v>
      </c>
      <c r="AN126" s="48">
        <f t="shared" si="25"/>
        <v>0</v>
      </c>
      <c r="AO126" s="49">
        <f t="shared" si="23"/>
        <v>0</v>
      </c>
      <c r="AP126" s="49">
        <f t="shared" si="18"/>
        <v>0</v>
      </c>
      <c r="AQ126" s="50">
        <f t="shared" si="19"/>
        <v>0</v>
      </c>
      <c r="AR126" s="124"/>
      <c r="AS126" s="125"/>
      <c r="AT126" s="126"/>
      <c r="AU126" s="84">
        <f t="shared" si="28"/>
        <v>0</v>
      </c>
      <c r="AV126" s="127"/>
      <c r="AW126" s="128"/>
      <c r="AX126" s="128"/>
      <c r="AY126" s="125"/>
      <c r="AZ126" s="129"/>
    </row>
    <row r="127" spans="1:52" ht="16.5" thickBot="1" x14ac:dyDescent="0.3">
      <c r="A127" s="134">
        <v>330</v>
      </c>
      <c r="B127" s="134" t="s">
        <v>97</v>
      </c>
      <c r="C127" s="135"/>
      <c r="D127" s="26">
        <f t="shared" si="20"/>
        <v>0</v>
      </c>
      <c r="E127" s="27">
        <f t="shared" si="21"/>
        <v>0</v>
      </c>
      <c r="F127" s="29">
        <f t="shared" si="22"/>
        <v>0</v>
      </c>
      <c r="G127" s="30"/>
      <c r="H127" s="31"/>
      <c r="I127" s="32"/>
      <c r="J127" s="136"/>
      <c r="K127" s="33"/>
      <c r="L127" s="34"/>
      <c r="M127" s="34"/>
      <c r="N127" s="114"/>
      <c r="O127" s="34"/>
      <c r="P127" s="34"/>
      <c r="Q127" s="34"/>
      <c r="R127" s="114"/>
      <c r="S127" s="37"/>
      <c r="T127" s="34"/>
      <c r="U127" s="34"/>
      <c r="V127" s="114"/>
      <c r="W127" s="38"/>
      <c r="X127" s="31"/>
      <c r="Y127" s="31"/>
      <c r="Z127" s="78"/>
      <c r="AA127" s="37"/>
      <c r="AB127" s="34"/>
      <c r="AC127" s="34"/>
      <c r="AD127" s="64"/>
      <c r="AE127" s="122"/>
      <c r="AF127" s="123"/>
      <c r="AG127" s="43">
        <f t="shared" si="27"/>
        <v>0</v>
      </c>
      <c r="AH127" s="44">
        <f t="shared" si="27"/>
        <v>0</v>
      </c>
      <c r="AI127" s="44">
        <f t="shared" si="27"/>
        <v>0</v>
      </c>
      <c r="AJ127" s="45">
        <f t="shared" si="27"/>
        <v>0</v>
      </c>
      <c r="AK127" s="137">
        <f t="shared" si="17"/>
        <v>0</v>
      </c>
      <c r="AL127" s="47">
        <v>0.5</v>
      </c>
      <c r="AM127" s="48">
        <f t="shared" si="24"/>
        <v>0</v>
      </c>
      <c r="AN127" s="48">
        <f t="shared" si="25"/>
        <v>0</v>
      </c>
      <c r="AO127" s="49">
        <f t="shared" si="23"/>
        <v>0</v>
      </c>
      <c r="AP127" s="49">
        <f t="shared" si="18"/>
        <v>0</v>
      </c>
      <c r="AQ127" s="50">
        <f t="shared" si="19"/>
        <v>0</v>
      </c>
      <c r="AR127" s="124"/>
      <c r="AS127" s="125"/>
      <c r="AT127" s="126"/>
      <c r="AU127" s="84">
        <f t="shared" si="28"/>
        <v>0</v>
      </c>
      <c r="AV127" s="127"/>
      <c r="AW127" s="128"/>
      <c r="AX127" s="128"/>
      <c r="AY127" s="125"/>
      <c r="AZ127" s="129"/>
    </row>
    <row r="128" spans="1:52" ht="16.5" thickBot="1" x14ac:dyDescent="0.3">
      <c r="A128" s="134">
        <v>330</v>
      </c>
      <c r="B128" s="134" t="s">
        <v>98</v>
      </c>
      <c r="C128" s="135"/>
      <c r="D128" s="26">
        <f t="shared" si="20"/>
        <v>0</v>
      </c>
      <c r="E128" s="27">
        <f t="shared" si="21"/>
        <v>0</v>
      </c>
      <c r="F128" s="29">
        <f t="shared" si="22"/>
        <v>0</v>
      </c>
      <c r="G128" s="30"/>
      <c r="H128" s="31"/>
      <c r="I128" s="32"/>
      <c r="J128" s="136"/>
      <c r="K128" s="33"/>
      <c r="L128" s="34"/>
      <c r="M128" s="34"/>
      <c r="N128" s="114"/>
      <c r="O128" s="34"/>
      <c r="P128" s="34"/>
      <c r="Q128" s="34"/>
      <c r="R128" s="114"/>
      <c r="S128" s="37"/>
      <c r="T128" s="34"/>
      <c r="U128" s="34"/>
      <c r="V128" s="114"/>
      <c r="W128" s="38"/>
      <c r="X128" s="31"/>
      <c r="Y128" s="31"/>
      <c r="Z128" s="78"/>
      <c r="AA128" s="37"/>
      <c r="AB128" s="34"/>
      <c r="AC128" s="34"/>
      <c r="AD128" s="64"/>
      <c r="AE128" s="122"/>
      <c r="AF128" s="123"/>
      <c r="AG128" s="43">
        <f t="shared" si="27"/>
        <v>0</v>
      </c>
      <c r="AH128" s="44">
        <f t="shared" si="27"/>
        <v>0</v>
      </c>
      <c r="AI128" s="44">
        <f t="shared" si="27"/>
        <v>0</v>
      </c>
      <c r="AJ128" s="45">
        <f t="shared" si="27"/>
        <v>0</v>
      </c>
      <c r="AK128" s="137">
        <f t="shared" si="17"/>
        <v>0</v>
      </c>
      <c r="AL128" s="47">
        <v>0.5</v>
      </c>
      <c r="AM128" s="48">
        <f t="shared" si="24"/>
        <v>0</v>
      </c>
      <c r="AN128" s="48">
        <f t="shared" si="25"/>
        <v>0</v>
      </c>
      <c r="AO128" s="49">
        <f t="shared" si="23"/>
        <v>0</v>
      </c>
      <c r="AP128" s="49">
        <f t="shared" si="18"/>
        <v>0</v>
      </c>
      <c r="AQ128" s="50">
        <f t="shared" si="19"/>
        <v>0</v>
      </c>
      <c r="AR128" s="124"/>
      <c r="AS128" s="125"/>
      <c r="AT128" s="126"/>
      <c r="AU128" s="84">
        <f t="shared" si="28"/>
        <v>0</v>
      </c>
      <c r="AV128" s="127"/>
      <c r="AW128" s="128"/>
      <c r="AX128" s="128"/>
      <c r="AY128" s="125"/>
      <c r="AZ128" s="129"/>
    </row>
    <row r="129" spans="1:52" ht="16.5" thickBot="1" x14ac:dyDescent="0.3">
      <c r="A129" s="134">
        <v>330</v>
      </c>
      <c r="B129" s="134" t="s">
        <v>99</v>
      </c>
      <c r="C129" s="135"/>
      <c r="D129" s="26">
        <f t="shared" si="20"/>
        <v>0</v>
      </c>
      <c r="E129" s="27">
        <f t="shared" si="21"/>
        <v>0</v>
      </c>
      <c r="F129" s="29">
        <f t="shared" si="22"/>
        <v>0</v>
      </c>
      <c r="G129" s="30"/>
      <c r="H129" s="31"/>
      <c r="I129" s="32"/>
      <c r="J129" s="136"/>
      <c r="K129" s="33"/>
      <c r="L129" s="34"/>
      <c r="M129" s="34"/>
      <c r="N129" s="114"/>
      <c r="O129" s="34"/>
      <c r="P129" s="34"/>
      <c r="Q129" s="34"/>
      <c r="R129" s="114"/>
      <c r="S129" s="37"/>
      <c r="T129" s="34"/>
      <c r="U129" s="34"/>
      <c r="V129" s="114"/>
      <c r="W129" s="38"/>
      <c r="X129" s="31"/>
      <c r="Y129" s="31"/>
      <c r="Z129" s="78"/>
      <c r="AA129" s="37"/>
      <c r="AB129" s="34"/>
      <c r="AC129" s="34"/>
      <c r="AD129" s="64"/>
      <c r="AE129" s="122"/>
      <c r="AF129" s="123"/>
      <c r="AG129" s="43">
        <f t="shared" si="27"/>
        <v>0</v>
      </c>
      <c r="AH129" s="44">
        <f t="shared" si="27"/>
        <v>0</v>
      </c>
      <c r="AI129" s="44">
        <f t="shared" si="27"/>
        <v>0</v>
      </c>
      <c r="AJ129" s="45">
        <f t="shared" si="27"/>
        <v>0</v>
      </c>
      <c r="AK129" s="137">
        <f t="shared" si="17"/>
        <v>0</v>
      </c>
      <c r="AL129" s="47">
        <v>0.5</v>
      </c>
      <c r="AM129" s="48">
        <f t="shared" si="24"/>
        <v>0</v>
      </c>
      <c r="AN129" s="48">
        <f t="shared" si="25"/>
        <v>0</v>
      </c>
      <c r="AO129" s="49">
        <f t="shared" si="23"/>
        <v>0</v>
      </c>
      <c r="AP129" s="49">
        <f t="shared" si="18"/>
        <v>0</v>
      </c>
      <c r="AQ129" s="50">
        <f t="shared" si="19"/>
        <v>0</v>
      </c>
      <c r="AR129" s="124"/>
      <c r="AS129" s="125"/>
      <c r="AT129" s="126"/>
      <c r="AU129" s="84">
        <f t="shared" si="28"/>
        <v>0</v>
      </c>
      <c r="AV129" s="127"/>
      <c r="AW129" s="128"/>
      <c r="AX129" s="128"/>
      <c r="AY129" s="125"/>
      <c r="AZ129" s="129"/>
    </row>
    <row r="130" spans="1:52" ht="16.5" thickBot="1" x14ac:dyDescent="0.3">
      <c r="A130" s="134">
        <v>330</v>
      </c>
      <c r="B130" s="134" t="s">
        <v>100</v>
      </c>
      <c r="C130" s="135"/>
      <c r="D130" s="26">
        <f t="shared" si="20"/>
        <v>0</v>
      </c>
      <c r="E130" s="27">
        <f t="shared" si="21"/>
        <v>0</v>
      </c>
      <c r="F130" s="29">
        <f t="shared" si="22"/>
        <v>0</v>
      </c>
      <c r="G130" s="30"/>
      <c r="H130" s="31"/>
      <c r="I130" s="32"/>
      <c r="J130" s="136"/>
      <c r="K130" s="33"/>
      <c r="L130" s="34"/>
      <c r="M130" s="34"/>
      <c r="N130" s="114"/>
      <c r="O130" s="34"/>
      <c r="P130" s="34"/>
      <c r="Q130" s="34"/>
      <c r="R130" s="114"/>
      <c r="S130" s="37"/>
      <c r="T130" s="34"/>
      <c r="U130" s="34"/>
      <c r="V130" s="114"/>
      <c r="W130" s="38"/>
      <c r="X130" s="31"/>
      <c r="Y130" s="31"/>
      <c r="Z130" s="78"/>
      <c r="AA130" s="37"/>
      <c r="AB130" s="34"/>
      <c r="AC130" s="34"/>
      <c r="AD130" s="64"/>
      <c r="AE130" s="122"/>
      <c r="AF130" s="123"/>
      <c r="AG130" s="43">
        <f t="shared" si="27"/>
        <v>0</v>
      </c>
      <c r="AH130" s="44">
        <f t="shared" si="27"/>
        <v>0</v>
      </c>
      <c r="AI130" s="44">
        <f t="shared" si="27"/>
        <v>0</v>
      </c>
      <c r="AJ130" s="45">
        <f t="shared" si="27"/>
        <v>0</v>
      </c>
      <c r="AK130" s="137">
        <f t="shared" si="17"/>
        <v>0</v>
      </c>
      <c r="AL130" s="47">
        <v>0.5</v>
      </c>
      <c r="AM130" s="48">
        <f t="shared" si="24"/>
        <v>0</v>
      </c>
      <c r="AN130" s="48">
        <f t="shared" si="25"/>
        <v>0</v>
      </c>
      <c r="AO130" s="49">
        <f t="shared" si="23"/>
        <v>0</v>
      </c>
      <c r="AP130" s="49">
        <f t="shared" si="18"/>
        <v>0</v>
      </c>
      <c r="AQ130" s="50">
        <f t="shared" si="19"/>
        <v>0</v>
      </c>
      <c r="AR130" s="124"/>
      <c r="AS130" s="125"/>
      <c r="AT130" s="126"/>
      <c r="AU130" s="84">
        <f t="shared" si="28"/>
        <v>0</v>
      </c>
      <c r="AV130" s="127"/>
      <c r="AW130" s="128"/>
      <c r="AX130" s="128"/>
      <c r="AY130" s="125"/>
      <c r="AZ130" s="129"/>
    </row>
    <row r="131" spans="1:52" ht="16.5" thickBot="1" x14ac:dyDescent="0.3">
      <c r="A131" s="134">
        <v>330</v>
      </c>
      <c r="B131" s="134" t="s">
        <v>101</v>
      </c>
      <c r="C131" s="135"/>
      <c r="D131" s="26">
        <f t="shared" si="20"/>
        <v>0</v>
      </c>
      <c r="E131" s="27">
        <f t="shared" si="21"/>
        <v>0</v>
      </c>
      <c r="F131" s="29">
        <f t="shared" si="22"/>
        <v>0</v>
      </c>
      <c r="G131" s="30"/>
      <c r="H131" s="31"/>
      <c r="I131" s="32"/>
      <c r="J131" s="136"/>
      <c r="K131" s="33"/>
      <c r="L131" s="34"/>
      <c r="M131" s="34"/>
      <c r="N131" s="114"/>
      <c r="O131" s="34"/>
      <c r="P131" s="34"/>
      <c r="Q131" s="34"/>
      <c r="R131" s="114"/>
      <c r="S131" s="37"/>
      <c r="T131" s="34"/>
      <c r="U131" s="34"/>
      <c r="V131" s="114"/>
      <c r="W131" s="38"/>
      <c r="X131" s="31"/>
      <c r="Y131" s="31"/>
      <c r="Z131" s="78"/>
      <c r="AA131" s="37"/>
      <c r="AB131" s="34"/>
      <c r="AC131" s="34"/>
      <c r="AD131" s="64"/>
      <c r="AE131" s="122"/>
      <c r="AF131" s="123"/>
      <c r="AG131" s="43">
        <f t="shared" si="27"/>
        <v>0</v>
      </c>
      <c r="AH131" s="44">
        <f t="shared" si="27"/>
        <v>0</v>
      </c>
      <c r="AI131" s="44">
        <f t="shared" si="27"/>
        <v>0</v>
      </c>
      <c r="AJ131" s="45">
        <f t="shared" si="27"/>
        <v>0</v>
      </c>
      <c r="AK131" s="137">
        <f t="shared" si="17"/>
        <v>0</v>
      </c>
      <c r="AL131" s="47">
        <v>0.5</v>
      </c>
      <c r="AM131" s="48">
        <f t="shared" si="24"/>
        <v>0</v>
      </c>
      <c r="AN131" s="48">
        <f t="shared" si="25"/>
        <v>0</v>
      </c>
      <c r="AO131" s="49">
        <f t="shared" si="23"/>
        <v>0</v>
      </c>
      <c r="AP131" s="49">
        <f t="shared" si="18"/>
        <v>0</v>
      </c>
      <c r="AQ131" s="50">
        <f t="shared" si="19"/>
        <v>0</v>
      </c>
      <c r="AR131" s="124"/>
      <c r="AS131" s="125"/>
      <c r="AT131" s="126"/>
      <c r="AU131" s="84">
        <f t="shared" si="28"/>
        <v>0</v>
      </c>
      <c r="AV131" s="127"/>
      <c r="AW131" s="128"/>
      <c r="AX131" s="128"/>
      <c r="AY131" s="125"/>
      <c r="AZ131" s="129"/>
    </row>
    <row r="132" spans="1:52" ht="16.5" thickBot="1" x14ac:dyDescent="0.3">
      <c r="A132" s="134">
        <v>330</v>
      </c>
      <c r="B132" s="134" t="s">
        <v>102</v>
      </c>
      <c r="C132" s="135"/>
      <c r="D132" s="26">
        <f t="shared" si="20"/>
        <v>0</v>
      </c>
      <c r="E132" s="27">
        <f t="shared" si="21"/>
        <v>0</v>
      </c>
      <c r="F132" s="29">
        <f t="shared" si="22"/>
        <v>0</v>
      </c>
      <c r="G132" s="30"/>
      <c r="H132" s="31"/>
      <c r="I132" s="32"/>
      <c r="J132" s="136"/>
      <c r="K132" s="33"/>
      <c r="L132" s="34"/>
      <c r="M132" s="34"/>
      <c r="N132" s="138"/>
      <c r="O132" s="34"/>
      <c r="P132" s="34"/>
      <c r="Q132" s="34"/>
      <c r="R132" s="138"/>
      <c r="S132" s="37"/>
      <c r="T132" s="34"/>
      <c r="U132" s="34"/>
      <c r="V132" s="138"/>
      <c r="W132" s="38"/>
      <c r="X132" s="31"/>
      <c r="Y132" s="31"/>
      <c r="Z132" s="105"/>
      <c r="AA132" s="37"/>
      <c r="AB132" s="34"/>
      <c r="AC132" s="34"/>
      <c r="AD132" s="123"/>
      <c r="AE132" s="122"/>
      <c r="AF132" s="123"/>
      <c r="AG132" s="43">
        <f t="shared" si="27"/>
        <v>0</v>
      </c>
      <c r="AH132" s="44">
        <f t="shared" si="27"/>
        <v>0</v>
      </c>
      <c r="AI132" s="44">
        <f t="shared" si="27"/>
        <v>0</v>
      </c>
      <c r="AJ132" s="45">
        <f t="shared" si="27"/>
        <v>0</v>
      </c>
      <c r="AK132" s="137">
        <f t="shared" ref="AK132:AK184" si="29">AG132+AH132+AI132</f>
        <v>0</v>
      </c>
      <c r="AL132" s="47">
        <v>0.5</v>
      </c>
      <c r="AM132" s="48">
        <f t="shared" si="24"/>
        <v>0</v>
      </c>
      <c r="AN132" s="48">
        <f t="shared" si="25"/>
        <v>0</v>
      </c>
      <c r="AO132" s="49">
        <f t="shared" si="23"/>
        <v>0</v>
      </c>
      <c r="AP132" s="49">
        <f t="shared" ref="AP132:AP182" si="30">AJ132*AL132</f>
        <v>0</v>
      </c>
      <c r="AQ132" s="50">
        <f t="shared" ref="AQ132:AQ169" si="31">AK132*60</f>
        <v>0</v>
      </c>
      <c r="AR132" s="124"/>
      <c r="AS132" s="125"/>
      <c r="AT132" s="126"/>
      <c r="AU132" s="84">
        <f t="shared" si="28"/>
        <v>0</v>
      </c>
      <c r="AV132" s="127"/>
      <c r="AW132" s="128"/>
      <c r="AX132" s="128"/>
      <c r="AY132" s="125"/>
      <c r="AZ132" s="129"/>
    </row>
    <row r="133" spans="1:52" ht="16.5" thickBot="1" x14ac:dyDescent="0.3">
      <c r="A133" s="134">
        <v>330</v>
      </c>
      <c r="B133" s="134" t="s">
        <v>103</v>
      </c>
      <c r="C133" s="135"/>
      <c r="D133" s="26">
        <f t="shared" ref="D133:D183" si="32">C133/3</f>
        <v>0</v>
      </c>
      <c r="E133" s="27">
        <f t="shared" ref="E133:E183" si="33">C133/3</f>
        <v>0</v>
      </c>
      <c r="F133" s="29">
        <f t="shared" ref="F133:F183" si="34">C133/3</f>
        <v>0</v>
      </c>
      <c r="G133" s="30"/>
      <c r="H133" s="31"/>
      <c r="I133" s="32"/>
      <c r="J133" s="136"/>
      <c r="K133" s="33"/>
      <c r="L133" s="34"/>
      <c r="M133" s="34"/>
      <c r="N133" s="138"/>
      <c r="O133" s="34"/>
      <c r="P133" s="34"/>
      <c r="Q133" s="34"/>
      <c r="R133" s="138"/>
      <c r="S133" s="37"/>
      <c r="T133" s="34"/>
      <c r="U133" s="34"/>
      <c r="V133" s="138"/>
      <c r="W133" s="38"/>
      <c r="X133" s="31"/>
      <c r="Y133" s="31"/>
      <c r="Z133" s="105"/>
      <c r="AA133" s="37"/>
      <c r="AB133" s="34"/>
      <c r="AC133" s="34"/>
      <c r="AD133" s="123"/>
      <c r="AE133" s="122"/>
      <c r="AF133" s="123"/>
      <c r="AG133" s="43">
        <f t="shared" si="27"/>
        <v>0</v>
      </c>
      <c r="AH133" s="44">
        <f t="shared" si="27"/>
        <v>0</v>
      </c>
      <c r="AI133" s="44">
        <f t="shared" si="27"/>
        <v>0</v>
      </c>
      <c r="AJ133" s="45">
        <f t="shared" si="27"/>
        <v>0</v>
      </c>
      <c r="AK133" s="137">
        <f t="shared" si="29"/>
        <v>0</v>
      </c>
      <c r="AL133" s="47">
        <v>0.5</v>
      </c>
      <c r="AM133" s="48">
        <f t="shared" si="24"/>
        <v>0</v>
      </c>
      <c r="AN133" s="48">
        <f t="shared" si="25"/>
        <v>0</v>
      </c>
      <c r="AO133" s="49">
        <f t="shared" ref="AO133:AO184" si="35">AI133*AL133</f>
        <v>0</v>
      </c>
      <c r="AP133" s="49">
        <f t="shared" si="30"/>
        <v>0</v>
      </c>
      <c r="AQ133" s="50">
        <f t="shared" si="31"/>
        <v>0</v>
      </c>
      <c r="AR133" s="124"/>
      <c r="AS133" s="125"/>
      <c r="AT133" s="126"/>
      <c r="AU133" s="84"/>
      <c r="AV133" s="127"/>
      <c r="AW133" s="128"/>
      <c r="AX133" s="128"/>
      <c r="AY133" s="125"/>
      <c r="AZ133" s="129"/>
    </row>
    <row r="134" spans="1:52" ht="16.5" thickBot="1" x14ac:dyDescent="0.3">
      <c r="A134" s="134">
        <v>330</v>
      </c>
      <c r="B134" s="134" t="s">
        <v>104</v>
      </c>
      <c r="C134" s="135"/>
      <c r="D134" s="26">
        <f t="shared" si="32"/>
        <v>0</v>
      </c>
      <c r="E134" s="27">
        <f t="shared" si="33"/>
        <v>0</v>
      </c>
      <c r="F134" s="29">
        <f t="shared" si="34"/>
        <v>0</v>
      </c>
      <c r="G134" s="30"/>
      <c r="H134" s="31"/>
      <c r="I134" s="32"/>
      <c r="J134" s="136"/>
      <c r="K134" s="33"/>
      <c r="L134" s="34"/>
      <c r="M134" s="34"/>
      <c r="N134" s="138"/>
      <c r="O134" s="34"/>
      <c r="P134" s="34"/>
      <c r="Q134" s="34"/>
      <c r="R134" s="138"/>
      <c r="S134" s="37"/>
      <c r="T134" s="34"/>
      <c r="U134" s="34"/>
      <c r="V134" s="138"/>
      <c r="W134" s="38"/>
      <c r="X134" s="31"/>
      <c r="Y134" s="31"/>
      <c r="Z134" s="105"/>
      <c r="AA134" s="37"/>
      <c r="AB134" s="34"/>
      <c r="AC134" s="34"/>
      <c r="AD134" s="123"/>
      <c r="AE134" s="122"/>
      <c r="AF134" s="123"/>
      <c r="AG134" s="43">
        <f t="shared" si="27"/>
        <v>0</v>
      </c>
      <c r="AH134" s="44">
        <f t="shared" si="27"/>
        <v>0</v>
      </c>
      <c r="AI134" s="44">
        <f t="shared" si="27"/>
        <v>0</v>
      </c>
      <c r="AJ134" s="45">
        <f t="shared" si="27"/>
        <v>0</v>
      </c>
      <c r="AK134" s="137">
        <f t="shared" si="29"/>
        <v>0</v>
      </c>
      <c r="AL134" s="47">
        <v>0.5</v>
      </c>
      <c r="AM134" s="48">
        <f t="shared" si="24"/>
        <v>0</v>
      </c>
      <c r="AN134" s="48">
        <f t="shared" si="25"/>
        <v>0</v>
      </c>
      <c r="AO134" s="49">
        <f t="shared" si="35"/>
        <v>0</v>
      </c>
      <c r="AP134" s="49">
        <f t="shared" si="30"/>
        <v>0</v>
      </c>
      <c r="AQ134" s="50">
        <f t="shared" si="31"/>
        <v>0</v>
      </c>
      <c r="AR134" s="124"/>
      <c r="AS134" s="125"/>
      <c r="AT134" s="126"/>
      <c r="AU134" s="84"/>
      <c r="AV134" s="127"/>
      <c r="AW134" s="128"/>
      <c r="AX134" s="128"/>
      <c r="AY134" s="125"/>
      <c r="AZ134" s="129"/>
    </row>
    <row r="135" spans="1:52" ht="16.5" thickBot="1" x14ac:dyDescent="0.3">
      <c r="A135" s="134">
        <v>330</v>
      </c>
      <c r="B135" s="134" t="s">
        <v>105</v>
      </c>
      <c r="C135" s="135"/>
      <c r="D135" s="26">
        <f t="shared" si="32"/>
        <v>0</v>
      </c>
      <c r="E135" s="27">
        <f t="shared" si="33"/>
        <v>0</v>
      </c>
      <c r="F135" s="29">
        <f t="shared" si="34"/>
        <v>0</v>
      </c>
      <c r="G135" s="30"/>
      <c r="H135" s="31"/>
      <c r="I135" s="32"/>
      <c r="J135" s="136"/>
      <c r="K135" s="33"/>
      <c r="L135" s="34"/>
      <c r="M135" s="34"/>
      <c r="N135" s="138"/>
      <c r="O135" s="34"/>
      <c r="P135" s="34"/>
      <c r="Q135" s="34"/>
      <c r="R135" s="138"/>
      <c r="S135" s="37"/>
      <c r="T135" s="34"/>
      <c r="U135" s="34"/>
      <c r="V135" s="138"/>
      <c r="W135" s="38"/>
      <c r="X135" s="31"/>
      <c r="Y135" s="31"/>
      <c r="Z135" s="105"/>
      <c r="AA135" s="37"/>
      <c r="AB135" s="34"/>
      <c r="AC135" s="34"/>
      <c r="AD135" s="123"/>
      <c r="AE135" s="122"/>
      <c r="AF135" s="123"/>
      <c r="AG135" s="43">
        <f t="shared" si="27"/>
        <v>0</v>
      </c>
      <c r="AH135" s="44">
        <f t="shared" si="27"/>
        <v>0</v>
      </c>
      <c r="AI135" s="44">
        <f t="shared" si="27"/>
        <v>0</v>
      </c>
      <c r="AJ135" s="45">
        <f t="shared" si="27"/>
        <v>0</v>
      </c>
      <c r="AK135" s="137">
        <f t="shared" si="29"/>
        <v>0</v>
      </c>
      <c r="AL135" s="47">
        <v>0.5</v>
      </c>
      <c r="AM135" s="48">
        <f t="shared" si="24"/>
        <v>0</v>
      </c>
      <c r="AN135" s="48">
        <f t="shared" si="25"/>
        <v>0</v>
      </c>
      <c r="AO135" s="49">
        <f t="shared" si="35"/>
        <v>0</v>
      </c>
      <c r="AP135" s="49">
        <f t="shared" si="30"/>
        <v>0</v>
      </c>
      <c r="AQ135" s="50">
        <f t="shared" si="31"/>
        <v>0</v>
      </c>
      <c r="AR135" s="124"/>
      <c r="AS135" s="125"/>
      <c r="AT135" s="126"/>
      <c r="AU135" s="84"/>
      <c r="AV135" s="127"/>
      <c r="AW135" s="128"/>
      <c r="AX135" s="128"/>
      <c r="AY135" s="125"/>
      <c r="AZ135" s="129"/>
    </row>
    <row r="136" spans="1:52" ht="16.5" thickBot="1" x14ac:dyDescent="0.3">
      <c r="A136" s="134">
        <v>330</v>
      </c>
      <c r="B136" s="134" t="s">
        <v>106</v>
      </c>
      <c r="C136" s="135"/>
      <c r="D136" s="26">
        <f t="shared" si="32"/>
        <v>0</v>
      </c>
      <c r="E136" s="27">
        <f t="shared" si="33"/>
        <v>0</v>
      </c>
      <c r="F136" s="29">
        <f t="shared" si="34"/>
        <v>0</v>
      </c>
      <c r="G136" s="30"/>
      <c r="H136" s="31"/>
      <c r="I136" s="32"/>
      <c r="J136" s="136"/>
      <c r="K136" s="33"/>
      <c r="L136" s="34"/>
      <c r="M136" s="34"/>
      <c r="N136" s="138"/>
      <c r="O136" s="34"/>
      <c r="P136" s="34"/>
      <c r="Q136" s="34"/>
      <c r="R136" s="138"/>
      <c r="S136" s="37"/>
      <c r="T136" s="34"/>
      <c r="U136" s="34"/>
      <c r="V136" s="138"/>
      <c r="W136" s="38"/>
      <c r="X136" s="31"/>
      <c r="Y136" s="31"/>
      <c r="Z136" s="105"/>
      <c r="AA136" s="37"/>
      <c r="AB136" s="34"/>
      <c r="AC136" s="34"/>
      <c r="AD136" s="123"/>
      <c r="AE136" s="122"/>
      <c r="AF136" s="123"/>
      <c r="AG136" s="43">
        <f t="shared" si="27"/>
        <v>0</v>
      </c>
      <c r="AH136" s="44">
        <f t="shared" si="27"/>
        <v>0</v>
      </c>
      <c r="AI136" s="44">
        <f t="shared" si="27"/>
        <v>0</v>
      </c>
      <c r="AJ136" s="45">
        <f t="shared" si="27"/>
        <v>0</v>
      </c>
      <c r="AK136" s="137">
        <f t="shared" si="29"/>
        <v>0</v>
      </c>
      <c r="AL136" s="47">
        <v>0.5</v>
      </c>
      <c r="AM136" s="48">
        <f t="shared" si="24"/>
        <v>0</v>
      </c>
      <c r="AN136" s="48">
        <f t="shared" si="25"/>
        <v>0</v>
      </c>
      <c r="AO136" s="49">
        <f t="shared" si="35"/>
        <v>0</v>
      </c>
      <c r="AP136" s="49">
        <f t="shared" si="30"/>
        <v>0</v>
      </c>
      <c r="AQ136" s="50">
        <f t="shared" si="31"/>
        <v>0</v>
      </c>
      <c r="AR136" s="124"/>
      <c r="AS136" s="125"/>
      <c r="AT136" s="126"/>
      <c r="AU136" s="84"/>
      <c r="AV136" s="127"/>
      <c r="AW136" s="128"/>
      <c r="AX136" s="128"/>
      <c r="AY136" s="125"/>
      <c r="AZ136" s="129"/>
    </row>
    <row r="137" spans="1:52" ht="16.5" thickBot="1" x14ac:dyDescent="0.3">
      <c r="A137" s="134">
        <v>473</v>
      </c>
      <c r="B137" s="134" t="s">
        <v>54</v>
      </c>
      <c r="C137" s="135"/>
      <c r="D137" s="26">
        <f t="shared" si="32"/>
        <v>0</v>
      </c>
      <c r="E137" s="27">
        <f t="shared" si="33"/>
        <v>0</v>
      </c>
      <c r="F137" s="29">
        <f t="shared" si="34"/>
        <v>0</v>
      </c>
      <c r="G137" s="30"/>
      <c r="H137" s="31"/>
      <c r="I137" s="32"/>
      <c r="J137" s="136"/>
      <c r="K137" s="33"/>
      <c r="L137" s="34"/>
      <c r="M137" s="34"/>
      <c r="N137" s="138"/>
      <c r="O137" s="34"/>
      <c r="P137" s="34"/>
      <c r="Q137" s="34"/>
      <c r="R137" s="138"/>
      <c r="S137" s="37"/>
      <c r="T137" s="34"/>
      <c r="U137" s="34"/>
      <c r="V137" s="138"/>
      <c r="W137" s="38"/>
      <c r="X137" s="31"/>
      <c r="Y137" s="31"/>
      <c r="Z137" s="105"/>
      <c r="AA137" s="37"/>
      <c r="AB137" s="34"/>
      <c r="AC137" s="34"/>
      <c r="AD137" s="123"/>
      <c r="AE137" s="122"/>
      <c r="AF137" s="123"/>
      <c r="AG137" s="43">
        <f t="shared" si="27"/>
        <v>0</v>
      </c>
      <c r="AH137" s="44">
        <f t="shared" si="27"/>
        <v>0</v>
      </c>
      <c r="AI137" s="44">
        <f t="shared" si="27"/>
        <v>0</v>
      </c>
      <c r="AJ137" s="45">
        <f t="shared" si="27"/>
        <v>0</v>
      </c>
      <c r="AK137" s="137">
        <f t="shared" si="29"/>
        <v>0</v>
      </c>
      <c r="AL137" s="47">
        <v>0.5</v>
      </c>
      <c r="AM137" s="48">
        <f t="shared" si="24"/>
        <v>0</v>
      </c>
      <c r="AN137" s="48">
        <f t="shared" si="25"/>
        <v>0</v>
      </c>
      <c r="AO137" s="49">
        <f t="shared" si="35"/>
        <v>0</v>
      </c>
      <c r="AP137" s="49">
        <f t="shared" si="30"/>
        <v>0</v>
      </c>
      <c r="AQ137" s="50">
        <f t="shared" si="31"/>
        <v>0</v>
      </c>
      <c r="AR137" s="124"/>
      <c r="AS137" s="125"/>
      <c r="AT137" s="126"/>
      <c r="AU137" s="84"/>
      <c r="AV137" s="127"/>
      <c r="AW137" s="128"/>
      <c r="AX137" s="128"/>
      <c r="AY137" s="125"/>
      <c r="AZ137" s="129"/>
    </row>
    <row r="138" spans="1:52" ht="16.5" thickBot="1" x14ac:dyDescent="0.3">
      <c r="A138" s="134">
        <v>473</v>
      </c>
      <c r="B138" s="134" t="s">
        <v>56</v>
      </c>
      <c r="C138" s="135"/>
      <c r="D138" s="26">
        <f t="shared" si="32"/>
        <v>0</v>
      </c>
      <c r="E138" s="27">
        <f t="shared" si="33"/>
        <v>0</v>
      </c>
      <c r="F138" s="29">
        <f t="shared" si="34"/>
        <v>0</v>
      </c>
      <c r="G138" s="30"/>
      <c r="H138" s="31"/>
      <c r="I138" s="32"/>
      <c r="J138" s="136"/>
      <c r="K138" s="33"/>
      <c r="L138" s="34"/>
      <c r="M138" s="34"/>
      <c r="N138" s="138"/>
      <c r="O138" s="34"/>
      <c r="P138" s="34"/>
      <c r="Q138" s="34"/>
      <c r="R138" s="138"/>
      <c r="S138" s="37"/>
      <c r="T138" s="34"/>
      <c r="U138" s="34"/>
      <c r="V138" s="138"/>
      <c r="W138" s="38"/>
      <c r="X138" s="31"/>
      <c r="Y138" s="31"/>
      <c r="Z138" s="105"/>
      <c r="AA138" s="37"/>
      <c r="AB138" s="34"/>
      <c r="AC138" s="34"/>
      <c r="AD138" s="123"/>
      <c r="AE138" s="122"/>
      <c r="AF138" s="123"/>
      <c r="AG138" s="43">
        <f t="shared" si="27"/>
        <v>0</v>
      </c>
      <c r="AH138" s="44">
        <f t="shared" si="27"/>
        <v>0</v>
      </c>
      <c r="AI138" s="44">
        <f t="shared" si="27"/>
        <v>0</v>
      </c>
      <c r="AJ138" s="45">
        <f t="shared" si="27"/>
        <v>0</v>
      </c>
      <c r="AK138" s="137">
        <f t="shared" si="29"/>
        <v>0</v>
      </c>
      <c r="AL138" s="47">
        <v>0.5</v>
      </c>
      <c r="AM138" s="48">
        <f t="shared" ref="AM138:AM184" si="36">AG138*AL138</f>
        <v>0</v>
      </c>
      <c r="AN138" s="48">
        <f t="shared" ref="AN138:AN184" si="37">AH138*AL138</f>
        <v>0</v>
      </c>
      <c r="AO138" s="49">
        <f t="shared" si="35"/>
        <v>0</v>
      </c>
      <c r="AP138" s="49">
        <f t="shared" si="30"/>
        <v>0</v>
      </c>
      <c r="AQ138" s="50">
        <f t="shared" si="31"/>
        <v>0</v>
      </c>
      <c r="AR138" s="124"/>
      <c r="AS138" s="125"/>
      <c r="AT138" s="126"/>
      <c r="AU138" s="84"/>
      <c r="AV138" s="127"/>
      <c r="AW138" s="128"/>
      <c r="AX138" s="128"/>
      <c r="AY138" s="125"/>
      <c r="AZ138" s="129"/>
    </row>
    <row r="139" spans="1:52" ht="16.5" thickBot="1" x14ac:dyDescent="0.3">
      <c r="A139" s="134">
        <v>473</v>
      </c>
      <c r="B139" s="134" t="s">
        <v>107</v>
      </c>
      <c r="C139" s="135">
        <v>67</v>
      </c>
      <c r="D139" s="26">
        <f t="shared" si="32"/>
        <v>22.333333333333332</v>
      </c>
      <c r="E139" s="27">
        <f t="shared" si="33"/>
        <v>22.333333333333332</v>
      </c>
      <c r="F139" s="29">
        <f t="shared" si="34"/>
        <v>22.333333333333332</v>
      </c>
      <c r="G139" s="30"/>
      <c r="H139" s="31"/>
      <c r="I139" s="32"/>
      <c r="J139" s="136"/>
      <c r="K139" s="33"/>
      <c r="L139" s="34"/>
      <c r="M139" s="34"/>
      <c r="N139" s="138"/>
      <c r="O139" s="34"/>
      <c r="P139" s="34"/>
      <c r="Q139" s="34"/>
      <c r="R139" s="138"/>
      <c r="S139" s="37"/>
      <c r="T139" s="34"/>
      <c r="U139" s="34"/>
      <c r="V139" s="138"/>
      <c r="W139" s="38"/>
      <c r="X139" s="31"/>
      <c r="Y139" s="31"/>
      <c r="Z139" s="105"/>
      <c r="AA139" s="37"/>
      <c r="AB139" s="34"/>
      <c r="AC139" s="34"/>
      <c r="AD139" s="123"/>
      <c r="AE139" s="122"/>
      <c r="AF139" s="123"/>
      <c r="AG139" s="43">
        <f t="shared" si="27"/>
        <v>0</v>
      </c>
      <c r="AH139" s="44">
        <f t="shared" si="27"/>
        <v>0</v>
      </c>
      <c r="AI139" s="44">
        <f t="shared" si="27"/>
        <v>0</v>
      </c>
      <c r="AJ139" s="45">
        <f t="shared" si="27"/>
        <v>0</v>
      </c>
      <c r="AK139" s="137">
        <f t="shared" si="29"/>
        <v>0</v>
      </c>
      <c r="AL139" s="47">
        <v>0.5</v>
      </c>
      <c r="AM139" s="48">
        <f t="shared" si="36"/>
        <v>0</v>
      </c>
      <c r="AN139" s="48">
        <f t="shared" si="37"/>
        <v>0</v>
      </c>
      <c r="AO139" s="49">
        <f t="shared" si="35"/>
        <v>0</v>
      </c>
      <c r="AP139" s="49">
        <f t="shared" si="30"/>
        <v>0</v>
      </c>
      <c r="AQ139" s="50">
        <f t="shared" si="31"/>
        <v>0</v>
      </c>
      <c r="AR139" s="124"/>
      <c r="AS139" s="125"/>
      <c r="AT139" s="126"/>
      <c r="AU139" s="84"/>
      <c r="AV139" s="127"/>
      <c r="AW139" s="128"/>
      <c r="AX139" s="128"/>
      <c r="AY139" s="125"/>
      <c r="AZ139" s="129"/>
    </row>
    <row r="140" spans="1:52" ht="16.5" thickBot="1" x14ac:dyDescent="0.3">
      <c r="A140" s="134">
        <v>473</v>
      </c>
      <c r="B140" s="134" t="s">
        <v>57</v>
      </c>
      <c r="C140" s="135"/>
      <c r="D140" s="26">
        <f t="shared" si="32"/>
        <v>0</v>
      </c>
      <c r="E140" s="27">
        <f t="shared" si="33"/>
        <v>0</v>
      </c>
      <c r="F140" s="29">
        <f t="shared" si="34"/>
        <v>0</v>
      </c>
      <c r="G140" s="30"/>
      <c r="H140" s="31"/>
      <c r="I140" s="32"/>
      <c r="J140" s="136"/>
      <c r="K140" s="33"/>
      <c r="L140" s="34"/>
      <c r="M140" s="34"/>
      <c r="N140" s="138"/>
      <c r="O140" s="34"/>
      <c r="P140" s="34"/>
      <c r="Q140" s="34"/>
      <c r="R140" s="138"/>
      <c r="S140" s="37"/>
      <c r="T140" s="34"/>
      <c r="U140" s="34"/>
      <c r="V140" s="138"/>
      <c r="W140" s="38"/>
      <c r="X140" s="31"/>
      <c r="Y140" s="31"/>
      <c r="Z140" s="105"/>
      <c r="AA140" s="37"/>
      <c r="AB140" s="34"/>
      <c r="AC140" s="34"/>
      <c r="AD140" s="123"/>
      <c r="AE140" s="122"/>
      <c r="AF140" s="123"/>
      <c r="AG140" s="43">
        <f t="shared" si="27"/>
        <v>0</v>
      </c>
      <c r="AH140" s="44">
        <f t="shared" si="27"/>
        <v>0</v>
      </c>
      <c r="AI140" s="44">
        <f t="shared" si="27"/>
        <v>0</v>
      </c>
      <c r="AJ140" s="45">
        <f t="shared" si="27"/>
        <v>0</v>
      </c>
      <c r="AK140" s="137">
        <f t="shared" si="29"/>
        <v>0</v>
      </c>
      <c r="AL140" s="47">
        <v>0.5</v>
      </c>
      <c r="AM140" s="48">
        <f t="shared" si="36"/>
        <v>0</v>
      </c>
      <c r="AN140" s="48">
        <f t="shared" si="37"/>
        <v>0</v>
      </c>
      <c r="AO140" s="49">
        <f t="shared" si="35"/>
        <v>0</v>
      </c>
      <c r="AP140" s="49">
        <f t="shared" si="30"/>
        <v>0</v>
      </c>
      <c r="AQ140" s="50">
        <f t="shared" si="31"/>
        <v>0</v>
      </c>
      <c r="AR140" s="124"/>
      <c r="AS140" s="125"/>
      <c r="AT140" s="126"/>
      <c r="AU140" s="84"/>
      <c r="AV140" s="127"/>
      <c r="AW140" s="128"/>
      <c r="AX140" s="128"/>
      <c r="AY140" s="125"/>
      <c r="AZ140" s="129"/>
    </row>
    <row r="141" spans="1:52" ht="16.5" thickBot="1" x14ac:dyDescent="0.3">
      <c r="A141" s="134">
        <v>473</v>
      </c>
      <c r="B141" s="134" t="s">
        <v>108</v>
      </c>
      <c r="C141" s="135">
        <v>706</v>
      </c>
      <c r="D141" s="26">
        <f t="shared" si="32"/>
        <v>235.33333333333334</v>
      </c>
      <c r="E141" s="27">
        <f t="shared" si="33"/>
        <v>235.33333333333334</v>
      </c>
      <c r="F141" s="29">
        <f t="shared" si="34"/>
        <v>235.33333333333334</v>
      </c>
      <c r="G141" s="30"/>
      <c r="H141" s="31"/>
      <c r="I141" s="32"/>
      <c r="J141" s="136"/>
      <c r="K141" s="33"/>
      <c r="L141" s="34"/>
      <c r="M141" s="34"/>
      <c r="N141" s="138"/>
      <c r="O141" s="34"/>
      <c r="P141" s="34"/>
      <c r="Q141" s="34"/>
      <c r="R141" s="138"/>
      <c r="S141" s="37"/>
      <c r="T141" s="34"/>
      <c r="U141" s="34"/>
      <c r="V141" s="138"/>
      <c r="W141" s="38"/>
      <c r="X141" s="31"/>
      <c r="Y141" s="31"/>
      <c r="Z141" s="105"/>
      <c r="AA141" s="37"/>
      <c r="AB141" s="34"/>
      <c r="AC141" s="34"/>
      <c r="AD141" s="123"/>
      <c r="AE141" s="122"/>
      <c r="AF141" s="123"/>
      <c r="AG141" s="43">
        <f t="shared" si="27"/>
        <v>0</v>
      </c>
      <c r="AH141" s="44">
        <f t="shared" si="27"/>
        <v>0</v>
      </c>
      <c r="AI141" s="44">
        <f t="shared" si="27"/>
        <v>0</v>
      </c>
      <c r="AJ141" s="45">
        <f t="shared" si="27"/>
        <v>0</v>
      </c>
      <c r="AK141" s="137">
        <f t="shared" si="29"/>
        <v>0</v>
      </c>
      <c r="AL141" s="47">
        <v>1</v>
      </c>
      <c r="AM141" s="48">
        <f t="shared" si="36"/>
        <v>0</v>
      </c>
      <c r="AN141" s="48">
        <f t="shared" si="37"/>
        <v>0</v>
      </c>
      <c r="AO141" s="49">
        <f t="shared" si="35"/>
        <v>0</v>
      </c>
      <c r="AP141" s="49">
        <f t="shared" si="30"/>
        <v>0</v>
      </c>
      <c r="AQ141" s="50">
        <f t="shared" si="31"/>
        <v>0</v>
      </c>
      <c r="AR141" s="124"/>
      <c r="AS141" s="125"/>
      <c r="AT141" s="126"/>
      <c r="AU141" s="84"/>
      <c r="AV141" s="127"/>
      <c r="AW141" s="128"/>
      <c r="AX141" s="128"/>
      <c r="AY141" s="125"/>
      <c r="AZ141" s="129"/>
    </row>
    <row r="142" spans="1:52" ht="16.5" thickBot="1" x14ac:dyDescent="0.3">
      <c r="A142" s="134">
        <v>625</v>
      </c>
      <c r="B142" s="134" t="s">
        <v>108</v>
      </c>
      <c r="C142" s="135"/>
      <c r="D142" s="26">
        <f t="shared" si="32"/>
        <v>0</v>
      </c>
      <c r="E142" s="27">
        <f t="shared" si="33"/>
        <v>0</v>
      </c>
      <c r="F142" s="29">
        <f t="shared" si="34"/>
        <v>0</v>
      </c>
      <c r="G142" s="30"/>
      <c r="H142" s="31"/>
      <c r="I142" s="32"/>
      <c r="J142" s="136"/>
      <c r="K142" s="33"/>
      <c r="L142" s="34"/>
      <c r="M142" s="34"/>
      <c r="N142" s="138"/>
      <c r="O142" s="34"/>
      <c r="P142" s="34"/>
      <c r="Q142" s="34"/>
      <c r="R142" s="138"/>
      <c r="S142" s="37"/>
      <c r="T142" s="34"/>
      <c r="U142" s="34"/>
      <c r="V142" s="138"/>
      <c r="W142" s="38"/>
      <c r="X142" s="31"/>
      <c r="Y142" s="31"/>
      <c r="Z142" s="105"/>
      <c r="AA142" s="37"/>
      <c r="AB142" s="34"/>
      <c r="AC142" s="34"/>
      <c r="AD142" s="123"/>
      <c r="AE142" s="122"/>
      <c r="AF142" s="123"/>
      <c r="AG142" s="43">
        <f t="shared" si="27"/>
        <v>0</v>
      </c>
      <c r="AH142" s="44">
        <f t="shared" si="27"/>
        <v>0</v>
      </c>
      <c r="AI142" s="44">
        <f t="shared" si="27"/>
        <v>0</v>
      </c>
      <c r="AJ142" s="45">
        <f t="shared" si="27"/>
        <v>0</v>
      </c>
      <c r="AK142" s="137">
        <f t="shared" si="29"/>
        <v>0</v>
      </c>
      <c r="AL142" s="47">
        <v>0.5</v>
      </c>
      <c r="AM142" s="48">
        <f t="shared" si="36"/>
        <v>0</v>
      </c>
      <c r="AN142" s="48">
        <f t="shared" si="37"/>
        <v>0</v>
      </c>
      <c r="AO142" s="49">
        <f t="shared" si="35"/>
        <v>0</v>
      </c>
      <c r="AP142" s="49">
        <f t="shared" si="30"/>
        <v>0</v>
      </c>
      <c r="AQ142" s="50">
        <f t="shared" si="31"/>
        <v>0</v>
      </c>
      <c r="AR142" s="124"/>
      <c r="AS142" s="125"/>
      <c r="AT142" s="126"/>
      <c r="AU142" s="84"/>
      <c r="AV142" s="127"/>
      <c r="AW142" s="128"/>
      <c r="AX142" s="128"/>
      <c r="AY142" s="125"/>
      <c r="AZ142" s="129"/>
    </row>
    <row r="143" spans="1:52" ht="16.5" thickBot="1" x14ac:dyDescent="0.3">
      <c r="A143" s="134"/>
      <c r="B143" s="134" t="s">
        <v>109</v>
      </c>
      <c r="C143" s="135"/>
      <c r="D143" s="26">
        <f t="shared" si="32"/>
        <v>0</v>
      </c>
      <c r="E143" s="27">
        <f t="shared" si="33"/>
        <v>0</v>
      </c>
      <c r="F143" s="29">
        <f t="shared" si="34"/>
        <v>0</v>
      </c>
      <c r="G143" s="30"/>
      <c r="H143" s="31"/>
      <c r="I143" s="32"/>
      <c r="J143" s="136"/>
      <c r="K143" s="33"/>
      <c r="L143" s="34"/>
      <c r="M143" s="34"/>
      <c r="N143" s="138"/>
      <c r="O143" s="34"/>
      <c r="P143" s="34"/>
      <c r="Q143" s="34"/>
      <c r="R143" s="138"/>
      <c r="S143" s="37"/>
      <c r="T143" s="34"/>
      <c r="U143" s="34"/>
      <c r="V143" s="138"/>
      <c r="W143" s="38"/>
      <c r="X143" s="31"/>
      <c r="Y143" s="31"/>
      <c r="Z143" s="105"/>
      <c r="AA143" s="37"/>
      <c r="AB143" s="34"/>
      <c r="AC143" s="34"/>
      <c r="AD143" s="123"/>
      <c r="AE143" s="122"/>
      <c r="AF143" s="123"/>
      <c r="AG143" s="43">
        <f t="shared" si="27"/>
        <v>0</v>
      </c>
      <c r="AH143" s="44">
        <f t="shared" si="27"/>
        <v>0</v>
      </c>
      <c r="AI143" s="44">
        <f t="shared" si="27"/>
        <v>0</v>
      </c>
      <c r="AJ143" s="45">
        <f t="shared" si="27"/>
        <v>0</v>
      </c>
      <c r="AK143" s="137">
        <f t="shared" si="29"/>
        <v>0</v>
      </c>
      <c r="AL143" s="47">
        <v>1</v>
      </c>
      <c r="AM143" s="48">
        <f t="shared" si="36"/>
        <v>0</v>
      </c>
      <c r="AN143" s="48">
        <f t="shared" si="37"/>
        <v>0</v>
      </c>
      <c r="AO143" s="49">
        <f t="shared" si="35"/>
        <v>0</v>
      </c>
      <c r="AP143" s="49">
        <f t="shared" si="30"/>
        <v>0</v>
      </c>
      <c r="AQ143" s="50">
        <f t="shared" si="31"/>
        <v>0</v>
      </c>
      <c r="AR143" s="124"/>
      <c r="AS143" s="125"/>
      <c r="AT143" s="126"/>
      <c r="AU143" s="84"/>
      <c r="AV143" s="127"/>
      <c r="AW143" s="128"/>
      <c r="AX143" s="128"/>
      <c r="AY143" s="125"/>
      <c r="AZ143" s="129"/>
    </row>
    <row r="144" spans="1:52" ht="16.5" thickBot="1" x14ac:dyDescent="0.3">
      <c r="A144" s="134">
        <v>400</v>
      </c>
      <c r="B144" s="134" t="s">
        <v>110</v>
      </c>
      <c r="C144" s="135"/>
      <c r="D144" s="26">
        <f t="shared" si="32"/>
        <v>0</v>
      </c>
      <c r="E144" s="27">
        <f t="shared" si="33"/>
        <v>0</v>
      </c>
      <c r="F144" s="29">
        <f t="shared" si="34"/>
        <v>0</v>
      </c>
      <c r="G144" s="30"/>
      <c r="H144" s="31"/>
      <c r="I144" s="32"/>
      <c r="J144" s="136"/>
      <c r="K144" s="33"/>
      <c r="L144" s="34"/>
      <c r="M144" s="34"/>
      <c r="N144" s="138"/>
      <c r="O144" s="34"/>
      <c r="P144" s="34"/>
      <c r="Q144" s="34"/>
      <c r="R144" s="138"/>
      <c r="S144" s="37"/>
      <c r="T144" s="34"/>
      <c r="U144" s="34"/>
      <c r="V144" s="138"/>
      <c r="W144" s="38"/>
      <c r="X144" s="31"/>
      <c r="Y144" s="31"/>
      <c r="Z144" s="105"/>
      <c r="AA144" s="37"/>
      <c r="AB144" s="34"/>
      <c r="AC144" s="34"/>
      <c r="AD144" s="123"/>
      <c r="AE144" s="122"/>
      <c r="AF144" s="123"/>
      <c r="AG144" s="43">
        <f t="shared" si="27"/>
        <v>0</v>
      </c>
      <c r="AH144" s="44">
        <f t="shared" si="27"/>
        <v>0</v>
      </c>
      <c r="AI144" s="44">
        <f t="shared" si="27"/>
        <v>0</v>
      </c>
      <c r="AJ144" s="45">
        <f t="shared" si="27"/>
        <v>0</v>
      </c>
      <c r="AK144" s="137">
        <f t="shared" si="29"/>
        <v>0</v>
      </c>
      <c r="AL144" s="47">
        <v>0.75</v>
      </c>
      <c r="AM144" s="48">
        <f t="shared" si="36"/>
        <v>0</v>
      </c>
      <c r="AN144" s="48">
        <f t="shared" si="37"/>
        <v>0</v>
      </c>
      <c r="AO144" s="49">
        <f t="shared" si="35"/>
        <v>0</v>
      </c>
      <c r="AP144" s="49">
        <f t="shared" si="30"/>
        <v>0</v>
      </c>
      <c r="AQ144" s="50">
        <f t="shared" si="31"/>
        <v>0</v>
      </c>
      <c r="AR144" s="124"/>
      <c r="AS144" s="125"/>
      <c r="AT144" s="126"/>
      <c r="AU144" s="84"/>
      <c r="AV144" s="127"/>
      <c r="AW144" s="128"/>
      <c r="AX144" s="128"/>
      <c r="AY144" s="125"/>
      <c r="AZ144" s="129"/>
    </row>
    <row r="145" spans="1:52" ht="16.5" thickBot="1" x14ac:dyDescent="0.3">
      <c r="A145" s="134">
        <v>300</v>
      </c>
      <c r="B145" s="134" t="s">
        <v>54</v>
      </c>
      <c r="C145" s="135"/>
      <c r="D145" s="26">
        <f t="shared" si="32"/>
        <v>0</v>
      </c>
      <c r="E145" s="27">
        <f t="shared" si="33"/>
        <v>0</v>
      </c>
      <c r="F145" s="29">
        <f t="shared" si="34"/>
        <v>0</v>
      </c>
      <c r="G145" s="30"/>
      <c r="H145" s="31"/>
      <c r="I145" s="32"/>
      <c r="J145" s="136"/>
      <c r="K145" s="33"/>
      <c r="L145" s="34"/>
      <c r="M145" s="34"/>
      <c r="N145" s="138"/>
      <c r="O145" s="34"/>
      <c r="P145" s="34"/>
      <c r="Q145" s="34"/>
      <c r="R145" s="138"/>
      <c r="S145" s="37"/>
      <c r="T145" s="34"/>
      <c r="U145" s="34"/>
      <c r="V145" s="138"/>
      <c r="W145" s="38"/>
      <c r="X145" s="31"/>
      <c r="Y145" s="31"/>
      <c r="Z145" s="105"/>
      <c r="AA145" s="37"/>
      <c r="AB145" s="34"/>
      <c r="AC145" s="34"/>
      <c r="AD145" s="123"/>
      <c r="AE145" s="122"/>
      <c r="AF145" s="123"/>
      <c r="AG145" s="43">
        <f t="shared" si="27"/>
        <v>0</v>
      </c>
      <c r="AH145" s="44">
        <f t="shared" si="27"/>
        <v>0</v>
      </c>
      <c r="AI145" s="44">
        <f t="shared" si="27"/>
        <v>0</v>
      </c>
      <c r="AJ145" s="45">
        <f t="shared" si="27"/>
        <v>0</v>
      </c>
      <c r="AK145" s="137">
        <f t="shared" si="29"/>
        <v>0</v>
      </c>
      <c r="AL145" s="47">
        <v>1</v>
      </c>
      <c r="AM145" s="48">
        <f t="shared" si="36"/>
        <v>0</v>
      </c>
      <c r="AN145" s="48">
        <f t="shared" si="37"/>
        <v>0</v>
      </c>
      <c r="AO145" s="49">
        <f t="shared" si="35"/>
        <v>0</v>
      </c>
      <c r="AP145" s="49">
        <f t="shared" si="30"/>
        <v>0</v>
      </c>
      <c r="AQ145" s="50">
        <f t="shared" si="31"/>
        <v>0</v>
      </c>
      <c r="AR145" s="124"/>
      <c r="AS145" s="125"/>
      <c r="AT145" s="126"/>
      <c r="AU145" s="84"/>
      <c r="AV145" s="127"/>
      <c r="AW145" s="128"/>
      <c r="AX145" s="128"/>
      <c r="AY145" s="125"/>
      <c r="AZ145" s="129"/>
    </row>
    <row r="146" spans="1:52" ht="16.5" thickBot="1" x14ac:dyDescent="0.3">
      <c r="A146" s="134">
        <v>300</v>
      </c>
      <c r="B146" s="134" t="s">
        <v>56</v>
      </c>
      <c r="C146" s="135"/>
      <c r="D146" s="26">
        <f t="shared" si="32"/>
        <v>0</v>
      </c>
      <c r="E146" s="27">
        <f t="shared" si="33"/>
        <v>0</v>
      </c>
      <c r="F146" s="29">
        <f t="shared" si="34"/>
        <v>0</v>
      </c>
      <c r="G146" s="30"/>
      <c r="H146" s="31"/>
      <c r="I146" s="32"/>
      <c r="J146" s="136"/>
      <c r="K146" s="33"/>
      <c r="L146" s="34"/>
      <c r="M146" s="34"/>
      <c r="N146" s="138"/>
      <c r="O146" s="34"/>
      <c r="P146" s="34"/>
      <c r="Q146" s="34"/>
      <c r="R146" s="138"/>
      <c r="S146" s="37"/>
      <c r="T146" s="34"/>
      <c r="U146" s="34"/>
      <c r="V146" s="138"/>
      <c r="W146" s="38"/>
      <c r="X146" s="31"/>
      <c r="Y146" s="31"/>
      <c r="Z146" s="105"/>
      <c r="AA146" s="37"/>
      <c r="AB146" s="34"/>
      <c r="AC146" s="34"/>
      <c r="AD146" s="123"/>
      <c r="AE146" s="122"/>
      <c r="AF146" s="123"/>
      <c r="AG146" s="43">
        <f t="shared" si="27"/>
        <v>0</v>
      </c>
      <c r="AH146" s="44">
        <f t="shared" si="27"/>
        <v>0</v>
      </c>
      <c r="AI146" s="44">
        <f t="shared" si="27"/>
        <v>0</v>
      </c>
      <c r="AJ146" s="45">
        <f t="shared" si="27"/>
        <v>0</v>
      </c>
      <c r="AK146" s="137">
        <f t="shared" si="29"/>
        <v>0</v>
      </c>
      <c r="AL146" s="47">
        <v>1</v>
      </c>
      <c r="AM146" s="48">
        <f t="shared" si="36"/>
        <v>0</v>
      </c>
      <c r="AN146" s="48">
        <f t="shared" si="37"/>
        <v>0</v>
      </c>
      <c r="AO146" s="49">
        <f t="shared" si="35"/>
        <v>0</v>
      </c>
      <c r="AP146" s="49">
        <f t="shared" si="30"/>
        <v>0</v>
      </c>
      <c r="AQ146" s="50">
        <f t="shared" si="31"/>
        <v>0</v>
      </c>
      <c r="AR146" s="124"/>
      <c r="AS146" s="125"/>
      <c r="AT146" s="126"/>
      <c r="AU146" s="84"/>
      <c r="AV146" s="127"/>
      <c r="AW146" s="128"/>
      <c r="AX146" s="128"/>
      <c r="AY146" s="125"/>
      <c r="AZ146" s="129"/>
    </row>
    <row r="147" spans="1:52" ht="16.5" thickBot="1" x14ac:dyDescent="0.3">
      <c r="A147" s="134">
        <v>300</v>
      </c>
      <c r="B147" s="134" t="s">
        <v>55</v>
      </c>
      <c r="C147" s="135"/>
      <c r="D147" s="26">
        <f t="shared" si="32"/>
        <v>0</v>
      </c>
      <c r="E147" s="27">
        <f t="shared" si="33"/>
        <v>0</v>
      </c>
      <c r="F147" s="29">
        <f t="shared" si="34"/>
        <v>0</v>
      </c>
      <c r="G147" s="30"/>
      <c r="H147" s="31"/>
      <c r="I147" s="32"/>
      <c r="J147" s="136"/>
      <c r="K147" s="33"/>
      <c r="L147" s="34"/>
      <c r="M147" s="34"/>
      <c r="N147" s="138"/>
      <c r="O147" s="34"/>
      <c r="P147" s="34"/>
      <c r="Q147" s="34"/>
      <c r="R147" s="138"/>
      <c r="S147" s="37"/>
      <c r="T147" s="34"/>
      <c r="U147" s="34"/>
      <c r="V147" s="138"/>
      <c r="W147" s="38"/>
      <c r="X147" s="31"/>
      <c r="Y147" s="31"/>
      <c r="Z147" s="105"/>
      <c r="AA147" s="37"/>
      <c r="AB147" s="34"/>
      <c r="AC147" s="34"/>
      <c r="AD147" s="123"/>
      <c r="AE147" s="122"/>
      <c r="AF147" s="123"/>
      <c r="AG147" s="43">
        <f t="shared" si="27"/>
        <v>0</v>
      </c>
      <c r="AH147" s="44">
        <f t="shared" si="27"/>
        <v>0</v>
      </c>
      <c r="AI147" s="44">
        <f t="shared" si="27"/>
        <v>0</v>
      </c>
      <c r="AJ147" s="45">
        <f t="shared" si="27"/>
        <v>0</v>
      </c>
      <c r="AK147" s="137">
        <f t="shared" si="29"/>
        <v>0</v>
      </c>
      <c r="AL147" s="47">
        <v>1</v>
      </c>
      <c r="AM147" s="48">
        <f t="shared" si="36"/>
        <v>0</v>
      </c>
      <c r="AN147" s="48">
        <f t="shared" si="37"/>
        <v>0</v>
      </c>
      <c r="AO147" s="49">
        <f t="shared" si="35"/>
        <v>0</v>
      </c>
      <c r="AP147" s="49"/>
      <c r="AQ147" s="50">
        <f t="shared" si="31"/>
        <v>0</v>
      </c>
      <c r="AR147" s="124"/>
      <c r="AS147" s="125"/>
      <c r="AT147" s="126"/>
      <c r="AU147" s="84"/>
      <c r="AV147" s="127"/>
      <c r="AW147" s="128"/>
      <c r="AX147" s="128"/>
      <c r="AY147" s="125"/>
      <c r="AZ147" s="129"/>
    </row>
    <row r="148" spans="1:52" s="246" customFormat="1" ht="16.5" thickBot="1" x14ac:dyDescent="0.3">
      <c r="A148" s="134">
        <v>1090</v>
      </c>
      <c r="B148" s="134" t="s">
        <v>88</v>
      </c>
      <c r="C148" s="139"/>
      <c r="D148" s="26">
        <f t="shared" si="32"/>
        <v>0</v>
      </c>
      <c r="E148" s="27">
        <f t="shared" si="33"/>
        <v>0</v>
      </c>
      <c r="F148" s="29">
        <f t="shared" si="34"/>
        <v>0</v>
      </c>
      <c r="G148" s="30"/>
      <c r="H148" s="31"/>
      <c r="I148" s="32"/>
      <c r="J148" s="136"/>
      <c r="K148" s="33"/>
      <c r="L148" s="34"/>
      <c r="M148" s="34"/>
      <c r="N148" s="138"/>
      <c r="O148" s="34"/>
      <c r="P148" s="34"/>
      <c r="Q148" s="34"/>
      <c r="R148" s="138"/>
      <c r="S148" s="37"/>
      <c r="T148" s="34"/>
      <c r="U148" s="34"/>
      <c r="V148" s="138"/>
      <c r="W148" s="38"/>
      <c r="X148" s="31"/>
      <c r="Y148" s="31"/>
      <c r="Z148" s="105"/>
      <c r="AA148" s="37"/>
      <c r="AB148" s="34"/>
      <c r="AC148" s="34"/>
      <c r="AD148" s="105"/>
      <c r="AE148" s="104"/>
      <c r="AF148" s="105"/>
      <c r="AG148" s="43">
        <f t="shared" si="27"/>
        <v>0</v>
      </c>
      <c r="AH148" s="44">
        <f t="shared" si="27"/>
        <v>0</v>
      </c>
      <c r="AI148" s="44">
        <f t="shared" si="27"/>
        <v>0</v>
      </c>
      <c r="AJ148" s="94">
        <f t="shared" si="27"/>
        <v>0</v>
      </c>
      <c r="AK148" s="140">
        <f t="shared" si="29"/>
        <v>0</v>
      </c>
      <c r="AL148" s="246">
        <v>0.5</v>
      </c>
      <c r="AM148" s="48">
        <f t="shared" si="36"/>
        <v>0</v>
      </c>
      <c r="AN148" s="48">
        <f t="shared" si="37"/>
        <v>0</v>
      </c>
      <c r="AO148" s="49">
        <f t="shared" si="35"/>
        <v>0</v>
      </c>
      <c r="AP148" s="49">
        <f t="shared" si="30"/>
        <v>0</v>
      </c>
      <c r="AQ148" s="50">
        <f t="shared" si="31"/>
        <v>0</v>
      </c>
      <c r="AR148" s="106"/>
      <c r="AS148" s="107"/>
      <c r="AT148" s="115"/>
      <c r="AU148" s="100"/>
      <c r="AV148" s="109"/>
      <c r="AW148" s="110"/>
      <c r="AX148" s="110"/>
      <c r="AY148" s="107"/>
      <c r="AZ148" s="116"/>
    </row>
    <row r="149" spans="1:52" s="246" customFormat="1" ht="16.5" thickBot="1" x14ac:dyDescent="0.3">
      <c r="A149" s="134">
        <v>0</v>
      </c>
      <c r="B149" s="134">
        <v>0</v>
      </c>
      <c r="C149" s="139"/>
      <c r="D149" s="26">
        <f t="shared" si="32"/>
        <v>0</v>
      </c>
      <c r="E149" s="27">
        <f t="shared" si="33"/>
        <v>0</v>
      </c>
      <c r="F149" s="29">
        <f t="shared" si="34"/>
        <v>0</v>
      </c>
      <c r="G149" s="30"/>
      <c r="H149" s="31"/>
      <c r="I149" s="32"/>
      <c r="J149" s="136"/>
      <c r="K149" s="33"/>
      <c r="L149" s="34"/>
      <c r="M149" s="34"/>
      <c r="N149" s="138"/>
      <c r="O149" s="34"/>
      <c r="P149" s="34"/>
      <c r="Q149" s="34"/>
      <c r="R149" s="138"/>
      <c r="S149" s="37"/>
      <c r="T149" s="34"/>
      <c r="U149" s="34"/>
      <c r="V149" s="138"/>
      <c r="W149" s="38"/>
      <c r="X149" s="31"/>
      <c r="Y149" s="31"/>
      <c r="Z149" s="105"/>
      <c r="AA149" s="37"/>
      <c r="AB149" s="34"/>
      <c r="AC149" s="34"/>
      <c r="AD149" s="105"/>
      <c r="AE149" s="104"/>
      <c r="AF149" s="105"/>
      <c r="AG149" s="43">
        <f t="shared" si="27"/>
        <v>0</v>
      </c>
      <c r="AH149" s="44">
        <f t="shared" si="27"/>
        <v>0</v>
      </c>
      <c r="AI149" s="44">
        <f t="shared" si="27"/>
        <v>0</v>
      </c>
      <c r="AJ149" s="94">
        <f t="shared" si="27"/>
        <v>0</v>
      </c>
      <c r="AK149" s="140">
        <f t="shared" si="29"/>
        <v>0</v>
      </c>
      <c r="AL149" s="246">
        <v>0</v>
      </c>
      <c r="AM149" s="48">
        <f t="shared" si="36"/>
        <v>0</v>
      </c>
      <c r="AN149" s="48">
        <f t="shared" si="37"/>
        <v>0</v>
      </c>
      <c r="AO149" s="49">
        <f t="shared" si="35"/>
        <v>0</v>
      </c>
      <c r="AP149" s="49">
        <f t="shared" si="30"/>
        <v>0</v>
      </c>
      <c r="AQ149" s="50">
        <f t="shared" si="31"/>
        <v>0</v>
      </c>
      <c r="AR149" s="106"/>
      <c r="AS149" s="107"/>
      <c r="AT149" s="115"/>
      <c r="AU149" s="100"/>
      <c r="AV149" s="109"/>
      <c r="AW149" s="110"/>
      <c r="AX149" s="110"/>
      <c r="AY149" s="107"/>
      <c r="AZ149" s="116"/>
    </row>
    <row r="150" spans="1:52" s="246" customFormat="1" ht="16.5" thickBot="1" x14ac:dyDescent="0.3">
      <c r="A150" s="134">
        <v>250</v>
      </c>
      <c r="B150" s="134" t="s">
        <v>111</v>
      </c>
      <c r="C150" s="139"/>
      <c r="D150" s="26">
        <f t="shared" si="32"/>
        <v>0</v>
      </c>
      <c r="E150" s="27">
        <f t="shared" si="33"/>
        <v>0</v>
      </c>
      <c r="F150" s="29">
        <f t="shared" si="34"/>
        <v>0</v>
      </c>
      <c r="G150" s="30"/>
      <c r="H150" s="31"/>
      <c r="I150" s="32"/>
      <c r="J150" s="136"/>
      <c r="K150" s="33"/>
      <c r="L150" s="34"/>
      <c r="M150" s="34"/>
      <c r="N150" s="138"/>
      <c r="O150" s="34"/>
      <c r="P150" s="34"/>
      <c r="Q150" s="34"/>
      <c r="R150" s="138"/>
      <c r="S150" s="37"/>
      <c r="T150" s="34"/>
      <c r="U150" s="34"/>
      <c r="V150" s="138"/>
      <c r="W150" s="38"/>
      <c r="X150" s="31"/>
      <c r="Y150" s="31"/>
      <c r="Z150" s="105"/>
      <c r="AA150" s="37"/>
      <c r="AB150" s="34"/>
      <c r="AC150" s="34"/>
      <c r="AD150" s="105"/>
      <c r="AE150" s="104"/>
      <c r="AF150" s="105"/>
      <c r="AG150" s="43">
        <f t="shared" si="27"/>
        <v>0</v>
      </c>
      <c r="AH150" s="44">
        <f t="shared" si="27"/>
        <v>0</v>
      </c>
      <c r="AI150" s="44">
        <f t="shared" si="27"/>
        <v>0</v>
      </c>
      <c r="AJ150" s="94">
        <f t="shared" si="27"/>
        <v>0</v>
      </c>
      <c r="AK150" s="140">
        <f t="shared" si="29"/>
        <v>0</v>
      </c>
      <c r="AL150" s="47">
        <v>1</v>
      </c>
      <c r="AM150" s="48">
        <f t="shared" si="36"/>
        <v>0</v>
      </c>
      <c r="AN150" s="48">
        <f t="shared" si="37"/>
        <v>0</v>
      </c>
      <c r="AO150" s="49">
        <f t="shared" si="35"/>
        <v>0</v>
      </c>
      <c r="AP150" s="49">
        <f t="shared" si="30"/>
        <v>0</v>
      </c>
      <c r="AQ150" s="50">
        <f t="shared" si="31"/>
        <v>0</v>
      </c>
      <c r="AR150" s="106"/>
      <c r="AS150" s="107"/>
      <c r="AT150" s="115"/>
      <c r="AU150" s="100"/>
      <c r="AV150" s="109"/>
      <c r="AW150" s="110"/>
      <c r="AX150" s="110"/>
      <c r="AY150" s="107"/>
      <c r="AZ150" s="116"/>
    </row>
    <row r="151" spans="1:52" s="246" customFormat="1" ht="16.5" thickBot="1" x14ac:dyDescent="0.3">
      <c r="A151" s="134">
        <v>250</v>
      </c>
      <c r="B151" s="134" t="s">
        <v>112</v>
      </c>
      <c r="C151" s="139"/>
      <c r="D151" s="26">
        <f t="shared" si="32"/>
        <v>0</v>
      </c>
      <c r="E151" s="27">
        <f t="shared" si="33"/>
        <v>0</v>
      </c>
      <c r="F151" s="29">
        <f t="shared" si="34"/>
        <v>0</v>
      </c>
      <c r="G151" s="30"/>
      <c r="H151" s="31"/>
      <c r="I151" s="32"/>
      <c r="J151" s="136"/>
      <c r="K151" s="33"/>
      <c r="L151" s="34"/>
      <c r="M151" s="34"/>
      <c r="N151" s="138"/>
      <c r="O151" s="34"/>
      <c r="P151" s="34"/>
      <c r="Q151" s="34"/>
      <c r="R151" s="138"/>
      <c r="S151" s="37"/>
      <c r="T151" s="34"/>
      <c r="U151" s="34"/>
      <c r="V151" s="138"/>
      <c r="W151" s="38"/>
      <c r="X151" s="31"/>
      <c r="Y151" s="31"/>
      <c r="Z151" s="105"/>
      <c r="AA151" s="37"/>
      <c r="AB151" s="34"/>
      <c r="AC151" s="34"/>
      <c r="AD151" s="105"/>
      <c r="AE151" s="104"/>
      <c r="AF151" s="105"/>
      <c r="AG151" s="43">
        <f t="shared" si="27"/>
        <v>0</v>
      </c>
      <c r="AH151" s="44">
        <f t="shared" si="27"/>
        <v>0</v>
      </c>
      <c r="AI151" s="44">
        <f t="shared" si="27"/>
        <v>0</v>
      </c>
      <c r="AJ151" s="94">
        <f t="shared" si="27"/>
        <v>0</v>
      </c>
      <c r="AK151" s="140">
        <f t="shared" si="29"/>
        <v>0</v>
      </c>
      <c r="AL151" s="47">
        <v>1</v>
      </c>
      <c r="AM151" s="48">
        <f t="shared" si="36"/>
        <v>0</v>
      </c>
      <c r="AN151" s="48">
        <f t="shared" si="37"/>
        <v>0</v>
      </c>
      <c r="AO151" s="49">
        <f t="shared" si="35"/>
        <v>0</v>
      </c>
      <c r="AP151" s="49">
        <f t="shared" si="30"/>
        <v>0</v>
      </c>
      <c r="AQ151" s="50">
        <f t="shared" si="31"/>
        <v>0</v>
      </c>
      <c r="AR151" s="106"/>
      <c r="AS151" s="107"/>
      <c r="AT151" s="115"/>
      <c r="AU151" s="100"/>
      <c r="AV151" s="109"/>
      <c r="AW151" s="110"/>
      <c r="AX151" s="110"/>
      <c r="AY151" s="107"/>
      <c r="AZ151" s="116"/>
    </row>
    <row r="152" spans="1:52" s="246" customFormat="1" ht="16.5" thickBot="1" x14ac:dyDescent="0.3">
      <c r="A152" s="134"/>
      <c r="B152" s="134" t="s">
        <v>30</v>
      </c>
      <c r="C152" s="139"/>
      <c r="D152" s="26">
        <f t="shared" si="32"/>
        <v>0</v>
      </c>
      <c r="E152" s="27">
        <f t="shared" si="33"/>
        <v>0</v>
      </c>
      <c r="F152" s="29">
        <f t="shared" si="34"/>
        <v>0</v>
      </c>
      <c r="G152" s="30"/>
      <c r="H152" s="31"/>
      <c r="I152" s="32"/>
      <c r="J152" s="136"/>
      <c r="K152" s="33"/>
      <c r="L152" s="34"/>
      <c r="M152" s="34"/>
      <c r="N152" s="138"/>
      <c r="O152" s="34"/>
      <c r="P152" s="34"/>
      <c r="Q152" s="34"/>
      <c r="R152" s="138"/>
      <c r="S152" s="37"/>
      <c r="T152" s="34"/>
      <c r="U152" s="34"/>
      <c r="V152" s="138"/>
      <c r="W152" s="38"/>
      <c r="X152" s="31"/>
      <c r="Y152" s="31"/>
      <c r="Z152" s="105"/>
      <c r="AA152" s="37"/>
      <c r="AB152" s="34"/>
      <c r="AC152" s="34"/>
      <c r="AD152" s="105"/>
      <c r="AE152" s="104"/>
      <c r="AF152" s="105"/>
      <c r="AG152" s="43">
        <f t="shared" si="27"/>
        <v>0</v>
      </c>
      <c r="AH152" s="44">
        <f t="shared" si="27"/>
        <v>0</v>
      </c>
      <c r="AI152" s="44">
        <f t="shared" si="27"/>
        <v>0</v>
      </c>
      <c r="AJ152" s="94">
        <f t="shared" si="27"/>
        <v>0</v>
      </c>
      <c r="AK152" s="140">
        <f t="shared" si="29"/>
        <v>0</v>
      </c>
      <c r="AL152" s="47">
        <v>1</v>
      </c>
      <c r="AM152" s="48">
        <f t="shared" si="36"/>
        <v>0</v>
      </c>
      <c r="AN152" s="48">
        <f t="shared" si="37"/>
        <v>0</v>
      </c>
      <c r="AO152" s="49">
        <f t="shared" si="35"/>
        <v>0</v>
      </c>
      <c r="AP152" s="49">
        <f t="shared" si="30"/>
        <v>0</v>
      </c>
      <c r="AQ152" s="50">
        <f t="shared" si="31"/>
        <v>0</v>
      </c>
      <c r="AR152" s="106"/>
      <c r="AS152" s="107"/>
      <c r="AT152" s="115"/>
      <c r="AU152" s="100"/>
      <c r="AV152" s="109"/>
      <c r="AW152" s="110"/>
      <c r="AX152" s="110"/>
      <c r="AY152" s="107"/>
      <c r="AZ152" s="116"/>
    </row>
    <row r="153" spans="1:52" s="246" customFormat="1" ht="16.5" thickBot="1" x14ac:dyDescent="0.3">
      <c r="A153" s="134"/>
      <c r="B153" s="134" t="s">
        <v>113</v>
      </c>
      <c r="C153" s="139"/>
      <c r="D153" s="26">
        <f t="shared" si="32"/>
        <v>0</v>
      </c>
      <c r="E153" s="27">
        <f t="shared" si="33"/>
        <v>0</v>
      </c>
      <c r="F153" s="29">
        <f t="shared" si="34"/>
        <v>0</v>
      </c>
      <c r="G153" s="30"/>
      <c r="H153" s="31"/>
      <c r="I153" s="32"/>
      <c r="J153" s="136"/>
      <c r="K153" s="33"/>
      <c r="L153" s="34"/>
      <c r="M153" s="34"/>
      <c r="N153" s="138"/>
      <c r="O153" s="34"/>
      <c r="P153" s="34"/>
      <c r="Q153" s="34"/>
      <c r="R153" s="138"/>
      <c r="S153" s="37"/>
      <c r="T153" s="34"/>
      <c r="U153" s="34"/>
      <c r="V153" s="138"/>
      <c r="W153" s="38"/>
      <c r="X153" s="31"/>
      <c r="Y153" s="31"/>
      <c r="Z153" s="105"/>
      <c r="AA153" s="37"/>
      <c r="AB153" s="34"/>
      <c r="AC153" s="34"/>
      <c r="AD153" s="105"/>
      <c r="AE153" s="104"/>
      <c r="AF153" s="105"/>
      <c r="AG153" s="43">
        <f t="shared" si="27"/>
        <v>0</v>
      </c>
      <c r="AH153" s="44">
        <f t="shared" si="27"/>
        <v>0</v>
      </c>
      <c r="AI153" s="44">
        <f t="shared" si="27"/>
        <v>0</v>
      </c>
      <c r="AJ153" s="94">
        <f t="shared" si="27"/>
        <v>0</v>
      </c>
      <c r="AK153" s="140">
        <f t="shared" si="29"/>
        <v>0</v>
      </c>
      <c r="AL153" s="47">
        <v>1</v>
      </c>
      <c r="AM153" s="48">
        <f t="shared" si="36"/>
        <v>0</v>
      </c>
      <c r="AN153" s="48">
        <f t="shared" si="37"/>
        <v>0</v>
      </c>
      <c r="AO153" s="49">
        <f t="shared" si="35"/>
        <v>0</v>
      </c>
      <c r="AP153" s="49">
        <f t="shared" si="30"/>
        <v>0</v>
      </c>
      <c r="AQ153" s="50">
        <f t="shared" si="31"/>
        <v>0</v>
      </c>
      <c r="AR153" s="106"/>
      <c r="AS153" s="107"/>
      <c r="AT153" s="115"/>
      <c r="AU153" s="100"/>
      <c r="AV153" s="109"/>
      <c r="AW153" s="110"/>
      <c r="AX153" s="110"/>
      <c r="AY153" s="107"/>
      <c r="AZ153" s="116"/>
    </row>
    <row r="154" spans="1:52" s="246" customFormat="1" ht="16.5" thickBot="1" x14ac:dyDescent="0.3">
      <c r="A154" s="134"/>
      <c r="B154" s="134" t="s">
        <v>114</v>
      </c>
      <c r="C154" s="139"/>
      <c r="D154" s="26">
        <f t="shared" si="32"/>
        <v>0</v>
      </c>
      <c r="E154" s="27">
        <f t="shared" si="33"/>
        <v>0</v>
      </c>
      <c r="F154" s="29">
        <f t="shared" si="34"/>
        <v>0</v>
      </c>
      <c r="G154" s="30"/>
      <c r="H154" s="31"/>
      <c r="I154" s="32"/>
      <c r="J154" s="136"/>
      <c r="K154" s="33"/>
      <c r="L154" s="34"/>
      <c r="M154" s="34"/>
      <c r="N154" s="138"/>
      <c r="O154" s="34"/>
      <c r="P154" s="34"/>
      <c r="Q154" s="34"/>
      <c r="R154" s="138"/>
      <c r="S154" s="37"/>
      <c r="T154" s="34"/>
      <c r="U154" s="34"/>
      <c r="V154" s="138"/>
      <c r="W154" s="38"/>
      <c r="X154" s="31"/>
      <c r="Y154" s="31"/>
      <c r="Z154" s="105"/>
      <c r="AA154" s="37"/>
      <c r="AB154" s="34"/>
      <c r="AC154" s="34"/>
      <c r="AD154" s="105"/>
      <c r="AE154" s="104"/>
      <c r="AF154" s="105"/>
      <c r="AG154" s="43">
        <f t="shared" si="27"/>
        <v>0</v>
      </c>
      <c r="AH154" s="44">
        <f t="shared" si="27"/>
        <v>0</v>
      </c>
      <c r="AI154" s="44">
        <f t="shared" si="27"/>
        <v>0</v>
      </c>
      <c r="AJ154" s="94">
        <f t="shared" si="27"/>
        <v>0</v>
      </c>
      <c r="AK154" s="140">
        <f t="shared" si="29"/>
        <v>0</v>
      </c>
      <c r="AL154" s="47">
        <v>1</v>
      </c>
      <c r="AM154" s="48">
        <f t="shared" si="36"/>
        <v>0</v>
      </c>
      <c r="AN154" s="48">
        <f t="shared" si="37"/>
        <v>0</v>
      </c>
      <c r="AO154" s="49">
        <f t="shared" si="35"/>
        <v>0</v>
      </c>
      <c r="AP154" s="49">
        <f t="shared" si="30"/>
        <v>0</v>
      </c>
      <c r="AQ154" s="50">
        <f t="shared" si="31"/>
        <v>0</v>
      </c>
      <c r="AR154" s="106"/>
      <c r="AS154" s="107"/>
      <c r="AT154" s="115"/>
      <c r="AU154" s="100"/>
      <c r="AV154" s="109"/>
      <c r="AW154" s="110"/>
      <c r="AX154" s="110"/>
      <c r="AY154" s="107"/>
      <c r="AZ154" s="116"/>
    </row>
    <row r="155" spans="1:52" s="246" customFormat="1" ht="16.5" thickBot="1" x14ac:dyDescent="0.3">
      <c r="A155" s="134"/>
      <c r="B155" s="134" t="s">
        <v>47</v>
      </c>
      <c r="C155" s="139"/>
      <c r="D155" s="26">
        <f t="shared" si="32"/>
        <v>0</v>
      </c>
      <c r="E155" s="27">
        <f t="shared" si="33"/>
        <v>0</v>
      </c>
      <c r="F155" s="29">
        <f t="shared" si="34"/>
        <v>0</v>
      </c>
      <c r="G155" s="30"/>
      <c r="H155" s="31"/>
      <c r="I155" s="32"/>
      <c r="J155" s="136"/>
      <c r="K155" s="33"/>
      <c r="L155" s="34"/>
      <c r="M155" s="34"/>
      <c r="N155" s="138"/>
      <c r="O155" s="34"/>
      <c r="P155" s="34"/>
      <c r="Q155" s="34"/>
      <c r="R155" s="138"/>
      <c r="S155" s="37"/>
      <c r="T155" s="34"/>
      <c r="U155" s="34"/>
      <c r="V155" s="138"/>
      <c r="W155" s="38"/>
      <c r="X155" s="31"/>
      <c r="Y155" s="31"/>
      <c r="Z155" s="105"/>
      <c r="AA155" s="37"/>
      <c r="AB155" s="34"/>
      <c r="AC155" s="34"/>
      <c r="AD155" s="105"/>
      <c r="AE155" s="104"/>
      <c r="AF155" s="105"/>
      <c r="AG155" s="43">
        <f t="shared" si="27"/>
        <v>0</v>
      </c>
      <c r="AH155" s="44">
        <f t="shared" si="27"/>
        <v>0</v>
      </c>
      <c r="AI155" s="44">
        <f t="shared" si="27"/>
        <v>0</v>
      </c>
      <c r="AJ155" s="94">
        <f t="shared" si="27"/>
        <v>0</v>
      </c>
      <c r="AK155" s="140">
        <f t="shared" si="29"/>
        <v>0</v>
      </c>
      <c r="AL155" s="47">
        <v>1</v>
      </c>
      <c r="AM155" s="48">
        <f t="shared" si="36"/>
        <v>0</v>
      </c>
      <c r="AN155" s="48">
        <f t="shared" si="37"/>
        <v>0</v>
      </c>
      <c r="AO155" s="49">
        <f t="shared" si="35"/>
        <v>0</v>
      </c>
      <c r="AP155" s="49">
        <f t="shared" si="30"/>
        <v>0</v>
      </c>
      <c r="AQ155" s="50">
        <f t="shared" si="31"/>
        <v>0</v>
      </c>
      <c r="AR155" s="106"/>
      <c r="AS155" s="107"/>
      <c r="AT155" s="115"/>
      <c r="AU155" s="100"/>
      <c r="AV155" s="109"/>
      <c r="AW155" s="110"/>
      <c r="AX155" s="110"/>
      <c r="AY155" s="107"/>
      <c r="AZ155" s="116"/>
    </row>
    <row r="156" spans="1:52" s="246" customFormat="1" ht="16.5" thickBot="1" x14ac:dyDescent="0.3">
      <c r="A156" s="134"/>
      <c r="B156" s="134" t="s">
        <v>115</v>
      </c>
      <c r="C156" s="139">
        <v>52</v>
      </c>
      <c r="D156" s="26">
        <f t="shared" si="32"/>
        <v>17.333333333333332</v>
      </c>
      <c r="E156" s="27">
        <f t="shared" si="33"/>
        <v>17.333333333333332</v>
      </c>
      <c r="F156" s="29">
        <f t="shared" si="34"/>
        <v>17.333333333333332</v>
      </c>
      <c r="G156" s="30"/>
      <c r="H156" s="31"/>
      <c r="I156" s="32"/>
      <c r="J156" s="136"/>
      <c r="K156" s="33"/>
      <c r="L156" s="34"/>
      <c r="M156" s="34"/>
      <c r="N156" s="138"/>
      <c r="O156" s="34"/>
      <c r="P156" s="34"/>
      <c r="Q156" s="34"/>
      <c r="R156" s="138"/>
      <c r="S156" s="37"/>
      <c r="T156" s="34"/>
      <c r="U156" s="34"/>
      <c r="V156" s="138"/>
      <c r="W156" s="38"/>
      <c r="X156" s="31"/>
      <c r="Y156" s="31"/>
      <c r="Z156" s="105"/>
      <c r="AA156" s="37"/>
      <c r="AB156" s="34"/>
      <c r="AC156" s="34"/>
      <c r="AD156" s="105"/>
      <c r="AE156" s="104"/>
      <c r="AF156" s="105"/>
      <c r="AG156" s="43">
        <f t="shared" si="27"/>
        <v>0</v>
      </c>
      <c r="AH156" s="44">
        <f t="shared" si="27"/>
        <v>0</v>
      </c>
      <c r="AI156" s="44">
        <f t="shared" si="27"/>
        <v>0</v>
      </c>
      <c r="AJ156" s="94">
        <f t="shared" si="27"/>
        <v>0</v>
      </c>
      <c r="AK156" s="140">
        <f t="shared" si="29"/>
        <v>0</v>
      </c>
      <c r="AL156" s="47">
        <v>1</v>
      </c>
      <c r="AM156" s="48">
        <f t="shared" si="36"/>
        <v>0</v>
      </c>
      <c r="AN156" s="48">
        <f t="shared" si="37"/>
        <v>0</v>
      </c>
      <c r="AO156" s="49">
        <f t="shared" si="35"/>
        <v>0</v>
      </c>
      <c r="AP156" s="49">
        <f t="shared" si="30"/>
        <v>0</v>
      </c>
      <c r="AQ156" s="50">
        <f t="shared" si="31"/>
        <v>0</v>
      </c>
      <c r="AR156" s="106"/>
      <c r="AS156" s="107"/>
      <c r="AT156" s="115"/>
      <c r="AU156" s="100"/>
      <c r="AV156" s="109"/>
      <c r="AW156" s="110"/>
      <c r="AX156" s="110"/>
      <c r="AY156" s="107"/>
      <c r="AZ156" s="116"/>
    </row>
    <row r="157" spans="1:52" s="246" customFormat="1" ht="16.5" thickBot="1" x14ac:dyDescent="0.3">
      <c r="A157" s="134">
        <v>360</v>
      </c>
      <c r="B157" s="134" t="s">
        <v>28</v>
      </c>
      <c r="C157" s="139">
        <v>137</v>
      </c>
      <c r="D157" s="26">
        <f t="shared" si="32"/>
        <v>45.666666666666664</v>
      </c>
      <c r="E157" s="27">
        <f t="shared" si="33"/>
        <v>45.666666666666664</v>
      </c>
      <c r="F157" s="29">
        <f t="shared" si="34"/>
        <v>45.666666666666664</v>
      </c>
      <c r="G157" s="30"/>
      <c r="H157" s="31"/>
      <c r="I157" s="32"/>
      <c r="J157" s="136"/>
      <c r="K157" s="33"/>
      <c r="L157" s="34"/>
      <c r="M157" s="34"/>
      <c r="N157" s="138"/>
      <c r="O157" s="34"/>
      <c r="P157" s="34"/>
      <c r="Q157" s="34"/>
      <c r="R157" s="138"/>
      <c r="S157" s="37"/>
      <c r="T157" s="34"/>
      <c r="U157" s="34"/>
      <c r="V157" s="138"/>
      <c r="W157" s="38"/>
      <c r="X157" s="31"/>
      <c r="Y157" s="31"/>
      <c r="Z157" s="105"/>
      <c r="AA157" s="37"/>
      <c r="AB157" s="34"/>
      <c r="AC157" s="34"/>
      <c r="AD157" s="105"/>
      <c r="AE157" s="104"/>
      <c r="AF157" s="105"/>
      <c r="AG157" s="43">
        <f t="shared" si="27"/>
        <v>0</v>
      </c>
      <c r="AH157" s="44">
        <f t="shared" si="27"/>
        <v>0</v>
      </c>
      <c r="AI157" s="44">
        <f t="shared" si="27"/>
        <v>0</v>
      </c>
      <c r="AJ157" s="94">
        <f t="shared" si="27"/>
        <v>0</v>
      </c>
      <c r="AK157" s="140">
        <f t="shared" si="29"/>
        <v>0</v>
      </c>
      <c r="AL157" s="47">
        <v>1.3</v>
      </c>
      <c r="AM157" s="48">
        <f t="shared" si="36"/>
        <v>0</v>
      </c>
      <c r="AN157" s="48">
        <f t="shared" si="37"/>
        <v>0</v>
      </c>
      <c r="AO157" s="49">
        <f t="shared" si="35"/>
        <v>0</v>
      </c>
      <c r="AP157" s="49">
        <f t="shared" si="30"/>
        <v>0</v>
      </c>
      <c r="AQ157" s="50">
        <f t="shared" si="31"/>
        <v>0</v>
      </c>
      <c r="AR157" s="106"/>
      <c r="AS157" s="107"/>
      <c r="AT157" s="115"/>
      <c r="AU157" s="100"/>
      <c r="AV157" s="109"/>
      <c r="AW157" s="110"/>
      <c r="AX157" s="110"/>
      <c r="AY157" s="107"/>
      <c r="AZ157" s="116"/>
    </row>
    <row r="158" spans="1:52" s="246" customFormat="1" ht="16.5" thickBot="1" x14ac:dyDescent="0.3">
      <c r="A158" s="134">
        <v>360</v>
      </c>
      <c r="B158" s="134" t="s">
        <v>31</v>
      </c>
      <c r="C158" s="139">
        <v>135</v>
      </c>
      <c r="D158" s="26">
        <f t="shared" si="32"/>
        <v>45</v>
      </c>
      <c r="E158" s="27">
        <f t="shared" si="33"/>
        <v>45</v>
      </c>
      <c r="F158" s="29">
        <f t="shared" si="34"/>
        <v>45</v>
      </c>
      <c r="G158" s="30"/>
      <c r="H158" s="31"/>
      <c r="I158" s="32"/>
      <c r="J158" s="136"/>
      <c r="K158" s="33"/>
      <c r="L158" s="34"/>
      <c r="M158" s="34"/>
      <c r="N158" s="138"/>
      <c r="O158" s="34"/>
      <c r="P158" s="34"/>
      <c r="Q158" s="34"/>
      <c r="R158" s="138"/>
      <c r="S158" s="37"/>
      <c r="T158" s="34"/>
      <c r="U158" s="34"/>
      <c r="V158" s="138"/>
      <c r="W158" s="38"/>
      <c r="X158" s="31"/>
      <c r="Y158" s="31"/>
      <c r="Z158" s="105"/>
      <c r="AA158" s="37"/>
      <c r="AB158" s="34"/>
      <c r="AC158" s="34"/>
      <c r="AD158" s="105"/>
      <c r="AE158" s="104"/>
      <c r="AF158" s="105"/>
      <c r="AG158" s="43">
        <f t="shared" si="27"/>
        <v>0</v>
      </c>
      <c r="AH158" s="44">
        <f t="shared" si="27"/>
        <v>0</v>
      </c>
      <c r="AI158" s="44">
        <f t="shared" si="27"/>
        <v>0</v>
      </c>
      <c r="AJ158" s="94">
        <f t="shared" si="27"/>
        <v>0</v>
      </c>
      <c r="AK158" s="140">
        <f t="shared" si="29"/>
        <v>0</v>
      </c>
      <c r="AL158" s="47">
        <v>1.3</v>
      </c>
      <c r="AM158" s="48">
        <f t="shared" si="36"/>
        <v>0</v>
      </c>
      <c r="AN158" s="48">
        <f t="shared" si="37"/>
        <v>0</v>
      </c>
      <c r="AO158" s="49">
        <f t="shared" si="35"/>
        <v>0</v>
      </c>
      <c r="AP158" s="49">
        <f t="shared" si="30"/>
        <v>0</v>
      </c>
      <c r="AQ158" s="50">
        <f t="shared" si="31"/>
        <v>0</v>
      </c>
      <c r="AR158" s="106"/>
      <c r="AS158" s="107"/>
      <c r="AT158" s="115"/>
      <c r="AU158" s="100"/>
      <c r="AV158" s="109"/>
      <c r="AW158" s="110"/>
      <c r="AX158" s="110"/>
      <c r="AY158" s="107"/>
      <c r="AZ158" s="116"/>
    </row>
    <row r="159" spans="1:52" s="246" customFormat="1" ht="16.5" thickBot="1" x14ac:dyDescent="0.3">
      <c r="A159" s="134">
        <v>250</v>
      </c>
      <c r="B159" s="134" t="s">
        <v>116</v>
      </c>
      <c r="C159" s="139"/>
      <c r="D159" s="26">
        <f t="shared" si="32"/>
        <v>0</v>
      </c>
      <c r="E159" s="27">
        <f t="shared" si="33"/>
        <v>0</v>
      </c>
      <c r="F159" s="29">
        <f t="shared" si="34"/>
        <v>0</v>
      </c>
      <c r="G159" s="30"/>
      <c r="H159" s="31"/>
      <c r="I159" s="32"/>
      <c r="J159" s="136"/>
      <c r="K159" s="33"/>
      <c r="L159" s="34"/>
      <c r="M159" s="34"/>
      <c r="N159" s="138"/>
      <c r="O159" s="34"/>
      <c r="P159" s="34"/>
      <c r="Q159" s="34"/>
      <c r="R159" s="138"/>
      <c r="S159" s="37"/>
      <c r="T159" s="34"/>
      <c r="U159" s="34"/>
      <c r="V159" s="138"/>
      <c r="W159" s="38"/>
      <c r="X159" s="31"/>
      <c r="Y159" s="31"/>
      <c r="Z159" s="105"/>
      <c r="AA159" s="37"/>
      <c r="AB159" s="34"/>
      <c r="AC159" s="34"/>
      <c r="AD159" s="105"/>
      <c r="AE159" s="104"/>
      <c r="AF159" s="105"/>
      <c r="AG159" s="43">
        <f t="shared" si="27"/>
        <v>0</v>
      </c>
      <c r="AH159" s="44">
        <f t="shared" si="27"/>
        <v>0</v>
      </c>
      <c r="AI159" s="44">
        <f t="shared" si="27"/>
        <v>0</v>
      </c>
      <c r="AJ159" s="94">
        <f t="shared" si="27"/>
        <v>0</v>
      </c>
      <c r="AK159" s="140">
        <f t="shared" si="29"/>
        <v>0</v>
      </c>
      <c r="AL159" s="47">
        <v>0.5</v>
      </c>
      <c r="AM159" s="48">
        <f t="shared" si="36"/>
        <v>0</v>
      </c>
      <c r="AN159" s="48">
        <f t="shared" si="37"/>
        <v>0</v>
      </c>
      <c r="AO159" s="49">
        <f t="shared" si="35"/>
        <v>0</v>
      </c>
      <c r="AP159" s="49">
        <f t="shared" si="30"/>
        <v>0</v>
      </c>
      <c r="AQ159" s="50">
        <f t="shared" si="31"/>
        <v>0</v>
      </c>
      <c r="AR159" s="106"/>
      <c r="AS159" s="107"/>
      <c r="AT159" s="115"/>
      <c r="AU159" s="100"/>
      <c r="AV159" s="109"/>
      <c r="AW159" s="110"/>
      <c r="AX159" s="110"/>
      <c r="AY159" s="107"/>
      <c r="AZ159" s="116"/>
    </row>
    <row r="160" spans="1:52" s="246" customFormat="1" ht="16.5" thickBot="1" x14ac:dyDescent="0.3">
      <c r="A160" s="134">
        <v>250</v>
      </c>
      <c r="B160" s="134" t="s">
        <v>117</v>
      </c>
      <c r="C160" s="139"/>
      <c r="D160" s="26">
        <f t="shared" si="32"/>
        <v>0</v>
      </c>
      <c r="E160" s="27">
        <f t="shared" si="33"/>
        <v>0</v>
      </c>
      <c r="F160" s="29">
        <f t="shared" si="34"/>
        <v>0</v>
      </c>
      <c r="G160" s="30"/>
      <c r="H160" s="31"/>
      <c r="I160" s="32"/>
      <c r="J160" s="136"/>
      <c r="K160" s="33"/>
      <c r="L160" s="34"/>
      <c r="M160" s="34"/>
      <c r="N160" s="138"/>
      <c r="O160" s="34"/>
      <c r="P160" s="34"/>
      <c r="Q160" s="34"/>
      <c r="R160" s="138"/>
      <c r="S160" s="37"/>
      <c r="T160" s="34"/>
      <c r="U160" s="34"/>
      <c r="V160" s="138"/>
      <c r="W160" s="38"/>
      <c r="X160" s="31"/>
      <c r="Y160" s="31"/>
      <c r="Z160" s="105"/>
      <c r="AA160" s="37"/>
      <c r="AB160" s="34"/>
      <c r="AC160" s="34"/>
      <c r="AD160" s="105"/>
      <c r="AE160" s="104"/>
      <c r="AF160" s="105"/>
      <c r="AG160" s="43">
        <f t="shared" si="27"/>
        <v>0</v>
      </c>
      <c r="AH160" s="44">
        <f t="shared" si="27"/>
        <v>0</v>
      </c>
      <c r="AI160" s="44">
        <f t="shared" si="27"/>
        <v>0</v>
      </c>
      <c r="AJ160" s="94">
        <f t="shared" si="27"/>
        <v>0</v>
      </c>
      <c r="AK160" s="140">
        <f t="shared" si="29"/>
        <v>0</v>
      </c>
      <c r="AL160" s="47">
        <v>0.5</v>
      </c>
      <c r="AM160" s="48">
        <f t="shared" si="36"/>
        <v>0</v>
      </c>
      <c r="AN160" s="48">
        <f t="shared" si="37"/>
        <v>0</v>
      </c>
      <c r="AO160" s="49">
        <f t="shared" si="35"/>
        <v>0</v>
      </c>
      <c r="AP160" s="49">
        <f t="shared" si="30"/>
        <v>0</v>
      </c>
      <c r="AQ160" s="50">
        <f t="shared" si="31"/>
        <v>0</v>
      </c>
      <c r="AR160" s="106"/>
      <c r="AS160" s="107"/>
      <c r="AT160" s="115"/>
      <c r="AU160" s="100"/>
      <c r="AV160" s="109"/>
      <c r="AW160" s="110"/>
      <c r="AX160" s="110"/>
      <c r="AY160" s="107"/>
      <c r="AZ160" s="116"/>
    </row>
    <row r="161" spans="1:52" s="246" customFormat="1" ht="16.5" thickBot="1" x14ac:dyDescent="0.3">
      <c r="A161" s="134">
        <v>360</v>
      </c>
      <c r="B161" s="134" t="s">
        <v>29</v>
      </c>
      <c r="C161" s="139">
        <v>137</v>
      </c>
      <c r="D161" s="26">
        <f t="shared" si="32"/>
        <v>45.666666666666664</v>
      </c>
      <c r="E161" s="27">
        <f t="shared" si="33"/>
        <v>45.666666666666664</v>
      </c>
      <c r="F161" s="29">
        <f t="shared" si="34"/>
        <v>45.666666666666664</v>
      </c>
      <c r="G161" s="30"/>
      <c r="H161" s="31"/>
      <c r="I161" s="32"/>
      <c r="J161" s="136"/>
      <c r="K161" s="33"/>
      <c r="L161" s="34"/>
      <c r="M161" s="34"/>
      <c r="N161" s="138"/>
      <c r="O161" s="34"/>
      <c r="P161" s="34"/>
      <c r="Q161" s="34"/>
      <c r="R161" s="138"/>
      <c r="S161" s="37"/>
      <c r="T161" s="34"/>
      <c r="U161" s="34"/>
      <c r="V161" s="138"/>
      <c r="W161" s="38"/>
      <c r="X161" s="31"/>
      <c r="Y161" s="31"/>
      <c r="Z161" s="105"/>
      <c r="AA161" s="37"/>
      <c r="AB161" s="34"/>
      <c r="AC161" s="34"/>
      <c r="AD161" s="105"/>
      <c r="AE161" s="104"/>
      <c r="AF161" s="105"/>
      <c r="AG161" s="43">
        <f t="shared" si="27"/>
        <v>0</v>
      </c>
      <c r="AH161" s="44">
        <f t="shared" si="27"/>
        <v>0</v>
      </c>
      <c r="AI161" s="44">
        <f t="shared" si="27"/>
        <v>0</v>
      </c>
      <c r="AJ161" s="94">
        <f t="shared" si="27"/>
        <v>0</v>
      </c>
      <c r="AK161" s="140">
        <f t="shared" si="29"/>
        <v>0</v>
      </c>
      <c r="AL161" s="47">
        <v>1.3</v>
      </c>
      <c r="AM161" s="48">
        <f t="shared" si="36"/>
        <v>0</v>
      </c>
      <c r="AN161" s="48">
        <f t="shared" si="37"/>
        <v>0</v>
      </c>
      <c r="AO161" s="49">
        <f t="shared" si="35"/>
        <v>0</v>
      </c>
      <c r="AP161" s="49">
        <f t="shared" si="30"/>
        <v>0</v>
      </c>
      <c r="AQ161" s="50">
        <f t="shared" si="31"/>
        <v>0</v>
      </c>
      <c r="AR161" s="106"/>
      <c r="AS161" s="107"/>
      <c r="AT161" s="115"/>
      <c r="AU161" s="100"/>
      <c r="AV161" s="109"/>
      <c r="AW161" s="110"/>
      <c r="AX161" s="110"/>
      <c r="AY161" s="107"/>
      <c r="AZ161" s="116"/>
    </row>
    <row r="162" spans="1:52" s="246" customFormat="1" ht="16.5" thickBot="1" x14ac:dyDescent="0.3">
      <c r="A162" s="134"/>
      <c r="B162" s="134" t="s">
        <v>118</v>
      </c>
      <c r="C162" s="139">
        <v>78</v>
      </c>
      <c r="D162" s="26">
        <f t="shared" si="32"/>
        <v>26</v>
      </c>
      <c r="E162" s="27">
        <f t="shared" si="33"/>
        <v>26</v>
      </c>
      <c r="F162" s="29">
        <f t="shared" si="34"/>
        <v>26</v>
      </c>
      <c r="G162" s="30"/>
      <c r="H162" s="31"/>
      <c r="I162" s="32"/>
      <c r="J162" s="136"/>
      <c r="K162" s="33"/>
      <c r="L162" s="34"/>
      <c r="M162" s="34"/>
      <c r="N162" s="138"/>
      <c r="O162" s="34"/>
      <c r="P162" s="34"/>
      <c r="Q162" s="34"/>
      <c r="R162" s="138"/>
      <c r="S162" s="37"/>
      <c r="T162" s="34"/>
      <c r="U162" s="34"/>
      <c r="V162" s="138"/>
      <c r="W162" s="38"/>
      <c r="X162" s="31"/>
      <c r="Y162" s="31"/>
      <c r="Z162" s="105"/>
      <c r="AA162" s="37"/>
      <c r="AB162" s="34"/>
      <c r="AC162" s="34"/>
      <c r="AD162" s="105"/>
      <c r="AE162" s="104"/>
      <c r="AF162" s="105"/>
      <c r="AG162" s="43">
        <f t="shared" si="27"/>
        <v>0</v>
      </c>
      <c r="AH162" s="44">
        <f t="shared" si="27"/>
        <v>0</v>
      </c>
      <c r="AI162" s="44">
        <f t="shared" si="27"/>
        <v>0</v>
      </c>
      <c r="AJ162" s="94">
        <f t="shared" si="27"/>
        <v>0</v>
      </c>
      <c r="AK162" s="140">
        <f t="shared" si="29"/>
        <v>0</v>
      </c>
      <c r="AL162" s="47">
        <v>1.5</v>
      </c>
      <c r="AM162" s="48">
        <f t="shared" si="36"/>
        <v>0</v>
      </c>
      <c r="AN162" s="48">
        <f t="shared" si="37"/>
        <v>0</v>
      </c>
      <c r="AO162" s="49">
        <f t="shared" si="35"/>
        <v>0</v>
      </c>
      <c r="AP162" s="49">
        <f t="shared" si="30"/>
        <v>0</v>
      </c>
      <c r="AQ162" s="50">
        <f t="shared" si="31"/>
        <v>0</v>
      </c>
      <c r="AR162" s="106"/>
      <c r="AS162" s="107"/>
      <c r="AT162" s="115"/>
      <c r="AU162" s="100"/>
      <c r="AV162" s="109"/>
      <c r="AW162" s="110"/>
      <c r="AX162" s="110"/>
      <c r="AY162" s="107"/>
      <c r="AZ162" s="116"/>
    </row>
    <row r="163" spans="1:52" s="246" customFormat="1" ht="16.5" thickBot="1" x14ac:dyDescent="0.3">
      <c r="A163" s="134"/>
      <c r="B163" s="134" t="s">
        <v>119</v>
      </c>
      <c r="C163" s="139">
        <v>77</v>
      </c>
      <c r="D163" s="26">
        <f t="shared" si="32"/>
        <v>25.666666666666668</v>
      </c>
      <c r="E163" s="27">
        <f t="shared" si="33"/>
        <v>25.666666666666668</v>
      </c>
      <c r="F163" s="29">
        <f t="shared" si="34"/>
        <v>25.666666666666668</v>
      </c>
      <c r="G163" s="30"/>
      <c r="H163" s="31"/>
      <c r="I163" s="32"/>
      <c r="J163" s="136"/>
      <c r="K163" s="33"/>
      <c r="L163" s="34"/>
      <c r="M163" s="34"/>
      <c r="N163" s="138"/>
      <c r="O163" s="34"/>
      <c r="P163" s="34"/>
      <c r="Q163" s="34"/>
      <c r="R163" s="138"/>
      <c r="S163" s="37"/>
      <c r="T163" s="34"/>
      <c r="U163" s="34"/>
      <c r="V163" s="138"/>
      <c r="W163" s="38"/>
      <c r="X163" s="31"/>
      <c r="Y163" s="31"/>
      <c r="Z163" s="105"/>
      <c r="AA163" s="37"/>
      <c r="AB163" s="34"/>
      <c r="AC163" s="34"/>
      <c r="AD163" s="105"/>
      <c r="AE163" s="104"/>
      <c r="AF163" s="105"/>
      <c r="AG163" s="43">
        <f t="shared" si="27"/>
        <v>0</v>
      </c>
      <c r="AH163" s="44">
        <f t="shared" si="27"/>
        <v>0</v>
      </c>
      <c r="AI163" s="44">
        <f t="shared" si="27"/>
        <v>0</v>
      </c>
      <c r="AJ163" s="94">
        <f t="shared" ref="AJ163:AJ181" si="38">J163+N163+R163+V163+Z163+AD163</f>
        <v>0</v>
      </c>
      <c r="AK163" s="140">
        <f t="shared" si="29"/>
        <v>0</v>
      </c>
      <c r="AL163" s="47">
        <v>1.5</v>
      </c>
      <c r="AM163" s="48">
        <f t="shared" si="36"/>
        <v>0</v>
      </c>
      <c r="AN163" s="48">
        <f t="shared" si="37"/>
        <v>0</v>
      </c>
      <c r="AO163" s="49">
        <f t="shared" si="35"/>
        <v>0</v>
      </c>
      <c r="AP163" s="49">
        <f t="shared" si="30"/>
        <v>0</v>
      </c>
      <c r="AQ163" s="50">
        <f t="shared" si="31"/>
        <v>0</v>
      </c>
      <c r="AR163" s="106"/>
      <c r="AS163" s="107"/>
      <c r="AT163" s="115"/>
      <c r="AU163" s="100"/>
      <c r="AV163" s="109"/>
      <c r="AW163" s="110"/>
      <c r="AX163" s="110"/>
      <c r="AY163" s="107"/>
      <c r="AZ163" s="116"/>
    </row>
    <row r="164" spans="1:52" s="246" customFormat="1" ht="16.5" thickBot="1" x14ac:dyDescent="0.3">
      <c r="A164" s="134"/>
      <c r="B164" s="134" t="s">
        <v>120</v>
      </c>
      <c r="C164" s="139">
        <v>103</v>
      </c>
      <c r="D164" s="26">
        <f t="shared" si="32"/>
        <v>34.333333333333336</v>
      </c>
      <c r="E164" s="27">
        <f t="shared" si="33"/>
        <v>34.333333333333336</v>
      </c>
      <c r="F164" s="29">
        <f t="shared" si="34"/>
        <v>34.333333333333336</v>
      </c>
      <c r="G164" s="30"/>
      <c r="H164" s="31"/>
      <c r="I164" s="32"/>
      <c r="J164" s="136"/>
      <c r="K164" s="33"/>
      <c r="L164" s="34"/>
      <c r="M164" s="34"/>
      <c r="N164" s="138"/>
      <c r="O164" s="34"/>
      <c r="P164" s="34"/>
      <c r="Q164" s="34"/>
      <c r="R164" s="138"/>
      <c r="S164" s="37"/>
      <c r="T164" s="34"/>
      <c r="U164" s="34"/>
      <c r="V164" s="138"/>
      <c r="W164" s="38"/>
      <c r="X164" s="31"/>
      <c r="Y164" s="31"/>
      <c r="Z164" s="105"/>
      <c r="AA164" s="37"/>
      <c r="AB164" s="34"/>
      <c r="AC164" s="34"/>
      <c r="AD164" s="105"/>
      <c r="AE164" s="104"/>
      <c r="AF164" s="105"/>
      <c r="AG164" s="43">
        <f t="shared" ref="AG164:AI183" si="39">G164+K164+O164+S164+W164+AA164</f>
        <v>0</v>
      </c>
      <c r="AH164" s="44">
        <f t="shared" si="39"/>
        <v>0</v>
      </c>
      <c r="AI164" s="44">
        <f t="shared" si="39"/>
        <v>0</v>
      </c>
      <c r="AJ164" s="94">
        <f t="shared" si="38"/>
        <v>0</v>
      </c>
      <c r="AK164" s="140">
        <f t="shared" si="29"/>
        <v>0</v>
      </c>
      <c r="AL164" s="47">
        <v>0.4</v>
      </c>
      <c r="AM164" s="48">
        <f t="shared" si="36"/>
        <v>0</v>
      </c>
      <c r="AN164" s="48">
        <f t="shared" si="37"/>
        <v>0</v>
      </c>
      <c r="AO164" s="49">
        <f t="shared" si="35"/>
        <v>0</v>
      </c>
      <c r="AP164" s="49">
        <f t="shared" si="30"/>
        <v>0</v>
      </c>
      <c r="AQ164" s="50">
        <f t="shared" si="31"/>
        <v>0</v>
      </c>
      <c r="AR164" s="106"/>
      <c r="AS164" s="107"/>
      <c r="AT164" s="115"/>
      <c r="AU164" s="100"/>
      <c r="AV164" s="109"/>
      <c r="AW164" s="110"/>
      <c r="AX164" s="110"/>
      <c r="AY164" s="107"/>
      <c r="AZ164" s="116"/>
    </row>
    <row r="165" spans="1:52" s="246" customFormat="1" ht="16.5" thickBot="1" x14ac:dyDescent="0.3">
      <c r="A165" s="134"/>
      <c r="B165" s="134" t="s">
        <v>121</v>
      </c>
      <c r="C165" s="139">
        <v>155</v>
      </c>
      <c r="D165" s="26">
        <f t="shared" si="32"/>
        <v>51.666666666666664</v>
      </c>
      <c r="E165" s="27">
        <f t="shared" si="33"/>
        <v>51.666666666666664</v>
      </c>
      <c r="F165" s="29">
        <f t="shared" si="34"/>
        <v>51.666666666666664</v>
      </c>
      <c r="G165" s="30"/>
      <c r="H165" s="31"/>
      <c r="I165" s="32"/>
      <c r="J165" s="136"/>
      <c r="K165" s="33"/>
      <c r="L165" s="34"/>
      <c r="M165" s="34"/>
      <c r="N165" s="138"/>
      <c r="O165" s="34"/>
      <c r="P165" s="34"/>
      <c r="Q165" s="34"/>
      <c r="R165" s="138"/>
      <c r="S165" s="37"/>
      <c r="T165" s="34"/>
      <c r="U165" s="34"/>
      <c r="V165" s="138"/>
      <c r="W165" s="38"/>
      <c r="X165" s="31"/>
      <c r="Y165" s="31"/>
      <c r="Z165" s="105"/>
      <c r="AA165" s="37"/>
      <c r="AB165" s="34"/>
      <c r="AC165" s="34"/>
      <c r="AD165" s="105"/>
      <c r="AE165" s="104"/>
      <c r="AF165" s="105"/>
      <c r="AG165" s="43">
        <f t="shared" si="39"/>
        <v>0</v>
      </c>
      <c r="AH165" s="44">
        <f t="shared" si="39"/>
        <v>0</v>
      </c>
      <c r="AI165" s="44">
        <f t="shared" si="39"/>
        <v>0</v>
      </c>
      <c r="AJ165" s="94">
        <f t="shared" si="38"/>
        <v>0</v>
      </c>
      <c r="AK165" s="140">
        <f t="shared" si="29"/>
        <v>0</v>
      </c>
      <c r="AL165" s="47">
        <v>1.5</v>
      </c>
      <c r="AM165" s="48">
        <f t="shared" si="36"/>
        <v>0</v>
      </c>
      <c r="AN165" s="48">
        <f t="shared" si="37"/>
        <v>0</v>
      </c>
      <c r="AO165" s="49">
        <f t="shared" si="35"/>
        <v>0</v>
      </c>
      <c r="AP165" s="49">
        <f t="shared" si="30"/>
        <v>0</v>
      </c>
      <c r="AQ165" s="50">
        <f t="shared" si="31"/>
        <v>0</v>
      </c>
      <c r="AR165" s="106"/>
      <c r="AS165" s="107"/>
      <c r="AT165" s="115"/>
      <c r="AU165" s="100"/>
      <c r="AV165" s="109"/>
      <c r="AW165" s="110"/>
      <c r="AX165" s="110"/>
      <c r="AY165" s="107"/>
      <c r="AZ165" s="116"/>
    </row>
    <row r="166" spans="1:52" s="246" customFormat="1" ht="16.5" thickBot="1" x14ac:dyDescent="0.3">
      <c r="A166" s="134">
        <v>300</v>
      </c>
      <c r="B166" s="134" t="s">
        <v>25</v>
      </c>
      <c r="C166" s="139"/>
      <c r="D166" s="26">
        <f t="shared" si="32"/>
        <v>0</v>
      </c>
      <c r="E166" s="27">
        <f t="shared" si="33"/>
        <v>0</v>
      </c>
      <c r="F166" s="29">
        <f t="shared" si="34"/>
        <v>0</v>
      </c>
      <c r="G166" s="30"/>
      <c r="H166" s="31"/>
      <c r="I166" s="32"/>
      <c r="J166" s="136"/>
      <c r="K166" s="33"/>
      <c r="L166" s="34"/>
      <c r="M166" s="34"/>
      <c r="N166" s="138"/>
      <c r="O166" s="34"/>
      <c r="P166" s="34"/>
      <c r="Q166" s="34"/>
      <c r="R166" s="138"/>
      <c r="S166" s="37"/>
      <c r="T166" s="34"/>
      <c r="U166" s="34"/>
      <c r="V166" s="138"/>
      <c r="W166" s="38"/>
      <c r="X166" s="31"/>
      <c r="Y166" s="31"/>
      <c r="Z166" s="105"/>
      <c r="AA166" s="37"/>
      <c r="AB166" s="34"/>
      <c r="AC166" s="34"/>
      <c r="AD166" s="105"/>
      <c r="AE166" s="104"/>
      <c r="AF166" s="105"/>
      <c r="AG166" s="43">
        <f t="shared" si="39"/>
        <v>0</v>
      </c>
      <c r="AH166" s="44">
        <f t="shared" si="39"/>
        <v>0</v>
      </c>
      <c r="AI166" s="44">
        <f t="shared" si="39"/>
        <v>0</v>
      </c>
      <c r="AJ166" s="94">
        <f t="shared" si="38"/>
        <v>0</v>
      </c>
      <c r="AK166" s="140">
        <f t="shared" si="29"/>
        <v>0</v>
      </c>
      <c r="AL166" s="47">
        <v>1.3</v>
      </c>
      <c r="AM166" s="48">
        <f t="shared" si="36"/>
        <v>0</v>
      </c>
      <c r="AN166" s="48">
        <f t="shared" si="37"/>
        <v>0</v>
      </c>
      <c r="AO166" s="49">
        <f t="shared" si="35"/>
        <v>0</v>
      </c>
      <c r="AP166" s="49">
        <f t="shared" si="30"/>
        <v>0</v>
      </c>
      <c r="AQ166" s="50">
        <f t="shared" si="31"/>
        <v>0</v>
      </c>
      <c r="AR166" s="106"/>
      <c r="AS166" s="107"/>
      <c r="AT166" s="115"/>
      <c r="AU166" s="100"/>
      <c r="AV166" s="109"/>
      <c r="AW166" s="110"/>
      <c r="AX166" s="110"/>
      <c r="AY166" s="107"/>
      <c r="AZ166" s="116"/>
    </row>
    <row r="167" spans="1:52" s="246" customFormat="1" ht="16.5" thickBot="1" x14ac:dyDescent="0.3">
      <c r="A167" s="134"/>
      <c r="B167" s="134" t="s">
        <v>188</v>
      </c>
      <c r="C167" s="139">
        <v>155</v>
      </c>
      <c r="D167" s="26">
        <f t="shared" si="32"/>
        <v>51.666666666666664</v>
      </c>
      <c r="E167" s="27">
        <f t="shared" si="33"/>
        <v>51.666666666666664</v>
      </c>
      <c r="F167" s="29">
        <f t="shared" si="34"/>
        <v>51.666666666666664</v>
      </c>
      <c r="G167" s="30"/>
      <c r="H167" s="31"/>
      <c r="I167" s="32"/>
      <c r="J167" s="136"/>
      <c r="K167" s="33"/>
      <c r="L167" s="34"/>
      <c r="M167" s="34"/>
      <c r="N167" s="138"/>
      <c r="O167" s="34"/>
      <c r="P167" s="34"/>
      <c r="Q167" s="34"/>
      <c r="R167" s="138"/>
      <c r="S167" s="37"/>
      <c r="T167" s="34"/>
      <c r="U167" s="34"/>
      <c r="V167" s="138"/>
      <c r="W167" s="38"/>
      <c r="X167" s="31"/>
      <c r="Y167" s="31"/>
      <c r="Z167" s="105"/>
      <c r="AA167" s="37"/>
      <c r="AB167" s="34"/>
      <c r="AC167" s="34"/>
      <c r="AD167" s="105"/>
      <c r="AE167" s="104"/>
      <c r="AF167" s="105"/>
      <c r="AG167" s="43">
        <f t="shared" si="39"/>
        <v>0</v>
      </c>
      <c r="AH167" s="44">
        <f t="shared" si="39"/>
        <v>0</v>
      </c>
      <c r="AI167" s="44">
        <f t="shared" si="39"/>
        <v>0</v>
      </c>
      <c r="AJ167" s="94">
        <f t="shared" si="38"/>
        <v>0</v>
      </c>
      <c r="AK167" s="140">
        <f t="shared" si="29"/>
        <v>0</v>
      </c>
      <c r="AL167" s="47">
        <v>0.5</v>
      </c>
      <c r="AM167" s="48">
        <f t="shared" si="36"/>
        <v>0</v>
      </c>
      <c r="AN167" s="48">
        <f t="shared" si="37"/>
        <v>0</v>
      </c>
      <c r="AO167" s="49">
        <f t="shared" si="35"/>
        <v>0</v>
      </c>
      <c r="AP167" s="49">
        <f t="shared" si="30"/>
        <v>0</v>
      </c>
      <c r="AQ167" s="50">
        <f t="shared" si="31"/>
        <v>0</v>
      </c>
      <c r="AR167" s="106"/>
      <c r="AS167" s="107"/>
      <c r="AT167" s="115"/>
      <c r="AU167" s="100"/>
      <c r="AV167" s="109"/>
      <c r="AW167" s="110"/>
      <c r="AX167" s="110"/>
      <c r="AY167" s="107"/>
      <c r="AZ167" s="116"/>
    </row>
    <row r="168" spans="1:52" s="246" customFormat="1" ht="16.5" thickBot="1" x14ac:dyDescent="0.3">
      <c r="A168" s="134"/>
      <c r="B168" s="134" t="s">
        <v>187</v>
      </c>
      <c r="C168" s="139"/>
      <c r="D168" s="26"/>
      <c r="E168" s="27"/>
      <c r="F168" s="29"/>
      <c r="G168" s="30"/>
      <c r="H168" s="31"/>
      <c r="I168" s="32"/>
      <c r="J168" s="136"/>
      <c r="K168" s="33"/>
      <c r="L168" s="34"/>
      <c r="M168" s="34"/>
      <c r="N168" s="138"/>
      <c r="O168" s="34"/>
      <c r="P168" s="34"/>
      <c r="Q168" s="34"/>
      <c r="R168" s="138"/>
      <c r="S168" s="37"/>
      <c r="T168" s="34"/>
      <c r="U168" s="34"/>
      <c r="V168" s="138"/>
      <c r="W168" s="38"/>
      <c r="X168" s="31"/>
      <c r="Y168" s="31"/>
      <c r="Z168" s="105"/>
      <c r="AA168" s="37"/>
      <c r="AB168" s="34"/>
      <c r="AC168" s="34"/>
      <c r="AD168" s="105"/>
      <c r="AE168" s="104"/>
      <c r="AF168" s="105"/>
      <c r="AG168" s="43"/>
      <c r="AH168" s="44"/>
      <c r="AI168" s="44"/>
      <c r="AJ168" s="94"/>
      <c r="AK168" s="140"/>
      <c r="AL168" s="47"/>
      <c r="AM168" s="48"/>
      <c r="AN168" s="48"/>
      <c r="AO168" s="49"/>
      <c r="AP168" s="49"/>
      <c r="AQ168" s="50"/>
      <c r="AR168" s="106"/>
      <c r="AS168" s="107"/>
      <c r="AT168" s="115"/>
      <c r="AU168" s="100"/>
      <c r="AV168" s="109"/>
      <c r="AW168" s="110"/>
      <c r="AX168" s="110"/>
      <c r="AY168" s="107"/>
      <c r="AZ168" s="116"/>
    </row>
    <row r="169" spans="1:52" s="246" customFormat="1" ht="16.5" thickBot="1" x14ac:dyDescent="0.3">
      <c r="A169" s="134">
        <v>360</v>
      </c>
      <c r="B169" s="134" t="s">
        <v>88</v>
      </c>
      <c r="C169" s="139">
        <v>948</v>
      </c>
      <c r="D169" s="26">
        <f t="shared" si="32"/>
        <v>316</v>
      </c>
      <c r="E169" s="27">
        <f t="shared" si="33"/>
        <v>316</v>
      </c>
      <c r="F169" s="29">
        <f t="shared" si="34"/>
        <v>316</v>
      </c>
      <c r="G169" s="30"/>
      <c r="H169" s="31"/>
      <c r="I169" s="32"/>
      <c r="J169" s="136"/>
      <c r="K169" s="33"/>
      <c r="L169" s="34"/>
      <c r="M169" s="34"/>
      <c r="N169" s="138"/>
      <c r="O169" s="34"/>
      <c r="P169" s="34"/>
      <c r="Q169" s="34"/>
      <c r="R169" s="138"/>
      <c r="S169" s="37"/>
      <c r="T169" s="34"/>
      <c r="U169" s="34"/>
      <c r="V169" s="138"/>
      <c r="W169" s="38"/>
      <c r="X169" s="31"/>
      <c r="Y169" s="31"/>
      <c r="Z169" s="105"/>
      <c r="AA169" s="37"/>
      <c r="AB169" s="34"/>
      <c r="AC169" s="34"/>
      <c r="AD169" s="105"/>
      <c r="AE169" s="104"/>
      <c r="AF169" s="105"/>
      <c r="AG169" s="43">
        <f t="shared" si="39"/>
        <v>0</v>
      </c>
      <c r="AH169" s="44">
        <f t="shared" si="39"/>
        <v>0</v>
      </c>
      <c r="AI169" s="44">
        <f t="shared" si="39"/>
        <v>0</v>
      </c>
      <c r="AJ169" s="94">
        <f t="shared" si="38"/>
        <v>0</v>
      </c>
      <c r="AK169" s="140">
        <f t="shared" si="29"/>
        <v>0</v>
      </c>
      <c r="AL169" s="47">
        <v>1.3</v>
      </c>
      <c r="AM169" s="48">
        <f t="shared" si="36"/>
        <v>0</v>
      </c>
      <c r="AN169" s="48">
        <f t="shared" si="37"/>
        <v>0</v>
      </c>
      <c r="AO169" s="49">
        <f t="shared" si="35"/>
        <v>0</v>
      </c>
      <c r="AP169" s="49">
        <f t="shared" si="30"/>
        <v>0</v>
      </c>
      <c r="AQ169" s="50">
        <f t="shared" si="31"/>
        <v>0</v>
      </c>
      <c r="AR169" s="106"/>
      <c r="AS169" s="107"/>
      <c r="AT169" s="115"/>
      <c r="AU169" s="100"/>
      <c r="AV169" s="109"/>
      <c r="AW169" s="110"/>
      <c r="AX169" s="110"/>
      <c r="AY169" s="107"/>
      <c r="AZ169" s="116"/>
    </row>
    <row r="170" spans="1:52" s="246" customFormat="1" ht="16.5" thickBot="1" x14ac:dyDescent="0.3">
      <c r="A170" s="134">
        <v>360</v>
      </c>
      <c r="B170" s="134" t="s">
        <v>122</v>
      </c>
      <c r="C170" s="139">
        <v>655</v>
      </c>
      <c r="D170" s="26">
        <f t="shared" si="32"/>
        <v>218.33333333333334</v>
      </c>
      <c r="E170" s="27">
        <f t="shared" si="33"/>
        <v>218.33333333333334</v>
      </c>
      <c r="F170" s="29">
        <f t="shared" si="34"/>
        <v>218.33333333333334</v>
      </c>
      <c r="G170" s="30"/>
      <c r="H170" s="31"/>
      <c r="I170" s="32"/>
      <c r="J170" s="136"/>
      <c r="K170" s="33"/>
      <c r="L170" s="34"/>
      <c r="M170" s="34"/>
      <c r="N170" s="138"/>
      <c r="O170" s="34"/>
      <c r="P170" s="34"/>
      <c r="Q170" s="34"/>
      <c r="R170" s="138"/>
      <c r="S170" s="37"/>
      <c r="T170" s="34"/>
      <c r="U170" s="34"/>
      <c r="V170" s="138"/>
      <c r="W170" s="38"/>
      <c r="X170" s="31"/>
      <c r="Y170" s="31"/>
      <c r="Z170" s="105"/>
      <c r="AA170" s="37"/>
      <c r="AB170" s="34"/>
      <c r="AC170" s="34"/>
      <c r="AD170" s="105"/>
      <c r="AE170" s="104"/>
      <c r="AF170" s="105"/>
      <c r="AG170" s="43">
        <f t="shared" si="39"/>
        <v>0</v>
      </c>
      <c r="AH170" s="44">
        <f t="shared" si="39"/>
        <v>0</v>
      </c>
      <c r="AI170" s="44">
        <f t="shared" si="39"/>
        <v>0</v>
      </c>
      <c r="AJ170" s="94">
        <f t="shared" si="38"/>
        <v>0</v>
      </c>
      <c r="AK170" s="140">
        <f t="shared" si="29"/>
        <v>0</v>
      </c>
      <c r="AL170" s="47">
        <v>0.75</v>
      </c>
      <c r="AM170" s="48">
        <f t="shared" si="36"/>
        <v>0</v>
      </c>
      <c r="AN170" s="48">
        <f t="shared" si="37"/>
        <v>0</v>
      </c>
      <c r="AO170" s="49">
        <f t="shared" si="35"/>
        <v>0</v>
      </c>
      <c r="AP170" s="49">
        <f t="shared" si="30"/>
        <v>0</v>
      </c>
      <c r="AQ170" s="71"/>
      <c r="AR170" s="106"/>
      <c r="AS170" s="107"/>
      <c r="AT170" s="115"/>
      <c r="AU170" s="100"/>
      <c r="AV170" s="109"/>
      <c r="AW170" s="110"/>
      <c r="AX170" s="110"/>
      <c r="AY170" s="107"/>
      <c r="AZ170" s="116"/>
    </row>
    <row r="171" spans="1:52" s="246" customFormat="1" ht="16.5" thickBot="1" x14ac:dyDescent="0.3">
      <c r="A171" s="134">
        <v>360</v>
      </c>
      <c r="B171" s="134" t="s">
        <v>123</v>
      </c>
      <c r="C171" s="139">
        <v>330</v>
      </c>
      <c r="D171" s="26">
        <f t="shared" si="32"/>
        <v>110</v>
      </c>
      <c r="E171" s="27">
        <f t="shared" si="33"/>
        <v>110</v>
      </c>
      <c r="F171" s="29">
        <f t="shared" si="34"/>
        <v>110</v>
      </c>
      <c r="G171" s="30"/>
      <c r="H171" s="31"/>
      <c r="I171" s="32"/>
      <c r="J171" s="136"/>
      <c r="K171" s="33"/>
      <c r="L171" s="34"/>
      <c r="M171" s="34"/>
      <c r="N171" s="138"/>
      <c r="O171" s="34"/>
      <c r="P171" s="34"/>
      <c r="Q171" s="34"/>
      <c r="R171" s="138"/>
      <c r="S171" s="37"/>
      <c r="T171" s="34"/>
      <c r="U171" s="34"/>
      <c r="V171" s="138"/>
      <c r="W171" s="38"/>
      <c r="X171" s="31"/>
      <c r="Y171" s="31"/>
      <c r="Z171" s="105"/>
      <c r="AA171" s="37"/>
      <c r="AB171" s="34"/>
      <c r="AC171" s="34"/>
      <c r="AD171" s="105"/>
      <c r="AE171" s="104"/>
      <c r="AF171" s="105"/>
      <c r="AG171" s="43">
        <f t="shared" si="39"/>
        <v>0</v>
      </c>
      <c r="AH171" s="44">
        <f t="shared" si="39"/>
        <v>0</v>
      </c>
      <c r="AI171" s="44">
        <f t="shared" si="39"/>
        <v>0</v>
      </c>
      <c r="AJ171" s="94">
        <f t="shared" si="38"/>
        <v>0</v>
      </c>
      <c r="AK171" s="140">
        <f t="shared" si="29"/>
        <v>0</v>
      </c>
      <c r="AL171" s="47">
        <v>0.75</v>
      </c>
      <c r="AM171" s="48">
        <f t="shared" si="36"/>
        <v>0</v>
      </c>
      <c r="AN171" s="48">
        <f t="shared" si="37"/>
        <v>0</v>
      </c>
      <c r="AO171" s="49">
        <f t="shared" si="35"/>
        <v>0</v>
      </c>
      <c r="AP171" s="49">
        <f t="shared" si="30"/>
        <v>0</v>
      </c>
      <c r="AQ171" s="71"/>
      <c r="AR171" s="106"/>
      <c r="AS171" s="107"/>
      <c r="AT171" s="115"/>
      <c r="AU171" s="100"/>
      <c r="AV171" s="109"/>
      <c r="AW171" s="110"/>
      <c r="AX171" s="110"/>
      <c r="AY171" s="107"/>
      <c r="AZ171" s="116"/>
    </row>
    <row r="172" spans="1:52" s="246" customFormat="1" ht="16.5" thickBot="1" x14ac:dyDescent="0.3">
      <c r="A172" s="134">
        <v>360</v>
      </c>
      <c r="B172" s="134" t="s">
        <v>124</v>
      </c>
      <c r="C172" s="139">
        <v>2313</v>
      </c>
      <c r="D172" s="26">
        <f t="shared" si="32"/>
        <v>771</v>
      </c>
      <c r="E172" s="27">
        <f t="shared" si="33"/>
        <v>771</v>
      </c>
      <c r="F172" s="29">
        <f t="shared" si="34"/>
        <v>771</v>
      </c>
      <c r="G172" s="30"/>
      <c r="H172" s="31"/>
      <c r="I172" s="32"/>
      <c r="J172" s="136"/>
      <c r="K172" s="33"/>
      <c r="L172" s="34"/>
      <c r="M172" s="34"/>
      <c r="N172" s="138"/>
      <c r="O172" s="34"/>
      <c r="P172" s="34"/>
      <c r="Q172" s="34"/>
      <c r="R172" s="138"/>
      <c r="S172" s="37"/>
      <c r="T172" s="34"/>
      <c r="U172" s="34"/>
      <c r="V172" s="138"/>
      <c r="W172" s="38"/>
      <c r="X172" s="31"/>
      <c r="Y172" s="31"/>
      <c r="Z172" s="105"/>
      <c r="AA172" s="37"/>
      <c r="AB172" s="34"/>
      <c r="AC172" s="34"/>
      <c r="AD172" s="105"/>
      <c r="AE172" s="104"/>
      <c r="AF172" s="105"/>
      <c r="AG172" s="43">
        <f t="shared" si="39"/>
        <v>0</v>
      </c>
      <c r="AH172" s="44">
        <f t="shared" si="39"/>
        <v>0</v>
      </c>
      <c r="AI172" s="44">
        <f t="shared" si="39"/>
        <v>0</v>
      </c>
      <c r="AJ172" s="94">
        <f t="shared" si="38"/>
        <v>0</v>
      </c>
      <c r="AK172" s="140">
        <f t="shared" si="29"/>
        <v>0</v>
      </c>
      <c r="AL172" s="47">
        <v>0.75</v>
      </c>
      <c r="AM172" s="48">
        <f t="shared" si="36"/>
        <v>0</v>
      </c>
      <c r="AN172" s="48">
        <f t="shared" si="37"/>
        <v>0</v>
      </c>
      <c r="AO172" s="49">
        <f t="shared" si="35"/>
        <v>0</v>
      </c>
      <c r="AP172" s="49">
        <f t="shared" si="30"/>
        <v>0</v>
      </c>
      <c r="AQ172" s="71"/>
      <c r="AR172" s="106"/>
      <c r="AS172" s="107"/>
      <c r="AT172" s="115"/>
      <c r="AU172" s="100"/>
      <c r="AV172" s="109"/>
      <c r="AW172" s="110"/>
      <c r="AX172" s="110"/>
      <c r="AY172" s="107"/>
      <c r="AZ172" s="116"/>
    </row>
    <row r="173" spans="1:52" s="246" customFormat="1" ht="16.5" thickBot="1" x14ac:dyDescent="0.3">
      <c r="A173" s="134">
        <v>360</v>
      </c>
      <c r="B173" s="134" t="s">
        <v>125</v>
      </c>
      <c r="C173" s="139">
        <v>330</v>
      </c>
      <c r="D173" s="26">
        <f t="shared" si="32"/>
        <v>110</v>
      </c>
      <c r="E173" s="27">
        <f t="shared" si="33"/>
        <v>110</v>
      </c>
      <c r="F173" s="29">
        <f t="shared" si="34"/>
        <v>110</v>
      </c>
      <c r="G173" s="30"/>
      <c r="H173" s="31"/>
      <c r="I173" s="32"/>
      <c r="J173" s="136"/>
      <c r="K173" s="33"/>
      <c r="L173" s="34"/>
      <c r="M173" s="34"/>
      <c r="N173" s="138"/>
      <c r="O173" s="34"/>
      <c r="P173" s="34"/>
      <c r="Q173" s="34"/>
      <c r="R173" s="138"/>
      <c r="S173" s="37"/>
      <c r="T173" s="34"/>
      <c r="U173" s="34"/>
      <c r="V173" s="138"/>
      <c r="W173" s="38"/>
      <c r="X173" s="31"/>
      <c r="Y173" s="31"/>
      <c r="Z173" s="105"/>
      <c r="AA173" s="37"/>
      <c r="AB173" s="34"/>
      <c r="AC173" s="34"/>
      <c r="AD173" s="105"/>
      <c r="AE173" s="104"/>
      <c r="AF173" s="105"/>
      <c r="AG173" s="43">
        <f t="shared" si="39"/>
        <v>0</v>
      </c>
      <c r="AH173" s="44">
        <f t="shared" si="39"/>
        <v>0</v>
      </c>
      <c r="AI173" s="44">
        <f t="shared" si="39"/>
        <v>0</v>
      </c>
      <c r="AJ173" s="94">
        <f t="shared" si="38"/>
        <v>0</v>
      </c>
      <c r="AK173" s="140">
        <f t="shared" si="29"/>
        <v>0</v>
      </c>
      <c r="AL173" s="47">
        <v>0.75</v>
      </c>
      <c r="AM173" s="48">
        <f t="shared" si="36"/>
        <v>0</v>
      </c>
      <c r="AN173" s="48">
        <f t="shared" si="37"/>
        <v>0</v>
      </c>
      <c r="AO173" s="49">
        <f t="shared" si="35"/>
        <v>0</v>
      </c>
      <c r="AP173" s="49">
        <f t="shared" si="30"/>
        <v>0</v>
      </c>
      <c r="AQ173" s="71"/>
      <c r="AR173" s="106"/>
      <c r="AS173" s="107"/>
      <c r="AT173" s="115"/>
      <c r="AU173" s="100"/>
      <c r="AV173" s="109"/>
      <c r="AW173" s="110"/>
      <c r="AX173" s="110"/>
      <c r="AY173" s="107"/>
      <c r="AZ173" s="116"/>
    </row>
    <row r="174" spans="1:52" s="246" customFormat="1" ht="16.5" thickBot="1" x14ac:dyDescent="0.3">
      <c r="A174" s="134">
        <v>360</v>
      </c>
      <c r="B174" s="134" t="s">
        <v>126</v>
      </c>
      <c r="C174" s="139">
        <v>328</v>
      </c>
      <c r="D174" s="26">
        <f t="shared" si="32"/>
        <v>109.33333333333333</v>
      </c>
      <c r="E174" s="27">
        <f t="shared" si="33"/>
        <v>109.33333333333333</v>
      </c>
      <c r="F174" s="29">
        <f t="shared" si="34"/>
        <v>109.33333333333333</v>
      </c>
      <c r="G174" s="30"/>
      <c r="H174" s="31"/>
      <c r="I174" s="32"/>
      <c r="J174" s="136"/>
      <c r="K174" s="33"/>
      <c r="L174" s="34"/>
      <c r="M174" s="34"/>
      <c r="N174" s="138"/>
      <c r="O174" s="34"/>
      <c r="P174" s="34"/>
      <c r="Q174" s="34"/>
      <c r="R174" s="138"/>
      <c r="S174" s="37"/>
      <c r="T174" s="34"/>
      <c r="U174" s="34"/>
      <c r="V174" s="138"/>
      <c r="W174" s="38"/>
      <c r="X174" s="31"/>
      <c r="Y174" s="31"/>
      <c r="Z174" s="105"/>
      <c r="AA174" s="37"/>
      <c r="AB174" s="34"/>
      <c r="AC174" s="34"/>
      <c r="AD174" s="105"/>
      <c r="AE174" s="104"/>
      <c r="AF174" s="105"/>
      <c r="AG174" s="43">
        <f t="shared" si="39"/>
        <v>0</v>
      </c>
      <c r="AH174" s="44">
        <f t="shared" si="39"/>
        <v>0</v>
      </c>
      <c r="AI174" s="44">
        <f t="shared" si="39"/>
        <v>0</v>
      </c>
      <c r="AJ174" s="94">
        <f t="shared" si="38"/>
        <v>0</v>
      </c>
      <c r="AK174" s="140">
        <f t="shared" si="29"/>
        <v>0</v>
      </c>
      <c r="AL174" s="47">
        <v>0.75</v>
      </c>
      <c r="AM174" s="48">
        <f t="shared" si="36"/>
        <v>0</v>
      </c>
      <c r="AN174" s="48">
        <f t="shared" si="37"/>
        <v>0</v>
      </c>
      <c r="AO174" s="49">
        <f t="shared" si="35"/>
        <v>0</v>
      </c>
      <c r="AP174" s="49"/>
      <c r="AQ174" s="71"/>
      <c r="AR174" s="106"/>
      <c r="AS174" s="107"/>
      <c r="AT174" s="115"/>
      <c r="AU174" s="100"/>
      <c r="AV174" s="109"/>
      <c r="AW174" s="110"/>
      <c r="AX174" s="110"/>
      <c r="AY174" s="107"/>
      <c r="AZ174" s="116"/>
    </row>
    <row r="175" spans="1:52" s="246" customFormat="1" ht="16.5" thickBot="1" x14ac:dyDescent="0.3">
      <c r="A175" s="134">
        <v>360</v>
      </c>
      <c r="B175" s="134" t="s">
        <v>127</v>
      </c>
      <c r="C175" s="139">
        <v>655</v>
      </c>
      <c r="D175" s="26">
        <f t="shared" si="32"/>
        <v>218.33333333333334</v>
      </c>
      <c r="E175" s="27">
        <f t="shared" si="33"/>
        <v>218.33333333333334</v>
      </c>
      <c r="F175" s="29">
        <f t="shared" si="34"/>
        <v>218.33333333333334</v>
      </c>
      <c r="G175" s="30"/>
      <c r="H175" s="31"/>
      <c r="I175" s="32"/>
      <c r="J175" s="136"/>
      <c r="K175" s="33"/>
      <c r="L175" s="34"/>
      <c r="M175" s="34"/>
      <c r="N175" s="138"/>
      <c r="O175" s="34"/>
      <c r="P175" s="34"/>
      <c r="Q175" s="34"/>
      <c r="R175" s="138"/>
      <c r="S175" s="37"/>
      <c r="T175" s="34"/>
      <c r="U175" s="34"/>
      <c r="V175" s="138"/>
      <c r="W175" s="38"/>
      <c r="X175" s="31"/>
      <c r="Y175" s="31"/>
      <c r="Z175" s="105"/>
      <c r="AA175" s="37"/>
      <c r="AB175" s="34"/>
      <c r="AC175" s="34"/>
      <c r="AD175" s="105"/>
      <c r="AE175" s="104"/>
      <c r="AF175" s="105"/>
      <c r="AG175" s="43">
        <f t="shared" si="39"/>
        <v>0</v>
      </c>
      <c r="AH175" s="44">
        <f t="shared" si="39"/>
        <v>0</v>
      </c>
      <c r="AI175" s="44">
        <f t="shared" si="39"/>
        <v>0</v>
      </c>
      <c r="AJ175" s="94">
        <f t="shared" si="38"/>
        <v>0</v>
      </c>
      <c r="AK175" s="140">
        <f t="shared" si="29"/>
        <v>0</v>
      </c>
      <c r="AL175" s="47">
        <v>0.75</v>
      </c>
      <c r="AM175" s="48">
        <f t="shared" si="36"/>
        <v>0</v>
      </c>
      <c r="AN175" s="48">
        <f t="shared" si="37"/>
        <v>0</v>
      </c>
      <c r="AO175" s="49">
        <f t="shared" si="35"/>
        <v>0</v>
      </c>
      <c r="AP175" s="49"/>
      <c r="AQ175" s="71"/>
      <c r="AR175" s="106"/>
      <c r="AS175" s="107"/>
      <c r="AT175" s="115"/>
      <c r="AU175" s="100"/>
      <c r="AV175" s="109"/>
      <c r="AW175" s="110"/>
      <c r="AX175" s="110"/>
      <c r="AY175" s="107"/>
      <c r="AZ175" s="116"/>
    </row>
    <row r="176" spans="1:52" s="246" customFormat="1" ht="16.5" thickBot="1" x14ac:dyDescent="0.3">
      <c r="A176" s="134">
        <v>360</v>
      </c>
      <c r="B176" s="134" t="s">
        <v>128</v>
      </c>
      <c r="C176" s="139">
        <v>330</v>
      </c>
      <c r="D176" s="26">
        <f t="shared" si="32"/>
        <v>110</v>
      </c>
      <c r="E176" s="27">
        <f t="shared" si="33"/>
        <v>110</v>
      </c>
      <c r="F176" s="29">
        <f t="shared" si="34"/>
        <v>110</v>
      </c>
      <c r="G176" s="30"/>
      <c r="H176" s="31"/>
      <c r="I176" s="32"/>
      <c r="J176" s="136"/>
      <c r="K176" s="33"/>
      <c r="L176" s="34"/>
      <c r="M176" s="34"/>
      <c r="N176" s="138"/>
      <c r="O176" s="34"/>
      <c r="P176" s="34"/>
      <c r="Q176" s="34"/>
      <c r="R176" s="138"/>
      <c r="S176" s="37"/>
      <c r="T176" s="34"/>
      <c r="U176" s="34"/>
      <c r="V176" s="138"/>
      <c r="W176" s="38"/>
      <c r="X176" s="31"/>
      <c r="Y176" s="31"/>
      <c r="Z176" s="105"/>
      <c r="AA176" s="37"/>
      <c r="AB176" s="34"/>
      <c r="AC176" s="34"/>
      <c r="AD176" s="105"/>
      <c r="AE176" s="104"/>
      <c r="AF176" s="105"/>
      <c r="AG176" s="43">
        <f t="shared" si="39"/>
        <v>0</v>
      </c>
      <c r="AH176" s="44">
        <f t="shared" si="39"/>
        <v>0</v>
      </c>
      <c r="AI176" s="44">
        <f t="shared" si="39"/>
        <v>0</v>
      </c>
      <c r="AJ176" s="94">
        <f t="shared" si="38"/>
        <v>0</v>
      </c>
      <c r="AK176" s="140">
        <f t="shared" si="29"/>
        <v>0</v>
      </c>
      <c r="AL176" s="47">
        <v>0.75</v>
      </c>
      <c r="AM176" s="48">
        <f t="shared" si="36"/>
        <v>0</v>
      </c>
      <c r="AN176" s="48">
        <f t="shared" si="37"/>
        <v>0</v>
      </c>
      <c r="AO176" s="49">
        <f t="shared" si="35"/>
        <v>0</v>
      </c>
      <c r="AP176" s="49"/>
      <c r="AQ176" s="71"/>
      <c r="AR176" s="106"/>
      <c r="AS176" s="107"/>
      <c r="AT176" s="115"/>
      <c r="AU176" s="100"/>
      <c r="AV176" s="109"/>
      <c r="AW176" s="110"/>
      <c r="AX176" s="110"/>
      <c r="AY176" s="107"/>
      <c r="AZ176" s="116"/>
    </row>
    <row r="177" spans="1:52" s="246" customFormat="1" ht="16.5" thickBot="1" x14ac:dyDescent="0.3">
      <c r="A177" s="134">
        <v>600</v>
      </c>
      <c r="B177" s="134" t="s">
        <v>129</v>
      </c>
      <c r="C177" s="139">
        <v>693</v>
      </c>
      <c r="D177" s="26">
        <f t="shared" si="32"/>
        <v>231</v>
      </c>
      <c r="E177" s="27">
        <f t="shared" si="33"/>
        <v>231</v>
      </c>
      <c r="F177" s="29">
        <f t="shared" si="34"/>
        <v>231</v>
      </c>
      <c r="G177" s="30"/>
      <c r="H177" s="31"/>
      <c r="I177" s="32"/>
      <c r="J177" s="136"/>
      <c r="K177" s="33"/>
      <c r="L177" s="34"/>
      <c r="M177" s="34"/>
      <c r="N177" s="138"/>
      <c r="O177" s="34"/>
      <c r="P177" s="34"/>
      <c r="Q177" s="34"/>
      <c r="R177" s="138"/>
      <c r="S177" s="37"/>
      <c r="T177" s="34"/>
      <c r="U177" s="34"/>
      <c r="V177" s="138"/>
      <c r="W177" s="38"/>
      <c r="X177" s="31"/>
      <c r="Y177" s="31"/>
      <c r="Z177" s="105"/>
      <c r="AA177" s="37"/>
      <c r="AB177" s="34"/>
      <c r="AC177" s="34"/>
      <c r="AD177" s="105"/>
      <c r="AE177" s="104"/>
      <c r="AF177" s="105"/>
      <c r="AG177" s="43">
        <f t="shared" si="39"/>
        <v>0</v>
      </c>
      <c r="AH177" s="44">
        <f t="shared" si="39"/>
        <v>0</v>
      </c>
      <c r="AI177" s="44">
        <f t="shared" si="39"/>
        <v>0</v>
      </c>
      <c r="AJ177" s="94">
        <f t="shared" si="38"/>
        <v>0</v>
      </c>
      <c r="AK177" s="140">
        <f t="shared" si="29"/>
        <v>0</v>
      </c>
      <c r="AL177" s="47">
        <v>0.75</v>
      </c>
      <c r="AM177" s="48">
        <f t="shared" si="36"/>
        <v>0</v>
      </c>
      <c r="AN177" s="48">
        <f t="shared" si="37"/>
        <v>0</v>
      </c>
      <c r="AO177" s="49">
        <f t="shared" si="35"/>
        <v>0</v>
      </c>
      <c r="AP177" s="49"/>
      <c r="AQ177" s="71"/>
      <c r="AR177" s="106"/>
      <c r="AS177" s="107"/>
      <c r="AT177" s="115"/>
      <c r="AU177" s="100"/>
      <c r="AV177" s="109"/>
      <c r="AW177" s="110"/>
      <c r="AX177" s="110"/>
      <c r="AY177" s="107"/>
      <c r="AZ177" s="116"/>
    </row>
    <row r="178" spans="1:52" s="246" customFormat="1" ht="16.5" thickBot="1" x14ac:dyDescent="0.3">
      <c r="A178" s="134">
        <v>600</v>
      </c>
      <c r="B178" s="134" t="s">
        <v>124</v>
      </c>
      <c r="C178" s="139">
        <v>3463</v>
      </c>
      <c r="D178" s="26">
        <f t="shared" si="32"/>
        <v>1154.3333333333333</v>
      </c>
      <c r="E178" s="27">
        <f t="shared" si="33"/>
        <v>1154.3333333333333</v>
      </c>
      <c r="F178" s="29">
        <f t="shared" si="34"/>
        <v>1154.3333333333333</v>
      </c>
      <c r="G178" s="30"/>
      <c r="H178" s="31"/>
      <c r="I178" s="32"/>
      <c r="J178" s="136"/>
      <c r="K178" s="33"/>
      <c r="L178" s="34"/>
      <c r="M178" s="34"/>
      <c r="N178" s="138"/>
      <c r="O178" s="34"/>
      <c r="P178" s="34"/>
      <c r="Q178" s="34"/>
      <c r="R178" s="138"/>
      <c r="S178" s="37"/>
      <c r="T178" s="34"/>
      <c r="U178" s="34"/>
      <c r="V178" s="138"/>
      <c r="W178" s="38"/>
      <c r="X178" s="31"/>
      <c r="Y178" s="31"/>
      <c r="Z178" s="105"/>
      <c r="AA178" s="37"/>
      <c r="AB178" s="34"/>
      <c r="AC178" s="34"/>
      <c r="AD178" s="105"/>
      <c r="AE178" s="104"/>
      <c r="AF178" s="105"/>
      <c r="AG178" s="43">
        <f t="shared" si="39"/>
        <v>0</v>
      </c>
      <c r="AH178" s="44">
        <f t="shared" si="39"/>
        <v>0</v>
      </c>
      <c r="AI178" s="44">
        <f t="shared" si="39"/>
        <v>0</v>
      </c>
      <c r="AJ178" s="94">
        <f t="shared" si="38"/>
        <v>0</v>
      </c>
      <c r="AK178" s="140">
        <f t="shared" si="29"/>
        <v>0</v>
      </c>
      <c r="AL178" s="47">
        <v>0.75</v>
      </c>
      <c r="AM178" s="48">
        <f t="shared" si="36"/>
        <v>0</v>
      </c>
      <c r="AN178" s="48">
        <f t="shared" si="37"/>
        <v>0</v>
      </c>
      <c r="AO178" s="49">
        <f t="shared" si="35"/>
        <v>0</v>
      </c>
      <c r="AP178" s="49">
        <f>AJ178*AL178</f>
        <v>0</v>
      </c>
      <c r="AQ178" s="71"/>
      <c r="AR178" s="106"/>
      <c r="AS178" s="107"/>
      <c r="AT178" s="115"/>
      <c r="AU178" s="100"/>
      <c r="AV178" s="109"/>
      <c r="AW178" s="110"/>
      <c r="AX178" s="110"/>
      <c r="AY178" s="107"/>
      <c r="AZ178" s="116"/>
    </row>
    <row r="179" spans="1:52" s="246" customFormat="1" ht="16.5" thickBot="1" x14ac:dyDescent="0.3">
      <c r="A179" s="134">
        <v>600</v>
      </c>
      <c r="B179" s="134" t="s">
        <v>123</v>
      </c>
      <c r="C179" s="139">
        <v>922</v>
      </c>
      <c r="D179" s="26">
        <f t="shared" si="32"/>
        <v>307.33333333333331</v>
      </c>
      <c r="E179" s="27">
        <f t="shared" si="33"/>
        <v>307.33333333333331</v>
      </c>
      <c r="F179" s="29">
        <f t="shared" si="34"/>
        <v>307.33333333333331</v>
      </c>
      <c r="G179" s="30"/>
      <c r="H179" s="31"/>
      <c r="I179" s="32"/>
      <c r="J179" s="136"/>
      <c r="K179" s="33"/>
      <c r="L179" s="34"/>
      <c r="M179" s="34"/>
      <c r="N179" s="138"/>
      <c r="O179" s="34"/>
      <c r="P179" s="34"/>
      <c r="Q179" s="34"/>
      <c r="R179" s="138"/>
      <c r="S179" s="37"/>
      <c r="T179" s="34"/>
      <c r="U179" s="34"/>
      <c r="V179" s="138"/>
      <c r="W179" s="38"/>
      <c r="X179" s="31"/>
      <c r="Y179" s="31"/>
      <c r="Z179" s="105"/>
      <c r="AA179" s="37"/>
      <c r="AB179" s="34"/>
      <c r="AC179" s="34"/>
      <c r="AD179" s="105"/>
      <c r="AE179" s="104"/>
      <c r="AF179" s="105"/>
      <c r="AG179" s="43">
        <f t="shared" si="39"/>
        <v>0</v>
      </c>
      <c r="AH179" s="44">
        <f t="shared" si="39"/>
        <v>0</v>
      </c>
      <c r="AI179" s="44">
        <f t="shared" si="39"/>
        <v>0</v>
      </c>
      <c r="AJ179" s="94">
        <f t="shared" si="38"/>
        <v>0</v>
      </c>
      <c r="AK179" s="140">
        <f t="shared" si="29"/>
        <v>0</v>
      </c>
      <c r="AL179" s="47">
        <v>0.75</v>
      </c>
      <c r="AM179" s="48">
        <f t="shared" si="36"/>
        <v>0</v>
      </c>
      <c r="AN179" s="48">
        <f t="shared" si="37"/>
        <v>0</v>
      </c>
      <c r="AO179" s="49">
        <f t="shared" si="35"/>
        <v>0</v>
      </c>
      <c r="AP179" s="49"/>
      <c r="AQ179" s="71"/>
      <c r="AR179" s="106"/>
      <c r="AS179" s="107"/>
      <c r="AT179" s="115"/>
      <c r="AU179" s="100"/>
      <c r="AV179" s="109"/>
      <c r="AW179" s="110"/>
      <c r="AX179" s="110"/>
      <c r="AY179" s="107"/>
      <c r="AZ179" s="116"/>
    </row>
    <row r="180" spans="1:52" s="246" customFormat="1" ht="16.5" thickBot="1" x14ac:dyDescent="0.3">
      <c r="A180" s="134">
        <v>625</v>
      </c>
      <c r="B180" s="134" t="s">
        <v>128</v>
      </c>
      <c r="C180" s="139">
        <v>220</v>
      </c>
      <c r="D180" s="26">
        <f t="shared" si="32"/>
        <v>73.333333333333329</v>
      </c>
      <c r="E180" s="27">
        <f t="shared" si="33"/>
        <v>73.333333333333329</v>
      </c>
      <c r="F180" s="29">
        <f t="shared" si="34"/>
        <v>73.333333333333329</v>
      </c>
      <c r="G180" s="30"/>
      <c r="H180" s="31"/>
      <c r="I180" s="32"/>
      <c r="J180" s="136"/>
      <c r="K180" s="33"/>
      <c r="L180" s="34"/>
      <c r="M180" s="34"/>
      <c r="N180" s="138"/>
      <c r="O180" s="34"/>
      <c r="P180" s="34"/>
      <c r="Q180" s="34"/>
      <c r="R180" s="138"/>
      <c r="S180" s="37"/>
      <c r="T180" s="34"/>
      <c r="U180" s="34"/>
      <c r="V180" s="138"/>
      <c r="W180" s="38"/>
      <c r="X180" s="31"/>
      <c r="Y180" s="31"/>
      <c r="Z180" s="105"/>
      <c r="AA180" s="37"/>
      <c r="AB180" s="34"/>
      <c r="AC180" s="34"/>
      <c r="AD180" s="105"/>
      <c r="AE180" s="104"/>
      <c r="AF180" s="105"/>
      <c r="AG180" s="43">
        <f t="shared" si="39"/>
        <v>0</v>
      </c>
      <c r="AH180" s="44">
        <f t="shared" si="39"/>
        <v>0</v>
      </c>
      <c r="AI180" s="44">
        <f t="shared" si="39"/>
        <v>0</v>
      </c>
      <c r="AJ180" s="94"/>
      <c r="AK180" s="140">
        <f t="shared" si="29"/>
        <v>0</v>
      </c>
      <c r="AL180" s="47">
        <v>0.75</v>
      </c>
      <c r="AM180" s="48">
        <f t="shared" si="36"/>
        <v>0</v>
      </c>
      <c r="AN180" s="48">
        <f t="shared" si="37"/>
        <v>0</v>
      </c>
      <c r="AO180" s="49">
        <f t="shared" si="35"/>
        <v>0</v>
      </c>
      <c r="AP180" s="49"/>
      <c r="AQ180" s="71"/>
      <c r="AR180" s="106"/>
      <c r="AS180" s="107"/>
      <c r="AT180" s="115"/>
      <c r="AU180" s="100"/>
      <c r="AV180" s="109"/>
      <c r="AW180" s="110"/>
      <c r="AX180" s="110"/>
      <c r="AY180" s="107"/>
      <c r="AZ180" s="116"/>
    </row>
    <row r="181" spans="1:52" s="246" customFormat="1" ht="16.5" thickBot="1" x14ac:dyDescent="0.3">
      <c r="A181" s="134">
        <v>625</v>
      </c>
      <c r="B181" s="134" t="s">
        <v>127</v>
      </c>
      <c r="C181" s="139">
        <v>660</v>
      </c>
      <c r="D181" s="26">
        <f t="shared" si="32"/>
        <v>220</v>
      </c>
      <c r="E181" s="27">
        <f t="shared" si="33"/>
        <v>220</v>
      </c>
      <c r="F181" s="29">
        <f t="shared" si="34"/>
        <v>220</v>
      </c>
      <c r="G181" s="30"/>
      <c r="H181" s="31"/>
      <c r="I181" s="32"/>
      <c r="J181" s="136"/>
      <c r="K181" s="33"/>
      <c r="L181" s="34"/>
      <c r="M181" s="34"/>
      <c r="N181" s="138"/>
      <c r="O181" s="34"/>
      <c r="P181" s="34"/>
      <c r="Q181" s="34"/>
      <c r="R181" s="138"/>
      <c r="S181" s="37"/>
      <c r="T181" s="34"/>
      <c r="U181" s="34"/>
      <c r="V181" s="138"/>
      <c r="W181" s="38"/>
      <c r="X181" s="31"/>
      <c r="Y181" s="31"/>
      <c r="Z181" s="105"/>
      <c r="AA181" s="37"/>
      <c r="AB181" s="34"/>
      <c r="AC181" s="34"/>
      <c r="AD181" s="105"/>
      <c r="AE181" s="104"/>
      <c r="AF181" s="105"/>
      <c r="AG181" s="43">
        <f t="shared" si="39"/>
        <v>0</v>
      </c>
      <c r="AH181" s="44">
        <f t="shared" si="39"/>
        <v>0</v>
      </c>
      <c r="AI181" s="44">
        <f t="shared" si="39"/>
        <v>0</v>
      </c>
      <c r="AJ181" s="94">
        <f t="shared" si="38"/>
        <v>0</v>
      </c>
      <c r="AK181" s="140">
        <f t="shared" si="29"/>
        <v>0</v>
      </c>
      <c r="AL181" s="47">
        <v>0.75</v>
      </c>
      <c r="AM181" s="48">
        <f t="shared" si="36"/>
        <v>0</v>
      </c>
      <c r="AN181" s="48">
        <f t="shared" si="37"/>
        <v>0</v>
      </c>
      <c r="AO181" s="49">
        <f t="shared" si="35"/>
        <v>0</v>
      </c>
      <c r="AP181" s="49">
        <f t="shared" si="30"/>
        <v>0</v>
      </c>
      <c r="AQ181" s="71"/>
      <c r="AR181" s="106"/>
      <c r="AS181" s="107"/>
      <c r="AT181" s="115"/>
      <c r="AU181" s="100"/>
      <c r="AV181" s="109"/>
      <c r="AW181" s="110"/>
      <c r="AX181" s="110"/>
      <c r="AY181" s="107"/>
      <c r="AZ181" s="116"/>
    </row>
    <row r="182" spans="1:52" s="246" customFormat="1" ht="16.5" thickBot="1" x14ac:dyDescent="0.3">
      <c r="A182" s="134">
        <v>625</v>
      </c>
      <c r="B182" s="134" t="s">
        <v>130</v>
      </c>
      <c r="C182" s="139">
        <v>440</v>
      </c>
      <c r="D182" s="26">
        <f t="shared" si="32"/>
        <v>146.66666666666666</v>
      </c>
      <c r="E182" s="27">
        <f t="shared" si="33"/>
        <v>146.66666666666666</v>
      </c>
      <c r="F182" s="29">
        <f t="shared" si="34"/>
        <v>146.66666666666666</v>
      </c>
      <c r="G182" s="30"/>
      <c r="H182" s="31"/>
      <c r="I182" s="32"/>
      <c r="J182" s="136"/>
      <c r="K182" s="33"/>
      <c r="L182" s="34"/>
      <c r="M182" s="34"/>
      <c r="N182" s="138"/>
      <c r="O182" s="34"/>
      <c r="P182" s="34"/>
      <c r="Q182" s="34"/>
      <c r="R182" s="138"/>
      <c r="S182" s="37"/>
      <c r="T182" s="34"/>
      <c r="U182" s="34"/>
      <c r="V182" s="138"/>
      <c r="W182" s="38"/>
      <c r="X182" s="31"/>
      <c r="Y182" s="31"/>
      <c r="Z182" s="105"/>
      <c r="AA182" s="37"/>
      <c r="AB182" s="34"/>
      <c r="AC182" s="34"/>
      <c r="AD182" s="105"/>
      <c r="AE182" s="104"/>
      <c r="AF182" s="105"/>
      <c r="AG182" s="43">
        <f t="shared" si="39"/>
        <v>0</v>
      </c>
      <c r="AH182" s="44">
        <f t="shared" si="39"/>
        <v>0</v>
      </c>
      <c r="AI182" s="44">
        <f t="shared" si="39"/>
        <v>0</v>
      </c>
      <c r="AJ182" s="94">
        <f>J182+N182+R182+V182+Z182+AD182</f>
        <v>0</v>
      </c>
      <c r="AK182" s="140">
        <f t="shared" si="29"/>
        <v>0</v>
      </c>
      <c r="AL182" s="47">
        <v>0.75</v>
      </c>
      <c r="AM182" s="48">
        <f t="shared" si="36"/>
        <v>0</v>
      </c>
      <c r="AN182" s="48">
        <f t="shared" si="37"/>
        <v>0</v>
      </c>
      <c r="AO182" s="49">
        <f t="shared" si="35"/>
        <v>0</v>
      </c>
      <c r="AP182" s="49">
        <f t="shared" si="30"/>
        <v>0</v>
      </c>
      <c r="AQ182" s="71"/>
      <c r="AR182" s="106"/>
      <c r="AS182" s="107"/>
      <c r="AT182" s="115"/>
      <c r="AU182" s="100"/>
      <c r="AV182" s="109"/>
      <c r="AW182" s="110"/>
      <c r="AX182" s="110"/>
      <c r="AY182" s="107"/>
      <c r="AZ182" s="116"/>
    </row>
    <row r="183" spans="1:52" s="246" customFormat="1" ht="16.5" thickBot="1" x14ac:dyDescent="0.3">
      <c r="A183" s="134">
        <v>625</v>
      </c>
      <c r="B183" s="134" t="s">
        <v>131</v>
      </c>
      <c r="C183" s="139">
        <v>220</v>
      </c>
      <c r="D183" s="26">
        <f t="shared" si="32"/>
        <v>73.333333333333329</v>
      </c>
      <c r="E183" s="27">
        <f t="shared" si="33"/>
        <v>73.333333333333329</v>
      </c>
      <c r="F183" s="29">
        <f t="shared" si="34"/>
        <v>73.333333333333329</v>
      </c>
      <c r="G183" s="30"/>
      <c r="H183" s="31"/>
      <c r="I183" s="32"/>
      <c r="J183" s="136"/>
      <c r="K183" s="33"/>
      <c r="L183" s="34"/>
      <c r="M183" s="34"/>
      <c r="N183" s="138"/>
      <c r="O183" s="34"/>
      <c r="P183" s="34"/>
      <c r="Q183" s="34"/>
      <c r="R183" s="138"/>
      <c r="S183" s="37"/>
      <c r="T183" s="34"/>
      <c r="U183" s="34"/>
      <c r="V183" s="138"/>
      <c r="W183" s="38"/>
      <c r="X183" s="31"/>
      <c r="Y183" s="31"/>
      <c r="Z183" s="105"/>
      <c r="AA183" s="37"/>
      <c r="AB183" s="34"/>
      <c r="AC183" s="34"/>
      <c r="AD183" s="105"/>
      <c r="AE183" s="104"/>
      <c r="AF183" s="105"/>
      <c r="AG183" s="43">
        <f t="shared" si="39"/>
        <v>0</v>
      </c>
      <c r="AH183" s="44">
        <f t="shared" si="39"/>
        <v>0</v>
      </c>
      <c r="AI183" s="44">
        <f t="shared" si="39"/>
        <v>0</v>
      </c>
      <c r="AJ183" s="94"/>
      <c r="AK183" s="140">
        <f t="shared" si="29"/>
        <v>0</v>
      </c>
      <c r="AL183" s="47">
        <v>0.75</v>
      </c>
      <c r="AM183" s="48">
        <f t="shared" si="36"/>
        <v>0</v>
      </c>
      <c r="AN183" s="48">
        <f t="shared" si="37"/>
        <v>0</v>
      </c>
      <c r="AO183" s="49">
        <f t="shared" si="35"/>
        <v>0</v>
      </c>
      <c r="AP183" s="49"/>
      <c r="AQ183" s="71"/>
      <c r="AR183" s="106"/>
      <c r="AS183" s="107"/>
      <c r="AT183" s="115"/>
      <c r="AU183" s="100"/>
      <c r="AV183" s="109"/>
      <c r="AW183" s="110"/>
      <c r="AX183" s="110"/>
      <c r="AY183" s="107"/>
      <c r="AZ183" s="116"/>
    </row>
    <row r="184" spans="1:52" s="246" customFormat="1" ht="16.5" thickBot="1" x14ac:dyDescent="0.3">
      <c r="A184" s="134"/>
      <c r="B184" s="134" t="s">
        <v>132</v>
      </c>
      <c r="C184" s="139"/>
      <c r="D184" s="141"/>
      <c r="E184" s="142"/>
      <c r="F184" s="143"/>
      <c r="G184" s="144"/>
      <c r="H184" s="145"/>
      <c r="I184" s="146"/>
      <c r="J184" s="136"/>
      <c r="K184" s="144"/>
      <c r="L184" s="34"/>
      <c r="M184" s="34"/>
      <c r="N184" s="138"/>
      <c r="O184" s="34"/>
      <c r="P184" s="34"/>
      <c r="Q184" s="34"/>
      <c r="R184" s="138"/>
      <c r="S184" s="37"/>
      <c r="T184" s="34"/>
      <c r="U184" s="34"/>
      <c r="V184" s="138"/>
      <c r="W184" s="38"/>
      <c r="X184" s="31"/>
      <c r="Y184" s="31"/>
      <c r="Z184" s="105"/>
      <c r="AA184" s="37"/>
      <c r="AB184" s="145"/>
      <c r="AC184" s="145"/>
      <c r="AD184" s="105"/>
      <c r="AE184" s="104"/>
      <c r="AF184" s="105"/>
      <c r="AG184" s="43">
        <f>G184+K184+O184+S184+W184+AA184</f>
        <v>0</v>
      </c>
      <c r="AH184" s="44">
        <f>H184+L184+P184+T184+X184+AB184</f>
        <v>0</v>
      </c>
      <c r="AI184" s="44">
        <f>I184+M184+Q184+U184+Y184+AC184</f>
        <v>0</v>
      </c>
      <c r="AJ184" s="94"/>
      <c r="AK184" s="140">
        <f t="shared" si="29"/>
        <v>0</v>
      </c>
      <c r="AL184" s="47">
        <v>0.25</v>
      </c>
      <c r="AM184" s="48">
        <f t="shared" si="36"/>
        <v>0</v>
      </c>
      <c r="AN184" s="48">
        <f t="shared" si="37"/>
        <v>0</v>
      </c>
      <c r="AO184" s="49">
        <f t="shared" si="35"/>
        <v>0</v>
      </c>
      <c r="AP184" s="49"/>
      <c r="AQ184" s="71"/>
      <c r="AR184" s="106"/>
      <c r="AS184" s="107"/>
      <c r="AT184" s="115"/>
      <c r="AU184" s="100"/>
      <c r="AV184" s="109"/>
      <c r="AW184" s="110"/>
      <c r="AX184" s="110"/>
      <c r="AY184" s="107"/>
      <c r="AZ184" s="116"/>
    </row>
    <row r="185" spans="1:52" ht="16.5" thickBot="1" x14ac:dyDescent="0.3">
      <c r="A185" s="147"/>
      <c r="B185" s="147" t="s">
        <v>133</v>
      </c>
      <c r="C185" s="148"/>
      <c r="D185" s="148"/>
      <c r="E185" s="148"/>
      <c r="F185" s="149"/>
      <c r="G185" s="150"/>
      <c r="H185" s="151"/>
      <c r="I185" s="152"/>
      <c r="J185" s="152"/>
      <c r="K185" s="150"/>
      <c r="L185" s="34"/>
      <c r="M185" s="34"/>
      <c r="N185" s="153"/>
      <c r="O185" s="34"/>
      <c r="P185" s="34"/>
      <c r="Q185" s="34"/>
      <c r="R185" s="153"/>
      <c r="S185" s="37"/>
      <c r="T185" s="34"/>
      <c r="U185" s="34"/>
      <c r="V185" s="153"/>
      <c r="W185" s="38"/>
      <c r="X185" s="31"/>
      <c r="Y185" s="31"/>
      <c r="Z185" s="153"/>
      <c r="AA185" s="37"/>
      <c r="AB185" s="151"/>
      <c r="AC185" s="151"/>
      <c r="AD185" s="154"/>
      <c r="AE185" s="155"/>
      <c r="AF185" s="154"/>
      <c r="AG185" s="43">
        <f>SUM(AG3:AG183)</f>
        <v>0</v>
      </c>
      <c r="AH185" s="44">
        <f>SUM(AH3:AH183)</f>
        <v>0</v>
      </c>
      <c r="AI185" s="44">
        <f>SUM(AI3:AI183)</f>
        <v>0</v>
      </c>
      <c r="AJ185" s="44">
        <f>SUM(AJ3:AJ182)</f>
        <v>0</v>
      </c>
      <c r="AK185" s="156">
        <f>SUM(AK4:AK182)</f>
        <v>0</v>
      </c>
      <c r="AL185" s="47"/>
      <c r="AM185" s="48">
        <f>SUM(AM3:AM183)</f>
        <v>0</v>
      </c>
      <c r="AN185" s="48">
        <f>SUM(AN3:AN183)</f>
        <v>0</v>
      </c>
      <c r="AO185" s="49">
        <f>SUM(AO3:AO183)</f>
        <v>0</v>
      </c>
      <c r="AP185" s="49">
        <f>AJ185*AL185</f>
        <v>0</v>
      </c>
      <c r="AQ185" s="71">
        <f>SUM(AQ3:AQ162)</f>
        <v>0</v>
      </c>
      <c r="AR185" s="157"/>
      <c r="AS185" s="158"/>
      <c r="AT185" s="159">
        <v>21225.76500000001</v>
      </c>
      <c r="AU185" s="84">
        <f>SUM(AU3:AU132)</f>
        <v>0</v>
      </c>
      <c r="AV185" s="160"/>
      <c r="AW185" s="161">
        <v>2700</v>
      </c>
      <c r="AX185" s="161">
        <v>1500</v>
      </c>
      <c r="AY185" s="161"/>
      <c r="AZ185" s="162">
        <f>SUM(AZ3:AZ108)</f>
        <v>0</v>
      </c>
    </row>
    <row r="186" spans="1:52" ht="15.75" x14ac:dyDescent="0.25">
      <c r="C186" s="245" t="s">
        <v>134</v>
      </c>
      <c r="F186" s="163" t="s">
        <v>135</v>
      </c>
      <c r="G186" s="164"/>
      <c r="H186" s="165"/>
      <c r="I186" s="166"/>
      <c r="J186" s="166"/>
      <c r="K186" s="164"/>
      <c r="L186" s="165"/>
      <c r="M186" s="34"/>
      <c r="N186" s="167"/>
      <c r="O186" s="168"/>
      <c r="P186" s="34"/>
      <c r="Q186" s="165"/>
      <c r="R186" s="167"/>
      <c r="S186" s="168"/>
      <c r="T186" s="165"/>
      <c r="U186" s="165"/>
      <c r="V186" s="167"/>
      <c r="W186" s="168"/>
      <c r="X186" s="165"/>
      <c r="Y186" s="165"/>
      <c r="Z186" s="167"/>
      <c r="AA186" s="168"/>
      <c r="AB186" s="165"/>
      <c r="AC186" s="165"/>
      <c r="AD186" s="40"/>
      <c r="AE186" s="169"/>
      <c r="AF186" s="169"/>
      <c r="AG186" s="170"/>
      <c r="AH186" s="170"/>
      <c r="AI186" s="170"/>
      <c r="AJ186" s="170"/>
      <c r="AK186" s="171"/>
      <c r="AL186" s="172"/>
      <c r="AM186" s="172"/>
      <c r="AN186" s="172"/>
      <c r="AO186" s="72"/>
      <c r="AP186" s="49"/>
      <c r="AQ186" s="173"/>
      <c r="AR186" s="172"/>
      <c r="AS186" s="174"/>
      <c r="AT186" s="173"/>
      <c r="AU186" s="173" t="s">
        <v>136</v>
      </c>
      <c r="AV186" s="173"/>
      <c r="AW186" s="173"/>
      <c r="AX186" s="173"/>
    </row>
    <row r="187" spans="1:52" ht="16.5" thickBot="1" x14ac:dyDescent="0.3">
      <c r="F187" s="175" t="s">
        <v>137</v>
      </c>
      <c r="G187" s="176"/>
      <c r="H187" s="177"/>
      <c r="I187" s="178"/>
      <c r="J187" s="178"/>
      <c r="K187" s="176"/>
      <c r="L187" s="177"/>
      <c r="M187" s="34"/>
      <c r="N187" s="179"/>
      <c r="O187" s="180"/>
      <c r="P187" s="34"/>
      <c r="Q187" s="177"/>
      <c r="R187" s="179"/>
      <c r="S187" s="180"/>
      <c r="T187" s="177"/>
      <c r="U187" s="177"/>
      <c r="V187" s="179"/>
      <c r="W187" s="180"/>
      <c r="X187" s="177"/>
      <c r="Y187" s="177"/>
      <c r="Z187" s="179"/>
      <c r="AA187" s="180"/>
      <c r="AB187" s="177"/>
      <c r="AC187" s="177"/>
      <c r="AD187" s="154"/>
      <c r="AE187" s="181"/>
      <c r="AJ187" s="170"/>
      <c r="AK187" s="171"/>
      <c r="AN187" s="50"/>
      <c r="AO187" s="182"/>
      <c r="AP187" s="49"/>
      <c r="AS187" s="171"/>
      <c r="AX187" s="183">
        <f>AZ185-AW185-AX185</f>
        <v>-4200</v>
      </c>
    </row>
    <row r="188" spans="1:52" ht="15.75" thickBot="1" x14ac:dyDescent="0.3">
      <c r="F188" s="184"/>
      <c r="G188" s="185">
        <f t="shared" ref="G188:AD188" si="40">G186/50</f>
        <v>0</v>
      </c>
      <c r="H188" s="185">
        <f t="shared" si="40"/>
        <v>0</v>
      </c>
      <c r="I188" s="248">
        <f t="shared" si="40"/>
        <v>0</v>
      </c>
      <c r="J188" s="185">
        <f t="shared" si="40"/>
        <v>0</v>
      </c>
      <c r="K188" s="185">
        <f>K186/50</f>
        <v>0</v>
      </c>
      <c r="L188" s="185">
        <f>L186/50</f>
        <v>0</v>
      </c>
      <c r="M188" s="185">
        <f t="shared" si="40"/>
        <v>0</v>
      </c>
      <c r="N188" s="185">
        <f t="shared" si="40"/>
        <v>0</v>
      </c>
      <c r="O188" s="185">
        <f>O186/50</f>
        <v>0</v>
      </c>
      <c r="P188" s="185">
        <f t="shared" si="40"/>
        <v>0</v>
      </c>
      <c r="Q188" s="185">
        <f t="shared" si="40"/>
        <v>0</v>
      </c>
      <c r="R188" s="185">
        <f t="shared" si="40"/>
        <v>0</v>
      </c>
      <c r="S188" s="185">
        <f>S186/50</f>
        <v>0</v>
      </c>
      <c r="T188" s="185">
        <f t="shared" si="40"/>
        <v>0</v>
      </c>
      <c r="U188" s="185">
        <f t="shared" si="40"/>
        <v>0</v>
      </c>
      <c r="V188" s="185">
        <f t="shared" si="40"/>
        <v>0</v>
      </c>
      <c r="W188" s="185">
        <f>W186/50</f>
        <v>0</v>
      </c>
      <c r="X188" s="185">
        <f t="shared" si="40"/>
        <v>0</v>
      </c>
      <c r="Y188" s="185">
        <f t="shared" si="40"/>
        <v>0</v>
      </c>
      <c r="Z188" s="185">
        <f t="shared" si="40"/>
        <v>0</v>
      </c>
      <c r="AA188" s="185">
        <f>AA186/50</f>
        <v>0</v>
      </c>
      <c r="AB188" s="185">
        <f t="shared" si="40"/>
        <v>0</v>
      </c>
      <c r="AC188" s="185">
        <f t="shared" si="40"/>
        <v>0</v>
      </c>
      <c r="AD188" s="185">
        <f t="shared" si="40"/>
        <v>0</v>
      </c>
      <c r="AJ188" s="170"/>
      <c r="AK188" s="171"/>
      <c r="AN188" s="187" t="s">
        <v>138</v>
      </c>
      <c r="AO188" s="182" t="s">
        <v>139</v>
      </c>
      <c r="AP188" s="188" t="s">
        <v>140</v>
      </c>
      <c r="AQ188" s="189" t="s">
        <v>134</v>
      </c>
      <c r="AR188" s="189" t="s">
        <v>141</v>
      </c>
      <c r="AS188" s="190" t="s">
        <v>142</v>
      </c>
    </row>
    <row r="189" spans="1:52" ht="15.75" thickBot="1" x14ac:dyDescent="0.3">
      <c r="F189" s="191"/>
      <c r="G189" s="191">
        <f t="shared" ref="G189:AD189" si="41">G187+G188</f>
        <v>0</v>
      </c>
      <c r="H189" s="192">
        <f t="shared" si="41"/>
        <v>0</v>
      </c>
      <c r="I189" s="249">
        <f t="shared" si="41"/>
        <v>0</v>
      </c>
      <c r="J189" s="192">
        <f t="shared" si="41"/>
        <v>0</v>
      </c>
      <c r="K189" s="194">
        <f t="shared" si="41"/>
        <v>0</v>
      </c>
      <c r="L189" s="148">
        <f t="shared" si="41"/>
        <v>0</v>
      </c>
      <c r="M189" s="243">
        <f>M187+M188</f>
        <v>0</v>
      </c>
      <c r="N189" s="148">
        <f t="shared" si="41"/>
        <v>0</v>
      </c>
      <c r="O189" s="155"/>
      <c r="P189" s="148">
        <f t="shared" si="41"/>
        <v>0</v>
      </c>
      <c r="Q189" s="195">
        <f t="shared" si="41"/>
        <v>0</v>
      </c>
      <c r="R189" s="148">
        <f t="shared" si="41"/>
        <v>0</v>
      </c>
      <c r="S189" s="155">
        <f>S187+S188</f>
        <v>0</v>
      </c>
      <c r="T189" s="148">
        <f t="shared" si="41"/>
        <v>0</v>
      </c>
      <c r="U189" s="195">
        <f t="shared" si="41"/>
        <v>0</v>
      </c>
      <c r="V189" s="148">
        <f t="shared" si="41"/>
        <v>0</v>
      </c>
      <c r="W189" s="155">
        <f>W187+W188</f>
        <v>0</v>
      </c>
      <c r="X189" s="148">
        <f t="shared" si="41"/>
        <v>0</v>
      </c>
      <c r="Y189" s="195">
        <f t="shared" si="41"/>
        <v>0</v>
      </c>
      <c r="Z189" s="148">
        <f t="shared" si="41"/>
        <v>0</v>
      </c>
      <c r="AA189" s="155">
        <f>AA187+AA188</f>
        <v>0</v>
      </c>
      <c r="AB189" s="148">
        <f t="shared" si="41"/>
        <v>0</v>
      </c>
      <c r="AC189" s="195">
        <f t="shared" si="41"/>
        <v>0</v>
      </c>
      <c r="AD189" s="148">
        <f t="shared" si="41"/>
        <v>0</v>
      </c>
      <c r="AG189" s="253" t="s">
        <v>143</v>
      </c>
      <c r="AH189" s="253"/>
      <c r="AI189" s="253"/>
      <c r="AJ189" s="196"/>
      <c r="AK189" s="171"/>
      <c r="AL189" s="197" t="s">
        <v>4</v>
      </c>
      <c r="AM189" s="133" t="s">
        <v>144</v>
      </c>
      <c r="AN189" s="198">
        <v>400</v>
      </c>
      <c r="AO189" s="72">
        <f>AM185*0.5</f>
        <v>0</v>
      </c>
      <c r="AP189" s="199">
        <f>AN189+AO189</f>
        <v>400</v>
      </c>
      <c r="AQ189" s="86">
        <f>AG190*0.5</f>
        <v>0</v>
      </c>
      <c r="AR189" s="200">
        <f>AP189-AQ189</f>
        <v>400</v>
      </c>
      <c r="AS189" s="44"/>
      <c r="AT189" s="86">
        <f>AR189-AS189</f>
        <v>400</v>
      </c>
      <c r="AU189" s="201">
        <v>1140</v>
      </c>
    </row>
    <row r="190" spans="1:52" ht="15.75" thickBot="1" x14ac:dyDescent="0.3">
      <c r="B190" s="245" t="s">
        <v>145</v>
      </c>
      <c r="F190" s="202"/>
      <c r="G190" s="247">
        <f>G189*0.5</f>
        <v>0</v>
      </c>
      <c r="H190" s="247">
        <f t="shared" ref="H190:AC190" si="42">H189*0.5</f>
        <v>0</v>
      </c>
      <c r="I190" s="247">
        <f t="shared" si="42"/>
        <v>0</v>
      </c>
      <c r="J190" s="247">
        <f t="shared" si="42"/>
        <v>0</v>
      </c>
      <c r="K190" s="247">
        <f t="shared" si="42"/>
        <v>0</v>
      </c>
      <c r="L190" s="247">
        <f t="shared" si="42"/>
        <v>0</v>
      </c>
      <c r="M190" s="247">
        <f t="shared" si="42"/>
        <v>0</v>
      </c>
      <c r="N190" s="247">
        <f t="shared" si="42"/>
        <v>0</v>
      </c>
      <c r="O190" s="247">
        <f t="shared" si="42"/>
        <v>0</v>
      </c>
      <c r="P190" s="247">
        <f t="shared" si="42"/>
        <v>0</v>
      </c>
      <c r="Q190" s="247">
        <f t="shared" si="42"/>
        <v>0</v>
      </c>
      <c r="R190" s="247">
        <f t="shared" si="42"/>
        <v>0</v>
      </c>
      <c r="S190" s="247">
        <f t="shared" si="42"/>
        <v>0</v>
      </c>
      <c r="T190" s="247">
        <f t="shared" si="42"/>
        <v>0</v>
      </c>
      <c r="U190" s="247">
        <f t="shared" si="42"/>
        <v>0</v>
      </c>
      <c r="V190" s="247">
        <f t="shared" si="42"/>
        <v>0</v>
      </c>
      <c r="W190" s="247">
        <f t="shared" si="42"/>
        <v>0</v>
      </c>
      <c r="X190" s="247">
        <f t="shared" si="42"/>
        <v>0</v>
      </c>
      <c r="Y190" s="247">
        <f t="shared" si="42"/>
        <v>0</v>
      </c>
      <c r="Z190" s="247">
        <f t="shared" si="42"/>
        <v>0</v>
      </c>
      <c r="AA190" s="247">
        <f t="shared" si="42"/>
        <v>0</v>
      </c>
      <c r="AB190" s="247">
        <f t="shared" si="42"/>
        <v>0</v>
      </c>
      <c r="AC190" s="247">
        <f t="shared" si="42"/>
        <v>0</v>
      </c>
      <c r="AD190" s="204">
        <f>AD189*25</f>
        <v>0</v>
      </c>
      <c r="AG190" s="205">
        <f>G190+K190+O190+S190+W190+AA190</f>
        <v>0</v>
      </c>
      <c r="AH190" s="205">
        <f>H190+L190+P190+T190+X190+AB190</f>
        <v>0</v>
      </c>
      <c r="AI190" s="205">
        <f>I190+M190+Q190+U190+Y190+AC190</f>
        <v>0</v>
      </c>
      <c r="AJ190" s="205">
        <f>J190+N190+R190+V190+Z190+AD190</f>
        <v>0</v>
      </c>
      <c r="AK190" s="171"/>
      <c r="AL190" s="197" t="s">
        <v>189</v>
      </c>
      <c r="AM190" s="133" t="s">
        <v>146</v>
      </c>
      <c r="AN190" s="206">
        <v>267</v>
      </c>
      <c r="AO190" s="72">
        <f>AM185*0.5-345.72</f>
        <v>-345.72</v>
      </c>
      <c r="AP190" s="199">
        <f>AN190+AO190</f>
        <v>-78.720000000000027</v>
      </c>
      <c r="AQ190" s="86">
        <f>AG190*0.5</f>
        <v>0</v>
      </c>
      <c r="AR190" s="200">
        <f>AP190-AQ190</f>
        <v>-78.720000000000027</v>
      </c>
      <c r="AS190" s="44"/>
      <c r="AT190" s="86">
        <f>AR190-AS190</f>
        <v>-78.720000000000027</v>
      </c>
      <c r="AU190" s="207">
        <v>660</v>
      </c>
    </row>
    <row r="191" spans="1:52" ht="15.75" thickBot="1" x14ac:dyDescent="0.3">
      <c r="B191" s="245" t="s">
        <v>147</v>
      </c>
      <c r="C191" s="245">
        <v>110203550</v>
      </c>
      <c r="AF191" s="171"/>
      <c r="AG191" s="171"/>
      <c r="AH191" s="171"/>
      <c r="AI191" s="171"/>
      <c r="AJ191" s="171"/>
      <c r="AK191" s="171"/>
      <c r="AL191" s="197" t="s">
        <v>190</v>
      </c>
      <c r="AM191" s="133" t="s">
        <v>148</v>
      </c>
      <c r="AN191" s="208"/>
      <c r="AO191" s="72">
        <v>345.72</v>
      </c>
      <c r="AP191" s="199">
        <f>AN191+AO191</f>
        <v>345.72</v>
      </c>
      <c r="AQ191" s="86"/>
      <c r="AR191" s="200">
        <f t="shared" ref="AR191:AR196" si="43">AP191-AQ191</f>
        <v>345.72</v>
      </c>
      <c r="AS191" s="209"/>
      <c r="AT191" s="86">
        <f>AR191-AS191</f>
        <v>345.72</v>
      </c>
      <c r="AU191" s="201">
        <v>320</v>
      </c>
    </row>
    <row r="192" spans="1:52" ht="19.5" thickBot="1" x14ac:dyDescent="0.35">
      <c r="A192" s="246"/>
      <c r="B192" s="246" t="s">
        <v>149</v>
      </c>
      <c r="C192" s="246">
        <v>110203550</v>
      </c>
      <c r="D192" s="246"/>
      <c r="E192" s="246"/>
      <c r="F192" s="246"/>
      <c r="G192" s="246"/>
      <c r="H192" s="246"/>
      <c r="J192" s="246"/>
      <c r="K192" s="246"/>
      <c r="L192" s="246"/>
      <c r="M192" s="210"/>
      <c r="N192" s="210"/>
      <c r="O192" s="210"/>
      <c r="P192" s="210"/>
      <c r="Q192" s="210"/>
      <c r="R192" s="246"/>
      <c r="S192" s="246"/>
      <c r="T192" s="246"/>
      <c r="V192" s="246"/>
      <c r="W192" s="246"/>
      <c r="X192" s="246"/>
      <c r="AF192" s="171"/>
      <c r="AG192" s="254">
        <f>AG190+AH190+AI190</f>
        <v>0</v>
      </c>
      <c r="AH192" s="255"/>
      <c r="AI192" s="256"/>
      <c r="AJ192" s="50">
        <f>AG192/2</f>
        <v>0</v>
      </c>
      <c r="AK192" s="171"/>
      <c r="AO192" s="44"/>
      <c r="AQ192" s="133"/>
      <c r="AR192" s="200">
        <f t="shared" si="43"/>
        <v>0</v>
      </c>
      <c r="AS192" s="209"/>
      <c r="AT192" s="133"/>
      <c r="AU192" s="201"/>
    </row>
    <row r="193" spans="1:49 16384:16384" x14ac:dyDescent="0.25">
      <c r="B193" s="246" t="s">
        <v>150</v>
      </c>
      <c r="C193" s="245" t="s">
        <v>151</v>
      </c>
      <c r="F193" s="246"/>
      <c r="G193" s="246"/>
      <c r="H193" s="246"/>
      <c r="J193" s="246"/>
      <c r="K193" s="246"/>
      <c r="L193" s="246"/>
      <c r="N193" s="246"/>
      <c r="O193" s="246"/>
      <c r="P193" s="246"/>
      <c r="R193" s="246"/>
      <c r="S193" s="246"/>
      <c r="T193" s="246"/>
      <c r="V193" s="246"/>
      <c r="W193" s="246"/>
      <c r="X193" s="246"/>
      <c r="AF193" s="171"/>
      <c r="AG193" s="181"/>
      <c r="AH193" s="210"/>
      <c r="AI193" s="211"/>
      <c r="AJ193" s="212"/>
      <c r="AK193" s="213"/>
      <c r="AL193" s="197" t="s">
        <v>6</v>
      </c>
      <c r="AM193" s="79" t="s">
        <v>144</v>
      </c>
      <c r="AN193" s="198">
        <v>400</v>
      </c>
      <c r="AO193" s="72">
        <f>AN185*0.55</f>
        <v>0</v>
      </c>
      <c r="AP193" s="214">
        <f>AN193+AO193</f>
        <v>400</v>
      </c>
      <c r="AQ193" s="86">
        <f>AH190*0.5</f>
        <v>0</v>
      </c>
      <c r="AR193" s="200">
        <f>AP193-AQ193</f>
        <v>400</v>
      </c>
      <c r="AS193" s="215">
        <v>25</v>
      </c>
      <c r="AT193" s="86">
        <f>AR193-AS193</f>
        <v>375</v>
      </c>
      <c r="AU193" s="207">
        <v>1235</v>
      </c>
      <c r="XFD193" s="245" t="s">
        <v>152</v>
      </c>
    </row>
    <row r="194" spans="1:49 16384:16384" x14ac:dyDescent="0.25">
      <c r="F194" s="246"/>
      <c r="G194" s="246"/>
      <c r="H194" s="246"/>
      <c r="J194" s="246"/>
      <c r="K194" s="246"/>
      <c r="L194" s="246"/>
      <c r="N194" s="246"/>
      <c r="O194" s="246"/>
      <c r="P194" s="246"/>
      <c r="R194" s="246"/>
      <c r="S194" s="246"/>
      <c r="T194" s="246"/>
      <c r="V194" s="246"/>
      <c r="W194" s="246"/>
      <c r="X194" s="246"/>
      <c r="AF194" s="171"/>
      <c r="AG194" s="181"/>
      <c r="AH194" s="210"/>
      <c r="AI194" s="216"/>
      <c r="AJ194" s="212"/>
      <c r="AK194" s="213"/>
      <c r="AL194" s="197"/>
      <c r="AM194" s="79" t="s">
        <v>186</v>
      </c>
      <c r="AN194" s="208">
        <v>0</v>
      </c>
      <c r="AO194" s="72"/>
      <c r="AP194" s="214">
        <f>AN194+AO194</f>
        <v>0</v>
      </c>
      <c r="AQ194" s="86"/>
      <c r="AR194" s="200">
        <f>AP194-AQ194</f>
        <v>0</v>
      </c>
      <c r="AS194" s="215"/>
      <c r="AT194" s="86">
        <f>AR194-AS194</f>
        <v>0</v>
      </c>
      <c r="AU194" s="207"/>
    </row>
    <row r="195" spans="1:49 16384:16384" x14ac:dyDescent="0.25">
      <c r="B195" s="245" t="s">
        <v>153</v>
      </c>
      <c r="F195" s="246"/>
      <c r="G195" s="246"/>
      <c r="H195" s="246"/>
      <c r="J195" s="246"/>
      <c r="K195" s="246"/>
      <c r="L195" s="246"/>
      <c r="N195" s="246"/>
      <c r="O195" s="246"/>
      <c r="P195" s="246"/>
      <c r="R195" s="246"/>
      <c r="S195" s="246"/>
      <c r="T195" s="246"/>
      <c r="V195" s="246"/>
      <c r="W195" s="246"/>
      <c r="X195" s="246"/>
      <c r="AF195" s="171"/>
      <c r="AG195" s="181"/>
      <c r="AH195" s="210"/>
      <c r="AI195" s="216"/>
      <c r="AJ195" s="212"/>
      <c r="AK195" s="213"/>
      <c r="AL195" s="197" t="s">
        <v>186</v>
      </c>
      <c r="AM195" s="93" t="s">
        <v>146</v>
      </c>
      <c r="AN195" s="206">
        <v>0</v>
      </c>
      <c r="AO195" s="72">
        <f>AN185*0.45</f>
        <v>0</v>
      </c>
      <c r="AP195" s="217">
        <f>AN195+AO195</f>
        <v>0</v>
      </c>
      <c r="AQ195" s="86">
        <f>AH190*0.5</f>
        <v>0</v>
      </c>
      <c r="AR195" s="200">
        <f>AP195-AQ195</f>
        <v>0</v>
      </c>
      <c r="AS195" s="215">
        <v>25</v>
      </c>
      <c r="AT195" s="86">
        <f>AR195-AS195</f>
        <v>-25</v>
      </c>
      <c r="AU195" s="201">
        <v>700</v>
      </c>
    </row>
    <row r="196" spans="1:49 16384:16384" x14ac:dyDescent="0.25">
      <c r="X196" s="246"/>
      <c r="AB196" s="218"/>
      <c r="AC196" s="218"/>
      <c r="AD196" s="218"/>
      <c r="AF196" s="171"/>
      <c r="AG196" s="210"/>
      <c r="AH196" s="210"/>
      <c r="AI196" s="210"/>
      <c r="AJ196" s="210"/>
      <c r="AK196" s="210"/>
      <c r="AL196" s="133"/>
      <c r="AO196" s="219"/>
      <c r="AQ196" s="133"/>
      <c r="AR196" s="200">
        <f t="shared" si="43"/>
        <v>0</v>
      </c>
      <c r="AS196" s="209"/>
      <c r="AT196" s="133"/>
      <c r="AU196" s="201"/>
    </row>
    <row r="197" spans="1:49 16384:16384" x14ac:dyDescent="0.25">
      <c r="B197" s="245" t="s">
        <v>154</v>
      </c>
      <c r="X197" s="246"/>
      <c r="AF197" s="171"/>
      <c r="AG197" s="181"/>
      <c r="AH197" s="210"/>
      <c r="AI197" s="211"/>
      <c r="AJ197" s="212"/>
      <c r="AK197" s="213"/>
      <c r="AL197" s="197" t="s">
        <v>7</v>
      </c>
      <c r="AM197" s="79" t="s">
        <v>144</v>
      </c>
      <c r="AN197" s="198">
        <v>400</v>
      </c>
      <c r="AO197" s="72">
        <f>AO185*0.35</f>
        <v>0</v>
      </c>
      <c r="AP197" s="214">
        <f>AN197+AO197</f>
        <v>400</v>
      </c>
      <c r="AQ197" s="86">
        <f>AI190*0.5</f>
        <v>0</v>
      </c>
      <c r="AR197" s="200">
        <f>AP197-AQ197</f>
        <v>400</v>
      </c>
      <c r="AS197" s="220"/>
      <c r="AT197" s="86">
        <f>AR197-AS197</f>
        <v>400</v>
      </c>
      <c r="AU197" s="201">
        <v>1065</v>
      </c>
    </row>
    <row r="198" spans="1:49 16384:16384" ht="15.75" thickBot="1" x14ac:dyDescent="0.3">
      <c r="B198" s="245" t="s">
        <v>155</v>
      </c>
      <c r="C198" s="245" t="s">
        <v>156</v>
      </c>
      <c r="X198" s="246"/>
      <c r="AI198" s="221">
        <f>25*AG192/15</f>
        <v>0</v>
      </c>
      <c r="AJ198" s="50"/>
      <c r="AK198" s="213"/>
      <c r="AL198" s="197" t="s">
        <v>157</v>
      </c>
      <c r="AM198" s="79" t="s">
        <v>146</v>
      </c>
      <c r="AN198" s="198">
        <v>400</v>
      </c>
      <c r="AO198" s="72">
        <f>AO185*0.33</f>
        <v>0</v>
      </c>
      <c r="AP198" s="214">
        <f>AN198+AO198</f>
        <v>400</v>
      </c>
      <c r="AQ198" s="86">
        <f>AI190*0.5</f>
        <v>0</v>
      </c>
      <c r="AR198" s="200">
        <f>AP198-AQ198</f>
        <v>400</v>
      </c>
      <c r="AS198" s="44"/>
      <c r="AT198" s="86">
        <f>AR198-AS198</f>
        <v>400</v>
      </c>
      <c r="AU198" s="201">
        <v>1030</v>
      </c>
    </row>
    <row r="199" spans="1:49 16384:16384" ht="15.75" thickBot="1" x14ac:dyDescent="0.3">
      <c r="B199" s="245" t="s">
        <v>158</v>
      </c>
      <c r="X199" s="246"/>
      <c r="AG199" s="222" t="s">
        <v>13</v>
      </c>
      <c r="AH199" s="222" t="s">
        <v>14</v>
      </c>
      <c r="AI199" s="222" t="s">
        <v>15</v>
      </c>
      <c r="AK199" s="213"/>
      <c r="AL199" s="197" t="s">
        <v>159</v>
      </c>
      <c r="AM199" s="79" t="s">
        <v>148</v>
      </c>
      <c r="AN199" s="244">
        <v>400</v>
      </c>
      <c r="AO199" s="72">
        <f>AO185*0.32</f>
        <v>0</v>
      </c>
      <c r="AP199" s="214">
        <f>AN199+AO199</f>
        <v>400</v>
      </c>
      <c r="AQ199" s="86">
        <v>0</v>
      </c>
      <c r="AR199" s="223">
        <f>AP199-AQ199</f>
        <v>400</v>
      </c>
      <c r="AS199" s="44">
        <v>0</v>
      </c>
      <c r="AT199" s="86">
        <f>AR199-AS199</f>
        <v>400</v>
      </c>
      <c r="AU199" s="201">
        <v>1010</v>
      </c>
    </row>
    <row r="200" spans="1:49 16384:16384" ht="15.75" thickBot="1" x14ac:dyDescent="0.3">
      <c r="A200" s="245" t="s">
        <v>160</v>
      </c>
      <c r="AG200" s="224">
        <f>AG190/23.5</f>
        <v>0</v>
      </c>
      <c r="AH200" s="225">
        <f>AH190/47</f>
        <v>0</v>
      </c>
      <c r="AI200" s="226">
        <f>AI190/23.5</f>
        <v>0</v>
      </c>
      <c r="AK200" s="212"/>
      <c r="AO200" s="227"/>
      <c r="AP200" s="50"/>
      <c r="AQ200" s="50"/>
      <c r="AR200" s="213"/>
      <c r="AS200" s="213"/>
      <c r="AT200" s="50"/>
      <c r="AU200" s="213">
        <f>SUM(AU189:AU199)</f>
        <v>7160</v>
      </c>
      <c r="AV200" s="210"/>
      <c r="AW200" s="213"/>
    </row>
    <row r="201" spans="1:49 16384:16384" x14ac:dyDescent="0.25">
      <c r="B201" s="245" t="s">
        <v>161</v>
      </c>
      <c r="AL201" s="181"/>
      <c r="AS201" s="212"/>
      <c r="AT201" s="212" t="s">
        <v>162</v>
      </c>
      <c r="AU201" s="228">
        <v>1200</v>
      </c>
    </row>
    <row r="202" spans="1:49 16384:16384" x14ac:dyDescent="0.25">
      <c r="B202" s="245" t="s">
        <v>163</v>
      </c>
      <c r="AG202" s="171"/>
      <c r="AJ202" s="210"/>
      <c r="AK202" s="216"/>
      <c r="AL202" s="216"/>
      <c r="AT202" s="245" t="s">
        <v>164</v>
      </c>
      <c r="AU202" s="210">
        <v>500</v>
      </c>
      <c r="AV202" s="242"/>
    </row>
    <row r="203" spans="1:49 16384:16384" x14ac:dyDescent="0.25">
      <c r="B203" s="245" t="s">
        <v>165</v>
      </c>
      <c r="AJ203" s="181"/>
      <c r="AK203" s="229"/>
      <c r="AL203" s="229"/>
      <c r="AT203" s="245" t="s">
        <v>166</v>
      </c>
      <c r="AU203" s="210">
        <v>100</v>
      </c>
      <c r="AV203" s="242"/>
    </row>
    <row r="204" spans="1:49 16384:16384" x14ac:dyDescent="0.25">
      <c r="C204" s="245">
        <v>100</v>
      </c>
      <c r="D204" s="245">
        <v>100</v>
      </c>
      <c r="AJ204" s="181"/>
      <c r="AK204" s="229"/>
      <c r="AL204" s="229"/>
      <c r="AT204" s="212" t="s">
        <v>167</v>
      </c>
      <c r="AU204" s="210">
        <v>250</v>
      </c>
    </row>
    <row r="205" spans="1:49 16384:16384" x14ac:dyDescent="0.25">
      <c r="A205" s="230" t="s">
        <v>168</v>
      </c>
      <c r="B205" s="230" t="s">
        <v>169</v>
      </c>
      <c r="C205" s="231">
        <v>44891</v>
      </c>
      <c r="D205" s="232">
        <v>44922</v>
      </c>
      <c r="AJ205" s="181"/>
      <c r="AK205" s="229"/>
      <c r="AL205" s="229"/>
      <c r="AR205" s="213"/>
      <c r="AU205" s="233">
        <f>SUM(AU200:AU204)</f>
        <v>9210</v>
      </c>
    </row>
    <row r="206" spans="1:49 16384:16384" x14ac:dyDescent="0.25">
      <c r="AG206" s="201" t="s">
        <v>170</v>
      </c>
      <c r="AH206" s="201" t="s">
        <v>171</v>
      </c>
      <c r="AU206" s="210"/>
    </row>
    <row r="207" spans="1:49 16384:16384" x14ac:dyDescent="0.25">
      <c r="B207" s="245" t="s">
        <v>172</v>
      </c>
      <c r="I207" s="245"/>
      <c r="J207" s="246"/>
      <c r="M207" s="245"/>
      <c r="N207" s="246"/>
      <c r="Q207" s="245"/>
      <c r="R207" s="246"/>
      <c r="U207" s="245"/>
      <c r="V207" s="246"/>
      <c r="Y207" s="245"/>
      <c r="Z207" s="246"/>
      <c r="AC207" s="245"/>
      <c r="AD207" s="246"/>
      <c r="AG207" s="234"/>
      <c r="AH207" s="133">
        <f>2844.55/22050</f>
        <v>0.1290045351473923</v>
      </c>
      <c r="AM207" s="210"/>
      <c r="AU207" s="235">
        <f>+AU205+AU206</f>
        <v>9210</v>
      </c>
      <c r="AV207" s="210"/>
      <c r="AW207" s="50"/>
    </row>
    <row r="208" spans="1:49 16384:16384" x14ac:dyDescent="0.25">
      <c r="B208" s="245" t="s">
        <v>173</v>
      </c>
      <c r="I208" s="245"/>
      <c r="J208" s="246"/>
      <c r="M208" s="245"/>
      <c r="N208" s="246"/>
      <c r="Q208" s="245"/>
      <c r="R208" s="246"/>
      <c r="U208" s="245"/>
      <c r="V208" s="246"/>
      <c r="Y208" s="245"/>
      <c r="Z208" s="246"/>
      <c r="AC208" s="245"/>
      <c r="AD208" s="246"/>
      <c r="AF208" s="210"/>
      <c r="AG208" s="201" t="s">
        <v>174</v>
      </c>
      <c r="AH208" s="112">
        <f>19205.55/441</f>
        <v>43.55</v>
      </c>
      <c r="AI208" s="210"/>
      <c r="AJ208" s="210"/>
      <c r="AK208" s="210"/>
      <c r="AL208" s="210"/>
      <c r="AM208" s="210"/>
      <c r="AN208" s="236"/>
      <c r="AU208" s="50">
        <f>AU207</f>
        <v>9210</v>
      </c>
    </row>
    <row r="209" spans="2:47" x14ac:dyDescent="0.25">
      <c r="B209" s="245" t="s">
        <v>175</v>
      </c>
      <c r="I209" s="245"/>
      <c r="J209" s="246"/>
      <c r="M209" s="245"/>
      <c r="N209" s="246"/>
      <c r="Q209" s="245"/>
      <c r="R209" s="246"/>
      <c r="U209" s="245"/>
      <c r="V209" s="246"/>
      <c r="Y209" s="245"/>
      <c r="Z209" s="246"/>
      <c r="AC209" s="245"/>
      <c r="AD209" s="246"/>
      <c r="AF209" s="181"/>
      <c r="AG209" s="237"/>
      <c r="AH209" s="237"/>
      <c r="AI209" s="237"/>
      <c r="AJ209" s="237"/>
      <c r="AK209" s="210"/>
      <c r="AL209" s="210"/>
      <c r="AN209" s="181"/>
      <c r="AO209" s="229"/>
      <c r="AP209" s="229"/>
      <c r="AQ209" s="210"/>
    </row>
    <row r="210" spans="2:47" x14ac:dyDescent="0.25">
      <c r="B210" s="245" t="s">
        <v>176</v>
      </c>
      <c r="I210" s="245"/>
      <c r="J210" s="246"/>
      <c r="M210" s="245"/>
      <c r="N210" s="246"/>
      <c r="Q210" s="245"/>
      <c r="R210" s="246"/>
      <c r="U210" s="245"/>
      <c r="V210" s="246"/>
      <c r="Y210" s="245"/>
      <c r="Z210" s="246"/>
      <c r="AC210" s="245"/>
      <c r="AD210" s="246"/>
      <c r="AF210" s="181"/>
      <c r="AG210" s="237"/>
      <c r="AH210" s="237"/>
      <c r="AI210" s="237"/>
      <c r="AJ210" s="237"/>
      <c r="AK210" s="210"/>
      <c r="AL210" s="210"/>
      <c r="AN210" s="181"/>
      <c r="AO210" s="229"/>
      <c r="AP210" s="229"/>
      <c r="AQ210" s="210"/>
      <c r="AS210" s="50"/>
      <c r="AU210" s="238"/>
    </row>
    <row r="211" spans="2:47" x14ac:dyDescent="0.25">
      <c r="B211" s="245" t="s">
        <v>177</v>
      </c>
      <c r="I211" s="245"/>
      <c r="J211" s="246"/>
      <c r="M211" s="245"/>
      <c r="N211" s="246"/>
      <c r="Q211" s="245"/>
      <c r="R211" s="246"/>
      <c r="U211" s="245"/>
      <c r="V211" s="246"/>
      <c r="Y211" s="245"/>
      <c r="Z211" s="246"/>
      <c r="AC211" s="245"/>
      <c r="AD211" s="246"/>
      <c r="AF211" s="181"/>
      <c r="AG211" s="237"/>
      <c r="AH211" s="237"/>
      <c r="AI211" s="237"/>
      <c r="AJ211" s="237"/>
      <c r="AK211" s="210"/>
      <c r="AL211" s="210"/>
      <c r="AN211" s="181"/>
      <c r="AO211" s="229"/>
      <c r="AP211" s="229"/>
      <c r="AQ211" s="210"/>
      <c r="AR211" s="50"/>
    </row>
    <row r="212" spans="2:47" x14ac:dyDescent="0.25">
      <c r="B212" s="245">
        <v>123456</v>
      </c>
      <c r="I212" s="245"/>
      <c r="J212" s="246"/>
      <c r="M212" s="245"/>
      <c r="N212" s="246"/>
      <c r="Q212" s="245"/>
      <c r="R212" s="246"/>
      <c r="U212" s="245"/>
      <c r="V212" s="246"/>
      <c r="Y212" s="245"/>
      <c r="Z212" s="246"/>
      <c r="AC212" s="245"/>
      <c r="AD212" s="246"/>
      <c r="AF212" s="181"/>
      <c r="AG212" s="237"/>
      <c r="AH212" s="237"/>
      <c r="AI212" s="237"/>
      <c r="AJ212" s="237"/>
      <c r="AK212" s="210"/>
      <c r="AL212" s="210"/>
      <c r="AN212" s="181"/>
      <c r="AO212" s="229"/>
      <c r="AP212" s="229"/>
      <c r="AQ212" s="210"/>
    </row>
    <row r="213" spans="2:47" x14ac:dyDescent="0.25">
      <c r="I213" s="245"/>
      <c r="J213" s="246"/>
      <c r="M213" s="245"/>
      <c r="N213" s="246"/>
      <c r="Q213" s="245"/>
      <c r="R213" s="246"/>
      <c r="U213" s="245"/>
      <c r="V213" s="246"/>
      <c r="Y213" s="245"/>
      <c r="Z213" s="246"/>
      <c r="AC213" s="245"/>
      <c r="AD213" s="246"/>
      <c r="AF213" s="181"/>
      <c r="AG213" s="237"/>
      <c r="AH213" s="237"/>
      <c r="AI213" s="237"/>
      <c r="AJ213" s="237"/>
      <c r="AK213" s="210"/>
      <c r="AL213" s="210"/>
      <c r="AN213" s="181"/>
      <c r="AO213" s="229"/>
      <c r="AP213" s="239"/>
      <c r="AQ213" s="210"/>
    </row>
    <row r="214" spans="2:47" x14ac:dyDescent="0.25">
      <c r="I214" s="245"/>
      <c r="J214" s="246"/>
      <c r="M214" s="245"/>
      <c r="N214" s="246"/>
      <c r="Q214" s="245"/>
      <c r="R214" s="246"/>
      <c r="U214" s="245"/>
      <c r="V214" s="246"/>
      <c r="Y214" s="245"/>
      <c r="Z214" s="246"/>
      <c r="AC214" s="245"/>
      <c r="AD214" s="246"/>
      <c r="AF214" s="181"/>
      <c r="AG214" s="237"/>
      <c r="AH214" s="237"/>
      <c r="AI214" s="237"/>
      <c r="AJ214" s="237"/>
      <c r="AK214" s="210"/>
      <c r="AL214" s="210"/>
      <c r="AN214" s="181"/>
      <c r="AO214" s="229"/>
      <c r="AP214" s="210"/>
      <c r="AQ214" s="210"/>
    </row>
    <row r="215" spans="2:47" x14ac:dyDescent="0.25">
      <c r="AF215" s="210"/>
      <c r="AG215" s="239"/>
      <c r="AH215" s="239"/>
      <c r="AI215" s="239"/>
      <c r="AJ215" s="239"/>
      <c r="AK215" s="210"/>
      <c r="AL215" s="210"/>
      <c r="AN215" s="210"/>
      <c r="AO215" s="239"/>
      <c r="AP215" s="246"/>
      <c r="AQ215" s="210"/>
    </row>
    <row r="216" spans="2:47" x14ac:dyDescent="0.25">
      <c r="AH216" s="210"/>
      <c r="AN216" s="210"/>
    </row>
    <row r="217" spans="2:47" x14ac:dyDescent="0.25">
      <c r="AH217" s="210"/>
    </row>
    <row r="218" spans="2:47" x14ac:dyDescent="0.25">
      <c r="AH218" s="210"/>
    </row>
    <row r="219" spans="2:47" x14ac:dyDescent="0.25">
      <c r="AM219" s="210"/>
    </row>
    <row r="220" spans="2:47" x14ac:dyDescent="0.25">
      <c r="AK220" s="240">
        <v>45283</v>
      </c>
      <c r="AM220" s="210"/>
    </row>
    <row r="221" spans="2:47" x14ac:dyDescent="0.25">
      <c r="AK221" s="133"/>
      <c r="AL221" s="133" t="s">
        <v>178</v>
      </c>
      <c r="AM221" s="112" t="s">
        <v>179</v>
      </c>
      <c r="AN221" s="133" t="s">
        <v>180</v>
      </c>
    </row>
    <row r="222" spans="2:47" x14ac:dyDescent="0.25">
      <c r="AK222" s="133" t="s">
        <v>181</v>
      </c>
      <c r="AL222" s="133">
        <v>225</v>
      </c>
      <c r="AM222" s="112">
        <v>5</v>
      </c>
      <c r="AN222" s="133">
        <f>AL222*AM222</f>
        <v>1125</v>
      </c>
      <c r="AQ222" s="245">
        <f>200*12</f>
        <v>2400</v>
      </c>
    </row>
    <row r="223" spans="2:47" x14ac:dyDescent="0.25">
      <c r="AK223" s="133" t="s">
        <v>182</v>
      </c>
      <c r="AL223" s="133">
        <v>200</v>
      </c>
      <c r="AM223" s="112">
        <v>5</v>
      </c>
      <c r="AN223" s="133">
        <f>AL223*AM223</f>
        <v>1000</v>
      </c>
      <c r="AQ223" s="245">
        <f>2400*4</f>
        <v>9600</v>
      </c>
    </row>
    <row r="224" spans="2:47" x14ac:dyDescent="0.25">
      <c r="AK224" s="133" t="s">
        <v>183</v>
      </c>
      <c r="AL224" s="133">
        <v>150</v>
      </c>
      <c r="AM224" s="112">
        <v>7</v>
      </c>
      <c r="AN224" s="133">
        <f>AL224*AM224</f>
        <v>1050</v>
      </c>
      <c r="AQ224" s="245">
        <f>600*12</f>
        <v>7200</v>
      </c>
    </row>
    <row r="225" spans="37:40" x14ac:dyDescent="0.25">
      <c r="AK225" s="133" t="s">
        <v>184</v>
      </c>
      <c r="AL225" s="133">
        <v>185</v>
      </c>
      <c r="AM225" s="112">
        <v>5</v>
      </c>
      <c r="AN225" s="133">
        <f>AL225*AM225</f>
        <v>925</v>
      </c>
    </row>
    <row r="226" spans="37:40" x14ac:dyDescent="0.25">
      <c r="AM226" s="210"/>
      <c r="AN226" s="241">
        <f>SUM(AN222:AN225)</f>
        <v>4100</v>
      </c>
    </row>
    <row r="227" spans="37:40" x14ac:dyDescent="0.25">
      <c r="AM227" s="210"/>
    </row>
    <row r="228" spans="37:40" x14ac:dyDescent="0.25">
      <c r="AK228" s="210" t="s">
        <v>185</v>
      </c>
      <c r="AM228" s="210"/>
      <c r="AN228" s="241">
        <v>16000</v>
      </c>
    </row>
    <row r="229" spans="37:40" x14ac:dyDescent="0.25">
      <c r="AM229" s="210"/>
    </row>
    <row r="230" spans="37:40" x14ac:dyDescent="0.25">
      <c r="AM230" s="210"/>
    </row>
    <row r="231" spans="37:40" x14ac:dyDescent="0.25">
      <c r="AM231" s="210"/>
    </row>
    <row r="232" spans="37:40" x14ac:dyDescent="0.25">
      <c r="AM232" s="210"/>
    </row>
    <row r="233" spans="37:40" x14ac:dyDescent="0.25">
      <c r="AM233" s="210"/>
    </row>
    <row r="234" spans="37:40" x14ac:dyDescent="0.25">
      <c r="AM234" s="210"/>
    </row>
    <row r="235" spans="37:40" x14ac:dyDescent="0.25">
      <c r="AM235" s="210"/>
    </row>
    <row r="236" spans="37:40" x14ac:dyDescent="0.25">
      <c r="AM236" s="210"/>
    </row>
    <row r="237" spans="37:40" x14ac:dyDescent="0.25">
      <c r="AM237" s="210"/>
    </row>
    <row r="238" spans="37:40" x14ac:dyDescent="0.25">
      <c r="AM238" s="210"/>
    </row>
    <row r="239" spans="37:40" x14ac:dyDescent="0.25">
      <c r="AM239" s="210"/>
    </row>
    <row r="240" spans="37:40" x14ac:dyDescent="0.25">
      <c r="AM240" s="210"/>
    </row>
    <row r="241" spans="39:39" x14ac:dyDescent="0.25">
      <c r="AM241" s="210"/>
    </row>
    <row r="242" spans="39:39" x14ac:dyDescent="0.25">
      <c r="AM242" s="210"/>
    </row>
    <row r="243" spans="39:39" x14ac:dyDescent="0.25">
      <c r="AM243" s="210"/>
    </row>
    <row r="244" spans="39:39" x14ac:dyDescent="0.25">
      <c r="AM244" s="210"/>
    </row>
    <row r="245" spans="39:39" x14ac:dyDescent="0.25">
      <c r="AM245" s="210"/>
    </row>
    <row r="246" spans="39:39" x14ac:dyDescent="0.25">
      <c r="AM246" s="210"/>
    </row>
    <row r="247" spans="39:39" x14ac:dyDescent="0.25">
      <c r="AM247" s="210"/>
    </row>
    <row r="248" spans="39:39" x14ac:dyDescent="0.25">
      <c r="AM248" s="210"/>
    </row>
    <row r="249" spans="39:39" x14ac:dyDescent="0.25">
      <c r="AM249" s="210"/>
    </row>
    <row r="250" spans="39:39" x14ac:dyDescent="0.25">
      <c r="AM250" s="210"/>
    </row>
    <row r="251" spans="39:39" x14ac:dyDescent="0.25">
      <c r="AM251" s="210"/>
    </row>
    <row r="252" spans="39:39" x14ac:dyDescent="0.25">
      <c r="AM252" s="210"/>
    </row>
    <row r="253" spans="39:39" x14ac:dyDescent="0.25">
      <c r="AM253" s="210"/>
    </row>
    <row r="254" spans="39:39" x14ac:dyDescent="0.25">
      <c r="AM254" s="210"/>
    </row>
    <row r="255" spans="39:39" x14ac:dyDescent="0.25">
      <c r="AM255" s="210"/>
    </row>
    <row r="256" spans="39:39" x14ac:dyDescent="0.25">
      <c r="AM256" s="210"/>
    </row>
    <row r="257" spans="39:39" x14ac:dyDescent="0.25">
      <c r="AM257" s="210"/>
    </row>
    <row r="258" spans="39:39" x14ac:dyDescent="0.25">
      <c r="AM258" s="210"/>
    </row>
    <row r="259" spans="39:39" x14ac:dyDescent="0.25">
      <c r="AM259" s="210"/>
    </row>
    <row r="260" spans="39:39" x14ac:dyDescent="0.25">
      <c r="AM260" s="210"/>
    </row>
    <row r="261" spans="39:39" x14ac:dyDescent="0.25">
      <c r="AM261" s="210"/>
    </row>
    <row r="262" spans="39:39" x14ac:dyDescent="0.25">
      <c r="AM262" s="210"/>
    </row>
    <row r="263" spans="39:39" x14ac:dyDescent="0.25">
      <c r="AM263" s="210"/>
    </row>
    <row r="264" spans="39:39" x14ac:dyDescent="0.25">
      <c r="AM264" s="210"/>
    </row>
    <row r="265" spans="39:39" x14ac:dyDescent="0.25">
      <c r="AM265" s="210"/>
    </row>
    <row r="266" spans="39:39" x14ac:dyDescent="0.25">
      <c r="AM266" s="210"/>
    </row>
    <row r="267" spans="39:39" x14ac:dyDescent="0.25">
      <c r="AM267" s="210"/>
    </row>
    <row r="268" spans="39:39" x14ac:dyDescent="0.25">
      <c r="AM268" s="210"/>
    </row>
    <row r="269" spans="39:39" x14ac:dyDescent="0.25">
      <c r="AM269" s="210"/>
    </row>
    <row r="270" spans="39:39" x14ac:dyDescent="0.25">
      <c r="AM270" s="210"/>
    </row>
    <row r="271" spans="39:39" x14ac:dyDescent="0.25">
      <c r="AM271" s="210"/>
    </row>
    <row r="272" spans="39:39" x14ac:dyDescent="0.25">
      <c r="AM272" s="210"/>
    </row>
    <row r="273" spans="39:39" x14ac:dyDescent="0.25">
      <c r="AM273" s="210"/>
    </row>
    <row r="274" spans="39:39" x14ac:dyDescent="0.25">
      <c r="AM274" s="210"/>
    </row>
    <row r="275" spans="39:39" x14ac:dyDescent="0.25">
      <c r="AM275" s="210"/>
    </row>
    <row r="276" spans="39:39" x14ac:dyDescent="0.25">
      <c r="AM276" s="210"/>
    </row>
    <row r="277" spans="39:39" x14ac:dyDescent="0.25">
      <c r="AM277" s="210"/>
    </row>
    <row r="278" spans="39:39" x14ac:dyDescent="0.25">
      <c r="AM278" s="210"/>
    </row>
    <row r="279" spans="39:39" x14ac:dyDescent="0.25">
      <c r="AM279" s="210"/>
    </row>
    <row r="280" spans="39:39" x14ac:dyDescent="0.25">
      <c r="AM280" s="210"/>
    </row>
    <row r="281" spans="39:39" x14ac:dyDescent="0.25">
      <c r="AM281" s="210"/>
    </row>
    <row r="282" spans="39:39" x14ac:dyDescent="0.25">
      <c r="AM282" s="210"/>
    </row>
    <row r="283" spans="39:39" x14ac:dyDescent="0.25">
      <c r="AM283" s="210"/>
    </row>
    <row r="284" spans="39:39" x14ac:dyDescent="0.25">
      <c r="AM284" s="210"/>
    </row>
    <row r="285" spans="39:39" x14ac:dyDescent="0.25">
      <c r="AM285" s="210"/>
    </row>
    <row r="286" spans="39:39" x14ac:dyDescent="0.25">
      <c r="AM286" s="210"/>
    </row>
    <row r="287" spans="39:39" x14ac:dyDescent="0.25">
      <c r="AM287" s="210"/>
    </row>
    <row r="288" spans="39:39" x14ac:dyDescent="0.25">
      <c r="AM288" s="210"/>
    </row>
    <row r="289" spans="39:39" x14ac:dyDescent="0.25">
      <c r="AM289" s="210"/>
    </row>
    <row r="290" spans="39:39" x14ac:dyDescent="0.25">
      <c r="AM290" s="210"/>
    </row>
    <row r="291" spans="39:39" x14ac:dyDescent="0.25">
      <c r="AM291" s="210"/>
    </row>
    <row r="292" spans="39:39" x14ac:dyDescent="0.25">
      <c r="AM292" s="210"/>
    </row>
    <row r="293" spans="39:39" x14ac:dyDescent="0.25">
      <c r="AM293" s="210"/>
    </row>
    <row r="294" spans="39:39" x14ac:dyDescent="0.25">
      <c r="AM294" s="210"/>
    </row>
    <row r="295" spans="39:39" x14ac:dyDescent="0.25">
      <c r="AM295" s="210"/>
    </row>
    <row r="296" spans="39:39" x14ac:dyDescent="0.25">
      <c r="AM296" s="210"/>
    </row>
    <row r="297" spans="39:39" x14ac:dyDescent="0.25">
      <c r="AM297" s="210"/>
    </row>
    <row r="298" spans="39:39" x14ac:dyDescent="0.25">
      <c r="AM298" s="210"/>
    </row>
    <row r="299" spans="39:39" x14ac:dyDescent="0.25">
      <c r="AM299" s="210"/>
    </row>
    <row r="300" spans="39:39" x14ac:dyDescent="0.25">
      <c r="AM300" s="210"/>
    </row>
    <row r="301" spans="39:39" x14ac:dyDescent="0.25">
      <c r="AM301" s="210"/>
    </row>
    <row r="302" spans="39:39" x14ac:dyDescent="0.25">
      <c r="AM302" s="210"/>
    </row>
    <row r="303" spans="39:39" x14ac:dyDescent="0.25">
      <c r="AM303" s="210"/>
    </row>
    <row r="304" spans="39:39" x14ac:dyDescent="0.25">
      <c r="AM304" s="210"/>
    </row>
    <row r="305" spans="39:39" x14ac:dyDescent="0.25">
      <c r="AM305" s="210"/>
    </row>
    <row r="306" spans="39:39" x14ac:dyDescent="0.25">
      <c r="AM306" s="210"/>
    </row>
    <row r="307" spans="39:39" x14ac:dyDescent="0.25">
      <c r="AM307" s="210"/>
    </row>
    <row r="308" spans="39:39" x14ac:dyDescent="0.25">
      <c r="AM308" s="210"/>
    </row>
    <row r="309" spans="39:39" x14ac:dyDescent="0.25">
      <c r="AM309" s="210"/>
    </row>
    <row r="310" spans="39:39" x14ac:dyDescent="0.25">
      <c r="AM310" s="210"/>
    </row>
    <row r="311" spans="39:39" x14ac:dyDescent="0.25">
      <c r="AM311" s="210"/>
    </row>
    <row r="312" spans="39:39" x14ac:dyDescent="0.25">
      <c r="AM312" s="210"/>
    </row>
    <row r="313" spans="39:39" x14ac:dyDescent="0.25">
      <c r="AM313" s="210"/>
    </row>
    <row r="314" spans="39:39" x14ac:dyDescent="0.25">
      <c r="AM314" s="210"/>
    </row>
    <row r="315" spans="39:39" x14ac:dyDescent="0.25">
      <c r="AM315" s="210"/>
    </row>
    <row r="316" spans="39:39" x14ac:dyDescent="0.25">
      <c r="AM316" s="210"/>
    </row>
    <row r="317" spans="39:39" x14ac:dyDescent="0.25">
      <c r="AM317" s="210"/>
    </row>
    <row r="318" spans="39:39" x14ac:dyDescent="0.25">
      <c r="AM318" s="210"/>
    </row>
    <row r="319" spans="39:39" x14ac:dyDescent="0.25">
      <c r="AM319" s="210"/>
    </row>
    <row r="320" spans="39:39" x14ac:dyDescent="0.25">
      <c r="AM320" s="210"/>
    </row>
    <row r="321" spans="39:39" x14ac:dyDescent="0.25">
      <c r="AM321" s="210"/>
    </row>
    <row r="322" spans="39:39" x14ac:dyDescent="0.25">
      <c r="AM322" s="210"/>
    </row>
    <row r="323" spans="39:39" x14ac:dyDescent="0.25">
      <c r="AM323" s="210"/>
    </row>
    <row r="324" spans="39:39" x14ac:dyDescent="0.25">
      <c r="AM324" s="210"/>
    </row>
    <row r="325" spans="39:39" x14ac:dyDescent="0.25">
      <c r="AM325" s="210"/>
    </row>
    <row r="326" spans="39:39" x14ac:dyDescent="0.25">
      <c r="AM326" s="210"/>
    </row>
    <row r="327" spans="39:39" x14ac:dyDescent="0.25">
      <c r="AM327" s="210"/>
    </row>
    <row r="328" spans="39:39" x14ac:dyDescent="0.25">
      <c r="AM328" s="210"/>
    </row>
    <row r="329" spans="39:39" x14ac:dyDescent="0.25">
      <c r="AM329" s="210"/>
    </row>
    <row r="330" spans="39:39" x14ac:dyDescent="0.25">
      <c r="AM330" s="210"/>
    </row>
    <row r="331" spans="39:39" x14ac:dyDescent="0.25">
      <c r="AM331" s="210"/>
    </row>
    <row r="332" spans="39:39" x14ac:dyDescent="0.25">
      <c r="AM332" s="210"/>
    </row>
    <row r="333" spans="39:39" x14ac:dyDescent="0.25">
      <c r="AM333" s="210"/>
    </row>
    <row r="334" spans="39:39" x14ac:dyDescent="0.25">
      <c r="AM334" s="210"/>
    </row>
    <row r="819064" spans="1:1" x14ac:dyDescent="0.25">
      <c r="A819064" s="242"/>
    </row>
    <row r="819065" spans="1:1" x14ac:dyDescent="0.25">
      <c r="A819065" s="242"/>
    </row>
    <row r="819066" spans="1:1" x14ac:dyDescent="0.25">
      <c r="A819066" s="242"/>
    </row>
    <row r="819067" spans="1:1" x14ac:dyDescent="0.25">
      <c r="A819067" s="242"/>
    </row>
    <row r="819068" spans="1:1" x14ac:dyDescent="0.25">
      <c r="A819068" s="242"/>
    </row>
    <row r="819069" spans="1:1" x14ac:dyDescent="0.25">
      <c r="A819069" s="242"/>
    </row>
    <row r="819070" spans="1:1" x14ac:dyDescent="0.25">
      <c r="A819070" s="242"/>
    </row>
    <row r="819071" spans="1:1" x14ac:dyDescent="0.25">
      <c r="A819071" s="242"/>
    </row>
    <row r="819072" spans="1:1" x14ac:dyDescent="0.25">
      <c r="A819072" s="242"/>
    </row>
    <row r="819073" spans="1:1" x14ac:dyDescent="0.25">
      <c r="A819073" s="242"/>
    </row>
    <row r="819074" spans="1:1" x14ac:dyDescent="0.25">
      <c r="A819074" s="242"/>
    </row>
    <row r="819075" spans="1:1" x14ac:dyDescent="0.25">
      <c r="A819075" s="242"/>
    </row>
    <row r="819076" spans="1:1" x14ac:dyDescent="0.25">
      <c r="A819076" s="242"/>
    </row>
    <row r="819077" spans="1:1" x14ac:dyDescent="0.25">
      <c r="A819077" s="242"/>
    </row>
    <row r="819078" spans="1:1" x14ac:dyDescent="0.25">
      <c r="A819078" s="242"/>
    </row>
    <row r="819079" spans="1:1" x14ac:dyDescent="0.25">
      <c r="A819079" s="242"/>
    </row>
    <row r="819080" spans="1:1" x14ac:dyDescent="0.25">
      <c r="A819080" s="242"/>
    </row>
    <row r="819081" spans="1:1" x14ac:dyDescent="0.25">
      <c r="A819081" s="242"/>
    </row>
    <row r="819082" spans="1:1" x14ac:dyDescent="0.25">
      <c r="A819082" s="242"/>
    </row>
    <row r="819083" spans="1:1" x14ac:dyDescent="0.25">
      <c r="A819083" s="242"/>
    </row>
    <row r="819084" spans="1:1" x14ac:dyDescent="0.25">
      <c r="A819084" s="242"/>
    </row>
    <row r="819085" spans="1:1" x14ac:dyDescent="0.25">
      <c r="A819085" s="242"/>
    </row>
    <row r="819086" spans="1:1" x14ac:dyDescent="0.25">
      <c r="A819086" s="242"/>
    </row>
    <row r="819087" spans="1:1" x14ac:dyDescent="0.25">
      <c r="A819087" s="242"/>
    </row>
    <row r="819088" spans="1:1" x14ac:dyDescent="0.25">
      <c r="A819088" s="242"/>
    </row>
    <row r="819089" spans="1:1" x14ac:dyDescent="0.25">
      <c r="A819089" s="242"/>
    </row>
    <row r="819090" spans="1:1" x14ac:dyDescent="0.25">
      <c r="A819090" s="242"/>
    </row>
    <row r="819091" spans="1:1" x14ac:dyDescent="0.25">
      <c r="A819091" s="242"/>
    </row>
    <row r="819092" spans="1:1" x14ac:dyDescent="0.25">
      <c r="A819092" s="242"/>
    </row>
    <row r="819093" spans="1:1" x14ac:dyDescent="0.25">
      <c r="A819093" s="242"/>
    </row>
    <row r="819094" spans="1:1" x14ac:dyDescent="0.25">
      <c r="A819094" s="242"/>
    </row>
    <row r="819095" spans="1:1" x14ac:dyDescent="0.25">
      <c r="A819095" s="242"/>
    </row>
    <row r="819096" spans="1:1" x14ac:dyDescent="0.25">
      <c r="A819096" s="242"/>
    </row>
    <row r="819097" spans="1:1" x14ac:dyDescent="0.25">
      <c r="A819097" s="242"/>
    </row>
    <row r="819098" spans="1:1" x14ac:dyDescent="0.25">
      <c r="A819098" s="242"/>
    </row>
    <row r="819099" spans="1:1" x14ac:dyDescent="0.25">
      <c r="A819099" s="242"/>
    </row>
    <row r="819100" spans="1:1" x14ac:dyDescent="0.25">
      <c r="A819100" s="242"/>
    </row>
    <row r="819101" spans="1:1" x14ac:dyDescent="0.25">
      <c r="A819101" s="242"/>
    </row>
    <row r="819102" spans="1:1" x14ac:dyDescent="0.25">
      <c r="A819102" s="242"/>
    </row>
    <row r="819103" spans="1:1" x14ac:dyDescent="0.25">
      <c r="A819103" s="242"/>
    </row>
    <row r="819104" spans="1:1" x14ac:dyDescent="0.25">
      <c r="A819104" s="242"/>
    </row>
    <row r="819105" spans="1:1" x14ac:dyDescent="0.25">
      <c r="A819105" s="242"/>
    </row>
    <row r="819106" spans="1:1" x14ac:dyDescent="0.25">
      <c r="A819106" s="242"/>
    </row>
    <row r="819107" spans="1:1" x14ac:dyDescent="0.25">
      <c r="A819107" s="242"/>
    </row>
    <row r="819108" spans="1:1" x14ac:dyDescent="0.25">
      <c r="A819108" s="242"/>
    </row>
    <row r="819109" spans="1:1" x14ac:dyDescent="0.25">
      <c r="A819109" s="242"/>
    </row>
    <row r="819110" spans="1:1" x14ac:dyDescent="0.25">
      <c r="A819110" s="242"/>
    </row>
    <row r="819111" spans="1:1" x14ac:dyDescent="0.25">
      <c r="A819111" s="242"/>
    </row>
    <row r="819112" spans="1:1" x14ac:dyDescent="0.25">
      <c r="A819112" s="242"/>
    </row>
    <row r="819113" spans="1:1" x14ac:dyDescent="0.25">
      <c r="A819113" s="242"/>
    </row>
    <row r="819114" spans="1:1" x14ac:dyDescent="0.25">
      <c r="A819114" s="242"/>
    </row>
    <row r="819115" spans="1:1" x14ac:dyDescent="0.25">
      <c r="A819115" s="242"/>
    </row>
    <row r="819116" spans="1:1" x14ac:dyDescent="0.25">
      <c r="A819116" s="242"/>
    </row>
    <row r="819117" spans="1:1" x14ac:dyDescent="0.25">
      <c r="A819117" s="242"/>
    </row>
    <row r="819118" spans="1:1" x14ac:dyDescent="0.25">
      <c r="A819118" s="242"/>
    </row>
    <row r="819119" spans="1:1" x14ac:dyDescent="0.25">
      <c r="A819119" s="242"/>
    </row>
    <row r="819120" spans="1:1" x14ac:dyDescent="0.25">
      <c r="A819120" s="242"/>
    </row>
    <row r="819121" spans="1:1" x14ac:dyDescent="0.25">
      <c r="A819121" s="242"/>
    </row>
    <row r="819122" spans="1:1" x14ac:dyDescent="0.25">
      <c r="A819122" s="242"/>
    </row>
    <row r="819123" spans="1:1" x14ac:dyDescent="0.25">
      <c r="A819123" s="242"/>
    </row>
    <row r="819124" spans="1:1" x14ac:dyDescent="0.25">
      <c r="A819124" s="242"/>
    </row>
    <row r="819125" spans="1:1" x14ac:dyDescent="0.25">
      <c r="A819125" s="242"/>
    </row>
    <row r="819126" spans="1:1" x14ac:dyDescent="0.25">
      <c r="A819126" s="242"/>
    </row>
    <row r="819127" spans="1:1" x14ac:dyDescent="0.25">
      <c r="A819127" s="242"/>
    </row>
    <row r="819128" spans="1:1" x14ac:dyDescent="0.25">
      <c r="A819128" s="242"/>
    </row>
    <row r="819129" spans="1:1" x14ac:dyDescent="0.25">
      <c r="A819129" s="242"/>
    </row>
    <row r="819130" spans="1:1" x14ac:dyDescent="0.25">
      <c r="A819130" s="242"/>
    </row>
    <row r="819131" spans="1:1" x14ac:dyDescent="0.25">
      <c r="A819131" s="242"/>
    </row>
    <row r="819132" spans="1:1" x14ac:dyDescent="0.25">
      <c r="A819132" s="242"/>
    </row>
    <row r="819133" spans="1:1" x14ac:dyDescent="0.25">
      <c r="A819133" s="242"/>
    </row>
    <row r="819134" spans="1:1" x14ac:dyDescent="0.25">
      <c r="A819134" s="242"/>
    </row>
    <row r="819135" spans="1:1" x14ac:dyDescent="0.25">
      <c r="A819135" s="242"/>
    </row>
    <row r="819136" spans="1:1" x14ac:dyDescent="0.25">
      <c r="A819136" s="242"/>
    </row>
    <row r="819137" spans="1:1" x14ac:dyDescent="0.25">
      <c r="A819137" s="242"/>
    </row>
    <row r="819138" spans="1:1" x14ac:dyDescent="0.25">
      <c r="A819138" s="242"/>
    </row>
    <row r="819139" spans="1:1" x14ac:dyDescent="0.25">
      <c r="A819139" s="242"/>
    </row>
    <row r="819140" spans="1:1" x14ac:dyDescent="0.25">
      <c r="A819140" s="242"/>
    </row>
    <row r="819141" spans="1:1" x14ac:dyDescent="0.25">
      <c r="A819141" s="242"/>
    </row>
    <row r="819142" spans="1:1" x14ac:dyDescent="0.25">
      <c r="A819142" s="242"/>
    </row>
    <row r="819143" spans="1:1" x14ac:dyDescent="0.25">
      <c r="A819143" s="242"/>
    </row>
    <row r="819144" spans="1:1" x14ac:dyDescent="0.25">
      <c r="A819144" s="242"/>
    </row>
    <row r="819145" spans="1:1" x14ac:dyDescent="0.25">
      <c r="A819145" s="242"/>
    </row>
    <row r="819146" spans="1:1" x14ac:dyDescent="0.25">
      <c r="A819146" s="242"/>
    </row>
    <row r="819147" spans="1:1" x14ac:dyDescent="0.25">
      <c r="A819147" s="242"/>
    </row>
    <row r="819148" spans="1:1" x14ac:dyDescent="0.25">
      <c r="A819148" s="242"/>
    </row>
    <row r="819149" spans="1:1" x14ac:dyDescent="0.25">
      <c r="A819149" s="242"/>
    </row>
    <row r="819150" spans="1:1" x14ac:dyDescent="0.25">
      <c r="A819150" s="242"/>
    </row>
    <row r="819151" spans="1:1" x14ac:dyDescent="0.25">
      <c r="A819151" s="242"/>
    </row>
    <row r="819152" spans="1:1" x14ac:dyDescent="0.25">
      <c r="A819152" s="242"/>
    </row>
    <row r="819153" spans="1:1" x14ac:dyDescent="0.25">
      <c r="A819153" s="242"/>
    </row>
    <row r="819154" spans="1:1" x14ac:dyDescent="0.25">
      <c r="A819154" s="242"/>
    </row>
    <row r="819155" spans="1:1" x14ac:dyDescent="0.25">
      <c r="A819155" s="242"/>
    </row>
    <row r="819156" spans="1:1" x14ac:dyDescent="0.25">
      <c r="A819156" s="242"/>
    </row>
    <row r="819157" spans="1:1" x14ac:dyDescent="0.25">
      <c r="A819157" s="242"/>
    </row>
    <row r="819158" spans="1:1" x14ac:dyDescent="0.25">
      <c r="A819158" s="242"/>
    </row>
    <row r="819159" spans="1:1" x14ac:dyDescent="0.25">
      <c r="A819159" s="242"/>
    </row>
    <row r="819160" spans="1:1" x14ac:dyDescent="0.25">
      <c r="A819160" s="242"/>
    </row>
    <row r="819161" spans="1:1" x14ac:dyDescent="0.25">
      <c r="A819161" s="242"/>
    </row>
    <row r="819162" spans="1:1" x14ac:dyDescent="0.25">
      <c r="A819162" s="242"/>
    </row>
    <row r="819163" spans="1:1" x14ac:dyDescent="0.25">
      <c r="A819163" s="242"/>
    </row>
    <row r="819164" spans="1:1" x14ac:dyDescent="0.25">
      <c r="A819164" s="242"/>
    </row>
    <row r="819165" spans="1:1" x14ac:dyDescent="0.25">
      <c r="A819165" s="242"/>
    </row>
    <row r="819166" spans="1:1" x14ac:dyDescent="0.25">
      <c r="A819166" s="242"/>
    </row>
    <row r="819167" spans="1:1" x14ac:dyDescent="0.25">
      <c r="A819167" s="242"/>
    </row>
    <row r="819168" spans="1:1" x14ac:dyDescent="0.25">
      <c r="A819168" s="242"/>
    </row>
    <row r="819169" spans="1:1" x14ac:dyDescent="0.25">
      <c r="A819169" s="242"/>
    </row>
    <row r="819170" spans="1:1" x14ac:dyDescent="0.25">
      <c r="A819170" s="242"/>
    </row>
    <row r="819171" spans="1:1" x14ac:dyDescent="0.25">
      <c r="A819171" s="242"/>
    </row>
    <row r="819172" spans="1:1" x14ac:dyDescent="0.25">
      <c r="A819172" s="242"/>
    </row>
    <row r="819173" spans="1:1" x14ac:dyDescent="0.25">
      <c r="A819173" s="242"/>
    </row>
    <row r="819174" spans="1:1" x14ac:dyDescent="0.25">
      <c r="A819174" s="242"/>
    </row>
    <row r="819175" spans="1:1" x14ac:dyDescent="0.25">
      <c r="A819175" s="242"/>
    </row>
    <row r="819176" spans="1:1" x14ac:dyDescent="0.25">
      <c r="A819176" s="242"/>
    </row>
    <row r="819177" spans="1:1" x14ac:dyDescent="0.25">
      <c r="A819177" s="242"/>
    </row>
    <row r="819178" spans="1:1" x14ac:dyDescent="0.25">
      <c r="A819178" s="242"/>
    </row>
    <row r="819179" spans="1:1" x14ac:dyDescent="0.25">
      <c r="A819179" s="242"/>
    </row>
    <row r="819180" spans="1:1" x14ac:dyDescent="0.25">
      <c r="A819180" s="242"/>
    </row>
    <row r="819181" spans="1:1" x14ac:dyDescent="0.25">
      <c r="A819181" s="242"/>
    </row>
    <row r="819182" spans="1:1" x14ac:dyDescent="0.25">
      <c r="A819182" s="242"/>
    </row>
    <row r="819183" spans="1:1" x14ac:dyDescent="0.25">
      <c r="A819183" s="242"/>
    </row>
    <row r="819184" spans="1:1" x14ac:dyDescent="0.25">
      <c r="A819184" s="242"/>
    </row>
    <row r="819185" spans="1:1" x14ac:dyDescent="0.25">
      <c r="A819185" s="242"/>
    </row>
    <row r="819186" spans="1:1" x14ac:dyDescent="0.25">
      <c r="A819186" s="242"/>
    </row>
    <row r="819187" spans="1:1" x14ac:dyDescent="0.25">
      <c r="A819187" s="242"/>
    </row>
    <row r="819188" spans="1:1" x14ac:dyDescent="0.25">
      <c r="A819188" s="242"/>
    </row>
    <row r="819189" spans="1:1" x14ac:dyDescent="0.25">
      <c r="A819189" s="242"/>
    </row>
    <row r="819190" spans="1:1" x14ac:dyDescent="0.25">
      <c r="A819190" s="242"/>
    </row>
    <row r="819191" spans="1:1" x14ac:dyDescent="0.25">
      <c r="A819191" s="242"/>
    </row>
    <row r="819192" spans="1:1" x14ac:dyDescent="0.25">
      <c r="A819192" s="242"/>
    </row>
    <row r="819193" spans="1:1" x14ac:dyDescent="0.25">
      <c r="A819193" s="242"/>
    </row>
    <row r="819194" spans="1:1" x14ac:dyDescent="0.25">
      <c r="A819194" s="242"/>
    </row>
    <row r="819195" spans="1:1" x14ac:dyDescent="0.25">
      <c r="A819195" s="242"/>
    </row>
    <row r="819196" spans="1:1" x14ac:dyDescent="0.25">
      <c r="A819196" s="242"/>
    </row>
    <row r="819197" spans="1:1" x14ac:dyDescent="0.25">
      <c r="A819197" s="242"/>
    </row>
    <row r="819198" spans="1:1" x14ac:dyDescent="0.25">
      <c r="A819198" s="242"/>
    </row>
    <row r="819199" spans="1:1" x14ac:dyDescent="0.25">
      <c r="A819199" s="242"/>
    </row>
    <row r="819200" spans="1:1" x14ac:dyDescent="0.25">
      <c r="A819200" s="242"/>
    </row>
    <row r="819201" spans="1:1" x14ac:dyDescent="0.25">
      <c r="A819201" s="242"/>
    </row>
    <row r="819202" spans="1:1" x14ac:dyDescent="0.25">
      <c r="A819202" s="242"/>
    </row>
    <row r="819203" spans="1:1" x14ac:dyDescent="0.25">
      <c r="A819203" s="242"/>
    </row>
    <row r="819204" spans="1:1" x14ac:dyDescent="0.25">
      <c r="A819204" s="242"/>
    </row>
    <row r="819205" spans="1:1" x14ac:dyDescent="0.25">
      <c r="A819205" s="242"/>
    </row>
    <row r="819206" spans="1:1" x14ac:dyDescent="0.25">
      <c r="A819206" s="242"/>
    </row>
    <row r="819207" spans="1:1" x14ac:dyDescent="0.25">
      <c r="A819207" s="242"/>
    </row>
    <row r="819208" spans="1:1" x14ac:dyDescent="0.25">
      <c r="A819208" s="242"/>
    </row>
    <row r="819209" spans="1:1" x14ac:dyDescent="0.25">
      <c r="A819209" s="242"/>
    </row>
    <row r="819210" spans="1:1" x14ac:dyDescent="0.25">
      <c r="A819210" s="242"/>
    </row>
    <row r="819211" spans="1:1" x14ac:dyDescent="0.25">
      <c r="A819211" s="242"/>
    </row>
    <row r="819212" spans="1:1" x14ac:dyDescent="0.25">
      <c r="A819212" s="242"/>
    </row>
    <row r="819213" spans="1:1" x14ac:dyDescent="0.25">
      <c r="A819213" s="242"/>
    </row>
    <row r="819214" spans="1:1" x14ac:dyDescent="0.25">
      <c r="A819214" s="242"/>
    </row>
    <row r="819215" spans="1:1" x14ac:dyDescent="0.25">
      <c r="A819215" s="242"/>
    </row>
    <row r="819216" spans="1:1" x14ac:dyDescent="0.25">
      <c r="A819216" s="242"/>
    </row>
    <row r="819217" spans="1:1" x14ac:dyDescent="0.25">
      <c r="A819217" s="242"/>
    </row>
    <row r="819218" spans="1:1" x14ac:dyDescent="0.25">
      <c r="A819218" s="242"/>
    </row>
    <row r="819219" spans="1:1" x14ac:dyDescent="0.25">
      <c r="A819219" s="242"/>
    </row>
    <row r="819220" spans="1:1" x14ac:dyDescent="0.25">
      <c r="A819220" s="242"/>
    </row>
    <row r="819221" spans="1:1" x14ac:dyDescent="0.25">
      <c r="A819221" s="242"/>
    </row>
    <row r="819222" spans="1:1" x14ac:dyDescent="0.25">
      <c r="A819222" s="242"/>
    </row>
    <row r="819223" spans="1:1" x14ac:dyDescent="0.25">
      <c r="A819223" s="242"/>
    </row>
    <row r="819224" spans="1:1" x14ac:dyDescent="0.25">
      <c r="A819224" s="242"/>
    </row>
    <row r="819225" spans="1:1" x14ac:dyDescent="0.25">
      <c r="A819225" s="242"/>
    </row>
    <row r="819226" spans="1:1" x14ac:dyDescent="0.25">
      <c r="A819226" s="242"/>
    </row>
    <row r="819227" spans="1:1" x14ac:dyDescent="0.25">
      <c r="A819227" s="242"/>
    </row>
    <row r="819228" spans="1:1" x14ac:dyDescent="0.25">
      <c r="A819228" s="242"/>
    </row>
    <row r="819229" spans="1:1" x14ac:dyDescent="0.25">
      <c r="A819229" s="242"/>
    </row>
    <row r="819230" spans="1:1" x14ac:dyDescent="0.25">
      <c r="A819230" s="242"/>
    </row>
    <row r="819231" spans="1:1" x14ac:dyDescent="0.25">
      <c r="A819231" s="242"/>
    </row>
    <row r="819232" spans="1:1" x14ac:dyDescent="0.25">
      <c r="A819232" s="242"/>
    </row>
    <row r="819233" spans="1:1" x14ac:dyDescent="0.25">
      <c r="A819233" s="242"/>
    </row>
    <row r="819234" spans="1:1" x14ac:dyDescent="0.25">
      <c r="A819234" s="242"/>
    </row>
    <row r="819235" spans="1:1" x14ac:dyDescent="0.25">
      <c r="A819235" s="242"/>
    </row>
    <row r="819236" spans="1:1" x14ac:dyDescent="0.25">
      <c r="A819236" s="242"/>
    </row>
    <row r="819237" spans="1:1" x14ac:dyDescent="0.25">
      <c r="A819237" s="242"/>
    </row>
    <row r="819238" spans="1:1" x14ac:dyDescent="0.25">
      <c r="A819238" s="242"/>
    </row>
    <row r="819239" spans="1:1" x14ac:dyDescent="0.25">
      <c r="A819239" s="242"/>
    </row>
    <row r="819240" spans="1:1" x14ac:dyDescent="0.25">
      <c r="A819240" s="242"/>
    </row>
    <row r="819241" spans="1:1" x14ac:dyDescent="0.25">
      <c r="A819241" s="242"/>
    </row>
    <row r="819242" spans="1:1" x14ac:dyDescent="0.25">
      <c r="A819242" s="242"/>
    </row>
    <row r="819243" spans="1:1" x14ac:dyDescent="0.25">
      <c r="A819243" s="242"/>
    </row>
    <row r="819244" spans="1:1" x14ac:dyDescent="0.25">
      <c r="A819244" s="242"/>
    </row>
    <row r="819245" spans="1:1" x14ac:dyDescent="0.25">
      <c r="A819245" s="242"/>
    </row>
    <row r="819246" spans="1:1" x14ac:dyDescent="0.25">
      <c r="A819246" s="242"/>
    </row>
    <row r="819247" spans="1:1" x14ac:dyDescent="0.25">
      <c r="A819247" s="242"/>
    </row>
    <row r="819248" spans="1:1" x14ac:dyDescent="0.25">
      <c r="A819248" s="242"/>
    </row>
    <row r="819249" spans="1:1" x14ac:dyDescent="0.25">
      <c r="A819249" s="242"/>
    </row>
    <row r="819250" spans="1:1" x14ac:dyDescent="0.25">
      <c r="A819250" s="242"/>
    </row>
    <row r="819251" spans="1:1" x14ac:dyDescent="0.25">
      <c r="A819251" s="242"/>
    </row>
    <row r="819252" spans="1:1" x14ac:dyDescent="0.25">
      <c r="A819252" s="242"/>
    </row>
    <row r="819253" spans="1:1" x14ac:dyDescent="0.25">
      <c r="A819253" s="242"/>
    </row>
    <row r="819254" spans="1:1" x14ac:dyDescent="0.25">
      <c r="A819254" s="242"/>
    </row>
    <row r="819255" spans="1:1" x14ac:dyDescent="0.25">
      <c r="A819255" s="242"/>
    </row>
    <row r="819256" spans="1:1" x14ac:dyDescent="0.25">
      <c r="A819256" s="242"/>
    </row>
    <row r="819257" spans="1:1" x14ac:dyDescent="0.25">
      <c r="A819257" s="242"/>
    </row>
    <row r="819258" spans="1:1" x14ac:dyDescent="0.25">
      <c r="A819258" s="242"/>
    </row>
    <row r="819259" spans="1:1" x14ac:dyDescent="0.25">
      <c r="A819259" s="242"/>
    </row>
    <row r="819260" spans="1:1" x14ac:dyDescent="0.25">
      <c r="A819260" s="242"/>
    </row>
    <row r="819261" spans="1:1" x14ac:dyDescent="0.25">
      <c r="A819261" s="242"/>
    </row>
    <row r="819262" spans="1:1" x14ac:dyDescent="0.25">
      <c r="A819262" s="242"/>
    </row>
    <row r="819263" spans="1:1" x14ac:dyDescent="0.25">
      <c r="A819263" s="242"/>
    </row>
    <row r="819264" spans="1:1" x14ac:dyDescent="0.25">
      <c r="A819264" s="242"/>
    </row>
    <row r="819265" spans="1:1" x14ac:dyDescent="0.25">
      <c r="A819265" s="242"/>
    </row>
    <row r="819266" spans="1:1" x14ac:dyDescent="0.25">
      <c r="A819266" s="242"/>
    </row>
    <row r="819267" spans="1:1" x14ac:dyDescent="0.25">
      <c r="A819267" s="242"/>
    </row>
    <row r="819268" spans="1:1" x14ac:dyDescent="0.25">
      <c r="A819268" s="242"/>
    </row>
    <row r="819269" spans="1:1" x14ac:dyDescent="0.25">
      <c r="A819269" s="242"/>
    </row>
    <row r="819270" spans="1:1" x14ac:dyDescent="0.25">
      <c r="A819270" s="242"/>
    </row>
    <row r="819271" spans="1:1" x14ac:dyDescent="0.25">
      <c r="A819271" s="242"/>
    </row>
    <row r="819272" spans="1:1" x14ac:dyDescent="0.25">
      <c r="A819272" s="242"/>
    </row>
    <row r="819273" spans="1:1" x14ac:dyDescent="0.25">
      <c r="A819273" s="242"/>
    </row>
    <row r="819274" spans="1:1" x14ac:dyDescent="0.25">
      <c r="A819274" s="242"/>
    </row>
    <row r="819275" spans="1:1" x14ac:dyDescent="0.25">
      <c r="A819275" s="242"/>
    </row>
    <row r="819276" spans="1:1" x14ac:dyDescent="0.25">
      <c r="A819276" s="242"/>
    </row>
    <row r="819277" spans="1:1" x14ac:dyDescent="0.25">
      <c r="A819277" s="242"/>
    </row>
    <row r="819278" spans="1:1" x14ac:dyDescent="0.25">
      <c r="A819278" s="242"/>
    </row>
    <row r="819279" spans="1:1" x14ac:dyDescent="0.25">
      <c r="A819279" s="242"/>
    </row>
    <row r="819280" spans="1:1" x14ac:dyDescent="0.25">
      <c r="A819280" s="242"/>
    </row>
    <row r="819281" spans="1:1" x14ac:dyDescent="0.25">
      <c r="A819281" s="242"/>
    </row>
    <row r="819282" spans="1:1" x14ac:dyDescent="0.25">
      <c r="A819282" s="242"/>
    </row>
    <row r="819283" spans="1:1" x14ac:dyDescent="0.25">
      <c r="A819283" s="242"/>
    </row>
    <row r="819284" spans="1:1" x14ac:dyDescent="0.25">
      <c r="A819284" s="242"/>
    </row>
    <row r="819285" spans="1:1" x14ac:dyDescent="0.25">
      <c r="A819285" s="242"/>
    </row>
    <row r="819286" spans="1:1" x14ac:dyDescent="0.25">
      <c r="A819286" s="242"/>
    </row>
    <row r="819287" spans="1:1" x14ac:dyDescent="0.25">
      <c r="A819287" s="242"/>
    </row>
    <row r="819288" spans="1:1" x14ac:dyDescent="0.25">
      <c r="A819288" s="242"/>
    </row>
    <row r="819289" spans="1:1" x14ac:dyDescent="0.25">
      <c r="A819289" s="242"/>
    </row>
    <row r="819290" spans="1:1" x14ac:dyDescent="0.25">
      <c r="A819290" s="242"/>
    </row>
    <row r="819291" spans="1:1" x14ac:dyDescent="0.25">
      <c r="A819291" s="242"/>
    </row>
    <row r="819292" spans="1:1" x14ac:dyDescent="0.25">
      <c r="A819292" s="242"/>
    </row>
    <row r="819293" spans="1:1" x14ac:dyDescent="0.25">
      <c r="A819293" s="242"/>
    </row>
    <row r="819294" spans="1:1" x14ac:dyDescent="0.25">
      <c r="A819294" s="242"/>
    </row>
    <row r="819295" spans="1:1" x14ac:dyDescent="0.25">
      <c r="A819295" s="242"/>
    </row>
    <row r="819296" spans="1:1" x14ac:dyDescent="0.25">
      <c r="A819296" s="242"/>
    </row>
    <row r="819297" spans="1:1" x14ac:dyDescent="0.25">
      <c r="A819297" s="242"/>
    </row>
    <row r="819298" spans="1:1" x14ac:dyDescent="0.25">
      <c r="A819298" s="242"/>
    </row>
    <row r="819299" spans="1:1" x14ac:dyDescent="0.25">
      <c r="A819299" s="242"/>
    </row>
    <row r="819300" spans="1:1" x14ac:dyDescent="0.25">
      <c r="A819300" s="242"/>
    </row>
    <row r="819301" spans="1:1" x14ac:dyDescent="0.25">
      <c r="A819301" s="242"/>
    </row>
    <row r="819302" spans="1:1" x14ac:dyDescent="0.25">
      <c r="A819302" s="242"/>
    </row>
    <row r="819303" spans="1:1" x14ac:dyDescent="0.25">
      <c r="A819303" s="242"/>
    </row>
    <row r="819304" spans="1:1" x14ac:dyDescent="0.25">
      <c r="A819304" s="242"/>
    </row>
    <row r="819305" spans="1:1" x14ac:dyDescent="0.25">
      <c r="A819305" s="242"/>
    </row>
    <row r="819306" spans="1:1" x14ac:dyDescent="0.25">
      <c r="A819306" s="242"/>
    </row>
    <row r="819307" spans="1:1" x14ac:dyDescent="0.25">
      <c r="A819307" s="242"/>
    </row>
    <row r="819308" spans="1:1" x14ac:dyDescent="0.25">
      <c r="A819308" s="242"/>
    </row>
    <row r="819309" spans="1:1" x14ac:dyDescent="0.25">
      <c r="A819309" s="242"/>
    </row>
    <row r="819310" spans="1:1" x14ac:dyDescent="0.25">
      <c r="A819310" s="242"/>
    </row>
    <row r="819311" spans="1:1" x14ac:dyDescent="0.25">
      <c r="A819311" s="242"/>
    </row>
    <row r="819312" spans="1:1" x14ac:dyDescent="0.25">
      <c r="A819312" s="242"/>
    </row>
    <row r="819313" spans="1:1" x14ac:dyDescent="0.25">
      <c r="A819313" s="242"/>
    </row>
    <row r="819314" spans="1:1" x14ac:dyDescent="0.25">
      <c r="A819314" s="242"/>
    </row>
    <row r="819315" spans="1:1" x14ac:dyDescent="0.25">
      <c r="A819315" s="242"/>
    </row>
    <row r="819316" spans="1:1" x14ac:dyDescent="0.25">
      <c r="A819316" s="242"/>
    </row>
    <row r="819317" spans="1:1" x14ac:dyDescent="0.25">
      <c r="A819317" s="242"/>
    </row>
    <row r="819318" spans="1:1" x14ac:dyDescent="0.25">
      <c r="A819318" s="242"/>
    </row>
    <row r="819319" spans="1:1" x14ac:dyDescent="0.25">
      <c r="A819319" s="242"/>
    </row>
    <row r="819320" spans="1:1" x14ac:dyDescent="0.25">
      <c r="A819320" s="242"/>
    </row>
    <row r="819321" spans="1:1" x14ac:dyDescent="0.25">
      <c r="A819321" s="242"/>
    </row>
    <row r="819322" spans="1:1" x14ac:dyDescent="0.25">
      <c r="A819322" s="242"/>
    </row>
    <row r="819323" spans="1:1" x14ac:dyDescent="0.25">
      <c r="A819323" s="242"/>
    </row>
    <row r="819324" spans="1:1" x14ac:dyDescent="0.25">
      <c r="A819324" s="242"/>
    </row>
    <row r="819325" spans="1:1" x14ac:dyDescent="0.25">
      <c r="A819325" s="242"/>
    </row>
    <row r="819326" spans="1:1" x14ac:dyDescent="0.25">
      <c r="A819326" s="242"/>
    </row>
    <row r="819327" spans="1:1" x14ac:dyDescent="0.25">
      <c r="A819327" s="242"/>
    </row>
    <row r="819328" spans="1:1" x14ac:dyDescent="0.25">
      <c r="A819328" s="242"/>
    </row>
    <row r="819329" spans="1:1" x14ac:dyDescent="0.25">
      <c r="A819329" s="242"/>
    </row>
    <row r="819330" spans="1:1" x14ac:dyDescent="0.25">
      <c r="A819330" s="242"/>
    </row>
    <row r="819331" spans="1:1" x14ac:dyDescent="0.25">
      <c r="A819331" s="242"/>
    </row>
    <row r="819332" spans="1:1" x14ac:dyDescent="0.25">
      <c r="A819332" s="242"/>
    </row>
    <row r="819333" spans="1:1" x14ac:dyDescent="0.25">
      <c r="A819333" s="242"/>
    </row>
    <row r="819334" spans="1:1" x14ac:dyDescent="0.25">
      <c r="A819334" s="242"/>
    </row>
    <row r="819335" spans="1:1" x14ac:dyDescent="0.25">
      <c r="A819335" s="242"/>
    </row>
    <row r="819336" spans="1:1" x14ac:dyDescent="0.25">
      <c r="A819336" s="242"/>
    </row>
    <row r="819337" spans="1:1" x14ac:dyDescent="0.25">
      <c r="A819337" s="242"/>
    </row>
    <row r="819338" spans="1:1" x14ac:dyDescent="0.25">
      <c r="A819338" s="242"/>
    </row>
    <row r="819339" spans="1:1" x14ac:dyDescent="0.25">
      <c r="A819339" s="242"/>
    </row>
    <row r="819340" spans="1:1" x14ac:dyDescent="0.25">
      <c r="A819340" s="242"/>
    </row>
    <row r="819341" spans="1:1" x14ac:dyDescent="0.25">
      <c r="A819341" s="242"/>
    </row>
    <row r="819342" spans="1:1" x14ac:dyDescent="0.25">
      <c r="A819342" s="242"/>
    </row>
    <row r="819343" spans="1:1" x14ac:dyDescent="0.25">
      <c r="A819343" s="242"/>
    </row>
    <row r="819344" spans="1:1" x14ac:dyDescent="0.25">
      <c r="A819344" s="242"/>
    </row>
    <row r="819345" spans="1:1" x14ac:dyDescent="0.25">
      <c r="A819345" s="242"/>
    </row>
    <row r="819346" spans="1:1" x14ac:dyDescent="0.25">
      <c r="A819346" s="242"/>
    </row>
    <row r="819347" spans="1:1" x14ac:dyDescent="0.25">
      <c r="A819347" s="242"/>
    </row>
    <row r="819348" spans="1:1" x14ac:dyDescent="0.25">
      <c r="A819348" s="242"/>
    </row>
    <row r="819349" spans="1:1" x14ac:dyDescent="0.25">
      <c r="A819349" s="242"/>
    </row>
    <row r="819350" spans="1:1" x14ac:dyDescent="0.25">
      <c r="A819350" s="242"/>
    </row>
    <row r="819351" spans="1:1" x14ac:dyDescent="0.25">
      <c r="A819351" s="242"/>
    </row>
    <row r="819352" spans="1:1" x14ac:dyDescent="0.25">
      <c r="A819352" s="242"/>
    </row>
    <row r="819353" spans="1:1" x14ac:dyDescent="0.25">
      <c r="A819353" s="242"/>
    </row>
    <row r="819354" spans="1:1" x14ac:dyDescent="0.25">
      <c r="A819354" s="242"/>
    </row>
    <row r="819355" spans="1:1" x14ac:dyDescent="0.25">
      <c r="A819355" s="242"/>
    </row>
    <row r="819356" spans="1:1" x14ac:dyDescent="0.25">
      <c r="A819356" s="242"/>
    </row>
    <row r="819357" spans="1:1" x14ac:dyDescent="0.25">
      <c r="A819357" s="242"/>
    </row>
    <row r="819358" spans="1:1" x14ac:dyDescent="0.25">
      <c r="A819358" s="242"/>
    </row>
    <row r="819359" spans="1:1" x14ac:dyDescent="0.25">
      <c r="A819359" s="242"/>
    </row>
    <row r="819360" spans="1:1" x14ac:dyDescent="0.25">
      <c r="A819360" s="242"/>
    </row>
    <row r="819361" spans="1:1" x14ac:dyDescent="0.25">
      <c r="A819361" s="242"/>
    </row>
    <row r="819362" spans="1:1" x14ac:dyDescent="0.25">
      <c r="A819362" s="242"/>
    </row>
    <row r="819363" spans="1:1" x14ac:dyDescent="0.25">
      <c r="A819363" s="242"/>
    </row>
    <row r="819364" spans="1:1" x14ac:dyDescent="0.25">
      <c r="A819364" s="242"/>
    </row>
    <row r="819365" spans="1:1" x14ac:dyDescent="0.25">
      <c r="A819365" s="242"/>
    </row>
    <row r="819366" spans="1:1" x14ac:dyDescent="0.25">
      <c r="A819366" s="242"/>
    </row>
    <row r="819367" spans="1:1" x14ac:dyDescent="0.25">
      <c r="A819367" s="242"/>
    </row>
    <row r="819368" spans="1:1" x14ac:dyDescent="0.25">
      <c r="A819368" s="242"/>
    </row>
    <row r="819369" spans="1:1" x14ac:dyDescent="0.25">
      <c r="A819369" s="242"/>
    </row>
    <row r="819370" spans="1:1" x14ac:dyDescent="0.25">
      <c r="A819370" s="242"/>
    </row>
    <row r="819371" spans="1:1" x14ac:dyDescent="0.25">
      <c r="A819371" s="242"/>
    </row>
    <row r="819372" spans="1:1" x14ac:dyDescent="0.25">
      <c r="A819372" s="242"/>
    </row>
    <row r="819373" spans="1:1" x14ac:dyDescent="0.25">
      <c r="A819373" s="242"/>
    </row>
    <row r="819374" spans="1:1" x14ac:dyDescent="0.25">
      <c r="A819374" s="242"/>
    </row>
    <row r="819375" spans="1:1" x14ac:dyDescent="0.25">
      <c r="A819375" s="242"/>
    </row>
    <row r="819376" spans="1:1" x14ac:dyDescent="0.25">
      <c r="A819376" s="242"/>
    </row>
    <row r="819377" spans="1:1" x14ac:dyDescent="0.25">
      <c r="A819377" s="242"/>
    </row>
    <row r="819378" spans="1:1" x14ac:dyDescent="0.25">
      <c r="A819378" s="242"/>
    </row>
    <row r="819379" spans="1:1" x14ac:dyDescent="0.25">
      <c r="A819379" s="242"/>
    </row>
    <row r="819380" spans="1:1" x14ac:dyDescent="0.25">
      <c r="A819380" s="242"/>
    </row>
    <row r="819381" spans="1:1" x14ac:dyDescent="0.25">
      <c r="A819381" s="242"/>
    </row>
    <row r="819382" spans="1:1" x14ac:dyDescent="0.25">
      <c r="A819382" s="242"/>
    </row>
    <row r="819383" spans="1:1" x14ac:dyDescent="0.25">
      <c r="A819383" s="242"/>
    </row>
    <row r="819384" spans="1:1" x14ac:dyDescent="0.25">
      <c r="A819384" s="242"/>
    </row>
    <row r="819385" spans="1:1" x14ac:dyDescent="0.25">
      <c r="A819385" s="242"/>
    </row>
    <row r="819386" spans="1:1" x14ac:dyDescent="0.25">
      <c r="A819386" s="242"/>
    </row>
    <row r="819387" spans="1:1" x14ac:dyDescent="0.25">
      <c r="A819387" s="242"/>
    </row>
    <row r="819388" spans="1:1" x14ac:dyDescent="0.25">
      <c r="A819388" s="242"/>
    </row>
    <row r="819389" spans="1:1" x14ac:dyDescent="0.25">
      <c r="A819389" s="242"/>
    </row>
    <row r="819390" spans="1:1" x14ac:dyDescent="0.25">
      <c r="A819390" s="242"/>
    </row>
    <row r="819391" spans="1:1" x14ac:dyDescent="0.25">
      <c r="A819391" s="242"/>
    </row>
    <row r="819392" spans="1:1" x14ac:dyDescent="0.25">
      <c r="A819392" s="242"/>
    </row>
    <row r="819393" spans="1:1" x14ac:dyDescent="0.25">
      <c r="A819393" s="242"/>
    </row>
    <row r="819394" spans="1:1" x14ac:dyDescent="0.25">
      <c r="A819394" s="242"/>
    </row>
    <row r="819395" spans="1:1" x14ac:dyDescent="0.25">
      <c r="A819395" s="242"/>
    </row>
    <row r="819396" spans="1:1" x14ac:dyDescent="0.25">
      <c r="A819396" s="242"/>
    </row>
    <row r="819397" spans="1:1" x14ac:dyDescent="0.25">
      <c r="A819397" s="242"/>
    </row>
    <row r="819398" spans="1:1" x14ac:dyDescent="0.25">
      <c r="A819398" s="242"/>
    </row>
    <row r="819399" spans="1:1" x14ac:dyDescent="0.25">
      <c r="A819399" s="242"/>
    </row>
    <row r="819400" spans="1:1" x14ac:dyDescent="0.25">
      <c r="A819400" s="242"/>
    </row>
    <row r="819401" spans="1:1" x14ac:dyDescent="0.25">
      <c r="A819401" s="242"/>
    </row>
    <row r="819402" spans="1:1" x14ac:dyDescent="0.25">
      <c r="A819402" s="242"/>
    </row>
    <row r="819403" spans="1:1" x14ac:dyDescent="0.25">
      <c r="A819403" s="242"/>
    </row>
    <row r="819404" spans="1:1" x14ac:dyDescent="0.25">
      <c r="A819404" s="242"/>
    </row>
    <row r="819405" spans="1:1" x14ac:dyDescent="0.25">
      <c r="A819405" s="242"/>
    </row>
    <row r="819406" spans="1:1" x14ac:dyDescent="0.25">
      <c r="A819406" s="242"/>
    </row>
    <row r="819407" spans="1:1" x14ac:dyDescent="0.25">
      <c r="A819407" s="242"/>
    </row>
    <row r="819408" spans="1:1" x14ac:dyDescent="0.25">
      <c r="A819408" s="242"/>
    </row>
    <row r="819409" spans="1:1" x14ac:dyDescent="0.25">
      <c r="A819409" s="242"/>
    </row>
    <row r="819410" spans="1:1" x14ac:dyDescent="0.25">
      <c r="A819410" s="242"/>
    </row>
    <row r="819411" spans="1:1" x14ac:dyDescent="0.25">
      <c r="A819411" s="242"/>
    </row>
    <row r="819412" spans="1:1" x14ac:dyDescent="0.25">
      <c r="A819412" s="242"/>
    </row>
    <row r="819413" spans="1:1" x14ac:dyDescent="0.25">
      <c r="A819413" s="242"/>
    </row>
    <row r="819414" spans="1:1" x14ac:dyDescent="0.25">
      <c r="A819414" s="242"/>
    </row>
    <row r="819415" spans="1:1" x14ac:dyDescent="0.25">
      <c r="A819415" s="242"/>
    </row>
    <row r="819416" spans="1:1" x14ac:dyDescent="0.25">
      <c r="A819416" s="242"/>
    </row>
    <row r="819417" spans="1:1" x14ac:dyDescent="0.25">
      <c r="A819417" s="242"/>
    </row>
    <row r="819418" spans="1:1" x14ac:dyDescent="0.25">
      <c r="A819418" s="242"/>
    </row>
    <row r="819419" spans="1:1" x14ac:dyDescent="0.25">
      <c r="A819419" s="242"/>
    </row>
    <row r="819420" spans="1:1" x14ac:dyDescent="0.25">
      <c r="A819420" s="242"/>
    </row>
    <row r="819421" spans="1:1" x14ac:dyDescent="0.25">
      <c r="A819421" s="242"/>
    </row>
    <row r="819422" spans="1:1" x14ac:dyDescent="0.25">
      <c r="A819422" s="242"/>
    </row>
    <row r="819423" spans="1:1" x14ac:dyDescent="0.25">
      <c r="A819423" s="242"/>
    </row>
    <row r="819424" spans="1:1" x14ac:dyDescent="0.25">
      <c r="A819424" s="242"/>
    </row>
    <row r="819425" spans="1:1" x14ac:dyDescent="0.25">
      <c r="A819425" s="242"/>
    </row>
    <row r="819426" spans="1:1" x14ac:dyDescent="0.25">
      <c r="A819426" s="242"/>
    </row>
    <row r="819427" spans="1:1" x14ac:dyDescent="0.25">
      <c r="A819427" s="242"/>
    </row>
    <row r="819428" spans="1:1" x14ac:dyDescent="0.25">
      <c r="A819428" s="242"/>
    </row>
    <row r="819429" spans="1:1" x14ac:dyDescent="0.25">
      <c r="A819429" s="242"/>
    </row>
    <row r="819430" spans="1:1" x14ac:dyDescent="0.25">
      <c r="A819430" s="242"/>
    </row>
    <row r="819431" spans="1:1" x14ac:dyDescent="0.25">
      <c r="A819431" s="242"/>
    </row>
    <row r="819432" spans="1:1" x14ac:dyDescent="0.25">
      <c r="A819432" s="242"/>
    </row>
    <row r="819433" spans="1:1" x14ac:dyDescent="0.25">
      <c r="A819433" s="242"/>
    </row>
    <row r="819434" spans="1:1" x14ac:dyDescent="0.25">
      <c r="A819434" s="242"/>
    </row>
    <row r="819435" spans="1:1" x14ac:dyDescent="0.25">
      <c r="A819435" s="242"/>
    </row>
    <row r="819436" spans="1:1" x14ac:dyDescent="0.25">
      <c r="A819436" s="242"/>
    </row>
    <row r="819437" spans="1:1" x14ac:dyDescent="0.25">
      <c r="A819437" s="242"/>
    </row>
    <row r="819438" spans="1:1" x14ac:dyDescent="0.25">
      <c r="A819438" s="242"/>
    </row>
    <row r="819439" spans="1:1" x14ac:dyDescent="0.25">
      <c r="A819439" s="242"/>
    </row>
    <row r="819440" spans="1:1" x14ac:dyDescent="0.25">
      <c r="A819440" s="242"/>
    </row>
    <row r="819441" spans="1:1" x14ac:dyDescent="0.25">
      <c r="A819441" s="242"/>
    </row>
    <row r="819442" spans="1:1" x14ac:dyDescent="0.25">
      <c r="A819442" s="242"/>
    </row>
    <row r="819443" spans="1:1" x14ac:dyDescent="0.25">
      <c r="A819443" s="242"/>
    </row>
    <row r="819444" spans="1:1" x14ac:dyDescent="0.25">
      <c r="A819444" s="242"/>
    </row>
    <row r="819445" spans="1:1" x14ac:dyDescent="0.25">
      <c r="A819445" s="242"/>
    </row>
    <row r="819446" spans="1:1" x14ac:dyDescent="0.25">
      <c r="A819446" s="242"/>
    </row>
    <row r="819447" spans="1:1" x14ac:dyDescent="0.25">
      <c r="A819447" s="242"/>
    </row>
    <row r="819448" spans="1:1" x14ac:dyDescent="0.25">
      <c r="A819448" s="242"/>
    </row>
    <row r="819449" spans="1:1" x14ac:dyDescent="0.25">
      <c r="A819449" s="242"/>
    </row>
    <row r="819450" spans="1:1" x14ac:dyDescent="0.25">
      <c r="A819450" s="242"/>
    </row>
    <row r="819451" spans="1:1" x14ac:dyDescent="0.25">
      <c r="A819451" s="242"/>
    </row>
    <row r="819452" spans="1:1" x14ac:dyDescent="0.25">
      <c r="A819452" s="242"/>
    </row>
    <row r="819453" spans="1:1" x14ac:dyDescent="0.25">
      <c r="A819453" s="242"/>
    </row>
    <row r="819454" spans="1:1" x14ac:dyDescent="0.25">
      <c r="A819454" s="242"/>
    </row>
    <row r="819455" spans="1:1" x14ac:dyDescent="0.25">
      <c r="A819455" s="242"/>
    </row>
    <row r="819456" spans="1:1" x14ac:dyDescent="0.25">
      <c r="A819456" s="242"/>
    </row>
    <row r="819457" spans="1:1" x14ac:dyDescent="0.25">
      <c r="A819457" s="242"/>
    </row>
    <row r="819458" spans="1:1" x14ac:dyDescent="0.25">
      <c r="A819458" s="242"/>
    </row>
    <row r="819459" spans="1:1" x14ac:dyDescent="0.25">
      <c r="A819459" s="242"/>
    </row>
    <row r="819460" spans="1:1" x14ac:dyDescent="0.25">
      <c r="A819460" s="242"/>
    </row>
    <row r="819461" spans="1:1" x14ac:dyDescent="0.25">
      <c r="A819461" s="242"/>
    </row>
    <row r="819462" spans="1:1" x14ac:dyDescent="0.25">
      <c r="A819462" s="242"/>
    </row>
    <row r="819463" spans="1:1" x14ac:dyDescent="0.25">
      <c r="A819463" s="242"/>
    </row>
    <row r="819464" spans="1:1" x14ac:dyDescent="0.25">
      <c r="A819464" s="242"/>
    </row>
    <row r="819465" spans="1:1" x14ac:dyDescent="0.25">
      <c r="A819465" s="242"/>
    </row>
    <row r="819466" spans="1:1" x14ac:dyDescent="0.25">
      <c r="A819466" s="242"/>
    </row>
    <row r="819467" spans="1:1" x14ac:dyDescent="0.25">
      <c r="A819467" s="242"/>
    </row>
    <row r="819468" spans="1:1" x14ac:dyDescent="0.25">
      <c r="A819468" s="242"/>
    </row>
    <row r="819469" spans="1:1" x14ac:dyDescent="0.25">
      <c r="A819469" s="242"/>
    </row>
    <row r="819470" spans="1:1" x14ac:dyDescent="0.25">
      <c r="A819470" s="242"/>
    </row>
    <row r="819471" spans="1:1" x14ac:dyDescent="0.25">
      <c r="A819471" s="242"/>
    </row>
    <row r="819472" spans="1:1" x14ac:dyDescent="0.25">
      <c r="A819472" s="242"/>
    </row>
    <row r="819473" spans="1:1" x14ac:dyDescent="0.25">
      <c r="A819473" s="242"/>
    </row>
    <row r="819474" spans="1:1" x14ac:dyDescent="0.25">
      <c r="A819474" s="242"/>
    </row>
    <row r="819475" spans="1:1" x14ac:dyDescent="0.25">
      <c r="A819475" s="242"/>
    </row>
    <row r="819476" spans="1:1" x14ac:dyDescent="0.25">
      <c r="A819476" s="242"/>
    </row>
    <row r="819477" spans="1:1" x14ac:dyDescent="0.25">
      <c r="A819477" s="242"/>
    </row>
    <row r="819478" spans="1:1" x14ac:dyDescent="0.25">
      <c r="A819478" s="242"/>
    </row>
    <row r="819479" spans="1:1" x14ac:dyDescent="0.25">
      <c r="A819479" s="242"/>
    </row>
    <row r="819480" spans="1:1" x14ac:dyDescent="0.25">
      <c r="A819480" s="242"/>
    </row>
    <row r="819481" spans="1:1" x14ac:dyDescent="0.25">
      <c r="A819481" s="242"/>
    </row>
    <row r="819482" spans="1:1" x14ac:dyDescent="0.25">
      <c r="A819482" s="242"/>
    </row>
    <row r="819483" spans="1:1" x14ac:dyDescent="0.25">
      <c r="A819483" s="242"/>
    </row>
    <row r="819484" spans="1:1" x14ac:dyDescent="0.25">
      <c r="A819484" s="242"/>
    </row>
    <row r="819485" spans="1:1" x14ac:dyDescent="0.25">
      <c r="A819485" s="242"/>
    </row>
    <row r="819486" spans="1:1" x14ac:dyDescent="0.25">
      <c r="A819486" s="242"/>
    </row>
    <row r="819487" spans="1:1" x14ac:dyDescent="0.25">
      <c r="A819487" s="242"/>
    </row>
    <row r="819488" spans="1:1" x14ac:dyDescent="0.25">
      <c r="A819488" s="242"/>
    </row>
    <row r="819489" spans="1:1" x14ac:dyDescent="0.25">
      <c r="A819489" s="242"/>
    </row>
    <row r="819490" spans="1:1" x14ac:dyDescent="0.25">
      <c r="A819490" s="242"/>
    </row>
    <row r="819491" spans="1:1" x14ac:dyDescent="0.25">
      <c r="A819491" s="242"/>
    </row>
    <row r="819492" spans="1:1" x14ac:dyDescent="0.25">
      <c r="A819492" s="242"/>
    </row>
    <row r="819493" spans="1:1" x14ac:dyDescent="0.25">
      <c r="A819493" s="242"/>
    </row>
    <row r="819494" spans="1:1" x14ac:dyDescent="0.25">
      <c r="A819494" s="242"/>
    </row>
    <row r="819495" spans="1:1" x14ac:dyDescent="0.25">
      <c r="A819495" s="242"/>
    </row>
    <row r="819496" spans="1:1" x14ac:dyDescent="0.25">
      <c r="A819496" s="242"/>
    </row>
    <row r="819497" spans="1:1" x14ac:dyDescent="0.25">
      <c r="A819497" s="242"/>
    </row>
    <row r="819498" spans="1:1" x14ac:dyDescent="0.25">
      <c r="A819498" s="242"/>
    </row>
    <row r="819499" spans="1:1" x14ac:dyDescent="0.25">
      <c r="A819499" s="242"/>
    </row>
    <row r="819500" spans="1:1" x14ac:dyDescent="0.25">
      <c r="A819500" s="242"/>
    </row>
    <row r="819501" spans="1:1" x14ac:dyDescent="0.25">
      <c r="A819501" s="242"/>
    </row>
    <row r="819502" spans="1:1" x14ac:dyDescent="0.25">
      <c r="A819502" s="242"/>
    </row>
    <row r="819503" spans="1:1" x14ac:dyDescent="0.25">
      <c r="A819503" s="242"/>
    </row>
    <row r="819504" spans="1:1" x14ac:dyDescent="0.25">
      <c r="A819504" s="242"/>
    </row>
    <row r="819505" spans="1:1" x14ac:dyDescent="0.25">
      <c r="A819505" s="242"/>
    </row>
    <row r="819506" spans="1:1" x14ac:dyDescent="0.25">
      <c r="A819506" s="242"/>
    </row>
    <row r="819507" spans="1:1" x14ac:dyDescent="0.25">
      <c r="A819507" s="242"/>
    </row>
    <row r="819508" spans="1:1" x14ac:dyDescent="0.25">
      <c r="A819508" s="242"/>
    </row>
    <row r="819509" spans="1:1" x14ac:dyDescent="0.25">
      <c r="A819509" s="242"/>
    </row>
    <row r="819510" spans="1:1" x14ac:dyDescent="0.25">
      <c r="A819510" s="242"/>
    </row>
    <row r="819511" spans="1:1" x14ac:dyDescent="0.25">
      <c r="A819511" s="242"/>
    </row>
    <row r="819512" spans="1:1" x14ac:dyDescent="0.25">
      <c r="A819512" s="242"/>
    </row>
    <row r="819513" spans="1:1" x14ac:dyDescent="0.25">
      <c r="A819513" s="242"/>
    </row>
    <row r="819514" spans="1:1" x14ac:dyDescent="0.25">
      <c r="A819514" s="242"/>
    </row>
    <row r="819515" spans="1:1" x14ac:dyDescent="0.25">
      <c r="A819515" s="242"/>
    </row>
    <row r="819516" spans="1:1" x14ac:dyDescent="0.25">
      <c r="A819516" s="242"/>
    </row>
    <row r="819517" spans="1:1" x14ac:dyDescent="0.25">
      <c r="A819517" s="242"/>
    </row>
    <row r="819518" spans="1:1" x14ac:dyDescent="0.25">
      <c r="A819518" s="242"/>
    </row>
    <row r="819519" spans="1:1" x14ac:dyDescent="0.25">
      <c r="A819519" s="242"/>
    </row>
    <row r="819520" spans="1:1" x14ac:dyDescent="0.25">
      <c r="A819520" s="242"/>
    </row>
    <row r="819521" spans="1:1" x14ac:dyDescent="0.25">
      <c r="A819521" s="242"/>
    </row>
    <row r="819522" spans="1:1" x14ac:dyDescent="0.25">
      <c r="A819522" s="242"/>
    </row>
    <row r="819523" spans="1:1" x14ac:dyDescent="0.25">
      <c r="A819523" s="242"/>
    </row>
    <row r="819524" spans="1:1" x14ac:dyDescent="0.25">
      <c r="A819524" s="242"/>
    </row>
    <row r="819525" spans="1:1" x14ac:dyDescent="0.25">
      <c r="A819525" s="242"/>
    </row>
    <row r="819526" spans="1:1" x14ac:dyDescent="0.25">
      <c r="A819526" s="242"/>
    </row>
    <row r="819527" spans="1:1" x14ac:dyDescent="0.25">
      <c r="A819527" s="242"/>
    </row>
    <row r="819528" spans="1:1" x14ac:dyDescent="0.25">
      <c r="A819528" s="242"/>
    </row>
    <row r="819529" spans="1:1" x14ac:dyDescent="0.25">
      <c r="A819529" s="242"/>
    </row>
    <row r="819530" spans="1:1" x14ac:dyDescent="0.25">
      <c r="A819530" s="242"/>
    </row>
    <row r="819531" spans="1:1" x14ac:dyDescent="0.25">
      <c r="A819531" s="242"/>
    </row>
    <row r="819532" spans="1:1" x14ac:dyDescent="0.25">
      <c r="A819532" s="242"/>
    </row>
    <row r="819533" spans="1:1" x14ac:dyDescent="0.25">
      <c r="A819533" s="242"/>
    </row>
    <row r="819534" spans="1:1" x14ac:dyDescent="0.25">
      <c r="A819534" s="242"/>
    </row>
    <row r="819535" spans="1:1" x14ac:dyDescent="0.25">
      <c r="A819535" s="242"/>
    </row>
    <row r="819536" spans="1:1" x14ac:dyDescent="0.25">
      <c r="A819536" s="242"/>
    </row>
    <row r="819537" spans="1:1" x14ac:dyDescent="0.25">
      <c r="A819537" s="242"/>
    </row>
    <row r="819538" spans="1:1" x14ac:dyDescent="0.25">
      <c r="A819538" s="242"/>
    </row>
    <row r="819539" spans="1:1" x14ac:dyDescent="0.25">
      <c r="A819539" s="242"/>
    </row>
    <row r="819540" spans="1:1" x14ac:dyDescent="0.25">
      <c r="A819540" s="242"/>
    </row>
    <row r="819541" spans="1:1" x14ac:dyDescent="0.25">
      <c r="A819541" s="242"/>
    </row>
    <row r="819542" spans="1:1" x14ac:dyDescent="0.25">
      <c r="A819542" s="242"/>
    </row>
    <row r="819543" spans="1:1" x14ac:dyDescent="0.25">
      <c r="A819543" s="242"/>
    </row>
    <row r="819544" spans="1:1" x14ac:dyDescent="0.25">
      <c r="A819544" s="242"/>
    </row>
    <row r="819545" spans="1:1" x14ac:dyDescent="0.25">
      <c r="A819545" s="242"/>
    </row>
    <row r="819546" spans="1:1" x14ac:dyDescent="0.25">
      <c r="A819546" s="242"/>
    </row>
    <row r="819547" spans="1:1" x14ac:dyDescent="0.25">
      <c r="A819547" s="242"/>
    </row>
    <row r="819548" spans="1:1" x14ac:dyDescent="0.25">
      <c r="A819548" s="242"/>
    </row>
    <row r="819549" spans="1:1" x14ac:dyDescent="0.25">
      <c r="A819549" s="242"/>
    </row>
    <row r="819550" spans="1:1" x14ac:dyDescent="0.25">
      <c r="A819550" s="242"/>
    </row>
    <row r="819551" spans="1:1" x14ac:dyDescent="0.25">
      <c r="A819551" s="242"/>
    </row>
    <row r="819552" spans="1:1" x14ac:dyDescent="0.25">
      <c r="A819552" s="242"/>
    </row>
    <row r="819553" spans="1:1" x14ac:dyDescent="0.25">
      <c r="A819553" s="242"/>
    </row>
    <row r="819554" spans="1:1" x14ac:dyDescent="0.25">
      <c r="A819554" s="242"/>
    </row>
    <row r="819555" spans="1:1" x14ac:dyDescent="0.25">
      <c r="A819555" s="242"/>
    </row>
    <row r="819556" spans="1:1" x14ac:dyDescent="0.25">
      <c r="A819556" s="242"/>
    </row>
    <row r="819557" spans="1:1" x14ac:dyDescent="0.25">
      <c r="A819557" s="242"/>
    </row>
    <row r="819558" spans="1:1" x14ac:dyDescent="0.25">
      <c r="A819558" s="242"/>
    </row>
    <row r="819559" spans="1:1" x14ac:dyDescent="0.25">
      <c r="A819559" s="242"/>
    </row>
    <row r="819560" spans="1:1" x14ac:dyDescent="0.25">
      <c r="A819560" s="242"/>
    </row>
    <row r="819561" spans="1:1" x14ac:dyDescent="0.25">
      <c r="A819561" s="242"/>
    </row>
    <row r="819562" spans="1:1" x14ac:dyDescent="0.25">
      <c r="A819562" s="242"/>
    </row>
    <row r="819563" spans="1:1" x14ac:dyDescent="0.25">
      <c r="A819563" s="242"/>
    </row>
    <row r="819564" spans="1:1" x14ac:dyDescent="0.25">
      <c r="A819564" s="242"/>
    </row>
    <row r="819565" spans="1:1" x14ac:dyDescent="0.25">
      <c r="A819565" s="242"/>
    </row>
    <row r="819566" spans="1:1" x14ac:dyDescent="0.25">
      <c r="A819566" s="242"/>
    </row>
    <row r="819567" spans="1:1" x14ac:dyDescent="0.25">
      <c r="A819567" s="242"/>
    </row>
    <row r="819568" spans="1:1" x14ac:dyDescent="0.25">
      <c r="A819568" s="242"/>
    </row>
    <row r="819569" spans="1:1" x14ac:dyDescent="0.25">
      <c r="A819569" s="242"/>
    </row>
    <row r="819570" spans="1:1" x14ac:dyDescent="0.25">
      <c r="A819570" s="242"/>
    </row>
    <row r="819571" spans="1:1" x14ac:dyDescent="0.25">
      <c r="A819571" s="242"/>
    </row>
    <row r="819572" spans="1:1" x14ac:dyDescent="0.25">
      <c r="A819572" s="242"/>
    </row>
    <row r="819573" spans="1:1" x14ac:dyDescent="0.25">
      <c r="A819573" s="242"/>
    </row>
    <row r="819574" spans="1:1" x14ac:dyDescent="0.25">
      <c r="A819574" s="242"/>
    </row>
    <row r="819575" spans="1:1" x14ac:dyDescent="0.25">
      <c r="A819575" s="242"/>
    </row>
    <row r="819576" spans="1:1" x14ac:dyDescent="0.25">
      <c r="A819576" s="242"/>
    </row>
    <row r="819577" spans="1:1" x14ac:dyDescent="0.25">
      <c r="A819577" s="242"/>
    </row>
    <row r="819578" spans="1:1" x14ac:dyDescent="0.25">
      <c r="A819578" s="242"/>
    </row>
    <row r="819579" spans="1:1" x14ac:dyDescent="0.25">
      <c r="A819579" s="242"/>
    </row>
    <row r="819580" spans="1:1" x14ac:dyDescent="0.25">
      <c r="A819580" s="242"/>
    </row>
    <row r="819581" spans="1:1" x14ac:dyDescent="0.25">
      <c r="A819581" s="242"/>
    </row>
    <row r="819582" spans="1:1" x14ac:dyDescent="0.25">
      <c r="A819582" s="242"/>
    </row>
    <row r="819583" spans="1:1" x14ac:dyDescent="0.25">
      <c r="A819583" s="242"/>
    </row>
    <row r="819584" spans="1:1" x14ac:dyDescent="0.25">
      <c r="A819584" s="242"/>
    </row>
    <row r="819585" spans="1:1" x14ac:dyDescent="0.25">
      <c r="A819585" s="242"/>
    </row>
    <row r="819586" spans="1:1" x14ac:dyDescent="0.25">
      <c r="A819586" s="242"/>
    </row>
    <row r="819587" spans="1:1" x14ac:dyDescent="0.25">
      <c r="A819587" s="242"/>
    </row>
    <row r="819588" spans="1:1" x14ac:dyDescent="0.25">
      <c r="A819588" s="242"/>
    </row>
    <row r="819589" spans="1:1" x14ac:dyDescent="0.25">
      <c r="A819589" s="242"/>
    </row>
    <row r="819590" spans="1:1" x14ac:dyDescent="0.25">
      <c r="A819590" s="242"/>
    </row>
    <row r="819591" spans="1:1" x14ac:dyDescent="0.25">
      <c r="A819591" s="242"/>
    </row>
    <row r="819592" spans="1:1" x14ac:dyDescent="0.25">
      <c r="A819592" s="242"/>
    </row>
    <row r="819593" spans="1:1" x14ac:dyDescent="0.25">
      <c r="A819593" s="242"/>
    </row>
    <row r="819594" spans="1:1" x14ac:dyDescent="0.25">
      <c r="A819594" s="242"/>
    </row>
    <row r="819595" spans="1:1" x14ac:dyDescent="0.25">
      <c r="A819595" s="242"/>
    </row>
    <row r="819596" spans="1:1" x14ac:dyDescent="0.25">
      <c r="A819596" s="242"/>
    </row>
    <row r="819597" spans="1:1" x14ac:dyDescent="0.25">
      <c r="A819597" s="242"/>
    </row>
    <row r="819598" spans="1:1" x14ac:dyDescent="0.25">
      <c r="A819598" s="242"/>
    </row>
    <row r="819599" spans="1:1" x14ac:dyDescent="0.25">
      <c r="A819599" s="242"/>
    </row>
    <row r="819600" spans="1:1" x14ac:dyDescent="0.25">
      <c r="A819600" s="242"/>
    </row>
    <row r="819601" spans="1:1" x14ac:dyDescent="0.25">
      <c r="A819601" s="242"/>
    </row>
    <row r="819602" spans="1:1" x14ac:dyDescent="0.25">
      <c r="A819602" s="242"/>
    </row>
    <row r="819603" spans="1:1" x14ac:dyDescent="0.25">
      <c r="A819603" s="242"/>
    </row>
    <row r="819604" spans="1:1" x14ac:dyDescent="0.25">
      <c r="A819604" s="242"/>
    </row>
    <row r="819605" spans="1:1" x14ac:dyDescent="0.25">
      <c r="A819605" s="242"/>
    </row>
    <row r="819606" spans="1:1" x14ac:dyDescent="0.25">
      <c r="A819606" s="242"/>
    </row>
    <row r="819607" spans="1:1" x14ac:dyDescent="0.25">
      <c r="A819607" s="242"/>
    </row>
    <row r="819608" spans="1:1" x14ac:dyDescent="0.25">
      <c r="A819608" s="242"/>
    </row>
    <row r="819609" spans="1:1" x14ac:dyDescent="0.25">
      <c r="A819609" s="242"/>
    </row>
    <row r="819610" spans="1:1" x14ac:dyDescent="0.25">
      <c r="A819610" s="242"/>
    </row>
    <row r="819611" spans="1:1" x14ac:dyDescent="0.25">
      <c r="A819611" s="242"/>
    </row>
    <row r="819612" spans="1:1" x14ac:dyDescent="0.25">
      <c r="A819612" s="242"/>
    </row>
    <row r="819613" spans="1:1" x14ac:dyDescent="0.25">
      <c r="A819613" s="242"/>
    </row>
    <row r="819614" spans="1:1" x14ac:dyDescent="0.25">
      <c r="A819614" s="242"/>
    </row>
    <row r="819615" spans="1:1" x14ac:dyDescent="0.25">
      <c r="A819615" s="242"/>
    </row>
    <row r="819616" spans="1:1" x14ac:dyDescent="0.25">
      <c r="A819616" s="242"/>
    </row>
    <row r="819617" spans="1:1" x14ac:dyDescent="0.25">
      <c r="A819617" s="242"/>
    </row>
    <row r="819618" spans="1:1" x14ac:dyDescent="0.25">
      <c r="A819618" s="242"/>
    </row>
    <row r="819619" spans="1:1" x14ac:dyDescent="0.25">
      <c r="A819619" s="242"/>
    </row>
    <row r="819620" spans="1:1" x14ac:dyDescent="0.25">
      <c r="A819620" s="242"/>
    </row>
    <row r="819621" spans="1:1" x14ac:dyDescent="0.25">
      <c r="A819621" s="242"/>
    </row>
    <row r="819622" spans="1:1" x14ac:dyDescent="0.25">
      <c r="A819622" s="242"/>
    </row>
    <row r="819623" spans="1:1" x14ac:dyDescent="0.25">
      <c r="A819623" s="242"/>
    </row>
    <row r="819624" spans="1:1" x14ac:dyDescent="0.25">
      <c r="A819624" s="242"/>
    </row>
    <row r="819625" spans="1:1" x14ac:dyDescent="0.25">
      <c r="A819625" s="242"/>
    </row>
    <row r="819626" spans="1:1" x14ac:dyDescent="0.25">
      <c r="A819626" s="242"/>
    </row>
    <row r="819627" spans="1:1" x14ac:dyDescent="0.25">
      <c r="A819627" s="242"/>
    </row>
    <row r="819628" spans="1:1" x14ac:dyDescent="0.25">
      <c r="A819628" s="242"/>
    </row>
    <row r="819629" spans="1:1" x14ac:dyDescent="0.25">
      <c r="A819629" s="242"/>
    </row>
    <row r="819630" spans="1:1" x14ac:dyDescent="0.25">
      <c r="A819630" s="242"/>
    </row>
    <row r="819631" spans="1:1" x14ac:dyDescent="0.25">
      <c r="A819631" s="242"/>
    </row>
    <row r="819632" spans="1:1" x14ac:dyDescent="0.25">
      <c r="A819632" s="242"/>
    </row>
    <row r="819633" spans="1:1" x14ac:dyDescent="0.25">
      <c r="A819633" s="242"/>
    </row>
    <row r="819634" spans="1:1" x14ac:dyDescent="0.25">
      <c r="A819634" s="242"/>
    </row>
    <row r="819635" spans="1:1" x14ac:dyDescent="0.25">
      <c r="A819635" s="242"/>
    </row>
    <row r="819636" spans="1:1" x14ac:dyDescent="0.25">
      <c r="A819636" s="242"/>
    </row>
    <row r="819637" spans="1:1" x14ac:dyDescent="0.25">
      <c r="A819637" s="242"/>
    </row>
    <row r="819638" spans="1:1" x14ac:dyDescent="0.25">
      <c r="A819638" s="242"/>
    </row>
    <row r="819639" spans="1:1" x14ac:dyDescent="0.25">
      <c r="A819639" s="242"/>
    </row>
    <row r="819640" spans="1:1" x14ac:dyDescent="0.25">
      <c r="A819640" s="242"/>
    </row>
    <row r="819641" spans="1:1" x14ac:dyDescent="0.25">
      <c r="A819641" s="242"/>
    </row>
    <row r="819642" spans="1:1" x14ac:dyDescent="0.25">
      <c r="A819642" s="242"/>
    </row>
    <row r="819643" spans="1:1" x14ac:dyDescent="0.25">
      <c r="A819643" s="242"/>
    </row>
    <row r="819644" spans="1:1" x14ac:dyDescent="0.25">
      <c r="A819644" s="242"/>
    </row>
    <row r="819645" spans="1:1" x14ac:dyDescent="0.25">
      <c r="A819645" s="242"/>
    </row>
    <row r="819646" spans="1:1" x14ac:dyDescent="0.25">
      <c r="A819646" s="242"/>
    </row>
    <row r="819647" spans="1:1" x14ac:dyDescent="0.25">
      <c r="A819647" s="242"/>
    </row>
    <row r="819648" spans="1:1" x14ac:dyDescent="0.25">
      <c r="A819648" s="242"/>
    </row>
    <row r="819649" spans="1:1" x14ac:dyDescent="0.25">
      <c r="A819649" s="242"/>
    </row>
    <row r="819650" spans="1:1" x14ac:dyDescent="0.25">
      <c r="A819650" s="242"/>
    </row>
    <row r="819651" spans="1:1" x14ac:dyDescent="0.25">
      <c r="A819651" s="242"/>
    </row>
    <row r="819652" spans="1:1" x14ac:dyDescent="0.25">
      <c r="A819652" s="242"/>
    </row>
    <row r="819653" spans="1:1" x14ac:dyDescent="0.25">
      <c r="A819653" s="242"/>
    </row>
    <row r="819654" spans="1:1" x14ac:dyDescent="0.25">
      <c r="A819654" s="242"/>
    </row>
    <row r="819655" spans="1:1" x14ac:dyDescent="0.25">
      <c r="A819655" s="242"/>
    </row>
    <row r="819656" spans="1:1" x14ac:dyDescent="0.25">
      <c r="A819656" s="242"/>
    </row>
    <row r="819657" spans="1:1" x14ac:dyDescent="0.25">
      <c r="A819657" s="242"/>
    </row>
    <row r="819658" spans="1:1" x14ac:dyDescent="0.25">
      <c r="A819658" s="242"/>
    </row>
    <row r="819659" spans="1:1" x14ac:dyDescent="0.25">
      <c r="A819659" s="242"/>
    </row>
    <row r="819660" spans="1:1" x14ac:dyDescent="0.25">
      <c r="A819660" s="242"/>
    </row>
    <row r="819661" spans="1:1" x14ac:dyDescent="0.25">
      <c r="A819661" s="242"/>
    </row>
    <row r="819662" spans="1:1" x14ac:dyDescent="0.25">
      <c r="A819662" s="242"/>
    </row>
    <row r="819663" spans="1:1" x14ac:dyDescent="0.25">
      <c r="A819663" s="242"/>
    </row>
    <row r="819664" spans="1:1" x14ac:dyDescent="0.25">
      <c r="A819664" s="242"/>
    </row>
    <row r="819665" spans="1:1" x14ac:dyDescent="0.25">
      <c r="A819665" s="242"/>
    </row>
    <row r="819666" spans="1:1" x14ac:dyDescent="0.25">
      <c r="A819666" s="242"/>
    </row>
    <row r="819667" spans="1:1" x14ac:dyDescent="0.25">
      <c r="A819667" s="242"/>
    </row>
    <row r="819668" spans="1:1" x14ac:dyDescent="0.25">
      <c r="A819668" s="242"/>
    </row>
    <row r="819669" spans="1:1" x14ac:dyDescent="0.25">
      <c r="A819669" s="242"/>
    </row>
    <row r="819670" spans="1:1" x14ac:dyDescent="0.25">
      <c r="A819670" s="242"/>
    </row>
    <row r="819671" spans="1:1" x14ac:dyDescent="0.25">
      <c r="A819671" s="242"/>
    </row>
    <row r="819672" spans="1:1" x14ac:dyDescent="0.25">
      <c r="A819672" s="242"/>
    </row>
    <row r="819673" spans="1:1" x14ac:dyDescent="0.25">
      <c r="A819673" s="242"/>
    </row>
    <row r="819674" spans="1:1" x14ac:dyDescent="0.25">
      <c r="A819674" s="242"/>
    </row>
    <row r="819675" spans="1:1" x14ac:dyDescent="0.25">
      <c r="A819675" s="242"/>
    </row>
    <row r="819676" spans="1:1" x14ac:dyDescent="0.25">
      <c r="A819676" s="242"/>
    </row>
    <row r="819677" spans="1:1" x14ac:dyDescent="0.25">
      <c r="A819677" s="242"/>
    </row>
    <row r="819678" spans="1:1" x14ac:dyDescent="0.25">
      <c r="A819678" s="242"/>
    </row>
    <row r="819679" spans="1:1" x14ac:dyDescent="0.25">
      <c r="A819679" s="242"/>
    </row>
    <row r="819680" spans="1:1" x14ac:dyDescent="0.25">
      <c r="A819680" s="242"/>
    </row>
    <row r="819681" spans="1:1" x14ac:dyDescent="0.25">
      <c r="A819681" s="242"/>
    </row>
    <row r="819682" spans="1:1" x14ac:dyDescent="0.25">
      <c r="A819682" s="242"/>
    </row>
    <row r="819683" spans="1:1" x14ac:dyDescent="0.25">
      <c r="A819683" s="242"/>
    </row>
    <row r="819684" spans="1:1" x14ac:dyDescent="0.25">
      <c r="A819684" s="242"/>
    </row>
    <row r="819685" spans="1:1" x14ac:dyDescent="0.25">
      <c r="A819685" s="242"/>
    </row>
    <row r="819686" spans="1:1" x14ac:dyDescent="0.25">
      <c r="A819686" s="242"/>
    </row>
    <row r="819687" spans="1:1" x14ac:dyDescent="0.25">
      <c r="A819687" s="242"/>
    </row>
    <row r="819688" spans="1:1" x14ac:dyDescent="0.25">
      <c r="A819688" s="242"/>
    </row>
    <row r="819689" spans="1:1" x14ac:dyDescent="0.25">
      <c r="A819689" s="242"/>
    </row>
    <row r="819690" spans="1:1" x14ac:dyDescent="0.25">
      <c r="A819690" s="242"/>
    </row>
    <row r="819691" spans="1:1" x14ac:dyDescent="0.25">
      <c r="A819691" s="242"/>
    </row>
    <row r="819692" spans="1:1" x14ac:dyDescent="0.25">
      <c r="A819692" s="242"/>
    </row>
    <row r="819693" spans="1:1" x14ac:dyDescent="0.25">
      <c r="A819693" s="242"/>
    </row>
    <row r="819694" spans="1:1" x14ac:dyDescent="0.25">
      <c r="A819694" s="242"/>
    </row>
    <row r="819695" spans="1:1" x14ac:dyDescent="0.25">
      <c r="A819695" s="242"/>
    </row>
    <row r="819696" spans="1:1" x14ac:dyDescent="0.25">
      <c r="A819696" s="242"/>
    </row>
    <row r="819697" spans="1:1" x14ac:dyDescent="0.25">
      <c r="A819697" s="242"/>
    </row>
    <row r="819698" spans="1:1" x14ac:dyDescent="0.25">
      <c r="A819698" s="242"/>
    </row>
    <row r="819699" spans="1:1" x14ac:dyDescent="0.25">
      <c r="A819699" s="242"/>
    </row>
    <row r="819700" spans="1:1" x14ac:dyDescent="0.25">
      <c r="A819700" s="242"/>
    </row>
    <row r="819701" spans="1:1" x14ac:dyDescent="0.25">
      <c r="A819701" s="242"/>
    </row>
    <row r="819702" spans="1:1" x14ac:dyDescent="0.25">
      <c r="A819702" s="242"/>
    </row>
    <row r="819703" spans="1:1" x14ac:dyDescent="0.25">
      <c r="A819703" s="242"/>
    </row>
    <row r="819704" spans="1:1" x14ac:dyDescent="0.25">
      <c r="A819704" s="242"/>
    </row>
    <row r="819705" spans="1:1" x14ac:dyDescent="0.25">
      <c r="A819705" s="242"/>
    </row>
    <row r="819706" spans="1:1" x14ac:dyDescent="0.25">
      <c r="A819706" s="242"/>
    </row>
    <row r="819707" spans="1:1" x14ac:dyDescent="0.25">
      <c r="A819707" s="242"/>
    </row>
    <row r="819708" spans="1:1" x14ac:dyDescent="0.25">
      <c r="A819708" s="242"/>
    </row>
    <row r="819709" spans="1:1" x14ac:dyDescent="0.25">
      <c r="A819709" s="242"/>
    </row>
    <row r="819710" spans="1:1" x14ac:dyDescent="0.25">
      <c r="A819710" s="242"/>
    </row>
    <row r="819711" spans="1:1" x14ac:dyDescent="0.25">
      <c r="A819711" s="242"/>
    </row>
    <row r="819712" spans="1:1" x14ac:dyDescent="0.25">
      <c r="A819712" s="242"/>
    </row>
    <row r="819713" spans="1:1" x14ac:dyDescent="0.25">
      <c r="A819713" s="242"/>
    </row>
    <row r="819714" spans="1:1" x14ac:dyDescent="0.25">
      <c r="A819714" s="242"/>
    </row>
    <row r="819715" spans="1:1" x14ac:dyDescent="0.25">
      <c r="A819715" s="242"/>
    </row>
    <row r="819716" spans="1:1" x14ac:dyDescent="0.25">
      <c r="A819716" s="242"/>
    </row>
    <row r="819717" spans="1:1" x14ac:dyDescent="0.25">
      <c r="A819717" s="242"/>
    </row>
    <row r="819718" spans="1:1" x14ac:dyDescent="0.25">
      <c r="A819718" s="242"/>
    </row>
    <row r="819719" spans="1:1" x14ac:dyDescent="0.25">
      <c r="A819719" s="242"/>
    </row>
    <row r="819720" spans="1:1" x14ac:dyDescent="0.25">
      <c r="A819720" s="242"/>
    </row>
    <row r="819721" spans="1:1" x14ac:dyDescent="0.25">
      <c r="A819721" s="242"/>
    </row>
    <row r="819722" spans="1:1" x14ac:dyDescent="0.25">
      <c r="A819722" s="242"/>
    </row>
    <row r="819723" spans="1:1" x14ac:dyDescent="0.25">
      <c r="A819723" s="242"/>
    </row>
    <row r="819724" spans="1:1" x14ac:dyDescent="0.25">
      <c r="A819724" s="242"/>
    </row>
    <row r="819725" spans="1:1" x14ac:dyDescent="0.25">
      <c r="A819725" s="242"/>
    </row>
    <row r="819726" spans="1:1" x14ac:dyDescent="0.25">
      <c r="A819726" s="242"/>
    </row>
    <row r="819727" spans="1:1" x14ac:dyDescent="0.25">
      <c r="A819727" s="242"/>
    </row>
    <row r="819728" spans="1:1" x14ac:dyDescent="0.25">
      <c r="A819728" s="242"/>
    </row>
    <row r="819729" spans="1:1" x14ac:dyDescent="0.25">
      <c r="A819729" s="242"/>
    </row>
    <row r="819730" spans="1:1" x14ac:dyDescent="0.25">
      <c r="A819730" s="242"/>
    </row>
    <row r="819731" spans="1:1" x14ac:dyDescent="0.25">
      <c r="A819731" s="242"/>
    </row>
    <row r="819732" spans="1:1" x14ac:dyDescent="0.25">
      <c r="A819732" s="242"/>
    </row>
    <row r="819733" spans="1:1" x14ac:dyDescent="0.25">
      <c r="A819733" s="242"/>
    </row>
    <row r="819734" spans="1:1" x14ac:dyDescent="0.25">
      <c r="A819734" s="242"/>
    </row>
    <row r="819735" spans="1:1" x14ac:dyDescent="0.25">
      <c r="A819735" s="242"/>
    </row>
    <row r="819736" spans="1:1" x14ac:dyDescent="0.25">
      <c r="A819736" s="242"/>
    </row>
    <row r="819737" spans="1:1" x14ac:dyDescent="0.25">
      <c r="A819737" s="242"/>
    </row>
    <row r="819738" spans="1:1" x14ac:dyDescent="0.25">
      <c r="A819738" s="242"/>
    </row>
    <row r="819739" spans="1:1" x14ac:dyDescent="0.25">
      <c r="A819739" s="242"/>
    </row>
    <row r="819740" spans="1:1" x14ac:dyDescent="0.25">
      <c r="A819740" s="242"/>
    </row>
    <row r="819741" spans="1:1" x14ac:dyDescent="0.25">
      <c r="A819741" s="242"/>
    </row>
    <row r="819742" spans="1:1" x14ac:dyDescent="0.25">
      <c r="A819742" s="242"/>
    </row>
    <row r="819743" spans="1:1" x14ac:dyDescent="0.25">
      <c r="A819743" s="242"/>
    </row>
    <row r="819744" spans="1:1" x14ac:dyDescent="0.25">
      <c r="A819744" s="242"/>
    </row>
    <row r="819745" spans="1:1" x14ac:dyDescent="0.25">
      <c r="A819745" s="242"/>
    </row>
    <row r="819746" spans="1:1" x14ac:dyDescent="0.25">
      <c r="A819746" s="242"/>
    </row>
    <row r="819747" spans="1:1" x14ac:dyDescent="0.25">
      <c r="A819747" s="242"/>
    </row>
    <row r="819748" spans="1:1" x14ac:dyDescent="0.25">
      <c r="A819748" s="242"/>
    </row>
    <row r="819749" spans="1:1" x14ac:dyDescent="0.25">
      <c r="A819749" s="242"/>
    </row>
    <row r="819750" spans="1:1" x14ac:dyDescent="0.25">
      <c r="A819750" s="242"/>
    </row>
    <row r="819751" spans="1:1" x14ac:dyDescent="0.25">
      <c r="A819751" s="242"/>
    </row>
    <row r="819752" spans="1:1" x14ac:dyDescent="0.25">
      <c r="A819752" s="242"/>
    </row>
    <row r="819753" spans="1:1" x14ac:dyDescent="0.25">
      <c r="A819753" s="242"/>
    </row>
    <row r="819754" spans="1:1" x14ac:dyDescent="0.25">
      <c r="A819754" s="242"/>
    </row>
    <row r="819755" spans="1:1" x14ac:dyDescent="0.25">
      <c r="A819755" s="242"/>
    </row>
    <row r="819756" spans="1:1" x14ac:dyDescent="0.25">
      <c r="A819756" s="242"/>
    </row>
    <row r="819757" spans="1:1" x14ac:dyDescent="0.25">
      <c r="A819757" s="242"/>
    </row>
    <row r="819758" spans="1:1" x14ac:dyDescent="0.25">
      <c r="A819758" s="242"/>
    </row>
    <row r="819759" spans="1:1" x14ac:dyDescent="0.25">
      <c r="A819759" s="242"/>
    </row>
    <row r="819760" spans="1:1" x14ac:dyDescent="0.25">
      <c r="A819760" s="242"/>
    </row>
    <row r="819761" spans="1:1" x14ac:dyDescent="0.25">
      <c r="A819761" s="242"/>
    </row>
    <row r="819762" spans="1:1" x14ac:dyDescent="0.25">
      <c r="A819762" s="242"/>
    </row>
    <row r="819763" spans="1:1" x14ac:dyDescent="0.25">
      <c r="A819763" s="242"/>
    </row>
    <row r="819764" spans="1:1" x14ac:dyDescent="0.25">
      <c r="A819764" s="242"/>
    </row>
    <row r="819765" spans="1:1" x14ac:dyDescent="0.25">
      <c r="A819765" s="242"/>
    </row>
    <row r="819766" spans="1:1" x14ac:dyDescent="0.25">
      <c r="A819766" s="242"/>
    </row>
    <row r="819767" spans="1:1" x14ac:dyDescent="0.25">
      <c r="A819767" s="242"/>
    </row>
    <row r="819768" spans="1:1" x14ac:dyDescent="0.25">
      <c r="A819768" s="242"/>
    </row>
    <row r="819769" spans="1:1" x14ac:dyDescent="0.25">
      <c r="A819769" s="242"/>
    </row>
    <row r="819770" spans="1:1" x14ac:dyDescent="0.25">
      <c r="A819770" s="242"/>
    </row>
    <row r="819771" spans="1:1" x14ac:dyDescent="0.25">
      <c r="A819771" s="242"/>
    </row>
    <row r="819772" spans="1:1" x14ac:dyDescent="0.25">
      <c r="A819772" s="242"/>
    </row>
    <row r="819773" spans="1:1" x14ac:dyDescent="0.25">
      <c r="A819773" s="242"/>
    </row>
    <row r="819774" spans="1:1" x14ac:dyDescent="0.25">
      <c r="A819774" s="242"/>
    </row>
    <row r="819775" spans="1:1" x14ac:dyDescent="0.25">
      <c r="A819775" s="242"/>
    </row>
    <row r="819776" spans="1:1" x14ac:dyDescent="0.25">
      <c r="A819776" s="242"/>
    </row>
    <row r="819777" spans="1:1" x14ac:dyDescent="0.25">
      <c r="A819777" s="242"/>
    </row>
    <row r="819778" spans="1:1" x14ac:dyDescent="0.25">
      <c r="A819778" s="242"/>
    </row>
    <row r="819779" spans="1:1" x14ac:dyDescent="0.25">
      <c r="A819779" s="242"/>
    </row>
    <row r="819780" spans="1:1" x14ac:dyDescent="0.25">
      <c r="A819780" s="242"/>
    </row>
    <row r="819781" spans="1:1" x14ac:dyDescent="0.25">
      <c r="A819781" s="242"/>
    </row>
    <row r="819782" spans="1:1" x14ac:dyDescent="0.25">
      <c r="A819782" s="242"/>
    </row>
    <row r="819783" spans="1:1" x14ac:dyDescent="0.25">
      <c r="A819783" s="242"/>
    </row>
    <row r="819784" spans="1:1" x14ac:dyDescent="0.25">
      <c r="A819784" s="242"/>
    </row>
    <row r="819785" spans="1:1" x14ac:dyDescent="0.25">
      <c r="A819785" s="242"/>
    </row>
    <row r="819786" spans="1:1" x14ac:dyDescent="0.25">
      <c r="A819786" s="242"/>
    </row>
    <row r="819787" spans="1:1" x14ac:dyDescent="0.25">
      <c r="A819787" s="242"/>
    </row>
    <row r="819788" spans="1:1" x14ac:dyDescent="0.25">
      <c r="A819788" s="242"/>
    </row>
    <row r="819789" spans="1:1" x14ac:dyDescent="0.25">
      <c r="A819789" s="242"/>
    </row>
    <row r="819790" spans="1:1" x14ac:dyDescent="0.25">
      <c r="A819790" s="242"/>
    </row>
    <row r="819791" spans="1:1" x14ac:dyDescent="0.25">
      <c r="A819791" s="242"/>
    </row>
    <row r="819792" spans="1:1" x14ac:dyDescent="0.25">
      <c r="A819792" s="242"/>
    </row>
    <row r="819793" spans="1:1" x14ac:dyDescent="0.25">
      <c r="A819793" s="242"/>
    </row>
    <row r="819794" spans="1:1" x14ac:dyDescent="0.25">
      <c r="A819794" s="242"/>
    </row>
    <row r="819795" spans="1:1" x14ac:dyDescent="0.25">
      <c r="A819795" s="242"/>
    </row>
    <row r="819796" spans="1:1" x14ac:dyDescent="0.25">
      <c r="A819796" s="242"/>
    </row>
    <row r="819797" spans="1:1" x14ac:dyDescent="0.25">
      <c r="A819797" s="242"/>
    </row>
    <row r="819798" spans="1:1" x14ac:dyDescent="0.25">
      <c r="A819798" s="242"/>
    </row>
    <row r="819799" spans="1:1" x14ac:dyDescent="0.25">
      <c r="A819799" s="242"/>
    </row>
    <row r="819800" spans="1:1" x14ac:dyDescent="0.25">
      <c r="A819800" s="242"/>
    </row>
    <row r="819801" spans="1:1" x14ac:dyDescent="0.25">
      <c r="A819801" s="242"/>
    </row>
    <row r="819802" spans="1:1" x14ac:dyDescent="0.25">
      <c r="A819802" s="242"/>
    </row>
    <row r="819803" spans="1:1" x14ac:dyDescent="0.25">
      <c r="A819803" s="242"/>
    </row>
    <row r="819804" spans="1:1" x14ac:dyDescent="0.25">
      <c r="A819804" s="242"/>
    </row>
    <row r="819805" spans="1:1" x14ac:dyDescent="0.25">
      <c r="A819805" s="242"/>
    </row>
    <row r="819806" spans="1:1" x14ac:dyDescent="0.25">
      <c r="A819806" s="242"/>
    </row>
    <row r="819807" spans="1:1" x14ac:dyDescent="0.25">
      <c r="A819807" s="242"/>
    </row>
    <row r="819808" spans="1:1" x14ac:dyDescent="0.25">
      <c r="A819808" s="242"/>
    </row>
    <row r="819809" spans="1:1" x14ac:dyDescent="0.25">
      <c r="A819809" s="242"/>
    </row>
    <row r="819810" spans="1:1" x14ac:dyDescent="0.25">
      <c r="A819810" s="242"/>
    </row>
    <row r="819811" spans="1:1" x14ac:dyDescent="0.25">
      <c r="A819811" s="242"/>
    </row>
    <row r="819812" spans="1:1" x14ac:dyDescent="0.25">
      <c r="A819812" s="242"/>
    </row>
    <row r="819813" spans="1:1" x14ac:dyDescent="0.25">
      <c r="A819813" s="242"/>
    </row>
    <row r="819814" spans="1:1" x14ac:dyDescent="0.25">
      <c r="A819814" s="242"/>
    </row>
    <row r="819815" spans="1:1" x14ac:dyDescent="0.25">
      <c r="A819815" s="242"/>
    </row>
    <row r="819816" spans="1:1" x14ac:dyDescent="0.25">
      <c r="A819816" s="242"/>
    </row>
    <row r="819817" spans="1:1" x14ac:dyDescent="0.25">
      <c r="A819817" s="242"/>
    </row>
    <row r="819818" spans="1:1" x14ac:dyDescent="0.25">
      <c r="A819818" s="242"/>
    </row>
    <row r="819819" spans="1:1" x14ac:dyDescent="0.25">
      <c r="A819819" s="242"/>
    </row>
    <row r="819820" spans="1:1" x14ac:dyDescent="0.25">
      <c r="A819820" s="242"/>
    </row>
    <row r="819821" spans="1:1" x14ac:dyDescent="0.25">
      <c r="A819821" s="242"/>
    </row>
    <row r="819822" spans="1:1" x14ac:dyDescent="0.25">
      <c r="A819822" s="242"/>
    </row>
    <row r="819823" spans="1:1" x14ac:dyDescent="0.25">
      <c r="A819823" s="242"/>
    </row>
    <row r="819824" spans="1:1" x14ac:dyDescent="0.25">
      <c r="A819824" s="242"/>
    </row>
    <row r="819825" spans="1:1" x14ac:dyDescent="0.25">
      <c r="A819825" s="242"/>
    </row>
    <row r="819826" spans="1:1" x14ac:dyDescent="0.25">
      <c r="A819826" s="242"/>
    </row>
    <row r="819827" spans="1:1" x14ac:dyDescent="0.25">
      <c r="A819827" s="242"/>
    </row>
    <row r="819828" spans="1:1" x14ac:dyDescent="0.25">
      <c r="A819828" s="242"/>
    </row>
    <row r="819829" spans="1:1" x14ac:dyDescent="0.25">
      <c r="A819829" s="242"/>
    </row>
    <row r="819830" spans="1:1" x14ac:dyDescent="0.25">
      <c r="A819830" s="242"/>
    </row>
    <row r="819831" spans="1:1" x14ac:dyDescent="0.25">
      <c r="A819831" s="242"/>
    </row>
    <row r="819832" spans="1:1" x14ac:dyDescent="0.25">
      <c r="A819832" s="242"/>
    </row>
    <row r="819833" spans="1:1" x14ac:dyDescent="0.25">
      <c r="A819833" s="242"/>
    </row>
    <row r="819834" spans="1:1" x14ac:dyDescent="0.25">
      <c r="A819834" s="242"/>
    </row>
    <row r="819835" spans="1:1" x14ac:dyDescent="0.25">
      <c r="A819835" s="242"/>
    </row>
    <row r="819836" spans="1:1" x14ac:dyDescent="0.25">
      <c r="A819836" s="242"/>
    </row>
    <row r="819837" spans="1:1" x14ac:dyDescent="0.25">
      <c r="A819837" s="242"/>
    </row>
    <row r="819838" spans="1:1" x14ac:dyDescent="0.25">
      <c r="A819838" s="242"/>
    </row>
    <row r="819839" spans="1:1" x14ac:dyDescent="0.25">
      <c r="A819839" s="242"/>
    </row>
    <row r="819840" spans="1:1" x14ac:dyDescent="0.25">
      <c r="A819840" s="242"/>
    </row>
    <row r="819841" spans="1:1" x14ac:dyDescent="0.25">
      <c r="A819841" s="242"/>
    </row>
    <row r="819842" spans="1:1" x14ac:dyDescent="0.25">
      <c r="A819842" s="242"/>
    </row>
    <row r="819843" spans="1:1" x14ac:dyDescent="0.25">
      <c r="A819843" s="242"/>
    </row>
    <row r="819844" spans="1:1" x14ac:dyDescent="0.25">
      <c r="A819844" s="242"/>
    </row>
    <row r="819845" spans="1:1" x14ac:dyDescent="0.25">
      <c r="A819845" s="242"/>
    </row>
    <row r="819846" spans="1:1" x14ac:dyDescent="0.25">
      <c r="A819846" s="242"/>
    </row>
    <row r="819847" spans="1:1" x14ac:dyDescent="0.25">
      <c r="A819847" s="242"/>
    </row>
    <row r="819848" spans="1:1" x14ac:dyDescent="0.25">
      <c r="A819848" s="242"/>
    </row>
    <row r="819849" spans="1:1" x14ac:dyDescent="0.25">
      <c r="A819849" s="242"/>
    </row>
    <row r="819850" spans="1:1" x14ac:dyDescent="0.25">
      <c r="A819850" s="242"/>
    </row>
    <row r="819851" spans="1:1" x14ac:dyDescent="0.25">
      <c r="A819851" s="242"/>
    </row>
    <row r="819852" spans="1:1" x14ac:dyDescent="0.25">
      <c r="A819852" s="242"/>
    </row>
    <row r="819853" spans="1:1" x14ac:dyDescent="0.25">
      <c r="A819853" s="242"/>
    </row>
    <row r="819854" spans="1:1" x14ac:dyDescent="0.25">
      <c r="A819854" s="242"/>
    </row>
    <row r="819855" spans="1:1" x14ac:dyDescent="0.25">
      <c r="A819855" s="242"/>
    </row>
    <row r="819856" spans="1:1" x14ac:dyDescent="0.25">
      <c r="A819856" s="242"/>
    </row>
    <row r="819857" spans="1:1" x14ac:dyDescent="0.25">
      <c r="A819857" s="242"/>
    </row>
    <row r="819858" spans="1:1" x14ac:dyDescent="0.25">
      <c r="A819858" s="242"/>
    </row>
    <row r="819859" spans="1:1" x14ac:dyDescent="0.25">
      <c r="A819859" s="242"/>
    </row>
    <row r="819860" spans="1:1" x14ac:dyDescent="0.25">
      <c r="A819860" s="242"/>
    </row>
    <row r="819861" spans="1:1" x14ac:dyDescent="0.25">
      <c r="A819861" s="242"/>
    </row>
    <row r="819862" spans="1:1" x14ac:dyDescent="0.25">
      <c r="A819862" s="242"/>
    </row>
    <row r="819863" spans="1:1" x14ac:dyDescent="0.25">
      <c r="A819863" s="242"/>
    </row>
    <row r="819864" spans="1:1" x14ac:dyDescent="0.25">
      <c r="A819864" s="242"/>
    </row>
    <row r="819865" spans="1:1" x14ac:dyDescent="0.25">
      <c r="A819865" s="242"/>
    </row>
    <row r="819866" spans="1:1" x14ac:dyDescent="0.25">
      <c r="A819866" s="242"/>
    </row>
    <row r="819867" spans="1:1" x14ac:dyDescent="0.25">
      <c r="A819867" s="242"/>
    </row>
    <row r="819868" spans="1:1" x14ac:dyDescent="0.25">
      <c r="A819868" s="242"/>
    </row>
    <row r="819869" spans="1:1" x14ac:dyDescent="0.25">
      <c r="A819869" s="242"/>
    </row>
    <row r="819870" spans="1:1" x14ac:dyDescent="0.25">
      <c r="A819870" s="242"/>
    </row>
    <row r="819871" spans="1:1" x14ac:dyDescent="0.25">
      <c r="A819871" s="242"/>
    </row>
    <row r="819872" spans="1:1" x14ac:dyDescent="0.25">
      <c r="A819872" s="242"/>
    </row>
    <row r="819873" spans="1:1" x14ac:dyDescent="0.25">
      <c r="A819873" s="242"/>
    </row>
    <row r="819874" spans="1:1" x14ac:dyDescent="0.25">
      <c r="A819874" s="242"/>
    </row>
    <row r="819875" spans="1:1" x14ac:dyDescent="0.25">
      <c r="A819875" s="242"/>
    </row>
    <row r="819876" spans="1:1" x14ac:dyDescent="0.25">
      <c r="A819876" s="242"/>
    </row>
    <row r="819877" spans="1:1" x14ac:dyDescent="0.25">
      <c r="A819877" s="242"/>
    </row>
    <row r="819878" spans="1:1" x14ac:dyDescent="0.25">
      <c r="A819878" s="242"/>
    </row>
    <row r="819879" spans="1:1" x14ac:dyDescent="0.25">
      <c r="A819879" s="242"/>
    </row>
    <row r="819880" spans="1:1" x14ac:dyDescent="0.25">
      <c r="A819880" s="242"/>
    </row>
    <row r="819881" spans="1:1" x14ac:dyDescent="0.25">
      <c r="A819881" s="242"/>
    </row>
    <row r="819882" spans="1:1" x14ac:dyDescent="0.25">
      <c r="A819882" s="242"/>
    </row>
    <row r="819883" spans="1:1" x14ac:dyDescent="0.25">
      <c r="A819883" s="242"/>
    </row>
    <row r="819884" spans="1:1" x14ac:dyDescent="0.25">
      <c r="A819884" s="242"/>
    </row>
    <row r="819885" spans="1:1" x14ac:dyDescent="0.25">
      <c r="A819885" s="242"/>
    </row>
    <row r="819886" spans="1:1" x14ac:dyDescent="0.25">
      <c r="A819886" s="242"/>
    </row>
    <row r="819887" spans="1:1" x14ac:dyDescent="0.25">
      <c r="A819887" s="242"/>
    </row>
    <row r="819888" spans="1:1" x14ac:dyDescent="0.25">
      <c r="A819888" s="242"/>
    </row>
    <row r="819889" spans="1:1" x14ac:dyDescent="0.25">
      <c r="A819889" s="242"/>
    </row>
    <row r="819890" spans="1:1" x14ac:dyDescent="0.25">
      <c r="A819890" s="242"/>
    </row>
    <row r="819891" spans="1:1" x14ac:dyDescent="0.25">
      <c r="A819891" s="242"/>
    </row>
    <row r="819892" spans="1:1" x14ac:dyDescent="0.25">
      <c r="A819892" s="242"/>
    </row>
    <row r="819893" spans="1:1" x14ac:dyDescent="0.25">
      <c r="A819893" s="242"/>
    </row>
    <row r="819894" spans="1:1" x14ac:dyDescent="0.25">
      <c r="A819894" s="242"/>
    </row>
    <row r="819895" spans="1:1" x14ac:dyDescent="0.25">
      <c r="A819895" s="242"/>
    </row>
    <row r="819896" spans="1:1" x14ac:dyDescent="0.25">
      <c r="A819896" s="242"/>
    </row>
    <row r="819897" spans="1:1" x14ac:dyDescent="0.25">
      <c r="A819897" s="242"/>
    </row>
    <row r="819898" spans="1:1" x14ac:dyDescent="0.25">
      <c r="A819898" s="242"/>
    </row>
    <row r="819899" spans="1:1" x14ac:dyDescent="0.25">
      <c r="A819899" s="242"/>
    </row>
    <row r="819900" spans="1:1" x14ac:dyDescent="0.25">
      <c r="A819900" s="242"/>
    </row>
    <row r="819901" spans="1:1" x14ac:dyDescent="0.25">
      <c r="A819901" s="242"/>
    </row>
    <row r="819902" spans="1:1" x14ac:dyDescent="0.25">
      <c r="A819902" s="242"/>
    </row>
    <row r="819903" spans="1:1" x14ac:dyDescent="0.25">
      <c r="A819903" s="242"/>
    </row>
    <row r="819904" spans="1:1" x14ac:dyDescent="0.25">
      <c r="A819904" s="242"/>
    </row>
    <row r="819905" spans="1:1" x14ac:dyDescent="0.25">
      <c r="A819905" s="242"/>
    </row>
    <row r="819906" spans="1:1" x14ac:dyDescent="0.25">
      <c r="A819906" s="242"/>
    </row>
    <row r="819907" spans="1:1" x14ac:dyDescent="0.25">
      <c r="A819907" s="242"/>
    </row>
    <row r="819908" spans="1:1" x14ac:dyDescent="0.25">
      <c r="A819908" s="242"/>
    </row>
    <row r="819909" spans="1:1" x14ac:dyDescent="0.25">
      <c r="A819909" s="242"/>
    </row>
    <row r="819910" spans="1:1" x14ac:dyDescent="0.25">
      <c r="A819910" s="242"/>
    </row>
    <row r="819911" spans="1:1" x14ac:dyDescent="0.25">
      <c r="A819911" s="242"/>
    </row>
    <row r="819912" spans="1:1" x14ac:dyDescent="0.25">
      <c r="A819912" s="242"/>
    </row>
    <row r="819913" spans="1:1" x14ac:dyDescent="0.25">
      <c r="A819913" s="242"/>
    </row>
    <row r="819914" spans="1:1" x14ac:dyDescent="0.25">
      <c r="A819914" s="242"/>
    </row>
    <row r="819915" spans="1:1" x14ac:dyDescent="0.25">
      <c r="A819915" s="242"/>
    </row>
    <row r="819916" spans="1:1" x14ac:dyDescent="0.25">
      <c r="A819916" s="242"/>
    </row>
    <row r="819917" spans="1:1" x14ac:dyDescent="0.25">
      <c r="A819917" s="242"/>
    </row>
    <row r="819918" spans="1:1" x14ac:dyDescent="0.25">
      <c r="A819918" s="242"/>
    </row>
    <row r="819919" spans="1:1" x14ac:dyDescent="0.25">
      <c r="A819919" s="242"/>
    </row>
    <row r="819920" spans="1:1" x14ac:dyDescent="0.25">
      <c r="A819920" s="242"/>
    </row>
    <row r="819921" spans="1:1" x14ac:dyDescent="0.25">
      <c r="A819921" s="242"/>
    </row>
    <row r="819922" spans="1:1" x14ac:dyDescent="0.25">
      <c r="A819922" s="242"/>
    </row>
    <row r="819923" spans="1:1" x14ac:dyDescent="0.25">
      <c r="A819923" s="242"/>
    </row>
    <row r="819924" spans="1:1" x14ac:dyDescent="0.25">
      <c r="A819924" s="242"/>
    </row>
    <row r="819925" spans="1:1" x14ac:dyDescent="0.25">
      <c r="A819925" s="242"/>
    </row>
    <row r="819926" spans="1:1" x14ac:dyDescent="0.25">
      <c r="A819926" s="242"/>
    </row>
    <row r="819927" spans="1:1" x14ac:dyDescent="0.25">
      <c r="A819927" s="242"/>
    </row>
    <row r="819928" spans="1:1" x14ac:dyDescent="0.25">
      <c r="A819928" s="242"/>
    </row>
    <row r="819929" spans="1:1" x14ac:dyDescent="0.25">
      <c r="A819929" s="242"/>
    </row>
    <row r="819930" spans="1:1" x14ac:dyDescent="0.25">
      <c r="A819930" s="242"/>
    </row>
    <row r="819931" spans="1:1" x14ac:dyDescent="0.25">
      <c r="A819931" s="242"/>
    </row>
    <row r="819932" spans="1:1" x14ac:dyDescent="0.25">
      <c r="A819932" s="242"/>
    </row>
    <row r="819933" spans="1:1" x14ac:dyDescent="0.25">
      <c r="A819933" s="242"/>
    </row>
    <row r="819934" spans="1:1" x14ac:dyDescent="0.25">
      <c r="A819934" s="242"/>
    </row>
    <row r="819935" spans="1:1" x14ac:dyDescent="0.25">
      <c r="A819935" s="242"/>
    </row>
    <row r="819936" spans="1:1" x14ac:dyDescent="0.25">
      <c r="A819936" s="242"/>
    </row>
    <row r="819937" spans="1:1" x14ac:dyDescent="0.25">
      <c r="A819937" s="242"/>
    </row>
    <row r="819938" spans="1:1" x14ac:dyDescent="0.25">
      <c r="A819938" s="242"/>
    </row>
    <row r="819939" spans="1:1" x14ac:dyDescent="0.25">
      <c r="A819939" s="242"/>
    </row>
    <row r="819940" spans="1:1" x14ac:dyDescent="0.25">
      <c r="A819940" s="242"/>
    </row>
    <row r="819941" spans="1:1" x14ac:dyDescent="0.25">
      <c r="A819941" s="242"/>
    </row>
    <row r="819942" spans="1:1" x14ac:dyDescent="0.25">
      <c r="A819942" s="242"/>
    </row>
    <row r="819943" spans="1:1" x14ac:dyDescent="0.25">
      <c r="A819943" s="242"/>
    </row>
    <row r="819944" spans="1:1" x14ac:dyDescent="0.25">
      <c r="A819944" s="242"/>
    </row>
    <row r="819945" spans="1:1" x14ac:dyDescent="0.25">
      <c r="A819945" s="242"/>
    </row>
    <row r="819946" spans="1:1" x14ac:dyDescent="0.25">
      <c r="A819946" s="242"/>
    </row>
    <row r="819947" spans="1:1" x14ac:dyDescent="0.25">
      <c r="A819947" s="242"/>
    </row>
    <row r="819948" spans="1:1" x14ac:dyDescent="0.25">
      <c r="A819948" s="242"/>
    </row>
    <row r="819949" spans="1:1" x14ac:dyDescent="0.25">
      <c r="A819949" s="242"/>
    </row>
    <row r="819950" spans="1:1" x14ac:dyDescent="0.25">
      <c r="A819950" s="242"/>
    </row>
    <row r="819951" spans="1:1" x14ac:dyDescent="0.25">
      <c r="A819951" s="242"/>
    </row>
    <row r="819952" spans="1:1" x14ac:dyDescent="0.25">
      <c r="A819952" s="242"/>
    </row>
    <row r="819953" spans="1:1" x14ac:dyDescent="0.25">
      <c r="A819953" s="242"/>
    </row>
    <row r="819954" spans="1:1" x14ac:dyDescent="0.25">
      <c r="A819954" s="242"/>
    </row>
    <row r="819955" spans="1:1" x14ac:dyDescent="0.25">
      <c r="A819955" s="242"/>
    </row>
    <row r="819956" spans="1:1" x14ac:dyDescent="0.25">
      <c r="A819956" s="242"/>
    </row>
    <row r="819957" spans="1:1" x14ac:dyDescent="0.25">
      <c r="A819957" s="242"/>
    </row>
    <row r="819958" spans="1:1" x14ac:dyDescent="0.25">
      <c r="A819958" s="242"/>
    </row>
    <row r="819959" spans="1:1" x14ac:dyDescent="0.25">
      <c r="A819959" s="242"/>
    </row>
    <row r="819960" spans="1:1" x14ac:dyDescent="0.25">
      <c r="A819960" s="242"/>
    </row>
    <row r="819961" spans="1:1" x14ac:dyDescent="0.25">
      <c r="A819961" s="242"/>
    </row>
    <row r="819962" spans="1:1" x14ac:dyDescent="0.25">
      <c r="A819962" s="242"/>
    </row>
    <row r="819963" spans="1:1" x14ac:dyDescent="0.25">
      <c r="A819963" s="242"/>
    </row>
    <row r="819964" spans="1:1" x14ac:dyDescent="0.25">
      <c r="A819964" s="242"/>
    </row>
    <row r="819965" spans="1:1" x14ac:dyDescent="0.25">
      <c r="A819965" s="242"/>
    </row>
    <row r="819966" spans="1:1" x14ac:dyDescent="0.25">
      <c r="A819966" s="242"/>
    </row>
    <row r="819967" spans="1:1" x14ac:dyDescent="0.25">
      <c r="A819967" s="242"/>
    </row>
    <row r="819968" spans="1:1" x14ac:dyDescent="0.25">
      <c r="A819968" s="242"/>
    </row>
    <row r="819969" spans="1:1" x14ac:dyDescent="0.25">
      <c r="A819969" s="242"/>
    </row>
    <row r="819970" spans="1:1" x14ac:dyDescent="0.25">
      <c r="A819970" s="242"/>
    </row>
    <row r="819971" spans="1:1" x14ac:dyDescent="0.25">
      <c r="A819971" s="242"/>
    </row>
    <row r="819972" spans="1:1" x14ac:dyDescent="0.25">
      <c r="A819972" s="242"/>
    </row>
    <row r="819973" spans="1:1" x14ac:dyDescent="0.25">
      <c r="A819973" s="242"/>
    </row>
    <row r="819974" spans="1:1" x14ac:dyDescent="0.25">
      <c r="A819974" s="242"/>
    </row>
    <row r="819975" spans="1:1" x14ac:dyDescent="0.25">
      <c r="A819975" s="242"/>
    </row>
    <row r="819976" spans="1:1" x14ac:dyDescent="0.25">
      <c r="A819976" s="242"/>
    </row>
    <row r="819977" spans="1:1" x14ac:dyDescent="0.25">
      <c r="A819977" s="242"/>
    </row>
    <row r="819978" spans="1:1" x14ac:dyDescent="0.25">
      <c r="A819978" s="242"/>
    </row>
    <row r="819979" spans="1:1" x14ac:dyDescent="0.25">
      <c r="A819979" s="242"/>
    </row>
    <row r="819980" spans="1:1" x14ac:dyDescent="0.25">
      <c r="A819980" s="242"/>
    </row>
    <row r="819981" spans="1:1" x14ac:dyDescent="0.25">
      <c r="A819981" s="242"/>
    </row>
    <row r="819982" spans="1:1" x14ac:dyDescent="0.25">
      <c r="A819982" s="242"/>
    </row>
    <row r="819983" spans="1:1" x14ac:dyDescent="0.25">
      <c r="A819983" s="242"/>
    </row>
    <row r="819984" spans="1:1" x14ac:dyDescent="0.25">
      <c r="A819984" s="242"/>
    </row>
    <row r="819985" spans="1:1" x14ac:dyDescent="0.25">
      <c r="A819985" s="242"/>
    </row>
    <row r="819986" spans="1:1" x14ac:dyDescent="0.25">
      <c r="A819986" s="242"/>
    </row>
    <row r="819987" spans="1:1" x14ac:dyDescent="0.25">
      <c r="A819987" s="242"/>
    </row>
    <row r="819988" spans="1:1" x14ac:dyDescent="0.25">
      <c r="A819988" s="242"/>
    </row>
    <row r="819989" spans="1:1" x14ac:dyDescent="0.25">
      <c r="A819989" s="242"/>
    </row>
    <row r="819990" spans="1:1" x14ac:dyDescent="0.25">
      <c r="A819990" s="242"/>
    </row>
    <row r="819991" spans="1:1" x14ac:dyDescent="0.25">
      <c r="A819991" s="242"/>
    </row>
    <row r="819992" spans="1:1" x14ac:dyDescent="0.25">
      <c r="A819992" s="242"/>
    </row>
    <row r="819993" spans="1:1" x14ac:dyDescent="0.25">
      <c r="A819993" s="242"/>
    </row>
    <row r="819994" spans="1:1" x14ac:dyDescent="0.25">
      <c r="A819994" s="242"/>
    </row>
    <row r="819995" spans="1:1" x14ac:dyDescent="0.25">
      <c r="A819995" s="242"/>
    </row>
    <row r="819996" spans="1:1" x14ac:dyDescent="0.25">
      <c r="A819996" s="242"/>
    </row>
    <row r="819997" spans="1:1" x14ac:dyDescent="0.25">
      <c r="A819997" s="242"/>
    </row>
    <row r="819998" spans="1:1" x14ac:dyDescent="0.25">
      <c r="A819998" s="242"/>
    </row>
    <row r="819999" spans="1:1" x14ac:dyDescent="0.25">
      <c r="A819999" s="242"/>
    </row>
    <row r="820000" spans="1:1" x14ac:dyDescent="0.25">
      <c r="A820000" s="242"/>
    </row>
    <row r="820001" spans="1:1" x14ac:dyDescent="0.25">
      <c r="A820001" s="242"/>
    </row>
    <row r="820002" spans="1:1" x14ac:dyDescent="0.25">
      <c r="A820002" s="242"/>
    </row>
    <row r="820003" spans="1:1" x14ac:dyDescent="0.25">
      <c r="A820003" s="242"/>
    </row>
    <row r="820004" spans="1:1" x14ac:dyDescent="0.25">
      <c r="A820004" s="242"/>
    </row>
    <row r="820005" spans="1:1" x14ac:dyDescent="0.25">
      <c r="A820005" s="242"/>
    </row>
    <row r="820006" spans="1:1" x14ac:dyDescent="0.25">
      <c r="A820006" s="242"/>
    </row>
    <row r="820007" spans="1:1" x14ac:dyDescent="0.25">
      <c r="A820007" s="242"/>
    </row>
    <row r="820008" spans="1:1" x14ac:dyDescent="0.25">
      <c r="A820008" s="242"/>
    </row>
    <row r="820009" spans="1:1" x14ac:dyDescent="0.25">
      <c r="A820009" s="242"/>
    </row>
    <row r="820010" spans="1:1" x14ac:dyDescent="0.25">
      <c r="A820010" s="242"/>
    </row>
    <row r="820011" spans="1:1" x14ac:dyDescent="0.25">
      <c r="A820011" s="242"/>
    </row>
    <row r="820012" spans="1:1" x14ac:dyDescent="0.25">
      <c r="A820012" s="242"/>
    </row>
    <row r="820013" spans="1:1" x14ac:dyDescent="0.25">
      <c r="A820013" s="242"/>
    </row>
    <row r="820014" spans="1:1" x14ac:dyDescent="0.25">
      <c r="A820014" s="242"/>
    </row>
    <row r="820015" spans="1:1" x14ac:dyDescent="0.25">
      <c r="A820015" s="242"/>
    </row>
    <row r="820016" spans="1:1" x14ac:dyDescent="0.25">
      <c r="A820016" s="242"/>
    </row>
    <row r="820017" spans="1:1" x14ac:dyDescent="0.25">
      <c r="A820017" s="242"/>
    </row>
    <row r="820018" spans="1:1" x14ac:dyDescent="0.25">
      <c r="A820018" s="242"/>
    </row>
    <row r="820019" spans="1:1" x14ac:dyDescent="0.25">
      <c r="A820019" s="242"/>
    </row>
    <row r="820020" spans="1:1" x14ac:dyDescent="0.25">
      <c r="A820020" s="242"/>
    </row>
    <row r="820021" spans="1:1" x14ac:dyDescent="0.25">
      <c r="A820021" s="242"/>
    </row>
    <row r="820022" spans="1:1" x14ac:dyDescent="0.25">
      <c r="A820022" s="242"/>
    </row>
    <row r="820023" spans="1:1" x14ac:dyDescent="0.25">
      <c r="A820023" s="242"/>
    </row>
    <row r="820024" spans="1:1" x14ac:dyDescent="0.25">
      <c r="A820024" s="242"/>
    </row>
    <row r="820025" spans="1:1" x14ac:dyDescent="0.25">
      <c r="A820025" s="242"/>
    </row>
    <row r="820026" spans="1:1" x14ac:dyDescent="0.25">
      <c r="A820026" s="242"/>
    </row>
    <row r="820027" spans="1:1" x14ac:dyDescent="0.25">
      <c r="A820027" s="242"/>
    </row>
    <row r="820028" spans="1:1" x14ac:dyDescent="0.25">
      <c r="A820028" s="242"/>
    </row>
    <row r="820029" spans="1:1" x14ac:dyDescent="0.25">
      <c r="A820029" s="242"/>
    </row>
    <row r="820030" spans="1:1" x14ac:dyDescent="0.25">
      <c r="A820030" s="242"/>
    </row>
    <row r="820031" spans="1:1" x14ac:dyDescent="0.25">
      <c r="A820031" s="242"/>
    </row>
    <row r="820032" spans="1:1" x14ac:dyDescent="0.25">
      <c r="A820032" s="242"/>
    </row>
    <row r="820033" spans="1:1" x14ac:dyDescent="0.25">
      <c r="A820033" s="242"/>
    </row>
    <row r="820034" spans="1:1" x14ac:dyDescent="0.25">
      <c r="A820034" s="242"/>
    </row>
    <row r="820035" spans="1:1" x14ac:dyDescent="0.25">
      <c r="A820035" s="242"/>
    </row>
    <row r="820036" spans="1:1" x14ac:dyDescent="0.25">
      <c r="A820036" s="242"/>
    </row>
    <row r="820037" spans="1:1" x14ac:dyDescent="0.25">
      <c r="A820037" s="242"/>
    </row>
    <row r="820038" spans="1:1" x14ac:dyDescent="0.25">
      <c r="A820038" s="242"/>
    </row>
    <row r="820039" spans="1:1" x14ac:dyDescent="0.25">
      <c r="A820039" s="242"/>
    </row>
    <row r="820040" spans="1:1" x14ac:dyDescent="0.25">
      <c r="A820040" s="242"/>
    </row>
    <row r="820041" spans="1:1" x14ac:dyDescent="0.25">
      <c r="A820041" s="242"/>
    </row>
    <row r="820042" spans="1:1" x14ac:dyDescent="0.25">
      <c r="A820042" s="242"/>
    </row>
    <row r="820043" spans="1:1" x14ac:dyDescent="0.25">
      <c r="A820043" s="242"/>
    </row>
    <row r="820044" spans="1:1" x14ac:dyDescent="0.25">
      <c r="A820044" s="242"/>
    </row>
    <row r="820045" spans="1:1" x14ac:dyDescent="0.25">
      <c r="A820045" s="242"/>
    </row>
    <row r="820046" spans="1:1" x14ac:dyDescent="0.25">
      <c r="A820046" s="242"/>
    </row>
    <row r="820047" spans="1:1" x14ac:dyDescent="0.25">
      <c r="A820047" s="242"/>
    </row>
    <row r="820048" spans="1:1" x14ac:dyDescent="0.25">
      <c r="A820048" s="242"/>
    </row>
    <row r="820049" spans="1:1" x14ac:dyDescent="0.25">
      <c r="A820049" s="242"/>
    </row>
    <row r="820050" spans="1:1" x14ac:dyDescent="0.25">
      <c r="A820050" s="242"/>
    </row>
    <row r="820051" spans="1:1" x14ac:dyDescent="0.25">
      <c r="A820051" s="242"/>
    </row>
    <row r="820052" spans="1:1" x14ac:dyDescent="0.25">
      <c r="A820052" s="242"/>
    </row>
    <row r="820053" spans="1:1" x14ac:dyDescent="0.25">
      <c r="A820053" s="242"/>
    </row>
    <row r="820054" spans="1:1" x14ac:dyDescent="0.25">
      <c r="A820054" s="242"/>
    </row>
    <row r="820055" spans="1:1" x14ac:dyDescent="0.25">
      <c r="A820055" s="242"/>
    </row>
    <row r="820056" spans="1:1" x14ac:dyDescent="0.25">
      <c r="A820056" s="242"/>
    </row>
    <row r="820057" spans="1:1" x14ac:dyDescent="0.25">
      <c r="A820057" s="242"/>
    </row>
    <row r="820058" spans="1:1" x14ac:dyDescent="0.25">
      <c r="A820058" s="242"/>
    </row>
    <row r="820059" spans="1:1" x14ac:dyDescent="0.25">
      <c r="A820059" s="242"/>
    </row>
    <row r="820060" spans="1:1" x14ac:dyDescent="0.25">
      <c r="A820060" s="242"/>
    </row>
    <row r="820061" spans="1:1" x14ac:dyDescent="0.25">
      <c r="A820061" s="242"/>
    </row>
    <row r="820062" spans="1:1" x14ac:dyDescent="0.25">
      <c r="A820062" s="242"/>
    </row>
    <row r="820063" spans="1:1" x14ac:dyDescent="0.25">
      <c r="A820063" s="242"/>
    </row>
    <row r="820064" spans="1:1" x14ac:dyDescent="0.25">
      <c r="A820064" s="242"/>
    </row>
    <row r="820065" spans="1:1" x14ac:dyDescent="0.25">
      <c r="A820065" s="242"/>
    </row>
    <row r="820066" spans="1:1" x14ac:dyDescent="0.25">
      <c r="A820066" s="242"/>
    </row>
    <row r="820067" spans="1:1" x14ac:dyDescent="0.25">
      <c r="A820067" s="242"/>
    </row>
    <row r="820068" spans="1:1" x14ac:dyDescent="0.25">
      <c r="A820068" s="242"/>
    </row>
    <row r="820069" spans="1:1" x14ac:dyDescent="0.25">
      <c r="A820069" s="242"/>
    </row>
    <row r="820070" spans="1:1" x14ac:dyDescent="0.25">
      <c r="A820070" s="242"/>
    </row>
    <row r="820071" spans="1:1" x14ac:dyDescent="0.25">
      <c r="A820071" s="242"/>
    </row>
    <row r="820072" spans="1:1" x14ac:dyDescent="0.25">
      <c r="A820072" s="242"/>
    </row>
    <row r="820073" spans="1:1" x14ac:dyDescent="0.25">
      <c r="A820073" s="242"/>
    </row>
    <row r="820074" spans="1:1" x14ac:dyDescent="0.25">
      <c r="A820074" s="242"/>
    </row>
    <row r="820075" spans="1:1" x14ac:dyDescent="0.25">
      <c r="A820075" s="242"/>
    </row>
    <row r="820076" spans="1:1" x14ac:dyDescent="0.25">
      <c r="A820076" s="242"/>
    </row>
    <row r="820077" spans="1:1" x14ac:dyDescent="0.25">
      <c r="A820077" s="242"/>
    </row>
    <row r="820078" spans="1:1" x14ac:dyDescent="0.25">
      <c r="A820078" s="242"/>
    </row>
    <row r="820079" spans="1:1" x14ac:dyDescent="0.25">
      <c r="A820079" s="242"/>
    </row>
    <row r="820080" spans="1:1" x14ac:dyDescent="0.25">
      <c r="A820080" s="242"/>
    </row>
    <row r="820081" spans="1:1" x14ac:dyDescent="0.25">
      <c r="A820081" s="242"/>
    </row>
    <row r="820082" spans="1:1" x14ac:dyDescent="0.25">
      <c r="A820082" s="242"/>
    </row>
    <row r="820083" spans="1:1" x14ac:dyDescent="0.25">
      <c r="A820083" s="242"/>
    </row>
    <row r="820084" spans="1:1" x14ac:dyDescent="0.25">
      <c r="A820084" s="242"/>
    </row>
    <row r="820085" spans="1:1" x14ac:dyDescent="0.25">
      <c r="A820085" s="242"/>
    </row>
    <row r="820086" spans="1:1" x14ac:dyDescent="0.25">
      <c r="A820086" s="242"/>
    </row>
    <row r="820087" spans="1:1" x14ac:dyDescent="0.25">
      <c r="A820087" s="242"/>
    </row>
    <row r="820088" spans="1:1" x14ac:dyDescent="0.25">
      <c r="A820088" s="242"/>
    </row>
    <row r="820089" spans="1:1" x14ac:dyDescent="0.25">
      <c r="A820089" s="242"/>
    </row>
    <row r="820090" spans="1:1" x14ac:dyDescent="0.25">
      <c r="A820090" s="242"/>
    </row>
    <row r="820091" spans="1:1" x14ac:dyDescent="0.25">
      <c r="A820091" s="242"/>
    </row>
    <row r="820092" spans="1:1" x14ac:dyDescent="0.25">
      <c r="A820092" s="242"/>
    </row>
    <row r="820093" spans="1:1" x14ac:dyDescent="0.25">
      <c r="A820093" s="242"/>
    </row>
    <row r="820094" spans="1:1" x14ac:dyDescent="0.25">
      <c r="A820094" s="242"/>
    </row>
    <row r="820095" spans="1:1" x14ac:dyDescent="0.25">
      <c r="A820095" s="242"/>
    </row>
    <row r="820096" spans="1:1" x14ac:dyDescent="0.25">
      <c r="A820096" s="242"/>
    </row>
    <row r="820097" spans="1:1" x14ac:dyDescent="0.25">
      <c r="A820097" s="242"/>
    </row>
    <row r="820098" spans="1:1" x14ac:dyDescent="0.25">
      <c r="A820098" s="242"/>
    </row>
    <row r="820099" spans="1:1" x14ac:dyDescent="0.25">
      <c r="A820099" s="242"/>
    </row>
    <row r="820100" spans="1:1" x14ac:dyDescent="0.25">
      <c r="A820100" s="242"/>
    </row>
    <row r="820101" spans="1:1" x14ac:dyDescent="0.25">
      <c r="A820101" s="242"/>
    </row>
    <row r="820102" spans="1:1" x14ac:dyDescent="0.25">
      <c r="A820102" s="242"/>
    </row>
    <row r="820103" spans="1:1" x14ac:dyDescent="0.25">
      <c r="A820103" s="242"/>
    </row>
    <row r="820104" spans="1:1" x14ac:dyDescent="0.25">
      <c r="A820104" s="242"/>
    </row>
    <row r="820105" spans="1:1" x14ac:dyDescent="0.25">
      <c r="A820105" s="242"/>
    </row>
    <row r="820106" spans="1:1" x14ac:dyDescent="0.25">
      <c r="A820106" s="242"/>
    </row>
    <row r="820107" spans="1:1" x14ac:dyDescent="0.25">
      <c r="A820107" s="242"/>
    </row>
    <row r="820108" spans="1:1" x14ac:dyDescent="0.25">
      <c r="A820108" s="242"/>
    </row>
    <row r="820109" spans="1:1" x14ac:dyDescent="0.25">
      <c r="A820109" s="242"/>
    </row>
    <row r="820110" spans="1:1" x14ac:dyDescent="0.25">
      <c r="A820110" s="242"/>
    </row>
    <row r="820111" spans="1:1" x14ac:dyDescent="0.25">
      <c r="A820111" s="242"/>
    </row>
    <row r="820112" spans="1:1" x14ac:dyDescent="0.25">
      <c r="A820112" s="242"/>
    </row>
    <row r="820113" spans="1:1" x14ac:dyDescent="0.25">
      <c r="A820113" s="242"/>
    </row>
    <row r="820114" spans="1:1" x14ac:dyDescent="0.25">
      <c r="A820114" s="242"/>
    </row>
    <row r="820115" spans="1:1" x14ac:dyDescent="0.25">
      <c r="A820115" s="242"/>
    </row>
    <row r="820116" spans="1:1" x14ac:dyDescent="0.25">
      <c r="A820116" s="242"/>
    </row>
    <row r="820117" spans="1:1" x14ac:dyDescent="0.25">
      <c r="A820117" s="242"/>
    </row>
    <row r="820118" spans="1:1" x14ac:dyDescent="0.25">
      <c r="A820118" s="242"/>
    </row>
    <row r="820119" spans="1:1" x14ac:dyDescent="0.25">
      <c r="A820119" s="242"/>
    </row>
    <row r="820120" spans="1:1" x14ac:dyDescent="0.25">
      <c r="A820120" s="242"/>
    </row>
    <row r="820121" spans="1:1" x14ac:dyDescent="0.25">
      <c r="A820121" s="242"/>
    </row>
    <row r="820122" spans="1:1" x14ac:dyDescent="0.25">
      <c r="A820122" s="242"/>
    </row>
    <row r="820123" spans="1:1" x14ac:dyDescent="0.25">
      <c r="A820123" s="242"/>
    </row>
    <row r="820124" spans="1:1" x14ac:dyDescent="0.25">
      <c r="A820124" s="242"/>
    </row>
    <row r="820125" spans="1:1" x14ac:dyDescent="0.25">
      <c r="A820125" s="242"/>
    </row>
    <row r="820126" spans="1:1" x14ac:dyDescent="0.25">
      <c r="A820126" s="242"/>
    </row>
    <row r="820127" spans="1:1" x14ac:dyDescent="0.25">
      <c r="A820127" s="242"/>
    </row>
    <row r="820128" spans="1:1" x14ac:dyDescent="0.25">
      <c r="A820128" s="242"/>
    </row>
    <row r="820129" spans="1:1" x14ac:dyDescent="0.25">
      <c r="A820129" s="242"/>
    </row>
    <row r="820130" spans="1:1" x14ac:dyDescent="0.25">
      <c r="A820130" s="242"/>
    </row>
    <row r="820131" spans="1:1" x14ac:dyDescent="0.25">
      <c r="A820131" s="242"/>
    </row>
    <row r="820132" spans="1:1" x14ac:dyDescent="0.25">
      <c r="A820132" s="242"/>
    </row>
    <row r="820133" spans="1:1" x14ac:dyDescent="0.25">
      <c r="A820133" s="242"/>
    </row>
    <row r="820134" spans="1:1" x14ac:dyDescent="0.25">
      <c r="A820134" s="242"/>
    </row>
    <row r="820135" spans="1:1" x14ac:dyDescent="0.25">
      <c r="A820135" s="242"/>
    </row>
    <row r="820136" spans="1:1" x14ac:dyDescent="0.25">
      <c r="A820136" s="242"/>
    </row>
    <row r="820137" spans="1:1" x14ac:dyDescent="0.25">
      <c r="A820137" s="242"/>
    </row>
    <row r="820138" spans="1:1" x14ac:dyDescent="0.25">
      <c r="A820138" s="242"/>
    </row>
    <row r="820139" spans="1:1" x14ac:dyDescent="0.25">
      <c r="A820139" s="242"/>
    </row>
    <row r="820140" spans="1:1" x14ac:dyDescent="0.25">
      <c r="A820140" s="242"/>
    </row>
    <row r="820141" spans="1:1" x14ac:dyDescent="0.25">
      <c r="A820141" s="242"/>
    </row>
    <row r="820142" spans="1:1" x14ac:dyDescent="0.25">
      <c r="A820142" s="242"/>
    </row>
    <row r="820143" spans="1:1" x14ac:dyDescent="0.25">
      <c r="A820143" s="242"/>
    </row>
    <row r="820144" spans="1:1" x14ac:dyDescent="0.25">
      <c r="A820144" s="242"/>
    </row>
    <row r="820145" spans="1:1" x14ac:dyDescent="0.25">
      <c r="A820145" s="242"/>
    </row>
    <row r="820146" spans="1:1" x14ac:dyDescent="0.25">
      <c r="A820146" s="242"/>
    </row>
    <row r="820147" spans="1:1" x14ac:dyDescent="0.25">
      <c r="A820147" s="242"/>
    </row>
    <row r="820148" spans="1:1" x14ac:dyDescent="0.25">
      <c r="A820148" s="242"/>
    </row>
    <row r="820149" spans="1:1" x14ac:dyDescent="0.25">
      <c r="A820149" s="242"/>
    </row>
    <row r="820150" spans="1:1" x14ac:dyDescent="0.25">
      <c r="A820150" s="242"/>
    </row>
    <row r="820151" spans="1:1" x14ac:dyDescent="0.25">
      <c r="A820151" s="242"/>
    </row>
    <row r="820152" spans="1:1" x14ac:dyDescent="0.25">
      <c r="A820152" s="242"/>
    </row>
    <row r="820153" spans="1:1" x14ac:dyDescent="0.25">
      <c r="A820153" s="242"/>
    </row>
    <row r="820154" spans="1:1" x14ac:dyDescent="0.25">
      <c r="A820154" s="242"/>
    </row>
    <row r="820155" spans="1:1" x14ac:dyDescent="0.25">
      <c r="A820155" s="242"/>
    </row>
    <row r="820156" spans="1:1" x14ac:dyDescent="0.25">
      <c r="A820156" s="242"/>
    </row>
    <row r="820157" spans="1:1" x14ac:dyDescent="0.25">
      <c r="A820157" s="242"/>
    </row>
    <row r="820158" spans="1:1" x14ac:dyDescent="0.25">
      <c r="A820158" s="242"/>
    </row>
    <row r="820159" spans="1:1" x14ac:dyDescent="0.25">
      <c r="A820159" s="242"/>
    </row>
    <row r="820160" spans="1:1" x14ac:dyDescent="0.25">
      <c r="A820160" s="242"/>
    </row>
    <row r="820161" spans="1:1" x14ac:dyDescent="0.25">
      <c r="A820161" s="242"/>
    </row>
    <row r="820162" spans="1:1" x14ac:dyDescent="0.25">
      <c r="A820162" s="242"/>
    </row>
    <row r="820163" spans="1:1" x14ac:dyDescent="0.25">
      <c r="A820163" s="242"/>
    </row>
    <row r="820164" spans="1:1" x14ac:dyDescent="0.25">
      <c r="A820164" s="242"/>
    </row>
    <row r="820165" spans="1:1" x14ac:dyDescent="0.25">
      <c r="A820165" s="242"/>
    </row>
    <row r="820166" spans="1:1" x14ac:dyDescent="0.25">
      <c r="A820166" s="242"/>
    </row>
    <row r="820167" spans="1:1" x14ac:dyDescent="0.25">
      <c r="A820167" s="242"/>
    </row>
    <row r="820168" spans="1:1" x14ac:dyDescent="0.25">
      <c r="A820168" s="242"/>
    </row>
    <row r="820169" spans="1:1" x14ac:dyDescent="0.25">
      <c r="A820169" s="242"/>
    </row>
    <row r="820170" spans="1:1" x14ac:dyDescent="0.25">
      <c r="A820170" s="242"/>
    </row>
    <row r="820171" spans="1:1" x14ac:dyDescent="0.25">
      <c r="A820171" s="242"/>
    </row>
    <row r="820172" spans="1:1" x14ac:dyDescent="0.25">
      <c r="A820172" s="242"/>
    </row>
    <row r="820173" spans="1:1" x14ac:dyDescent="0.25">
      <c r="A820173" s="242"/>
    </row>
    <row r="820174" spans="1:1" x14ac:dyDescent="0.25">
      <c r="A820174" s="242"/>
    </row>
    <row r="820175" spans="1:1" x14ac:dyDescent="0.25">
      <c r="A820175" s="242"/>
    </row>
    <row r="820176" spans="1:1" x14ac:dyDescent="0.25">
      <c r="A820176" s="242"/>
    </row>
    <row r="820177" spans="1:1" x14ac:dyDescent="0.25">
      <c r="A820177" s="242"/>
    </row>
    <row r="820178" spans="1:1" x14ac:dyDescent="0.25">
      <c r="A820178" s="242"/>
    </row>
    <row r="820179" spans="1:1" x14ac:dyDescent="0.25">
      <c r="A820179" s="242"/>
    </row>
    <row r="820180" spans="1:1" x14ac:dyDescent="0.25">
      <c r="A820180" s="242"/>
    </row>
    <row r="820181" spans="1:1" x14ac:dyDescent="0.25">
      <c r="A820181" s="242"/>
    </row>
    <row r="820182" spans="1:1" x14ac:dyDescent="0.25">
      <c r="A820182" s="242"/>
    </row>
    <row r="820183" spans="1:1" x14ac:dyDescent="0.25">
      <c r="A820183" s="242"/>
    </row>
    <row r="820184" spans="1:1" x14ac:dyDescent="0.25">
      <c r="A820184" s="242"/>
    </row>
    <row r="820185" spans="1:1" x14ac:dyDescent="0.25">
      <c r="A820185" s="242"/>
    </row>
    <row r="820186" spans="1:1" x14ac:dyDescent="0.25">
      <c r="A820186" s="242"/>
    </row>
    <row r="820187" spans="1:1" x14ac:dyDescent="0.25">
      <c r="A820187" s="242"/>
    </row>
    <row r="820188" spans="1:1" x14ac:dyDescent="0.25">
      <c r="A820188" s="242"/>
    </row>
    <row r="820189" spans="1:1" x14ac:dyDescent="0.25">
      <c r="A820189" s="242"/>
    </row>
    <row r="820190" spans="1:1" x14ac:dyDescent="0.25">
      <c r="A820190" s="242"/>
    </row>
    <row r="820191" spans="1:1" x14ac:dyDescent="0.25">
      <c r="A820191" s="242"/>
    </row>
    <row r="820192" spans="1:1" x14ac:dyDescent="0.25">
      <c r="A820192" s="242"/>
    </row>
    <row r="820193" spans="1:1" x14ac:dyDescent="0.25">
      <c r="A820193" s="242"/>
    </row>
    <row r="820194" spans="1:1" x14ac:dyDescent="0.25">
      <c r="A820194" s="242"/>
    </row>
    <row r="820195" spans="1:1" x14ac:dyDescent="0.25">
      <c r="A820195" s="242"/>
    </row>
    <row r="820196" spans="1:1" x14ac:dyDescent="0.25">
      <c r="A820196" s="242"/>
    </row>
    <row r="820197" spans="1:1" x14ac:dyDescent="0.25">
      <c r="A820197" s="242"/>
    </row>
    <row r="820198" spans="1:1" x14ac:dyDescent="0.25">
      <c r="A820198" s="242"/>
    </row>
    <row r="820199" spans="1:1" x14ac:dyDescent="0.25">
      <c r="A820199" s="242"/>
    </row>
    <row r="820200" spans="1:1" x14ac:dyDescent="0.25">
      <c r="A820200" s="242"/>
    </row>
    <row r="820201" spans="1:1" x14ac:dyDescent="0.25">
      <c r="A820201" s="242"/>
    </row>
    <row r="820202" spans="1:1" x14ac:dyDescent="0.25">
      <c r="A820202" s="242"/>
    </row>
    <row r="820203" spans="1:1" x14ac:dyDescent="0.25">
      <c r="A820203" s="242"/>
    </row>
    <row r="820204" spans="1:1" x14ac:dyDescent="0.25">
      <c r="A820204" s="242"/>
    </row>
    <row r="820205" spans="1:1" x14ac:dyDescent="0.25">
      <c r="A820205" s="242"/>
    </row>
    <row r="820206" spans="1:1" x14ac:dyDescent="0.25">
      <c r="A820206" s="242"/>
    </row>
    <row r="820207" spans="1:1" x14ac:dyDescent="0.25">
      <c r="A820207" s="242"/>
    </row>
    <row r="820208" spans="1:1" x14ac:dyDescent="0.25">
      <c r="A820208" s="242"/>
    </row>
    <row r="820209" spans="1:1" x14ac:dyDescent="0.25">
      <c r="A820209" s="242"/>
    </row>
    <row r="820210" spans="1:1" x14ac:dyDescent="0.25">
      <c r="A820210" s="242"/>
    </row>
    <row r="820211" spans="1:1" x14ac:dyDescent="0.25">
      <c r="A820211" s="242"/>
    </row>
    <row r="820212" spans="1:1" x14ac:dyDescent="0.25">
      <c r="A820212" s="242"/>
    </row>
    <row r="820213" spans="1:1" x14ac:dyDescent="0.25">
      <c r="A820213" s="242"/>
    </row>
    <row r="820214" spans="1:1" x14ac:dyDescent="0.25">
      <c r="A820214" s="242"/>
    </row>
    <row r="820215" spans="1:1" x14ac:dyDescent="0.25">
      <c r="A820215" s="242"/>
    </row>
    <row r="820216" spans="1:1" x14ac:dyDescent="0.25">
      <c r="A820216" s="242"/>
    </row>
    <row r="820217" spans="1:1" x14ac:dyDescent="0.25">
      <c r="A820217" s="242"/>
    </row>
    <row r="820218" spans="1:1" x14ac:dyDescent="0.25">
      <c r="A820218" s="242"/>
    </row>
    <row r="820219" spans="1:1" x14ac:dyDescent="0.25">
      <c r="A820219" s="242"/>
    </row>
    <row r="820220" spans="1:1" x14ac:dyDescent="0.25">
      <c r="A820220" s="242"/>
    </row>
    <row r="820221" spans="1:1" x14ac:dyDescent="0.25">
      <c r="A820221" s="242"/>
    </row>
    <row r="820222" spans="1:1" x14ac:dyDescent="0.25">
      <c r="A820222" s="242"/>
    </row>
    <row r="820223" spans="1:1" x14ac:dyDescent="0.25">
      <c r="A820223" s="242"/>
    </row>
    <row r="820224" spans="1:1" x14ac:dyDescent="0.25">
      <c r="A820224" s="242"/>
    </row>
    <row r="820225" spans="1:1" x14ac:dyDescent="0.25">
      <c r="A820225" s="242"/>
    </row>
    <row r="820226" spans="1:1" x14ac:dyDescent="0.25">
      <c r="A820226" s="242"/>
    </row>
    <row r="820227" spans="1:1" x14ac:dyDescent="0.25">
      <c r="A820227" s="242"/>
    </row>
    <row r="820228" spans="1:1" x14ac:dyDescent="0.25">
      <c r="A820228" s="242"/>
    </row>
    <row r="820229" spans="1:1" x14ac:dyDescent="0.25">
      <c r="A820229" s="242"/>
    </row>
    <row r="820230" spans="1:1" x14ac:dyDescent="0.25">
      <c r="A820230" s="242"/>
    </row>
    <row r="820231" spans="1:1" x14ac:dyDescent="0.25">
      <c r="A820231" s="242"/>
    </row>
    <row r="820232" spans="1:1" x14ac:dyDescent="0.25">
      <c r="A820232" s="242"/>
    </row>
    <row r="820233" spans="1:1" x14ac:dyDescent="0.25">
      <c r="A820233" s="242"/>
    </row>
    <row r="820234" spans="1:1" x14ac:dyDescent="0.25">
      <c r="A820234" s="242"/>
    </row>
    <row r="820235" spans="1:1" x14ac:dyDescent="0.25">
      <c r="A820235" s="242"/>
    </row>
    <row r="820236" spans="1:1" x14ac:dyDescent="0.25">
      <c r="A820236" s="242"/>
    </row>
    <row r="820237" spans="1:1" x14ac:dyDescent="0.25">
      <c r="A820237" s="242"/>
    </row>
    <row r="820238" spans="1:1" x14ac:dyDescent="0.25">
      <c r="A820238" s="242"/>
    </row>
    <row r="820239" spans="1:1" x14ac:dyDescent="0.25">
      <c r="A820239" s="242"/>
    </row>
    <row r="820240" spans="1:1" x14ac:dyDescent="0.25">
      <c r="A820240" s="242"/>
    </row>
    <row r="820241" spans="1:1" x14ac:dyDescent="0.25">
      <c r="A820241" s="242"/>
    </row>
    <row r="820242" spans="1:1" x14ac:dyDescent="0.25">
      <c r="A820242" s="242"/>
    </row>
    <row r="820243" spans="1:1" x14ac:dyDescent="0.25">
      <c r="A820243" s="242"/>
    </row>
    <row r="820244" spans="1:1" x14ac:dyDescent="0.25">
      <c r="A820244" s="242"/>
    </row>
    <row r="820245" spans="1:1" x14ac:dyDescent="0.25">
      <c r="A820245" s="242"/>
    </row>
    <row r="820246" spans="1:1" x14ac:dyDescent="0.25">
      <c r="A820246" s="242"/>
    </row>
    <row r="820247" spans="1:1" x14ac:dyDescent="0.25">
      <c r="A820247" s="242"/>
    </row>
    <row r="820248" spans="1:1" x14ac:dyDescent="0.25">
      <c r="A820248" s="242"/>
    </row>
    <row r="820249" spans="1:1" x14ac:dyDescent="0.25">
      <c r="A820249" s="242"/>
    </row>
    <row r="820250" spans="1:1" x14ac:dyDescent="0.25">
      <c r="A820250" s="242"/>
    </row>
    <row r="820251" spans="1:1" x14ac:dyDescent="0.25">
      <c r="A820251" s="242"/>
    </row>
    <row r="820252" spans="1:1" x14ac:dyDescent="0.25">
      <c r="A820252" s="242"/>
    </row>
    <row r="820253" spans="1:1" x14ac:dyDescent="0.25">
      <c r="A820253" s="242"/>
    </row>
    <row r="820254" spans="1:1" x14ac:dyDescent="0.25">
      <c r="A820254" s="242"/>
    </row>
    <row r="820255" spans="1:1" x14ac:dyDescent="0.25">
      <c r="A820255" s="242"/>
    </row>
    <row r="820256" spans="1:1" x14ac:dyDescent="0.25">
      <c r="A820256" s="242"/>
    </row>
    <row r="820257" spans="1:1" x14ac:dyDescent="0.25">
      <c r="A820257" s="242"/>
    </row>
    <row r="820258" spans="1:1" x14ac:dyDescent="0.25">
      <c r="A820258" s="242"/>
    </row>
    <row r="820259" spans="1:1" x14ac:dyDescent="0.25">
      <c r="A820259" s="242"/>
    </row>
    <row r="820260" spans="1:1" x14ac:dyDescent="0.25">
      <c r="A820260" s="242"/>
    </row>
    <row r="820261" spans="1:1" x14ac:dyDescent="0.25">
      <c r="A820261" s="242"/>
    </row>
    <row r="820262" spans="1:1" x14ac:dyDescent="0.25">
      <c r="A820262" s="242"/>
    </row>
    <row r="820263" spans="1:1" x14ac:dyDescent="0.25">
      <c r="A820263" s="242"/>
    </row>
    <row r="820264" spans="1:1" x14ac:dyDescent="0.25">
      <c r="A820264" s="242"/>
    </row>
    <row r="820265" spans="1:1" x14ac:dyDescent="0.25">
      <c r="A820265" s="242"/>
    </row>
    <row r="820266" spans="1:1" x14ac:dyDescent="0.25">
      <c r="A820266" s="242"/>
    </row>
    <row r="820267" spans="1:1" x14ac:dyDescent="0.25">
      <c r="A820267" s="242"/>
    </row>
    <row r="820268" spans="1:1" x14ac:dyDescent="0.25">
      <c r="A820268" s="242"/>
    </row>
    <row r="820269" spans="1:1" x14ac:dyDescent="0.25">
      <c r="A820269" s="242"/>
    </row>
    <row r="820270" spans="1:1" x14ac:dyDescent="0.25">
      <c r="A820270" s="242"/>
    </row>
    <row r="820271" spans="1:1" x14ac:dyDescent="0.25">
      <c r="A820271" s="242"/>
    </row>
    <row r="820272" spans="1:1" x14ac:dyDescent="0.25">
      <c r="A820272" s="242"/>
    </row>
    <row r="820273" spans="1:1" x14ac:dyDescent="0.25">
      <c r="A820273" s="242"/>
    </row>
    <row r="820274" spans="1:1" x14ac:dyDescent="0.25">
      <c r="A820274" s="242"/>
    </row>
    <row r="820275" spans="1:1" x14ac:dyDescent="0.25">
      <c r="A820275" s="242"/>
    </row>
    <row r="820276" spans="1:1" x14ac:dyDescent="0.25">
      <c r="A820276" s="242"/>
    </row>
    <row r="820277" spans="1:1" x14ac:dyDescent="0.25">
      <c r="A820277" s="242"/>
    </row>
    <row r="820278" spans="1:1" x14ac:dyDescent="0.25">
      <c r="A820278" s="242"/>
    </row>
    <row r="820279" spans="1:1" x14ac:dyDescent="0.25">
      <c r="A820279" s="242"/>
    </row>
    <row r="820280" spans="1:1" x14ac:dyDescent="0.25">
      <c r="A820280" s="242"/>
    </row>
    <row r="820281" spans="1:1" x14ac:dyDescent="0.25">
      <c r="A820281" s="242"/>
    </row>
    <row r="820282" spans="1:1" x14ac:dyDescent="0.25">
      <c r="A820282" s="242"/>
    </row>
    <row r="820283" spans="1:1" x14ac:dyDescent="0.25">
      <c r="A820283" s="242"/>
    </row>
    <row r="820284" spans="1:1" x14ac:dyDescent="0.25">
      <c r="A820284" s="242"/>
    </row>
    <row r="820285" spans="1:1" x14ac:dyDescent="0.25">
      <c r="A820285" s="242"/>
    </row>
    <row r="820286" spans="1:1" x14ac:dyDescent="0.25">
      <c r="A820286" s="242"/>
    </row>
    <row r="820287" spans="1:1" x14ac:dyDescent="0.25">
      <c r="A820287" s="242"/>
    </row>
    <row r="820288" spans="1:1" x14ac:dyDescent="0.25">
      <c r="A820288" s="242"/>
    </row>
    <row r="820289" spans="1:1" x14ac:dyDescent="0.25">
      <c r="A820289" s="242"/>
    </row>
    <row r="820290" spans="1:1" x14ac:dyDescent="0.25">
      <c r="A820290" s="242"/>
    </row>
    <row r="820291" spans="1:1" x14ac:dyDescent="0.25">
      <c r="A820291" s="242"/>
    </row>
    <row r="820292" spans="1:1" x14ac:dyDescent="0.25">
      <c r="A820292" s="242"/>
    </row>
    <row r="820293" spans="1:1" x14ac:dyDescent="0.25">
      <c r="A820293" s="242"/>
    </row>
    <row r="820294" spans="1:1" x14ac:dyDescent="0.25">
      <c r="A820294" s="242"/>
    </row>
    <row r="820295" spans="1:1" x14ac:dyDescent="0.25">
      <c r="A820295" s="242"/>
    </row>
    <row r="820296" spans="1:1" x14ac:dyDescent="0.25">
      <c r="A820296" s="242"/>
    </row>
    <row r="820297" spans="1:1" x14ac:dyDescent="0.25">
      <c r="A820297" s="242"/>
    </row>
    <row r="820298" spans="1:1" x14ac:dyDescent="0.25">
      <c r="A820298" s="242"/>
    </row>
    <row r="820299" spans="1:1" x14ac:dyDescent="0.25">
      <c r="A820299" s="242"/>
    </row>
    <row r="820300" spans="1:1" x14ac:dyDescent="0.25">
      <c r="A820300" s="242"/>
    </row>
    <row r="820301" spans="1:1" x14ac:dyDescent="0.25">
      <c r="A820301" s="242"/>
    </row>
    <row r="820302" spans="1:1" x14ac:dyDescent="0.25">
      <c r="A820302" s="242"/>
    </row>
    <row r="820303" spans="1:1" x14ac:dyDescent="0.25">
      <c r="A820303" s="242"/>
    </row>
    <row r="820304" spans="1:1" x14ac:dyDescent="0.25">
      <c r="A820304" s="242"/>
    </row>
    <row r="820305" spans="1:1" x14ac:dyDescent="0.25">
      <c r="A820305" s="242"/>
    </row>
    <row r="820306" spans="1:1" x14ac:dyDescent="0.25">
      <c r="A820306" s="242"/>
    </row>
    <row r="820307" spans="1:1" x14ac:dyDescent="0.25">
      <c r="A820307" s="242"/>
    </row>
    <row r="820308" spans="1:1" x14ac:dyDescent="0.25">
      <c r="A820308" s="242"/>
    </row>
    <row r="820309" spans="1:1" x14ac:dyDescent="0.25">
      <c r="A820309" s="242"/>
    </row>
    <row r="820310" spans="1:1" x14ac:dyDescent="0.25">
      <c r="A820310" s="242"/>
    </row>
    <row r="820311" spans="1:1" x14ac:dyDescent="0.25">
      <c r="A820311" s="242"/>
    </row>
    <row r="820312" spans="1:1" x14ac:dyDescent="0.25">
      <c r="A820312" s="242"/>
    </row>
    <row r="820313" spans="1:1" x14ac:dyDescent="0.25">
      <c r="A820313" s="242"/>
    </row>
    <row r="820314" spans="1:1" x14ac:dyDescent="0.25">
      <c r="A820314" s="242"/>
    </row>
    <row r="820315" spans="1:1" x14ac:dyDescent="0.25">
      <c r="A820315" s="242"/>
    </row>
    <row r="820316" spans="1:1" x14ac:dyDescent="0.25">
      <c r="A820316" s="242"/>
    </row>
    <row r="820317" spans="1:1" x14ac:dyDescent="0.25">
      <c r="A820317" s="242"/>
    </row>
    <row r="820318" spans="1:1" x14ac:dyDescent="0.25">
      <c r="A820318" s="242"/>
    </row>
    <row r="820319" spans="1:1" x14ac:dyDescent="0.25">
      <c r="A820319" s="242"/>
    </row>
    <row r="820320" spans="1:1" x14ac:dyDescent="0.25">
      <c r="A820320" s="242"/>
    </row>
    <row r="820321" spans="1:1" x14ac:dyDescent="0.25">
      <c r="A820321" s="242"/>
    </row>
    <row r="820322" spans="1:1" x14ac:dyDescent="0.25">
      <c r="A820322" s="242"/>
    </row>
    <row r="820323" spans="1:1" x14ac:dyDescent="0.25">
      <c r="A820323" s="242"/>
    </row>
    <row r="820324" spans="1:1" x14ac:dyDescent="0.25">
      <c r="A820324" s="242"/>
    </row>
    <row r="820325" spans="1:1" x14ac:dyDescent="0.25">
      <c r="A820325" s="242"/>
    </row>
    <row r="820326" spans="1:1" x14ac:dyDescent="0.25">
      <c r="A820326" s="242"/>
    </row>
    <row r="820327" spans="1:1" x14ac:dyDescent="0.25">
      <c r="A820327" s="242"/>
    </row>
    <row r="820328" spans="1:1" x14ac:dyDescent="0.25">
      <c r="A820328" s="242"/>
    </row>
    <row r="820329" spans="1:1" x14ac:dyDescent="0.25">
      <c r="A820329" s="242"/>
    </row>
    <row r="820330" spans="1:1" x14ac:dyDescent="0.25">
      <c r="A820330" s="242"/>
    </row>
    <row r="820331" spans="1:1" x14ac:dyDescent="0.25">
      <c r="A820331" s="242"/>
    </row>
    <row r="820332" spans="1:1" x14ac:dyDescent="0.25">
      <c r="A820332" s="242"/>
    </row>
    <row r="820333" spans="1:1" x14ac:dyDescent="0.25">
      <c r="A820333" s="242"/>
    </row>
    <row r="820334" spans="1:1" x14ac:dyDescent="0.25">
      <c r="A820334" s="242"/>
    </row>
    <row r="820335" spans="1:1" x14ac:dyDescent="0.25">
      <c r="A820335" s="242"/>
    </row>
    <row r="820336" spans="1:1" x14ac:dyDescent="0.25">
      <c r="A820336" s="242"/>
    </row>
    <row r="820337" spans="1:1" x14ac:dyDescent="0.25">
      <c r="A820337" s="242"/>
    </row>
    <row r="820338" spans="1:1" x14ac:dyDescent="0.25">
      <c r="A820338" s="242"/>
    </row>
    <row r="820339" spans="1:1" x14ac:dyDescent="0.25">
      <c r="A820339" s="242"/>
    </row>
    <row r="820340" spans="1:1" x14ac:dyDescent="0.25">
      <c r="A820340" s="242"/>
    </row>
    <row r="820341" spans="1:1" x14ac:dyDescent="0.25">
      <c r="A820341" s="242"/>
    </row>
    <row r="820342" spans="1:1" x14ac:dyDescent="0.25">
      <c r="A820342" s="242"/>
    </row>
    <row r="820343" spans="1:1" x14ac:dyDescent="0.25">
      <c r="A820343" s="242"/>
    </row>
    <row r="820344" spans="1:1" x14ac:dyDescent="0.25">
      <c r="A820344" s="242"/>
    </row>
    <row r="820345" spans="1:1" x14ac:dyDescent="0.25">
      <c r="A820345" s="242"/>
    </row>
    <row r="820346" spans="1:1" x14ac:dyDescent="0.25">
      <c r="A820346" s="242"/>
    </row>
    <row r="820347" spans="1:1" x14ac:dyDescent="0.25">
      <c r="A820347" s="242"/>
    </row>
    <row r="820348" spans="1:1" x14ac:dyDescent="0.25">
      <c r="A820348" s="242"/>
    </row>
    <row r="820349" spans="1:1" x14ac:dyDescent="0.25">
      <c r="A820349" s="242"/>
    </row>
    <row r="820350" spans="1:1" x14ac:dyDescent="0.25">
      <c r="A820350" s="242"/>
    </row>
    <row r="820351" spans="1:1" x14ac:dyDescent="0.25">
      <c r="A820351" s="242"/>
    </row>
    <row r="820352" spans="1:1" x14ac:dyDescent="0.25">
      <c r="A820352" s="242"/>
    </row>
    <row r="820353" spans="1:1" x14ac:dyDescent="0.25">
      <c r="A820353" s="242"/>
    </row>
    <row r="820354" spans="1:1" x14ac:dyDescent="0.25">
      <c r="A820354" s="242"/>
    </row>
    <row r="820355" spans="1:1" x14ac:dyDescent="0.25">
      <c r="A820355" s="242"/>
    </row>
    <row r="820356" spans="1:1" x14ac:dyDescent="0.25">
      <c r="A820356" s="242"/>
    </row>
    <row r="820357" spans="1:1" x14ac:dyDescent="0.25">
      <c r="A820357" s="242"/>
    </row>
    <row r="820358" spans="1:1" x14ac:dyDescent="0.25">
      <c r="A820358" s="242"/>
    </row>
    <row r="820359" spans="1:1" x14ac:dyDescent="0.25">
      <c r="A820359" s="242"/>
    </row>
    <row r="820360" spans="1:1" x14ac:dyDescent="0.25">
      <c r="A820360" s="242"/>
    </row>
    <row r="820361" spans="1:1" x14ac:dyDescent="0.25">
      <c r="A820361" s="242"/>
    </row>
    <row r="820362" spans="1:1" x14ac:dyDescent="0.25">
      <c r="A820362" s="242"/>
    </row>
    <row r="820363" spans="1:1" x14ac:dyDescent="0.25">
      <c r="A820363" s="242"/>
    </row>
    <row r="820364" spans="1:1" x14ac:dyDescent="0.25">
      <c r="A820364" s="242"/>
    </row>
    <row r="820365" spans="1:1" x14ac:dyDescent="0.25">
      <c r="A820365" s="242"/>
    </row>
    <row r="820366" spans="1:1" x14ac:dyDescent="0.25">
      <c r="A820366" s="242"/>
    </row>
    <row r="820367" spans="1:1" x14ac:dyDescent="0.25">
      <c r="A820367" s="242"/>
    </row>
    <row r="820368" spans="1:1" x14ac:dyDescent="0.25">
      <c r="A820368" s="242"/>
    </row>
    <row r="820369" spans="1:1" x14ac:dyDescent="0.25">
      <c r="A820369" s="242"/>
    </row>
    <row r="820370" spans="1:1" x14ac:dyDescent="0.25">
      <c r="A820370" s="242"/>
    </row>
    <row r="820371" spans="1:1" x14ac:dyDescent="0.25">
      <c r="A820371" s="242"/>
    </row>
    <row r="820372" spans="1:1" x14ac:dyDescent="0.25">
      <c r="A820372" s="242"/>
    </row>
    <row r="820373" spans="1:1" x14ac:dyDescent="0.25">
      <c r="A820373" s="242"/>
    </row>
    <row r="820374" spans="1:1" x14ac:dyDescent="0.25">
      <c r="A820374" s="242"/>
    </row>
    <row r="820375" spans="1:1" x14ac:dyDescent="0.25">
      <c r="A820375" s="242"/>
    </row>
    <row r="820376" spans="1:1" x14ac:dyDescent="0.25">
      <c r="A820376" s="242"/>
    </row>
    <row r="820377" spans="1:1" x14ac:dyDescent="0.25">
      <c r="A820377" s="242"/>
    </row>
    <row r="820378" spans="1:1" x14ac:dyDescent="0.25">
      <c r="A820378" s="242"/>
    </row>
    <row r="820379" spans="1:1" x14ac:dyDescent="0.25">
      <c r="A820379" s="242"/>
    </row>
    <row r="820380" spans="1:1" x14ac:dyDescent="0.25">
      <c r="A820380" s="242"/>
    </row>
    <row r="820381" spans="1:1" x14ac:dyDescent="0.25">
      <c r="A820381" s="242"/>
    </row>
    <row r="820382" spans="1:1" x14ac:dyDescent="0.25">
      <c r="A820382" s="242"/>
    </row>
    <row r="820383" spans="1:1" x14ac:dyDescent="0.25">
      <c r="A820383" s="242"/>
    </row>
    <row r="820384" spans="1:1" x14ac:dyDescent="0.25">
      <c r="A820384" s="242"/>
    </row>
    <row r="820385" spans="1:1" x14ac:dyDescent="0.25">
      <c r="A820385" s="242"/>
    </row>
    <row r="820386" spans="1:1" x14ac:dyDescent="0.25">
      <c r="A820386" s="242"/>
    </row>
    <row r="820387" spans="1:1" x14ac:dyDescent="0.25">
      <c r="A820387" s="242"/>
    </row>
    <row r="820388" spans="1:1" x14ac:dyDescent="0.25">
      <c r="A820388" s="242"/>
    </row>
    <row r="820389" spans="1:1" x14ac:dyDescent="0.25">
      <c r="A820389" s="242"/>
    </row>
    <row r="820390" spans="1:1" x14ac:dyDescent="0.25">
      <c r="A820390" s="242"/>
    </row>
    <row r="820391" spans="1:1" x14ac:dyDescent="0.25">
      <c r="A820391" s="242"/>
    </row>
    <row r="820392" spans="1:1" x14ac:dyDescent="0.25">
      <c r="A820392" s="242"/>
    </row>
    <row r="820393" spans="1:1" x14ac:dyDescent="0.25">
      <c r="A820393" s="242"/>
    </row>
    <row r="820394" spans="1:1" x14ac:dyDescent="0.25">
      <c r="A820394" s="242"/>
    </row>
    <row r="820395" spans="1:1" x14ac:dyDescent="0.25">
      <c r="A820395" s="242"/>
    </row>
    <row r="820396" spans="1:1" x14ac:dyDescent="0.25">
      <c r="A820396" s="242"/>
    </row>
    <row r="820397" spans="1:1" x14ac:dyDescent="0.25">
      <c r="A820397" s="242"/>
    </row>
    <row r="820398" spans="1:1" x14ac:dyDescent="0.25">
      <c r="A820398" s="242"/>
    </row>
    <row r="820399" spans="1:1" x14ac:dyDescent="0.25">
      <c r="A820399" s="242"/>
    </row>
    <row r="820400" spans="1:1" x14ac:dyDescent="0.25">
      <c r="A820400" s="242"/>
    </row>
    <row r="820401" spans="1:1" x14ac:dyDescent="0.25">
      <c r="A820401" s="242"/>
    </row>
    <row r="820402" spans="1:1" x14ac:dyDescent="0.25">
      <c r="A820402" s="242"/>
    </row>
    <row r="820403" spans="1:1" x14ac:dyDescent="0.25">
      <c r="A820403" s="242"/>
    </row>
    <row r="820404" spans="1:1" x14ac:dyDescent="0.25">
      <c r="A820404" s="242"/>
    </row>
    <row r="820405" spans="1:1" x14ac:dyDescent="0.25">
      <c r="A820405" s="242"/>
    </row>
    <row r="820406" spans="1:1" x14ac:dyDescent="0.25">
      <c r="A820406" s="242"/>
    </row>
    <row r="820407" spans="1:1" x14ac:dyDescent="0.25">
      <c r="A820407" s="242"/>
    </row>
    <row r="820408" spans="1:1" x14ac:dyDescent="0.25">
      <c r="A820408" s="242"/>
    </row>
    <row r="820409" spans="1:1" x14ac:dyDescent="0.25">
      <c r="A820409" s="242"/>
    </row>
    <row r="820410" spans="1:1" x14ac:dyDescent="0.25">
      <c r="A820410" s="242"/>
    </row>
    <row r="820411" spans="1:1" x14ac:dyDescent="0.25">
      <c r="A820411" s="242"/>
    </row>
    <row r="820412" spans="1:1" x14ac:dyDescent="0.25">
      <c r="A820412" s="242"/>
    </row>
    <row r="820413" spans="1:1" x14ac:dyDescent="0.25">
      <c r="A820413" s="242"/>
    </row>
    <row r="820414" spans="1:1" x14ac:dyDescent="0.25">
      <c r="A820414" s="242"/>
    </row>
    <row r="820415" spans="1:1" x14ac:dyDescent="0.25">
      <c r="A820415" s="242"/>
    </row>
    <row r="820416" spans="1:1" x14ac:dyDescent="0.25">
      <c r="A820416" s="242"/>
    </row>
    <row r="820417" spans="1:1" x14ac:dyDescent="0.25">
      <c r="A820417" s="242"/>
    </row>
    <row r="820418" spans="1:1" x14ac:dyDescent="0.25">
      <c r="A820418" s="242"/>
    </row>
    <row r="820419" spans="1:1" x14ac:dyDescent="0.25">
      <c r="A820419" s="242"/>
    </row>
    <row r="820420" spans="1:1" x14ac:dyDescent="0.25">
      <c r="A820420" s="242"/>
    </row>
    <row r="820421" spans="1:1" x14ac:dyDescent="0.25">
      <c r="A820421" s="242"/>
    </row>
    <row r="820422" spans="1:1" x14ac:dyDescent="0.25">
      <c r="A820422" s="242"/>
    </row>
    <row r="820423" spans="1:1" x14ac:dyDescent="0.25">
      <c r="A820423" s="242"/>
    </row>
    <row r="820424" spans="1:1" x14ac:dyDescent="0.25">
      <c r="A820424" s="242"/>
    </row>
    <row r="820425" spans="1:1" x14ac:dyDescent="0.25">
      <c r="A820425" s="242"/>
    </row>
    <row r="820426" spans="1:1" x14ac:dyDescent="0.25">
      <c r="A820426" s="242"/>
    </row>
    <row r="820427" spans="1:1" x14ac:dyDescent="0.25">
      <c r="A820427" s="242"/>
    </row>
    <row r="820428" spans="1:1" x14ac:dyDescent="0.25">
      <c r="A820428" s="242"/>
    </row>
    <row r="820429" spans="1:1" x14ac:dyDescent="0.25">
      <c r="A820429" s="242"/>
    </row>
    <row r="820430" spans="1:1" x14ac:dyDescent="0.25">
      <c r="A820430" s="242"/>
    </row>
    <row r="820431" spans="1:1" x14ac:dyDescent="0.25">
      <c r="A820431" s="242"/>
    </row>
    <row r="820432" spans="1:1" x14ac:dyDescent="0.25">
      <c r="A820432" s="242"/>
    </row>
    <row r="820433" spans="1:1" x14ac:dyDescent="0.25">
      <c r="A820433" s="242"/>
    </row>
    <row r="820434" spans="1:1" x14ac:dyDescent="0.25">
      <c r="A820434" s="242"/>
    </row>
    <row r="820435" spans="1:1" x14ac:dyDescent="0.25">
      <c r="A820435" s="242"/>
    </row>
    <row r="820436" spans="1:1" x14ac:dyDescent="0.25">
      <c r="A820436" s="242"/>
    </row>
    <row r="820437" spans="1:1" x14ac:dyDescent="0.25">
      <c r="A820437" s="242"/>
    </row>
    <row r="820438" spans="1:1" x14ac:dyDescent="0.25">
      <c r="A820438" s="242"/>
    </row>
    <row r="820439" spans="1:1" x14ac:dyDescent="0.25">
      <c r="A820439" s="242"/>
    </row>
    <row r="820440" spans="1:1" x14ac:dyDescent="0.25">
      <c r="A820440" s="242"/>
    </row>
    <row r="820441" spans="1:1" x14ac:dyDescent="0.25">
      <c r="A820441" s="242"/>
    </row>
    <row r="820442" spans="1:1" x14ac:dyDescent="0.25">
      <c r="A820442" s="242"/>
    </row>
    <row r="820443" spans="1:1" x14ac:dyDescent="0.25">
      <c r="A820443" s="242"/>
    </row>
    <row r="820444" spans="1:1" x14ac:dyDescent="0.25">
      <c r="A820444" s="242"/>
    </row>
    <row r="820445" spans="1:1" x14ac:dyDescent="0.25">
      <c r="A820445" s="242"/>
    </row>
    <row r="820446" spans="1:1" x14ac:dyDescent="0.25">
      <c r="A820446" s="242"/>
    </row>
    <row r="820447" spans="1:1" x14ac:dyDescent="0.25">
      <c r="A820447" s="242"/>
    </row>
    <row r="820448" spans="1:1" x14ac:dyDescent="0.25">
      <c r="A820448" s="242"/>
    </row>
    <row r="820449" spans="1:1" x14ac:dyDescent="0.25">
      <c r="A820449" s="242"/>
    </row>
    <row r="820450" spans="1:1" x14ac:dyDescent="0.25">
      <c r="A820450" s="242"/>
    </row>
    <row r="820451" spans="1:1" x14ac:dyDescent="0.25">
      <c r="A820451" s="242"/>
    </row>
    <row r="820452" spans="1:1" x14ac:dyDescent="0.25">
      <c r="A820452" s="242"/>
    </row>
    <row r="820453" spans="1:1" x14ac:dyDescent="0.25">
      <c r="A820453" s="242"/>
    </row>
    <row r="820454" spans="1:1" x14ac:dyDescent="0.25">
      <c r="A820454" s="242"/>
    </row>
    <row r="820455" spans="1:1" x14ac:dyDescent="0.25">
      <c r="A820455" s="242"/>
    </row>
    <row r="820456" spans="1:1" x14ac:dyDescent="0.25">
      <c r="A820456" s="242"/>
    </row>
    <row r="820457" spans="1:1" x14ac:dyDescent="0.25">
      <c r="A820457" s="242"/>
    </row>
    <row r="820458" spans="1:1" x14ac:dyDescent="0.25">
      <c r="A820458" s="242"/>
    </row>
    <row r="820459" spans="1:1" x14ac:dyDescent="0.25">
      <c r="A820459" s="242"/>
    </row>
    <row r="820460" spans="1:1" x14ac:dyDescent="0.25">
      <c r="A820460" s="242"/>
    </row>
    <row r="820461" spans="1:1" x14ac:dyDescent="0.25">
      <c r="A820461" s="242"/>
    </row>
    <row r="820462" spans="1:1" x14ac:dyDescent="0.25">
      <c r="A820462" s="242"/>
    </row>
    <row r="820463" spans="1:1" x14ac:dyDescent="0.25">
      <c r="A820463" s="242"/>
    </row>
    <row r="820464" spans="1:1" x14ac:dyDescent="0.25">
      <c r="A820464" s="242"/>
    </row>
    <row r="820465" spans="1:1" x14ac:dyDescent="0.25">
      <c r="A820465" s="242"/>
    </row>
    <row r="820466" spans="1:1" x14ac:dyDescent="0.25">
      <c r="A820466" s="242"/>
    </row>
    <row r="820467" spans="1:1" x14ac:dyDescent="0.25">
      <c r="A820467" s="242"/>
    </row>
    <row r="820468" spans="1:1" x14ac:dyDescent="0.25">
      <c r="A820468" s="242"/>
    </row>
    <row r="820469" spans="1:1" x14ac:dyDescent="0.25">
      <c r="A820469" s="242"/>
    </row>
    <row r="820470" spans="1:1" x14ac:dyDescent="0.25">
      <c r="A820470" s="242"/>
    </row>
    <row r="820471" spans="1:1" x14ac:dyDescent="0.25">
      <c r="A820471" s="242"/>
    </row>
    <row r="820472" spans="1:1" x14ac:dyDescent="0.25">
      <c r="A820472" s="242"/>
    </row>
    <row r="820473" spans="1:1" x14ac:dyDescent="0.25">
      <c r="A820473" s="242"/>
    </row>
    <row r="820474" spans="1:1" x14ac:dyDescent="0.25">
      <c r="A820474" s="242"/>
    </row>
    <row r="820475" spans="1:1" x14ac:dyDescent="0.25">
      <c r="A820475" s="242"/>
    </row>
    <row r="820476" spans="1:1" x14ac:dyDescent="0.25">
      <c r="A820476" s="242"/>
    </row>
    <row r="820477" spans="1:1" x14ac:dyDescent="0.25">
      <c r="A820477" s="242"/>
    </row>
    <row r="820478" spans="1:1" x14ac:dyDescent="0.25">
      <c r="A820478" s="242"/>
    </row>
    <row r="820479" spans="1:1" x14ac:dyDescent="0.25">
      <c r="A820479" s="242"/>
    </row>
    <row r="820480" spans="1:1" x14ac:dyDescent="0.25">
      <c r="A820480" s="242"/>
    </row>
    <row r="820481" spans="1:1" x14ac:dyDescent="0.25">
      <c r="A820481" s="242"/>
    </row>
    <row r="820482" spans="1:1" x14ac:dyDescent="0.25">
      <c r="A820482" s="242"/>
    </row>
    <row r="820483" spans="1:1" x14ac:dyDescent="0.25">
      <c r="A820483" s="242"/>
    </row>
    <row r="820484" spans="1:1" x14ac:dyDescent="0.25">
      <c r="A820484" s="242"/>
    </row>
    <row r="820485" spans="1:1" x14ac:dyDescent="0.25">
      <c r="A820485" s="242"/>
    </row>
    <row r="820486" spans="1:1" x14ac:dyDescent="0.25">
      <c r="A820486" s="242"/>
    </row>
    <row r="820487" spans="1:1" x14ac:dyDescent="0.25">
      <c r="A820487" s="242"/>
    </row>
    <row r="820488" spans="1:1" x14ac:dyDescent="0.25">
      <c r="A820488" s="242"/>
    </row>
    <row r="820489" spans="1:1" x14ac:dyDescent="0.25">
      <c r="A820489" s="242"/>
    </row>
    <row r="820490" spans="1:1" x14ac:dyDescent="0.25">
      <c r="A820490" s="242"/>
    </row>
    <row r="820491" spans="1:1" x14ac:dyDescent="0.25">
      <c r="A820491" s="242"/>
    </row>
    <row r="820492" spans="1:1" x14ac:dyDescent="0.25">
      <c r="A820492" s="242"/>
    </row>
    <row r="820493" spans="1:1" x14ac:dyDescent="0.25">
      <c r="A820493" s="242"/>
    </row>
    <row r="820494" spans="1:1" x14ac:dyDescent="0.25">
      <c r="A820494" s="242"/>
    </row>
    <row r="820495" spans="1:1" x14ac:dyDescent="0.25">
      <c r="A820495" s="242"/>
    </row>
    <row r="820496" spans="1:1" x14ac:dyDescent="0.25">
      <c r="A820496" s="242"/>
    </row>
    <row r="820497" spans="1:1" x14ac:dyDescent="0.25">
      <c r="A820497" s="242"/>
    </row>
    <row r="820498" spans="1:1" x14ac:dyDescent="0.25">
      <c r="A820498" s="242"/>
    </row>
    <row r="820499" spans="1:1" x14ac:dyDescent="0.25">
      <c r="A820499" s="242"/>
    </row>
    <row r="820500" spans="1:1" x14ac:dyDescent="0.25">
      <c r="A820500" s="242"/>
    </row>
    <row r="820501" spans="1:1" x14ac:dyDescent="0.25">
      <c r="A820501" s="242"/>
    </row>
    <row r="820502" spans="1:1" x14ac:dyDescent="0.25">
      <c r="A820502" s="242"/>
    </row>
    <row r="820503" spans="1:1" x14ac:dyDescent="0.25">
      <c r="A820503" s="242"/>
    </row>
    <row r="820504" spans="1:1" x14ac:dyDescent="0.25">
      <c r="A820504" s="242"/>
    </row>
    <row r="820505" spans="1:1" x14ac:dyDescent="0.25">
      <c r="A820505" s="242"/>
    </row>
    <row r="820506" spans="1:1" x14ac:dyDescent="0.25">
      <c r="A820506" s="242"/>
    </row>
    <row r="820507" spans="1:1" x14ac:dyDescent="0.25">
      <c r="A820507" s="242"/>
    </row>
    <row r="820508" spans="1:1" x14ac:dyDescent="0.25">
      <c r="A820508" s="242"/>
    </row>
    <row r="820509" spans="1:1" x14ac:dyDescent="0.25">
      <c r="A820509" s="242"/>
    </row>
    <row r="820510" spans="1:1" x14ac:dyDescent="0.25">
      <c r="A820510" s="242"/>
    </row>
    <row r="820511" spans="1:1" x14ac:dyDescent="0.25">
      <c r="A820511" s="242"/>
    </row>
    <row r="820512" spans="1:1" x14ac:dyDescent="0.25">
      <c r="A820512" s="242"/>
    </row>
    <row r="820513" spans="1:1" x14ac:dyDescent="0.25">
      <c r="A820513" s="242"/>
    </row>
    <row r="820514" spans="1:1" x14ac:dyDescent="0.25">
      <c r="A820514" s="242"/>
    </row>
    <row r="820515" spans="1:1" x14ac:dyDescent="0.25">
      <c r="A820515" s="242"/>
    </row>
    <row r="820516" spans="1:1" x14ac:dyDescent="0.25">
      <c r="A820516" s="242"/>
    </row>
    <row r="820517" spans="1:1" x14ac:dyDescent="0.25">
      <c r="A820517" s="242"/>
    </row>
    <row r="820518" spans="1:1" x14ac:dyDescent="0.25">
      <c r="A820518" s="242"/>
    </row>
    <row r="820519" spans="1:1" x14ac:dyDescent="0.25">
      <c r="A820519" s="242"/>
    </row>
    <row r="820520" spans="1:1" x14ac:dyDescent="0.25">
      <c r="A820520" s="242"/>
    </row>
    <row r="820521" spans="1:1" x14ac:dyDescent="0.25">
      <c r="A820521" s="242"/>
    </row>
    <row r="820522" spans="1:1" x14ac:dyDescent="0.25">
      <c r="A820522" s="242"/>
    </row>
    <row r="820523" spans="1:1" x14ac:dyDescent="0.25">
      <c r="A820523" s="242"/>
    </row>
    <row r="820524" spans="1:1" x14ac:dyDescent="0.25">
      <c r="A820524" s="242"/>
    </row>
    <row r="820525" spans="1:1" x14ac:dyDescent="0.25">
      <c r="A820525" s="242"/>
    </row>
    <row r="820526" spans="1:1" x14ac:dyDescent="0.25">
      <c r="A820526" s="242"/>
    </row>
    <row r="820527" spans="1:1" x14ac:dyDescent="0.25">
      <c r="A820527" s="242"/>
    </row>
    <row r="820528" spans="1:1" x14ac:dyDescent="0.25">
      <c r="A820528" s="242"/>
    </row>
    <row r="820529" spans="1:1" x14ac:dyDescent="0.25">
      <c r="A820529" s="242"/>
    </row>
    <row r="820530" spans="1:1" x14ac:dyDescent="0.25">
      <c r="A820530" s="242"/>
    </row>
    <row r="820531" spans="1:1" x14ac:dyDescent="0.25">
      <c r="A820531" s="242"/>
    </row>
    <row r="820532" spans="1:1" x14ac:dyDescent="0.25">
      <c r="A820532" s="242"/>
    </row>
    <row r="820533" spans="1:1" x14ac:dyDescent="0.25">
      <c r="A820533" s="242"/>
    </row>
    <row r="820534" spans="1:1" x14ac:dyDescent="0.25">
      <c r="A820534" s="242"/>
    </row>
    <row r="820535" spans="1:1" x14ac:dyDescent="0.25">
      <c r="A820535" s="242"/>
    </row>
    <row r="820536" spans="1:1" x14ac:dyDescent="0.25">
      <c r="A820536" s="242"/>
    </row>
    <row r="820537" spans="1:1" x14ac:dyDescent="0.25">
      <c r="A820537" s="242"/>
    </row>
    <row r="820538" spans="1:1" x14ac:dyDescent="0.25">
      <c r="A820538" s="242"/>
    </row>
    <row r="820539" spans="1:1" x14ac:dyDescent="0.25">
      <c r="A820539" s="242"/>
    </row>
    <row r="820540" spans="1:1" x14ac:dyDescent="0.25">
      <c r="A820540" s="242"/>
    </row>
    <row r="820541" spans="1:1" x14ac:dyDescent="0.25">
      <c r="A820541" s="242"/>
    </row>
    <row r="820542" spans="1:1" x14ac:dyDescent="0.25">
      <c r="A820542" s="242"/>
    </row>
    <row r="820543" spans="1:1" x14ac:dyDescent="0.25">
      <c r="A820543" s="242"/>
    </row>
    <row r="820544" spans="1:1" x14ac:dyDescent="0.25">
      <c r="A820544" s="242"/>
    </row>
    <row r="820545" spans="1:1" x14ac:dyDescent="0.25">
      <c r="A820545" s="242"/>
    </row>
    <row r="820546" spans="1:1" x14ac:dyDescent="0.25">
      <c r="A820546" s="242"/>
    </row>
    <row r="820547" spans="1:1" x14ac:dyDescent="0.25">
      <c r="A820547" s="242"/>
    </row>
    <row r="820548" spans="1:1" x14ac:dyDescent="0.25">
      <c r="A820548" s="242"/>
    </row>
    <row r="820549" spans="1:1" x14ac:dyDescent="0.25">
      <c r="A820549" s="242"/>
    </row>
    <row r="820550" spans="1:1" x14ac:dyDescent="0.25">
      <c r="A820550" s="242"/>
    </row>
    <row r="820551" spans="1:1" x14ac:dyDescent="0.25">
      <c r="A820551" s="242"/>
    </row>
    <row r="820552" spans="1:1" x14ac:dyDescent="0.25">
      <c r="A820552" s="242"/>
    </row>
    <row r="820553" spans="1:1" x14ac:dyDescent="0.25">
      <c r="A820553" s="242"/>
    </row>
    <row r="820554" spans="1:1" x14ac:dyDescent="0.25">
      <c r="A820554" s="242"/>
    </row>
    <row r="820555" spans="1:1" x14ac:dyDescent="0.25">
      <c r="A820555" s="242"/>
    </row>
    <row r="820556" spans="1:1" x14ac:dyDescent="0.25">
      <c r="A820556" s="242"/>
    </row>
    <row r="820557" spans="1:1" x14ac:dyDescent="0.25">
      <c r="A820557" s="242"/>
    </row>
    <row r="820558" spans="1:1" x14ac:dyDescent="0.25">
      <c r="A820558" s="242"/>
    </row>
    <row r="820559" spans="1:1" x14ac:dyDescent="0.25">
      <c r="A820559" s="242"/>
    </row>
    <row r="820560" spans="1:1" x14ac:dyDescent="0.25">
      <c r="A820560" s="242"/>
    </row>
    <row r="820561" spans="1:1" x14ac:dyDescent="0.25">
      <c r="A820561" s="242"/>
    </row>
    <row r="820562" spans="1:1" x14ac:dyDescent="0.25">
      <c r="A820562" s="242"/>
    </row>
    <row r="820563" spans="1:1" x14ac:dyDescent="0.25">
      <c r="A820563" s="242"/>
    </row>
    <row r="820564" spans="1:1" x14ac:dyDescent="0.25">
      <c r="A820564" s="242"/>
    </row>
    <row r="820565" spans="1:1" x14ac:dyDescent="0.25">
      <c r="A820565" s="242"/>
    </row>
    <row r="820566" spans="1:1" x14ac:dyDescent="0.25">
      <c r="A820566" s="242"/>
    </row>
    <row r="820567" spans="1:1" x14ac:dyDescent="0.25">
      <c r="A820567" s="242"/>
    </row>
    <row r="820568" spans="1:1" x14ac:dyDescent="0.25">
      <c r="A820568" s="242"/>
    </row>
    <row r="820569" spans="1:1" x14ac:dyDescent="0.25">
      <c r="A820569" s="242"/>
    </row>
    <row r="820570" spans="1:1" x14ac:dyDescent="0.25">
      <c r="A820570" s="242"/>
    </row>
    <row r="820571" spans="1:1" x14ac:dyDescent="0.25">
      <c r="A820571" s="242"/>
    </row>
    <row r="820572" spans="1:1" x14ac:dyDescent="0.25">
      <c r="A820572" s="242"/>
    </row>
    <row r="820573" spans="1:1" x14ac:dyDescent="0.25">
      <c r="A820573" s="242"/>
    </row>
    <row r="820574" spans="1:1" x14ac:dyDescent="0.25">
      <c r="A820574" s="242"/>
    </row>
    <row r="820575" spans="1:1" x14ac:dyDescent="0.25">
      <c r="A820575" s="242"/>
    </row>
    <row r="820576" spans="1:1" x14ac:dyDescent="0.25">
      <c r="A820576" s="242"/>
    </row>
    <row r="820577" spans="1:1" x14ac:dyDescent="0.25">
      <c r="A820577" s="242"/>
    </row>
    <row r="820578" spans="1:1" x14ac:dyDescent="0.25">
      <c r="A820578" s="242"/>
    </row>
    <row r="820579" spans="1:1" x14ac:dyDescent="0.25">
      <c r="A820579" s="242"/>
    </row>
    <row r="820580" spans="1:1" x14ac:dyDescent="0.25">
      <c r="A820580" s="242"/>
    </row>
    <row r="820581" spans="1:1" x14ac:dyDescent="0.25">
      <c r="A820581" s="242"/>
    </row>
    <row r="820582" spans="1:1" x14ac:dyDescent="0.25">
      <c r="A820582" s="242"/>
    </row>
    <row r="820583" spans="1:1" x14ac:dyDescent="0.25">
      <c r="A820583" s="242"/>
    </row>
    <row r="820584" spans="1:1" x14ac:dyDescent="0.25">
      <c r="A820584" s="242"/>
    </row>
    <row r="820585" spans="1:1" x14ac:dyDescent="0.25">
      <c r="A820585" s="242"/>
    </row>
    <row r="820586" spans="1:1" x14ac:dyDescent="0.25">
      <c r="A820586" s="242"/>
    </row>
    <row r="820587" spans="1:1" x14ac:dyDescent="0.25">
      <c r="A820587" s="242"/>
    </row>
    <row r="820588" spans="1:1" x14ac:dyDescent="0.25">
      <c r="A820588" s="242"/>
    </row>
    <row r="820589" spans="1:1" x14ac:dyDescent="0.25">
      <c r="A820589" s="242"/>
    </row>
    <row r="820590" spans="1:1" x14ac:dyDescent="0.25">
      <c r="A820590" s="242"/>
    </row>
    <row r="820591" spans="1:1" x14ac:dyDescent="0.25">
      <c r="A820591" s="242"/>
    </row>
    <row r="820592" spans="1:1" x14ac:dyDescent="0.25">
      <c r="A820592" s="242"/>
    </row>
    <row r="820593" spans="1:1" x14ac:dyDescent="0.25">
      <c r="A820593" s="242"/>
    </row>
    <row r="820594" spans="1:1" x14ac:dyDescent="0.25">
      <c r="A820594" s="242"/>
    </row>
    <row r="820595" spans="1:1" x14ac:dyDescent="0.25">
      <c r="A820595" s="242"/>
    </row>
    <row r="820596" spans="1:1" x14ac:dyDescent="0.25">
      <c r="A820596" s="242"/>
    </row>
    <row r="820597" spans="1:1" x14ac:dyDescent="0.25">
      <c r="A820597" s="242"/>
    </row>
    <row r="820598" spans="1:1" x14ac:dyDescent="0.25">
      <c r="A820598" s="242"/>
    </row>
    <row r="820599" spans="1:1" x14ac:dyDescent="0.25">
      <c r="A820599" s="242"/>
    </row>
    <row r="820600" spans="1:1" x14ac:dyDescent="0.25">
      <c r="A820600" s="242"/>
    </row>
    <row r="820601" spans="1:1" x14ac:dyDescent="0.25">
      <c r="A820601" s="242"/>
    </row>
    <row r="820602" spans="1:1" x14ac:dyDescent="0.25">
      <c r="A820602" s="242"/>
    </row>
    <row r="820603" spans="1:1" x14ac:dyDescent="0.25">
      <c r="A820603" s="242"/>
    </row>
    <row r="820604" spans="1:1" x14ac:dyDescent="0.25">
      <c r="A820604" s="242"/>
    </row>
    <row r="820605" spans="1:1" x14ac:dyDescent="0.25">
      <c r="A820605" s="242"/>
    </row>
    <row r="820606" spans="1:1" x14ac:dyDescent="0.25">
      <c r="A820606" s="242"/>
    </row>
    <row r="820607" spans="1:1" x14ac:dyDescent="0.25">
      <c r="A820607" s="242"/>
    </row>
    <row r="820608" spans="1:1" x14ac:dyDescent="0.25">
      <c r="A820608" s="242"/>
    </row>
    <row r="820609" spans="1:1" x14ac:dyDescent="0.25">
      <c r="A820609" s="242"/>
    </row>
    <row r="820610" spans="1:1" x14ac:dyDescent="0.25">
      <c r="A820610" s="242"/>
    </row>
    <row r="820611" spans="1:1" x14ac:dyDescent="0.25">
      <c r="A820611" s="242"/>
    </row>
    <row r="820612" spans="1:1" x14ac:dyDescent="0.25">
      <c r="A820612" s="242"/>
    </row>
    <row r="820613" spans="1:1" x14ac:dyDescent="0.25">
      <c r="A820613" s="242"/>
    </row>
    <row r="820614" spans="1:1" x14ac:dyDescent="0.25">
      <c r="A820614" s="242"/>
    </row>
    <row r="820615" spans="1:1" x14ac:dyDescent="0.25">
      <c r="A820615" s="242"/>
    </row>
    <row r="820616" spans="1:1" x14ac:dyDescent="0.25">
      <c r="A820616" s="242"/>
    </row>
    <row r="820617" spans="1:1" x14ac:dyDescent="0.25">
      <c r="A820617" s="242"/>
    </row>
    <row r="820618" spans="1:1" x14ac:dyDescent="0.25">
      <c r="A820618" s="242"/>
    </row>
    <row r="820619" spans="1:1" x14ac:dyDescent="0.25">
      <c r="A820619" s="242"/>
    </row>
    <row r="820620" spans="1:1" x14ac:dyDescent="0.25">
      <c r="A820620" s="242"/>
    </row>
    <row r="820621" spans="1:1" x14ac:dyDescent="0.25">
      <c r="A820621" s="242"/>
    </row>
    <row r="820622" spans="1:1" x14ac:dyDescent="0.25">
      <c r="A820622" s="242"/>
    </row>
    <row r="820623" spans="1:1" x14ac:dyDescent="0.25">
      <c r="A820623" s="242"/>
    </row>
    <row r="820624" spans="1:1" x14ac:dyDescent="0.25">
      <c r="A820624" s="242"/>
    </row>
    <row r="820625" spans="1:1" x14ac:dyDescent="0.25">
      <c r="A820625" s="242"/>
    </row>
    <row r="820626" spans="1:1" x14ac:dyDescent="0.25">
      <c r="A820626" s="242"/>
    </row>
    <row r="820627" spans="1:1" x14ac:dyDescent="0.25">
      <c r="A820627" s="242"/>
    </row>
    <row r="820628" spans="1:1" x14ac:dyDescent="0.25">
      <c r="A820628" s="242"/>
    </row>
    <row r="820629" spans="1:1" x14ac:dyDescent="0.25">
      <c r="A820629" s="242"/>
    </row>
    <row r="820630" spans="1:1" x14ac:dyDescent="0.25">
      <c r="A820630" s="242"/>
    </row>
    <row r="820631" spans="1:1" x14ac:dyDescent="0.25">
      <c r="A820631" s="242"/>
    </row>
    <row r="820632" spans="1:1" x14ac:dyDescent="0.25">
      <c r="A820632" s="242"/>
    </row>
    <row r="820633" spans="1:1" x14ac:dyDescent="0.25">
      <c r="A820633" s="242"/>
    </row>
    <row r="820634" spans="1:1" x14ac:dyDescent="0.25">
      <c r="A820634" s="242"/>
    </row>
    <row r="820635" spans="1:1" x14ac:dyDescent="0.25">
      <c r="A820635" s="242"/>
    </row>
    <row r="820636" spans="1:1" x14ac:dyDescent="0.25">
      <c r="A820636" s="242"/>
    </row>
    <row r="820637" spans="1:1" x14ac:dyDescent="0.25">
      <c r="A820637" s="242"/>
    </row>
    <row r="820638" spans="1:1" x14ac:dyDescent="0.25">
      <c r="A820638" s="242"/>
    </row>
    <row r="820639" spans="1:1" x14ac:dyDescent="0.25">
      <c r="A820639" s="242"/>
    </row>
    <row r="820640" spans="1:1" x14ac:dyDescent="0.25">
      <c r="A820640" s="242"/>
    </row>
    <row r="820641" spans="1:1" x14ac:dyDescent="0.25">
      <c r="A820641" s="242"/>
    </row>
    <row r="820642" spans="1:1" x14ac:dyDescent="0.25">
      <c r="A820642" s="242"/>
    </row>
    <row r="820643" spans="1:1" x14ac:dyDescent="0.25">
      <c r="A820643" s="242"/>
    </row>
    <row r="820644" spans="1:1" x14ac:dyDescent="0.25">
      <c r="A820644" s="242"/>
    </row>
    <row r="820645" spans="1:1" x14ac:dyDescent="0.25">
      <c r="A820645" s="242"/>
    </row>
    <row r="820646" spans="1:1" x14ac:dyDescent="0.25">
      <c r="A820646" s="242"/>
    </row>
    <row r="820647" spans="1:1" x14ac:dyDescent="0.25">
      <c r="A820647" s="242"/>
    </row>
    <row r="820648" spans="1:1" x14ac:dyDescent="0.25">
      <c r="A820648" s="242"/>
    </row>
    <row r="820649" spans="1:1" x14ac:dyDescent="0.25">
      <c r="A820649" s="242"/>
    </row>
    <row r="820650" spans="1:1" x14ac:dyDescent="0.25">
      <c r="A820650" s="242"/>
    </row>
    <row r="820651" spans="1:1" x14ac:dyDescent="0.25">
      <c r="A820651" s="242"/>
    </row>
    <row r="820652" spans="1:1" x14ac:dyDescent="0.25">
      <c r="A820652" s="242"/>
    </row>
    <row r="820653" spans="1:1" x14ac:dyDescent="0.25">
      <c r="A820653" s="242"/>
    </row>
    <row r="820654" spans="1:1" x14ac:dyDescent="0.25">
      <c r="A820654" s="242"/>
    </row>
    <row r="820655" spans="1:1" x14ac:dyDescent="0.25">
      <c r="A820655" s="242"/>
    </row>
    <row r="820656" spans="1:1" x14ac:dyDescent="0.25">
      <c r="A820656" s="242"/>
    </row>
    <row r="820657" spans="1:1" x14ac:dyDescent="0.25">
      <c r="A820657" s="242"/>
    </row>
    <row r="820658" spans="1:1" x14ac:dyDescent="0.25">
      <c r="A820658" s="242"/>
    </row>
    <row r="820659" spans="1:1" x14ac:dyDescent="0.25">
      <c r="A820659" s="242"/>
    </row>
    <row r="820660" spans="1:1" x14ac:dyDescent="0.25">
      <c r="A820660" s="242"/>
    </row>
    <row r="820661" spans="1:1" x14ac:dyDescent="0.25">
      <c r="A820661" s="242"/>
    </row>
    <row r="820662" spans="1:1" x14ac:dyDescent="0.25">
      <c r="A820662" s="242"/>
    </row>
    <row r="820663" spans="1:1" x14ac:dyDescent="0.25">
      <c r="A820663" s="242"/>
    </row>
    <row r="820664" spans="1:1" x14ac:dyDescent="0.25">
      <c r="A820664" s="242"/>
    </row>
    <row r="820665" spans="1:1" x14ac:dyDescent="0.25">
      <c r="A820665" s="242"/>
    </row>
    <row r="820666" spans="1:1" x14ac:dyDescent="0.25">
      <c r="A820666" s="242"/>
    </row>
    <row r="820667" spans="1:1" x14ac:dyDescent="0.25">
      <c r="A820667" s="242"/>
    </row>
    <row r="820668" spans="1:1" x14ac:dyDescent="0.25">
      <c r="A820668" s="242"/>
    </row>
    <row r="820669" spans="1:1" x14ac:dyDescent="0.25">
      <c r="A820669" s="242"/>
    </row>
    <row r="820670" spans="1:1" x14ac:dyDescent="0.25">
      <c r="A820670" s="242"/>
    </row>
    <row r="820671" spans="1:1" x14ac:dyDescent="0.25">
      <c r="A820671" s="242"/>
    </row>
    <row r="820672" spans="1:1" x14ac:dyDescent="0.25">
      <c r="A820672" s="242"/>
    </row>
    <row r="820673" spans="1:1" x14ac:dyDescent="0.25">
      <c r="A820673" s="242"/>
    </row>
    <row r="820674" spans="1:1" x14ac:dyDescent="0.25">
      <c r="A820674" s="242"/>
    </row>
    <row r="820675" spans="1:1" x14ac:dyDescent="0.25">
      <c r="A820675" s="242"/>
    </row>
    <row r="820676" spans="1:1" x14ac:dyDescent="0.25">
      <c r="A820676" s="242"/>
    </row>
    <row r="820677" spans="1:1" x14ac:dyDescent="0.25">
      <c r="A820677" s="242"/>
    </row>
    <row r="820678" spans="1:1" x14ac:dyDescent="0.25">
      <c r="A820678" s="242"/>
    </row>
    <row r="820679" spans="1:1" x14ac:dyDescent="0.25">
      <c r="A820679" s="242"/>
    </row>
    <row r="820680" spans="1:1" x14ac:dyDescent="0.25">
      <c r="A820680" s="242"/>
    </row>
    <row r="820681" spans="1:1" x14ac:dyDescent="0.25">
      <c r="A820681" s="242"/>
    </row>
    <row r="820682" spans="1:1" x14ac:dyDescent="0.25">
      <c r="A820682" s="242"/>
    </row>
    <row r="820683" spans="1:1" x14ac:dyDescent="0.25">
      <c r="A820683" s="242"/>
    </row>
    <row r="820684" spans="1:1" x14ac:dyDescent="0.25">
      <c r="A820684" s="242"/>
    </row>
    <row r="820685" spans="1:1" x14ac:dyDescent="0.25">
      <c r="A820685" s="242"/>
    </row>
    <row r="820686" spans="1:1" x14ac:dyDescent="0.25">
      <c r="A820686" s="242"/>
    </row>
    <row r="820687" spans="1:1" x14ac:dyDescent="0.25">
      <c r="A820687" s="242"/>
    </row>
    <row r="820688" spans="1:1" x14ac:dyDescent="0.25">
      <c r="A820688" s="242"/>
    </row>
    <row r="820689" spans="1:1" x14ac:dyDescent="0.25">
      <c r="A820689" s="242"/>
    </row>
    <row r="820690" spans="1:1" x14ac:dyDescent="0.25">
      <c r="A820690" s="242"/>
    </row>
    <row r="820691" spans="1:1" x14ac:dyDescent="0.25">
      <c r="A820691" s="242"/>
    </row>
    <row r="820692" spans="1:1" x14ac:dyDescent="0.25">
      <c r="A820692" s="242"/>
    </row>
    <row r="820693" spans="1:1" x14ac:dyDescent="0.25">
      <c r="A820693" s="242"/>
    </row>
    <row r="820694" spans="1:1" x14ac:dyDescent="0.25">
      <c r="A820694" s="242"/>
    </row>
    <row r="820695" spans="1:1" x14ac:dyDescent="0.25">
      <c r="A820695" s="242"/>
    </row>
    <row r="820696" spans="1:1" x14ac:dyDescent="0.25">
      <c r="A820696" s="242"/>
    </row>
    <row r="820697" spans="1:1" x14ac:dyDescent="0.25">
      <c r="A820697" s="242"/>
    </row>
    <row r="820698" spans="1:1" x14ac:dyDescent="0.25">
      <c r="A820698" s="242"/>
    </row>
    <row r="820699" spans="1:1" x14ac:dyDescent="0.25">
      <c r="A820699" s="242"/>
    </row>
    <row r="820700" spans="1:1" x14ac:dyDescent="0.25">
      <c r="A820700" s="242"/>
    </row>
    <row r="820701" spans="1:1" x14ac:dyDescent="0.25">
      <c r="A820701" s="242"/>
    </row>
    <row r="820702" spans="1:1" x14ac:dyDescent="0.25">
      <c r="A820702" s="242"/>
    </row>
    <row r="820703" spans="1:1" x14ac:dyDescent="0.25">
      <c r="A820703" s="242"/>
    </row>
    <row r="820704" spans="1:1" x14ac:dyDescent="0.25">
      <c r="A820704" s="242"/>
    </row>
    <row r="820705" spans="1:1" x14ac:dyDescent="0.25">
      <c r="A820705" s="242"/>
    </row>
    <row r="820706" spans="1:1" x14ac:dyDescent="0.25">
      <c r="A820706" s="242"/>
    </row>
    <row r="820707" spans="1:1" x14ac:dyDescent="0.25">
      <c r="A820707" s="242"/>
    </row>
    <row r="820708" spans="1:1" x14ac:dyDescent="0.25">
      <c r="A820708" s="242"/>
    </row>
    <row r="820709" spans="1:1" x14ac:dyDescent="0.25">
      <c r="A820709" s="242"/>
    </row>
    <row r="820710" spans="1:1" x14ac:dyDescent="0.25">
      <c r="A820710" s="242"/>
    </row>
    <row r="820711" spans="1:1" x14ac:dyDescent="0.25">
      <c r="A820711" s="242"/>
    </row>
    <row r="820712" spans="1:1" x14ac:dyDescent="0.25">
      <c r="A820712" s="242"/>
    </row>
    <row r="820713" spans="1:1" x14ac:dyDescent="0.25">
      <c r="A820713" s="242"/>
    </row>
    <row r="820714" spans="1:1" x14ac:dyDescent="0.25">
      <c r="A820714" s="242"/>
    </row>
    <row r="820715" spans="1:1" x14ac:dyDescent="0.25">
      <c r="A820715" s="242"/>
    </row>
    <row r="820716" spans="1:1" x14ac:dyDescent="0.25">
      <c r="A820716" s="242"/>
    </row>
    <row r="820717" spans="1:1" x14ac:dyDescent="0.25">
      <c r="A820717" s="242"/>
    </row>
    <row r="820718" spans="1:1" x14ac:dyDescent="0.25">
      <c r="A820718" s="242"/>
    </row>
    <row r="820719" spans="1:1" x14ac:dyDescent="0.25">
      <c r="A820719" s="242"/>
    </row>
    <row r="820720" spans="1:1" x14ac:dyDescent="0.25">
      <c r="A820720" s="242"/>
    </row>
    <row r="820721" spans="1:1" x14ac:dyDescent="0.25">
      <c r="A820721" s="242"/>
    </row>
    <row r="820722" spans="1:1" x14ac:dyDescent="0.25">
      <c r="A820722" s="242"/>
    </row>
    <row r="820723" spans="1:1" x14ac:dyDescent="0.25">
      <c r="A820723" s="242"/>
    </row>
    <row r="820724" spans="1:1" x14ac:dyDescent="0.25">
      <c r="A820724" s="242"/>
    </row>
    <row r="820725" spans="1:1" x14ac:dyDescent="0.25">
      <c r="A820725" s="242"/>
    </row>
    <row r="820726" spans="1:1" x14ac:dyDescent="0.25">
      <c r="A820726" s="242"/>
    </row>
    <row r="820727" spans="1:1" x14ac:dyDescent="0.25">
      <c r="A820727" s="242"/>
    </row>
    <row r="820728" spans="1:1" x14ac:dyDescent="0.25">
      <c r="A820728" s="242"/>
    </row>
    <row r="820729" spans="1:1" x14ac:dyDescent="0.25">
      <c r="A820729" s="242"/>
    </row>
    <row r="820730" spans="1:1" x14ac:dyDescent="0.25">
      <c r="A820730" s="242"/>
    </row>
    <row r="820731" spans="1:1" x14ac:dyDescent="0.25">
      <c r="A820731" s="242"/>
    </row>
    <row r="820732" spans="1:1" x14ac:dyDescent="0.25">
      <c r="A820732" s="242"/>
    </row>
    <row r="820733" spans="1:1" x14ac:dyDescent="0.25">
      <c r="A820733" s="242"/>
    </row>
    <row r="820734" spans="1:1" x14ac:dyDescent="0.25">
      <c r="A820734" s="242"/>
    </row>
    <row r="820735" spans="1:1" x14ac:dyDescent="0.25">
      <c r="A820735" s="242"/>
    </row>
    <row r="820736" spans="1:1" x14ac:dyDescent="0.25">
      <c r="A820736" s="242"/>
    </row>
    <row r="820737" spans="1:1" x14ac:dyDescent="0.25">
      <c r="A820737" s="242"/>
    </row>
    <row r="820738" spans="1:1" x14ac:dyDescent="0.25">
      <c r="A820738" s="242"/>
    </row>
    <row r="820739" spans="1:1" x14ac:dyDescent="0.25">
      <c r="A820739" s="242"/>
    </row>
    <row r="820740" spans="1:1" x14ac:dyDescent="0.25">
      <c r="A820740" s="242"/>
    </row>
    <row r="820741" spans="1:1" x14ac:dyDescent="0.25">
      <c r="A820741" s="242"/>
    </row>
    <row r="820742" spans="1:1" x14ac:dyDescent="0.25">
      <c r="A820742" s="242"/>
    </row>
    <row r="820743" spans="1:1" x14ac:dyDescent="0.25">
      <c r="A820743" s="242"/>
    </row>
    <row r="820744" spans="1:1" x14ac:dyDescent="0.25">
      <c r="A820744" s="242"/>
    </row>
    <row r="820745" spans="1:1" x14ac:dyDescent="0.25">
      <c r="A820745" s="242"/>
    </row>
    <row r="820746" spans="1:1" x14ac:dyDescent="0.25">
      <c r="A820746" s="242"/>
    </row>
    <row r="820747" spans="1:1" x14ac:dyDescent="0.25">
      <c r="A820747" s="242"/>
    </row>
    <row r="820748" spans="1:1" x14ac:dyDescent="0.25">
      <c r="A820748" s="242"/>
    </row>
    <row r="820749" spans="1:1" x14ac:dyDescent="0.25">
      <c r="A820749" s="242"/>
    </row>
    <row r="820750" spans="1:1" x14ac:dyDescent="0.25">
      <c r="A820750" s="242"/>
    </row>
    <row r="820751" spans="1:1" x14ac:dyDescent="0.25">
      <c r="A820751" s="242"/>
    </row>
    <row r="820752" spans="1:1" x14ac:dyDescent="0.25">
      <c r="A820752" s="242"/>
    </row>
    <row r="820753" spans="1:1" x14ac:dyDescent="0.25">
      <c r="A820753" s="242"/>
    </row>
    <row r="820754" spans="1:1" x14ac:dyDescent="0.25">
      <c r="A820754" s="242"/>
    </row>
    <row r="820755" spans="1:1" x14ac:dyDescent="0.25">
      <c r="A820755" s="242"/>
    </row>
    <row r="820756" spans="1:1" x14ac:dyDescent="0.25">
      <c r="A820756" s="242"/>
    </row>
    <row r="820757" spans="1:1" x14ac:dyDescent="0.25">
      <c r="A820757" s="242"/>
    </row>
    <row r="820758" spans="1:1" x14ac:dyDescent="0.25">
      <c r="A820758" s="242"/>
    </row>
    <row r="820759" spans="1:1" x14ac:dyDescent="0.25">
      <c r="A820759" s="242"/>
    </row>
    <row r="820760" spans="1:1" x14ac:dyDescent="0.25">
      <c r="A820760" s="242"/>
    </row>
    <row r="820761" spans="1:1" x14ac:dyDescent="0.25">
      <c r="A820761" s="242"/>
    </row>
    <row r="820762" spans="1:1" x14ac:dyDescent="0.25">
      <c r="A820762" s="242"/>
    </row>
    <row r="820763" spans="1:1" x14ac:dyDescent="0.25">
      <c r="A820763" s="242"/>
    </row>
    <row r="820764" spans="1:1" x14ac:dyDescent="0.25">
      <c r="A820764" s="242"/>
    </row>
    <row r="820765" spans="1:1" x14ac:dyDescent="0.25">
      <c r="A820765" s="242"/>
    </row>
    <row r="820766" spans="1:1" x14ac:dyDescent="0.25">
      <c r="A820766" s="242"/>
    </row>
    <row r="820767" spans="1:1" x14ac:dyDescent="0.25">
      <c r="A820767" s="242"/>
    </row>
    <row r="820768" spans="1:1" x14ac:dyDescent="0.25">
      <c r="A820768" s="242"/>
    </row>
    <row r="820769" spans="1:1" x14ac:dyDescent="0.25">
      <c r="A820769" s="242"/>
    </row>
    <row r="820770" spans="1:1" x14ac:dyDescent="0.25">
      <c r="A820770" s="242"/>
    </row>
    <row r="820771" spans="1:1" x14ac:dyDescent="0.25">
      <c r="A820771" s="242"/>
    </row>
    <row r="820772" spans="1:1" x14ac:dyDescent="0.25">
      <c r="A820772" s="242"/>
    </row>
    <row r="820773" spans="1:1" x14ac:dyDescent="0.25">
      <c r="A820773" s="242"/>
    </row>
    <row r="820774" spans="1:1" x14ac:dyDescent="0.25">
      <c r="A820774" s="242"/>
    </row>
    <row r="820775" spans="1:1" x14ac:dyDescent="0.25">
      <c r="A820775" s="242"/>
    </row>
    <row r="820776" spans="1:1" x14ac:dyDescent="0.25">
      <c r="A820776" s="242"/>
    </row>
    <row r="820777" spans="1:1" x14ac:dyDescent="0.25">
      <c r="A820777" s="242"/>
    </row>
    <row r="820778" spans="1:1" x14ac:dyDescent="0.25">
      <c r="A820778" s="242"/>
    </row>
    <row r="820779" spans="1:1" x14ac:dyDescent="0.25">
      <c r="A820779" s="242"/>
    </row>
    <row r="820780" spans="1:1" x14ac:dyDescent="0.25">
      <c r="A820780" s="242"/>
    </row>
    <row r="820781" spans="1:1" x14ac:dyDescent="0.25">
      <c r="A820781" s="242"/>
    </row>
    <row r="820782" spans="1:1" x14ac:dyDescent="0.25">
      <c r="A820782" s="242"/>
    </row>
    <row r="820783" spans="1:1" x14ac:dyDescent="0.25">
      <c r="A820783" s="242"/>
    </row>
    <row r="820784" spans="1:1" x14ac:dyDescent="0.25">
      <c r="A820784" s="242"/>
    </row>
    <row r="820785" spans="1:1" x14ac:dyDescent="0.25">
      <c r="A820785" s="242"/>
    </row>
    <row r="820786" spans="1:1" x14ac:dyDescent="0.25">
      <c r="A820786" s="242"/>
    </row>
    <row r="820787" spans="1:1" x14ac:dyDescent="0.25">
      <c r="A820787" s="242"/>
    </row>
    <row r="820788" spans="1:1" x14ac:dyDescent="0.25">
      <c r="A820788" s="242"/>
    </row>
    <row r="820789" spans="1:1" x14ac:dyDescent="0.25">
      <c r="A820789" s="242"/>
    </row>
    <row r="820790" spans="1:1" x14ac:dyDescent="0.25">
      <c r="A820790" s="242"/>
    </row>
    <row r="820791" spans="1:1" x14ac:dyDescent="0.25">
      <c r="A820791" s="242"/>
    </row>
    <row r="820792" spans="1:1" x14ac:dyDescent="0.25">
      <c r="A820792" s="242"/>
    </row>
    <row r="820793" spans="1:1" x14ac:dyDescent="0.25">
      <c r="A820793" s="242"/>
    </row>
    <row r="820794" spans="1:1" x14ac:dyDescent="0.25">
      <c r="A820794" s="242"/>
    </row>
    <row r="820795" spans="1:1" x14ac:dyDescent="0.25">
      <c r="A820795" s="242"/>
    </row>
    <row r="820796" spans="1:1" x14ac:dyDescent="0.25">
      <c r="A820796" s="242"/>
    </row>
    <row r="820797" spans="1:1" x14ac:dyDescent="0.25">
      <c r="A820797" s="242"/>
    </row>
    <row r="820798" spans="1:1" x14ac:dyDescent="0.25">
      <c r="A820798" s="242"/>
    </row>
    <row r="820799" spans="1:1" x14ac:dyDescent="0.25">
      <c r="A820799" s="242"/>
    </row>
    <row r="820800" spans="1:1" x14ac:dyDescent="0.25">
      <c r="A820800" s="242"/>
    </row>
    <row r="820801" spans="1:1" x14ac:dyDescent="0.25">
      <c r="A820801" s="242"/>
    </row>
    <row r="820802" spans="1:1" x14ac:dyDescent="0.25">
      <c r="A820802" s="242"/>
    </row>
    <row r="820803" spans="1:1" x14ac:dyDescent="0.25">
      <c r="A820803" s="242"/>
    </row>
    <row r="820804" spans="1:1" x14ac:dyDescent="0.25">
      <c r="A820804" s="242"/>
    </row>
    <row r="820805" spans="1:1" x14ac:dyDescent="0.25">
      <c r="A820805" s="242"/>
    </row>
    <row r="820806" spans="1:1" x14ac:dyDescent="0.25">
      <c r="A820806" s="242"/>
    </row>
    <row r="820807" spans="1:1" x14ac:dyDescent="0.25">
      <c r="A820807" s="242"/>
    </row>
    <row r="820808" spans="1:1" x14ac:dyDescent="0.25">
      <c r="A820808" s="242"/>
    </row>
    <row r="820809" spans="1:1" x14ac:dyDescent="0.25">
      <c r="A820809" s="242"/>
    </row>
    <row r="820810" spans="1:1" x14ac:dyDescent="0.25">
      <c r="A820810" s="242"/>
    </row>
    <row r="820811" spans="1:1" x14ac:dyDescent="0.25">
      <c r="A820811" s="242"/>
    </row>
    <row r="820812" spans="1:1" x14ac:dyDescent="0.25">
      <c r="A820812" s="242"/>
    </row>
    <row r="820813" spans="1:1" x14ac:dyDescent="0.25">
      <c r="A820813" s="242"/>
    </row>
    <row r="820814" spans="1:1" x14ac:dyDescent="0.25">
      <c r="A820814" s="242"/>
    </row>
    <row r="820815" spans="1:1" x14ac:dyDescent="0.25">
      <c r="A820815" s="242"/>
    </row>
    <row r="820816" spans="1:1" x14ac:dyDescent="0.25">
      <c r="A820816" s="242"/>
    </row>
    <row r="820817" spans="1:1" x14ac:dyDescent="0.25">
      <c r="A820817" s="242"/>
    </row>
    <row r="820818" spans="1:1" x14ac:dyDescent="0.25">
      <c r="A820818" s="242"/>
    </row>
    <row r="820819" spans="1:1" x14ac:dyDescent="0.25">
      <c r="A820819" s="242"/>
    </row>
    <row r="820820" spans="1:1" x14ac:dyDescent="0.25">
      <c r="A820820" s="242"/>
    </row>
    <row r="820821" spans="1:1" x14ac:dyDescent="0.25">
      <c r="A820821" s="242"/>
    </row>
    <row r="820822" spans="1:1" x14ac:dyDescent="0.25">
      <c r="A820822" s="242"/>
    </row>
    <row r="820823" spans="1:1" x14ac:dyDescent="0.25">
      <c r="A820823" s="242"/>
    </row>
    <row r="820824" spans="1:1" x14ac:dyDescent="0.25">
      <c r="A820824" s="242"/>
    </row>
    <row r="820825" spans="1:1" x14ac:dyDescent="0.25">
      <c r="A820825" s="242"/>
    </row>
    <row r="820826" spans="1:1" x14ac:dyDescent="0.25">
      <c r="A820826" s="242"/>
    </row>
    <row r="820827" spans="1:1" x14ac:dyDescent="0.25">
      <c r="A820827" s="242"/>
    </row>
    <row r="820828" spans="1:1" x14ac:dyDescent="0.25">
      <c r="A820828" s="242"/>
    </row>
    <row r="820829" spans="1:1" x14ac:dyDescent="0.25">
      <c r="A820829" s="242"/>
    </row>
    <row r="820830" spans="1:1" x14ac:dyDescent="0.25">
      <c r="A820830" s="242"/>
    </row>
    <row r="820831" spans="1:1" x14ac:dyDescent="0.25">
      <c r="A820831" s="242"/>
    </row>
    <row r="820832" spans="1:1" x14ac:dyDescent="0.25">
      <c r="A820832" s="242"/>
    </row>
    <row r="820833" spans="1:1" x14ac:dyDescent="0.25">
      <c r="A820833" s="242"/>
    </row>
    <row r="820834" spans="1:1" x14ac:dyDescent="0.25">
      <c r="A820834" s="242"/>
    </row>
    <row r="820835" spans="1:1" x14ac:dyDescent="0.25">
      <c r="A820835" s="242"/>
    </row>
    <row r="820836" spans="1:1" x14ac:dyDescent="0.25">
      <c r="A820836" s="242"/>
    </row>
    <row r="820837" spans="1:1" x14ac:dyDescent="0.25">
      <c r="A820837" s="242"/>
    </row>
    <row r="820838" spans="1:1" x14ac:dyDescent="0.25">
      <c r="A820838" s="242"/>
    </row>
    <row r="820839" spans="1:1" x14ac:dyDescent="0.25">
      <c r="A820839" s="242"/>
    </row>
    <row r="820840" spans="1:1" x14ac:dyDescent="0.25">
      <c r="A820840" s="242"/>
    </row>
    <row r="820841" spans="1:1" x14ac:dyDescent="0.25">
      <c r="A820841" s="242"/>
    </row>
    <row r="820842" spans="1:1" x14ac:dyDescent="0.25">
      <c r="A820842" s="242"/>
    </row>
    <row r="820843" spans="1:1" x14ac:dyDescent="0.25">
      <c r="A820843" s="242"/>
    </row>
    <row r="820844" spans="1:1" x14ac:dyDescent="0.25">
      <c r="A820844" s="242"/>
    </row>
    <row r="820845" spans="1:1" x14ac:dyDescent="0.25">
      <c r="A820845" s="242"/>
    </row>
    <row r="820846" spans="1:1" x14ac:dyDescent="0.25">
      <c r="A820846" s="242"/>
    </row>
    <row r="820847" spans="1:1" x14ac:dyDescent="0.25">
      <c r="A820847" s="242"/>
    </row>
    <row r="820848" spans="1:1" x14ac:dyDescent="0.25">
      <c r="A820848" s="242"/>
    </row>
    <row r="820849" spans="1:1" x14ac:dyDescent="0.25">
      <c r="A820849" s="242"/>
    </row>
    <row r="820850" spans="1:1" x14ac:dyDescent="0.25">
      <c r="A820850" s="242"/>
    </row>
    <row r="820851" spans="1:1" x14ac:dyDescent="0.25">
      <c r="A820851" s="242"/>
    </row>
    <row r="820852" spans="1:1" x14ac:dyDescent="0.25">
      <c r="A820852" s="242"/>
    </row>
    <row r="820853" spans="1:1" x14ac:dyDescent="0.25">
      <c r="A820853" s="242"/>
    </row>
    <row r="820854" spans="1:1" x14ac:dyDescent="0.25">
      <c r="A820854" s="242"/>
    </row>
    <row r="820855" spans="1:1" x14ac:dyDescent="0.25">
      <c r="A820855" s="242"/>
    </row>
    <row r="820856" spans="1:1" x14ac:dyDescent="0.25">
      <c r="A820856" s="242"/>
    </row>
    <row r="820857" spans="1:1" x14ac:dyDescent="0.25">
      <c r="A820857" s="242"/>
    </row>
    <row r="820858" spans="1:1" x14ac:dyDescent="0.25">
      <c r="A820858" s="242"/>
    </row>
    <row r="820859" spans="1:1" x14ac:dyDescent="0.25">
      <c r="A820859" s="242"/>
    </row>
    <row r="820860" spans="1:1" x14ac:dyDescent="0.25">
      <c r="A820860" s="242"/>
    </row>
    <row r="820861" spans="1:1" x14ac:dyDescent="0.25">
      <c r="A820861" s="242"/>
    </row>
    <row r="820862" spans="1:1" x14ac:dyDescent="0.25">
      <c r="A820862" s="242"/>
    </row>
    <row r="820863" spans="1:1" x14ac:dyDescent="0.25">
      <c r="A820863" s="242"/>
    </row>
    <row r="820864" spans="1:1" x14ac:dyDescent="0.25">
      <c r="A820864" s="242"/>
    </row>
    <row r="820865" spans="1:1" x14ac:dyDescent="0.25">
      <c r="A820865" s="242"/>
    </row>
    <row r="820866" spans="1:1" x14ac:dyDescent="0.25">
      <c r="A820866" s="242"/>
    </row>
    <row r="820867" spans="1:1" x14ac:dyDescent="0.25">
      <c r="A820867" s="242"/>
    </row>
    <row r="820868" spans="1:1" x14ac:dyDescent="0.25">
      <c r="A820868" s="242"/>
    </row>
    <row r="820869" spans="1:1" x14ac:dyDescent="0.25">
      <c r="A820869" s="242"/>
    </row>
    <row r="820870" spans="1:1" x14ac:dyDescent="0.25">
      <c r="A820870" s="242"/>
    </row>
    <row r="820871" spans="1:1" x14ac:dyDescent="0.25">
      <c r="A820871" s="242"/>
    </row>
    <row r="820872" spans="1:1" x14ac:dyDescent="0.25">
      <c r="A820872" s="242"/>
    </row>
    <row r="820873" spans="1:1" x14ac:dyDescent="0.25">
      <c r="A820873" s="242"/>
    </row>
    <row r="820874" spans="1:1" x14ac:dyDescent="0.25">
      <c r="A820874" s="242"/>
    </row>
    <row r="820875" spans="1:1" x14ac:dyDescent="0.25">
      <c r="A820875" s="242"/>
    </row>
    <row r="820876" spans="1:1" x14ac:dyDescent="0.25">
      <c r="A820876" s="242"/>
    </row>
    <row r="820877" spans="1:1" x14ac:dyDescent="0.25">
      <c r="A820877" s="242"/>
    </row>
    <row r="820878" spans="1:1" x14ac:dyDescent="0.25">
      <c r="A820878" s="242"/>
    </row>
    <row r="820879" spans="1:1" x14ac:dyDescent="0.25">
      <c r="A820879" s="242"/>
    </row>
    <row r="820880" spans="1:1" x14ac:dyDescent="0.25">
      <c r="A820880" s="242"/>
    </row>
    <row r="820881" spans="1:1" x14ac:dyDescent="0.25">
      <c r="A820881" s="242"/>
    </row>
    <row r="820882" spans="1:1" x14ac:dyDescent="0.25">
      <c r="A820882" s="242"/>
    </row>
    <row r="820883" spans="1:1" x14ac:dyDescent="0.25">
      <c r="A820883" s="242"/>
    </row>
    <row r="820884" spans="1:1" x14ac:dyDescent="0.25">
      <c r="A820884" s="242"/>
    </row>
    <row r="820885" spans="1:1" x14ac:dyDescent="0.25">
      <c r="A820885" s="242"/>
    </row>
    <row r="820886" spans="1:1" x14ac:dyDescent="0.25">
      <c r="A820886" s="242"/>
    </row>
    <row r="820887" spans="1:1" x14ac:dyDescent="0.25">
      <c r="A820887" s="242"/>
    </row>
    <row r="820888" spans="1:1" x14ac:dyDescent="0.25">
      <c r="A820888" s="242"/>
    </row>
    <row r="820889" spans="1:1" x14ac:dyDescent="0.25">
      <c r="A820889" s="242"/>
    </row>
    <row r="820890" spans="1:1" x14ac:dyDescent="0.25">
      <c r="A820890" s="242"/>
    </row>
    <row r="820891" spans="1:1" x14ac:dyDescent="0.25">
      <c r="A820891" s="242"/>
    </row>
    <row r="820892" spans="1:1" x14ac:dyDescent="0.25">
      <c r="A820892" s="242"/>
    </row>
    <row r="820893" spans="1:1" x14ac:dyDescent="0.25">
      <c r="A820893" s="242"/>
    </row>
    <row r="820894" spans="1:1" x14ac:dyDescent="0.25">
      <c r="A820894" s="242"/>
    </row>
    <row r="820895" spans="1:1" x14ac:dyDescent="0.25">
      <c r="A820895" s="242"/>
    </row>
    <row r="820896" spans="1:1" x14ac:dyDescent="0.25">
      <c r="A820896" s="242"/>
    </row>
    <row r="820897" spans="1:1" x14ac:dyDescent="0.25">
      <c r="A820897" s="242"/>
    </row>
    <row r="820898" spans="1:1" x14ac:dyDescent="0.25">
      <c r="A820898" s="242"/>
    </row>
    <row r="820899" spans="1:1" x14ac:dyDescent="0.25">
      <c r="A820899" s="242"/>
    </row>
    <row r="820900" spans="1:1" x14ac:dyDescent="0.25">
      <c r="A820900" s="242"/>
    </row>
    <row r="820901" spans="1:1" x14ac:dyDescent="0.25">
      <c r="A820901" s="242"/>
    </row>
    <row r="820902" spans="1:1" x14ac:dyDescent="0.25">
      <c r="A820902" s="242"/>
    </row>
    <row r="820903" spans="1:1" x14ac:dyDescent="0.25">
      <c r="A820903" s="242"/>
    </row>
    <row r="820904" spans="1:1" x14ac:dyDescent="0.25">
      <c r="A820904" s="242"/>
    </row>
    <row r="820905" spans="1:1" x14ac:dyDescent="0.25">
      <c r="A820905" s="242"/>
    </row>
    <row r="820906" spans="1:1" x14ac:dyDescent="0.25">
      <c r="A820906" s="242"/>
    </row>
    <row r="820907" spans="1:1" x14ac:dyDescent="0.25">
      <c r="A820907" s="242"/>
    </row>
    <row r="820908" spans="1:1" x14ac:dyDescent="0.25">
      <c r="A820908" s="242"/>
    </row>
    <row r="820909" spans="1:1" x14ac:dyDescent="0.25">
      <c r="A820909" s="242"/>
    </row>
    <row r="820910" spans="1:1" x14ac:dyDescent="0.25">
      <c r="A820910" s="242"/>
    </row>
    <row r="820911" spans="1:1" x14ac:dyDescent="0.25">
      <c r="A820911" s="242"/>
    </row>
    <row r="820912" spans="1:1" x14ac:dyDescent="0.25">
      <c r="A820912" s="242"/>
    </row>
    <row r="820913" spans="1:1" x14ac:dyDescent="0.25">
      <c r="A820913" s="242"/>
    </row>
    <row r="820914" spans="1:1" x14ac:dyDescent="0.25">
      <c r="A820914" s="242"/>
    </row>
    <row r="820915" spans="1:1" x14ac:dyDescent="0.25">
      <c r="A820915" s="242"/>
    </row>
    <row r="820916" spans="1:1" x14ac:dyDescent="0.25">
      <c r="A820916" s="242"/>
    </row>
    <row r="820917" spans="1:1" x14ac:dyDescent="0.25">
      <c r="A820917" s="242"/>
    </row>
    <row r="820918" spans="1:1" x14ac:dyDescent="0.25">
      <c r="A820918" s="242"/>
    </row>
    <row r="820919" spans="1:1" x14ac:dyDescent="0.25">
      <c r="A820919" s="242"/>
    </row>
    <row r="820920" spans="1:1" x14ac:dyDescent="0.25">
      <c r="A820920" s="242"/>
    </row>
    <row r="820921" spans="1:1" x14ac:dyDescent="0.25">
      <c r="A820921" s="242"/>
    </row>
    <row r="820922" spans="1:1" x14ac:dyDescent="0.25">
      <c r="A820922" s="242"/>
    </row>
    <row r="820923" spans="1:1" x14ac:dyDescent="0.25">
      <c r="A820923" s="242"/>
    </row>
    <row r="820924" spans="1:1" x14ac:dyDescent="0.25">
      <c r="A820924" s="242"/>
    </row>
    <row r="820925" spans="1:1" x14ac:dyDescent="0.25">
      <c r="A820925" s="242"/>
    </row>
    <row r="820926" spans="1:1" x14ac:dyDescent="0.25">
      <c r="A820926" s="242"/>
    </row>
    <row r="820927" spans="1:1" x14ac:dyDescent="0.25">
      <c r="A820927" s="242"/>
    </row>
    <row r="820928" spans="1:1" x14ac:dyDescent="0.25">
      <c r="A820928" s="242"/>
    </row>
    <row r="820929" spans="1:1" x14ac:dyDescent="0.25">
      <c r="A820929" s="242"/>
    </row>
    <row r="820930" spans="1:1" x14ac:dyDescent="0.25">
      <c r="A820930" s="242"/>
    </row>
    <row r="820931" spans="1:1" x14ac:dyDescent="0.25">
      <c r="A820931" s="242"/>
    </row>
    <row r="820932" spans="1:1" x14ac:dyDescent="0.25">
      <c r="A820932" s="242"/>
    </row>
    <row r="820933" spans="1:1" x14ac:dyDescent="0.25">
      <c r="A820933" s="242"/>
    </row>
    <row r="820934" spans="1:1" x14ac:dyDescent="0.25">
      <c r="A820934" s="242"/>
    </row>
    <row r="820935" spans="1:1" x14ac:dyDescent="0.25">
      <c r="A820935" s="242"/>
    </row>
    <row r="820936" spans="1:1" x14ac:dyDescent="0.25">
      <c r="A820936" s="242"/>
    </row>
    <row r="820937" spans="1:1" x14ac:dyDescent="0.25">
      <c r="A820937" s="242"/>
    </row>
    <row r="820938" spans="1:1" x14ac:dyDescent="0.25">
      <c r="A820938" s="242"/>
    </row>
    <row r="820939" spans="1:1" x14ac:dyDescent="0.25">
      <c r="A820939" s="242"/>
    </row>
    <row r="820940" spans="1:1" x14ac:dyDescent="0.25">
      <c r="A820940" s="242"/>
    </row>
    <row r="820941" spans="1:1" x14ac:dyDescent="0.25">
      <c r="A820941" s="242"/>
    </row>
    <row r="820942" spans="1:1" x14ac:dyDescent="0.25">
      <c r="A820942" s="242"/>
    </row>
    <row r="820943" spans="1:1" x14ac:dyDescent="0.25">
      <c r="A820943" s="242"/>
    </row>
    <row r="820944" spans="1:1" x14ac:dyDescent="0.25">
      <c r="A820944" s="242"/>
    </row>
    <row r="820945" spans="1:1" x14ac:dyDescent="0.25">
      <c r="A820945" s="242"/>
    </row>
    <row r="820946" spans="1:1" x14ac:dyDescent="0.25">
      <c r="A820946" s="242"/>
    </row>
    <row r="820947" spans="1:1" x14ac:dyDescent="0.25">
      <c r="A820947" s="242"/>
    </row>
    <row r="820948" spans="1:1" x14ac:dyDescent="0.25">
      <c r="A820948" s="242"/>
    </row>
    <row r="820949" spans="1:1" x14ac:dyDescent="0.25">
      <c r="A820949" s="242"/>
    </row>
    <row r="820950" spans="1:1" x14ac:dyDescent="0.25">
      <c r="A820950" s="242"/>
    </row>
    <row r="820951" spans="1:1" x14ac:dyDescent="0.25">
      <c r="A820951" s="242"/>
    </row>
    <row r="820952" spans="1:1" x14ac:dyDescent="0.25">
      <c r="A820952" s="242"/>
    </row>
    <row r="820953" spans="1:1" x14ac:dyDescent="0.25">
      <c r="A820953" s="242"/>
    </row>
    <row r="820954" spans="1:1" x14ac:dyDescent="0.25">
      <c r="A820954" s="242"/>
    </row>
    <row r="820955" spans="1:1" x14ac:dyDescent="0.25">
      <c r="A820955" s="242"/>
    </row>
    <row r="820956" spans="1:1" x14ac:dyDescent="0.25">
      <c r="A820956" s="242"/>
    </row>
    <row r="820957" spans="1:1" x14ac:dyDescent="0.25">
      <c r="A820957" s="242"/>
    </row>
    <row r="820958" spans="1:1" x14ac:dyDescent="0.25">
      <c r="A820958" s="242"/>
    </row>
    <row r="820959" spans="1:1" x14ac:dyDescent="0.25">
      <c r="A820959" s="242"/>
    </row>
    <row r="820960" spans="1:1" x14ac:dyDescent="0.25">
      <c r="A820960" s="242"/>
    </row>
    <row r="820961" spans="1:1" x14ac:dyDescent="0.25">
      <c r="A820961" s="242"/>
    </row>
    <row r="820962" spans="1:1" x14ac:dyDescent="0.25">
      <c r="A820962" s="242"/>
    </row>
    <row r="820963" spans="1:1" x14ac:dyDescent="0.25">
      <c r="A820963" s="242"/>
    </row>
    <row r="820964" spans="1:1" x14ac:dyDescent="0.25">
      <c r="A820964" s="242"/>
    </row>
    <row r="820965" spans="1:1" x14ac:dyDescent="0.25">
      <c r="A820965" s="242"/>
    </row>
    <row r="820966" spans="1:1" x14ac:dyDescent="0.25">
      <c r="A820966" s="242"/>
    </row>
    <row r="820967" spans="1:1" x14ac:dyDescent="0.25">
      <c r="A820967" s="242"/>
    </row>
    <row r="820968" spans="1:1" x14ac:dyDescent="0.25">
      <c r="A820968" s="242"/>
    </row>
    <row r="820969" spans="1:1" x14ac:dyDescent="0.25">
      <c r="A820969" s="242"/>
    </row>
    <row r="820970" spans="1:1" x14ac:dyDescent="0.25">
      <c r="A820970" s="242"/>
    </row>
    <row r="820971" spans="1:1" x14ac:dyDescent="0.25">
      <c r="A820971" s="242"/>
    </row>
    <row r="820972" spans="1:1" x14ac:dyDescent="0.25">
      <c r="A820972" s="242"/>
    </row>
    <row r="820973" spans="1:1" x14ac:dyDescent="0.25">
      <c r="A820973" s="242"/>
    </row>
    <row r="820974" spans="1:1" x14ac:dyDescent="0.25">
      <c r="A820974" s="242"/>
    </row>
    <row r="820975" spans="1:1" x14ac:dyDescent="0.25">
      <c r="A820975" s="242"/>
    </row>
    <row r="820976" spans="1:1" x14ac:dyDescent="0.25">
      <c r="A820976" s="242"/>
    </row>
    <row r="820977" spans="1:1" x14ac:dyDescent="0.25">
      <c r="A820977" s="242"/>
    </row>
    <row r="820978" spans="1:1" x14ac:dyDescent="0.25">
      <c r="A820978" s="242"/>
    </row>
    <row r="820979" spans="1:1" x14ac:dyDescent="0.25">
      <c r="A820979" s="242"/>
    </row>
    <row r="820980" spans="1:1" x14ac:dyDescent="0.25">
      <c r="A820980" s="242"/>
    </row>
    <row r="820981" spans="1:1" x14ac:dyDescent="0.25">
      <c r="A820981" s="242"/>
    </row>
    <row r="820982" spans="1:1" x14ac:dyDescent="0.25">
      <c r="A820982" s="242"/>
    </row>
    <row r="820983" spans="1:1" x14ac:dyDescent="0.25">
      <c r="A820983" s="242"/>
    </row>
    <row r="820984" spans="1:1" x14ac:dyDescent="0.25">
      <c r="A820984" s="242"/>
    </row>
    <row r="820985" spans="1:1" x14ac:dyDescent="0.25">
      <c r="A820985" s="242"/>
    </row>
    <row r="820986" spans="1:1" x14ac:dyDescent="0.25">
      <c r="A820986" s="242"/>
    </row>
    <row r="820987" spans="1:1" x14ac:dyDescent="0.25">
      <c r="A820987" s="242"/>
    </row>
    <row r="820988" spans="1:1" x14ac:dyDescent="0.25">
      <c r="A820988" s="242"/>
    </row>
    <row r="820989" spans="1:1" x14ac:dyDescent="0.25">
      <c r="A820989" s="242"/>
    </row>
    <row r="820990" spans="1:1" x14ac:dyDescent="0.25">
      <c r="A820990" s="242"/>
    </row>
    <row r="820991" spans="1:1" x14ac:dyDescent="0.25">
      <c r="A820991" s="242"/>
    </row>
    <row r="820992" spans="1:1" x14ac:dyDescent="0.25">
      <c r="A820992" s="242"/>
    </row>
    <row r="820993" spans="1:1" x14ac:dyDescent="0.25">
      <c r="A820993" s="242"/>
    </row>
    <row r="820994" spans="1:1" x14ac:dyDescent="0.25">
      <c r="A820994" s="242"/>
    </row>
    <row r="820995" spans="1:1" x14ac:dyDescent="0.25">
      <c r="A820995" s="242"/>
    </row>
    <row r="820996" spans="1:1" x14ac:dyDescent="0.25">
      <c r="A820996" s="242"/>
    </row>
    <row r="820997" spans="1:1" x14ac:dyDescent="0.25">
      <c r="A820997" s="242"/>
    </row>
    <row r="820998" spans="1:1" x14ac:dyDescent="0.25">
      <c r="A820998" s="242"/>
    </row>
    <row r="820999" spans="1:1" x14ac:dyDescent="0.25">
      <c r="A820999" s="242"/>
    </row>
    <row r="821000" spans="1:1" x14ac:dyDescent="0.25">
      <c r="A821000" s="242"/>
    </row>
    <row r="821001" spans="1:1" x14ac:dyDescent="0.25">
      <c r="A821001" s="242"/>
    </row>
    <row r="821002" spans="1:1" x14ac:dyDescent="0.25">
      <c r="A821002" s="242"/>
    </row>
    <row r="821003" spans="1:1" x14ac:dyDescent="0.25">
      <c r="A821003" s="242"/>
    </row>
    <row r="821004" spans="1:1" x14ac:dyDescent="0.25">
      <c r="A821004" s="242"/>
    </row>
    <row r="821005" spans="1:1" x14ac:dyDescent="0.25">
      <c r="A821005" s="242"/>
    </row>
    <row r="821006" spans="1:1" x14ac:dyDescent="0.25">
      <c r="A821006" s="242"/>
    </row>
    <row r="821007" spans="1:1" x14ac:dyDescent="0.25">
      <c r="A821007" s="242"/>
    </row>
    <row r="821008" spans="1:1" x14ac:dyDescent="0.25">
      <c r="A821008" s="242"/>
    </row>
    <row r="821009" spans="1:1" x14ac:dyDescent="0.25">
      <c r="A821009" s="242"/>
    </row>
    <row r="821010" spans="1:1" x14ac:dyDescent="0.25">
      <c r="A821010" s="242"/>
    </row>
    <row r="821011" spans="1:1" x14ac:dyDescent="0.25">
      <c r="A821011" s="242"/>
    </row>
    <row r="821012" spans="1:1" x14ac:dyDescent="0.25">
      <c r="A821012" s="242"/>
    </row>
    <row r="821013" spans="1:1" x14ac:dyDescent="0.25">
      <c r="A821013" s="242"/>
    </row>
    <row r="821014" spans="1:1" x14ac:dyDescent="0.25">
      <c r="A821014" s="242"/>
    </row>
    <row r="821015" spans="1:1" x14ac:dyDescent="0.25">
      <c r="A821015" s="242"/>
    </row>
    <row r="821016" spans="1:1" x14ac:dyDescent="0.25">
      <c r="A821016" s="242"/>
    </row>
    <row r="821017" spans="1:1" x14ac:dyDescent="0.25">
      <c r="A821017" s="242"/>
    </row>
    <row r="821018" spans="1:1" x14ac:dyDescent="0.25">
      <c r="A821018" s="242"/>
    </row>
    <row r="821019" spans="1:1" x14ac:dyDescent="0.25">
      <c r="A821019" s="242"/>
    </row>
    <row r="821020" spans="1:1" x14ac:dyDescent="0.25">
      <c r="A821020" s="242"/>
    </row>
    <row r="821021" spans="1:1" x14ac:dyDescent="0.25">
      <c r="A821021" s="242"/>
    </row>
    <row r="821022" spans="1:1" x14ac:dyDescent="0.25">
      <c r="A821022" s="242"/>
    </row>
    <row r="821023" spans="1:1" x14ac:dyDescent="0.25">
      <c r="A821023" s="242"/>
    </row>
    <row r="821024" spans="1:1" x14ac:dyDescent="0.25">
      <c r="A821024" s="242"/>
    </row>
    <row r="821025" spans="1:1" x14ac:dyDescent="0.25">
      <c r="A821025" s="242"/>
    </row>
    <row r="821026" spans="1:1" x14ac:dyDescent="0.25">
      <c r="A821026" s="242"/>
    </row>
    <row r="821027" spans="1:1" x14ac:dyDescent="0.25">
      <c r="A821027" s="242"/>
    </row>
    <row r="821028" spans="1:1" x14ac:dyDescent="0.25">
      <c r="A821028" s="242"/>
    </row>
    <row r="821029" spans="1:1" x14ac:dyDescent="0.25">
      <c r="A821029" s="242"/>
    </row>
    <row r="821030" spans="1:1" x14ac:dyDescent="0.25">
      <c r="A821030" s="242"/>
    </row>
    <row r="821031" spans="1:1" x14ac:dyDescent="0.25">
      <c r="A821031" s="242"/>
    </row>
    <row r="821032" spans="1:1" x14ac:dyDescent="0.25">
      <c r="A821032" s="242"/>
    </row>
    <row r="821033" spans="1:1" x14ac:dyDescent="0.25">
      <c r="A821033" s="242"/>
    </row>
    <row r="821034" spans="1:1" x14ac:dyDescent="0.25">
      <c r="A821034" s="242"/>
    </row>
    <row r="821035" spans="1:1" x14ac:dyDescent="0.25">
      <c r="A821035" s="242"/>
    </row>
    <row r="821036" spans="1:1" x14ac:dyDescent="0.25">
      <c r="A821036" s="242"/>
    </row>
    <row r="821037" spans="1:1" x14ac:dyDescent="0.25">
      <c r="A821037" s="242"/>
    </row>
    <row r="821038" spans="1:1" x14ac:dyDescent="0.25">
      <c r="A821038" s="242"/>
    </row>
    <row r="821039" spans="1:1" x14ac:dyDescent="0.25">
      <c r="A821039" s="242"/>
    </row>
    <row r="821040" spans="1:1" x14ac:dyDescent="0.25">
      <c r="A821040" s="242"/>
    </row>
    <row r="821041" spans="1:1" x14ac:dyDescent="0.25">
      <c r="A821041" s="242"/>
    </row>
    <row r="821042" spans="1:1" x14ac:dyDescent="0.25">
      <c r="A821042" s="242"/>
    </row>
    <row r="821043" spans="1:1" x14ac:dyDescent="0.25">
      <c r="A821043" s="242"/>
    </row>
    <row r="821044" spans="1:1" x14ac:dyDescent="0.25">
      <c r="A821044" s="242"/>
    </row>
    <row r="821045" spans="1:1" x14ac:dyDescent="0.25">
      <c r="A821045" s="242"/>
    </row>
    <row r="821046" spans="1:1" x14ac:dyDescent="0.25">
      <c r="A821046" s="242"/>
    </row>
    <row r="821047" spans="1:1" x14ac:dyDescent="0.25">
      <c r="A821047" s="242"/>
    </row>
    <row r="821048" spans="1:1" x14ac:dyDescent="0.25">
      <c r="A821048" s="242"/>
    </row>
    <row r="821049" spans="1:1" x14ac:dyDescent="0.25">
      <c r="A821049" s="242"/>
    </row>
    <row r="821050" spans="1:1" x14ac:dyDescent="0.25">
      <c r="A821050" s="242"/>
    </row>
    <row r="821051" spans="1:1" x14ac:dyDescent="0.25">
      <c r="A821051" s="242"/>
    </row>
    <row r="821052" spans="1:1" x14ac:dyDescent="0.25">
      <c r="A821052" s="242"/>
    </row>
    <row r="821053" spans="1:1" x14ac:dyDescent="0.25">
      <c r="A821053" s="242"/>
    </row>
    <row r="821054" spans="1:1" x14ac:dyDescent="0.25">
      <c r="A821054" s="242"/>
    </row>
    <row r="821055" spans="1:1" x14ac:dyDescent="0.25">
      <c r="A821055" s="242"/>
    </row>
    <row r="821056" spans="1:1" x14ac:dyDescent="0.25">
      <c r="A821056" s="242"/>
    </row>
    <row r="821057" spans="1:1" x14ac:dyDescent="0.25">
      <c r="A821057" s="242"/>
    </row>
    <row r="821058" spans="1:1" x14ac:dyDescent="0.25">
      <c r="A821058" s="242"/>
    </row>
    <row r="821059" spans="1:1" x14ac:dyDescent="0.25">
      <c r="A821059" s="242"/>
    </row>
    <row r="821060" spans="1:1" x14ac:dyDescent="0.25">
      <c r="A821060" s="242"/>
    </row>
    <row r="821061" spans="1:1" x14ac:dyDescent="0.25">
      <c r="A821061" s="242"/>
    </row>
    <row r="821062" spans="1:1" x14ac:dyDescent="0.25">
      <c r="A821062" s="242"/>
    </row>
    <row r="821063" spans="1:1" x14ac:dyDescent="0.25">
      <c r="A821063" s="242"/>
    </row>
    <row r="821064" spans="1:1" x14ac:dyDescent="0.25">
      <c r="A821064" s="242"/>
    </row>
    <row r="821065" spans="1:1" x14ac:dyDescent="0.25">
      <c r="A821065" s="242"/>
    </row>
    <row r="821066" spans="1:1" x14ac:dyDescent="0.25">
      <c r="A821066" s="242"/>
    </row>
    <row r="821067" spans="1:1" x14ac:dyDescent="0.25">
      <c r="A821067" s="242"/>
    </row>
    <row r="821068" spans="1:1" x14ac:dyDescent="0.25">
      <c r="A821068" s="242"/>
    </row>
    <row r="821069" spans="1:1" x14ac:dyDescent="0.25">
      <c r="A821069" s="242"/>
    </row>
    <row r="821070" spans="1:1" x14ac:dyDescent="0.25">
      <c r="A821070" s="242"/>
    </row>
    <row r="821071" spans="1:1" x14ac:dyDescent="0.25">
      <c r="A821071" s="242"/>
    </row>
    <row r="821072" spans="1:1" x14ac:dyDescent="0.25">
      <c r="A821072" s="242"/>
    </row>
    <row r="821073" spans="1:1" x14ac:dyDescent="0.25">
      <c r="A821073" s="242"/>
    </row>
    <row r="821074" spans="1:1" x14ac:dyDescent="0.25">
      <c r="A821074" s="242"/>
    </row>
    <row r="821075" spans="1:1" x14ac:dyDescent="0.25">
      <c r="A821075" s="242"/>
    </row>
    <row r="821076" spans="1:1" x14ac:dyDescent="0.25">
      <c r="A821076" s="242"/>
    </row>
    <row r="821077" spans="1:1" x14ac:dyDescent="0.25">
      <c r="A821077" s="242"/>
    </row>
    <row r="821078" spans="1:1" x14ac:dyDescent="0.25">
      <c r="A821078" s="242"/>
    </row>
    <row r="821079" spans="1:1" x14ac:dyDescent="0.25">
      <c r="A821079" s="242"/>
    </row>
    <row r="821080" spans="1:1" x14ac:dyDescent="0.25">
      <c r="A821080" s="242"/>
    </row>
    <row r="821081" spans="1:1" x14ac:dyDescent="0.25">
      <c r="A821081" s="242"/>
    </row>
    <row r="821082" spans="1:1" x14ac:dyDescent="0.25">
      <c r="A821082" s="242"/>
    </row>
    <row r="821083" spans="1:1" x14ac:dyDescent="0.25">
      <c r="A821083" s="242"/>
    </row>
    <row r="821084" spans="1:1" x14ac:dyDescent="0.25">
      <c r="A821084" s="242"/>
    </row>
    <row r="821085" spans="1:1" x14ac:dyDescent="0.25">
      <c r="A821085" s="242"/>
    </row>
    <row r="821086" spans="1:1" x14ac:dyDescent="0.25">
      <c r="A821086" s="242"/>
    </row>
    <row r="821087" spans="1:1" x14ac:dyDescent="0.25">
      <c r="A821087" s="242"/>
    </row>
    <row r="821088" spans="1:1" x14ac:dyDescent="0.25">
      <c r="A821088" s="242"/>
    </row>
    <row r="821089" spans="1:1" x14ac:dyDescent="0.25">
      <c r="A821089" s="242"/>
    </row>
    <row r="821090" spans="1:1" x14ac:dyDescent="0.25">
      <c r="A821090" s="242"/>
    </row>
    <row r="821091" spans="1:1" x14ac:dyDescent="0.25">
      <c r="A821091" s="242"/>
    </row>
    <row r="821092" spans="1:1" x14ac:dyDescent="0.25">
      <c r="A821092" s="242"/>
    </row>
    <row r="821093" spans="1:1" x14ac:dyDescent="0.25">
      <c r="A821093" s="242"/>
    </row>
    <row r="821094" spans="1:1" x14ac:dyDescent="0.25">
      <c r="A821094" s="242"/>
    </row>
    <row r="821095" spans="1:1" x14ac:dyDescent="0.25">
      <c r="A821095" s="242"/>
    </row>
    <row r="821096" spans="1:1" x14ac:dyDescent="0.25">
      <c r="A821096" s="242"/>
    </row>
    <row r="821097" spans="1:1" x14ac:dyDescent="0.25">
      <c r="A821097" s="242"/>
    </row>
    <row r="821098" spans="1:1" x14ac:dyDescent="0.25">
      <c r="A821098" s="242"/>
    </row>
    <row r="821099" spans="1:1" x14ac:dyDescent="0.25">
      <c r="A821099" s="242"/>
    </row>
    <row r="821100" spans="1:1" x14ac:dyDescent="0.25">
      <c r="A821100" s="242"/>
    </row>
    <row r="821101" spans="1:1" x14ac:dyDescent="0.25">
      <c r="A821101" s="242"/>
    </row>
    <row r="821102" spans="1:1" x14ac:dyDescent="0.25">
      <c r="A821102" s="242"/>
    </row>
    <row r="821103" spans="1:1" x14ac:dyDescent="0.25">
      <c r="A821103" s="242"/>
    </row>
    <row r="821104" spans="1:1" x14ac:dyDescent="0.25">
      <c r="A821104" s="242"/>
    </row>
    <row r="821105" spans="1:1" x14ac:dyDescent="0.25">
      <c r="A821105" s="242"/>
    </row>
    <row r="821106" spans="1:1" x14ac:dyDescent="0.25">
      <c r="A821106" s="242"/>
    </row>
    <row r="821107" spans="1:1" x14ac:dyDescent="0.25">
      <c r="A821107" s="242"/>
    </row>
    <row r="821108" spans="1:1" x14ac:dyDescent="0.25">
      <c r="A821108" s="242"/>
    </row>
    <row r="821109" spans="1:1" x14ac:dyDescent="0.25">
      <c r="A821109" s="242"/>
    </row>
    <row r="821110" spans="1:1" x14ac:dyDescent="0.25">
      <c r="A821110" s="242"/>
    </row>
    <row r="821111" spans="1:1" x14ac:dyDescent="0.25">
      <c r="A821111" s="242"/>
    </row>
    <row r="821112" spans="1:1" x14ac:dyDescent="0.25">
      <c r="A821112" s="242"/>
    </row>
    <row r="821113" spans="1:1" x14ac:dyDescent="0.25">
      <c r="A821113" s="242"/>
    </row>
    <row r="821114" spans="1:1" x14ac:dyDescent="0.25">
      <c r="A821114" s="242"/>
    </row>
    <row r="821115" spans="1:1" x14ac:dyDescent="0.25">
      <c r="A821115" s="242"/>
    </row>
    <row r="821116" spans="1:1" x14ac:dyDescent="0.25">
      <c r="A821116" s="242"/>
    </row>
    <row r="821117" spans="1:1" x14ac:dyDescent="0.25">
      <c r="A821117" s="242"/>
    </row>
    <row r="821118" spans="1:1" x14ac:dyDescent="0.25">
      <c r="A821118" s="242"/>
    </row>
    <row r="821119" spans="1:1" x14ac:dyDescent="0.25">
      <c r="A821119" s="242"/>
    </row>
    <row r="821120" spans="1:1" x14ac:dyDescent="0.25">
      <c r="A821120" s="242"/>
    </row>
    <row r="821121" spans="1:1" x14ac:dyDescent="0.25">
      <c r="A821121" s="242"/>
    </row>
    <row r="821122" spans="1:1" x14ac:dyDescent="0.25">
      <c r="A821122" s="242"/>
    </row>
    <row r="821123" spans="1:1" x14ac:dyDescent="0.25">
      <c r="A821123" s="242"/>
    </row>
    <row r="821124" spans="1:1" x14ac:dyDescent="0.25">
      <c r="A821124" s="242"/>
    </row>
    <row r="821125" spans="1:1" x14ac:dyDescent="0.25">
      <c r="A821125" s="242"/>
    </row>
    <row r="821126" spans="1:1" x14ac:dyDescent="0.25">
      <c r="A821126" s="242"/>
    </row>
    <row r="821127" spans="1:1" x14ac:dyDescent="0.25">
      <c r="A821127" s="242"/>
    </row>
    <row r="821128" spans="1:1" x14ac:dyDescent="0.25">
      <c r="A821128" s="242"/>
    </row>
    <row r="821129" spans="1:1" x14ac:dyDescent="0.25">
      <c r="A821129" s="242"/>
    </row>
    <row r="821130" spans="1:1" x14ac:dyDescent="0.25">
      <c r="A821130" s="242"/>
    </row>
    <row r="821131" spans="1:1" x14ac:dyDescent="0.25">
      <c r="A821131" s="242"/>
    </row>
    <row r="821132" spans="1:1" x14ac:dyDescent="0.25">
      <c r="A821132" s="242"/>
    </row>
    <row r="821133" spans="1:1" x14ac:dyDescent="0.25">
      <c r="A821133" s="242"/>
    </row>
    <row r="821134" spans="1:1" x14ac:dyDescent="0.25">
      <c r="A821134" s="242"/>
    </row>
    <row r="821135" spans="1:1" x14ac:dyDescent="0.25">
      <c r="A821135" s="242"/>
    </row>
    <row r="821136" spans="1:1" x14ac:dyDescent="0.25">
      <c r="A821136" s="242"/>
    </row>
    <row r="821137" spans="1:1" x14ac:dyDescent="0.25">
      <c r="A821137" s="242"/>
    </row>
    <row r="821138" spans="1:1" x14ac:dyDescent="0.25">
      <c r="A821138" s="242"/>
    </row>
    <row r="821139" spans="1:1" x14ac:dyDescent="0.25">
      <c r="A821139" s="242"/>
    </row>
    <row r="821140" spans="1:1" x14ac:dyDescent="0.25">
      <c r="A821140" s="242"/>
    </row>
    <row r="821141" spans="1:1" x14ac:dyDescent="0.25">
      <c r="A821141" s="242"/>
    </row>
    <row r="821142" spans="1:1" x14ac:dyDescent="0.25">
      <c r="A821142" s="242"/>
    </row>
    <row r="821143" spans="1:1" x14ac:dyDescent="0.25">
      <c r="A821143" s="242"/>
    </row>
    <row r="821144" spans="1:1" x14ac:dyDescent="0.25">
      <c r="A821144" s="242"/>
    </row>
    <row r="821145" spans="1:1" x14ac:dyDescent="0.25">
      <c r="A821145" s="242"/>
    </row>
    <row r="821146" spans="1:1" x14ac:dyDescent="0.25">
      <c r="A821146" s="242"/>
    </row>
    <row r="821147" spans="1:1" x14ac:dyDescent="0.25">
      <c r="A821147" s="242"/>
    </row>
    <row r="821148" spans="1:1" x14ac:dyDescent="0.25">
      <c r="A821148" s="242"/>
    </row>
    <row r="821149" spans="1:1" x14ac:dyDescent="0.25">
      <c r="A821149" s="242"/>
    </row>
    <row r="821150" spans="1:1" x14ac:dyDescent="0.25">
      <c r="A821150" s="242"/>
    </row>
    <row r="821151" spans="1:1" x14ac:dyDescent="0.25">
      <c r="A821151" s="242"/>
    </row>
    <row r="821152" spans="1:1" x14ac:dyDescent="0.25">
      <c r="A821152" s="242"/>
    </row>
    <row r="821153" spans="1:1" x14ac:dyDescent="0.25">
      <c r="A821153" s="242"/>
    </row>
    <row r="821154" spans="1:1" x14ac:dyDescent="0.25">
      <c r="A821154" s="242"/>
    </row>
    <row r="821155" spans="1:1" x14ac:dyDescent="0.25">
      <c r="A821155" s="242"/>
    </row>
    <row r="821156" spans="1:1" x14ac:dyDescent="0.25">
      <c r="A821156" s="242"/>
    </row>
    <row r="821157" spans="1:1" x14ac:dyDescent="0.25">
      <c r="A821157" s="242"/>
    </row>
    <row r="821158" spans="1:1" x14ac:dyDescent="0.25">
      <c r="A821158" s="242"/>
    </row>
    <row r="821159" spans="1:1" x14ac:dyDescent="0.25">
      <c r="A821159" s="242"/>
    </row>
    <row r="821160" spans="1:1" x14ac:dyDescent="0.25">
      <c r="A821160" s="242"/>
    </row>
    <row r="821161" spans="1:1" x14ac:dyDescent="0.25">
      <c r="A821161" s="242"/>
    </row>
    <row r="821162" spans="1:1" x14ac:dyDescent="0.25">
      <c r="A821162" s="242"/>
    </row>
    <row r="821163" spans="1:1" x14ac:dyDescent="0.25">
      <c r="A821163" s="242"/>
    </row>
    <row r="821164" spans="1:1" x14ac:dyDescent="0.25">
      <c r="A821164" s="242"/>
    </row>
    <row r="821165" spans="1:1" x14ac:dyDescent="0.25">
      <c r="A821165" s="242"/>
    </row>
    <row r="821166" spans="1:1" x14ac:dyDescent="0.25">
      <c r="A821166" s="242"/>
    </row>
    <row r="821167" spans="1:1" x14ac:dyDescent="0.25">
      <c r="A821167" s="242"/>
    </row>
    <row r="821168" spans="1:1" x14ac:dyDescent="0.25">
      <c r="A821168" s="242"/>
    </row>
    <row r="821169" spans="1:1" x14ac:dyDescent="0.25">
      <c r="A821169" s="242"/>
    </row>
    <row r="821170" spans="1:1" x14ac:dyDescent="0.25">
      <c r="A821170" s="242"/>
    </row>
    <row r="821171" spans="1:1" x14ac:dyDescent="0.25">
      <c r="A821171" s="242"/>
    </row>
    <row r="821172" spans="1:1" x14ac:dyDescent="0.25">
      <c r="A821172" s="242"/>
    </row>
    <row r="821173" spans="1:1" x14ac:dyDescent="0.25">
      <c r="A821173" s="242"/>
    </row>
    <row r="821174" spans="1:1" x14ac:dyDescent="0.25">
      <c r="A821174" s="242"/>
    </row>
    <row r="821175" spans="1:1" x14ac:dyDescent="0.25">
      <c r="A821175" s="242"/>
    </row>
    <row r="821176" spans="1:1" x14ac:dyDescent="0.25">
      <c r="A821176" s="242"/>
    </row>
    <row r="821177" spans="1:1" x14ac:dyDescent="0.25">
      <c r="A821177" s="242"/>
    </row>
    <row r="821178" spans="1:1" x14ac:dyDescent="0.25">
      <c r="A821178" s="242"/>
    </row>
    <row r="821179" spans="1:1" x14ac:dyDescent="0.25">
      <c r="A821179" s="242"/>
    </row>
    <row r="821180" spans="1:1" x14ac:dyDescent="0.25">
      <c r="A821180" s="242"/>
    </row>
    <row r="821181" spans="1:1" x14ac:dyDescent="0.25">
      <c r="A821181" s="242"/>
    </row>
    <row r="821182" spans="1:1" x14ac:dyDescent="0.25">
      <c r="A821182" s="242"/>
    </row>
    <row r="821183" spans="1:1" x14ac:dyDescent="0.25">
      <c r="A821183" s="242"/>
    </row>
    <row r="821184" spans="1:1" x14ac:dyDescent="0.25">
      <c r="A821184" s="242"/>
    </row>
    <row r="821185" spans="1:1" x14ac:dyDescent="0.25">
      <c r="A821185" s="242"/>
    </row>
    <row r="821186" spans="1:1" x14ac:dyDescent="0.25">
      <c r="A821186" s="242"/>
    </row>
    <row r="821187" spans="1:1" x14ac:dyDescent="0.25">
      <c r="A821187" s="242"/>
    </row>
    <row r="821188" spans="1:1" x14ac:dyDescent="0.25">
      <c r="A821188" s="242"/>
    </row>
    <row r="821189" spans="1:1" x14ac:dyDescent="0.25">
      <c r="A821189" s="242"/>
    </row>
    <row r="821190" spans="1:1" x14ac:dyDescent="0.25">
      <c r="A821190" s="242"/>
    </row>
    <row r="821191" spans="1:1" x14ac:dyDescent="0.25">
      <c r="A821191" s="242"/>
    </row>
    <row r="821192" spans="1:1" x14ac:dyDescent="0.25">
      <c r="A821192" s="242"/>
    </row>
    <row r="821193" spans="1:1" x14ac:dyDescent="0.25">
      <c r="A821193" s="242"/>
    </row>
    <row r="821194" spans="1:1" x14ac:dyDescent="0.25">
      <c r="A821194" s="242"/>
    </row>
    <row r="821195" spans="1:1" x14ac:dyDescent="0.25">
      <c r="A821195" s="242"/>
    </row>
    <row r="821196" spans="1:1" x14ac:dyDescent="0.25">
      <c r="A821196" s="242"/>
    </row>
    <row r="821197" spans="1:1" x14ac:dyDescent="0.25">
      <c r="A821197" s="242"/>
    </row>
    <row r="821198" spans="1:1" x14ac:dyDescent="0.25">
      <c r="A821198" s="242"/>
    </row>
    <row r="821199" spans="1:1" x14ac:dyDescent="0.25">
      <c r="A821199" s="242"/>
    </row>
    <row r="821200" spans="1:1" x14ac:dyDescent="0.25">
      <c r="A821200" s="242"/>
    </row>
    <row r="821201" spans="1:1" x14ac:dyDescent="0.25">
      <c r="A821201" s="242"/>
    </row>
    <row r="821202" spans="1:1" x14ac:dyDescent="0.25">
      <c r="A821202" s="242"/>
    </row>
    <row r="821203" spans="1:1" x14ac:dyDescent="0.25">
      <c r="A821203" s="242"/>
    </row>
    <row r="821204" spans="1:1" x14ac:dyDescent="0.25">
      <c r="A821204" s="242"/>
    </row>
    <row r="821205" spans="1:1" x14ac:dyDescent="0.25">
      <c r="A821205" s="242"/>
    </row>
    <row r="821206" spans="1:1" x14ac:dyDescent="0.25">
      <c r="A821206" s="242"/>
    </row>
    <row r="821207" spans="1:1" x14ac:dyDescent="0.25">
      <c r="A821207" s="242"/>
    </row>
    <row r="821208" spans="1:1" x14ac:dyDescent="0.25">
      <c r="A821208" s="242"/>
    </row>
    <row r="821209" spans="1:1" x14ac:dyDescent="0.25">
      <c r="A821209" s="242"/>
    </row>
    <row r="821210" spans="1:1" x14ac:dyDescent="0.25">
      <c r="A821210" s="242"/>
    </row>
    <row r="821211" spans="1:1" x14ac:dyDescent="0.25">
      <c r="A821211" s="242"/>
    </row>
    <row r="821212" spans="1:1" x14ac:dyDescent="0.25">
      <c r="A821212" s="242"/>
    </row>
    <row r="821213" spans="1:1" x14ac:dyDescent="0.25">
      <c r="A821213" s="242"/>
    </row>
    <row r="821214" spans="1:1" x14ac:dyDescent="0.25">
      <c r="A821214" s="242"/>
    </row>
    <row r="821215" spans="1:1" x14ac:dyDescent="0.25">
      <c r="A821215" s="242"/>
    </row>
    <row r="821216" spans="1:1" x14ac:dyDescent="0.25">
      <c r="A821216" s="242"/>
    </row>
    <row r="821217" spans="1:1" x14ac:dyDescent="0.25">
      <c r="A821217" s="242"/>
    </row>
    <row r="821218" spans="1:1" x14ac:dyDescent="0.25">
      <c r="A821218" s="242"/>
    </row>
    <row r="821219" spans="1:1" x14ac:dyDescent="0.25">
      <c r="A821219" s="242"/>
    </row>
    <row r="821220" spans="1:1" x14ac:dyDescent="0.25">
      <c r="A821220" s="242"/>
    </row>
    <row r="821221" spans="1:1" x14ac:dyDescent="0.25">
      <c r="A821221" s="242"/>
    </row>
    <row r="821222" spans="1:1" x14ac:dyDescent="0.25">
      <c r="A821222" s="242"/>
    </row>
    <row r="821223" spans="1:1" x14ac:dyDescent="0.25">
      <c r="A821223" s="242"/>
    </row>
    <row r="821224" spans="1:1" x14ac:dyDescent="0.25">
      <c r="A821224" s="242"/>
    </row>
    <row r="821225" spans="1:1" x14ac:dyDescent="0.25">
      <c r="A821225" s="242"/>
    </row>
    <row r="821226" spans="1:1" x14ac:dyDescent="0.25">
      <c r="A821226" s="242"/>
    </row>
    <row r="821227" spans="1:1" x14ac:dyDescent="0.25">
      <c r="A821227" s="242"/>
    </row>
    <row r="821228" spans="1:1" x14ac:dyDescent="0.25">
      <c r="A821228" s="242"/>
    </row>
    <row r="821229" spans="1:1" x14ac:dyDescent="0.25">
      <c r="A821229" s="242"/>
    </row>
    <row r="821230" spans="1:1" x14ac:dyDescent="0.25">
      <c r="A821230" s="242"/>
    </row>
    <row r="821231" spans="1:1" x14ac:dyDescent="0.25">
      <c r="A821231" s="242"/>
    </row>
    <row r="821232" spans="1:1" x14ac:dyDescent="0.25">
      <c r="A821232" s="242"/>
    </row>
    <row r="821233" spans="1:1" x14ac:dyDescent="0.25">
      <c r="A821233" s="242"/>
    </row>
    <row r="821234" spans="1:1" x14ac:dyDescent="0.25">
      <c r="A821234" s="242"/>
    </row>
    <row r="821235" spans="1:1" x14ac:dyDescent="0.25">
      <c r="A821235" s="242"/>
    </row>
    <row r="821236" spans="1:1" x14ac:dyDescent="0.25">
      <c r="A821236" s="242"/>
    </row>
    <row r="821237" spans="1:1" x14ac:dyDescent="0.25">
      <c r="A821237" s="242"/>
    </row>
    <row r="821238" spans="1:1" x14ac:dyDescent="0.25">
      <c r="A821238" s="242"/>
    </row>
    <row r="821239" spans="1:1" x14ac:dyDescent="0.25">
      <c r="A821239" s="242"/>
    </row>
    <row r="821240" spans="1:1" x14ac:dyDescent="0.25">
      <c r="A821240" s="242"/>
    </row>
    <row r="821241" spans="1:1" x14ac:dyDescent="0.25">
      <c r="A821241" s="242"/>
    </row>
    <row r="821242" spans="1:1" x14ac:dyDescent="0.25">
      <c r="A821242" s="242"/>
    </row>
    <row r="821243" spans="1:1" x14ac:dyDescent="0.25">
      <c r="A821243" s="242"/>
    </row>
    <row r="821244" spans="1:1" x14ac:dyDescent="0.25">
      <c r="A821244" s="242"/>
    </row>
    <row r="821245" spans="1:1" x14ac:dyDescent="0.25">
      <c r="A821245" s="242"/>
    </row>
    <row r="821246" spans="1:1" x14ac:dyDescent="0.25">
      <c r="A821246" s="242"/>
    </row>
    <row r="821247" spans="1:1" x14ac:dyDescent="0.25">
      <c r="A821247" s="242"/>
    </row>
    <row r="821248" spans="1:1" x14ac:dyDescent="0.25">
      <c r="A821248" s="242"/>
    </row>
    <row r="821249" spans="1:1" x14ac:dyDescent="0.25">
      <c r="A821249" s="242"/>
    </row>
    <row r="821250" spans="1:1" x14ac:dyDescent="0.25">
      <c r="A821250" s="242"/>
    </row>
    <row r="821251" spans="1:1" x14ac:dyDescent="0.25">
      <c r="A821251" s="242"/>
    </row>
    <row r="821252" spans="1:1" x14ac:dyDescent="0.25">
      <c r="A821252" s="242"/>
    </row>
    <row r="821253" spans="1:1" x14ac:dyDescent="0.25">
      <c r="A821253" s="242"/>
    </row>
    <row r="821254" spans="1:1" x14ac:dyDescent="0.25">
      <c r="A821254" s="242"/>
    </row>
    <row r="821255" spans="1:1" x14ac:dyDescent="0.25">
      <c r="A821255" s="242"/>
    </row>
    <row r="821256" spans="1:1" x14ac:dyDescent="0.25">
      <c r="A821256" s="242"/>
    </row>
    <row r="821257" spans="1:1" x14ac:dyDescent="0.25">
      <c r="A821257" s="242"/>
    </row>
    <row r="821258" spans="1:1" x14ac:dyDescent="0.25">
      <c r="A821258" s="242"/>
    </row>
    <row r="821259" spans="1:1" x14ac:dyDescent="0.25">
      <c r="A821259" s="242"/>
    </row>
    <row r="821260" spans="1:1" x14ac:dyDescent="0.25">
      <c r="A821260" s="242"/>
    </row>
    <row r="821261" spans="1:1" x14ac:dyDescent="0.25">
      <c r="A821261" s="242"/>
    </row>
    <row r="821262" spans="1:1" x14ac:dyDescent="0.25">
      <c r="A821262" s="242"/>
    </row>
    <row r="821263" spans="1:1" x14ac:dyDescent="0.25">
      <c r="A821263" s="242"/>
    </row>
    <row r="821264" spans="1:1" x14ac:dyDescent="0.25">
      <c r="A821264" s="242"/>
    </row>
    <row r="821265" spans="1:1" x14ac:dyDescent="0.25">
      <c r="A821265" s="242"/>
    </row>
    <row r="821266" spans="1:1" x14ac:dyDescent="0.25">
      <c r="A821266" s="242"/>
    </row>
    <row r="821267" spans="1:1" x14ac:dyDescent="0.25">
      <c r="A821267" s="242"/>
    </row>
    <row r="821268" spans="1:1" x14ac:dyDescent="0.25">
      <c r="A821268" s="242"/>
    </row>
    <row r="821269" spans="1:1" x14ac:dyDescent="0.25">
      <c r="A821269" s="242"/>
    </row>
    <row r="821270" spans="1:1" x14ac:dyDescent="0.25">
      <c r="A821270" s="242"/>
    </row>
    <row r="821271" spans="1:1" x14ac:dyDescent="0.25">
      <c r="A821271" s="242"/>
    </row>
    <row r="821272" spans="1:1" x14ac:dyDescent="0.25">
      <c r="A821272" s="242"/>
    </row>
    <row r="821273" spans="1:1" x14ac:dyDescent="0.25">
      <c r="A821273" s="242"/>
    </row>
    <row r="821274" spans="1:1" x14ac:dyDescent="0.25">
      <c r="A821274" s="242"/>
    </row>
    <row r="821275" spans="1:1" x14ac:dyDescent="0.25">
      <c r="A821275" s="242"/>
    </row>
    <row r="821276" spans="1:1" x14ac:dyDescent="0.25">
      <c r="A821276" s="242"/>
    </row>
    <row r="821277" spans="1:1" x14ac:dyDescent="0.25">
      <c r="A821277" s="242"/>
    </row>
    <row r="821278" spans="1:1" x14ac:dyDescent="0.25">
      <c r="A821278" s="242"/>
    </row>
    <row r="821279" spans="1:1" x14ac:dyDescent="0.25">
      <c r="A821279" s="242"/>
    </row>
    <row r="821280" spans="1:1" x14ac:dyDescent="0.25">
      <c r="A821280" s="242"/>
    </row>
    <row r="821281" spans="1:1" x14ac:dyDescent="0.25">
      <c r="A821281" s="242"/>
    </row>
    <row r="821282" spans="1:1" x14ac:dyDescent="0.25">
      <c r="A821282" s="242"/>
    </row>
    <row r="821283" spans="1:1" x14ac:dyDescent="0.25">
      <c r="A821283" s="242"/>
    </row>
    <row r="821284" spans="1:1" x14ac:dyDescent="0.25">
      <c r="A821284" s="242"/>
    </row>
    <row r="821285" spans="1:1" x14ac:dyDescent="0.25">
      <c r="A821285" s="242"/>
    </row>
    <row r="821286" spans="1:1" x14ac:dyDescent="0.25">
      <c r="A821286" s="242"/>
    </row>
    <row r="821287" spans="1:1" x14ac:dyDescent="0.25">
      <c r="A821287" s="242"/>
    </row>
    <row r="821288" spans="1:1" x14ac:dyDescent="0.25">
      <c r="A821288" s="242"/>
    </row>
    <row r="821289" spans="1:1" x14ac:dyDescent="0.25">
      <c r="A821289" s="242"/>
    </row>
    <row r="821290" spans="1:1" x14ac:dyDescent="0.25">
      <c r="A821290" s="242"/>
    </row>
    <row r="821291" spans="1:1" x14ac:dyDescent="0.25">
      <c r="A821291" s="242"/>
    </row>
    <row r="821292" spans="1:1" x14ac:dyDescent="0.25">
      <c r="A821292" s="242"/>
    </row>
    <row r="821293" spans="1:1" x14ac:dyDescent="0.25">
      <c r="A821293" s="242"/>
    </row>
    <row r="821294" spans="1:1" x14ac:dyDescent="0.25">
      <c r="A821294" s="242"/>
    </row>
    <row r="821295" spans="1:1" x14ac:dyDescent="0.25">
      <c r="A821295" s="242"/>
    </row>
    <row r="821296" spans="1:1" x14ac:dyDescent="0.25">
      <c r="A821296" s="242"/>
    </row>
    <row r="821297" spans="1:1" x14ac:dyDescent="0.25">
      <c r="A821297" s="242"/>
    </row>
    <row r="821298" spans="1:1" x14ac:dyDescent="0.25">
      <c r="A821298" s="242"/>
    </row>
    <row r="821299" spans="1:1" x14ac:dyDescent="0.25">
      <c r="A821299" s="242"/>
    </row>
    <row r="821300" spans="1:1" x14ac:dyDescent="0.25">
      <c r="A821300" s="242"/>
    </row>
    <row r="821301" spans="1:1" x14ac:dyDescent="0.25">
      <c r="A821301" s="242"/>
    </row>
    <row r="821302" spans="1:1" x14ac:dyDescent="0.25">
      <c r="A821302" s="242"/>
    </row>
    <row r="821303" spans="1:1" x14ac:dyDescent="0.25">
      <c r="A821303" s="242"/>
    </row>
    <row r="821304" spans="1:1" x14ac:dyDescent="0.25">
      <c r="A821304" s="242"/>
    </row>
    <row r="821305" spans="1:1" x14ac:dyDescent="0.25">
      <c r="A821305" s="242"/>
    </row>
    <row r="821306" spans="1:1" x14ac:dyDescent="0.25">
      <c r="A821306" s="242"/>
    </row>
    <row r="821307" spans="1:1" x14ac:dyDescent="0.25">
      <c r="A821307" s="242"/>
    </row>
    <row r="821308" spans="1:1" x14ac:dyDescent="0.25">
      <c r="A821308" s="242"/>
    </row>
    <row r="821309" spans="1:1" x14ac:dyDescent="0.25">
      <c r="A821309" s="242"/>
    </row>
    <row r="821310" spans="1:1" x14ac:dyDescent="0.25">
      <c r="A821310" s="242"/>
    </row>
    <row r="821311" spans="1:1" x14ac:dyDescent="0.25">
      <c r="A821311" s="242"/>
    </row>
    <row r="821312" spans="1:1" x14ac:dyDescent="0.25">
      <c r="A821312" s="242"/>
    </row>
    <row r="821313" spans="1:1" x14ac:dyDescent="0.25">
      <c r="A821313" s="242"/>
    </row>
    <row r="821314" spans="1:1" x14ac:dyDescent="0.25">
      <c r="A821314" s="242"/>
    </row>
    <row r="821315" spans="1:1" x14ac:dyDescent="0.25">
      <c r="A821315" s="242"/>
    </row>
    <row r="821316" spans="1:1" x14ac:dyDescent="0.25">
      <c r="A821316" s="242"/>
    </row>
    <row r="821317" spans="1:1" x14ac:dyDescent="0.25">
      <c r="A821317" s="242"/>
    </row>
    <row r="821318" spans="1:1" x14ac:dyDescent="0.25">
      <c r="A821318" s="242"/>
    </row>
    <row r="821319" spans="1:1" x14ac:dyDescent="0.25">
      <c r="A821319" s="242"/>
    </row>
    <row r="821320" spans="1:1" x14ac:dyDescent="0.25">
      <c r="A821320" s="242"/>
    </row>
    <row r="821321" spans="1:1" x14ac:dyDescent="0.25">
      <c r="A821321" s="242"/>
    </row>
    <row r="821322" spans="1:1" x14ac:dyDescent="0.25">
      <c r="A821322" s="242"/>
    </row>
    <row r="821323" spans="1:1" x14ac:dyDescent="0.25">
      <c r="A821323" s="242"/>
    </row>
    <row r="821324" spans="1:1" x14ac:dyDescent="0.25">
      <c r="A821324" s="242"/>
    </row>
    <row r="821325" spans="1:1" x14ac:dyDescent="0.25">
      <c r="A821325" s="242"/>
    </row>
    <row r="821326" spans="1:1" x14ac:dyDescent="0.25">
      <c r="A821326" s="242"/>
    </row>
    <row r="821327" spans="1:1" x14ac:dyDescent="0.25">
      <c r="A821327" s="242"/>
    </row>
    <row r="821328" spans="1:1" x14ac:dyDescent="0.25">
      <c r="A821328" s="242"/>
    </row>
    <row r="821329" spans="1:1" x14ac:dyDescent="0.25">
      <c r="A821329" s="242"/>
    </row>
    <row r="821330" spans="1:1" x14ac:dyDescent="0.25">
      <c r="A821330" s="242"/>
    </row>
    <row r="821331" spans="1:1" x14ac:dyDescent="0.25">
      <c r="A821331" s="242"/>
    </row>
    <row r="821332" spans="1:1" x14ac:dyDescent="0.25">
      <c r="A821332" s="242"/>
    </row>
    <row r="821333" spans="1:1" x14ac:dyDescent="0.25">
      <c r="A821333" s="242"/>
    </row>
    <row r="821334" spans="1:1" x14ac:dyDescent="0.25">
      <c r="A821334" s="242"/>
    </row>
    <row r="821335" spans="1:1" x14ac:dyDescent="0.25">
      <c r="A821335" s="242"/>
    </row>
    <row r="821336" spans="1:1" x14ac:dyDescent="0.25">
      <c r="A821336" s="242"/>
    </row>
    <row r="821337" spans="1:1" x14ac:dyDescent="0.25">
      <c r="A821337" s="242"/>
    </row>
    <row r="821338" spans="1:1" x14ac:dyDescent="0.25">
      <c r="A821338" s="242"/>
    </row>
    <row r="821339" spans="1:1" x14ac:dyDescent="0.25">
      <c r="A821339" s="242"/>
    </row>
    <row r="821340" spans="1:1" x14ac:dyDescent="0.25">
      <c r="A821340" s="242"/>
    </row>
    <row r="821341" spans="1:1" x14ac:dyDescent="0.25">
      <c r="A821341" s="242"/>
    </row>
    <row r="821342" spans="1:1" x14ac:dyDescent="0.25">
      <c r="A821342" s="242"/>
    </row>
    <row r="821343" spans="1:1" x14ac:dyDescent="0.25">
      <c r="A821343" s="242"/>
    </row>
    <row r="821344" spans="1:1" x14ac:dyDescent="0.25">
      <c r="A821344" s="242"/>
    </row>
    <row r="821345" spans="1:1" x14ac:dyDescent="0.25">
      <c r="A821345" s="242"/>
    </row>
    <row r="821346" spans="1:1" x14ac:dyDescent="0.25">
      <c r="A821346" s="242"/>
    </row>
    <row r="821347" spans="1:1" x14ac:dyDescent="0.25">
      <c r="A821347" s="242"/>
    </row>
    <row r="821348" spans="1:1" x14ac:dyDescent="0.25">
      <c r="A821348" s="242"/>
    </row>
    <row r="821349" spans="1:1" x14ac:dyDescent="0.25">
      <c r="A821349" s="242"/>
    </row>
    <row r="821350" spans="1:1" x14ac:dyDescent="0.25">
      <c r="A821350" s="242"/>
    </row>
    <row r="821351" spans="1:1" x14ac:dyDescent="0.25">
      <c r="A821351" s="242"/>
    </row>
    <row r="821352" spans="1:1" x14ac:dyDescent="0.25">
      <c r="A821352" s="242"/>
    </row>
    <row r="821353" spans="1:1" x14ac:dyDescent="0.25">
      <c r="A821353" s="242"/>
    </row>
    <row r="821354" spans="1:1" x14ac:dyDescent="0.25">
      <c r="A821354" s="242"/>
    </row>
    <row r="821355" spans="1:1" x14ac:dyDescent="0.25">
      <c r="A821355" s="242"/>
    </row>
    <row r="821356" spans="1:1" x14ac:dyDescent="0.25">
      <c r="A821356" s="242"/>
    </row>
    <row r="821357" spans="1:1" x14ac:dyDescent="0.25">
      <c r="A821357" s="242"/>
    </row>
    <row r="821358" spans="1:1" x14ac:dyDescent="0.25">
      <c r="A821358" s="242"/>
    </row>
    <row r="821359" spans="1:1" x14ac:dyDescent="0.25">
      <c r="A821359" s="242"/>
    </row>
    <row r="821360" spans="1:1" x14ac:dyDescent="0.25">
      <c r="A821360" s="242"/>
    </row>
    <row r="821361" spans="1:1" x14ac:dyDescent="0.25">
      <c r="A821361" s="242"/>
    </row>
    <row r="821362" spans="1:1" x14ac:dyDescent="0.25">
      <c r="A821362" s="242"/>
    </row>
    <row r="821363" spans="1:1" x14ac:dyDescent="0.25">
      <c r="A821363" s="242"/>
    </row>
    <row r="821364" spans="1:1" x14ac:dyDescent="0.25">
      <c r="A821364" s="242"/>
    </row>
    <row r="821365" spans="1:1" x14ac:dyDescent="0.25">
      <c r="A821365" s="242"/>
    </row>
    <row r="821366" spans="1:1" x14ac:dyDescent="0.25">
      <c r="A821366" s="242"/>
    </row>
    <row r="821367" spans="1:1" x14ac:dyDescent="0.25">
      <c r="A821367" s="242"/>
    </row>
    <row r="821368" spans="1:1" x14ac:dyDescent="0.25">
      <c r="A821368" s="242"/>
    </row>
    <row r="821369" spans="1:1" x14ac:dyDescent="0.25">
      <c r="A821369" s="242"/>
    </row>
    <row r="821370" spans="1:1" x14ac:dyDescent="0.25">
      <c r="A821370" s="242"/>
    </row>
    <row r="821371" spans="1:1" x14ac:dyDescent="0.25">
      <c r="A821371" s="242"/>
    </row>
    <row r="821372" spans="1:1" x14ac:dyDescent="0.25">
      <c r="A821372" s="242"/>
    </row>
    <row r="821373" spans="1:1" x14ac:dyDescent="0.25">
      <c r="A821373" s="242"/>
    </row>
    <row r="821374" spans="1:1" x14ac:dyDescent="0.25">
      <c r="A821374" s="242"/>
    </row>
    <row r="821375" spans="1:1" x14ac:dyDescent="0.25">
      <c r="A821375" s="242"/>
    </row>
    <row r="821376" spans="1:1" x14ac:dyDescent="0.25">
      <c r="A821376" s="242"/>
    </row>
    <row r="821377" spans="1:1" x14ac:dyDescent="0.25">
      <c r="A821377" s="242"/>
    </row>
    <row r="821378" spans="1:1" x14ac:dyDescent="0.25">
      <c r="A821378" s="242"/>
    </row>
    <row r="821379" spans="1:1" x14ac:dyDescent="0.25">
      <c r="A821379" s="242"/>
    </row>
    <row r="821380" spans="1:1" x14ac:dyDescent="0.25">
      <c r="A821380" s="242"/>
    </row>
    <row r="821381" spans="1:1" x14ac:dyDescent="0.25">
      <c r="A821381" s="242"/>
    </row>
    <row r="821382" spans="1:1" x14ac:dyDescent="0.25">
      <c r="A821382" s="242"/>
    </row>
    <row r="821383" spans="1:1" x14ac:dyDescent="0.25">
      <c r="A821383" s="242"/>
    </row>
    <row r="821384" spans="1:1" x14ac:dyDescent="0.25">
      <c r="A821384" s="242"/>
    </row>
    <row r="821385" spans="1:1" x14ac:dyDescent="0.25">
      <c r="A821385" s="242"/>
    </row>
    <row r="821386" spans="1:1" x14ac:dyDescent="0.25">
      <c r="A821386" s="242"/>
    </row>
    <row r="821387" spans="1:1" x14ac:dyDescent="0.25">
      <c r="A821387" s="242"/>
    </row>
    <row r="821388" spans="1:1" x14ac:dyDescent="0.25">
      <c r="A821388" s="242"/>
    </row>
    <row r="821389" spans="1:1" x14ac:dyDescent="0.25">
      <c r="A821389" s="242"/>
    </row>
    <row r="821390" spans="1:1" x14ac:dyDescent="0.25">
      <c r="A821390" s="242"/>
    </row>
    <row r="821391" spans="1:1" x14ac:dyDescent="0.25">
      <c r="A821391" s="242"/>
    </row>
    <row r="821392" spans="1:1" x14ac:dyDescent="0.25">
      <c r="A821392" s="242"/>
    </row>
    <row r="821393" spans="1:1" x14ac:dyDescent="0.25">
      <c r="A821393" s="242"/>
    </row>
    <row r="821394" spans="1:1" x14ac:dyDescent="0.25">
      <c r="A821394" s="242"/>
    </row>
    <row r="821395" spans="1:1" x14ac:dyDescent="0.25">
      <c r="A821395" s="242"/>
    </row>
    <row r="821396" spans="1:1" x14ac:dyDescent="0.25">
      <c r="A821396" s="242"/>
    </row>
    <row r="821397" spans="1:1" x14ac:dyDescent="0.25">
      <c r="A821397" s="242"/>
    </row>
    <row r="821398" spans="1:1" x14ac:dyDescent="0.25">
      <c r="A821398" s="242"/>
    </row>
    <row r="821399" spans="1:1" x14ac:dyDescent="0.25">
      <c r="A821399" s="242"/>
    </row>
    <row r="821400" spans="1:1" x14ac:dyDescent="0.25">
      <c r="A821400" s="242"/>
    </row>
    <row r="821401" spans="1:1" x14ac:dyDescent="0.25">
      <c r="A821401" s="242"/>
    </row>
    <row r="821402" spans="1:1" x14ac:dyDescent="0.25">
      <c r="A821402" s="242"/>
    </row>
    <row r="821403" spans="1:1" x14ac:dyDescent="0.25">
      <c r="A821403" s="242"/>
    </row>
    <row r="821404" spans="1:1" x14ac:dyDescent="0.25">
      <c r="A821404" s="242"/>
    </row>
    <row r="821405" spans="1:1" x14ac:dyDescent="0.25">
      <c r="A821405" s="242"/>
    </row>
    <row r="821406" spans="1:1" x14ac:dyDescent="0.25">
      <c r="A821406" s="242"/>
    </row>
    <row r="821407" spans="1:1" x14ac:dyDescent="0.25">
      <c r="A821407" s="242"/>
    </row>
    <row r="821408" spans="1:1" x14ac:dyDescent="0.25">
      <c r="A821408" s="242"/>
    </row>
    <row r="821409" spans="1:1" x14ac:dyDescent="0.25">
      <c r="A821409" s="242"/>
    </row>
    <row r="821410" spans="1:1" x14ac:dyDescent="0.25">
      <c r="A821410" s="242"/>
    </row>
    <row r="821411" spans="1:1" x14ac:dyDescent="0.25">
      <c r="A821411" s="242"/>
    </row>
    <row r="821412" spans="1:1" x14ac:dyDescent="0.25">
      <c r="A821412" s="242"/>
    </row>
    <row r="821413" spans="1:1" x14ac:dyDescent="0.25">
      <c r="A821413" s="242"/>
    </row>
    <row r="821414" spans="1:1" x14ac:dyDescent="0.25">
      <c r="A821414" s="242"/>
    </row>
    <row r="821415" spans="1:1" x14ac:dyDescent="0.25">
      <c r="A821415" s="242"/>
    </row>
    <row r="821416" spans="1:1" x14ac:dyDescent="0.25">
      <c r="A821416" s="242"/>
    </row>
    <row r="821417" spans="1:1" x14ac:dyDescent="0.25">
      <c r="A821417" s="242"/>
    </row>
    <row r="821418" spans="1:1" x14ac:dyDescent="0.25">
      <c r="A821418" s="242"/>
    </row>
    <row r="821419" spans="1:1" x14ac:dyDescent="0.25">
      <c r="A821419" s="242"/>
    </row>
    <row r="821420" spans="1:1" x14ac:dyDescent="0.25">
      <c r="A821420" s="242"/>
    </row>
    <row r="821421" spans="1:1" x14ac:dyDescent="0.25">
      <c r="A821421" s="242"/>
    </row>
    <row r="821422" spans="1:1" x14ac:dyDescent="0.25">
      <c r="A821422" s="242"/>
    </row>
    <row r="821423" spans="1:1" x14ac:dyDescent="0.25">
      <c r="A821423" s="242"/>
    </row>
    <row r="821424" spans="1:1" x14ac:dyDescent="0.25">
      <c r="A821424" s="242"/>
    </row>
    <row r="821425" spans="1:1" x14ac:dyDescent="0.25">
      <c r="A821425" s="242"/>
    </row>
    <row r="821426" spans="1:1" x14ac:dyDescent="0.25">
      <c r="A821426" s="242"/>
    </row>
    <row r="821427" spans="1:1" x14ac:dyDescent="0.25">
      <c r="A821427" s="242"/>
    </row>
    <row r="821428" spans="1:1" x14ac:dyDescent="0.25">
      <c r="A821428" s="242"/>
    </row>
    <row r="821429" spans="1:1" x14ac:dyDescent="0.25">
      <c r="A821429" s="242"/>
    </row>
    <row r="821430" spans="1:1" x14ac:dyDescent="0.25">
      <c r="A821430" s="242"/>
    </row>
    <row r="821431" spans="1:1" x14ac:dyDescent="0.25">
      <c r="A821431" s="242"/>
    </row>
    <row r="821432" spans="1:1" x14ac:dyDescent="0.25">
      <c r="A821432" s="242"/>
    </row>
    <row r="821433" spans="1:1" x14ac:dyDescent="0.25">
      <c r="A821433" s="242"/>
    </row>
    <row r="821434" spans="1:1" x14ac:dyDescent="0.25">
      <c r="A821434" s="242"/>
    </row>
    <row r="821435" spans="1:1" x14ac:dyDescent="0.25">
      <c r="A821435" s="242"/>
    </row>
    <row r="821436" spans="1:1" x14ac:dyDescent="0.25">
      <c r="A821436" s="242"/>
    </row>
    <row r="821437" spans="1:1" x14ac:dyDescent="0.25">
      <c r="A821437" s="242"/>
    </row>
    <row r="821438" spans="1:1" x14ac:dyDescent="0.25">
      <c r="A821438" s="242"/>
    </row>
    <row r="821439" spans="1:1" x14ac:dyDescent="0.25">
      <c r="A821439" s="242"/>
    </row>
    <row r="821440" spans="1:1" x14ac:dyDescent="0.25">
      <c r="A821440" s="242"/>
    </row>
    <row r="821441" spans="1:1" x14ac:dyDescent="0.25">
      <c r="A821441" s="242"/>
    </row>
    <row r="821442" spans="1:1" x14ac:dyDescent="0.25">
      <c r="A821442" s="242"/>
    </row>
    <row r="821443" spans="1:1" x14ac:dyDescent="0.25">
      <c r="A821443" s="242"/>
    </row>
    <row r="821444" spans="1:1" x14ac:dyDescent="0.25">
      <c r="A821444" s="242"/>
    </row>
    <row r="821445" spans="1:1" x14ac:dyDescent="0.25">
      <c r="A821445" s="242"/>
    </row>
    <row r="821446" spans="1:1" x14ac:dyDescent="0.25">
      <c r="A821446" s="242"/>
    </row>
    <row r="821447" spans="1:1" x14ac:dyDescent="0.25">
      <c r="A821447" s="242"/>
    </row>
    <row r="821448" spans="1:1" x14ac:dyDescent="0.25">
      <c r="A821448" s="242"/>
    </row>
    <row r="821449" spans="1:1" x14ac:dyDescent="0.25">
      <c r="A821449" s="242"/>
    </row>
    <row r="821450" spans="1:1" x14ac:dyDescent="0.25">
      <c r="A821450" s="242"/>
    </row>
    <row r="821451" spans="1:1" x14ac:dyDescent="0.25">
      <c r="A821451" s="242"/>
    </row>
    <row r="821452" spans="1:1" x14ac:dyDescent="0.25">
      <c r="A821452" s="242"/>
    </row>
    <row r="821453" spans="1:1" x14ac:dyDescent="0.25">
      <c r="A821453" s="242"/>
    </row>
    <row r="821454" spans="1:1" x14ac:dyDescent="0.25">
      <c r="A821454" s="242"/>
    </row>
    <row r="821455" spans="1:1" x14ac:dyDescent="0.25">
      <c r="A821455" s="242"/>
    </row>
    <row r="821456" spans="1:1" x14ac:dyDescent="0.25">
      <c r="A821456" s="242"/>
    </row>
    <row r="821457" spans="1:1" x14ac:dyDescent="0.25">
      <c r="A821457" s="242"/>
    </row>
    <row r="821458" spans="1:1" x14ac:dyDescent="0.25">
      <c r="A821458" s="242"/>
    </row>
    <row r="821459" spans="1:1" x14ac:dyDescent="0.25">
      <c r="A821459" s="242"/>
    </row>
    <row r="821460" spans="1:1" x14ac:dyDescent="0.25">
      <c r="A821460" s="242"/>
    </row>
    <row r="821461" spans="1:1" x14ac:dyDescent="0.25">
      <c r="A821461" s="242"/>
    </row>
    <row r="821462" spans="1:1" x14ac:dyDescent="0.25">
      <c r="A821462" s="242"/>
    </row>
    <row r="821463" spans="1:1" x14ac:dyDescent="0.25">
      <c r="A821463" s="242"/>
    </row>
    <row r="821464" spans="1:1" x14ac:dyDescent="0.25">
      <c r="A821464" s="242"/>
    </row>
    <row r="821465" spans="1:1" x14ac:dyDescent="0.25">
      <c r="A821465" s="242"/>
    </row>
    <row r="821466" spans="1:1" x14ac:dyDescent="0.25">
      <c r="A821466" s="242"/>
    </row>
    <row r="821467" spans="1:1" x14ac:dyDescent="0.25">
      <c r="A821467" s="242"/>
    </row>
    <row r="821468" spans="1:1" x14ac:dyDescent="0.25">
      <c r="A821468" s="242"/>
    </row>
    <row r="821469" spans="1:1" x14ac:dyDescent="0.25">
      <c r="A821469" s="242"/>
    </row>
    <row r="821470" spans="1:1" x14ac:dyDescent="0.25">
      <c r="A821470" s="242"/>
    </row>
    <row r="821471" spans="1:1" x14ac:dyDescent="0.25">
      <c r="A821471" s="242"/>
    </row>
    <row r="821472" spans="1:1" x14ac:dyDescent="0.25">
      <c r="A821472" s="242"/>
    </row>
    <row r="821473" spans="1:1" x14ac:dyDescent="0.25">
      <c r="A821473" s="242"/>
    </row>
    <row r="821474" spans="1:1" x14ac:dyDescent="0.25">
      <c r="A821474" s="242"/>
    </row>
    <row r="821475" spans="1:1" x14ac:dyDescent="0.25">
      <c r="A821475" s="242"/>
    </row>
    <row r="821476" spans="1:1" x14ac:dyDescent="0.25">
      <c r="A821476" s="242"/>
    </row>
    <row r="821477" spans="1:1" x14ac:dyDescent="0.25">
      <c r="A821477" s="242"/>
    </row>
    <row r="821478" spans="1:1" x14ac:dyDescent="0.25">
      <c r="A821478" s="242"/>
    </row>
    <row r="821479" spans="1:1" x14ac:dyDescent="0.25">
      <c r="A821479" s="242"/>
    </row>
    <row r="821480" spans="1:1" x14ac:dyDescent="0.25">
      <c r="A821480" s="242"/>
    </row>
    <row r="821481" spans="1:1" x14ac:dyDescent="0.25">
      <c r="A821481" s="242"/>
    </row>
    <row r="821482" spans="1:1" x14ac:dyDescent="0.25">
      <c r="A821482" s="242"/>
    </row>
    <row r="821483" spans="1:1" x14ac:dyDescent="0.25">
      <c r="A821483" s="242"/>
    </row>
    <row r="821484" spans="1:1" x14ac:dyDescent="0.25">
      <c r="A821484" s="242"/>
    </row>
    <row r="821485" spans="1:1" x14ac:dyDescent="0.25">
      <c r="A821485" s="242"/>
    </row>
    <row r="821486" spans="1:1" x14ac:dyDescent="0.25">
      <c r="A821486" s="242"/>
    </row>
    <row r="821487" spans="1:1" x14ac:dyDescent="0.25">
      <c r="A821487" s="242"/>
    </row>
    <row r="821488" spans="1:1" x14ac:dyDescent="0.25">
      <c r="A821488" s="242"/>
    </row>
    <row r="821489" spans="1:1" x14ac:dyDescent="0.25">
      <c r="A821489" s="242"/>
    </row>
    <row r="821490" spans="1:1" x14ac:dyDescent="0.25">
      <c r="A821490" s="242"/>
    </row>
    <row r="821491" spans="1:1" x14ac:dyDescent="0.25">
      <c r="A821491" s="242"/>
    </row>
    <row r="821492" spans="1:1" x14ac:dyDescent="0.25">
      <c r="A821492" s="242"/>
    </row>
    <row r="821493" spans="1:1" x14ac:dyDescent="0.25">
      <c r="A821493" s="242"/>
    </row>
    <row r="821494" spans="1:1" x14ac:dyDescent="0.25">
      <c r="A821494" s="242"/>
    </row>
    <row r="821495" spans="1:1" x14ac:dyDescent="0.25">
      <c r="A821495" s="242"/>
    </row>
    <row r="821496" spans="1:1" x14ac:dyDescent="0.25">
      <c r="A821496" s="242"/>
    </row>
    <row r="821497" spans="1:1" x14ac:dyDescent="0.25">
      <c r="A821497" s="242"/>
    </row>
    <row r="821498" spans="1:1" x14ac:dyDescent="0.25">
      <c r="A821498" s="242"/>
    </row>
    <row r="821499" spans="1:1" x14ac:dyDescent="0.25">
      <c r="A821499" s="242"/>
    </row>
    <row r="821500" spans="1:1" x14ac:dyDescent="0.25">
      <c r="A821500" s="242"/>
    </row>
    <row r="821501" spans="1:1" x14ac:dyDescent="0.25">
      <c r="A821501" s="242"/>
    </row>
    <row r="821502" spans="1:1" x14ac:dyDescent="0.25">
      <c r="A821502" s="242"/>
    </row>
    <row r="821503" spans="1:1" x14ac:dyDescent="0.25">
      <c r="A821503" s="242"/>
    </row>
    <row r="821504" spans="1:1" x14ac:dyDescent="0.25">
      <c r="A821504" s="242"/>
    </row>
    <row r="821505" spans="1:1" x14ac:dyDescent="0.25">
      <c r="A821505" s="242"/>
    </row>
    <row r="821506" spans="1:1" x14ac:dyDescent="0.25">
      <c r="A821506" s="242"/>
    </row>
    <row r="821507" spans="1:1" x14ac:dyDescent="0.25">
      <c r="A821507" s="242"/>
    </row>
    <row r="821508" spans="1:1" x14ac:dyDescent="0.25">
      <c r="A821508" s="242"/>
    </row>
    <row r="821509" spans="1:1" x14ac:dyDescent="0.25">
      <c r="A821509" s="242"/>
    </row>
    <row r="821510" spans="1:1" x14ac:dyDescent="0.25">
      <c r="A821510" s="242"/>
    </row>
    <row r="821511" spans="1:1" x14ac:dyDescent="0.25">
      <c r="A821511" s="242"/>
    </row>
    <row r="821512" spans="1:1" x14ac:dyDescent="0.25">
      <c r="A821512" s="242"/>
    </row>
    <row r="821513" spans="1:1" x14ac:dyDescent="0.25">
      <c r="A821513" s="242"/>
    </row>
    <row r="821514" spans="1:1" x14ac:dyDescent="0.25">
      <c r="A821514" s="242"/>
    </row>
    <row r="821515" spans="1:1" x14ac:dyDescent="0.25">
      <c r="A821515" s="242"/>
    </row>
    <row r="821516" spans="1:1" x14ac:dyDescent="0.25">
      <c r="A821516" s="242"/>
    </row>
    <row r="821517" spans="1:1" x14ac:dyDescent="0.25">
      <c r="A821517" s="242"/>
    </row>
    <row r="821518" spans="1:1" x14ac:dyDescent="0.25">
      <c r="A821518" s="242"/>
    </row>
    <row r="821519" spans="1:1" x14ac:dyDescent="0.25">
      <c r="A821519" s="242"/>
    </row>
    <row r="821520" spans="1:1" x14ac:dyDescent="0.25">
      <c r="A821520" s="242"/>
    </row>
    <row r="821521" spans="1:1" x14ac:dyDescent="0.25">
      <c r="A821521" s="242"/>
    </row>
    <row r="821522" spans="1:1" x14ac:dyDescent="0.25">
      <c r="A821522" s="242"/>
    </row>
    <row r="821523" spans="1:1" x14ac:dyDescent="0.25">
      <c r="A821523" s="242"/>
    </row>
    <row r="821524" spans="1:1" x14ac:dyDescent="0.25">
      <c r="A821524" s="242"/>
    </row>
    <row r="821525" spans="1:1" x14ac:dyDescent="0.25">
      <c r="A821525" s="242"/>
    </row>
    <row r="821526" spans="1:1" x14ac:dyDescent="0.25">
      <c r="A821526" s="242"/>
    </row>
    <row r="821527" spans="1:1" x14ac:dyDescent="0.25">
      <c r="A821527" s="242"/>
    </row>
    <row r="821528" spans="1:1" x14ac:dyDescent="0.25">
      <c r="A821528" s="242"/>
    </row>
    <row r="821529" spans="1:1" x14ac:dyDescent="0.25">
      <c r="A821529" s="242"/>
    </row>
    <row r="821530" spans="1:1" x14ac:dyDescent="0.25">
      <c r="A821530" s="242"/>
    </row>
    <row r="821531" spans="1:1" x14ac:dyDescent="0.25">
      <c r="A821531" s="242"/>
    </row>
    <row r="821532" spans="1:1" x14ac:dyDescent="0.25">
      <c r="A821532" s="242"/>
    </row>
    <row r="821533" spans="1:1" x14ac:dyDescent="0.25">
      <c r="A821533" s="242"/>
    </row>
    <row r="821534" spans="1:1" x14ac:dyDescent="0.25">
      <c r="A821534" s="242"/>
    </row>
    <row r="821535" spans="1:1" x14ac:dyDescent="0.25">
      <c r="A821535" s="242"/>
    </row>
    <row r="821536" spans="1:1" x14ac:dyDescent="0.25">
      <c r="A821536" s="242"/>
    </row>
    <row r="821537" spans="1:1" x14ac:dyDescent="0.25">
      <c r="A821537" s="242"/>
    </row>
    <row r="821538" spans="1:1" x14ac:dyDescent="0.25">
      <c r="A821538" s="242"/>
    </row>
    <row r="821539" spans="1:1" x14ac:dyDescent="0.25">
      <c r="A821539" s="242"/>
    </row>
    <row r="821540" spans="1:1" x14ac:dyDescent="0.25">
      <c r="A821540" s="242"/>
    </row>
    <row r="821541" spans="1:1" x14ac:dyDescent="0.25">
      <c r="A821541" s="242"/>
    </row>
    <row r="821542" spans="1:1" x14ac:dyDescent="0.25">
      <c r="A821542" s="242"/>
    </row>
    <row r="821543" spans="1:1" x14ac:dyDescent="0.25">
      <c r="A821543" s="242"/>
    </row>
    <row r="821544" spans="1:1" x14ac:dyDescent="0.25">
      <c r="A821544" s="242"/>
    </row>
    <row r="821545" spans="1:1" x14ac:dyDescent="0.25">
      <c r="A821545" s="242"/>
    </row>
    <row r="821546" spans="1:1" x14ac:dyDescent="0.25">
      <c r="A821546" s="242"/>
    </row>
    <row r="821547" spans="1:1" x14ac:dyDescent="0.25">
      <c r="A821547" s="242"/>
    </row>
    <row r="821548" spans="1:1" x14ac:dyDescent="0.25">
      <c r="A821548" s="242"/>
    </row>
    <row r="821549" spans="1:1" x14ac:dyDescent="0.25">
      <c r="A821549" s="242"/>
    </row>
    <row r="821550" spans="1:1" x14ac:dyDescent="0.25">
      <c r="A821550" s="242"/>
    </row>
    <row r="821551" spans="1:1" x14ac:dyDescent="0.25">
      <c r="A821551" s="242"/>
    </row>
    <row r="821552" spans="1:1" x14ac:dyDescent="0.25">
      <c r="A821552" s="242"/>
    </row>
    <row r="821553" spans="1:1" x14ac:dyDescent="0.25">
      <c r="A821553" s="242"/>
    </row>
    <row r="821554" spans="1:1" x14ac:dyDescent="0.25">
      <c r="A821554" s="242"/>
    </row>
    <row r="821555" spans="1:1" x14ac:dyDescent="0.25">
      <c r="A821555" s="242"/>
    </row>
    <row r="821556" spans="1:1" x14ac:dyDescent="0.25">
      <c r="A821556" s="242"/>
    </row>
    <row r="821557" spans="1:1" x14ac:dyDescent="0.25">
      <c r="A821557" s="242"/>
    </row>
    <row r="821558" spans="1:1" x14ac:dyDescent="0.25">
      <c r="A821558" s="242"/>
    </row>
    <row r="821559" spans="1:1" x14ac:dyDescent="0.25">
      <c r="A821559" s="242"/>
    </row>
    <row r="821560" spans="1:1" x14ac:dyDescent="0.25">
      <c r="A821560" s="242"/>
    </row>
    <row r="821561" spans="1:1" x14ac:dyDescent="0.25">
      <c r="A821561" s="242"/>
    </row>
    <row r="821562" spans="1:1" x14ac:dyDescent="0.25">
      <c r="A821562" s="242"/>
    </row>
    <row r="821563" spans="1:1" x14ac:dyDescent="0.25">
      <c r="A821563" s="242"/>
    </row>
    <row r="821564" spans="1:1" x14ac:dyDescent="0.25">
      <c r="A821564" s="242"/>
    </row>
    <row r="821565" spans="1:1" x14ac:dyDescent="0.25">
      <c r="A821565" s="242"/>
    </row>
    <row r="821566" spans="1:1" x14ac:dyDescent="0.25">
      <c r="A821566" s="242"/>
    </row>
    <row r="821567" spans="1:1" x14ac:dyDescent="0.25">
      <c r="A821567" s="242"/>
    </row>
    <row r="821568" spans="1:1" x14ac:dyDescent="0.25">
      <c r="A821568" s="242"/>
    </row>
    <row r="821569" spans="1:1" x14ac:dyDescent="0.25">
      <c r="A821569" s="242"/>
    </row>
    <row r="821570" spans="1:1" x14ac:dyDescent="0.25">
      <c r="A821570" s="242"/>
    </row>
    <row r="821571" spans="1:1" x14ac:dyDescent="0.25">
      <c r="A821571" s="242"/>
    </row>
    <row r="821572" spans="1:1" x14ac:dyDescent="0.25">
      <c r="A821572" s="242"/>
    </row>
    <row r="821573" spans="1:1" x14ac:dyDescent="0.25">
      <c r="A821573" s="242"/>
    </row>
    <row r="821574" spans="1:1" x14ac:dyDescent="0.25">
      <c r="A821574" s="242"/>
    </row>
    <row r="821575" spans="1:1" x14ac:dyDescent="0.25">
      <c r="A821575" s="242"/>
    </row>
    <row r="821576" spans="1:1" x14ac:dyDescent="0.25">
      <c r="A821576" s="242"/>
    </row>
    <row r="821577" spans="1:1" x14ac:dyDescent="0.25">
      <c r="A821577" s="242"/>
    </row>
    <row r="821578" spans="1:1" x14ac:dyDescent="0.25">
      <c r="A821578" s="242"/>
    </row>
    <row r="821579" spans="1:1" x14ac:dyDescent="0.25">
      <c r="A821579" s="242"/>
    </row>
    <row r="821580" spans="1:1" x14ac:dyDescent="0.25">
      <c r="A821580" s="242"/>
    </row>
    <row r="821581" spans="1:1" x14ac:dyDescent="0.25">
      <c r="A821581" s="242"/>
    </row>
    <row r="821582" spans="1:1" x14ac:dyDescent="0.25">
      <c r="A821582" s="242"/>
    </row>
    <row r="821583" spans="1:1" x14ac:dyDescent="0.25">
      <c r="A821583" s="242"/>
    </row>
    <row r="821584" spans="1:1" x14ac:dyDescent="0.25">
      <c r="A821584" s="242"/>
    </row>
    <row r="821585" spans="1:1" x14ac:dyDescent="0.25">
      <c r="A821585" s="242"/>
    </row>
    <row r="821586" spans="1:1" x14ac:dyDescent="0.25">
      <c r="A821586" s="242"/>
    </row>
    <row r="821587" spans="1:1" x14ac:dyDescent="0.25">
      <c r="A821587" s="242"/>
    </row>
    <row r="821588" spans="1:1" x14ac:dyDescent="0.25">
      <c r="A821588" s="242"/>
    </row>
    <row r="821589" spans="1:1" x14ac:dyDescent="0.25">
      <c r="A821589" s="242"/>
    </row>
    <row r="821590" spans="1:1" x14ac:dyDescent="0.25">
      <c r="A821590" s="242"/>
    </row>
    <row r="821591" spans="1:1" x14ac:dyDescent="0.25">
      <c r="A821591" s="242"/>
    </row>
    <row r="821592" spans="1:1" x14ac:dyDescent="0.25">
      <c r="A821592" s="242"/>
    </row>
    <row r="821593" spans="1:1" x14ac:dyDescent="0.25">
      <c r="A821593" s="242"/>
    </row>
    <row r="821594" spans="1:1" x14ac:dyDescent="0.25">
      <c r="A821594" s="242"/>
    </row>
    <row r="821595" spans="1:1" x14ac:dyDescent="0.25">
      <c r="A821595" s="242"/>
    </row>
    <row r="821596" spans="1:1" x14ac:dyDescent="0.25">
      <c r="A821596" s="242"/>
    </row>
    <row r="821597" spans="1:1" x14ac:dyDescent="0.25">
      <c r="A821597" s="242"/>
    </row>
    <row r="821598" spans="1:1" x14ac:dyDescent="0.25">
      <c r="A821598" s="242"/>
    </row>
    <row r="821599" spans="1:1" x14ac:dyDescent="0.25">
      <c r="A821599" s="242"/>
    </row>
    <row r="821600" spans="1:1" x14ac:dyDescent="0.25">
      <c r="A821600" s="242"/>
    </row>
    <row r="821601" spans="1:1" x14ac:dyDescent="0.25">
      <c r="A821601" s="242"/>
    </row>
    <row r="821602" spans="1:1" x14ac:dyDescent="0.25">
      <c r="A821602" s="242"/>
    </row>
    <row r="821603" spans="1:1" x14ac:dyDescent="0.25">
      <c r="A821603" s="242"/>
    </row>
    <row r="821604" spans="1:1" x14ac:dyDescent="0.25">
      <c r="A821604" s="242"/>
    </row>
    <row r="821605" spans="1:1" x14ac:dyDescent="0.25">
      <c r="A821605" s="242"/>
    </row>
    <row r="821606" spans="1:1" x14ac:dyDescent="0.25">
      <c r="A821606" s="242"/>
    </row>
    <row r="821607" spans="1:1" x14ac:dyDescent="0.25">
      <c r="A821607" s="242"/>
    </row>
    <row r="821608" spans="1:1" x14ac:dyDescent="0.25">
      <c r="A821608" s="242"/>
    </row>
    <row r="821609" spans="1:1" x14ac:dyDescent="0.25">
      <c r="A821609" s="242"/>
    </row>
    <row r="821610" spans="1:1" x14ac:dyDescent="0.25">
      <c r="A821610" s="242"/>
    </row>
    <row r="821611" spans="1:1" x14ac:dyDescent="0.25">
      <c r="A821611" s="242"/>
    </row>
    <row r="821612" spans="1:1" x14ac:dyDescent="0.25">
      <c r="A821612" s="242"/>
    </row>
    <row r="821613" spans="1:1" x14ac:dyDescent="0.25">
      <c r="A821613" s="242"/>
    </row>
    <row r="821614" spans="1:1" x14ac:dyDescent="0.25">
      <c r="A821614" s="242"/>
    </row>
    <row r="821615" spans="1:1" x14ac:dyDescent="0.25">
      <c r="A821615" s="242"/>
    </row>
    <row r="821616" spans="1:1" x14ac:dyDescent="0.25">
      <c r="A821616" s="242"/>
    </row>
    <row r="821617" spans="1:1" x14ac:dyDescent="0.25">
      <c r="A821617" s="242"/>
    </row>
    <row r="821618" spans="1:1" x14ac:dyDescent="0.25">
      <c r="A821618" s="242"/>
    </row>
    <row r="821619" spans="1:1" x14ac:dyDescent="0.25">
      <c r="A821619" s="242"/>
    </row>
    <row r="821620" spans="1:1" x14ac:dyDescent="0.25">
      <c r="A821620" s="242"/>
    </row>
    <row r="821621" spans="1:1" x14ac:dyDescent="0.25">
      <c r="A821621" s="242"/>
    </row>
    <row r="821622" spans="1:1" x14ac:dyDescent="0.25">
      <c r="A821622" s="242"/>
    </row>
    <row r="821623" spans="1:1" x14ac:dyDescent="0.25">
      <c r="A821623" s="242"/>
    </row>
    <row r="821624" spans="1:1" x14ac:dyDescent="0.25">
      <c r="A821624" s="242"/>
    </row>
    <row r="821625" spans="1:1" x14ac:dyDescent="0.25">
      <c r="A821625" s="242"/>
    </row>
    <row r="821626" spans="1:1" x14ac:dyDescent="0.25">
      <c r="A821626" s="242"/>
    </row>
    <row r="821627" spans="1:1" x14ac:dyDescent="0.25">
      <c r="A821627" s="242"/>
    </row>
    <row r="821628" spans="1:1" x14ac:dyDescent="0.25">
      <c r="A821628" s="242"/>
    </row>
    <row r="821629" spans="1:1" x14ac:dyDescent="0.25">
      <c r="A821629" s="242"/>
    </row>
    <row r="821630" spans="1:1" x14ac:dyDescent="0.25">
      <c r="A821630" s="242"/>
    </row>
    <row r="821631" spans="1:1" x14ac:dyDescent="0.25">
      <c r="A821631" s="242"/>
    </row>
    <row r="821632" spans="1:1" x14ac:dyDescent="0.25">
      <c r="A821632" s="242"/>
    </row>
    <row r="821633" spans="1:1" x14ac:dyDescent="0.25">
      <c r="A821633" s="242"/>
    </row>
    <row r="821634" spans="1:1" x14ac:dyDescent="0.25">
      <c r="A821634" s="242"/>
    </row>
    <row r="821635" spans="1:1" x14ac:dyDescent="0.25">
      <c r="A821635" s="242"/>
    </row>
    <row r="821636" spans="1:1" x14ac:dyDescent="0.25">
      <c r="A821636" s="242"/>
    </row>
    <row r="821637" spans="1:1" x14ac:dyDescent="0.25">
      <c r="A821637" s="242"/>
    </row>
    <row r="821638" spans="1:1" x14ac:dyDescent="0.25">
      <c r="A821638" s="242"/>
    </row>
    <row r="821639" spans="1:1" x14ac:dyDescent="0.25">
      <c r="A821639" s="242"/>
    </row>
    <row r="821640" spans="1:1" x14ac:dyDescent="0.25">
      <c r="A821640" s="242"/>
    </row>
    <row r="821641" spans="1:1" x14ac:dyDescent="0.25">
      <c r="A821641" s="242"/>
    </row>
    <row r="821642" spans="1:1" x14ac:dyDescent="0.25">
      <c r="A821642" s="242"/>
    </row>
    <row r="821643" spans="1:1" x14ac:dyDescent="0.25">
      <c r="A821643" s="242"/>
    </row>
    <row r="821644" spans="1:1" x14ac:dyDescent="0.25">
      <c r="A821644" s="242"/>
    </row>
    <row r="821645" spans="1:1" x14ac:dyDescent="0.25">
      <c r="A821645" s="242"/>
    </row>
    <row r="821646" spans="1:1" x14ac:dyDescent="0.25">
      <c r="A821646" s="242"/>
    </row>
    <row r="821647" spans="1:1" x14ac:dyDescent="0.25">
      <c r="A821647" s="242"/>
    </row>
    <row r="821648" spans="1:1" x14ac:dyDescent="0.25">
      <c r="A821648" s="242"/>
    </row>
    <row r="821649" spans="1:1" x14ac:dyDescent="0.25">
      <c r="A821649" s="242"/>
    </row>
    <row r="821650" spans="1:1" x14ac:dyDescent="0.25">
      <c r="A821650" s="242"/>
    </row>
    <row r="821651" spans="1:1" x14ac:dyDescent="0.25">
      <c r="A821651" s="242"/>
    </row>
    <row r="821652" spans="1:1" x14ac:dyDescent="0.25">
      <c r="A821652" s="242"/>
    </row>
    <row r="821653" spans="1:1" x14ac:dyDescent="0.25">
      <c r="A821653" s="242"/>
    </row>
    <row r="821654" spans="1:1" x14ac:dyDescent="0.25">
      <c r="A821654" s="242"/>
    </row>
    <row r="821655" spans="1:1" x14ac:dyDescent="0.25">
      <c r="A821655" s="242"/>
    </row>
    <row r="821656" spans="1:1" x14ac:dyDescent="0.25">
      <c r="A821656" s="242"/>
    </row>
    <row r="821657" spans="1:1" x14ac:dyDescent="0.25">
      <c r="A821657" s="242"/>
    </row>
    <row r="821658" spans="1:1" x14ac:dyDescent="0.25">
      <c r="A821658" s="242"/>
    </row>
    <row r="821659" spans="1:1" x14ac:dyDescent="0.25">
      <c r="A821659" s="242"/>
    </row>
    <row r="821660" spans="1:1" x14ac:dyDescent="0.25">
      <c r="A821660" s="242"/>
    </row>
    <row r="821661" spans="1:1" x14ac:dyDescent="0.25">
      <c r="A821661" s="242"/>
    </row>
    <row r="821662" spans="1:1" x14ac:dyDescent="0.25">
      <c r="A821662" s="242"/>
    </row>
    <row r="821663" spans="1:1" x14ac:dyDescent="0.25">
      <c r="A821663" s="242"/>
    </row>
    <row r="821664" spans="1:1" x14ac:dyDescent="0.25">
      <c r="A821664" s="242"/>
    </row>
    <row r="821665" spans="1:1" x14ac:dyDescent="0.25">
      <c r="A821665" s="242"/>
    </row>
    <row r="821666" spans="1:1" x14ac:dyDescent="0.25">
      <c r="A821666" s="242"/>
    </row>
    <row r="821667" spans="1:1" x14ac:dyDescent="0.25">
      <c r="A821667" s="242"/>
    </row>
    <row r="821668" spans="1:1" x14ac:dyDescent="0.25">
      <c r="A821668" s="242"/>
    </row>
    <row r="821669" spans="1:1" x14ac:dyDescent="0.25">
      <c r="A821669" s="242"/>
    </row>
    <row r="821670" spans="1:1" x14ac:dyDescent="0.25">
      <c r="A821670" s="242"/>
    </row>
    <row r="821671" spans="1:1" x14ac:dyDescent="0.25">
      <c r="A821671" s="242"/>
    </row>
    <row r="821672" spans="1:1" x14ac:dyDescent="0.25">
      <c r="A821672" s="242"/>
    </row>
    <row r="821673" spans="1:1" x14ac:dyDescent="0.25">
      <c r="A821673" s="242"/>
    </row>
    <row r="821674" spans="1:1" x14ac:dyDescent="0.25">
      <c r="A821674" s="242"/>
    </row>
    <row r="821675" spans="1:1" x14ac:dyDescent="0.25">
      <c r="A821675" s="242"/>
    </row>
    <row r="821676" spans="1:1" x14ac:dyDescent="0.25">
      <c r="A821676" s="242"/>
    </row>
    <row r="821677" spans="1:1" x14ac:dyDescent="0.25">
      <c r="A821677" s="242"/>
    </row>
    <row r="821678" spans="1:1" x14ac:dyDescent="0.25">
      <c r="A821678" s="242"/>
    </row>
    <row r="821679" spans="1:1" x14ac:dyDescent="0.25">
      <c r="A821679" s="242"/>
    </row>
    <row r="821680" spans="1:1" x14ac:dyDescent="0.25">
      <c r="A821680" s="242"/>
    </row>
    <row r="821681" spans="1:1" x14ac:dyDescent="0.25">
      <c r="A821681" s="242"/>
    </row>
    <row r="821682" spans="1:1" x14ac:dyDescent="0.25">
      <c r="A821682" s="242"/>
    </row>
    <row r="821683" spans="1:1" x14ac:dyDescent="0.25">
      <c r="A821683" s="242"/>
    </row>
    <row r="821684" spans="1:1" x14ac:dyDescent="0.25">
      <c r="A821684" s="242"/>
    </row>
    <row r="821685" spans="1:1" x14ac:dyDescent="0.25">
      <c r="A821685" s="242"/>
    </row>
    <row r="821686" spans="1:1" x14ac:dyDescent="0.25">
      <c r="A821686" s="242"/>
    </row>
    <row r="821687" spans="1:1" x14ac:dyDescent="0.25">
      <c r="A821687" s="242"/>
    </row>
    <row r="821688" spans="1:1" x14ac:dyDescent="0.25">
      <c r="A821688" s="242"/>
    </row>
    <row r="821689" spans="1:1" x14ac:dyDescent="0.25">
      <c r="A821689" s="242"/>
    </row>
    <row r="821690" spans="1:1" x14ac:dyDescent="0.25">
      <c r="A821690" s="242"/>
    </row>
    <row r="821691" spans="1:1" x14ac:dyDescent="0.25">
      <c r="A821691" s="242"/>
    </row>
    <row r="821692" spans="1:1" x14ac:dyDescent="0.25">
      <c r="A821692" s="242"/>
    </row>
    <row r="821693" spans="1:1" x14ac:dyDescent="0.25">
      <c r="A821693" s="242"/>
    </row>
    <row r="821694" spans="1:1" x14ac:dyDescent="0.25">
      <c r="A821694" s="242"/>
    </row>
    <row r="821695" spans="1:1" x14ac:dyDescent="0.25">
      <c r="A821695" s="242"/>
    </row>
    <row r="821696" spans="1:1" x14ac:dyDescent="0.25">
      <c r="A821696" s="242"/>
    </row>
    <row r="821697" spans="1:1" x14ac:dyDescent="0.25">
      <c r="A821697" s="242"/>
    </row>
    <row r="821698" spans="1:1" x14ac:dyDescent="0.25">
      <c r="A821698" s="242"/>
    </row>
    <row r="821699" spans="1:1" x14ac:dyDescent="0.25">
      <c r="A821699" s="242"/>
    </row>
    <row r="821700" spans="1:1" x14ac:dyDescent="0.25">
      <c r="A821700" s="242"/>
    </row>
    <row r="821701" spans="1:1" x14ac:dyDescent="0.25">
      <c r="A821701" s="242"/>
    </row>
    <row r="821702" spans="1:1" x14ac:dyDescent="0.25">
      <c r="A821702" s="242"/>
    </row>
    <row r="821703" spans="1:1" x14ac:dyDescent="0.25">
      <c r="A821703" s="242"/>
    </row>
    <row r="821704" spans="1:1" x14ac:dyDescent="0.25">
      <c r="A821704" s="242"/>
    </row>
    <row r="821705" spans="1:1" x14ac:dyDescent="0.25">
      <c r="A821705" s="242"/>
    </row>
    <row r="821706" spans="1:1" x14ac:dyDescent="0.25">
      <c r="A821706" s="242"/>
    </row>
    <row r="821707" spans="1:1" x14ac:dyDescent="0.25">
      <c r="A821707" s="242"/>
    </row>
    <row r="821708" spans="1:1" x14ac:dyDescent="0.25">
      <c r="A821708" s="242"/>
    </row>
    <row r="821709" spans="1:1" x14ac:dyDescent="0.25">
      <c r="A821709" s="242"/>
    </row>
    <row r="821710" spans="1:1" x14ac:dyDescent="0.25">
      <c r="A821710" s="242"/>
    </row>
    <row r="821711" spans="1:1" x14ac:dyDescent="0.25">
      <c r="A821711" s="242"/>
    </row>
    <row r="821712" spans="1:1" x14ac:dyDescent="0.25">
      <c r="A821712" s="242"/>
    </row>
    <row r="821713" spans="1:1" x14ac:dyDescent="0.25">
      <c r="A821713" s="242"/>
    </row>
    <row r="821714" spans="1:1" x14ac:dyDescent="0.25">
      <c r="A821714" s="242"/>
    </row>
    <row r="821715" spans="1:1" x14ac:dyDescent="0.25">
      <c r="A821715" s="242"/>
    </row>
    <row r="821716" spans="1:1" x14ac:dyDescent="0.25">
      <c r="A821716" s="242"/>
    </row>
    <row r="821717" spans="1:1" x14ac:dyDescent="0.25">
      <c r="A821717" s="242"/>
    </row>
    <row r="821718" spans="1:1" x14ac:dyDescent="0.25">
      <c r="A821718" s="242"/>
    </row>
    <row r="821719" spans="1:1" x14ac:dyDescent="0.25">
      <c r="A821719" s="242"/>
    </row>
    <row r="821720" spans="1:1" x14ac:dyDescent="0.25">
      <c r="A821720" s="242"/>
    </row>
    <row r="821721" spans="1:1" x14ac:dyDescent="0.25">
      <c r="A821721" s="242"/>
    </row>
    <row r="821722" spans="1:1" x14ac:dyDescent="0.25">
      <c r="A821722" s="242"/>
    </row>
    <row r="821723" spans="1:1" x14ac:dyDescent="0.25">
      <c r="A821723" s="242"/>
    </row>
    <row r="821724" spans="1:1" x14ac:dyDescent="0.25">
      <c r="A821724" s="242"/>
    </row>
    <row r="821725" spans="1:1" x14ac:dyDescent="0.25">
      <c r="A821725" s="242"/>
    </row>
    <row r="821726" spans="1:1" x14ac:dyDescent="0.25">
      <c r="A821726" s="242"/>
    </row>
    <row r="821727" spans="1:1" x14ac:dyDescent="0.25">
      <c r="A821727" s="242"/>
    </row>
    <row r="821728" spans="1:1" x14ac:dyDescent="0.25">
      <c r="A821728" s="242"/>
    </row>
    <row r="821729" spans="1:1" x14ac:dyDescent="0.25">
      <c r="A821729" s="242"/>
    </row>
    <row r="821730" spans="1:1" x14ac:dyDescent="0.25">
      <c r="A821730" s="242"/>
    </row>
    <row r="821731" spans="1:1" x14ac:dyDescent="0.25">
      <c r="A821731" s="242"/>
    </row>
    <row r="821732" spans="1:1" x14ac:dyDescent="0.25">
      <c r="A821732" s="242"/>
    </row>
    <row r="821733" spans="1:1" x14ac:dyDescent="0.25">
      <c r="A821733" s="242"/>
    </row>
    <row r="821734" spans="1:1" x14ac:dyDescent="0.25">
      <c r="A821734" s="242"/>
    </row>
    <row r="821735" spans="1:1" x14ac:dyDescent="0.25">
      <c r="A821735" s="242"/>
    </row>
    <row r="821736" spans="1:1" x14ac:dyDescent="0.25">
      <c r="A821736" s="242"/>
    </row>
    <row r="821737" spans="1:1" x14ac:dyDescent="0.25">
      <c r="A821737" s="242"/>
    </row>
    <row r="821738" spans="1:1" x14ac:dyDescent="0.25">
      <c r="A821738" s="242"/>
    </row>
    <row r="821739" spans="1:1" x14ac:dyDescent="0.25">
      <c r="A821739" s="242"/>
    </row>
    <row r="821740" spans="1:1" x14ac:dyDescent="0.25">
      <c r="A821740" s="242"/>
    </row>
    <row r="821741" spans="1:1" x14ac:dyDescent="0.25">
      <c r="A821741" s="242"/>
    </row>
    <row r="821742" spans="1:1" x14ac:dyDescent="0.25">
      <c r="A821742" s="242"/>
    </row>
    <row r="821743" spans="1:1" x14ac:dyDescent="0.25">
      <c r="A821743" s="242"/>
    </row>
    <row r="821744" spans="1:1" x14ac:dyDescent="0.25">
      <c r="A821744" s="242"/>
    </row>
    <row r="821745" spans="1:1" x14ac:dyDescent="0.25">
      <c r="A821745" s="242"/>
    </row>
    <row r="821746" spans="1:1" x14ac:dyDescent="0.25">
      <c r="A821746" s="242"/>
    </row>
    <row r="821747" spans="1:1" x14ac:dyDescent="0.25">
      <c r="A821747" s="242"/>
    </row>
    <row r="821748" spans="1:1" x14ac:dyDescent="0.25">
      <c r="A821748" s="242"/>
    </row>
    <row r="821749" spans="1:1" x14ac:dyDescent="0.25">
      <c r="A821749" s="242"/>
    </row>
    <row r="821750" spans="1:1" x14ac:dyDescent="0.25">
      <c r="A821750" s="242"/>
    </row>
    <row r="821751" spans="1:1" x14ac:dyDescent="0.25">
      <c r="A821751" s="242"/>
    </row>
    <row r="821752" spans="1:1" x14ac:dyDescent="0.25">
      <c r="A821752" s="242"/>
    </row>
    <row r="821753" spans="1:1" x14ac:dyDescent="0.25">
      <c r="A821753" s="242"/>
    </row>
    <row r="821754" spans="1:1" x14ac:dyDescent="0.25">
      <c r="A821754" s="242"/>
    </row>
    <row r="821755" spans="1:1" x14ac:dyDescent="0.25">
      <c r="A821755" s="242"/>
    </row>
    <row r="821756" spans="1:1" x14ac:dyDescent="0.25">
      <c r="A821756" s="242"/>
    </row>
    <row r="821757" spans="1:1" x14ac:dyDescent="0.25">
      <c r="A821757" s="242"/>
    </row>
    <row r="821758" spans="1:1" x14ac:dyDescent="0.25">
      <c r="A821758" s="242"/>
    </row>
    <row r="821759" spans="1:1" x14ac:dyDescent="0.25">
      <c r="A821759" s="242"/>
    </row>
    <row r="821760" spans="1:1" x14ac:dyDescent="0.25">
      <c r="A821760" s="242"/>
    </row>
    <row r="821761" spans="1:1" x14ac:dyDescent="0.25">
      <c r="A821761" s="242"/>
    </row>
    <row r="821762" spans="1:1" x14ac:dyDescent="0.25">
      <c r="A821762" s="242"/>
    </row>
    <row r="821763" spans="1:1" x14ac:dyDescent="0.25">
      <c r="A821763" s="242"/>
    </row>
    <row r="821764" spans="1:1" x14ac:dyDescent="0.25">
      <c r="A821764" s="242"/>
    </row>
    <row r="821765" spans="1:1" x14ac:dyDescent="0.25">
      <c r="A821765" s="242"/>
    </row>
    <row r="821766" spans="1:1" x14ac:dyDescent="0.25">
      <c r="A821766" s="242"/>
    </row>
    <row r="821767" spans="1:1" x14ac:dyDescent="0.25">
      <c r="A821767" s="242"/>
    </row>
    <row r="821768" spans="1:1" x14ac:dyDescent="0.25">
      <c r="A821768" s="242"/>
    </row>
    <row r="821769" spans="1:1" x14ac:dyDescent="0.25">
      <c r="A821769" s="242"/>
    </row>
    <row r="821770" spans="1:1" x14ac:dyDescent="0.25">
      <c r="A821770" s="242"/>
    </row>
    <row r="821771" spans="1:1" x14ac:dyDescent="0.25">
      <c r="A821771" s="242"/>
    </row>
    <row r="821772" spans="1:1" x14ac:dyDescent="0.25">
      <c r="A821772" s="242"/>
    </row>
    <row r="821773" spans="1:1" x14ac:dyDescent="0.25">
      <c r="A821773" s="242"/>
    </row>
    <row r="821774" spans="1:1" x14ac:dyDescent="0.25">
      <c r="A821774" s="242"/>
    </row>
    <row r="821775" spans="1:1" x14ac:dyDescent="0.25">
      <c r="A821775" s="242"/>
    </row>
    <row r="821776" spans="1:1" x14ac:dyDescent="0.25">
      <c r="A821776" s="242"/>
    </row>
    <row r="821777" spans="1:1" x14ac:dyDescent="0.25">
      <c r="A821777" s="242"/>
    </row>
    <row r="821778" spans="1:1" x14ac:dyDescent="0.25">
      <c r="A821778" s="242"/>
    </row>
    <row r="821779" spans="1:1" x14ac:dyDescent="0.25">
      <c r="A821779" s="242"/>
    </row>
    <row r="821780" spans="1:1" x14ac:dyDescent="0.25">
      <c r="A821780" s="242"/>
    </row>
    <row r="821781" spans="1:1" x14ac:dyDescent="0.25">
      <c r="A821781" s="242"/>
    </row>
    <row r="821782" spans="1:1" x14ac:dyDescent="0.25">
      <c r="A821782" s="242"/>
    </row>
    <row r="821783" spans="1:1" x14ac:dyDescent="0.25">
      <c r="A821783" s="242"/>
    </row>
    <row r="821784" spans="1:1" x14ac:dyDescent="0.25">
      <c r="A821784" s="242"/>
    </row>
    <row r="821785" spans="1:1" x14ac:dyDescent="0.25">
      <c r="A821785" s="242"/>
    </row>
    <row r="821786" spans="1:1" x14ac:dyDescent="0.25">
      <c r="A821786" s="242"/>
    </row>
    <row r="821787" spans="1:1" x14ac:dyDescent="0.25">
      <c r="A821787" s="242"/>
    </row>
    <row r="821788" spans="1:1" x14ac:dyDescent="0.25">
      <c r="A821788" s="242"/>
    </row>
    <row r="821789" spans="1:1" x14ac:dyDescent="0.25">
      <c r="A821789" s="242"/>
    </row>
    <row r="821790" spans="1:1" x14ac:dyDescent="0.25">
      <c r="A821790" s="242"/>
    </row>
    <row r="821791" spans="1:1" x14ac:dyDescent="0.25">
      <c r="A821791" s="242"/>
    </row>
    <row r="821792" spans="1:1" x14ac:dyDescent="0.25">
      <c r="A821792" s="242"/>
    </row>
    <row r="821793" spans="1:1" x14ac:dyDescent="0.25">
      <c r="A821793" s="242"/>
    </row>
    <row r="821794" spans="1:1" x14ac:dyDescent="0.25">
      <c r="A821794" s="242"/>
    </row>
    <row r="821795" spans="1:1" x14ac:dyDescent="0.25">
      <c r="A821795" s="242"/>
    </row>
    <row r="821796" spans="1:1" x14ac:dyDescent="0.25">
      <c r="A821796" s="242"/>
    </row>
    <row r="821797" spans="1:1" x14ac:dyDescent="0.25">
      <c r="A821797" s="242"/>
    </row>
    <row r="821798" spans="1:1" x14ac:dyDescent="0.25">
      <c r="A821798" s="242"/>
    </row>
    <row r="821799" spans="1:1" x14ac:dyDescent="0.25">
      <c r="A821799" s="242"/>
    </row>
    <row r="821800" spans="1:1" x14ac:dyDescent="0.25">
      <c r="A821800" s="242"/>
    </row>
    <row r="821801" spans="1:1" x14ac:dyDescent="0.25">
      <c r="A821801" s="242"/>
    </row>
    <row r="821802" spans="1:1" x14ac:dyDescent="0.25">
      <c r="A821802" s="242"/>
    </row>
    <row r="821803" spans="1:1" x14ac:dyDescent="0.25">
      <c r="A821803" s="242"/>
    </row>
    <row r="821804" spans="1:1" x14ac:dyDescent="0.25">
      <c r="A821804" s="242"/>
    </row>
    <row r="821805" spans="1:1" x14ac:dyDescent="0.25">
      <c r="A821805" s="242"/>
    </row>
    <row r="821806" spans="1:1" x14ac:dyDescent="0.25">
      <c r="A821806" s="242"/>
    </row>
    <row r="821807" spans="1:1" x14ac:dyDescent="0.25">
      <c r="A821807" s="242"/>
    </row>
    <row r="821808" spans="1:1" x14ac:dyDescent="0.25">
      <c r="A821808" s="242"/>
    </row>
    <row r="821809" spans="1:1" x14ac:dyDescent="0.25">
      <c r="A821809" s="242"/>
    </row>
    <row r="821810" spans="1:1" x14ac:dyDescent="0.25">
      <c r="A821810" s="242"/>
    </row>
    <row r="821811" spans="1:1" x14ac:dyDescent="0.25">
      <c r="A821811" s="242"/>
    </row>
    <row r="821812" spans="1:1" x14ac:dyDescent="0.25">
      <c r="A821812" s="242"/>
    </row>
    <row r="821813" spans="1:1" x14ac:dyDescent="0.25">
      <c r="A821813" s="242"/>
    </row>
    <row r="821814" spans="1:1" x14ac:dyDescent="0.25">
      <c r="A821814" s="242"/>
    </row>
    <row r="821815" spans="1:1" x14ac:dyDescent="0.25">
      <c r="A821815" s="242"/>
    </row>
    <row r="821816" spans="1:1" x14ac:dyDescent="0.25">
      <c r="A821816" s="242"/>
    </row>
    <row r="821817" spans="1:1" x14ac:dyDescent="0.25">
      <c r="A821817" s="242"/>
    </row>
    <row r="821818" spans="1:1" x14ac:dyDescent="0.25">
      <c r="A821818" s="242"/>
    </row>
    <row r="821819" spans="1:1" x14ac:dyDescent="0.25">
      <c r="A821819" s="242"/>
    </row>
    <row r="821820" spans="1:1" x14ac:dyDescent="0.25">
      <c r="A821820" s="242"/>
    </row>
    <row r="821821" spans="1:1" x14ac:dyDescent="0.25">
      <c r="A821821" s="242"/>
    </row>
    <row r="821822" spans="1:1" x14ac:dyDescent="0.25">
      <c r="A821822" s="242"/>
    </row>
    <row r="821823" spans="1:1" x14ac:dyDescent="0.25">
      <c r="A821823" s="242"/>
    </row>
    <row r="821824" spans="1:1" x14ac:dyDescent="0.25">
      <c r="A821824" s="242"/>
    </row>
    <row r="821825" spans="1:1" x14ac:dyDescent="0.25">
      <c r="A821825" s="242"/>
    </row>
    <row r="821826" spans="1:1" x14ac:dyDescent="0.25">
      <c r="A821826" s="242"/>
    </row>
    <row r="821827" spans="1:1" x14ac:dyDescent="0.25">
      <c r="A821827" s="242"/>
    </row>
    <row r="821828" spans="1:1" x14ac:dyDescent="0.25">
      <c r="A821828" s="242"/>
    </row>
    <row r="821829" spans="1:1" x14ac:dyDescent="0.25">
      <c r="A821829" s="242"/>
    </row>
    <row r="821830" spans="1:1" x14ac:dyDescent="0.25">
      <c r="A821830" s="242"/>
    </row>
    <row r="821831" spans="1:1" x14ac:dyDescent="0.25">
      <c r="A821831" s="242"/>
    </row>
    <row r="821832" spans="1:1" x14ac:dyDescent="0.25">
      <c r="A821832" s="242"/>
    </row>
    <row r="821833" spans="1:1" x14ac:dyDescent="0.25">
      <c r="A821833" s="242"/>
    </row>
    <row r="821834" spans="1:1" x14ac:dyDescent="0.25">
      <c r="A821834" s="242"/>
    </row>
    <row r="821835" spans="1:1" x14ac:dyDescent="0.25">
      <c r="A821835" s="242"/>
    </row>
    <row r="821836" spans="1:1" x14ac:dyDescent="0.25">
      <c r="A821836" s="242"/>
    </row>
    <row r="821837" spans="1:1" x14ac:dyDescent="0.25">
      <c r="A821837" s="242"/>
    </row>
    <row r="821838" spans="1:1" x14ac:dyDescent="0.25">
      <c r="A821838" s="242"/>
    </row>
    <row r="821839" spans="1:1" x14ac:dyDescent="0.25">
      <c r="A821839" s="242"/>
    </row>
    <row r="821840" spans="1:1" x14ac:dyDescent="0.25">
      <c r="A821840" s="242"/>
    </row>
    <row r="821841" spans="1:1" x14ac:dyDescent="0.25">
      <c r="A821841" s="242"/>
    </row>
    <row r="821842" spans="1:1" x14ac:dyDescent="0.25">
      <c r="A821842" s="242"/>
    </row>
    <row r="821843" spans="1:1" x14ac:dyDescent="0.25">
      <c r="A821843" s="242"/>
    </row>
    <row r="821844" spans="1:1" x14ac:dyDescent="0.25">
      <c r="A821844" s="242"/>
    </row>
    <row r="821845" spans="1:1" x14ac:dyDescent="0.25">
      <c r="A821845" s="242"/>
    </row>
    <row r="821846" spans="1:1" x14ac:dyDescent="0.25">
      <c r="A821846" s="242"/>
    </row>
    <row r="821847" spans="1:1" x14ac:dyDescent="0.25">
      <c r="A821847" s="242"/>
    </row>
    <row r="821848" spans="1:1" x14ac:dyDescent="0.25">
      <c r="A821848" s="242"/>
    </row>
    <row r="821849" spans="1:1" x14ac:dyDescent="0.25">
      <c r="A821849" s="242"/>
    </row>
    <row r="821850" spans="1:1" x14ac:dyDescent="0.25">
      <c r="A821850" s="242"/>
    </row>
    <row r="821851" spans="1:1" x14ac:dyDescent="0.25">
      <c r="A821851" s="242"/>
    </row>
    <row r="821852" spans="1:1" x14ac:dyDescent="0.25">
      <c r="A821852" s="242"/>
    </row>
    <row r="821853" spans="1:1" x14ac:dyDescent="0.25">
      <c r="A821853" s="242"/>
    </row>
    <row r="821854" spans="1:1" x14ac:dyDescent="0.25">
      <c r="A821854" s="242"/>
    </row>
    <row r="821855" spans="1:1" x14ac:dyDescent="0.25">
      <c r="A821855" s="242"/>
    </row>
    <row r="821856" spans="1:1" x14ac:dyDescent="0.25">
      <c r="A821856" s="242"/>
    </row>
    <row r="821857" spans="1:1" x14ac:dyDescent="0.25">
      <c r="A821857" s="242"/>
    </row>
    <row r="821858" spans="1:1" x14ac:dyDescent="0.25">
      <c r="A821858" s="242"/>
    </row>
    <row r="821859" spans="1:1" x14ac:dyDescent="0.25">
      <c r="A821859" s="242"/>
    </row>
    <row r="821860" spans="1:1" x14ac:dyDescent="0.25">
      <c r="A821860" s="242"/>
    </row>
    <row r="821861" spans="1:1" x14ac:dyDescent="0.25">
      <c r="A821861" s="242"/>
    </row>
    <row r="821862" spans="1:1" x14ac:dyDescent="0.25">
      <c r="A821862" s="242"/>
    </row>
    <row r="821863" spans="1:1" x14ac:dyDescent="0.25">
      <c r="A821863" s="242"/>
    </row>
    <row r="821864" spans="1:1" x14ac:dyDescent="0.25">
      <c r="A821864" s="242"/>
    </row>
    <row r="821865" spans="1:1" x14ac:dyDescent="0.25">
      <c r="A821865" s="242"/>
    </row>
    <row r="821866" spans="1:1" x14ac:dyDescent="0.25">
      <c r="A821866" s="242"/>
    </row>
    <row r="821867" spans="1:1" x14ac:dyDescent="0.25">
      <c r="A821867" s="242"/>
    </row>
    <row r="821868" spans="1:1" x14ac:dyDescent="0.25">
      <c r="A821868" s="242"/>
    </row>
    <row r="821869" spans="1:1" x14ac:dyDescent="0.25">
      <c r="A821869" s="242"/>
    </row>
    <row r="821870" spans="1:1" x14ac:dyDescent="0.25">
      <c r="A821870" s="242"/>
    </row>
    <row r="821871" spans="1:1" x14ac:dyDescent="0.25">
      <c r="A821871" s="242"/>
    </row>
    <row r="821872" spans="1:1" x14ac:dyDescent="0.25">
      <c r="A821872" s="242"/>
    </row>
    <row r="821873" spans="1:1" x14ac:dyDescent="0.25">
      <c r="A821873" s="242"/>
    </row>
    <row r="821874" spans="1:1" x14ac:dyDescent="0.25">
      <c r="A821874" s="242"/>
    </row>
    <row r="821875" spans="1:1" x14ac:dyDescent="0.25">
      <c r="A821875" s="242"/>
    </row>
    <row r="821876" spans="1:1" x14ac:dyDescent="0.25">
      <c r="A821876" s="242"/>
    </row>
    <row r="821877" spans="1:1" x14ac:dyDescent="0.25">
      <c r="A821877" s="242"/>
    </row>
    <row r="821878" spans="1:1" x14ac:dyDescent="0.25">
      <c r="A821878" s="242"/>
    </row>
    <row r="821879" spans="1:1" x14ac:dyDescent="0.25">
      <c r="A821879" s="242"/>
    </row>
    <row r="821880" spans="1:1" x14ac:dyDescent="0.25">
      <c r="A821880" s="242"/>
    </row>
    <row r="821881" spans="1:1" x14ac:dyDescent="0.25">
      <c r="A821881" s="242"/>
    </row>
    <row r="821882" spans="1:1" x14ac:dyDescent="0.25">
      <c r="A821882" s="242"/>
    </row>
    <row r="821883" spans="1:1" x14ac:dyDescent="0.25">
      <c r="A821883" s="242"/>
    </row>
    <row r="821884" spans="1:1" x14ac:dyDescent="0.25">
      <c r="A821884" s="242"/>
    </row>
    <row r="821885" spans="1:1" x14ac:dyDescent="0.25">
      <c r="A821885" s="242"/>
    </row>
    <row r="821886" spans="1:1" x14ac:dyDescent="0.25">
      <c r="A821886" s="242"/>
    </row>
    <row r="821887" spans="1:1" x14ac:dyDescent="0.25">
      <c r="A821887" s="242"/>
    </row>
    <row r="821888" spans="1:1" x14ac:dyDescent="0.25">
      <c r="A821888" s="242"/>
    </row>
    <row r="821889" spans="1:1" x14ac:dyDescent="0.25">
      <c r="A821889" s="242"/>
    </row>
    <row r="821890" spans="1:1" x14ac:dyDescent="0.25">
      <c r="A821890" s="242"/>
    </row>
    <row r="821891" spans="1:1" x14ac:dyDescent="0.25">
      <c r="A821891" s="242"/>
    </row>
    <row r="821892" spans="1:1" x14ac:dyDescent="0.25">
      <c r="A821892" s="242"/>
    </row>
    <row r="821893" spans="1:1" x14ac:dyDescent="0.25">
      <c r="A821893" s="242"/>
    </row>
    <row r="821894" spans="1:1" x14ac:dyDescent="0.25">
      <c r="A821894" s="242"/>
    </row>
    <row r="821895" spans="1:1" x14ac:dyDescent="0.25">
      <c r="A821895" s="242"/>
    </row>
    <row r="821896" spans="1:1" x14ac:dyDescent="0.25">
      <c r="A821896" s="242"/>
    </row>
    <row r="821897" spans="1:1" x14ac:dyDescent="0.25">
      <c r="A821897" s="242"/>
    </row>
    <row r="821898" spans="1:1" x14ac:dyDescent="0.25">
      <c r="A821898" s="242"/>
    </row>
    <row r="821899" spans="1:1" x14ac:dyDescent="0.25">
      <c r="A821899" s="242"/>
    </row>
    <row r="821900" spans="1:1" x14ac:dyDescent="0.25">
      <c r="A821900" s="242"/>
    </row>
    <row r="821901" spans="1:1" x14ac:dyDescent="0.25">
      <c r="A821901" s="242"/>
    </row>
    <row r="821902" spans="1:1" x14ac:dyDescent="0.25">
      <c r="A821902" s="242"/>
    </row>
    <row r="821903" spans="1:1" x14ac:dyDescent="0.25">
      <c r="A821903" s="242"/>
    </row>
    <row r="821904" spans="1:1" x14ac:dyDescent="0.25">
      <c r="A821904" s="242"/>
    </row>
    <row r="821905" spans="1:1" x14ac:dyDescent="0.25">
      <c r="A821905" s="242"/>
    </row>
    <row r="821906" spans="1:1" x14ac:dyDescent="0.25">
      <c r="A821906" s="242"/>
    </row>
    <row r="821907" spans="1:1" x14ac:dyDescent="0.25">
      <c r="A821907" s="242"/>
    </row>
    <row r="821908" spans="1:1" x14ac:dyDescent="0.25">
      <c r="A821908" s="242"/>
    </row>
    <row r="821909" spans="1:1" x14ac:dyDescent="0.25">
      <c r="A821909" s="242"/>
    </row>
    <row r="821910" spans="1:1" x14ac:dyDescent="0.25">
      <c r="A821910" s="242"/>
    </row>
    <row r="821911" spans="1:1" x14ac:dyDescent="0.25">
      <c r="A821911" s="242"/>
    </row>
    <row r="821912" spans="1:1" x14ac:dyDescent="0.25">
      <c r="A821912" s="242"/>
    </row>
    <row r="821913" spans="1:1" x14ac:dyDescent="0.25">
      <c r="A821913" s="242"/>
    </row>
    <row r="821914" spans="1:1" x14ac:dyDescent="0.25">
      <c r="A821914" s="242"/>
    </row>
    <row r="821915" spans="1:1" x14ac:dyDescent="0.25">
      <c r="A821915" s="242"/>
    </row>
    <row r="821916" spans="1:1" x14ac:dyDescent="0.25">
      <c r="A821916" s="242"/>
    </row>
    <row r="821917" spans="1:1" x14ac:dyDescent="0.25">
      <c r="A821917" s="242"/>
    </row>
    <row r="821918" spans="1:1" x14ac:dyDescent="0.25">
      <c r="A821918" s="242"/>
    </row>
    <row r="821919" spans="1:1" x14ac:dyDescent="0.25">
      <c r="A821919" s="242"/>
    </row>
    <row r="821920" spans="1:1" x14ac:dyDescent="0.25">
      <c r="A821920" s="242"/>
    </row>
    <row r="821921" spans="1:1" x14ac:dyDescent="0.25">
      <c r="A821921" s="242"/>
    </row>
    <row r="821922" spans="1:1" x14ac:dyDescent="0.25">
      <c r="A821922" s="242"/>
    </row>
    <row r="821923" spans="1:1" x14ac:dyDescent="0.25">
      <c r="A821923" s="242"/>
    </row>
    <row r="821924" spans="1:1" x14ac:dyDescent="0.25">
      <c r="A821924" s="242"/>
    </row>
    <row r="821925" spans="1:1" x14ac:dyDescent="0.25">
      <c r="A821925" s="242"/>
    </row>
    <row r="821926" spans="1:1" x14ac:dyDescent="0.25">
      <c r="A821926" s="242"/>
    </row>
    <row r="821927" spans="1:1" x14ac:dyDescent="0.25">
      <c r="A821927" s="242"/>
    </row>
    <row r="821928" spans="1:1" x14ac:dyDescent="0.25">
      <c r="A821928" s="242"/>
    </row>
    <row r="821929" spans="1:1" x14ac:dyDescent="0.25">
      <c r="A821929" s="242"/>
    </row>
    <row r="821930" spans="1:1" x14ac:dyDescent="0.25">
      <c r="A821930" s="242"/>
    </row>
    <row r="821931" spans="1:1" x14ac:dyDescent="0.25">
      <c r="A821931" s="242"/>
    </row>
    <row r="821932" spans="1:1" x14ac:dyDescent="0.25">
      <c r="A821932" s="242"/>
    </row>
    <row r="821933" spans="1:1" x14ac:dyDescent="0.25">
      <c r="A821933" s="242"/>
    </row>
    <row r="821934" spans="1:1" x14ac:dyDescent="0.25">
      <c r="A821934" s="242"/>
    </row>
    <row r="821935" spans="1:1" x14ac:dyDescent="0.25">
      <c r="A821935" s="242"/>
    </row>
    <row r="821936" spans="1:1" x14ac:dyDescent="0.25">
      <c r="A821936" s="242"/>
    </row>
    <row r="821937" spans="1:1" x14ac:dyDescent="0.25">
      <c r="A821937" s="242"/>
    </row>
    <row r="821938" spans="1:1" x14ac:dyDescent="0.25">
      <c r="A821938" s="242"/>
    </row>
    <row r="821939" spans="1:1" x14ac:dyDescent="0.25">
      <c r="A821939" s="242"/>
    </row>
    <row r="821940" spans="1:1" x14ac:dyDescent="0.25">
      <c r="A821940" s="242"/>
    </row>
    <row r="821941" spans="1:1" x14ac:dyDescent="0.25">
      <c r="A821941" s="242"/>
    </row>
    <row r="821942" spans="1:1" x14ac:dyDescent="0.25">
      <c r="A821942" s="242"/>
    </row>
    <row r="821943" spans="1:1" x14ac:dyDescent="0.25">
      <c r="A821943" s="242"/>
    </row>
    <row r="821944" spans="1:1" x14ac:dyDescent="0.25">
      <c r="A821944" s="242"/>
    </row>
    <row r="821945" spans="1:1" x14ac:dyDescent="0.25">
      <c r="A821945" s="242"/>
    </row>
    <row r="821946" spans="1:1" x14ac:dyDescent="0.25">
      <c r="A821946" s="242"/>
    </row>
    <row r="821947" spans="1:1" x14ac:dyDescent="0.25">
      <c r="A821947" s="242"/>
    </row>
    <row r="821948" spans="1:1" x14ac:dyDescent="0.25">
      <c r="A821948" s="242"/>
    </row>
    <row r="821949" spans="1:1" x14ac:dyDescent="0.25">
      <c r="A821949" s="242"/>
    </row>
    <row r="821950" spans="1:1" x14ac:dyDescent="0.25">
      <c r="A821950" s="242"/>
    </row>
    <row r="821951" spans="1:1" x14ac:dyDescent="0.25">
      <c r="A821951" s="242"/>
    </row>
    <row r="821952" spans="1:1" x14ac:dyDescent="0.25">
      <c r="A821952" s="242"/>
    </row>
    <row r="821953" spans="1:1" x14ac:dyDescent="0.25">
      <c r="A821953" s="242"/>
    </row>
    <row r="821954" spans="1:1" x14ac:dyDescent="0.25">
      <c r="A821954" s="242"/>
    </row>
    <row r="821955" spans="1:1" x14ac:dyDescent="0.25">
      <c r="A821955" s="242"/>
    </row>
    <row r="821956" spans="1:1" x14ac:dyDescent="0.25">
      <c r="A821956" s="242"/>
    </row>
    <row r="821957" spans="1:1" x14ac:dyDescent="0.25">
      <c r="A821957" s="242"/>
    </row>
    <row r="821958" spans="1:1" x14ac:dyDescent="0.25">
      <c r="A821958" s="242"/>
    </row>
    <row r="821959" spans="1:1" x14ac:dyDescent="0.25">
      <c r="A821959" s="242"/>
    </row>
    <row r="821960" spans="1:1" x14ac:dyDescent="0.25">
      <c r="A821960" s="242"/>
    </row>
    <row r="821961" spans="1:1" x14ac:dyDescent="0.25">
      <c r="A821961" s="242"/>
    </row>
    <row r="821962" spans="1:1" x14ac:dyDescent="0.25">
      <c r="A821962" s="242"/>
    </row>
    <row r="821963" spans="1:1" x14ac:dyDescent="0.25">
      <c r="A821963" s="242"/>
    </row>
    <row r="821964" spans="1:1" x14ac:dyDescent="0.25">
      <c r="A821964" s="242"/>
    </row>
    <row r="821965" spans="1:1" x14ac:dyDescent="0.25">
      <c r="A821965" s="242"/>
    </row>
    <row r="821966" spans="1:1" x14ac:dyDescent="0.25">
      <c r="A821966" s="242"/>
    </row>
    <row r="821967" spans="1:1" x14ac:dyDescent="0.25">
      <c r="A821967" s="242"/>
    </row>
    <row r="821968" spans="1:1" x14ac:dyDescent="0.25">
      <c r="A821968" s="242"/>
    </row>
    <row r="821969" spans="1:1" x14ac:dyDescent="0.25">
      <c r="A821969" s="242"/>
    </row>
    <row r="821970" spans="1:1" x14ac:dyDescent="0.25">
      <c r="A821970" s="242"/>
    </row>
    <row r="821971" spans="1:1" x14ac:dyDescent="0.25">
      <c r="A821971" s="242"/>
    </row>
    <row r="821972" spans="1:1" x14ac:dyDescent="0.25">
      <c r="A821972" s="242"/>
    </row>
    <row r="821973" spans="1:1" x14ac:dyDescent="0.25">
      <c r="A821973" s="242"/>
    </row>
    <row r="821974" spans="1:1" x14ac:dyDescent="0.25">
      <c r="A821974" s="242"/>
    </row>
    <row r="821975" spans="1:1" x14ac:dyDescent="0.25">
      <c r="A821975" s="242"/>
    </row>
    <row r="821976" spans="1:1" x14ac:dyDescent="0.25">
      <c r="A821976" s="242"/>
    </row>
    <row r="821977" spans="1:1" x14ac:dyDescent="0.25">
      <c r="A821977" s="242"/>
    </row>
    <row r="821978" spans="1:1" x14ac:dyDescent="0.25">
      <c r="A821978" s="242"/>
    </row>
    <row r="821979" spans="1:1" x14ac:dyDescent="0.25">
      <c r="A821979" s="242"/>
    </row>
    <row r="821980" spans="1:1" x14ac:dyDescent="0.25">
      <c r="A821980" s="242"/>
    </row>
    <row r="821981" spans="1:1" x14ac:dyDescent="0.25">
      <c r="A821981" s="242"/>
    </row>
    <row r="821982" spans="1:1" x14ac:dyDescent="0.25">
      <c r="A821982" s="242"/>
    </row>
    <row r="821983" spans="1:1" x14ac:dyDescent="0.25">
      <c r="A821983" s="242"/>
    </row>
    <row r="821984" spans="1:1" x14ac:dyDescent="0.25">
      <c r="A821984" s="242"/>
    </row>
    <row r="821985" spans="1:1" x14ac:dyDescent="0.25">
      <c r="A821985" s="242"/>
    </row>
    <row r="821986" spans="1:1" x14ac:dyDescent="0.25">
      <c r="A821986" s="242"/>
    </row>
    <row r="821987" spans="1:1" x14ac:dyDescent="0.25">
      <c r="A821987" s="242"/>
    </row>
    <row r="821988" spans="1:1" x14ac:dyDescent="0.25">
      <c r="A821988" s="242"/>
    </row>
    <row r="821989" spans="1:1" x14ac:dyDescent="0.25">
      <c r="A821989" s="242"/>
    </row>
    <row r="821990" spans="1:1" x14ac:dyDescent="0.25">
      <c r="A821990" s="242"/>
    </row>
    <row r="821991" spans="1:1" x14ac:dyDescent="0.25">
      <c r="A821991" s="242"/>
    </row>
    <row r="821992" spans="1:1" x14ac:dyDescent="0.25">
      <c r="A821992" s="242"/>
    </row>
    <row r="821993" spans="1:1" x14ac:dyDescent="0.25">
      <c r="A821993" s="242"/>
    </row>
    <row r="821994" spans="1:1" x14ac:dyDescent="0.25">
      <c r="A821994" s="242"/>
    </row>
    <row r="821995" spans="1:1" x14ac:dyDescent="0.25">
      <c r="A821995" s="242"/>
    </row>
    <row r="821996" spans="1:1" x14ac:dyDescent="0.25">
      <c r="A821996" s="242"/>
    </row>
    <row r="821997" spans="1:1" x14ac:dyDescent="0.25">
      <c r="A821997" s="242"/>
    </row>
    <row r="821998" spans="1:1" x14ac:dyDescent="0.25">
      <c r="A821998" s="242"/>
    </row>
    <row r="821999" spans="1:1" x14ac:dyDescent="0.25">
      <c r="A821999" s="242"/>
    </row>
    <row r="822000" spans="1:1" x14ac:dyDescent="0.25">
      <c r="A822000" s="242"/>
    </row>
    <row r="822001" spans="1:1" x14ac:dyDescent="0.25">
      <c r="A822001" s="242"/>
    </row>
    <row r="822002" spans="1:1" x14ac:dyDescent="0.25">
      <c r="A822002" s="242"/>
    </row>
    <row r="822003" spans="1:1" x14ac:dyDescent="0.25">
      <c r="A822003" s="242"/>
    </row>
    <row r="822004" spans="1:1" x14ac:dyDescent="0.25">
      <c r="A822004" s="242"/>
    </row>
    <row r="822005" spans="1:1" x14ac:dyDescent="0.25">
      <c r="A822005" s="242"/>
    </row>
    <row r="822006" spans="1:1" x14ac:dyDescent="0.25">
      <c r="A822006" s="242"/>
    </row>
    <row r="822007" spans="1:1" x14ac:dyDescent="0.25">
      <c r="A822007" s="242"/>
    </row>
    <row r="822008" spans="1:1" x14ac:dyDescent="0.25">
      <c r="A822008" s="242"/>
    </row>
    <row r="822009" spans="1:1" x14ac:dyDescent="0.25">
      <c r="A822009" s="242"/>
    </row>
    <row r="822010" spans="1:1" x14ac:dyDescent="0.25">
      <c r="A822010" s="242"/>
    </row>
    <row r="822011" spans="1:1" x14ac:dyDescent="0.25">
      <c r="A822011" s="242"/>
    </row>
    <row r="822012" spans="1:1" x14ac:dyDescent="0.25">
      <c r="A822012" s="242"/>
    </row>
    <row r="822013" spans="1:1" x14ac:dyDescent="0.25">
      <c r="A822013" s="242"/>
    </row>
    <row r="822014" spans="1:1" x14ac:dyDescent="0.25">
      <c r="A822014" s="242"/>
    </row>
    <row r="822015" spans="1:1" x14ac:dyDescent="0.25">
      <c r="A822015" s="242"/>
    </row>
    <row r="822016" spans="1:1" x14ac:dyDescent="0.25">
      <c r="A822016" s="242"/>
    </row>
    <row r="822017" spans="1:1" x14ac:dyDescent="0.25">
      <c r="A822017" s="242"/>
    </row>
    <row r="822018" spans="1:1" x14ac:dyDescent="0.25">
      <c r="A822018" s="242"/>
    </row>
    <row r="822019" spans="1:1" x14ac:dyDescent="0.25">
      <c r="A822019" s="242"/>
    </row>
    <row r="822020" spans="1:1" x14ac:dyDescent="0.25">
      <c r="A822020" s="242"/>
    </row>
    <row r="822021" spans="1:1" x14ac:dyDescent="0.25">
      <c r="A822021" s="242"/>
    </row>
    <row r="822022" spans="1:1" x14ac:dyDescent="0.25">
      <c r="A822022" s="242"/>
    </row>
    <row r="822023" spans="1:1" x14ac:dyDescent="0.25">
      <c r="A822023" s="242"/>
    </row>
    <row r="822024" spans="1:1" x14ac:dyDescent="0.25">
      <c r="A822024" s="242"/>
    </row>
    <row r="822025" spans="1:1" x14ac:dyDescent="0.25">
      <c r="A822025" s="242"/>
    </row>
    <row r="822026" spans="1:1" x14ac:dyDescent="0.25">
      <c r="A822026" s="242"/>
    </row>
    <row r="822027" spans="1:1" x14ac:dyDescent="0.25">
      <c r="A822027" s="242"/>
    </row>
    <row r="822028" spans="1:1" x14ac:dyDescent="0.25">
      <c r="A822028" s="242"/>
    </row>
    <row r="822029" spans="1:1" x14ac:dyDescent="0.25">
      <c r="A822029" s="242"/>
    </row>
    <row r="822030" spans="1:1" x14ac:dyDescent="0.25">
      <c r="A822030" s="242"/>
    </row>
    <row r="822031" spans="1:1" x14ac:dyDescent="0.25">
      <c r="A822031" s="242"/>
    </row>
    <row r="822032" spans="1:1" x14ac:dyDescent="0.25">
      <c r="A822032" s="242"/>
    </row>
    <row r="822033" spans="1:1" x14ac:dyDescent="0.25">
      <c r="A822033" s="242"/>
    </row>
    <row r="822034" spans="1:1" x14ac:dyDescent="0.25">
      <c r="A822034" s="242"/>
    </row>
    <row r="822035" spans="1:1" x14ac:dyDescent="0.25">
      <c r="A822035" s="242"/>
    </row>
    <row r="822036" spans="1:1" x14ac:dyDescent="0.25">
      <c r="A822036" s="242"/>
    </row>
    <row r="822037" spans="1:1" x14ac:dyDescent="0.25">
      <c r="A822037" s="242"/>
    </row>
    <row r="822038" spans="1:1" x14ac:dyDescent="0.25">
      <c r="A822038" s="242"/>
    </row>
    <row r="822039" spans="1:1" x14ac:dyDescent="0.25">
      <c r="A822039" s="242"/>
    </row>
    <row r="822040" spans="1:1" x14ac:dyDescent="0.25">
      <c r="A822040" s="242"/>
    </row>
    <row r="822041" spans="1:1" x14ac:dyDescent="0.25">
      <c r="A822041" s="242"/>
    </row>
    <row r="822042" spans="1:1" x14ac:dyDescent="0.25">
      <c r="A822042" s="242"/>
    </row>
    <row r="822043" spans="1:1" x14ac:dyDescent="0.25">
      <c r="A822043" s="242"/>
    </row>
    <row r="822044" spans="1:1" x14ac:dyDescent="0.25">
      <c r="A822044" s="242"/>
    </row>
    <row r="822045" spans="1:1" x14ac:dyDescent="0.25">
      <c r="A822045" s="242"/>
    </row>
    <row r="822046" spans="1:1" x14ac:dyDescent="0.25">
      <c r="A822046" s="242"/>
    </row>
    <row r="822047" spans="1:1" x14ac:dyDescent="0.25">
      <c r="A822047" s="242"/>
    </row>
    <row r="822048" spans="1:1" x14ac:dyDescent="0.25">
      <c r="A822048" s="242"/>
    </row>
    <row r="822049" spans="1:1" x14ac:dyDescent="0.25">
      <c r="A822049" s="242"/>
    </row>
    <row r="822050" spans="1:1" x14ac:dyDescent="0.25">
      <c r="A822050" s="242"/>
    </row>
    <row r="822051" spans="1:1" x14ac:dyDescent="0.25">
      <c r="A822051" s="242"/>
    </row>
    <row r="822052" spans="1:1" x14ac:dyDescent="0.25">
      <c r="A822052" s="242"/>
    </row>
    <row r="822053" spans="1:1" x14ac:dyDescent="0.25">
      <c r="A822053" s="242"/>
    </row>
    <row r="822054" spans="1:1" x14ac:dyDescent="0.25">
      <c r="A822054" s="242"/>
    </row>
    <row r="822055" spans="1:1" x14ac:dyDescent="0.25">
      <c r="A822055" s="242"/>
    </row>
    <row r="822056" spans="1:1" x14ac:dyDescent="0.25">
      <c r="A822056" s="242"/>
    </row>
    <row r="822057" spans="1:1" x14ac:dyDescent="0.25">
      <c r="A822057" s="242"/>
    </row>
    <row r="822058" spans="1:1" x14ac:dyDescent="0.25">
      <c r="A822058" s="242"/>
    </row>
    <row r="822059" spans="1:1" x14ac:dyDescent="0.25">
      <c r="A822059" s="242"/>
    </row>
    <row r="822060" spans="1:1" x14ac:dyDescent="0.25">
      <c r="A822060" s="242"/>
    </row>
    <row r="822061" spans="1:1" x14ac:dyDescent="0.25">
      <c r="A822061" s="242"/>
    </row>
    <row r="822062" spans="1:1" x14ac:dyDescent="0.25">
      <c r="A822062" s="242"/>
    </row>
    <row r="822063" spans="1:1" x14ac:dyDescent="0.25">
      <c r="A822063" s="242"/>
    </row>
    <row r="822064" spans="1:1" x14ac:dyDescent="0.25">
      <c r="A822064" s="242"/>
    </row>
    <row r="822065" spans="1:1" x14ac:dyDescent="0.25">
      <c r="A822065" s="242"/>
    </row>
    <row r="822066" spans="1:1" x14ac:dyDescent="0.25">
      <c r="A822066" s="242"/>
    </row>
    <row r="822067" spans="1:1" x14ac:dyDescent="0.25">
      <c r="A822067" s="242"/>
    </row>
    <row r="822068" spans="1:1" x14ac:dyDescent="0.25">
      <c r="A822068" s="242"/>
    </row>
    <row r="822069" spans="1:1" x14ac:dyDescent="0.25">
      <c r="A822069" s="242"/>
    </row>
    <row r="822070" spans="1:1" x14ac:dyDescent="0.25">
      <c r="A822070" s="242"/>
    </row>
    <row r="822071" spans="1:1" x14ac:dyDescent="0.25">
      <c r="A822071" s="242"/>
    </row>
    <row r="822072" spans="1:1" x14ac:dyDescent="0.25">
      <c r="A822072" s="242"/>
    </row>
    <row r="822073" spans="1:1" x14ac:dyDescent="0.25">
      <c r="A822073" s="242"/>
    </row>
    <row r="822074" spans="1:1" x14ac:dyDescent="0.25">
      <c r="A822074" s="242"/>
    </row>
    <row r="822075" spans="1:1" x14ac:dyDescent="0.25">
      <c r="A822075" s="242"/>
    </row>
    <row r="822076" spans="1:1" x14ac:dyDescent="0.25">
      <c r="A822076" s="242"/>
    </row>
    <row r="822077" spans="1:1" x14ac:dyDescent="0.25">
      <c r="A822077" s="242"/>
    </row>
    <row r="822078" spans="1:1" x14ac:dyDescent="0.25">
      <c r="A822078" s="242"/>
    </row>
    <row r="822079" spans="1:1" x14ac:dyDescent="0.25">
      <c r="A822079" s="242"/>
    </row>
    <row r="822080" spans="1:1" x14ac:dyDescent="0.25">
      <c r="A822080" s="242"/>
    </row>
    <row r="822081" spans="1:1" x14ac:dyDescent="0.25">
      <c r="A822081" s="242"/>
    </row>
    <row r="822082" spans="1:1" x14ac:dyDescent="0.25">
      <c r="A822082" s="242"/>
    </row>
    <row r="822083" spans="1:1" x14ac:dyDescent="0.25">
      <c r="A822083" s="242"/>
    </row>
    <row r="822084" spans="1:1" x14ac:dyDescent="0.25">
      <c r="A822084" s="242"/>
    </row>
    <row r="822085" spans="1:1" x14ac:dyDescent="0.25">
      <c r="A822085" s="242"/>
    </row>
    <row r="822086" spans="1:1" x14ac:dyDescent="0.25">
      <c r="A822086" s="242"/>
    </row>
    <row r="822087" spans="1:1" x14ac:dyDescent="0.25">
      <c r="A822087" s="242"/>
    </row>
    <row r="822088" spans="1:1" x14ac:dyDescent="0.25">
      <c r="A822088" s="242"/>
    </row>
    <row r="822089" spans="1:1" x14ac:dyDescent="0.25">
      <c r="A822089" s="242"/>
    </row>
    <row r="822090" spans="1:1" x14ac:dyDescent="0.25">
      <c r="A822090" s="242"/>
    </row>
    <row r="822091" spans="1:1" x14ac:dyDescent="0.25">
      <c r="A822091" s="242"/>
    </row>
    <row r="822092" spans="1:1" x14ac:dyDescent="0.25">
      <c r="A822092" s="242"/>
    </row>
    <row r="822093" spans="1:1" x14ac:dyDescent="0.25">
      <c r="A822093" s="242"/>
    </row>
    <row r="822094" spans="1:1" x14ac:dyDescent="0.25">
      <c r="A822094" s="242"/>
    </row>
    <row r="822095" spans="1:1" x14ac:dyDescent="0.25">
      <c r="A822095" s="242"/>
    </row>
    <row r="822096" spans="1:1" x14ac:dyDescent="0.25">
      <c r="A822096" s="242"/>
    </row>
    <row r="822097" spans="1:1" x14ac:dyDescent="0.25">
      <c r="A822097" s="242"/>
    </row>
    <row r="822098" spans="1:1" x14ac:dyDescent="0.25">
      <c r="A822098" s="242"/>
    </row>
    <row r="822099" spans="1:1" x14ac:dyDescent="0.25">
      <c r="A822099" s="242"/>
    </row>
    <row r="822100" spans="1:1" x14ac:dyDescent="0.25">
      <c r="A822100" s="242"/>
    </row>
    <row r="822101" spans="1:1" x14ac:dyDescent="0.25">
      <c r="A822101" s="242"/>
    </row>
    <row r="822102" spans="1:1" x14ac:dyDescent="0.25">
      <c r="A822102" s="242"/>
    </row>
    <row r="822103" spans="1:1" x14ac:dyDescent="0.25">
      <c r="A822103" s="242"/>
    </row>
    <row r="822104" spans="1:1" x14ac:dyDescent="0.25">
      <c r="A822104" s="242"/>
    </row>
    <row r="822105" spans="1:1" x14ac:dyDescent="0.25">
      <c r="A822105" s="242"/>
    </row>
    <row r="822106" spans="1:1" x14ac:dyDescent="0.25">
      <c r="A822106" s="242"/>
    </row>
    <row r="822107" spans="1:1" x14ac:dyDescent="0.25">
      <c r="A822107" s="242"/>
    </row>
    <row r="822108" spans="1:1" x14ac:dyDescent="0.25">
      <c r="A822108" s="242"/>
    </row>
    <row r="822109" spans="1:1" x14ac:dyDescent="0.25">
      <c r="A822109" s="242"/>
    </row>
    <row r="822110" spans="1:1" x14ac:dyDescent="0.25">
      <c r="A822110" s="242"/>
    </row>
    <row r="822111" spans="1:1" x14ac:dyDescent="0.25">
      <c r="A822111" s="242"/>
    </row>
    <row r="822112" spans="1:1" x14ac:dyDescent="0.25">
      <c r="A822112" s="242"/>
    </row>
    <row r="822113" spans="1:1" x14ac:dyDescent="0.25">
      <c r="A822113" s="242"/>
    </row>
    <row r="822114" spans="1:1" x14ac:dyDescent="0.25">
      <c r="A822114" s="242"/>
    </row>
    <row r="822115" spans="1:1" x14ac:dyDescent="0.25">
      <c r="A822115" s="242"/>
    </row>
    <row r="822116" spans="1:1" x14ac:dyDescent="0.25">
      <c r="A822116" s="242"/>
    </row>
    <row r="822117" spans="1:1" x14ac:dyDescent="0.25">
      <c r="A822117" s="242"/>
    </row>
    <row r="822118" spans="1:1" x14ac:dyDescent="0.25">
      <c r="A822118" s="242"/>
    </row>
    <row r="822119" spans="1:1" x14ac:dyDescent="0.25">
      <c r="A822119" s="242"/>
    </row>
    <row r="822120" spans="1:1" x14ac:dyDescent="0.25">
      <c r="A822120" s="242"/>
    </row>
    <row r="822121" spans="1:1" x14ac:dyDescent="0.25">
      <c r="A822121" s="242"/>
    </row>
    <row r="822122" spans="1:1" x14ac:dyDescent="0.25">
      <c r="A822122" s="242"/>
    </row>
    <row r="822123" spans="1:1" x14ac:dyDescent="0.25">
      <c r="A822123" s="242"/>
    </row>
    <row r="822124" spans="1:1" x14ac:dyDescent="0.25">
      <c r="A822124" s="242"/>
    </row>
    <row r="822125" spans="1:1" x14ac:dyDescent="0.25">
      <c r="A822125" s="242"/>
    </row>
    <row r="822126" spans="1:1" x14ac:dyDescent="0.25">
      <c r="A822126" s="242"/>
    </row>
    <row r="822127" spans="1:1" x14ac:dyDescent="0.25">
      <c r="A822127" s="242"/>
    </row>
    <row r="822128" spans="1:1" x14ac:dyDescent="0.25">
      <c r="A822128" s="242"/>
    </row>
    <row r="822129" spans="1:1" x14ac:dyDescent="0.25">
      <c r="A822129" s="242"/>
    </row>
    <row r="822130" spans="1:1" x14ac:dyDescent="0.25">
      <c r="A822130" s="242"/>
    </row>
    <row r="822131" spans="1:1" x14ac:dyDescent="0.25">
      <c r="A822131" s="242"/>
    </row>
    <row r="822132" spans="1:1" x14ac:dyDescent="0.25">
      <c r="A822132" s="242"/>
    </row>
    <row r="822133" spans="1:1" x14ac:dyDescent="0.25">
      <c r="A822133" s="242"/>
    </row>
    <row r="822134" spans="1:1" x14ac:dyDescent="0.25">
      <c r="A822134" s="242"/>
    </row>
    <row r="822135" spans="1:1" x14ac:dyDescent="0.25">
      <c r="A822135" s="242"/>
    </row>
    <row r="822136" spans="1:1" x14ac:dyDescent="0.25">
      <c r="A822136" s="242"/>
    </row>
    <row r="822137" spans="1:1" x14ac:dyDescent="0.25">
      <c r="A822137" s="242"/>
    </row>
    <row r="822138" spans="1:1" x14ac:dyDescent="0.25">
      <c r="A822138" s="242"/>
    </row>
    <row r="822139" spans="1:1" x14ac:dyDescent="0.25">
      <c r="A822139" s="242"/>
    </row>
    <row r="822140" spans="1:1" x14ac:dyDescent="0.25">
      <c r="A822140" s="242"/>
    </row>
    <row r="822141" spans="1:1" x14ac:dyDescent="0.25">
      <c r="A822141" s="242"/>
    </row>
    <row r="822142" spans="1:1" x14ac:dyDescent="0.25">
      <c r="A822142" s="242"/>
    </row>
    <row r="822143" spans="1:1" x14ac:dyDescent="0.25">
      <c r="A822143" s="242"/>
    </row>
    <row r="822144" spans="1:1" x14ac:dyDescent="0.25">
      <c r="A822144" s="242"/>
    </row>
    <row r="822145" spans="1:1" x14ac:dyDescent="0.25">
      <c r="A822145" s="242"/>
    </row>
    <row r="822146" spans="1:1" x14ac:dyDescent="0.25">
      <c r="A822146" s="242"/>
    </row>
    <row r="822147" spans="1:1" x14ac:dyDescent="0.25">
      <c r="A822147" s="242"/>
    </row>
    <row r="822148" spans="1:1" x14ac:dyDescent="0.25">
      <c r="A822148" s="242"/>
    </row>
    <row r="822149" spans="1:1" x14ac:dyDescent="0.25">
      <c r="A822149" s="242"/>
    </row>
    <row r="822150" spans="1:1" x14ac:dyDescent="0.25">
      <c r="A822150" s="242"/>
    </row>
    <row r="822151" spans="1:1" x14ac:dyDescent="0.25">
      <c r="A822151" s="242"/>
    </row>
    <row r="822152" spans="1:1" x14ac:dyDescent="0.25">
      <c r="A822152" s="242"/>
    </row>
    <row r="822153" spans="1:1" x14ac:dyDescent="0.25">
      <c r="A822153" s="242"/>
    </row>
    <row r="822154" spans="1:1" x14ac:dyDescent="0.25">
      <c r="A822154" s="242"/>
    </row>
    <row r="822155" spans="1:1" x14ac:dyDescent="0.25">
      <c r="A822155" s="242"/>
    </row>
    <row r="822156" spans="1:1" x14ac:dyDescent="0.25">
      <c r="A822156" s="242"/>
    </row>
    <row r="822157" spans="1:1" x14ac:dyDescent="0.25">
      <c r="A822157" s="242"/>
    </row>
    <row r="822158" spans="1:1" x14ac:dyDescent="0.25">
      <c r="A822158" s="242"/>
    </row>
    <row r="822159" spans="1:1" x14ac:dyDescent="0.25">
      <c r="A822159" s="242"/>
    </row>
    <row r="822160" spans="1:1" x14ac:dyDescent="0.25">
      <c r="A822160" s="242"/>
    </row>
    <row r="822161" spans="1:1" x14ac:dyDescent="0.25">
      <c r="A822161" s="242"/>
    </row>
    <row r="822162" spans="1:1" x14ac:dyDescent="0.25">
      <c r="A822162" s="242"/>
    </row>
    <row r="822163" spans="1:1" x14ac:dyDescent="0.25">
      <c r="A822163" s="242"/>
    </row>
    <row r="822164" spans="1:1" x14ac:dyDescent="0.25">
      <c r="A822164" s="242"/>
    </row>
    <row r="822165" spans="1:1" x14ac:dyDescent="0.25">
      <c r="A822165" s="242"/>
    </row>
    <row r="822166" spans="1:1" x14ac:dyDescent="0.25">
      <c r="A822166" s="242"/>
    </row>
    <row r="822167" spans="1:1" x14ac:dyDescent="0.25">
      <c r="A822167" s="242"/>
    </row>
    <row r="822168" spans="1:1" x14ac:dyDescent="0.25">
      <c r="A822168" s="242"/>
    </row>
    <row r="822169" spans="1:1" x14ac:dyDescent="0.25">
      <c r="A822169" s="242"/>
    </row>
    <row r="822170" spans="1:1" x14ac:dyDescent="0.25">
      <c r="A822170" s="242"/>
    </row>
    <row r="822171" spans="1:1" x14ac:dyDescent="0.25">
      <c r="A822171" s="242"/>
    </row>
    <row r="822172" spans="1:1" x14ac:dyDescent="0.25">
      <c r="A822172" s="242"/>
    </row>
    <row r="822173" spans="1:1" x14ac:dyDescent="0.25">
      <c r="A822173" s="242"/>
    </row>
    <row r="822174" spans="1:1" x14ac:dyDescent="0.25">
      <c r="A822174" s="242"/>
    </row>
    <row r="822175" spans="1:1" x14ac:dyDescent="0.25">
      <c r="A822175" s="242"/>
    </row>
    <row r="822176" spans="1:1" x14ac:dyDescent="0.25">
      <c r="A822176" s="242"/>
    </row>
    <row r="822177" spans="1:1" x14ac:dyDescent="0.25">
      <c r="A822177" s="242"/>
    </row>
    <row r="822178" spans="1:1" x14ac:dyDescent="0.25">
      <c r="A822178" s="242"/>
    </row>
    <row r="822179" spans="1:1" x14ac:dyDescent="0.25">
      <c r="A822179" s="242"/>
    </row>
    <row r="822180" spans="1:1" x14ac:dyDescent="0.25">
      <c r="A822180" s="242"/>
    </row>
    <row r="822181" spans="1:1" x14ac:dyDescent="0.25">
      <c r="A822181" s="242"/>
    </row>
    <row r="822182" spans="1:1" x14ac:dyDescent="0.25">
      <c r="A822182" s="242"/>
    </row>
    <row r="822183" spans="1:1" x14ac:dyDescent="0.25">
      <c r="A822183" s="242"/>
    </row>
    <row r="822184" spans="1:1" x14ac:dyDescent="0.25">
      <c r="A822184" s="242"/>
    </row>
    <row r="822185" spans="1:1" x14ac:dyDescent="0.25">
      <c r="A822185" s="242"/>
    </row>
    <row r="822186" spans="1:1" x14ac:dyDescent="0.25">
      <c r="A822186" s="242"/>
    </row>
    <row r="822187" spans="1:1" x14ac:dyDescent="0.25">
      <c r="A822187" s="242"/>
    </row>
    <row r="822188" spans="1:1" x14ac:dyDescent="0.25">
      <c r="A822188" s="242"/>
    </row>
    <row r="822189" spans="1:1" x14ac:dyDescent="0.25">
      <c r="A822189" s="242"/>
    </row>
    <row r="822190" spans="1:1" x14ac:dyDescent="0.25">
      <c r="A822190" s="242"/>
    </row>
    <row r="822191" spans="1:1" x14ac:dyDescent="0.25">
      <c r="A822191" s="242"/>
    </row>
    <row r="822192" spans="1:1" x14ac:dyDescent="0.25">
      <c r="A822192" s="242"/>
    </row>
    <row r="822193" spans="1:1" x14ac:dyDescent="0.25">
      <c r="A822193" s="242"/>
    </row>
    <row r="822194" spans="1:1" x14ac:dyDescent="0.25">
      <c r="A822194" s="242"/>
    </row>
    <row r="822195" spans="1:1" x14ac:dyDescent="0.25">
      <c r="A822195" s="242"/>
    </row>
    <row r="822196" spans="1:1" x14ac:dyDescent="0.25">
      <c r="A822196" s="242"/>
    </row>
    <row r="822197" spans="1:1" x14ac:dyDescent="0.25">
      <c r="A822197" s="242"/>
    </row>
    <row r="822198" spans="1:1" x14ac:dyDescent="0.25">
      <c r="A822198" s="242"/>
    </row>
    <row r="822199" spans="1:1" x14ac:dyDescent="0.25">
      <c r="A822199" s="242"/>
    </row>
    <row r="822200" spans="1:1" x14ac:dyDescent="0.25">
      <c r="A822200" s="242"/>
    </row>
    <row r="822201" spans="1:1" x14ac:dyDescent="0.25">
      <c r="A822201" s="242"/>
    </row>
    <row r="822202" spans="1:1" x14ac:dyDescent="0.25">
      <c r="A822202" s="242"/>
    </row>
    <row r="822203" spans="1:1" x14ac:dyDescent="0.25">
      <c r="A822203" s="242"/>
    </row>
    <row r="822204" spans="1:1" x14ac:dyDescent="0.25">
      <c r="A822204" s="242"/>
    </row>
    <row r="822205" spans="1:1" x14ac:dyDescent="0.25">
      <c r="A822205" s="242"/>
    </row>
    <row r="822206" spans="1:1" x14ac:dyDescent="0.25">
      <c r="A822206" s="242"/>
    </row>
    <row r="822207" spans="1:1" x14ac:dyDescent="0.25">
      <c r="A822207" s="242"/>
    </row>
    <row r="822208" spans="1:1" x14ac:dyDescent="0.25">
      <c r="A822208" s="242"/>
    </row>
    <row r="822209" spans="1:1" x14ac:dyDescent="0.25">
      <c r="A822209" s="242"/>
    </row>
    <row r="822210" spans="1:1" x14ac:dyDescent="0.25">
      <c r="A822210" s="242"/>
    </row>
    <row r="822211" spans="1:1" x14ac:dyDescent="0.25">
      <c r="A822211" s="242"/>
    </row>
    <row r="822212" spans="1:1" x14ac:dyDescent="0.25">
      <c r="A822212" s="242"/>
    </row>
    <row r="822213" spans="1:1" x14ac:dyDescent="0.25">
      <c r="A822213" s="242"/>
    </row>
    <row r="822214" spans="1:1" x14ac:dyDescent="0.25">
      <c r="A822214" s="242"/>
    </row>
    <row r="822215" spans="1:1" x14ac:dyDescent="0.25">
      <c r="A822215" s="242"/>
    </row>
    <row r="822216" spans="1:1" x14ac:dyDescent="0.25">
      <c r="A822216" s="242"/>
    </row>
    <row r="822217" spans="1:1" x14ac:dyDescent="0.25">
      <c r="A822217" s="242"/>
    </row>
    <row r="822218" spans="1:1" x14ac:dyDescent="0.25">
      <c r="A822218" s="242"/>
    </row>
    <row r="822219" spans="1:1" x14ac:dyDescent="0.25">
      <c r="A822219" s="242"/>
    </row>
    <row r="822220" spans="1:1" x14ac:dyDescent="0.25">
      <c r="A822220" s="242"/>
    </row>
    <row r="822221" spans="1:1" x14ac:dyDescent="0.25">
      <c r="A822221" s="242"/>
    </row>
    <row r="822222" spans="1:1" x14ac:dyDescent="0.25">
      <c r="A822222" s="242"/>
    </row>
    <row r="822223" spans="1:1" x14ac:dyDescent="0.25">
      <c r="A822223" s="242"/>
    </row>
    <row r="822224" spans="1:1" x14ac:dyDescent="0.25">
      <c r="A822224" s="242"/>
    </row>
    <row r="822225" spans="1:1" x14ac:dyDescent="0.25">
      <c r="A822225" s="242"/>
    </row>
    <row r="822226" spans="1:1" x14ac:dyDescent="0.25">
      <c r="A822226" s="242"/>
    </row>
    <row r="822227" spans="1:1" x14ac:dyDescent="0.25">
      <c r="A822227" s="242"/>
    </row>
    <row r="822228" spans="1:1" x14ac:dyDescent="0.25">
      <c r="A822228" s="242"/>
    </row>
    <row r="822229" spans="1:1" x14ac:dyDescent="0.25">
      <c r="A822229" s="242"/>
    </row>
    <row r="822230" spans="1:1" x14ac:dyDescent="0.25">
      <c r="A822230" s="242"/>
    </row>
    <row r="822231" spans="1:1" x14ac:dyDescent="0.25">
      <c r="A822231" s="242"/>
    </row>
    <row r="822232" spans="1:1" x14ac:dyDescent="0.25">
      <c r="A822232" s="242"/>
    </row>
    <row r="822233" spans="1:1" x14ac:dyDescent="0.25">
      <c r="A822233" s="242"/>
    </row>
    <row r="822234" spans="1:1" x14ac:dyDescent="0.25">
      <c r="A822234" s="242"/>
    </row>
    <row r="822235" spans="1:1" x14ac:dyDescent="0.25">
      <c r="A822235" s="242"/>
    </row>
    <row r="822236" spans="1:1" x14ac:dyDescent="0.25">
      <c r="A822236" s="242"/>
    </row>
    <row r="822237" spans="1:1" x14ac:dyDescent="0.25">
      <c r="A822237" s="242"/>
    </row>
    <row r="822238" spans="1:1" x14ac:dyDescent="0.25">
      <c r="A822238" s="242"/>
    </row>
    <row r="822239" spans="1:1" x14ac:dyDescent="0.25">
      <c r="A822239" s="242"/>
    </row>
    <row r="822240" spans="1:1" x14ac:dyDescent="0.25">
      <c r="A822240" s="242"/>
    </row>
    <row r="822241" spans="1:1" x14ac:dyDescent="0.25">
      <c r="A822241" s="242"/>
    </row>
    <row r="822242" spans="1:1" x14ac:dyDescent="0.25">
      <c r="A822242" s="242"/>
    </row>
    <row r="822243" spans="1:1" x14ac:dyDescent="0.25">
      <c r="A822243" s="242"/>
    </row>
    <row r="822244" spans="1:1" x14ac:dyDescent="0.25">
      <c r="A822244" s="242"/>
    </row>
    <row r="822245" spans="1:1" x14ac:dyDescent="0.25">
      <c r="A822245" s="242"/>
    </row>
    <row r="822246" spans="1:1" x14ac:dyDescent="0.25">
      <c r="A822246" s="242"/>
    </row>
    <row r="822247" spans="1:1" x14ac:dyDescent="0.25">
      <c r="A822247" s="242"/>
    </row>
    <row r="822248" spans="1:1" x14ac:dyDescent="0.25">
      <c r="A822248" s="242"/>
    </row>
    <row r="822249" spans="1:1" x14ac:dyDescent="0.25">
      <c r="A822249" s="242"/>
    </row>
    <row r="822250" spans="1:1" x14ac:dyDescent="0.25">
      <c r="A822250" s="242"/>
    </row>
    <row r="822251" spans="1:1" x14ac:dyDescent="0.25">
      <c r="A822251" s="242"/>
    </row>
    <row r="822252" spans="1:1" x14ac:dyDescent="0.25">
      <c r="A822252" s="242"/>
    </row>
    <row r="822253" spans="1:1" x14ac:dyDescent="0.25">
      <c r="A822253" s="242"/>
    </row>
    <row r="822254" spans="1:1" x14ac:dyDescent="0.25">
      <c r="A822254" s="242"/>
    </row>
    <row r="822255" spans="1:1" x14ac:dyDescent="0.25">
      <c r="A822255" s="242"/>
    </row>
    <row r="822256" spans="1:1" x14ac:dyDescent="0.25">
      <c r="A822256" s="242"/>
    </row>
    <row r="822257" spans="1:1" x14ac:dyDescent="0.25">
      <c r="A822257" s="242"/>
    </row>
    <row r="822258" spans="1:1" x14ac:dyDescent="0.25">
      <c r="A822258" s="242"/>
    </row>
    <row r="822259" spans="1:1" x14ac:dyDescent="0.25">
      <c r="A822259" s="242"/>
    </row>
    <row r="822260" spans="1:1" x14ac:dyDescent="0.25">
      <c r="A822260" s="242"/>
    </row>
    <row r="822261" spans="1:1" x14ac:dyDescent="0.25">
      <c r="A822261" s="242"/>
    </row>
    <row r="822262" spans="1:1" x14ac:dyDescent="0.25">
      <c r="A822262" s="242"/>
    </row>
    <row r="822263" spans="1:1" x14ac:dyDescent="0.25">
      <c r="A822263" s="242"/>
    </row>
    <row r="822264" spans="1:1" x14ac:dyDescent="0.25">
      <c r="A822264" s="242"/>
    </row>
    <row r="822265" spans="1:1" x14ac:dyDescent="0.25">
      <c r="A822265" s="242"/>
    </row>
    <row r="822266" spans="1:1" x14ac:dyDescent="0.25">
      <c r="A822266" s="242"/>
    </row>
    <row r="822267" spans="1:1" x14ac:dyDescent="0.25">
      <c r="A822267" s="242"/>
    </row>
    <row r="822268" spans="1:1" x14ac:dyDescent="0.25">
      <c r="A822268" s="242"/>
    </row>
    <row r="822269" spans="1:1" x14ac:dyDescent="0.25">
      <c r="A822269" s="242"/>
    </row>
    <row r="822270" spans="1:1" x14ac:dyDescent="0.25">
      <c r="A822270" s="242"/>
    </row>
    <row r="822271" spans="1:1" x14ac:dyDescent="0.25">
      <c r="A822271" s="242"/>
    </row>
    <row r="822272" spans="1:1" x14ac:dyDescent="0.25">
      <c r="A822272" s="242"/>
    </row>
    <row r="822273" spans="1:1" x14ac:dyDescent="0.25">
      <c r="A822273" s="242"/>
    </row>
    <row r="822274" spans="1:1" x14ac:dyDescent="0.25">
      <c r="A822274" s="242"/>
    </row>
    <row r="822275" spans="1:1" x14ac:dyDescent="0.25">
      <c r="A822275" s="242"/>
    </row>
    <row r="822276" spans="1:1" x14ac:dyDescent="0.25">
      <c r="A822276" s="242"/>
    </row>
    <row r="822277" spans="1:1" x14ac:dyDescent="0.25">
      <c r="A822277" s="242"/>
    </row>
    <row r="822278" spans="1:1" x14ac:dyDescent="0.25">
      <c r="A822278" s="242"/>
    </row>
    <row r="822279" spans="1:1" x14ac:dyDescent="0.25">
      <c r="A822279" s="242"/>
    </row>
    <row r="822280" spans="1:1" x14ac:dyDescent="0.25">
      <c r="A822280" s="242"/>
    </row>
    <row r="822281" spans="1:1" x14ac:dyDescent="0.25">
      <c r="A822281" s="242"/>
    </row>
    <row r="822282" spans="1:1" x14ac:dyDescent="0.25">
      <c r="A822282" s="242"/>
    </row>
    <row r="822283" spans="1:1" x14ac:dyDescent="0.25">
      <c r="A822283" s="242"/>
    </row>
    <row r="822284" spans="1:1" x14ac:dyDescent="0.25">
      <c r="A822284" s="242"/>
    </row>
    <row r="822285" spans="1:1" x14ac:dyDescent="0.25">
      <c r="A822285" s="242"/>
    </row>
    <row r="822286" spans="1:1" x14ac:dyDescent="0.25">
      <c r="A822286" s="242"/>
    </row>
    <row r="822287" spans="1:1" x14ac:dyDescent="0.25">
      <c r="A822287" s="242"/>
    </row>
    <row r="822288" spans="1:1" x14ac:dyDescent="0.25">
      <c r="A822288" s="242"/>
    </row>
    <row r="822289" spans="1:1" x14ac:dyDescent="0.25">
      <c r="A822289" s="242"/>
    </row>
    <row r="822290" spans="1:1" x14ac:dyDescent="0.25">
      <c r="A822290" s="242"/>
    </row>
    <row r="822291" spans="1:1" x14ac:dyDescent="0.25">
      <c r="A822291" s="242"/>
    </row>
    <row r="822292" spans="1:1" x14ac:dyDescent="0.25">
      <c r="A822292" s="242"/>
    </row>
    <row r="822293" spans="1:1" x14ac:dyDescent="0.25">
      <c r="A822293" s="242"/>
    </row>
    <row r="822294" spans="1:1" x14ac:dyDescent="0.25">
      <c r="A822294" s="242"/>
    </row>
    <row r="822295" spans="1:1" x14ac:dyDescent="0.25">
      <c r="A822295" s="242"/>
    </row>
    <row r="822296" spans="1:1" x14ac:dyDescent="0.25">
      <c r="A822296" s="242"/>
    </row>
    <row r="822297" spans="1:1" x14ac:dyDescent="0.25">
      <c r="A822297" s="242"/>
    </row>
    <row r="822298" spans="1:1" x14ac:dyDescent="0.25">
      <c r="A822298" s="242"/>
    </row>
    <row r="822299" spans="1:1" x14ac:dyDescent="0.25">
      <c r="A822299" s="242"/>
    </row>
    <row r="822300" spans="1:1" x14ac:dyDescent="0.25">
      <c r="A822300" s="242"/>
    </row>
    <row r="822301" spans="1:1" x14ac:dyDescent="0.25">
      <c r="A822301" s="242"/>
    </row>
    <row r="822302" spans="1:1" x14ac:dyDescent="0.25">
      <c r="A822302" s="242"/>
    </row>
    <row r="822303" spans="1:1" x14ac:dyDescent="0.25">
      <c r="A822303" s="242"/>
    </row>
    <row r="822304" spans="1:1" x14ac:dyDescent="0.25">
      <c r="A822304" s="242"/>
    </row>
    <row r="822305" spans="1:1" x14ac:dyDescent="0.25">
      <c r="A822305" s="242"/>
    </row>
    <row r="822306" spans="1:1" x14ac:dyDescent="0.25">
      <c r="A822306" s="242"/>
    </row>
    <row r="822307" spans="1:1" x14ac:dyDescent="0.25">
      <c r="A822307" s="242"/>
    </row>
    <row r="822308" spans="1:1" x14ac:dyDescent="0.25">
      <c r="A822308" s="242"/>
    </row>
    <row r="822309" spans="1:1" x14ac:dyDescent="0.25">
      <c r="A822309" s="242"/>
    </row>
    <row r="822310" spans="1:1" x14ac:dyDescent="0.25">
      <c r="A822310" s="242"/>
    </row>
    <row r="822311" spans="1:1" x14ac:dyDescent="0.25">
      <c r="A822311" s="242"/>
    </row>
    <row r="822312" spans="1:1" x14ac:dyDescent="0.25">
      <c r="A822312" s="242"/>
    </row>
    <row r="822313" spans="1:1" x14ac:dyDescent="0.25">
      <c r="A822313" s="242"/>
    </row>
    <row r="822314" spans="1:1" x14ac:dyDescent="0.25">
      <c r="A822314" s="242"/>
    </row>
    <row r="822315" spans="1:1" x14ac:dyDescent="0.25">
      <c r="A822315" s="242"/>
    </row>
    <row r="822316" spans="1:1" x14ac:dyDescent="0.25">
      <c r="A822316" s="242"/>
    </row>
    <row r="822317" spans="1:1" x14ac:dyDescent="0.25">
      <c r="A822317" s="242"/>
    </row>
    <row r="822318" spans="1:1" x14ac:dyDescent="0.25">
      <c r="A822318" s="242"/>
    </row>
    <row r="822319" spans="1:1" x14ac:dyDescent="0.25">
      <c r="A822319" s="242"/>
    </row>
    <row r="822320" spans="1:1" x14ac:dyDescent="0.25">
      <c r="A822320" s="242"/>
    </row>
    <row r="822321" spans="1:1" x14ac:dyDescent="0.25">
      <c r="A822321" s="242"/>
    </row>
    <row r="822322" spans="1:1" x14ac:dyDescent="0.25">
      <c r="A822322" s="242"/>
    </row>
    <row r="822323" spans="1:1" x14ac:dyDescent="0.25">
      <c r="A822323" s="242"/>
    </row>
    <row r="822324" spans="1:1" x14ac:dyDescent="0.25">
      <c r="A822324" s="242"/>
    </row>
    <row r="822325" spans="1:1" x14ac:dyDescent="0.25">
      <c r="A822325" s="242"/>
    </row>
    <row r="822326" spans="1:1" x14ac:dyDescent="0.25">
      <c r="A822326" s="242"/>
    </row>
    <row r="822327" spans="1:1" x14ac:dyDescent="0.25">
      <c r="A822327" s="242"/>
    </row>
    <row r="822328" spans="1:1" x14ac:dyDescent="0.25">
      <c r="A822328" s="242"/>
    </row>
    <row r="822329" spans="1:1" x14ac:dyDescent="0.25">
      <c r="A822329" s="242"/>
    </row>
    <row r="822330" spans="1:1" x14ac:dyDescent="0.25">
      <c r="A822330" s="242"/>
    </row>
    <row r="822331" spans="1:1" x14ac:dyDescent="0.25">
      <c r="A822331" s="242"/>
    </row>
    <row r="822332" spans="1:1" x14ac:dyDescent="0.25">
      <c r="A822332" s="242"/>
    </row>
    <row r="822333" spans="1:1" x14ac:dyDescent="0.25">
      <c r="A822333" s="242"/>
    </row>
    <row r="822334" spans="1:1" x14ac:dyDescent="0.25">
      <c r="A822334" s="242"/>
    </row>
    <row r="822335" spans="1:1" x14ac:dyDescent="0.25">
      <c r="A822335" s="242"/>
    </row>
    <row r="822336" spans="1:1" x14ac:dyDescent="0.25">
      <c r="A822336" s="242"/>
    </row>
    <row r="822337" spans="1:1" x14ac:dyDescent="0.25">
      <c r="A822337" s="242"/>
    </row>
    <row r="822338" spans="1:1" x14ac:dyDescent="0.25">
      <c r="A822338" s="242"/>
    </row>
    <row r="822339" spans="1:1" x14ac:dyDescent="0.25">
      <c r="A822339" s="242"/>
    </row>
    <row r="822340" spans="1:1" x14ac:dyDescent="0.25">
      <c r="A822340" s="242"/>
    </row>
    <row r="822341" spans="1:1" x14ac:dyDescent="0.25">
      <c r="A822341" s="242"/>
    </row>
    <row r="822342" spans="1:1" x14ac:dyDescent="0.25">
      <c r="A822342" s="242"/>
    </row>
    <row r="822343" spans="1:1" x14ac:dyDescent="0.25">
      <c r="A822343" s="242"/>
    </row>
    <row r="822344" spans="1:1" x14ac:dyDescent="0.25">
      <c r="A822344" s="242"/>
    </row>
    <row r="822345" spans="1:1" x14ac:dyDescent="0.25">
      <c r="A822345" s="242"/>
    </row>
    <row r="822346" spans="1:1" x14ac:dyDescent="0.25">
      <c r="A822346" s="242"/>
    </row>
    <row r="822347" spans="1:1" x14ac:dyDescent="0.25">
      <c r="A822347" s="242"/>
    </row>
    <row r="822348" spans="1:1" x14ac:dyDescent="0.25">
      <c r="A822348" s="242"/>
    </row>
    <row r="822349" spans="1:1" x14ac:dyDescent="0.25">
      <c r="A822349" s="242"/>
    </row>
    <row r="822350" spans="1:1" x14ac:dyDescent="0.25">
      <c r="A822350" s="242"/>
    </row>
    <row r="822351" spans="1:1" x14ac:dyDescent="0.25">
      <c r="A822351" s="242"/>
    </row>
    <row r="822352" spans="1:1" x14ac:dyDescent="0.25">
      <c r="A822352" s="242"/>
    </row>
    <row r="822353" spans="1:1" x14ac:dyDescent="0.25">
      <c r="A822353" s="242"/>
    </row>
    <row r="822354" spans="1:1" x14ac:dyDescent="0.25">
      <c r="A822354" s="242"/>
    </row>
    <row r="822355" spans="1:1" x14ac:dyDescent="0.25">
      <c r="A822355" s="242"/>
    </row>
    <row r="822356" spans="1:1" x14ac:dyDescent="0.25">
      <c r="A822356" s="242"/>
    </row>
    <row r="822357" spans="1:1" x14ac:dyDescent="0.25">
      <c r="A822357" s="242"/>
    </row>
    <row r="822358" spans="1:1" x14ac:dyDescent="0.25">
      <c r="A822358" s="242"/>
    </row>
    <row r="822359" spans="1:1" x14ac:dyDescent="0.25">
      <c r="A822359" s="242"/>
    </row>
    <row r="822360" spans="1:1" x14ac:dyDescent="0.25">
      <c r="A822360" s="242"/>
    </row>
    <row r="822361" spans="1:1" x14ac:dyDescent="0.25">
      <c r="A822361" s="242"/>
    </row>
    <row r="822362" spans="1:1" x14ac:dyDescent="0.25">
      <c r="A822362" s="242"/>
    </row>
    <row r="822363" spans="1:1" x14ac:dyDescent="0.25">
      <c r="A822363" s="242"/>
    </row>
    <row r="822364" spans="1:1" x14ac:dyDescent="0.25">
      <c r="A822364" s="242"/>
    </row>
    <row r="822365" spans="1:1" x14ac:dyDescent="0.25">
      <c r="A822365" s="242"/>
    </row>
    <row r="822366" spans="1:1" x14ac:dyDescent="0.25">
      <c r="A822366" s="242"/>
    </row>
    <row r="822367" spans="1:1" x14ac:dyDescent="0.25">
      <c r="A822367" s="242"/>
    </row>
    <row r="822368" spans="1:1" x14ac:dyDescent="0.25">
      <c r="A822368" s="242"/>
    </row>
    <row r="822369" spans="1:1" x14ac:dyDescent="0.25">
      <c r="A822369" s="242"/>
    </row>
    <row r="822370" spans="1:1" x14ac:dyDescent="0.25">
      <c r="A822370" s="242"/>
    </row>
    <row r="822371" spans="1:1" x14ac:dyDescent="0.25">
      <c r="A822371" s="242"/>
    </row>
    <row r="822372" spans="1:1" x14ac:dyDescent="0.25">
      <c r="A822372" s="242"/>
    </row>
    <row r="822373" spans="1:1" x14ac:dyDescent="0.25">
      <c r="A822373" s="242"/>
    </row>
    <row r="822374" spans="1:1" x14ac:dyDescent="0.25">
      <c r="A822374" s="242"/>
    </row>
    <row r="822375" spans="1:1" x14ac:dyDescent="0.25">
      <c r="A822375" s="242"/>
    </row>
    <row r="822376" spans="1:1" x14ac:dyDescent="0.25">
      <c r="A822376" s="242"/>
    </row>
    <row r="822377" spans="1:1" x14ac:dyDescent="0.25">
      <c r="A822377" s="242"/>
    </row>
    <row r="822378" spans="1:1" x14ac:dyDescent="0.25">
      <c r="A822378" s="242"/>
    </row>
    <row r="822379" spans="1:1" x14ac:dyDescent="0.25">
      <c r="A822379" s="242"/>
    </row>
    <row r="822380" spans="1:1" x14ac:dyDescent="0.25">
      <c r="A822380" s="242"/>
    </row>
    <row r="822381" spans="1:1" x14ac:dyDescent="0.25">
      <c r="A822381" s="242"/>
    </row>
    <row r="822382" spans="1:1" x14ac:dyDescent="0.25">
      <c r="A822382" s="242"/>
    </row>
    <row r="822383" spans="1:1" x14ac:dyDescent="0.25">
      <c r="A822383" s="242"/>
    </row>
    <row r="822384" spans="1:1" x14ac:dyDescent="0.25">
      <c r="A822384" s="242"/>
    </row>
    <row r="822385" spans="1:1" x14ac:dyDescent="0.25">
      <c r="A822385" s="242"/>
    </row>
    <row r="822386" spans="1:1" x14ac:dyDescent="0.25">
      <c r="A822386" s="242"/>
    </row>
    <row r="822387" spans="1:1" x14ac:dyDescent="0.25">
      <c r="A822387" s="242"/>
    </row>
    <row r="822388" spans="1:1" x14ac:dyDescent="0.25">
      <c r="A822388" s="242"/>
    </row>
    <row r="822389" spans="1:1" x14ac:dyDescent="0.25">
      <c r="A822389" s="242"/>
    </row>
    <row r="822390" spans="1:1" x14ac:dyDescent="0.25">
      <c r="A822390" s="242"/>
    </row>
    <row r="822391" spans="1:1" x14ac:dyDescent="0.25">
      <c r="A822391" s="242"/>
    </row>
    <row r="822392" spans="1:1" x14ac:dyDescent="0.25">
      <c r="A822392" s="242"/>
    </row>
    <row r="822393" spans="1:1" x14ac:dyDescent="0.25">
      <c r="A822393" s="242"/>
    </row>
    <row r="822394" spans="1:1" x14ac:dyDescent="0.25">
      <c r="A822394" s="242"/>
    </row>
    <row r="822395" spans="1:1" x14ac:dyDescent="0.25">
      <c r="A822395" s="242"/>
    </row>
    <row r="822396" spans="1:1" x14ac:dyDescent="0.25">
      <c r="A822396" s="242"/>
    </row>
    <row r="822397" spans="1:1" x14ac:dyDescent="0.25">
      <c r="A822397" s="242"/>
    </row>
    <row r="822398" spans="1:1" x14ac:dyDescent="0.25">
      <c r="A822398" s="242"/>
    </row>
    <row r="822399" spans="1:1" x14ac:dyDescent="0.25">
      <c r="A822399" s="242"/>
    </row>
    <row r="822400" spans="1:1" x14ac:dyDescent="0.25">
      <c r="A822400" s="242"/>
    </row>
    <row r="822401" spans="1:1" x14ac:dyDescent="0.25">
      <c r="A822401" s="242"/>
    </row>
    <row r="822402" spans="1:1" x14ac:dyDescent="0.25">
      <c r="A822402" s="242"/>
    </row>
    <row r="822403" spans="1:1" x14ac:dyDescent="0.25">
      <c r="A822403" s="242"/>
    </row>
    <row r="822404" spans="1:1" x14ac:dyDescent="0.25">
      <c r="A822404" s="242"/>
    </row>
    <row r="822405" spans="1:1" x14ac:dyDescent="0.25">
      <c r="A822405" s="242"/>
    </row>
    <row r="822406" spans="1:1" x14ac:dyDescent="0.25">
      <c r="A822406" s="242"/>
    </row>
    <row r="822407" spans="1:1" x14ac:dyDescent="0.25">
      <c r="A822407" s="242"/>
    </row>
    <row r="822408" spans="1:1" x14ac:dyDescent="0.25">
      <c r="A822408" s="242"/>
    </row>
    <row r="822409" spans="1:1" x14ac:dyDescent="0.25">
      <c r="A822409" s="242"/>
    </row>
    <row r="822410" spans="1:1" x14ac:dyDescent="0.25">
      <c r="A822410" s="242"/>
    </row>
    <row r="822411" spans="1:1" x14ac:dyDescent="0.25">
      <c r="A822411" s="242"/>
    </row>
    <row r="822412" spans="1:1" x14ac:dyDescent="0.25">
      <c r="A822412" s="242"/>
    </row>
    <row r="822413" spans="1:1" x14ac:dyDescent="0.25">
      <c r="A822413" s="242"/>
    </row>
    <row r="822414" spans="1:1" x14ac:dyDescent="0.25">
      <c r="A822414" s="242"/>
    </row>
    <row r="822415" spans="1:1" x14ac:dyDescent="0.25">
      <c r="A822415" s="242"/>
    </row>
    <row r="822416" spans="1:1" x14ac:dyDescent="0.25">
      <c r="A822416" s="242"/>
    </row>
    <row r="822417" spans="1:1" x14ac:dyDescent="0.25">
      <c r="A822417" s="242"/>
    </row>
    <row r="822418" spans="1:1" x14ac:dyDescent="0.25">
      <c r="A822418" s="242"/>
    </row>
    <row r="822419" spans="1:1" x14ac:dyDescent="0.25">
      <c r="A822419" s="242"/>
    </row>
    <row r="822420" spans="1:1" x14ac:dyDescent="0.25">
      <c r="A822420" s="242"/>
    </row>
    <row r="822421" spans="1:1" x14ac:dyDescent="0.25">
      <c r="A822421" s="242"/>
    </row>
    <row r="822422" spans="1:1" x14ac:dyDescent="0.25">
      <c r="A822422" s="242"/>
    </row>
    <row r="822423" spans="1:1" x14ac:dyDescent="0.25">
      <c r="A822423" s="242"/>
    </row>
    <row r="822424" spans="1:1" x14ac:dyDescent="0.25">
      <c r="A822424" s="242"/>
    </row>
    <row r="822425" spans="1:1" x14ac:dyDescent="0.25">
      <c r="A822425" s="242"/>
    </row>
    <row r="822426" spans="1:1" x14ac:dyDescent="0.25">
      <c r="A822426" s="242"/>
    </row>
    <row r="822427" spans="1:1" x14ac:dyDescent="0.25">
      <c r="A822427" s="242"/>
    </row>
    <row r="822428" spans="1:1" x14ac:dyDescent="0.25">
      <c r="A822428" s="242"/>
    </row>
    <row r="822429" spans="1:1" x14ac:dyDescent="0.25">
      <c r="A822429" s="242"/>
    </row>
    <row r="822430" spans="1:1" x14ac:dyDescent="0.25">
      <c r="A822430" s="242"/>
    </row>
    <row r="822431" spans="1:1" x14ac:dyDescent="0.25">
      <c r="A822431" s="242"/>
    </row>
    <row r="822432" spans="1:1" x14ac:dyDescent="0.25">
      <c r="A822432" s="242"/>
    </row>
    <row r="822433" spans="1:1" x14ac:dyDescent="0.25">
      <c r="A822433" s="242"/>
    </row>
    <row r="822434" spans="1:1" x14ac:dyDescent="0.25">
      <c r="A822434" s="242"/>
    </row>
    <row r="822435" spans="1:1" x14ac:dyDescent="0.25">
      <c r="A822435" s="242"/>
    </row>
    <row r="822436" spans="1:1" x14ac:dyDescent="0.25">
      <c r="A822436" s="242"/>
    </row>
    <row r="822437" spans="1:1" x14ac:dyDescent="0.25">
      <c r="A822437" s="242"/>
    </row>
    <row r="822438" spans="1:1" x14ac:dyDescent="0.25">
      <c r="A822438" s="242"/>
    </row>
    <row r="822439" spans="1:1" x14ac:dyDescent="0.25">
      <c r="A822439" s="242"/>
    </row>
    <row r="822440" spans="1:1" x14ac:dyDescent="0.25">
      <c r="A822440" s="242"/>
    </row>
    <row r="822441" spans="1:1" x14ac:dyDescent="0.25">
      <c r="A822441" s="242"/>
    </row>
    <row r="822442" spans="1:1" x14ac:dyDescent="0.25">
      <c r="A822442" s="242"/>
    </row>
    <row r="822443" spans="1:1" x14ac:dyDescent="0.25">
      <c r="A822443" s="242"/>
    </row>
    <row r="822444" spans="1:1" x14ac:dyDescent="0.25">
      <c r="A822444" s="242"/>
    </row>
    <row r="822445" spans="1:1" x14ac:dyDescent="0.25">
      <c r="A822445" s="242"/>
    </row>
    <row r="822446" spans="1:1" x14ac:dyDescent="0.25">
      <c r="A822446" s="242"/>
    </row>
    <row r="822447" spans="1:1" x14ac:dyDescent="0.25">
      <c r="A822447" s="242"/>
    </row>
    <row r="822448" spans="1:1" x14ac:dyDescent="0.25">
      <c r="A822448" s="242"/>
    </row>
    <row r="822449" spans="1:1" x14ac:dyDescent="0.25">
      <c r="A822449" s="242"/>
    </row>
    <row r="822450" spans="1:1" x14ac:dyDescent="0.25">
      <c r="A822450" s="242"/>
    </row>
    <row r="822451" spans="1:1" x14ac:dyDescent="0.25">
      <c r="A822451" s="242"/>
    </row>
    <row r="822452" spans="1:1" x14ac:dyDescent="0.25">
      <c r="A822452" s="242"/>
    </row>
    <row r="822453" spans="1:1" x14ac:dyDescent="0.25">
      <c r="A822453" s="242"/>
    </row>
    <row r="822454" spans="1:1" x14ac:dyDescent="0.25">
      <c r="A822454" s="242"/>
    </row>
    <row r="822455" spans="1:1" x14ac:dyDescent="0.25">
      <c r="A822455" s="242"/>
    </row>
    <row r="822456" spans="1:1" x14ac:dyDescent="0.25">
      <c r="A822456" s="242"/>
    </row>
    <row r="822457" spans="1:1" x14ac:dyDescent="0.25">
      <c r="A822457" s="242"/>
    </row>
    <row r="822458" spans="1:1" x14ac:dyDescent="0.25">
      <c r="A822458" s="242"/>
    </row>
    <row r="822459" spans="1:1" x14ac:dyDescent="0.25">
      <c r="A822459" s="242"/>
    </row>
    <row r="822460" spans="1:1" x14ac:dyDescent="0.25">
      <c r="A822460" s="242"/>
    </row>
    <row r="822461" spans="1:1" x14ac:dyDescent="0.25">
      <c r="A822461" s="242"/>
    </row>
    <row r="822462" spans="1:1" x14ac:dyDescent="0.25">
      <c r="A822462" s="242"/>
    </row>
    <row r="822463" spans="1:1" x14ac:dyDescent="0.25">
      <c r="A822463" s="242"/>
    </row>
    <row r="822464" spans="1:1" x14ac:dyDescent="0.25">
      <c r="A822464" s="242"/>
    </row>
    <row r="822465" spans="1:1" x14ac:dyDescent="0.25">
      <c r="A822465" s="242"/>
    </row>
    <row r="822466" spans="1:1" x14ac:dyDescent="0.25">
      <c r="A822466" s="242"/>
    </row>
    <row r="822467" spans="1:1" x14ac:dyDescent="0.25">
      <c r="A822467" s="242"/>
    </row>
    <row r="822468" spans="1:1" x14ac:dyDescent="0.25">
      <c r="A822468" s="242"/>
    </row>
    <row r="822469" spans="1:1" x14ac:dyDescent="0.25">
      <c r="A822469" s="242"/>
    </row>
    <row r="822470" spans="1:1" x14ac:dyDescent="0.25">
      <c r="A822470" s="242"/>
    </row>
    <row r="822471" spans="1:1" x14ac:dyDescent="0.25">
      <c r="A822471" s="242"/>
    </row>
    <row r="822472" spans="1:1" x14ac:dyDescent="0.25">
      <c r="A822472" s="242"/>
    </row>
    <row r="822473" spans="1:1" x14ac:dyDescent="0.25">
      <c r="A822473" s="242"/>
    </row>
    <row r="822474" spans="1:1" x14ac:dyDescent="0.25">
      <c r="A822474" s="242"/>
    </row>
    <row r="822475" spans="1:1" x14ac:dyDescent="0.25">
      <c r="A822475" s="242"/>
    </row>
    <row r="822476" spans="1:1" x14ac:dyDescent="0.25">
      <c r="A822476" s="242"/>
    </row>
    <row r="822477" spans="1:1" x14ac:dyDescent="0.25">
      <c r="A822477" s="242"/>
    </row>
    <row r="822478" spans="1:1" x14ac:dyDescent="0.25">
      <c r="A822478" s="242"/>
    </row>
    <row r="822479" spans="1:1" x14ac:dyDescent="0.25">
      <c r="A822479" s="242"/>
    </row>
    <row r="822480" spans="1:1" x14ac:dyDescent="0.25">
      <c r="A822480" s="242"/>
    </row>
    <row r="822481" spans="1:1" x14ac:dyDescent="0.25">
      <c r="A822481" s="242"/>
    </row>
    <row r="822482" spans="1:1" x14ac:dyDescent="0.25">
      <c r="A822482" s="242"/>
    </row>
    <row r="822483" spans="1:1" x14ac:dyDescent="0.25">
      <c r="A822483" s="242"/>
    </row>
    <row r="822484" spans="1:1" x14ac:dyDescent="0.25">
      <c r="A822484" s="242"/>
    </row>
    <row r="822485" spans="1:1" x14ac:dyDescent="0.25">
      <c r="A822485" s="242"/>
    </row>
    <row r="822486" spans="1:1" x14ac:dyDescent="0.25">
      <c r="A822486" s="242"/>
    </row>
    <row r="822487" spans="1:1" x14ac:dyDescent="0.25">
      <c r="A822487" s="242"/>
    </row>
    <row r="822488" spans="1:1" x14ac:dyDescent="0.25">
      <c r="A822488" s="242"/>
    </row>
    <row r="822489" spans="1:1" x14ac:dyDescent="0.25">
      <c r="A822489" s="242"/>
    </row>
    <row r="822490" spans="1:1" x14ac:dyDescent="0.25">
      <c r="A822490" s="242"/>
    </row>
    <row r="822491" spans="1:1" x14ac:dyDescent="0.25">
      <c r="A822491" s="242"/>
    </row>
    <row r="822492" spans="1:1" x14ac:dyDescent="0.25">
      <c r="A822492" s="242"/>
    </row>
    <row r="822493" spans="1:1" x14ac:dyDescent="0.25">
      <c r="A822493" s="242"/>
    </row>
    <row r="822494" spans="1:1" x14ac:dyDescent="0.25">
      <c r="A822494" s="242"/>
    </row>
    <row r="822495" spans="1:1" x14ac:dyDescent="0.25">
      <c r="A822495" s="242"/>
    </row>
    <row r="822496" spans="1:1" x14ac:dyDescent="0.25">
      <c r="A822496" s="242"/>
    </row>
    <row r="822497" spans="1:1" x14ac:dyDescent="0.25">
      <c r="A822497" s="242"/>
    </row>
    <row r="822498" spans="1:1" x14ac:dyDescent="0.25">
      <c r="A822498" s="242"/>
    </row>
    <row r="822499" spans="1:1" x14ac:dyDescent="0.25">
      <c r="A822499" s="242"/>
    </row>
    <row r="822500" spans="1:1" x14ac:dyDescent="0.25">
      <c r="A822500" s="242"/>
    </row>
    <row r="822501" spans="1:1" x14ac:dyDescent="0.25">
      <c r="A822501" s="242"/>
    </row>
    <row r="822502" spans="1:1" x14ac:dyDescent="0.25">
      <c r="A822502" s="242"/>
    </row>
    <row r="822503" spans="1:1" x14ac:dyDescent="0.25">
      <c r="A822503" s="242"/>
    </row>
    <row r="822504" spans="1:1" x14ac:dyDescent="0.25">
      <c r="A822504" s="242"/>
    </row>
    <row r="822505" spans="1:1" x14ac:dyDescent="0.25">
      <c r="A822505" s="242"/>
    </row>
    <row r="822506" spans="1:1" x14ac:dyDescent="0.25">
      <c r="A822506" s="242"/>
    </row>
    <row r="822507" spans="1:1" x14ac:dyDescent="0.25">
      <c r="A822507" s="242"/>
    </row>
    <row r="822508" spans="1:1" x14ac:dyDescent="0.25">
      <c r="A822508" s="242"/>
    </row>
    <row r="822509" spans="1:1" x14ac:dyDescent="0.25">
      <c r="A822509" s="242"/>
    </row>
    <row r="822510" spans="1:1" x14ac:dyDescent="0.25">
      <c r="A822510" s="242"/>
    </row>
    <row r="822511" spans="1:1" x14ac:dyDescent="0.25">
      <c r="A822511" s="242"/>
    </row>
    <row r="822512" spans="1:1" x14ac:dyDescent="0.25">
      <c r="A822512" s="242"/>
    </row>
    <row r="822513" spans="1:1" x14ac:dyDescent="0.25">
      <c r="A822513" s="242"/>
    </row>
    <row r="822514" spans="1:1" x14ac:dyDescent="0.25">
      <c r="A822514" s="242"/>
    </row>
    <row r="822515" spans="1:1" x14ac:dyDescent="0.25">
      <c r="A822515" s="242"/>
    </row>
    <row r="822516" spans="1:1" x14ac:dyDescent="0.25">
      <c r="A822516" s="242"/>
    </row>
    <row r="822517" spans="1:1" x14ac:dyDescent="0.25">
      <c r="A822517" s="242"/>
    </row>
    <row r="822518" spans="1:1" x14ac:dyDescent="0.25">
      <c r="A822518" s="242"/>
    </row>
    <row r="822519" spans="1:1" x14ac:dyDescent="0.25">
      <c r="A822519" s="242"/>
    </row>
    <row r="822520" spans="1:1" x14ac:dyDescent="0.25">
      <c r="A822520" s="242"/>
    </row>
    <row r="822521" spans="1:1" x14ac:dyDescent="0.25">
      <c r="A822521" s="242"/>
    </row>
    <row r="822522" spans="1:1" x14ac:dyDescent="0.25">
      <c r="A822522" s="242"/>
    </row>
    <row r="822523" spans="1:1" x14ac:dyDescent="0.25">
      <c r="A822523" s="242"/>
    </row>
    <row r="822524" spans="1:1" x14ac:dyDescent="0.25">
      <c r="A822524" s="242"/>
    </row>
    <row r="822525" spans="1:1" x14ac:dyDescent="0.25">
      <c r="A822525" s="242"/>
    </row>
    <row r="822526" spans="1:1" x14ac:dyDescent="0.25">
      <c r="A822526" s="242"/>
    </row>
    <row r="822527" spans="1:1" x14ac:dyDescent="0.25">
      <c r="A822527" s="242"/>
    </row>
    <row r="822528" spans="1:1" x14ac:dyDescent="0.25">
      <c r="A822528" s="242"/>
    </row>
    <row r="822529" spans="1:1" x14ac:dyDescent="0.25">
      <c r="A822529" s="242"/>
    </row>
    <row r="822530" spans="1:1" x14ac:dyDescent="0.25">
      <c r="A822530" s="242"/>
    </row>
    <row r="822531" spans="1:1" x14ac:dyDescent="0.25">
      <c r="A822531" s="242"/>
    </row>
    <row r="822532" spans="1:1" x14ac:dyDescent="0.25">
      <c r="A822532" s="242"/>
    </row>
    <row r="822533" spans="1:1" x14ac:dyDescent="0.25">
      <c r="A822533" s="242"/>
    </row>
    <row r="822534" spans="1:1" x14ac:dyDescent="0.25">
      <c r="A822534" s="242"/>
    </row>
    <row r="822535" spans="1:1" x14ac:dyDescent="0.25">
      <c r="A822535" s="242"/>
    </row>
    <row r="822536" spans="1:1" x14ac:dyDescent="0.25">
      <c r="A822536" s="242"/>
    </row>
    <row r="822537" spans="1:1" x14ac:dyDescent="0.25">
      <c r="A822537" s="242"/>
    </row>
    <row r="822538" spans="1:1" x14ac:dyDescent="0.25">
      <c r="A822538" s="242"/>
    </row>
    <row r="822539" spans="1:1" x14ac:dyDescent="0.25">
      <c r="A822539" s="242"/>
    </row>
    <row r="822540" spans="1:1" x14ac:dyDescent="0.25">
      <c r="A822540" s="242"/>
    </row>
    <row r="822541" spans="1:1" x14ac:dyDescent="0.25">
      <c r="A822541" s="242"/>
    </row>
    <row r="822542" spans="1:1" x14ac:dyDescent="0.25">
      <c r="A822542" s="242"/>
    </row>
    <row r="822543" spans="1:1" x14ac:dyDescent="0.25">
      <c r="A822543" s="242"/>
    </row>
    <row r="822544" spans="1:1" x14ac:dyDescent="0.25">
      <c r="A822544" s="242"/>
    </row>
    <row r="822545" spans="1:1" x14ac:dyDescent="0.25">
      <c r="A822545" s="242"/>
    </row>
    <row r="822546" spans="1:1" x14ac:dyDescent="0.25">
      <c r="A822546" s="242"/>
    </row>
    <row r="822547" spans="1:1" x14ac:dyDescent="0.25">
      <c r="A822547" s="242"/>
    </row>
    <row r="822548" spans="1:1" x14ac:dyDescent="0.25">
      <c r="A822548" s="242"/>
    </row>
    <row r="822549" spans="1:1" x14ac:dyDescent="0.25">
      <c r="A822549" s="242"/>
    </row>
    <row r="822550" spans="1:1" x14ac:dyDescent="0.25">
      <c r="A822550" s="242"/>
    </row>
    <row r="822551" spans="1:1" x14ac:dyDescent="0.25">
      <c r="A822551" s="242"/>
    </row>
    <row r="822552" spans="1:1" x14ac:dyDescent="0.25">
      <c r="A822552" s="242"/>
    </row>
    <row r="822553" spans="1:1" x14ac:dyDescent="0.25">
      <c r="A822553" s="242"/>
    </row>
    <row r="822554" spans="1:1" x14ac:dyDescent="0.25">
      <c r="A822554" s="242"/>
    </row>
    <row r="822555" spans="1:1" x14ac:dyDescent="0.25">
      <c r="A822555" s="242"/>
    </row>
    <row r="822556" spans="1:1" x14ac:dyDescent="0.25">
      <c r="A822556" s="242"/>
    </row>
    <row r="822557" spans="1:1" x14ac:dyDescent="0.25">
      <c r="A822557" s="242"/>
    </row>
    <row r="822558" spans="1:1" x14ac:dyDescent="0.25">
      <c r="A822558" s="242"/>
    </row>
    <row r="822559" spans="1:1" x14ac:dyDescent="0.25">
      <c r="A822559" s="242"/>
    </row>
    <row r="822560" spans="1:1" x14ac:dyDescent="0.25">
      <c r="A822560" s="242"/>
    </row>
    <row r="822561" spans="1:1" x14ac:dyDescent="0.25">
      <c r="A822561" s="242"/>
    </row>
    <row r="822562" spans="1:1" x14ac:dyDescent="0.25">
      <c r="A822562" s="242"/>
    </row>
    <row r="822563" spans="1:1" x14ac:dyDescent="0.25">
      <c r="A822563" s="242"/>
    </row>
    <row r="822564" spans="1:1" x14ac:dyDescent="0.25">
      <c r="A822564" s="242"/>
    </row>
    <row r="822565" spans="1:1" x14ac:dyDescent="0.25">
      <c r="A822565" s="242"/>
    </row>
    <row r="822566" spans="1:1" x14ac:dyDescent="0.25">
      <c r="A822566" s="242"/>
    </row>
    <row r="822567" spans="1:1" x14ac:dyDescent="0.25">
      <c r="A822567" s="242"/>
    </row>
    <row r="822568" spans="1:1" x14ac:dyDescent="0.25">
      <c r="A822568" s="242"/>
    </row>
    <row r="822569" spans="1:1" x14ac:dyDescent="0.25">
      <c r="A822569" s="242"/>
    </row>
    <row r="822570" spans="1:1" x14ac:dyDescent="0.25">
      <c r="A822570" s="242"/>
    </row>
    <row r="822571" spans="1:1" x14ac:dyDescent="0.25">
      <c r="A822571" s="242"/>
    </row>
    <row r="822572" spans="1:1" x14ac:dyDescent="0.25">
      <c r="A822572" s="242"/>
    </row>
    <row r="822573" spans="1:1" x14ac:dyDescent="0.25">
      <c r="A822573" s="242"/>
    </row>
    <row r="822574" spans="1:1" x14ac:dyDescent="0.25">
      <c r="A822574" s="242"/>
    </row>
    <row r="822575" spans="1:1" x14ac:dyDescent="0.25">
      <c r="A822575" s="242"/>
    </row>
    <row r="822576" spans="1:1" x14ac:dyDescent="0.25">
      <c r="A822576" s="242"/>
    </row>
    <row r="822577" spans="1:1" x14ac:dyDescent="0.25">
      <c r="A822577" s="242"/>
    </row>
    <row r="822578" spans="1:1" x14ac:dyDescent="0.25">
      <c r="A822578" s="242"/>
    </row>
    <row r="822579" spans="1:1" x14ac:dyDescent="0.25">
      <c r="A822579" s="242"/>
    </row>
    <row r="822580" spans="1:1" x14ac:dyDescent="0.25">
      <c r="A822580" s="242"/>
    </row>
    <row r="822581" spans="1:1" x14ac:dyDescent="0.25">
      <c r="A822581" s="242"/>
    </row>
    <row r="822582" spans="1:1" x14ac:dyDescent="0.25">
      <c r="A822582" s="242"/>
    </row>
    <row r="822583" spans="1:1" x14ac:dyDescent="0.25">
      <c r="A822583" s="242"/>
    </row>
    <row r="822584" spans="1:1" x14ac:dyDescent="0.25">
      <c r="A822584" s="242"/>
    </row>
    <row r="822585" spans="1:1" x14ac:dyDescent="0.25">
      <c r="A822585" s="242"/>
    </row>
    <row r="822586" spans="1:1" x14ac:dyDescent="0.25">
      <c r="A822586" s="242"/>
    </row>
    <row r="822587" spans="1:1" x14ac:dyDescent="0.25">
      <c r="A822587" s="242"/>
    </row>
    <row r="822588" spans="1:1" x14ac:dyDescent="0.25">
      <c r="A822588" s="242"/>
    </row>
    <row r="822589" spans="1:1" x14ac:dyDescent="0.25">
      <c r="A822589" s="242"/>
    </row>
    <row r="822590" spans="1:1" x14ac:dyDescent="0.25">
      <c r="A822590" s="242"/>
    </row>
    <row r="822591" spans="1:1" x14ac:dyDescent="0.25">
      <c r="A822591" s="242"/>
    </row>
    <row r="822592" spans="1:1" x14ac:dyDescent="0.25">
      <c r="A822592" s="242"/>
    </row>
    <row r="822593" spans="1:1" x14ac:dyDescent="0.25">
      <c r="A822593" s="242"/>
    </row>
    <row r="822594" spans="1:1" x14ac:dyDescent="0.25">
      <c r="A822594" s="242"/>
    </row>
    <row r="822595" spans="1:1" x14ac:dyDescent="0.25">
      <c r="A822595" s="242"/>
    </row>
    <row r="822596" spans="1:1" x14ac:dyDescent="0.25">
      <c r="A822596" s="242"/>
    </row>
    <row r="822597" spans="1:1" x14ac:dyDescent="0.25">
      <c r="A822597" s="242"/>
    </row>
    <row r="822598" spans="1:1" x14ac:dyDescent="0.25">
      <c r="A822598" s="242"/>
    </row>
    <row r="822599" spans="1:1" x14ac:dyDescent="0.25">
      <c r="A822599" s="242"/>
    </row>
    <row r="822600" spans="1:1" x14ac:dyDescent="0.25">
      <c r="A822600" s="242"/>
    </row>
    <row r="822601" spans="1:1" x14ac:dyDescent="0.25">
      <c r="A822601" s="242"/>
    </row>
    <row r="822602" spans="1:1" x14ac:dyDescent="0.25">
      <c r="A822602" s="242"/>
    </row>
    <row r="822603" spans="1:1" x14ac:dyDescent="0.25">
      <c r="A822603" s="242"/>
    </row>
    <row r="822604" spans="1:1" x14ac:dyDescent="0.25">
      <c r="A822604" s="242"/>
    </row>
    <row r="822605" spans="1:1" x14ac:dyDescent="0.25">
      <c r="A822605" s="242"/>
    </row>
    <row r="822606" spans="1:1" x14ac:dyDescent="0.25">
      <c r="A822606" s="242"/>
    </row>
    <row r="822607" spans="1:1" x14ac:dyDescent="0.25">
      <c r="A822607" s="242"/>
    </row>
    <row r="822608" spans="1:1" x14ac:dyDescent="0.25">
      <c r="A822608" s="242"/>
    </row>
    <row r="822609" spans="1:1" x14ac:dyDescent="0.25">
      <c r="A822609" s="242"/>
    </row>
    <row r="822610" spans="1:1" x14ac:dyDescent="0.25">
      <c r="A822610" s="242"/>
    </row>
    <row r="822611" spans="1:1" x14ac:dyDescent="0.25">
      <c r="A822611" s="242"/>
    </row>
    <row r="822612" spans="1:1" x14ac:dyDescent="0.25">
      <c r="A822612" s="242"/>
    </row>
    <row r="822613" spans="1:1" x14ac:dyDescent="0.25">
      <c r="A822613" s="242"/>
    </row>
    <row r="822614" spans="1:1" x14ac:dyDescent="0.25">
      <c r="A822614" s="242"/>
    </row>
    <row r="822615" spans="1:1" x14ac:dyDescent="0.25">
      <c r="A822615" s="242"/>
    </row>
    <row r="822616" spans="1:1" x14ac:dyDescent="0.25">
      <c r="A822616" s="242"/>
    </row>
    <row r="822617" spans="1:1" x14ac:dyDescent="0.25">
      <c r="A822617" s="242"/>
    </row>
    <row r="822618" spans="1:1" x14ac:dyDescent="0.25">
      <c r="A822618" s="242"/>
    </row>
    <row r="822619" spans="1:1" x14ac:dyDescent="0.25">
      <c r="A822619" s="242"/>
    </row>
    <row r="822620" spans="1:1" x14ac:dyDescent="0.25">
      <c r="A822620" s="242"/>
    </row>
    <row r="822621" spans="1:1" x14ac:dyDescent="0.25">
      <c r="A822621" s="242"/>
    </row>
    <row r="822622" spans="1:1" x14ac:dyDescent="0.25">
      <c r="A822622" s="242"/>
    </row>
    <row r="822623" spans="1:1" x14ac:dyDescent="0.25">
      <c r="A822623" s="242"/>
    </row>
    <row r="822624" spans="1:1" x14ac:dyDescent="0.25">
      <c r="A822624" s="242"/>
    </row>
    <row r="822625" spans="1:1" x14ac:dyDescent="0.25">
      <c r="A822625" s="242"/>
    </row>
    <row r="822626" spans="1:1" x14ac:dyDescent="0.25">
      <c r="A822626" s="242"/>
    </row>
    <row r="822627" spans="1:1" x14ac:dyDescent="0.25">
      <c r="A822627" s="242"/>
    </row>
    <row r="822628" spans="1:1" x14ac:dyDescent="0.25">
      <c r="A822628" s="242"/>
    </row>
    <row r="822629" spans="1:1" x14ac:dyDescent="0.25">
      <c r="A822629" s="242"/>
    </row>
    <row r="822630" spans="1:1" x14ac:dyDescent="0.25">
      <c r="A822630" s="242"/>
    </row>
    <row r="822631" spans="1:1" x14ac:dyDescent="0.25">
      <c r="A822631" s="242"/>
    </row>
    <row r="822632" spans="1:1" x14ac:dyDescent="0.25">
      <c r="A822632" s="242"/>
    </row>
    <row r="822633" spans="1:1" x14ac:dyDescent="0.25">
      <c r="A822633" s="242"/>
    </row>
    <row r="822634" spans="1:1" x14ac:dyDescent="0.25">
      <c r="A822634" s="242"/>
    </row>
    <row r="822635" spans="1:1" x14ac:dyDescent="0.25">
      <c r="A822635" s="242"/>
    </row>
    <row r="822636" spans="1:1" x14ac:dyDescent="0.25">
      <c r="A822636" s="242"/>
    </row>
    <row r="822637" spans="1:1" x14ac:dyDescent="0.25">
      <c r="A822637" s="242"/>
    </row>
    <row r="822638" spans="1:1" x14ac:dyDescent="0.25">
      <c r="A822638" s="242"/>
    </row>
    <row r="822639" spans="1:1" x14ac:dyDescent="0.25">
      <c r="A822639" s="242"/>
    </row>
    <row r="822640" spans="1:1" x14ac:dyDescent="0.25">
      <c r="A822640" s="242"/>
    </row>
    <row r="822641" spans="1:1" x14ac:dyDescent="0.25">
      <c r="A822641" s="242"/>
    </row>
    <row r="822642" spans="1:1" x14ac:dyDescent="0.25">
      <c r="A822642" s="242"/>
    </row>
    <row r="822643" spans="1:1" x14ac:dyDescent="0.25">
      <c r="A822643" s="242"/>
    </row>
    <row r="822644" spans="1:1" x14ac:dyDescent="0.25">
      <c r="A822644" s="242"/>
    </row>
    <row r="822645" spans="1:1" x14ac:dyDescent="0.25">
      <c r="A822645" s="242"/>
    </row>
    <row r="822646" spans="1:1" x14ac:dyDescent="0.25">
      <c r="A822646" s="242"/>
    </row>
    <row r="822647" spans="1:1" x14ac:dyDescent="0.25">
      <c r="A822647" s="242"/>
    </row>
    <row r="822648" spans="1:1" x14ac:dyDescent="0.25">
      <c r="A822648" s="242"/>
    </row>
    <row r="822649" spans="1:1" x14ac:dyDescent="0.25">
      <c r="A822649" s="242"/>
    </row>
    <row r="822650" spans="1:1" x14ac:dyDescent="0.25">
      <c r="A822650" s="242"/>
    </row>
    <row r="822651" spans="1:1" x14ac:dyDescent="0.25">
      <c r="A822651" s="242"/>
    </row>
    <row r="822652" spans="1:1" x14ac:dyDescent="0.25">
      <c r="A822652" s="242"/>
    </row>
    <row r="822653" spans="1:1" x14ac:dyDescent="0.25">
      <c r="A822653" s="242"/>
    </row>
    <row r="822654" spans="1:1" x14ac:dyDescent="0.25">
      <c r="A822654" s="242"/>
    </row>
    <row r="822655" spans="1:1" x14ac:dyDescent="0.25">
      <c r="A822655" s="242"/>
    </row>
    <row r="822656" spans="1:1" x14ac:dyDescent="0.25">
      <c r="A822656" s="242"/>
    </row>
    <row r="822657" spans="1:1" x14ac:dyDescent="0.25">
      <c r="A822657" s="242"/>
    </row>
    <row r="822658" spans="1:1" x14ac:dyDescent="0.25">
      <c r="A822658" s="242"/>
    </row>
    <row r="822659" spans="1:1" x14ac:dyDescent="0.25">
      <c r="A822659" s="242"/>
    </row>
    <row r="822660" spans="1:1" x14ac:dyDescent="0.25">
      <c r="A822660" s="242"/>
    </row>
    <row r="822661" spans="1:1" x14ac:dyDescent="0.25">
      <c r="A822661" s="242"/>
    </row>
    <row r="822662" spans="1:1" x14ac:dyDescent="0.25">
      <c r="A822662" s="242"/>
    </row>
    <row r="822663" spans="1:1" x14ac:dyDescent="0.25">
      <c r="A822663" s="242"/>
    </row>
    <row r="822664" spans="1:1" x14ac:dyDescent="0.25">
      <c r="A822664" s="242"/>
    </row>
    <row r="822665" spans="1:1" x14ac:dyDescent="0.25">
      <c r="A822665" s="242"/>
    </row>
    <row r="822666" spans="1:1" x14ac:dyDescent="0.25">
      <c r="A822666" s="242"/>
    </row>
    <row r="822667" spans="1:1" x14ac:dyDescent="0.25">
      <c r="A822667" s="242"/>
    </row>
    <row r="822668" spans="1:1" x14ac:dyDescent="0.25">
      <c r="A822668" s="242"/>
    </row>
    <row r="822669" spans="1:1" x14ac:dyDescent="0.25">
      <c r="A822669" s="242"/>
    </row>
    <row r="822670" spans="1:1" x14ac:dyDescent="0.25">
      <c r="A822670" s="242"/>
    </row>
    <row r="822671" spans="1:1" x14ac:dyDescent="0.25">
      <c r="A822671" s="242"/>
    </row>
    <row r="822672" spans="1:1" x14ac:dyDescent="0.25">
      <c r="A822672" s="242"/>
    </row>
    <row r="822673" spans="1:1" x14ac:dyDescent="0.25">
      <c r="A822673" s="242"/>
    </row>
    <row r="822674" spans="1:1" x14ac:dyDescent="0.25">
      <c r="A822674" s="242"/>
    </row>
    <row r="822675" spans="1:1" x14ac:dyDescent="0.25">
      <c r="A822675" s="242"/>
    </row>
    <row r="822676" spans="1:1" x14ac:dyDescent="0.25">
      <c r="A822676" s="242"/>
    </row>
    <row r="822677" spans="1:1" x14ac:dyDescent="0.25">
      <c r="A822677" s="242"/>
    </row>
    <row r="822678" spans="1:1" x14ac:dyDescent="0.25">
      <c r="A822678" s="242"/>
    </row>
    <row r="822679" spans="1:1" x14ac:dyDescent="0.25">
      <c r="A822679" s="242"/>
    </row>
    <row r="822680" spans="1:1" x14ac:dyDescent="0.25">
      <c r="A822680" s="242"/>
    </row>
    <row r="822681" spans="1:1" x14ac:dyDescent="0.25">
      <c r="A822681" s="242"/>
    </row>
    <row r="822682" spans="1:1" x14ac:dyDescent="0.25">
      <c r="A822682" s="242"/>
    </row>
    <row r="822683" spans="1:1" x14ac:dyDescent="0.25">
      <c r="A822683" s="242"/>
    </row>
    <row r="822684" spans="1:1" x14ac:dyDescent="0.25">
      <c r="A822684" s="242"/>
    </row>
    <row r="822685" spans="1:1" x14ac:dyDescent="0.25">
      <c r="A822685" s="242"/>
    </row>
    <row r="822686" spans="1:1" x14ac:dyDescent="0.25">
      <c r="A822686" s="242"/>
    </row>
    <row r="822687" spans="1:1" x14ac:dyDescent="0.25">
      <c r="A822687" s="242"/>
    </row>
    <row r="822688" spans="1:1" x14ac:dyDescent="0.25">
      <c r="A822688" s="242"/>
    </row>
    <row r="822689" spans="1:1" x14ac:dyDescent="0.25">
      <c r="A822689" s="242"/>
    </row>
    <row r="822690" spans="1:1" x14ac:dyDescent="0.25">
      <c r="A822690" s="242"/>
    </row>
    <row r="822691" spans="1:1" x14ac:dyDescent="0.25">
      <c r="A822691" s="242"/>
    </row>
    <row r="822692" spans="1:1" x14ac:dyDescent="0.25">
      <c r="A822692" s="242"/>
    </row>
    <row r="822693" spans="1:1" x14ac:dyDescent="0.25">
      <c r="A822693" s="242"/>
    </row>
    <row r="822694" spans="1:1" x14ac:dyDescent="0.25">
      <c r="A822694" s="242"/>
    </row>
    <row r="822695" spans="1:1" x14ac:dyDescent="0.25">
      <c r="A822695" s="242"/>
    </row>
    <row r="822696" spans="1:1" x14ac:dyDescent="0.25">
      <c r="A822696" s="242"/>
    </row>
    <row r="822697" spans="1:1" x14ac:dyDescent="0.25">
      <c r="A822697" s="242"/>
    </row>
    <row r="822698" spans="1:1" x14ac:dyDescent="0.25">
      <c r="A822698" s="242"/>
    </row>
    <row r="822699" spans="1:1" x14ac:dyDescent="0.25">
      <c r="A822699" s="242"/>
    </row>
    <row r="822700" spans="1:1" x14ac:dyDescent="0.25">
      <c r="A822700" s="242"/>
    </row>
    <row r="822701" spans="1:1" x14ac:dyDescent="0.25">
      <c r="A822701" s="242"/>
    </row>
    <row r="822702" spans="1:1" x14ac:dyDescent="0.25">
      <c r="A822702" s="242"/>
    </row>
    <row r="822703" spans="1:1" x14ac:dyDescent="0.25">
      <c r="A822703" s="242"/>
    </row>
    <row r="822704" spans="1:1" x14ac:dyDescent="0.25">
      <c r="A822704" s="242"/>
    </row>
    <row r="822705" spans="1:1" x14ac:dyDescent="0.25">
      <c r="A822705" s="242"/>
    </row>
    <row r="822706" spans="1:1" x14ac:dyDescent="0.25">
      <c r="A822706" s="242"/>
    </row>
    <row r="822707" spans="1:1" x14ac:dyDescent="0.25">
      <c r="A822707" s="242"/>
    </row>
    <row r="822708" spans="1:1" x14ac:dyDescent="0.25">
      <c r="A822708" s="242"/>
    </row>
    <row r="822709" spans="1:1" x14ac:dyDescent="0.25">
      <c r="A822709" s="242"/>
    </row>
    <row r="822710" spans="1:1" x14ac:dyDescent="0.25">
      <c r="A822710" s="242"/>
    </row>
    <row r="822711" spans="1:1" x14ac:dyDescent="0.25">
      <c r="A822711" s="242"/>
    </row>
    <row r="822712" spans="1:1" x14ac:dyDescent="0.25">
      <c r="A822712" s="242"/>
    </row>
    <row r="822713" spans="1:1" x14ac:dyDescent="0.25">
      <c r="A822713" s="242"/>
    </row>
    <row r="822714" spans="1:1" x14ac:dyDescent="0.25">
      <c r="A822714" s="242"/>
    </row>
    <row r="822715" spans="1:1" x14ac:dyDescent="0.25">
      <c r="A822715" s="242"/>
    </row>
    <row r="822716" spans="1:1" x14ac:dyDescent="0.25">
      <c r="A822716" s="242"/>
    </row>
    <row r="822717" spans="1:1" x14ac:dyDescent="0.25">
      <c r="A822717" s="242"/>
    </row>
    <row r="822718" spans="1:1" x14ac:dyDescent="0.25">
      <c r="A822718" s="242"/>
    </row>
    <row r="822719" spans="1:1" x14ac:dyDescent="0.25">
      <c r="A822719" s="242"/>
    </row>
    <row r="822720" spans="1:1" x14ac:dyDescent="0.25">
      <c r="A822720" s="242"/>
    </row>
    <row r="822721" spans="1:1" x14ac:dyDescent="0.25">
      <c r="A822721" s="242"/>
    </row>
    <row r="822722" spans="1:1" x14ac:dyDescent="0.25">
      <c r="A822722" s="242"/>
    </row>
    <row r="822723" spans="1:1" x14ac:dyDescent="0.25">
      <c r="A822723" s="242"/>
    </row>
    <row r="822724" spans="1:1" x14ac:dyDescent="0.25">
      <c r="A822724" s="242"/>
    </row>
    <row r="822725" spans="1:1" x14ac:dyDescent="0.25">
      <c r="A822725" s="242"/>
    </row>
    <row r="822726" spans="1:1" x14ac:dyDescent="0.25">
      <c r="A822726" s="242"/>
    </row>
    <row r="822727" spans="1:1" x14ac:dyDescent="0.25">
      <c r="A822727" s="242"/>
    </row>
    <row r="822728" spans="1:1" x14ac:dyDescent="0.25">
      <c r="A822728" s="242"/>
    </row>
    <row r="822729" spans="1:1" x14ac:dyDescent="0.25">
      <c r="A822729" s="242"/>
    </row>
    <row r="822730" spans="1:1" x14ac:dyDescent="0.25">
      <c r="A822730" s="242"/>
    </row>
    <row r="822731" spans="1:1" x14ac:dyDescent="0.25">
      <c r="A822731" s="242"/>
    </row>
    <row r="822732" spans="1:1" x14ac:dyDescent="0.25">
      <c r="A822732" s="242"/>
    </row>
    <row r="822733" spans="1:1" x14ac:dyDescent="0.25">
      <c r="A822733" s="242"/>
    </row>
    <row r="822734" spans="1:1" x14ac:dyDescent="0.25">
      <c r="A822734" s="242"/>
    </row>
    <row r="822735" spans="1:1" x14ac:dyDescent="0.25">
      <c r="A822735" s="242"/>
    </row>
    <row r="822736" spans="1:1" x14ac:dyDescent="0.25">
      <c r="A822736" s="242"/>
    </row>
    <row r="822737" spans="1:1" x14ac:dyDescent="0.25">
      <c r="A822737" s="242"/>
    </row>
    <row r="822738" spans="1:1" x14ac:dyDescent="0.25">
      <c r="A822738" s="242"/>
    </row>
    <row r="822739" spans="1:1" x14ac:dyDescent="0.25">
      <c r="A822739" s="242"/>
    </row>
    <row r="822740" spans="1:1" x14ac:dyDescent="0.25">
      <c r="A822740" s="242"/>
    </row>
    <row r="822741" spans="1:1" x14ac:dyDescent="0.25">
      <c r="A822741" s="242"/>
    </row>
    <row r="822742" spans="1:1" x14ac:dyDescent="0.25">
      <c r="A822742" s="242"/>
    </row>
    <row r="822743" spans="1:1" x14ac:dyDescent="0.25">
      <c r="A822743" s="242"/>
    </row>
    <row r="822744" spans="1:1" x14ac:dyDescent="0.25">
      <c r="A822744" s="242"/>
    </row>
    <row r="822745" spans="1:1" x14ac:dyDescent="0.25">
      <c r="A822745" s="242"/>
    </row>
    <row r="822746" spans="1:1" x14ac:dyDescent="0.25">
      <c r="A822746" s="242"/>
    </row>
    <row r="822747" spans="1:1" x14ac:dyDescent="0.25">
      <c r="A822747" s="242"/>
    </row>
    <row r="822748" spans="1:1" x14ac:dyDescent="0.25">
      <c r="A822748" s="242"/>
    </row>
    <row r="822749" spans="1:1" x14ac:dyDescent="0.25">
      <c r="A822749" s="242"/>
    </row>
    <row r="822750" spans="1:1" x14ac:dyDescent="0.25">
      <c r="A822750" s="242"/>
    </row>
    <row r="822751" spans="1:1" x14ac:dyDescent="0.25">
      <c r="A822751" s="242"/>
    </row>
    <row r="822752" spans="1:1" x14ac:dyDescent="0.25">
      <c r="A822752" s="242"/>
    </row>
    <row r="822753" spans="1:1" x14ac:dyDescent="0.25">
      <c r="A822753" s="242"/>
    </row>
    <row r="822754" spans="1:1" x14ac:dyDescent="0.25">
      <c r="A822754" s="242"/>
    </row>
    <row r="822755" spans="1:1" x14ac:dyDescent="0.25">
      <c r="A822755" s="242"/>
    </row>
    <row r="822756" spans="1:1" x14ac:dyDescent="0.25">
      <c r="A822756" s="242"/>
    </row>
    <row r="822757" spans="1:1" x14ac:dyDescent="0.25">
      <c r="A822757" s="242"/>
    </row>
    <row r="822758" spans="1:1" x14ac:dyDescent="0.25">
      <c r="A822758" s="242"/>
    </row>
    <row r="822759" spans="1:1" x14ac:dyDescent="0.25">
      <c r="A822759" s="242"/>
    </row>
    <row r="822760" spans="1:1" x14ac:dyDescent="0.25">
      <c r="A822760" s="242"/>
    </row>
    <row r="822761" spans="1:1" x14ac:dyDescent="0.25">
      <c r="A822761" s="242"/>
    </row>
    <row r="822762" spans="1:1" x14ac:dyDescent="0.25">
      <c r="A822762" s="242"/>
    </row>
    <row r="822763" spans="1:1" x14ac:dyDescent="0.25">
      <c r="A822763" s="242"/>
    </row>
    <row r="822764" spans="1:1" x14ac:dyDescent="0.25">
      <c r="A822764" s="242"/>
    </row>
    <row r="822765" spans="1:1" x14ac:dyDescent="0.25">
      <c r="A822765" s="242"/>
    </row>
    <row r="822766" spans="1:1" x14ac:dyDescent="0.25">
      <c r="A822766" s="242"/>
    </row>
    <row r="822767" spans="1:1" x14ac:dyDescent="0.25">
      <c r="A822767" s="242"/>
    </row>
    <row r="822768" spans="1:1" x14ac:dyDescent="0.25">
      <c r="A822768" s="242"/>
    </row>
    <row r="822769" spans="1:1" x14ac:dyDescent="0.25">
      <c r="A822769" s="242"/>
    </row>
    <row r="822770" spans="1:1" x14ac:dyDescent="0.25">
      <c r="A822770" s="242"/>
    </row>
    <row r="822771" spans="1:1" x14ac:dyDescent="0.25">
      <c r="A822771" s="242"/>
    </row>
    <row r="822772" spans="1:1" x14ac:dyDescent="0.25">
      <c r="A822772" s="242"/>
    </row>
    <row r="822773" spans="1:1" x14ac:dyDescent="0.25">
      <c r="A822773" s="242"/>
    </row>
    <row r="822774" spans="1:1" x14ac:dyDescent="0.25">
      <c r="A822774" s="242"/>
    </row>
    <row r="822775" spans="1:1" x14ac:dyDescent="0.25">
      <c r="A822775" s="242"/>
    </row>
    <row r="822776" spans="1:1" x14ac:dyDescent="0.25">
      <c r="A822776" s="242"/>
    </row>
    <row r="822777" spans="1:1" x14ac:dyDescent="0.25">
      <c r="A822777" s="242"/>
    </row>
    <row r="822778" spans="1:1" x14ac:dyDescent="0.25">
      <c r="A822778" s="242"/>
    </row>
    <row r="822779" spans="1:1" x14ac:dyDescent="0.25">
      <c r="A822779" s="242"/>
    </row>
    <row r="822780" spans="1:1" x14ac:dyDescent="0.25">
      <c r="A822780" s="242"/>
    </row>
    <row r="822781" spans="1:1" x14ac:dyDescent="0.25">
      <c r="A822781" s="242"/>
    </row>
    <row r="822782" spans="1:1" x14ac:dyDescent="0.25">
      <c r="A822782" s="242"/>
    </row>
    <row r="822783" spans="1:1" x14ac:dyDescent="0.25">
      <c r="A822783" s="242"/>
    </row>
    <row r="822784" spans="1:1" x14ac:dyDescent="0.25">
      <c r="A822784" s="242"/>
    </row>
    <row r="822785" spans="1:1" x14ac:dyDescent="0.25">
      <c r="A822785" s="242"/>
    </row>
    <row r="822786" spans="1:1" x14ac:dyDescent="0.25">
      <c r="A822786" s="242"/>
    </row>
    <row r="822787" spans="1:1" x14ac:dyDescent="0.25">
      <c r="A822787" s="242"/>
    </row>
    <row r="822788" spans="1:1" x14ac:dyDescent="0.25">
      <c r="A822788" s="242"/>
    </row>
    <row r="822789" spans="1:1" x14ac:dyDescent="0.25">
      <c r="A822789" s="242"/>
    </row>
    <row r="822790" spans="1:1" x14ac:dyDescent="0.25">
      <c r="A822790" s="242"/>
    </row>
    <row r="822791" spans="1:1" x14ac:dyDescent="0.25">
      <c r="A822791" s="242"/>
    </row>
    <row r="822792" spans="1:1" x14ac:dyDescent="0.25">
      <c r="A822792" s="242"/>
    </row>
    <row r="822793" spans="1:1" x14ac:dyDescent="0.25">
      <c r="A822793" s="242"/>
    </row>
    <row r="822794" spans="1:1" x14ac:dyDescent="0.25">
      <c r="A822794" s="242"/>
    </row>
    <row r="822795" spans="1:1" x14ac:dyDescent="0.25">
      <c r="A822795" s="242"/>
    </row>
    <row r="822796" spans="1:1" x14ac:dyDescent="0.25">
      <c r="A822796" s="242"/>
    </row>
    <row r="822797" spans="1:1" x14ac:dyDescent="0.25">
      <c r="A822797" s="242"/>
    </row>
    <row r="822798" spans="1:1" x14ac:dyDescent="0.25">
      <c r="A822798" s="242"/>
    </row>
    <row r="822799" spans="1:1" x14ac:dyDescent="0.25">
      <c r="A822799" s="242"/>
    </row>
    <row r="822800" spans="1:1" x14ac:dyDescent="0.25">
      <c r="A822800" s="242"/>
    </row>
    <row r="822801" spans="1:1" x14ac:dyDescent="0.25">
      <c r="A822801" s="242"/>
    </row>
    <row r="822802" spans="1:1" x14ac:dyDescent="0.25">
      <c r="A822802" s="242"/>
    </row>
    <row r="822803" spans="1:1" x14ac:dyDescent="0.25">
      <c r="A822803" s="242"/>
    </row>
    <row r="822804" spans="1:1" x14ac:dyDescent="0.25">
      <c r="A822804" s="242"/>
    </row>
    <row r="822805" spans="1:1" x14ac:dyDescent="0.25">
      <c r="A822805" s="242"/>
    </row>
    <row r="822806" spans="1:1" x14ac:dyDescent="0.25">
      <c r="A822806" s="242"/>
    </row>
    <row r="822807" spans="1:1" x14ac:dyDescent="0.25">
      <c r="A822807" s="242"/>
    </row>
    <row r="822808" spans="1:1" x14ac:dyDescent="0.25">
      <c r="A822808" s="242"/>
    </row>
    <row r="822809" spans="1:1" x14ac:dyDescent="0.25">
      <c r="A822809" s="242"/>
    </row>
    <row r="822810" spans="1:1" x14ac:dyDescent="0.25">
      <c r="A822810" s="242"/>
    </row>
    <row r="822811" spans="1:1" x14ac:dyDescent="0.25">
      <c r="A822811" s="242"/>
    </row>
    <row r="822812" spans="1:1" x14ac:dyDescent="0.25">
      <c r="A822812" s="242"/>
    </row>
    <row r="822813" spans="1:1" x14ac:dyDescent="0.25">
      <c r="A822813" s="242"/>
    </row>
    <row r="822814" spans="1:1" x14ac:dyDescent="0.25">
      <c r="A822814" s="242"/>
    </row>
    <row r="822815" spans="1:1" x14ac:dyDescent="0.25">
      <c r="A822815" s="242"/>
    </row>
    <row r="822816" spans="1:1" x14ac:dyDescent="0.25">
      <c r="A822816" s="242"/>
    </row>
    <row r="822817" spans="1:1" x14ac:dyDescent="0.25">
      <c r="A822817" s="242"/>
    </row>
    <row r="822818" spans="1:1" x14ac:dyDescent="0.25">
      <c r="A822818" s="242"/>
    </row>
    <row r="822819" spans="1:1" x14ac:dyDescent="0.25">
      <c r="A822819" s="242"/>
    </row>
    <row r="822820" spans="1:1" x14ac:dyDescent="0.25">
      <c r="A822820" s="242"/>
    </row>
    <row r="822821" spans="1:1" x14ac:dyDescent="0.25">
      <c r="A822821" s="242"/>
    </row>
    <row r="822822" spans="1:1" x14ac:dyDescent="0.25">
      <c r="A822822" s="242"/>
    </row>
    <row r="822823" spans="1:1" x14ac:dyDescent="0.25">
      <c r="A822823" s="242"/>
    </row>
    <row r="822824" spans="1:1" x14ac:dyDescent="0.25">
      <c r="A822824" s="242"/>
    </row>
    <row r="822825" spans="1:1" x14ac:dyDescent="0.25">
      <c r="A822825" s="242"/>
    </row>
    <row r="822826" spans="1:1" x14ac:dyDescent="0.25">
      <c r="A822826" s="242"/>
    </row>
    <row r="822827" spans="1:1" x14ac:dyDescent="0.25">
      <c r="A822827" s="242"/>
    </row>
    <row r="822828" spans="1:1" x14ac:dyDescent="0.25">
      <c r="A822828" s="242"/>
    </row>
    <row r="822829" spans="1:1" x14ac:dyDescent="0.25">
      <c r="A822829" s="242"/>
    </row>
    <row r="822830" spans="1:1" x14ac:dyDescent="0.25">
      <c r="A822830" s="242"/>
    </row>
    <row r="822831" spans="1:1" x14ac:dyDescent="0.25">
      <c r="A822831" s="242"/>
    </row>
    <row r="822832" spans="1:1" x14ac:dyDescent="0.25">
      <c r="A822832" s="242"/>
    </row>
    <row r="822833" spans="1:1" x14ac:dyDescent="0.25">
      <c r="A822833" s="242"/>
    </row>
    <row r="822834" spans="1:1" x14ac:dyDescent="0.25">
      <c r="A822834" s="242"/>
    </row>
    <row r="822835" spans="1:1" x14ac:dyDescent="0.25">
      <c r="A822835" s="242"/>
    </row>
    <row r="822836" spans="1:1" x14ac:dyDescent="0.25">
      <c r="A822836" s="242"/>
    </row>
    <row r="822837" spans="1:1" x14ac:dyDescent="0.25">
      <c r="A822837" s="242"/>
    </row>
    <row r="822838" spans="1:1" x14ac:dyDescent="0.25">
      <c r="A822838" s="242"/>
    </row>
    <row r="822839" spans="1:1" x14ac:dyDescent="0.25">
      <c r="A822839" s="242"/>
    </row>
    <row r="822840" spans="1:1" x14ac:dyDescent="0.25">
      <c r="A822840" s="242"/>
    </row>
    <row r="822841" spans="1:1" x14ac:dyDescent="0.25">
      <c r="A822841" s="242"/>
    </row>
    <row r="822842" spans="1:1" x14ac:dyDescent="0.25">
      <c r="A822842" s="242"/>
    </row>
    <row r="822843" spans="1:1" x14ac:dyDescent="0.25">
      <c r="A822843" s="242"/>
    </row>
    <row r="822844" spans="1:1" x14ac:dyDescent="0.25">
      <c r="A822844" s="242"/>
    </row>
    <row r="822845" spans="1:1" x14ac:dyDescent="0.25">
      <c r="A822845" s="242"/>
    </row>
    <row r="822846" spans="1:1" x14ac:dyDescent="0.25">
      <c r="A822846" s="242"/>
    </row>
    <row r="822847" spans="1:1" x14ac:dyDescent="0.25">
      <c r="A822847" s="242"/>
    </row>
    <row r="822848" spans="1:1" x14ac:dyDescent="0.25">
      <c r="A822848" s="242"/>
    </row>
    <row r="822849" spans="1:1" x14ac:dyDescent="0.25">
      <c r="A822849" s="242"/>
    </row>
    <row r="822850" spans="1:1" x14ac:dyDescent="0.25">
      <c r="A822850" s="242"/>
    </row>
    <row r="822851" spans="1:1" x14ac:dyDescent="0.25">
      <c r="A822851" s="242"/>
    </row>
    <row r="822852" spans="1:1" x14ac:dyDescent="0.25">
      <c r="A822852" s="242"/>
    </row>
    <row r="822853" spans="1:1" x14ac:dyDescent="0.25">
      <c r="A822853" s="242"/>
    </row>
    <row r="822854" spans="1:1" x14ac:dyDescent="0.25">
      <c r="A822854" s="242"/>
    </row>
    <row r="822855" spans="1:1" x14ac:dyDescent="0.25">
      <c r="A822855" s="242"/>
    </row>
    <row r="822856" spans="1:1" x14ac:dyDescent="0.25">
      <c r="A822856" s="242"/>
    </row>
    <row r="822857" spans="1:1" x14ac:dyDescent="0.25">
      <c r="A822857" s="242"/>
    </row>
    <row r="822858" spans="1:1" x14ac:dyDescent="0.25">
      <c r="A822858" s="242"/>
    </row>
    <row r="822859" spans="1:1" x14ac:dyDescent="0.25">
      <c r="A822859" s="242"/>
    </row>
    <row r="822860" spans="1:1" x14ac:dyDescent="0.25">
      <c r="A822860" s="242"/>
    </row>
    <row r="822861" spans="1:1" x14ac:dyDescent="0.25">
      <c r="A822861" s="242"/>
    </row>
    <row r="822862" spans="1:1" x14ac:dyDescent="0.25">
      <c r="A822862" s="242"/>
    </row>
    <row r="822863" spans="1:1" x14ac:dyDescent="0.25">
      <c r="A822863" s="242"/>
    </row>
    <row r="822864" spans="1:1" x14ac:dyDescent="0.25">
      <c r="A822864" s="242"/>
    </row>
    <row r="822865" spans="1:1" x14ac:dyDescent="0.25">
      <c r="A822865" s="242"/>
    </row>
    <row r="822866" spans="1:1" x14ac:dyDescent="0.25">
      <c r="A822866" s="242"/>
    </row>
    <row r="822867" spans="1:1" x14ac:dyDescent="0.25">
      <c r="A822867" s="242"/>
    </row>
    <row r="822868" spans="1:1" x14ac:dyDescent="0.25">
      <c r="A822868" s="242"/>
    </row>
    <row r="822869" spans="1:1" x14ac:dyDescent="0.25">
      <c r="A822869" s="242"/>
    </row>
    <row r="822870" spans="1:1" x14ac:dyDescent="0.25">
      <c r="A822870" s="242"/>
    </row>
    <row r="822871" spans="1:1" x14ac:dyDescent="0.25">
      <c r="A822871" s="242"/>
    </row>
    <row r="822872" spans="1:1" x14ac:dyDescent="0.25">
      <c r="A822872" s="242"/>
    </row>
    <row r="822873" spans="1:1" x14ac:dyDescent="0.25">
      <c r="A822873" s="242"/>
    </row>
    <row r="822874" spans="1:1" x14ac:dyDescent="0.25">
      <c r="A822874" s="242"/>
    </row>
    <row r="822875" spans="1:1" x14ac:dyDescent="0.25">
      <c r="A822875" s="242"/>
    </row>
    <row r="822876" spans="1:1" x14ac:dyDescent="0.25">
      <c r="A822876" s="242"/>
    </row>
    <row r="822877" spans="1:1" x14ac:dyDescent="0.25">
      <c r="A822877" s="242"/>
    </row>
    <row r="822878" spans="1:1" x14ac:dyDescent="0.25">
      <c r="A822878" s="242"/>
    </row>
    <row r="822879" spans="1:1" x14ac:dyDescent="0.25">
      <c r="A822879" s="242"/>
    </row>
    <row r="822880" spans="1:1" x14ac:dyDescent="0.25">
      <c r="A822880" s="242"/>
    </row>
    <row r="822881" spans="1:1" x14ac:dyDescent="0.25">
      <c r="A822881" s="242"/>
    </row>
    <row r="822882" spans="1:1" x14ac:dyDescent="0.25">
      <c r="A822882" s="242"/>
    </row>
    <row r="822883" spans="1:1" x14ac:dyDescent="0.25">
      <c r="A822883" s="242"/>
    </row>
    <row r="822884" spans="1:1" x14ac:dyDescent="0.25">
      <c r="A822884" s="242"/>
    </row>
    <row r="822885" spans="1:1" x14ac:dyDescent="0.25">
      <c r="A822885" s="242"/>
    </row>
    <row r="822886" spans="1:1" x14ac:dyDescent="0.25">
      <c r="A822886" s="242"/>
    </row>
    <row r="822887" spans="1:1" x14ac:dyDescent="0.25">
      <c r="A822887" s="242"/>
    </row>
    <row r="822888" spans="1:1" x14ac:dyDescent="0.25">
      <c r="A822888" s="242"/>
    </row>
    <row r="822889" spans="1:1" x14ac:dyDescent="0.25">
      <c r="A822889" s="242"/>
    </row>
    <row r="822890" spans="1:1" x14ac:dyDescent="0.25">
      <c r="A822890" s="242"/>
    </row>
    <row r="822891" spans="1:1" x14ac:dyDescent="0.25">
      <c r="A822891" s="242"/>
    </row>
    <row r="822892" spans="1:1" x14ac:dyDescent="0.25">
      <c r="A822892" s="242"/>
    </row>
    <row r="822893" spans="1:1" x14ac:dyDescent="0.25">
      <c r="A822893" s="242"/>
    </row>
    <row r="822894" spans="1:1" x14ac:dyDescent="0.25">
      <c r="A822894" s="242"/>
    </row>
    <row r="822895" spans="1:1" x14ac:dyDescent="0.25">
      <c r="A822895" s="242"/>
    </row>
    <row r="822896" spans="1:1" x14ac:dyDescent="0.25">
      <c r="A822896" s="242"/>
    </row>
    <row r="822897" spans="1:1" x14ac:dyDescent="0.25">
      <c r="A822897" s="242"/>
    </row>
    <row r="822898" spans="1:1" x14ac:dyDescent="0.25">
      <c r="A822898" s="242"/>
    </row>
    <row r="822899" spans="1:1" x14ac:dyDescent="0.25">
      <c r="A822899" s="242"/>
    </row>
    <row r="822900" spans="1:1" x14ac:dyDescent="0.25">
      <c r="A822900" s="242"/>
    </row>
    <row r="822901" spans="1:1" x14ac:dyDescent="0.25">
      <c r="A822901" s="242"/>
    </row>
    <row r="822902" spans="1:1" x14ac:dyDescent="0.25">
      <c r="A822902" s="242"/>
    </row>
    <row r="822903" spans="1:1" x14ac:dyDescent="0.25">
      <c r="A822903" s="242"/>
    </row>
    <row r="822904" spans="1:1" x14ac:dyDescent="0.25">
      <c r="A822904" s="242"/>
    </row>
    <row r="822905" spans="1:1" x14ac:dyDescent="0.25">
      <c r="A822905" s="242"/>
    </row>
    <row r="822906" spans="1:1" x14ac:dyDescent="0.25">
      <c r="A822906" s="242"/>
    </row>
    <row r="822907" spans="1:1" x14ac:dyDescent="0.25">
      <c r="A822907" s="242"/>
    </row>
    <row r="822908" spans="1:1" x14ac:dyDescent="0.25">
      <c r="A822908" s="242"/>
    </row>
    <row r="822909" spans="1:1" x14ac:dyDescent="0.25">
      <c r="A822909" s="242"/>
    </row>
    <row r="822910" spans="1:1" x14ac:dyDescent="0.25">
      <c r="A822910" s="242"/>
    </row>
    <row r="822911" spans="1:1" x14ac:dyDescent="0.25">
      <c r="A822911" s="242"/>
    </row>
    <row r="822912" spans="1:1" x14ac:dyDescent="0.25">
      <c r="A822912" s="242"/>
    </row>
    <row r="822913" spans="1:1" x14ac:dyDescent="0.25">
      <c r="A822913" s="242"/>
    </row>
    <row r="822914" spans="1:1" x14ac:dyDescent="0.25">
      <c r="A822914" s="242"/>
    </row>
    <row r="822915" spans="1:1" x14ac:dyDescent="0.25">
      <c r="A822915" s="242"/>
    </row>
    <row r="822916" spans="1:1" x14ac:dyDescent="0.25">
      <c r="A822916" s="242"/>
    </row>
    <row r="822917" spans="1:1" x14ac:dyDescent="0.25">
      <c r="A822917" s="242"/>
    </row>
    <row r="822918" spans="1:1" x14ac:dyDescent="0.25">
      <c r="A822918" s="242"/>
    </row>
    <row r="822919" spans="1:1" x14ac:dyDescent="0.25">
      <c r="A822919" s="242"/>
    </row>
    <row r="822920" spans="1:1" x14ac:dyDescent="0.25">
      <c r="A822920" s="242"/>
    </row>
    <row r="822921" spans="1:1" x14ac:dyDescent="0.25">
      <c r="A822921" s="242"/>
    </row>
    <row r="822922" spans="1:1" x14ac:dyDescent="0.25">
      <c r="A822922" s="242"/>
    </row>
    <row r="822923" spans="1:1" x14ac:dyDescent="0.25">
      <c r="A822923" s="242"/>
    </row>
    <row r="822924" spans="1:1" x14ac:dyDescent="0.25">
      <c r="A822924" s="242"/>
    </row>
    <row r="822925" spans="1:1" x14ac:dyDescent="0.25">
      <c r="A822925" s="242"/>
    </row>
    <row r="822926" spans="1:1" x14ac:dyDescent="0.25">
      <c r="A822926" s="242"/>
    </row>
    <row r="822927" spans="1:1" x14ac:dyDescent="0.25">
      <c r="A822927" s="242"/>
    </row>
    <row r="822928" spans="1:1" x14ac:dyDescent="0.25">
      <c r="A822928" s="242"/>
    </row>
    <row r="822929" spans="1:1" x14ac:dyDescent="0.25">
      <c r="A822929" s="242"/>
    </row>
    <row r="822930" spans="1:1" x14ac:dyDescent="0.25">
      <c r="A822930" s="242"/>
    </row>
    <row r="822931" spans="1:1" x14ac:dyDescent="0.25">
      <c r="A822931" s="242"/>
    </row>
    <row r="822932" spans="1:1" x14ac:dyDescent="0.25">
      <c r="A822932" s="242"/>
    </row>
    <row r="822933" spans="1:1" x14ac:dyDescent="0.25">
      <c r="A822933" s="242"/>
    </row>
    <row r="822934" spans="1:1" x14ac:dyDescent="0.25">
      <c r="A822934" s="242"/>
    </row>
    <row r="822935" spans="1:1" x14ac:dyDescent="0.25">
      <c r="A822935" s="242"/>
    </row>
    <row r="822936" spans="1:1" x14ac:dyDescent="0.25">
      <c r="A822936" s="242"/>
    </row>
    <row r="822937" spans="1:1" x14ac:dyDescent="0.25">
      <c r="A822937" s="242"/>
    </row>
    <row r="822938" spans="1:1" x14ac:dyDescent="0.25">
      <c r="A822938" s="242"/>
    </row>
    <row r="822939" spans="1:1" x14ac:dyDescent="0.25">
      <c r="A822939" s="242"/>
    </row>
    <row r="822940" spans="1:1" x14ac:dyDescent="0.25">
      <c r="A822940" s="242"/>
    </row>
    <row r="822941" spans="1:1" x14ac:dyDescent="0.25">
      <c r="A822941" s="242"/>
    </row>
    <row r="822942" spans="1:1" x14ac:dyDescent="0.25">
      <c r="A822942" s="242"/>
    </row>
    <row r="822943" spans="1:1" x14ac:dyDescent="0.25">
      <c r="A822943" s="242"/>
    </row>
    <row r="822944" spans="1:1" x14ac:dyDescent="0.25">
      <c r="A822944" s="242"/>
    </row>
    <row r="822945" spans="1:1" x14ac:dyDescent="0.25">
      <c r="A822945" s="242"/>
    </row>
    <row r="822946" spans="1:1" x14ac:dyDescent="0.25">
      <c r="A822946" s="242"/>
    </row>
    <row r="822947" spans="1:1" x14ac:dyDescent="0.25">
      <c r="A822947" s="242"/>
    </row>
    <row r="822948" spans="1:1" x14ac:dyDescent="0.25">
      <c r="A822948" s="242"/>
    </row>
    <row r="822949" spans="1:1" x14ac:dyDescent="0.25">
      <c r="A822949" s="242"/>
    </row>
    <row r="822950" spans="1:1" x14ac:dyDescent="0.25">
      <c r="A822950" s="242"/>
    </row>
    <row r="822951" spans="1:1" x14ac:dyDescent="0.25">
      <c r="A822951" s="242"/>
    </row>
    <row r="822952" spans="1:1" x14ac:dyDescent="0.25">
      <c r="A822952" s="242"/>
    </row>
    <row r="822953" spans="1:1" x14ac:dyDescent="0.25">
      <c r="A822953" s="242"/>
    </row>
    <row r="822954" spans="1:1" x14ac:dyDescent="0.25">
      <c r="A822954" s="242"/>
    </row>
    <row r="822955" spans="1:1" x14ac:dyDescent="0.25">
      <c r="A822955" s="242"/>
    </row>
    <row r="822956" spans="1:1" x14ac:dyDescent="0.25">
      <c r="A822956" s="242"/>
    </row>
    <row r="822957" spans="1:1" x14ac:dyDescent="0.25">
      <c r="A822957" s="242"/>
    </row>
    <row r="822958" spans="1:1" x14ac:dyDescent="0.25">
      <c r="A822958" s="242"/>
    </row>
    <row r="822959" spans="1:1" x14ac:dyDescent="0.25">
      <c r="A822959" s="242"/>
    </row>
    <row r="822960" spans="1:1" x14ac:dyDescent="0.25">
      <c r="A822960" s="242"/>
    </row>
    <row r="822961" spans="1:1" x14ac:dyDescent="0.25">
      <c r="A822961" s="242"/>
    </row>
    <row r="822962" spans="1:1" x14ac:dyDescent="0.25">
      <c r="A822962" s="242"/>
    </row>
    <row r="822963" spans="1:1" x14ac:dyDescent="0.25">
      <c r="A822963" s="242"/>
    </row>
    <row r="822964" spans="1:1" x14ac:dyDescent="0.25">
      <c r="A822964" s="242"/>
    </row>
    <row r="822965" spans="1:1" x14ac:dyDescent="0.25">
      <c r="A822965" s="242"/>
    </row>
    <row r="822966" spans="1:1" x14ac:dyDescent="0.25">
      <c r="A822966" s="242"/>
    </row>
    <row r="822967" spans="1:1" x14ac:dyDescent="0.25">
      <c r="A822967" s="242"/>
    </row>
    <row r="822968" spans="1:1" x14ac:dyDescent="0.25">
      <c r="A822968" s="242"/>
    </row>
    <row r="822969" spans="1:1" x14ac:dyDescent="0.25">
      <c r="A822969" s="242"/>
    </row>
    <row r="822970" spans="1:1" x14ac:dyDescent="0.25">
      <c r="A822970" s="242"/>
    </row>
    <row r="822971" spans="1:1" x14ac:dyDescent="0.25">
      <c r="A822971" s="242"/>
    </row>
    <row r="822972" spans="1:1" x14ac:dyDescent="0.25">
      <c r="A822972" s="242"/>
    </row>
    <row r="822973" spans="1:1" x14ac:dyDescent="0.25">
      <c r="A822973" s="242"/>
    </row>
    <row r="822974" spans="1:1" x14ac:dyDescent="0.25">
      <c r="A822974" s="242"/>
    </row>
    <row r="822975" spans="1:1" x14ac:dyDescent="0.25">
      <c r="A822975" s="242"/>
    </row>
    <row r="822976" spans="1:1" x14ac:dyDescent="0.25">
      <c r="A822976" s="242"/>
    </row>
    <row r="822977" spans="1:1" x14ac:dyDescent="0.25">
      <c r="A822977" s="242"/>
    </row>
    <row r="822978" spans="1:1" x14ac:dyDescent="0.25">
      <c r="A822978" s="242"/>
    </row>
    <row r="822979" spans="1:1" x14ac:dyDescent="0.25">
      <c r="A822979" s="242"/>
    </row>
    <row r="822980" spans="1:1" x14ac:dyDescent="0.25">
      <c r="A822980" s="242"/>
    </row>
    <row r="822981" spans="1:1" x14ac:dyDescent="0.25">
      <c r="A822981" s="242"/>
    </row>
    <row r="822982" spans="1:1" x14ac:dyDescent="0.25">
      <c r="A822982" s="242"/>
    </row>
    <row r="822983" spans="1:1" x14ac:dyDescent="0.25">
      <c r="A822983" s="242"/>
    </row>
    <row r="822984" spans="1:1" x14ac:dyDescent="0.25">
      <c r="A822984" s="242"/>
    </row>
    <row r="822985" spans="1:1" x14ac:dyDescent="0.25">
      <c r="A822985" s="242"/>
    </row>
    <row r="822986" spans="1:1" x14ac:dyDescent="0.25">
      <c r="A822986" s="242"/>
    </row>
    <row r="822987" spans="1:1" x14ac:dyDescent="0.25">
      <c r="A822987" s="242"/>
    </row>
    <row r="822988" spans="1:1" x14ac:dyDescent="0.25">
      <c r="A822988" s="242"/>
    </row>
    <row r="822989" spans="1:1" x14ac:dyDescent="0.25">
      <c r="A822989" s="242"/>
    </row>
    <row r="822990" spans="1:1" x14ac:dyDescent="0.25">
      <c r="A822990" s="242"/>
    </row>
    <row r="822991" spans="1:1" x14ac:dyDescent="0.25">
      <c r="A822991" s="242"/>
    </row>
    <row r="822992" spans="1:1" x14ac:dyDescent="0.25">
      <c r="A822992" s="242"/>
    </row>
    <row r="822993" spans="1:1" x14ac:dyDescent="0.25">
      <c r="A822993" s="242"/>
    </row>
    <row r="822994" spans="1:1" x14ac:dyDescent="0.25">
      <c r="A822994" s="242"/>
    </row>
    <row r="822995" spans="1:1" x14ac:dyDescent="0.25">
      <c r="A822995" s="242"/>
    </row>
    <row r="822996" spans="1:1" x14ac:dyDescent="0.25">
      <c r="A822996" s="242"/>
    </row>
    <row r="822997" spans="1:1" x14ac:dyDescent="0.25">
      <c r="A822997" s="242"/>
    </row>
    <row r="822998" spans="1:1" x14ac:dyDescent="0.25">
      <c r="A822998" s="242"/>
    </row>
    <row r="822999" spans="1:1" x14ac:dyDescent="0.25">
      <c r="A822999" s="242"/>
    </row>
    <row r="823000" spans="1:1" x14ac:dyDescent="0.25">
      <c r="A823000" s="242"/>
    </row>
    <row r="823001" spans="1:1" x14ac:dyDescent="0.25">
      <c r="A823001" s="242"/>
    </row>
    <row r="823002" spans="1:1" x14ac:dyDescent="0.25">
      <c r="A823002" s="242"/>
    </row>
    <row r="823003" spans="1:1" x14ac:dyDescent="0.25">
      <c r="A823003" s="242"/>
    </row>
    <row r="823004" spans="1:1" x14ac:dyDescent="0.25">
      <c r="A823004" s="242"/>
    </row>
    <row r="823005" spans="1:1" x14ac:dyDescent="0.25">
      <c r="A823005" s="242"/>
    </row>
    <row r="823006" spans="1:1" x14ac:dyDescent="0.25">
      <c r="A823006" s="242"/>
    </row>
    <row r="823007" spans="1:1" x14ac:dyDescent="0.25">
      <c r="A823007" s="242"/>
    </row>
    <row r="823008" spans="1:1" x14ac:dyDescent="0.25">
      <c r="A823008" s="242"/>
    </row>
    <row r="823009" spans="1:1" x14ac:dyDescent="0.25">
      <c r="A823009" s="242"/>
    </row>
    <row r="823010" spans="1:1" x14ac:dyDescent="0.25">
      <c r="A823010" s="242"/>
    </row>
    <row r="823011" spans="1:1" x14ac:dyDescent="0.25">
      <c r="A823011" s="242"/>
    </row>
    <row r="823012" spans="1:1" x14ac:dyDescent="0.25">
      <c r="A823012" s="242"/>
    </row>
    <row r="823013" spans="1:1" x14ac:dyDescent="0.25">
      <c r="A823013" s="242"/>
    </row>
    <row r="823014" spans="1:1" x14ac:dyDescent="0.25">
      <c r="A823014" s="242"/>
    </row>
    <row r="823015" spans="1:1" x14ac:dyDescent="0.25">
      <c r="A823015" s="242"/>
    </row>
    <row r="823016" spans="1:1" x14ac:dyDescent="0.25">
      <c r="A823016" s="242"/>
    </row>
    <row r="823017" spans="1:1" x14ac:dyDescent="0.25">
      <c r="A823017" s="242"/>
    </row>
    <row r="823018" spans="1:1" x14ac:dyDescent="0.25">
      <c r="A823018" s="242"/>
    </row>
    <row r="823019" spans="1:1" x14ac:dyDescent="0.25">
      <c r="A823019" s="242"/>
    </row>
    <row r="823020" spans="1:1" x14ac:dyDescent="0.25">
      <c r="A823020" s="242"/>
    </row>
    <row r="823021" spans="1:1" x14ac:dyDescent="0.25">
      <c r="A823021" s="242"/>
    </row>
    <row r="823022" spans="1:1" x14ac:dyDescent="0.25">
      <c r="A823022" s="242"/>
    </row>
    <row r="823023" spans="1:1" x14ac:dyDescent="0.25">
      <c r="A823023" s="242"/>
    </row>
    <row r="823024" spans="1:1" x14ac:dyDescent="0.25">
      <c r="A823024" s="242"/>
    </row>
    <row r="823025" spans="1:1" x14ac:dyDescent="0.25">
      <c r="A823025" s="242"/>
    </row>
    <row r="823026" spans="1:1" x14ac:dyDescent="0.25">
      <c r="A823026" s="242"/>
    </row>
    <row r="823027" spans="1:1" x14ac:dyDescent="0.25">
      <c r="A823027" s="242"/>
    </row>
    <row r="823028" spans="1:1" x14ac:dyDescent="0.25">
      <c r="A823028" s="242"/>
    </row>
    <row r="823029" spans="1:1" x14ac:dyDescent="0.25">
      <c r="A823029" s="242"/>
    </row>
    <row r="823030" spans="1:1" x14ac:dyDescent="0.25">
      <c r="A823030" s="242"/>
    </row>
    <row r="823031" spans="1:1" x14ac:dyDescent="0.25">
      <c r="A823031" s="242"/>
    </row>
    <row r="823032" spans="1:1" x14ac:dyDescent="0.25">
      <c r="A823032" s="242"/>
    </row>
    <row r="823033" spans="1:1" x14ac:dyDescent="0.25">
      <c r="A823033" s="242"/>
    </row>
    <row r="823034" spans="1:1" x14ac:dyDescent="0.25">
      <c r="A823034" s="242"/>
    </row>
    <row r="823035" spans="1:1" x14ac:dyDescent="0.25">
      <c r="A823035" s="242"/>
    </row>
    <row r="823036" spans="1:1" x14ac:dyDescent="0.25">
      <c r="A823036" s="242"/>
    </row>
    <row r="823037" spans="1:1" x14ac:dyDescent="0.25">
      <c r="A823037" s="242"/>
    </row>
    <row r="823038" spans="1:1" x14ac:dyDescent="0.25">
      <c r="A823038" s="242"/>
    </row>
    <row r="823039" spans="1:1" x14ac:dyDescent="0.25">
      <c r="A823039" s="242"/>
    </row>
    <row r="823040" spans="1:1" x14ac:dyDescent="0.25">
      <c r="A823040" s="242"/>
    </row>
    <row r="823041" spans="1:1" x14ac:dyDescent="0.25">
      <c r="A823041" s="242"/>
    </row>
    <row r="823042" spans="1:1" x14ac:dyDescent="0.25">
      <c r="A823042" s="242"/>
    </row>
    <row r="823043" spans="1:1" x14ac:dyDescent="0.25">
      <c r="A823043" s="242"/>
    </row>
    <row r="823044" spans="1:1" x14ac:dyDescent="0.25">
      <c r="A823044" s="242"/>
    </row>
    <row r="823045" spans="1:1" x14ac:dyDescent="0.25">
      <c r="A823045" s="242"/>
    </row>
    <row r="823046" spans="1:1" x14ac:dyDescent="0.25">
      <c r="A823046" s="242"/>
    </row>
    <row r="823047" spans="1:1" x14ac:dyDescent="0.25">
      <c r="A823047" s="242"/>
    </row>
    <row r="823048" spans="1:1" x14ac:dyDescent="0.25">
      <c r="A823048" s="242"/>
    </row>
    <row r="823049" spans="1:1" x14ac:dyDescent="0.25">
      <c r="A823049" s="242"/>
    </row>
    <row r="823050" spans="1:1" x14ac:dyDescent="0.25">
      <c r="A823050" s="242"/>
    </row>
    <row r="823051" spans="1:1" x14ac:dyDescent="0.25">
      <c r="A823051" s="242"/>
    </row>
    <row r="823052" spans="1:1" x14ac:dyDescent="0.25">
      <c r="A823052" s="242"/>
    </row>
    <row r="823053" spans="1:1" x14ac:dyDescent="0.25">
      <c r="A823053" s="242"/>
    </row>
    <row r="823054" spans="1:1" x14ac:dyDescent="0.25">
      <c r="A823054" s="242"/>
    </row>
    <row r="823055" spans="1:1" x14ac:dyDescent="0.25">
      <c r="A823055" s="242"/>
    </row>
    <row r="823056" spans="1:1" x14ac:dyDescent="0.25">
      <c r="A823056" s="242"/>
    </row>
    <row r="823057" spans="1:1" x14ac:dyDescent="0.25">
      <c r="A823057" s="242"/>
    </row>
    <row r="823058" spans="1:1" x14ac:dyDescent="0.25">
      <c r="A823058" s="242"/>
    </row>
    <row r="823059" spans="1:1" x14ac:dyDescent="0.25">
      <c r="A823059" s="242"/>
    </row>
    <row r="823060" spans="1:1" x14ac:dyDescent="0.25">
      <c r="A823060" s="242"/>
    </row>
    <row r="823061" spans="1:1" x14ac:dyDescent="0.25">
      <c r="A823061" s="242"/>
    </row>
    <row r="823062" spans="1:1" x14ac:dyDescent="0.25">
      <c r="A823062" s="242"/>
    </row>
    <row r="823063" spans="1:1" x14ac:dyDescent="0.25">
      <c r="A823063" s="242"/>
    </row>
    <row r="823064" spans="1:1" x14ac:dyDescent="0.25">
      <c r="A823064" s="242"/>
    </row>
    <row r="823065" spans="1:1" x14ac:dyDescent="0.25">
      <c r="A823065" s="242"/>
    </row>
    <row r="823066" spans="1:1" x14ac:dyDescent="0.25">
      <c r="A823066" s="242"/>
    </row>
    <row r="823067" spans="1:1" x14ac:dyDescent="0.25">
      <c r="A823067" s="242"/>
    </row>
    <row r="823068" spans="1:1" x14ac:dyDescent="0.25">
      <c r="A823068" s="242"/>
    </row>
    <row r="823069" spans="1:1" x14ac:dyDescent="0.25">
      <c r="A823069" s="242"/>
    </row>
    <row r="823070" spans="1:1" x14ac:dyDescent="0.25">
      <c r="A823070" s="242"/>
    </row>
    <row r="823071" spans="1:1" x14ac:dyDescent="0.25">
      <c r="A823071" s="242"/>
    </row>
    <row r="823072" spans="1:1" x14ac:dyDescent="0.25">
      <c r="A823072" s="242"/>
    </row>
    <row r="823073" spans="1:1" x14ac:dyDescent="0.25">
      <c r="A823073" s="242"/>
    </row>
    <row r="823074" spans="1:1" x14ac:dyDescent="0.25">
      <c r="A823074" s="242"/>
    </row>
    <row r="823075" spans="1:1" x14ac:dyDescent="0.25">
      <c r="A823075" s="242"/>
    </row>
    <row r="823076" spans="1:1" x14ac:dyDescent="0.25">
      <c r="A823076" s="242"/>
    </row>
    <row r="823077" spans="1:1" x14ac:dyDescent="0.25">
      <c r="A823077" s="242"/>
    </row>
    <row r="823078" spans="1:1" x14ac:dyDescent="0.25">
      <c r="A823078" s="242"/>
    </row>
    <row r="823079" spans="1:1" x14ac:dyDescent="0.25">
      <c r="A823079" s="242"/>
    </row>
    <row r="823080" spans="1:1" x14ac:dyDescent="0.25">
      <c r="A823080" s="242"/>
    </row>
    <row r="823081" spans="1:1" x14ac:dyDescent="0.25">
      <c r="A823081" s="242"/>
    </row>
    <row r="823082" spans="1:1" x14ac:dyDescent="0.25">
      <c r="A823082" s="242"/>
    </row>
    <row r="823083" spans="1:1" x14ac:dyDescent="0.25">
      <c r="A823083" s="242"/>
    </row>
    <row r="823084" spans="1:1" x14ac:dyDescent="0.25">
      <c r="A823084" s="242"/>
    </row>
    <row r="823085" spans="1:1" x14ac:dyDescent="0.25">
      <c r="A823085" s="242"/>
    </row>
    <row r="823086" spans="1:1" x14ac:dyDescent="0.25">
      <c r="A823086" s="242"/>
    </row>
    <row r="823087" spans="1:1" x14ac:dyDescent="0.25">
      <c r="A823087" s="242"/>
    </row>
    <row r="823088" spans="1:1" x14ac:dyDescent="0.25">
      <c r="A823088" s="242"/>
    </row>
    <row r="823089" spans="1:1" x14ac:dyDescent="0.25">
      <c r="A823089" s="242"/>
    </row>
    <row r="823090" spans="1:1" x14ac:dyDescent="0.25">
      <c r="A823090" s="242"/>
    </row>
    <row r="823091" spans="1:1" x14ac:dyDescent="0.25">
      <c r="A823091" s="242"/>
    </row>
    <row r="823092" spans="1:1" x14ac:dyDescent="0.25">
      <c r="A823092" s="242"/>
    </row>
    <row r="823093" spans="1:1" x14ac:dyDescent="0.25">
      <c r="A823093" s="242"/>
    </row>
    <row r="823094" spans="1:1" x14ac:dyDescent="0.25">
      <c r="A823094" s="242"/>
    </row>
    <row r="823095" spans="1:1" x14ac:dyDescent="0.25">
      <c r="A823095" s="242"/>
    </row>
    <row r="823096" spans="1:1" x14ac:dyDescent="0.25">
      <c r="A823096" s="242"/>
    </row>
    <row r="823097" spans="1:1" x14ac:dyDescent="0.25">
      <c r="A823097" s="242"/>
    </row>
    <row r="823098" spans="1:1" x14ac:dyDescent="0.25">
      <c r="A823098" s="242"/>
    </row>
    <row r="823099" spans="1:1" x14ac:dyDescent="0.25">
      <c r="A823099" s="242"/>
    </row>
    <row r="823100" spans="1:1" x14ac:dyDescent="0.25">
      <c r="A823100" s="242"/>
    </row>
    <row r="823101" spans="1:1" x14ac:dyDescent="0.25">
      <c r="A823101" s="242"/>
    </row>
    <row r="823102" spans="1:1" x14ac:dyDescent="0.25">
      <c r="A823102" s="242"/>
    </row>
    <row r="823103" spans="1:1" x14ac:dyDescent="0.25">
      <c r="A823103" s="242"/>
    </row>
    <row r="823104" spans="1:1" x14ac:dyDescent="0.25">
      <c r="A823104" s="242"/>
    </row>
    <row r="823105" spans="1:1" x14ac:dyDescent="0.25">
      <c r="A823105" s="242"/>
    </row>
    <row r="823106" spans="1:1" x14ac:dyDescent="0.25">
      <c r="A823106" s="242"/>
    </row>
    <row r="823107" spans="1:1" x14ac:dyDescent="0.25">
      <c r="A823107" s="242"/>
    </row>
    <row r="823108" spans="1:1" x14ac:dyDescent="0.25">
      <c r="A823108" s="242"/>
    </row>
    <row r="823109" spans="1:1" x14ac:dyDescent="0.25">
      <c r="A823109" s="242"/>
    </row>
    <row r="823110" spans="1:1" x14ac:dyDescent="0.25">
      <c r="A823110" s="242"/>
    </row>
    <row r="823111" spans="1:1" x14ac:dyDescent="0.25">
      <c r="A823111" s="242"/>
    </row>
    <row r="823112" spans="1:1" x14ac:dyDescent="0.25">
      <c r="A823112" s="242"/>
    </row>
    <row r="823113" spans="1:1" x14ac:dyDescent="0.25">
      <c r="A823113" s="242"/>
    </row>
    <row r="823114" spans="1:1" x14ac:dyDescent="0.25">
      <c r="A823114" s="242"/>
    </row>
    <row r="823115" spans="1:1" x14ac:dyDescent="0.25">
      <c r="A823115" s="242"/>
    </row>
    <row r="823116" spans="1:1" x14ac:dyDescent="0.25">
      <c r="A823116" s="242"/>
    </row>
    <row r="823117" spans="1:1" x14ac:dyDescent="0.25">
      <c r="A823117" s="242"/>
    </row>
    <row r="823118" spans="1:1" x14ac:dyDescent="0.25">
      <c r="A823118" s="242"/>
    </row>
    <row r="823119" spans="1:1" x14ac:dyDescent="0.25">
      <c r="A823119" s="242"/>
    </row>
    <row r="823120" spans="1:1" x14ac:dyDescent="0.25">
      <c r="A823120" s="242"/>
    </row>
    <row r="823121" spans="1:1" x14ac:dyDescent="0.25">
      <c r="A823121" s="242"/>
    </row>
    <row r="823122" spans="1:1" x14ac:dyDescent="0.25">
      <c r="A823122" s="242"/>
    </row>
    <row r="823123" spans="1:1" x14ac:dyDescent="0.25">
      <c r="A823123" s="242"/>
    </row>
    <row r="823124" spans="1:1" x14ac:dyDescent="0.25">
      <c r="A823124" s="242"/>
    </row>
    <row r="823125" spans="1:1" x14ac:dyDescent="0.25">
      <c r="A823125" s="242"/>
    </row>
    <row r="823126" spans="1:1" x14ac:dyDescent="0.25">
      <c r="A823126" s="242"/>
    </row>
    <row r="823127" spans="1:1" x14ac:dyDescent="0.25">
      <c r="A823127" s="242"/>
    </row>
    <row r="823128" spans="1:1" x14ac:dyDescent="0.25">
      <c r="A823128" s="242"/>
    </row>
    <row r="823129" spans="1:1" x14ac:dyDescent="0.25">
      <c r="A823129" s="242"/>
    </row>
    <row r="823130" spans="1:1" x14ac:dyDescent="0.25">
      <c r="A823130" s="242"/>
    </row>
    <row r="823131" spans="1:1" x14ac:dyDescent="0.25">
      <c r="A823131" s="242"/>
    </row>
    <row r="823132" spans="1:1" x14ac:dyDescent="0.25">
      <c r="A823132" s="242"/>
    </row>
    <row r="823133" spans="1:1" x14ac:dyDescent="0.25">
      <c r="A823133" s="242"/>
    </row>
    <row r="823134" spans="1:1" x14ac:dyDescent="0.25">
      <c r="A823134" s="242"/>
    </row>
    <row r="823135" spans="1:1" x14ac:dyDescent="0.25">
      <c r="A823135" s="242"/>
    </row>
    <row r="823136" spans="1:1" x14ac:dyDescent="0.25">
      <c r="A823136" s="242"/>
    </row>
    <row r="823137" spans="1:1" x14ac:dyDescent="0.25">
      <c r="A823137" s="242"/>
    </row>
    <row r="823138" spans="1:1" x14ac:dyDescent="0.25">
      <c r="A823138" s="242"/>
    </row>
    <row r="823139" spans="1:1" x14ac:dyDescent="0.25">
      <c r="A823139" s="242"/>
    </row>
    <row r="823140" spans="1:1" x14ac:dyDescent="0.25">
      <c r="A823140" s="242"/>
    </row>
    <row r="823141" spans="1:1" x14ac:dyDescent="0.25">
      <c r="A823141" s="242"/>
    </row>
    <row r="823142" spans="1:1" x14ac:dyDescent="0.25">
      <c r="A823142" s="242"/>
    </row>
    <row r="823143" spans="1:1" x14ac:dyDescent="0.25">
      <c r="A823143" s="242"/>
    </row>
    <row r="823144" spans="1:1" x14ac:dyDescent="0.25">
      <c r="A823144" s="242"/>
    </row>
    <row r="823145" spans="1:1" x14ac:dyDescent="0.25">
      <c r="A823145" s="242"/>
    </row>
    <row r="823146" spans="1:1" x14ac:dyDescent="0.25">
      <c r="A823146" s="242"/>
    </row>
    <row r="823147" spans="1:1" x14ac:dyDescent="0.25">
      <c r="A823147" s="242"/>
    </row>
    <row r="823148" spans="1:1" x14ac:dyDescent="0.25">
      <c r="A823148" s="242"/>
    </row>
    <row r="823149" spans="1:1" x14ac:dyDescent="0.25">
      <c r="A823149" s="242"/>
    </row>
    <row r="823150" spans="1:1" x14ac:dyDescent="0.25">
      <c r="A823150" s="242"/>
    </row>
    <row r="823151" spans="1:1" x14ac:dyDescent="0.25">
      <c r="A823151" s="242"/>
    </row>
    <row r="823152" spans="1:1" x14ac:dyDescent="0.25">
      <c r="A823152" s="242"/>
    </row>
    <row r="823153" spans="1:1" x14ac:dyDescent="0.25">
      <c r="A823153" s="242"/>
    </row>
    <row r="823154" spans="1:1" x14ac:dyDescent="0.25">
      <c r="A823154" s="242"/>
    </row>
    <row r="823155" spans="1:1" x14ac:dyDescent="0.25">
      <c r="A823155" s="242"/>
    </row>
    <row r="823156" spans="1:1" x14ac:dyDescent="0.25">
      <c r="A823156" s="242"/>
    </row>
    <row r="823157" spans="1:1" x14ac:dyDescent="0.25">
      <c r="A823157" s="242"/>
    </row>
    <row r="823158" spans="1:1" x14ac:dyDescent="0.25">
      <c r="A823158" s="242"/>
    </row>
    <row r="823159" spans="1:1" x14ac:dyDescent="0.25">
      <c r="A823159" s="242"/>
    </row>
    <row r="823160" spans="1:1" x14ac:dyDescent="0.25">
      <c r="A823160" s="242"/>
    </row>
    <row r="823161" spans="1:1" x14ac:dyDescent="0.25">
      <c r="A823161" s="242"/>
    </row>
    <row r="823162" spans="1:1" x14ac:dyDescent="0.25">
      <c r="A823162" s="242"/>
    </row>
    <row r="823163" spans="1:1" x14ac:dyDescent="0.25">
      <c r="A823163" s="242"/>
    </row>
    <row r="823164" spans="1:1" x14ac:dyDescent="0.25">
      <c r="A823164" s="242"/>
    </row>
    <row r="823165" spans="1:1" x14ac:dyDescent="0.25">
      <c r="A823165" s="242"/>
    </row>
    <row r="823166" spans="1:1" x14ac:dyDescent="0.25">
      <c r="A823166" s="242"/>
    </row>
    <row r="823167" spans="1:1" x14ac:dyDescent="0.25">
      <c r="A823167" s="242"/>
    </row>
    <row r="823168" spans="1:1" x14ac:dyDescent="0.25">
      <c r="A823168" s="242"/>
    </row>
    <row r="823169" spans="1:1" x14ac:dyDescent="0.25">
      <c r="A823169" s="242"/>
    </row>
    <row r="823170" spans="1:1" x14ac:dyDescent="0.25">
      <c r="A823170" s="242"/>
    </row>
    <row r="823171" spans="1:1" x14ac:dyDescent="0.25">
      <c r="A823171" s="242"/>
    </row>
    <row r="823172" spans="1:1" x14ac:dyDescent="0.25">
      <c r="A823172" s="242"/>
    </row>
    <row r="823173" spans="1:1" x14ac:dyDescent="0.25">
      <c r="A823173" s="242"/>
    </row>
    <row r="823174" spans="1:1" x14ac:dyDescent="0.25">
      <c r="A823174" s="242"/>
    </row>
    <row r="823175" spans="1:1" x14ac:dyDescent="0.25">
      <c r="A823175" s="242"/>
    </row>
    <row r="823176" spans="1:1" x14ac:dyDescent="0.25">
      <c r="A823176" s="242"/>
    </row>
    <row r="823177" spans="1:1" x14ac:dyDescent="0.25">
      <c r="A823177" s="242"/>
    </row>
    <row r="823178" spans="1:1" x14ac:dyDescent="0.25">
      <c r="A823178" s="242"/>
    </row>
    <row r="823179" spans="1:1" x14ac:dyDescent="0.25">
      <c r="A823179" s="242"/>
    </row>
    <row r="823180" spans="1:1" x14ac:dyDescent="0.25">
      <c r="A823180" s="242"/>
    </row>
    <row r="823181" spans="1:1" x14ac:dyDescent="0.25">
      <c r="A823181" s="242"/>
    </row>
    <row r="823182" spans="1:1" x14ac:dyDescent="0.25">
      <c r="A823182" s="242"/>
    </row>
    <row r="823183" spans="1:1" x14ac:dyDescent="0.25">
      <c r="A823183" s="242"/>
    </row>
    <row r="823184" spans="1:1" x14ac:dyDescent="0.25">
      <c r="A823184" s="242"/>
    </row>
    <row r="823185" spans="1:1" x14ac:dyDescent="0.25">
      <c r="A823185" s="242"/>
    </row>
    <row r="823186" spans="1:1" x14ac:dyDescent="0.25">
      <c r="A823186" s="242"/>
    </row>
    <row r="823187" spans="1:1" x14ac:dyDescent="0.25">
      <c r="A823187" s="242"/>
    </row>
    <row r="823188" spans="1:1" x14ac:dyDescent="0.25">
      <c r="A823188" s="242"/>
    </row>
    <row r="823189" spans="1:1" x14ac:dyDescent="0.25">
      <c r="A823189" s="242"/>
    </row>
    <row r="823190" spans="1:1" x14ac:dyDescent="0.25">
      <c r="A823190" s="242"/>
    </row>
    <row r="823191" spans="1:1" x14ac:dyDescent="0.25">
      <c r="A823191" s="242"/>
    </row>
    <row r="823192" spans="1:1" x14ac:dyDescent="0.25">
      <c r="A823192" s="242"/>
    </row>
    <row r="823193" spans="1:1" x14ac:dyDescent="0.25">
      <c r="A823193" s="242"/>
    </row>
    <row r="823194" spans="1:1" x14ac:dyDescent="0.25">
      <c r="A823194" s="242"/>
    </row>
    <row r="823195" spans="1:1" x14ac:dyDescent="0.25">
      <c r="A823195" s="242"/>
    </row>
    <row r="823196" spans="1:1" x14ac:dyDescent="0.25">
      <c r="A823196" s="242"/>
    </row>
    <row r="823197" spans="1:1" x14ac:dyDescent="0.25">
      <c r="A823197" s="242"/>
    </row>
    <row r="823198" spans="1:1" x14ac:dyDescent="0.25">
      <c r="A823198" s="242"/>
    </row>
    <row r="823199" spans="1:1" x14ac:dyDescent="0.25">
      <c r="A823199" s="242"/>
    </row>
    <row r="823200" spans="1:1" x14ac:dyDescent="0.25">
      <c r="A823200" s="242"/>
    </row>
    <row r="823201" spans="1:1" x14ac:dyDescent="0.25">
      <c r="A823201" s="242"/>
    </row>
    <row r="823202" spans="1:1" x14ac:dyDescent="0.25">
      <c r="A823202" s="242"/>
    </row>
    <row r="823203" spans="1:1" x14ac:dyDescent="0.25">
      <c r="A823203" s="242"/>
    </row>
    <row r="823204" spans="1:1" x14ac:dyDescent="0.25">
      <c r="A823204" s="242"/>
    </row>
    <row r="823205" spans="1:1" x14ac:dyDescent="0.25">
      <c r="A823205" s="242"/>
    </row>
    <row r="823206" spans="1:1" x14ac:dyDescent="0.25">
      <c r="A823206" s="242"/>
    </row>
    <row r="823207" spans="1:1" x14ac:dyDescent="0.25">
      <c r="A823207" s="242"/>
    </row>
    <row r="823208" spans="1:1" x14ac:dyDescent="0.25">
      <c r="A823208" s="242"/>
    </row>
    <row r="823209" spans="1:1" x14ac:dyDescent="0.25">
      <c r="A823209" s="242"/>
    </row>
    <row r="823210" spans="1:1" x14ac:dyDescent="0.25">
      <c r="A823210" s="242"/>
    </row>
    <row r="823211" spans="1:1" x14ac:dyDescent="0.25">
      <c r="A823211" s="242"/>
    </row>
    <row r="823212" spans="1:1" x14ac:dyDescent="0.25">
      <c r="A823212" s="242"/>
    </row>
    <row r="823213" spans="1:1" x14ac:dyDescent="0.25">
      <c r="A823213" s="242"/>
    </row>
    <row r="823214" spans="1:1" x14ac:dyDescent="0.25">
      <c r="A823214" s="242"/>
    </row>
    <row r="823215" spans="1:1" x14ac:dyDescent="0.25">
      <c r="A823215" s="242"/>
    </row>
    <row r="823216" spans="1:1" x14ac:dyDescent="0.25">
      <c r="A823216" s="242"/>
    </row>
    <row r="823217" spans="1:1" x14ac:dyDescent="0.25">
      <c r="A823217" s="242"/>
    </row>
    <row r="823218" spans="1:1" x14ac:dyDescent="0.25">
      <c r="A823218" s="242"/>
    </row>
    <row r="823219" spans="1:1" x14ac:dyDescent="0.25">
      <c r="A823219" s="242"/>
    </row>
    <row r="823220" spans="1:1" x14ac:dyDescent="0.25">
      <c r="A823220" s="242"/>
    </row>
    <row r="823221" spans="1:1" x14ac:dyDescent="0.25">
      <c r="A823221" s="242"/>
    </row>
    <row r="823222" spans="1:1" x14ac:dyDescent="0.25">
      <c r="A823222" s="242"/>
    </row>
    <row r="823223" spans="1:1" x14ac:dyDescent="0.25">
      <c r="A823223" s="242"/>
    </row>
    <row r="823224" spans="1:1" x14ac:dyDescent="0.25">
      <c r="A823224" s="242"/>
    </row>
    <row r="823225" spans="1:1" x14ac:dyDescent="0.25">
      <c r="A823225" s="242"/>
    </row>
    <row r="823226" spans="1:1" x14ac:dyDescent="0.25">
      <c r="A823226" s="242"/>
    </row>
    <row r="823227" spans="1:1" x14ac:dyDescent="0.25">
      <c r="A823227" s="242"/>
    </row>
    <row r="823228" spans="1:1" x14ac:dyDescent="0.25">
      <c r="A823228" s="242"/>
    </row>
    <row r="823229" spans="1:1" x14ac:dyDescent="0.25">
      <c r="A823229" s="242"/>
    </row>
    <row r="823230" spans="1:1" x14ac:dyDescent="0.25">
      <c r="A823230" s="242"/>
    </row>
    <row r="823231" spans="1:1" x14ac:dyDescent="0.25">
      <c r="A823231" s="242"/>
    </row>
    <row r="823232" spans="1:1" x14ac:dyDescent="0.25">
      <c r="A823232" s="242"/>
    </row>
    <row r="823233" spans="1:1" x14ac:dyDescent="0.25">
      <c r="A823233" s="242"/>
    </row>
    <row r="823234" spans="1:1" x14ac:dyDescent="0.25">
      <c r="A823234" s="242"/>
    </row>
    <row r="823235" spans="1:1" x14ac:dyDescent="0.25">
      <c r="A823235" s="242"/>
    </row>
    <row r="823236" spans="1:1" x14ac:dyDescent="0.25">
      <c r="A823236" s="242"/>
    </row>
    <row r="823237" spans="1:1" x14ac:dyDescent="0.25">
      <c r="A823237" s="242"/>
    </row>
    <row r="823238" spans="1:1" x14ac:dyDescent="0.25">
      <c r="A823238" s="242"/>
    </row>
    <row r="823239" spans="1:1" x14ac:dyDescent="0.25">
      <c r="A823239" s="242"/>
    </row>
    <row r="823240" spans="1:1" x14ac:dyDescent="0.25">
      <c r="A823240" s="242"/>
    </row>
    <row r="823241" spans="1:1" x14ac:dyDescent="0.25">
      <c r="A823241" s="242"/>
    </row>
    <row r="823242" spans="1:1" x14ac:dyDescent="0.25">
      <c r="A823242" s="242"/>
    </row>
    <row r="823243" spans="1:1" x14ac:dyDescent="0.25">
      <c r="A823243" s="242"/>
    </row>
    <row r="823244" spans="1:1" x14ac:dyDescent="0.25">
      <c r="A823244" s="242"/>
    </row>
    <row r="823245" spans="1:1" x14ac:dyDescent="0.25">
      <c r="A823245" s="242"/>
    </row>
    <row r="823246" spans="1:1" x14ac:dyDescent="0.25">
      <c r="A823246" s="242"/>
    </row>
    <row r="823247" spans="1:1" x14ac:dyDescent="0.25">
      <c r="A823247" s="242"/>
    </row>
    <row r="823248" spans="1:1" x14ac:dyDescent="0.25">
      <c r="A823248" s="242"/>
    </row>
    <row r="823249" spans="1:1" x14ac:dyDescent="0.25">
      <c r="A823249" s="242"/>
    </row>
    <row r="823250" spans="1:1" x14ac:dyDescent="0.25">
      <c r="A823250" s="242"/>
    </row>
    <row r="823251" spans="1:1" x14ac:dyDescent="0.25">
      <c r="A823251" s="242"/>
    </row>
    <row r="823252" spans="1:1" x14ac:dyDescent="0.25">
      <c r="A823252" s="242"/>
    </row>
    <row r="823253" spans="1:1" x14ac:dyDescent="0.25">
      <c r="A823253" s="242"/>
    </row>
    <row r="823254" spans="1:1" x14ac:dyDescent="0.25">
      <c r="A823254" s="242"/>
    </row>
    <row r="823255" spans="1:1" x14ac:dyDescent="0.25">
      <c r="A823255" s="242"/>
    </row>
    <row r="823256" spans="1:1" x14ac:dyDescent="0.25">
      <c r="A823256" s="242"/>
    </row>
    <row r="823257" spans="1:1" x14ac:dyDescent="0.25">
      <c r="A823257" s="242"/>
    </row>
    <row r="823258" spans="1:1" x14ac:dyDescent="0.25">
      <c r="A823258" s="242"/>
    </row>
    <row r="823259" spans="1:1" x14ac:dyDescent="0.25">
      <c r="A823259" s="242"/>
    </row>
    <row r="823260" spans="1:1" x14ac:dyDescent="0.25">
      <c r="A823260" s="242"/>
    </row>
    <row r="823261" spans="1:1" x14ac:dyDescent="0.25">
      <c r="A823261" s="242"/>
    </row>
    <row r="823262" spans="1:1" x14ac:dyDescent="0.25">
      <c r="A823262" s="242"/>
    </row>
    <row r="823263" spans="1:1" x14ac:dyDescent="0.25">
      <c r="A823263" s="242"/>
    </row>
    <row r="823264" spans="1:1" x14ac:dyDescent="0.25">
      <c r="A823264" s="242"/>
    </row>
    <row r="823265" spans="1:1" x14ac:dyDescent="0.25">
      <c r="A823265" s="242"/>
    </row>
    <row r="823266" spans="1:1" x14ac:dyDescent="0.25">
      <c r="A823266" s="242"/>
    </row>
    <row r="823267" spans="1:1" x14ac:dyDescent="0.25">
      <c r="A823267" s="242"/>
    </row>
    <row r="823268" spans="1:1" x14ac:dyDescent="0.25">
      <c r="A823268" s="242"/>
    </row>
    <row r="823269" spans="1:1" x14ac:dyDescent="0.25">
      <c r="A823269" s="242"/>
    </row>
    <row r="823270" spans="1:1" x14ac:dyDescent="0.25">
      <c r="A823270" s="242"/>
    </row>
    <row r="823271" spans="1:1" x14ac:dyDescent="0.25">
      <c r="A823271" s="242"/>
    </row>
    <row r="823272" spans="1:1" x14ac:dyDescent="0.25">
      <c r="A823272" s="242"/>
    </row>
    <row r="823273" spans="1:1" x14ac:dyDescent="0.25">
      <c r="A823273" s="242"/>
    </row>
    <row r="823274" spans="1:1" x14ac:dyDescent="0.25">
      <c r="A823274" s="242"/>
    </row>
    <row r="823275" spans="1:1" x14ac:dyDescent="0.25">
      <c r="A823275" s="242"/>
    </row>
    <row r="823276" spans="1:1" x14ac:dyDescent="0.25">
      <c r="A823276" s="242"/>
    </row>
    <row r="823277" spans="1:1" x14ac:dyDescent="0.25">
      <c r="A823277" s="242"/>
    </row>
    <row r="823278" spans="1:1" x14ac:dyDescent="0.25">
      <c r="A823278" s="242"/>
    </row>
    <row r="823279" spans="1:1" x14ac:dyDescent="0.25">
      <c r="A823279" s="242"/>
    </row>
    <row r="823280" spans="1:1" x14ac:dyDescent="0.25">
      <c r="A823280" s="242"/>
    </row>
    <row r="823281" spans="1:1" x14ac:dyDescent="0.25">
      <c r="A823281" s="242"/>
    </row>
    <row r="823282" spans="1:1" x14ac:dyDescent="0.25">
      <c r="A823282" s="242"/>
    </row>
    <row r="823283" spans="1:1" x14ac:dyDescent="0.25">
      <c r="A823283" s="242"/>
    </row>
    <row r="823284" spans="1:1" x14ac:dyDescent="0.25">
      <c r="A823284" s="242"/>
    </row>
    <row r="823285" spans="1:1" x14ac:dyDescent="0.25">
      <c r="A823285" s="242"/>
    </row>
    <row r="823286" spans="1:1" x14ac:dyDescent="0.25">
      <c r="A823286" s="242"/>
    </row>
    <row r="823287" spans="1:1" x14ac:dyDescent="0.25">
      <c r="A823287" s="242"/>
    </row>
    <row r="823288" spans="1:1" x14ac:dyDescent="0.25">
      <c r="A823288" s="242"/>
    </row>
    <row r="823289" spans="1:1" x14ac:dyDescent="0.25">
      <c r="A823289" s="242"/>
    </row>
    <row r="823290" spans="1:1" x14ac:dyDescent="0.25">
      <c r="A823290" s="242"/>
    </row>
    <row r="823291" spans="1:1" x14ac:dyDescent="0.25">
      <c r="A823291" s="242"/>
    </row>
    <row r="823292" spans="1:1" x14ac:dyDescent="0.25">
      <c r="A823292" s="242"/>
    </row>
    <row r="823293" spans="1:1" x14ac:dyDescent="0.25">
      <c r="A823293" s="242"/>
    </row>
    <row r="823294" spans="1:1" x14ac:dyDescent="0.25">
      <c r="A823294" s="242"/>
    </row>
    <row r="823295" spans="1:1" x14ac:dyDescent="0.25">
      <c r="A823295" s="242"/>
    </row>
    <row r="823296" spans="1:1" x14ac:dyDescent="0.25">
      <c r="A823296" s="242"/>
    </row>
    <row r="823297" spans="1:1" x14ac:dyDescent="0.25">
      <c r="A823297" s="242"/>
    </row>
    <row r="823298" spans="1:1" x14ac:dyDescent="0.25">
      <c r="A823298" s="242"/>
    </row>
    <row r="823299" spans="1:1" x14ac:dyDescent="0.25">
      <c r="A823299" s="242"/>
    </row>
    <row r="823300" spans="1:1" x14ac:dyDescent="0.25">
      <c r="A823300" s="242"/>
    </row>
    <row r="823301" spans="1:1" x14ac:dyDescent="0.25">
      <c r="A823301" s="242"/>
    </row>
    <row r="823302" spans="1:1" x14ac:dyDescent="0.25">
      <c r="A823302" s="242"/>
    </row>
    <row r="823303" spans="1:1" x14ac:dyDescent="0.25">
      <c r="A823303" s="242"/>
    </row>
    <row r="823304" spans="1:1" x14ac:dyDescent="0.25">
      <c r="A823304" s="242"/>
    </row>
    <row r="823305" spans="1:1" x14ac:dyDescent="0.25">
      <c r="A823305" s="242"/>
    </row>
    <row r="823306" spans="1:1" x14ac:dyDescent="0.25">
      <c r="A823306" s="242"/>
    </row>
    <row r="823307" spans="1:1" x14ac:dyDescent="0.25">
      <c r="A823307" s="242"/>
    </row>
    <row r="823308" spans="1:1" x14ac:dyDescent="0.25">
      <c r="A823308" s="242"/>
    </row>
    <row r="823309" spans="1:1" x14ac:dyDescent="0.25">
      <c r="A823309" s="242"/>
    </row>
    <row r="823310" spans="1:1" x14ac:dyDescent="0.25">
      <c r="A823310" s="242"/>
    </row>
    <row r="823311" spans="1:1" x14ac:dyDescent="0.25">
      <c r="A823311" s="242"/>
    </row>
    <row r="823312" spans="1:1" x14ac:dyDescent="0.25">
      <c r="A823312" s="242"/>
    </row>
    <row r="823313" spans="1:1" x14ac:dyDescent="0.25">
      <c r="A823313" s="242"/>
    </row>
    <row r="823314" spans="1:1" x14ac:dyDescent="0.25">
      <c r="A823314" s="242"/>
    </row>
    <row r="823315" spans="1:1" x14ac:dyDescent="0.25">
      <c r="A823315" s="242"/>
    </row>
    <row r="823316" spans="1:1" x14ac:dyDescent="0.25">
      <c r="A823316" s="242"/>
    </row>
    <row r="823317" spans="1:1" x14ac:dyDescent="0.25">
      <c r="A823317" s="242"/>
    </row>
    <row r="823318" spans="1:1" x14ac:dyDescent="0.25">
      <c r="A823318" s="242"/>
    </row>
    <row r="823319" spans="1:1" x14ac:dyDescent="0.25">
      <c r="A823319" s="242"/>
    </row>
    <row r="823320" spans="1:1" x14ac:dyDescent="0.25">
      <c r="A823320" s="242"/>
    </row>
    <row r="823321" spans="1:1" x14ac:dyDescent="0.25">
      <c r="A823321" s="242"/>
    </row>
    <row r="823322" spans="1:1" x14ac:dyDescent="0.25">
      <c r="A823322" s="242"/>
    </row>
    <row r="823323" spans="1:1" x14ac:dyDescent="0.25">
      <c r="A823323" s="242"/>
    </row>
    <row r="823324" spans="1:1" x14ac:dyDescent="0.25">
      <c r="A823324" s="242"/>
    </row>
    <row r="823325" spans="1:1" x14ac:dyDescent="0.25">
      <c r="A823325" s="242"/>
    </row>
    <row r="823326" spans="1:1" x14ac:dyDescent="0.25">
      <c r="A823326" s="242"/>
    </row>
    <row r="823327" spans="1:1" x14ac:dyDescent="0.25">
      <c r="A823327" s="242"/>
    </row>
    <row r="823328" spans="1:1" x14ac:dyDescent="0.25">
      <c r="A823328" s="242"/>
    </row>
    <row r="823329" spans="1:1" x14ac:dyDescent="0.25">
      <c r="A823329" s="242"/>
    </row>
    <row r="823330" spans="1:1" x14ac:dyDescent="0.25">
      <c r="A823330" s="242"/>
    </row>
    <row r="823331" spans="1:1" x14ac:dyDescent="0.25">
      <c r="A823331" s="242"/>
    </row>
    <row r="823332" spans="1:1" x14ac:dyDescent="0.25">
      <c r="A823332" s="242"/>
    </row>
    <row r="823333" spans="1:1" x14ac:dyDescent="0.25">
      <c r="A823333" s="242"/>
    </row>
    <row r="823334" spans="1:1" x14ac:dyDescent="0.25">
      <c r="A823334" s="242"/>
    </row>
    <row r="823335" spans="1:1" x14ac:dyDescent="0.25">
      <c r="A823335" s="242"/>
    </row>
    <row r="823336" spans="1:1" x14ac:dyDescent="0.25">
      <c r="A823336" s="242"/>
    </row>
    <row r="823337" spans="1:1" x14ac:dyDescent="0.25">
      <c r="A823337" s="242"/>
    </row>
    <row r="823338" spans="1:1" x14ac:dyDescent="0.25">
      <c r="A823338" s="242"/>
    </row>
    <row r="823339" spans="1:1" x14ac:dyDescent="0.25">
      <c r="A823339" s="242"/>
    </row>
    <row r="823340" spans="1:1" x14ac:dyDescent="0.25">
      <c r="A823340" s="242"/>
    </row>
    <row r="823341" spans="1:1" x14ac:dyDescent="0.25">
      <c r="A823341" s="242"/>
    </row>
    <row r="823342" spans="1:1" x14ac:dyDescent="0.25">
      <c r="A823342" s="242"/>
    </row>
    <row r="823343" spans="1:1" x14ac:dyDescent="0.25">
      <c r="A823343" s="242"/>
    </row>
    <row r="823344" spans="1:1" x14ac:dyDescent="0.25">
      <c r="A823344" s="242"/>
    </row>
    <row r="823345" spans="1:1" x14ac:dyDescent="0.25">
      <c r="A823345" s="242"/>
    </row>
    <row r="823346" spans="1:1" x14ac:dyDescent="0.25">
      <c r="A823346" s="242"/>
    </row>
    <row r="823347" spans="1:1" x14ac:dyDescent="0.25">
      <c r="A823347" s="242"/>
    </row>
    <row r="823348" spans="1:1" x14ac:dyDescent="0.25">
      <c r="A823348" s="242"/>
    </row>
    <row r="823349" spans="1:1" x14ac:dyDescent="0.25">
      <c r="A823349" s="242"/>
    </row>
    <row r="823350" spans="1:1" x14ac:dyDescent="0.25">
      <c r="A823350" s="242"/>
    </row>
    <row r="823351" spans="1:1" x14ac:dyDescent="0.25">
      <c r="A823351" s="242"/>
    </row>
    <row r="823352" spans="1:1" x14ac:dyDescent="0.25">
      <c r="A823352" s="242"/>
    </row>
    <row r="823353" spans="1:1" x14ac:dyDescent="0.25">
      <c r="A823353" s="242"/>
    </row>
    <row r="823354" spans="1:1" x14ac:dyDescent="0.25">
      <c r="A823354" s="242"/>
    </row>
    <row r="823355" spans="1:1" x14ac:dyDescent="0.25">
      <c r="A823355" s="242"/>
    </row>
    <row r="823356" spans="1:1" x14ac:dyDescent="0.25">
      <c r="A823356" s="242"/>
    </row>
    <row r="823357" spans="1:1" x14ac:dyDescent="0.25">
      <c r="A823357" s="242"/>
    </row>
    <row r="823358" spans="1:1" x14ac:dyDescent="0.25">
      <c r="A823358" s="242"/>
    </row>
    <row r="823359" spans="1:1" x14ac:dyDescent="0.25">
      <c r="A823359" s="242"/>
    </row>
    <row r="823360" spans="1:1" x14ac:dyDescent="0.25">
      <c r="A823360" s="242"/>
    </row>
    <row r="823361" spans="1:1" x14ac:dyDescent="0.25">
      <c r="A823361" s="242"/>
    </row>
    <row r="823362" spans="1:1" x14ac:dyDescent="0.25">
      <c r="A823362" s="242"/>
    </row>
    <row r="823363" spans="1:1" x14ac:dyDescent="0.25">
      <c r="A823363" s="242"/>
    </row>
    <row r="823364" spans="1:1" x14ac:dyDescent="0.25">
      <c r="A823364" s="242"/>
    </row>
    <row r="823365" spans="1:1" x14ac:dyDescent="0.25">
      <c r="A823365" s="242"/>
    </row>
    <row r="823366" spans="1:1" x14ac:dyDescent="0.25">
      <c r="A823366" s="242"/>
    </row>
    <row r="823367" spans="1:1" x14ac:dyDescent="0.25">
      <c r="A823367" s="242"/>
    </row>
    <row r="823368" spans="1:1" x14ac:dyDescent="0.25">
      <c r="A823368" s="242"/>
    </row>
    <row r="823369" spans="1:1" x14ac:dyDescent="0.25">
      <c r="A823369" s="242"/>
    </row>
    <row r="823370" spans="1:1" x14ac:dyDescent="0.25">
      <c r="A823370" s="242"/>
    </row>
    <row r="823371" spans="1:1" x14ac:dyDescent="0.25">
      <c r="A823371" s="242"/>
    </row>
    <row r="823372" spans="1:1" x14ac:dyDescent="0.25">
      <c r="A823372" s="242"/>
    </row>
    <row r="823373" spans="1:1" x14ac:dyDescent="0.25">
      <c r="A823373" s="242"/>
    </row>
    <row r="823374" spans="1:1" x14ac:dyDescent="0.25">
      <c r="A823374" s="242"/>
    </row>
    <row r="823375" spans="1:1" x14ac:dyDescent="0.25">
      <c r="A823375" s="242"/>
    </row>
    <row r="823376" spans="1:1" x14ac:dyDescent="0.25">
      <c r="A823376" s="242"/>
    </row>
    <row r="823377" spans="1:1" x14ac:dyDescent="0.25">
      <c r="A823377" s="242"/>
    </row>
    <row r="823378" spans="1:1" x14ac:dyDescent="0.25">
      <c r="A823378" s="242"/>
    </row>
    <row r="823379" spans="1:1" x14ac:dyDescent="0.25">
      <c r="A823379" s="242"/>
    </row>
    <row r="823380" spans="1:1" x14ac:dyDescent="0.25">
      <c r="A823380" s="242"/>
    </row>
    <row r="823381" spans="1:1" x14ac:dyDescent="0.25">
      <c r="A823381" s="242"/>
    </row>
    <row r="823382" spans="1:1" x14ac:dyDescent="0.25">
      <c r="A823382" s="242"/>
    </row>
    <row r="823383" spans="1:1" x14ac:dyDescent="0.25">
      <c r="A823383" s="242"/>
    </row>
    <row r="823384" spans="1:1" x14ac:dyDescent="0.25">
      <c r="A823384" s="242"/>
    </row>
    <row r="823385" spans="1:1" x14ac:dyDescent="0.25">
      <c r="A823385" s="242"/>
    </row>
    <row r="823386" spans="1:1" x14ac:dyDescent="0.25">
      <c r="A823386" s="242"/>
    </row>
    <row r="823387" spans="1:1" x14ac:dyDescent="0.25">
      <c r="A823387" s="242"/>
    </row>
    <row r="823388" spans="1:1" x14ac:dyDescent="0.25">
      <c r="A823388" s="242"/>
    </row>
    <row r="823389" spans="1:1" x14ac:dyDescent="0.25">
      <c r="A823389" s="242"/>
    </row>
    <row r="823390" spans="1:1" x14ac:dyDescent="0.25">
      <c r="A823390" s="242"/>
    </row>
    <row r="823391" spans="1:1" x14ac:dyDescent="0.25">
      <c r="A823391" s="242"/>
    </row>
    <row r="823392" spans="1:1" x14ac:dyDescent="0.25">
      <c r="A823392" s="242"/>
    </row>
    <row r="823393" spans="1:1" x14ac:dyDescent="0.25">
      <c r="A823393" s="242"/>
    </row>
    <row r="823394" spans="1:1" x14ac:dyDescent="0.25">
      <c r="A823394" s="242"/>
    </row>
    <row r="823395" spans="1:1" x14ac:dyDescent="0.25">
      <c r="A823395" s="242"/>
    </row>
    <row r="823396" spans="1:1" x14ac:dyDescent="0.25">
      <c r="A823396" s="242"/>
    </row>
    <row r="823397" spans="1:1" x14ac:dyDescent="0.25">
      <c r="A823397" s="242"/>
    </row>
    <row r="823398" spans="1:1" x14ac:dyDescent="0.25">
      <c r="A823398" s="242"/>
    </row>
    <row r="823399" spans="1:1" x14ac:dyDescent="0.25">
      <c r="A823399" s="242"/>
    </row>
    <row r="823400" spans="1:1" x14ac:dyDescent="0.25">
      <c r="A823400" s="242"/>
    </row>
    <row r="823401" spans="1:1" x14ac:dyDescent="0.25">
      <c r="A823401" s="242"/>
    </row>
    <row r="823402" spans="1:1" x14ac:dyDescent="0.25">
      <c r="A823402" s="242"/>
    </row>
    <row r="823403" spans="1:1" x14ac:dyDescent="0.25">
      <c r="A823403" s="242"/>
    </row>
    <row r="823404" spans="1:1" x14ac:dyDescent="0.25">
      <c r="A823404" s="242"/>
    </row>
    <row r="823405" spans="1:1" x14ac:dyDescent="0.25">
      <c r="A823405" s="242"/>
    </row>
    <row r="823406" spans="1:1" x14ac:dyDescent="0.25">
      <c r="A823406" s="242"/>
    </row>
    <row r="823407" spans="1:1" x14ac:dyDescent="0.25">
      <c r="A823407" s="242"/>
    </row>
    <row r="823408" spans="1:1" x14ac:dyDescent="0.25">
      <c r="A823408" s="242"/>
    </row>
    <row r="823409" spans="1:1" x14ac:dyDescent="0.25">
      <c r="A823409" s="242"/>
    </row>
    <row r="823410" spans="1:1" x14ac:dyDescent="0.25">
      <c r="A823410" s="242"/>
    </row>
    <row r="823411" spans="1:1" x14ac:dyDescent="0.25">
      <c r="A823411" s="242"/>
    </row>
    <row r="823412" spans="1:1" x14ac:dyDescent="0.25">
      <c r="A823412" s="242"/>
    </row>
    <row r="823413" spans="1:1" x14ac:dyDescent="0.25">
      <c r="A823413" s="242"/>
    </row>
    <row r="823414" spans="1:1" x14ac:dyDescent="0.25">
      <c r="A823414" s="242"/>
    </row>
    <row r="823415" spans="1:1" x14ac:dyDescent="0.25">
      <c r="A823415" s="242"/>
    </row>
    <row r="823416" spans="1:1" x14ac:dyDescent="0.25">
      <c r="A823416" s="242"/>
    </row>
    <row r="823417" spans="1:1" x14ac:dyDescent="0.25">
      <c r="A823417" s="242"/>
    </row>
    <row r="823418" spans="1:1" x14ac:dyDescent="0.25">
      <c r="A823418" s="242"/>
    </row>
    <row r="823419" spans="1:1" x14ac:dyDescent="0.25">
      <c r="A823419" s="242"/>
    </row>
    <row r="823420" spans="1:1" x14ac:dyDescent="0.25">
      <c r="A823420" s="242"/>
    </row>
    <row r="823421" spans="1:1" x14ac:dyDescent="0.25">
      <c r="A823421" s="242"/>
    </row>
    <row r="823422" spans="1:1" x14ac:dyDescent="0.25">
      <c r="A823422" s="242"/>
    </row>
    <row r="823423" spans="1:1" x14ac:dyDescent="0.25">
      <c r="A823423" s="242"/>
    </row>
    <row r="823424" spans="1:1" x14ac:dyDescent="0.25">
      <c r="A823424" s="242"/>
    </row>
    <row r="823425" spans="1:1" x14ac:dyDescent="0.25">
      <c r="A823425" s="242"/>
    </row>
    <row r="823426" spans="1:1" x14ac:dyDescent="0.25">
      <c r="A823426" s="242"/>
    </row>
    <row r="823427" spans="1:1" x14ac:dyDescent="0.25">
      <c r="A823427" s="242"/>
    </row>
    <row r="823428" spans="1:1" x14ac:dyDescent="0.25">
      <c r="A823428" s="242"/>
    </row>
    <row r="823429" spans="1:1" x14ac:dyDescent="0.25">
      <c r="A823429" s="242"/>
    </row>
    <row r="823430" spans="1:1" x14ac:dyDescent="0.25">
      <c r="A823430" s="242"/>
    </row>
    <row r="823431" spans="1:1" x14ac:dyDescent="0.25">
      <c r="A823431" s="242"/>
    </row>
    <row r="823432" spans="1:1" x14ac:dyDescent="0.25">
      <c r="A823432" s="242"/>
    </row>
    <row r="823433" spans="1:1" x14ac:dyDescent="0.25">
      <c r="A823433" s="242"/>
    </row>
    <row r="823434" spans="1:1" x14ac:dyDescent="0.25">
      <c r="A823434" s="242"/>
    </row>
    <row r="823435" spans="1:1" x14ac:dyDescent="0.25">
      <c r="A823435" s="242"/>
    </row>
    <row r="823436" spans="1:1" x14ac:dyDescent="0.25">
      <c r="A823436" s="242"/>
    </row>
    <row r="823437" spans="1:1" x14ac:dyDescent="0.25">
      <c r="A823437" s="242"/>
    </row>
    <row r="823438" spans="1:1" x14ac:dyDescent="0.25">
      <c r="A823438" s="242"/>
    </row>
    <row r="823439" spans="1:1" x14ac:dyDescent="0.25">
      <c r="A823439" s="242"/>
    </row>
    <row r="823440" spans="1:1" x14ac:dyDescent="0.25">
      <c r="A823440" s="242"/>
    </row>
    <row r="823441" spans="1:1" x14ac:dyDescent="0.25">
      <c r="A823441" s="242"/>
    </row>
    <row r="823442" spans="1:1" x14ac:dyDescent="0.25">
      <c r="A823442" s="242"/>
    </row>
    <row r="823443" spans="1:1" x14ac:dyDescent="0.25">
      <c r="A823443" s="242"/>
    </row>
    <row r="823444" spans="1:1" x14ac:dyDescent="0.25">
      <c r="A823444" s="242"/>
    </row>
    <row r="823445" spans="1:1" x14ac:dyDescent="0.25">
      <c r="A823445" s="242"/>
    </row>
    <row r="823446" spans="1:1" x14ac:dyDescent="0.25">
      <c r="A823446" s="242"/>
    </row>
    <row r="823447" spans="1:1" x14ac:dyDescent="0.25">
      <c r="A823447" s="242"/>
    </row>
    <row r="823448" spans="1:1" x14ac:dyDescent="0.25">
      <c r="A823448" s="242"/>
    </row>
    <row r="823449" spans="1:1" x14ac:dyDescent="0.25">
      <c r="A823449" s="242"/>
    </row>
    <row r="823450" spans="1:1" x14ac:dyDescent="0.25">
      <c r="A823450" s="242"/>
    </row>
    <row r="823451" spans="1:1" x14ac:dyDescent="0.25">
      <c r="A823451" s="242"/>
    </row>
    <row r="823452" spans="1:1" x14ac:dyDescent="0.25">
      <c r="A823452" s="242"/>
    </row>
    <row r="823453" spans="1:1" x14ac:dyDescent="0.25">
      <c r="A823453" s="242"/>
    </row>
    <row r="823454" spans="1:1" x14ac:dyDescent="0.25">
      <c r="A823454" s="242"/>
    </row>
    <row r="823455" spans="1:1" x14ac:dyDescent="0.25">
      <c r="A823455" s="242"/>
    </row>
    <row r="823456" spans="1:1" x14ac:dyDescent="0.25">
      <c r="A823456" s="242"/>
    </row>
    <row r="823457" spans="1:1" x14ac:dyDescent="0.25">
      <c r="A823457" s="242"/>
    </row>
    <row r="823458" spans="1:1" x14ac:dyDescent="0.25">
      <c r="A823458" s="242"/>
    </row>
    <row r="823459" spans="1:1" x14ac:dyDescent="0.25">
      <c r="A823459" s="242"/>
    </row>
    <row r="823460" spans="1:1" x14ac:dyDescent="0.25">
      <c r="A823460" s="242"/>
    </row>
    <row r="823461" spans="1:1" x14ac:dyDescent="0.25">
      <c r="A823461" s="242"/>
    </row>
    <row r="823462" spans="1:1" x14ac:dyDescent="0.25">
      <c r="A823462" s="242"/>
    </row>
    <row r="823463" spans="1:1" x14ac:dyDescent="0.25">
      <c r="A823463" s="242"/>
    </row>
    <row r="823464" spans="1:1" x14ac:dyDescent="0.25">
      <c r="A823464" s="242"/>
    </row>
    <row r="823465" spans="1:1" x14ac:dyDescent="0.25">
      <c r="A823465" s="242"/>
    </row>
    <row r="823466" spans="1:1" x14ac:dyDescent="0.25">
      <c r="A823466" s="242"/>
    </row>
    <row r="823467" spans="1:1" x14ac:dyDescent="0.25">
      <c r="A823467" s="242"/>
    </row>
    <row r="823468" spans="1:1" x14ac:dyDescent="0.25">
      <c r="A823468" s="242"/>
    </row>
    <row r="823469" spans="1:1" x14ac:dyDescent="0.25">
      <c r="A823469" s="242"/>
    </row>
    <row r="823470" spans="1:1" x14ac:dyDescent="0.25">
      <c r="A823470" s="242"/>
    </row>
    <row r="823471" spans="1:1" x14ac:dyDescent="0.25">
      <c r="A823471" s="242"/>
    </row>
    <row r="823472" spans="1:1" x14ac:dyDescent="0.25">
      <c r="A823472" s="242"/>
    </row>
    <row r="823473" spans="1:1" x14ac:dyDescent="0.25">
      <c r="A823473" s="242"/>
    </row>
    <row r="823474" spans="1:1" x14ac:dyDescent="0.25">
      <c r="A823474" s="242"/>
    </row>
    <row r="823475" spans="1:1" x14ac:dyDescent="0.25">
      <c r="A823475" s="242"/>
    </row>
    <row r="823476" spans="1:1" x14ac:dyDescent="0.25">
      <c r="A823476" s="242"/>
    </row>
    <row r="823477" spans="1:1" x14ac:dyDescent="0.25">
      <c r="A823477" s="242"/>
    </row>
    <row r="823478" spans="1:1" x14ac:dyDescent="0.25">
      <c r="A823478" s="242"/>
    </row>
    <row r="823479" spans="1:1" x14ac:dyDescent="0.25">
      <c r="A823479" s="242"/>
    </row>
    <row r="823480" spans="1:1" x14ac:dyDescent="0.25">
      <c r="A823480" s="242"/>
    </row>
    <row r="823481" spans="1:1" x14ac:dyDescent="0.25">
      <c r="A823481" s="242"/>
    </row>
    <row r="823482" spans="1:1" x14ac:dyDescent="0.25">
      <c r="A823482" s="242"/>
    </row>
    <row r="823483" spans="1:1" x14ac:dyDescent="0.25">
      <c r="A823483" s="242"/>
    </row>
    <row r="823484" spans="1:1" x14ac:dyDescent="0.25">
      <c r="A823484" s="242"/>
    </row>
    <row r="823485" spans="1:1" x14ac:dyDescent="0.25">
      <c r="A823485" s="242"/>
    </row>
    <row r="823486" spans="1:1" x14ac:dyDescent="0.25">
      <c r="A823486" s="242"/>
    </row>
    <row r="823487" spans="1:1" x14ac:dyDescent="0.25">
      <c r="A823487" s="242"/>
    </row>
    <row r="823488" spans="1:1" x14ac:dyDescent="0.25">
      <c r="A823488" s="242"/>
    </row>
    <row r="823489" spans="1:1" x14ac:dyDescent="0.25">
      <c r="A823489" s="242"/>
    </row>
    <row r="823490" spans="1:1" x14ac:dyDescent="0.25">
      <c r="A823490" s="242"/>
    </row>
    <row r="823491" spans="1:1" x14ac:dyDescent="0.25">
      <c r="A823491" s="242"/>
    </row>
    <row r="823492" spans="1:1" x14ac:dyDescent="0.25">
      <c r="A823492" s="242"/>
    </row>
    <row r="823493" spans="1:1" x14ac:dyDescent="0.25">
      <c r="A823493" s="242"/>
    </row>
    <row r="823494" spans="1:1" x14ac:dyDescent="0.25">
      <c r="A823494" s="242"/>
    </row>
    <row r="823495" spans="1:1" x14ac:dyDescent="0.25">
      <c r="A823495" s="242"/>
    </row>
    <row r="823496" spans="1:1" x14ac:dyDescent="0.25">
      <c r="A823496" s="242"/>
    </row>
    <row r="823497" spans="1:1" x14ac:dyDescent="0.25">
      <c r="A823497" s="242"/>
    </row>
    <row r="823498" spans="1:1" x14ac:dyDescent="0.25">
      <c r="A823498" s="242"/>
    </row>
    <row r="823499" spans="1:1" x14ac:dyDescent="0.25">
      <c r="A823499" s="242"/>
    </row>
    <row r="823500" spans="1:1" x14ac:dyDescent="0.25">
      <c r="A823500" s="242"/>
    </row>
    <row r="823501" spans="1:1" x14ac:dyDescent="0.25">
      <c r="A823501" s="242"/>
    </row>
    <row r="823502" spans="1:1" x14ac:dyDescent="0.25">
      <c r="A823502" s="242"/>
    </row>
    <row r="823503" spans="1:1" x14ac:dyDescent="0.25">
      <c r="A823503" s="242"/>
    </row>
    <row r="823504" spans="1:1" x14ac:dyDescent="0.25">
      <c r="A823504" s="242"/>
    </row>
    <row r="823505" spans="1:1" x14ac:dyDescent="0.25">
      <c r="A823505" s="242"/>
    </row>
    <row r="823506" spans="1:1" x14ac:dyDescent="0.25">
      <c r="A823506" s="242"/>
    </row>
    <row r="823507" spans="1:1" x14ac:dyDescent="0.25">
      <c r="A823507" s="242"/>
    </row>
    <row r="823508" spans="1:1" x14ac:dyDescent="0.25">
      <c r="A823508" s="242"/>
    </row>
    <row r="823509" spans="1:1" x14ac:dyDescent="0.25">
      <c r="A823509" s="242"/>
    </row>
    <row r="823510" spans="1:1" x14ac:dyDescent="0.25">
      <c r="A823510" s="242"/>
    </row>
    <row r="823511" spans="1:1" x14ac:dyDescent="0.25">
      <c r="A823511" s="242"/>
    </row>
    <row r="823512" spans="1:1" x14ac:dyDescent="0.25">
      <c r="A823512" s="242"/>
    </row>
    <row r="823513" spans="1:1" x14ac:dyDescent="0.25">
      <c r="A823513" s="242"/>
    </row>
    <row r="823514" spans="1:1" x14ac:dyDescent="0.25">
      <c r="A823514" s="242"/>
    </row>
    <row r="823515" spans="1:1" x14ac:dyDescent="0.25">
      <c r="A823515" s="242"/>
    </row>
    <row r="823516" spans="1:1" x14ac:dyDescent="0.25">
      <c r="A823516" s="242"/>
    </row>
    <row r="823517" spans="1:1" x14ac:dyDescent="0.25">
      <c r="A823517" s="242"/>
    </row>
    <row r="823518" spans="1:1" x14ac:dyDescent="0.25">
      <c r="A823518" s="242"/>
    </row>
    <row r="823519" spans="1:1" x14ac:dyDescent="0.25">
      <c r="A823519" s="242"/>
    </row>
    <row r="823520" spans="1:1" x14ac:dyDescent="0.25">
      <c r="A823520" s="242"/>
    </row>
    <row r="823521" spans="1:1" x14ac:dyDescent="0.25">
      <c r="A823521" s="242"/>
    </row>
    <row r="823522" spans="1:1" x14ac:dyDescent="0.25">
      <c r="A823522" s="242"/>
    </row>
    <row r="823523" spans="1:1" x14ac:dyDescent="0.25">
      <c r="A823523" s="242"/>
    </row>
    <row r="823524" spans="1:1" x14ac:dyDescent="0.25">
      <c r="A823524" s="242"/>
    </row>
    <row r="823525" spans="1:1" x14ac:dyDescent="0.25">
      <c r="A823525" s="242"/>
    </row>
    <row r="823526" spans="1:1" x14ac:dyDescent="0.25">
      <c r="A823526" s="242"/>
    </row>
    <row r="823527" spans="1:1" x14ac:dyDescent="0.25">
      <c r="A823527" s="242"/>
    </row>
    <row r="823528" spans="1:1" x14ac:dyDescent="0.25">
      <c r="A823528" s="242"/>
    </row>
    <row r="823529" spans="1:1" x14ac:dyDescent="0.25">
      <c r="A823529" s="242"/>
    </row>
    <row r="823530" spans="1:1" x14ac:dyDescent="0.25">
      <c r="A823530" s="242"/>
    </row>
    <row r="823531" spans="1:1" x14ac:dyDescent="0.25">
      <c r="A823531" s="242"/>
    </row>
    <row r="823532" spans="1:1" x14ac:dyDescent="0.25">
      <c r="A823532" s="242"/>
    </row>
    <row r="823533" spans="1:1" x14ac:dyDescent="0.25">
      <c r="A823533" s="242"/>
    </row>
    <row r="823534" spans="1:1" x14ac:dyDescent="0.25">
      <c r="A823534" s="242"/>
    </row>
    <row r="823535" spans="1:1" x14ac:dyDescent="0.25">
      <c r="A823535" s="242"/>
    </row>
    <row r="823536" spans="1:1" x14ac:dyDescent="0.25">
      <c r="A823536" s="242"/>
    </row>
    <row r="823537" spans="1:1" x14ac:dyDescent="0.25">
      <c r="A823537" s="242"/>
    </row>
    <row r="823538" spans="1:1" x14ac:dyDescent="0.25">
      <c r="A823538" s="242"/>
    </row>
    <row r="823539" spans="1:1" x14ac:dyDescent="0.25">
      <c r="A823539" s="242"/>
    </row>
    <row r="823540" spans="1:1" x14ac:dyDescent="0.25">
      <c r="A823540" s="242"/>
    </row>
    <row r="823541" spans="1:1" x14ac:dyDescent="0.25">
      <c r="A823541" s="242"/>
    </row>
    <row r="823542" spans="1:1" x14ac:dyDescent="0.25">
      <c r="A823542" s="242"/>
    </row>
    <row r="823543" spans="1:1" x14ac:dyDescent="0.25">
      <c r="A823543" s="242"/>
    </row>
    <row r="823544" spans="1:1" x14ac:dyDescent="0.25">
      <c r="A823544" s="242"/>
    </row>
    <row r="823545" spans="1:1" x14ac:dyDescent="0.25">
      <c r="A823545" s="242"/>
    </row>
    <row r="823546" spans="1:1" x14ac:dyDescent="0.25">
      <c r="A823546" s="242"/>
    </row>
    <row r="823547" spans="1:1" x14ac:dyDescent="0.25">
      <c r="A823547" s="242"/>
    </row>
    <row r="823548" spans="1:1" x14ac:dyDescent="0.25">
      <c r="A823548" s="242"/>
    </row>
    <row r="823549" spans="1:1" x14ac:dyDescent="0.25">
      <c r="A823549" s="242"/>
    </row>
    <row r="823550" spans="1:1" x14ac:dyDescent="0.25">
      <c r="A823550" s="242"/>
    </row>
    <row r="823551" spans="1:1" x14ac:dyDescent="0.25">
      <c r="A823551" s="242"/>
    </row>
    <row r="823552" spans="1:1" x14ac:dyDescent="0.25">
      <c r="A823552" s="242"/>
    </row>
    <row r="823553" spans="1:1" x14ac:dyDescent="0.25">
      <c r="A823553" s="242"/>
    </row>
    <row r="823554" spans="1:1" x14ac:dyDescent="0.25">
      <c r="A823554" s="242"/>
    </row>
    <row r="823555" spans="1:1" x14ac:dyDescent="0.25">
      <c r="A823555" s="242"/>
    </row>
    <row r="823556" spans="1:1" x14ac:dyDescent="0.25">
      <c r="A823556" s="242"/>
    </row>
    <row r="823557" spans="1:1" x14ac:dyDescent="0.25">
      <c r="A823557" s="242"/>
    </row>
    <row r="823558" spans="1:1" x14ac:dyDescent="0.25">
      <c r="A823558" s="242"/>
    </row>
    <row r="823559" spans="1:1" x14ac:dyDescent="0.25">
      <c r="A823559" s="242"/>
    </row>
    <row r="823560" spans="1:1" x14ac:dyDescent="0.25">
      <c r="A823560" s="242"/>
    </row>
    <row r="823561" spans="1:1" x14ac:dyDescent="0.25">
      <c r="A823561" s="242"/>
    </row>
    <row r="823562" spans="1:1" x14ac:dyDescent="0.25">
      <c r="A823562" s="242"/>
    </row>
    <row r="823563" spans="1:1" x14ac:dyDescent="0.25">
      <c r="A823563" s="242"/>
    </row>
    <row r="823564" spans="1:1" x14ac:dyDescent="0.25">
      <c r="A823564" s="242"/>
    </row>
    <row r="823565" spans="1:1" x14ac:dyDescent="0.25">
      <c r="A823565" s="242"/>
    </row>
    <row r="823566" spans="1:1" x14ac:dyDescent="0.25">
      <c r="A823566" s="242"/>
    </row>
    <row r="823567" spans="1:1" x14ac:dyDescent="0.25">
      <c r="A823567" s="242"/>
    </row>
    <row r="823568" spans="1:1" x14ac:dyDescent="0.25">
      <c r="A823568" s="242"/>
    </row>
    <row r="823569" spans="1:1" x14ac:dyDescent="0.25">
      <c r="A823569" s="242"/>
    </row>
    <row r="823570" spans="1:1" x14ac:dyDescent="0.25">
      <c r="A823570" s="242"/>
    </row>
    <row r="823571" spans="1:1" x14ac:dyDescent="0.25">
      <c r="A823571" s="242"/>
    </row>
    <row r="823572" spans="1:1" x14ac:dyDescent="0.25">
      <c r="A823572" s="242"/>
    </row>
    <row r="823573" spans="1:1" x14ac:dyDescent="0.25">
      <c r="A823573" s="242"/>
    </row>
    <row r="823574" spans="1:1" x14ac:dyDescent="0.25">
      <c r="A823574" s="242"/>
    </row>
    <row r="823575" spans="1:1" x14ac:dyDescent="0.25">
      <c r="A823575" s="242"/>
    </row>
    <row r="823576" spans="1:1" x14ac:dyDescent="0.25">
      <c r="A823576" s="242"/>
    </row>
    <row r="823577" spans="1:1" x14ac:dyDescent="0.25">
      <c r="A823577" s="242"/>
    </row>
    <row r="823578" spans="1:1" x14ac:dyDescent="0.25">
      <c r="A823578" s="242"/>
    </row>
    <row r="823579" spans="1:1" x14ac:dyDescent="0.25">
      <c r="A823579" s="242"/>
    </row>
    <row r="823580" spans="1:1" x14ac:dyDescent="0.25">
      <c r="A823580" s="242"/>
    </row>
    <row r="823581" spans="1:1" x14ac:dyDescent="0.25">
      <c r="A823581" s="242"/>
    </row>
    <row r="823582" spans="1:1" x14ac:dyDescent="0.25">
      <c r="A823582" s="242"/>
    </row>
    <row r="823583" spans="1:1" x14ac:dyDescent="0.25">
      <c r="A823583" s="242"/>
    </row>
    <row r="823584" spans="1:1" x14ac:dyDescent="0.25">
      <c r="A823584" s="242"/>
    </row>
    <row r="823585" spans="1:1" x14ac:dyDescent="0.25">
      <c r="A823585" s="242"/>
    </row>
    <row r="823586" spans="1:1" x14ac:dyDescent="0.25">
      <c r="A823586" s="242"/>
    </row>
    <row r="823587" spans="1:1" x14ac:dyDescent="0.25">
      <c r="A823587" s="242"/>
    </row>
    <row r="823588" spans="1:1" x14ac:dyDescent="0.25">
      <c r="A823588" s="242"/>
    </row>
    <row r="823589" spans="1:1" x14ac:dyDescent="0.25">
      <c r="A823589" s="242"/>
    </row>
    <row r="823590" spans="1:1" x14ac:dyDescent="0.25">
      <c r="A823590" s="242"/>
    </row>
    <row r="823591" spans="1:1" x14ac:dyDescent="0.25">
      <c r="A823591" s="242"/>
    </row>
    <row r="823592" spans="1:1" x14ac:dyDescent="0.25">
      <c r="A823592" s="242"/>
    </row>
    <row r="823593" spans="1:1" x14ac:dyDescent="0.25">
      <c r="A823593" s="242"/>
    </row>
    <row r="823594" spans="1:1" x14ac:dyDescent="0.25">
      <c r="A823594" s="242"/>
    </row>
    <row r="823595" spans="1:1" x14ac:dyDescent="0.25">
      <c r="A823595" s="242"/>
    </row>
    <row r="823596" spans="1:1" x14ac:dyDescent="0.25">
      <c r="A823596" s="242"/>
    </row>
    <row r="823597" spans="1:1" x14ac:dyDescent="0.25">
      <c r="A823597" s="242"/>
    </row>
    <row r="823598" spans="1:1" x14ac:dyDescent="0.25">
      <c r="A823598" s="242"/>
    </row>
    <row r="823599" spans="1:1" x14ac:dyDescent="0.25">
      <c r="A823599" s="242"/>
    </row>
    <row r="823600" spans="1:1" x14ac:dyDescent="0.25">
      <c r="A823600" s="242"/>
    </row>
    <row r="823601" spans="1:1" x14ac:dyDescent="0.25">
      <c r="A823601" s="242"/>
    </row>
    <row r="823602" spans="1:1" x14ac:dyDescent="0.25">
      <c r="A823602" s="242"/>
    </row>
    <row r="823603" spans="1:1" x14ac:dyDescent="0.25">
      <c r="A823603" s="242"/>
    </row>
    <row r="823604" spans="1:1" x14ac:dyDescent="0.25">
      <c r="A823604" s="242"/>
    </row>
    <row r="823605" spans="1:1" x14ac:dyDescent="0.25">
      <c r="A823605" s="242"/>
    </row>
    <row r="823606" spans="1:1" x14ac:dyDescent="0.25">
      <c r="A823606" s="242"/>
    </row>
    <row r="823607" spans="1:1" x14ac:dyDescent="0.25">
      <c r="A823607" s="242"/>
    </row>
    <row r="823608" spans="1:1" x14ac:dyDescent="0.25">
      <c r="A823608" s="242"/>
    </row>
    <row r="823609" spans="1:1" x14ac:dyDescent="0.25">
      <c r="A823609" s="242"/>
    </row>
    <row r="823610" spans="1:1" x14ac:dyDescent="0.25">
      <c r="A823610" s="242"/>
    </row>
    <row r="823611" spans="1:1" x14ac:dyDescent="0.25">
      <c r="A823611" s="242"/>
    </row>
    <row r="823612" spans="1:1" x14ac:dyDescent="0.25">
      <c r="A823612" s="242"/>
    </row>
    <row r="823613" spans="1:1" x14ac:dyDescent="0.25">
      <c r="A823613" s="242"/>
    </row>
    <row r="823614" spans="1:1" x14ac:dyDescent="0.25">
      <c r="A823614" s="242"/>
    </row>
    <row r="823615" spans="1:1" x14ac:dyDescent="0.25">
      <c r="A823615" s="242"/>
    </row>
    <row r="823616" spans="1:1" x14ac:dyDescent="0.25">
      <c r="A823616" s="242"/>
    </row>
    <row r="823617" spans="1:1" x14ac:dyDescent="0.25">
      <c r="A823617" s="242"/>
    </row>
    <row r="823618" spans="1:1" x14ac:dyDescent="0.25">
      <c r="A823618" s="242"/>
    </row>
    <row r="823619" spans="1:1" x14ac:dyDescent="0.25">
      <c r="A823619" s="242"/>
    </row>
    <row r="823620" spans="1:1" x14ac:dyDescent="0.25">
      <c r="A823620" s="242"/>
    </row>
    <row r="823621" spans="1:1" x14ac:dyDescent="0.25">
      <c r="A823621" s="242"/>
    </row>
    <row r="823622" spans="1:1" x14ac:dyDescent="0.25">
      <c r="A823622" s="242"/>
    </row>
    <row r="823623" spans="1:1" x14ac:dyDescent="0.25">
      <c r="A823623" s="242"/>
    </row>
    <row r="823624" spans="1:1" x14ac:dyDescent="0.25">
      <c r="A823624" s="242"/>
    </row>
    <row r="823625" spans="1:1" x14ac:dyDescent="0.25">
      <c r="A823625" s="242"/>
    </row>
    <row r="823626" spans="1:1" x14ac:dyDescent="0.25">
      <c r="A823626" s="242"/>
    </row>
    <row r="823627" spans="1:1" x14ac:dyDescent="0.25">
      <c r="A823627" s="242"/>
    </row>
    <row r="823628" spans="1:1" x14ac:dyDescent="0.25">
      <c r="A823628" s="242"/>
    </row>
    <row r="823629" spans="1:1" x14ac:dyDescent="0.25">
      <c r="A823629" s="242"/>
    </row>
    <row r="823630" spans="1:1" x14ac:dyDescent="0.25">
      <c r="A823630" s="242"/>
    </row>
    <row r="823631" spans="1:1" x14ac:dyDescent="0.25">
      <c r="A823631" s="242"/>
    </row>
    <row r="823632" spans="1:1" x14ac:dyDescent="0.25">
      <c r="A823632" s="242"/>
    </row>
    <row r="823633" spans="1:1" x14ac:dyDescent="0.25">
      <c r="A823633" s="242"/>
    </row>
    <row r="823634" spans="1:1" x14ac:dyDescent="0.25">
      <c r="A823634" s="242"/>
    </row>
    <row r="823635" spans="1:1" x14ac:dyDescent="0.25">
      <c r="A823635" s="242"/>
    </row>
    <row r="823636" spans="1:1" x14ac:dyDescent="0.25">
      <c r="A823636" s="242"/>
    </row>
    <row r="823637" spans="1:1" x14ac:dyDescent="0.25">
      <c r="A823637" s="242"/>
    </row>
    <row r="823638" spans="1:1" x14ac:dyDescent="0.25">
      <c r="A823638" s="242"/>
    </row>
    <row r="823639" spans="1:1" x14ac:dyDescent="0.25">
      <c r="A823639" s="242"/>
    </row>
    <row r="823640" spans="1:1" x14ac:dyDescent="0.25">
      <c r="A823640" s="242"/>
    </row>
    <row r="823641" spans="1:1" x14ac:dyDescent="0.25">
      <c r="A823641" s="242"/>
    </row>
    <row r="823642" spans="1:1" x14ac:dyDescent="0.25">
      <c r="A823642" s="242"/>
    </row>
    <row r="823643" spans="1:1" x14ac:dyDescent="0.25">
      <c r="A823643" s="242"/>
    </row>
    <row r="823644" spans="1:1" x14ac:dyDescent="0.25">
      <c r="A823644" s="242"/>
    </row>
    <row r="823645" spans="1:1" x14ac:dyDescent="0.25">
      <c r="A823645" s="242"/>
    </row>
    <row r="823646" spans="1:1" x14ac:dyDescent="0.25">
      <c r="A823646" s="242"/>
    </row>
    <row r="823647" spans="1:1" x14ac:dyDescent="0.25">
      <c r="A823647" s="242"/>
    </row>
    <row r="823648" spans="1:1" x14ac:dyDescent="0.25">
      <c r="A823648" s="242"/>
    </row>
    <row r="823649" spans="1:1" x14ac:dyDescent="0.25">
      <c r="A823649" s="242"/>
    </row>
    <row r="823650" spans="1:1" x14ac:dyDescent="0.25">
      <c r="A823650" s="242"/>
    </row>
    <row r="823651" spans="1:1" x14ac:dyDescent="0.25">
      <c r="A823651" s="242"/>
    </row>
    <row r="823652" spans="1:1" x14ac:dyDescent="0.25">
      <c r="A823652" s="242"/>
    </row>
    <row r="823653" spans="1:1" x14ac:dyDescent="0.25">
      <c r="A823653" s="242"/>
    </row>
    <row r="823654" spans="1:1" x14ac:dyDescent="0.25">
      <c r="A823654" s="242"/>
    </row>
    <row r="823655" spans="1:1" x14ac:dyDescent="0.25">
      <c r="A823655" s="242"/>
    </row>
    <row r="823656" spans="1:1" x14ac:dyDescent="0.25">
      <c r="A823656" s="242"/>
    </row>
    <row r="823657" spans="1:1" x14ac:dyDescent="0.25">
      <c r="A823657" s="242"/>
    </row>
    <row r="823658" spans="1:1" x14ac:dyDescent="0.25">
      <c r="A823658" s="242"/>
    </row>
    <row r="823659" spans="1:1" x14ac:dyDescent="0.25">
      <c r="A823659" s="242"/>
    </row>
    <row r="823660" spans="1:1" x14ac:dyDescent="0.25">
      <c r="A823660" s="242"/>
    </row>
    <row r="823661" spans="1:1" x14ac:dyDescent="0.25">
      <c r="A823661" s="242"/>
    </row>
    <row r="823662" spans="1:1" x14ac:dyDescent="0.25">
      <c r="A823662" s="242"/>
    </row>
    <row r="823663" spans="1:1" x14ac:dyDescent="0.25">
      <c r="A823663" s="242"/>
    </row>
    <row r="823664" spans="1:1" x14ac:dyDescent="0.25">
      <c r="A823664" s="242"/>
    </row>
    <row r="823665" spans="1:1" x14ac:dyDescent="0.25">
      <c r="A823665" s="242"/>
    </row>
    <row r="823666" spans="1:1" x14ac:dyDescent="0.25">
      <c r="A823666" s="242"/>
    </row>
    <row r="823667" spans="1:1" x14ac:dyDescent="0.25">
      <c r="A823667" s="242"/>
    </row>
    <row r="823668" spans="1:1" x14ac:dyDescent="0.25">
      <c r="A823668" s="242"/>
    </row>
    <row r="823669" spans="1:1" x14ac:dyDescent="0.25">
      <c r="A823669" s="242"/>
    </row>
    <row r="823670" spans="1:1" x14ac:dyDescent="0.25">
      <c r="A823670" s="242"/>
    </row>
    <row r="823671" spans="1:1" x14ac:dyDescent="0.25">
      <c r="A823671" s="242"/>
    </row>
    <row r="823672" spans="1:1" x14ac:dyDescent="0.25">
      <c r="A823672" s="242"/>
    </row>
    <row r="823673" spans="1:1" x14ac:dyDescent="0.25">
      <c r="A823673" s="242"/>
    </row>
    <row r="823674" spans="1:1" x14ac:dyDescent="0.25">
      <c r="A823674" s="242"/>
    </row>
    <row r="823675" spans="1:1" x14ac:dyDescent="0.25">
      <c r="A823675" s="242"/>
    </row>
    <row r="823676" spans="1:1" x14ac:dyDescent="0.25">
      <c r="A823676" s="242"/>
    </row>
    <row r="823677" spans="1:1" x14ac:dyDescent="0.25">
      <c r="A823677" s="242"/>
    </row>
    <row r="823678" spans="1:1" x14ac:dyDescent="0.25">
      <c r="A823678" s="242"/>
    </row>
    <row r="823679" spans="1:1" x14ac:dyDescent="0.25">
      <c r="A823679" s="242"/>
    </row>
    <row r="823680" spans="1:1" x14ac:dyDescent="0.25">
      <c r="A823680" s="242"/>
    </row>
    <row r="823681" spans="1:1" x14ac:dyDescent="0.25">
      <c r="A823681" s="242"/>
    </row>
    <row r="823682" spans="1:1" x14ac:dyDescent="0.25">
      <c r="A823682" s="242"/>
    </row>
    <row r="823683" spans="1:1" x14ac:dyDescent="0.25">
      <c r="A823683" s="242"/>
    </row>
    <row r="823684" spans="1:1" x14ac:dyDescent="0.25">
      <c r="A823684" s="242"/>
    </row>
    <row r="823685" spans="1:1" x14ac:dyDescent="0.25">
      <c r="A823685" s="242"/>
    </row>
    <row r="823686" spans="1:1" x14ac:dyDescent="0.25">
      <c r="A823686" s="242"/>
    </row>
    <row r="823687" spans="1:1" x14ac:dyDescent="0.25">
      <c r="A823687" s="242"/>
    </row>
    <row r="823688" spans="1:1" x14ac:dyDescent="0.25">
      <c r="A823688" s="242"/>
    </row>
    <row r="823689" spans="1:1" x14ac:dyDescent="0.25">
      <c r="A823689" s="242"/>
    </row>
    <row r="823690" spans="1:1" x14ac:dyDescent="0.25">
      <c r="A823690" s="242"/>
    </row>
    <row r="823691" spans="1:1" x14ac:dyDescent="0.25">
      <c r="A823691" s="242"/>
    </row>
    <row r="823692" spans="1:1" x14ac:dyDescent="0.25">
      <c r="A823692" s="242"/>
    </row>
    <row r="823693" spans="1:1" x14ac:dyDescent="0.25">
      <c r="A823693" s="242"/>
    </row>
    <row r="823694" spans="1:1" x14ac:dyDescent="0.25">
      <c r="A823694" s="242"/>
    </row>
    <row r="823695" spans="1:1" x14ac:dyDescent="0.25">
      <c r="A823695" s="242"/>
    </row>
    <row r="823696" spans="1:1" x14ac:dyDescent="0.25">
      <c r="A823696" s="242"/>
    </row>
    <row r="823697" spans="1:1" x14ac:dyDescent="0.25">
      <c r="A823697" s="242"/>
    </row>
    <row r="823698" spans="1:1" x14ac:dyDescent="0.25">
      <c r="A823698" s="242"/>
    </row>
    <row r="823699" spans="1:1" x14ac:dyDescent="0.25">
      <c r="A823699" s="242"/>
    </row>
    <row r="823700" spans="1:1" x14ac:dyDescent="0.25">
      <c r="A823700" s="242"/>
    </row>
    <row r="823701" spans="1:1" x14ac:dyDescent="0.25">
      <c r="A823701" s="242"/>
    </row>
    <row r="823702" spans="1:1" x14ac:dyDescent="0.25">
      <c r="A823702" s="242"/>
    </row>
    <row r="823703" spans="1:1" x14ac:dyDescent="0.25">
      <c r="A823703" s="242"/>
    </row>
    <row r="823704" spans="1:1" x14ac:dyDescent="0.25">
      <c r="A823704" s="242"/>
    </row>
    <row r="823705" spans="1:1" x14ac:dyDescent="0.25">
      <c r="A823705" s="242"/>
    </row>
    <row r="823706" spans="1:1" x14ac:dyDescent="0.25">
      <c r="A823706" s="242"/>
    </row>
    <row r="823707" spans="1:1" x14ac:dyDescent="0.25">
      <c r="A823707" s="242"/>
    </row>
    <row r="823708" spans="1:1" x14ac:dyDescent="0.25">
      <c r="A823708" s="242"/>
    </row>
    <row r="823709" spans="1:1" x14ac:dyDescent="0.25">
      <c r="A823709" s="242"/>
    </row>
    <row r="823710" spans="1:1" x14ac:dyDescent="0.25">
      <c r="A823710" s="242"/>
    </row>
    <row r="823711" spans="1:1" x14ac:dyDescent="0.25">
      <c r="A823711" s="242"/>
    </row>
    <row r="823712" spans="1:1" x14ac:dyDescent="0.25">
      <c r="A823712" s="242"/>
    </row>
    <row r="823713" spans="1:1" x14ac:dyDescent="0.25">
      <c r="A823713" s="242"/>
    </row>
    <row r="823714" spans="1:1" x14ac:dyDescent="0.25">
      <c r="A823714" s="242"/>
    </row>
    <row r="823715" spans="1:1" x14ac:dyDescent="0.25">
      <c r="A823715" s="242"/>
    </row>
    <row r="823716" spans="1:1" x14ac:dyDescent="0.25">
      <c r="A823716" s="242"/>
    </row>
    <row r="823717" spans="1:1" x14ac:dyDescent="0.25">
      <c r="A823717" s="242"/>
    </row>
    <row r="823718" spans="1:1" x14ac:dyDescent="0.25">
      <c r="A823718" s="242"/>
    </row>
    <row r="823719" spans="1:1" x14ac:dyDescent="0.25">
      <c r="A823719" s="242"/>
    </row>
    <row r="823720" spans="1:1" x14ac:dyDescent="0.25">
      <c r="A823720" s="242"/>
    </row>
    <row r="823721" spans="1:1" x14ac:dyDescent="0.25">
      <c r="A823721" s="242"/>
    </row>
    <row r="823722" spans="1:1" x14ac:dyDescent="0.25">
      <c r="A823722" s="242"/>
    </row>
    <row r="823723" spans="1:1" x14ac:dyDescent="0.25">
      <c r="A823723" s="242"/>
    </row>
    <row r="823724" spans="1:1" x14ac:dyDescent="0.25">
      <c r="A823724" s="242"/>
    </row>
    <row r="823725" spans="1:1" x14ac:dyDescent="0.25">
      <c r="A823725" s="242"/>
    </row>
    <row r="823726" spans="1:1" x14ac:dyDescent="0.25">
      <c r="A823726" s="242"/>
    </row>
    <row r="823727" spans="1:1" x14ac:dyDescent="0.25">
      <c r="A823727" s="242"/>
    </row>
    <row r="823728" spans="1:1" x14ac:dyDescent="0.25">
      <c r="A823728" s="242"/>
    </row>
    <row r="823729" spans="1:1" x14ac:dyDescent="0.25">
      <c r="A823729" s="242"/>
    </row>
    <row r="823730" spans="1:1" x14ac:dyDescent="0.25">
      <c r="A823730" s="242"/>
    </row>
    <row r="823731" spans="1:1" x14ac:dyDescent="0.25">
      <c r="A823731" s="242"/>
    </row>
    <row r="823732" spans="1:1" x14ac:dyDescent="0.25">
      <c r="A823732" s="242"/>
    </row>
    <row r="823733" spans="1:1" x14ac:dyDescent="0.25">
      <c r="A823733" s="242"/>
    </row>
    <row r="823734" spans="1:1" x14ac:dyDescent="0.25">
      <c r="A823734" s="242"/>
    </row>
    <row r="823735" spans="1:1" x14ac:dyDescent="0.25">
      <c r="A823735" s="242"/>
    </row>
    <row r="823736" spans="1:1" x14ac:dyDescent="0.25">
      <c r="A823736" s="242"/>
    </row>
    <row r="823737" spans="1:1" x14ac:dyDescent="0.25">
      <c r="A823737" s="242"/>
    </row>
    <row r="823738" spans="1:1" x14ac:dyDescent="0.25">
      <c r="A823738" s="242"/>
    </row>
    <row r="823739" spans="1:1" x14ac:dyDescent="0.25">
      <c r="A823739" s="242"/>
    </row>
    <row r="823740" spans="1:1" x14ac:dyDescent="0.25">
      <c r="A823740" s="242"/>
    </row>
    <row r="823741" spans="1:1" x14ac:dyDescent="0.25">
      <c r="A823741" s="242"/>
    </row>
    <row r="823742" spans="1:1" x14ac:dyDescent="0.25">
      <c r="A823742" s="242"/>
    </row>
    <row r="823743" spans="1:1" x14ac:dyDescent="0.25">
      <c r="A823743" s="242"/>
    </row>
    <row r="823744" spans="1:1" x14ac:dyDescent="0.25">
      <c r="A823744" s="242"/>
    </row>
    <row r="823745" spans="1:1" x14ac:dyDescent="0.25">
      <c r="A823745" s="242"/>
    </row>
    <row r="823746" spans="1:1" x14ac:dyDescent="0.25">
      <c r="A823746" s="242"/>
    </row>
    <row r="823747" spans="1:1" x14ac:dyDescent="0.25">
      <c r="A823747" s="242"/>
    </row>
    <row r="823748" spans="1:1" x14ac:dyDescent="0.25">
      <c r="A823748" s="242"/>
    </row>
    <row r="823749" spans="1:1" x14ac:dyDescent="0.25">
      <c r="A823749" s="242"/>
    </row>
    <row r="823750" spans="1:1" x14ac:dyDescent="0.25">
      <c r="A823750" s="242"/>
    </row>
    <row r="823751" spans="1:1" x14ac:dyDescent="0.25">
      <c r="A823751" s="242"/>
    </row>
    <row r="823752" spans="1:1" x14ac:dyDescent="0.25">
      <c r="A823752" s="242"/>
    </row>
    <row r="823753" spans="1:1" x14ac:dyDescent="0.25">
      <c r="A823753" s="242"/>
    </row>
    <row r="823754" spans="1:1" x14ac:dyDescent="0.25">
      <c r="A823754" s="242"/>
    </row>
    <row r="823755" spans="1:1" x14ac:dyDescent="0.25">
      <c r="A823755" s="242"/>
    </row>
    <row r="823756" spans="1:1" x14ac:dyDescent="0.25">
      <c r="A823756" s="242"/>
    </row>
    <row r="823757" spans="1:1" x14ac:dyDescent="0.25">
      <c r="A823757" s="242"/>
    </row>
    <row r="823758" spans="1:1" x14ac:dyDescent="0.25">
      <c r="A823758" s="242"/>
    </row>
    <row r="823759" spans="1:1" x14ac:dyDescent="0.25">
      <c r="A823759" s="242"/>
    </row>
    <row r="823760" spans="1:1" x14ac:dyDescent="0.25">
      <c r="A823760" s="242"/>
    </row>
    <row r="823761" spans="1:1" x14ac:dyDescent="0.25">
      <c r="A823761" s="242"/>
    </row>
    <row r="823762" spans="1:1" x14ac:dyDescent="0.25">
      <c r="A823762" s="242"/>
    </row>
    <row r="823763" spans="1:1" x14ac:dyDescent="0.25">
      <c r="A823763" s="242"/>
    </row>
    <row r="823764" spans="1:1" x14ac:dyDescent="0.25">
      <c r="A823764" s="242"/>
    </row>
    <row r="823765" spans="1:1" x14ac:dyDescent="0.25">
      <c r="A823765" s="242"/>
    </row>
    <row r="823766" spans="1:1" x14ac:dyDescent="0.25">
      <c r="A823766" s="242"/>
    </row>
    <row r="823767" spans="1:1" x14ac:dyDescent="0.25">
      <c r="A823767" s="242"/>
    </row>
    <row r="823768" spans="1:1" x14ac:dyDescent="0.25">
      <c r="A823768" s="242"/>
    </row>
    <row r="823769" spans="1:1" x14ac:dyDescent="0.25">
      <c r="A823769" s="242"/>
    </row>
    <row r="823770" spans="1:1" x14ac:dyDescent="0.25">
      <c r="A823770" s="242"/>
    </row>
    <row r="823771" spans="1:1" x14ac:dyDescent="0.25">
      <c r="A823771" s="242"/>
    </row>
    <row r="823772" spans="1:1" x14ac:dyDescent="0.25">
      <c r="A823772" s="242"/>
    </row>
    <row r="823773" spans="1:1" x14ac:dyDescent="0.25">
      <c r="A823773" s="242"/>
    </row>
    <row r="823774" spans="1:1" x14ac:dyDescent="0.25">
      <c r="A823774" s="242"/>
    </row>
    <row r="823775" spans="1:1" x14ac:dyDescent="0.25">
      <c r="A823775" s="242"/>
    </row>
    <row r="823776" spans="1:1" x14ac:dyDescent="0.25">
      <c r="A823776" s="242"/>
    </row>
    <row r="823777" spans="1:1" x14ac:dyDescent="0.25">
      <c r="A823777" s="242"/>
    </row>
    <row r="823778" spans="1:1" x14ac:dyDescent="0.25">
      <c r="A823778" s="242"/>
    </row>
    <row r="823779" spans="1:1" x14ac:dyDescent="0.25">
      <c r="A823779" s="242"/>
    </row>
    <row r="823780" spans="1:1" x14ac:dyDescent="0.25">
      <c r="A823780" s="242"/>
    </row>
    <row r="823781" spans="1:1" x14ac:dyDescent="0.25">
      <c r="A823781" s="242"/>
    </row>
    <row r="823782" spans="1:1" x14ac:dyDescent="0.25">
      <c r="A823782" s="242"/>
    </row>
    <row r="823783" spans="1:1" x14ac:dyDescent="0.25">
      <c r="A823783" s="242"/>
    </row>
    <row r="823784" spans="1:1" x14ac:dyDescent="0.25">
      <c r="A823784" s="242"/>
    </row>
    <row r="823785" spans="1:1" x14ac:dyDescent="0.25">
      <c r="A823785" s="242"/>
    </row>
    <row r="823786" spans="1:1" x14ac:dyDescent="0.25">
      <c r="A823786" s="242"/>
    </row>
    <row r="823787" spans="1:1" x14ac:dyDescent="0.25">
      <c r="A823787" s="242"/>
    </row>
    <row r="823788" spans="1:1" x14ac:dyDescent="0.25">
      <c r="A823788" s="242"/>
    </row>
    <row r="823789" spans="1:1" x14ac:dyDescent="0.25">
      <c r="A823789" s="242"/>
    </row>
    <row r="823790" spans="1:1" x14ac:dyDescent="0.25">
      <c r="A823790" s="242"/>
    </row>
    <row r="823791" spans="1:1" x14ac:dyDescent="0.25">
      <c r="A823791" s="242"/>
    </row>
    <row r="823792" spans="1:1" x14ac:dyDescent="0.25">
      <c r="A823792" s="242"/>
    </row>
    <row r="823793" spans="1:1" x14ac:dyDescent="0.25">
      <c r="A823793" s="242"/>
    </row>
    <row r="823794" spans="1:1" x14ac:dyDescent="0.25">
      <c r="A823794" s="242"/>
    </row>
    <row r="823795" spans="1:1" x14ac:dyDescent="0.25">
      <c r="A823795" s="242"/>
    </row>
    <row r="823796" spans="1:1" x14ac:dyDescent="0.25">
      <c r="A823796" s="242"/>
    </row>
    <row r="823797" spans="1:1" x14ac:dyDescent="0.25">
      <c r="A823797" s="242"/>
    </row>
    <row r="823798" spans="1:1" x14ac:dyDescent="0.25">
      <c r="A823798" s="242"/>
    </row>
    <row r="823799" spans="1:1" x14ac:dyDescent="0.25">
      <c r="A823799" s="242"/>
    </row>
    <row r="823800" spans="1:1" x14ac:dyDescent="0.25">
      <c r="A823800" s="242"/>
    </row>
    <row r="823801" spans="1:1" x14ac:dyDescent="0.25">
      <c r="A823801" s="242"/>
    </row>
    <row r="823802" spans="1:1" x14ac:dyDescent="0.25">
      <c r="A823802" s="242"/>
    </row>
    <row r="823803" spans="1:1" x14ac:dyDescent="0.25">
      <c r="A823803" s="242"/>
    </row>
    <row r="823804" spans="1:1" x14ac:dyDescent="0.25">
      <c r="A823804" s="242"/>
    </row>
    <row r="823805" spans="1:1" x14ac:dyDescent="0.25">
      <c r="A823805" s="242"/>
    </row>
    <row r="823806" spans="1:1" x14ac:dyDescent="0.25">
      <c r="A823806" s="242"/>
    </row>
    <row r="823807" spans="1:1" x14ac:dyDescent="0.25">
      <c r="A823807" s="242"/>
    </row>
    <row r="823808" spans="1:1" x14ac:dyDescent="0.25">
      <c r="A823808" s="242"/>
    </row>
    <row r="823809" spans="1:1" x14ac:dyDescent="0.25">
      <c r="A823809" s="242"/>
    </row>
    <row r="823810" spans="1:1" x14ac:dyDescent="0.25">
      <c r="A823810" s="242"/>
    </row>
    <row r="823811" spans="1:1" x14ac:dyDescent="0.25">
      <c r="A823811" s="242"/>
    </row>
    <row r="823812" spans="1:1" x14ac:dyDescent="0.25">
      <c r="A823812" s="242"/>
    </row>
    <row r="823813" spans="1:1" x14ac:dyDescent="0.25">
      <c r="A823813" s="242"/>
    </row>
    <row r="823814" spans="1:1" x14ac:dyDescent="0.25">
      <c r="A823814" s="242"/>
    </row>
    <row r="823815" spans="1:1" x14ac:dyDescent="0.25">
      <c r="A823815" s="242"/>
    </row>
    <row r="823816" spans="1:1" x14ac:dyDescent="0.25">
      <c r="A823816" s="242"/>
    </row>
    <row r="823817" spans="1:1" x14ac:dyDescent="0.25">
      <c r="A823817" s="242"/>
    </row>
    <row r="823818" spans="1:1" x14ac:dyDescent="0.25">
      <c r="A823818" s="242"/>
    </row>
    <row r="823819" spans="1:1" x14ac:dyDescent="0.25">
      <c r="A823819" s="242"/>
    </row>
    <row r="823820" spans="1:1" x14ac:dyDescent="0.25">
      <c r="A823820" s="242"/>
    </row>
    <row r="823821" spans="1:1" x14ac:dyDescent="0.25">
      <c r="A823821" s="242"/>
    </row>
    <row r="823822" spans="1:1" x14ac:dyDescent="0.25">
      <c r="A823822" s="242"/>
    </row>
    <row r="823823" spans="1:1" x14ac:dyDescent="0.25">
      <c r="A823823" s="242"/>
    </row>
    <row r="823824" spans="1:1" x14ac:dyDescent="0.25">
      <c r="A823824" s="242"/>
    </row>
    <row r="823825" spans="1:1" x14ac:dyDescent="0.25">
      <c r="A823825" s="242"/>
    </row>
    <row r="823826" spans="1:1" x14ac:dyDescent="0.25">
      <c r="A823826" s="242"/>
    </row>
    <row r="823827" spans="1:1" x14ac:dyDescent="0.25">
      <c r="A823827" s="242"/>
    </row>
    <row r="823828" spans="1:1" x14ac:dyDescent="0.25">
      <c r="A823828" s="242"/>
    </row>
    <row r="823829" spans="1:1" x14ac:dyDescent="0.25">
      <c r="A823829" s="242"/>
    </row>
    <row r="823830" spans="1:1" x14ac:dyDescent="0.25">
      <c r="A823830" s="242"/>
    </row>
    <row r="823831" spans="1:1" x14ac:dyDescent="0.25">
      <c r="A823831" s="242"/>
    </row>
    <row r="823832" spans="1:1" x14ac:dyDescent="0.25">
      <c r="A823832" s="242"/>
    </row>
    <row r="823833" spans="1:1" x14ac:dyDescent="0.25">
      <c r="A823833" s="242"/>
    </row>
    <row r="823834" spans="1:1" x14ac:dyDescent="0.25">
      <c r="A823834" s="242"/>
    </row>
    <row r="823835" spans="1:1" x14ac:dyDescent="0.25">
      <c r="A823835" s="242"/>
    </row>
    <row r="823836" spans="1:1" x14ac:dyDescent="0.25">
      <c r="A823836" s="242"/>
    </row>
    <row r="823837" spans="1:1" x14ac:dyDescent="0.25">
      <c r="A823837" s="242"/>
    </row>
    <row r="823838" spans="1:1" x14ac:dyDescent="0.25">
      <c r="A823838" s="242"/>
    </row>
    <row r="823839" spans="1:1" x14ac:dyDescent="0.25">
      <c r="A823839" s="242"/>
    </row>
    <row r="823840" spans="1:1" x14ac:dyDescent="0.25">
      <c r="A823840" s="242"/>
    </row>
    <row r="823841" spans="1:1" x14ac:dyDescent="0.25">
      <c r="A823841" s="242"/>
    </row>
    <row r="823842" spans="1:1" x14ac:dyDescent="0.25">
      <c r="A823842" s="242"/>
    </row>
    <row r="823843" spans="1:1" x14ac:dyDescent="0.25">
      <c r="A823843" s="242"/>
    </row>
    <row r="823844" spans="1:1" x14ac:dyDescent="0.25">
      <c r="A823844" s="242"/>
    </row>
    <row r="823845" spans="1:1" x14ac:dyDescent="0.25">
      <c r="A823845" s="242"/>
    </row>
    <row r="823846" spans="1:1" x14ac:dyDescent="0.25">
      <c r="A823846" s="242"/>
    </row>
    <row r="823847" spans="1:1" x14ac:dyDescent="0.25">
      <c r="A823847" s="242"/>
    </row>
    <row r="823848" spans="1:1" x14ac:dyDescent="0.25">
      <c r="A823848" s="242"/>
    </row>
    <row r="823849" spans="1:1" x14ac:dyDescent="0.25">
      <c r="A823849" s="242"/>
    </row>
    <row r="823850" spans="1:1" x14ac:dyDescent="0.25">
      <c r="A823850" s="242"/>
    </row>
    <row r="823851" spans="1:1" x14ac:dyDescent="0.25">
      <c r="A823851" s="242"/>
    </row>
    <row r="823852" spans="1:1" x14ac:dyDescent="0.25">
      <c r="A823852" s="242"/>
    </row>
    <row r="823853" spans="1:1" x14ac:dyDescent="0.25">
      <c r="A823853" s="242"/>
    </row>
    <row r="823854" spans="1:1" x14ac:dyDescent="0.25">
      <c r="A823854" s="242"/>
    </row>
    <row r="823855" spans="1:1" x14ac:dyDescent="0.25">
      <c r="A823855" s="242"/>
    </row>
    <row r="823856" spans="1:1" x14ac:dyDescent="0.25">
      <c r="A823856" s="242"/>
    </row>
    <row r="823857" spans="1:1" x14ac:dyDescent="0.25">
      <c r="A823857" s="242"/>
    </row>
    <row r="823858" spans="1:1" x14ac:dyDescent="0.25">
      <c r="A823858" s="242"/>
    </row>
    <row r="823859" spans="1:1" x14ac:dyDescent="0.25">
      <c r="A823859" s="242"/>
    </row>
    <row r="823860" spans="1:1" x14ac:dyDescent="0.25">
      <c r="A823860" s="242"/>
    </row>
    <row r="823861" spans="1:1" x14ac:dyDescent="0.25">
      <c r="A823861" s="242"/>
    </row>
    <row r="823862" spans="1:1" x14ac:dyDescent="0.25">
      <c r="A823862" s="242"/>
    </row>
    <row r="823863" spans="1:1" x14ac:dyDescent="0.25">
      <c r="A823863" s="242"/>
    </row>
    <row r="823864" spans="1:1" x14ac:dyDescent="0.25">
      <c r="A823864" s="242"/>
    </row>
    <row r="823865" spans="1:1" x14ac:dyDescent="0.25">
      <c r="A823865" s="242"/>
    </row>
    <row r="823866" spans="1:1" x14ac:dyDescent="0.25">
      <c r="A823866" s="242"/>
    </row>
    <row r="823867" spans="1:1" x14ac:dyDescent="0.25">
      <c r="A823867" s="242"/>
    </row>
    <row r="823868" spans="1:1" x14ac:dyDescent="0.25">
      <c r="A823868" s="242"/>
    </row>
    <row r="823869" spans="1:1" x14ac:dyDescent="0.25">
      <c r="A823869" s="242"/>
    </row>
    <row r="823870" spans="1:1" x14ac:dyDescent="0.25">
      <c r="A823870" s="242"/>
    </row>
    <row r="823871" spans="1:1" x14ac:dyDescent="0.25">
      <c r="A823871" s="242"/>
    </row>
    <row r="823872" spans="1:1" x14ac:dyDescent="0.25">
      <c r="A823872" s="242"/>
    </row>
    <row r="823873" spans="1:1" x14ac:dyDescent="0.25">
      <c r="A823873" s="242"/>
    </row>
    <row r="823874" spans="1:1" x14ac:dyDescent="0.25">
      <c r="A823874" s="242"/>
    </row>
    <row r="823875" spans="1:1" x14ac:dyDescent="0.25">
      <c r="A823875" s="242"/>
    </row>
    <row r="823876" spans="1:1" x14ac:dyDescent="0.25">
      <c r="A823876" s="242"/>
    </row>
    <row r="823877" spans="1:1" x14ac:dyDescent="0.25">
      <c r="A823877" s="242"/>
    </row>
    <row r="823878" spans="1:1" x14ac:dyDescent="0.25">
      <c r="A823878" s="242"/>
    </row>
    <row r="823879" spans="1:1" x14ac:dyDescent="0.25">
      <c r="A823879" s="242"/>
    </row>
    <row r="823880" spans="1:1" x14ac:dyDescent="0.25">
      <c r="A823880" s="242"/>
    </row>
    <row r="823881" spans="1:1" x14ac:dyDescent="0.25">
      <c r="A823881" s="242"/>
    </row>
    <row r="823882" spans="1:1" x14ac:dyDescent="0.25">
      <c r="A823882" s="242"/>
    </row>
    <row r="823883" spans="1:1" x14ac:dyDescent="0.25">
      <c r="A823883" s="242"/>
    </row>
    <row r="823884" spans="1:1" x14ac:dyDescent="0.25">
      <c r="A823884" s="242"/>
    </row>
    <row r="823885" spans="1:1" x14ac:dyDescent="0.25">
      <c r="A823885" s="242"/>
    </row>
    <row r="823886" spans="1:1" x14ac:dyDescent="0.25">
      <c r="A823886" s="242"/>
    </row>
    <row r="823887" spans="1:1" x14ac:dyDescent="0.25">
      <c r="A823887" s="242"/>
    </row>
    <row r="823888" spans="1:1" x14ac:dyDescent="0.25">
      <c r="A823888" s="242"/>
    </row>
    <row r="823889" spans="1:1" x14ac:dyDescent="0.25">
      <c r="A823889" s="242"/>
    </row>
    <row r="823890" spans="1:1" x14ac:dyDescent="0.25">
      <c r="A823890" s="242"/>
    </row>
    <row r="823891" spans="1:1" x14ac:dyDescent="0.25">
      <c r="A823891" s="242"/>
    </row>
    <row r="823892" spans="1:1" x14ac:dyDescent="0.25">
      <c r="A823892" s="242"/>
    </row>
    <row r="823893" spans="1:1" x14ac:dyDescent="0.25">
      <c r="A823893" s="242"/>
    </row>
    <row r="823894" spans="1:1" x14ac:dyDescent="0.25">
      <c r="A823894" s="242"/>
    </row>
    <row r="823895" spans="1:1" x14ac:dyDescent="0.25">
      <c r="A823895" s="242"/>
    </row>
    <row r="823896" spans="1:1" x14ac:dyDescent="0.25">
      <c r="A823896" s="242"/>
    </row>
    <row r="823897" spans="1:1" x14ac:dyDescent="0.25">
      <c r="A823897" s="242"/>
    </row>
    <row r="823898" spans="1:1" x14ac:dyDescent="0.25">
      <c r="A823898" s="242"/>
    </row>
    <row r="823899" spans="1:1" x14ac:dyDescent="0.25">
      <c r="A823899" s="242"/>
    </row>
    <row r="823900" spans="1:1" x14ac:dyDescent="0.25">
      <c r="A823900" s="242"/>
    </row>
    <row r="823901" spans="1:1" x14ac:dyDescent="0.25">
      <c r="A823901" s="242"/>
    </row>
    <row r="823902" spans="1:1" x14ac:dyDescent="0.25">
      <c r="A823902" s="242"/>
    </row>
    <row r="823903" spans="1:1" x14ac:dyDescent="0.25">
      <c r="A823903" s="242"/>
    </row>
    <row r="823904" spans="1:1" x14ac:dyDescent="0.25">
      <c r="A823904" s="242"/>
    </row>
    <row r="823905" spans="1:1" x14ac:dyDescent="0.25">
      <c r="A823905" s="242"/>
    </row>
    <row r="823906" spans="1:1" x14ac:dyDescent="0.25">
      <c r="A823906" s="242"/>
    </row>
    <row r="823907" spans="1:1" x14ac:dyDescent="0.25">
      <c r="A823907" s="242"/>
    </row>
    <row r="823908" spans="1:1" x14ac:dyDescent="0.25">
      <c r="A823908" s="242"/>
    </row>
    <row r="823909" spans="1:1" x14ac:dyDescent="0.25">
      <c r="A823909" s="242"/>
    </row>
    <row r="823910" spans="1:1" x14ac:dyDescent="0.25">
      <c r="A823910" s="242"/>
    </row>
    <row r="823911" spans="1:1" x14ac:dyDescent="0.25">
      <c r="A823911" s="242"/>
    </row>
    <row r="823912" spans="1:1" x14ac:dyDescent="0.25">
      <c r="A823912" s="242"/>
    </row>
    <row r="823913" spans="1:1" x14ac:dyDescent="0.25">
      <c r="A823913" s="242"/>
    </row>
    <row r="823914" spans="1:1" x14ac:dyDescent="0.25">
      <c r="A823914" s="242"/>
    </row>
    <row r="823915" spans="1:1" x14ac:dyDescent="0.25">
      <c r="A823915" s="242"/>
    </row>
    <row r="823916" spans="1:1" x14ac:dyDescent="0.25">
      <c r="A823916" s="242"/>
    </row>
    <row r="823917" spans="1:1" x14ac:dyDescent="0.25">
      <c r="A823917" s="242"/>
    </row>
    <row r="823918" spans="1:1" x14ac:dyDescent="0.25">
      <c r="A823918" s="242"/>
    </row>
    <row r="823919" spans="1:1" x14ac:dyDescent="0.25">
      <c r="A823919" s="242"/>
    </row>
    <row r="823920" spans="1:1" x14ac:dyDescent="0.25">
      <c r="A823920" s="242"/>
    </row>
    <row r="823921" spans="1:1" x14ac:dyDescent="0.25">
      <c r="A823921" s="242"/>
    </row>
    <row r="823922" spans="1:1" x14ac:dyDescent="0.25">
      <c r="A823922" s="242"/>
    </row>
    <row r="823923" spans="1:1" x14ac:dyDescent="0.25">
      <c r="A823923" s="242"/>
    </row>
    <row r="823924" spans="1:1" x14ac:dyDescent="0.25">
      <c r="A823924" s="242"/>
    </row>
    <row r="823925" spans="1:1" x14ac:dyDescent="0.25">
      <c r="A823925" s="242"/>
    </row>
    <row r="823926" spans="1:1" x14ac:dyDescent="0.25">
      <c r="A823926" s="242"/>
    </row>
    <row r="823927" spans="1:1" x14ac:dyDescent="0.25">
      <c r="A823927" s="242"/>
    </row>
    <row r="823928" spans="1:1" x14ac:dyDescent="0.25">
      <c r="A823928" s="242"/>
    </row>
    <row r="823929" spans="1:1" x14ac:dyDescent="0.25">
      <c r="A823929" s="242"/>
    </row>
    <row r="823930" spans="1:1" x14ac:dyDescent="0.25">
      <c r="A823930" s="242"/>
    </row>
    <row r="823931" spans="1:1" x14ac:dyDescent="0.25">
      <c r="A823931" s="242"/>
    </row>
    <row r="823932" spans="1:1" x14ac:dyDescent="0.25">
      <c r="A823932" s="242"/>
    </row>
    <row r="823933" spans="1:1" x14ac:dyDescent="0.25">
      <c r="A823933" s="242"/>
    </row>
    <row r="823934" spans="1:1" x14ac:dyDescent="0.25">
      <c r="A823934" s="242"/>
    </row>
    <row r="823935" spans="1:1" x14ac:dyDescent="0.25">
      <c r="A823935" s="242"/>
    </row>
    <row r="823936" spans="1:1" x14ac:dyDescent="0.25">
      <c r="A823936" s="242"/>
    </row>
    <row r="823937" spans="1:1" x14ac:dyDescent="0.25">
      <c r="A823937" s="242"/>
    </row>
    <row r="823938" spans="1:1" x14ac:dyDescent="0.25">
      <c r="A823938" s="242"/>
    </row>
    <row r="823939" spans="1:1" x14ac:dyDescent="0.25">
      <c r="A823939" s="242"/>
    </row>
    <row r="823940" spans="1:1" x14ac:dyDescent="0.25">
      <c r="A823940" s="242"/>
    </row>
    <row r="823941" spans="1:1" x14ac:dyDescent="0.25">
      <c r="A823941" s="242"/>
    </row>
    <row r="823942" spans="1:1" x14ac:dyDescent="0.25">
      <c r="A823942" s="242"/>
    </row>
    <row r="823943" spans="1:1" x14ac:dyDescent="0.25">
      <c r="A823943" s="242"/>
    </row>
    <row r="823944" spans="1:1" x14ac:dyDescent="0.25">
      <c r="A823944" s="242"/>
    </row>
    <row r="823945" spans="1:1" x14ac:dyDescent="0.25">
      <c r="A823945" s="242"/>
    </row>
    <row r="823946" spans="1:1" x14ac:dyDescent="0.25">
      <c r="A823946" s="242"/>
    </row>
    <row r="823947" spans="1:1" x14ac:dyDescent="0.25">
      <c r="A823947" s="242"/>
    </row>
    <row r="823948" spans="1:1" x14ac:dyDescent="0.25">
      <c r="A823948" s="242"/>
    </row>
    <row r="823949" spans="1:1" x14ac:dyDescent="0.25">
      <c r="A823949" s="242"/>
    </row>
    <row r="823950" spans="1:1" x14ac:dyDescent="0.25">
      <c r="A823950" s="242"/>
    </row>
    <row r="823951" spans="1:1" x14ac:dyDescent="0.25">
      <c r="A823951" s="242"/>
    </row>
    <row r="823952" spans="1:1" x14ac:dyDescent="0.25">
      <c r="A823952" s="242"/>
    </row>
    <row r="823953" spans="1:1" x14ac:dyDescent="0.25">
      <c r="A823953" s="242"/>
    </row>
    <row r="823954" spans="1:1" x14ac:dyDescent="0.25">
      <c r="A823954" s="242"/>
    </row>
    <row r="823955" spans="1:1" x14ac:dyDescent="0.25">
      <c r="A823955" s="242"/>
    </row>
    <row r="823956" spans="1:1" x14ac:dyDescent="0.25">
      <c r="A823956" s="242"/>
    </row>
    <row r="823957" spans="1:1" x14ac:dyDescent="0.25">
      <c r="A823957" s="242"/>
    </row>
    <row r="823958" spans="1:1" x14ac:dyDescent="0.25">
      <c r="A823958" s="242"/>
    </row>
    <row r="823959" spans="1:1" x14ac:dyDescent="0.25">
      <c r="A823959" s="242"/>
    </row>
    <row r="823960" spans="1:1" x14ac:dyDescent="0.25">
      <c r="A823960" s="242"/>
    </row>
    <row r="823961" spans="1:1" x14ac:dyDescent="0.25">
      <c r="A823961" s="242"/>
    </row>
    <row r="823962" spans="1:1" x14ac:dyDescent="0.25">
      <c r="A823962" s="242"/>
    </row>
    <row r="823963" spans="1:1" x14ac:dyDescent="0.25">
      <c r="A823963" s="242"/>
    </row>
    <row r="823964" spans="1:1" x14ac:dyDescent="0.25">
      <c r="A823964" s="242"/>
    </row>
    <row r="823965" spans="1:1" x14ac:dyDescent="0.25">
      <c r="A823965" s="242"/>
    </row>
    <row r="823966" spans="1:1" x14ac:dyDescent="0.25">
      <c r="A823966" s="242"/>
    </row>
    <row r="823967" spans="1:1" x14ac:dyDescent="0.25">
      <c r="A823967" s="242"/>
    </row>
    <row r="823968" spans="1:1" x14ac:dyDescent="0.25">
      <c r="A823968" s="242"/>
    </row>
    <row r="823969" spans="1:1" x14ac:dyDescent="0.25">
      <c r="A823969" s="242"/>
    </row>
    <row r="823970" spans="1:1" x14ac:dyDescent="0.25">
      <c r="A823970" s="242"/>
    </row>
    <row r="823971" spans="1:1" x14ac:dyDescent="0.25">
      <c r="A823971" s="242"/>
    </row>
    <row r="823972" spans="1:1" x14ac:dyDescent="0.25">
      <c r="A823972" s="242"/>
    </row>
    <row r="823973" spans="1:1" x14ac:dyDescent="0.25">
      <c r="A823973" s="242"/>
    </row>
    <row r="823974" spans="1:1" x14ac:dyDescent="0.25">
      <c r="A823974" s="242"/>
    </row>
    <row r="823975" spans="1:1" x14ac:dyDescent="0.25">
      <c r="A823975" s="242"/>
    </row>
    <row r="823976" spans="1:1" x14ac:dyDescent="0.25">
      <c r="A823976" s="242"/>
    </row>
    <row r="823977" spans="1:1" x14ac:dyDescent="0.25">
      <c r="A823977" s="242"/>
    </row>
    <row r="823978" spans="1:1" x14ac:dyDescent="0.25">
      <c r="A823978" s="242"/>
    </row>
    <row r="823979" spans="1:1" x14ac:dyDescent="0.25">
      <c r="A823979" s="242"/>
    </row>
    <row r="823980" spans="1:1" x14ac:dyDescent="0.25">
      <c r="A823980" s="242"/>
    </row>
    <row r="823981" spans="1:1" x14ac:dyDescent="0.25">
      <c r="A823981" s="242"/>
    </row>
    <row r="823982" spans="1:1" x14ac:dyDescent="0.25">
      <c r="A823982" s="242"/>
    </row>
    <row r="823983" spans="1:1" x14ac:dyDescent="0.25">
      <c r="A823983" s="242"/>
    </row>
    <row r="823984" spans="1:1" x14ac:dyDescent="0.25">
      <c r="A823984" s="242"/>
    </row>
    <row r="823985" spans="1:1" x14ac:dyDescent="0.25">
      <c r="A823985" s="242"/>
    </row>
    <row r="823986" spans="1:1" x14ac:dyDescent="0.25">
      <c r="A823986" s="242"/>
    </row>
    <row r="823987" spans="1:1" x14ac:dyDescent="0.25">
      <c r="A823987" s="242"/>
    </row>
    <row r="823988" spans="1:1" x14ac:dyDescent="0.25">
      <c r="A823988" s="242"/>
    </row>
    <row r="823989" spans="1:1" x14ac:dyDescent="0.25">
      <c r="A823989" s="242"/>
    </row>
    <row r="823990" spans="1:1" x14ac:dyDescent="0.25">
      <c r="A823990" s="242"/>
    </row>
    <row r="823991" spans="1:1" x14ac:dyDescent="0.25">
      <c r="A823991" s="242"/>
    </row>
    <row r="823992" spans="1:1" x14ac:dyDescent="0.25">
      <c r="A823992" s="242"/>
    </row>
    <row r="823993" spans="1:1" x14ac:dyDescent="0.25">
      <c r="A823993" s="242"/>
    </row>
    <row r="823994" spans="1:1" x14ac:dyDescent="0.25">
      <c r="A823994" s="242"/>
    </row>
    <row r="823995" spans="1:1" x14ac:dyDescent="0.25">
      <c r="A823995" s="242"/>
    </row>
    <row r="823996" spans="1:1" x14ac:dyDescent="0.25">
      <c r="A823996" s="242"/>
    </row>
    <row r="823997" spans="1:1" x14ac:dyDescent="0.25">
      <c r="A823997" s="242"/>
    </row>
    <row r="823998" spans="1:1" x14ac:dyDescent="0.25">
      <c r="A823998" s="242"/>
    </row>
    <row r="823999" spans="1:1" x14ac:dyDescent="0.25">
      <c r="A823999" s="242"/>
    </row>
    <row r="824000" spans="1:1" x14ac:dyDescent="0.25">
      <c r="A824000" s="242"/>
    </row>
    <row r="824001" spans="1:1" x14ac:dyDescent="0.25">
      <c r="A824001" s="242"/>
    </row>
    <row r="824002" spans="1:1" x14ac:dyDescent="0.25">
      <c r="A824002" s="242"/>
    </row>
    <row r="824003" spans="1:1" x14ac:dyDescent="0.25">
      <c r="A824003" s="242"/>
    </row>
    <row r="824004" spans="1:1" x14ac:dyDescent="0.25">
      <c r="A824004" s="242"/>
    </row>
    <row r="824005" spans="1:1" x14ac:dyDescent="0.25">
      <c r="A824005" s="242"/>
    </row>
    <row r="824006" spans="1:1" x14ac:dyDescent="0.25">
      <c r="A824006" s="242"/>
    </row>
    <row r="824007" spans="1:1" x14ac:dyDescent="0.25">
      <c r="A824007" s="242"/>
    </row>
    <row r="824008" spans="1:1" x14ac:dyDescent="0.25">
      <c r="A824008" s="242"/>
    </row>
    <row r="824009" spans="1:1" x14ac:dyDescent="0.25">
      <c r="A824009" s="242"/>
    </row>
    <row r="824010" spans="1:1" x14ac:dyDescent="0.25">
      <c r="A824010" s="242"/>
    </row>
    <row r="824011" spans="1:1" x14ac:dyDescent="0.25">
      <c r="A824011" s="242"/>
    </row>
    <row r="824012" spans="1:1" x14ac:dyDescent="0.25">
      <c r="A824012" s="242"/>
    </row>
    <row r="824013" spans="1:1" x14ac:dyDescent="0.25">
      <c r="A824013" s="242"/>
    </row>
    <row r="824014" spans="1:1" x14ac:dyDescent="0.25">
      <c r="A824014" s="242"/>
    </row>
    <row r="824015" spans="1:1" x14ac:dyDescent="0.25">
      <c r="A824015" s="242"/>
    </row>
    <row r="824016" spans="1:1" x14ac:dyDescent="0.25">
      <c r="A824016" s="242"/>
    </row>
    <row r="824017" spans="1:1" x14ac:dyDescent="0.25">
      <c r="A824017" s="242"/>
    </row>
    <row r="824018" spans="1:1" x14ac:dyDescent="0.25">
      <c r="A824018" s="242"/>
    </row>
    <row r="824019" spans="1:1" x14ac:dyDescent="0.25">
      <c r="A824019" s="242"/>
    </row>
    <row r="824020" spans="1:1" x14ac:dyDescent="0.25">
      <c r="A824020" s="242"/>
    </row>
    <row r="824021" spans="1:1" x14ac:dyDescent="0.25">
      <c r="A824021" s="242"/>
    </row>
    <row r="824022" spans="1:1" x14ac:dyDescent="0.25">
      <c r="A824022" s="242"/>
    </row>
    <row r="824023" spans="1:1" x14ac:dyDescent="0.25">
      <c r="A824023" s="242"/>
    </row>
    <row r="824024" spans="1:1" x14ac:dyDescent="0.25">
      <c r="A824024" s="242"/>
    </row>
    <row r="824025" spans="1:1" x14ac:dyDescent="0.25">
      <c r="A824025" s="242"/>
    </row>
    <row r="824026" spans="1:1" x14ac:dyDescent="0.25">
      <c r="A824026" s="242"/>
    </row>
    <row r="824027" spans="1:1" x14ac:dyDescent="0.25">
      <c r="A824027" s="242"/>
    </row>
    <row r="824028" spans="1:1" x14ac:dyDescent="0.25">
      <c r="A824028" s="242"/>
    </row>
    <row r="824029" spans="1:1" x14ac:dyDescent="0.25">
      <c r="A824029" s="242"/>
    </row>
    <row r="824030" spans="1:1" x14ac:dyDescent="0.25">
      <c r="A824030" s="242"/>
    </row>
    <row r="824031" spans="1:1" x14ac:dyDescent="0.25">
      <c r="A824031" s="242"/>
    </row>
    <row r="824032" spans="1:1" x14ac:dyDescent="0.25">
      <c r="A824032" s="242"/>
    </row>
    <row r="824033" spans="1:1" x14ac:dyDescent="0.25">
      <c r="A824033" s="242"/>
    </row>
    <row r="824034" spans="1:1" x14ac:dyDescent="0.25">
      <c r="A824034" s="242"/>
    </row>
    <row r="824035" spans="1:1" x14ac:dyDescent="0.25">
      <c r="A824035" s="242"/>
    </row>
    <row r="824036" spans="1:1" x14ac:dyDescent="0.25">
      <c r="A824036" s="242"/>
    </row>
    <row r="824037" spans="1:1" x14ac:dyDescent="0.25">
      <c r="A824037" s="242"/>
    </row>
    <row r="824038" spans="1:1" x14ac:dyDescent="0.25">
      <c r="A824038" s="242"/>
    </row>
    <row r="824039" spans="1:1" x14ac:dyDescent="0.25">
      <c r="A824039" s="242"/>
    </row>
    <row r="824040" spans="1:1" x14ac:dyDescent="0.25">
      <c r="A824040" s="242"/>
    </row>
    <row r="824041" spans="1:1" x14ac:dyDescent="0.25">
      <c r="A824041" s="242"/>
    </row>
    <row r="824042" spans="1:1" x14ac:dyDescent="0.25">
      <c r="A824042" s="242"/>
    </row>
    <row r="824043" spans="1:1" x14ac:dyDescent="0.25">
      <c r="A824043" s="242"/>
    </row>
    <row r="824044" spans="1:1" x14ac:dyDescent="0.25">
      <c r="A824044" s="242"/>
    </row>
    <row r="824045" spans="1:1" x14ac:dyDescent="0.25">
      <c r="A824045" s="242"/>
    </row>
    <row r="824046" spans="1:1" x14ac:dyDescent="0.25">
      <c r="A824046" s="242"/>
    </row>
    <row r="824047" spans="1:1" x14ac:dyDescent="0.25">
      <c r="A824047" s="242"/>
    </row>
    <row r="824048" spans="1:1" x14ac:dyDescent="0.25">
      <c r="A824048" s="242"/>
    </row>
    <row r="824049" spans="1:1" x14ac:dyDescent="0.25">
      <c r="A824049" s="242"/>
    </row>
    <row r="824050" spans="1:1" x14ac:dyDescent="0.25">
      <c r="A824050" s="242"/>
    </row>
    <row r="824051" spans="1:1" x14ac:dyDescent="0.25">
      <c r="A824051" s="242"/>
    </row>
    <row r="824052" spans="1:1" x14ac:dyDescent="0.25">
      <c r="A824052" s="242"/>
    </row>
    <row r="824053" spans="1:1" x14ac:dyDescent="0.25">
      <c r="A824053" s="242"/>
    </row>
    <row r="824054" spans="1:1" x14ac:dyDescent="0.25">
      <c r="A824054" s="242"/>
    </row>
    <row r="824055" spans="1:1" x14ac:dyDescent="0.25">
      <c r="A824055" s="242"/>
    </row>
    <row r="824056" spans="1:1" x14ac:dyDescent="0.25">
      <c r="A824056" s="242"/>
    </row>
    <row r="824057" spans="1:1" x14ac:dyDescent="0.25">
      <c r="A824057" s="242"/>
    </row>
    <row r="824058" spans="1:1" x14ac:dyDescent="0.25">
      <c r="A824058" s="242"/>
    </row>
    <row r="824059" spans="1:1" x14ac:dyDescent="0.25">
      <c r="A824059" s="242"/>
    </row>
    <row r="824060" spans="1:1" x14ac:dyDescent="0.25">
      <c r="A824060" s="242"/>
    </row>
    <row r="824061" spans="1:1" x14ac:dyDescent="0.25">
      <c r="A824061" s="242"/>
    </row>
    <row r="824062" spans="1:1" x14ac:dyDescent="0.25">
      <c r="A824062" s="242"/>
    </row>
    <row r="824063" spans="1:1" x14ac:dyDescent="0.25">
      <c r="A824063" s="242"/>
    </row>
    <row r="824064" spans="1:1" x14ac:dyDescent="0.25">
      <c r="A824064" s="242"/>
    </row>
    <row r="824065" spans="1:1" x14ac:dyDescent="0.25">
      <c r="A824065" s="242"/>
    </row>
    <row r="824066" spans="1:1" x14ac:dyDescent="0.25">
      <c r="A824066" s="242"/>
    </row>
    <row r="824067" spans="1:1" x14ac:dyDescent="0.25">
      <c r="A824067" s="242"/>
    </row>
    <row r="824068" spans="1:1" x14ac:dyDescent="0.25">
      <c r="A824068" s="242"/>
    </row>
    <row r="824069" spans="1:1" x14ac:dyDescent="0.25">
      <c r="A824069" s="242"/>
    </row>
    <row r="824070" spans="1:1" x14ac:dyDescent="0.25">
      <c r="A824070" s="242"/>
    </row>
    <row r="824071" spans="1:1" x14ac:dyDescent="0.25">
      <c r="A824071" s="242"/>
    </row>
    <row r="824072" spans="1:1" x14ac:dyDescent="0.25">
      <c r="A824072" s="242"/>
    </row>
    <row r="824073" spans="1:1" x14ac:dyDescent="0.25">
      <c r="A824073" s="242"/>
    </row>
    <row r="824074" spans="1:1" x14ac:dyDescent="0.25">
      <c r="A824074" s="242"/>
    </row>
    <row r="824075" spans="1:1" x14ac:dyDescent="0.25">
      <c r="A824075" s="242"/>
    </row>
    <row r="824076" spans="1:1" x14ac:dyDescent="0.25">
      <c r="A824076" s="242"/>
    </row>
    <row r="824077" spans="1:1" x14ac:dyDescent="0.25">
      <c r="A824077" s="242"/>
    </row>
    <row r="824078" spans="1:1" x14ac:dyDescent="0.25">
      <c r="A824078" s="242"/>
    </row>
    <row r="824079" spans="1:1" x14ac:dyDescent="0.25">
      <c r="A824079" s="242"/>
    </row>
    <row r="824080" spans="1:1" x14ac:dyDescent="0.25">
      <c r="A824080" s="242"/>
    </row>
    <row r="824081" spans="1:1" x14ac:dyDescent="0.25">
      <c r="A824081" s="242"/>
    </row>
    <row r="824082" spans="1:1" x14ac:dyDescent="0.25">
      <c r="A824082" s="242"/>
    </row>
    <row r="824083" spans="1:1" x14ac:dyDescent="0.25">
      <c r="A824083" s="242"/>
    </row>
    <row r="824084" spans="1:1" x14ac:dyDescent="0.25">
      <c r="A824084" s="242"/>
    </row>
    <row r="824085" spans="1:1" x14ac:dyDescent="0.25">
      <c r="A824085" s="242"/>
    </row>
    <row r="824086" spans="1:1" x14ac:dyDescent="0.25">
      <c r="A824086" s="242"/>
    </row>
    <row r="824087" spans="1:1" x14ac:dyDescent="0.25">
      <c r="A824087" s="242"/>
    </row>
    <row r="824088" spans="1:1" x14ac:dyDescent="0.25">
      <c r="A824088" s="242"/>
    </row>
    <row r="824089" spans="1:1" x14ac:dyDescent="0.25">
      <c r="A824089" s="242"/>
    </row>
    <row r="824090" spans="1:1" x14ac:dyDescent="0.25">
      <c r="A824090" s="242"/>
    </row>
    <row r="824091" spans="1:1" x14ac:dyDescent="0.25">
      <c r="A824091" s="242"/>
    </row>
    <row r="824092" spans="1:1" x14ac:dyDescent="0.25">
      <c r="A824092" s="242"/>
    </row>
    <row r="824093" spans="1:1" x14ac:dyDescent="0.25">
      <c r="A824093" s="242"/>
    </row>
    <row r="824094" spans="1:1" x14ac:dyDescent="0.25">
      <c r="A824094" s="242"/>
    </row>
    <row r="824095" spans="1:1" x14ac:dyDescent="0.25">
      <c r="A824095" s="242"/>
    </row>
    <row r="824096" spans="1:1" x14ac:dyDescent="0.25">
      <c r="A824096" s="242"/>
    </row>
    <row r="824097" spans="1:1" x14ac:dyDescent="0.25">
      <c r="A824097" s="242"/>
    </row>
    <row r="824098" spans="1:1" x14ac:dyDescent="0.25">
      <c r="A824098" s="242"/>
    </row>
    <row r="824099" spans="1:1" x14ac:dyDescent="0.25">
      <c r="A824099" s="242"/>
    </row>
    <row r="824100" spans="1:1" x14ac:dyDescent="0.25">
      <c r="A824100" s="242"/>
    </row>
    <row r="824101" spans="1:1" x14ac:dyDescent="0.25">
      <c r="A824101" s="242"/>
    </row>
    <row r="824102" spans="1:1" x14ac:dyDescent="0.25">
      <c r="A824102" s="242"/>
    </row>
    <row r="824103" spans="1:1" x14ac:dyDescent="0.25">
      <c r="A824103" s="242"/>
    </row>
    <row r="824104" spans="1:1" x14ac:dyDescent="0.25">
      <c r="A824104" s="242"/>
    </row>
    <row r="824105" spans="1:1" x14ac:dyDescent="0.25">
      <c r="A824105" s="242"/>
    </row>
    <row r="824106" spans="1:1" x14ac:dyDescent="0.25">
      <c r="A824106" s="242"/>
    </row>
    <row r="824107" spans="1:1" x14ac:dyDescent="0.25">
      <c r="A824107" s="242"/>
    </row>
    <row r="824108" spans="1:1" x14ac:dyDescent="0.25">
      <c r="A824108" s="242"/>
    </row>
    <row r="824109" spans="1:1" x14ac:dyDescent="0.25">
      <c r="A824109" s="242"/>
    </row>
    <row r="824110" spans="1:1" x14ac:dyDescent="0.25">
      <c r="A824110" s="242"/>
    </row>
    <row r="824111" spans="1:1" x14ac:dyDescent="0.25">
      <c r="A824111" s="242"/>
    </row>
    <row r="824112" spans="1:1" x14ac:dyDescent="0.25">
      <c r="A824112" s="242"/>
    </row>
    <row r="824113" spans="1:1" x14ac:dyDescent="0.25">
      <c r="A824113" s="242"/>
    </row>
    <row r="824114" spans="1:1" x14ac:dyDescent="0.25">
      <c r="A824114" s="242"/>
    </row>
    <row r="824115" spans="1:1" x14ac:dyDescent="0.25">
      <c r="A824115" s="242"/>
    </row>
    <row r="824116" spans="1:1" x14ac:dyDescent="0.25">
      <c r="A824116" s="242"/>
    </row>
    <row r="824117" spans="1:1" x14ac:dyDescent="0.25">
      <c r="A824117" s="242"/>
    </row>
    <row r="824118" spans="1:1" x14ac:dyDescent="0.25">
      <c r="A824118" s="242"/>
    </row>
    <row r="824119" spans="1:1" x14ac:dyDescent="0.25">
      <c r="A824119" s="242"/>
    </row>
    <row r="824120" spans="1:1" x14ac:dyDescent="0.25">
      <c r="A824120" s="242"/>
    </row>
    <row r="824121" spans="1:1" x14ac:dyDescent="0.25">
      <c r="A824121" s="242"/>
    </row>
    <row r="824122" spans="1:1" x14ac:dyDescent="0.25">
      <c r="A824122" s="242"/>
    </row>
    <row r="824123" spans="1:1" x14ac:dyDescent="0.25">
      <c r="A824123" s="242"/>
    </row>
    <row r="824124" spans="1:1" x14ac:dyDescent="0.25">
      <c r="A824124" s="242"/>
    </row>
    <row r="824125" spans="1:1" x14ac:dyDescent="0.25">
      <c r="A824125" s="242"/>
    </row>
    <row r="824126" spans="1:1" x14ac:dyDescent="0.25">
      <c r="A824126" s="242"/>
    </row>
    <row r="824127" spans="1:1" x14ac:dyDescent="0.25">
      <c r="A824127" s="242"/>
    </row>
    <row r="824128" spans="1:1" x14ac:dyDescent="0.25">
      <c r="A824128" s="242"/>
    </row>
    <row r="824129" spans="1:1" x14ac:dyDescent="0.25">
      <c r="A824129" s="242"/>
    </row>
    <row r="824130" spans="1:1" x14ac:dyDescent="0.25">
      <c r="A824130" s="242"/>
    </row>
    <row r="824131" spans="1:1" x14ac:dyDescent="0.25">
      <c r="A824131" s="242"/>
    </row>
    <row r="824132" spans="1:1" x14ac:dyDescent="0.25">
      <c r="A824132" s="242"/>
    </row>
    <row r="824133" spans="1:1" x14ac:dyDescent="0.25">
      <c r="A824133" s="242"/>
    </row>
    <row r="824134" spans="1:1" x14ac:dyDescent="0.25">
      <c r="A824134" s="242"/>
    </row>
    <row r="824135" spans="1:1" x14ac:dyDescent="0.25">
      <c r="A824135" s="242"/>
    </row>
    <row r="824136" spans="1:1" x14ac:dyDescent="0.25">
      <c r="A824136" s="242"/>
    </row>
    <row r="824137" spans="1:1" x14ac:dyDescent="0.25">
      <c r="A824137" s="242"/>
    </row>
    <row r="824138" spans="1:1" x14ac:dyDescent="0.25">
      <c r="A824138" s="242"/>
    </row>
    <row r="824139" spans="1:1" x14ac:dyDescent="0.25">
      <c r="A824139" s="242"/>
    </row>
    <row r="824140" spans="1:1" x14ac:dyDescent="0.25">
      <c r="A824140" s="242"/>
    </row>
    <row r="824141" spans="1:1" x14ac:dyDescent="0.25">
      <c r="A824141" s="242"/>
    </row>
    <row r="824142" spans="1:1" x14ac:dyDescent="0.25">
      <c r="A824142" s="242"/>
    </row>
    <row r="824143" spans="1:1" x14ac:dyDescent="0.25">
      <c r="A824143" s="242"/>
    </row>
    <row r="824144" spans="1:1" x14ac:dyDescent="0.25">
      <c r="A824144" s="242"/>
    </row>
    <row r="824145" spans="1:1" x14ac:dyDescent="0.25">
      <c r="A824145" s="242"/>
    </row>
    <row r="824146" spans="1:1" x14ac:dyDescent="0.25">
      <c r="A824146" s="242"/>
    </row>
    <row r="824147" spans="1:1" x14ac:dyDescent="0.25">
      <c r="A824147" s="242"/>
    </row>
    <row r="824148" spans="1:1" x14ac:dyDescent="0.25">
      <c r="A824148" s="242"/>
    </row>
    <row r="824149" spans="1:1" x14ac:dyDescent="0.25">
      <c r="A824149" s="242"/>
    </row>
    <row r="824150" spans="1:1" x14ac:dyDescent="0.25">
      <c r="A824150" s="242"/>
    </row>
    <row r="824151" spans="1:1" x14ac:dyDescent="0.25">
      <c r="A824151" s="242"/>
    </row>
    <row r="824152" spans="1:1" x14ac:dyDescent="0.25">
      <c r="A824152" s="242"/>
    </row>
    <row r="824153" spans="1:1" x14ac:dyDescent="0.25">
      <c r="A824153" s="242"/>
    </row>
    <row r="824154" spans="1:1" x14ac:dyDescent="0.25">
      <c r="A824154" s="242"/>
    </row>
    <row r="824155" spans="1:1" x14ac:dyDescent="0.25">
      <c r="A824155" s="242"/>
    </row>
    <row r="824156" spans="1:1" x14ac:dyDescent="0.25">
      <c r="A824156" s="242"/>
    </row>
    <row r="824157" spans="1:1" x14ac:dyDescent="0.25">
      <c r="A824157" s="242"/>
    </row>
    <row r="824158" spans="1:1" x14ac:dyDescent="0.25">
      <c r="A824158" s="242"/>
    </row>
    <row r="824159" spans="1:1" x14ac:dyDescent="0.25">
      <c r="A824159" s="242"/>
    </row>
    <row r="824160" spans="1:1" x14ac:dyDescent="0.25">
      <c r="A824160" s="242"/>
    </row>
    <row r="824161" spans="1:1" x14ac:dyDescent="0.25">
      <c r="A824161" s="242"/>
    </row>
    <row r="824162" spans="1:1" x14ac:dyDescent="0.25">
      <c r="A824162" s="242"/>
    </row>
    <row r="824163" spans="1:1" x14ac:dyDescent="0.25">
      <c r="A824163" s="242"/>
    </row>
    <row r="824164" spans="1:1" x14ac:dyDescent="0.25">
      <c r="A824164" s="242"/>
    </row>
    <row r="824165" spans="1:1" x14ac:dyDescent="0.25">
      <c r="A824165" s="242"/>
    </row>
    <row r="824166" spans="1:1" x14ac:dyDescent="0.25">
      <c r="A824166" s="242"/>
    </row>
    <row r="824167" spans="1:1" x14ac:dyDescent="0.25">
      <c r="A824167" s="242"/>
    </row>
    <row r="824168" spans="1:1" x14ac:dyDescent="0.25">
      <c r="A824168" s="242"/>
    </row>
    <row r="824169" spans="1:1" x14ac:dyDescent="0.25">
      <c r="A824169" s="242"/>
    </row>
    <row r="824170" spans="1:1" x14ac:dyDescent="0.25">
      <c r="A824170" s="242"/>
    </row>
    <row r="824171" spans="1:1" x14ac:dyDescent="0.25">
      <c r="A824171" s="242"/>
    </row>
    <row r="824172" spans="1:1" x14ac:dyDescent="0.25">
      <c r="A824172" s="242"/>
    </row>
    <row r="824173" spans="1:1" x14ac:dyDescent="0.25">
      <c r="A824173" s="242"/>
    </row>
    <row r="824174" spans="1:1" x14ac:dyDescent="0.25">
      <c r="A824174" s="242"/>
    </row>
    <row r="824175" spans="1:1" x14ac:dyDescent="0.25">
      <c r="A824175" s="242"/>
    </row>
    <row r="824176" spans="1:1" x14ac:dyDescent="0.25">
      <c r="A824176" s="242"/>
    </row>
    <row r="824177" spans="1:1" x14ac:dyDescent="0.25">
      <c r="A824177" s="242"/>
    </row>
    <row r="824178" spans="1:1" x14ac:dyDescent="0.25">
      <c r="A824178" s="242"/>
    </row>
    <row r="824179" spans="1:1" x14ac:dyDescent="0.25">
      <c r="A824179" s="242"/>
    </row>
    <row r="824180" spans="1:1" x14ac:dyDescent="0.25">
      <c r="A824180" s="242"/>
    </row>
    <row r="824181" spans="1:1" x14ac:dyDescent="0.25">
      <c r="A824181" s="242"/>
    </row>
    <row r="824182" spans="1:1" x14ac:dyDescent="0.25">
      <c r="A824182" s="242"/>
    </row>
    <row r="824183" spans="1:1" x14ac:dyDescent="0.25">
      <c r="A824183" s="242"/>
    </row>
    <row r="824184" spans="1:1" x14ac:dyDescent="0.25">
      <c r="A824184" s="242"/>
    </row>
    <row r="824185" spans="1:1" x14ac:dyDescent="0.25">
      <c r="A824185" s="242"/>
    </row>
    <row r="824186" spans="1:1" x14ac:dyDescent="0.25">
      <c r="A824186" s="242"/>
    </row>
    <row r="824187" spans="1:1" x14ac:dyDescent="0.25">
      <c r="A824187" s="242"/>
    </row>
    <row r="824188" spans="1:1" x14ac:dyDescent="0.25">
      <c r="A824188" s="242"/>
    </row>
    <row r="824189" spans="1:1" x14ac:dyDescent="0.25">
      <c r="A824189" s="242"/>
    </row>
    <row r="824190" spans="1:1" x14ac:dyDescent="0.25">
      <c r="A824190" s="242"/>
    </row>
    <row r="824191" spans="1:1" x14ac:dyDescent="0.25">
      <c r="A824191" s="242"/>
    </row>
    <row r="824192" spans="1:1" x14ac:dyDescent="0.25">
      <c r="A824192" s="242"/>
    </row>
    <row r="824193" spans="1:1" x14ac:dyDescent="0.25">
      <c r="A824193" s="242"/>
    </row>
    <row r="824194" spans="1:1" x14ac:dyDescent="0.25">
      <c r="A824194" s="242"/>
    </row>
    <row r="824195" spans="1:1" x14ac:dyDescent="0.25">
      <c r="A824195" s="242"/>
    </row>
    <row r="824196" spans="1:1" x14ac:dyDescent="0.25">
      <c r="A824196" s="242"/>
    </row>
    <row r="824197" spans="1:1" x14ac:dyDescent="0.25">
      <c r="A824197" s="242"/>
    </row>
    <row r="824198" spans="1:1" x14ac:dyDescent="0.25">
      <c r="A824198" s="242"/>
    </row>
    <row r="824199" spans="1:1" x14ac:dyDescent="0.25">
      <c r="A824199" s="242"/>
    </row>
    <row r="824200" spans="1:1" x14ac:dyDescent="0.25">
      <c r="A824200" s="242"/>
    </row>
    <row r="824201" spans="1:1" x14ac:dyDescent="0.25">
      <c r="A824201" s="242"/>
    </row>
    <row r="824202" spans="1:1" x14ac:dyDescent="0.25">
      <c r="A824202" s="242"/>
    </row>
    <row r="824203" spans="1:1" x14ac:dyDescent="0.25">
      <c r="A824203" s="242"/>
    </row>
    <row r="824204" spans="1:1" x14ac:dyDescent="0.25">
      <c r="A824204" s="242"/>
    </row>
    <row r="824205" spans="1:1" x14ac:dyDescent="0.25">
      <c r="A824205" s="242"/>
    </row>
    <row r="824206" spans="1:1" x14ac:dyDescent="0.25">
      <c r="A824206" s="242"/>
    </row>
    <row r="824207" spans="1:1" x14ac:dyDescent="0.25">
      <c r="A824207" s="242"/>
    </row>
    <row r="824208" spans="1:1" x14ac:dyDescent="0.25">
      <c r="A824208" s="242"/>
    </row>
    <row r="824209" spans="1:1" x14ac:dyDescent="0.25">
      <c r="A824209" s="242"/>
    </row>
    <row r="824210" spans="1:1" x14ac:dyDescent="0.25">
      <c r="A824210" s="242"/>
    </row>
    <row r="824211" spans="1:1" x14ac:dyDescent="0.25">
      <c r="A824211" s="242"/>
    </row>
    <row r="824212" spans="1:1" x14ac:dyDescent="0.25">
      <c r="A824212" s="242"/>
    </row>
    <row r="824213" spans="1:1" x14ac:dyDescent="0.25">
      <c r="A824213" s="242"/>
    </row>
    <row r="824214" spans="1:1" x14ac:dyDescent="0.25">
      <c r="A824214" s="242"/>
    </row>
    <row r="824215" spans="1:1" x14ac:dyDescent="0.25">
      <c r="A824215" s="242"/>
    </row>
    <row r="824216" spans="1:1" x14ac:dyDescent="0.25">
      <c r="A824216" s="242"/>
    </row>
    <row r="824217" spans="1:1" x14ac:dyDescent="0.25">
      <c r="A824217" s="242"/>
    </row>
    <row r="824218" spans="1:1" x14ac:dyDescent="0.25">
      <c r="A824218" s="242"/>
    </row>
    <row r="824219" spans="1:1" x14ac:dyDescent="0.25">
      <c r="A824219" s="242"/>
    </row>
    <row r="824220" spans="1:1" x14ac:dyDescent="0.25">
      <c r="A824220" s="242"/>
    </row>
    <row r="824221" spans="1:1" x14ac:dyDescent="0.25">
      <c r="A824221" s="242"/>
    </row>
    <row r="824222" spans="1:1" x14ac:dyDescent="0.25">
      <c r="A824222" s="242"/>
    </row>
    <row r="824223" spans="1:1" x14ac:dyDescent="0.25">
      <c r="A824223" s="242"/>
    </row>
    <row r="824224" spans="1:1" x14ac:dyDescent="0.25">
      <c r="A824224" s="242"/>
    </row>
    <row r="824225" spans="1:1" x14ac:dyDescent="0.25">
      <c r="A824225" s="242"/>
    </row>
    <row r="824226" spans="1:1" x14ac:dyDescent="0.25">
      <c r="A824226" s="242"/>
    </row>
    <row r="824227" spans="1:1" x14ac:dyDescent="0.25">
      <c r="A824227" s="242"/>
    </row>
    <row r="824228" spans="1:1" x14ac:dyDescent="0.25">
      <c r="A824228" s="242"/>
    </row>
    <row r="824229" spans="1:1" x14ac:dyDescent="0.25">
      <c r="A824229" s="242"/>
    </row>
    <row r="824230" spans="1:1" x14ac:dyDescent="0.25">
      <c r="A824230" s="242"/>
    </row>
    <row r="824231" spans="1:1" x14ac:dyDescent="0.25">
      <c r="A824231" s="242"/>
    </row>
    <row r="824232" spans="1:1" x14ac:dyDescent="0.25">
      <c r="A824232" s="242"/>
    </row>
    <row r="824233" spans="1:1" x14ac:dyDescent="0.25">
      <c r="A824233" s="242"/>
    </row>
    <row r="824234" spans="1:1" x14ac:dyDescent="0.25">
      <c r="A824234" s="242"/>
    </row>
    <row r="824235" spans="1:1" x14ac:dyDescent="0.25">
      <c r="A824235" s="242"/>
    </row>
    <row r="824236" spans="1:1" x14ac:dyDescent="0.25">
      <c r="A824236" s="242"/>
    </row>
    <row r="824237" spans="1:1" x14ac:dyDescent="0.25">
      <c r="A824237" s="242"/>
    </row>
    <row r="824238" spans="1:1" x14ac:dyDescent="0.25">
      <c r="A824238" s="242"/>
    </row>
    <row r="824239" spans="1:1" x14ac:dyDescent="0.25">
      <c r="A824239" s="242"/>
    </row>
    <row r="824240" spans="1:1" x14ac:dyDescent="0.25">
      <c r="A824240" s="242"/>
    </row>
    <row r="824241" spans="1:1" x14ac:dyDescent="0.25">
      <c r="A824241" s="242"/>
    </row>
    <row r="824242" spans="1:1" x14ac:dyDescent="0.25">
      <c r="A824242" s="242"/>
    </row>
    <row r="824243" spans="1:1" x14ac:dyDescent="0.25">
      <c r="A824243" s="242"/>
    </row>
    <row r="824244" spans="1:1" x14ac:dyDescent="0.25">
      <c r="A824244" s="242"/>
    </row>
    <row r="824245" spans="1:1" x14ac:dyDescent="0.25">
      <c r="A824245" s="242"/>
    </row>
    <row r="824246" spans="1:1" x14ac:dyDescent="0.25">
      <c r="A824246" s="242"/>
    </row>
    <row r="824247" spans="1:1" x14ac:dyDescent="0.25">
      <c r="A824247" s="242"/>
    </row>
    <row r="824248" spans="1:1" x14ac:dyDescent="0.25">
      <c r="A824248" s="242"/>
    </row>
    <row r="824249" spans="1:1" x14ac:dyDescent="0.25">
      <c r="A824249" s="242"/>
    </row>
    <row r="824250" spans="1:1" x14ac:dyDescent="0.25">
      <c r="A824250" s="242"/>
    </row>
    <row r="824251" spans="1:1" x14ac:dyDescent="0.25">
      <c r="A824251" s="242"/>
    </row>
    <row r="824252" spans="1:1" x14ac:dyDescent="0.25">
      <c r="A824252" s="242"/>
    </row>
    <row r="824253" spans="1:1" x14ac:dyDescent="0.25">
      <c r="A824253" s="242"/>
    </row>
    <row r="824254" spans="1:1" x14ac:dyDescent="0.25">
      <c r="A824254" s="242"/>
    </row>
    <row r="824255" spans="1:1" x14ac:dyDescent="0.25">
      <c r="A824255" s="242"/>
    </row>
    <row r="824256" spans="1:1" x14ac:dyDescent="0.25">
      <c r="A824256" s="242"/>
    </row>
    <row r="824257" spans="1:1" x14ac:dyDescent="0.25">
      <c r="A824257" s="242"/>
    </row>
    <row r="824258" spans="1:1" x14ac:dyDescent="0.25">
      <c r="A824258" s="242"/>
    </row>
    <row r="824259" spans="1:1" x14ac:dyDescent="0.25">
      <c r="A824259" s="242"/>
    </row>
    <row r="824260" spans="1:1" x14ac:dyDescent="0.25">
      <c r="A824260" s="242"/>
    </row>
    <row r="824261" spans="1:1" x14ac:dyDescent="0.25">
      <c r="A824261" s="242"/>
    </row>
    <row r="824262" spans="1:1" x14ac:dyDescent="0.25">
      <c r="A824262" s="242"/>
    </row>
    <row r="824263" spans="1:1" x14ac:dyDescent="0.25">
      <c r="A824263" s="242"/>
    </row>
    <row r="824264" spans="1:1" x14ac:dyDescent="0.25">
      <c r="A824264" s="242"/>
    </row>
    <row r="824265" spans="1:1" x14ac:dyDescent="0.25">
      <c r="A824265" s="242"/>
    </row>
    <row r="824266" spans="1:1" x14ac:dyDescent="0.25">
      <c r="A824266" s="242"/>
    </row>
    <row r="824267" spans="1:1" x14ac:dyDescent="0.25">
      <c r="A824267" s="242"/>
    </row>
    <row r="824268" spans="1:1" x14ac:dyDescent="0.25">
      <c r="A824268" s="242"/>
    </row>
    <row r="824269" spans="1:1" x14ac:dyDescent="0.25">
      <c r="A824269" s="242"/>
    </row>
    <row r="824270" spans="1:1" x14ac:dyDescent="0.25">
      <c r="A824270" s="242"/>
    </row>
    <row r="824271" spans="1:1" x14ac:dyDescent="0.25">
      <c r="A824271" s="242"/>
    </row>
    <row r="824272" spans="1:1" x14ac:dyDescent="0.25">
      <c r="A824272" s="242"/>
    </row>
    <row r="824273" spans="1:1" x14ac:dyDescent="0.25">
      <c r="A824273" s="242"/>
    </row>
    <row r="824274" spans="1:1" x14ac:dyDescent="0.25">
      <c r="A824274" s="242"/>
    </row>
    <row r="824275" spans="1:1" x14ac:dyDescent="0.25">
      <c r="A824275" s="242"/>
    </row>
    <row r="824276" spans="1:1" x14ac:dyDescent="0.25">
      <c r="A824276" s="242"/>
    </row>
    <row r="824277" spans="1:1" x14ac:dyDescent="0.25">
      <c r="A824277" s="242"/>
    </row>
    <row r="824278" spans="1:1" x14ac:dyDescent="0.25">
      <c r="A824278" s="242"/>
    </row>
    <row r="824279" spans="1:1" x14ac:dyDescent="0.25">
      <c r="A824279" s="242"/>
    </row>
    <row r="824280" spans="1:1" x14ac:dyDescent="0.25">
      <c r="A824280" s="242"/>
    </row>
    <row r="824281" spans="1:1" x14ac:dyDescent="0.25">
      <c r="A824281" s="242"/>
    </row>
    <row r="824282" spans="1:1" x14ac:dyDescent="0.25">
      <c r="A824282" s="242"/>
    </row>
    <row r="824283" spans="1:1" x14ac:dyDescent="0.25">
      <c r="A824283" s="242"/>
    </row>
    <row r="824284" spans="1:1" x14ac:dyDescent="0.25">
      <c r="A824284" s="242"/>
    </row>
    <row r="824285" spans="1:1" x14ac:dyDescent="0.25">
      <c r="A824285" s="242"/>
    </row>
    <row r="824286" spans="1:1" x14ac:dyDescent="0.25">
      <c r="A824286" s="242"/>
    </row>
    <row r="824287" spans="1:1" x14ac:dyDescent="0.25">
      <c r="A824287" s="242"/>
    </row>
    <row r="824288" spans="1:1" x14ac:dyDescent="0.25">
      <c r="A824288" s="242"/>
    </row>
    <row r="824289" spans="1:1" x14ac:dyDescent="0.25">
      <c r="A824289" s="242"/>
    </row>
    <row r="824290" spans="1:1" x14ac:dyDescent="0.25">
      <c r="A824290" s="242"/>
    </row>
    <row r="824291" spans="1:1" x14ac:dyDescent="0.25">
      <c r="A824291" s="242"/>
    </row>
    <row r="824292" spans="1:1" x14ac:dyDescent="0.25">
      <c r="A824292" s="242"/>
    </row>
    <row r="824293" spans="1:1" x14ac:dyDescent="0.25">
      <c r="A824293" s="242"/>
    </row>
    <row r="824294" spans="1:1" x14ac:dyDescent="0.25">
      <c r="A824294" s="242"/>
    </row>
    <row r="824295" spans="1:1" x14ac:dyDescent="0.25">
      <c r="A824295" s="242"/>
    </row>
    <row r="824296" spans="1:1" x14ac:dyDescent="0.25">
      <c r="A824296" s="242"/>
    </row>
    <row r="824297" spans="1:1" x14ac:dyDescent="0.25">
      <c r="A824297" s="242"/>
    </row>
    <row r="824298" spans="1:1" x14ac:dyDescent="0.25">
      <c r="A824298" s="242"/>
    </row>
    <row r="824299" spans="1:1" x14ac:dyDescent="0.25">
      <c r="A824299" s="242"/>
    </row>
    <row r="824300" spans="1:1" x14ac:dyDescent="0.25">
      <c r="A824300" s="242"/>
    </row>
    <row r="824301" spans="1:1" x14ac:dyDescent="0.25">
      <c r="A824301" s="242"/>
    </row>
    <row r="824302" spans="1:1" x14ac:dyDescent="0.25">
      <c r="A824302" s="242"/>
    </row>
    <row r="824303" spans="1:1" x14ac:dyDescent="0.25">
      <c r="A824303" s="242"/>
    </row>
    <row r="824304" spans="1:1" x14ac:dyDescent="0.25">
      <c r="A824304" s="242"/>
    </row>
    <row r="824305" spans="1:1" x14ac:dyDescent="0.25">
      <c r="A824305" s="242"/>
    </row>
    <row r="824306" spans="1:1" x14ac:dyDescent="0.25">
      <c r="A824306" s="242"/>
    </row>
    <row r="824307" spans="1:1" x14ac:dyDescent="0.25">
      <c r="A824307" s="242"/>
    </row>
    <row r="824308" spans="1:1" x14ac:dyDescent="0.25">
      <c r="A824308" s="242"/>
    </row>
    <row r="824309" spans="1:1" x14ac:dyDescent="0.25">
      <c r="A824309" s="242"/>
    </row>
    <row r="824310" spans="1:1" x14ac:dyDescent="0.25">
      <c r="A824310" s="242"/>
    </row>
    <row r="824311" spans="1:1" x14ac:dyDescent="0.25">
      <c r="A824311" s="242"/>
    </row>
    <row r="824312" spans="1:1" x14ac:dyDescent="0.25">
      <c r="A824312" s="242"/>
    </row>
    <row r="824313" spans="1:1" x14ac:dyDescent="0.25">
      <c r="A824313" s="242"/>
    </row>
    <row r="824314" spans="1:1" x14ac:dyDescent="0.25">
      <c r="A824314" s="242"/>
    </row>
    <row r="824315" spans="1:1" x14ac:dyDescent="0.25">
      <c r="A824315" s="242"/>
    </row>
    <row r="824316" spans="1:1" x14ac:dyDescent="0.25">
      <c r="A824316" s="242"/>
    </row>
    <row r="824317" spans="1:1" x14ac:dyDescent="0.25">
      <c r="A824317" s="242"/>
    </row>
    <row r="824318" spans="1:1" x14ac:dyDescent="0.25">
      <c r="A824318" s="242"/>
    </row>
    <row r="824319" spans="1:1" x14ac:dyDescent="0.25">
      <c r="A824319" s="242"/>
    </row>
    <row r="824320" spans="1:1" x14ac:dyDescent="0.25">
      <c r="A824320" s="242"/>
    </row>
    <row r="824321" spans="1:1" x14ac:dyDescent="0.25">
      <c r="A824321" s="242"/>
    </row>
    <row r="824322" spans="1:1" x14ac:dyDescent="0.25">
      <c r="A824322" s="242"/>
    </row>
    <row r="824323" spans="1:1" x14ac:dyDescent="0.25">
      <c r="A824323" s="242"/>
    </row>
    <row r="824324" spans="1:1" x14ac:dyDescent="0.25">
      <c r="A824324" s="242"/>
    </row>
    <row r="824325" spans="1:1" x14ac:dyDescent="0.25">
      <c r="A824325" s="242"/>
    </row>
    <row r="824326" spans="1:1" x14ac:dyDescent="0.25">
      <c r="A824326" s="242"/>
    </row>
    <row r="824327" spans="1:1" x14ac:dyDescent="0.25">
      <c r="A824327" s="242"/>
    </row>
    <row r="824328" spans="1:1" x14ac:dyDescent="0.25">
      <c r="A824328" s="242"/>
    </row>
    <row r="824329" spans="1:1" x14ac:dyDescent="0.25">
      <c r="A824329" s="242"/>
    </row>
    <row r="824330" spans="1:1" x14ac:dyDescent="0.25">
      <c r="A824330" s="242"/>
    </row>
    <row r="824331" spans="1:1" x14ac:dyDescent="0.25">
      <c r="A824331" s="242"/>
    </row>
    <row r="824332" spans="1:1" x14ac:dyDescent="0.25">
      <c r="A824332" s="242"/>
    </row>
    <row r="824333" spans="1:1" x14ac:dyDescent="0.25">
      <c r="A824333" s="242"/>
    </row>
    <row r="824334" spans="1:1" x14ac:dyDescent="0.25">
      <c r="A824334" s="242"/>
    </row>
    <row r="824335" spans="1:1" x14ac:dyDescent="0.25">
      <c r="A824335" s="242"/>
    </row>
    <row r="824336" spans="1:1" x14ac:dyDescent="0.25">
      <c r="A824336" s="242"/>
    </row>
    <row r="824337" spans="1:1" x14ac:dyDescent="0.25">
      <c r="A824337" s="242"/>
    </row>
    <row r="824338" spans="1:1" x14ac:dyDescent="0.25">
      <c r="A824338" s="242"/>
    </row>
    <row r="824339" spans="1:1" x14ac:dyDescent="0.25">
      <c r="A824339" s="242"/>
    </row>
    <row r="824340" spans="1:1" x14ac:dyDescent="0.25">
      <c r="A824340" s="242"/>
    </row>
    <row r="824341" spans="1:1" x14ac:dyDescent="0.25">
      <c r="A824341" s="242"/>
    </row>
    <row r="824342" spans="1:1" x14ac:dyDescent="0.25">
      <c r="A824342" s="242"/>
    </row>
    <row r="824343" spans="1:1" x14ac:dyDescent="0.25">
      <c r="A824343" s="242"/>
    </row>
    <row r="824344" spans="1:1" x14ac:dyDescent="0.25">
      <c r="A824344" s="242"/>
    </row>
    <row r="824345" spans="1:1" x14ac:dyDescent="0.25">
      <c r="A824345" s="242"/>
    </row>
    <row r="824346" spans="1:1" x14ac:dyDescent="0.25">
      <c r="A824346" s="242"/>
    </row>
    <row r="824347" spans="1:1" x14ac:dyDescent="0.25">
      <c r="A824347" s="242"/>
    </row>
    <row r="824348" spans="1:1" x14ac:dyDescent="0.25">
      <c r="A824348" s="242"/>
    </row>
    <row r="824349" spans="1:1" x14ac:dyDescent="0.25">
      <c r="A824349" s="242"/>
    </row>
    <row r="824350" spans="1:1" x14ac:dyDescent="0.25">
      <c r="A824350" s="242"/>
    </row>
    <row r="824351" spans="1:1" x14ac:dyDescent="0.25">
      <c r="A824351" s="242"/>
    </row>
    <row r="824352" spans="1:1" x14ac:dyDescent="0.25">
      <c r="A824352" s="242"/>
    </row>
    <row r="824353" spans="1:1" x14ac:dyDescent="0.25">
      <c r="A824353" s="242"/>
    </row>
    <row r="824354" spans="1:1" x14ac:dyDescent="0.25">
      <c r="A824354" s="242"/>
    </row>
    <row r="824355" spans="1:1" x14ac:dyDescent="0.25">
      <c r="A824355" s="242"/>
    </row>
    <row r="824356" spans="1:1" x14ac:dyDescent="0.25">
      <c r="A824356" s="242"/>
    </row>
    <row r="824357" spans="1:1" x14ac:dyDescent="0.25">
      <c r="A824357" s="242"/>
    </row>
    <row r="824358" spans="1:1" x14ac:dyDescent="0.25">
      <c r="A824358" s="242"/>
    </row>
    <row r="824359" spans="1:1" x14ac:dyDescent="0.25">
      <c r="A824359" s="242"/>
    </row>
    <row r="824360" spans="1:1" x14ac:dyDescent="0.25">
      <c r="A824360" s="242"/>
    </row>
    <row r="824361" spans="1:1" x14ac:dyDescent="0.25">
      <c r="A824361" s="242"/>
    </row>
    <row r="824362" spans="1:1" x14ac:dyDescent="0.25">
      <c r="A824362" s="242"/>
    </row>
    <row r="824363" spans="1:1" x14ac:dyDescent="0.25">
      <c r="A824363" s="242"/>
    </row>
    <row r="824364" spans="1:1" x14ac:dyDescent="0.25">
      <c r="A824364" s="242"/>
    </row>
    <row r="824365" spans="1:1" x14ac:dyDescent="0.25">
      <c r="A824365" s="242"/>
    </row>
    <row r="824366" spans="1:1" x14ac:dyDescent="0.25">
      <c r="A824366" s="242"/>
    </row>
    <row r="824367" spans="1:1" x14ac:dyDescent="0.25">
      <c r="A824367" s="242"/>
    </row>
    <row r="824368" spans="1:1" x14ac:dyDescent="0.25">
      <c r="A824368" s="242"/>
    </row>
    <row r="824369" spans="1:1" x14ac:dyDescent="0.25">
      <c r="A824369" s="242"/>
    </row>
    <row r="824370" spans="1:1" x14ac:dyDescent="0.25">
      <c r="A824370" s="242"/>
    </row>
    <row r="824371" spans="1:1" x14ac:dyDescent="0.25">
      <c r="A824371" s="242"/>
    </row>
    <row r="824372" spans="1:1" x14ac:dyDescent="0.25">
      <c r="A824372" s="242"/>
    </row>
    <row r="824373" spans="1:1" x14ac:dyDescent="0.25">
      <c r="A824373" s="242"/>
    </row>
    <row r="824374" spans="1:1" x14ac:dyDescent="0.25">
      <c r="A824374" s="242"/>
    </row>
    <row r="824375" spans="1:1" x14ac:dyDescent="0.25">
      <c r="A824375" s="242"/>
    </row>
    <row r="824376" spans="1:1" x14ac:dyDescent="0.25">
      <c r="A824376" s="242"/>
    </row>
    <row r="824377" spans="1:1" x14ac:dyDescent="0.25">
      <c r="A824377" s="242"/>
    </row>
    <row r="824378" spans="1:1" x14ac:dyDescent="0.25">
      <c r="A824378" s="242"/>
    </row>
    <row r="824379" spans="1:1" x14ac:dyDescent="0.25">
      <c r="A824379" s="242"/>
    </row>
    <row r="824380" spans="1:1" x14ac:dyDescent="0.25">
      <c r="A824380" s="242"/>
    </row>
    <row r="824381" spans="1:1" x14ac:dyDescent="0.25">
      <c r="A824381" s="242"/>
    </row>
    <row r="824382" spans="1:1" x14ac:dyDescent="0.25">
      <c r="A824382" s="242"/>
    </row>
    <row r="824383" spans="1:1" x14ac:dyDescent="0.25">
      <c r="A824383" s="242"/>
    </row>
    <row r="824384" spans="1:1" x14ac:dyDescent="0.25">
      <c r="A824384" s="242"/>
    </row>
    <row r="824385" spans="1:1" x14ac:dyDescent="0.25">
      <c r="A824385" s="242"/>
    </row>
    <row r="824386" spans="1:1" x14ac:dyDescent="0.25">
      <c r="A824386" s="242"/>
    </row>
    <row r="824387" spans="1:1" x14ac:dyDescent="0.25">
      <c r="A824387" s="242"/>
    </row>
    <row r="824388" spans="1:1" x14ac:dyDescent="0.25">
      <c r="A824388" s="242"/>
    </row>
    <row r="824389" spans="1:1" x14ac:dyDescent="0.25">
      <c r="A824389" s="242"/>
    </row>
    <row r="824390" spans="1:1" x14ac:dyDescent="0.25">
      <c r="A824390" s="242"/>
    </row>
    <row r="824391" spans="1:1" x14ac:dyDescent="0.25">
      <c r="A824391" s="242"/>
    </row>
    <row r="824392" spans="1:1" x14ac:dyDescent="0.25">
      <c r="A824392" s="242"/>
    </row>
    <row r="824393" spans="1:1" x14ac:dyDescent="0.25">
      <c r="A824393" s="242"/>
    </row>
    <row r="824394" spans="1:1" x14ac:dyDescent="0.25">
      <c r="A824394" s="242"/>
    </row>
    <row r="824395" spans="1:1" x14ac:dyDescent="0.25">
      <c r="A824395" s="242"/>
    </row>
    <row r="824396" spans="1:1" x14ac:dyDescent="0.25">
      <c r="A824396" s="242"/>
    </row>
    <row r="824397" spans="1:1" x14ac:dyDescent="0.25">
      <c r="A824397" s="242"/>
    </row>
    <row r="824398" spans="1:1" x14ac:dyDescent="0.25">
      <c r="A824398" s="242"/>
    </row>
    <row r="824399" spans="1:1" x14ac:dyDescent="0.25">
      <c r="A824399" s="242"/>
    </row>
    <row r="824400" spans="1:1" x14ac:dyDescent="0.25">
      <c r="A824400" s="242"/>
    </row>
    <row r="824401" spans="1:1" x14ac:dyDescent="0.25">
      <c r="A824401" s="242"/>
    </row>
    <row r="824402" spans="1:1" x14ac:dyDescent="0.25">
      <c r="A824402" s="242"/>
    </row>
    <row r="824403" spans="1:1" x14ac:dyDescent="0.25">
      <c r="A824403" s="242"/>
    </row>
    <row r="824404" spans="1:1" x14ac:dyDescent="0.25">
      <c r="A824404" s="242"/>
    </row>
    <row r="824405" spans="1:1" x14ac:dyDescent="0.25">
      <c r="A824405" s="242"/>
    </row>
    <row r="824406" spans="1:1" x14ac:dyDescent="0.25">
      <c r="A824406" s="242"/>
    </row>
    <row r="824407" spans="1:1" x14ac:dyDescent="0.25">
      <c r="A824407" s="242"/>
    </row>
    <row r="824408" spans="1:1" x14ac:dyDescent="0.25">
      <c r="A824408" s="242"/>
    </row>
    <row r="824409" spans="1:1" x14ac:dyDescent="0.25">
      <c r="A824409" s="242"/>
    </row>
    <row r="824410" spans="1:1" x14ac:dyDescent="0.25">
      <c r="A824410" s="242"/>
    </row>
    <row r="824411" spans="1:1" x14ac:dyDescent="0.25">
      <c r="A824411" s="242"/>
    </row>
    <row r="824412" spans="1:1" x14ac:dyDescent="0.25">
      <c r="A824412" s="242"/>
    </row>
    <row r="824413" spans="1:1" x14ac:dyDescent="0.25">
      <c r="A824413" s="242"/>
    </row>
    <row r="824414" spans="1:1" x14ac:dyDescent="0.25">
      <c r="A824414" s="242"/>
    </row>
    <row r="824415" spans="1:1" x14ac:dyDescent="0.25">
      <c r="A824415" s="242"/>
    </row>
    <row r="824416" spans="1:1" x14ac:dyDescent="0.25">
      <c r="A824416" s="242"/>
    </row>
    <row r="824417" spans="1:1" x14ac:dyDescent="0.25">
      <c r="A824417" s="242"/>
    </row>
    <row r="824418" spans="1:1" x14ac:dyDescent="0.25">
      <c r="A824418" s="242"/>
    </row>
    <row r="824419" spans="1:1" x14ac:dyDescent="0.25">
      <c r="A824419" s="242"/>
    </row>
    <row r="824420" spans="1:1" x14ac:dyDescent="0.25">
      <c r="A824420" s="242"/>
    </row>
    <row r="824421" spans="1:1" x14ac:dyDescent="0.25">
      <c r="A824421" s="242"/>
    </row>
    <row r="824422" spans="1:1" x14ac:dyDescent="0.25">
      <c r="A824422" s="242"/>
    </row>
    <row r="824423" spans="1:1" x14ac:dyDescent="0.25">
      <c r="A824423" s="242"/>
    </row>
    <row r="824424" spans="1:1" x14ac:dyDescent="0.25">
      <c r="A824424" s="242"/>
    </row>
    <row r="824425" spans="1:1" x14ac:dyDescent="0.25">
      <c r="A824425" s="242"/>
    </row>
    <row r="824426" spans="1:1" x14ac:dyDescent="0.25">
      <c r="A824426" s="242"/>
    </row>
    <row r="824427" spans="1:1" x14ac:dyDescent="0.25">
      <c r="A824427" s="242"/>
    </row>
    <row r="824428" spans="1:1" x14ac:dyDescent="0.25">
      <c r="A824428" s="242"/>
    </row>
    <row r="824429" spans="1:1" x14ac:dyDescent="0.25">
      <c r="A824429" s="242"/>
    </row>
    <row r="824430" spans="1:1" x14ac:dyDescent="0.25">
      <c r="A824430" s="242"/>
    </row>
    <row r="824431" spans="1:1" x14ac:dyDescent="0.25">
      <c r="A824431" s="242"/>
    </row>
    <row r="824432" spans="1:1" x14ac:dyDescent="0.25">
      <c r="A824432" s="242"/>
    </row>
    <row r="824433" spans="1:1" x14ac:dyDescent="0.25">
      <c r="A824433" s="242"/>
    </row>
    <row r="824434" spans="1:1" x14ac:dyDescent="0.25">
      <c r="A824434" s="242"/>
    </row>
    <row r="824435" spans="1:1" x14ac:dyDescent="0.25">
      <c r="A824435" s="242"/>
    </row>
    <row r="824436" spans="1:1" x14ac:dyDescent="0.25">
      <c r="A824436" s="242"/>
    </row>
    <row r="824437" spans="1:1" x14ac:dyDescent="0.25">
      <c r="A824437" s="242"/>
    </row>
    <row r="824438" spans="1:1" x14ac:dyDescent="0.25">
      <c r="A824438" s="242"/>
    </row>
    <row r="824439" spans="1:1" x14ac:dyDescent="0.25">
      <c r="A824439" s="242"/>
    </row>
    <row r="824440" spans="1:1" x14ac:dyDescent="0.25">
      <c r="A824440" s="242"/>
    </row>
    <row r="824441" spans="1:1" x14ac:dyDescent="0.25">
      <c r="A824441" s="242"/>
    </row>
    <row r="824442" spans="1:1" x14ac:dyDescent="0.25">
      <c r="A824442" s="242"/>
    </row>
    <row r="824443" spans="1:1" x14ac:dyDescent="0.25">
      <c r="A824443" s="242"/>
    </row>
    <row r="824444" spans="1:1" x14ac:dyDescent="0.25">
      <c r="A824444" s="242"/>
    </row>
    <row r="824445" spans="1:1" x14ac:dyDescent="0.25">
      <c r="A824445" s="242"/>
    </row>
    <row r="824446" spans="1:1" x14ac:dyDescent="0.25">
      <c r="A824446" s="242"/>
    </row>
    <row r="824447" spans="1:1" x14ac:dyDescent="0.25">
      <c r="A824447" s="242"/>
    </row>
    <row r="824448" spans="1:1" x14ac:dyDescent="0.25">
      <c r="A824448" s="242"/>
    </row>
    <row r="824449" spans="1:1" x14ac:dyDescent="0.25">
      <c r="A824449" s="242"/>
    </row>
    <row r="824450" spans="1:1" x14ac:dyDescent="0.25">
      <c r="A824450" s="242"/>
    </row>
    <row r="824451" spans="1:1" x14ac:dyDescent="0.25">
      <c r="A824451" s="242"/>
    </row>
    <row r="824452" spans="1:1" x14ac:dyDescent="0.25">
      <c r="A824452" s="242"/>
    </row>
    <row r="824453" spans="1:1" x14ac:dyDescent="0.25">
      <c r="A824453" s="242"/>
    </row>
    <row r="824454" spans="1:1" x14ac:dyDescent="0.25">
      <c r="A824454" s="242"/>
    </row>
    <row r="824455" spans="1:1" x14ac:dyDescent="0.25">
      <c r="A824455" s="242"/>
    </row>
    <row r="824456" spans="1:1" x14ac:dyDescent="0.25">
      <c r="A824456" s="242"/>
    </row>
    <row r="824457" spans="1:1" x14ac:dyDescent="0.25">
      <c r="A824457" s="242"/>
    </row>
    <row r="824458" spans="1:1" x14ac:dyDescent="0.25">
      <c r="A824458" s="242"/>
    </row>
    <row r="824459" spans="1:1" x14ac:dyDescent="0.25">
      <c r="A824459" s="242"/>
    </row>
    <row r="824460" spans="1:1" x14ac:dyDescent="0.25">
      <c r="A824460" s="242"/>
    </row>
    <row r="824461" spans="1:1" x14ac:dyDescent="0.25">
      <c r="A824461" s="242"/>
    </row>
    <row r="824462" spans="1:1" x14ac:dyDescent="0.25">
      <c r="A824462" s="242"/>
    </row>
    <row r="824463" spans="1:1" x14ac:dyDescent="0.25">
      <c r="A824463" s="242"/>
    </row>
    <row r="824464" spans="1:1" x14ac:dyDescent="0.25">
      <c r="A824464" s="242"/>
    </row>
    <row r="824465" spans="1:1" x14ac:dyDescent="0.25">
      <c r="A824465" s="242"/>
    </row>
    <row r="824466" spans="1:1" x14ac:dyDescent="0.25">
      <c r="A824466" s="242"/>
    </row>
    <row r="824467" spans="1:1" x14ac:dyDescent="0.25">
      <c r="A824467" s="242"/>
    </row>
    <row r="824468" spans="1:1" x14ac:dyDescent="0.25">
      <c r="A824468" s="242"/>
    </row>
    <row r="824469" spans="1:1" x14ac:dyDescent="0.25">
      <c r="A824469" s="242"/>
    </row>
    <row r="824470" spans="1:1" x14ac:dyDescent="0.25">
      <c r="A824470" s="242"/>
    </row>
    <row r="824471" spans="1:1" x14ac:dyDescent="0.25">
      <c r="A824471" s="242"/>
    </row>
    <row r="824472" spans="1:1" x14ac:dyDescent="0.25">
      <c r="A824472" s="242"/>
    </row>
    <row r="824473" spans="1:1" x14ac:dyDescent="0.25">
      <c r="A824473" s="242"/>
    </row>
    <row r="824474" spans="1:1" x14ac:dyDescent="0.25">
      <c r="A824474" s="242"/>
    </row>
    <row r="824475" spans="1:1" x14ac:dyDescent="0.25">
      <c r="A824475" s="242"/>
    </row>
    <row r="824476" spans="1:1" x14ac:dyDescent="0.25">
      <c r="A824476" s="242"/>
    </row>
    <row r="824477" spans="1:1" x14ac:dyDescent="0.25">
      <c r="A824477" s="242"/>
    </row>
    <row r="824478" spans="1:1" x14ac:dyDescent="0.25">
      <c r="A824478" s="242"/>
    </row>
    <row r="824479" spans="1:1" x14ac:dyDescent="0.25">
      <c r="A824479" s="242"/>
    </row>
    <row r="824480" spans="1:1" x14ac:dyDescent="0.25">
      <c r="A824480" s="242"/>
    </row>
    <row r="824481" spans="1:1" x14ac:dyDescent="0.25">
      <c r="A824481" s="242"/>
    </row>
    <row r="824482" spans="1:1" x14ac:dyDescent="0.25">
      <c r="A824482" s="242"/>
    </row>
    <row r="824483" spans="1:1" x14ac:dyDescent="0.25">
      <c r="A824483" s="242"/>
    </row>
    <row r="824484" spans="1:1" x14ac:dyDescent="0.25">
      <c r="A824484" s="242"/>
    </row>
    <row r="824485" spans="1:1" x14ac:dyDescent="0.25">
      <c r="A824485" s="242"/>
    </row>
    <row r="824486" spans="1:1" x14ac:dyDescent="0.25">
      <c r="A824486" s="242"/>
    </row>
    <row r="824487" spans="1:1" x14ac:dyDescent="0.25">
      <c r="A824487" s="242"/>
    </row>
    <row r="824488" spans="1:1" x14ac:dyDescent="0.25">
      <c r="A824488" s="242"/>
    </row>
    <row r="824489" spans="1:1" x14ac:dyDescent="0.25">
      <c r="A824489" s="242"/>
    </row>
    <row r="824490" spans="1:1" x14ac:dyDescent="0.25">
      <c r="A824490" s="242"/>
    </row>
    <row r="824491" spans="1:1" x14ac:dyDescent="0.25">
      <c r="A824491" s="242"/>
    </row>
    <row r="824492" spans="1:1" x14ac:dyDescent="0.25">
      <c r="A824492" s="242"/>
    </row>
    <row r="824493" spans="1:1" x14ac:dyDescent="0.25">
      <c r="A824493" s="242"/>
    </row>
    <row r="824494" spans="1:1" x14ac:dyDescent="0.25">
      <c r="A824494" s="242"/>
    </row>
    <row r="824495" spans="1:1" x14ac:dyDescent="0.25">
      <c r="A824495" s="242"/>
    </row>
    <row r="824496" spans="1:1" x14ac:dyDescent="0.25">
      <c r="A824496" s="242"/>
    </row>
    <row r="824497" spans="1:1" x14ac:dyDescent="0.25">
      <c r="A824497" s="242"/>
    </row>
    <row r="824498" spans="1:1" x14ac:dyDescent="0.25">
      <c r="A824498" s="242"/>
    </row>
    <row r="824499" spans="1:1" x14ac:dyDescent="0.25">
      <c r="A824499" s="242"/>
    </row>
    <row r="824500" spans="1:1" x14ac:dyDescent="0.25">
      <c r="A824500" s="242"/>
    </row>
    <row r="824501" spans="1:1" x14ac:dyDescent="0.25">
      <c r="A824501" s="242"/>
    </row>
    <row r="824502" spans="1:1" x14ac:dyDescent="0.25">
      <c r="A824502" s="242"/>
    </row>
    <row r="824503" spans="1:1" x14ac:dyDescent="0.25">
      <c r="A824503" s="242"/>
    </row>
    <row r="824504" spans="1:1" x14ac:dyDescent="0.25">
      <c r="A824504" s="242"/>
    </row>
    <row r="824505" spans="1:1" x14ac:dyDescent="0.25">
      <c r="A824505" s="242"/>
    </row>
    <row r="824506" spans="1:1" x14ac:dyDescent="0.25">
      <c r="A824506" s="242"/>
    </row>
    <row r="824507" spans="1:1" x14ac:dyDescent="0.25">
      <c r="A824507" s="242"/>
    </row>
    <row r="824508" spans="1:1" x14ac:dyDescent="0.25">
      <c r="A824508" s="242"/>
    </row>
    <row r="824509" spans="1:1" x14ac:dyDescent="0.25">
      <c r="A824509" s="242"/>
    </row>
    <row r="824510" spans="1:1" x14ac:dyDescent="0.25">
      <c r="A824510" s="242"/>
    </row>
    <row r="824511" spans="1:1" x14ac:dyDescent="0.25">
      <c r="A824511" s="242"/>
    </row>
    <row r="824512" spans="1:1" x14ac:dyDescent="0.25">
      <c r="A824512" s="242"/>
    </row>
    <row r="824513" spans="1:1" x14ac:dyDescent="0.25">
      <c r="A824513" s="242"/>
    </row>
    <row r="824514" spans="1:1" x14ac:dyDescent="0.25">
      <c r="A824514" s="242"/>
    </row>
    <row r="824515" spans="1:1" x14ac:dyDescent="0.25">
      <c r="A824515" s="242"/>
    </row>
    <row r="824516" spans="1:1" x14ac:dyDescent="0.25">
      <c r="A824516" s="242"/>
    </row>
    <row r="824517" spans="1:1" x14ac:dyDescent="0.25">
      <c r="A824517" s="242"/>
    </row>
    <row r="824518" spans="1:1" x14ac:dyDescent="0.25">
      <c r="A824518" s="242"/>
    </row>
    <row r="824519" spans="1:1" x14ac:dyDescent="0.25">
      <c r="A824519" s="242"/>
    </row>
    <row r="824520" spans="1:1" x14ac:dyDescent="0.25">
      <c r="A824520" s="242"/>
    </row>
    <row r="824521" spans="1:1" x14ac:dyDescent="0.25">
      <c r="A824521" s="242"/>
    </row>
    <row r="824522" spans="1:1" x14ac:dyDescent="0.25">
      <c r="A824522" s="242"/>
    </row>
    <row r="824523" spans="1:1" x14ac:dyDescent="0.25">
      <c r="A824523" s="242"/>
    </row>
    <row r="824524" spans="1:1" x14ac:dyDescent="0.25">
      <c r="A824524" s="242"/>
    </row>
    <row r="824525" spans="1:1" x14ac:dyDescent="0.25">
      <c r="A824525" s="242"/>
    </row>
    <row r="824526" spans="1:1" x14ac:dyDescent="0.25">
      <c r="A824526" s="242"/>
    </row>
    <row r="824527" spans="1:1" x14ac:dyDescent="0.25">
      <c r="A824527" s="242"/>
    </row>
    <row r="824528" spans="1:1" x14ac:dyDescent="0.25">
      <c r="A824528" s="242"/>
    </row>
    <row r="824529" spans="1:1" x14ac:dyDescent="0.25">
      <c r="A824529" s="242"/>
    </row>
    <row r="824530" spans="1:1" x14ac:dyDescent="0.25">
      <c r="A824530" s="242"/>
    </row>
    <row r="824531" spans="1:1" x14ac:dyDescent="0.25">
      <c r="A824531" s="242"/>
    </row>
    <row r="824532" spans="1:1" x14ac:dyDescent="0.25">
      <c r="A824532" s="242"/>
    </row>
    <row r="824533" spans="1:1" x14ac:dyDescent="0.25">
      <c r="A824533" s="242"/>
    </row>
    <row r="824534" spans="1:1" x14ac:dyDescent="0.25">
      <c r="A824534" s="242"/>
    </row>
    <row r="824535" spans="1:1" x14ac:dyDescent="0.25">
      <c r="A824535" s="242"/>
    </row>
    <row r="824536" spans="1:1" x14ac:dyDescent="0.25">
      <c r="A824536" s="242"/>
    </row>
    <row r="824537" spans="1:1" x14ac:dyDescent="0.25">
      <c r="A824537" s="242"/>
    </row>
    <row r="824538" spans="1:1" x14ac:dyDescent="0.25">
      <c r="A824538" s="242"/>
    </row>
    <row r="824539" spans="1:1" x14ac:dyDescent="0.25">
      <c r="A824539" s="242"/>
    </row>
    <row r="824540" spans="1:1" x14ac:dyDescent="0.25">
      <c r="A824540" s="242"/>
    </row>
    <row r="824541" spans="1:1" x14ac:dyDescent="0.25">
      <c r="A824541" s="242"/>
    </row>
    <row r="824542" spans="1:1" x14ac:dyDescent="0.25">
      <c r="A824542" s="242"/>
    </row>
    <row r="824543" spans="1:1" x14ac:dyDescent="0.25">
      <c r="A824543" s="242"/>
    </row>
    <row r="824544" spans="1:1" x14ac:dyDescent="0.25">
      <c r="A824544" s="242"/>
    </row>
    <row r="824545" spans="1:1" x14ac:dyDescent="0.25">
      <c r="A824545" s="242"/>
    </row>
    <row r="824546" spans="1:1" x14ac:dyDescent="0.25">
      <c r="A824546" s="242"/>
    </row>
    <row r="824547" spans="1:1" x14ac:dyDescent="0.25">
      <c r="A824547" s="242"/>
    </row>
    <row r="824548" spans="1:1" x14ac:dyDescent="0.25">
      <c r="A824548" s="242"/>
    </row>
    <row r="824549" spans="1:1" x14ac:dyDescent="0.25">
      <c r="A824549" s="242"/>
    </row>
    <row r="824550" spans="1:1" x14ac:dyDescent="0.25">
      <c r="A824550" s="242"/>
    </row>
    <row r="824551" spans="1:1" x14ac:dyDescent="0.25">
      <c r="A824551" s="242"/>
    </row>
    <row r="824552" spans="1:1" x14ac:dyDescent="0.25">
      <c r="A824552" s="242"/>
    </row>
    <row r="824553" spans="1:1" x14ac:dyDescent="0.25">
      <c r="A824553" s="242"/>
    </row>
    <row r="824554" spans="1:1" x14ac:dyDescent="0.25">
      <c r="A824554" s="242"/>
    </row>
    <row r="824555" spans="1:1" x14ac:dyDescent="0.25">
      <c r="A824555" s="242"/>
    </row>
    <row r="824556" spans="1:1" x14ac:dyDescent="0.25">
      <c r="A824556" s="242"/>
    </row>
    <row r="824557" spans="1:1" x14ac:dyDescent="0.25">
      <c r="A824557" s="242"/>
    </row>
    <row r="824558" spans="1:1" x14ac:dyDescent="0.25">
      <c r="A824558" s="242"/>
    </row>
    <row r="824559" spans="1:1" x14ac:dyDescent="0.25">
      <c r="A824559" s="242"/>
    </row>
    <row r="824560" spans="1:1" x14ac:dyDescent="0.25">
      <c r="A824560" s="242"/>
    </row>
    <row r="824561" spans="1:1" x14ac:dyDescent="0.25">
      <c r="A824561" s="242"/>
    </row>
    <row r="824562" spans="1:1" x14ac:dyDescent="0.25">
      <c r="A824562" s="242"/>
    </row>
    <row r="824563" spans="1:1" x14ac:dyDescent="0.25">
      <c r="A824563" s="242"/>
    </row>
    <row r="824564" spans="1:1" x14ac:dyDescent="0.25">
      <c r="A824564" s="242"/>
    </row>
    <row r="824565" spans="1:1" x14ac:dyDescent="0.25">
      <c r="A824565" s="242"/>
    </row>
    <row r="824566" spans="1:1" x14ac:dyDescent="0.25">
      <c r="A824566" s="242"/>
    </row>
    <row r="824567" spans="1:1" x14ac:dyDescent="0.25">
      <c r="A824567" s="242"/>
    </row>
    <row r="824568" spans="1:1" x14ac:dyDescent="0.25">
      <c r="A824568" s="242"/>
    </row>
    <row r="824569" spans="1:1" x14ac:dyDescent="0.25">
      <c r="A824569" s="242"/>
    </row>
    <row r="824570" spans="1:1" x14ac:dyDescent="0.25">
      <c r="A824570" s="242"/>
    </row>
    <row r="824571" spans="1:1" x14ac:dyDescent="0.25">
      <c r="A824571" s="242"/>
    </row>
    <row r="824572" spans="1:1" x14ac:dyDescent="0.25">
      <c r="A824572" s="242"/>
    </row>
    <row r="824573" spans="1:1" x14ac:dyDescent="0.25">
      <c r="A824573" s="242"/>
    </row>
    <row r="824574" spans="1:1" x14ac:dyDescent="0.25">
      <c r="A824574" s="242"/>
    </row>
    <row r="824575" spans="1:1" x14ac:dyDescent="0.25">
      <c r="A824575" s="242"/>
    </row>
    <row r="824576" spans="1:1" x14ac:dyDescent="0.25">
      <c r="A824576" s="242"/>
    </row>
    <row r="824577" spans="1:1" x14ac:dyDescent="0.25">
      <c r="A824577" s="242"/>
    </row>
    <row r="824578" spans="1:1" x14ac:dyDescent="0.25">
      <c r="A824578" s="242"/>
    </row>
    <row r="824579" spans="1:1" x14ac:dyDescent="0.25">
      <c r="A824579" s="242"/>
    </row>
    <row r="824580" spans="1:1" x14ac:dyDescent="0.25">
      <c r="A824580" s="242"/>
    </row>
    <row r="824581" spans="1:1" x14ac:dyDescent="0.25">
      <c r="A824581" s="242"/>
    </row>
    <row r="824582" spans="1:1" x14ac:dyDescent="0.25">
      <c r="A824582" s="242"/>
    </row>
    <row r="824583" spans="1:1" x14ac:dyDescent="0.25">
      <c r="A824583" s="242"/>
    </row>
    <row r="824584" spans="1:1" x14ac:dyDescent="0.25">
      <c r="A824584" s="242"/>
    </row>
    <row r="824585" spans="1:1" x14ac:dyDescent="0.25">
      <c r="A824585" s="242"/>
    </row>
    <row r="824586" spans="1:1" x14ac:dyDescent="0.25">
      <c r="A824586" s="242"/>
    </row>
    <row r="824587" spans="1:1" x14ac:dyDescent="0.25">
      <c r="A824587" s="242"/>
    </row>
    <row r="824588" spans="1:1" x14ac:dyDescent="0.25">
      <c r="A824588" s="242"/>
    </row>
    <row r="824589" spans="1:1" x14ac:dyDescent="0.25">
      <c r="A824589" s="242"/>
    </row>
    <row r="824590" spans="1:1" x14ac:dyDescent="0.25">
      <c r="A824590" s="242"/>
    </row>
    <row r="824591" spans="1:1" x14ac:dyDescent="0.25">
      <c r="A824591" s="242"/>
    </row>
    <row r="824592" spans="1:1" x14ac:dyDescent="0.25">
      <c r="A824592" s="242"/>
    </row>
    <row r="824593" spans="1:1" x14ac:dyDescent="0.25">
      <c r="A824593" s="242"/>
    </row>
    <row r="824594" spans="1:1" x14ac:dyDescent="0.25">
      <c r="A824594" s="242"/>
    </row>
    <row r="824595" spans="1:1" x14ac:dyDescent="0.25">
      <c r="A824595" s="242"/>
    </row>
    <row r="824596" spans="1:1" x14ac:dyDescent="0.25">
      <c r="A824596" s="242"/>
    </row>
    <row r="824597" spans="1:1" x14ac:dyDescent="0.25">
      <c r="A824597" s="242"/>
    </row>
    <row r="824598" spans="1:1" x14ac:dyDescent="0.25">
      <c r="A824598" s="242"/>
    </row>
    <row r="824599" spans="1:1" x14ac:dyDescent="0.25">
      <c r="A824599" s="242"/>
    </row>
    <row r="824600" spans="1:1" x14ac:dyDescent="0.25">
      <c r="A824600" s="242"/>
    </row>
    <row r="824601" spans="1:1" x14ac:dyDescent="0.25">
      <c r="A824601" s="242"/>
    </row>
    <row r="824602" spans="1:1" x14ac:dyDescent="0.25">
      <c r="A824602" s="242"/>
    </row>
    <row r="824603" spans="1:1" x14ac:dyDescent="0.25">
      <c r="A824603" s="242"/>
    </row>
    <row r="824604" spans="1:1" x14ac:dyDescent="0.25">
      <c r="A824604" s="242"/>
    </row>
    <row r="824605" spans="1:1" x14ac:dyDescent="0.25">
      <c r="A824605" s="242"/>
    </row>
    <row r="824606" spans="1:1" x14ac:dyDescent="0.25">
      <c r="A824606" s="242"/>
    </row>
    <row r="824607" spans="1:1" x14ac:dyDescent="0.25">
      <c r="A824607" s="242"/>
    </row>
    <row r="824608" spans="1:1" x14ac:dyDescent="0.25">
      <c r="A824608" s="242"/>
    </row>
    <row r="824609" spans="1:1" x14ac:dyDescent="0.25">
      <c r="A824609" s="242"/>
    </row>
    <row r="824610" spans="1:1" x14ac:dyDescent="0.25">
      <c r="A824610" s="242"/>
    </row>
    <row r="824611" spans="1:1" x14ac:dyDescent="0.25">
      <c r="A824611" s="242"/>
    </row>
    <row r="824612" spans="1:1" x14ac:dyDescent="0.25">
      <c r="A824612" s="242"/>
    </row>
    <row r="824613" spans="1:1" x14ac:dyDescent="0.25">
      <c r="A824613" s="242"/>
    </row>
    <row r="824614" spans="1:1" x14ac:dyDescent="0.25">
      <c r="A824614" s="242"/>
    </row>
    <row r="824615" spans="1:1" x14ac:dyDescent="0.25">
      <c r="A824615" s="242"/>
    </row>
    <row r="824616" spans="1:1" x14ac:dyDescent="0.25">
      <c r="A824616" s="242"/>
    </row>
    <row r="824617" spans="1:1" x14ac:dyDescent="0.25">
      <c r="A824617" s="242"/>
    </row>
    <row r="824618" spans="1:1" x14ac:dyDescent="0.25">
      <c r="A824618" s="242"/>
    </row>
    <row r="824619" spans="1:1" x14ac:dyDescent="0.25">
      <c r="A824619" s="242"/>
    </row>
    <row r="824620" spans="1:1" x14ac:dyDescent="0.25">
      <c r="A824620" s="242"/>
    </row>
    <row r="824621" spans="1:1" x14ac:dyDescent="0.25">
      <c r="A824621" s="242"/>
    </row>
    <row r="824622" spans="1:1" x14ac:dyDescent="0.25">
      <c r="A824622" s="242"/>
    </row>
    <row r="824623" spans="1:1" x14ac:dyDescent="0.25">
      <c r="A824623" s="242"/>
    </row>
    <row r="824624" spans="1:1" x14ac:dyDescent="0.25">
      <c r="A824624" s="242"/>
    </row>
    <row r="824625" spans="1:1" x14ac:dyDescent="0.25">
      <c r="A824625" s="242"/>
    </row>
    <row r="824626" spans="1:1" x14ac:dyDescent="0.25">
      <c r="A824626" s="242"/>
    </row>
    <row r="824627" spans="1:1" x14ac:dyDescent="0.25">
      <c r="A824627" s="242"/>
    </row>
    <row r="824628" spans="1:1" x14ac:dyDescent="0.25">
      <c r="A824628" s="242"/>
    </row>
    <row r="824629" spans="1:1" x14ac:dyDescent="0.25">
      <c r="A824629" s="242"/>
    </row>
    <row r="824630" spans="1:1" x14ac:dyDescent="0.25">
      <c r="A824630" s="242"/>
    </row>
    <row r="824631" spans="1:1" x14ac:dyDescent="0.25">
      <c r="A824631" s="242"/>
    </row>
    <row r="824632" spans="1:1" x14ac:dyDescent="0.25">
      <c r="A824632" s="242"/>
    </row>
    <row r="824633" spans="1:1" x14ac:dyDescent="0.25">
      <c r="A824633" s="242"/>
    </row>
    <row r="824634" spans="1:1" x14ac:dyDescent="0.25">
      <c r="A824634" s="242"/>
    </row>
    <row r="824635" spans="1:1" x14ac:dyDescent="0.25">
      <c r="A824635" s="242"/>
    </row>
    <row r="824636" spans="1:1" x14ac:dyDescent="0.25">
      <c r="A824636" s="242"/>
    </row>
    <row r="824637" spans="1:1" x14ac:dyDescent="0.25">
      <c r="A824637" s="242"/>
    </row>
    <row r="824638" spans="1:1" x14ac:dyDescent="0.25">
      <c r="A824638" s="242"/>
    </row>
    <row r="824639" spans="1:1" x14ac:dyDescent="0.25">
      <c r="A824639" s="242"/>
    </row>
    <row r="824640" spans="1:1" x14ac:dyDescent="0.25">
      <c r="A824640" s="242"/>
    </row>
    <row r="824641" spans="1:1" x14ac:dyDescent="0.25">
      <c r="A824641" s="242"/>
    </row>
    <row r="824642" spans="1:1" x14ac:dyDescent="0.25">
      <c r="A824642" s="242"/>
    </row>
    <row r="824643" spans="1:1" x14ac:dyDescent="0.25">
      <c r="A824643" s="242"/>
    </row>
    <row r="824644" spans="1:1" x14ac:dyDescent="0.25">
      <c r="A824644" s="242"/>
    </row>
    <row r="824645" spans="1:1" x14ac:dyDescent="0.25">
      <c r="A824645" s="242"/>
    </row>
    <row r="824646" spans="1:1" x14ac:dyDescent="0.25">
      <c r="A824646" s="242"/>
    </row>
    <row r="824647" spans="1:1" x14ac:dyDescent="0.25">
      <c r="A824647" s="242"/>
    </row>
    <row r="824648" spans="1:1" x14ac:dyDescent="0.25">
      <c r="A824648" s="242"/>
    </row>
    <row r="824649" spans="1:1" x14ac:dyDescent="0.25">
      <c r="A824649" s="242"/>
    </row>
    <row r="824650" spans="1:1" x14ac:dyDescent="0.25">
      <c r="A824650" s="242"/>
    </row>
    <row r="824651" spans="1:1" x14ac:dyDescent="0.25">
      <c r="A824651" s="242"/>
    </row>
    <row r="824652" spans="1:1" x14ac:dyDescent="0.25">
      <c r="A824652" s="242"/>
    </row>
    <row r="824653" spans="1:1" x14ac:dyDescent="0.25">
      <c r="A824653" s="242"/>
    </row>
    <row r="824654" spans="1:1" x14ac:dyDescent="0.25">
      <c r="A824654" s="242"/>
    </row>
    <row r="824655" spans="1:1" x14ac:dyDescent="0.25">
      <c r="A824655" s="242"/>
    </row>
    <row r="824656" spans="1:1" x14ac:dyDescent="0.25">
      <c r="A824656" s="242"/>
    </row>
    <row r="824657" spans="1:1" x14ac:dyDescent="0.25">
      <c r="A824657" s="242"/>
    </row>
    <row r="824658" spans="1:1" x14ac:dyDescent="0.25">
      <c r="A824658" s="242"/>
    </row>
    <row r="824659" spans="1:1" x14ac:dyDescent="0.25">
      <c r="A824659" s="242"/>
    </row>
    <row r="824660" spans="1:1" x14ac:dyDescent="0.25">
      <c r="A824660" s="242"/>
    </row>
    <row r="824661" spans="1:1" x14ac:dyDescent="0.25">
      <c r="A824661" s="242"/>
    </row>
    <row r="824662" spans="1:1" x14ac:dyDescent="0.25">
      <c r="A824662" s="242"/>
    </row>
    <row r="824663" spans="1:1" x14ac:dyDescent="0.25">
      <c r="A824663" s="242"/>
    </row>
    <row r="824664" spans="1:1" x14ac:dyDescent="0.25">
      <c r="A824664" s="242"/>
    </row>
    <row r="824665" spans="1:1" x14ac:dyDescent="0.25">
      <c r="A824665" s="242"/>
    </row>
    <row r="824666" spans="1:1" x14ac:dyDescent="0.25">
      <c r="A824666" s="242"/>
    </row>
    <row r="824667" spans="1:1" x14ac:dyDescent="0.25">
      <c r="A824667" s="242"/>
    </row>
    <row r="824668" spans="1:1" x14ac:dyDescent="0.25">
      <c r="A824668" s="242"/>
    </row>
    <row r="824669" spans="1:1" x14ac:dyDescent="0.25">
      <c r="A824669" s="242"/>
    </row>
    <row r="824670" spans="1:1" x14ac:dyDescent="0.25">
      <c r="A824670" s="242"/>
    </row>
    <row r="824671" spans="1:1" x14ac:dyDescent="0.25">
      <c r="A824671" s="242"/>
    </row>
    <row r="824672" spans="1:1" x14ac:dyDescent="0.25">
      <c r="A824672" s="242"/>
    </row>
    <row r="824673" spans="1:1" x14ac:dyDescent="0.25">
      <c r="A824673" s="242"/>
    </row>
    <row r="824674" spans="1:1" x14ac:dyDescent="0.25">
      <c r="A824674" s="242"/>
    </row>
    <row r="824675" spans="1:1" x14ac:dyDescent="0.25">
      <c r="A824675" s="242"/>
    </row>
    <row r="824676" spans="1:1" x14ac:dyDescent="0.25">
      <c r="A824676" s="242"/>
    </row>
    <row r="824677" spans="1:1" x14ac:dyDescent="0.25">
      <c r="A824677" s="242"/>
    </row>
    <row r="824678" spans="1:1" x14ac:dyDescent="0.25">
      <c r="A824678" s="242"/>
    </row>
    <row r="824679" spans="1:1" x14ac:dyDescent="0.25">
      <c r="A824679" s="242"/>
    </row>
    <row r="824680" spans="1:1" x14ac:dyDescent="0.25">
      <c r="A824680" s="242"/>
    </row>
    <row r="824681" spans="1:1" x14ac:dyDescent="0.25">
      <c r="A824681" s="242"/>
    </row>
    <row r="824682" spans="1:1" x14ac:dyDescent="0.25">
      <c r="A824682" s="242"/>
    </row>
    <row r="824683" spans="1:1" x14ac:dyDescent="0.25">
      <c r="A824683" s="242"/>
    </row>
    <row r="824684" spans="1:1" x14ac:dyDescent="0.25">
      <c r="A824684" s="242"/>
    </row>
    <row r="824685" spans="1:1" x14ac:dyDescent="0.25">
      <c r="A824685" s="242"/>
    </row>
    <row r="824686" spans="1:1" x14ac:dyDescent="0.25">
      <c r="A824686" s="242"/>
    </row>
    <row r="824687" spans="1:1" x14ac:dyDescent="0.25">
      <c r="A824687" s="242"/>
    </row>
    <row r="824688" spans="1:1" x14ac:dyDescent="0.25">
      <c r="A824688" s="242"/>
    </row>
    <row r="824689" spans="1:1" x14ac:dyDescent="0.25">
      <c r="A824689" s="242"/>
    </row>
    <row r="824690" spans="1:1" x14ac:dyDescent="0.25">
      <c r="A824690" s="242"/>
    </row>
    <row r="824691" spans="1:1" x14ac:dyDescent="0.25">
      <c r="A824691" s="242"/>
    </row>
    <row r="824692" spans="1:1" x14ac:dyDescent="0.25">
      <c r="A824692" s="242"/>
    </row>
    <row r="824693" spans="1:1" x14ac:dyDescent="0.25">
      <c r="A824693" s="242"/>
    </row>
    <row r="824694" spans="1:1" x14ac:dyDescent="0.25">
      <c r="A824694" s="242"/>
    </row>
    <row r="824695" spans="1:1" x14ac:dyDescent="0.25">
      <c r="A824695" s="242"/>
    </row>
    <row r="824696" spans="1:1" x14ac:dyDescent="0.25">
      <c r="A824696" s="242"/>
    </row>
    <row r="824697" spans="1:1" x14ac:dyDescent="0.25">
      <c r="A824697" s="242"/>
    </row>
    <row r="824698" spans="1:1" x14ac:dyDescent="0.25">
      <c r="A824698" s="242"/>
    </row>
    <row r="824699" spans="1:1" x14ac:dyDescent="0.25">
      <c r="A824699" s="242"/>
    </row>
    <row r="824700" spans="1:1" x14ac:dyDescent="0.25">
      <c r="A824700" s="242"/>
    </row>
    <row r="824701" spans="1:1" x14ac:dyDescent="0.25">
      <c r="A824701" s="242"/>
    </row>
    <row r="824702" spans="1:1" x14ac:dyDescent="0.25">
      <c r="A824702" s="242"/>
    </row>
    <row r="824703" spans="1:1" x14ac:dyDescent="0.25">
      <c r="A824703" s="242"/>
    </row>
    <row r="824704" spans="1:1" x14ac:dyDescent="0.25">
      <c r="A824704" s="242"/>
    </row>
    <row r="824705" spans="1:1" x14ac:dyDescent="0.25">
      <c r="A824705" s="242"/>
    </row>
    <row r="824706" spans="1:1" x14ac:dyDescent="0.25">
      <c r="A824706" s="242"/>
    </row>
    <row r="824707" spans="1:1" x14ac:dyDescent="0.25">
      <c r="A824707" s="242"/>
    </row>
    <row r="824708" spans="1:1" x14ac:dyDescent="0.25">
      <c r="A824708" s="242"/>
    </row>
    <row r="824709" spans="1:1" x14ac:dyDescent="0.25">
      <c r="A824709" s="242"/>
    </row>
    <row r="824710" spans="1:1" x14ac:dyDescent="0.25">
      <c r="A824710" s="242"/>
    </row>
    <row r="824711" spans="1:1" x14ac:dyDescent="0.25">
      <c r="A824711" s="242"/>
    </row>
    <row r="824712" spans="1:1" x14ac:dyDescent="0.25">
      <c r="A824712" s="242"/>
    </row>
    <row r="824713" spans="1:1" x14ac:dyDescent="0.25">
      <c r="A824713" s="242"/>
    </row>
    <row r="824714" spans="1:1" x14ac:dyDescent="0.25">
      <c r="A824714" s="242"/>
    </row>
    <row r="824715" spans="1:1" x14ac:dyDescent="0.25">
      <c r="A824715" s="242"/>
    </row>
    <row r="824716" spans="1:1" x14ac:dyDescent="0.25">
      <c r="A824716" s="242"/>
    </row>
    <row r="824717" spans="1:1" x14ac:dyDescent="0.25">
      <c r="A824717" s="242"/>
    </row>
    <row r="824718" spans="1:1" x14ac:dyDescent="0.25">
      <c r="A824718" s="242"/>
    </row>
    <row r="824719" spans="1:1" x14ac:dyDescent="0.25">
      <c r="A824719" s="242"/>
    </row>
    <row r="824720" spans="1:1" x14ac:dyDescent="0.25">
      <c r="A824720" s="242"/>
    </row>
    <row r="824721" spans="1:1" x14ac:dyDescent="0.25">
      <c r="A824721" s="242"/>
    </row>
    <row r="824722" spans="1:1" x14ac:dyDescent="0.25">
      <c r="A824722" s="242"/>
    </row>
    <row r="824723" spans="1:1" x14ac:dyDescent="0.25">
      <c r="A824723" s="242"/>
    </row>
    <row r="824724" spans="1:1" x14ac:dyDescent="0.25">
      <c r="A824724" s="242"/>
    </row>
    <row r="824725" spans="1:1" x14ac:dyDescent="0.25">
      <c r="A824725" s="242"/>
    </row>
    <row r="824726" spans="1:1" x14ac:dyDescent="0.25">
      <c r="A824726" s="242"/>
    </row>
    <row r="824727" spans="1:1" x14ac:dyDescent="0.25">
      <c r="A824727" s="242"/>
    </row>
    <row r="824728" spans="1:1" x14ac:dyDescent="0.25">
      <c r="A824728" s="242"/>
    </row>
    <row r="824729" spans="1:1" x14ac:dyDescent="0.25">
      <c r="A824729" s="242"/>
    </row>
    <row r="824730" spans="1:1" x14ac:dyDescent="0.25">
      <c r="A824730" s="242"/>
    </row>
    <row r="824731" spans="1:1" x14ac:dyDescent="0.25">
      <c r="A824731" s="242"/>
    </row>
    <row r="824732" spans="1:1" x14ac:dyDescent="0.25">
      <c r="A824732" s="242"/>
    </row>
    <row r="824733" spans="1:1" x14ac:dyDescent="0.25">
      <c r="A824733" s="242"/>
    </row>
    <row r="824734" spans="1:1" x14ac:dyDescent="0.25">
      <c r="A824734" s="242"/>
    </row>
    <row r="824735" spans="1:1" x14ac:dyDescent="0.25">
      <c r="A824735" s="242"/>
    </row>
    <row r="824736" spans="1:1" x14ac:dyDescent="0.25">
      <c r="A824736" s="242"/>
    </row>
    <row r="824737" spans="1:1" x14ac:dyDescent="0.25">
      <c r="A824737" s="242"/>
    </row>
    <row r="824738" spans="1:1" x14ac:dyDescent="0.25">
      <c r="A824738" s="242"/>
    </row>
    <row r="824739" spans="1:1" x14ac:dyDescent="0.25">
      <c r="A824739" s="242"/>
    </row>
    <row r="824740" spans="1:1" x14ac:dyDescent="0.25">
      <c r="A824740" s="242"/>
    </row>
    <row r="824741" spans="1:1" x14ac:dyDescent="0.25">
      <c r="A824741" s="242"/>
    </row>
    <row r="824742" spans="1:1" x14ac:dyDescent="0.25">
      <c r="A824742" s="242"/>
    </row>
    <row r="824743" spans="1:1" x14ac:dyDescent="0.25">
      <c r="A824743" s="242"/>
    </row>
    <row r="824744" spans="1:1" x14ac:dyDescent="0.25">
      <c r="A824744" s="242"/>
    </row>
    <row r="824745" spans="1:1" x14ac:dyDescent="0.25">
      <c r="A824745" s="242"/>
    </row>
    <row r="824746" spans="1:1" x14ac:dyDescent="0.25">
      <c r="A824746" s="242"/>
    </row>
    <row r="824747" spans="1:1" x14ac:dyDescent="0.25">
      <c r="A824747" s="242"/>
    </row>
    <row r="824748" spans="1:1" x14ac:dyDescent="0.25">
      <c r="A824748" s="242"/>
    </row>
    <row r="824749" spans="1:1" x14ac:dyDescent="0.25">
      <c r="A824749" s="242"/>
    </row>
    <row r="824750" spans="1:1" x14ac:dyDescent="0.25">
      <c r="A824750" s="242"/>
    </row>
    <row r="824751" spans="1:1" x14ac:dyDescent="0.25">
      <c r="A824751" s="242"/>
    </row>
    <row r="824752" spans="1:1" x14ac:dyDescent="0.25">
      <c r="A824752" s="242"/>
    </row>
    <row r="824753" spans="1:1" x14ac:dyDescent="0.25">
      <c r="A824753" s="242"/>
    </row>
    <row r="824754" spans="1:1" x14ac:dyDescent="0.25">
      <c r="A824754" s="242"/>
    </row>
    <row r="824755" spans="1:1" x14ac:dyDescent="0.25">
      <c r="A824755" s="242"/>
    </row>
    <row r="824756" spans="1:1" x14ac:dyDescent="0.25">
      <c r="A824756" s="242"/>
    </row>
    <row r="824757" spans="1:1" x14ac:dyDescent="0.25">
      <c r="A824757" s="242"/>
    </row>
    <row r="824758" spans="1:1" x14ac:dyDescent="0.25">
      <c r="A824758" s="242"/>
    </row>
    <row r="824759" spans="1:1" x14ac:dyDescent="0.25">
      <c r="A824759" s="242"/>
    </row>
    <row r="824760" spans="1:1" x14ac:dyDescent="0.25">
      <c r="A824760" s="242"/>
    </row>
    <row r="824761" spans="1:1" x14ac:dyDescent="0.25">
      <c r="A824761" s="242"/>
    </row>
    <row r="824762" spans="1:1" x14ac:dyDescent="0.25">
      <c r="A824762" s="242"/>
    </row>
    <row r="824763" spans="1:1" x14ac:dyDescent="0.25">
      <c r="A824763" s="242"/>
    </row>
    <row r="824764" spans="1:1" x14ac:dyDescent="0.25">
      <c r="A824764" s="242"/>
    </row>
    <row r="824765" spans="1:1" x14ac:dyDescent="0.25">
      <c r="A824765" s="242"/>
    </row>
    <row r="824766" spans="1:1" x14ac:dyDescent="0.25">
      <c r="A824766" s="242"/>
    </row>
    <row r="824767" spans="1:1" x14ac:dyDescent="0.25">
      <c r="A824767" s="242"/>
    </row>
    <row r="824768" spans="1:1" x14ac:dyDescent="0.25">
      <c r="A824768" s="242"/>
    </row>
    <row r="824769" spans="1:1" x14ac:dyDescent="0.25">
      <c r="A824769" s="242"/>
    </row>
    <row r="824770" spans="1:1" x14ac:dyDescent="0.25">
      <c r="A824770" s="242"/>
    </row>
    <row r="824771" spans="1:1" x14ac:dyDescent="0.25">
      <c r="A824771" s="242"/>
    </row>
    <row r="824772" spans="1:1" x14ac:dyDescent="0.25">
      <c r="A824772" s="242"/>
    </row>
    <row r="824773" spans="1:1" x14ac:dyDescent="0.25">
      <c r="A824773" s="242"/>
    </row>
    <row r="824774" spans="1:1" x14ac:dyDescent="0.25">
      <c r="A824774" s="242"/>
    </row>
    <row r="824775" spans="1:1" x14ac:dyDescent="0.25">
      <c r="A824775" s="242"/>
    </row>
    <row r="824776" spans="1:1" x14ac:dyDescent="0.25">
      <c r="A824776" s="242"/>
    </row>
    <row r="824777" spans="1:1" x14ac:dyDescent="0.25">
      <c r="A824777" s="242"/>
    </row>
    <row r="824778" spans="1:1" x14ac:dyDescent="0.25">
      <c r="A824778" s="242"/>
    </row>
    <row r="824779" spans="1:1" x14ac:dyDescent="0.25">
      <c r="A824779" s="242"/>
    </row>
    <row r="824780" spans="1:1" x14ac:dyDescent="0.25">
      <c r="A824780" s="242"/>
    </row>
    <row r="824781" spans="1:1" x14ac:dyDescent="0.25">
      <c r="A824781" s="242"/>
    </row>
    <row r="824782" spans="1:1" x14ac:dyDescent="0.25">
      <c r="A824782" s="242"/>
    </row>
    <row r="824783" spans="1:1" x14ac:dyDescent="0.25">
      <c r="A824783" s="242"/>
    </row>
    <row r="824784" spans="1:1" x14ac:dyDescent="0.25">
      <c r="A824784" s="242"/>
    </row>
    <row r="824785" spans="1:1" x14ac:dyDescent="0.25">
      <c r="A824785" s="242"/>
    </row>
    <row r="824786" spans="1:1" x14ac:dyDescent="0.25">
      <c r="A824786" s="242"/>
    </row>
    <row r="824787" spans="1:1" x14ac:dyDescent="0.25">
      <c r="A824787" s="242"/>
    </row>
    <row r="824788" spans="1:1" x14ac:dyDescent="0.25">
      <c r="A824788" s="242"/>
    </row>
    <row r="824789" spans="1:1" x14ac:dyDescent="0.25">
      <c r="A824789" s="242"/>
    </row>
    <row r="824790" spans="1:1" x14ac:dyDescent="0.25">
      <c r="A824790" s="242"/>
    </row>
    <row r="824791" spans="1:1" x14ac:dyDescent="0.25">
      <c r="A824791" s="242"/>
    </row>
    <row r="824792" spans="1:1" x14ac:dyDescent="0.25">
      <c r="A824792" s="242"/>
    </row>
    <row r="824793" spans="1:1" x14ac:dyDescent="0.25">
      <c r="A824793" s="242"/>
    </row>
    <row r="824794" spans="1:1" x14ac:dyDescent="0.25">
      <c r="A824794" s="242"/>
    </row>
    <row r="824795" spans="1:1" x14ac:dyDescent="0.25">
      <c r="A824795" s="242"/>
    </row>
    <row r="824796" spans="1:1" x14ac:dyDescent="0.25">
      <c r="A824796" s="242"/>
    </row>
    <row r="824797" spans="1:1" x14ac:dyDescent="0.25">
      <c r="A824797" s="242"/>
    </row>
    <row r="824798" spans="1:1" x14ac:dyDescent="0.25">
      <c r="A824798" s="242"/>
    </row>
    <row r="824799" spans="1:1" x14ac:dyDescent="0.25">
      <c r="A824799" s="242"/>
    </row>
    <row r="824800" spans="1:1" x14ac:dyDescent="0.25">
      <c r="A824800" s="242"/>
    </row>
    <row r="824801" spans="1:1" x14ac:dyDescent="0.25">
      <c r="A824801" s="242"/>
    </row>
    <row r="824802" spans="1:1" x14ac:dyDescent="0.25">
      <c r="A824802" s="242"/>
    </row>
    <row r="824803" spans="1:1" x14ac:dyDescent="0.25">
      <c r="A824803" s="242"/>
    </row>
    <row r="824804" spans="1:1" x14ac:dyDescent="0.25">
      <c r="A824804" s="242"/>
    </row>
    <row r="824805" spans="1:1" x14ac:dyDescent="0.25">
      <c r="A824805" s="242"/>
    </row>
    <row r="824806" spans="1:1" x14ac:dyDescent="0.25">
      <c r="A824806" s="242"/>
    </row>
    <row r="824807" spans="1:1" x14ac:dyDescent="0.25">
      <c r="A824807" s="242"/>
    </row>
    <row r="824808" spans="1:1" x14ac:dyDescent="0.25">
      <c r="A824808" s="242"/>
    </row>
    <row r="824809" spans="1:1" x14ac:dyDescent="0.25">
      <c r="A824809" s="242"/>
    </row>
    <row r="824810" spans="1:1" x14ac:dyDescent="0.25">
      <c r="A824810" s="242"/>
    </row>
    <row r="824811" spans="1:1" x14ac:dyDescent="0.25">
      <c r="A824811" s="242"/>
    </row>
    <row r="824812" spans="1:1" x14ac:dyDescent="0.25">
      <c r="A824812" s="242"/>
    </row>
    <row r="824813" spans="1:1" x14ac:dyDescent="0.25">
      <c r="A824813" s="242"/>
    </row>
    <row r="824814" spans="1:1" x14ac:dyDescent="0.25">
      <c r="A824814" s="242"/>
    </row>
    <row r="824815" spans="1:1" x14ac:dyDescent="0.25">
      <c r="A824815" s="242"/>
    </row>
    <row r="824816" spans="1:1" x14ac:dyDescent="0.25">
      <c r="A824816" s="242"/>
    </row>
    <row r="824817" spans="1:1" x14ac:dyDescent="0.25">
      <c r="A824817" s="242"/>
    </row>
    <row r="824818" spans="1:1" x14ac:dyDescent="0.25">
      <c r="A824818" s="242"/>
    </row>
    <row r="824819" spans="1:1" x14ac:dyDescent="0.25">
      <c r="A824819" s="242"/>
    </row>
    <row r="824820" spans="1:1" x14ac:dyDescent="0.25">
      <c r="A824820" s="242"/>
    </row>
    <row r="824821" spans="1:1" x14ac:dyDescent="0.25">
      <c r="A824821" s="242"/>
    </row>
    <row r="824822" spans="1:1" x14ac:dyDescent="0.25">
      <c r="A824822" s="242"/>
    </row>
    <row r="824823" spans="1:1" x14ac:dyDescent="0.25">
      <c r="A824823" s="242"/>
    </row>
    <row r="824824" spans="1:1" x14ac:dyDescent="0.25">
      <c r="A824824" s="242"/>
    </row>
    <row r="824825" spans="1:1" x14ac:dyDescent="0.25">
      <c r="A824825" s="242"/>
    </row>
    <row r="824826" spans="1:1" x14ac:dyDescent="0.25">
      <c r="A824826" s="242"/>
    </row>
    <row r="824827" spans="1:1" x14ac:dyDescent="0.25">
      <c r="A824827" s="242"/>
    </row>
    <row r="824828" spans="1:1" x14ac:dyDescent="0.25">
      <c r="A824828" s="242"/>
    </row>
    <row r="824829" spans="1:1" x14ac:dyDescent="0.25">
      <c r="A824829" s="242"/>
    </row>
    <row r="824830" spans="1:1" x14ac:dyDescent="0.25">
      <c r="A824830" s="242"/>
    </row>
    <row r="824831" spans="1:1" x14ac:dyDescent="0.25">
      <c r="A824831" s="242"/>
    </row>
    <row r="824832" spans="1:1" x14ac:dyDescent="0.25">
      <c r="A824832" s="242"/>
    </row>
    <row r="824833" spans="1:1" x14ac:dyDescent="0.25">
      <c r="A824833" s="242"/>
    </row>
    <row r="824834" spans="1:1" x14ac:dyDescent="0.25">
      <c r="A824834" s="242"/>
    </row>
    <row r="824835" spans="1:1" x14ac:dyDescent="0.25">
      <c r="A824835" s="242"/>
    </row>
    <row r="824836" spans="1:1" x14ac:dyDescent="0.25">
      <c r="A824836" s="242"/>
    </row>
    <row r="824837" spans="1:1" x14ac:dyDescent="0.25">
      <c r="A824837" s="242"/>
    </row>
    <row r="824838" spans="1:1" x14ac:dyDescent="0.25">
      <c r="A824838" s="242"/>
    </row>
    <row r="824839" spans="1:1" x14ac:dyDescent="0.25">
      <c r="A824839" s="242"/>
    </row>
    <row r="824840" spans="1:1" x14ac:dyDescent="0.25">
      <c r="A824840" s="242"/>
    </row>
    <row r="824841" spans="1:1" x14ac:dyDescent="0.25">
      <c r="A824841" s="242"/>
    </row>
    <row r="824842" spans="1:1" x14ac:dyDescent="0.25">
      <c r="A824842" s="242"/>
    </row>
    <row r="824843" spans="1:1" x14ac:dyDescent="0.25">
      <c r="A824843" s="242"/>
    </row>
    <row r="824844" spans="1:1" x14ac:dyDescent="0.25">
      <c r="A824844" s="242"/>
    </row>
    <row r="824845" spans="1:1" x14ac:dyDescent="0.25">
      <c r="A824845" s="242"/>
    </row>
    <row r="824846" spans="1:1" x14ac:dyDescent="0.25">
      <c r="A824846" s="242"/>
    </row>
    <row r="824847" spans="1:1" x14ac:dyDescent="0.25">
      <c r="A824847" s="242"/>
    </row>
    <row r="824848" spans="1:1" x14ac:dyDescent="0.25">
      <c r="A824848" s="242"/>
    </row>
    <row r="824849" spans="1:1" x14ac:dyDescent="0.25">
      <c r="A824849" s="242"/>
    </row>
    <row r="824850" spans="1:1" x14ac:dyDescent="0.25">
      <c r="A824850" s="242"/>
    </row>
    <row r="824851" spans="1:1" x14ac:dyDescent="0.25">
      <c r="A824851" s="242"/>
    </row>
    <row r="824852" spans="1:1" x14ac:dyDescent="0.25">
      <c r="A824852" s="242"/>
    </row>
    <row r="824853" spans="1:1" x14ac:dyDescent="0.25">
      <c r="A824853" s="242"/>
    </row>
    <row r="824854" spans="1:1" x14ac:dyDescent="0.25">
      <c r="A824854" s="242"/>
    </row>
    <row r="824855" spans="1:1" x14ac:dyDescent="0.25">
      <c r="A824855" s="242"/>
    </row>
    <row r="824856" spans="1:1" x14ac:dyDescent="0.25">
      <c r="A824856" s="242"/>
    </row>
    <row r="824857" spans="1:1" x14ac:dyDescent="0.25">
      <c r="A824857" s="242"/>
    </row>
    <row r="824858" spans="1:1" x14ac:dyDescent="0.25">
      <c r="A824858" s="242"/>
    </row>
    <row r="824859" spans="1:1" x14ac:dyDescent="0.25">
      <c r="A824859" s="242"/>
    </row>
    <row r="824860" spans="1:1" x14ac:dyDescent="0.25">
      <c r="A824860" s="242"/>
    </row>
    <row r="824861" spans="1:1" x14ac:dyDescent="0.25">
      <c r="A824861" s="242"/>
    </row>
    <row r="824862" spans="1:1" x14ac:dyDescent="0.25">
      <c r="A824862" s="242"/>
    </row>
    <row r="824863" spans="1:1" x14ac:dyDescent="0.25">
      <c r="A824863" s="242"/>
    </row>
    <row r="824864" spans="1:1" x14ac:dyDescent="0.25">
      <c r="A824864" s="242"/>
    </row>
    <row r="824865" spans="1:1" x14ac:dyDescent="0.25">
      <c r="A824865" s="242"/>
    </row>
    <row r="824866" spans="1:1" x14ac:dyDescent="0.25">
      <c r="A824866" s="242"/>
    </row>
    <row r="824867" spans="1:1" x14ac:dyDescent="0.25">
      <c r="A824867" s="242"/>
    </row>
    <row r="824868" spans="1:1" x14ac:dyDescent="0.25">
      <c r="A824868" s="242"/>
    </row>
    <row r="824869" spans="1:1" x14ac:dyDescent="0.25">
      <c r="A824869" s="242"/>
    </row>
    <row r="824870" spans="1:1" x14ac:dyDescent="0.25">
      <c r="A824870" s="242"/>
    </row>
    <row r="824871" spans="1:1" x14ac:dyDescent="0.25">
      <c r="A824871" s="242"/>
    </row>
    <row r="824872" spans="1:1" x14ac:dyDescent="0.25">
      <c r="A824872" s="242"/>
    </row>
    <row r="824873" spans="1:1" x14ac:dyDescent="0.25">
      <c r="A824873" s="242"/>
    </row>
    <row r="824874" spans="1:1" x14ac:dyDescent="0.25">
      <c r="A824874" s="242"/>
    </row>
    <row r="824875" spans="1:1" x14ac:dyDescent="0.25">
      <c r="A824875" s="242"/>
    </row>
    <row r="824876" spans="1:1" x14ac:dyDescent="0.25">
      <c r="A824876" s="242"/>
    </row>
    <row r="824877" spans="1:1" x14ac:dyDescent="0.25">
      <c r="A824877" s="242"/>
    </row>
    <row r="824878" spans="1:1" x14ac:dyDescent="0.25">
      <c r="A824878" s="242"/>
    </row>
    <row r="824879" spans="1:1" x14ac:dyDescent="0.25">
      <c r="A824879" s="242"/>
    </row>
    <row r="824880" spans="1:1" x14ac:dyDescent="0.25">
      <c r="A824880" s="242"/>
    </row>
    <row r="824881" spans="1:1" x14ac:dyDescent="0.25">
      <c r="A824881" s="242"/>
    </row>
    <row r="824882" spans="1:1" x14ac:dyDescent="0.25">
      <c r="A824882" s="242"/>
    </row>
    <row r="824883" spans="1:1" x14ac:dyDescent="0.25">
      <c r="A824883" s="242"/>
    </row>
    <row r="824884" spans="1:1" x14ac:dyDescent="0.25">
      <c r="A824884" s="242"/>
    </row>
    <row r="824885" spans="1:1" x14ac:dyDescent="0.25">
      <c r="A824885" s="242"/>
    </row>
    <row r="824886" spans="1:1" x14ac:dyDescent="0.25">
      <c r="A824886" s="242"/>
    </row>
    <row r="824887" spans="1:1" x14ac:dyDescent="0.25">
      <c r="A824887" s="242"/>
    </row>
    <row r="824888" spans="1:1" x14ac:dyDescent="0.25">
      <c r="A824888" s="242"/>
    </row>
    <row r="824889" spans="1:1" x14ac:dyDescent="0.25">
      <c r="A824889" s="242"/>
    </row>
    <row r="824890" spans="1:1" x14ac:dyDescent="0.25">
      <c r="A824890" s="242"/>
    </row>
    <row r="824891" spans="1:1" x14ac:dyDescent="0.25">
      <c r="A824891" s="242"/>
    </row>
    <row r="824892" spans="1:1" x14ac:dyDescent="0.25">
      <c r="A824892" s="242"/>
    </row>
    <row r="824893" spans="1:1" x14ac:dyDescent="0.25">
      <c r="A824893" s="242"/>
    </row>
    <row r="824894" spans="1:1" x14ac:dyDescent="0.25">
      <c r="A824894" s="242"/>
    </row>
    <row r="824895" spans="1:1" x14ac:dyDescent="0.25">
      <c r="A824895" s="242"/>
    </row>
    <row r="824896" spans="1:1" x14ac:dyDescent="0.25">
      <c r="A824896" s="242"/>
    </row>
    <row r="824897" spans="1:1" x14ac:dyDescent="0.25">
      <c r="A824897" s="242"/>
    </row>
    <row r="824898" spans="1:1" x14ac:dyDescent="0.25">
      <c r="A824898" s="242"/>
    </row>
    <row r="824899" spans="1:1" x14ac:dyDescent="0.25">
      <c r="A824899" s="242"/>
    </row>
    <row r="824900" spans="1:1" x14ac:dyDescent="0.25">
      <c r="A824900" s="242"/>
    </row>
    <row r="824901" spans="1:1" x14ac:dyDescent="0.25">
      <c r="A824901" s="242"/>
    </row>
    <row r="824902" spans="1:1" x14ac:dyDescent="0.25">
      <c r="A824902" s="242"/>
    </row>
    <row r="824903" spans="1:1" x14ac:dyDescent="0.25">
      <c r="A824903" s="242"/>
    </row>
    <row r="824904" spans="1:1" x14ac:dyDescent="0.25">
      <c r="A824904" s="242"/>
    </row>
    <row r="824905" spans="1:1" x14ac:dyDescent="0.25">
      <c r="A824905" s="242"/>
    </row>
    <row r="824906" spans="1:1" x14ac:dyDescent="0.25">
      <c r="A824906" s="242"/>
    </row>
    <row r="824907" spans="1:1" x14ac:dyDescent="0.25">
      <c r="A824907" s="242"/>
    </row>
    <row r="824908" spans="1:1" x14ac:dyDescent="0.25">
      <c r="A824908" s="242"/>
    </row>
    <row r="824909" spans="1:1" x14ac:dyDescent="0.25">
      <c r="A824909" s="242"/>
    </row>
    <row r="824910" spans="1:1" x14ac:dyDescent="0.25">
      <c r="A824910" s="242"/>
    </row>
    <row r="824911" spans="1:1" x14ac:dyDescent="0.25">
      <c r="A824911" s="242"/>
    </row>
    <row r="824912" spans="1:1" x14ac:dyDescent="0.25">
      <c r="A824912" s="242"/>
    </row>
    <row r="824913" spans="1:1" x14ac:dyDescent="0.25">
      <c r="A824913" s="242"/>
    </row>
    <row r="824914" spans="1:1" x14ac:dyDescent="0.25">
      <c r="A824914" s="242"/>
    </row>
    <row r="824915" spans="1:1" x14ac:dyDescent="0.25">
      <c r="A824915" s="242"/>
    </row>
    <row r="824916" spans="1:1" x14ac:dyDescent="0.25">
      <c r="A824916" s="242"/>
    </row>
    <row r="824917" spans="1:1" x14ac:dyDescent="0.25">
      <c r="A824917" s="242"/>
    </row>
    <row r="824918" spans="1:1" x14ac:dyDescent="0.25">
      <c r="A824918" s="242"/>
    </row>
    <row r="824919" spans="1:1" x14ac:dyDescent="0.25">
      <c r="A824919" s="242"/>
    </row>
    <row r="824920" spans="1:1" x14ac:dyDescent="0.25">
      <c r="A824920" s="242"/>
    </row>
    <row r="824921" spans="1:1" x14ac:dyDescent="0.25">
      <c r="A824921" s="242"/>
    </row>
    <row r="824922" spans="1:1" x14ac:dyDescent="0.25">
      <c r="A824922" s="242"/>
    </row>
    <row r="824923" spans="1:1" x14ac:dyDescent="0.25">
      <c r="A824923" s="242"/>
    </row>
    <row r="824924" spans="1:1" x14ac:dyDescent="0.25">
      <c r="A824924" s="242"/>
    </row>
    <row r="824925" spans="1:1" x14ac:dyDescent="0.25">
      <c r="A824925" s="242"/>
    </row>
    <row r="824926" spans="1:1" x14ac:dyDescent="0.25">
      <c r="A824926" s="242"/>
    </row>
    <row r="824927" spans="1:1" x14ac:dyDescent="0.25">
      <c r="A824927" s="242"/>
    </row>
    <row r="824928" spans="1:1" x14ac:dyDescent="0.25">
      <c r="A824928" s="242"/>
    </row>
    <row r="824929" spans="1:1" x14ac:dyDescent="0.25">
      <c r="A824929" s="242"/>
    </row>
    <row r="824930" spans="1:1" x14ac:dyDescent="0.25">
      <c r="A824930" s="242"/>
    </row>
    <row r="824931" spans="1:1" x14ac:dyDescent="0.25">
      <c r="A824931" s="242"/>
    </row>
    <row r="824932" spans="1:1" x14ac:dyDescent="0.25">
      <c r="A824932" s="242"/>
    </row>
    <row r="824933" spans="1:1" x14ac:dyDescent="0.25">
      <c r="A824933" s="242"/>
    </row>
    <row r="824934" spans="1:1" x14ac:dyDescent="0.25">
      <c r="A824934" s="242"/>
    </row>
    <row r="824935" spans="1:1" x14ac:dyDescent="0.25">
      <c r="A824935" s="242"/>
    </row>
    <row r="824936" spans="1:1" x14ac:dyDescent="0.25">
      <c r="A824936" s="242"/>
    </row>
    <row r="824937" spans="1:1" x14ac:dyDescent="0.25">
      <c r="A824937" s="242"/>
    </row>
    <row r="824938" spans="1:1" x14ac:dyDescent="0.25">
      <c r="A824938" s="242"/>
    </row>
    <row r="824939" spans="1:1" x14ac:dyDescent="0.25">
      <c r="A824939" s="242"/>
    </row>
    <row r="824940" spans="1:1" x14ac:dyDescent="0.25">
      <c r="A824940" s="242"/>
    </row>
    <row r="824941" spans="1:1" x14ac:dyDescent="0.25">
      <c r="A824941" s="242"/>
    </row>
    <row r="824942" spans="1:1" x14ac:dyDescent="0.25">
      <c r="A824942" s="242"/>
    </row>
    <row r="824943" spans="1:1" x14ac:dyDescent="0.25">
      <c r="A824943" s="242"/>
    </row>
    <row r="824944" spans="1:1" x14ac:dyDescent="0.25">
      <c r="A824944" s="242"/>
    </row>
    <row r="824945" spans="1:1" x14ac:dyDescent="0.25">
      <c r="A824945" s="242"/>
    </row>
    <row r="824946" spans="1:1" x14ac:dyDescent="0.25">
      <c r="A824946" s="242"/>
    </row>
    <row r="824947" spans="1:1" x14ac:dyDescent="0.25">
      <c r="A824947" s="242"/>
    </row>
    <row r="824948" spans="1:1" x14ac:dyDescent="0.25">
      <c r="A824948" s="242"/>
    </row>
    <row r="824949" spans="1:1" x14ac:dyDescent="0.25">
      <c r="A824949" s="242"/>
    </row>
    <row r="824950" spans="1:1" x14ac:dyDescent="0.25">
      <c r="A824950" s="242"/>
    </row>
    <row r="824951" spans="1:1" x14ac:dyDescent="0.25">
      <c r="A824951" s="242"/>
    </row>
    <row r="824952" spans="1:1" x14ac:dyDescent="0.25">
      <c r="A824952" s="242"/>
    </row>
    <row r="824953" spans="1:1" x14ac:dyDescent="0.25">
      <c r="A824953" s="242"/>
    </row>
    <row r="824954" spans="1:1" x14ac:dyDescent="0.25">
      <c r="A824954" s="242"/>
    </row>
    <row r="824955" spans="1:1" x14ac:dyDescent="0.25">
      <c r="A824955" s="242"/>
    </row>
    <row r="824956" spans="1:1" x14ac:dyDescent="0.25">
      <c r="A824956" s="242"/>
    </row>
    <row r="824957" spans="1:1" x14ac:dyDescent="0.25">
      <c r="A824957" s="242"/>
    </row>
    <row r="824958" spans="1:1" x14ac:dyDescent="0.25">
      <c r="A824958" s="242"/>
    </row>
    <row r="824959" spans="1:1" x14ac:dyDescent="0.25">
      <c r="A824959" s="242"/>
    </row>
    <row r="824960" spans="1:1" x14ac:dyDescent="0.25">
      <c r="A824960" s="242"/>
    </row>
    <row r="824961" spans="1:1" x14ac:dyDescent="0.25">
      <c r="A824961" s="242"/>
    </row>
    <row r="824962" spans="1:1" x14ac:dyDescent="0.25">
      <c r="A824962" s="242"/>
    </row>
    <row r="824963" spans="1:1" x14ac:dyDescent="0.25">
      <c r="A824963" s="242"/>
    </row>
    <row r="824964" spans="1:1" x14ac:dyDescent="0.25">
      <c r="A824964" s="242"/>
    </row>
    <row r="824965" spans="1:1" x14ac:dyDescent="0.25">
      <c r="A824965" s="242"/>
    </row>
    <row r="824966" spans="1:1" x14ac:dyDescent="0.25">
      <c r="A824966" s="242"/>
    </row>
    <row r="824967" spans="1:1" x14ac:dyDescent="0.25">
      <c r="A824967" s="242"/>
    </row>
    <row r="824968" spans="1:1" x14ac:dyDescent="0.25">
      <c r="A824968" s="242"/>
    </row>
    <row r="824969" spans="1:1" x14ac:dyDescent="0.25">
      <c r="A824969" s="242"/>
    </row>
    <row r="824970" spans="1:1" x14ac:dyDescent="0.25">
      <c r="A824970" s="242"/>
    </row>
    <row r="824971" spans="1:1" x14ac:dyDescent="0.25">
      <c r="A824971" s="242"/>
    </row>
    <row r="824972" spans="1:1" x14ac:dyDescent="0.25">
      <c r="A824972" s="242"/>
    </row>
    <row r="824973" spans="1:1" x14ac:dyDescent="0.25">
      <c r="A824973" s="242"/>
    </row>
    <row r="824974" spans="1:1" x14ac:dyDescent="0.25">
      <c r="A824974" s="242"/>
    </row>
    <row r="824975" spans="1:1" x14ac:dyDescent="0.25">
      <c r="A824975" s="242"/>
    </row>
    <row r="824976" spans="1:1" x14ac:dyDescent="0.25">
      <c r="A824976" s="242"/>
    </row>
    <row r="824977" spans="1:1" x14ac:dyDescent="0.25">
      <c r="A824977" s="242"/>
    </row>
    <row r="824978" spans="1:1" x14ac:dyDescent="0.25">
      <c r="A824978" s="242"/>
    </row>
    <row r="824979" spans="1:1" x14ac:dyDescent="0.25">
      <c r="A824979" s="242"/>
    </row>
    <row r="824980" spans="1:1" x14ac:dyDescent="0.25">
      <c r="A824980" s="242"/>
    </row>
    <row r="824981" spans="1:1" x14ac:dyDescent="0.25">
      <c r="A824981" s="242"/>
    </row>
    <row r="824982" spans="1:1" x14ac:dyDescent="0.25">
      <c r="A824982" s="242"/>
    </row>
    <row r="824983" spans="1:1" x14ac:dyDescent="0.25">
      <c r="A824983" s="242"/>
    </row>
    <row r="824984" spans="1:1" x14ac:dyDescent="0.25">
      <c r="A824984" s="242"/>
    </row>
    <row r="824985" spans="1:1" x14ac:dyDescent="0.25">
      <c r="A824985" s="242"/>
    </row>
    <row r="824986" spans="1:1" x14ac:dyDescent="0.25">
      <c r="A824986" s="242"/>
    </row>
    <row r="824987" spans="1:1" x14ac:dyDescent="0.25">
      <c r="A824987" s="242"/>
    </row>
    <row r="824988" spans="1:1" x14ac:dyDescent="0.25">
      <c r="A824988" s="242"/>
    </row>
    <row r="824989" spans="1:1" x14ac:dyDescent="0.25">
      <c r="A824989" s="242"/>
    </row>
    <row r="824990" spans="1:1" x14ac:dyDescent="0.25">
      <c r="A824990" s="242"/>
    </row>
    <row r="824991" spans="1:1" x14ac:dyDescent="0.25">
      <c r="A824991" s="242"/>
    </row>
    <row r="824992" spans="1:1" x14ac:dyDescent="0.25">
      <c r="A824992" s="242"/>
    </row>
    <row r="824993" spans="1:1" x14ac:dyDescent="0.25">
      <c r="A824993" s="242"/>
    </row>
    <row r="824994" spans="1:1" x14ac:dyDescent="0.25">
      <c r="A824994" s="242"/>
    </row>
    <row r="824995" spans="1:1" x14ac:dyDescent="0.25">
      <c r="A824995" s="242"/>
    </row>
    <row r="824996" spans="1:1" x14ac:dyDescent="0.25">
      <c r="A824996" s="242"/>
    </row>
    <row r="824997" spans="1:1" x14ac:dyDescent="0.25">
      <c r="A824997" s="242"/>
    </row>
    <row r="824998" spans="1:1" x14ac:dyDescent="0.25">
      <c r="A824998" s="242"/>
    </row>
    <row r="824999" spans="1:1" x14ac:dyDescent="0.25">
      <c r="A824999" s="242"/>
    </row>
    <row r="825000" spans="1:1" x14ac:dyDescent="0.25">
      <c r="A825000" s="242"/>
    </row>
    <row r="825001" spans="1:1" x14ac:dyDescent="0.25">
      <c r="A825001" s="242"/>
    </row>
    <row r="825002" spans="1:1" x14ac:dyDescent="0.25">
      <c r="A825002" s="242"/>
    </row>
    <row r="825003" spans="1:1" x14ac:dyDescent="0.25">
      <c r="A825003" s="242"/>
    </row>
    <row r="825004" spans="1:1" x14ac:dyDescent="0.25">
      <c r="A825004" s="242"/>
    </row>
    <row r="825005" spans="1:1" x14ac:dyDescent="0.25">
      <c r="A825005" s="242"/>
    </row>
    <row r="825006" spans="1:1" x14ac:dyDescent="0.25">
      <c r="A825006" s="242"/>
    </row>
    <row r="825007" spans="1:1" x14ac:dyDescent="0.25">
      <c r="A825007" s="242"/>
    </row>
    <row r="825008" spans="1:1" x14ac:dyDescent="0.25">
      <c r="A825008" s="242"/>
    </row>
    <row r="825009" spans="1:1" x14ac:dyDescent="0.25">
      <c r="A825009" s="242"/>
    </row>
    <row r="825010" spans="1:1" x14ac:dyDescent="0.25">
      <c r="A825010" s="242"/>
    </row>
    <row r="825011" spans="1:1" x14ac:dyDescent="0.25">
      <c r="A825011" s="242"/>
    </row>
    <row r="825012" spans="1:1" x14ac:dyDescent="0.25">
      <c r="A825012" s="242"/>
    </row>
    <row r="825013" spans="1:1" x14ac:dyDescent="0.25">
      <c r="A825013" s="242"/>
    </row>
    <row r="825014" spans="1:1" x14ac:dyDescent="0.25">
      <c r="A825014" s="242"/>
    </row>
    <row r="825015" spans="1:1" x14ac:dyDescent="0.25">
      <c r="A825015" s="242"/>
    </row>
    <row r="825016" spans="1:1" x14ac:dyDescent="0.25">
      <c r="A825016" s="242"/>
    </row>
    <row r="825017" spans="1:1" x14ac:dyDescent="0.25">
      <c r="A825017" s="242"/>
    </row>
    <row r="825018" spans="1:1" x14ac:dyDescent="0.25">
      <c r="A825018" s="242"/>
    </row>
    <row r="825019" spans="1:1" x14ac:dyDescent="0.25">
      <c r="A825019" s="242"/>
    </row>
    <row r="825020" spans="1:1" x14ac:dyDescent="0.25">
      <c r="A825020" s="242"/>
    </row>
    <row r="825021" spans="1:1" x14ac:dyDescent="0.25">
      <c r="A825021" s="242"/>
    </row>
    <row r="825022" spans="1:1" x14ac:dyDescent="0.25">
      <c r="A825022" s="242"/>
    </row>
    <row r="825023" spans="1:1" x14ac:dyDescent="0.25">
      <c r="A825023" s="242"/>
    </row>
    <row r="825024" spans="1:1" x14ac:dyDescent="0.25">
      <c r="A825024" s="242"/>
    </row>
    <row r="825025" spans="1:1" x14ac:dyDescent="0.25">
      <c r="A825025" s="242"/>
    </row>
    <row r="825026" spans="1:1" x14ac:dyDescent="0.25">
      <c r="A825026" s="242"/>
    </row>
    <row r="825027" spans="1:1" x14ac:dyDescent="0.25">
      <c r="A825027" s="242"/>
    </row>
    <row r="825028" spans="1:1" x14ac:dyDescent="0.25">
      <c r="A825028" s="242"/>
    </row>
    <row r="825029" spans="1:1" x14ac:dyDescent="0.25">
      <c r="A825029" s="242"/>
    </row>
    <row r="825030" spans="1:1" x14ac:dyDescent="0.25">
      <c r="A825030" s="242"/>
    </row>
    <row r="825031" spans="1:1" x14ac:dyDescent="0.25">
      <c r="A825031" s="242"/>
    </row>
    <row r="825032" spans="1:1" x14ac:dyDescent="0.25">
      <c r="A825032" s="242"/>
    </row>
    <row r="825033" spans="1:1" x14ac:dyDescent="0.25">
      <c r="A825033" s="242"/>
    </row>
    <row r="825034" spans="1:1" x14ac:dyDescent="0.25">
      <c r="A825034" s="242"/>
    </row>
    <row r="825035" spans="1:1" x14ac:dyDescent="0.25">
      <c r="A825035" s="242"/>
    </row>
    <row r="825036" spans="1:1" x14ac:dyDescent="0.25">
      <c r="A825036" s="242"/>
    </row>
    <row r="825037" spans="1:1" x14ac:dyDescent="0.25">
      <c r="A825037" s="242"/>
    </row>
    <row r="825038" spans="1:1" x14ac:dyDescent="0.25">
      <c r="A825038" s="242"/>
    </row>
    <row r="825039" spans="1:1" x14ac:dyDescent="0.25">
      <c r="A825039" s="242"/>
    </row>
    <row r="825040" spans="1:1" x14ac:dyDescent="0.25">
      <c r="A825040" s="242"/>
    </row>
    <row r="825041" spans="1:1" x14ac:dyDescent="0.25">
      <c r="A825041" s="242"/>
    </row>
    <row r="825042" spans="1:1" x14ac:dyDescent="0.25">
      <c r="A825042" s="242"/>
    </row>
    <row r="825043" spans="1:1" x14ac:dyDescent="0.25">
      <c r="A825043" s="242"/>
    </row>
    <row r="825044" spans="1:1" x14ac:dyDescent="0.25">
      <c r="A825044" s="242"/>
    </row>
    <row r="825045" spans="1:1" x14ac:dyDescent="0.25">
      <c r="A825045" s="242"/>
    </row>
    <row r="825046" spans="1:1" x14ac:dyDescent="0.25">
      <c r="A825046" s="242"/>
    </row>
    <row r="825047" spans="1:1" x14ac:dyDescent="0.25">
      <c r="A825047" s="242"/>
    </row>
    <row r="825048" spans="1:1" x14ac:dyDescent="0.25">
      <c r="A825048" s="242"/>
    </row>
    <row r="825049" spans="1:1" x14ac:dyDescent="0.25">
      <c r="A825049" s="242"/>
    </row>
    <row r="825050" spans="1:1" x14ac:dyDescent="0.25">
      <c r="A825050" s="242"/>
    </row>
    <row r="825051" spans="1:1" x14ac:dyDescent="0.25">
      <c r="A825051" s="242"/>
    </row>
    <row r="825052" spans="1:1" x14ac:dyDescent="0.25">
      <c r="A825052" s="242"/>
    </row>
    <row r="825053" spans="1:1" x14ac:dyDescent="0.25">
      <c r="A825053" s="242"/>
    </row>
    <row r="825054" spans="1:1" x14ac:dyDescent="0.25">
      <c r="A825054" s="242"/>
    </row>
    <row r="825055" spans="1:1" x14ac:dyDescent="0.25">
      <c r="A825055" s="242"/>
    </row>
    <row r="825056" spans="1:1" x14ac:dyDescent="0.25">
      <c r="A825056" s="242"/>
    </row>
    <row r="825057" spans="1:1" x14ac:dyDescent="0.25">
      <c r="A825057" s="242"/>
    </row>
    <row r="825058" spans="1:1" x14ac:dyDescent="0.25">
      <c r="A825058" s="242"/>
    </row>
    <row r="825059" spans="1:1" x14ac:dyDescent="0.25">
      <c r="A825059" s="242"/>
    </row>
    <row r="825060" spans="1:1" x14ac:dyDescent="0.25">
      <c r="A825060" s="242"/>
    </row>
    <row r="825061" spans="1:1" x14ac:dyDescent="0.25">
      <c r="A825061" s="242"/>
    </row>
    <row r="825062" spans="1:1" x14ac:dyDescent="0.25">
      <c r="A825062" s="242"/>
    </row>
    <row r="825063" spans="1:1" x14ac:dyDescent="0.25">
      <c r="A825063" s="242"/>
    </row>
    <row r="825064" spans="1:1" x14ac:dyDescent="0.25">
      <c r="A825064" s="242"/>
    </row>
    <row r="825065" spans="1:1" x14ac:dyDescent="0.25">
      <c r="A825065" s="242"/>
    </row>
    <row r="825066" spans="1:1" x14ac:dyDescent="0.25">
      <c r="A825066" s="242"/>
    </row>
    <row r="825067" spans="1:1" x14ac:dyDescent="0.25">
      <c r="A825067" s="242"/>
    </row>
    <row r="825068" spans="1:1" x14ac:dyDescent="0.25">
      <c r="A825068" s="242"/>
    </row>
    <row r="825069" spans="1:1" x14ac:dyDescent="0.25">
      <c r="A825069" s="242"/>
    </row>
    <row r="825070" spans="1:1" x14ac:dyDescent="0.25">
      <c r="A825070" s="242"/>
    </row>
    <row r="825071" spans="1:1" x14ac:dyDescent="0.25">
      <c r="A825071" s="242"/>
    </row>
    <row r="825072" spans="1:1" x14ac:dyDescent="0.25">
      <c r="A825072" s="242"/>
    </row>
    <row r="825073" spans="1:1" x14ac:dyDescent="0.25">
      <c r="A825073" s="242"/>
    </row>
    <row r="825074" spans="1:1" x14ac:dyDescent="0.25">
      <c r="A825074" s="242"/>
    </row>
    <row r="825075" spans="1:1" x14ac:dyDescent="0.25">
      <c r="A825075" s="242"/>
    </row>
    <row r="825076" spans="1:1" x14ac:dyDescent="0.25">
      <c r="A825076" s="242"/>
    </row>
    <row r="825077" spans="1:1" x14ac:dyDescent="0.25">
      <c r="A825077" s="242"/>
    </row>
    <row r="825078" spans="1:1" x14ac:dyDescent="0.25">
      <c r="A825078" s="242"/>
    </row>
    <row r="825079" spans="1:1" x14ac:dyDescent="0.25">
      <c r="A825079" s="242"/>
    </row>
    <row r="825080" spans="1:1" x14ac:dyDescent="0.25">
      <c r="A825080" s="242"/>
    </row>
    <row r="825081" spans="1:1" x14ac:dyDescent="0.25">
      <c r="A825081" s="242"/>
    </row>
    <row r="825082" spans="1:1" x14ac:dyDescent="0.25">
      <c r="A825082" s="242"/>
    </row>
    <row r="825083" spans="1:1" x14ac:dyDescent="0.25">
      <c r="A825083" s="242"/>
    </row>
    <row r="825084" spans="1:1" x14ac:dyDescent="0.25">
      <c r="A825084" s="242"/>
    </row>
    <row r="825085" spans="1:1" x14ac:dyDescent="0.25">
      <c r="A825085" s="242"/>
    </row>
    <row r="825086" spans="1:1" x14ac:dyDescent="0.25">
      <c r="A825086" s="242"/>
    </row>
    <row r="825087" spans="1:1" x14ac:dyDescent="0.25">
      <c r="A825087" s="242"/>
    </row>
    <row r="825088" spans="1:1" x14ac:dyDescent="0.25">
      <c r="A825088" s="242"/>
    </row>
    <row r="825089" spans="1:1" x14ac:dyDescent="0.25">
      <c r="A825089" s="242"/>
    </row>
    <row r="825090" spans="1:1" x14ac:dyDescent="0.25">
      <c r="A825090" s="242"/>
    </row>
    <row r="825091" spans="1:1" x14ac:dyDescent="0.25">
      <c r="A825091" s="242"/>
    </row>
    <row r="825092" spans="1:1" x14ac:dyDescent="0.25">
      <c r="A825092" s="242"/>
    </row>
    <row r="825093" spans="1:1" x14ac:dyDescent="0.25">
      <c r="A825093" s="242"/>
    </row>
    <row r="825094" spans="1:1" x14ac:dyDescent="0.25">
      <c r="A825094" s="242"/>
    </row>
    <row r="825095" spans="1:1" x14ac:dyDescent="0.25">
      <c r="A825095" s="242"/>
    </row>
    <row r="825096" spans="1:1" x14ac:dyDescent="0.25">
      <c r="A825096" s="242"/>
    </row>
    <row r="825097" spans="1:1" x14ac:dyDescent="0.25">
      <c r="A825097" s="242"/>
    </row>
    <row r="825098" spans="1:1" x14ac:dyDescent="0.25">
      <c r="A825098" s="242"/>
    </row>
    <row r="825099" spans="1:1" x14ac:dyDescent="0.25">
      <c r="A825099" s="242"/>
    </row>
    <row r="825100" spans="1:1" x14ac:dyDescent="0.25">
      <c r="A825100" s="242"/>
    </row>
    <row r="825101" spans="1:1" x14ac:dyDescent="0.25">
      <c r="A825101" s="242"/>
    </row>
    <row r="825102" spans="1:1" x14ac:dyDescent="0.25">
      <c r="A825102" s="242"/>
    </row>
    <row r="825103" spans="1:1" x14ac:dyDescent="0.25">
      <c r="A825103" s="242"/>
    </row>
    <row r="825104" spans="1:1" x14ac:dyDescent="0.25">
      <c r="A825104" s="242"/>
    </row>
    <row r="825105" spans="1:1" x14ac:dyDescent="0.25">
      <c r="A825105" s="242"/>
    </row>
    <row r="825106" spans="1:1" x14ac:dyDescent="0.25">
      <c r="A825106" s="242"/>
    </row>
    <row r="825107" spans="1:1" x14ac:dyDescent="0.25">
      <c r="A825107" s="242"/>
    </row>
    <row r="825108" spans="1:1" x14ac:dyDescent="0.25">
      <c r="A825108" s="242"/>
    </row>
    <row r="825109" spans="1:1" x14ac:dyDescent="0.25">
      <c r="A825109" s="242"/>
    </row>
    <row r="825110" spans="1:1" x14ac:dyDescent="0.25">
      <c r="A825110" s="242"/>
    </row>
    <row r="825111" spans="1:1" x14ac:dyDescent="0.25">
      <c r="A825111" s="242"/>
    </row>
    <row r="825112" spans="1:1" x14ac:dyDescent="0.25">
      <c r="A825112" s="242"/>
    </row>
    <row r="825113" spans="1:1" x14ac:dyDescent="0.25">
      <c r="A825113" s="242"/>
    </row>
    <row r="825114" spans="1:1" x14ac:dyDescent="0.25">
      <c r="A825114" s="242"/>
    </row>
    <row r="825115" spans="1:1" x14ac:dyDescent="0.25">
      <c r="A825115" s="242"/>
    </row>
    <row r="825116" spans="1:1" x14ac:dyDescent="0.25">
      <c r="A825116" s="242"/>
    </row>
    <row r="825117" spans="1:1" x14ac:dyDescent="0.25">
      <c r="A825117" s="242"/>
    </row>
    <row r="825118" spans="1:1" x14ac:dyDescent="0.25">
      <c r="A825118" s="242"/>
    </row>
    <row r="825119" spans="1:1" x14ac:dyDescent="0.25">
      <c r="A825119" s="242"/>
    </row>
    <row r="825120" spans="1:1" x14ac:dyDescent="0.25">
      <c r="A825120" s="242"/>
    </row>
    <row r="825121" spans="1:1" x14ac:dyDescent="0.25">
      <c r="A825121" s="242"/>
    </row>
    <row r="825122" spans="1:1" x14ac:dyDescent="0.25">
      <c r="A825122" s="242"/>
    </row>
    <row r="825123" spans="1:1" x14ac:dyDescent="0.25">
      <c r="A825123" s="242"/>
    </row>
    <row r="825124" spans="1:1" x14ac:dyDescent="0.25">
      <c r="A825124" s="242"/>
    </row>
    <row r="825125" spans="1:1" x14ac:dyDescent="0.25">
      <c r="A825125" s="242"/>
    </row>
    <row r="825126" spans="1:1" x14ac:dyDescent="0.25">
      <c r="A825126" s="242"/>
    </row>
    <row r="825127" spans="1:1" x14ac:dyDescent="0.25">
      <c r="A825127" s="242"/>
    </row>
    <row r="825128" spans="1:1" x14ac:dyDescent="0.25">
      <c r="A825128" s="242"/>
    </row>
    <row r="825129" spans="1:1" x14ac:dyDescent="0.25">
      <c r="A825129" s="242"/>
    </row>
    <row r="825130" spans="1:1" x14ac:dyDescent="0.25">
      <c r="A825130" s="242"/>
    </row>
    <row r="825131" spans="1:1" x14ac:dyDescent="0.25">
      <c r="A825131" s="242"/>
    </row>
    <row r="825132" spans="1:1" x14ac:dyDescent="0.25">
      <c r="A825132" s="242"/>
    </row>
    <row r="825133" spans="1:1" x14ac:dyDescent="0.25">
      <c r="A825133" s="242"/>
    </row>
    <row r="825134" spans="1:1" x14ac:dyDescent="0.25">
      <c r="A825134" s="242"/>
    </row>
    <row r="825135" spans="1:1" x14ac:dyDescent="0.25">
      <c r="A825135" s="242"/>
    </row>
    <row r="825136" spans="1:1" x14ac:dyDescent="0.25">
      <c r="A825136" s="242"/>
    </row>
    <row r="825137" spans="1:1" x14ac:dyDescent="0.25">
      <c r="A825137" s="242"/>
    </row>
    <row r="825138" spans="1:1" x14ac:dyDescent="0.25">
      <c r="A825138" s="242"/>
    </row>
    <row r="825139" spans="1:1" x14ac:dyDescent="0.25">
      <c r="A825139" s="242"/>
    </row>
    <row r="825140" spans="1:1" x14ac:dyDescent="0.25">
      <c r="A825140" s="242"/>
    </row>
    <row r="825141" spans="1:1" x14ac:dyDescent="0.25">
      <c r="A825141" s="242"/>
    </row>
    <row r="825142" spans="1:1" x14ac:dyDescent="0.25">
      <c r="A825142" s="242"/>
    </row>
    <row r="825143" spans="1:1" x14ac:dyDescent="0.25">
      <c r="A825143" s="242"/>
    </row>
    <row r="825144" spans="1:1" x14ac:dyDescent="0.25">
      <c r="A825144" s="242"/>
    </row>
    <row r="825145" spans="1:1" x14ac:dyDescent="0.25">
      <c r="A825145" s="242"/>
    </row>
    <row r="825146" spans="1:1" x14ac:dyDescent="0.25">
      <c r="A825146" s="242"/>
    </row>
    <row r="825147" spans="1:1" x14ac:dyDescent="0.25">
      <c r="A825147" s="242"/>
    </row>
    <row r="825148" spans="1:1" x14ac:dyDescent="0.25">
      <c r="A825148" s="242"/>
    </row>
    <row r="825149" spans="1:1" x14ac:dyDescent="0.25">
      <c r="A825149" s="242"/>
    </row>
    <row r="825150" spans="1:1" x14ac:dyDescent="0.25">
      <c r="A825150" s="242"/>
    </row>
    <row r="825151" spans="1:1" x14ac:dyDescent="0.25">
      <c r="A825151" s="242"/>
    </row>
    <row r="825152" spans="1:1" x14ac:dyDescent="0.25">
      <c r="A825152" s="242"/>
    </row>
    <row r="825153" spans="1:1" x14ac:dyDescent="0.25">
      <c r="A825153" s="242"/>
    </row>
    <row r="825154" spans="1:1" x14ac:dyDescent="0.25">
      <c r="A825154" s="242"/>
    </row>
    <row r="825155" spans="1:1" x14ac:dyDescent="0.25">
      <c r="A825155" s="242"/>
    </row>
    <row r="825156" spans="1:1" x14ac:dyDescent="0.25">
      <c r="A825156" s="242"/>
    </row>
    <row r="825157" spans="1:1" x14ac:dyDescent="0.25">
      <c r="A825157" s="242"/>
    </row>
    <row r="825158" spans="1:1" x14ac:dyDescent="0.25">
      <c r="A825158" s="242"/>
    </row>
    <row r="825159" spans="1:1" x14ac:dyDescent="0.25">
      <c r="A825159" s="242"/>
    </row>
    <row r="825160" spans="1:1" x14ac:dyDescent="0.25">
      <c r="A825160" s="242"/>
    </row>
    <row r="825161" spans="1:1" x14ac:dyDescent="0.25">
      <c r="A825161" s="242"/>
    </row>
    <row r="825162" spans="1:1" x14ac:dyDescent="0.25">
      <c r="A825162" s="242"/>
    </row>
    <row r="825163" spans="1:1" x14ac:dyDescent="0.25">
      <c r="A825163" s="242"/>
    </row>
    <row r="825164" spans="1:1" x14ac:dyDescent="0.25">
      <c r="A825164" s="242"/>
    </row>
    <row r="825165" spans="1:1" x14ac:dyDescent="0.25">
      <c r="A825165" s="242"/>
    </row>
    <row r="825166" spans="1:1" x14ac:dyDescent="0.25">
      <c r="A825166" s="242"/>
    </row>
    <row r="825167" spans="1:1" x14ac:dyDescent="0.25">
      <c r="A825167" s="242"/>
    </row>
    <row r="825168" spans="1:1" x14ac:dyDescent="0.25">
      <c r="A825168" s="242"/>
    </row>
    <row r="825169" spans="1:1" x14ac:dyDescent="0.25">
      <c r="A825169" s="242"/>
    </row>
    <row r="825170" spans="1:1" x14ac:dyDescent="0.25">
      <c r="A825170" s="242"/>
    </row>
    <row r="825171" spans="1:1" x14ac:dyDescent="0.25">
      <c r="A825171" s="242"/>
    </row>
    <row r="825172" spans="1:1" x14ac:dyDescent="0.25">
      <c r="A825172" s="242"/>
    </row>
    <row r="825173" spans="1:1" x14ac:dyDescent="0.25">
      <c r="A825173" s="242"/>
    </row>
    <row r="825174" spans="1:1" x14ac:dyDescent="0.25">
      <c r="A825174" s="242"/>
    </row>
    <row r="825175" spans="1:1" x14ac:dyDescent="0.25">
      <c r="A825175" s="242"/>
    </row>
    <row r="825176" spans="1:1" x14ac:dyDescent="0.25">
      <c r="A825176" s="242"/>
    </row>
    <row r="825177" spans="1:1" x14ac:dyDescent="0.25">
      <c r="A825177" s="242"/>
    </row>
    <row r="825178" spans="1:1" x14ac:dyDescent="0.25">
      <c r="A825178" s="242"/>
    </row>
    <row r="825179" spans="1:1" x14ac:dyDescent="0.25">
      <c r="A825179" s="242"/>
    </row>
    <row r="825180" spans="1:1" x14ac:dyDescent="0.25">
      <c r="A825180" s="242"/>
    </row>
    <row r="825181" spans="1:1" x14ac:dyDescent="0.25">
      <c r="A825181" s="242"/>
    </row>
    <row r="825182" spans="1:1" x14ac:dyDescent="0.25">
      <c r="A825182" s="242"/>
    </row>
    <row r="825183" spans="1:1" x14ac:dyDescent="0.25">
      <c r="A825183" s="242"/>
    </row>
    <row r="825184" spans="1:1" x14ac:dyDescent="0.25">
      <c r="A825184" s="242"/>
    </row>
    <row r="825185" spans="1:1" x14ac:dyDescent="0.25">
      <c r="A825185" s="242"/>
    </row>
    <row r="825186" spans="1:1" x14ac:dyDescent="0.25">
      <c r="A825186" s="242"/>
    </row>
    <row r="825187" spans="1:1" x14ac:dyDescent="0.25">
      <c r="A825187" s="242"/>
    </row>
    <row r="825188" spans="1:1" x14ac:dyDescent="0.25">
      <c r="A825188" s="242"/>
    </row>
    <row r="825189" spans="1:1" x14ac:dyDescent="0.25">
      <c r="A825189" s="242"/>
    </row>
    <row r="825190" spans="1:1" x14ac:dyDescent="0.25">
      <c r="A825190" s="242"/>
    </row>
    <row r="825191" spans="1:1" x14ac:dyDescent="0.25">
      <c r="A825191" s="242"/>
    </row>
    <row r="825192" spans="1:1" x14ac:dyDescent="0.25">
      <c r="A825192" s="242"/>
    </row>
    <row r="825193" spans="1:1" x14ac:dyDescent="0.25">
      <c r="A825193" s="242"/>
    </row>
    <row r="825194" spans="1:1" x14ac:dyDescent="0.25">
      <c r="A825194" s="242"/>
    </row>
    <row r="825195" spans="1:1" x14ac:dyDescent="0.25">
      <c r="A825195" s="242"/>
    </row>
    <row r="825196" spans="1:1" x14ac:dyDescent="0.25">
      <c r="A825196" s="242"/>
    </row>
    <row r="825197" spans="1:1" x14ac:dyDescent="0.25">
      <c r="A825197" s="242"/>
    </row>
    <row r="825198" spans="1:1" x14ac:dyDescent="0.25">
      <c r="A825198" s="242"/>
    </row>
    <row r="825199" spans="1:1" x14ac:dyDescent="0.25">
      <c r="A825199" s="242"/>
    </row>
    <row r="825200" spans="1:1" x14ac:dyDescent="0.25">
      <c r="A825200" s="242"/>
    </row>
    <row r="825201" spans="1:1" x14ac:dyDescent="0.25">
      <c r="A825201" s="242"/>
    </row>
    <row r="825202" spans="1:1" x14ac:dyDescent="0.25">
      <c r="A825202" s="242"/>
    </row>
    <row r="825203" spans="1:1" x14ac:dyDescent="0.25">
      <c r="A825203" s="242"/>
    </row>
    <row r="825204" spans="1:1" x14ac:dyDescent="0.25">
      <c r="A825204" s="242"/>
    </row>
    <row r="825205" spans="1:1" x14ac:dyDescent="0.25">
      <c r="A825205" s="242"/>
    </row>
    <row r="825206" spans="1:1" x14ac:dyDescent="0.25">
      <c r="A825206" s="242"/>
    </row>
    <row r="825207" spans="1:1" x14ac:dyDescent="0.25">
      <c r="A825207" s="242"/>
    </row>
    <row r="825208" spans="1:1" x14ac:dyDescent="0.25">
      <c r="A825208" s="242"/>
    </row>
    <row r="825209" spans="1:1" x14ac:dyDescent="0.25">
      <c r="A825209" s="242"/>
    </row>
    <row r="825210" spans="1:1" x14ac:dyDescent="0.25">
      <c r="A825210" s="242"/>
    </row>
    <row r="825211" spans="1:1" x14ac:dyDescent="0.25">
      <c r="A825211" s="242"/>
    </row>
    <row r="825212" spans="1:1" x14ac:dyDescent="0.25">
      <c r="A825212" s="242"/>
    </row>
    <row r="825213" spans="1:1" x14ac:dyDescent="0.25">
      <c r="A825213" s="242"/>
    </row>
    <row r="825214" spans="1:1" x14ac:dyDescent="0.25">
      <c r="A825214" s="242"/>
    </row>
    <row r="825215" spans="1:1" x14ac:dyDescent="0.25">
      <c r="A825215" s="242"/>
    </row>
    <row r="825216" spans="1:1" x14ac:dyDescent="0.25">
      <c r="A825216" s="242"/>
    </row>
    <row r="825217" spans="1:1" x14ac:dyDescent="0.25">
      <c r="A825217" s="242"/>
    </row>
    <row r="825218" spans="1:1" x14ac:dyDescent="0.25">
      <c r="A825218" s="242"/>
    </row>
    <row r="825219" spans="1:1" x14ac:dyDescent="0.25">
      <c r="A825219" s="242"/>
    </row>
    <row r="825220" spans="1:1" x14ac:dyDescent="0.25">
      <c r="A825220" s="242"/>
    </row>
    <row r="825221" spans="1:1" x14ac:dyDescent="0.25">
      <c r="A825221" s="242"/>
    </row>
    <row r="825222" spans="1:1" x14ac:dyDescent="0.25">
      <c r="A825222" s="242"/>
    </row>
    <row r="825223" spans="1:1" x14ac:dyDescent="0.25">
      <c r="A825223" s="242"/>
    </row>
    <row r="825224" spans="1:1" x14ac:dyDescent="0.25">
      <c r="A825224" s="242"/>
    </row>
    <row r="825225" spans="1:1" x14ac:dyDescent="0.25">
      <c r="A825225" s="242"/>
    </row>
    <row r="825226" spans="1:1" x14ac:dyDescent="0.25">
      <c r="A825226" s="242"/>
    </row>
    <row r="825227" spans="1:1" x14ac:dyDescent="0.25">
      <c r="A825227" s="242"/>
    </row>
    <row r="825228" spans="1:1" x14ac:dyDescent="0.25">
      <c r="A825228" s="242"/>
    </row>
    <row r="825229" spans="1:1" x14ac:dyDescent="0.25">
      <c r="A825229" s="242"/>
    </row>
    <row r="825230" spans="1:1" x14ac:dyDescent="0.25">
      <c r="A825230" s="242"/>
    </row>
    <row r="825231" spans="1:1" x14ac:dyDescent="0.25">
      <c r="A825231" s="242"/>
    </row>
    <row r="825232" spans="1:1" x14ac:dyDescent="0.25">
      <c r="A825232" s="242"/>
    </row>
    <row r="825233" spans="1:1" x14ac:dyDescent="0.25">
      <c r="A825233" s="242"/>
    </row>
    <row r="825234" spans="1:1" x14ac:dyDescent="0.25">
      <c r="A825234" s="242"/>
    </row>
    <row r="825235" spans="1:1" x14ac:dyDescent="0.25">
      <c r="A825235" s="242"/>
    </row>
    <row r="825236" spans="1:1" x14ac:dyDescent="0.25">
      <c r="A825236" s="242"/>
    </row>
    <row r="825237" spans="1:1" x14ac:dyDescent="0.25">
      <c r="A825237" s="242"/>
    </row>
    <row r="825238" spans="1:1" x14ac:dyDescent="0.25">
      <c r="A825238" s="242"/>
    </row>
    <row r="825239" spans="1:1" x14ac:dyDescent="0.25">
      <c r="A825239" s="242"/>
    </row>
    <row r="825240" spans="1:1" x14ac:dyDescent="0.25">
      <c r="A825240" s="242"/>
    </row>
    <row r="825241" spans="1:1" x14ac:dyDescent="0.25">
      <c r="A825241" s="242"/>
    </row>
    <row r="825242" spans="1:1" x14ac:dyDescent="0.25">
      <c r="A825242" s="242"/>
    </row>
    <row r="825243" spans="1:1" x14ac:dyDescent="0.25">
      <c r="A825243" s="242"/>
    </row>
    <row r="825244" spans="1:1" x14ac:dyDescent="0.25">
      <c r="A825244" s="242"/>
    </row>
    <row r="825245" spans="1:1" x14ac:dyDescent="0.25">
      <c r="A825245" s="242"/>
    </row>
    <row r="825246" spans="1:1" x14ac:dyDescent="0.25">
      <c r="A825246" s="242"/>
    </row>
    <row r="825247" spans="1:1" x14ac:dyDescent="0.25">
      <c r="A825247" s="242"/>
    </row>
    <row r="825248" spans="1:1" x14ac:dyDescent="0.25">
      <c r="A825248" s="242"/>
    </row>
    <row r="825249" spans="1:1" x14ac:dyDescent="0.25">
      <c r="A825249" s="242"/>
    </row>
    <row r="825250" spans="1:1" x14ac:dyDescent="0.25">
      <c r="A825250" s="242"/>
    </row>
    <row r="825251" spans="1:1" x14ac:dyDescent="0.25">
      <c r="A825251" s="242"/>
    </row>
    <row r="825252" spans="1:1" x14ac:dyDescent="0.25">
      <c r="A825252" s="242"/>
    </row>
    <row r="825253" spans="1:1" x14ac:dyDescent="0.25">
      <c r="A825253" s="242"/>
    </row>
    <row r="825254" spans="1:1" x14ac:dyDescent="0.25">
      <c r="A825254" s="242"/>
    </row>
    <row r="825255" spans="1:1" x14ac:dyDescent="0.25">
      <c r="A825255" s="242"/>
    </row>
    <row r="825256" spans="1:1" x14ac:dyDescent="0.25">
      <c r="A825256" s="242"/>
    </row>
    <row r="825257" spans="1:1" x14ac:dyDescent="0.25">
      <c r="A825257" s="242"/>
    </row>
    <row r="825258" spans="1:1" x14ac:dyDescent="0.25">
      <c r="A825258" s="242"/>
    </row>
    <row r="825259" spans="1:1" x14ac:dyDescent="0.25">
      <c r="A825259" s="242"/>
    </row>
    <row r="825260" spans="1:1" x14ac:dyDescent="0.25">
      <c r="A825260" s="242"/>
    </row>
    <row r="825261" spans="1:1" x14ac:dyDescent="0.25">
      <c r="A825261" s="242"/>
    </row>
    <row r="825262" spans="1:1" x14ac:dyDescent="0.25">
      <c r="A825262" s="242"/>
    </row>
    <row r="825263" spans="1:1" x14ac:dyDescent="0.25">
      <c r="A825263" s="242"/>
    </row>
    <row r="825264" spans="1:1" x14ac:dyDescent="0.25">
      <c r="A825264" s="242"/>
    </row>
    <row r="825265" spans="1:1" x14ac:dyDescent="0.25">
      <c r="A825265" s="242"/>
    </row>
    <row r="825266" spans="1:1" x14ac:dyDescent="0.25">
      <c r="A825266" s="242"/>
    </row>
    <row r="825267" spans="1:1" x14ac:dyDescent="0.25">
      <c r="A825267" s="242"/>
    </row>
    <row r="825268" spans="1:1" x14ac:dyDescent="0.25">
      <c r="A825268" s="242"/>
    </row>
    <row r="825269" spans="1:1" x14ac:dyDescent="0.25">
      <c r="A825269" s="242"/>
    </row>
    <row r="825270" spans="1:1" x14ac:dyDescent="0.25">
      <c r="A825270" s="242"/>
    </row>
    <row r="825271" spans="1:1" x14ac:dyDescent="0.25">
      <c r="A825271" s="242"/>
    </row>
    <row r="825272" spans="1:1" x14ac:dyDescent="0.25">
      <c r="A825272" s="242"/>
    </row>
    <row r="825273" spans="1:1" x14ac:dyDescent="0.25">
      <c r="A825273" s="242"/>
    </row>
    <row r="825274" spans="1:1" x14ac:dyDescent="0.25">
      <c r="A825274" s="242"/>
    </row>
    <row r="825275" spans="1:1" x14ac:dyDescent="0.25">
      <c r="A825275" s="242"/>
    </row>
    <row r="825276" spans="1:1" x14ac:dyDescent="0.25">
      <c r="A825276" s="242"/>
    </row>
    <row r="825277" spans="1:1" x14ac:dyDescent="0.25">
      <c r="A825277" s="242"/>
    </row>
    <row r="825278" spans="1:1" x14ac:dyDescent="0.25">
      <c r="A825278" s="242"/>
    </row>
    <row r="825279" spans="1:1" x14ac:dyDescent="0.25">
      <c r="A825279" s="242"/>
    </row>
    <row r="825280" spans="1:1" x14ac:dyDescent="0.25">
      <c r="A825280" s="242"/>
    </row>
    <row r="825281" spans="1:1" x14ac:dyDescent="0.25">
      <c r="A825281" s="242"/>
    </row>
    <row r="825282" spans="1:1" x14ac:dyDescent="0.25">
      <c r="A825282" s="242"/>
    </row>
    <row r="825283" spans="1:1" x14ac:dyDescent="0.25">
      <c r="A825283" s="242"/>
    </row>
    <row r="825284" spans="1:1" x14ac:dyDescent="0.25">
      <c r="A825284" s="242"/>
    </row>
    <row r="825285" spans="1:1" x14ac:dyDescent="0.25">
      <c r="A825285" s="242"/>
    </row>
    <row r="825286" spans="1:1" x14ac:dyDescent="0.25">
      <c r="A825286" s="242"/>
    </row>
    <row r="825287" spans="1:1" x14ac:dyDescent="0.25">
      <c r="A825287" s="242"/>
    </row>
    <row r="825288" spans="1:1" x14ac:dyDescent="0.25">
      <c r="A825288" s="242"/>
    </row>
    <row r="825289" spans="1:1" x14ac:dyDescent="0.25">
      <c r="A825289" s="242"/>
    </row>
    <row r="825290" spans="1:1" x14ac:dyDescent="0.25">
      <c r="A825290" s="242"/>
    </row>
    <row r="825291" spans="1:1" x14ac:dyDescent="0.25">
      <c r="A825291" s="242"/>
    </row>
    <row r="825292" spans="1:1" x14ac:dyDescent="0.25">
      <c r="A825292" s="242"/>
    </row>
    <row r="825293" spans="1:1" x14ac:dyDescent="0.25">
      <c r="A825293" s="242"/>
    </row>
    <row r="825294" spans="1:1" x14ac:dyDescent="0.25">
      <c r="A825294" s="242"/>
    </row>
    <row r="825295" spans="1:1" x14ac:dyDescent="0.25">
      <c r="A825295" s="242"/>
    </row>
    <row r="825296" spans="1:1" x14ac:dyDescent="0.25">
      <c r="A825296" s="242"/>
    </row>
    <row r="825297" spans="1:1" x14ac:dyDescent="0.25">
      <c r="A825297" s="242"/>
    </row>
    <row r="825298" spans="1:1" x14ac:dyDescent="0.25">
      <c r="A825298" s="242"/>
    </row>
    <row r="825299" spans="1:1" x14ac:dyDescent="0.25">
      <c r="A825299" s="242"/>
    </row>
    <row r="825300" spans="1:1" x14ac:dyDescent="0.25">
      <c r="A825300" s="242"/>
    </row>
    <row r="825301" spans="1:1" x14ac:dyDescent="0.25">
      <c r="A825301" s="242"/>
    </row>
    <row r="825302" spans="1:1" x14ac:dyDescent="0.25">
      <c r="A825302" s="242"/>
    </row>
    <row r="825303" spans="1:1" x14ac:dyDescent="0.25">
      <c r="A825303" s="242"/>
    </row>
    <row r="825304" spans="1:1" x14ac:dyDescent="0.25">
      <c r="A825304" s="242"/>
    </row>
    <row r="825305" spans="1:1" x14ac:dyDescent="0.25">
      <c r="A825305" s="242"/>
    </row>
    <row r="825306" spans="1:1" x14ac:dyDescent="0.25">
      <c r="A825306" s="242"/>
    </row>
    <row r="825307" spans="1:1" x14ac:dyDescent="0.25">
      <c r="A825307" s="242"/>
    </row>
    <row r="825308" spans="1:1" x14ac:dyDescent="0.25">
      <c r="A825308" s="242"/>
    </row>
    <row r="825309" spans="1:1" x14ac:dyDescent="0.25">
      <c r="A825309" s="242"/>
    </row>
    <row r="825310" spans="1:1" x14ac:dyDescent="0.25">
      <c r="A825310" s="242"/>
    </row>
    <row r="825311" spans="1:1" x14ac:dyDescent="0.25">
      <c r="A825311" s="242"/>
    </row>
    <row r="825312" spans="1:1" x14ac:dyDescent="0.25">
      <c r="A825312" s="242"/>
    </row>
    <row r="825313" spans="1:1" x14ac:dyDescent="0.25">
      <c r="A825313" s="242"/>
    </row>
    <row r="825314" spans="1:1" x14ac:dyDescent="0.25">
      <c r="A825314" s="242"/>
    </row>
    <row r="825315" spans="1:1" x14ac:dyDescent="0.25">
      <c r="A825315" s="242"/>
    </row>
    <row r="825316" spans="1:1" x14ac:dyDescent="0.25">
      <c r="A825316" s="242"/>
    </row>
    <row r="825317" spans="1:1" x14ac:dyDescent="0.25">
      <c r="A825317" s="242"/>
    </row>
    <row r="825318" spans="1:1" x14ac:dyDescent="0.25">
      <c r="A825318" s="242"/>
    </row>
    <row r="825319" spans="1:1" x14ac:dyDescent="0.25">
      <c r="A825319" s="242"/>
    </row>
    <row r="825320" spans="1:1" x14ac:dyDescent="0.25">
      <c r="A825320" s="242"/>
    </row>
    <row r="825321" spans="1:1" x14ac:dyDescent="0.25">
      <c r="A825321" s="242"/>
    </row>
    <row r="825322" spans="1:1" x14ac:dyDescent="0.25">
      <c r="A825322" s="242"/>
    </row>
    <row r="825323" spans="1:1" x14ac:dyDescent="0.25">
      <c r="A825323" s="242"/>
    </row>
    <row r="825324" spans="1:1" x14ac:dyDescent="0.25">
      <c r="A825324" s="242"/>
    </row>
    <row r="825325" spans="1:1" x14ac:dyDescent="0.25">
      <c r="A825325" s="242"/>
    </row>
    <row r="825326" spans="1:1" x14ac:dyDescent="0.25">
      <c r="A825326" s="242"/>
    </row>
    <row r="825327" spans="1:1" x14ac:dyDescent="0.25">
      <c r="A825327" s="242"/>
    </row>
    <row r="825328" spans="1:1" x14ac:dyDescent="0.25">
      <c r="A825328" s="242"/>
    </row>
    <row r="825329" spans="1:1" x14ac:dyDescent="0.25">
      <c r="A825329" s="242"/>
    </row>
    <row r="825330" spans="1:1" x14ac:dyDescent="0.25">
      <c r="A825330" s="242"/>
    </row>
    <row r="825331" spans="1:1" x14ac:dyDescent="0.25">
      <c r="A825331" s="242"/>
    </row>
    <row r="825332" spans="1:1" x14ac:dyDescent="0.25">
      <c r="A825332" s="242"/>
    </row>
    <row r="825333" spans="1:1" x14ac:dyDescent="0.25">
      <c r="A825333" s="242"/>
    </row>
    <row r="825334" spans="1:1" x14ac:dyDescent="0.25">
      <c r="A825334" s="242"/>
    </row>
    <row r="825335" spans="1:1" x14ac:dyDescent="0.25">
      <c r="A825335" s="242"/>
    </row>
    <row r="825336" spans="1:1" x14ac:dyDescent="0.25">
      <c r="A825336" s="242"/>
    </row>
    <row r="825337" spans="1:1" x14ac:dyDescent="0.25">
      <c r="A825337" s="242"/>
    </row>
    <row r="825338" spans="1:1" x14ac:dyDescent="0.25">
      <c r="A825338" s="242"/>
    </row>
    <row r="825339" spans="1:1" x14ac:dyDescent="0.25">
      <c r="A825339" s="242"/>
    </row>
    <row r="825340" spans="1:1" x14ac:dyDescent="0.25">
      <c r="A825340" s="242"/>
    </row>
    <row r="825341" spans="1:1" x14ac:dyDescent="0.25">
      <c r="A825341" s="242"/>
    </row>
    <row r="825342" spans="1:1" x14ac:dyDescent="0.25">
      <c r="A825342" s="242"/>
    </row>
    <row r="825343" spans="1:1" x14ac:dyDescent="0.25">
      <c r="A825343" s="242"/>
    </row>
    <row r="825344" spans="1:1" x14ac:dyDescent="0.25">
      <c r="A825344" s="242"/>
    </row>
    <row r="825345" spans="1:1" x14ac:dyDescent="0.25">
      <c r="A825345" s="242"/>
    </row>
    <row r="825346" spans="1:1" x14ac:dyDescent="0.25">
      <c r="A825346" s="242"/>
    </row>
    <row r="825347" spans="1:1" x14ac:dyDescent="0.25">
      <c r="A825347" s="242"/>
    </row>
    <row r="825348" spans="1:1" x14ac:dyDescent="0.25">
      <c r="A825348" s="242"/>
    </row>
    <row r="825349" spans="1:1" x14ac:dyDescent="0.25">
      <c r="A825349" s="242"/>
    </row>
    <row r="825350" spans="1:1" x14ac:dyDescent="0.25">
      <c r="A825350" s="242"/>
    </row>
    <row r="825351" spans="1:1" x14ac:dyDescent="0.25">
      <c r="A825351" s="242"/>
    </row>
    <row r="825352" spans="1:1" x14ac:dyDescent="0.25">
      <c r="A825352" s="242"/>
    </row>
    <row r="825353" spans="1:1" x14ac:dyDescent="0.25">
      <c r="A825353" s="242"/>
    </row>
    <row r="825354" spans="1:1" x14ac:dyDescent="0.25">
      <c r="A825354" s="242"/>
    </row>
    <row r="825355" spans="1:1" x14ac:dyDescent="0.25">
      <c r="A825355" s="242"/>
    </row>
    <row r="825356" spans="1:1" x14ac:dyDescent="0.25">
      <c r="A825356" s="242"/>
    </row>
    <row r="825357" spans="1:1" x14ac:dyDescent="0.25">
      <c r="A825357" s="242"/>
    </row>
    <row r="825358" spans="1:1" x14ac:dyDescent="0.25">
      <c r="A825358" s="242"/>
    </row>
    <row r="825359" spans="1:1" x14ac:dyDescent="0.25">
      <c r="A825359" s="242"/>
    </row>
    <row r="825360" spans="1:1" x14ac:dyDescent="0.25">
      <c r="A825360" s="242"/>
    </row>
    <row r="825361" spans="1:1" x14ac:dyDescent="0.25">
      <c r="A825361" s="242"/>
    </row>
    <row r="825362" spans="1:1" x14ac:dyDescent="0.25">
      <c r="A825362" s="242"/>
    </row>
    <row r="825363" spans="1:1" x14ac:dyDescent="0.25">
      <c r="A825363" s="242"/>
    </row>
    <row r="825364" spans="1:1" x14ac:dyDescent="0.25">
      <c r="A825364" s="242"/>
    </row>
    <row r="825365" spans="1:1" x14ac:dyDescent="0.25">
      <c r="A825365" s="242"/>
    </row>
    <row r="825366" spans="1:1" x14ac:dyDescent="0.25">
      <c r="A825366" s="242"/>
    </row>
    <row r="825367" spans="1:1" x14ac:dyDescent="0.25">
      <c r="A825367" s="242"/>
    </row>
    <row r="825368" spans="1:1" x14ac:dyDescent="0.25">
      <c r="A825368" s="242"/>
    </row>
    <row r="825369" spans="1:1" x14ac:dyDescent="0.25">
      <c r="A825369" s="242"/>
    </row>
    <row r="825370" spans="1:1" x14ac:dyDescent="0.25">
      <c r="A825370" s="242"/>
    </row>
    <row r="825371" spans="1:1" x14ac:dyDescent="0.25">
      <c r="A825371" s="242"/>
    </row>
    <row r="825372" spans="1:1" x14ac:dyDescent="0.25">
      <c r="A825372" s="242"/>
    </row>
    <row r="825373" spans="1:1" x14ac:dyDescent="0.25">
      <c r="A825373" s="242"/>
    </row>
    <row r="825374" spans="1:1" x14ac:dyDescent="0.25">
      <c r="A825374" s="242"/>
    </row>
    <row r="825375" spans="1:1" x14ac:dyDescent="0.25">
      <c r="A825375" s="242"/>
    </row>
    <row r="825376" spans="1:1" x14ac:dyDescent="0.25">
      <c r="A825376" s="242"/>
    </row>
    <row r="825377" spans="1:1" x14ac:dyDescent="0.25">
      <c r="A825377" s="242"/>
    </row>
    <row r="825378" spans="1:1" x14ac:dyDescent="0.25">
      <c r="A825378" s="242"/>
    </row>
    <row r="825379" spans="1:1" x14ac:dyDescent="0.25">
      <c r="A825379" s="242"/>
    </row>
    <row r="825380" spans="1:1" x14ac:dyDescent="0.25">
      <c r="A825380" s="242"/>
    </row>
    <row r="825381" spans="1:1" x14ac:dyDescent="0.25">
      <c r="A825381" s="242"/>
    </row>
    <row r="825382" spans="1:1" x14ac:dyDescent="0.25">
      <c r="A825382" s="242"/>
    </row>
    <row r="825383" spans="1:1" x14ac:dyDescent="0.25">
      <c r="A825383" s="242"/>
    </row>
    <row r="825384" spans="1:1" x14ac:dyDescent="0.25">
      <c r="A825384" s="242"/>
    </row>
    <row r="825385" spans="1:1" x14ac:dyDescent="0.25">
      <c r="A825385" s="242"/>
    </row>
    <row r="825386" spans="1:1" x14ac:dyDescent="0.25">
      <c r="A825386" s="242"/>
    </row>
    <row r="825387" spans="1:1" x14ac:dyDescent="0.25">
      <c r="A825387" s="242"/>
    </row>
    <row r="825388" spans="1:1" x14ac:dyDescent="0.25">
      <c r="A825388" s="242"/>
    </row>
    <row r="825389" spans="1:1" x14ac:dyDescent="0.25">
      <c r="A825389" s="242"/>
    </row>
    <row r="825390" spans="1:1" x14ac:dyDescent="0.25">
      <c r="A825390" s="242"/>
    </row>
    <row r="825391" spans="1:1" x14ac:dyDescent="0.25">
      <c r="A825391" s="242"/>
    </row>
    <row r="825392" spans="1:1" x14ac:dyDescent="0.25">
      <c r="A825392" s="242"/>
    </row>
    <row r="825393" spans="1:1" x14ac:dyDescent="0.25">
      <c r="A825393" s="242"/>
    </row>
    <row r="825394" spans="1:1" x14ac:dyDescent="0.25">
      <c r="A825394" s="242"/>
    </row>
    <row r="825395" spans="1:1" x14ac:dyDescent="0.25">
      <c r="A825395" s="242"/>
    </row>
    <row r="825396" spans="1:1" x14ac:dyDescent="0.25">
      <c r="A825396" s="242"/>
    </row>
    <row r="825397" spans="1:1" x14ac:dyDescent="0.25">
      <c r="A825397" s="242"/>
    </row>
    <row r="825398" spans="1:1" x14ac:dyDescent="0.25">
      <c r="A825398" s="242"/>
    </row>
    <row r="825399" spans="1:1" x14ac:dyDescent="0.25">
      <c r="A825399" s="242"/>
    </row>
    <row r="825400" spans="1:1" x14ac:dyDescent="0.25">
      <c r="A825400" s="242"/>
    </row>
    <row r="825401" spans="1:1" x14ac:dyDescent="0.25">
      <c r="A825401" s="242"/>
    </row>
    <row r="825402" spans="1:1" x14ac:dyDescent="0.25">
      <c r="A825402" s="242"/>
    </row>
    <row r="825403" spans="1:1" x14ac:dyDescent="0.25">
      <c r="A825403" s="242"/>
    </row>
    <row r="825404" spans="1:1" x14ac:dyDescent="0.25">
      <c r="A825404" s="242"/>
    </row>
    <row r="825405" spans="1:1" x14ac:dyDescent="0.25">
      <c r="A825405" s="242"/>
    </row>
    <row r="825406" spans="1:1" x14ac:dyDescent="0.25">
      <c r="A825406" s="242"/>
    </row>
    <row r="825407" spans="1:1" x14ac:dyDescent="0.25">
      <c r="A825407" s="242"/>
    </row>
    <row r="825408" spans="1:1" x14ac:dyDescent="0.25">
      <c r="A825408" s="242"/>
    </row>
    <row r="825409" spans="1:1" x14ac:dyDescent="0.25">
      <c r="A825409" s="242"/>
    </row>
    <row r="825410" spans="1:1" x14ac:dyDescent="0.25">
      <c r="A825410" s="242"/>
    </row>
    <row r="825411" spans="1:1" x14ac:dyDescent="0.25">
      <c r="A825411" s="242"/>
    </row>
    <row r="825412" spans="1:1" x14ac:dyDescent="0.25">
      <c r="A825412" s="242"/>
    </row>
    <row r="825413" spans="1:1" x14ac:dyDescent="0.25">
      <c r="A825413" s="242"/>
    </row>
    <row r="825414" spans="1:1" x14ac:dyDescent="0.25">
      <c r="A825414" s="242"/>
    </row>
    <row r="825415" spans="1:1" x14ac:dyDescent="0.25">
      <c r="A825415" s="242"/>
    </row>
    <row r="825416" spans="1:1" x14ac:dyDescent="0.25">
      <c r="A825416" s="242"/>
    </row>
    <row r="825417" spans="1:1" x14ac:dyDescent="0.25">
      <c r="A825417" s="242"/>
    </row>
    <row r="825418" spans="1:1" x14ac:dyDescent="0.25">
      <c r="A825418" s="242"/>
    </row>
    <row r="825419" spans="1:1" x14ac:dyDescent="0.25">
      <c r="A825419" s="242"/>
    </row>
    <row r="825420" spans="1:1" x14ac:dyDescent="0.25">
      <c r="A825420" s="242"/>
    </row>
    <row r="825421" spans="1:1" x14ac:dyDescent="0.25">
      <c r="A825421" s="242"/>
    </row>
    <row r="825422" spans="1:1" x14ac:dyDescent="0.25">
      <c r="A825422" s="242"/>
    </row>
    <row r="825423" spans="1:1" x14ac:dyDescent="0.25">
      <c r="A825423" s="242"/>
    </row>
    <row r="825424" spans="1:1" x14ac:dyDescent="0.25">
      <c r="A825424" s="242"/>
    </row>
    <row r="825425" spans="1:1" x14ac:dyDescent="0.25">
      <c r="A825425" s="242"/>
    </row>
    <row r="825426" spans="1:1" x14ac:dyDescent="0.25">
      <c r="A825426" s="242"/>
    </row>
    <row r="825427" spans="1:1" x14ac:dyDescent="0.25">
      <c r="A825427" s="242"/>
    </row>
    <row r="825428" spans="1:1" x14ac:dyDescent="0.25">
      <c r="A825428" s="242"/>
    </row>
    <row r="825429" spans="1:1" x14ac:dyDescent="0.25">
      <c r="A825429" s="242"/>
    </row>
    <row r="825430" spans="1:1" x14ac:dyDescent="0.25">
      <c r="A825430" s="242"/>
    </row>
    <row r="825431" spans="1:1" x14ac:dyDescent="0.25">
      <c r="A825431" s="242"/>
    </row>
    <row r="825432" spans="1:1" x14ac:dyDescent="0.25">
      <c r="A825432" s="242"/>
    </row>
    <row r="825433" spans="1:1" x14ac:dyDescent="0.25">
      <c r="A825433" s="242"/>
    </row>
    <row r="825434" spans="1:1" x14ac:dyDescent="0.25">
      <c r="A825434" s="242"/>
    </row>
    <row r="825435" spans="1:1" x14ac:dyDescent="0.25">
      <c r="A825435" s="242"/>
    </row>
    <row r="825436" spans="1:1" x14ac:dyDescent="0.25">
      <c r="A825436" s="242"/>
    </row>
    <row r="825437" spans="1:1" x14ac:dyDescent="0.25">
      <c r="A825437" s="242"/>
    </row>
    <row r="825438" spans="1:1" x14ac:dyDescent="0.25">
      <c r="A825438" s="242"/>
    </row>
    <row r="825439" spans="1:1" x14ac:dyDescent="0.25">
      <c r="A825439" s="242"/>
    </row>
    <row r="825440" spans="1:1" x14ac:dyDescent="0.25">
      <c r="A825440" s="242"/>
    </row>
    <row r="825441" spans="1:1" x14ac:dyDescent="0.25">
      <c r="A825441" s="242"/>
    </row>
    <row r="825442" spans="1:1" x14ac:dyDescent="0.25">
      <c r="A825442" s="242"/>
    </row>
    <row r="825443" spans="1:1" x14ac:dyDescent="0.25">
      <c r="A825443" s="242"/>
    </row>
    <row r="825444" spans="1:1" x14ac:dyDescent="0.25">
      <c r="A825444" s="242"/>
    </row>
    <row r="825445" spans="1:1" x14ac:dyDescent="0.25">
      <c r="A825445" s="242"/>
    </row>
    <row r="825446" spans="1:1" x14ac:dyDescent="0.25">
      <c r="A825446" s="242"/>
    </row>
    <row r="825447" spans="1:1" x14ac:dyDescent="0.25">
      <c r="A825447" s="242"/>
    </row>
    <row r="825448" spans="1:1" x14ac:dyDescent="0.25">
      <c r="A825448" s="242"/>
    </row>
    <row r="825449" spans="1:1" x14ac:dyDescent="0.25">
      <c r="A825449" s="242"/>
    </row>
    <row r="825450" spans="1:1" x14ac:dyDescent="0.25">
      <c r="A825450" s="242"/>
    </row>
    <row r="825451" spans="1:1" x14ac:dyDescent="0.25">
      <c r="A825451" s="242"/>
    </row>
    <row r="825452" spans="1:1" x14ac:dyDescent="0.25">
      <c r="A825452" s="242"/>
    </row>
    <row r="825453" spans="1:1" x14ac:dyDescent="0.25">
      <c r="A825453" s="242"/>
    </row>
    <row r="825454" spans="1:1" x14ac:dyDescent="0.25">
      <c r="A825454" s="242"/>
    </row>
    <row r="825455" spans="1:1" x14ac:dyDescent="0.25">
      <c r="A825455" s="242"/>
    </row>
    <row r="825456" spans="1:1" x14ac:dyDescent="0.25">
      <c r="A825456" s="242"/>
    </row>
    <row r="825457" spans="1:1" x14ac:dyDescent="0.25">
      <c r="A825457" s="242"/>
    </row>
    <row r="825458" spans="1:1" x14ac:dyDescent="0.25">
      <c r="A825458" s="242"/>
    </row>
    <row r="825459" spans="1:1" x14ac:dyDescent="0.25">
      <c r="A825459" s="242"/>
    </row>
    <row r="825460" spans="1:1" x14ac:dyDescent="0.25">
      <c r="A825460" s="242"/>
    </row>
    <row r="825461" spans="1:1" x14ac:dyDescent="0.25">
      <c r="A825461" s="242"/>
    </row>
    <row r="825462" spans="1:1" x14ac:dyDescent="0.25">
      <c r="A825462" s="242"/>
    </row>
    <row r="825463" spans="1:1" x14ac:dyDescent="0.25">
      <c r="A825463" s="242"/>
    </row>
    <row r="825464" spans="1:1" x14ac:dyDescent="0.25">
      <c r="A825464" s="242"/>
    </row>
    <row r="825465" spans="1:1" x14ac:dyDescent="0.25">
      <c r="A825465" s="242"/>
    </row>
    <row r="825466" spans="1:1" x14ac:dyDescent="0.25">
      <c r="A825466" s="242"/>
    </row>
    <row r="825467" spans="1:1" x14ac:dyDescent="0.25">
      <c r="A825467" s="242"/>
    </row>
    <row r="825468" spans="1:1" x14ac:dyDescent="0.25">
      <c r="A825468" s="242"/>
    </row>
    <row r="825469" spans="1:1" x14ac:dyDescent="0.25">
      <c r="A825469" s="242"/>
    </row>
    <row r="825470" spans="1:1" x14ac:dyDescent="0.25">
      <c r="A825470" s="242"/>
    </row>
    <row r="825471" spans="1:1" x14ac:dyDescent="0.25">
      <c r="A825471" s="242"/>
    </row>
    <row r="825472" spans="1:1" x14ac:dyDescent="0.25">
      <c r="A825472" s="242"/>
    </row>
    <row r="825473" spans="1:1" x14ac:dyDescent="0.25">
      <c r="A825473" s="242"/>
    </row>
    <row r="825474" spans="1:1" x14ac:dyDescent="0.25">
      <c r="A825474" s="242"/>
    </row>
    <row r="825475" spans="1:1" x14ac:dyDescent="0.25">
      <c r="A825475" s="242"/>
    </row>
    <row r="825476" spans="1:1" x14ac:dyDescent="0.25">
      <c r="A825476" s="242"/>
    </row>
    <row r="825477" spans="1:1" x14ac:dyDescent="0.25">
      <c r="A825477" s="242"/>
    </row>
    <row r="825478" spans="1:1" x14ac:dyDescent="0.25">
      <c r="A825478" s="242"/>
    </row>
    <row r="825479" spans="1:1" x14ac:dyDescent="0.25">
      <c r="A825479" s="242"/>
    </row>
    <row r="825480" spans="1:1" x14ac:dyDescent="0.25">
      <c r="A825480" s="242"/>
    </row>
    <row r="825481" spans="1:1" x14ac:dyDescent="0.25">
      <c r="A825481" s="242"/>
    </row>
    <row r="825482" spans="1:1" x14ac:dyDescent="0.25">
      <c r="A825482" s="242"/>
    </row>
    <row r="825483" spans="1:1" x14ac:dyDescent="0.25">
      <c r="A825483" s="242"/>
    </row>
    <row r="825484" spans="1:1" x14ac:dyDescent="0.25">
      <c r="A825484" s="242"/>
    </row>
    <row r="825485" spans="1:1" x14ac:dyDescent="0.25">
      <c r="A825485" s="242"/>
    </row>
    <row r="825486" spans="1:1" x14ac:dyDescent="0.25">
      <c r="A825486" s="242"/>
    </row>
    <row r="825487" spans="1:1" x14ac:dyDescent="0.25">
      <c r="A825487" s="242"/>
    </row>
    <row r="825488" spans="1:1" x14ac:dyDescent="0.25">
      <c r="A825488" s="242"/>
    </row>
    <row r="825489" spans="1:1" x14ac:dyDescent="0.25">
      <c r="A825489" s="242"/>
    </row>
    <row r="825490" spans="1:1" x14ac:dyDescent="0.25">
      <c r="A825490" s="242"/>
    </row>
    <row r="825491" spans="1:1" x14ac:dyDescent="0.25">
      <c r="A825491" s="242"/>
    </row>
    <row r="825492" spans="1:1" x14ac:dyDescent="0.25">
      <c r="A825492" s="242"/>
    </row>
    <row r="825493" spans="1:1" x14ac:dyDescent="0.25">
      <c r="A825493" s="242"/>
    </row>
    <row r="825494" spans="1:1" x14ac:dyDescent="0.25">
      <c r="A825494" s="242"/>
    </row>
    <row r="825495" spans="1:1" x14ac:dyDescent="0.25">
      <c r="A825495" s="242"/>
    </row>
    <row r="825496" spans="1:1" x14ac:dyDescent="0.25">
      <c r="A825496" s="242"/>
    </row>
    <row r="825497" spans="1:1" x14ac:dyDescent="0.25">
      <c r="A825497" s="242"/>
    </row>
    <row r="825498" spans="1:1" x14ac:dyDescent="0.25">
      <c r="A825498" s="242"/>
    </row>
    <row r="825499" spans="1:1" x14ac:dyDescent="0.25">
      <c r="A825499" s="242"/>
    </row>
    <row r="825500" spans="1:1" x14ac:dyDescent="0.25">
      <c r="A825500" s="242"/>
    </row>
    <row r="825501" spans="1:1" x14ac:dyDescent="0.25">
      <c r="A825501" s="242"/>
    </row>
    <row r="825502" spans="1:1" x14ac:dyDescent="0.25">
      <c r="A825502" s="242"/>
    </row>
    <row r="825503" spans="1:1" x14ac:dyDescent="0.25">
      <c r="A825503" s="242"/>
    </row>
    <row r="825504" spans="1:1" x14ac:dyDescent="0.25">
      <c r="A825504" s="242"/>
    </row>
    <row r="825505" spans="1:1" x14ac:dyDescent="0.25">
      <c r="A825505" s="242"/>
    </row>
    <row r="825506" spans="1:1" x14ac:dyDescent="0.25">
      <c r="A825506" s="242"/>
    </row>
    <row r="825507" spans="1:1" x14ac:dyDescent="0.25">
      <c r="A825507" s="242"/>
    </row>
    <row r="825508" spans="1:1" x14ac:dyDescent="0.25">
      <c r="A825508" s="242"/>
    </row>
    <row r="825509" spans="1:1" x14ac:dyDescent="0.25">
      <c r="A825509" s="242"/>
    </row>
    <row r="825510" spans="1:1" x14ac:dyDescent="0.25">
      <c r="A825510" s="242"/>
    </row>
    <row r="825511" spans="1:1" x14ac:dyDescent="0.25">
      <c r="A825511" s="242"/>
    </row>
    <row r="825512" spans="1:1" x14ac:dyDescent="0.25">
      <c r="A825512" s="242"/>
    </row>
    <row r="825513" spans="1:1" x14ac:dyDescent="0.25">
      <c r="A825513" s="242"/>
    </row>
    <row r="825514" spans="1:1" x14ac:dyDescent="0.25">
      <c r="A825514" s="242"/>
    </row>
    <row r="825515" spans="1:1" x14ac:dyDescent="0.25">
      <c r="A825515" s="242"/>
    </row>
    <row r="825516" spans="1:1" x14ac:dyDescent="0.25">
      <c r="A825516" s="242"/>
    </row>
    <row r="825517" spans="1:1" x14ac:dyDescent="0.25">
      <c r="A825517" s="242"/>
    </row>
    <row r="825518" spans="1:1" x14ac:dyDescent="0.25">
      <c r="A825518" s="242"/>
    </row>
    <row r="825519" spans="1:1" x14ac:dyDescent="0.25">
      <c r="A825519" s="242"/>
    </row>
    <row r="825520" spans="1:1" x14ac:dyDescent="0.25">
      <c r="A825520" s="242"/>
    </row>
    <row r="825521" spans="1:1" x14ac:dyDescent="0.25">
      <c r="A825521" s="242"/>
    </row>
    <row r="825522" spans="1:1" x14ac:dyDescent="0.25">
      <c r="A825522" s="242"/>
    </row>
    <row r="825523" spans="1:1" x14ac:dyDescent="0.25">
      <c r="A825523" s="242"/>
    </row>
    <row r="825524" spans="1:1" x14ac:dyDescent="0.25">
      <c r="A825524" s="242"/>
    </row>
    <row r="825525" spans="1:1" x14ac:dyDescent="0.25">
      <c r="A825525" s="242"/>
    </row>
    <row r="825526" spans="1:1" x14ac:dyDescent="0.25">
      <c r="A825526" s="242"/>
    </row>
    <row r="825527" spans="1:1" x14ac:dyDescent="0.25">
      <c r="A825527" s="242"/>
    </row>
    <row r="825528" spans="1:1" x14ac:dyDescent="0.25">
      <c r="A825528" s="242"/>
    </row>
    <row r="825529" spans="1:1" x14ac:dyDescent="0.25">
      <c r="A825529" s="242"/>
    </row>
    <row r="825530" spans="1:1" x14ac:dyDescent="0.25">
      <c r="A825530" s="242"/>
    </row>
    <row r="825531" spans="1:1" x14ac:dyDescent="0.25">
      <c r="A825531" s="242"/>
    </row>
    <row r="825532" spans="1:1" x14ac:dyDescent="0.25">
      <c r="A825532" s="242"/>
    </row>
    <row r="825533" spans="1:1" x14ac:dyDescent="0.25">
      <c r="A825533" s="242"/>
    </row>
    <row r="825534" spans="1:1" x14ac:dyDescent="0.25">
      <c r="A825534" s="242"/>
    </row>
    <row r="825535" spans="1:1" x14ac:dyDescent="0.25">
      <c r="A825535" s="242"/>
    </row>
    <row r="825536" spans="1:1" x14ac:dyDescent="0.25">
      <c r="A825536" s="242"/>
    </row>
    <row r="825537" spans="1:1" x14ac:dyDescent="0.25">
      <c r="A825537" s="242"/>
    </row>
    <row r="825538" spans="1:1" x14ac:dyDescent="0.25">
      <c r="A825538" s="242"/>
    </row>
    <row r="825539" spans="1:1" x14ac:dyDescent="0.25">
      <c r="A825539" s="242"/>
    </row>
    <row r="825540" spans="1:1" x14ac:dyDescent="0.25">
      <c r="A825540" s="242"/>
    </row>
    <row r="825541" spans="1:1" x14ac:dyDescent="0.25">
      <c r="A825541" s="242"/>
    </row>
    <row r="825542" spans="1:1" x14ac:dyDescent="0.25">
      <c r="A825542" s="242"/>
    </row>
    <row r="825543" spans="1:1" x14ac:dyDescent="0.25">
      <c r="A825543" s="242"/>
    </row>
    <row r="825544" spans="1:1" x14ac:dyDescent="0.25">
      <c r="A825544" s="242"/>
    </row>
    <row r="825545" spans="1:1" x14ac:dyDescent="0.25">
      <c r="A825545" s="242"/>
    </row>
    <row r="825546" spans="1:1" x14ac:dyDescent="0.25">
      <c r="A825546" s="242"/>
    </row>
    <row r="825547" spans="1:1" x14ac:dyDescent="0.25">
      <c r="A825547" s="242"/>
    </row>
    <row r="825548" spans="1:1" x14ac:dyDescent="0.25">
      <c r="A825548" s="242"/>
    </row>
    <row r="825549" spans="1:1" x14ac:dyDescent="0.25">
      <c r="A825549" s="242"/>
    </row>
    <row r="825550" spans="1:1" x14ac:dyDescent="0.25">
      <c r="A825550" s="242"/>
    </row>
    <row r="825551" spans="1:1" x14ac:dyDescent="0.25">
      <c r="A825551" s="242"/>
    </row>
    <row r="825552" spans="1:1" x14ac:dyDescent="0.25">
      <c r="A825552" s="242"/>
    </row>
    <row r="825553" spans="1:1" x14ac:dyDescent="0.25">
      <c r="A825553" s="242"/>
    </row>
    <row r="825554" spans="1:1" x14ac:dyDescent="0.25">
      <c r="A825554" s="242"/>
    </row>
    <row r="825555" spans="1:1" x14ac:dyDescent="0.25">
      <c r="A825555" s="242"/>
    </row>
    <row r="825556" spans="1:1" x14ac:dyDescent="0.25">
      <c r="A825556" s="242"/>
    </row>
    <row r="825557" spans="1:1" x14ac:dyDescent="0.25">
      <c r="A825557" s="242"/>
    </row>
    <row r="825558" spans="1:1" x14ac:dyDescent="0.25">
      <c r="A825558" s="242"/>
    </row>
    <row r="825559" spans="1:1" x14ac:dyDescent="0.25">
      <c r="A825559" s="242"/>
    </row>
    <row r="825560" spans="1:1" x14ac:dyDescent="0.25">
      <c r="A825560" s="242"/>
    </row>
    <row r="825561" spans="1:1" x14ac:dyDescent="0.25">
      <c r="A825561" s="242"/>
    </row>
    <row r="825562" spans="1:1" x14ac:dyDescent="0.25">
      <c r="A825562" s="242"/>
    </row>
    <row r="825563" spans="1:1" x14ac:dyDescent="0.25">
      <c r="A825563" s="242"/>
    </row>
    <row r="825564" spans="1:1" x14ac:dyDescent="0.25">
      <c r="A825564" s="242"/>
    </row>
    <row r="825565" spans="1:1" x14ac:dyDescent="0.25">
      <c r="A825565" s="242"/>
    </row>
    <row r="825566" spans="1:1" x14ac:dyDescent="0.25">
      <c r="A825566" s="242"/>
    </row>
    <row r="825567" spans="1:1" x14ac:dyDescent="0.25">
      <c r="A825567" s="242"/>
    </row>
    <row r="825568" spans="1:1" x14ac:dyDescent="0.25">
      <c r="A825568" s="242"/>
    </row>
    <row r="825569" spans="1:1" x14ac:dyDescent="0.25">
      <c r="A825569" s="242"/>
    </row>
    <row r="825570" spans="1:1" x14ac:dyDescent="0.25">
      <c r="A825570" s="242"/>
    </row>
    <row r="825571" spans="1:1" x14ac:dyDescent="0.25">
      <c r="A825571" s="242"/>
    </row>
    <row r="825572" spans="1:1" x14ac:dyDescent="0.25">
      <c r="A825572" s="242"/>
    </row>
    <row r="825573" spans="1:1" x14ac:dyDescent="0.25">
      <c r="A825573" s="242"/>
    </row>
    <row r="825574" spans="1:1" x14ac:dyDescent="0.25">
      <c r="A825574" s="242"/>
    </row>
    <row r="825575" spans="1:1" x14ac:dyDescent="0.25">
      <c r="A825575" s="242"/>
    </row>
    <row r="825576" spans="1:1" x14ac:dyDescent="0.25">
      <c r="A825576" s="242"/>
    </row>
    <row r="825577" spans="1:1" x14ac:dyDescent="0.25">
      <c r="A825577" s="242"/>
    </row>
    <row r="825578" spans="1:1" x14ac:dyDescent="0.25">
      <c r="A825578" s="242"/>
    </row>
    <row r="825579" spans="1:1" x14ac:dyDescent="0.25">
      <c r="A825579" s="242"/>
    </row>
    <row r="825580" spans="1:1" x14ac:dyDescent="0.25">
      <c r="A825580" s="242"/>
    </row>
    <row r="825581" spans="1:1" x14ac:dyDescent="0.25">
      <c r="A825581" s="242"/>
    </row>
    <row r="825582" spans="1:1" x14ac:dyDescent="0.25">
      <c r="A825582" s="242"/>
    </row>
    <row r="825583" spans="1:1" x14ac:dyDescent="0.25">
      <c r="A825583" s="242"/>
    </row>
    <row r="825584" spans="1:1" x14ac:dyDescent="0.25">
      <c r="A825584" s="242"/>
    </row>
    <row r="825585" spans="1:1" x14ac:dyDescent="0.25">
      <c r="A825585" s="242"/>
    </row>
    <row r="825586" spans="1:1" x14ac:dyDescent="0.25">
      <c r="A825586" s="242"/>
    </row>
    <row r="825587" spans="1:1" x14ac:dyDescent="0.25">
      <c r="A825587" s="242"/>
    </row>
    <row r="825588" spans="1:1" x14ac:dyDescent="0.25">
      <c r="A825588" s="242"/>
    </row>
    <row r="825589" spans="1:1" x14ac:dyDescent="0.25">
      <c r="A825589" s="242"/>
    </row>
    <row r="825590" spans="1:1" x14ac:dyDescent="0.25">
      <c r="A825590" s="242"/>
    </row>
    <row r="825591" spans="1:1" x14ac:dyDescent="0.25">
      <c r="A825591" s="242"/>
    </row>
    <row r="825592" spans="1:1" x14ac:dyDescent="0.25">
      <c r="A825592" s="242"/>
    </row>
    <row r="825593" spans="1:1" x14ac:dyDescent="0.25">
      <c r="A825593" s="242"/>
    </row>
    <row r="825594" spans="1:1" x14ac:dyDescent="0.25">
      <c r="A825594" s="242"/>
    </row>
    <row r="825595" spans="1:1" x14ac:dyDescent="0.25">
      <c r="A825595" s="242"/>
    </row>
    <row r="825596" spans="1:1" x14ac:dyDescent="0.25">
      <c r="A825596" s="242"/>
    </row>
    <row r="825597" spans="1:1" x14ac:dyDescent="0.25">
      <c r="A825597" s="242"/>
    </row>
    <row r="825598" spans="1:1" x14ac:dyDescent="0.25">
      <c r="A825598" s="242"/>
    </row>
    <row r="825599" spans="1:1" x14ac:dyDescent="0.25">
      <c r="A825599" s="242"/>
    </row>
    <row r="825600" spans="1:1" x14ac:dyDescent="0.25">
      <c r="A825600" s="242"/>
    </row>
    <row r="825601" spans="1:1" x14ac:dyDescent="0.25">
      <c r="A825601" s="242"/>
    </row>
    <row r="825602" spans="1:1" x14ac:dyDescent="0.25">
      <c r="A825602" s="242"/>
    </row>
    <row r="825603" spans="1:1" x14ac:dyDescent="0.25">
      <c r="A825603" s="242"/>
    </row>
    <row r="825604" spans="1:1" x14ac:dyDescent="0.25">
      <c r="A825604" s="242"/>
    </row>
    <row r="825605" spans="1:1" x14ac:dyDescent="0.25">
      <c r="A825605" s="242"/>
    </row>
    <row r="825606" spans="1:1" x14ac:dyDescent="0.25">
      <c r="A825606" s="242"/>
    </row>
    <row r="825607" spans="1:1" x14ac:dyDescent="0.25">
      <c r="A825607" s="242"/>
    </row>
    <row r="825608" spans="1:1" x14ac:dyDescent="0.25">
      <c r="A825608" s="242"/>
    </row>
    <row r="825609" spans="1:1" x14ac:dyDescent="0.25">
      <c r="A825609" s="242"/>
    </row>
    <row r="825610" spans="1:1" x14ac:dyDescent="0.25">
      <c r="A825610" s="242"/>
    </row>
    <row r="825611" spans="1:1" x14ac:dyDescent="0.25">
      <c r="A825611" s="242"/>
    </row>
    <row r="825612" spans="1:1" x14ac:dyDescent="0.25">
      <c r="A825612" s="242"/>
    </row>
    <row r="825613" spans="1:1" x14ac:dyDescent="0.25">
      <c r="A825613" s="242"/>
    </row>
    <row r="825614" spans="1:1" x14ac:dyDescent="0.25">
      <c r="A825614" s="242"/>
    </row>
    <row r="825615" spans="1:1" x14ac:dyDescent="0.25">
      <c r="A825615" s="242"/>
    </row>
    <row r="825616" spans="1:1" x14ac:dyDescent="0.25">
      <c r="A825616" s="242"/>
    </row>
    <row r="825617" spans="1:1" x14ac:dyDescent="0.25">
      <c r="A825617" s="242"/>
    </row>
    <row r="825618" spans="1:1" x14ac:dyDescent="0.25">
      <c r="A825618" s="242"/>
    </row>
    <row r="825619" spans="1:1" x14ac:dyDescent="0.25">
      <c r="A825619" s="242"/>
    </row>
    <row r="825620" spans="1:1" x14ac:dyDescent="0.25">
      <c r="A825620" s="242"/>
    </row>
    <row r="825621" spans="1:1" x14ac:dyDescent="0.25">
      <c r="A825621" s="242"/>
    </row>
    <row r="825622" spans="1:1" x14ac:dyDescent="0.25">
      <c r="A825622" s="242"/>
    </row>
    <row r="825623" spans="1:1" x14ac:dyDescent="0.25">
      <c r="A825623" s="242"/>
    </row>
    <row r="825624" spans="1:1" x14ac:dyDescent="0.25">
      <c r="A825624" s="242"/>
    </row>
    <row r="825625" spans="1:1" x14ac:dyDescent="0.25">
      <c r="A825625" s="242"/>
    </row>
    <row r="825626" spans="1:1" x14ac:dyDescent="0.25">
      <c r="A825626" s="242"/>
    </row>
    <row r="825627" spans="1:1" x14ac:dyDescent="0.25">
      <c r="A825627" s="242"/>
    </row>
    <row r="825628" spans="1:1" x14ac:dyDescent="0.25">
      <c r="A825628" s="242"/>
    </row>
    <row r="825629" spans="1:1" x14ac:dyDescent="0.25">
      <c r="A825629" s="242"/>
    </row>
    <row r="825630" spans="1:1" x14ac:dyDescent="0.25">
      <c r="A825630" s="242"/>
    </row>
    <row r="825631" spans="1:1" x14ac:dyDescent="0.25">
      <c r="A825631" s="242"/>
    </row>
    <row r="825632" spans="1:1" x14ac:dyDescent="0.25">
      <c r="A825632" s="242"/>
    </row>
    <row r="825633" spans="1:1" x14ac:dyDescent="0.25">
      <c r="A825633" s="242"/>
    </row>
    <row r="825634" spans="1:1" x14ac:dyDescent="0.25">
      <c r="A825634" s="242"/>
    </row>
    <row r="825635" spans="1:1" x14ac:dyDescent="0.25">
      <c r="A825635" s="242"/>
    </row>
    <row r="825636" spans="1:1" x14ac:dyDescent="0.25">
      <c r="A825636" s="242"/>
    </row>
    <row r="825637" spans="1:1" x14ac:dyDescent="0.25">
      <c r="A825637" s="242"/>
    </row>
    <row r="825638" spans="1:1" x14ac:dyDescent="0.25">
      <c r="A825638" s="242"/>
    </row>
    <row r="825639" spans="1:1" x14ac:dyDescent="0.25">
      <c r="A825639" s="242"/>
    </row>
    <row r="825640" spans="1:1" x14ac:dyDescent="0.25">
      <c r="A825640" s="242"/>
    </row>
    <row r="825641" spans="1:1" x14ac:dyDescent="0.25">
      <c r="A825641" s="242"/>
    </row>
    <row r="825642" spans="1:1" x14ac:dyDescent="0.25">
      <c r="A825642" s="242"/>
    </row>
    <row r="825643" spans="1:1" x14ac:dyDescent="0.25">
      <c r="A825643" s="242"/>
    </row>
    <row r="825644" spans="1:1" x14ac:dyDescent="0.25">
      <c r="A825644" s="242"/>
    </row>
    <row r="825645" spans="1:1" x14ac:dyDescent="0.25">
      <c r="A825645" s="242"/>
    </row>
    <row r="825646" spans="1:1" x14ac:dyDescent="0.25">
      <c r="A825646" s="242"/>
    </row>
    <row r="825647" spans="1:1" x14ac:dyDescent="0.25">
      <c r="A825647" s="242"/>
    </row>
    <row r="825648" spans="1:1" x14ac:dyDescent="0.25">
      <c r="A825648" s="242"/>
    </row>
    <row r="825649" spans="1:1" x14ac:dyDescent="0.25">
      <c r="A825649" s="242"/>
    </row>
    <row r="825650" spans="1:1" x14ac:dyDescent="0.25">
      <c r="A825650" s="242"/>
    </row>
    <row r="825651" spans="1:1" x14ac:dyDescent="0.25">
      <c r="A825651" s="242"/>
    </row>
    <row r="825652" spans="1:1" x14ac:dyDescent="0.25">
      <c r="A825652" s="242"/>
    </row>
    <row r="825653" spans="1:1" x14ac:dyDescent="0.25">
      <c r="A825653" s="242"/>
    </row>
    <row r="825654" spans="1:1" x14ac:dyDescent="0.25">
      <c r="A825654" s="242"/>
    </row>
    <row r="825655" spans="1:1" x14ac:dyDescent="0.25">
      <c r="A825655" s="242"/>
    </row>
    <row r="825656" spans="1:1" x14ac:dyDescent="0.25">
      <c r="A825656" s="242"/>
    </row>
    <row r="825657" spans="1:1" x14ac:dyDescent="0.25">
      <c r="A825657" s="242"/>
    </row>
    <row r="825658" spans="1:1" x14ac:dyDescent="0.25">
      <c r="A825658" s="242"/>
    </row>
    <row r="825659" spans="1:1" x14ac:dyDescent="0.25">
      <c r="A825659" s="242"/>
    </row>
    <row r="825660" spans="1:1" x14ac:dyDescent="0.25">
      <c r="A825660" s="242"/>
    </row>
    <row r="825661" spans="1:1" x14ac:dyDescent="0.25">
      <c r="A825661" s="242"/>
    </row>
    <row r="825662" spans="1:1" x14ac:dyDescent="0.25">
      <c r="A825662" s="242"/>
    </row>
    <row r="825663" spans="1:1" x14ac:dyDescent="0.25">
      <c r="A825663" s="242"/>
    </row>
    <row r="825664" spans="1:1" x14ac:dyDescent="0.25">
      <c r="A825664" s="242"/>
    </row>
    <row r="825665" spans="1:1" x14ac:dyDescent="0.25">
      <c r="A825665" s="242"/>
    </row>
    <row r="825666" spans="1:1" x14ac:dyDescent="0.25">
      <c r="A825666" s="242"/>
    </row>
    <row r="825667" spans="1:1" x14ac:dyDescent="0.25">
      <c r="A825667" s="242"/>
    </row>
    <row r="825668" spans="1:1" x14ac:dyDescent="0.25">
      <c r="A825668" s="242"/>
    </row>
    <row r="825669" spans="1:1" x14ac:dyDescent="0.25">
      <c r="A825669" s="242"/>
    </row>
    <row r="825670" spans="1:1" x14ac:dyDescent="0.25">
      <c r="A825670" s="242"/>
    </row>
    <row r="825671" spans="1:1" x14ac:dyDescent="0.25">
      <c r="A825671" s="242"/>
    </row>
    <row r="825672" spans="1:1" x14ac:dyDescent="0.25">
      <c r="A825672" s="242"/>
    </row>
    <row r="825673" spans="1:1" x14ac:dyDescent="0.25">
      <c r="A825673" s="242"/>
    </row>
    <row r="825674" spans="1:1" x14ac:dyDescent="0.25">
      <c r="A825674" s="242"/>
    </row>
    <row r="825675" spans="1:1" x14ac:dyDescent="0.25">
      <c r="A825675" s="242"/>
    </row>
    <row r="825676" spans="1:1" x14ac:dyDescent="0.25">
      <c r="A825676" s="242"/>
    </row>
    <row r="825677" spans="1:1" x14ac:dyDescent="0.25">
      <c r="A825677" s="242"/>
    </row>
    <row r="825678" spans="1:1" x14ac:dyDescent="0.25">
      <c r="A825678" s="242"/>
    </row>
    <row r="825679" spans="1:1" x14ac:dyDescent="0.25">
      <c r="A825679" s="242"/>
    </row>
    <row r="825680" spans="1:1" x14ac:dyDescent="0.25">
      <c r="A825680" s="242"/>
    </row>
    <row r="825681" spans="1:1" x14ac:dyDescent="0.25">
      <c r="A825681" s="242"/>
    </row>
    <row r="825682" spans="1:1" x14ac:dyDescent="0.25">
      <c r="A825682" s="242"/>
    </row>
    <row r="825683" spans="1:1" x14ac:dyDescent="0.25">
      <c r="A825683" s="242"/>
    </row>
    <row r="825684" spans="1:1" x14ac:dyDescent="0.25">
      <c r="A825684" s="242"/>
    </row>
    <row r="825685" spans="1:1" x14ac:dyDescent="0.25">
      <c r="A825685" s="242"/>
    </row>
    <row r="825686" spans="1:1" x14ac:dyDescent="0.25">
      <c r="A825686" s="242"/>
    </row>
    <row r="825687" spans="1:1" x14ac:dyDescent="0.25">
      <c r="A825687" s="242"/>
    </row>
    <row r="825688" spans="1:1" x14ac:dyDescent="0.25">
      <c r="A825688" s="242"/>
    </row>
    <row r="825689" spans="1:1" x14ac:dyDescent="0.25">
      <c r="A825689" s="242"/>
    </row>
    <row r="825690" spans="1:1" x14ac:dyDescent="0.25">
      <c r="A825690" s="242"/>
    </row>
    <row r="825691" spans="1:1" x14ac:dyDescent="0.25">
      <c r="A825691" s="242"/>
    </row>
    <row r="825692" spans="1:1" x14ac:dyDescent="0.25">
      <c r="A825692" s="242"/>
    </row>
    <row r="825693" spans="1:1" x14ac:dyDescent="0.25">
      <c r="A825693" s="242"/>
    </row>
    <row r="825694" spans="1:1" x14ac:dyDescent="0.25">
      <c r="A825694" s="242"/>
    </row>
    <row r="825695" spans="1:1" x14ac:dyDescent="0.25">
      <c r="A825695" s="242"/>
    </row>
    <row r="825696" spans="1:1" x14ac:dyDescent="0.25">
      <c r="A825696" s="242"/>
    </row>
    <row r="825697" spans="1:1" x14ac:dyDescent="0.25">
      <c r="A825697" s="242"/>
    </row>
    <row r="825698" spans="1:1" x14ac:dyDescent="0.25">
      <c r="A825698" s="242"/>
    </row>
    <row r="825699" spans="1:1" x14ac:dyDescent="0.25">
      <c r="A825699" s="242"/>
    </row>
    <row r="825700" spans="1:1" x14ac:dyDescent="0.25">
      <c r="A825700" s="242"/>
    </row>
    <row r="825701" spans="1:1" x14ac:dyDescent="0.25">
      <c r="A825701" s="242"/>
    </row>
    <row r="825702" spans="1:1" x14ac:dyDescent="0.25">
      <c r="A825702" s="242"/>
    </row>
    <row r="825703" spans="1:1" x14ac:dyDescent="0.25">
      <c r="A825703" s="242"/>
    </row>
    <row r="825704" spans="1:1" x14ac:dyDescent="0.25">
      <c r="A825704" s="242"/>
    </row>
    <row r="825705" spans="1:1" x14ac:dyDescent="0.25">
      <c r="A825705" s="242"/>
    </row>
    <row r="825706" spans="1:1" x14ac:dyDescent="0.25">
      <c r="A825706" s="242"/>
    </row>
    <row r="825707" spans="1:1" x14ac:dyDescent="0.25">
      <c r="A825707" s="242"/>
    </row>
    <row r="825708" spans="1:1" x14ac:dyDescent="0.25">
      <c r="A825708" s="242"/>
    </row>
    <row r="825709" spans="1:1" x14ac:dyDescent="0.25">
      <c r="A825709" s="242"/>
    </row>
    <row r="825710" spans="1:1" x14ac:dyDescent="0.25">
      <c r="A825710" s="242"/>
    </row>
    <row r="825711" spans="1:1" x14ac:dyDescent="0.25">
      <c r="A825711" s="242"/>
    </row>
    <row r="825712" spans="1:1" x14ac:dyDescent="0.25">
      <c r="A825712" s="242"/>
    </row>
    <row r="825713" spans="1:1" x14ac:dyDescent="0.25">
      <c r="A825713" s="242"/>
    </row>
    <row r="825714" spans="1:1" x14ac:dyDescent="0.25">
      <c r="A825714" s="242"/>
    </row>
    <row r="825715" spans="1:1" x14ac:dyDescent="0.25">
      <c r="A825715" s="242"/>
    </row>
    <row r="825716" spans="1:1" x14ac:dyDescent="0.25">
      <c r="A825716" s="242"/>
    </row>
    <row r="825717" spans="1:1" x14ac:dyDescent="0.25">
      <c r="A825717" s="242"/>
    </row>
    <row r="825718" spans="1:1" x14ac:dyDescent="0.25">
      <c r="A825718" s="242"/>
    </row>
    <row r="825719" spans="1:1" x14ac:dyDescent="0.25">
      <c r="A825719" s="242"/>
    </row>
    <row r="825720" spans="1:1" x14ac:dyDescent="0.25">
      <c r="A825720" s="242"/>
    </row>
    <row r="825721" spans="1:1" x14ac:dyDescent="0.25">
      <c r="A825721" s="242"/>
    </row>
    <row r="825722" spans="1:1" x14ac:dyDescent="0.25">
      <c r="A825722" s="242"/>
    </row>
    <row r="825723" spans="1:1" x14ac:dyDescent="0.25">
      <c r="A825723" s="242"/>
    </row>
    <row r="825724" spans="1:1" x14ac:dyDescent="0.25">
      <c r="A825724" s="242"/>
    </row>
    <row r="825725" spans="1:1" x14ac:dyDescent="0.25">
      <c r="A825725" s="242"/>
    </row>
    <row r="825726" spans="1:1" x14ac:dyDescent="0.25">
      <c r="A825726" s="242"/>
    </row>
    <row r="825727" spans="1:1" x14ac:dyDescent="0.25">
      <c r="A825727" s="242"/>
    </row>
    <row r="825728" spans="1:1" x14ac:dyDescent="0.25">
      <c r="A825728" s="242"/>
    </row>
    <row r="825729" spans="1:1" x14ac:dyDescent="0.25">
      <c r="A825729" s="242"/>
    </row>
    <row r="825730" spans="1:1" x14ac:dyDescent="0.25">
      <c r="A825730" s="242"/>
    </row>
    <row r="825731" spans="1:1" x14ac:dyDescent="0.25">
      <c r="A825731" s="242"/>
    </row>
    <row r="825732" spans="1:1" x14ac:dyDescent="0.25">
      <c r="A825732" s="242"/>
    </row>
    <row r="825733" spans="1:1" x14ac:dyDescent="0.25">
      <c r="A825733" s="242"/>
    </row>
    <row r="825734" spans="1:1" x14ac:dyDescent="0.25">
      <c r="A825734" s="242"/>
    </row>
    <row r="825735" spans="1:1" x14ac:dyDescent="0.25">
      <c r="A825735" s="242"/>
    </row>
    <row r="825736" spans="1:1" x14ac:dyDescent="0.25">
      <c r="A825736" s="242"/>
    </row>
    <row r="825737" spans="1:1" x14ac:dyDescent="0.25">
      <c r="A825737" s="242"/>
    </row>
    <row r="825738" spans="1:1" x14ac:dyDescent="0.25">
      <c r="A825738" s="242"/>
    </row>
    <row r="825739" spans="1:1" x14ac:dyDescent="0.25">
      <c r="A825739" s="242"/>
    </row>
    <row r="825740" spans="1:1" x14ac:dyDescent="0.25">
      <c r="A825740" s="242"/>
    </row>
    <row r="825741" spans="1:1" x14ac:dyDescent="0.25">
      <c r="A825741" s="242"/>
    </row>
    <row r="825742" spans="1:1" x14ac:dyDescent="0.25">
      <c r="A825742" s="242"/>
    </row>
    <row r="825743" spans="1:1" x14ac:dyDescent="0.25">
      <c r="A825743" s="242"/>
    </row>
    <row r="825744" spans="1:1" x14ac:dyDescent="0.25">
      <c r="A825744" s="242"/>
    </row>
    <row r="825745" spans="1:1" x14ac:dyDescent="0.25">
      <c r="A825745" s="242"/>
    </row>
    <row r="825746" spans="1:1" x14ac:dyDescent="0.25">
      <c r="A825746" s="242"/>
    </row>
    <row r="825747" spans="1:1" x14ac:dyDescent="0.25">
      <c r="A825747" s="242"/>
    </row>
    <row r="825748" spans="1:1" x14ac:dyDescent="0.25">
      <c r="A825748" s="242"/>
    </row>
    <row r="825749" spans="1:1" x14ac:dyDescent="0.25">
      <c r="A825749" s="242"/>
    </row>
    <row r="825750" spans="1:1" x14ac:dyDescent="0.25">
      <c r="A825750" s="242"/>
    </row>
    <row r="825751" spans="1:1" x14ac:dyDescent="0.25">
      <c r="A825751" s="242"/>
    </row>
    <row r="825752" spans="1:1" x14ac:dyDescent="0.25">
      <c r="A825752" s="242"/>
    </row>
    <row r="825753" spans="1:1" x14ac:dyDescent="0.25">
      <c r="A825753" s="242"/>
    </row>
    <row r="825754" spans="1:1" x14ac:dyDescent="0.25">
      <c r="A825754" s="242"/>
    </row>
    <row r="825755" spans="1:1" x14ac:dyDescent="0.25">
      <c r="A825755" s="242"/>
    </row>
    <row r="825756" spans="1:1" x14ac:dyDescent="0.25">
      <c r="A825756" s="242"/>
    </row>
    <row r="825757" spans="1:1" x14ac:dyDescent="0.25">
      <c r="A825757" s="242"/>
    </row>
    <row r="825758" spans="1:1" x14ac:dyDescent="0.25">
      <c r="A825758" s="242"/>
    </row>
    <row r="825759" spans="1:1" x14ac:dyDescent="0.25">
      <c r="A825759" s="242"/>
    </row>
    <row r="825760" spans="1:1" x14ac:dyDescent="0.25">
      <c r="A825760" s="242"/>
    </row>
    <row r="825761" spans="1:1" x14ac:dyDescent="0.25">
      <c r="A825761" s="242"/>
    </row>
    <row r="825762" spans="1:1" x14ac:dyDescent="0.25">
      <c r="A825762" s="242"/>
    </row>
    <row r="825763" spans="1:1" x14ac:dyDescent="0.25">
      <c r="A825763" s="242"/>
    </row>
    <row r="825764" spans="1:1" x14ac:dyDescent="0.25">
      <c r="A825764" s="242"/>
    </row>
    <row r="825765" spans="1:1" x14ac:dyDescent="0.25">
      <c r="A825765" s="242"/>
    </row>
    <row r="825766" spans="1:1" x14ac:dyDescent="0.25">
      <c r="A825766" s="242"/>
    </row>
    <row r="825767" spans="1:1" x14ac:dyDescent="0.25">
      <c r="A825767" s="242"/>
    </row>
    <row r="825768" spans="1:1" x14ac:dyDescent="0.25">
      <c r="A825768" s="242"/>
    </row>
    <row r="825769" spans="1:1" x14ac:dyDescent="0.25">
      <c r="A825769" s="242"/>
    </row>
    <row r="825770" spans="1:1" x14ac:dyDescent="0.25">
      <c r="A825770" s="242"/>
    </row>
    <row r="825771" spans="1:1" x14ac:dyDescent="0.25">
      <c r="A825771" s="242"/>
    </row>
    <row r="825772" spans="1:1" x14ac:dyDescent="0.25">
      <c r="A825772" s="242"/>
    </row>
    <row r="825773" spans="1:1" x14ac:dyDescent="0.25">
      <c r="A825773" s="242"/>
    </row>
    <row r="825774" spans="1:1" x14ac:dyDescent="0.25">
      <c r="A825774" s="242"/>
    </row>
    <row r="825775" spans="1:1" x14ac:dyDescent="0.25">
      <c r="A825775" s="242"/>
    </row>
    <row r="825776" spans="1:1" x14ac:dyDescent="0.25">
      <c r="A825776" s="242"/>
    </row>
    <row r="825777" spans="1:1" x14ac:dyDescent="0.25">
      <c r="A825777" s="242"/>
    </row>
    <row r="825778" spans="1:1" x14ac:dyDescent="0.25">
      <c r="A825778" s="242"/>
    </row>
    <row r="825779" spans="1:1" x14ac:dyDescent="0.25">
      <c r="A825779" s="242"/>
    </row>
    <row r="825780" spans="1:1" x14ac:dyDescent="0.25">
      <c r="A825780" s="242"/>
    </row>
    <row r="825781" spans="1:1" x14ac:dyDescent="0.25">
      <c r="A825781" s="242"/>
    </row>
    <row r="825782" spans="1:1" x14ac:dyDescent="0.25">
      <c r="A825782" s="242"/>
    </row>
    <row r="825783" spans="1:1" x14ac:dyDescent="0.25">
      <c r="A825783" s="242"/>
    </row>
    <row r="825784" spans="1:1" x14ac:dyDescent="0.25">
      <c r="A825784" s="242"/>
    </row>
    <row r="825785" spans="1:1" x14ac:dyDescent="0.25">
      <c r="A825785" s="242"/>
    </row>
    <row r="825786" spans="1:1" x14ac:dyDescent="0.25">
      <c r="A825786" s="242"/>
    </row>
    <row r="825787" spans="1:1" x14ac:dyDescent="0.25">
      <c r="A825787" s="242"/>
    </row>
    <row r="825788" spans="1:1" x14ac:dyDescent="0.25">
      <c r="A825788" s="242"/>
    </row>
    <row r="825789" spans="1:1" x14ac:dyDescent="0.25">
      <c r="A825789" s="242"/>
    </row>
    <row r="825790" spans="1:1" x14ac:dyDescent="0.25">
      <c r="A825790" s="242"/>
    </row>
    <row r="825791" spans="1:1" x14ac:dyDescent="0.25">
      <c r="A825791" s="242"/>
    </row>
    <row r="825792" spans="1:1" x14ac:dyDescent="0.25">
      <c r="A825792" s="242"/>
    </row>
    <row r="825793" spans="1:1" x14ac:dyDescent="0.25">
      <c r="A825793" s="242"/>
    </row>
    <row r="825794" spans="1:1" x14ac:dyDescent="0.25">
      <c r="A825794" s="242"/>
    </row>
    <row r="825795" spans="1:1" x14ac:dyDescent="0.25">
      <c r="A825795" s="242"/>
    </row>
    <row r="825796" spans="1:1" x14ac:dyDescent="0.25">
      <c r="A825796" s="242"/>
    </row>
    <row r="825797" spans="1:1" x14ac:dyDescent="0.25">
      <c r="A825797" s="242"/>
    </row>
    <row r="825798" spans="1:1" x14ac:dyDescent="0.25">
      <c r="A825798" s="242"/>
    </row>
    <row r="825799" spans="1:1" x14ac:dyDescent="0.25">
      <c r="A825799" s="242"/>
    </row>
    <row r="825800" spans="1:1" x14ac:dyDescent="0.25">
      <c r="A825800" s="242"/>
    </row>
    <row r="825801" spans="1:1" x14ac:dyDescent="0.25">
      <c r="A825801" s="242"/>
    </row>
    <row r="825802" spans="1:1" x14ac:dyDescent="0.25">
      <c r="A825802" s="242"/>
    </row>
    <row r="825803" spans="1:1" x14ac:dyDescent="0.25">
      <c r="A825803" s="242"/>
    </row>
    <row r="825804" spans="1:1" x14ac:dyDescent="0.25">
      <c r="A825804" s="242"/>
    </row>
    <row r="825805" spans="1:1" x14ac:dyDescent="0.25">
      <c r="A825805" s="242"/>
    </row>
    <row r="825806" spans="1:1" x14ac:dyDescent="0.25">
      <c r="A825806" s="242"/>
    </row>
    <row r="825807" spans="1:1" x14ac:dyDescent="0.25">
      <c r="A825807" s="242"/>
    </row>
    <row r="825808" spans="1:1" x14ac:dyDescent="0.25">
      <c r="A825808" s="242"/>
    </row>
    <row r="825809" spans="1:1" x14ac:dyDescent="0.25">
      <c r="A825809" s="242"/>
    </row>
    <row r="825810" spans="1:1" x14ac:dyDescent="0.25">
      <c r="A825810" s="242"/>
    </row>
    <row r="825811" spans="1:1" x14ac:dyDescent="0.25">
      <c r="A825811" s="242"/>
    </row>
    <row r="825812" spans="1:1" x14ac:dyDescent="0.25">
      <c r="A825812" s="242"/>
    </row>
    <row r="825813" spans="1:1" x14ac:dyDescent="0.25">
      <c r="A825813" s="242"/>
    </row>
    <row r="825814" spans="1:1" x14ac:dyDescent="0.25">
      <c r="A825814" s="242"/>
    </row>
    <row r="825815" spans="1:1" x14ac:dyDescent="0.25">
      <c r="A825815" s="242"/>
    </row>
    <row r="825816" spans="1:1" x14ac:dyDescent="0.25">
      <c r="A825816" s="242"/>
    </row>
    <row r="825817" spans="1:1" x14ac:dyDescent="0.25">
      <c r="A825817" s="242"/>
    </row>
    <row r="825818" spans="1:1" x14ac:dyDescent="0.25">
      <c r="A825818" s="242"/>
    </row>
    <row r="825819" spans="1:1" x14ac:dyDescent="0.25">
      <c r="A825819" s="242"/>
    </row>
    <row r="825820" spans="1:1" x14ac:dyDescent="0.25">
      <c r="A825820" s="242"/>
    </row>
    <row r="825821" spans="1:1" x14ac:dyDescent="0.25">
      <c r="A825821" s="242"/>
    </row>
    <row r="825822" spans="1:1" x14ac:dyDescent="0.25">
      <c r="A825822" s="242"/>
    </row>
    <row r="825823" spans="1:1" x14ac:dyDescent="0.25">
      <c r="A825823" s="242"/>
    </row>
    <row r="825824" spans="1:1" x14ac:dyDescent="0.25">
      <c r="A825824" s="242"/>
    </row>
    <row r="825825" spans="1:1" x14ac:dyDescent="0.25">
      <c r="A825825" s="242"/>
    </row>
    <row r="825826" spans="1:1" x14ac:dyDescent="0.25">
      <c r="A825826" s="242"/>
    </row>
    <row r="825827" spans="1:1" x14ac:dyDescent="0.25">
      <c r="A825827" s="242"/>
    </row>
    <row r="825828" spans="1:1" x14ac:dyDescent="0.25">
      <c r="A825828" s="242"/>
    </row>
    <row r="825829" spans="1:1" x14ac:dyDescent="0.25">
      <c r="A825829" s="242"/>
    </row>
    <row r="825830" spans="1:1" x14ac:dyDescent="0.25">
      <c r="A825830" s="242"/>
    </row>
    <row r="825831" spans="1:1" x14ac:dyDescent="0.25">
      <c r="A825831" s="242"/>
    </row>
    <row r="825832" spans="1:1" x14ac:dyDescent="0.25">
      <c r="A825832" s="242"/>
    </row>
    <row r="825833" spans="1:1" x14ac:dyDescent="0.25">
      <c r="A825833" s="242"/>
    </row>
    <row r="825834" spans="1:1" x14ac:dyDescent="0.25">
      <c r="A825834" s="242"/>
    </row>
    <row r="825835" spans="1:1" x14ac:dyDescent="0.25">
      <c r="A825835" s="242"/>
    </row>
    <row r="825836" spans="1:1" x14ac:dyDescent="0.25">
      <c r="A825836" s="242"/>
    </row>
    <row r="825837" spans="1:1" x14ac:dyDescent="0.25">
      <c r="A825837" s="242"/>
    </row>
    <row r="825838" spans="1:1" x14ac:dyDescent="0.25">
      <c r="A825838" s="242"/>
    </row>
    <row r="825839" spans="1:1" x14ac:dyDescent="0.25">
      <c r="A825839" s="242"/>
    </row>
    <row r="825840" spans="1:1" x14ac:dyDescent="0.25">
      <c r="A825840" s="242"/>
    </row>
    <row r="825841" spans="1:1" x14ac:dyDescent="0.25">
      <c r="A825841" s="242"/>
    </row>
    <row r="825842" spans="1:1" x14ac:dyDescent="0.25">
      <c r="A825842" s="242"/>
    </row>
    <row r="825843" spans="1:1" x14ac:dyDescent="0.25">
      <c r="A825843" s="242"/>
    </row>
    <row r="825844" spans="1:1" x14ac:dyDescent="0.25">
      <c r="A825844" s="242"/>
    </row>
    <row r="825845" spans="1:1" x14ac:dyDescent="0.25">
      <c r="A825845" s="242"/>
    </row>
    <row r="825846" spans="1:1" x14ac:dyDescent="0.25">
      <c r="A825846" s="242"/>
    </row>
    <row r="825847" spans="1:1" x14ac:dyDescent="0.25">
      <c r="A825847" s="242"/>
    </row>
    <row r="825848" spans="1:1" x14ac:dyDescent="0.25">
      <c r="A825848" s="242"/>
    </row>
    <row r="825849" spans="1:1" x14ac:dyDescent="0.25">
      <c r="A825849" s="242"/>
    </row>
    <row r="825850" spans="1:1" x14ac:dyDescent="0.25">
      <c r="A825850" s="242"/>
    </row>
    <row r="825851" spans="1:1" x14ac:dyDescent="0.25">
      <c r="A825851" s="242"/>
    </row>
    <row r="825852" spans="1:1" x14ac:dyDescent="0.25">
      <c r="A825852" s="242"/>
    </row>
    <row r="825853" spans="1:1" x14ac:dyDescent="0.25">
      <c r="A825853" s="242"/>
    </row>
    <row r="825854" spans="1:1" x14ac:dyDescent="0.25">
      <c r="A825854" s="242"/>
    </row>
    <row r="825855" spans="1:1" x14ac:dyDescent="0.25">
      <c r="A825855" s="242"/>
    </row>
    <row r="825856" spans="1:1" x14ac:dyDescent="0.25">
      <c r="A825856" s="242"/>
    </row>
    <row r="825857" spans="1:1" x14ac:dyDescent="0.25">
      <c r="A825857" s="242"/>
    </row>
    <row r="825858" spans="1:1" x14ac:dyDescent="0.25">
      <c r="A825858" s="242"/>
    </row>
    <row r="825859" spans="1:1" x14ac:dyDescent="0.25">
      <c r="A825859" s="242"/>
    </row>
    <row r="825860" spans="1:1" x14ac:dyDescent="0.25">
      <c r="A825860" s="242"/>
    </row>
    <row r="825861" spans="1:1" x14ac:dyDescent="0.25">
      <c r="A825861" s="242"/>
    </row>
    <row r="825862" spans="1:1" x14ac:dyDescent="0.25">
      <c r="A825862" s="242"/>
    </row>
    <row r="825863" spans="1:1" x14ac:dyDescent="0.25">
      <c r="A825863" s="242"/>
    </row>
    <row r="825864" spans="1:1" x14ac:dyDescent="0.25">
      <c r="A825864" s="242"/>
    </row>
    <row r="825865" spans="1:1" x14ac:dyDescent="0.25">
      <c r="A825865" s="242"/>
    </row>
    <row r="825866" spans="1:1" x14ac:dyDescent="0.25">
      <c r="A825866" s="242"/>
    </row>
    <row r="825867" spans="1:1" x14ac:dyDescent="0.25">
      <c r="A825867" s="242"/>
    </row>
    <row r="825868" spans="1:1" x14ac:dyDescent="0.25">
      <c r="A825868" s="242"/>
    </row>
    <row r="825869" spans="1:1" x14ac:dyDescent="0.25">
      <c r="A825869" s="242"/>
    </row>
    <row r="825870" spans="1:1" x14ac:dyDescent="0.25">
      <c r="A825870" s="242"/>
    </row>
    <row r="825871" spans="1:1" x14ac:dyDescent="0.25">
      <c r="A825871" s="242"/>
    </row>
    <row r="825872" spans="1:1" x14ac:dyDescent="0.25">
      <c r="A825872" s="242"/>
    </row>
    <row r="825873" spans="1:1" x14ac:dyDescent="0.25">
      <c r="A825873" s="242"/>
    </row>
    <row r="825874" spans="1:1" x14ac:dyDescent="0.25">
      <c r="A825874" s="242"/>
    </row>
    <row r="825875" spans="1:1" x14ac:dyDescent="0.25">
      <c r="A825875" s="242"/>
    </row>
    <row r="825876" spans="1:1" x14ac:dyDescent="0.25">
      <c r="A825876" s="242"/>
    </row>
    <row r="825877" spans="1:1" x14ac:dyDescent="0.25">
      <c r="A825877" s="242"/>
    </row>
    <row r="825878" spans="1:1" x14ac:dyDescent="0.25">
      <c r="A825878" s="242"/>
    </row>
    <row r="825879" spans="1:1" x14ac:dyDescent="0.25">
      <c r="A825879" s="242"/>
    </row>
    <row r="825880" spans="1:1" x14ac:dyDescent="0.25">
      <c r="A825880" s="242"/>
    </row>
    <row r="825881" spans="1:1" x14ac:dyDescent="0.25">
      <c r="A825881" s="242"/>
    </row>
    <row r="825882" spans="1:1" x14ac:dyDescent="0.25">
      <c r="A825882" s="242"/>
    </row>
    <row r="825883" spans="1:1" x14ac:dyDescent="0.25">
      <c r="A825883" s="242"/>
    </row>
    <row r="825884" spans="1:1" x14ac:dyDescent="0.25">
      <c r="A825884" s="242"/>
    </row>
    <row r="825885" spans="1:1" x14ac:dyDescent="0.25">
      <c r="A825885" s="242"/>
    </row>
    <row r="825886" spans="1:1" x14ac:dyDescent="0.25">
      <c r="A825886" s="242"/>
    </row>
    <row r="825887" spans="1:1" x14ac:dyDescent="0.25">
      <c r="A825887" s="242"/>
    </row>
    <row r="825888" spans="1:1" x14ac:dyDescent="0.25">
      <c r="A825888" s="242"/>
    </row>
    <row r="825889" spans="1:1" x14ac:dyDescent="0.25">
      <c r="A825889" s="242"/>
    </row>
    <row r="825890" spans="1:1" x14ac:dyDescent="0.25">
      <c r="A825890" s="242"/>
    </row>
    <row r="825891" spans="1:1" x14ac:dyDescent="0.25">
      <c r="A825891" s="242"/>
    </row>
    <row r="825892" spans="1:1" x14ac:dyDescent="0.25">
      <c r="A825892" s="242"/>
    </row>
    <row r="825893" spans="1:1" x14ac:dyDescent="0.25">
      <c r="A825893" s="242"/>
    </row>
    <row r="825894" spans="1:1" x14ac:dyDescent="0.25">
      <c r="A825894" s="242"/>
    </row>
    <row r="825895" spans="1:1" x14ac:dyDescent="0.25">
      <c r="A825895" s="242"/>
    </row>
    <row r="825896" spans="1:1" x14ac:dyDescent="0.25">
      <c r="A825896" s="242"/>
    </row>
    <row r="825897" spans="1:1" x14ac:dyDescent="0.25">
      <c r="A825897" s="242"/>
    </row>
    <row r="825898" spans="1:1" x14ac:dyDescent="0.25">
      <c r="A825898" s="242"/>
    </row>
    <row r="825899" spans="1:1" x14ac:dyDescent="0.25">
      <c r="A825899" s="242"/>
    </row>
    <row r="825900" spans="1:1" x14ac:dyDescent="0.25">
      <c r="A825900" s="242"/>
    </row>
    <row r="825901" spans="1:1" x14ac:dyDescent="0.25">
      <c r="A825901" s="242"/>
    </row>
    <row r="825902" spans="1:1" x14ac:dyDescent="0.25">
      <c r="A825902" s="242"/>
    </row>
    <row r="825903" spans="1:1" x14ac:dyDescent="0.25">
      <c r="A825903" s="242"/>
    </row>
    <row r="825904" spans="1:1" x14ac:dyDescent="0.25">
      <c r="A825904" s="242"/>
    </row>
    <row r="825905" spans="1:1" x14ac:dyDescent="0.25">
      <c r="A825905" s="242"/>
    </row>
    <row r="825906" spans="1:1" x14ac:dyDescent="0.25">
      <c r="A825906" s="242"/>
    </row>
    <row r="825907" spans="1:1" x14ac:dyDescent="0.25">
      <c r="A825907" s="242"/>
    </row>
    <row r="825908" spans="1:1" x14ac:dyDescent="0.25">
      <c r="A825908" s="242"/>
    </row>
    <row r="825909" spans="1:1" x14ac:dyDescent="0.25">
      <c r="A825909" s="242"/>
    </row>
    <row r="825910" spans="1:1" x14ac:dyDescent="0.25">
      <c r="A825910" s="242"/>
    </row>
    <row r="825911" spans="1:1" x14ac:dyDescent="0.25">
      <c r="A825911" s="242"/>
    </row>
    <row r="825912" spans="1:1" x14ac:dyDescent="0.25">
      <c r="A825912" s="242"/>
    </row>
    <row r="825913" spans="1:1" x14ac:dyDescent="0.25">
      <c r="A825913" s="242"/>
    </row>
    <row r="825914" spans="1:1" x14ac:dyDescent="0.25">
      <c r="A825914" s="242"/>
    </row>
    <row r="825915" spans="1:1" x14ac:dyDescent="0.25">
      <c r="A825915" s="242"/>
    </row>
    <row r="825916" spans="1:1" x14ac:dyDescent="0.25">
      <c r="A825916" s="242"/>
    </row>
    <row r="825917" spans="1:1" x14ac:dyDescent="0.25">
      <c r="A825917" s="242"/>
    </row>
    <row r="825918" spans="1:1" x14ac:dyDescent="0.25">
      <c r="A825918" s="242"/>
    </row>
    <row r="825919" spans="1:1" x14ac:dyDescent="0.25">
      <c r="A825919" s="242"/>
    </row>
    <row r="825920" spans="1:1" x14ac:dyDescent="0.25">
      <c r="A825920" s="242"/>
    </row>
    <row r="825921" spans="1:1" x14ac:dyDescent="0.25">
      <c r="A825921" s="242"/>
    </row>
    <row r="825922" spans="1:1" x14ac:dyDescent="0.25">
      <c r="A825922" s="242"/>
    </row>
    <row r="825923" spans="1:1" x14ac:dyDescent="0.25">
      <c r="A825923" s="242"/>
    </row>
    <row r="825924" spans="1:1" x14ac:dyDescent="0.25">
      <c r="A825924" s="242"/>
    </row>
    <row r="825925" spans="1:1" x14ac:dyDescent="0.25">
      <c r="A825925" s="242"/>
    </row>
    <row r="825926" spans="1:1" x14ac:dyDescent="0.25">
      <c r="A825926" s="242"/>
    </row>
    <row r="825927" spans="1:1" x14ac:dyDescent="0.25">
      <c r="A825927" s="242"/>
    </row>
    <row r="825928" spans="1:1" x14ac:dyDescent="0.25">
      <c r="A825928" s="242"/>
    </row>
    <row r="825929" spans="1:1" x14ac:dyDescent="0.25">
      <c r="A825929" s="242"/>
    </row>
    <row r="825930" spans="1:1" x14ac:dyDescent="0.25">
      <c r="A825930" s="242"/>
    </row>
    <row r="825931" spans="1:1" x14ac:dyDescent="0.25">
      <c r="A825931" s="242"/>
    </row>
    <row r="825932" spans="1:1" x14ac:dyDescent="0.25">
      <c r="A825932" s="242"/>
    </row>
    <row r="825933" spans="1:1" x14ac:dyDescent="0.25">
      <c r="A825933" s="242"/>
    </row>
    <row r="825934" spans="1:1" x14ac:dyDescent="0.25">
      <c r="A825934" s="242"/>
    </row>
    <row r="825935" spans="1:1" x14ac:dyDescent="0.25">
      <c r="A825935" s="242"/>
    </row>
    <row r="825936" spans="1:1" x14ac:dyDescent="0.25">
      <c r="A825936" s="242"/>
    </row>
    <row r="825937" spans="1:1" x14ac:dyDescent="0.25">
      <c r="A825937" s="242"/>
    </row>
    <row r="825938" spans="1:1" x14ac:dyDescent="0.25">
      <c r="A825938" s="242"/>
    </row>
    <row r="825939" spans="1:1" x14ac:dyDescent="0.25">
      <c r="A825939" s="242"/>
    </row>
    <row r="825940" spans="1:1" x14ac:dyDescent="0.25">
      <c r="A825940" s="242"/>
    </row>
    <row r="825941" spans="1:1" x14ac:dyDescent="0.25">
      <c r="A825941" s="242"/>
    </row>
    <row r="825942" spans="1:1" x14ac:dyDescent="0.25">
      <c r="A825942" s="242"/>
    </row>
    <row r="825943" spans="1:1" x14ac:dyDescent="0.25">
      <c r="A825943" s="242"/>
    </row>
    <row r="825944" spans="1:1" x14ac:dyDescent="0.25">
      <c r="A825944" s="242"/>
    </row>
    <row r="825945" spans="1:1" x14ac:dyDescent="0.25">
      <c r="A825945" s="242"/>
    </row>
    <row r="825946" spans="1:1" x14ac:dyDescent="0.25">
      <c r="A825946" s="242"/>
    </row>
    <row r="825947" spans="1:1" x14ac:dyDescent="0.25">
      <c r="A825947" s="242"/>
    </row>
    <row r="825948" spans="1:1" x14ac:dyDescent="0.25">
      <c r="A825948" s="242"/>
    </row>
    <row r="825949" spans="1:1" x14ac:dyDescent="0.25">
      <c r="A825949" s="242"/>
    </row>
    <row r="825950" spans="1:1" x14ac:dyDescent="0.25">
      <c r="A825950" s="242"/>
    </row>
    <row r="825951" spans="1:1" x14ac:dyDescent="0.25">
      <c r="A825951" s="242"/>
    </row>
    <row r="825952" spans="1:1" x14ac:dyDescent="0.25">
      <c r="A825952" s="242"/>
    </row>
    <row r="825953" spans="1:1" x14ac:dyDescent="0.25">
      <c r="A825953" s="242"/>
    </row>
    <row r="825954" spans="1:1" x14ac:dyDescent="0.25">
      <c r="A825954" s="242"/>
    </row>
    <row r="825955" spans="1:1" x14ac:dyDescent="0.25">
      <c r="A825955" s="242"/>
    </row>
    <row r="825956" spans="1:1" x14ac:dyDescent="0.25">
      <c r="A825956" s="242"/>
    </row>
    <row r="825957" spans="1:1" x14ac:dyDescent="0.25">
      <c r="A825957" s="242"/>
    </row>
    <row r="825958" spans="1:1" x14ac:dyDescent="0.25">
      <c r="A825958" s="242"/>
    </row>
    <row r="825959" spans="1:1" x14ac:dyDescent="0.25">
      <c r="A825959" s="242"/>
    </row>
    <row r="825960" spans="1:1" x14ac:dyDescent="0.25">
      <c r="A825960" s="242"/>
    </row>
    <row r="825961" spans="1:1" x14ac:dyDescent="0.25">
      <c r="A825961" s="242"/>
    </row>
    <row r="825962" spans="1:1" x14ac:dyDescent="0.25">
      <c r="A825962" s="242"/>
    </row>
    <row r="825963" spans="1:1" x14ac:dyDescent="0.25">
      <c r="A825963" s="242"/>
    </row>
    <row r="825964" spans="1:1" x14ac:dyDescent="0.25">
      <c r="A825964" s="242"/>
    </row>
    <row r="825965" spans="1:1" x14ac:dyDescent="0.25">
      <c r="A825965" s="242"/>
    </row>
    <row r="825966" spans="1:1" x14ac:dyDescent="0.25">
      <c r="A825966" s="242"/>
    </row>
    <row r="825967" spans="1:1" x14ac:dyDescent="0.25">
      <c r="A825967" s="242"/>
    </row>
    <row r="825968" spans="1:1" x14ac:dyDescent="0.25">
      <c r="A825968" s="242"/>
    </row>
    <row r="825969" spans="1:1" x14ac:dyDescent="0.25">
      <c r="A825969" s="242"/>
    </row>
    <row r="825970" spans="1:1" x14ac:dyDescent="0.25">
      <c r="A825970" s="242"/>
    </row>
    <row r="825971" spans="1:1" x14ac:dyDescent="0.25">
      <c r="A825971" s="242"/>
    </row>
    <row r="825972" spans="1:1" x14ac:dyDescent="0.25">
      <c r="A825972" s="242"/>
    </row>
    <row r="825973" spans="1:1" x14ac:dyDescent="0.25">
      <c r="A825973" s="242"/>
    </row>
    <row r="825974" spans="1:1" x14ac:dyDescent="0.25">
      <c r="A825974" s="242"/>
    </row>
    <row r="825975" spans="1:1" x14ac:dyDescent="0.25">
      <c r="A825975" s="242"/>
    </row>
    <row r="825976" spans="1:1" x14ac:dyDescent="0.25">
      <c r="A825976" s="242"/>
    </row>
    <row r="825977" spans="1:1" x14ac:dyDescent="0.25">
      <c r="A825977" s="242"/>
    </row>
    <row r="825978" spans="1:1" x14ac:dyDescent="0.25">
      <c r="A825978" s="242"/>
    </row>
    <row r="825979" spans="1:1" x14ac:dyDescent="0.25">
      <c r="A825979" s="242"/>
    </row>
    <row r="825980" spans="1:1" x14ac:dyDescent="0.25">
      <c r="A825980" s="242"/>
    </row>
    <row r="825981" spans="1:1" x14ac:dyDescent="0.25">
      <c r="A825981" s="242"/>
    </row>
    <row r="825982" spans="1:1" x14ac:dyDescent="0.25">
      <c r="A825982" s="242"/>
    </row>
    <row r="825983" spans="1:1" x14ac:dyDescent="0.25">
      <c r="A825983" s="242"/>
    </row>
    <row r="825984" spans="1:1" x14ac:dyDescent="0.25">
      <c r="A825984" s="242"/>
    </row>
    <row r="825985" spans="1:1" x14ac:dyDescent="0.25">
      <c r="A825985" s="242"/>
    </row>
    <row r="825986" spans="1:1" x14ac:dyDescent="0.25">
      <c r="A825986" s="242"/>
    </row>
    <row r="825987" spans="1:1" x14ac:dyDescent="0.25">
      <c r="A825987" s="242"/>
    </row>
    <row r="825988" spans="1:1" x14ac:dyDescent="0.25">
      <c r="A825988" s="242"/>
    </row>
    <row r="825989" spans="1:1" x14ac:dyDescent="0.25">
      <c r="A825989" s="242"/>
    </row>
    <row r="825990" spans="1:1" x14ac:dyDescent="0.25">
      <c r="A825990" s="242"/>
    </row>
    <row r="825991" spans="1:1" x14ac:dyDescent="0.25">
      <c r="A825991" s="242"/>
    </row>
    <row r="825992" spans="1:1" x14ac:dyDescent="0.25">
      <c r="A825992" s="242"/>
    </row>
    <row r="825993" spans="1:1" x14ac:dyDescent="0.25">
      <c r="A825993" s="242"/>
    </row>
    <row r="825994" spans="1:1" x14ac:dyDescent="0.25">
      <c r="A825994" s="242"/>
    </row>
    <row r="825995" spans="1:1" x14ac:dyDescent="0.25">
      <c r="A825995" s="242"/>
    </row>
    <row r="825996" spans="1:1" x14ac:dyDescent="0.25">
      <c r="A825996" s="242"/>
    </row>
    <row r="825997" spans="1:1" x14ac:dyDescent="0.25">
      <c r="A825997" s="242"/>
    </row>
    <row r="825998" spans="1:1" x14ac:dyDescent="0.25">
      <c r="A825998" s="242"/>
    </row>
    <row r="825999" spans="1:1" x14ac:dyDescent="0.25">
      <c r="A825999" s="242"/>
    </row>
    <row r="826000" spans="1:1" x14ac:dyDescent="0.25">
      <c r="A826000" s="242"/>
    </row>
    <row r="826001" spans="1:1" x14ac:dyDescent="0.25">
      <c r="A826001" s="242"/>
    </row>
    <row r="826002" spans="1:1" x14ac:dyDescent="0.25">
      <c r="A826002" s="242"/>
    </row>
    <row r="826003" spans="1:1" x14ac:dyDescent="0.25">
      <c r="A826003" s="242"/>
    </row>
    <row r="826004" spans="1:1" x14ac:dyDescent="0.25">
      <c r="A826004" s="242"/>
    </row>
    <row r="826005" spans="1:1" x14ac:dyDescent="0.25">
      <c r="A826005" s="242"/>
    </row>
    <row r="826006" spans="1:1" x14ac:dyDescent="0.25">
      <c r="A826006" s="242"/>
    </row>
    <row r="826007" spans="1:1" x14ac:dyDescent="0.25">
      <c r="A826007" s="242"/>
    </row>
    <row r="826008" spans="1:1" x14ac:dyDescent="0.25">
      <c r="A826008" s="242"/>
    </row>
    <row r="826009" spans="1:1" x14ac:dyDescent="0.25">
      <c r="A826009" s="242"/>
    </row>
    <row r="826010" spans="1:1" x14ac:dyDescent="0.25">
      <c r="A826010" s="242"/>
    </row>
    <row r="826011" spans="1:1" x14ac:dyDescent="0.25">
      <c r="A826011" s="242"/>
    </row>
    <row r="826012" spans="1:1" x14ac:dyDescent="0.25">
      <c r="A826012" s="242"/>
    </row>
    <row r="826013" spans="1:1" x14ac:dyDescent="0.25">
      <c r="A826013" s="242"/>
    </row>
    <row r="826014" spans="1:1" x14ac:dyDescent="0.25">
      <c r="A826014" s="242"/>
    </row>
    <row r="826015" spans="1:1" x14ac:dyDescent="0.25">
      <c r="A826015" s="242"/>
    </row>
    <row r="826016" spans="1:1" x14ac:dyDescent="0.25">
      <c r="A826016" s="242"/>
    </row>
    <row r="826017" spans="1:1" x14ac:dyDescent="0.25">
      <c r="A826017" s="242"/>
    </row>
    <row r="826018" spans="1:1" x14ac:dyDescent="0.25">
      <c r="A826018" s="242"/>
    </row>
    <row r="826019" spans="1:1" x14ac:dyDescent="0.25">
      <c r="A826019" s="242"/>
    </row>
    <row r="826020" spans="1:1" x14ac:dyDescent="0.25">
      <c r="A826020" s="242"/>
    </row>
    <row r="826021" spans="1:1" x14ac:dyDescent="0.25">
      <c r="A826021" s="242"/>
    </row>
    <row r="826022" spans="1:1" x14ac:dyDescent="0.25">
      <c r="A826022" s="242"/>
    </row>
    <row r="826023" spans="1:1" x14ac:dyDescent="0.25">
      <c r="A826023" s="242"/>
    </row>
    <row r="826024" spans="1:1" x14ac:dyDescent="0.25">
      <c r="A826024" s="242"/>
    </row>
    <row r="826025" spans="1:1" x14ac:dyDescent="0.25">
      <c r="A826025" s="242"/>
    </row>
    <row r="826026" spans="1:1" x14ac:dyDescent="0.25">
      <c r="A826026" s="242"/>
    </row>
    <row r="826027" spans="1:1" x14ac:dyDescent="0.25">
      <c r="A826027" s="242"/>
    </row>
    <row r="826028" spans="1:1" x14ac:dyDescent="0.25">
      <c r="A826028" s="242"/>
    </row>
    <row r="826029" spans="1:1" x14ac:dyDescent="0.25">
      <c r="A826029" s="242"/>
    </row>
    <row r="826030" spans="1:1" x14ac:dyDescent="0.25">
      <c r="A826030" s="242"/>
    </row>
    <row r="826031" spans="1:1" x14ac:dyDescent="0.25">
      <c r="A826031" s="242"/>
    </row>
    <row r="826032" spans="1:1" x14ac:dyDescent="0.25">
      <c r="A826032" s="242"/>
    </row>
    <row r="826033" spans="1:1" x14ac:dyDescent="0.25">
      <c r="A826033" s="242"/>
    </row>
    <row r="826034" spans="1:1" x14ac:dyDescent="0.25">
      <c r="A826034" s="242"/>
    </row>
    <row r="826035" spans="1:1" x14ac:dyDescent="0.25">
      <c r="A826035" s="242"/>
    </row>
    <row r="826036" spans="1:1" x14ac:dyDescent="0.25">
      <c r="A826036" s="242"/>
    </row>
    <row r="826037" spans="1:1" x14ac:dyDescent="0.25">
      <c r="A826037" s="242"/>
    </row>
    <row r="826038" spans="1:1" x14ac:dyDescent="0.25">
      <c r="A826038" s="242"/>
    </row>
    <row r="826039" spans="1:1" x14ac:dyDescent="0.25">
      <c r="A826039" s="242"/>
    </row>
    <row r="826040" spans="1:1" x14ac:dyDescent="0.25">
      <c r="A826040" s="242"/>
    </row>
    <row r="826041" spans="1:1" x14ac:dyDescent="0.25">
      <c r="A826041" s="242"/>
    </row>
    <row r="826042" spans="1:1" x14ac:dyDescent="0.25">
      <c r="A826042" s="242"/>
    </row>
    <row r="826043" spans="1:1" x14ac:dyDescent="0.25">
      <c r="A826043" s="242"/>
    </row>
    <row r="826044" spans="1:1" x14ac:dyDescent="0.25">
      <c r="A826044" s="242"/>
    </row>
    <row r="826045" spans="1:1" x14ac:dyDescent="0.25">
      <c r="A826045" s="242"/>
    </row>
    <row r="826046" spans="1:1" x14ac:dyDescent="0.25">
      <c r="A826046" s="242"/>
    </row>
    <row r="826047" spans="1:1" x14ac:dyDescent="0.25">
      <c r="A826047" s="242"/>
    </row>
    <row r="826048" spans="1:1" x14ac:dyDescent="0.25">
      <c r="A826048" s="242"/>
    </row>
    <row r="826049" spans="1:1" x14ac:dyDescent="0.25">
      <c r="A826049" s="242"/>
    </row>
    <row r="826050" spans="1:1" x14ac:dyDescent="0.25">
      <c r="A826050" s="242"/>
    </row>
    <row r="826051" spans="1:1" x14ac:dyDescent="0.25">
      <c r="A826051" s="242"/>
    </row>
    <row r="826052" spans="1:1" x14ac:dyDescent="0.25">
      <c r="A826052" s="242"/>
    </row>
    <row r="826053" spans="1:1" x14ac:dyDescent="0.25">
      <c r="A826053" s="242"/>
    </row>
    <row r="826054" spans="1:1" x14ac:dyDescent="0.25">
      <c r="A826054" s="242"/>
    </row>
    <row r="826055" spans="1:1" x14ac:dyDescent="0.25">
      <c r="A826055" s="242"/>
    </row>
    <row r="826056" spans="1:1" x14ac:dyDescent="0.25">
      <c r="A826056" s="242"/>
    </row>
    <row r="826057" spans="1:1" x14ac:dyDescent="0.25">
      <c r="A826057" s="242"/>
    </row>
    <row r="826058" spans="1:1" x14ac:dyDescent="0.25">
      <c r="A826058" s="242"/>
    </row>
    <row r="826059" spans="1:1" x14ac:dyDescent="0.25">
      <c r="A826059" s="242"/>
    </row>
    <row r="826060" spans="1:1" x14ac:dyDescent="0.25">
      <c r="A826060" s="242"/>
    </row>
    <row r="826061" spans="1:1" x14ac:dyDescent="0.25">
      <c r="A826061" s="242"/>
    </row>
    <row r="826062" spans="1:1" x14ac:dyDescent="0.25">
      <c r="A826062" s="242"/>
    </row>
    <row r="826063" spans="1:1" x14ac:dyDescent="0.25">
      <c r="A826063" s="242"/>
    </row>
    <row r="826064" spans="1:1" x14ac:dyDescent="0.25">
      <c r="A826064" s="242"/>
    </row>
    <row r="826065" spans="1:1" x14ac:dyDescent="0.25">
      <c r="A826065" s="242"/>
    </row>
    <row r="826066" spans="1:1" x14ac:dyDescent="0.25">
      <c r="A826066" s="242"/>
    </row>
    <row r="826067" spans="1:1" x14ac:dyDescent="0.25">
      <c r="A826067" s="242"/>
    </row>
    <row r="826068" spans="1:1" x14ac:dyDescent="0.25">
      <c r="A826068" s="242"/>
    </row>
    <row r="826069" spans="1:1" x14ac:dyDescent="0.25">
      <c r="A826069" s="242"/>
    </row>
    <row r="826070" spans="1:1" x14ac:dyDescent="0.25">
      <c r="A826070" s="242"/>
    </row>
    <row r="826071" spans="1:1" x14ac:dyDescent="0.25">
      <c r="A826071" s="242"/>
    </row>
    <row r="826072" spans="1:1" x14ac:dyDescent="0.25">
      <c r="A826072" s="242"/>
    </row>
    <row r="826073" spans="1:1" x14ac:dyDescent="0.25">
      <c r="A826073" s="242"/>
    </row>
    <row r="826074" spans="1:1" x14ac:dyDescent="0.25">
      <c r="A826074" s="242"/>
    </row>
    <row r="826075" spans="1:1" x14ac:dyDescent="0.25">
      <c r="A826075" s="242"/>
    </row>
    <row r="826076" spans="1:1" x14ac:dyDescent="0.25">
      <c r="A826076" s="242"/>
    </row>
    <row r="826077" spans="1:1" x14ac:dyDescent="0.25">
      <c r="A826077" s="242"/>
    </row>
    <row r="826078" spans="1:1" x14ac:dyDescent="0.25">
      <c r="A826078" s="242"/>
    </row>
    <row r="826079" spans="1:1" x14ac:dyDescent="0.25">
      <c r="A826079" s="242"/>
    </row>
    <row r="826080" spans="1:1" x14ac:dyDescent="0.25">
      <c r="A826080" s="242"/>
    </row>
    <row r="826081" spans="1:1" x14ac:dyDescent="0.25">
      <c r="A826081" s="242"/>
    </row>
    <row r="826082" spans="1:1" x14ac:dyDescent="0.25">
      <c r="A826082" s="242"/>
    </row>
    <row r="826083" spans="1:1" x14ac:dyDescent="0.25">
      <c r="A826083" s="242"/>
    </row>
    <row r="826084" spans="1:1" x14ac:dyDescent="0.25">
      <c r="A826084" s="242"/>
    </row>
    <row r="826085" spans="1:1" x14ac:dyDescent="0.25">
      <c r="A826085" s="242"/>
    </row>
    <row r="826086" spans="1:1" x14ac:dyDescent="0.25">
      <c r="A826086" s="242"/>
    </row>
    <row r="826087" spans="1:1" x14ac:dyDescent="0.25">
      <c r="A826087" s="242"/>
    </row>
    <row r="826088" spans="1:1" x14ac:dyDescent="0.25">
      <c r="A826088" s="242"/>
    </row>
    <row r="826089" spans="1:1" x14ac:dyDescent="0.25">
      <c r="A826089" s="242"/>
    </row>
    <row r="826090" spans="1:1" x14ac:dyDescent="0.25">
      <c r="A826090" s="242"/>
    </row>
    <row r="826091" spans="1:1" x14ac:dyDescent="0.25">
      <c r="A826091" s="242"/>
    </row>
    <row r="826092" spans="1:1" x14ac:dyDescent="0.25">
      <c r="A826092" s="242"/>
    </row>
    <row r="826093" spans="1:1" x14ac:dyDescent="0.25">
      <c r="A826093" s="242"/>
    </row>
    <row r="826094" spans="1:1" x14ac:dyDescent="0.25">
      <c r="A826094" s="242"/>
    </row>
    <row r="826095" spans="1:1" x14ac:dyDescent="0.25">
      <c r="A826095" s="242"/>
    </row>
    <row r="826096" spans="1:1" x14ac:dyDescent="0.25">
      <c r="A826096" s="242"/>
    </row>
    <row r="826097" spans="1:1" x14ac:dyDescent="0.25">
      <c r="A826097" s="242"/>
    </row>
    <row r="826098" spans="1:1" x14ac:dyDescent="0.25">
      <c r="A826098" s="242"/>
    </row>
    <row r="826099" spans="1:1" x14ac:dyDescent="0.25">
      <c r="A826099" s="242"/>
    </row>
    <row r="826100" spans="1:1" x14ac:dyDescent="0.25">
      <c r="A826100" s="242"/>
    </row>
    <row r="826101" spans="1:1" x14ac:dyDescent="0.25">
      <c r="A826101" s="242"/>
    </row>
    <row r="826102" spans="1:1" x14ac:dyDescent="0.25">
      <c r="A826102" s="242"/>
    </row>
    <row r="826103" spans="1:1" x14ac:dyDescent="0.25">
      <c r="A826103" s="242"/>
    </row>
    <row r="826104" spans="1:1" x14ac:dyDescent="0.25">
      <c r="A826104" s="242"/>
    </row>
    <row r="826105" spans="1:1" x14ac:dyDescent="0.25">
      <c r="A826105" s="242"/>
    </row>
    <row r="826106" spans="1:1" x14ac:dyDescent="0.25">
      <c r="A826106" s="242"/>
    </row>
    <row r="826107" spans="1:1" x14ac:dyDescent="0.25">
      <c r="A826107" s="242"/>
    </row>
    <row r="826108" spans="1:1" x14ac:dyDescent="0.25">
      <c r="A826108" s="242"/>
    </row>
    <row r="826109" spans="1:1" x14ac:dyDescent="0.25">
      <c r="A826109" s="242"/>
    </row>
    <row r="826110" spans="1:1" x14ac:dyDescent="0.25">
      <c r="A826110" s="242"/>
    </row>
    <row r="826111" spans="1:1" x14ac:dyDescent="0.25">
      <c r="A826111" s="242"/>
    </row>
    <row r="826112" spans="1:1" x14ac:dyDescent="0.25">
      <c r="A826112" s="242"/>
    </row>
    <row r="826113" spans="1:1" x14ac:dyDescent="0.25">
      <c r="A826113" s="242"/>
    </row>
    <row r="826114" spans="1:1" x14ac:dyDescent="0.25">
      <c r="A826114" s="242"/>
    </row>
    <row r="826115" spans="1:1" x14ac:dyDescent="0.25">
      <c r="A826115" s="242"/>
    </row>
    <row r="826116" spans="1:1" x14ac:dyDescent="0.25">
      <c r="A826116" s="242"/>
    </row>
    <row r="826117" spans="1:1" x14ac:dyDescent="0.25">
      <c r="A826117" s="242"/>
    </row>
    <row r="826118" spans="1:1" x14ac:dyDescent="0.25">
      <c r="A826118" s="242"/>
    </row>
    <row r="826119" spans="1:1" x14ac:dyDescent="0.25">
      <c r="A826119" s="242"/>
    </row>
    <row r="826120" spans="1:1" x14ac:dyDescent="0.25">
      <c r="A826120" s="242"/>
    </row>
    <row r="826121" spans="1:1" x14ac:dyDescent="0.25">
      <c r="A826121" s="242"/>
    </row>
    <row r="826122" spans="1:1" x14ac:dyDescent="0.25">
      <c r="A826122" s="242"/>
    </row>
    <row r="826123" spans="1:1" x14ac:dyDescent="0.25">
      <c r="A826123" s="242"/>
    </row>
    <row r="826124" spans="1:1" x14ac:dyDescent="0.25">
      <c r="A826124" s="242"/>
    </row>
    <row r="826125" spans="1:1" x14ac:dyDescent="0.25">
      <c r="A826125" s="242"/>
    </row>
    <row r="826126" spans="1:1" x14ac:dyDescent="0.25">
      <c r="A826126" s="242"/>
    </row>
    <row r="826127" spans="1:1" x14ac:dyDescent="0.25">
      <c r="A826127" s="242"/>
    </row>
    <row r="826128" spans="1:1" x14ac:dyDescent="0.25">
      <c r="A826128" s="242"/>
    </row>
    <row r="826129" spans="1:1" x14ac:dyDescent="0.25">
      <c r="A826129" s="242"/>
    </row>
    <row r="826130" spans="1:1" x14ac:dyDescent="0.25">
      <c r="A826130" s="242"/>
    </row>
    <row r="826131" spans="1:1" x14ac:dyDescent="0.25">
      <c r="A826131" s="242"/>
    </row>
    <row r="826132" spans="1:1" x14ac:dyDescent="0.25">
      <c r="A826132" s="242"/>
    </row>
    <row r="826133" spans="1:1" x14ac:dyDescent="0.25">
      <c r="A826133" s="242"/>
    </row>
    <row r="826134" spans="1:1" x14ac:dyDescent="0.25">
      <c r="A826134" s="242"/>
    </row>
    <row r="826135" spans="1:1" x14ac:dyDescent="0.25">
      <c r="A826135" s="242"/>
    </row>
    <row r="826136" spans="1:1" x14ac:dyDescent="0.25">
      <c r="A826136" s="242"/>
    </row>
    <row r="826137" spans="1:1" x14ac:dyDescent="0.25">
      <c r="A826137" s="242"/>
    </row>
    <row r="826138" spans="1:1" x14ac:dyDescent="0.25">
      <c r="A826138" s="242"/>
    </row>
    <row r="826139" spans="1:1" x14ac:dyDescent="0.25">
      <c r="A826139" s="242"/>
    </row>
    <row r="826140" spans="1:1" x14ac:dyDescent="0.25">
      <c r="A826140" s="242"/>
    </row>
    <row r="826141" spans="1:1" x14ac:dyDescent="0.25">
      <c r="A826141" s="242"/>
    </row>
    <row r="826142" spans="1:1" x14ac:dyDescent="0.25">
      <c r="A826142" s="242"/>
    </row>
    <row r="826143" spans="1:1" x14ac:dyDescent="0.25">
      <c r="A826143" s="242"/>
    </row>
    <row r="826144" spans="1:1" x14ac:dyDescent="0.25">
      <c r="A826144" s="242"/>
    </row>
    <row r="826145" spans="1:1" x14ac:dyDescent="0.25">
      <c r="A826145" s="242"/>
    </row>
    <row r="826146" spans="1:1" x14ac:dyDescent="0.25">
      <c r="A826146" s="242"/>
    </row>
    <row r="826147" spans="1:1" x14ac:dyDescent="0.25">
      <c r="A826147" s="242"/>
    </row>
    <row r="826148" spans="1:1" x14ac:dyDescent="0.25">
      <c r="A826148" s="242"/>
    </row>
    <row r="826149" spans="1:1" x14ac:dyDescent="0.25">
      <c r="A826149" s="242"/>
    </row>
    <row r="826150" spans="1:1" x14ac:dyDescent="0.25">
      <c r="A826150" s="242"/>
    </row>
    <row r="826151" spans="1:1" x14ac:dyDescent="0.25">
      <c r="A826151" s="242"/>
    </row>
    <row r="826152" spans="1:1" x14ac:dyDescent="0.25">
      <c r="A826152" s="242"/>
    </row>
    <row r="826153" spans="1:1" x14ac:dyDescent="0.25">
      <c r="A826153" s="242"/>
    </row>
    <row r="826154" spans="1:1" x14ac:dyDescent="0.25">
      <c r="A826154" s="242"/>
    </row>
    <row r="826155" spans="1:1" x14ac:dyDescent="0.25">
      <c r="A826155" s="242"/>
    </row>
    <row r="826156" spans="1:1" x14ac:dyDescent="0.25">
      <c r="A826156" s="242"/>
    </row>
    <row r="826157" spans="1:1" x14ac:dyDescent="0.25">
      <c r="A826157" s="242"/>
    </row>
    <row r="826158" spans="1:1" x14ac:dyDescent="0.25">
      <c r="A826158" s="242"/>
    </row>
    <row r="826159" spans="1:1" x14ac:dyDescent="0.25">
      <c r="A826159" s="242"/>
    </row>
    <row r="826160" spans="1:1" x14ac:dyDescent="0.25">
      <c r="A826160" s="242"/>
    </row>
    <row r="826161" spans="1:1" x14ac:dyDescent="0.25">
      <c r="A826161" s="242"/>
    </row>
    <row r="826162" spans="1:1" x14ac:dyDescent="0.25">
      <c r="A826162" s="242"/>
    </row>
    <row r="826163" spans="1:1" x14ac:dyDescent="0.25">
      <c r="A826163" s="242"/>
    </row>
    <row r="826164" spans="1:1" x14ac:dyDescent="0.25">
      <c r="A826164" s="242"/>
    </row>
    <row r="826165" spans="1:1" x14ac:dyDescent="0.25">
      <c r="A826165" s="242"/>
    </row>
    <row r="826166" spans="1:1" x14ac:dyDescent="0.25">
      <c r="A826166" s="242"/>
    </row>
    <row r="826167" spans="1:1" x14ac:dyDescent="0.25">
      <c r="A826167" s="242"/>
    </row>
    <row r="826168" spans="1:1" x14ac:dyDescent="0.25">
      <c r="A826168" s="242"/>
    </row>
    <row r="826169" spans="1:1" x14ac:dyDescent="0.25">
      <c r="A826169" s="242"/>
    </row>
    <row r="826170" spans="1:1" x14ac:dyDescent="0.25">
      <c r="A826170" s="242"/>
    </row>
    <row r="826171" spans="1:1" x14ac:dyDescent="0.25">
      <c r="A826171" s="242"/>
    </row>
    <row r="826172" spans="1:1" x14ac:dyDescent="0.25">
      <c r="A826172" s="242"/>
    </row>
    <row r="826173" spans="1:1" x14ac:dyDescent="0.25">
      <c r="A826173" s="242"/>
    </row>
    <row r="826174" spans="1:1" x14ac:dyDescent="0.25">
      <c r="A826174" s="242"/>
    </row>
    <row r="826175" spans="1:1" x14ac:dyDescent="0.25">
      <c r="A826175" s="242"/>
    </row>
    <row r="826176" spans="1:1" x14ac:dyDescent="0.25">
      <c r="A826176" s="242"/>
    </row>
    <row r="826177" spans="1:1" x14ac:dyDescent="0.25">
      <c r="A826177" s="242"/>
    </row>
    <row r="826178" spans="1:1" x14ac:dyDescent="0.25">
      <c r="A826178" s="242"/>
    </row>
    <row r="826179" spans="1:1" x14ac:dyDescent="0.25">
      <c r="A826179" s="242"/>
    </row>
    <row r="826180" spans="1:1" x14ac:dyDescent="0.25">
      <c r="A826180" s="242"/>
    </row>
    <row r="826181" spans="1:1" x14ac:dyDescent="0.25">
      <c r="A826181" s="242"/>
    </row>
    <row r="826182" spans="1:1" x14ac:dyDescent="0.25">
      <c r="A826182" s="242"/>
    </row>
    <row r="826183" spans="1:1" x14ac:dyDescent="0.25">
      <c r="A826183" s="242"/>
    </row>
    <row r="826184" spans="1:1" x14ac:dyDescent="0.25">
      <c r="A826184" s="242"/>
    </row>
    <row r="826185" spans="1:1" x14ac:dyDescent="0.25">
      <c r="A826185" s="242"/>
    </row>
    <row r="826186" spans="1:1" x14ac:dyDescent="0.25">
      <c r="A826186" s="242"/>
    </row>
    <row r="826187" spans="1:1" x14ac:dyDescent="0.25">
      <c r="A826187" s="242"/>
    </row>
    <row r="826188" spans="1:1" x14ac:dyDescent="0.25">
      <c r="A826188" s="242"/>
    </row>
    <row r="826189" spans="1:1" x14ac:dyDescent="0.25">
      <c r="A826189" s="242"/>
    </row>
    <row r="826190" spans="1:1" x14ac:dyDescent="0.25">
      <c r="A826190" s="242"/>
    </row>
    <row r="826191" spans="1:1" x14ac:dyDescent="0.25">
      <c r="A826191" s="242"/>
    </row>
    <row r="826192" spans="1:1" x14ac:dyDescent="0.25">
      <c r="A826192" s="242"/>
    </row>
    <row r="826193" spans="1:1" x14ac:dyDescent="0.25">
      <c r="A826193" s="242"/>
    </row>
    <row r="826194" spans="1:1" x14ac:dyDescent="0.25">
      <c r="A826194" s="242"/>
    </row>
    <row r="826195" spans="1:1" x14ac:dyDescent="0.25">
      <c r="A826195" s="242"/>
    </row>
    <row r="826196" spans="1:1" x14ac:dyDescent="0.25">
      <c r="A826196" s="242"/>
    </row>
    <row r="826197" spans="1:1" x14ac:dyDescent="0.25">
      <c r="A826197" s="242"/>
    </row>
    <row r="826198" spans="1:1" x14ac:dyDescent="0.25">
      <c r="A826198" s="242"/>
    </row>
    <row r="826199" spans="1:1" x14ac:dyDescent="0.25">
      <c r="A826199" s="242"/>
    </row>
    <row r="826200" spans="1:1" x14ac:dyDescent="0.25">
      <c r="A826200" s="242"/>
    </row>
    <row r="826201" spans="1:1" x14ac:dyDescent="0.25">
      <c r="A826201" s="242"/>
    </row>
    <row r="826202" spans="1:1" x14ac:dyDescent="0.25">
      <c r="A826202" s="242"/>
    </row>
    <row r="826203" spans="1:1" x14ac:dyDescent="0.25">
      <c r="A826203" s="242"/>
    </row>
    <row r="826204" spans="1:1" x14ac:dyDescent="0.25">
      <c r="A826204" s="242"/>
    </row>
    <row r="826205" spans="1:1" x14ac:dyDescent="0.25">
      <c r="A826205" s="242"/>
    </row>
    <row r="826206" spans="1:1" x14ac:dyDescent="0.25">
      <c r="A826206" s="242"/>
    </row>
    <row r="826207" spans="1:1" x14ac:dyDescent="0.25">
      <c r="A826207" s="242"/>
    </row>
    <row r="826208" spans="1:1" x14ac:dyDescent="0.25">
      <c r="A826208" s="242"/>
    </row>
    <row r="826209" spans="1:1" x14ac:dyDescent="0.25">
      <c r="A826209" s="242"/>
    </row>
    <row r="826210" spans="1:1" x14ac:dyDescent="0.25">
      <c r="A826210" s="242"/>
    </row>
    <row r="826211" spans="1:1" x14ac:dyDescent="0.25">
      <c r="A826211" s="242"/>
    </row>
    <row r="826212" spans="1:1" x14ac:dyDescent="0.25">
      <c r="A826212" s="242"/>
    </row>
    <row r="826213" spans="1:1" x14ac:dyDescent="0.25">
      <c r="A826213" s="242"/>
    </row>
    <row r="826214" spans="1:1" x14ac:dyDescent="0.25">
      <c r="A826214" s="242"/>
    </row>
    <row r="826215" spans="1:1" x14ac:dyDescent="0.25">
      <c r="A826215" s="242"/>
    </row>
    <row r="826216" spans="1:1" x14ac:dyDescent="0.25">
      <c r="A826216" s="242"/>
    </row>
    <row r="826217" spans="1:1" x14ac:dyDescent="0.25">
      <c r="A826217" s="242"/>
    </row>
    <row r="826218" spans="1:1" x14ac:dyDescent="0.25">
      <c r="A826218" s="242"/>
    </row>
    <row r="826219" spans="1:1" x14ac:dyDescent="0.25">
      <c r="A826219" s="242"/>
    </row>
    <row r="826220" spans="1:1" x14ac:dyDescent="0.25">
      <c r="A826220" s="242"/>
    </row>
    <row r="826221" spans="1:1" x14ac:dyDescent="0.25">
      <c r="A826221" s="242"/>
    </row>
    <row r="826222" spans="1:1" x14ac:dyDescent="0.25">
      <c r="A826222" s="242"/>
    </row>
    <row r="826223" spans="1:1" x14ac:dyDescent="0.25">
      <c r="A826223" s="242"/>
    </row>
    <row r="826224" spans="1:1" x14ac:dyDescent="0.25">
      <c r="A826224" s="242"/>
    </row>
    <row r="826225" spans="1:1" x14ac:dyDescent="0.25">
      <c r="A826225" s="242"/>
    </row>
    <row r="826226" spans="1:1" x14ac:dyDescent="0.25">
      <c r="A826226" s="242"/>
    </row>
    <row r="826227" spans="1:1" x14ac:dyDescent="0.25">
      <c r="A826227" s="242"/>
    </row>
    <row r="826228" spans="1:1" x14ac:dyDescent="0.25">
      <c r="A826228" s="242"/>
    </row>
    <row r="826229" spans="1:1" x14ac:dyDescent="0.25">
      <c r="A826229" s="242"/>
    </row>
    <row r="826230" spans="1:1" x14ac:dyDescent="0.25">
      <c r="A826230" s="242"/>
    </row>
    <row r="826231" spans="1:1" x14ac:dyDescent="0.25">
      <c r="A826231" s="242"/>
    </row>
    <row r="826232" spans="1:1" x14ac:dyDescent="0.25">
      <c r="A826232" s="242"/>
    </row>
    <row r="826233" spans="1:1" x14ac:dyDescent="0.25">
      <c r="A826233" s="242"/>
    </row>
    <row r="826234" spans="1:1" x14ac:dyDescent="0.25">
      <c r="A826234" s="242"/>
    </row>
    <row r="826235" spans="1:1" x14ac:dyDescent="0.25">
      <c r="A826235" s="242"/>
    </row>
    <row r="826236" spans="1:1" x14ac:dyDescent="0.25">
      <c r="A826236" s="242"/>
    </row>
    <row r="826237" spans="1:1" x14ac:dyDescent="0.25">
      <c r="A826237" s="242"/>
    </row>
    <row r="826238" spans="1:1" x14ac:dyDescent="0.25">
      <c r="A826238" s="242"/>
    </row>
    <row r="826239" spans="1:1" x14ac:dyDescent="0.25">
      <c r="A826239" s="242"/>
    </row>
    <row r="826240" spans="1:1" x14ac:dyDescent="0.25">
      <c r="A826240" s="242"/>
    </row>
    <row r="826241" spans="1:1" x14ac:dyDescent="0.25">
      <c r="A826241" s="242"/>
    </row>
    <row r="826242" spans="1:1" x14ac:dyDescent="0.25">
      <c r="A826242" s="242"/>
    </row>
    <row r="826243" spans="1:1" x14ac:dyDescent="0.25">
      <c r="A826243" s="242"/>
    </row>
    <row r="826244" spans="1:1" x14ac:dyDescent="0.25">
      <c r="A826244" s="242"/>
    </row>
    <row r="826245" spans="1:1" x14ac:dyDescent="0.25">
      <c r="A826245" s="242"/>
    </row>
    <row r="826246" spans="1:1" x14ac:dyDescent="0.25">
      <c r="A826246" s="242"/>
    </row>
    <row r="826247" spans="1:1" x14ac:dyDescent="0.25">
      <c r="A826247" s="242"/>
    </row>
    <row r="826248" spans="1:1" x14ac:dyDescent="0.25">
      <c r="A826248" s="242"/>
    </row>
    <row r="826249" spans="1:1" x14ac:dyDescent="0.25">
      <c r="A826249" s="242"/>
    </row>
    <row r="826250" spans="1:1" x14ac:dyDescent="0.25">
      <c r="A826250" s="242"/>
    </row>
    <row r="826251" spans="1:1" x14ac:dyDescent="0.25">
      <c r="A826251" s="242"/>
    </row>
    <row r="826252" spans="1:1" x14ac:dyDescent="0.25">
      <c r="A826252" s="242"/>
    </row>
    <row r="826253" spans="1:1" x14ac:dyDescent="0.25">
      <c r="A826253" s="242"/>
    </row>
    <row r="826254" spans="1:1" x14ac:dyDescent="0.25">
      <c r="A826254" s="242"/>
    </row>
    <row r="826255" spans="1:1" x14ac:dyDescent="0.25">
      <c r="A826255" s="242"/>
    </row>
    <row r="826256" spans="1:1" x14ac:dyDescent="0.25">
      <c r="A826256" s="242"/>
    </row>
    <row r="826257" spans="1:1" x14ac:dyDescent="0.25">
      <c r="A826257" s="242"/>
    </row>
    <row r="826258" spans="1:1" x14ac:dyDescent="0.25">
      <c r="A826258" s="242"/>
    </row>
    <row r="826259" spans="1:1" x14ac:dyDescent="0.25">
      <c r="A826259" s="242"/>
    </row>
    <row r="826260" spans="1:1" x14ac:dyDescent="0.25">
      <c r="A826260" s="242"/>
    </row>
    <row r="826261" spans="1:1" x14ac:dyDescent="0.25">
      <c r="A826261" s="242"/>
    </row>
    <row r="826262" spans="1:1" x14ac:dyDescent="0.25">
      <c r="A826262" s="242"/>
    </row>
    <row r="826263" spans="1:1" x14ac:dyDescent="0.25">
      <c r="A826263" s="242"/>
    </row>
    <row r="826264" spans="1:1" x14ac:dyDescent="0.25">
      <c r="A826264" s="242"/>
    </row>
    <row r="826265" spans="1:1" x14ac:dyDescent="0.25">
      <c r="A826265" s="242"/>
    </row>
    <row r="826266" spans="1:1" x14ac:dyDescent="0.25">
      <c r="A826266" s="242"/>
    </row>
    <row r="826267" spans="1:1" x14ac:dyDescent="0.25">
      <c r="A826267" s="242"/>
    </row>
    <row r="826268" spans="1:1" x14ac:dyDescent="0.25">
      <c r="A826268" s="242"/>
    </row>
    <row r="826269" spans="1:1" x14ac:dyDescent="0.25">
      <c r="A826269" s="242"/>
    </row>
    <row r="826270" spans="1:1" x14ac:dyDescent="0.25">
      <c r="A826270" s="242"/>
    </row>
    <row r="826271" spans="1:1" x14ac:dyDescent="0.25">
      <c r="A826271" s="242"/>
    </row>
    <row r="826272" spans="1:1" x14ac:dyDescent="0.25">
      <c r="A826272" s="242"/>
    </row>
    <row r="826273" spans="1:1" x14ac:dyDescent="0.25">
      <c r="A826273" s="242"/>
    </row>
    <row r="826274" spans="1:1" x14ac:dyDescent="0.25">
      <c r="A826274" s="242"/>
    </row>
    <row r="826275" spans="1:1" x14ac:dyDescent="0.25">
      <c r="A826275" s="242"/>
    </row>
    <row r="826276" spans="1:1" x14ac:dyDescent="0.25">
      <c r="A826276" s="242"/>
    </row>
    <row r="826277" spans="1:1" x14ac:dyDescent="0.25">
      <c r="A826277" s="242"/>
    </row>
    <row r="826278" spans="1:1" x14ac:dyDescent="0.25">
      <c r="A826278" s="242"/>
    </row>
    <row r="826279" spans="1:1" x14ac:dyDescent="0.25">
      <c r="A826279" s="242"/>
    </row>
    <row r="826280" spans="1:1" x14ac:dyDescent="0.25">
      <c r="A826280" s="242"/>
    </row>
    <row r="826281" spans="1:1" x14ac:dyDescent="0.25">
      <c r="A826281" s="242"/>
    </row>
    <row r="826282" spans="1:1" x14ac:dyDescent="0.25">
      <c r="A826282" s="242"/>
    </row>
    <row r="826283" spans="1:1" x14ac:dyDescent="0.25">
      <c r="A826283" s="242"/>
    </row>
    <row r="826284" spans="1:1" x14ac:dyDescent="0.25">
      <c r="A826284" s="242"/>
    </row>
    <row r="826285" spans="1:1" x14ac:dyDescent="0.25">
      <c r="A826285" s="242"/>
    </row>
    <row r="826286" spans="1:1" x14ac:dyDescent="0.25">
      <c r="A826286" s="242"/>
    </row>
    <row r="826287" spans="1:1" x14ac:dyDescent="0.25">
      <c r="A826287" s="242"/>
    </row>
    <row r="826288" spans="1:1" x14ac:dyDescent="0.25">
      <c r="A826288" s="242"/>
    </row>
    <row r="826289" spans="1:1" x14ac:dyDescent="0.25">
      <c r="A826289" s="242"/>
    </row>
    <row r="826290" spans="1:1" x14ac:dyDescent="0.25">
      <c r="A826290" s="242"/>
    </row>
    <row r="826291" spans="1:1" x14ac:dyDescent="0.25">
      <c r="A826291" s="242"/>
    </row>
    <row r="826292" spans="1:1" x14ac:dyDescent="0.25">
      <c r="A826292" s="242"/>
    </row>
    <row r="826293" spans="1:1" x14ac:dyDescent="0.25">
      <c r="A826293" s="242"/>
    </row>
    <row r="826294" spans="1:1" x14ac:dyDescent="0.25">
      <c r="A826294" s="242"/>
    </row>
    <row r="826295" spans="1:1" x14ac:dyDescent="0.25">
      <c r="A826295" s="242"/>
    </row>
    <row r="826296" spans="1:1" x14ac:dyDescent="0.25">
      <c r="A826296" s="242"/>
    </row>
    <row r="826297" spans="1:1" x14ac:dyDescent="0.25">
      <c r="A826297" s="242"/>
    </row>
    <row r="826298" spans="1:1" x14ac:dyDescent="0.25">
      <c r="A826298" s="242"/>
    </row>
    <row r="826299" spans="1:1" x14ac:dyDescent="0.25">
      <c r="A826299" s="242"/>
    </row>
    <row r="826300" spans="1:1" x14ac:dyDescent="0.25">
      <c r="A826300" s="242"/>
    </row>
    <row r="826301" spans="1:1" x14ac:dyDescent="0.25">
      <c r="A826301" s="242"/>
    </row>
    <row r="826302" spans="1:1" x14ac:dyDescent="0.25">
      <c r="A826302" s="242"/>
    </row>
    <row r="826303" spans="1:1" x14ac:dyDescent="0.25">
      <c r="A826303" s="242"/>
    </row>
    <row r="826304" spans="1:1" x14ac:dyDescent="0.25">
      <c r="A826304" s="242"/>
    </row>
    <row r="826305" spans="1:1" x14ac:dyDescent="0.25">
      <c r="A826305" s="242"/>
    </row>
    <row r="826306" spans="1:1" x14ac:dyDescent="0.25">
      <c r="A826306" s="242"/>
    </row>
    <row r="826307" spans="1:1" x14ac:dyDescent="0.25">
      <c r="A826307" s="242"/>
    </row>
    <row r="826308" spans="1:1" x14ac:dyDescent="0.25">
      <c r="A826308" s="242"/>
    </row>
    <row r="826309" spans="1:1" x14ac:dyDescent="0.25">
      <c r="A826309" s="242"/>
    </row>
    <row r="826310" spans="1:1" x14ac:dyDescent="0.25">
      <c r="A826310" s="242"/>
    </row>
    <row r="826311" spans="1:1" x14ac:dyDescent="0.25">
      <c r="A826311" s="242"/>
    </row>
    <row r="826312" spans="1:1" x14ac:dyDescent="0.25">
      <c r="A826312" s="242"/>
    </row>
    <row r="826313" spans="1:1" x14ac:dyDescent="0.25">
      <c r="A826313" s="242"/>
    </row>
    <row r="826314" spans="1:1" x14ac:dyDescent="0.25">
      <c r="A826314" s="242"/>
    </row>
    <row r="826315" spans="1:1" x14ac:dyDescent="0.25">
      <c r="A826315" s="242"/>
    </row>
    <row r="826316" spans="1:1" x14ac:dyDescent="0.25">
      <c r="A826316" s="242"/>
    </row>
    <row r="826317" spans="1:1" x14ac:dyDescent="0.25">
      <c r="A826317" s="242"/>
    </row>
    <row r="826318" spans="1:1" x14ac:dyDescent="0.25">
      <c r="A826318" s="242"/>
    </row>
    <row r="826319" spans="1:1" x14ac:dyDescent="0.25">
      <c r="A826319" s="242"/>
    </row>
    <row r="826320" spans="1:1" x14ac:dyDescent="0.25">
      <c r="A826320" s="242"/>
    </row>
    <row r="826321" spans="1:1" x14ac:dyDescent="0.25">
      <c r="A826321" s="242"/>
    </row>
    <row r="826322" spans="1:1" x14ac:dyDescent="0.25">
      <c r="A826322" s="242"/>
    </row>
    <row r="826323" spans="1:1" x14ac:dyDescent="0.25">
      <c r="A826323" s="242"/>
    </row>
    <row r="826324" spans="1:1" x14ac:dyDescent="0.25">
      <c r="A826324" s="242"/>
    </row>
    <row r="826325" spans="1:1" x14ac:dyDescent="0.25">
      <c r="A826325" s="242"/>
    </row>
    <row r="826326" spans="1:1" x14ac:dyDescent="0.25">
      <c r="A826326" s="242"/>
    </row>
    <row r="826327" spans="1:1" x14ac:dyDescent="0.25">
      <c r="A826327" s="242"/>
    </row>
    <row r="826328" spans="1:1" x14ac:dyDescent="0.25">
      <c r="A826328" s="242"/>
    </row>
    <row r="826329" spans="1:1" x14ac:dyDescent="0.25">
      <c r="A826329" s="242"/>
    </row>
    <row r="826330" spans="1:1" x14ac:dyDescent="0.25">
      <c r="A826330" s="242"/>
    </row>
    <row r="826331" spans="1:1" x14ac:dyDescent="0.25">
      <c r="A826331" s="242"/>
    </row>
    <row r="826332" spans="1:1" x14ac:dyDescent="0.25">
      <c r="A826332" s="242"/>
    </row>
    <row r="826333" spans="1:1" x14ac:dyDescent="0.25">
      <c r="A826333" s="242"/>
    </row>
    <row r="826334" spans="1:1" x14ac:dyDescent="0.25">
      <c r="A826334" s="242"/>
    </row>
    <row r="826335" spans="1:1" x14ac:dyDescent="0.25">
      <c r="A826335" s="242"/>
    </row>
    <row r="826336" spans="1:1" x14ac:dyDescent="0.25">
      <c r="A826336" s="242"/>
    </row>
    <row r="826337" spans="1:1" x14ac:dyDescent="0.25">
      <c r="A826337" s="242"/>
    </row>
    <row r="826338" spans="1:1" x14ac:dyDescent="0.25">
      <c r="A826338" s="242"/>
    </row>
    <row r="826339" spans="1:1" x14ac:dyDescent="0.25">
      <c r="A826339" s="242"/>
    </row>
    <row r="826340" spans="1:1" x14ac:dyDescent="0.25">
      <c r="A826340" s="242"/>
    </row>
    <row r="826341" spans="1:1" x14ac:dyDescent="0.25">
      <c r="A826341" s="242"/>
    </row>
    <row r="826342" spans="1:1" x14ac:dyDescent="0.25">
      <c r="A826342" s="242"/>
    </row>
    <row r="826343" spans="1:1" x14ac:dyDescent="0.25">
      <c r="A826343" s="242"/>
    </row>
    <row r="826344" spans="1:1" x14ac:dyDescent="0.25">
      <c r="A826344" s="242"/>
    </row>
    <row r="826345" spans="1:1" x14ac:dyDescent="0.25">
      <c r="A826345" s="242"/>
    </row>
    <row r="826346" spans="1:1" x14ac:dyDescent="0.25">
      <c r="A826346" s="242"/>
    </row>
    <row r="826347" spans="1:1" x14ac:dyDescent="0.25">
      <c r="A826347" s="242"/>
    </row>
    <row r="826348" spans="1:1" x14ac:dyDescent="0.25">
      <c r="A826348" s="242"/>
    </row>
    <row r="826349" spans="1:1" x14ac:dyDescent="0.25">
      <c r="A826349" s="242"/>
    </row>
    <row r="826350" spans="1:1" x14ac:dyDescent="0.25">
      <c r="A826350" s="242"/>
    </row>
    <row r="826351" spans="1:1" x14ac:dyDescent="0.25">
      <c r="A826351" s="242"/>
    </row>
    <row r="826352" spans="1:1" x14ac:dyDescent="0.25">
      <c r="A826352" s="242"/>
    </row>
    <row r="826353" spans="1:1" x14ac:dyDescent="0.25">
      <c r="A826353" s="242"/>
    </row>
    <row r="826354" spans="1:1" x14ac:dyDescent="0.25">
      <c r="A826354" s="242"/>
    </row>
    <row r="826355" spans="1:1" x14ac:dyDescent="0.25">
      <c r="A826355" s="242"/>
    </row>
    <row r="826356" spans="1:1" x14ac:dyDescent="0.25">
      <c r="A826356" s="242"/>
    </row>
    <row r="826357" spans="1:1" x14ac:dyDescent="0.25">
      <c r="A826357" s="242"/>
    </row>
    <row r="826358" spans="1:1" x14ac:dyDescent="0.25">
      <c r="A826358" s="242"/>
    </row>
    <row r="826359" spans="1:1" x14ac:dyDescent="0.25">
      <c r="A826359" s="242"/>
    </row>
    <row r="826360" spans="1:1" x14ac:dyDescent="0.25">
      <c r="A826360" s="242"/>
    </row>
    <row r="826361" spans="1:1" x14ac:dyDescent="0.25">
      <c r="A826361" s="242"/>
    </row>
    <row r="826362" spans="1:1" x14ac:dyDescent="0.25">
      <c r="A826362" s="242"/>
    </row>
    <row r="826363" spans="1:1" x14ac:dyDescent="0.25">
      <c r="A826363" s="242"/>
    </row>
    <row r="826364" spans="1:1" x14ac:dyDescent="0.25">
      <c r="A826364" s="242"/>
    </row>
    <row r="826365" spans="1:1" x14ac:dyDescent="0.25">
      <c r="A826365" s="242"/>
    </row>
    <row r="826366" spans="1:1" x14ac:dyDescent="0.25">
      <c r="A826366" s="242"/>
    </row>
    <row r="826367" spans="1:1" x14ac:dyDescent="0.25">
      <c r="A826367" s="242"/>
    </row>
    <row r="826368" spans="1:1" x14ac:dyDescent="0.25">
      <c r="A826368" s="242"/>
    </row>
    <row r="826369" spans="1:1" x14ac:dyDescent="0.25">
      <c r="A826369" s="242"/>
    </row>
    <row r="826370" spans="1:1" x14ac:dyDescent="0.25">
      <c r="A826370" s="242"/>
    </row>
    <row r="826371" spans="1:1" x14ac:dyDescent="0.25">
      <c r="A826371" s="242"/>
    </row>
    <row r="826372" spans="1:1" x14ac:dyDescent="0.25">
      <c r="A826372" s="242"/>
    </row>
    <row r="826373" spans="1:1" x14ac:dyDescent="0.25">
      <c r="A826373" s="242"/>
    </row>
    <row r="826374" spans="1:1" x14ac:dyDescent="0.25">
      <c r="A826374" s="242"/>
    </row>
    <row r="826375" spans="1:1" x14ac:dyDescent="0.25">
      <c r="A826375" s="242"/>
    </row>
    <row r="826376" spans="1:1" x14ac:dyDescent="0.25">
      <c r="A826376" s="242"/>
    </row>
    <row r="826377" spans="1:1" x14ac:dyDescent="0.25">
      <c r="A826377" s="242"/>
    </row>
    <row r="826378" spans="1:1" x14ac:dyDescent="0.25">
      <c r="A826378" s="242"/>
    </row>
    <row r="826379" spans="1:1" x14ac:dyDescent="0.25">
      <c r="A826379" s="242"/>
    </row>
    <row r="826380" spans="1:1" x14ac:dyDescent="0.25">
      <c r="A826380" s="242"/>
    </row>
    <row r="826381" spans="1:1" x14ac:dyDescent="0.25">
      <c r="A826381" s="242"/>
    </row>
    <row r="826382" spans="1:1" x14ac:dyDescent="0.25">
      <c r="A826382" s="242"/>
    </row>
    <row r="826383" spans="1:1" x14ac:dyDescent="0.25">
      <c r="A826383" s="242"/>
    </row>
    <row r="826384" spans="1:1" x14ac:dyDescent="0.25">
      <c r="A826384" s="242"/>
    </row>
    <row r="826385" spans="1:1" x14ac:dyDescent="0.25">
      <c r="A826385" s="242"/>
    </row>
    <row r="826386" spans="1:1" x14ac:dyDescent="0.25">
      <c r="A826386" s="242"/>
    </row>
    <row r="826387" spans="1:1" x14ac:dyDescent="0.25">
      <c r="A826387" s="242"/>
    </row>
    <row r="826388" spans="1:1" x14ac:dyDescent="0.25">
      <c r="A826388" s="242"/>
    </row>
    <row r="826389" spans="1:1" x14ac:dyDescent="0.25">
      <c r="A826389" s="242"/>
    </row>
    <row r="826390" spans="1:1" x14ac:dyDescent="0.25">
      <c r="A826390" s="242"/>
    </row>
    <row r="826391" spans="1:1" x14ac:dyDescent="0.25">
      <c r="A826391" s="242"/>
    </row>
    <row r="826392" spans="1:1" x14ac:dyDescent="0.25">
      <c r="A826392" s="242"/>
    </row>
    <row r="826393" spans="1:1" x14ac:dyDescent="0.25">
      <c r="A826393" s="242"/>
    </row>
    <row r="826394" spans="1:1" x14ac:dyDescent="0.25">
      <c r="A826394" s="242"/>
    </row>
    <row r="826395" spans="1:1" x14ac:dyDescent="0.25">
      <c r="A826395" s="242"/>
    </row>
    <row r="826396" spans="1:1" x14ac:dyDescent="0.25">
      <c r="A826396" s="242"/>
    </row>
    <row r="826397" spans="1:1" x14ac:dyDescent="0.25">
      <c r="A826397" s="242"/>
    </row>
    <row r="826398" spans="1:1" x14ac:dyDescent="0.25">
      <c r="A826398" s="242"/>
    </row>
    <row r="826399" spans="1:1" x14ac:dyDescent="0.25">
      <c r="A826399" s="242"/>
    </row>
    <row r="826400" spans="1:1" x14ac:dyDescent="0.25">
      <c r="A826400" s="242"/>
    </row>
    <row r="826401" spans="1:1" x14ac:dyDescent="0.25">
      <c r="A826401" s="242"/>
    </row>
    <row r="826402" spans="1:1" x14ac:dyDescent="0.25">
      <c r="A826402" s="242"/>
    </row>
    <row r="826403" spans="1:1" x14ac:dyDescent="0.25">
      <c r="A826403" s="242"/>
    </row>
    <row r="826404" spans="1:1" x14ac:dyDescent="0.25">
      <c r="A826404" s="242"/>
    </row>
    <row r="826405" spans="1:1" x14ac:dyDescent="0.25">
      <c r="A826405" s="242"/>
    </row>
    <row r="826406" spans="1:1" x14ac:dyDescent="0.25">
      <c r="A826406" s="242"/>
    </row>
    <row r="826407" spans="1:1" x14ac:dyDescent="0.25">
      <c r="A826407" s="242"/>
    </row>
    <row r="826408" spans="1:1" x14ac:dyDescent="0.25">
      <c r="A826408" s="242"/>
    </row>
    <row r="826409" spans="1:1" x14ac:dyDescent="0.25">
      <c r="A826409" s="242"/>
    </row>
    <row r="826410" spans="1:1" x14ac:dyDescent="0.25">
      <c r="A826410" s="242"/>
    </row>
    <row r="826411" spans="1:1" x14ac:dyDescent="0.25">
      <c r="A826411" s="242"/>
    </row>
    <row r="826412" spans="1:1" x14ac:dyDescent="0.25">
      <c r="A826412" s="242"/>
    </row>
    <row r="826413" spans="1:1" x14ac:dyDescent="0.25">
      <c r="A826413" s="242"/>
    </row>
    <row r="826414" spans="1:1" x14ac:dyDescent="0.25">
      <c r="A826414" s="242"/>
    </row>
    <row r="826415" spans="1:1" x14ac:dyDescent="0.25">
      <c r="A826415" s="242"/>
    </row>
    <row r="826416" spans="1:1" x14ac:dyDescent="0.25">
      <c r="A826416" s="242"/>
    </row>
    <row r="826417" spans="1:1" x14ac:dyDescent="0.25">
      <c r="A826417" s="242"/>
    </row>
    <row r="826418" spans="1:1" x14ac:dyDescent="0.25">
      <c r="A826418" s="242"/>
    </row>
    <row r="826419" spans="1:1" x14ac:dyDescent="0.25">
      <c r="A826419" s="242"/>
    </row>
    <row r="826420" spans="1:1" x14ac:dyDescent="0.25">
      <c r="A826420" s="242"/>
    </row>
    <row r="826421" spans="1:1" x14ac:dyDescent="0.25">
      <c r="A826421" s="242"/>
    </row>
    <row r="826422" spans="1:1" x14ac:dyDescent="0.25">
      <c r="A826422" s="242"/>
    </row>
    <row r="826423" spans="1:1" x14ac:dyDescent="0.25">
      <c r="A826423" s="242"/>
    </row>
    <row r="826424" spans="1:1" x14ac:dyDescent="0.25">
      <c r="A826424" s="242"/>
    </row>
    <row r="826425" spans="1:1" x14ac:dyDescent="0.25">
      <c r="A826425" s="242"/>
    </row>
    <row r="826426" spans="1:1" x14ac:dyDescent="0.25">
      <c r="A826426" s="242"/>
    </row>
    <row r="826427" spans="1:1" x14ac:dyDescent="0.25">
      <c r="A826427" s="242"/>
    </row>
    <row r="826428" spans="1:1" x14ac:dyDescent="0.25">
      <c r="A826428" s="242"/>
    </row>
    <row r="826429" spans="1:1" x14ac:dyDescent="0.25">
      <c r="A826429" s="242"/>
    </row>
    <row r="826430" spans="1:1" x14ac:dyDescent="0.25">
      <c r="A826430" s="242"/>
    </row>
    <row r="826431" spans="1:1" x14ac:dyDescent="0.25">
      <c r="A826431" s="242"/>
    </row>
    <row r="826432" spans="1:1" x14ac:dyDescent="0.25">
      <c r="A826432" s="242"/>
    </row>
    <row r="826433" spans="1:1" x14ac:dyDescent="0.25">
      <c r="A826433" s="242"/>
    </row>
    <row r="826434" spans="1:1" x14ac:dyDescent="0.25">
      <c r="A826434" s="242"/>
    </row>
    <row r="826435" spans="1:1" x14ac:dyDescent="0.25">
      <c r="A826435" s="242"/>
    </row>
    <row r="826436" spans="1:1" x14ac:dyDescent="0.25">
      <c r="A826436" s="242"/>
    </row>
    <row r="826437" spans="1:1" x14ac:dyDescent="0.25">
      <c r="A826437" s="242"/>
    </row>
    <row r="826438" spans="1:1" x14ac:dyDescent="0.25">
      <c r="A826438" s="242"/>
    </row>
    <row r="826439" spans="1:1" x14ac:dyDescent="0.25">
      <c r="A826439" s="242"/>
    </row>
    <row r="826440" spans="1:1" x14ac:dyDescent="0.25">
      <c r="A826440" s="242"/>
    </row>
    <row r="826441" spans="1:1" x14ac:dyDescent="0.25">
      <c r="A826441" s="242"/>
    </row>
    <row r="826442" spans="1:1" x14ac:dyDescent="0.25">
      <c r="A826442" s="242"/>
    </row>
    <row r="826443" spans="1:1" x14ac:dyDescent="0.25">
      <c r="A826443" s="242"/>
    </row>
    <row r="826444" spans="1:1" x14ac:dyDescent="0.25">
      <c r="A826444" s="242"/>
    </row>
    <row r="826445" spans="1:1" x14ac:dyDescent="0.25">
      <c r="A826445" s="242"/>
    </row>
    <row r="826446" spans="1:1" x14ac:dyDescent="0.25">
      <c r="A826446" s="242"/>
    </row>
    <row r="826447" spans="1:1" x14ac:dyDescent="0.25">
      <c r="A826447" s="242"/>
    </row>
    <row r="826448" spans="1:1" x14ac:dyDescent="0.25">
      <c r="A826448" s="242"/>
    </row>
    <row r="826449" spans="1:1" x14ac:dyDescent="0.25">
      <c r="A826449" s="242"/>
    </row>
    <row r="826450" spans="1:1" x14ac:dyDescent="0.25">
      <c r="A826450" s="242"/>
    </row>
    <row r="826451" spans="1:1" x14ac:dyDescent="0.25">
      <c r="A826451" s="242"/>
    </row>
    <row r="826452" spans="1:1" x14ac:dyDescent="0.25">
      <c r="A826452" s="242"/>
    </row>
    <row r="826453" spans="1:1" x14ac:dyDescent="0.25">
      <c r="A826453" s="242"/>
    </row>
    <row r="826454" spans="1:1" x14ac:dyDescent="0.25">
      <c r="A826454" s="242"/>
    </row>
    <row r="826455" spans="1:1" x14ac:dyDescent="0.25">
      <c r="A826455" s="242"/>
    </row>
    <row r="826456" spans="1:1" x14ac:dyDescent="0.25">
      <c r="A826456" s="242"/>
    </row>
    <row r="826457" spans="1:1" x14ac:dyDescent="0.25">
      <c r="A826457" s="242"/>
    </row>
    <row r="826458" spans="1:1" x14ac:dyDescent="0.25">
      <c r="A826458" s="242"/>
    </row>
    <row r="826459" spans="1:1" x14ac:dyDescent="0.25">
      <c r="A826459" s="242"/>
    </row>
    <row r="826460" spans="1:1" x14ac:dyDescent="0.25">
      <c r="A826460" s="242"/>
    </row>
    <row r="826461" spans="1:1" x14ac:dyDescent="0.25">
      <c r="A826461" s="242"/>
    </row>
    <row r="826462" spans="1:1" x14ac:dyDescent="0.25">
      <c r="A826462" s="242"/>
    </row>
    <row r="826463" spans="1:1" x14ac:dyDescent="0.25">
      <c r="A826463" s="242"/>
    </row>
    <row r="826464" spans="1:1" x14ac:dyDescent="0.25">
      <c r="A826464" s="242"/>
    </row>
    <row r="826465" spans="1:1" x14ac:dyDescent="0.25">
      <c r="A826465" s="242"/>
    </row>
    <row r="826466" spans="1:1" x14ac:dyDescent="0.25">
      <c r="A826466" s="242"/>
    </row>
    <row r="826467" spans="1:1" x14ac:dyDescent="0.25">
      <c r="A826467" s="242"/>
    </row>
    <row r="826468" spans="1:1" x14ac:dyDescent="0.25">
      <c r="A826468" s="242"/>
    </row>
    <row r="826469" spans="1:1" x14ac:dyDescent="0.25">
      <c r="A826469" s="242"/>
    </row>
    <row r="826470" spans="1:1" x14ac:dyDescent="0.25">
      <c r="A826470" s="242"/>
    </row>
    <row r="826471" spans="1:1" x14ac:dyDescent="0.25">
      <c r="A826471" s="242"/>
    </row>
    <row r="826472" spans="1:1" x14ac:dyDescent="0.25">
      <c r="A826472" s="242"/>
    </row>
    <row r="826473" spans="1:1" x14ac:dyDescent="0.25">
      <c r="A826473" s="242"/>
    </row>
    <row r="826474" spans="1:1" x14ac:dyDescent="0.25">
      <c r="A826474" s="242"/>
    </row>
    <row r="826475" spans="1:1" x14ac:dyDescent="0.25">
      <c r="A826475" s="242"/>
    </row>
    <row r="826476" spans="1:1" x14ac:dyDescent="0.25">
      <c r="A826476" s="242"/>
    </row>
    <row r="826477" spans="1:1" x14ac:dyDescent="0.25">
      <c r="A826477" s="242"/>
    </row>
    <row r="826478" spans="1:1" x14ac:dyDescent="0.25">
      <c r="A826478" s="242"/>
    </row>
    <row r="826479" spans="1:1" x14ac:dyDescent="0.25">
      <c r="A826479" s="242"/>
    </row>
    <row r="826480" spans="1:1" x14ac:dyDescent="0.25">
      <c r="A826480" s="242"/>
    </row>
    <row r="826481" spans="1:1" x14ac:dyDescent="0.25">
      <c r="A826481" s="242"/>
    </row>
    <row r="826482" spans="1:1" x14ac:dyDescent="0.25">
      <c r="A826482" s="242"/>
    </row>
    <row r="826483" spans="1:1" x14ac:dyDescent="0.25">
      <c r="A826483" s="242"/>
    </row>
    <row r="826484" spans="1:1" x14ac:dyDescent="0.25">
      <c r="A826484" s="242"/>
    </row>
    <row r="826485" spans="1:1" x14ac:dyDescent="0.25">
      <c r="A826485" s="242"/>
    </row>
    <row r="826486" spans="1:1" x14ac:dyDescent="0.25">
      <c r="A826486" s="242"/>
    </row>
    <row r="826487" spans="1:1" x14ac:dyDescent="0.25">
      <c r="A826487" s="242"/>
    </row>
    <row r="826488" spans="1:1" x14ac:dyDescent="0.25">
      <c r="A826488" s="242"/>
    </row>
    <row r="826489" spans="1:1" x14ac:dyDescent="0.25">
      <c r="A826489" s="242"/>
    </row>
    <row r="826490" spans="1:1" x14ac:dyDescent="0.25">
      <c r="A826490" s="242"/>
    </row>
    <row r="826491" spans="1:1" x14ac:dyDescent="0.25">
      <c r="A826491" s="242"/>
    </row>
    <row r="826492" spans="1:1" x14ac:dyDescent="0.25">
      <c r="A826492" s="242"/>
    </row>
    <row r="826493" spans="1:1" x14ac:dyDescent="0.25">
      <c r="A826493" s="242"/>
    </row>
    <row r="826494" spans="1:1" x14ac:dyDescent="0.25">
      <c r="A826494" s="242"/>
    </row>
    <row r="826495" spans="1:1" x14ac:dyDescent="0.25">
      <c r="A826495" s="242"/>
    </row>
    <row r="826496" spans="1:1" x14ac:dyDescent="0.25">
      <c r="A826496" s="242"/>
    </row>
    <row r="826497" spans="1:1" x14ac:dyDescent="0.25">
      <c r="A826497" s="242"/>
    </row>
    <row r="826498" spans="1:1" x14ac:dyDescent="0.25">
      <c r="A826498" s="242"/>
    </row>
    <row r="826499" spans="1:1" x14ac:dyDescent="0.25">
      <c r="A826499" s="242"/>
    </row>
    <row r="826500" spans="1:1" x14ac:dyDescent="0.25">
      <c r="A826500" s="242"/>
    </row>
    <row r="826501" spans="1:1" x14ac:dyDescent="0.25">
      <c r="A826501" s="242"/>
    </row>
    <row r="826502" spans="1:1" x14ac:dyDescent="0.25">
      <c r="A826502" s="242"/>
    </row>
    <row r="826503" spans="1:1" x14ac:dyDescent="0.25">
      <c r="A826503" s="242"/>
    </row>
    <row r="826504" spans="1:1" x14ac:dyDescent="0.25">
      <c r="A826504" s="242"/>
    </row>
    <row r="826505" spans="1:1" x14ac:dyDescent="0.25">
      <c r="A826505" s="242"/>
    </row>
    <row r="826506" spans="1:1" x14ac:dyDescent="0.25">
      <c r="A826506" s="242"/>
    </row>
    <row r="826507" spans="1:1" x14ac:dyDescent="0.25">
      <c r="A826507" s="242"/>
    </row>
    <row r="826508" spans="1:1" x14ac:dyDescent="0.25">
      <c r="A826508" s="242"/>
    </row>
    <row r="826509" spans="1:1" x14ac:dyDescent="0.25">
      <c r="A826509" s="242"/>
    </row>
    <row r="826510" spans="1:1" x14ac:dyDescent="0.25">
      <c r="A826510" s="242"/>
    </row>
    <row r="826511" spans="1:1" x14ac:dyDescent="0.25">
      <c r="A826511" s="242"/>
    </row>
    <row r="826512" spans="1:1" x14ac:dyDescent="0.25">
      <c r="A826512" s="242"/>
    </row>
    <row r="826513" spans="1:1" x14ac:dyDescent="0.25">
      <c r="A826513" s="242"/>
    </row>
    <row r="826514" spans="1:1" x14ac:dyDescent="0.25">
      <c r="A826514" s="242"/>
    </row>
    <row r="826515" spans="1:1" x14ac:dyDescent="0.25">
      <c r="A826515" s="242"/>
    </row>
    <row r="826516" spans="1:1" x14ac:dyDescent="0.25">
      <c r="A826516" s="242"/>
    </row>
    <row r="826517" spans="1:1" x14ac:dyDescent="0.25">
      <c r="A826517" s="242"/>
    </row>
    <row r="826518" spans="1:1" x14ac:dyDescent="0.25">
      <c r="A826518" s="242"/>
    </row>
    <row r="826519" spans="1:1" x14ac:dyDescent="0.25">
      <c r="A826519" s="242"/>
    </row>
    <row r="826520" spans="1:1" x14ac:dyDescent="0.25">
      <c r="A826520" s="242"/>
    </row>
    <row r="826521" spans="1:1" x14ac:dyDescent="0.25">
      <c r="A826521" s="242"/>
    </row>
    <row r="826522" spans="1:1" x14ac:dyDescent="0.25">
      <c r="A826522" s="242"/>
    </row>
    <row r="826523" spans="1:1" x14ac:dyDescent="0.25">
      <c r="A826523" s="242"/>
    </row>
    <row r="826524" spans="1:1" x14ac:dyDescent="0.25">
      <c r="A826524" s="242"/>
    </row>
    <row r="826525" spans="1:1" x14ac:dyDescent="0.25">
      <c r="A826525" s="242"/>
    </row>
    <row r="826526" spans="1:1" x14ac:dyDescent="0.25">
      <c r="A826526" s="242"/>
    </row>
    <row r="826527" spans="1:1" x14ac:dyDescent="0.25">
      <c r="A826527" s="242"/>
    </row>
    <row r="826528" spans="1:1" x14ac:dyDescent="0.25">
      <c r="A826528" s="242"/>
    </row>
    <row r="826529" spans="1:1" x14ac:dyDescent="0.25">
      <c r="A826529" s="242"/>
    </row>
    <row r="826530" spans="1:1" x14ac:dyDescent="0.25">
      <c r="A826530" s="242"/>
    </row>
    <row r="826531" spans="1:1" x14ac:dyDescent="0.25">
      <c r="A826531" s="242"/>
    </row>
    <row r="826532" spans="1:1" x14ac:dyDescent="0.25">
      <c r="A826532" s="242"/>
    </row>
    <row r="826533" spans="1:1" x14ac:dyDescent="0.25">
      <c r="A826533" s="242"/>
    </row>
    <row r="826534" spans="1:1" x14ac:dyDescent="0.25">
      <c r="A826534" s="242"/>
    </row>
    <row r="826535" spans="1:1" x14ac:dyDescent="0.25">
      <c r="A826535" s="242"/>
    </row>
    <row r="826536" spans="1:1" x14ac:dyDescent="0.25">
      <c r="A826536" s="242"/>
    </row>
    <row r="826537" spans="1:1" x14ac:dyDescent="0.25">
      <c r="A826537" s="242"/>
    </row>
    <row r="826538" spans="1:1" x14ac:dyDescent="0.25">
      <c r="A826538" s="242"/>
    </row>
    <row r="826539" spans="1:1" x14ac:dyDescent="0.25">
      <c r="A826539" s="242"/>
    </row>
    <row r="826540" spans="1:1" x14ac:dyDescent="0.25">
      <c r="A826540" s="242"/>
    </row>
    <row r="826541" spans="1:1" x14ac:dyDescent="0.25">
      <c r="A826541" s="242"/>
    </row>
    <row r="826542" spans="1:1" x14ac:dyDescent="0.25">
      <c r="A826542" s="242"/>
    </row>
    <row r="826543" spans="1:1" x14ac:dyDescent="0.25">
      <c r="A826543" s="242"/>
    </row>
    <row r="826544" spans="1:1" x14ac:dyDescent="0.25">
      <c r="A826544" s="242"/>
    </row>
    <row r="826545" spans="1:1" x14ac:dyDescent="0.25">
      <c r="A826545" s="242"/>
    </row>
    <row r="826546" spans="1:1" x14ac:dyDescent="0.25">
      <c r="A826546" s="242"/>
    </row>
    <row r="826547" spans="1:1" x14ac:dyDescent="0.25">
      <c r="A826547" s="242"/>
    </row>
    <row r="826548" spans="1:1" x14ac:dyDescent="0.25">
      <c r="A826548" s="242"/>
    </row>
    <row r="826549" spans="1:1" x14ac:dyDescent="0.25">
      <c r="A826549" s="242"/>
    </row>
    <row r="826550" spans="1:1" x14ac:dyDescent="0.25">
      <c r="A826550" s="242"/>
    </row>
    <row r="826551" spans="1:1" x14ac:dyDescent="0.25">
      <c r="A826551" s="242"/>
    </row>
    <row r="826552" spans="1:1" x14ac:dyDescent="0.25">
      <c r="A826552" s="242"/>
    </row>
    <row r="826553" spans="1:1" x14ac:dyDescent="0.25">
      <c r="A826553" s="242"/>
    </row>
    <row r="826554" spans="1:1" x14ac:dyDescent="0.25">
      <c r="A826554" s="242"/>
    </row>
    <row r="826555" spans="1:1" x14ac:dyDescent="0.25">
      <c r="A826555" s="242"/>
    </row>
    <row r="826556" spans="1:1" x14ac:dyDescent="0.25">
      <c r="A826556" s="242"/>
    </row>
    <row r="826557" spans="1:1" x14ac:dyDescent="0.25">
      <c r="A826557" s="242"/>
    </row>
    <row r="826558" spans="1:1" x14ac:dyDescent="0.25">
      <c r="A826558" s="242"/>
    </row>
    <row r="826559" spans="1:1" x14ac:dyDescent="0.25">
      <c r="A826559" s="242"/>
    </row>
    <row r="826560" spans="1:1" x14ac:dyDescent="0.25">
      <c r="A826560" s="242"/>
    </row>
    <row r="826561" spans="1:1" x14ac:dyDescent="0.25">
      <c r="A826561" s="242"/>
    </row>
    <row r="826562" spans="1:1" x14ac:dyDescent="0.25">
      <c r="A826562" s="242"/>
    </row>
    <row r="826563" spans="1:1" x14ac:dyDescent="0.25">
      <c r="A826563" s="242"/>
    </row>
    <row r="826564" spans="1:1" x14ac:dyDescent="0.25">
      <c r="A826564" s="242"/>
    </row>
    <row r="826565" spans="1:1" x14ac:dyDescent="0.25">
      <c r="A826565" s="242"/>
    </row>
    <row r="826566" spans="1:1" x14ac:dyDescent="0.25">
      <c r="A826566" s="242"/>
    </row>
    <row r="826567" spans="1:1" x14ac:dyDescent="0.25">
      <c r="A826567" s="242"/>
    </row>
    <row r="826568" spans="1:1" x14ac:dyDescent="0.25">
      <c r="A826568" s="242"/>
    </row>
    <row r="826569" spans="1:1" x14ac:dyDescent="0.25">
      <c r="A826569" s="242"/>
    </row>
    <row r="826570" spans="1:1" x14ac:dyDescent="0.25">
      <c r="A826570" s="242"/>
    </row>
    <row r="826571" spans="1:1" x14ac:dyDescent="0.25">
      <c r="A826571" s="242"/>
    </row>
    <row r="826572" spans="1:1" x14ac:dyDescent="0.25">
      <c r="A826572" s="242"/>
    </row>
    <row r="826573" spans="1:1" x14ac:dyDescent="0.25">
      <c r="A826573" s="242"/>
    </row>
    <row r="826574" spans="1:1" x14ac:dyDescent="0.25">
      <c r="A826574" s="242"/>
    </row>
    <row r="826575" spans="1:1" x14ac:dyDescent="0.25">
      <c r="A826575" s="242"/>
    </row>
    <row r="826576" spans="1:1" x14ac:dyDescent="0.25">
      <c r="A826576" s="242"/>
    </row>
    <row r="826577" spans="1:1" x14ac:dyDescent="0.25">
      <c r="A826577" s="242"/>
    </row>
    <row r="826578" spans="1:1" x14ac:dyDescent="0.25">
      <c r="A826578" s="242"/>
    </row>
    <row r="826579" spans="1:1" x14ac:dyDescent="0.25">
      <c r="A826579" s="242"/>
    </row>
    <row r="826580" spans="1:1" x14ac:dyDescent="0.25">
      <c r="A826580" s="242"/>
    </row>
    <row r="826581" spans="1:1" x14ac:dyDescent="0.25">
      <c r="A826581" s="242"/>
    </row>
    <row r="826582" spans="1:1" x14ac:dyDescent="0.25">
      <c r="A826582" s="242"/>
    </row>
    <row r="826583" spans="1:1" x14ac:dyDescent="0.25">
      <c r="A826583" s="242"/>
    </row>
    <row r="826584" spans="1:1" x14ac:dyDescent="0.25">
      <c r="A826584" s="242"/>
    </row>
    <row r="826585" spans="1:1" x14ac:dyDescent="0.25">
      <c r="A826585" s="242"/>
    </row>
    <row r="826586" spans="1:1" x14ac:dyDescent="0.25">
      <c r="A826586" s="242"/>
    </row>
    <row r="826587" spans="1:1" x14ac:dyDescent="0.25">
      <c r="A826587" s="242"/>
    </row>
    <row r="826588" spans="1:1" x14ac:dyDescent="0.25">
      <c r="A826588" s="242"/>
    </row>
    <row r="826589" spans="1:1" x14ac:dyDescent="0.25">
      <c r="A826589" s="242"/>
    </row>
    <row r="826590" spans="1:1" x14ac:dyDescent="0.25">
      <c r="A826590" s="242"/>
    </row>
    <row r="826591" spans="1:1" x14ac:dyDescent="0.25">
      <c r="A826591" s="242"/>
    </row>
    <row r="826592" spans="1:1" x14ac:dyDescent="0.25">
      <c r="A826592" s="242"/>
    </row>
    <row r="826593" spans="1:1" x14ac:dyDescent="0.25">
      <c r="A826593" s="242"/>
    </row>
    <row r="826594" spans="1:1" x14ac:dyDescent="0.25">
      <c r="A826594" s="242"/>
    </row>
    <row r="826595" spans="1:1" x14ac:dyDescent="0.25">
      <c r="A826595" s="242"/>
    </row>
    <row r="826596" spans="1:1" x14ac:dyDescent="0.25">
      <c r="A826596" s="242"/>
    </row>
    <row r="826597" spans="1:1" x14ac:dyDescent="0.25">
      <c r="A826597" s="242"/>
    </row>
    <row r="826598" spans="1:1" x14ac:dyDescent="0.25">
      <c r="A826598" s="242"/>
    </row>
    <row r="826599" spans="1:1" x14ac:dyDescent="0.25">
      <c r="A826599" s="242"/>
    </row>
    <row r="826600" spans="1:1" x14ac:dyDescent="0.25">
      <c r="A826600" s="242"/>
    </row>
    <row r="826601" spans="1:1" x14ac:dyDescent="0.25">
      <c r="A826601" s="242"/>
    </row>
    <row r="826602" spans="1:1" x14ac:dyDescent="0.25">
      <c r="A826602" s="242"/>
    </row>
    <row r="826603" spans="1:1" x14ac:dyDescent="0.25">
      <c r="A826603" s="242"/>
    </row>
    <row r="826604" spans="1:1" x14ac:dyDescent="0.25">
      <c r="A826604" s="242"/>
    </row>
    <row r="826605" spans="1:1" x14ac:dyDescent="0.25">
      <c r="A826605" s="242"/>
    </row>
    <row r="826606" spans="1:1" x14ac:dyDescent="0.25">
      <c r="A826606" s="242"/>
    </row>
    <row r="826607" spans="1:1" x14ac:dyDescent="0.25">
      <c r="A826607" s="242"/>
    </row>
    <row r="826608" spans="1:1" x14ac:dyDescent="0.25">
      <c r="A826608" s="242"/>
    </row>
    <row r="826609" spans="1:1" x14ac:dyDescent="0.25">
      <c r="A826609" s="242"/>
    </row>
    <row r="826610" spans="1:1" x14ac:dyDescent="0.25">
      <c r="A826610" s="242"/>
    </row>
    <row r="826611" spans="1:1" x14ac:dyDescent="0.25">
      <c r="A826611" s="242"/>
    </row>
    <row r="826612" spans="1:1" x14ac:dyDescent="0.25">
      <c r="A826612" s="242"/>
    </row>
    <row r="826613" spans="1:1" x14ac:dyDescent="0.25">
      <c r="A826613" s="242"/>
    </row>
    <row r="826614" spans="1:1" x14ac:dyDescent="0.25">
      <c r="A826614" s="242"/>
    </row>
    <row r="826615" spans="1:1" x14ac:dyDescent="0.25">
      <c r="A826615" s="242"/>
    </row>
    <row r="826616" spans="1:1" x14ac:dyDescent="0.25">
      <c r="A826616" s="242"/>
    </row>
    <row r="826617" spans="1:1" x14ac:dyDescent="0.25">
      <c r="A826617" s="242"/>
    </row>
    <row r="826618" spans="1:1" x14ac:dyDescent="0.25">
      <c r="A826618" s="242"/>
    </row>
    <row r="826619" spans="1:1" x14ac:dyDescent="0.25">
      <c r="A826619" s="242"/>
    </row>
    <row r="826620" spans="1:1" x14ac:dyDescent="0.25">
      <c r="A826620" s="242"/>
    </row>
    <row r="826621" spans="1:1" x14ac:dyDescent="0.25">
      <c r="A826621" s="242"/>
    </row>
    <row r="826622" spans="1:1" x14ac:dyDescent="0.25">
      <c r="A826622" s="242"/>
    </row>
    <row r="826623" spans="1:1" x14ac:dyDescent="0.25">
      <c r="A826623" s="242"/>
    </row>
    <row r="826624" spans="1:1" x14ac:dyDescent="0.25">
      <c r="A826624" s="242"/>
    </row>
    <row r="826625" spans="1:1" x14ac:dyDescent="0.25">
      <c r="A826625" s="242"/>
    </row>
    <row r="826626" spans="1:1" x14ac:dyDescent="0.25">
      <c r="A826626" s="242"/>
    </row>
    <row r="826627" spans="1:1" x14ac:dyDescent="0.25">
      <c r="A826627" s="242"/>
    </row>
    <row r="826628" spans="1:1" x14ac:dyDescent="0.25">
      <c r="A826628" s="242"/>
    </row>
    <row r="826629" spans="1:1" x14ac:dyDescent="0.25">
      <c r="A826629" s="242"/>
    </row>
    <row r="826630" spans="1:1" x14ac:dyDescent="0.25">
      <c r="A826630" s="242"/>
    </row>
    <row r="826631" spans="1:1" x14ac:dyDescent="0.25">
      <c r="A826631" s="242"/>
    </row>
    <row r="826632" spans="1:1" x14ac:dyDescent="0.25">
      <c r="A826632" s="242"/>
    </row>
    <row r="826633" spans="1:1" x14ac:dyDescent="0.25">
      <c r="A826633" s="242"/>
    </row>
    <row r="826634" spans="1:1" x14ac:dyDescent="0.25">
      <c r="A826634" s="242"/>
    </row>
    <row r="826635" spans="1:1" x14ac:dyDescent="0.25">
      <c r="A826635" s="242"/>
    </row>
    <row r="826636" spans="1:1" x14ac:dyDescent="0.25">
      <c r="A826636" s="242"/>
    </row>
    <row r="826637" spans="1:1" x14ac:dyDescent="0.25">
      <c r="A826637" s="242"/>
    </row>
    <row r="826638" spans="1:1" x14ac:dyDescent="0.25">
      <c r="A826638" s="242"/>
    </row>
    <row r="826639" spans="1:1" x14ac:dyDescent="0.25">
      <c r="A826639" s="242"/>
    </row>
    <row r="826640" spans="1:1" x14ac:dyDescent="0.25">
      <c r="A826640" s="242"/>
    </row>
    <row r="826641" spans="1:1" x14ac:dyDescent="0.25">
      <c r="A826641" s="242"/>
    </row>
    <row r="826642" spans="1:1" x14ac:dyDescent="0.25">
      <c r="A826642" s="242"/>
    </row>
    <row r="826643" spans="1:1" x14ac:dyDescent="0.25">
      <c r="A826643" s="242"/>
    </row>
    <row r="826644" spans="1:1" x14ac:dyDescent="0.25">
      <c r="A826644" s="242"/>
    </row>
    <row r="826645" spans="1:1" x14ac:dyDescent="0.25">
      <c r="A826645" s="242"/>
    </row>
    <row r="826646" spans="1:1" x14ac:dyDescent="0.25">
      <c r="A826646" s="242"/>
    </row>
    <row r="826647" spans="1:1" x14ac:dyDescent="0.25">
      <c r="A826647" s="242"/>
    </row>
    <row r="826648" spans="1:1" x14ac:dyDescent="0.25">
      <c r="A826648" s="242"/>
    </row>
    <row r="826649" spans="1:1" x14ac:dyDescent="0.25">
      <c r="A826649" s="242"/>
    </row>
    <row r="826650" spans="1:1" x14ac:dyDescent="0.25">
      <c r="A826650" s="242"/>
    </row>
    <row r="826651" spans="1:1" x14ac:dyDescent="0.25">
      <c r="A826651" s="242"/>
    </row>
    <row r="826652" spans="1:1" x14ac:dyDescent="0.25">
      <c r="A826652" s="242"/>
    </row>
    <row r="826653" spans="1:1" x14ac:dyDescent="0.25">
      <c r="A826653" s="242"/>
    </row>
    <row r="826654" spans="1:1" x14ac:dyDescent="0.25">
      <c r="A826654" s="242"/>
    </row>
    <row r="826655" spans="1:1" x14ac:dyDescent="0.25">
      <c r="A826655" s="242"/>
    </row>
    <row r="826656" spans="1:1" x14ac:dyDescent="0.25">
      <c r="A826656" s="242"/>
    </row>
    <row r="826657" spans="1:1" x14ac:dyDescent="0.25">
      <c r="A826657" s="242"/>
    </row>
    <row r="826658" spans="1:1" x14ac:dyDescent="0.25">
      <c r="A826658" s="242"/>
    </row>
    <row r="826659" spans="1:1" x14ac:dyDescent="0.25">
      <c r="A826659" s="242"/>
    </row>
    <row r="826660" spans="1:1" x14ac:dyDescent="0.25">
      <c r="A826660" s="242"/>
    </row>
    <row r="826661" spans="1:1" x14ac:dyDescent="0.25">
      <c r="A826661" s="242"/>
    </row>
    <row r="826662" spans="1:1" x14ac:dyDescent="0.25">
      <c r="A826662" s="242"/>
    </row>
    <row r="826663" spans="1:1" x14ac:dyDescent="0.25">
      <c r="A826663" s="242"/>
    </row>
    <row r="826664" spans="1:1" x14ac:dyDescent="0.25">
      <c r="A826664" s="242"/>
    </row>
    <row r="826665" spans="1:1" x14ac:dyDescent="0.25">
      <c r="A826665" s="242"/>
    </row>
    <row r="826666" spans="1:1" x14ac:dyDescent="0.25">
      <c r="A826666" s="242"/>
    </row>
    <row r="826667" spans="1:1" x14ac:dyDescent="0.25">
      <c r="A826667" s="242"/>
    </row>
    <row r="826668" spans="1:1" x14ac:dyDescent="0.25">
      <c r="A826668" s="242"/>
    </row>
    <row r="826669" spans="1:1" x14ac:dyDescent="0.25">
      <c r="A826669" s="242"/>
    </row>
    <row r="826670" spans="1:1" x14ac:dyDescent="0.25">
      <c r="A826670" s="242"/>
    </row>
    <row r="826671" spans="1:1" x14ac:dyDescent="0.25">
      <c r="A826671" s="242"/>
    </row>
    <row r="826672" spans="1:1" x14ac:dyDescent="0.25">
      <c r="A826672" s="242"/>
    </row>
    <row r="826673" spans="1:1" x14ac:dyDescent="0.25">
      <c r="A826673" s="242"/>
    </row>
    <row r="826674" spans="1:1" x14ac:dyDescent="0.25">
      <c r="A826674" s="242"/>
    </row>
    <row r="826675" spans="1:1" x14ac:dyDescent="0.25">
      <c r="A826675" s="242"/>
    </row>
    <row r="826676" spans="1:1" x14ac:dyDescent="0.25">
      <c r="A826676" s="242"/>
    </row>
    <row r="826677" spans="1:1" x14ac:dyDescent="0.25">
      <c r="A826677" s="242"/>
    </row>
    <row r="826678" spans="1:1" x14ac:dyDescent="0.25">
      <c r="A826678" s="242"/>
    </row>
    <row r="826679" spans="1:1" x14ac:dyDescent="0.25">
      <c r="A826679" s="242"/>
    </row>
    <row r="826680" spans="1:1" x14ac:dyDescent="0.25">
      <c r="A826680" s="242"/>
    </row>
    <row r="826681" spans="1:1" x14ac:dyDescent="0.25">
      <c r="A826681" s="242"/>
    </row>
    <row r="826682" spans="1:1" x14ac:dyDescent="0.25">
      <c r="A826682" s="242"/>
    </row>
    <row r="826683" spans="1:1" x14ac:dyDescent="0.25">
      <c r="A826683" s="242"/>
    </row>
    <row r="826684" spans="1:1" x14ac:dyDescent="0.25">
      <c r="A826684" s="242"/>
    </row>
    <row r="826685" spans="1:1" x14ac:dyDescent="0.25">
      <c r="A826685" s="242"/>
    </row>
    <row r="826686" spans="1:1" x14ac:dyDescent="0.25">
      <c r="A826686" s="242"/>
    </row>
    <row r="826687" spans="1:1" x14ac:dyDescent="0.25">
      <c r="A826687" s="242"/>
    </row>
    <row r="826688" spans="1:1" x14ac:dyDescent="0.25">
      <c r="A826688" s="242"/>
    </row>
    <row r="826689" spans="1:1" x14ac:dyDescent="0.25">
      <c r="A826689" s="242"/>
    </row>
    <row r="826690" spans="1:1" x14ac:dyDescent="0.25">
      <c r="A826690" s="242"/>
    </row>
    <row r="826691" spans="1:1" x14ac:dyDescent="0.25">
      <c r="A826691" s="242"/>
    </row>
    <row r="826692" spans="1:1" x14ac:dyDescent="0.25">
      <c r="A826692" s="242"/>
    </row>
    <row r="826693" spans="1:1" x14ac:dyDescent="0.25">
      <c r="A826693" s="242"/>
    </row>
    <row r="826694" spans="1:1" x14ac:dyDescent="0.25">
      <c r="A826694" s="242"/>
    </row>
    <row r="826695" spans="1:1" x14ac:dyDescent="0.25">
      <c r="A826695" s="242"/>
    </row>
    <row r="826696" spans="1:1" x14ac:dyDescent="0.25">
      <c r="A826696" s="242"/>
    </row>
    <row r="826697" spans="1:1" x14ac:dyDescent="0.25">
      <c r="A826697" s="242"/>
    </row>
    <row r="826698" spans="1:1" x14ac:dyDescent="0.25">
      <c r="A826698" s="242"/>
    </row>
    <row r="826699" spans="1:1" x14ac:dyDescent="0.25">
      <c r="A826699" s="242"/>
    </row>
    <row r="826700" spans="1:1" x14ac:dyDescent="0.25">
      <c r="A826700" s="242"/>
    </row>
    <row r="826701" spans="1:1" x14ac:dyDescent="0.25">
      <c r="A826701" s="242"/>
    </row>
    <row r="826702" spans="1:1" x14ac:dyDescent="0.25">
      <c r="A826702" s="242"/>
    </row>
    <row r="826703" spans="1:1" x14ac:dyDescent="0.25">
      <c r="A826703" s="242"/>
    </row>
    <row r="826704" spans="1:1" x14ac:dyDescent="0.25">
      <c r="A826704" s="242"/>
    </row>
    <row r="826705" spans="1:1" x14ac:dyDescent="0.25">
      <c r="A826705" s="242"/>
    </row>
    <row r="826706" spans="1:1" x14ac:dyDescent="0.25">
      <c r="A826706" s="242"/>
    </row>
    <row r="826707" spans="1:1" x14ac:dyDescent="0.25">
      <c r="A826707" s="242"/>
    </row>
    <row r="826708" spans="1:1" x14ac:dyDescent="0.25">
      <c r="A826708" s="242"/>
    </row>
    <row r="826709" spans="1:1" x14ac:dyDescent="0.25">
      <c r="A826709" s="242"/>
    </row>
    <row r="826710" spans="1:1" x14ac:dyDescent="0.25">
      <c r="A826710" s="242"/>
    </row>
    <row r="826711" spans="1:1" x14ac:dyDescent="0.25">
      <c r="A826711" s="242"/>
    </row>
    <row r="826712" spans="1:1" x14ac:dyDescent="0.25">
      <c r="A826712" s="242"/>
    </row>
    <row r="826713" spans="1:1" x14ac:dyDescent="0.25">
      <c r="A826713" s="242"/>
    </row>
    <row r="826714" spans="1:1" x14ac:dyDescent="0.25">
      <c r="A826714" s="242"/>
    </row>
    <row r="826715" spans="1:1" x14ac:dyDescent="0.25">
      <c r="A826715" s="242"/>
    </row>
    <row r="826716" spans="1:1" x14ac:dyDescent="0.25">
      <c r="A826716" s="242"/>
    </row>
    <row r="826717" spans="1:1" x14ac:dyDescent="0.25">
      <c r="A826717" s="242"/>
    </row>
    <row r="826718" spans="1:1" x14ac:dyDescent="0.25">
      <c r="A826718" s="242"/>
    </row>
    <row r="826719" spans="1:1" x14ac:dyDescent="0.25">
      <c r="A826719" s="242"/>
    </row>
    <row r="826720" spans="1:1" x14ac:dyDescent="0.25">
      <c r="A826720" s="242"/>
    </row>
    <row r="826721" spans="1:1" x14ac:dyDescent="0.25">
      <c r="A826721" s="242"/>
    </row>
    <row r="826722" spans="1:1" x14ac:dyDescent="0.25">
      <c r="A826722" s="242"/>
    </row>
    <row r="826723" spans="1:1" x14ac:dyDescent="0.25">
      <c r="A826723" s="242"/>
    </row>
    <row r="826724" spans="1:1" x14ac:dyDescent="0.25">
      <c r="A826724" s="242"/>
    </row>
    <row r="826725" spans="1:1" x14ac:dyDescent="0.25">
      <c r="A826725" s="242"/>
    </row>
    <row r="826726" spans="1:1" x14ac:dyDescent="0.25">
      <c r="A826726" s="242"/>
    </row>
    <row r="826727" spans="1:1" x14ac:dyDescent="0.25">
      <c r="A826727" s="242"/>
    </row>
    <row r="826728" spans="1:1" x14ac:dyDescent="0.25">
      <c r="A826728" s="242"/>
    </row>
    <row r="826729" spans="1:1" x14ac:dyDescent="0.25">
      <c r="A826729" s="242"/>
    </row>
    <row r="826730" spans="1:1" x14ac:dyDescent="0.25">
      <c r="A826730" s="242"/>
    </row>
    <row r="826731" spans="1:1" x14ac:dyDescent="0.25">
      <c r="A826731" s="242"/>
    </row>
    <row r="826732" spans="1:1" x14ac:dyDescent="0.25">
      <c r="A826732" s="242"/>
    </row>
    <row r="826733" spans="1:1" x14ac:dyDescent="0.25">
      <c r="A826733" s="242"/>
    </row>
    <row r="826734" spans="1:1" x14ac:dyDescent="0.25">
      <c r="A826734" s="242"/>
    </row>
    <row r="826735" spans="1:1" x14ac:dyDescent="0.25">
      <c r="A826735" s="242"/>
    </row>
    <row r="826736" spans="1:1" x14ac:dyDescent="0.25">
      <c r="A826736" s="242"/>
    </row>
    <row r="826737" spans="1:1" x14ac:dyDescent="0.25">
      <c r="A826737" s="242"/>
    </row>
    <row r="826738" spans="1:1" x14ac:dyDescent="0.25">
      <c r="A826738" s="242"/>
    </row>
    <row r="826739" spans="1:1" x14ac:dyDescent="0.25">
      <c r="A826739" s="242"/>
    </row>
    <row r="826740" spans="1:1" x14ac:dyDescent="0.25">
      <c r="A826740" s="242"/>
    </row>
    <row r="826741" spans="1:1" x14ac:dyDescent="0.25">
      <c r="A826741" s="242"/>
    </row>
    <row r="826742" spans="1:1" x14ac:dyDescent="0.25">
      <c r="A826742" s="242"/>
    </row>
    <row r="826743" spans="1:1" x14ac:dyDescent="0.25">
      <c r="A826743" s="242"/>
    </row>
    <row r="826744" spans="1:1" x14ac:dyDescent="0.25">
      <c r="A826744" s="242"/>
    </row>
    <row r="826745" spans="1:1" x14ac:dyDescent="0.25">
      <c r="A826745" s="242"/>
    </row>
    <row r="826746" spans="1:1" x14ac:dyDescent="0.25">
      <c r="A826746" s="242"/>
    </row>
    <row r="826747" spans="1:1" x14ac:dyDescent="0.25">
      <c r="A826747" s="242"/>
    </row>
    <row r="826748" spans="1:1" x14ac:dyDescent="0.25">
      <c r="A826748" s="242"/>
    </row>
    <row r="826749" spans="1:1" x14ac:dyDescent="0.25">
      <c r="A826749" s="242"/>
    </row>
    <row r="826750" spans="1:1" x14ac:dyDescent="0.25">
      <c r="A826750" s="242"/>
    </row>
    <row r="826751" spans="1:1" x14ac:dyDescent="0.25">
      <c r="A826751" s="242"/>
    </row>
    <row r="826752" spans="1:1" x14ac:dyDescent="0.25">
      <c r="A826752" s="242"/>
    </row>
    <row r="826753" spans="1:1" x14ac:dyDescent="0.25">
      <c r="A826753" s="242"/>
    </row>
    <row r="826754" spans="1:1" x14ac:dyDescent="0.25">
      <c r="A826754" s="242"/>
    </row>
    <row r="826755" spans="1:1" x14ac:dyDescent="0.25">
      <c r="A826755" s="242"/>
    </row>
    <row r="826756" spans="1:1" x14ac:dyDescent="0.25">
      <c r="A826756" s="242"/>
    </row>
    <row r="826757" spans="1:1" x14ac:dyDescent="0.25">
      <c r="A826757" s="242"/>
    </row>
    <row r="826758" spans="1:1" x14ac:dyDescent="0.25">
      <c r="A826758" s="242"/>
    </row>
    <row r="826759" spans="1:1" x14ac:dyDescent="0.25">
      <c r="A826759" s="242"/>
    </row>
    <row r="826760" spans="1:1" x14ac:dyDescent="0.25">
      <c r="A826760" s="242"/>
    </row>
    <row r="826761" spans="1:1" x14ac:dyDescent="0.25">
      <c r="A826761" s="242"/>
    </row>
    <row r="826762" spans="1:1" x14ac:dyDescent="0.25">
      <c r="A826762" s="242"/>
    </row>
    <row r="826763" spans="1:1" x14ac:dyDescent="0.25">
      <c r="A826763" s="242"/>
    </row>
    <row r="826764" spans="1:1" x14ac:dyDescent="0.25">
      <c r="A826764" s="242"/>
    </row>
    <row r="826765" spans="1:1" x14ac:dyDescent="0.25">
      <c r="A826765" s="242"/>
    </row>
    <row r="826766" spans="1:1" x14ac:dyDescent="0.25">
      <c r="A826766" s="242"/>
    </row>
    <row r="826767" spans="1:1" x14ac:dyDescent="0.25">
      <c r="A826767" s="242"/>
    </row>
    <row r="826768" spans="1:1" x14ac:dyDescent="0.25">
      <c r="A826768" s="242"/>
    </row>
    <row r="826769" spans="1:1" x14ac:dyDescent="0.25">
      <c r="A826769" s="242"/>
    </row>
    <row r="826770" spans="1:1" x14ac:dyDescent="0.25">
      <c r="A826770" s="242"/>
    </row>
    <row r="826771" spans="1:1" x14ac:dyDescent="0.25">
      <c r="A826771" s="242"/>
    </row>
    <row r="826772" spans="1:1" x14ac:dyDescent="0.25">
      <c r="A826772" s="242"/>
    </row>
    <row r="826773" spans="1:1" x14ac:dyDescent="0.25">
      <c r="A826773" s="242"/>
    </row>
    <row r="826774" spans="1:1" x14ac:dyDescent="0.25">
      <c r="A826774" s="242"/>
    </row>
    <row r="826775" spans="1:1" x14ac:dyDescent="0.25">
      <c r="A826775" s="242"/>
    </row>
    <row r="826776" spans="1:1" x14ac:dyDescent="0.25">
      <c r="A826776" s="242"/>
    </row>
    <row r="826777" spans="1:1" x14ac:dyDescent="0.25">
      <c r="A826777" s="242"/>
    </row>
    <row r="826778" spans="1:1" x14ac:dyDescent="0.25">
      <c r="A826778" s="242"/>
    </row>
    <row r="826779" spans="1:1" x14ac:dyDescent="0.25">
      <c r="A826779" s="242"/>
    </row>
    <row r="826780" spans="1:1" x14ac:dyDescent="0.25">
      <c r="A826780" s="242"/>
    </row>
    <row r="826781" spans="1:1" x14ac:dyDescent="0.25">
      <c r="A826781" s="242"/>
    </row>
    <row r="826782" spans="1:1" x14ac:dyDescent="0.25">
      <c r="A826782" s="242"/>
    </row>
    <row r="826783" spans="1:1" x14ac:dyDescent="0.25">
      <c r="A826783" s="242"/>
    </row>
    <row r="826784" spans="1:1" x14ac:dyDescent="0.25">
      <c r="A826784" s="242"/>
    </row>
    <row r="826785" spans="1:1" x14ac:dyDescent="0.25">
      <c r="A826785" s="242"/>
    </row>
    <row r="826786" spans="1:1" x14ac:dyDescent="0.25">
      <c r="A826786" s="242"/>
    </row>
    <row r="826787" spans="1:1" x14ac:dyDescent="0.25">
      <c r="A826787" s="242"/>
    </row>
    <row r="826788" spans="1:1" x14ac:dyDescent="0.25">
      <c r="A826788" s="242"/>
    </row>
    <row r="826789" spans="1:1" x14ac:dyDescent="0.25">
      <c r="A826789" s="242"/>
    </row>
    <row r="826790" spans="1:1" x14ac:dyDescent="0.25">
      <c r="A826790" s="242"/>
    </row>
    <row r="826791" spans="1:1" x14ac:dyDescent="0.25">
      <c r="A826791" s="242"/>
    </row>
    <row r="826792" spans="1:1" x14ac:dyDescent="0.25">
      <c r="A826792" s="242"/>
    </row>
    <row r="826793" spans="1:1" x14ac:dyDescent="0.25">
      <c r="A826793" s="242"/>
    </row>
    <row r="826794" spans="1:1" x14ac:dyDescent="0.25">
      <c r="A826794" s="242"/>
    </row>
    <row r="826795" spans="1:1" x14ac:dyDescent="0.25">
      <c r="A826795" s="242"/>
    </row>
    <row r="826796" spans="1:1" x14ac:dyDescent="0.25">
      <c r="A826796" s="242"/>
    </row>
    <row r="826797" spans="1:1" x14ac:dyDescent="0.25">
      <c r="A826797" s="242"/>
    </row>
    <row r="826798" spans="1:1" x14ac:dyDescent="0.25">
      <c r="A826798" s="242"/>
    </row>
    <row r="826799" spans="1:1" x14ac:dyDescent="0.25">
      <c r="A826799" s="242"/>
    </row>
    <row r="826800" spans="1:1" x14ac:dyDescent="0.25">
      <c r="A826800" s="242"/>
    </row>
    <row r="826801" spans="1:1" x14ac:dyDescent="0.25">
      <c r="A826801" s="242"/>
    </row>
    <row r="826802" spans="1:1" x14ac:dyDescent="0.25">
      <c r="A826802" s="242"/>
    </row>
    <row r="826803" spans="1:1" x14ac:dyDescent="0.25">
      <c r="A826803" s="242"/>
    </row>
    <row r="826804" spans="1:1" x14ac:dyDescent="0.25">
      <c r="A826804" s="242"/>
    </row>
    <row r="826805" spans="1:1" x14ac:dyDescent="0.25">
      <c r="A826805" s="242"/>
    </row>
    <row r="826806" spans="1:1" x14ac:dyDescent="0.25">
      <c r="A826806" s="242"/>
    </row>
    <row r="826807" spans="1:1" x14ac:dyDescent="0.25">
      <c r="A826807" s="242"/>
    </row>
    <row r="826808" spans="1:1" x14ac:dyDescent="0.25">
      <c r="A826808" s="242"/>
    </row>
    <row r="826809" spans="1:1" x14ac:dyDescent="0.25">
      <c r="A826809" s="242"/>
    </row>
    <row r="826810" spans="1:1" x14ac:dyDescent="0.25">
      <c r="A826810" s="242"/>
    </row>
    <row r="826811" spans="1:1" x14ac:dyDescent="0.25">
      <c r="A826811" s="242"/>
    </row>
    <row r="826812" spans="1:1" x14ac:dyDescent="0.25">
      <c r="A826812" s="242"/>
    </row>
    <row r="826813" spans="1:1" x14ac:dyDescent="0.25">
      <c r="A826813" s="242"/>
    </row>
    <row r="826814" spans="1:1" x14ac:dyDescent="0.25">
      <c r="A826814" s="242"/>
    </row>
    <row r="826815" spans="1:1" x14ac:dyDescent="0.25">
      <c r="A826815" s="242"/>
    </row>
    <row r="826816" spans="1:1" x14ac:dyDescent="0.25">
      <c r="A826816" s="242"/>
    </row>
    <row r="826817" spans="1:1" x14ac:dyDescent="0.25">
      <c r="A826817" s="242"/>
    </row>
    <row r="826818" spans="1:1" x14ac:dyDescent="0.25">
      <c r="A826818" s="242"/>
    </row>
    <row r="826819" spans="1:1" x14ac:dyDescent="0.25">
      <c r="A826819" s="242"/>
    </row>
    <row r="826820" spans="1:1" x14ac:dyDescent="0.25">
      <c r="A826820" s="242"/>
    </row>
    <row r="826821" spans="1:1" x14ac:dyDescent="0.25">
      <c r="A826821" s="242"/>
    </row>
    <row r="826822" spans="1:1" x14ac:dyDescent="0.25">
      <c r="A826822" s="242"/>
    </row>
    <row r="826823" spans="1:1" x14ac:dyDescent="0.25">
      <c r="A826823" s="242"/>
    </row>
    <row r="826824" spans="1:1" x14ac:dyDescent="0.25">
      <c r="A826824" s="242"/>
    </row>
    <row r="826825" spans="1:1" x14ac:dyDescent="0.25">
      <c r="A826825" s="242"/>
    </row>
    <row r="826826" spans="1:1" x14ac:dyDescent="0.25">
      <c r="A826826" s="242"/>
    </row>
    <row r="826827" spans="1:1" x14ac:dyDescent="0.25">
      <c r="A826827" s="242"/>
    </row>
    <row r="826828" spans="1:1" x14ac:dyDescent="0.25">
      <c r="A826828" s="242"/>
    </row>
    <row r="826829" spans="1:1" x14ac:dyDescent="0.25">
      <c r="A826829" s="242"/>
    </row>
    <row r="826830" spans="1:1" x14ac:dyDescent="0.25">
      <c r="A826830" s="242"/>
    </row>
    <row r="826831" spans="1:1" x14ac:dyDescent="0.25">
      <c r="A826831" s="242"/>
    </row>
    <row r="826832" spans="1:1" x14ac:dyDescent="0.25">
      <c r="A826832" s="242"/>
    </row>
    <row r="826833" spans="1:1" x14ac:dyDescent="0.25">
      <c r="A826833" s="242"/>
    </row>
    <row r="826834" spans="1:1" x14ac:dyDescent="0.25">
      <c r="A826834" s="242"/>
    </row>
    <row r="826835" spans="1:1" x14ac:dyDescent="0.25">
      <c r="A826835" s="242"/>
    </row>
    <row r="826836" spans="1:1" x14ac:dyDescent="0.25">
      <c r="A826836" s="242"/>
    </row>
    <row r="826837" spans="1:1" x14ac:dyDescent="0.25">
      <c r="A826837" s="242"/>
    </row>
    <row r="826838" spans="1:1" x14ac:dyDescent="0.25">
      <c r="A826838" s="242"/>
    </row>
    <row r="826839" spans="1:1" x14ac:dyDescent="0.25">
      <c r="A826839" s="242"/>
    </row>
    <row r="826840" spans="1:1" x14ac:dyDescent="0.25">
      <c r="A826840" s="242"/>
    </row>
    <row r="826841" spans="1:1" x14ac:dyDescent="0.25">
      <c r="A826841" s="242"/>
    </row>
    <row r="826842" spans="1:1" x14ac:dyDescent="0.25">
      <c r="A826842" s="242"/>
    </row>
    <row r="826843" spans="1:1" x14ac:dyDescent="0.25">
      <c r="A826843" s="242"/>
    </row>
    <row r="826844" spans="1:1" x14ac:dyDescent="0.25">
      <c r="A826844" s="242"/>
    </row>
    <row r="826845" spans="1:1" x14ac:dyDescent="0.25">
      <c r="A826845" s="242"/>
    </row>
    <row r="826846" spans="1:1" x14ac:dyDescent="0.25">
      <c r="A826846" s="242"/>
    </row>
    <row r="826847" spans="1:1" x14ac:dyDescent="0.25">
      <c r="A826847" s="242"/>
    </row>
    <row r="826848" spans="1:1" x14ac:dyDescent="0.25">
      <c r="A826848" s="242"/>
    </row>
    <row r="826849" spans="1:1" x14ac:dyDescent="0.25">
      <c r="A826849" s="242"/>
    </row>
    <row r="826850" spans="1:1" x14ac:dyDescent="0.25">
      <c r="A826850" s="242"/>
    </row>
    <row r="826851" spans="1:1" x14ac:dyDescent="0.25">
      <c r="A826851" s="242"/>
    </row>
    <row r="826852" spans="1:1" x14ac:dyDescent="0.25">
      <c r="A826852" s="242"/>
    </row>
    <row r="826853" spans="1:1" x14ac:dyDescent="0.25">
      <c r="A826853" s="242"/>
    </row>
    <row r="826854" spans="1:1" x14ac:dyDescent="0.25">
      <c r="A826854" s="242"/>
    </row>
    <row r="826855" spans="1:1" x14ac:dyDescent="0.25">
      <c r="A826855" s="242"/>
    </row>
    <row r="826856" spans="1:1" x14ac:dyDescent="0.25">
      <c r="A826856" s="242"/>
    </row>
    <row r="826857" spans="1:1" x14ac:dyDescent="0.25">
      <c r="A826857" s="242"/>
    </row>
    <row r="826858" spans="1:1" x14ac:dyDescent="0.25">
      <c r="A826858" s="242"/>
    </row>
    <row r="826859" spans="1:1" x14ac:dyDescent="0.25">
      <c r="A826859" s="242"/>
    </row>
    <row r="826860" spans="1:1" x14ac:dyDescent="0.25">
      <c r="A826860" s="242"/>
    </row>
    <row r="826861" spans="1:1" x14ac:dyDescent="0.25">
      <c r="A826861" s="242"/>
    </row>
    <row r="826862" spans="1:1" x14ac:dyDescent="0.25">
      <c r="A826862" s="242"/>
    </row>
    <row r="826863" spans="1:1" x14ac:dyDescent="0.25">
      <c r="A826863" s="242"/>
    </row>
    <row r="826864" spans="1:1" x14ac:dyDescent="0.25">
      <c r="A826864" s="242"/>
    </row>
    <row r="826865" spans="1:1" x14ac:dyDescent="0.25">
      <c r="A826865" s="242"/>
    </row>
    <row r="826866" spans="1:1" x14ac:dyDescent="0.25">
      <c r="A826866" s="242"/>
    </row>
    <row r="826867" spans="1:1" x14ac:dyDescent="0.25">
      <c r="A826867" s="242"/>
    </row>
    <row r="826868" spans="1:1" x14ac:dyDescent="0.25">
      <c r="A826868" s="242"/>
    </row>
    <row r="826869" spans="1:1" x14ac:dyDescent="0.25">
      <c r="A826869" s="242"/>
    </row>
    <row r="826870" spans="1:1" x14ac:dyDescent="0.25">
      <c r="A826870" s="242"/>
    </row>
    <row r="826871" spans="1:1" x14ac:dyDescent="0.25">
      <c r="A826871" s="242"/>
    </row>
    <row r="826872" spans="1:1" x14ac:dyDescent="0.25">
      <c r="A826872" s="242"/>
    </row>
    <row r="826873" spans="1:1" x14ac:dyDescent="0.25">
      <c r="A826873" s="242"/>
    </row>
    <row r="826874" spans="1:1" x14ac:dyDescent="0.25">
      <c r="A826874" s="242"/>
    </row>
    <row r="826875" spans="1:1" x14ac:dyDescent="0.25">
      <c r="A826875" s="242"/>
    </row>
    <row r="826876" spans="1:1" x14ac:dyDescent="0.25">
      <c r="A826876" s="242"/>
    </row>
    <row r="826877" spans="1:1" x14ac:dyDescent="0.25">
      <c r="A826877" s="242"/>
    </row>
    <row r="826878" spans="1:1" x14ac:dyDescent="0.25">
      <c r="A826878" s="242"/>
    </row>
    <row r="826879" spans="1:1" x14ac:dyDescent="0.25">
      <c r="A826879" s="242"/>
    </row>
    <row r="826880" spans="1:1" x14ac:dyDescent="0.25">
      <c r="A826880" s="242"/>
    </row>
    <row r="826881" spans="1:1" x14ac:dyDescent="0.25">
      <c r="A826881" s="242"/>
    </row>
    <row r="826882" spans="1:1" x14ac:dyDescent="0.25">
      <c r="A826882" s="242"/>
    </row>
    <row r="826883" spans="1:1" x14ac:dyDescent="0.25">
      <c r="A826883" s="242"/>
    </row>
    <row r="826884" spans="1:1" x14ac:dyDescent="0.25">
      <c r="A826884" s="242"/>
    </row>
    <row r="826885" spans="1:1" x14ac:dyDescent="0.25">
      <c r="A826885" s="242"/>
    </row>
    <row r="826886" spans="1:1" x14ac:dyDescent="0.25">
      <c r="A826886" s="242"/>
    </row>
    <row r="826887" spans="1:1" x14ac:dyDescent="0.25">
      <c r="A826887" s="242"/>
    </row>
    <row r="826888" spans="1:1" x14ac:dyDescent="0.25">
      <c r="A826888" s="242"/>
    </row>
    <row r="826889" spans="1:1" x14ac:dyDescent="0.25">
      <c r="A826889" s="242"/>
    </row>
    <row r="826890" spans="1:1" x14ac:dyDescent="0.25">
      <c r="A826890" s="242"/>
    </row>
    <row r="826891" spans="1:1" x14ac:dyDescent="0.25">
      <c r="A826891" s="242"/>
    </row>
    <row r="826892" spans="1:1" x14ac:dyDescent="0.25">
      <c r="A826892" s="242"/>
    </row>
    <row r="826893" spans="1:1" x14ac:dyDescent="0.25">
      <c r="A826893" s="242"/>
    </row>
    <row r="826894" spans="1:1" x14ac:dyDescent="0.25">
      <c r="A826894" s="242"/>
    </row>
    <row r="826895" spans="1:1" x14ac:dyDescent="0.25">
      <c r="A826895" s="242"/>
    </row>
    <row r="826896" spans="1:1" x14ac:dyDescent="0.25">
      <c r="A826896" s="242"/>
    </row>
    <row r="826897" spans="1:1" x14ac:dyDescent="0.25">
      <c r="A826897" s="242"/>
    </row>
    <row r="826898" spans="1:1" x14ac:dyDescent="0.25">
      <c r="A826898" s="242"/>
    </row>
    <row r="826899" spans="1:1" x14ac:dyDescent="0.25">
      <c r="A826899" s="242"/>
    </row>
    <row r="826900" spans="1:1" x14ac:dyDescent="0.25">
      <c r="A826900" s="242"/>
    </row>
    <row r="826901" spans="1:1" x14ac:dyDescent="0.25">
      <c r="A826901" s="242"/>
    </row>
    <row r="826902" spans="1:1" x14ac:dyDescent="0.25">
      <c r="A826902" s="242"/>
    </row>
    <row r="826903" spans="1:1" x14ac:dyDescent="0.25">
      <c r="A826903" s="242"/>
    </row>
    <row r="826904" spans="1:1" x14ac:dyDescent="0.25">
      <c r="A826904" s="242"/>
    </row>
    <row r="826905" spans="1:1" x14ac:dyDescent="0.25">
      <c r="A826905" s="242"/>
    </row>
    <row r="826906" spans="1:1" x14ac:dyDescent="0.25">
      <c r="A826906" s="242"/>
    </row>
    <row r="826907" spans="1:1" x14ac:dyDescent="0.25">
      <c r="A826907" s="242"/>
    </row>
    <row r="826908" spans="1:1" x14ac:dyDescent="0.25">
      <c r="A826908" s="242"/>
    </row>
    <row r="826909" spans="1:1" x14ac:dyDescent="0.25">
      <c r="A826909" s="242"/>
    </row>
    <row r="826910" spans="1:1" x14ac:dyDescent="0.25">
      <c r="A826910" s="242"/>
    </row>
    <row r="826911" spans="1:1" x14ac:dyDescent="0.25">
      <c r="A826911" s="242"/>
    </row>
    <row r="826912" spans="1:1" x14ac:dyDescent="0.25">
      <c r="A826912" s="242"/>
    </row>
    <row r="826913" spans="1:1" x14ac:dyDescent="0.25">
      <c r="A826913" s="242"/>
    </row>
    <row r="826914" spans="1:1" x14ac:dyDescent="0.25">
      <c r="A826914" s="242"/>
    </row>
    <row r="826915" spans="1:1" x14ac:dyDescent="0.25">
      <c r="A826915" s="242"/>
    </row>
    <row r="826916" spans="1:1" x14ac:dyDescent="0.25">
      <c r="A826916" s="242"/>
    </row>
    <row r="826917" spans="1:1" x14ac:dyDescent="0.25">
      <c r="A826917" s="242"/>
    </row>
    <row r="826918" spans="1:1" x14ac:dyDescent="0.25">
      <c r="A826918" s="242"/>
    </row>
    <row r="826919" spans="1:1" x14ac:dyDescent="0.25">
      <c r="A826919" s="242"/>
    </row>
    <row r="826920" spans="1:1" x14ac:dyDescent="0.25">
      <c r="A826920" s="242"/>
    </row>
    <row r="826921" spans="1:1" x14ac:dyDescent="0.25">
      <c r="A826921" s="242"/>
    </row>
    <row r="826922" spans="1:1" x14ac:dyDescent="0.25">
      <c r="A826922" s="242"/>
    </row>
    <row r="826923" spans="1:1" x14ac:dyDescent="0.25">
      <c r="A826923" s="242"/>
    </row>
    <row r="826924" spans="1:1" x14ac:dyDescent="0.25">
      <c r="A826924" s="242"/>
    </row>
    <row r="826925" spans="1:1" x14ac:dyDescent="0.25">
      <c r="A826925" s="242"/>
    </row>
    <row r="826926" spans="1:1" x14ac:dyDescent="0.25">
      <c r="A826926" s="242"/>
    </row>
    <row r="826927" spans="1:1" x14ac:dyDescent="0.25">
      <c r="A826927" s="242"/>
    </row>
    <row r="826928" spans="1:1" x14ac:dyDescent="0.25">
      <c r="A826928" s="242"/>
    </row>
    <row r="826929" spans="1:1" x14ac:dyDescent="0.25">
      <c r="A826929" s="242"/>
    </row>
    <row r="826930" spans="1:1" x14ac:dyDescent="0.25">
      <c r="A826930" s="242"/>
    </row>
    <row r="826931" spans="1:1" x14ac:dyDescent="0.25">
      <c r="A826931" s="242"/>
    </row>
    <row r="826932" spans="1:1" x14ac:dyDescent="0.25">
      <c r="A826932" s="242"/>
    </row>
    <row r="826933" spans="1:1" x14ac:dyDescent="0.25">
      <c r="A826933" s="242"/>
    </row>
    <row r="826934" spans="1:1" x14ac:dyDescent="0.25">
      <c r="A826934" s="242"/>
    </row>
    <row r="826935" spans="1:1" x14ac:dyDescent="0.25">
      <c r="A826935" s="242"/>
    </row>
    <row r="826936" spans="1:1" x14ac:dyDescent="0.25">
      <c r="A826936" s="242"/>
    </row>
    <row r="826937" spans="1:1" x14ac:dyDescent="0.25">
      <c r="A826937" s="242"/>
    </row>
    <row r="826938" spans="1:1" x14ac:dyDescent="0.25">
      <c r="A826938" s="242"/>
    </row>
    <row r="826939" spans="1:1" x14ac:dyDescent="0.25">
      <c r="A826939" s="242"/>
    </row>
    <row r="826940" spans="1:1" x14ac:dyDescent="0.25">
      <c r="A826940" s="242"/>
    </row>
    <row r="826941" spans="1:1" x14ac:dyDescent="0.25">
      <c r="A826941" s="242"/>
    </row>
    <row r="826942" spans="1:1" x14ac:dyDescent="0.25">
      <c r="A826942" s="242"/>
    </row>
    <row r="826943" spans="1:1" x14ac:dyDescent="0.25">
      <c r="A826943" s="242"/>
    </row>
    <row r="826944" spans="1:1" x14ac:dyDescent="0.25">
      <c r="A826944" s="242"/>
    </row>
    <row r="826945" spans="1:1" x14ac:dyDescent="0.25">
      <c r="A826945" s="242"/>
    </row>
    <row r="826946" spans="1:1" x14ac:dyDescent="0.25">
      <c r="A826946" s="242"/>
    </row>
    <row r="826947" spans="1:1" x14ac:dyDescent="0.25">
      <c r="A826947" s="242"/>
    </row>
    <row r="826948" spans="1:1" x14ac:dyDescent="0.25">
      <c r="A826948" s="242"/>
    </row>
    <row r="826949" spans="1:1" x14ac:dyDescent="0.25">
      <c r="A826949" s="242"/>
    </row>
    <row r="826950" spans="1:1" x14ac:dyDescent="0.25">
      <c r="A826950" s="242"/>
    </row>
    <row r="826951" spans="1:1" x14ac:dyDescent="0.25">
      <c r="A826951" s="242"/>
    </row>
    <row r="826952" spans="1:1" x14ac:dyDescent="0.25">
      <c r="A826952" s="242"/>
    </row>
    <row r="826953" spans="1:1" x14ac:dyDescent="0.25">
      <c r="A826953" s="242"/>
    </row>
    <row r="826954" spans="1:1" x14ac:dyDescent="0.25">
      <c r="A826954" s="242"/>
    </row>
    <row r="826955" spans="1:1" x14ac:dyDescent="0.25">
      <c r="A826955" s="242"/>
    </row>
    <row r="826956" spans="1:1" x14ac:dyDescent="0.25">
      <c r="A826956" s="242"/>
    </row>
    <row r="826957" spans="1:1" x14ac:dyDescent="0.25">
      <c r="A826957" s="242"/>
    </row>
    <row r="826958" spans="1:1" x14ac:dyDescent="0.25">
      <c r="A826958" s="242"/>
    </row>
    <row r="826959" spans="1:1" x14ac:dyDescent="0.25">
      <c r="A826959" s="242"/>
    </row>
    <row r="826960" spans="1:1" x14ac:dyDescent="0.25">
      <c r="A826960" s="242"/>
    </row>
    <row r="826961" spans="1:1" x14ac:dyDescent="0.25">
      <c r="A826961" s="242"/>
    </row>
    <row r="826962" spans="1:1" x14ac:dyDescent="0.25">
      <c r="A826962" s="242"/>
    </row>
    <row r="826963" spans="1:1" x14ac:dyDescent="0.25">
      <c r="A826963" s="242"/>
    </row>
    <row r="826964" spans="1:1" x14ac:dyDescent="0.25">
      <c r="A826964" s="242"/>
    </row>
    <row r="826965" spans="1:1" x14ac:dyDescent="0.25">
      <c r="A826965" s="242"/>
    </row>
    <row r="826966" spans="1:1" x14ac:dyDescent="0.25">
      <c r="A826966" s="242"/>
    </row>
    <row r="826967" spans="1:1" x14ac:dyDescent="0.25">
      <c r="A826967" s="242"/>
    </row>
    <row r="826968" spans="1:1" x14ac:dyDescent="0.25">
      <c r="A826968" s="242"/>
    </row>
    <row r="826969" spans="1:1" x14ac:dyDescent="0.25">
      <c r="A826969" s="242"/>
    </row>
    <row r="826970" spans="1:1" x14ac:dyDescent="0.25">
      <c r="A826970" s="242"/>
    </row>
    <row r="826971" spans="1:1" x14ac:dyDescent="0.25">
      <c r="A826971" s="242"/>
    </row>
    <row r="826972" spans="1:1" x14ac:dyDescent="0.25">
      <c r="A826972" s="242"/>
    </row>
    <row r="826973" spans="1:1" x14ac:dyDescent="0.25">
      <c r="A826973" s="242"/>
    </row>
    <row r="826974" spans="1:1" x14ac:dyDescent="0.25">
      <c r="A826974" s="242"/>
    </row>
    <row r="826975" spans="1:1" x14ac:dyDescent="0.25">
      <c r="A826975" s="242"/>
    </row>
    <row r="826976" spans="1:1" x14ac:dyDescent="0.25">
      <c r="A826976" s="242"/>
    </row>
    <row r="826977" spans="1:1" x14ac:dyDescent="0.25">
      <c r="A826977" s="242"/>
    </row>
    <row r="826978" spans="1:1" x14ac:dyDescent="0.25">
      <c r="A826978" s="242"/>
    </row>
    <row r="826979" spans="1:1" x14ac:dyDescent="0.25">
      <c r="A826979" s="242"/>
    </row>
    <row r="826980" spans="1:1" x14ac:dyDescent="0.25">
      <c r="A826980" s="242"/>
    </row>
    <row r="826981" spans="1:1" x14ac:dyDescent="0.25">
      <c r="A826981" s="242"/>
    </row>
    <row r="826982" spans="1:1" x14ac:dyDescent="0.25">
      <c r="A826982" s="242"/>
    </row>
    <row r="826983" spans="1:1" x14ac:dyDescent="0.25">
      <c r="A826983" s="242"/>
    </row>
    <row r="826984" spans="1:1" x14ac:dyDescent="0.25">
      <c r="A826984" s="242"/>
    </row>
    <row r="826985" spans="1:1" x14ac:dyDescent="0.25">
      <c r="A826985" s="242"/>
    </row>
    <row r="826986" spans="1:1" x14ac:dyDescent="0.25">
      <c r="A826986" s="242"/>
    </row>
    <row r="826987" spans="1:1" x14ac:dyDescent="0.25">
      <c r="A826987" s="242"/>
    </row>
    <row r="826988" spans="1:1" x14ac:dyDescent="0.25">
      <c r="A826988" s="242"/>
    </row>
    <row r="826989" spans="1:1" x14ac:dyDescent="0.25">
      <c r="A826989" s="242"/>
    </row>
    <row r="826990" spans="1:1" x14ac:dyDescent="0.25">
      <c r="A826990" s="242"/>
    </row>
    <row r="826991" spans="1:1" x14ac:dyDescent="0.25">
      <c r="A826991" s="242"/>
    </row>
    <row r="826992" spans="1:1" x14ac:dyDescent="0.25">
      <c r="A826992" s="242"/>
    </row>
    <row r="826993" spans="1:1" x14ac:dyDescent="0.25">
      <c r="A826993" s="242"/>
    </row>
    <row r="826994" spans="1:1" x14ac:dyDescent="0.25">
      <c r="A826994" s="242"/>
    </row>
    <row r="826995" spans="1:1" x14ac:dyDescent="0.25">
      <c r="A826995" s="242"/>
    </row>
    <row r="826996" spans="1:1" x14ac:dyDescent="0.25">
      <c r="A826996" s="242"/>
    </row>
    <row r="826997" spans="1:1" x14ac:dyDescent="0.25">
      <c r="A826997" s="242"/>
    </row>
    <row r="826998" spans="1:1" x14ac:dyDescent="0.25">
      <c r="A826998" s="242"/>
    </row>
    <row r="826999" spans="1:1" x14ac:dyDescent="0.25">
      <c r="A826999" s="242"/>
    </row>
    <row r="827000" spans="1:1" x14ac:dyDescent="0.25">
      <c r="A827000" s="242"/>
    </row>
    <row r="827001" spans="1:1" x14ac:dyDescent="0.25">
      <c r="A827001" s="242"/>
    </row>
    <row r="827002" spans="1:1" x14ac:dyDescent="0.25">
      <c r="A827002" s="242"/>
    </row>
    <row r="827003" spans="1:1" x14ac:dyDescent="0.25">
      <c r="A827003" s="242"/>
    </row>
    <row r="827004" spans="1:1" x14ac:dyDescent="0.25">
      <c r="A827004" s="242"/>
    </row>
    <row r="827005" spans="1:1" x14ac:dyDescent="0.25">
      <c r="A827005" s="242"/>
    </row>
    <row r="827006" spans="1:1" x14ac:dyDescent="0.25">
      <c r="A827006" s="242"/>
    </row>
    <row r="827007" spans="1:1" x14ac:dyDescent="0.25">
      <c r="A827007" s="242"/>
    </row>
    <row r="827008" spans="1:1" x14ac:dyDescent="0.25">
      <c r="A827008" s="242"/>
    </row>
    <row r="827009" spans="1:1" x14ac:dyDescent="0.25">
      <c r="A827009" s="242"/>
    </row>
    <row r="827010" spans="1:1" x14ac:dyDescent="0.25">
      <c r="A827010" s="242"/>
    </row>
    <row r="827011" spans="1:1" x14ac:dyDescent="0.25">
      <c r="A827011" s="242"/>
    </row>
    <row r="827012" spans="1:1" x14ac:dyDescent="0.25">
      <c r="A827012" s="242"/>
    </row>
    <row r="827013" spans="1:1" x14ac:dyDescent="0.25">
      <c r="A827013" s="242"/>
    </row>
    <row r="827014" spans="1:1" x14ac:dyDescent="0.25">
      <c r="A827014" s="242"/>
    </row>
    <row r="827015" spans="1:1" x14ac:dyDescent="0.25">
      <c r="A827015" s="242"/>
    </row>
    <row r="827016" spans="1:1" x14ac:dyDescent="0.25">
      <c r="A827016" s="242"/>
    </row>
    <row r="827017" spans="1:1" x14ac:dyDescent="0.25">
      <c r="A827017" s="242"/>
    </row>
    <row r="827018" spans="1:1" x14ac:dyDescent="0.25">
      <c r="A827018" s="242"/>
    </row>
    <row r="827019" spans="1:1" x14ac:dyDescent="0.25">
      <c r="A827019" s="242"/>
    </row>
    <row r="827020" spans="1:1" x14ac:dyDescent="0.25">
      <c r="A827020" s="242"/>
    </row>
    <row r="827021" spans="1:1" x14ac:dyDescent="0.25">
      <c r="A827021" s="242"/>
    </row>
    <row r="827022" spans="1:1" x14ac:dyDescent="0.25">
      <c r="A827022" s="242"/>
    </row>
    <row r="827023" spans="1:1" x14ac:dyDescent="0.25">
      <c r="A827023" s="242"/>
    </row>
    <row r="827024" spans="1:1" x14ac:dyDescent="0.25">
      <c r="A827024" s="242"/>
    </row>
    <row r="827025" spans="1:1" x14ac:dyDescent="0.25">
      <c r="A827025" s="242"/>
    </row>
    <row r="827026" spans="1:1" x14ac:dyDescent="0.25">
      <c r="A827026" s="242"/>
    </row>
    <row r="827027" spans="1:1" x14ac:dyDescent="0.25">
      <c r="A827027" s="242"/>
    </row>
    <row r="827028" spans="1:1" x14ac:dyDescent="0.25">
      <c r="A827028" s="242"/>
    </row>
    <row r="827029" spans="1:1" x14ac:dyDescent="0.25">
      <c r="A827029" s="242"/>
    </row>
    <row r="827030" spans="1:1" x14ac:dyDescent="0.25">
      <c r="A827030" s="242"/>
    </row>
    <row r="827031" spans="1:1" x14ac:dyDescent="0.25">
      <c r="A827031" s="242"/>
    </row>
    <row r="827032" spans="1:1" x14ac:dyDescent="0.25">
      <c r="A827032" s="242"/>
    </row>
    <row r="827033" spans="1:1" x14ac:dyDescent="0.25">
      <c r="A827033" s="242"/>
    </row>
    <row r="827034" spans="1:1" x14ac:dyDescent="0.25">
      <c r="A827034" s="242"/>
    </row>
    <row r="827035" spans="1:1" x14ac:dyDescent="0.25">
      <c r="A827035" s="242"/>
    </row>
    <row r="827036" spans="1:1" x14ac:dyDescent="0.25">
      <c r="A827036" s="242"/>
    </row>
    <row r="827037" spans="1:1" x14ac:dyDescent="0.25">
      <c r="A827037" s="242"/>
    </row>
    <row r="827038" spans="1:1" x14ac:dyDescent="0.25">
      <c r="A827038" s="242"/>
    </row>
    <row r="827039" spans="1:1" x14ac:dyDescent="0.25">
      <c r="A827039" s="242"/>
    </row>
    <row r="827040" spans="1:1" x14ac:dyDescent="0.25">
      <c r="A827040" s="242"/>
    </row>
    <row r="827041" spans="1:1" x14ac:dyDescent="0.25">
      <c r="A827041" s="242"/>
    </row>
    <row r="827042" spans="1:1" x14ac:dyDescent="0.25">
      <c r="A827042" s="242"/>
    </row>
    <row r="827043" spans="1:1" x14ac:dyDescent="0.25">
      <c r="A827043" s="242"/>
    </row>
    <row r="827044" spans="1:1" x14ac:dyDescent="0.25">
      <c r="A827044" s="242"/>
    </row>
    <row r="827045" spans="1:1" x14ac:dyDescent="0.25">
      <c r="A827045" s="242"/>
    </row>
    <row r="827046" spans="1:1" x14ac:dyDescent="0.25">
      <c r="A827046" s="242"/>
    </row>
    <row r="827047" spans="1:1" x14ac:dyDescent="0.25">
      <c r="A827047" s="242"/>
    </row>
    <row r="827048" spans="1:1" x14ac:dyDescent="0.25">
      <c r="A827048" s="242"/>
    </row>
    <row r="827049" spans="1:1" x14ac:dyDescent="0.25">
      <c r="A827049" s="242"/>
    </row>
    <row r="827050" spans="1:1" x14ac:dyDescent="0.25">
      <c r="A827050" s="242"/>
    </row>
    <row r="827051" spans="1:1" x14ac:dyDescent="0.25">
      <c r="A827051" s="242"/>
    </row>
    <row r="827052" spans="1:1" x14ac:dyDescent="0.25">
      <c r="A827052" s="242"/>
    </row>
    <row r="827053" spans="1:1" x14ac:dyDescent="0.25">
      <c r="A827053" s="242"/>
    </row>
    <row r="827054" spans="1:1" x14ac:dyDescent="0.25">
      <c r="A827054" s="242"/>
    </row>
    <row r="827055" spans="1:1" x14ac:dyDescent="0.25">
      <c r="A827055" s="242"/>
    </row>
    <row r="827056" spans="1:1" x14ac:dyDescent="0.25">
      <c r="A827056" s="242"/>
    </row>
    <row r="827057" spans="1:1" x14ac:dyDescent="0.25">
      <c r="A827057" s="242"/>
    </row>
    <row r="827058" spans="1:1" x14ac:dyDescent="0.25">
      <c r="A827058" s="242"/>
    </row>
    <row r="827059" spans="1:1" x14ac:dyDescent="0.25">
      <c r="A827059" s="242"/>
    </row>
    <row r="827060" spans="1:1" x14ac:dyDescent="0.25">
      <c r="A827060" s="242"/>
    </row>
    <row r="827061" spans="1:1" x14ac:dyDescent="0.25">
      <c r="A827061" s="242"/>
    </row>
    <row r="827062" spans="1:1" x14ac:dyDescent="0.25">
      <c r="A827062" s="242"/>
    </row>
    <row r="827063" spans="1:1" x14ac:dyDescent="0.25">
      <c r="A827063" s="242"/>
    </row>
    <row r="827064" spans="1:1" x14ac:dyDescent="0.25">
      <c r="A827064" s="242"/>
    </row>
    <row r="827065" spans="1:1" x14ac:dyDescent="0.25">
      <c r="A827065" s="242"/>
    </row>
    <row r="827066" spans="1:1" x14ac:dyDescent="0.25">
      <c r="A827066" s="242"/>
    </row>
    <row r="827067" spans="1:1" x14ac:dyDescent="0.25">
      <c r="A827067" s="242"/>
    </row>
    <row r="827068" spans="1:1" x14ac:dyDescent="0.25">
      <c r="A827068" s="242"/>
    </row>
    <row r="827069" spans="1:1" x14ac:dyDescent="0.25">
      <c r="A827069" s="242"/>
    </row>
    <row r="827070" spans="1:1" x14ac:dyDescent="0.25">
      <c r="A827070" s="242"/>
    </row>
    <row r="827071" spans="1:1" x14ac:dyDescent="0.25">
      <c r="A827071" s="242"/>
    </row>
    <row r="827072" spans="1:1" x14ac:dyDescent="0.25">
      <c r="A827072" s="242"/>
    </row>
    <row r="827073" spans="1:1" x14ac:dyDescent="0.25">
      <c r="A827073" s="242"/>
    </row>
    <row r="827074" spans="1:1" x14ac:dyDescent="0.25">
      <c r="A827074" s="242"/>
    </row>
    <row r="827075" spans="1:1" x14ac:dyDescent="0.25">
      <c r="A827075" s="242"/>
    </row>
    <row r="827076" spans="1:1" x14ac:dyDescent="0.25">
      <c r="A827076" s="242"/>
    </row>
    <row r="827077" spans="1:1" x14ac:dyDescent="0.25">
      <c r="A827077" s="242"/>
    </row>
    <row r="827078" spans="1:1" x14ac:dyDescent="0.25">
      <c r="A827078" s="242"/>
    </row>
    <row r="827079" spans="1:1" x14ac:dyDescent="0.25">
      <c r="A827079" s="242"/>
    </row>
    <row r="827080" spans="1:1" x14ac:dyDescent="0.25">
      <c r="A827080" s="242"/>
    </row>
    <row r="827081" spans="1:1" x14ac:dyDescent="0.25">
      <c r="A827081" s="242"/>
    </row>
    <row r="827082" spans="1:1" x14ac:dyDescent="0.25">
      <c r="A827082" s="242"/>
    </row>
    <row r="827083" spans="1:1" x14ac:dyDescent="0.25">
      <c r="A827083" s="242"/>
    </row>
    <row r="827084" spans="1:1" x14ac:dyDescent="0.25">
      <c r="A827084" s="242"/>
    </row>
    <row r="827085" spans="1:1" x14ac:dyDescent="0.25">
      <c r="A827085" s="242"/>
    </row>
    <row r="827086" spans="1:1" x14ac:dyDescent="0.25">
      <c r="A827086" s="242"/>
    </row>
    <row r="827087" spans="1:1" x14ac:dyDescent="0.25">
      <c r="A827087" s="242"/>
    </row>
    <row r="827088" spans="1:1" x14ac:dyDescent="0.25">
      <c r="A827088" s="242"/>
    </row>
    <row r="827089" spans="1:1" x14ac:dyDescent="0.25">
      <c r="A827089" s="242"/>
    </row>
    <row r="827090" spans="1:1" x14ac:dyDescent="0.25">
      <c r="A827090" s="242"/>
    </row>
    <row r="827091" spans="1:1" x14ac:dyDescent="0.25">
      <c r="A827091" s="242"/>
    </row>
    <row r="827092" spans="1:1" x14ac:dyDescent="0.25">
      <c r="A827092" s="242"/>
    </row>
    <row r="827093" spans="1:1" x14ac:dyDescent="0.25">
      <c r="A827093" s="242"/>
    </row>
    <row r="827094" spans="1:1" x14ac:dyDescent="0.25">
      <c r="A827094" s="242"/>
    </row>
    <row r="827095" spans="1:1" x14ac:dyDescent="0.25">
      <c r="A827095" s="242"/>
    </row>
    <row r="827096" spans="1:1" x14ac:dyDescent="0.25">
      <c r="A827096" s="242"/>
    </row>
    <row r="827097" spans="1:1" x14ac:dyDescent="0.25">
      <c r="A827097" s="242"/>
    </row>
    <row r="827098" spans="1:1" x14ac:dyDescent="0.25">
      <c r="A827098" s="242"/>
    </row>
    <row r="827099" spans="1:1" x14ac:dyDescent="0.25">
      <c r="A827099" s="242"/>
    </row>
    <row r="827100" spans="1:1" x14ac:dyDescent="0.25">
      <c r="A827100" s="242"/>
    </row>
    <row r="827101" spans="1:1" x14ac:dyDescent="0.25">
      <c r="A827101" s="242"/>
    </row>
    <row r="827102" spans="1:1" x14ac:dyDescent="0.25">
      <c r="A827102" s="242"/>
    </row>
    <row r="827103" spans="1:1" x14ac:dyDescent="0.25">
      <c r="A827103" s="242"/>
    </row>
    <row r="827104" spans="1:1" x14ac:dyDescent="0.25">
      <c r="A827104" s="242"/>
    </row>
    <row r="827105" spans="1:1" x14ac:dyDescent="0.25">
      <c r="A827105" s="242"/>
    </row>
    <row r="827106" spans="1:1" x14ac:dyDescent="0.25">
      <c r="A827106" s="242"/>
    </row>
    <row r="827107" spans="1:1" x14ac:dyDescent="0.25">
      <c r="A827107" s="242"/>
    </row>
    <row r="827108" spans="1:1" x14ac:dyDescent="0.25">
      <c r="A827108" s="242"/>
    </row>
    <row r="827109" spans="1:1" x14ac:dyDescent="0.25">
      <c r="A827109" s="242"/>
    </row>
    <row r="827110" spans="1:1" x14ac:dyDescent="0.25">
      <c r="A827110" s="242"/>
    </row>
    <row r="827111" spans="1:1" x14ac:dyDescent="0.25">
      <c r="A827111" s="242"/>
    </row>
    <row r="827112" spans="1:1" x14ac:dyDescent="0.25">
      <c r="A827112" s="242"/>
    </row>
    <row r="827113" spans="1:1" x14ac:dyDescent="0.25">
      <c r="A827113" s="242"/>
    </row>
    <row r="827114" spans="1:1" x14ac:dyDescent="0.25">
      <c r="A827114" s="242"/>
    </row>
    <row r="827115" spans="1:1" x14ac:dyDescent="0.25">
      <c r="A827115" s="242"/>
    </row>
    <row r="827116" spans="1:1" x14ac:dyDescent="0.25">
      <c r="A827116" s="242"/>
    </row>
    <row r="827117" spans="1:1" x14ac:dyDescent="0.25">
      <c r="A827117" s="242"/>
    </row>
    <row r="827118" spans="1:1" x14ac:dyDescent="0.25">
      <c r="A827118" s="242"/>
    </row>
    <row r="827119" spans="1:1" x14ac:dyDescent="0.25">
      <c r="A827119" s="242"/>
    </row>
    <row r="827120" spans="1:1" x14ac:dyDescent="0.25">
      <c r="A827120" s="242"/>
    </row>
    <row r="827121" spans="1:1" x14ac:dyDescent="0.25">
      <c r="A827121" s="242"/>
    </row>
    <row r="827122" spans="1:1" x14ac:dyDescent="0.25">
      <c r="A827122" s="242"/>
    </row>
    <row r="827123" spans="1:1" x14ac:dyDescent="0.25">
      <c r="A827123" s="242"/>
    </row>
    <row r="827124" spans="1:1" x14ac:dyDescent="0.25">
      <c r="A827124" s="242"/>
    </row>
    <row r="827125" spans="1:1" x14ac:dyDescent="0.25">
      <c r="A827125" s="242"/>
    </row>
    <row r="827126" spans="1:1" x14ac:dyDescent="0.25">
      <c r="A827126" s="242"/>
    </row>
    <row r="827127" spans="1:1" x14ac:dyDescent="0.25">
      <c r="A827127" s="242"/>
    </row>
    <row r="827128" spans="1:1" x14ac:dyDescent="0.25">
      <c r="A827128" s="242"/>
    </row>
    <row r="827129" spans="1:1" x14ac:dyDescent="0.25">
      <c r="A827129" s="242"/>
    </row>
    <row r="827130" spans="1:1" x14ac:dyDescent="0.25">
      <c r="A827130" s="242"/>
    </row>
    <row r="827131" spans="1:1" x14ac:dyDescent="0.25">
      <c r="A827131" s="242"/>
    </row>
    <row r="827132" spans="1:1" x14ac:dyDescent="0.25">
      <c r="A827132" s="242"/>
    </row>
    <row r="827133" spans="1:1" x14ac:dyDescent="0.25">
      <c r="A827133" s="242"/>
    </row>
    <row r="827134" spans="1:1" x14ac:dyDescent="0.25">
      <c r="A827134" s="242"/>
    </row>
    <row r="827135" spans="1:1" x14ac:dyDescent="0.25">
      <c r="A827135" s="242"/>
    </row>
    <row r="827136" spans="1:1" x14ac:dyDescent="0.25">
      <c r="A827136" s="242"/>
    </row>
    <row r="827137" spans="1:1" x14ac:dyDescent="0.25">
      <c r="A827137" s="242"/>
    </row>
    <row r="827138" spans="1:1" x14ac:dyDescent="0.25">
      <c r="A827138" s="242"/>
    </row>
    <row r="827139" spans="1:1" x14ac:dyDescent="0.25">
      <c r="A827139" s="242"/>
    </row>
    <row r="827140" spans="1:1" x14ac:dyDescent="0.25">
      <c r="A827140" s="242"/>
    </row>
    <row r="827141" spans="1:1" x14ac:dyDescent="0.25">
      <c r="A827141" s="242"/>
    </row>
    <row r="827142" spans="1:1" x14ac:dyDescent="0.25">
      <c r="A827142" s="242"/>
    </row>
    <row r="827143" spans="1:1" x14ac:dyDescent="0.25">
      <c r="A827143" s="242"/>
    </row>
    <row r="827144" spans="1:1" x14ac:dyDescent="0.25">
      <c r="A827144" s="242"/>
    </row>
    <row r="827145" spans="1:1" x14ac:dyDescent="0.25">
      <c r="A827145" s="242"/>
    </row>
    <row r="827146" spans="1:1" x14ac:dyDescent="0.25">
      <c r="A827146" s="242"/>
    </row>
    <row r="827147" spans="1:1" x14ac:dyDescent="0.25">
      <c r="A827147" s="242"/>
    </row>
    <row r="827148" spans="1:1" x14ac:dyDescent="0.25">
      <c r="A827148" s="242"/>
    </row>
    <row r="827149" spans="1:1" x14ac:dyDescent="0.25">
      <c r="A827149" s="242"/>
    </row>
    <row r="827150" spans="1:1" x14ac:dyDescent="0.25">
      <c r="A827150" s="242"/>
    </row>
    <row r="827151" spans="1:1" x14ac:dyDescent="0.25">
      <c r="A827151" s="242"/>
    </row>
    <row r="827152" spans="1:1" x14ac:dyDescent="0.25">
      <c r="A827152" s="242"/>
    </row>
    <row r="827153" spans="1:1" x14ac:dyDescent="0.25">
      <c r="A827153" s="242"/>
    </row>
    <row r="827154" spans="1:1" x14ac:dyDescent="0.25">
      <c r="A827154" s="242"/>
    </row>
    <row r="827155" spans="1:1" x14ac:dyDescent="0.25">
      <c r="A827155" s="242"/>
    </row>
    <row r="827156" spans="1:1" x14ac:dyDescent="0.25">
      <c r="A827156" s="242"/>
    </row>
    <row r="827157" spans="1:1" x14ac:dyDescent="0.25">
      <c r="A827157" s="242"/>
    </row>
    <row r="827158" spans="1:1" x14ac:dyDescent="0.25">
      <c r="A827158" s="242"/>
    </row>
    <row r="827159" spans="1:1" x14ac:dyDescent="0.25">
      <c r="A827159" s="242"/>
    </row>
    <row r="827160" spans="1:1" x14ac:dyDescent="0.25">
      <c r="A827160" s="242"/>
    </row>
    <row r="827161" spans="1:1" x14ac:dyDescent="0.25">
      <c r="A827161" s="242"/>
    </row>
    <row r="827162" spans="1:1" x14ac:dyDescent="0.25">
      <c r="A827162" s="242"/>
    </row>
    <row r="827163" spans="1:1" x14ac:dyDescent="0.25">
      <c r="A827163" s="242"/>
    </row>
    <row r="827164" spans="1:1" x14ac:dyDescent="0.25">
      <c r="A827164" s="242"/>
    </row>
    <row r="827165" spans="1:1" x14ac:dyDescent="0.25">
      <c r="A827165" s="242"/>
    </row>
    <row r="827166" spans="1:1" x14ac:dyDescent="0.25">
      <c r="A827166" s="242"/>
    </row>
    <row r="827167" spans="1:1" x14ac:dyDescent="0.25">
      <c r="A827167" s="242"/>
    </row>
    <row r="827168" spans="1:1" x14ac:dyDescent="0.25">
      <c r="A827168" s="242"/>
    </row>
    <row r="827169" spans="1:1" x14ac:dyDescent="0.25">
      <c r="A827169" s="242"/>
    </row>
    <row r="827170" spans="1:1" x14ac:dyDescent="0.25">
      <c r="A827170" s="242"/>
    </row>
    <row r="827171" spans="1:1" x14ac:dyDescent="0.25">
      <c r="A827171" s="242"/>
    </row>
    <row r="827172" spans="1:1" x14ac:dyDescent="0.25">
      <c r="A827172" s="242"/>
    </row>
    <row r="827173" spans="1:1" x14ac:dyDescent="0.25">
      <c r="A827173" s="242"/>
    </row>
    <row r="827174" spans="1:1" x14ac:dyDescent="0.25">
      <c r="A827174" s="242"/>
    </row>
    <row r="827175" spans="1:1" x14ac:dyDescent="0.25">
      <c r="A827175" s="242"/>
    </row>
    <row r="827176" spans="1:1" x14ac:dyDescent="0.25">
      <c r="A827176" s="242"/>
    </row>
    <row r="827177" spans="1:1" x14ac:dyDescent="0.25">
      <c r="A827177" s="242"/>
    </row>
    <row r="827178" spans="1:1" x14ac:dyDescent="0.25">
      <c r="A827178" s="242"/>
    </row>
    <row r="827179" spans="1:1" x14ac:dyDescent="0.25">
      <c r="A827179" s="242"/>
    </row>
    <row r="827180" spans="1:1" x14ac:dyDescent="0.25">
      <c r="A827180" s="242"/>
    </row>
    <row r="827181" spans="1:1" x14ac:dyDescent="0.25">
      <c r="A827181" s="242"/>
    </row>
    <row r="827182" spans="1:1" x14ac:dyDescent="0.25">
      <c r="A827182" s="242"/>
    </row>
    <row r="827183" spans="1:1" x14ac:dyDescent="0.25">
      <c r="A827183" s="242"/>
    </row>
    <row r="827184" spans="1:1" x14ac:dyDescent="0.25">
      <c r="A827184" s="242"/>
    </row>
    <row r="827185" spans="1:1" x14ac:dyDescent="0.25">
      <c r="A827185" s="242"/>
    </row>
    <row r="827186" spans="1:1" x14ac:dyDescent="0.25">
      <c r="A827186" s="242"/>
    </row>
    <row r="827187" spans="1:1" x14ac:dyDescent="0.25">
      <c r="A827187" s="242"/>
    </row>
    <row r="827188" spans="1:1" x14ac:dyDescent="0.25">
      <c r="A827188" s="242"/>
    </row>
    <row r="827189" spans="1:1" x14ac:dyDescent="0.25">
      <c r="A827189" s="242"/>
    </row>
    <row r="827190" spans="1:1" x14ac:dyDescent="0.25">
      <c r="A827190" s="242"/>
    </row>
    <row r="827191" spans="1:1" x14ac:dyDescent="0.25">
      <c r="A827191" s="242"/>
    </row>
    <row r="827192" spans="1:1" x14ac:dyDescent="0.25">
      <c r="A827192" s="242"/>
    </row>
    <row r="827193" spans="1:1" x14ac:dyDescent="0.25">
      <c r="A827193" s="242"/>
    </row>
    <row r="827194" spans="1:1" x14ac:dyDescent="0.25">
      <c r="A827194" s="242"/>
    </row>
    <row r="827195" spans="1:1" x14ac:dyDescent="0.25">
      <c r="A827195" s="242"/>
    </row>
    <row r="827196" spans="1:1" x14ac:dyDescent="0.25">
      <c r="A827196" s="242"/>
    </row>
    <row r="827197" spans="1:1" x14ac:dyDescent="0.25">
      <c r="A827197" s="242"/>
    </row>
    <row r="827198" spans="1:1" x14ac:dyDescent="0.25">
      <c r="A827198" s="242"/>
    </row>
    <row r="827199" spans="1:1" x14ac:dyDescent="0.25">
      <c r="A827199" s="242"/>
    </row>
    <row r="827200" spans="1:1" x14ac:dyDescent="0.25">
      <c r="A827200" s="242"/>
    </row>
    <row r="827201" spans="1:1" x14ac:dyDescent="0.25">
      <c r="A827201" s="242"/>
    </row>
    <row r="827202" spans="1:1" x14ac:dyDescent="0.25">
      <c r="A827202" s="242"/>
    </row>
    <row r="827203" spans="1:1" x14ac:dyDescent="0.25">
      <c r="A827203" s="242"/>
    </row>
    <row r="827204" spans="1:1" x14ac:dyDescent="0.25">
      <c r="A827204" s="242"/>
    </row>
    <row r="827205" spans="1:1" x14ac:dyDescent="0.25">
      <c r="A827205" s="242"/>
    </row>
    <row r="827206" spans="1:1" x14ac:dyDescent="0.25">
      <c r="A827206" s="242"/>
    </row>
    <row r="827207" spans="1:1" x14ac:dyDescent="0.25">
      <c r="A827207" s="242"/>
    </row>
    <row r="827208" spans="1:1" x14ac:dyDescent="0.25">
      <c r="A827208" s="242"/>
    </row>
    <row r="827209" spans="1:1" x14ac:dyDescent="0.25">
      <c r="A827209" s="242"/>
    </row>
    <row r="827210" spans="1:1" x14ac:dyDescent="0.25">
      <c r="A827210" s="242"/>
    </row>
    <row r="827211" spans="1:1" x14ac:dyDescent="0.25">
      <c r="A827211" s="242"/>
    </row>
    <row r="827212" spans="1:1" x14ac:dyDescent="0.25">
      <c r="A827212" s="242"/>
    </row>
    <row r="827213" spans="1:1" x14ac:dyDescent="0.25">
      <c r="A827213" s="242"/>
    </row>
    <row r="827214" spans="1:1" x14ac:dyDescent="0.25">
      <c r="A827214" s="242"/>
    </row>
    <row r="827215" spans="1:1" x14ac:dyDescent="0.25">
      <c r="A827215" s="242"/>
    </row>
    <row r="827216" spans="1:1" x14ac:dyDescent="0.25">
      <c r="A827216" s="242"/>
    </row>
    <row r="827217" spans="1:1" x14ac:dyDescent="0.25">
      <c r="A827217" s="242"/>
    </row>
    <row r="827218" spans="1:1" x14ac:dyDescent="0.25">
      <c r="A827218" s="242"/>
    </row>
    <row r="827219" spans="1:1" x14ac:dyDescent="0.25">
      <c r="A827219" s="242"/>
    </row>
    <row r="827220" spans="1:1" x14ac:dyDescent="0.25">
      <c r="A827220" s="242"/>
    </row>
    <row r="827221" spans="1:1" x14ac:dyDescent="0.25">
      <c r="A827221" s="242"/>
    </row>
    <row r="827222" spans="1:1" x14ac:dyDescent="0.25">
      <c r="A827222" s="242"/>
    </row>
    <row r="827223" spans="1:1" x14ac:dyDescent="0.25">
      <c r="A827223" s="242"/>
    </row>
    <row r="827224" spans="1:1" x14ac:dyDescent="0.25">
      <c r="A827224" s="242"/>
    </row>
    <row r="827225" spans="1:1" x14ac:dyDescent="0.25">
      <c r="A827225" s="242"/>
    </row>
    <row r="827226" spans="1:1" x14ac:dyDescent="0.25">
      <c r="A827226" s="242"/>
    </row>
    <row r="827227" spans="1:1" x14ac:dyDescent="0.25">
      <c r="A827227" s="242"/>
    </row>
    <row r="827228" spans="1:1" x14ac:dyDescent="0.25">
      <c r="A827228" s="242"/>
    </row>
    <row r="827229" spans="1:1" x14ac:dyDescent="0.25">
      <c r="A827229" s="242"/>
    </row>
    <row r="827230" spans="1:1" x14ac:dyDescent="0.25">
      <c r="A827230" s="242"/>
    </row>
    <row r="827231" spans="1:1" x14ac:dyDescent="0.25">
      <c r="A827231" s="242"/>
    </row>
    <row r="827232" spans="1:1" x14ac:dyDescent="0.25">
      <c r="A827232" s="242"/>
    </row>
    <row r="827233" spans="1:1" x14ac:dyDescent="0.25">
      <c r="A827233" s="242"/>
    </row>
    <row r="827234" spans="1:1" x14ac:dyDescent="0.25">
      <c r="A827234" s="242"/>
    </row>
    <row r="827235" spans="1:1" x14ac:dyDescent="0.25">
      <c r="A827235" s="242"/>
    </row>
    <row r="827236" spans="1:1" x14ac:dyDescent="0.25">
      <c r="A827236" s="242"/>
    </row>
    <row r="827237" spans="1:1" x14ac:dyDescent="0.25">
      <c r="A827237" s="242"/>
    </row>
    <row r="827238" spans="1:1" x14ac:dyDescent="0.25">
      <c r="A827238" s="242"/>
    </row>
    <row r="827239" spans="1:1" x14ac:dyDescent="0.25">
      <c r="A827239" s="242"/>
    </row>
    <row r="827240" spans="1:1" x14ac:dyDescent="0.25">
      <c r="A827240" s="242"/>
    </row>
    <row r="827241" spans="1:1" x14ac:dyDescent="0.25">
      <c r="A827241" s="242"/>
    </row>
    <row r="827242" spans="1:1" x14ac:dyDescent="0.25">
      <c r="A827242" s="242"/>
    </row>
    <row r="827243" spans="1:1" x14ac:dyDescent="0.25">
      <c r="A827243" s="242"/>
    </row>
    <row r="827244" spans="1:1" x14ac:dyDescent="0.25">
      <c r="A827244" s="242"/>
    </row>
    <row r="827245" spans="1:1" x14ac:dyDescent="0.25">
      <c r="A827245" s="242"/>
    </row>
    <row r="827246" spans="1:1" x14ac:dyDescent="0.25">
      <c r="A827246" s="242"/>
    </row>
    <row r="827247" spans="1:1" x14ac:dyDescent="0.25">
      <c r="A827247" s="242"/>
    </row>
    <row r="827248" spans="1:1" x14ac:dyDescent="0.25">
      <c r="A827248" s="242"/>
    </row>
    <row r="827249" spans="1:1" x14ac:dyDescent="0.25">
      <c r="A827249" s="242"/>
    </row>
    <row r="827250" spans="1:1" x14ac:dyDescent="0.25">
      <c r="A827250" s="242"/>
    </row>
    <row r="827251" spans="1:1" x14ac:dyDescent="0.25">
      <c r="A827251" s="242"/>
    </row>
    <row r="827252" spans="1:1" x14ac:dyDescent="0.25">
      <c r="A827252" s="242"/>
    </row>
    <row r="827253" spans="1:1" x14ac:dyDescent="0.25">
      <c r="A827253" s="242"/>
    </row>
    <row r="827254" spans="1:1" x14ac:dyDescent="0.25">
      <c r="A827254" s="242"/>
    </row>
    <row r="827255" spans="1:1" x14ac:dyDescent="0.25">
      <c r="A827255" s="242"/>
    </row>
    <row r="827256" spans="1:1" x14ac:dyDescent="0.25">
      <c r="A827256" s="242"/>
    </row>
    <row r="827257" spans="1:1" x14ac:dyDescent="0.25">
      <c r="A827257" s="242"/>
    </row>
    <row r="827258" spans="1:1" x14ac:dyDescent="0.25">
      <c r="A827258" s="242"/>
    </row>
    <row r="827259" spans="1:1" x14ac:dyDescent="0.25">
      <c r="A827259" s="242"/>
    </row>
    <row r="827260" spans="1:1" x14ac:dyDescent="0.25">
      <c r="A827260" s="242"/>
    </row>
    <row r="827261" spans="1:1" x14ac:dyDescent="0.25">
      <c r="A827261" s="242"/>
    </row>
    <row r="827262" spans="1:1" x14ac:dyDescent="0.25">
      <c r="A827262" s="242"/>
    </row>
    <row r="827263" spans="1:1" x14ac:dyDescent="0.25">
      <c r="A827263" s="242"/>
    </row>
    <row r="827264" spans="1:1" x14ac:dyDescent="0.25">
      <c r="A827264" s="242"/>
    </row>
    <row r="827265" spans="1:1" x14ac:dyDescent="0.25">
      <c r="A827265" s="242"/>
    </row>
    <row r="827266" spans="1:1" x14ac:dyDescent="0.25">
      <c r="A827266" s="242"/>
    </row>
    <row r="827267" spans="1:1" x14ac:dyDescent="0.25">
      <c r="A827267" s="242"/>
    </row>
    <row r="827268" spans="1:1" x14ac:dyDescent="0.25">
      <c r="A827268" s="242"/>
    </row>
    <row r="827269" spans="1:1" x14ac:dyDescent="0.25">
      <c r="A827269" s="242"/>
    </row>
    <row r="827270" spans="1:1" x14ac:dyDescent="0.25">
      <c r="A827270" s="242"/>
    </row>
    <row r="827271" spans="1:1" x14ac:dyDescent="0.25">
      <c r="A827271" s="242"/>
    </row>
    <row r="827272" spans="1:1" x14ac:dyDescent="0.25">
      <c r="A827272" s="242"/>
    </row>
    <row r="827273" spans="1:1" x14ac:dyDescent="0.25">
      <c r="A827273" s="242"/>
    </row>
    <row r="827274" spans="1:1" x14ac:dyDescent="0.25">
      <c r="A827274" s="242"/>
    </row>
    <row r="827275" spans="1:1" x14ac:dyDescent="0.25">
      <c r="A827275" s="242"/>
    </row>
    <row r="827276" spans="1:1" x14ac:dyDescent="0.25">
      <c r="A827276" s="242"/>
    </row>
    <row r="827277" spans="1:1" x14ac:dyDescent="0.25">
      <c r="A827277" s="242"/>
    </row>
    <row r="827278" spans="1:1" x14ac:dyDescent="0.25">
      <c r="A827278" s="242"/>
    </row>
    <row r="827279" spans="1:1" x14ac:dyDescent="0.25">
      <c r="A827279" s="242"/>
    </row>
    <row r="827280" spans="1:1" x14ac:dyDescent="0.25">
      <c r="A827280" s="242"/>
    </row>
    <row r="827281" spans="1:1" x14ac:dyDescent="0.25">
      <c r="A827281" s="242"/>
    </row>
    <row r="827282" spans="1:1" x14ac:dyDescent="0.25">
      <c r="A827282" s="242"/>
    </row>
    <row r="827283" spans="1:1" x14ac:dyDescent="0.25">
      <c r="A827283" s="242"/>
    </row>
    <row r="827284" spans="1:1" x14ac:dyDescent="0.25">
      <c r="A827284" s="242"/>
    </row>
    <row r="827285" spans="1:1" x14ac:dyDescent="0.25">
      <c r="A827285" s="242"/>
    </row>
    <row r="827286" spans="1:1" x14ac:dyDescent="0.25">
      <c r="A827286" s="242"/>
    </row>
    <row r="827287" spans="1:1" x14ac:dyDescent="0.25">
      <c r="A827287" s="242"/>
    </row>
    <row r="827288" spans="1:1" x14ac:dyDescent="0.25">
      <c r="A827288" s="242"/>
    </row>
    <row r="827289" spans="1:1" x14ac:dyDescent="0.25">
      <c r="A827289" s="242"/>
    </row>
    <row r="827290" spans="1:1" x14ac:dyDescent="0.25">
      <c r="A827290" s="242"/>
    </row>
    <row r="827291" spans="1:1" x14ac:dyDescent="0.25">
      <c r="A827291" s="242"/>
    </row>
    <row r="827292" spans="1:1" x14ac:dyDescent="0.25">
      <c r="A827292" s="242"/>
    </row>
    <row r="827293" spans="1:1" x14ac:dyDescent="0.25">
      <c r="A827293" s="242"/>
    </row>
    <row r="827294" spans="1:1" x14ac:dyDescent="0.25">
      <c r="A827294" s="242"/>
    </row>
    <row r="827295" spans="1:1" x14ac:dyDescent="0.25">
      <c r="A827295" s="242"/>
    </row>
    <row r="827296" spans="1:1" x14ac:dyDescent="0.25">
      <c r="A827296" s="242"/>
    </row>
    <row r="827297" spans="1:1" x14ac:dyDescent="0.25">
      <c r="A827297" s="242"/>
    </row>
    <row r="827298" spans="1:1" x14ac:dyDescent="0.25">
      <c r="A827298" s="242"/>
    </row>
    <row r="827299" spans="1:1" x14ac:dyDescent="0.25">
      <c r="A827299" s="242"/>
    </row>
    <row r="827300" spans="1:1" x14ac:dyDescent="0.25">
      <c r="A827300" s="242"/>
    </row>
    <row r="827301" spans="1:1" x14ac:dyDescent="0.25">
      <c r="A827301" s="242"/>
    </row>
    <row r="827302" spans="1:1" x14ac:dyDescent="0.25">
      <c r="A827302" s="242"/>
    </row>
    <row r="827303" spans="1:1" x14ac:dyDescent="0.25">
      <c r="A827303" s="242"/>
    </row>
    <row r="827304" spans="1:1" x14ac:dyDescent="0.25">
      <c r="A827304" s="242"/>
    </row>
    <row r="827305" spans="1:1" x14ac:dyDescent="0.25">
      <c r="A827305" s="242"/>
    </row>
    <row r="827306" spans="1:1" x14ac:dyDescent="0.25">
      <c r="A827306" s="242"/>
    </row>
    <row r="827307" spans="1:1" x14ac:dyDescent="0.25">
      <c r="A827307" s="242"/>
    </row>
    <row r="827308" spans="1:1" x14ac:dyDescent="0.25">
      <c r="A827308" s="242"/>
    </row>
    <row r="827309" spans="1:1" x14ac:dyDescent="0.25">
      <c r="A827309" s="242"/>
    </row>
    <row r="827310" spans="1:1" x14ac:dyDescent="0.25">
      <c r="A827310" s="242"/>
    </row>
    <row r="827311" spans="1:1" x14ac:dyDescent="0.25">
      <c r="A827311" s="242"/>
    </row>
    <row r="827312" spans="1:1" x14ac:dyDescent="0.25">
      <c r="A827312" s="242"/>
    </row>
    <row r="827313" spans="1:1" x14ac:dyDescent="0.25">
      <c r="A827313" s="242"/>
    </row>
    <row r="827314" spans="1:1" x14ac:dyDescent="0.25">
      <c r="A827314" s="242"/>
    </row>
    <row r="827315" spans="1:1" x14ac:dyDescent="0.25">
      <c r="A827315" s="242"/>
    </row>
    <row r="827316" spans="1:1" x14ac:dyDescent="0.25">
      <c r="A827316" s="242"/>
    </row>
    <row r="827317" spans="1:1" x14ac:dyDescent="0.25">
      <c r="A827317" s="242"/>
    </row>
    <row r="827318" spans="1:1" x14ac:dyDescent="0.25">
      <c r="A827318" s="242"/>
    </row>
    <row r="827319" spans="1:1" x14ac:dyDescent="0.25">
      <c r="A827319" s="242"/>
    </row>
    <row r="827320" spans="1:1" x14ac:dyDescent="0.25">
      <c r="A827320" s="242"/>
    </row>
    <row r="827321" spans="1:1" x14ac:dyDescent="0.25">
      <c r="A827321" s="242"/>
    </row>
    <row r="827322" spans="1:1" x14ac:dyDescent="0.25">
      <c r="A827322" s="242"/>
    </row>
    <row r="827323" spans="1:1" x14ac:dyDescent="0.25">
      <c r="A827323" s="242"/>
    </row>
    <row r="827324" spans="1:1" x14ac:dyDescent="0.25">
      <c r="A827324" s="242"/>
    </row>
    <row r="827325" spans="1:1" x14ac:dyDescent="0.25">
      <c r="A827325" s="242"/>
    </row>
    <row r="827326" spans="1:1" x14ac:dyDescent="0.25">
      <c r="A827326" s="242"/>
    </row>
    <row r="827327" spans="1:1" x14ac:dyDescent="0.25">
      <c r="A827327" s="242"/>
    </row>
    <row r="827328" spans="1:1" x14ac:dyDescent="0.25">
      <c r="A827328" s="242"/>
    </row>
    <row r="827329" spans="1:1" x14ac:dyDescent="0.25">
      <c r="A827329" s="242"/>
    </row>
    <row r="827330" spans="1:1" x14ac:dyDescent="0.25">
      <c r="A827330" s="242"/>
    </row>
    <row r="827331" spans="1:1" x14ac:dyDescent="0.25">
      <c r="A827331" s="242"/>
    </row>
    <row r="827332" spans="1:1" x14ac:dyDescent="0.25">
      <c r="A827332" s="242"/>
    </row>
    <row r="827333" spans="1:1" x14ac:dyDescent="0.25">
      <c r="A827333" s="242"/>
    </row>
    <row r="827334" spans="1:1" x14ac:dyDescent="0.25">
      <c r="A827334" s="242"/>
    </row>
    <row r="827335" spans="1:1" x14ac:dyDescent="0.25">
      <c r="A827335" s="242"/>
    </row>
    <row r="827336" spans="1:1" x14ac:dyDescent="0.25">
      <c r="A827336" s="242"/>
    </row>
    <row r="827337" spans="1:1" x14ac:dyDescent="0.25">
      <c r="A827337" s="242"/>
    </row>
    <row r="827338" spans="1:1" x14ac:dyDescent="0.25">
      <c r="A827338" s="242"/>
    </row>
    <row r="827339" spans="1:1" x14ac:dyDescent="0.25">
      <c r="A827339" s="242"/>
    </row>
    <row r="827340" spans="1:1" x14ac:dyDescent="0.25">
      <c r="A827340" s="242"/>
    </row>
    <row r="827341" spans="1:1" x14ac:dyDescent="0.25">
      <c r="A827341" s="242"/>
    </row>
    <row r="827342" spans="1:1" x14ac:dyDescent="0.25">
      <c r="A827342" s="242"/>
    </row>
    <row r="827343" spans="1:1" x14ac:dyDescent="0.25">
      <c r="A827343" s="242"/>
    </row>
    <row r="827344" spans="1:1" x14ac:dyDescent="0.25">
      <c r="A827344" s="242"/>
    </row>
    <row r="827345" spans="1:1" x14ac:dyDescent="0.25">
      <c r="A827345" s="242"/>
    </row>
    <row r="827346" spans="1:1" x14ac:dyDescent="0.25">
      <c r="A827346" s="242"/>
    </row>
    <row r="827347" spans="1:1" x14ac:dyDescent="0.25">
      <c r="A827347" s="242"/>
    </row>
    <row r="827348" spans="1:1" x14ac:dyDescent="0.25">
      <c r="A827348" s="242"/>
    </row>
    <row r="827349" spans="1:1" x14ac:dyDescent="0.25">
      <c r="A827349" s="242"/>
    </row>
    <row r="827350" spans="1:1" x14ac:dyDescent="0.25">
      <c r="A827350" s="242"/>
    </row>
    <row r="827351" spans="1:1" x14ac:dyDescent="0.25">
      <c r="A827351" s="242"/>
    </row>
    <row r="827352" spans="1:1" x14ac:dyDescent="0.25">
      <c r="A827352" s="242"/>
    </row>
    <row r="827353" spans="1:1" x14ac:dyDescent="0.25">
      <c r="A827353" s="242"/>
    </row>
    <row r="827354" spans="1:1" x14ac:dyDescent="0.25">
      <c r="A827354" s="242"/>
    </row>
    <row r="827355" spans="1:1" x14ac:dyDescent="0.25">
      <c r="A827355" s="242"/>
    </row>
    <row r="827356" spans="1:1" x14ac:dyDescent="0.25">
      <c r="A827356" s="242"/>
    </row>
    <row r="827357" spans="1:1" x14ac:dyDescent="0.25">
      <c r="A827357" s="242"/>
    </row>
    <row r="827358" spans="1:1" x14ac:dyDescent="0.25">
      <c r="A827358" s="242"/>
    </row>
    <row r="827359" spans="1:1" x14ac:dyDescent="0.25">
      <c r="A827359" s="242"/>
    </row>
    <row r="827360" spans="1:1" x14ac:dyDescent="0.25">
      <c r="A827360" s="242"/>
    </row>
    <row r="827361" spans="1:1" x14ac:dyDescent="0.25">
      <c r="A827361" s="242"/>
    </row>
    <row r="827362" spans="1:1" x14ac:dyDescent="0.25">
      <c r="A827362" s="242"/>
    </row>
    <row r="827363" spans="1:1" x14ac:dyDescent="0.25">
      <c r="A827363" s="242"/>
    </row>
    <row r="827364" spans="1:1" x14ac:dyDescent="0.25">
      <c r="A827364" s="242"/>
    </row>
    <row r="827365" spans="1:1" x14ac:dyDescent="0.25">
      <c r="A827365" s="242"/>
    </row>
    <row r="827366" spans="1:1" x14ac:dyDescent="0.25">
      <c r="A827366" s="242"/>
    </row>
    <row r="827367" spans="1:1" x14ac:dyDescent="0.25">
      <c r="A827367" s="242"/>
    </row>
    <row r="827368" spans="1:1" x14ac:dyDescent="0.25">
      <c r="A827368" s="242"/>
    </row>
    <row r="827369" spans="1:1" x14ac:dyDescent="0.25">
      <c r="A827369" s="242"/>
    </row>
    <row r="827370" spans="1:1" x14ac:dyDescent="0.25">
      <c r="A827370" s="242"/>
    </row>
    <row r="827371" spans="1:1" x14ac:dyDescent="0.25">
      <c r="A827371" s="242"/>
    </row>
    <row r="827372" spans="1:1" x14ac:dyDescent="0.25">
      <c r="A827372" s="242"/>
    </row>
    <row r="827373" spans="1:1" x14ac:dyDescent="0.25">
      <c r="A827373" s="242"/>
    </row>
    <row r="827374" spans="1:1" x14ac:dyDescent="0.25">
      <c r="A827374" s="242"/>
    </row>
    <row r="827375" spans="1:1" x14ac:dyDescent="0.25">
      <c r="A827375" s="242"/>
    </row>
    <row r="827376" spans="1:1" x14ac:dyDescent="0.25">
      <c r="A827376" s="242"/>
    </row>
    <row r="827377" spans="1:1" x14ac:dyDescent="0.25">
      <c r="A827377" s="242"/>
    </row>
    <row r="827378" spans="1:1" x14ac:dyDescent="0.25">
      <c r="A827378" s="242"/>
    </row>
    <row r="827379" spans="1:1" x14ac:dyDescent="0.25">
      <c r="A827379" s="242"/>
    </row>
    <row r="827380" spans="1:1" x14ac:dyDescent="0.25">
      <c r="A827380" s="242"/>
    </row>
    <row r="827381" spans="1:1" x14ac:dyDescent="0.25">
      <c r="A827381" s="242"/>
    </row>
    <row r="827382" spans="1:1" x14ac:dyDescent="0.25">
      <c r="A827382" s="242"/>
    </row>
    <row r="827383" spans="1:1" x14ac:dyDescent="0.25">
      <c r="A827383" s="242"/>
    </row>
    <row r="827384" spans="1:1" x14ac:dyDescent="0.25">
      <c r="A827384" s="242"/>
    </row>
    <row r="827385" spans="1:1" x14ac:dyDescent="0.25">
      <c r="A827385" s="242"/>
    </row>
    <row r="827386" spans="1:1" x14ac:dyDescent="0.25">
      <c r="A827386" s="242"/>
    </row>
    <row r="827387" spans="1:1" x14ac:dyDescent="0.25">
      <c r="A827387" s="242"/>
    </row>
    <row r="827388" spans="1:1" x14ac:dyDescent="0.25">
      <c r="A827388" s="242"/>
    </row>
    <row r="827389" spans="1:1" x14ac:dyDescent="0.25">
      <c r="A827389" s="242"/>
    </row>
    <row r="827390" spans="1:1" x14ac:dyDescent="0.25">
      <c r="A827390" s="242"/>
    </row>
    <row r="827391" spans="1:1" x14ac:dyDescent="0.25">
      <c r="A827391" s="242"/>
    </row>
    <row r="827392" spans="1:1" x14ac:dyDescent="0.25">
      <c r="A827392" s="242"/>
    </row>
    <row r="827393" spans="1:1" x14ac:dyDescent="0.25">
      <c r="A827393" s="242"/>
    </row>
    <row r="827394" spans="1:1" x14ac:dyDescent="0.25">
      <c r="A827394" s="242"/>
    </row>
    <row r="827395" spans="1:1" x14ac:dyDescent="0.25">
      <c r="A827395" s="242"/>
    </row>
    <row r="827396" spans="1:1" x14ac:dyDescent="0.25">
      <c r="A827396" s="242"/>
    </row>
    <row r="827397" spans="1:1" x14ac:dyDescent="0.25">
      <c r="A827397" s="242"/>
    </row>
    <row r="827398" spans="1:1" x14ac:dyDescent="0.25">
      <c r="A827398" s="242"/>
    </row>
    <row r="827399" spans="1:1" x14ac:dyDescent="0.25">
      <c r="A827399" s="242"/>
    </row>
    <row r="827400" spans="1:1" x14ac:dyDescent="0.25">
      <c r="A827400" s="242"/>
    </row>
    <row r="827401" spans="1:1" x14ac:dyDescent="0.25">
      <c r="A827401" s="242"/>
    </row>
    <row r="827402" spans="1:1" x14ac:dyDescent="0.25">
      <c r="A827402" s="242"/>
    </row>
    <row r="827403" spans="1:1" x14ac:dyDescent="0.25">
      <c r="A827403" s="242"/>
    </row>
    <row r="827404" spans="1:1" x14ac:dyDescent="0.25">
      <c r="A827404" s="242"/>
    </row>
    <row r="827405" spans="1:1" x14ac:dyDescent="0.25">
      <c r="A827405" s="242"/>
    </row>
    <row r="827406" spans="1:1" x14ac:dyDescent="0.25">
      <c r="A827406" s="242"/>
    </row>
    <row r="827407" spans="1:1" x14ac:dyDescent="0.25">
      <c r="A827407" s="242"/>
    </row>
    <row r="827408" spans="1:1" x14ac:dyDescent="0.25">
      <c r="A827408" s="242"/>
    </row>
    <row r="827409" spans="1:1" x14ac:dyDescent="0.25">
      <c r="A827409" s="242"/>
    </row>
    <row r="827410" spans="1:1" x14ac:dyDescent="0.25">
      <c r="A827410" s="242"/>
    </row>
    <row r="827411" spans="1:1" x14ac:dyDescent="0.25">
      <c r="A827411" s="242"/>
    </row>
    <row r="827412" spans="1:1" x14ac:dyDescent="0.25">
      <c r="A827412" s="242"/>
    </row>
    <row r="827413" spans="1:1" x14ac:dyDescent="0.25">
      <c r="A827413" s="242"/>
    </row>
    <row r="827414" spans="1:1" x14ac:dyDescent="0.25">
      <c r="A827414" s="242"/>
    </row>
    <row r="827415" spans="1:1" x14ac:dyDescent="0.25">
      <c r="A827415" s="242"/>
    </row>
    <row r="827416" spans="1:1" x14ac:dyDescent="0.25">
      <c r="A827416" s="242"/>
    </row>
    <row r="827417" spans="1:1" x14ac:dyDescent="0.25">
      <c r="A827417" s="242"/>
    </row>
    <row r="827418" spans="1:1" x14ac:dyDescent="0.25">
      <c r="A827418" s="242"/>
    </row>
    <row r="827419" spans="1:1" x14ac:dyDescent="0.25">
      <c r="A827419" s="242"/>
    </row>
    <row r="827420" spans="1:1" x14ac:dyDescent="0.25">
      <c r="A827420" s="242"/>
    </row>
    <row r="827421" spans="1:1" x14ac:dyDescent="0.25">
      <c r="A827421" s="242"/>
    </row>
    <row r="827422" spans="1:1" x14ac:dyDescent="0.25">
      <c r="A827422" s="242"/>
    </row>
    <row r="827423" spans="1:1" x14ac:dyDescent="0.25">
      <c r="A827423" s="242"/>
    </row>
    <row r="827424" spans="1:1" x14ac:dyDescent="0.25">
      <c r="A827424" s="242"/>
    </row>
    <row r="827425" spans="1:1" x14ac:dyDescent="0.25">
      <c r="A827425" s="242"/>
    </row>
    <row r="827426" spans="1:1" x14ac:dyDescent="0.25">
      <c r="A827426" s="242"/>
    </row>
    <row r="827427" spans="1:1" x14ac:dyDescent="0.25">
      <c r="A827427" s="242"/>
    </row>
    <row r="827428" spans="1:1" x14ac:dyDescent="0.25">
      <c r="A827428" s="242"/>
    </row>
    <row r="827429" spans="1:1" x14ac:dyDescent="0.25">
      <c r="A827429" s="242"/>
    </row>
    <row r="827430" spans="1:1" x14ac:dyDescent="0.25">
      <c r="A827430" s="242"/>
    </row>
    <row r="827431" spans="1:1" x14ac:dyDescent="0.25">
      <c r="A827431" s="242"/>
    </row>
    <row r="827432" spans="1:1" x14ac:dyDescent="0.25">
      <c r="A827432" s="242"/>
    </row>
    <row r="827433" spans="1:1" x14ac:dyDescent="0.25">
      <c r="A827433" s="242"/>
    </row>
    <row r="827434" spans="1:1" x14ac:dyDescent="0.25">
      <c r="A827434" s="242"/>
    </row>
    <row r="827435" spans="1:1" x14ac:dyDescent="0.25">
      <c r="A827435" s="242"/>
    </row>
    <row r="827436" spans="1:1" x14ac:dyDescent="0.25">
      <c r="A827436" s="242"/>
    </row>
    <row r="827437" spans="1:1" x14ac:dyDescent="0.25">
      <c r="A827437" s="242"/>
    </row>
    <row r="827438" spans="1:1" x14ac:dyDescent="0.25">
      <c r="A827438" s="242"/>
    </row>
    <row r="827439" spans="1:1" x14ac:dyDescent="0.25">
      <c r="A827439" s="242"/>
    </row>
    <row r="827440" spans="1:1" x14ac:dyDescent="0.25">
      <c r="A827440" s="242"/>
    </row>
    <row r="827441" spans="1:1" x14ac:dyDescent="0.25">
      <c r="A827441" s="242"/>
    </row>
    <row r="827442" spans="1:1" x14ac:dyDescent="0.25">
      <c r="A827442" s="242"/>
    </row>
    <row r="827443" spans="1:1" x14ac:dyDescent="0.25">
      <c r="A827443" s="242"/>
    </row>
    <row r="827444" spans="1:1" x14ac:dyDescent="0.25">
      <c r="A827444" s="242"/>
    </row>
    <row r="827445" spans="1:1" x14ac:dyDescent="0.25">
      <c r="A827445" s="242"/>
    </row>
    <row r="827446" spans="1:1" x14ac:dyDescent="0.25">
      <c r="A827446" s="242"/>
    </row>
    <row r="827447" spans="1:1" x14ac:dyDescent="0.25">
      <c r="A827447" s="242"/>
    </row>
    <row r="827448" spans="1:1" x14ac:dyDescent="0.25">
      <c r="A827448" s="242"/>
    </row>
    <row r="827449" spans="1:1" x14ac:dyDescent="0.25">
      <c r="A827449" s="242"/>
    </row>
    <row r="827450" spans="1:1" x14ac:dyDescent="0.25">
      <c r="A827450" s="242"/>
    </row>
    <row r="827451" spans="1:1" x14ac:dyDescent="0.25">
      <c r="A827451" s="242"/>
    </row>
    <row r="827452" spans="1:1" x14ac:dyDescent="0.25">
      <c r="A827452" s="242"/>
    </row>
    <row r="827453" spans="1:1" x14ac:dyDescent="0.25">
      <c r="A827453" s="242"/>
    </row>
    <row r="827454" spans="1:1" x14ac:dyDescent="0.25">
      <c r="A827454" s="242"/>
    </row>
    <row r="827455" spans="1:1" x14ac:dyDescent="0.25">
      <c r="A827455" s="242"/>
    </row>
    <row r="827456" spans="1:1" x14ac:dyDescent="0.25">
      <c r="A827456" s="242"/>
    </row>
    <row r="827457" spans="1:1" x14ac:dyDescent="0.25">
      <c r="A827457" s="242"/>
    </row>
    <row r="827458" spans="1:1" x14ac:dyDescent="0.25">
      <c r="A827458" s="242"/>
    </row>
    <row r="827459" spans="1:1" x14ac:dyDescent="0.25">
      <c r="A827459" s="242"/>
    </row>
    <row r="827460" spans="1:1" x14ac:dyDescent="0.25">
      <c r="A827460" s="242"/>
    </row>
    <row r="827461" spans="1:1" x14ac:dyDescent="0.25">
      <c r="A827461" s="242"/>
    </row>
    <row r="827462" spans="1:1" x14ac:dyDescent="0.25">
      <c r="A827462" s="242"/>
    </row>
    <row r="827463" spans="1:1" x14ac:dyDescent="0.25">
      <c r="A827463" s="242"/>
    </row>
    <row r="827464" spans="1:1" x14ac:dyDescent="0.25">
      <c r="A827464" s="242"/>
    </row>
    <row r="827465" spans="1:1" x14ac:dyDescent="0.25">
      <c r="A827465" s="242"/>
    </row>
    <row r="827466" spans="1:1" x14ac:dyDescent="0.25">
      <c r="A827466" s="242"/>
    </row>
    <row r="827467" spans="1:1" x14ac:dyDescent="0.25">
      <c r="A827467" s="242"/>
    </row>
    <row r="827468" spans="1:1" x14ac:dyDescent="0.25">
      <c r="A827468" s="242"/>
    </row>
    <row r="827469" spans="1:1" x14ac:dyDescent="0.25">
      <c r="A827469" s="242"/>
    </row>
    <row r="827470" spans="1:1" x14ac:dyDescent="0.25">
      <c r="A827470" s="242"/>
    </row>
    <row r="827471" spans="1:1" x14ac:dyDescent="0.25">
      <c r="A827471" s="242"/>
    </row>
    <row r="827472" spans="1:1" x14ac:dyDescent="0.25">
      <c r="A827472" s="242"/>
    </row>
    <row r="827473" spans="1:1" x14ac:dyDescent="0.25">
      <c r="A827473" s="242"/>
    </row>
    <row r="827474" spans="1:1" x14ac:dyDescent="0.25">
      <c r="A827474" s="242"/>
    </row>
    <row r="827475" spans="1:1" x14ac:dyDescent="0.25">
      <c r="A827475" s="242"/>
    </row>
    <row r="827476" spans="1:1" x14ac:dyDescent="0.25">
      <c r="A827476" s="242"/>
    </row>
    <row r="827477" spans="1:1" x14ac:dyDescent="0.25">
      <c r="A827477" s="242"/>
    </row>
    <row r="827478" spans="1:1" x14ac:dyDescent="0.25">
      <c r="A827478" s="242"/>
    </row>
    <row r="827479" spans="1:1" x14ac:dyDescent="0.25">
      <c r="A827479" s="242"/>
    </row>
    <row r="827480" spans="1:1" x14ac:dyDescent="0.25">
      <c r="A827480" s="242"/>
    </row>
    <row r="827481" spans="1:1" x14ac:dyDescent="0.25">
      <c r="A827481" s="242"/>
    </row>
    <row r="827482" spans="1:1" x14ac:dyDescent="0.25">
      <c r="A827482" s="242"/>
    </row>
    <row r="827483" spans="1:1" x14ac:dyDescent="0.25">
      <c r="A827483" s="242"/>
    </row>
    <row r="827484" spans="1:1" x14ac:dyDescent="0.25">
      <c r="A827484" s="242"/>
    </row>
    <row r="827485" spans="1:1" x14ac:dyDescent="0.25">
      <c r="A827485" s="242"/>
    </row>
    <row r="827486" spans="1:1" x14ac:dyDescent="0.25">
      <c r="A827486" s="242"/>
    </row>
    <row r="827487" spans="1:1" x14ac:dyDescent="0.25">
      <c r="A827487" s="242"/>
    </row>
    <row r="827488" spans="1:1" x14ac:dyDescent="0.25">
      <c r="A827488" s="242"/>
    </row>
    <row r="827489" spans="1:1" x14ac:dyDescent="0.25">
      <c r="A827489" s="242"/>
    </row>
    <row r="827490" spans="1:1" x14ac:dyDescent="0.25">
      <c r="A827490" s="242"/>
    </row>
    <row r="827491" spans="1:1" x14ac:dyDescent="0.25">
      <c r="A827491" s="242"/>
    </row>
    <row r="827492" spans="1:1" x14ac:dyDescent="0.25">
      <c r="A827492" s="242"/>
    </row>
    <row r="827493" spans="1:1" x14ac:dyDescent="0.25">
      <c r="A827493" s="242"/>
    </row>
    <row r="827494" spans="1:1" x14ac:dyDescent="0.25">
      <c r="A827494" s="242"/>
    </row>
    <row r="827495" spans="1:1" x14ac:dyDescent="0.25">
      <c r="A827495" s="242"/>
    </row>
    <row r="827496" spans="1:1" x14ac:dyDescent="0.25">
      <c r="A827496" s="242"/>
    </row>
    <row r="827497" spans="1:1" x14ac:dyDescent="0.25">
      <c r="A827497" s="242"/>
    </row>
    <row r="827498" spans="1:1" x14ac:dyDescent="0.25">
      <c r="A827498" s="242"/>
    </row>
    <row r="827499" spans="1:1" x14ac:dyDescent="0.25">
      <c r="A827499" s="242"/>
    </row>
    <row r="827500" spans="1:1" x14ac:dyDescent="0.25">
      <c r="A827500" s="242"/>
    </row>
    <row r="827501" spans="1:1" x14ac:dyDescent="0.25">
      <c r="A827501" s="242"/>
    </row>
    <row r="827502" spans="1:1" x14ac:dyDescent="0.25">
      <c r="A827502" s="242"/>
    </row>
    <row r="827503" spans="1:1" x14ac:dyDescent="0.25">
      <c r="A827503" s="242"/>
    </row>
    <row r="827504" spans="1:1" x14ac:dyDescent="0.25">
      <c r="A827504" s="242"/>
    </row>
    <row r="827505" spans="1:1" x14ac:dyDescent="0.25">
      <c r="A827505" s="242"/>
    </row>
    <row r="827506" spans="1:1" x14ac:dyDescent="0.25">
      <c r="A827506" s="242"/>
    </row>
    <row r="827507" spans="1:1" x14ac:dyDescent="0.25">
      <c r="A827507" s="242"/>
    </row>
    <row r="827508" spans="1:1" x14ac:dyDescent="0.25">
      <c r="A827508" s="242"/>
    </row>
    <row r="827509" spans="1:1" x14ac:dyDescent="0.25">
      <c r="A827509" s="242"/>
    </row>
    <row r="827510" spans="1:1" x14ac:dyDescent="0.25">
      <c r="A827510" s="242"/>
    </row>
    <row r="827511" spans="1:1" x14ac:dyDescent="0.25">
      <c r="A827511" s="242"/>
    </row>
    <row r="827512" spans="1:1" x14ac:dyDescent="0.25">
      <c r="A827512" s="242"/>
    </row>
    <row r="827513" spans="1:1" x14ac:dyDescent="0.25">
      <c r="A827513" s="242"/>
    </row>
    <row r="827514" spans="1:1" x14ac:dyDescent="0.25">
      <c r="A827514" s="242"/>
    </row>
    <row r="827515" spans="1:1" x14ac:dyDescent="0.25">
      <c r="A827515" s="242"/>
    </row>
    <row r="827516" spans="1:1" x14ac:dyDescent="0.25">
      <c r="A827516" s="242"/>
    </row>
    <row r="827517" spans="1:1" x14ac:dyDescent="0.25">
      <c r="A827517" s="242"/>
    </row>
    <row r="827518" spans="1:1" x14ac:dyDescent="0.25">
      <c r="A827518" s="242"/>
    </row>
    <row r="827519" spans="1:1" x14ac:dyDescent="0.25">
      <c r="A827519" s="242"/>
    </row>
    <row r="827520" spans="1:1" x14ac:dyDescent="0.25">
      <c r="A827520" s="242"/>
    </row>
    <row r="827521" spans="1:1" x14ac:dyDescent="0.25">
      <c r="A827521" s="242"/>
    </row>
    <row r="827522" spans="1:1" x14ac:dyDescent="0.25">
      <c r="A827522" s="242"/>
    </row>
    <row r="827523" spans="1:1" x14ac:dyDescent="0.25">
      <c r="A827523" s="242"/>
    </row>
    <row r="827524" spans="1:1" x14ac:dyDescent="0.25">
      <c r="A827524" s="242"/>
    </row>
    <row r="827525" spans="1:1" x14ac:dyDescent="0.25">
      <c r="A827525" s="242"/>
    </row>
    <row r="827526" spans="1:1" x14ac:dyDescent="0.25">
      <c r="A827526" s="242"/>
    </row>
    <row r="827527" spans="1:1" x14ac:dyDescent="0.25">
      <c r="A827527" s="242"/>
    </row>
    <row r="827528" spans="1:1" x14ac:dyDescent="0.25">
      <c r="A827528" s="242"/>
    </row>
    <row r="827529" spans="1:1" x14ac:dyDescent="0.25">
      <c r="A827529" s="242"/>
    </row>
    <row r="827530" spans="1:1" x14ac:dyDescent="0.25">
      <c r="A827530" s="242"/>
    </row>
    <row r="827531" spans="1:1" x14ac:dyDescent="0.25">
      <c r="A827531" s="242"/>
    </row>
    <row r="827532" spans="1:1" x14ac:dyDescent="0.25">
      <c r="A827532" s="242"/>
    </row>
    <row r="827533" spans="1:1" x14ac:dyDescent="0.25">
      <c r="A827533" s="242"/>
    </row>
    <row r="827534" spans="1:1" x14ac:dyDescent="0.25">
      <c r="A827534" s="242"/>
    </row>
    <row r="827535" spans="1:1" x14ac:dyDescent="0.25">
      <c r="A827535" s="242"/>
    </row>
    <row r="827536" spans="1:1" x14ac:dyDescent="0.25">
      <c r="A827536" s="242"/>
    </row>
    <row r="827537" spans="1:1" x14ac:dyDescent="0.25">
      <c r="A827537" s="242"/>
    </row>
    <row r="827538" spans="1:1" x14ac:dyDescent="0.25">
      <c r="A827538" s="242"/>
    </row>
    <row r="827539" spans="1:1" x14ac:dyDescent="0.25">
      <c r="A827539" s="242"/>
    </row>
    <row r="827540" spans="1:1" x14ac:dyDescent="0.25">
      <c r="A827540" s="242"/>
    </row>
    <row r="827541" spans="1:1" x14ac:dyDescent="0.25">
      <c r="A827541" s="242"/>
    </row>
    <row r="827542" spans="1:1" x14ac:dyDescent="0.25">
      <c r="A827542" s="242"/>
    </row>
    <row r="827543" spans="1:1" x14ac:dyDescent="0.25">
      <c r="A827543" s="242"/>
    </row>
    <row r="827544" spans="1:1" x14ac:dyDescent="0.25">
      <c r="A827544" s="242"/>
    </row>
    <row r="827545" spans="1:1" x14ac:dyDescent="0.25">
      <c r="A827545" s="242"/>
    </row>
    <row r="827546" spans="1:1" x14ac:dyDescent="0.25">
      <c r="A827546" s="242"/>
    </row>
    <row r="827547" spans="1:1" x14ac:dyDescent="0.25">
      <c r="A827547" s="242"/>
    </row>
    <row r="827548" spans="1:1" x14ac:dyDescent="0.25">
      <c r="A827548" s="242"/>
    </row>
    <row r="827549" spans="1:1" x14ac:dyDescent="0.25">
      <c r="A827549" s="242"/>
    </row>
    <row r="827550" spans="1:1" x14ac:dyDescent="0.25">
      <c r="A827550" s="242"/>
    </row>
    <row r="827551" spans="1:1" x14ac:dyDescent="0.25">
      <c r="A827551" s="242"/>
    </row>
    <row r="827552" spans="1:1" x14ac:dyDescent="0.25">
      <c r="A827552" s="242"/>
    </row>
    <row r="827553" spans="1:1" x14ac:dyDescent="0.25">
      <c r="A827553" s="242"/>
    </row>
    <row r="827554" spans="1:1" x14ac:dyDescent="0.25">
      <c r="A827554" s="242"/>
    </row>
    <row r="827555" spans="1:1" x14ac:dyDescent="0.25">
      <c r="A827555" s="242"/>
    </row>
    <row r="827556" spans="1:1" x14ac:dyDescent="0.25">
      <c r="A827556" s="242"/>
    </row>
    <row r="827557" spans="1:1" x14ac:dyDescent="0.25">
      <c r="A827557" s="242"/>
    </row>
    <row r="827558" spans="1:1" x14ac:dyDescent="0.25">
      <c r="A827558" s="242"/>
    </row>
    <row r="827559" spans="1:1" x14ac:dyDescent="0.25">
      <c r="A827559" s="242"/>
    </row>
    <row r="827560" spans="1:1" x14ac:dyDescent="0.25">
      <c r="A827560" s="242"/>
    </row>
    <row r="827561" spans="1:1" x14ac:dyDescent="0.25">
      <c r="A827561" s="242"/>
    </row>
    <row r="827562" spans="1:1" x14ac:dyDescent="0.25">
      <c r="A827562" s="242"/>
    </row>
    <row r="827563" spans="1:1" x14ac:dyDescent="0.25">
      <c r="A827563" s="242"/>
    </row>
    <row r="827564" spans="1:1" x14ac:dyDescent="0.25">
      <c r="A827564" s="242"/>
    </row>
    <row r="827565" spans="1:1" x14ac:dyDescent="0.25">
      <c r="A827565" s="242"/>
    </row>
    <row r="827566" spans="1:1" x14ac:dyDescent="0.25">
      <c r="A827566" s="242"/>
    </row>
    <row r="827567" spans="1:1" x14ac:dyDescent="0.25">
      <c r="A827567" s="242"/>
    </row>
    <row r="827568" spans="1:1" x14ac:dyDescent="0.25">
      <c r="A827568" s="242"/>
    </row>
    <row r="827569" spans="1:1" x14ac:dyDescent="0.25">
      <c r="A827569" s="242"/>
    </row>
    <row r="827570" spans="1:1" x14ac:dyDescent="0.25">
      <c r="A827570" s="242"/>
    </row>
    <row r="827571" spans="1:1" x14ac:dyDescent="0.25">
      <c r="A827571" s="242"/>
    </row>
    <row r="827572" spans="1:1" x14ac:dyDescent="0.25">
      <c r="A827572" s="242"/>
    </row>
    <row r="827573" spans="1:1" x14ac:dyDescent="0.25">
      <c r="A827573" s="242"/>
    </row>
    <row r="827574" spans="1:1" x14ac:dyDescent="0.25">
      <c r="A827574" s="242"/>
    </row>
    <row r="827575" spans="1:1" x14ac:dyDescent="0.25">
      <c r="A827575" s="242"/>
    </row>
    <row r="827576" spans="1:1" x14ac:dyDescent="0.25">
      <c r="A827576" s="242"/>
    </row>
    <row r="827577" spans="1:1" x14ac:dyDescent="0.25">
      <c r="A827577" s="242"/>
    </row>
    <row r="827578" spans="1:1" x14ac:dyDescent="0.25">
      <c r="A827578" s="242"/>
    </row>
    <row r="827579" spans="1:1" x14ac:dyDescent="0.25">
      <c r="A827579" s="242"/>
    </row>
    <row r="827580" spans="1:1" x14ac:dyDescent="0.25">
      <c r="A827580" s="242"/>
    </row>
    <row r="827581" spans="1:1" x14ac:dyDescent="0.25">
      <c r="A827581" s="242"/>
    </row>
    <row r="827582" spans="1:1" x14ac:dyDescent="0.25">
      <c r="A827582" s="242"/>
    </row>
    <row r="827583" spans="1:1" x14ac:dyDescent="0.25">
      <c r="A827583" s="242"/>
    </row>
    <row r="827584" spans="1:1" x14ac:dyDescent="0.25">
      <c r="A827584" s="242"/>
    </row>
    <row r="827585" spans="1:1" x14ac:dyDescent="0.25">
      <c r="A827585" s="242"/>
    </row>
    <row r="827586" spans="1:1" x14ac:dyDescent="0.25">
      <c r="A827586" s="242"/>
    </row>
    <row r="827587" spans="1:1" x14ac:dyDescent="0.25">
      <c r="A827587" s="242"/>
    </row>
    <row r="827588" spans="1:1" x14ac:dyDescent="0.25">
      <c r="A827588" s="242"/>
    </row>
    <row r="827589" spans="1:1" x14ac:dyDescent="0.25">
      <c r="A827589" s="242"/>
    </row>
    <row r="827590" spans="1:1" x14ac:dyDescent="0.25">
      <c r="A827590" s="242"/>
    </row>
    <row r="827591" spans="1:1" x14ac:dyDescent="0.25">
      <c r="A827591" s="242"/>
    </row>
    <row r="827592" spans="1:1" x14ac:dyDescent="0.25">
      <c r="A827592" s="242"/>
    </row>
    <row r="827593" spans="1:1" x14ac:dyDescent="0.25">
      <c r="A827593" s="242"/>
    </row>
    <row r="827594" spans="1:1" x14ac:dyDescent="0.25">
      <c r="A827594" s="242"/>
    </row>
    <row r="827595" spans="1:1" x14ac:dyDescent="0.25">
      <c r="A827595" s="242"/>
    </row>
    <row r="827596" spans="1:1" x14ac:dyDescent="0.25">
      <c r="A827596" s="242"/>
    </row>
    <row r="827597" spans="1:1" x14ac:dyDescent="0.25">
      <c r="A827597" s="242"/>
    </row>
    <row r="827598" spans="1:1" x14ac:dyDescent="0.25">
      <c r="A827598" s="242"/>
    </row>
    <row r="827599" spans="1:1" x14ac:dyDescent="0.25">
      <c r="A827599" s="242"/>
    </row>
    <row r="827600" spans="1:1" x14ac:dyDescent="0.25">
      <c r="A827600" s="242"/>
    </row>
    <row r="827601" spans="1:1" x14ac:dyDescent="0.25">
      <c r="A827601" s="242"/>
    </row>
    <row r="827602" spans="1:1" x14ac:dyDescent="0.25">
      <c r="A827602" s="242"/>
    </row>
    <row r="827603" spans="1:1" x14ac:dyDescent="0.25">
      <c r="A827603" s="242"/>
    </row>
    <row r="827604" spans="1:1" x14ac:dyDescent="0.25">
      <c r="A827604" s="242"/>
    </row>
    <row r="827605" spans="1:1" x14ac:dyDescent="0.25">
      <c r="A827605" s="242"/>
    </row>
    <row r="827606" spans="1:1" x14ac:dyDescent="0.25">
      <c r="A827606" s="242"/>
    </row>
    <row r="827607" spans="1:1" x14ac:dyDescent="0.25">
      <c r="A827607" s="242"/>
    </row>
    <row r="827608" spans="1:1" x14ac:dyDescent="0.25">
      <c r="A827608" s="242"/>
    </row>
    <row r="827609" spans="1:1" x14ac:dyDescent="0.25">
      <c r="A827609" s="242"/>
    </row>
    <row r="827610" spans="1:1" x14ac:dyDescent="0.25">
      <c r="A827610" s="242"/>
    </row>
    <row r="827611" spans="1:1" x14ac:dyDescent="0.25">
      <c r="A827611" s="242"/>
    </row>
    <row r="827612" spans="1:1" x14ac:dyDescent="0.25">
      <c r="A827612" s="242"/>
    </row>
    <row r="827613" spans="1:1" x14ac:dyDescent="0.25">
      <c r="A827613" s="242"/>
    </row>
    <row r="827614" spans="1:1" x14ac:dyDescent="0.25">
      <c r="A827614" s="242"/>
    </row>
    <row r="827615" spans="1:1" x14ac:dyDescent="0.25">
      <c r="A827615" s="242"/>
    </row>
    <row r="827616" spans="1:1" x14ac:dyDescent="0.25">
      <c r="A827616" s="242"/>
    </row>
    <row r="827617" spans="1:1" x14ac:dyDescent="0.25">
      <c r="A827617" s="242"/>
    </row>
    <row r="827618" spans="1:1" x14ac:dyDescent="0.25">
      <c r="A827618" s="242"/>
    </row>
    <row r="827619" spans="1:1" x14ac:dyDescent="0.25">
      <c r="A827619" s="242"/>
    </row>
    <row r="827620" spans="1:1" x14ac:dyDescent="0.25">
      <c r="A827620" s="242"/>
    </row>
    <row r="827621" spans="1:1" x14ac:dyDescent="0.25">
      <c r="A827621" s="242"/>
    </row>
    <row r="827622" spans="1:1" x14ac:dyDescent="0.25">
      <c r="A827622" s="242"/>
    </row>
    <row r="827623" spans="1:1" x14ac:dyDescent="0.25">
      <c r="A827623" s="242"/>
    </row>
    <row r="827624" spans="1:1" x14ac:dyDescent="0.25">
      <c r="A827624" s="242"/>
    </row>
    <row r="827625" spans="1:1" x14ac:dyDescent="0.25">
      <c r="A827625" s="242"/>
    </row>
    <row r="827626" spans="1:1" x14ac:dyDescent="0.25">
      <c r="A827626" s="242"/>
    </row>
    <row r="827627" spans="1:1" x14ac:dyDescent="0.25">
      <c r="A827627" s="242"/>
    </row>
    <row r="827628" spans="1:1" x14ac:dyDescent="0.25">
      <c r="A827628" s="242"/>
    </row>
    <row r="827629" spans="1:1" x14ac:dyDescent="0.25">
      <c r="A827629" s="242"/>
    </row>
    <row r="827630" spans="1:1" x14ac:dyDescent="0.25">
      <c r="A827630" s="242"/>
    </row>
    <row r="827631" spans="1:1" x14ac:dyDescent="0.25">
      <c r="A827631" s="242"/>
    </row>
    <row r="827632" spans="1:1" x14ac:dyDescent="0.25">
      <c r="A827632" s="242"/>
    </row>
    <row r="827633" spans="1:1" x14ac:dyDescent="0.25">
      <c r="A827633" s="242"/>
    </row>
    <row r="827634" spans="1:1" x14ac:dyDescent="0.25">
      <c r="A827634" s="242"/>
    </row>
    <row r="827635" spans="1:1" x14ac:dyDescent="0.25">
      <c r="A827635" s="242"/>
    </row>
    <row r="827636" spans="1:1" x14ac:dyDescent="0.25">
      <c r="A827636" s="242"/>
    </row>
    <row r="827637" spans="1:1" x14ac:dyDescent="0.25">
      <c r="A827637" s="242"/>
    </row>
    <row r="827638" spans="1:1" x14ac:dyDescent="0.25">
      <c r="A827638" s="242"/>
    </row>
    <row r="827639" spans="1:1" x14ac:dyDescent="0.25">
      <c r="A827639" s="242"/>
    </row>
    <row r="827640" spans="1:1" x14ac:dyDescent="0.25">
      <c r="A827640" s="242"/>
    </row>
    <row r="827641" spans="1:1" x14ac:dyDescent="0.25">
      <c r="A827641" s="242"/>
    </row>
    <row r="827642" spans="1:1" x14ac:dyDescent="0.25">
      <c r="A827642" s="242"/>
    </row>
    <row r="827643" spans="1:1" x14ac:dyDescent="0.25">
      <c r="A827643" s="242"/>
    </row>
    <row r="827644" spans="1:1" x14ac:dyDescent="0.25">
      <c r="A827644" s="242"/>
    </row>
    <row r="827645" spans="1:1" x14ac:dyDescent="0.25">
      <c r="A827645" s="242"/>
    </row>
    <row r="827646" spans="1:1" x14ac:dyDescent="0.25">
      <c r="A827646" s="242"/>
    </row>
    <row r="827647" spans="1:1" x14ac:dyDescent="0.25">
      <c r="A827647" s="242"/>
    </row>
    <row r="827648" spans="1:1" x14ac:dyDescent="0.25">
      <c r="A827648" s="242"/>
    </row>
    <row r="827649" spans="1:1" x14ac:dyDescent="0.25">
      <c r="A827649" s="242"/>
    </row>
    <row r="827650" spans="1:1" x14ac:dyDescent="0.25">
      <c r="A827650" s="242"/>
    </row>
    <row r="827651" spans="1:1" x14ac:dyDescent="0.25">
      <c r="A827651" s="242"/>
    </row>
    <row r="827652" spans="1:1" x14ac:dyDescent="0.25">
      <c r="A827652" s="242"/>
    </row>
    <row r="827653" spans="1:1" x14ac:dyDescent="0.25">
      <c r="A827653" s="242"/>
    </row>
    <row r="827654" spans="1:1" x14ac:dyDescent="0.25">
      <c r="A827654" s="242"/>
    </row>
    <row r="827655" spans="1:1" x14ac:dyDescent="0.25">
      <c r="A827655" s="242"/>
    </row>
    <row r="827656" spans="1:1" x14ac:dyDescent="0.25">
      <c r="A827656" s="242"/>
    </row>
    <row r="827657" spans="1:1" x14ac:dyDescent="0.25">
      <c r="A827657" s="242"/>
    </row>
    <row r="827658" spans="1:1" x14ac:dyDescent="0.25">
      <c r="A827658" s="242"/>
    </row>
    <row r="827659" spans="1:1" x14ac:dyDescent="0.25">
      <c r="A827659" s="242"/>
    </row>
    <row r="827660" spans="1:1" x14ac:dyDescent="0.25">
      <c r="A827660" s="242"/>
    </row>
    <row r="827661" spans="1:1" x14ac:dyDescent="0.25">
      <c r="A827661" s="242"/>
    </row>
    <row r="827662" spans="1:1" x14ac:dyDescent="0.25">
      <c r="A827662" s="242"/>
    </row>
    <row r="827663" spans="1:1" x14ac:dyDescent="0.25">
      <c r="A827663" s="242"/>
    </row>
    <row r="827664" spans="1:1" x14ac:dyDescent="0.25">
      <c r="A827664" s="242"/>
    </row>
    <row r="827665" spans="1:1" x14ac:dyDescent="0.25">
      <c r="A827665" s="242"/>
    </row>
    <row r="827666" spans="1:1" x14ac:dyDescent="0.25">
      <c r="A827666" s="242"/>
    </row>
    <row r="827667" spans="1:1" x14ac:dyDescent="0.25">
      <c r="A827667" s="242"/>
    </row>
    <row r="827668" spans="1:1" x14ac:dyDescent="0.25">
      <c r="A827668" s="242"/>
    </row>
    <row r="827669" spans="1:1" x14ac:dyDescent="0.25">
      <c r="A827669" s="242"/>
    </row>
    <row r="827670" spans="1:1" x14ac:dyDescent="0.25">
      <c r="A827670" s="242"/>
    </row>
    <row r="827671" spans="1:1" x14ac:dyDescent="0.25">
      <c r="A827671" s="242"/>
    </row>
    <row r="827672" spans="1:1" x14ac:dyDescent="0.25">
      <c r="A827672" s="242"/>
    </row>
    <row r="827673" spans="1:1" x14ac:dyDescent="0.25">
      <c r="A827673" s="242"/>
    </row>
    <row r="827674" spans="1:1" x14ac:dyDescent="0.25">
      <c r="A827674" s="242"/>
    </row>
    <row r="827675" spans="1:1" x14ac:dyDescent="0.25">
      <c r="A827675" s="242"/>
    </row>
    <row r="827676" spans="1:1" x14ac:dyDescent="0.25">
      <c r="A827676" s="242"/>
    </row>
    <row r="827677" spans="1:1" x14ac:dyDescent="0.25">
      <c r="A827677" s="242"/>
    </row>
    <row r="827678" spans="1:1" x14ac:dyDescent="0.25">
      <c r="A827678" s="242"/>
    </row>
    <row r="827679" spans="1:1" x14ac:dyDescent="0.25">
      <c r="A827679" s="242"/>
    </row>
    <row r="827680" spans="1:1" x14ac:dyDescent="0.25">
      <c r="A827680" s="242"/>
    </row>
    <row r="827681" spans="1:1" x14ac:dyDescent="0.25">
      <c r="A827681" s="242"/>
    </row>
    <row r="827682" spans="1:1" x14ac:dyDescent="0.25">
      <c r="A827682" s="242"/>
    </row>
    <row r="827683" spans="1:1" x14ac:dyDescent="0.25">
      <c r="A827683" s="242"/>
    </row>
    <row r="827684" spans="1:1" x14ac:dyDescent="0.25">
      <c r="A827684" s="242"/>
    </row>
    <row r="827685" spans="1:1" x14ac:dyDescent="0.25">
      <c r="A827685" s="242"/>
    </row>
    <row r="827686" spans="1:1" x14ac:dyDescent="0.25">
      <c r="A827686" s="242"/>
    </row>
    <row r="827687" spans="1:1" x14ac:dyDescent="0.25">
      <c r="A827687" s="242"/>
    </row>
    <row r="827688" spans="1:1" x14ac:dyDescent="0.25">
      <c r="A827688" s="242"/>
    </row>
    <row r="827689" spans="1:1" x14ac:dyDescent="0.25">
      <c r="A827689" s="242"/>
    </row>
    <row r="827690" spans="1:1" x14ac:dyDescent="0.25">
      <c r="A827690" s="242"/>
    </row>
    <row r="827691" spans="1:1" x14ac:dyDescent="0.25">
      <c r="A827691" s="242"/>
    </row>
    <row r="827692" spans="1:1" x14ac:dyDescent="0.25">
      <c r="A827692" s="242"/>
    </row>
    <row r="827693" spans="1:1" x14ac:dyDescent="0.25">
      <c r="A827693" s="242"/>
    </row>
    <row r="827694" spans="1:1" x14ac:dyDescent="0.25">
      <c r="A827694" s="242"/>
    </row>
    <row r="827695" spans="1:1" x14ac:dyDescent="0.25">
      <c r="A827695" s="242"/>
    </row>
    <row r="827696" spans="1:1" x14ac:dyDescent="0.25">
      <c r="A827696" s="242"/>
    </row>
    <row r="827697" spans="1:1" x14ac:dyDescent="0.25">
      <c r="A827697" s="242"/>
    </row>
    <row r="827698" spans="1:1" x14ac:dyDescent="0.25">
      <c r="A827698" s="242"/>
    </row>
    <row r="827699" spans="1:1" x14ac:dyDescent="0.25">
      <c r="A827699" s="242"/>
    </row>
    <row r="827700" spans="1:1" x14ac:dyDescent="0.25">
      <c r="A827700" s="242"/>
    </row>
    <row r="827701" spans="1:1" x14ac:dyDescent="0.25">
      <c r="A827701" s="242"/>
    </row>
    <row r="827702" spans="1:1" x14ac:dyDescent="0.25">
      <c r="A827702" s="242"/>
    </row>
    <row r="827703" spans="1:1" x14ac:dyDescent="0.25">
      <c r="A827703" s="242"/>
    </row>
    <row r="827704" spans="1:1" x14ac:dyDescent="0.25">
      <c r="A827704" s="242"/>
    </row>
    <row r="827705" spans="1:1" x14ac:dyDescent="0.25">
      <c r="A827705" s="242"/>
    </row>
    <row r="827706" spans="1:1" x14ac:dyDescent="0.25">
      <c r="A827706" s="242"/>
    </row>
    <row r="827707" spans="1:1" x14ac:dyDescent="0.25">
      <c r="A827707" s="242"/>
    </row>
    <row r="827708" spans="1:1" x14ac:dyDescent="0.25">
      <c r="A827708" s="242"/>
    </row>
    <row r="827709" spans="1:1" x14ac:dyDescent="0.25">
      <c r="A827709" s="242"/>
    </row>
    <row r="827710" spans="1:1" x14ac:dyDescent="0.25">
      <c r="A827710" s="242"/>
    </row>
    <row r="827711" spans="1:1" x14ac:dyDescent="0.25">
      <c r="A827711" s="242"/>
    </row>
    <row r="827712" spans="1:1" x14ac:dyDescent="0.25">
      <c r="A827712" s="242"/>
    </row>
    <row r="827713" spans="1:1" x14ac:dyDescent="0.25">
      <c r="A827713" s="242"/>
    </row>
    <row r="827714" spans="1:1" x14ac:dyDescent="0.25">
      <c r="A827714" s="242"/>
    </row>
    <row r="827715" spans="1:1" x14ac:dyDescent="0.25">
      <c r="A827715" s="242"/>
    </row>
    <row r="827716" spans="1:1" x14ac:dyDescent="0.25">
      <c r="A827716" s="242"/>
    </row>
    <row r="827717" spans="1:1" x14ac:dyDescent="0.25">
      <c r="A827717" s="242"/>
    </row>
    <row r="827718" spans="1:1" x14ac:dyDescent="0.25">
      <c r="A827718" s="242"/>
    </row>
    <row r="827719" spans="1:1" x14ac:dyDescent="0.25">
      <c r="A827719" s="242"/>
    </row>
    <row r="827720" spans="1:1" x14ac:dyDescent="0.25">
      <c r="A827720" s="242"/>
    </row>
    <row r="827721" spans="1:1" x14ac:dyDescent="0.25">
      <c r="A827721" s="242"/>
    </row>
    <row r="827722" spans="1:1" x14ac:dyDescent="0.25">
      <c r="A827722" s="242"/>
    </row>
    <row r="827723" spans="1:1" x14ac:dyDescent="0.25">
      <c r="A827723" s="242"/>
    </row>
    <row r="827724" spans="1:1" x14ac:dyDescent="0.25">
      <c r="A827724" s="242"/>
    </row>
    <row r="827725" spans="1:1" x14ac:dyDescent="0.25">
      <c r="A827725" s="242"/>
    </row>
    <row r="827726" spans="1:1" x14ac:dyDescent="0.25">
      <c r="A827726" s="242"/>
    </row>
    <row r="827727" spans="1:1" x14ac:dyDescent="0.25">
      <c r="A827727" s="242"/>
    </row>
    <row r="827728" spans="1:1" x14ac:dyDescent="0.25">
      <c r="A827728" s="242"/>
    </row>
    <row r="827729" spans="1:1" x14ac:dyDescent="0.25">
      <c r="A827729" s="242"/>
    </row>
    <row r="827730" spans="1:1" x14ac:dyDescent="0.25">
      <c r="A827730" s="242"/>
    </row>
    <row r="827731" spans="1:1" x14ac:dyDescent="0.25">
      <c r="A827731" s="242"/>
    </row>
    <row r="827732" spans="1:1" x14ac:dyDescent="0.25">
      <c r="A827732" s="242"/>
    </row>
    <row r="827733" spans="1:1" x14ac:dyDescent="0.25">
      <c r="A827733" s="242"/>
    </row>
    <row r="827734" spans="1:1" x14ac:dyDescent="0.25">
      <c r="A827734" s="242"/>
    </row>
    <row r="827735" spans="1:1" x14ac:dyDescent="0.25">
      <c r="A827735" s="242"/>
    </row>
    <row r="827736" spans="1:1" x14ac:dyDescent="0.25">
      <c r="A827736" s="242"/>
    </row>
    <row r="827737" spans="1:1" x14ac:dyDescent="0.25">
      <c r="A827737" s="242"/>
    </row>
    <row r="827738" spans="1:1" x14ac:dyDescent="0.25">
      <c r="A827738" s="242"/>
    </row>
    <row r="827739" spans="1:1" x14ac:dyDescent="0.25">
      <c r="A827739" s="242"/>
    </row>
    <row r="827740" spans="1:1" x14ac:dyDescent="0.25">
      <c r="A827740" s="242"/>
    </row>
    <row r="827741" spans="1:1" x14ac:dyDescent="0.25">
      <c r="A827741" s="242"/>
    </row>
    <row r="827742" spans="1:1" x14ac:dyDescent="0.25">
      <c r="A827742" s="242"/>
    </row>
    <row r="827743" spans="1:1" x14ac:dyDescent="0.25">
      <c r="A827743" s="242"/>
    </row>
    <row r="827744" spans="1:1" x14ac:dyDescent="0.25">
      <c r="A827744" s="242"/>
    </row>
    <row r="827745" spans="1:1" x14ac:dyDescent="0.25">
      <c r="A827745" s="242"/>
    </row>
    <row r="827746" spans="1:1" x14ac:dyDescent="0.25">
      <c r="A827746" s="242"/>
    </row>
    <row r="827747" spans="1:1" x14ac:dyDescent="0.25">
      <c r="A827747" s="242"/>
    </row>
    <row r="827748" spans="1:1" x14ac:dyDescent="0.25">
      <c r="A827748" s="242"/>
    </row>
    <row r="827749" spans="1:1" x14ac:dyDescent="0.25">
      <c r="A827749" s="242"/>
    </row>
    <row r="827750" spans="1:1" x14ac:dyDescent="0.25">
      <c r="A827750" s="242"/>
    </row>
    <row r="827751" spans="1:1" x14ac:dyDescent="0.25">
      <c r="A827751" s="242"/>
    </row>
    <row r="827752" spans="1:1" x14ac:dyDescent="0.25">
      <c r="A827752" s="242"/>
    </row>
    <row r="827753" spans="1:1" x14ac:dyDescent="0.25">
      <c r="A827753" s="242"/>
    </row>
    <row r="827754" spans="1:1" x14ac:dyDescent="0.25">
      <c r="A827754" s="242"/>
    </row>
    <row r="827755" spans="1:1" x14ac:dyDescent="0.25">
      <c r="A827755" s="242"/>
    </row>
    <row r="827756" spans="1:1" x14ac:dyDescent="0.25">
      <c r="A827756" s="242"/>
    </row>
    <row r="827757" spans="1:1" x14ac:dyDescent="0.25">
      <c r="A827757" s="242"/>
    </row>
    <row r="827758" spans="1:1" x14ac:dyDescent="0.25">
      <c r="A827758" s="242"/>
    </row>
    <row r="827759" spans="1:1" x14ac:dyDescent="0.25">
      <c r="A827759" s="242"/>
    </row>
    <row r="827760" spans="1:1" x14ac:dyDescent="0.25">
      <c r="A827760" s="242"/>
    </row>
    <row r="827761" spans="1:1" x14ac:dyDescent="0.25">
      <c r="A827761" s="242"/>
    </row>
    <row r="827762" spans="1:1" x14ac:dyDescent="0.25">
      <c r="A827762" s="242"/>
    </row>
    <row r="827763" spans="1:1" x14ac:dyDescent="0.25">
      <c r="A827763" s="242"/>
    </row>
    <row r="827764" spans="1:1" x14ac:dyDescent="0.25">
      <c r="A827764" s="242"/>
    </row>
    <row r="827765" spans="1:1" x14ac:dyDescent="0.25">
      <c r="A827765" s="242"/>
    </row>
    <row r="827766" spans="1:1" x14ac:dyDescent="0.25">
      <c r="A827766" s="242"/>
    </row>
    <row r="827767" spans="1:1" x14ac:dyDescent="0.25">
      <c r="A827767" s="242"/>
    </row>
    <row r="827768" spans="1:1" x14ac:dyDescent="0.25">
      <c r="A827768" s="242"/>
    </row>
    <row r="827769" spans="1:1" x14ac:dyDescent="0.25">
      <c r="A827769" s="242"/>
    </row>
    <row r="827770" spans="1:1" x14ac:dyDescent="0.25">
      <c r="A827770" s="242"/>
    </row>
    <row r="827771" spans="1:1" x14ac:dyDescent="0.25">
      <c r="A827771" s="242"/>
    </row>
    <row r="827772" spans="1:1" x14ac:dyDescent="0.25">
      <c r="A827772" s="242"/>
    </row>
    <row r="827773" spans="1:1" x14ac:dyDescent="0.25">
      <c r="A827773" s="242"/>
    </row>
    <row r="827774" spans="1:1" x14ac:dyDescent="0.25">
      <c r="A827774" s="242"/>
    </row>
    <row r="827775" spans="1:1" x14ac:dyDescent="0.25">
      <c r="A827775" s="242"/>
    </row>
    <row r="827776" spans="1:1" x14ac:dyDescent="0.25">
      <c r="A827776" s="242"/>
    </row>
    <row r="827777" spans="1:1" x14ac:dyDescent="0.25">
      <c r="A827777" s="242"/>
    </row>
    <row r="827778" spans="1:1" x14ac:dyDescent="0.25">
      <c r="A827778" s="242"/>
    </row>
    <row r="827779" spans="1:1" x14ac:dyDescent="0.25">
      <c r="A827779" s="242"/>
    </row>
    <row r="827780" spans="1:1" x14ac:dyDescent="0.25">
      <c r="A827780" s="242"/>
    </row>
    <row r="827781" spans="1:1" x14ac:dyDescent="0.25">
      <c r="A827781" s="242"/>
    </row>
    <row r="827782" spans="1:1" x14ac:dyDescent="0.25">
      <c r="A827782" s="242"/>
    </row>
    <row r="827783" spans="1:1" x14ac:dyDescent="0.25">
      <c r="A827783" s="242"/>
    </row>
    <row r="827784" spans="1:1" x14ac:dyDescent="0.25">
      <c r="A827784" s="242"/>
    </row>
    <row r="827785" spans="1:1" x14ac:dyDescent="0.25">
      <c r="A827785" s="242"/>
    </row>
    <row r="827786" spans="1:1" x14ac:dyDescent="0.25">
      <c r="A827786" s="242"/>
    </row>
    <row r="827787" spans="1:1" x14ac:dyDescent="0.25">
      <c r="A827787" s="242"/>
    </row>
    <row r="827788" spans="1:1" x14ac:dyDescent="0.25">
      <c r="A827788" s="242"/>
    </row>
    <row r="827789" spans="1:1" x14ac:dyDescent="0.25">
      <c r="A827789" s="242"/>
    </row>
    <row r="827790" spans="1:1" x14ac:dyDescent="0.25">
      <c r="A827790" s="242"/>
    </row>
    <row r="827791" spans="1:1" x14ac:dyDescent="0.25">
      <c r="A827791" s="242"/>
    </row>
    <row r="827792" spans="1:1" x14ac:dyDescent="0.25">
      <c r="A827792" s="242"/>
    </row>
    <row r="827793" spans="1:1" x14ac:dyDescent="0.25">
      <c r="A827793" s="242"/>
    </row>
    <row r="827794" spans="1:1" x14ac:dyDescent="0.25">
      <c r="A827794" s="242"/>
    </row>
    <row r="827795" spans="1:1" x14ac:dyDescent="0.25">
      <c r="A827795" s="242"/>
    </row>
    <row r="827796" spans="1:1" x14ac:dyDescent="0.25">
      <c r="A827796" s="242"/>
    </row>
    <row r="827797" spans="1:1" x14ac:dyDescent="0.25">
      <c r="A827797" s="242"/>
    </row>
    <row r="827798" spans="1:1" x14ac:dyDescent="0.25">
      <c r="A827798" s="242"/>
    </row>
    <row r="827799" spans="1:1" x14ac:dyDescent="0.25">
      <c r="A827799" s="242"/>
    </row>
    <row r="827800" spans="1:1" x14ac:dyDescent="0.25">
      <c r="A827800" s="242"/>
    </row>
    <row r="827801" spans="1:1" x14ac:dyDescent="0.25">
      <c r="A827801" s="242"/>
    </row>
    <row r="827802" spans="1:1" x14ac:dyDescent="0.25">
      <c r="A827802" s="242"/>
    </row>
    <row r="827803" spans="1:1" x14ac:dyDescent="0.25">
      <c r="A827803" s="242"/>
    </row>
    <row r="827804" spans="1:1" x14ac:dyDescent="0.25">
      <c r="A827804" s="242"/>
    </row>
    <row r="827805" spans="1:1" x14ac:dyDescent="0.25">
      <c r="A827805" s="242"/>
    </row>
    <row r="827806" spans="1:1" x14ac:dyDescent="0.25">
      <c r="A827806" s="242"/>
    </row>
    <row r="827807" spans="1:1" x14ac:dyDescent="0.25">
      <c r="A827807" s="242"/>
    </row>
    <row r="827808" spans="1:1" x14ac:dyDescent="0.25">
      <c r="A827808" s="242"/>
    </row>
    <row r="827809" spans="1:1" x14ac:dyDescent="0.25">
      <c r="A827809" s="242"/>
    </row>
    <row r="827810" spans="1:1" x14ac:dyDescent="0.25">
      <c r="A827810" s="242"/>
    </row>
    <row r="827811" spans="1:1" x14ac:dyDescent="0.25">
      <c r="A827811" s="242"/>
    </row>
    <row r="827812" spans="1:1" x14ac:dyDescent="0.25">
      <c r="A827812" s="242"/>
    </row>
    <row r="827813" spans="1:1" x14ac:dyDescent="0.25">
      <c r="A827813" s="242"/>
    </row>
    <row r="827814" spans="1:1" x14ac:dyDescent="0.25">
      <c r="A827814" s="242"/>
    </row>
    <row r="827815" spans="1:1" x14ac:dyDescent="0.25">
      <c r="A827815" s="242"/>
    </row>
    <row r="827816" spans="1:1" x14ac:dyDescent="0.25">
      <c r="A827816" s="242"/>
    </row>
    <row r="827817" spans="1:1" x14ac:dyDescent="0.25">
      <c r="A827817" s="242"/>
    </row>
    <row r="827818" spans="1:1" x14ac:dyDescent="0.25">
      <c r="A827818" s="242"/>
    </row>
    <row r="827819" spans="1:1" x14ac:dyDescent="0.25">
      <c r="A827819" s="242"/>
    </row>
    <row r="827820" spans="1:1" x14ac:dyDescent="0.25">
      <c r="A827820" s="242"/>
    </row>
    <row r="827821" spans="1:1" x14ac:dyDescent="0.25">
      <c r="A827821" s="242"/>
    </row>
    <row r="827822" spans="1:1" x14ac:dyDescent="0.25">
      <c r="A827822" s="242"/>
    </row>
    <row r="827823" spans="1:1" x14ac:dyDescent="0.25">
      <c r="A827823" s="242"/>
    </row>
    <row r="827824" spans="1:1" x14ac:dyDescent="0.25">
      <c r="A827824" s="242"/>
    </row>
    <row r="827825" spans="1:1" x14ac:dyDescent="0.25">
      <c r="A827825" s="242"/>
    </row>
    <row r="827826" spans="1:1" x14ac:dyDescent="0.25">
      <c r="A827826" s="242"/>
    </row>
    <row r="827827" spans="1:1" x14ac:dyDescent="0.25">
      <c r="A827827" s="242"/>
    </row>
    <row r="827828" spans="1:1" x14ac:dyDescent="0.25">
      <c r="A827828" s="242"/>
    </row>
    <row r="827829" spans="1:1" x14ac:dyDescent="0.25">
      <c r="A827829" s="242"/>
    </row>
    <row r="827830" spans="1:1" x14ac:dyDescent="0.25">
      <c r="A827830" s="242"/>
    </row>
    <row r="827831" spans="1:1" x14ac:dyDescent="0.25">
      <c r="A827831" s="242"/>
    </row>
    <row r="827832" spans="1:1" x14ac:dyDescent="0.25">
      <c r="A827832" s="242"/>
    </row>
    <row r="827833" spans="1:1" x14ac:dyDescent="0.25">
      <c r="A827833" s="242"/>
    </row>
    <row r="827834" spans="1:1" x14ac:dyDescent="0.25">
      <c r="A827834" s="242"/>
    </row>
    <row r="827835" spans="1:1" x14ac:dyDescent="0.25">
      <c r="A827835" s="242"/>
    </row>
    <row r="827836" spans="1:1" x14ac:dyDescent="0.25">
      <c r="A827836" s="242"/>
    </row>
    <row r="827837" spans="1:1" x14ac:dyDescent="0.25">
      <c r="A827837" s="242"/>
    </row>
    <row r="827838" spans="1:1" x14ac:dyDescent="0.25">
      <c r="A827838" s="242"/>
    </row>
    <row r="827839" spans="1:1" x14ac:dyDescent="0.25">
      <c r="A827839" s="242"/>
    </row>
    <row r="827840" spans="1:1" x14ac:dyDescent="0.25">
      <c r="A827840" s="242"/>
    </row>
    <row r="827841" spans="1:1" x14ac:dyDescent="0.25">
      <c r="A827841" s="242"/>
    </row>
    <row r="827842" spans="1:1" x14ac:dyDescent="0.25">
      <c r="A827842" s="242"/>
    </row>
    <row r="827843" spans="1:1" x14ac:dyDescent="0.25">
      <c r="A827843" s="242"/>
    </row>
    <row r="827844" spans="1:1" x14ac:dyDescent="0.25">
      <c r="A827844" s="242"/>
    </row>
    <row r="827845" spans="1:1" x14ac:dyDescent="0.25">
      <c r="A827845" s="242"/>
    </row>
    <row r="827846" spans="1:1" x14ac:dyDescent="0.25">
      <c r="A827846" s="242"/>
    </row>
    <row r="827847" spans="1:1" x14ac:dyDescent="0.25">
      <c r="A827847" s="242"/>
    </row>
    <row r="827848" spans="1:1" x14ac:dyDescent="0.25">
      <c r="A827848" s="242"/>
    </row>
    <row r="827849" spans="1:1" x14ac:dyDescent="0.25">
      <c r="A827849" s="242"/>
    </row>
    <row r="827850" spans="1:1" x14ac:dyDescent="0.25">
      <c r="A827850" s="242"/>
    </row>
    <row r="827851" spans="1:1" x14ac:dyDescent="0.25">
      <c r="A827851" s="242"/>
    </row>
    <row r="827852" spans="1:1" x14ac:dyDescent="0.25">
      <c r="A827852" s="242"/>
    </row>
    <row r="827853" spans="1:1" x14ac:dyDescent="0.25">
      <c r="A827853" s="242"/>
    </row>
    <row r="827854" spans="1:1" x14ac:dyDescent="0.25">
      <c r="A827854" s="242"/>
    </row>
    <row r="827855" spans="1:1" x14ac:dyDescent="0.25">
      <c r="A827855" s="242"/>
    </row>
    <row r="827856" spans="1:1" x14ac:dyDescent="0.25">
      <c r="A827856" s="242"/>
    </row>
    <row r="827857" spans="1:1" x14ac:dyDescent="0.25">
      <c r="A827857" s="242"/>
    </row>
    <row r="827858" spans="1:1" x14ac:dyDescent="0.25">
      <c r="A827858" s="242"/>
    </row>
    <row r="827859" spans="1:1" x14ac:dyDescent="0.25">
      <c r="A827859" s="242"/>
    </row>
    <row r="827860" spans="1:1" x14ac:dyDescent="0.25">
      <c r="A827860" s="242"/>
    </row>
    <row r="827861" spans="1:1" x14ac:dyDescent="0.25">
      <c r="A827861" s="242"/>
    </row>
    <row r="827862" spans="1:1" x14ac:dyDescent="0.25">
      <c r="A827862" s="242"/>
    </row>
    <row r="827863" spans="1:1" x14ac:dyDescent="0.25">
      <c r="A827863" s="242"/>
    </row>
    <row r="827864" spans="1:1" x14ac:dyDescent="0.25">
      <c r="A827864" s="242"/>
    </row>
    <row r="827865" spans="1:1" x14ac:dyDescent="0.25">
      <c r="A827865" s="242"/>
    </row>
    <row r="827866" spans="1:1" x14ac:dyDescent="0.25">
      <c r="A827866" s="242"/>
    </row>
    <row r="827867" spans="1:1" x14ac:dyDescent="0.25">
      <c r="A827867" s="242"/>
    </row>
    <row r="827868" spans="1:1" x14ac:dyDescent="0.25">
      <c r="A827868" s="242"/>
    </row>
    <row r="827869" spans="1:1" x14ac:dyDescent="0.25">
      <c r="A827869" s="242"/>
    </row>
    <row r="827870" spans="1:1" x14ac:dyDescent="0.25">
      <c r="A827870" s="242"/>
    </row>
    <row r="827871" spans="1:1" x14ac:dyDescent="0.25">
      <c r="A827871" s="242"/>
    </row>
    <row r="827872" spans="1:1" x14ac:dyDescent="0.25">
      <c r="A827872" s="242"/>
    </row>
    <row r="827873" spans="1:1" x14ac:dyDescent="0.25">
      <c r="A827873" s="242"/>
    </row>
    <row r="827874" spans="1:1" x14ac:dyDescent="0.25">
      <c r="A827874" s="242"/>
    </row>
    <row r="827875" spans="1:1" x14ac:dyDescent="0.25">
      <c r="A827875" s="242"/>
    </row>
    <row r="827876" spans="1:1" x14ac:dyDescent="0.25">
      <c r="A827876" s="242"/>
    </row>
    <row r="827877" spans="1:1" x14ac:dyDescent="0.25">
      <c r="A827877" s="242"/>
    </row>
    <row r="827878" spans="1:1" x14ac:dyDescent="0.25">
      <c r="A827878" s="242"/>
    </row>
    <row r="827879" spans="1:1" x14ac:dyDescent="0.25">
      <c r="A827879" s="242"/>
    </row>
    <row r="827880" spans="1:1" x14ac:dyDescent="0.25">
      <c r="A827880" s="242"/>
    </row>
    <row r="827881" spans="1:1" x14ac:dyDescent="0.25">
      <c r="A827881" s="242"/>
    </row>
    <row r="827882" spans="1:1" x14ac:dyDescent="0.25">
      <c r="A827882" s="242"/>
    </row>
    <row r="827883" spans="1:1" x14ac:dyDescent="0.25">
      <c r="A827883" s="242"/>
    </row>
    <row r="827884" spans="1:1" x14ac:dyDescent="0.25">
      <c r="A827884" s="242"/>
    </row>
    <row r="827885" spans="1:1" x14ac:dyDescent="0.25">
      <c r="A827885" s="242"/>
    </row>
    <row r="827886" spans="1:1" x14ac:dyDescent="0.25">
      <c r="A827886" s="242"/>
    </row>
    <row r="827887" spans="1:1" x14ac:dyDescent="0.25">
      <c r="A827887" s="242"/>
    </row>
    <row r="827888" spans="1:1" x14ac:dyDescent="0.25">
      <c r="A827888" s="242"/>
    </row>
    <row r="827889" spans="1:1" x14ac:dyDescent="0.25">
      <c r="A827889" s="242"/>
    </row>
    <row r="827890" spans="1:1" x14ac:dyDescent="0.25">
      <c r="A827890" s="242"/>
    </row>
    <row r="827891" spans="1:1" x14ac:dyDescent="0.25">
      <c r="A827891" s="242"/>
    </row>
    <row r="827892" spans="1:1" x14ac:dyDescent="0.25">
      <c r="A827892" s="242"/>
    </row>
    <row r="827893" spans="1:1" x14ac:dyDescent="0.25">
      <c r="A827893" s="242"/>
    </row>
    <row r="827894" spans="1:1" x14ac:dyDescent="0.25">
      <c r="A827894" s="242"/>
    </row>
    <row r="827895" spans="1:1" x14ac:dyDescent="0.25">
      <c r="A827895" s="242"/>
    </row>
    <row r="827896" spans="1:1" x14ac:dyDescent="0.25">
      <c r="A827896" s="242"/>
    </row>
    <row r="827897" spans="1:1" x14ac:dyDescent="0.25">
      <c r="A827897" s="242"/>
    </row>
    <row r="827898" spans="1:1" x14ac:dyDescent="0.25">
      <c r="A827898" s="242"/>
    </row>
    <row r="827899" spans="1:1" x14ac:dyDescent="0.25">
      <c r="A827899" s="242"/>
    </row>
    <row r="827900" spans="1:1" x14ac:dyDescent="0.25">
      <c r="A827900" s="242"/>
    </row>
    <row r="827901" spans="1:1" x14ac:dyDescent="0.25">
      <c r="A827901" s="242"/>
    </row>
    <row r="827902" spans="1:1" x14ac:dyDescent="0.25">
      <c r="A827902" s="242"/>
    </row>
    <row r="827903" spans="1:1" x14ac:dyDescent="0.25">
      <c r="A827903" s="242"/>
    </row>
    <row r="827904" spans="1:1" x14ac:dyDescent="0.25">
      <c r="A827904" s="242"/>
    </row>
    <row r="827905" spans="1:1" x14ac:dyDescent="0.25">
      <c r="A827905" s="242"/>
    </row>
    <row r="827906" spans="1:1" x14ac:dyDescent="0.25">
      <c r="A827906" s="242"/>
    </row>
    <row r="827907" spans="1:1" x14ac:dyDescent="0.25">
      <c r="A827907" s="242"/>
    </row>
    <row r="827908" spans="1:1" x14ac:dyDescent="0.25">
      <c r="A827908" s="242"/>
    </row>
    <row r="827909" spans="1:1" x14ac:dyDescent="0.25">
      <c r="A827909" s="242"/>
    </row>
    <row r="827910" spans="1:1" x14ac:dyDescent="0.25">
      <c r="A827910" s="242"/>
    </row>
    <row r="827911" spans="1:1" x14ac:dyDescent="0.25">
      <c r="A827911" s="242"/>
    </row>
    <row r="827912" spans="1:1" x14ac:dyDescent="0.25">
      <c r="A827912" s="242"/>
    </row>
    <row r="827913" spans="1:1" x14ac:dyDescent="0.25">
      <c r="A827913" s="242"/>
    </row>
    <row r="827914" spans="1:1" x14ac:dyDescent="0.25">
      <c r="A827914" s="242"/>
    </row>
    <row r="827915" spans="1:1" x14ac:dyDescent="0.25">
      <c r="A827915" s="242"/>
    </row>
    <row r="827916" spans="1:1" x14ac:dyDescent="0.25">
      <c r="A827916" s="242"/>
    </row>
    <row r="827917" spans="1:1" x14ac:dyDescent="0.25">
      <c r="A827917" s="242"/>
    </row>
    <row r="827918" spans="1:1" x14ac:dyDescent="0.25">
      <c r="A827918" s="242"/>
    </row>
    <row r="827919" spans="1:1" x14ac:dyDescent="0.25">
      <c r="A827919" s="242"/>
    </row>
    <row r="827920" spans="1:1" x14ac:dyDescent="0.25">
      <c r="A827920" s="242"/>
    </row>
    <row r="827921" spans="1:1" x14ac:dyDescent="0.25">
      <c r="A827921" s="242"/>
    </row>
    <row r="827922" spans="1:1" x14ac:dyDescent="0.25">
      <c r="A827922" s="242"/>
    </row>
    <row r="827923" spans="1:1" x14ac:dyDescent="0.25">
      <c r="A827923" s="242"/>
    </row>
    <row r="827924" spans="1:1" x14ac:dyDescent="0.25">
      <c r="A827924" s="242"/>
    </row>
    <row r="827925" spans="1:1" x14ac:dyDescent="0.25">
      <c r="A827925" s="242"/>
    </row>
    <row r="827926" spans="1:1" x14ac:dyDescent="0.25">
      <c r="A827926" s="242"/>
    </row>
    <row r="827927" spans="1:1" x14ac:dyDescent="0.25">
      <c r="A827927" s="242"/>
    </row>
    <row r="827928" spans="1:1" x14ac:dyDescent="0.25">
      <c r="A827928" s="242"/>
    </row>
    <row r="827929" spans="1:1" x14ac:dyDescent="0.25">
      <c r="A827929" s="242"/>
    </row>
    <row r="827930" spans="1:1" x14ac:dyDescent="0.25">
      <c r="A827930" s="242"/>
    </row>
    <row r="827931" spans="1:1" x14ac:dyDescent="0.25">
      <c r="A827931" s="242"/>
    </row>
    <row r="827932" spans="1:1" x14ac:dyDescent="0.25">
      <c r="A827932" s="242"/>
    </row>
    <row r="827933" spans="1:1" x14ac:dyDescent="0.25">
      <c r="A827933" s="242"/>
    </row>
    <row r="827934" spans="1:1" x14ac:dyDescent="0.25">
      <c r="A827934" s="242"/>
    </row>
    <row r="827935" spans="1:1" x14ac:dyDescent="0.25">
      <c r="A827935" s="242"/>
    </row>
    <row r="827936" spans="1:1" x14ac:dyDescent="0.25">
      <c r="A827936" s="242"/>
    </row>
    <row r="827937" spans="1:1" x14ac:dyDescent="0.25">
      <c r="A827937" s="242"/>
    </row>
    <row r="827938" spans="1:1" x14ac:dyDescent="0.25">
      <c r="A827938" s="242"/>
    </row>
    <row r="827939" spans="1:1" x14ac:dyDescent="0.25">
      <c r="A827939" s="242"/>
    </row>
    <row r="827940" spans="1:1" x14ac:dyDescent="0.25">
      <c r="A827940" s="242"/>
    </row>
    <row r="827941" spans="1:1" x14ac:dyDescent="0.25">
      <c r="A827941" s="242"/>
    </row>
    <row r="827942" spans="1:1" x14ac:dyDescent="0.25">
      <c r="A827942" s="242"/>
    </row>
    <row r="827943" spans="1:1" x14ac:dyDescent="0.25">
      <c r="A827943" s="242"/>
    </row>
    <row r="827944" spans="1:1" x14ac:dyDescent="0.25">
      <c r="A827944" s="242"/>
    </row>
    <row r="827945" spans="1:1" x14ac:dyDescent="0.25">
      <c r="A827945" s="242"/>
    </row>
    <row r="827946" spans="1:1" x14ac:dyDescent="0.25">
      <c r="A827946" s="242"/>
    </row>
    <row r="827947" spans="1:1" x14ac:dyDescent="0.25">
      <c r="A827947" s="242"/>
    </row>
    <row r="827948" spans="1:1" x14ac:dyDescent="0.25">
      <c r="A827948" s="242"/>
    </row>
    <row r="827949" spans="1:1" x14ac:dyDescent="0.25">
      <c r="A827949" s="242"/>
    </row>
    <row r="827950" spans="1:1" x14ac:dyDescent="0.25">
      <c r="A827950" s="242"/>
    </row>
    <row r="827951" spans="1:1" x14ac:dyDescent="0.25">
      <c r="A827951" s="242"/>
    </row>
    <row r="827952" spans="1:1" x14ac:dyDescent="0.25">
      <c r="A827952" s="242"/>
    </row>
    <row r="827953" spans="1:1" x14ac:dyDescent="0.25">
      <c r="A827953" s="242"/>
    </row>
    <row r="827954" spans="1:1" x14ac:dyDescent="0.25">
      <c r="A827954" s="242"/>
    </row>
    <row r="827955" spans="1:1" x14ac:dyDescent="0.25">
      <c r="A827955" s="242"/>
    </row>
    <row r="827956" spans="1:1" x14ac:dyDescent="0.25">
      <c r="A827956" s="242"/>
    </row>
    <row r="827957" spans="1:1" x14ac:dyDescent="0.25">
      <c r="A827957" s="242"/>
    </row>
    <row r="827958" spans="1:1" x14ac:dyDescent="0.25">
      <c r="A827958" s="242"/>
    </row>
    <row r="827959" spans="1:1" x14ac:dyDescent="0.25">
      <c r="A827959" s="242"/>
    </row>
    <row r="827960" spans="1:1" x14ac:dyDescent="0.25">
      <c r="A827960" s="242"/>
    </row>
    <row r="827961" spans="1:1" x14ac:dyDescent="0.25">
      <c r="A827961" s="242"/>
    </row>
    <row r="827962" spans="1:1" x14ac:dyDescent="0.25">
      <c r="A827962" s="242"/>
    </row>
    <row r="827963" spans="1:1" x14ac:dyDescent="0.25">
      <c r="A827963" s="242"/>
    </row>
    <row r="827964" spans="1:1" x14ac:dyDescent="0.25">
      <c r="A827964" s="242"/>
    </row>
    <row r="827965" spans="1:1" x14ac:dyDescent="0.25">
      <c r="A827965" s="242"/>
    </row>
    <row r="827966" spans="1:1" x14ac:dyDescent="0.25">
      <c r="A827966" s="242"/>
    </row>
    <row r="827967" spans="1:1" x14ac:dyDescent="0.25">
      <c r="A827967" s="242"/>
    </row>
    <row r="827968" spans="1:1" x14ac:dyDescent="0.25">
      <c r="A827968" s="242"/>
    </row>
    <row r="827969" spans="1:1" x14ac:dyDescent="0.25">
      <c r="A827969" s="242"/>
    </row>
    <row r="827970" spans="1:1" x14ac:dyDescent="0.25">
      <c r="A827970" s="242"/>
    </row>
    <row r="827971" spans="1:1" x14ac:dyDescent="0.25">
      <c r="A827971" s="242"/>
    </row>
    <row r="827972" spans="1:1" x14ac:dyDescent="0.25">
      <c r="A827972" s="242"/>
    </row>
    <row r="827973" spans="1:1" x14ac:dyDescent="0.25">
      <c r="A827973" s="242"/>
    </row>
    <row r="827974" spans="1:1" x14ac:dyDescent="0.25">
      <c r="A827974" s="242"/>
    </row>
    <row r="827975" spans="1:1" x14ac:dyDescent="0.25">
      <c r="A827975" s="242"/>
    </row>
    <row r="827976" spans="1:1" x14ac:dyDescent="0.25">
      <c r="A827976" s="242"/>
    </row>
    <row r="827977" spans="1:1" x14ac:dyDescent="0.25">
      <c r="A827977" s="242"/>
    </row>
    <row r="827978" spans="1:1" x14ac:dyDescent="0.25">
      <c r="A827978" s="242"/>
    </row>
    <row r="827979" spans="1:1" x14ac:dyDescent="0.25">
      <c r="A827979" s="242"/>
    </row>
    <row r="827980" spans="1:1" x14ac:dyDescent="0.25">
      <c r="A827980" s="242"/>
    </row>
    <row r="827981" spans="1:1" x14ac:dyDescent="0.25">
      <c r="A827981" s="242"/>
    </row>
    <row r="827982" spans="1:1" x14ac:dyDescent="0.25">
      <c r="A827982" s="242"/>
    </row>
    <row r="827983" spans="1:1" x14ac:dyDescent="0.25">
      <c r="A827983" s="242"/>
    </row>
    <row r="827984" spans="1:1" x14ac:dyDescent="0.25">
      <c r="A827984" s="242"/>
    </row>
    <row r="827985" spans="1:1" x14ac:dyDescent="0.25">
      <c r="A827985" s="242"/>
    </row>
    <row r="827986" spans="1:1" x14ac:dyDescent="0.25">
      <c r="A827986" s="242"/>
    </row>
    <row r="827987" spans="1:1" x14ac:dyDescent="0.25">
      <c r="A827987" s="242"/>
    </row>
    <row r="827988" spans="1:1" x14ac:dyDescent="0.25">
      <c r="A827988" s="242"/>
    </row>
    <row r="827989" spans="1:1" x14ac:dyDescent="0.25">
      <c r="A827989" s="242"/>
    </row>
    <row r="827990" spans="1:1" x14ac:dyDescent="0.25">
      <c r="A827990" s="242"/>
    </row>
    <row r="827991" spans="1:1" x14ac:dyDescent="0.25">
      <c r="A827991" s="242"/>
    </row>
    <row r="827992" spans="1:1" x14ac:dyDescent="0.25">
      <c r="A827992" s="242"/>
    </row>
    <row r="827993" spans="1:1" x14ac:dyDescent="0.25">
      <c r="A827993" s="242"/>
    </row>
    <row r="827994" spans="1:1" x14ac:dyDescent="0.25">
      <c r="A827994" s="242"/>
    </row>
    <row r="827995" spans="1:1" x14ac:dyDescent="0.25">
      <c r="A827995" s="242"/>
    </row>
    <row r="827996" spans="1:1" x14ac:dyDescent="0.25">
      <c r="A827996" s="242"/>
    </row>
    <row r="827997" spans="1:1" x14ac:dyDescent="0.25">
      <c r="A827997" s="242"/>
    </row>
    <row r="827998" spans="1:1" x14ac:dyDescent="0.25">
      <c r="A827998" s="242"/>
    </row>
    <row r="827999" spans="1:1" x14ac:dyDescent="0.25">
      <c r="A827999" s="242"/>
    </row>
    <row r="828000" spans="1:1" x14ac:dyDescent="0.25">
      <c r="A828000" s="242"/>
    </row>
    <row r="828001" spans="1:1" x14ac:dyDescent="0.25">
      <c r="A828001" s="242"/>
    </row>
    <row r="828002" spans="1:1" x14ac:dyDescent="0.25">
      <c r="A828002" s="242"/>
    </row>
    <row r="828003" spans="1:1" x14ac:dyDescent="0.25">
      <c r="A828003" s="242"/>
    </row>
    <row r="828004" spans="1:1" x14ac:dyDescent="0.25">
      <c r="A828004" s="242"/>
    </row>
    <row r="828005" spans="1:1" x14ac:dyDescent="0.25">
      <c r="A828005" s="242"/>
    </row>
    <row r="828006" spans="1:1" x14ac:dyDescent="0.25">
      <c r="A828006" s="242"/>
    </row>
    <row r="828007" spans="1:1" x14ac:dyDescent="0.25">
      <c r="A828007" s="242"/>
    </row>
    <row r="828008" spans="1:1" x14ac:dyDescent="0.25">
      <c r="A828008" s="242"/>
    </row>
    <row r="828009" spans="1:1" x14ac:dyDescent="0.25">
      <c r="A828009" s="242"/>
    </row>
    <row r="828010" spans="1:1" x14ac:dyDescent="0.25">
      <c r="A828010" s="242"/>
    </row>
    <row r="828011" spans="1:1" x14ac:dyDescent="0.25">
      <c r="A828011" s="242"/>
    </row>
    <row r="828012" spans="1:1" x14ac:dyDescent="0.25">
      <c r="A828012" s="242"/>
    </row>
    <row r="828013" spans="1:1" x14ac:dyDescent="0.25">
      <c r="A828013" s="242"/>
    </row>
    <row r="828014" spans="1:1" x14ac:dyDescent="0.25">
      <c r="A828014" s="242"/>
    </row>
    <row r="828015" spans="1:1" x14ac:dyDescent="0.25">
      <c r="A828015" s="242"/>
    </row>
    <row r="828016" spans="1:1" x14ac:dyDescent="0.25">
      <c r="A828016" s="242"/>
    </row>
    <row r="828017" spans="1:1" x14ac:dyDescent="0.25">
      <c r="A828017" s="242"/>
    </row>
    <row r="828018" spans="1:1" x14ac:dyDescent="0.25">
      <c r="A828018" s="242"/>
    </row>
    <row r="828019" spans="1:1" x14ac:dyDescent="0.25">
      <c r="A828019" s="242"/>
    </row>
    <row r="828020" spans="1:1" x14ac:dyDescent="0.25">
      <c r="A828020" s="242"/>
    </row>
    <row r="828021" spans="1:1" x14ac:dyDescent="0.25">
      <c r="A828021" s="242"/>
    </row>
    <row r="828022" spans="1:1" x14ac:dyDescent="0.25">
      <c r="A828022" s="242"/>
    </row>
    <row r="828023" spans="1:1" x14ac:dyDescent="0.25">
      <c r="A828023" s="242"/>
    </row>
    <row r="828024" spans="1:1" x14ac:dyDescent="0.25">
      <c r="A828024" s="242"/>
    </row>
    <row r="828025" spans="1:1" x14ac:dyDescent="0.25">
      <c r="A828025" s="242"/>
    </row>
    <row r="828026" spans="1:1" x14ac:dyDescent="0.25">
      <c r="A828026" s="242"/>
    </row>
    <row r="828027" spans="1:1" x14ac:dyDescent="0.25">
      <c r="A828027" s="242"/>
    </row>
    <row r="828028" spans="1:1" x14ac:dyDescent="0.25">
      <c r="A828028" s="242"/>
    </row>
    <row r="828029" spans="1:1" x14ac:dyDescent="0.25">
      <c r="A828029" s="242"/>
    </row>
    <row r="828030" spans="1:1" x14ac:dyDescent="0.25">
      <c r="A828030" s="242"/>
    </row>
    <row r="828031" spans="1:1" x14ac:dyDescent="0.25">
      <c r="A828031" s="242"/>
    </row>
    <row r="828032" spans="1:1" x14ac:dyDescent="0.25">
      <c r="A828032" s="242"/>
    </row>
    <row r="828033" spans="1:1" x14ac:dyDescent="0.25">
      <c r="A828033" s="242"/>
    </row>
    <row r="828034" spans="1:1" x14ac:dyDescent="0.25">
      <c r="A828034" s="242"/>
    </row>
    <row r="828035" spans="1:1" x14ac:dyDescent="0.25">
      <c r="A828035" s="242"/>
    </row>
    <row r="828036" spans="1:1" x14ac:dyDescent="0.25">
      <c r="A828036" s="242"/>
    </row>
    <row r="828037" spans="1:1" x14ac:dyDescent="0.25">
      <c r="A828037" s="242"/>
    </row>
    <row r="828038" spans="1:1" x14ac:dyDescent="0.25">
      <c r="A828038" s="242"/>
    </row>
    <row r="828039" spans="1:1" x14ac:dyDescent="0.25">
      <c r="A828039" s="242"/>
    </row>
    <row r="828040" spans="1:1" x14ac:dyDescent="0.25">
      <c r="A828040" s="242"/>
    </row>
    <row r="828041" spans="1:1" x14ac:dyDescent="0.25">
      <c r="A828041" s="242"/>
    </row>
    <row r="828042" spans="1:1" x14ac:dyDescent="0.25">
      <c r="A828042" s="242"/>
    </row>
    <row r="828043" spans="1:1" x14ac:dyDescent="0.25">
      <c r="A828043" s="242"/>
    </row>
    <row r="828044" spans="1:1" x14ac:dyDescent="0.25">
      <c r="A828044" s="242"/>
    </row>
    <row r="828045" spans="1:1" x14ac:dyDescent="0.25">
      <c r="A828045" s="242"/>
    </row>
    <row r="828046" spans="1:1" x14ac:dyDescent="0.25">
      <c r="A828046" s="242"/>
    </row>
    <row r="828047" spans="1:1" x14ac:dyDescent="0.25">
      <c r="A828047" s="242"/>
    </row>
    <row r="828048" spans="1:1" x14ac:dyDescent="0.25">
      <c r="A828048" s="242"/>
    </row>
    <row r="828049" spans="1:1" x14ac:dyDescent="0.25">
      <c r="A828049" s="242"/>
    </row>
    <row r="828050" spans="1:1" x14ac:dyDescent="0.25">
      <c r="A828050" s="242"/>
    </row>
    <row r="828051" spans="1:1" x14ac:dyDescent="0.25">
      <c r="A828051" s="242"/>
    </row>
    <row r="828052" spans="1:1" x14ac:dyDescent="0.25">
      <c r="A828052" s="242"/>
    </row>
    <row r="828053" spans="1:1" x14ac:dyDescent="0.25">
      <c r="A828053" s="242"/>
    </row>
    <row r="828054" spans="1:1" x14ac:dyDescent="0.25">
      <c r="A828054" s="242"/>
    </row>
    <row r="828055" spans="1:1" x14ac:dyDescent="0.25">
      <c r="A828055" s="242"/>
    </row>
    <row r="828056" spans="1:1" x14ac:dyDescent="0.25">
      <c r="A828056" s="242"/>
    </row>
    <row r="828057" spans="1:1" x14ac:dyDescent="0.25">
      <c r="A828057" s="242"/>
    </row>
    <row r="828058" spans="1:1" x14ac:dyDescent="0.25">
      <c r="A828058" s="242"/>
    </row>
    <row r="828059" spans="1:1" x14ac:dyDescent="0.25">
      <c r="A828059" s="242"/>
    </row>
    <row r="828060" spans="1:1" x14ac:dyDescent="0.25">
      <c r="A828060" s="242"/>
    </row>
    <row r="828061" spans="1:1" x14ac:dyDescent="0.25">
      <c r="A828061" s="242"/>
    </row>
    <row r="828062" spans="1:1" x14ac:dyDescent="0.25">
      <c r="A828062" s="242"/>
    </row>
    <row r="828063" spans="1:1" x14ac:dyDescent="0.25">
      <c r="A828063" s="242"/>
    </row>
    <row r="828064" spans="1:1" x14ac:dyDescent="0.25">
      <c r="A828064" s="242"/>
    </row>
    <row r="828065" spans="1:1" x14ac:dyDescent="0.25">
      <c r="A828065" s="242"/>
    </row>
    <row r="828066" spans="1:1" x14ac:dyDescent="0.25">
      <c r="A828066" s="242"/>
    </row>
    <row r="828067" spans="1:1" x14ac:dyDescent="0.25">
      <c r="A828067" s="242"/>
    </row>
    <row r="828068" spans="1:1" x14ac:dyDescent="0.25">
      <c r="A828068" s="242"/>
    </row>
    <row r="828069" spans="1:1" x14ac:dyDescent="0.25">
      <c r="A828069" s="242"/>
    </row>
    <row r="828070" spans="1:1" x14ac:dyDescent="0.25">
      <c r="A828070" s="242"/>
    </row>
    <row r="828071" spans="1:1" x14ac:dyDescent="0.25">
      <c r="A828071" s="242"/>
    </row>
    <row r="828072" spans="1:1" x14ac:dyDescent="0.25">
      <c r="A828072" s="242"/>
    </row>
    <row r="828073" spans="1:1" x14ac:dyDescent="0.25">
      <c r="A828073" s="242"/>
    </row>
    <row r="828074" spans="1:1" x14ac:dyDescent="0.25">
      <c r="A828074" s="242"/>
    </row>
    <row r="828075" spans="1:1" x14ac:dyDescent="0.25">
      <c r="A828075" s="242"/>
    </row>
    <row r="828076" spans="1:1" x14ac:dyDescent="0.25">
      <c r="A828076" s="242"/>
    </row>
    <row r="828077" spans="1:1" x14ac:dyDescent="0.25">
      <c r="A828077" s="242"/>
    </row>
    <row r="828078" spans="1:1" x14ac:dyDescent="0.25">
      <c r="A828078" s="242"/>
    </row>
    <row r="828079" spans="1:1" x14ac:dyDescent="0.25">
      <c r="A828079" s="242"/>
    </row>
    <row r="828080" spans="1:1" x14ac:dyDescent="0.25">
      <c r="A828080" s="242"/>
    </row>
    <row r="828081" spans="1:1" x14ac:dyDescent="0.25">
      <c r="A828081" s="242"/>
    </row>
    <row r="828082" spans="1:1" x14ac:dyDescent="0.25">
      <c r="A828082" s="242"/>
    </row>
    <row r="828083" spans="1:1" x14ac:dyDescent="0.25">
      <c r="A828083" s="242"/>
    </row>
    <row r="828084" spans="1:1" x14ac:dyDescent="0.25">
      <c r="A828084" s="242"/>
    </row>
    <row r="828085" spans="1:1" x14ac:dyDescent="0.25">
      <c r="A828085" s="242"/>
    </row>
    <row r="828086" spans="1:1" x14ac:dyDescent="0.25">
      <c r="A828086" s="242"/>
    </row>
    <row r="828087" spans="1:1" x14ac:dyDescent="0.25">
      <c r="A828087" s="242"/>
    </row>
    <row r="828088" spans="1:1" x14ac:dyDescent="0.25">
      <c r="A828088" s="242"/>
    </row>
    <row r="828089" spans="1:1" x14ac:dyDescent="0.25">
      <c r="A828089" s="242"/>
    </row>
    <row r="828090" spans="1:1" x14ac:dyDescent="0.25">
      <c r="A828090" s="242"/>
    </row>
    <row r="828091" spans="1:1" x14ac:dyDescent="0.25">
      <c r="A828091" s="242"/>
    </row>
    <row r="828092" spans="1:1" x14ac:dyDescent="0.25">
      <c r="A828092" s="242"/>
    </row>
    <row r="828093" spans="1:1" x14ac:dyDescent="0.25">
      <c r="A828093" s="242"/>
    </row>
    <row r="828094" spans="1:1" x14ac:dyDescent="0.25">
      <c r="A828094" s="242"/>
    </row>
    <row r="828095" spans="1:1" x14ac:dyDescent="0.25">
      <c r="A828095" s="242"/>
    </row>
    <row r="828096" spans="1:1" x14ac:dyDescent="0.25">
      <c r="A828096" s="242"/>
    </row>
    <row r="828097" spans="1:1" x14ac:dyDescent="0.25">
      <c r="A828097" s="242"/>
    </row>
    <row r="828098" spans="1:1" x14ac:dyDescent="0.25">
      <c r="A828098" s="242"/>
    </row>
    <row r="828099" spans="1:1" x14ac:dyDescent="0.25">
      <c r="A828099" s="242"/>
    </row>
    <row r="828100" spans="1:1" x14ac:dyDescent="0.25">
      <c r="A828100" s="242"/>
    </row>
    <row r="828101" spans="1:1" x14ac:dyDescent="0.25">
      <c r="A828101" s="242"/>
    </row>
    <row r="828102" spans="1:1" x14ac:dyDescent="0.25">
      <c r="A828102" s="242"/>
    </row>
    <row r="828103" spans="1:1" x14ac:dyDescent="0.25">
      <c r="A828103" s="242"/>
    </row>
    <row r="828104" spans="1:1" x14ac:dyDescent="0.25">
      <c r="A828104" s="242"/>
    </row>
    <row r="828105" spans="1:1" x14ac:dyDescent="0.25">
      <c r="A828105" s="242"/>
    </row>
    <row r="828106" spans="1:1" x14ac:dyDescent="0.25">
      <c r="A828106" s="242"/>
    </row>
    <row r="828107" spans="1:1" x14ac:dyDescent="0.25">
      <c r="A828107" s="242"/>
    </row>
    <row r="828108" spans="1:1" x14ac:dyDescent="0.25">
      <c r="A828108" s="242"/>
    </row>
    <row r="828109" spans="1:1" x14ac:dyDescent="0.25">
      <c r="A828109" s="242"/>
    </row>
    <row r="828110" spans="1:1" x14ac:dyDescent="0.25">
      <c r="A828110" s="242"/>
    </row>
    <row r="828111" spans="1:1" x14ac:dyDescent="0.25">
      <c r="A828111" s="242"/>
    </row>
    <row r="828112" spans="1:1" x14ac:dyDescent="0.25">
      <c r="A828112" s="242"/>
    </row>
    <row r="828113" spans="1:1" x14ac:dyDescent="0.25">
      <c r="A828113" s="242"/>
    </row>
    <row r="828114" spans="1:1" x14ac:dyDescent="0.25">
      <c r="A828114" s="242"/>
    </row>
    <row r="828115" spans="1:1" x14ac:dyDescent="0.25">
      <c r="A828115" s="242"/>
    </row>
    <row r="828116" spans="1:1" x14ac:dyDescent="0.25">
      <c r="A828116" s="242"/>
    </row>
    <row r="828117" spans="1:1" x14ac:dyDescent="0.25">
      <c r="A828117" s="242"/>
    </row>
    <row r="828118" spans="1:1" x14ac:dyDescent="0.25">
      <c r="A828118" s="242"/>
    </row>
    <row r="828119" spans="1:1" x14ac:dyDescent="0.25">
      <c r="A828119" s="242"/>
    </row>
    <row r="828120" spans="1:1" x14ac:dyDescent="0.25">
      <c r="A828120" s="242"/>
    </row>
    <row r="828121" spans="1:1" x14ac:dyDescent="0.25">
      <c r="A828121" s="242"/>
    </row>
    <row r="828122" spans="1:1" x14ac:dyDescent="0.25">
      <c r="A828122" s="242"/>
    </row>
    <row r="828123" spans="1:1" x14ac:dyDescent="0.25">
      <c r="A828123" s="242"/>
    </row>
    <row r="828124" spans="1:1" x14ac:dyDescent="0.25">
      <c r="A828124" s="242"/>
    </row>
    <row r="828125" spans="1:1" x14ac:dyDescent="0.25">
      <c r="A828125" s="242"/>
    </row>
    <row r="828126" spans="1:1" x14ac:dyDescent="0.25">
      <c r="A828126" s="242"/>
    </row>
    <row r="828127" spans="1:1" x14ac:dyDescent="0.25">
      <c r="A828127" s="242"/>
    </row>
    <row r="828128" spans="1:1" x14ac:dyDescent="0.25">
      <c r="A828128" s="242"/>
    </row>
    <row r="828129" spans="1:1" x14ac:dyDescent="0.25">
      <c r="A828129" s="242"/>
    </row>
    <row r="828130" spans="1:1" x14ac:dyDescent="0.25">
      <c r="A828130" s="242"/>
    </row>
    <row r="828131" spans="1:1" x14ac:dyDescent="0.25">
      <c r="A828131" s="242"/>
    </row>
    <row r="828132" spans="1:1" x14ac:dyDescent="0.25">
      <c r="A828132" s="242"/>
    </row>
    <row r="828133" spans="1:1" x14ac:dyDescent="0.25">
      <c r="A828133" s="242"/>
    </row>
    <row r="828134" spans="1:1" x14ac:dyDescent="0.25">
      <c r="A828134" s="242"/>
    </row>
    <row r="828135" spans="1:1" x14ac:dyDescent="0.25">
      <c r="A828135" s="242"/>
    </row>
    <row r="828136" spans="1:1" x14ac:dyDescent="0.25">
      <c r="A828136" s="242"/>
    </row>
    <row r="828137" spans="1:1" x14ac:dyDescent="0.25">
      <c r="A828137" s="242"/>
    </row>
    <row r="828138" spans="1:1" x14ac:dyDescent="0.25">
      <c r="A828138" s="242"/>
    </row>
    <row r="828139" spans="1:1" x14ac:dyDescent="0.25">
      <c r="A828139" s="242"/>
    </row>
    <row r="828140" spans="1:1" x14ac:dyDescent="0.25">
      <c r="A828140" s="242"/>
    </row>
    <row r="828141" spans="1:1" x14ac:dyDescent="0.25">
      <c r="A828141" s="242"/>
    </row>
    <row r="828142" spans="1:1" x14ac:dyDescent="0.25">
      <c r="A828142" s="242"/>
    </row>
    <row r="828143" spans="1:1" x14ac:dyDescent="0.25">
      <c r="A828143" s="242"/>
    </row>
    <row r="828144" spans="1:1" x14ac:dyDescent="0.25">
      <c r="A828144" s="242"/>
    </row>
    <row r="828145" spans="1:1" x14ac:dyDescent="0.25">
      <c r="A828145" s="242"/>
    </row>
    <row r="828146" spans="1:1" x14ac:dyDescent="0.25">
      <c r="A828146" s="242"/>
    </row>
    <row r="828147" spans="1:1" x14ac:dyDescent="0.25">
      <c r="A828147" s="242"/>
    </row>
    <row r="828148" spans="1:1" x14ac:dyDescent="0.25">
      <c r="A828148" s="242"/>
    </row>
    <row r="828149" spans="1:1" x14ac:dyDescent="0.25">
      <c r="A828149" s="242"/>
    </row>
    <row r="828150" spans="1:1" x14ac:dyDescent="0.25">
      <c r="A828150" s="242"/>
    </row>
    <row r="828151" spans="1:1" x14ac:dyDescent="0.25">
      <c r="A828151" s="242"/>
    </row>
    <row r="828152" spans="1:1" x14ac:dyDescent="0.25">
      <c r="A828152" s="242"/>
    </row>
    <row r="828153" spans="1:1" x14ac:dyDescent="0.25">
      <c r="A828153" s="242"/>
    </row>
    <row r="828154" spans="1:1" x14ac:dyDescent="0.25">
      <c r="A828154" s="242"/>
    </row>
    <row r="828155" spans="1:1" x14ac:dyDescent="0.25">
      <c r="A828155" s="242"/>
    </row>
    <row r="828156" spans="1:1" x14ac:dyDescent="0.25">
      <c r="A828156" s="242"/>
    </row>
    <row r="828157" spans="1:1" x14ac:dyDescent="0.25">
      <c r="A828157" s="242"/>
    </row>
    <row r="828158" spans="1:1" x14ac:dyDescent="0.25">
      <c r="A828158" s="242"/>
    </row>
    <row r="828159" spans="1:1" x14ac:dyDescent="0.25">
      <c r="A828159" s="242"/>
    </row>
    <row r="828160" spans="1:1" x14ac:dyDescent="0.25">
      <c r="A828160" s="242"/>
    </row>
    <row r="828161" spans="1:1" x14ac:dyDescent="0.25">
      <c r="A828161" s="242"/>
    </row>
    <row r="828162" spans="1:1" x14ac:dyDescent="0.25">
      <c r="A828162" s="242"/>
    </row>
    <row r="828163" spans="1:1" x14ac:dyDescent="0.25">
      <c r="A828163" s="242"/>
    </row>
    <row r="828164" spans="1:1" x14ac:dyDescent="0.25">
      <c r="A828164" s="242"/>
    </row>
    <row r="828165" spans="1:1" x14ac:dyDescent="0.25">
      <c r="A828165" s="242"/>
    </row>
    <row r="828166" spans="1:1" x14ac:dyDescent="0.25">
      <c r="A828166" s="242"/>
    </row>
    <row r="828167" spans="1:1" x14ac:dyDescent="0.25">
      <c r="A828167" s="242"/>
    </row>
    <row r="828168" spans="1:1" x14ac:dyDescent="0.25">
      <c r="A828168" s="242"/>
    </row>
    <row r="828169" spans="1:1" x14ac:dyDescent="0.25">
      <c r="A828169" s="242"/>
    </row>
    <row r="828170" spans="1:1" x14ac:dyDescent="0.25">
      <c r="A828170" s="242"/>
    </row>
    <row r="828171" spans="1:1" x14ac:dyDescent="0.25">
      <c r="A828171" s="242"/>
    </row>
    <row r="828172" spans="1:1" x14ac:dyDescent="0.25">
      <c r="A828172" s="242"/>
    </row>
    <row r="828173" spans="1:1" x14ac:dyDescent="0.25">
      <c r="A828173" s="242"/>
    </row>
    <row r="828174" spans="1:1" x14ac:dyDescent="0.25">
      <c r="A828174" s="242"/>
    </row>
    <row r="828175" spans="1:1" x14ac:dyDescent="0.25">
      <c r="A828175" s="242"/>
    </row>
    <row r="828176" spans="1:1" x14ac:dyDescent="0.25">
      <c r="A828176" s="242"/>
    </row>
    <row r="828177" spans="1:1" x14ac:dyDescent="0.25">
      <c r="A828177" s="242"/>
    </row>
    <row r="828178" spans="1:1" x14ac:dyDescent="0.25">
      <c r="A828178" s="242"/>
    </row>
    <row r="828179" spans="1:1" x14ac:dyDescent="0.25">
      <c r="A828179" s="242"/>
    </row>
    <row r="828180" spans="1:1" x14ac:dyDescent="0.25">
      <c r="A828180" s="242"/>
    </row>
    <row r="828181" spans="1:1" x14ac:dyDescent="0.25">
      <c r="A828181" s="242"/>
    </row>
    <row r="828182" spans="1:1" x14ac:dyDescent="0.25">
      <c r="A828182" s="242"/>
    </row>
    <row r="828183" spans="1:1" x14ac:dyDescent="0.25">
      <c r="A828183" s="242"/>
    </row>
    <row r="828184" spans="1:1" x14ac:dyDescent="0.25">
      <c r="A828184" s="242"/>
    </row>
    <row r="828185" spans="1:1" x14ac:dyDescent="0.25">
      <c r="A828185" s="242"/>
    </row>
    <row r="828186" spans="1:1" x14ac:dyDescent="0.25">
      <c r="A828186" s="242"/>
    </row>
    <row r="828187" spans="1:1" x14ac:dyDescent="0.25">
      <c r="A828187" s="242"/>
    </row>
    <row r="828188" spans="1:1" x14ac:dyDescent="0.25">
      <c r="A828188" s="242"/>
    </row>
    <row r="828189" spans="1:1" x14ac:dyDescent="0.25">
      <c r="A828189" s="242"/>
    </row>
    <row r="828190" spans="1:1" x14ac:dyDescent="0.25">
      <c r="A828190" s="242"/>
    </row>
    <row r="828191" spans="1:1" x14ac:dyDescent="0.25">
      <c r="A828191" s="242"/>
    </row>
    <row r="828192" spans="1:1" x14ac:dyDescent="0.25">
      <c r="A828192" s="242"/>
    </row>
    <row r="828193" spans="1:1" x14ac:dyDescent="0.25">
      <c r="A828193" s="242"/>
    </row>
    <row r="828194" spans="1:1" x14ac:dyDescent="0.25">
      <c r="A828194" s="242"/>
    </row>
    <row r="828195" spans="1:1" x14ac:dyDescent="0.25">
      <c r="A828195" s="242"/>
    </row>
    <row r="828196" spans="1:1" x14ac:dyDescent="0.25">
      <c r="A828196" s="242"/>
    </row>
    <row r="828197" spans="1:1" x14ac:dyDescent="0.25">
      <c r="A828197" s="242"/>
    </row>
    <row r="828198" spans="1:1" x14ac:dyDescent="0.25">
      <c r="A828198" s="242"/>
    </row>
    <row r="828199" spans="1:1" x14ac:dyDescent="0.25">
      <c r="A828199" s="242"/>
    </row>
    <row r="828200" spans="1:1" x14ac:dyDescent="0.25">
      <c r="A828200" s="242"/>
    </row>
    <row r="828201" spans="1:1" x14ac:dyDescent="0.25">
      <c r="A828201" s="242"/>
    </row>
    <row r="828202" spans="1:1" x14ac:dyDescent="0.25">
      <c r="A828202" s="242"/>
    </row>
    <row r="828203" spans="1:1" x14ac:dyDescent="0.25">
      <c r="A828203" s="242"/>
    </row>
    <row r="828204" spans="1:1" x14ac:dyDescent="0.25">
      <c r="A828204" s="242"/>
    </row>
    <row r="828205" spans="1:1" x14ac:dyDescent="0.25">
      <c r="A828205" s="242"/>
    </row>
    <row r="828206" spans="1:1" x14ac:dyDescent="0.25">
      <c r="A828206" s="242"/>
    </row>
    <row r="828207" spans="1:1" x14ac:dyDescent="0.25">
      <c r="A828207" s="242"/>
    </row>
    <row r="828208" spans="1:1" x14ac:dyDescent="0.25">
      <c r="A828208" s="242"/>
    </row>
    <row r="828209" spans="1:1" x14ac:dyDescent="0.25">
      <c r="A828209" s="242"/>
    </row>
    <row r="828210" spans="1:1" x14ac:dyDescent="0.25">
      <c r="A828210" s="242"/>
    </row>
    <row r="828211" spans="1:1" x14ac:dyDescent="0.25">
      <c r="A828211" s="242"/>
    </row>
    <row r="828212" spans="1:1" x14ac:dyDescent="0.25">
      <c r="A828212" s="242"/>
    </row>
    <row r="828213" spans="1:1" x14ac:dyDescent="0.25">
      <c r="A828213" s="242"/>
    </row>
    <row r="828214" spans="1:1" x14ac:dyDescent="0.25">
      <c r="A828214" s="242"/>
    </row>
    <row r="828215" spans="1:1" x14ac:dyDescent="0.25">
      <c r="A828215" s="242"/>
    </row>
    <row r="828216" spans="1:1" x14ac:dyDescent="0.25">
      <c r="A828216" s="242"/>
    </row>
    <row r="828217" spans="1:1" x14ac:dyDescent="0.25">
      <c r="A828217" s="242"/>
    </row>
    <row r="828218" spans="1:1" x14ac:dyDescent="0.25">
      <c r="A828218" s="242"/>
    </row>
    <row r="828219" spans="1:1" x14ac:dyDescent="0.25">
      <c r="A828219" s="242"/>
    </row>
    <row r="828220" spans="1:1" x14ac:dyDescent="0.25">
      <c r="A828220" s="242"/>
    </row>
    <row r="828221" spans="1:1" x14ac:dyDescent="0.25">
      <c r="A828221" s="242"/>
    </row>
    <row r="828222" spans="1:1" x14ac:dyDescent="0.25">
      <c r="A828222" s="242"/>
    </row>
    <row r="828223" spans="1:1" x14ac:dyDescent="0.25">
      <c r="A828223" s="242"/>
    </row>
    <row r="828224" spans="1:1" x14ac:dyDescent="0.25">
      <c r="A828224" s="242"/>
    </row>
    <row r="828225" spans="1:1" x14ac:dyDescent="0.25">
      <c r="A828225" s="242"/>
    </row>
    <row r="828226" spans="1:1" x14ac:dyDescent="0.25">
      <c r="A828226" s="242"/>
    </row>
    <row r="828227" spans="1:1" x14ac:dyDescent="0.25">
      <c r="A828227" s="242"/>
    </row>
    <row r="828228" spans="1:1" x14ac:dyDescent="0.25">
      <c r="A828228" s="242"/>
    </row>
    <row r="828229" spans="1:1" x14ac:dyDescent="0.25">
      <c r="A828229" s="242"/>
    </row>
    <row r="828230" spans="1:1" x14ac:dyDescent="0.25">
      <c r="A828230" s="242"/>
    </row>
    <row r="828231" spans="1:1" x14ac:dyDescent="0.25">
      <c r="A828231" s="242"/>
    </row>
    <row r="828232" spans="1:1" x14ac:dyDescent="0.25">
      <c r="A828232" s="242"/>
    </row>
    <row r="828233" spans="1:1" x14ac:dyDescent="0.25">
      <c r="A828233" s="242"/>
    </row>
    <row r="828234" spans="1:1" x14ac:dyDescent="0.25">
      <c r="A828234" s="242"/>
    </row>
    <row r="828235" spans="1:1" x14ac:dyDescent="0.25">
      <c r="A828235" s="242"/>
    </row>
    <row r="828236" spans="1:1" x14ac:dyDescent="0.25">
      <c r="A828236" s="242"/>
    </row>
    <row r="828237" spans="1:1" x14ac:dyDescent="0.25">
      <c r="A828237" s="242"/>
    </row>
    <row r="828238" spans="1:1" x14ac:dyDescent="0.25">
      <c r="A828238" s="242"/>
    </row>
    <row r="828239" spans="1:1" x14ac:dyDescent="0.25">
      <c r="A828239" s="242"/>
    </row>
    <row r="828240" spans="1:1" x14ac:dyDescent="0.25">
      <c r="A828240" s="242"/>
    </row>
    <row r="828241" spans="1:1" x14ac:dyDescent="0.25">
      <c r="A828241" s="242"/>
    </row>
    <row r="828242" spans="1:1" x14ac:dyDescent="0.25">
      <c r="A828242" s="242"/>
    </row>
    <row r="828243" spans="1:1" x14ac:dyDescent="0.25">
      <c r="A828243" s="242"/>
    </row>
    <row r="828244" spans="1:1" x14ac:dyDescent="0.25">
      <c r="A828244" s="242"/>
    </row>
    <row r="828245" spans="1:1" x14ac:dyDescent="0.25">
      <c r="A828245" s="242"/>
    </row>
    <row r="828246" spans="1:1" x14ac:dyDescent="0.25">
      <c r="A828246" s="242"/>
    </row>
    <row r="828247" spans="1:1" x14ac:dyDescent="0.25">
      <c r="A828247" s="242"/>
    </row>
    <row r="828248" spans="1:1" x14ac:dyDescent="0.25">
      <c r="A828248" s="242"/>
    </row>
    <row r="828249" spans="1:1" x14ac:dyDescent="0.25">
      <c r="A828249" s="242"/>
    </row>
    <row r="828250" spans="1:1" x14ac:dyDescent="0.25">
      <c r="A828250" s="242"/>
    </row>
    <row r="828251" spans="1:1" x14ac:dyDescent="0.25">
      <c r="A828251" s="242"/>
    </row>
    <row r="828252" spans="1:1" x14ac:dyDescent="0.25">
      <c r="A828252" s="242"/>
    </row>
    <row r="828253" spans="1:1" x14ac:dyDescent="0.25">
      <c r="A828253" s="242"/>
    </row>
    <row r="828254" spans="1:1" x14ac:dyDescent="0.25">
      <c r="A828254" s="242"/>
    </row>
    <row r="828255" spans="1:1" x14ac:dyDescent="0.25">
      <c r="A828255" s="242"/>
    </row>
    <row r="828256" spans="1:1" x14ac:dyDescent="0.25">
      <c r="A828256" s="242"/>
    </row>
    <row r="828257" spans="1:1" x14ac:dyDescent="0.25">
      <c r="A828257" s="242"/>
    </row>
    <row r="828258" spans="1:1" x14ac:dyDescent="0.25">
      <c r="A828258" s="242"/>
    </row>
    <row r="828259" spans="1:1" x14ac:dyDescent="0.25">
      <c r="A828259" s="242"/>
    </row>
    <row r="828260" spans="1:1" x14ac:dyDescent="0.25">
      <c r="A828260" s="242"/>
    </row>
    <row r="828261" spans="1:1" x14ac:dyDescent="0.25">
      <c r="A828261" s="242"/>
    </row>
    <row r="828262" spans="1:1" x14ac:dyDescent="0.25">
      <c r="A828262" s="242"/>
    </row>
    <row r="828263" spans="1:1" x14ac:dyDescent="0.25">
      <c r="A828263" s="242"/>
    </row>
    <row r="828264" spans="1:1" x14ac:dyDescent="0.25">
      <c r="A828264" s="242"/>
    </row>
    <row r="828265" spans="1:1" x14ac:dyDescent="0.25">
      <c r="A828265" s="242"/>
    </row>
    <row r="828266" spans="1:1" x14ac:dyDescent="0.25">
      <c r="A828266" s="242"/>
    </row>
    <row r="828267" spans="1:1" x14ac:dyDescent="0.25">
      <c r="A828267" s="242"/>
    </row>
    <row r="828268" spans="1:1" x14ac:dyDescent="0.25">
      <c r="A828268" s="242"/>
    </row>
    <row r="828269" spans="1:1" x14ac:dyDescent="0.25">
      <c r="A828269" s="242"/>
    </row>
    <row r="828270" spans="1:1" x14ac:dyDescent="0.25">
      <c r="A828270" s="242"/>
    </row>
    <row r="828271" spans="1:1" x14ac:dyDescent="0.25">
      <c r="A828271" s="242"/>
    </row>
    <row r="828272" spans="1:1" x14ac:dyDescent="0.25">
      <c r="A828272" s="242"/>
    </row>
    <row r="828273" spans="1:1" x14ac:dyDescent="0.25">
      <c r="A828273" s="242"/>
    </row>
    <row r="828274" spans="1:1" x14ac:dyDescent="0.25">
      <c r="A828274" s="242"/>
    </row>
    <row r="828275" spans="1:1" x14ac:dyDescent="0.25">
      <c r="A828275" s="242"/>
    </row>
    <row r="828276" spans="1:1" x14ac:dyDescent="0.25">
      <c r="A828276" s="242"/>
    </row>
    <row r="828277" spans="1:1" x14ac:dyDescent="0.25">
      <c r="A828277" s="242"/>
    </row>
    <row r="828278" spans="1:1" x14ac:dyDescent="0.25">
      <c r="A828278" s="242"/>
    </row>
    <row r="828279" spans="1:1" x14ac:dyDescent="0.25">
      <c r="A828279" s="242"/>
    </row>
    <row r="828280" spans="1:1" x14ac:dyDescent="0.25">
      <c r="A828280" s="242"/>
    </row>
    <row r="828281" spans="1:1" x14ac:dyDescent="0.25">
      <c r="A828281" s="242"/>
    </row>
    <row r="828282" spans="1:1" x14ac:dyDescent="0.25">
      <c r="A828282" s="242"/>
    </row>
    <row r="828283" spans="1:1" x14ac:dyDescent="0.25">
      <c r="A828283" s="242"/>
    </row>
    <row r="828284" spans="1:1" x14ac:dyDescent="0.25">
      <c r="A828284" s="242"/>
    </row>
    <row r="828285" spans="1:1" x14ac:dyDescent="0.25">
      <c r="A828285" s="242"/>
    </row>
    <row r="828286" spans="1:1" x14ac:dyDescent="0.25">
      <c r="A828286" s="242"/>
    </row>
    <row r="828287" spans="1:1" x14ac:dyDescent="0.25">
      <c r="A828287" s="242"/>
    </row>
    <row r="828288" spans="1:1" x14ac:dyDescent="0.25">
      <c r="A828288" s="242"/>
    </row>
    <row r="828289" spans="1:1" x14ac:dyDescent="0.25">
      <c r="A828289" s="242"/>
    </row>
    <row r="828290" spans="1:1" x14ac:dyDescent="0.25">
      <c r="A828290" s="242"/>
    </row>
    <row r="828291" spans="1:1" x14ac:dyDescent="0.25">
      <c r="A828291" s="242"/>
    </row>
    <row r="828292" spans="1:1" x14ac:dyDescent="0.25">
      <c r="A828292" s="242"/>
    </row>
    <row r="828293" spans="1:1" x14ac:dyDescent="0.25">
      <c r="A828293" s="242"/>
    </row>
    <row r="828294" spans="1:1" x14ac:dyDescent="0.25">
      <c r="A828294" s="242"/>
    </row>
    <row r="828295" spans="1:1" x14ac:dyDescent="0.25">
      <c r="A828295" s="242"/>
    </row>
    <row r="828296" spans="1:1" x14ac:dyDescent="0.25">
      <c r="A828296" s="242"/>
    </row>
    <row r="828297" spans="1:1" x14ac:dyDescent="0.25">
      <c r="A828297" s="242"/>
    </row>
    <row r="828298" spans="1:1" x14ac:dyDescent="0.25">
      <c r="A828298" s="242"/>
    </row>
    <row r="828299" spans="1:1" x14ac:dyDescent="0.25">
      <c r="A828299" s="242"/>
    </row>
    <row r="828300" spans="1:1" x14ac:dyDescent="0.25">
      <c r="A828300" s="242"/>
    </row>
    <row r="828301" spans="1:1" x14ac:dyDescent="0.25">
      <c r="A828301" s="242"/>
    </row>
    <row r="828302" spans="1:1" x14ac:dyDescent="0.25">
      <c r="A828302" s="242"/>
    </row>
    <row r="828303" spans="1:1" x14ac:dyDescent="0.25">
      <c r="A828303" s="242"/>
    </row>
    <row r="828304" spans="1:1" x14ac:dyDescent="0.25">
      <c r="A828304" s="242"/>
    </row>
    <row r="828305" spans="1:1" x14ac:dyDescent="0.25">
      <c r="A828305" s="242"/>
    </row>
    <row r="828306" spans="1:1" x14ac:dyDescent="0.25">
      <c r="A828306" s="242"/>
    </row>
    <row r="828307" spans="1:1" x14ac:dyDescent="0.25">
      <c r="A828307" s="242"/>
    </row>
    <row r="828308" spans="1:1" x14ac:dyDescent="0.25">
      <c r="A828308" s="242"/>
    </row>
    <row r="828309" spans="1:1" x14ac:dyDescent="0.25">
      <c r="A828309" s="242"/>
    </row>
    <row r="828310" spans="1:1" x14ac:dyDescent="0.25">
      <c r="A828310" s="242"/>
    </row>
    <row r="828311" spans="1:1" x14ac:dyDescent="0.25">
      <c r="A828311" s="242"/>
    </row>
    <row r="828312" spans="1:1" x14ac:dyDescent="0.25">
      <c r="A828312" s="242"/>
    </row>
    <row r="828313" spans="1:1" x14ac:dyDescent="0.25">
      <c r="A828313" s="242"/>
    </row>
    <row r="828314" spans="1:1" x14ac:dyDescent="0.25">
      <c r="A828314" s="242"/>
    </row>
    <row r="828315" spans="1:1" x14ac:dyDescent="0.25">
      <c r="A828315" s="242"/>
    </row>
    <row r="828316" spans="1:1" x14ac:dyDescent="0.25">
      <c r="A828316" s="242"/>
    </row>
    <row r="828317" spans="1:1" x14ac:dyDescent="0.25">
      <c r="A828317" s="242"/>
    </row>
    <row r="828318" spans="1:1" x14ac:dyDescent="0.25">
      <c r="A828318" s="242"/>
    </row>
    <row r="828319" spans="1:1" x14ac:dyDescent="0.25">
      <c r="A828319" s="242"/>
    </row>
    <row r="828320" spans="1:1" x14ac:dyDescent="0.25">
      <c r="A828320" s="242"/>
    </row>
    <row r="828321" spans="1:1" x14ac:dyDescent="0.25">
      <c r="A828321" s="242"/>
    </row>
    <row r="828322" spans="1:1" x14ac:dyDescent="0.25">
      <c r="A828322" s="242"/>
    </row>
    <row r="828323" spans="1:1" x14ac:dyDescent="0.25">
      <c r="A828323" s="242"/>
    </row>
    <row r="828324" spans="1:1" x14ac:dyDescent="0.25">
      <c r="A828324" s="242"/>
    </row>
    <row r="828325" spans="1:1" x14ac:dyDescent="0.25">
      <c r="A828325" s="242"/>
    </row>
    <row r="828326" spans="1:1" x14ac:dyDescent="0.25">
      <c r="A828326" s="242"/>
    </row>
    <row r="828327" spans="1:1" x14ac:dyDescent="0.25">
      <c r="A828327" s="242"/>
    </row>
    <row r="828328" spans="1:1" x14ac:dyDescent="0.25">
      <c r="A828328" s="242"/>
    </row>
    <row r="828329" spans="1:1" x14ac:dyDescent="0.25">
      <c r="A828329" s="242"/>
    </row>
    <row r="828330" spans="1:1" x14ac:dyDescent="0.25">
      <c r="A828330" s="242"/>
    </row>
    <row r="828331" spans="1:1" x14ac:dyDescent="0.25">
      <c r="A828331" s="242"/>
    </row>
    <row r="828332" spans="1:1" x14ac:dyDescent="0.25">
      <c r="A828332" s="242"/>
    </row>
    <row r="828333" spans="1:1" x14ac:dyDescent="0.25">
      <c r="A828333" s="242"/>
    </row>
    <row r="828334" spans="1:1" x14ac:dyDescent="0.25">
      <c r="A828334" s="242"/>
    </row>
    <row r="828335" spans="1:1" x14ac:dyDescent="0.25">
      <c r="A828335" s="242"/>
    </row>
    <row r="828336" spans="1:1" x14ac:dyDescent="0.25">
      <c r="A828336" s="242"/>
    </row>
    <row r="828337" spans="1:1" x14ac:dyDescent="0.25">
      <c r="A828337" s="242"/>
    </row>
    <row r="828338" spans="1:1" x14ac:dyDescent="0.25">
      <c r="A828338" s="242"/>
    </row>
    <row r="828339" spans="1:1" x14ac:dyDescent="0.25">
      <c r="A828339" s="242"/>
    </row>
    <row r="828340" spans="1:1" x14ac:dyDescent="0.25">
      <c r="A828340" s="242"/>
    </row>
    <row r="828341" spans="1:1" x14ac:dyDescent="0.25">
      <c r="A828341" s="242"/>
    </row>
    <row r="828342" spans="1:1" x14ac:dyDescent="0.25">
      <c r="A828342" s="242"/>
    </row>
    <row r="828343" spans="1:1" x14ac:dyDescent="0.25">
      <c r="A828343" s="242"/>
    </row>
    <row r="828344" spans="1:1" x14ac:dyDescent="0.25">
      <c r="A828344" s="242"/>
    </row>
    <row r="828345" spans="1:1" x14ac:dyDescent="0.25">
      <c r="A828345" s="242"/>
    </row>
    <row r="828346" spans="1:1" x14ac:dyDescent="0.25">
      <c r="A828346" s="242"/>
    </row>
    <row r="828347" spans="1:1" x14ac:dyDescent="0.25">
      <c r="A828347" s="242"/>
    </row>
    <row r="828348" spans="1:1" x14ac:dyDescent="0.25">
      <c r="A828348" s="242"/>
    </row>
    <row r="828349" spans="1:1" x14ac:dyDescent="0.25">
      <c r="A828349" s="242"/>
    </row>
    <row r="828350" spans="1:1" x14ac:dyDescent="0.25">
      <c r="A828350" s="242"/>
    </row>
    <row r="828351" spans="1:1" x14ac:dyDescent="0.25">
      <c r="A828351" s="242"/>
    </row>
    <row r="828352" spans="1:1" x14ac:dyDescent="0.25">
      <c r="A828352" s="242"/>
    </row>
    <row r="828353" spans="1:1" x14ac:dyDescent="0.25">
      <c r="A828353" s="242"/>
    </row>
    <row r="828354" spans="1:1" x14ac:dyDescent="0.25">
      <c r="A828354" s="242"/>
    </row>
    <row r="828355" spans="1:1" x14ac:dyDescent="0.25">
      <c r="A828355" s="242"/>
    </row>
    <row r="828356" spans="1:1" x14ac:dyDescent="0.25">
      <c r="A828356" s="242"/>
    </row>
    <row r="828357" spans="1:1" x14ac:dyDescent="0.25">
      <c r="A828357" s="242"/>
    </row>
    <row r="828358" spans="1:1" x14ac:dyDescent="0.25">
      <c r="A828358" s="242"/>
    </row>
    <row r="828359" spans="1:1" x14ac:dyDescent="0.25">
      <c r="A828359" s="242"/>
    </row>
    <row r="828360" spans="1:1" x14ac:dyDescent="0.25">
      <c r="A828360" s="242"/>
    </row>
    <row r="828361" spans="1:1" x14ac:dyDescent="0.25">
      <c r="A828361" s="242"/>
    </row>
    <row r="828362" spans="1:1" x14ac:dyDescent="0.25">
      <c r="A828362" s="242"/>
    </row>
    <row r="828363" spans="1:1" x14ac:dyDescent="0.25">
      <c r="A828363" s="242"/>
    </row>
    <row r="828364" spans="1:1" x14ac:dyDescent="0.25">
      <c r="A828364" s="242"/>
    </row>
    <row r="828365" spans="1:1" x14ac:dyDescent="0.25">
      <c r="A828365" s="242"/>
    </row>
    <row r="828366" spans="1:1" x14ac:dyDescent="0.25">
      <c r="A828366" s="242"/>
    </row>
    <row r="828367" spans="1:1" x14ac:dyDescent="0.25">
      <c r="A828367" s="242"/>
    </row>
    <row r="828368" spans="1:1" x14ac:dyDescent="0.25">
      <c r="A828368" s="242"/>
    </row>
    <row r="828369" spans="1:1" x14ac:dyDescent="0.25">
      <c r="A828369" s="242"/>
    </row>
    <row r="828370" spans="1:1" x14ac:dyDescent="0.25">
      <c r="A828370" s="242"/>
    </row>
    <row r="828371" spans="1:1" x14ac:dyDescent="0.25">
      <c r="A828371" s="242"/>
    </row>
    <row r="828372" spans="1:1" x14ac:dyDescent="0.25">
      <c r="A828372" s="242"/>
    </row>
    <row r="828373" spans="1:1" x14ac:dyDescent="0.25">
      <c r="A828373" s="242"/>
    </row>
    <row r="828374" spans="1:1" x14ac:dyDescent="0.25">
      <c r="A828374" s="242"/>
    </row>
    <row r="828375" spans="1:1" x14ac:dyDescent="0.25">
      <c r="A828375" s="242"/>
    </row>
    <row r="828376" spans="1:1" x14ac:dyDescent="0.25">
      <c r="A828376" s="242"/>
    </row>
    <row r="828377" spans="1:1" x14ac:dyDescent="0.25">
      <c r="A828377" s="242"/>
    </row>
    <row r="828378" spans="1:1" x14ac:dyDescent="0.25">
      <c r="A828378" s="242"/>
    </row>
    <row r="828379" spans="1:1" x14ac:dyDescent="0.25">
      <c r="A828379" s="242"/>
    </row>
    <row r="828380" spans="1:1" x14ac:dyDescent="0.25">
      <c r="A828380" s="242"/>
    </row>
    <row r="828381" spans="1:1" x14ac:dyDescent="0.25">
      <c r="A828381" s="242"/>
    </row>
    <row r="828382" spans="1:1" x14ac:dyDescent="0.25">
      <c r="A828382" s="242"/>
    </row>
    <row r="828383" spans="1:1" x14ac:dyDescent="0.25">
      <c r="A828383" s="242"/>
    </row>
    <row r="828384" spans="1:1" x14ac:dyDescent="0.25">
      <c r="A828384" s="242"/>
    </row>
    <row r="828385" spans="1:1" x14ac:dyDescent="0.25">
      <c r="A828385" s="242"/>
    </row>
    <row r="828386" spans="1:1" x14ac:dyDescent="0.25">
      <c r="A828386" s="242"/>
    </row>
    <row r="828387" spans="1:1" x14ac:dyDescent="0.25">
      <c r="A828387" s="242"/>
    </row>
    <row r="828388" spans="1:1" x14ac:dyDescent="0.25">
      <c r="A828388" s="242"/>
    </row>
    <row r="828389" spans="1:1" x14ac:dyDescent="0.25">
      <c r="A828389" s="242"/>
    </row>
    <row r="828390" spans="1:1" x14ac:dyDescent="0.25">
      <c r="A828390" s="242"/>
    </row>
    <row r="828391" spans="1:1" x14ac:dyDescent="0.25">
      <c r="A828391" s="242"/>
    </row>
    <row r="828392" spans="1:1" x14ac:dyDescent="0.25">
      <c r="A828392" s="242"/>
    </row>
    <row r="828393" spans="1:1" x14ac:dyDescent="0.25">
      <c r="A828393" s="242"/>
    </row>
    <row r="828394" spans="1:1" x14ac:dyDescent="0.25">
      <c r="A828394" s="242"/>
    </row>
    <row r="828395" spans="1:1" x14ac:dyDescent="0.25">
      <c r="A828395" s="242"/>
    </row>
    <row r="828396" spans="1:1" x14ac:dyDescent="0.25">
      <c r="A828396" s="242"/>
    </row>
    <row r="828397" spans="1:1" x14ac:dyDescent="0.25">
      <c r="A828397" s="242"/>
    </row>
    <row r="828398" spans="1:1" x14ac:dyDescent="0.25">
      <c r="A828398" s="242"/>
    </row>
    <row r="828399" spans="1:1" x14ac:dyDescent="0.25">
      <c r="A828399" s="242"/>
    </row>
    <row r="828400" spans="1:1" x14ac:dyDescent="0.25">
      <c r="A828400" s="242"/>
    </row>
    <row r="828401" spans="1:1" x14ac:dyDescent="0.25">
      <c r="A828401" s="242"/>
    </row>
    <row r="828402" spans="1:1" x14ac:dyDescent="0.25">
      <c r="A828402" s="242"/>
    </row>
    <row r="828403" spans="1:1" x14ac:dyDescent="0.25">
      <c r="A828403" s="242"/>
    </row>
    <row r="828404" spans="1:1" x14ac:dyDescent="0.25">
      <c r="A828404" s="242"/>
    </row>
    <row r="828405" spans="1:1" x14ac:dyDescent="0.25">
      <c r="A828405" s="242"/>
    </row>
    <row r="828406" spans="1:1" x14ac:dyDescent="0.25">
      <c r="A828406" s="242"/>
    </row>
    <row r="828407" spans="1:1" x14ac:dyDescent="0.25">
      <c r="A828407" s="242"/>
    </row>
    <row r="828408" spans="1:1" x14ac:dyDescent="0.25">
      <c r="A828408" s="242"/>
    </row>
    <row r="828409" spans="1:1" x14ac:dyDescent="0.25">
      <c r="A828409" s="242"/>
    </row>
    <row r="828410" spans="1:1" x14ac:dyDescent="0.25">
      <c r="A828410" s="242"/>
    </row>
    <row r="828411" spans="1:1" x14ac:dyDescent="0.25">
      <c r="A828411" s="242"/>
    </row>
    <row r="828412" spans="1:1" x14ac:dyDescent="0.25">
      <c r="A828412" s="242"/>
    </row>
    <row r="828413" spans="1:1" x14ac:dyDescent="0.25">
      <c r="A828413" s="242"/>
    </row>
    <row r="828414" spans="1:1" x14ac:dyDescent="0.25">
      <c r="A828414" s="242"/>
    </row>
    <row r="828415" spans="1:1" x14ac:dyDescent="0.25">
      <c r="A828415" s="242"/>
    </row>
    <row r="828416" spans="1:1" x14ac:dyDescent="0.25">
      <c r="A828416" s="242"/>
    </row>
    <row r="828417" spans="1:1" x14ac:dyDescent="0.25">
      <c r="A828417" s="242"/>
    </row>
    <row r="828418" spans="1:1" x14ac:dyDescent="0.25">
      <c r="A828418" s="242"/>
    </row>
    <row r="828419" spans="1:1" x14ac:dyDescent="0.25">
      <c r="A828419" s="242"/>
    </row>
    <row r="828420" spans="1:1" x14ac:dyDescent="0.25">
      <c r="A828420" s="242"/>
    </row>
    <row r="828421" spans="1:1" x14ac:dyDescent="0.25">
      <c r="A828421" s="242"/>
    </row>
    <row r="828422" spans="1:1" x14ac:dyDescent="0.25">
      <c r="A828422" s="242"/>
    </row>
    <row r="828423" spans="1:1" x14ac:dyDescent="0.25">
      <c r="A828423" s="242"/>
    </row>
    <row r="828424" spans="1:1" x14ac:dyDescent="0.25">
      <c r="A828424" s="242"/>
    </row>
    <row r="828425" spans="1:1" x14ac:dyDescent="0.25">
      <c r="A828425" s="242"/>
    </row>
    <row r="828426" spans="1:1" x14ac:dyDescent="0.25">
      <c r="A828426" s="242"/>
    </row>
    <row r="828427" spans="1:1" x14ac:dyDescent="0.25">
      <c r="A828427" s="242"/>
    </row>
    <row r="828428" spans="1:1" x14ac:dyDescent="0.25">
      <c r="A828428" s="242"/>
    </row>
    <row r="828429" spans="1:1" x14ac:dyDescent="0.25">
      <c r="A828429" s="242"/>
    </row>
    <row r="828430" spans="1:1" x14ac:dyDescent="0.25">
      <c r="A828430" s="242"/>
    </row>
    <row r="828431" spans="1:1" x14ac:dyDescent="0.25">
      <c r="A828431" s="242"/>
    </row>
    <row r="828432" spans="1:1" x14ac:dyDescent="0.25">
      <c r="A828432" s="242"/>
    </row>
    <row r="828433" spans="1:1" x14ac:dyDescent="0.25">
      <c r="A828433" s="242"/>
    </row>
    <row r="828434" spans="1:1" x14ac:dyDescent="0.25">
      <c r="A828434" s="242"/>
    </row>
    <row r="828435" spans="1:1" x14ac:dyDescent="0.25">
      <c r="A828435" s="242"/>
    </row>
    <row r="828436" spans="1:1" x14ac:dyDescent="0.25">
      <c r="A828436" s="242"/>
    </row>
    <row r="828437" spans="1:1" x14ac:dyDescent="0.25">
      <c r="A828437" s="242"/>
    </row>
    <row r="828438" spans="1:1" x14ac:dyDescent="0.25">
      <c r="A828438" s="242"/>
    </row>
    <row r="828439" spans="1:1" x14ac:dyDescent="0.25">
      <c r="A828439" s="242"/>
    </row>
    <row r="828440" spans="1:1" x14ac:dyDescent="0.25">
      <c r="A828440" s="242"/>
    </row>
    <row r="828441" spans="1:1" x14ac:dyDescent="0.25">
      <c r="A828441" s="242"/>
    </row>
    <row r="828442" spans="1:1" x14ac:dyDescent="0.25">
      <c r="A828442" s="242"/>
    </row>
    <row r="828443" spans="1:1" x14ac:dyDescent="0.25">
      <c r="A828443" s="242"/>
    </row>
    <row r="828444" spans="1:1" x14ac:dyDescent="0.25">
      <c r="A828444" s="242"/>
    </row>
    <row r="828445" spans="1:1" x14ac:dyDescent="0.25">
      <c r="A828445" s="242"/>
    </row>
    <row r="828446" spans="1:1" x14ac:dyDescent="0.25">
      <c r="A828446" s="242"/>
    </row>
    <row r="828447" spans="1:1" x14ac:dyDescent="0.25">
      <c r="A828447" s="242"/>
    </row>
    <row r="828448" spans="1:1" x14ac:dyDescent="0.25">
      <c r="A828448" s="242"/>
    </row>
    <row r="828449" spans="1:1" x14ac:dyDescent="0.25">
      <c r="A828449" s="242"/>
    </row>
    <row r="828450" spans="1:1" x14ac:dyDescent="0.25">
      <c r="A828450" s="242"/>
    </row>
    <row r="828451" spans="1:1" x14ac:dyDescent="0.25">
      <c r="A828451" s="242"/>
    </row>
    <row r="828452" spans="1:1" x14ac:dyDescent="0.25">
      <c r="A828452" s="242"/>
    </row>
    <row r="828453" spans="1:1" x14ac:dyDescent="0.25">
      <c r="A828453" s="242"/>
    </row>
    <row r="828454" spans="1:1" x14ac:dyDescent="0.25">
      <c r="A828454" s="242"/>
    </row>
    <row r="828455" spans="1:1" x14ac:dyDescent="0.25">
      <c r="A828455" s="242"/>
    </row>
    <row r="828456" spans="1:1" x14ac:dyDescent="0.25">
      <c r="A828456" s="242"/>
    </row>
    <row r="828457" spans="1:1" x14ac:dyDescent="0.25">
      <c r="A828457" s="242"/>
    </row>
    <row r="828458" spans="1:1" x14ac:dyDescent="0.25">
      <c r="A828458" s="242"/>
    </row>
    <row r="828459" spans="1:1" x14ac:dyDescent="0.25">
      <c r="A828459" s="242"/>
    </row>
    <row r="828460" spans="1:1" x14ac:dyDescent="0.25">
      <c r="A828460" s="242"/>
    </row>
    <row r="828461" spans="1:1" x14ac:dyDescent="0.25">
      <c r="A828461" s="242"/>
    </row>
    <row r="828462" spans="1:1" x14ac:dyDescent="0.25">
      <c r="A828462" s="242"/>
    </row>
    <row r="828463" spans="1:1" x14ac:dyDescent="0.25">
      <c r="A828463" s="242"/>
    </row>
    <row r="828464" spans="1:1" x14ac:dyDescent="0.25">
      <c r="A828464" s="242"/>
    </row>
    <row r="828465" spans="1:1" x14ac:dyDescent="0.25">
      <c r="A828465" s="242"/>
    </row>
    <row r="828466" spans="1:1" x14ac:dyDescent="0.25">
      <c r="A828466" s="242"/>
    </row>
    <row r="828467" spans="1:1" x14ac:dyDescent="0.25">
      <c r="A828467" s="242"/>
    </row>
    <row r="828468" spans="1:1" x14ac:dyDescent="0.25">
      <c r="A828468" s="242"/>
    </row>
    <row r="828469" spans="1:1" x14ac:dyDescent="0.25">
      <c r="A828469" s="242"/>
    </row>
    <row r="828470" spans="1:1" x14ac:dyDescent="0.25">
      <c r="A828470" s="242"/>
    </row>
    <row r="828471" spans="1:1" x14ac:dyDescent="0.25">
      <c r="A828471" s="242"/>
    </row>
    <row r="828472" spans="1:1" x14ac:dyDescent="0.25">
      <c r="A828472" s="242"/>
    </row>
    <row r="828473" spans="1:1" x14ac:dyDescent="0.25">
      <c r="A828473" s="242"/>
    </row>
    <row r="828474" spans="1:1" x14ac:dyDescent="0.25">
      <c r="A828474" s="242"/>
    </row>
    <row r="828475" spans="1:1" x14ac:dyDescent="0.25">
      <c r="A828475" s="242"/>
    </row>
    <row r="828476" spans="1:1" x14ac:dyDescent="0.25">
      <c r="A828476" s="242"/>
    </row>
    <row r="828477" spans="1:1" x14ac:dyDescent="0.25">
      <c r="A828477" s="242"/>
    </row>
    <row r="828478" spans="1:1" x14ac:dyDescent="0.25">
      <c r="A828478" s="242"/>
    </row>
    <row r="828479" spans="1:1" x14ac:dyDescent="0.25">
      <c r="A828479" s="242"/>
    </row>
    <row r="828480" spans="1:1" x14ac:dyDescent="0.25">
      <c r="A828480" s="242"/>
    </row>
    <row r="828481" spans="1:1" x14ac:dyDescent="0.25">
      <c r="A828481" s="242"/>
    </row>
    <row r="828482" spans="1:1" x14ac:dyDescent="0.25">
      <c r="A828482" s="242"/>
    </row>
    <row r="828483" spans="1:1" x14ac:dyDescent="0.25">
      <c r="A828483" s="242"/>
    </row>
    <row r="828484" spans="1:1" x14ac:dyDescent="0.25">
      <c r="A828484" s="242"/>
    </row>
    <row r="828485" spans="1:1" x14ac:dyDescent="0.25">
      <c r="A828485" s="242"/>
    </row>
    <row r="828486" spans="1:1" x14ac:dyDescent="0.25">
      <c r="A828486" s="242"/>
    </row>
    <row r="828487" spans="1:1" x14ac:dyDescent="0.25">
      <c r="A828487" s="242"/>
    </row>
    <row r="828488" spans="1:1" x14ac:dyDescent="0.25">
      <c r="A828488" s="242"/>
    </row>
    <row r="828489" spans="1:1" x14ac:dyDescent="0.25">
      <c r="A828489" s="242"/>
    </row>
    <row r="828490" spans="1:1" x14ac:dyDescent="0.25">
      <c r="A828490" s="242"/>
    </row>
    <row r="828491" spans="1:1" x14ac:dyDescent="0.25">
      <c r="A828491" s="242"/>
    </row>
    <row r="828492" spans="1:1" x14ac:dyDescent="0.25">
      <c r="A828492" s="242"/>
    </row>
    <row r="828493" spans="1:1" x14ac:dyDescent="0.25">
      <c r="A828493" s="242"/>
    </row>
    <row r="828494" spans="1:1" x14ac:dyDescent="0.25">
      <c r="A828494" s="242"/>
    </row>
    <row r="828495" spans="1:1" x14ac:dyDescent="0.25">
      <c r="A828495" s="242"/>
    </row>
    <row r="828496" spans="1:1" x14ac:dyDescent="0.25">
      <c r="A828496" s="242"/>
    </row>
    <row r="828497" spans="1:1" x14ac:dyDescent="0.25">
      <c r="A828497" s="242"/>
    </row>
    <row r="828498" spans="1:1" x14ac:dyDescent="0.25">
      <c r="A828498" s="242"/>
    </row>
    <row r="828499" spans="1:1" x14ac:dyDescent="0.25">
      <c r="A828499" s="242"/>
    </row>
    <row r="828500" spans="1:1" x14ac:dyDescent="0.25">
      <c r="A828500" s="242"/>
    </row>
    <row r="828501" spans="1:1" x14ac:dyDescent="0.25">
      <c r="A828501" s="242"/>
    </row>
    <row r="828502" spans="1:1" x14ac:dyDescent="0.25">
      <c r="A828502" s="242"/>
    </row>
    <row r="828503" spans="1:1" x14ac:dyDescent="0.25">
      <c r="A828503" s="242"/>
    </row>
    <row r="828504" spans="1:1" x14ac:dyDescent="0.25">
      <c r="A828504" s="242"/>
    </row>
    <row r="828505" spans="1:1" x14ac:dyDescent="0.25">
      <c r="A828505" s="242"/>
    </row>
    <row r="828506" spans="1:1" x14ac:dyDescent="0.25">
      <c r="A828506" s="242"/>
    </row>
    <row r="828507" spans="1:1" x14ac:dyDescent="0.25">
      <c r="A828507" s="242"/>
    </row>
    <row r="828508" spans="1:1" x14ac:dyDescent="0.25">
      <c r="A828508" s="242"/>
    </row>
    <row r="828509" spans="1:1" x14ac:dyDescent="0.25">
      <c r="A828509" s="242"/>
    </row>
    <row r="828510" spans="1:1" x14ac:dyDescent="0.25">
      <c r="A828510" s="242"/>
    </row>
    <row r="828511" spans="1:1" x14ac:dyDescent="0.25">
      <c r="A828511" s="242"/>
    </row>
    <row r="828512" spans="1:1" x14ac:dyDescent="0.25">
      <c r="A828512" s="242"/>
    </row>
    <row r="828513" spans="1:1" x14ac:dyDescent="0.25">
      <c r="A828513" s="242"/>
    </row>
    <row r="828514" spans="1:1" x14ac:dyDescent="0.25">
      <c r="A828514" s="242"/>
    </row>
    <row r="828515" spans="1:1" x14ac:dyDescent="0.25">
      <c r="A828515" s="242"/>
    </row>
    <row r="828516" spans="1:1" x14ac:dyDescent="0.25">
      <c r="A828516" s="242"/>
    </row>
    <row r="828517" spans="1:1" x14ac:dyDescent="0.25">
      <c r="A828517" s="242"/>
    </row>
    <row r="828518" spans="1:1" x14ac:dyDescent="0.25">
      <c r="A828518" s="242"/>
    </row>
    <row r="828519" spans="1:1" x14ac:dyDescent="0.25">
      <c r="A828519" s="242"/>
    </row>
    <row r="828520" spans="1:1" x14ac:dyDescent="0.25">
      <c r="A828520" s="242"/>
    </row>
    <row r="828521" spans="1:1" x14ac:dyDescent="0.25">
      <c r="A828521" s="242"/>
    </row>
    <row r="828522" spans="1:1" x14ac:dyDescent="0.25">
      <c r="A828522" s="242"/>
    </row>
    <row r="828523" spans="1:1" x14ac:dyDescent="0.25">
      <c r="A828523" s="242"/>
    </row>
    <row r="828524" spans="1:1" x14ac:dyDescent="0.25">
      <c r="A828524" s="242"/>
    </row>
    <row r="828525" spans="1:1" x14ac:dyDescent="0.25">
      <c r="A828525" s="242"/>
    </row>
    <row r="828526" spans="1:1" x14ac:dyDescent="0.25">
      <c r="A828526" s="242"/>
    </row>
    <row r="828527" spans="1:1" x14ac:dyDescent="0.25">
      <c r="A828527" s="242"/>
    </row>
    <row r="828528" spans="1:1" x14ac:dyDescent="0.25">
      <c r="A828528" s="242"/>
    </row>
    <row r="828529" spans="1:1" x14ac:dyDescent="0.25">
      <c r="A828529" s="242"/>
    </row>
    <row r="828530" spans="1:1" x14ac:dyDescent="0.25">
      <c r="A828530" s="242"/>
    </row>
    <row r="828531" spans="1:1" x14ac:dyDescent="0.25">
      <c r="A828531" s="242"/>
    </row>
    <row r="828532" spans="1:1" x14ac:dyDescent="0.25">
      <c r="A828532" s="242"/>
    </row>
    <row r="828533" spans="1:1" x14ac:dyDescent="0.25">
      <c r="A828533" s="242"/>
    </row>
    <row r="828534" spans="1:1" x14ac:dyDescent="0.25">
      <c r="A828534" s="242"/>
    </row>
    <row r="828535" spans="1:1" x14ac:dyDescent="0.25">
      <c r="A828535" s="242"/>
    </row>
    <row r="828536" spans="1:1" x14ac:dyDescent="0.25">
      <c r="A828536" s="242"/>
    </row>
    <row r="828537" spans="1:1" x14ac:dyDescent="0.25">
      <c r="A828537" s="242"/>
    </row>
    <row r="828538" spans="1:1" x14ac:dyDescent="0.25">
      <c r="A828538" s="242"/>
    </row>
    <row r="828539" spans="1:1" x14ac:dyDescent="0.25">
      <c r="A828539" s="242"/>
    </row>
    <row r="828540" spans="1:1" x14ac:dyDescent="0.25">
      <c r="A828540" s="242"/>
    </row>
    <row r="828541" spans="1:1" x14ac:dyDescent="0.25">
      <c r="A828541" s="242"/>
    </row>
    <row r="828542" spans="1:1" x14ac:dyDescent="0.25">
      <c r="A828542" s="242"/>
    </row>
    <row r="828543" spans="1:1" x14ac:dyDescent="0.25">
      <c r="A828543" s="242"/>
    </row>
    <row r="828544" spans="1:1" x14ac:dyDescent="0.25">
      <c r="A828544" s="242"/>
    </row>
    <row r="828545" spans="1:1" x14ac:dyDescent="0.25">
      <c r="A828545" s="242"/>
    </row>
    <row r="828546" spans="1:1" x14ac:dyDescent="0.25">
      <c r="A828546" s="242"/>
    </row>
    <row r="828547" spans="1:1" x14ac:dyDescent="0.25">
      <c r="A828547" s="242"/>
    </row>
    <row r="828548" spans="1:1" x14ac:dyDescent="0.25">
      <c r="A828548" s="242"/>
    </row>
    <row r="828549" spans="1:1" x14ac:dyDescent="0.25">
      <c r="A828549" s="242"/>
    </row>
    <row r="828550" spans="1:1" x14ac:dyDescent="0.25">
      <c r="A828550" s="242"/>
    </row>
    <row r="828551" spans="1:1" x14ac:dyDescent="0.25">
      <c r="A828551" s="242"/>
    </row>
    <row r="828552" spans="1:1" x14ac:dyDescent="0.25">
      <c r="A828552" s="242"/>
    </row>
    <row r="828553" spans="1:1" x14ac:dyDescent="0.25">
      <c r="A828553" s="242"/>
    </row>
    <row r="828554" spans="1:1" x14ac:dyDescent="0.25">
      <c r="A828554" s="242"/>
    </row>
    <row r="828555" spans="1:1" x14ac:dyDescent="0.25">
      <c r="A828555" s="242"/>
    </row>
    <row r="828556" spans="1:1" x14ac:dyDescent="0.25">
      <c r="A828556" s="242"/>
    </row>
    <row r="828557" spans="1:1" x14ac:dyDescent="0.25">
      <c r="A828557" s="242"/>
    </row>
    <row r="828558" spans="1:1" x14ac:dyDescent="0.25">
      <c r="A828558" s="242"/>
    </row>
    <row r="828559" spans="1:1" x14ac:dyDescent="0.25">
      <c r="A828559" s="242"/>
    </row>
    <row r="828560" spans="1:1" x14ac:dyDescent="0.25">
      <c r="A828560" s="242"/>
    </row>
    <row r="828561" spans="1:1" x14ac:dyDescent="0.25">
      <c r="A828561" s="242"/>
    </row>
    <row r="828562" spans="1:1" x14ac:dyDescent="0.25">
      <c r="A828562" s="242"/>
    </row>
    <row r="828563" spans="1:1" x14ac:dyDescent="0.25">
      <c r="A828563" s="242"/>
    </row>
    <row r="828564" spans="1:1" x14ac:dyDescent="0.25">
      <c r="A828564" s="242"/>
    </row>
    <row r="828565" spans="1:1" x14ac:dyDescent="0.25">
      <c r="A828565" s="242"/>
    </row>
    <row r="828566" spans="1:1" x14ac:dyDescent="0.25">
      <c r="A828566" s="242"/>
    </row>
    <row r="828567" spans="1:1" x14ac:dyDescent="0.25">
      <c r="A828567" s="242"/>
    </row>
    <row r="828568" spans="1:1" x14ac:dyDescent="0.25">
      <c r="A828568" s="242"/>
    </row>
    <row r="828569" spans="1:1" x14ac:dyDescent="0.25">
      <c r="A828569" s="242"/>
    </row>
    <row r="828570" spans="1:1" x14ac:dyDescent="0.25">
      <c r="A828570" s="242"/>
    </row>
    <row r="828571" spans="1:1" x14ac:dyDescent="0.25">
      <c r="A828571" s="242"/>
    </row>
    <row r="828572" spans="1:1" x14ac:dyDescent="0.25">
      <c r="A828572" s="242"/>
    </row>
    <row r="828573" spans="1:1" x14ac:dyDescent="0.25">
      <c r="A828573" s="242"/>
    </row>
    <row r="828574" spans="1:1" x14ac:dyDescent="0.25">
      <c r="A828574" s="242"/>
    </row>
    <row r="828575" spans="1:1" x14ac:dyDescent="0.25">
      <c r="A828575" s="242"/>
    </row>
    <row r="828576" spans="1:1" x14ac:dyDescent="0.25">
      <c r="A828576" s="242"/>
    </row>
    <row r="828577" spans="1:1" x14ac:dyDescent="0.25">
      <c r="A828577" s="242"/>
    </row>
    <row r="828578" spans="1:1" x14ac:dyDescent="0.25">
      <c r="A828578" s="242"/>
    </row>
    <row r="828579" spans="1:1" x14ac:dyDescent="0.25">
      <c r="A828579" s="242"/>
    </row>
    <row r="828580" spans="1:1" x14ac:dyDescent="0.25">
      <c r="A828580" s="242"/>
    </row>
    <row r="828581" spans="1:1" x14ac:dyDescent="0.25">
      <c r="A828581" s="242"/>
    </row>
    <row r="828582" spans="1:1" x14ac:dyDescent="0.25">
      <c r="A828582" s="242"/>
    </row>
    <row r="828583" spans="1:1" x14ac:dyDescent="0.25">
      <c r="A828583" s="242"/>
    </row>
    <row r="828584" spans="1:1" x14ac:dyDescent="0.25">
      <c r="A828584" s="242"/>
    </row>
    <row r="828585" spans="1:1" x14ac:dyDescent="0.25">
      <c r="A828585" s="242"/>
    </row>
    <row r="828586" spans="1:1" x14ac:dyDescent="0.25">
      <c r="A828586" s="242"/>
    </row>
    <row r="828587" spans="1:1" x14ac:dyDescent="0.25">
      <c r="A828587" s="242"/>
    </row>
    <row r="828588" spans="1:1" x14ac:dyDescent="0.25">
      <c r="A828588" s="242"/>
    </row>
    <row r="828589" spans="1:1" x14ac:dyDescent="0.25">
      <c r="A828589" s="242"/>
    </row>
    <row r="828590" spans="1:1" x14ac:dyDescent="0.25">
      <c r="A828590" s="242"/>
    </row>
    <row r="828591" spans="1:1" x14ac:dyDescent="0.25">
      <c r="A828591" s="242"/>
    </row>
    <row r="828592" spans="1:1" x14ac:dyDescent="0.25">
      <c r="A828592" s="242"/>
    </row>
    <row r="828593" spans="1:1" x14ac:dyDescent="0.25">
      <c r="A828593" s="242"/>
    </row>
    <row r="828594" spans="1:1" x14ac:dyDescent="0.25">
      <c r="A828594" s="242"/>
    </row>
    <row r="828595" spans="1:1" x14ac:dyDescent="0.25">
      <c r="A828595" s="242"/>
    </row>
    <row r="828596" spans="1:1" x14ac:dyDescent="0.25">
      <c r="A828596" s="242"/>
    </row>
    <row r="828597" spans="1:1" x14ac:dyDescent="0.25">
      <c r="A828597" s="242"/>
    </row>
    <row r="828598" spans="1:1" x14ac:dyDescent="0.25">
      <c r="A828598" s="242"/>
    </row>
    <row r="828599" spans="1:1" x14ac:dyDescent="0.25">
      <c r="A828599" s="242"/>
    </row>
    <row r="828600" spans="1:1" x14ac:dyDescent="0.25">
      <c r="A828600" s="242"/>
    </row>
    <row r="828601" spans="1:1" x14ac:dyDescent="0.25">
      <c r="A828601" s="242"/>
    </row>
    <row r="828602" spans="1:1" x14ac:dyDescent="0.25">
      <c r="A828602" s="242"/>
    </row>
    <row r="828603" spans="1:1" x14ac:dyDescent="0.25">
      <c r="A828603" s="242"/>
    </row>
    <row r="828604" spans="1:1" x14ac:dyDescent="0.25">
      <c r="A828604" s="242"/>
    </row>
    <row r="828605" spans="1:1" x14ac:dyDescent="0.25">
      <c r="A828605" s="242"/>
    </row>
    <row r="828606" spans="1:1" x14ac:dyDescent="0.25">
      <c r="A828606" s="242"/>
    </row>
    <row r="828607" spans="1:1" x14ac:dyDescent="0.25">
      <c r="A828607" s="242"/>
    </row>
    <row r="828608" spans="1:1" x14ac:dyDescent="0.25">
      <c r="A828608" s="242"/>
    </row>
    <row r="828609" spans="1:1" x14ac:dyDescent="0.25">
      <c r="A828609" s="242"/>
    </row>
    <row r="828610" spans="1:1" x14ac:dyDescent="0.25">
      <c r="A828610" s="242"/>
    </row>
    <row r="828611" spans="1:1" x14ac:dyDescent="0.25">
      <c r="A828611" s="242"/>
    </row>
    <row r="828612" spans="1:1" x14ac:dyDescent="0.25">
      <c r="A828612" s="242"/>
    </row>
    <row r="828613" spans="1:1" x14ac:dyDescent="0.25">
      <c r="A828613" s="242"/>
    </row>
    <row r="828614" spans="1:1" x14ac:dyDescent="0.25">
      <c r="A828614" s="242"/>
    </row>
    <row r="828615" spans="1:1" x14ac:dyDescent="0.25">
      <c r="A828615" s="242"/>
    </row>
    <row r="828616" spans="1:1" x14ac:dyDescent="0.25">
      <c r="A828616" s="242"/>
    </row>
    <row r="828617" spans="1:1" x14ac:dyDescent="0.25">
      <c r="A828617" s="242"/>
    </row>
    <row r="828618" spans="1:1" x14ac:dyDescent="0.25">
      <c r="A828618" s="242"/>
    </row>
    <row r="828619" spans="1:1" x14ac:dyDescent="0.25">
      <c r="A828619" s="242"/>
    </row>
    <row r="828620" spans="1:1" x14ac:dyDescent="0.25">
      <c r="A828620" s="242"/>
    </row>
    <row r="828621" spans="1:1" x14ac:dyDescent="0.25">
      <c r="A828621" s="242"/>
    </row>
    <row r="828622" spans="1:1" x14ac:dyDescent="0.25">
      <c r="A828622" s="242"/>
    </row>
    <row r="828623" spans="1:1" x14ac:dyDescent="0.25">
      <c r="A828623" s="242"/>
    </row>
    <row r="828624" spans="1:1" x14ac:dyDescent="0.25">
      <c r="A828624" s="242"/>
    </row>
    <row r="828625" spans="1:1" x14ac:dyDescent="0.25">
      <c r="A828625" s="242"/>
    </row>
    <row r="828626" spans="1:1" x14ac:dyDescent="0.25">
      <c r="A828626" s="242"/>
    </row>
    <row r="828627" spans="1:1" x14ac:dyDescent="0.25">
      <c r="A828627" s="242"/>
    </row>
    <row r="828628" spans="1:1" x14ac:dyDescent="0.25">
      <c r="A828628" s="242"/>
    </row>
    <row r="828629" spans="1:1" x14ac:dyDescent="0.25">
      <c r="A828629" s="242"/>
    </row>
    <row r="828630" spans="1:1" x14ac:dyDescent="0.25">
      <c r="A828630" s="242"/>
    </row>
    <row r="828631" spans="1:1" x14ac:dyDescent="0.25">
      <c r="A828631" s="242"/>
    </row>
    <row r="828632" spans="1:1" x14ac:dyDescent="0.25">
      <c r="A828632" s="242"/>
    </row>
    <row r="828633" spans="1:1" x14ac:dyDescent="0.25">
      <c r="A828633" s="242"/>
    </row>
    <row r="828634" spans="1:1" x14ac:dyDescent="0.25">
      <c r="A828634" s="242"/>
    </row>
    <row r="828635" spans="1:1" x14ac:dyDescent="0.25">
      <c r="A828635" s="242"/>
    </row>
    <row r="828636" spans="1:1" x14ac:dyDescent="0.25">
      <c r="A828636" s="242"/>
    </row>
    <row r="828637" spans="1:1" x14ac:dyDescent="0.25">
      <c r="A828637" s="242"/>
    </row>
    <row r="828638" spans="1:1" x14ac:dyDescent="0.25">
      <c r="A828638" s="242"/>
    </row>
    <row r="828639" spans="1:1" x14ac:dyDescent="0.25">
      <c r="A828639" s="242"/>
    </row>
    <row r="828640" spans="1:1" x14ac:dyDescent="0.25">
      <c r="A828640" s="242"/>
    </row>
    <row r="828641" spans="1:1" x14ac:dyDescent="0.25">
      <c r="A828641" s="242"/>
    </row>
    <row r="828642" spans="1:1" x14ac:dyDescent="0.25">
      <c r="A828642" s="242"/>
    </row>
    <row r="828643" spans="1:1" x14ac:dyDescent="0.25">
      <c r="A828643" s="242"/>
    </row>
    <row r="828644" spans="1:1" x14ac:dyDescent="0.25">
      <c r="A828644" s="242"/>
    </row>
    <row r="828645" spans="1:1" x14ac:dyDescent="0.25">
      <c r="A828645" s="242"/>
    </row>
    <row r="828646" spans="1:1" x14ac:dyDescent="0.25">
      <c r="A828646" s="242"/>
    </row>
    <row r="828647" spans="1:1" x14ac:dyDescent="0.25">
      <c r="A828647" s="242"/>
    </row>
    <row r="828648" spans="1:1" x14ac:dyDescent="0.25">
      <c r="A828648" s="242"/>
    </row>
    <row r="828649" spans="1:1" x14ac:dyDescent="0.25">
      <c r="A828649" s="242"/>
    </row>
    <row r="828650" spans="1:1" x14ac:dyDescent="0.25">
      <c r="A828650" s="242"/>
    </row>
    <row r="828651" spans="1:1" x14ac:dyDescent="0.25">
      <c r="A828651" s="242"/>
    </row>
    <row r="828652" spans="1:1" x14ac:dyDescent="0.25">
      <c r="A828652" s="242"/>
    </row>
    <row r="828653" spans="1:1" x14ac:dyDescent="0.25">
      <c r="A828653" s="242"/>
    </row>
    <row r="828654" spans="1:1" x14ac:dyDescent="0.25">
      <c r="A828654" s="242"/>
    </row>
    <row r="828655" spans="1:1" x14ac:dyDescent="0.25">
      <c r="A828655" s="242"/>
    </row>
    <row r="828656" spans="1:1" x14ac:dyDescent="0.25">
      <c r="A828656" s="242"/>
    </row>
    <row r="828657" spans="1:1" x14ac:dyDescent="0.25">
      <c r="A828657" s="242"/>
    </row>
    <row r="828658" spans="1:1" x14ac:dyDescent="0.25">
      <c r="A828658" s="242"/>
    </row>
    <row r="828659" spans="1:1" x14ac:dyDescent="0.25">
      <c r="A828659" s="242"/>
    </row>
    <row r="828660" spans="1:1" x14ac:dyDescent="0.25">
      <c r="A828660" s="242"/>
    </row>
    <row r="828661" spans="1:1" x14ac:dyDescent="0.25">
      <c r="A828661" s="242"/>
    </row>
    <row r="828662" spans="1:1" x14ac:dyDescent="0.25">
      <c r="A828662" s="242"/>
    </row>
    <row r="828663" spans="1:1" x14ac:dyDescent="0.25">
      <c r="A828663" s="242"/>
    </row>
    <row r="828664" spans="1:1" x14ac:dyDescent="0.25">
      <c r="A828664" s="242"/>
    </row>
    <row r="828665" spans="1:1" x14ac:dyDescent="0.25">
      <c r="A828665" s="242"/>
    </row>
    <row r="828666" spans="1:1" x14ac:dyDescent="0.25">
      <c r="A828666" s="242"/>
    </row>
    <row r="828667" spans="1:1" x14ac:dyDescent="0.25">
      <c r="A828667" s="242"/>
    </row>
    <row r="828668" spans="1:1" x14ac:dyDescent="0.25">
      <c r="A828668" s="242"/>
    </row>
    <row r="828669" spans="1:1" x14ac:dyDescent="0.25">
      <c r="A828669" s="242"/>
    </row>
    <row r="828670" spans="1:1" x14ac:dyDescent="0.25">
      <c r="A828670" s="242"/>
    </row>
    <row r="828671" spans="1:1" x14ac:dyDescent="0.25">
      <c r="A828671" s="242"/>
    </row>
    <row r="828672" spans="1:1" x14ac:dyDescent="0.25">
      <c r="A828672" s="242"/>
    </row>
    <row r="828673" spans="1:1" x14ac:dyDescent="0.25">
      <c r="A828673" s="242"/>
    </row>
    <row r="828674" spans="1:1" x14ac:dyDescent="0.25">
      <c r="A828674" s="242"/>
    </row>
    <row r="828675" spans="1:1" x14ac:dyDescent="0.25">
      <c r="A828675" s="242"/>
    </row>
    <row r="828676" spans="1:1" x14ac:dyDescent="0.25">
      <c r="A828676" s="242"/>
    </row>
    <row r="828677" spans="1:1" x14ac:dyDescent="0.25">
      <c r="A828677" s="242"/>
    </row>
    <row r="828678" spans="1:1" x14ac:dyDescent="0.25">
      <c r="A828678" s="242"/>
    </row>
    <row r="828679" spans="1:1" x14ac:dyDescent="0.25">
      <c r="A828679" s="242"/>
    </row>
    <row r="828680" spans="1:1" x14ac:dyDescent="0.25">
      <c r="A828680" s="242"/>
    </row>
    <row r="828681" spans="1:1" x14ac:dyDescent="0.25">
      <c r="A828681" s="242"/>
    </row>
    <row r="828682" spans="1:1" x14ac:dyDescent="0.25">
      <c r="A828682" s="242"/>
    </row>
    <row r="828683" spans="1:1" x14ac:dyDescent="0.25">
      <c r="A828683" s="242"/>
    </row>
    <row r="828684" spans="1:1" x14ac:dyDescent="0.25">
      <c r="A828684" s="242"/>
    </row>
    <row r="828685" spans="1:1" x14ac:dyDescent="0.25">
      <c r="A828685" s="242"/>
    </row>
    <row r="828686" spans="1:1" x14ac:dyDescent="0.25">
      <c r="A828686" s="242"/>
    </row>
    <row r="828687" spans="1:1" x14ac:dyDescent="0.25">
      <c r="A828687" s="242"/>
    </row>
    <row r="828688" spans="1:1" x14ac:dyDescent="0.25">
      <c r="A828688" s="242"/>
    </row>
    <row r="828689" spans="1:1" x14ac:dyDescent="0.25">
      <c r="A828689" s="242"/>
    </row>
    <row r="828690" spans="1:1" x14ac:dyDescent="0.25">
      <c r="A828690" s="242"/>
    </row>
    <row r="828691" spans="1:1" x14ac:dyDescent="0.25">
      <c r="A828691" s="242"/>
    </row>
    <row r="828692" spans="1:1" x14ac:dyDescent="0.25">
      <c r="A828692" s="242"/>
    </row>
    <row r="828693" spans="1:1" x14ac:dyDescent="0.25">
      <c r="A828693" s="242"/>
    </row>
    <row r="828694" spans="1:1" x14ac:dyDescent="0.25">
      <c r="A828694" s="242"/>
    </row>
    <row r="828695" spans="1:1" x14ac:dyDescent="0.25">
      <c r="A828695" s="242"/>
    </row>
    <row r="828696" spans="1:1" x14ac:dyDescent="0.25">
      <c r="A828696" s="242"/>
    </row>
    <row r="828697" spans="1:1" x14ac:dyDescent="0.25">
      <c r="A828697" s="242"/>
    </row>
    <row r="828698" spans="1:1" x14ac:dyDescent="0.25">
      <c r="A828698" s="242"/>
    </row>
    <row r="828699" spans="1:1" x14ac:dyDescent="0.25">
      <c r="A828699" s="242"/>
    </row>
    <row r="828700" spans="1:1" x14ac:dyDescent="0.25">
      <c r="A828700" s="242"/>
    </row>
    <row r="828701" spans="1:1" x14ac:dyDescent="0.25">
      <c r="A828701" s="242"/>
    </row>
    <row r="828702" spans="1:1" x14ac:dyDescent="0.25">
      <c r="A828702" s="242"/>
    </row>
    <row r="828703" spans="1:1" x14ac:dyDescent="0.25">
      <c r="A828703" s="242"/>
    </row>
    <row r="828704" spans="1:1" x14ac:dyDescent="0.25">
      <c r="A828704" s="242"/>
    </row>
    <row r="828705" spans="1:1" x14ac:dyDescent="0.25">
      <c r="A828705" s="242"/>
    </row>
    <row r="828706" spans="1:1" x14ac:dyDescent="0.25">
      <c r="A828706" s="242"/>
    </row>
    <row r="828707" spans="1:1" x14ac:dyDescent="0.25">
      <c r="A828707" s="242"/>
    </row>
    <row r="828708" spans="1:1" x14ac:dyDescent="0.25">
      <c r="A828708" s="242"/>
    </row>
    <row r="828709" spans="1:1" x14ac:dyDescent="0.25">
      <c r="A828709" s="242"/>
    </row>
    <row r="828710" spans="1:1" x14ac:dyDescent="0.25">
      <c r="A828710" s="242"/>
    </row>
    <row r="828711" spans="1:1" x14ac:dyDescent="0.25">
      <c r="A828711" s="242"/>
    </row>
    <row r="828712" spans="1:1" x14ac:dyDescent="0.25">
      <c r="A828712" s="242"/>
    </row>
    <row r="828713" spans="1:1" x14ac:dyDescent="0.25">
      <c r="A828713" s="242"/>
    </row>
    <row r="828714" spans="1:1" x14ac:dyDescent="0.25">
      <c r="A828714" s="242"/>
    </row>
    <row r="828715" spans="1:1" x14ac:dyDescent="0.25">
      <c r="A828715" s="242"/>
    </row>
    <row r="828716" spans="1:1" x14ac:dyDescent="0.25">
      <c r="A828716" s="242"/>
    </row>
    <row r="828717" spans="1:1" x14ac:dyDescent="0.25">
      <c r="A828717" s="242"/>
    </row>
    <row r="828718" spans="1:1" x14ac:dyDescent="0.25">
      <c r="A828718" s="242"/>
    </row>
    <row r="828719" spans="1:1" x14ac:dyDescent="0.25">
      <c r="A828719" s="242"/>
    </row>
    <row r="828720" spans="1:1" x14ac:dyDescent="0.25">
      <c r="A828720" s="242"/>
    </row>
    <row r="828721" spans="1:1" x14ac:dyDescent="0.25">
      <c r="A828721" s="242"/>
    </row>
    <row r="828722" spans="1:1" x14ac:dyDescent="0.25">
      <c r="A828722" s="242"/>
    </row>
    <row r="828723" spans="1:1" x14ac:dyDescent="0.25">
      <c r="A828723" s="242"/>
    </row>
    <row r="828724" spans="1:1" x14ac:dyDescent="0.25">
      <c r="A828724" s="242"/>
    </row>
    <row r="828725" spans="1:1" x14ac:dyDescent="0.25">
      <c r="A828725" s="242"/>
    </row>
    <row r="828726" spans="1:1" x14ac:dyDescent="0.25">
      <c r="A828726" s="242"/>
    </row>
    <row r="828727" spans="1:1" x14ac:dyDescent="0.25">
      <c r="A828727" s="242"/>
    </row>
    <row r="828728" spans="1:1" x14ac:dyDescent="0.25">
      <c r="A828728" s="242"/>
    </row>
    <row r="828729" spans="1:1" x14ac:dyDescent="0.25">
      <c r="A828729" s="242"/>
    </row>
    <row r="828730" spans="1:1" x14ac:dyDescent="0.25">
      <c r="A828730" s="242"/>
    </row>
    <row r="828731" spans="1:1" x14ac:dyDescent="0.25">
      <c r="A828731" s="242"/>
    </row>
    <row r="828732" spans="1:1" x14ac:dyDescent="0.25">
      <c r="A828732" s="242"/>
    </row>
    <row r="828733" spans="1:1" x14ac:dyDescent="0.25">
      <c r="A828733" s="242"/>
    </row>
    <row r="828734" spans="1:1" x14ac:dyDescent="0.25">
      <c r="A828734" s="242"/>
    </row>
    <row r="828735" spans="1:1" x14ac:dyDescent="0.25">
      <c r="A828735" s="242"/>
    </row>
    <row r="828736" spans="1:1" x14ac:dyDescent="0.25">
      <c r="A828736" s="242"/>
    </row>
    <row r="828737" spans="1:1" x14ac:dyDescent="0.25">
      <c r="A828737" s="242"/>
    </row>
    <row r="828738" spans="1:1" x14ac:dyDescent="0.25">
      <c r="A828738" s="242"/>
    </row>
    <row r="828739" spans="1:1" x14ac:dyDescent="0.25">
      <c r="A828739" s="242"/>
    </row>
    <row r="828740" spans="1:1" x14ac:dyDescent="0.25">
      <c r="A828740" s="242"/>
    </row>
    <row r="828741" spans="1:1" x14ac:dyDescent="0.25">
      <c r="A828741" s="242"/>
    </row>
    <row r="828742" spans="1:1" x14ac:dyDescent="0.25">
      <c r="A828742" s="242"/>
    </row>
    <row r="828743" spans="1:1" x14ac:dyDescent="0.25">
      <c r="A828743" s="242"/>
    </row>
    <row r="828744" spans="1:1" x14ac:dyDescent="0.25">
      <c r="A828744" s="242"/>
    </row>
    <row r="828745" spans="1:1" x14ac:dyDescent="0.25">
      <c r="A828745" s="242"/>
    </row>
    <row r="828746" spans="1:1" x14ac:dyDescent="0.25">
      <c r="A828746" s="242"/>
    </row>
    <row r="828747" spans="1:1" x14ac:dyDescent="0.25">
      <c r="A828747" s="242"/>
    </row>
    <row r="828748" spans="1:1" x14ac:dyDescent="0.25">
      <c r="A828748" s="242"/>
    </row>
    <row r="828749" spans="1:1" x14ac:dyDescent="0.25">
      <c r="A828749" s="242"/>
    </row>
    <row r="828750" spans="1:1" x14ac:dyDescent="0.25">
      <c r="A828750" s="242"/>
    </row>
    <row r="828751" spans="1:1" x14ac:dyDescent="0.25">
      <c r="A828751" s="242"/>
    </row>
    <row r="828752" spans="1:1" x14ac:dyDescent="0.25">
      <c r="A828752" s="242"/>
    </row>
    <row r="828753" spans="1:1" x14ac:dyDescent="0.25">
      <c r="A828753" s="242"/>
    </row>
    <row r="828754" spans="1:1" x14ac:dyDescent="0.25">
      <c r="A828754" s="242"/>
    </row>
    <row r="828755" spans="1:1" x14ac:dyDescent="0.25">
      <c r="A828755" s="242"/>
    </row>
    <row r="828756" spans="1:1" x14ac:dyDescent="0.25">
      <c r="A828756" s="242"/>
    </row>
    <row r="828757" spans="1:1" x14ac:dyDescent="0.25">
      <c r="A828757" s="242"/>
    </row>
    <row r="828758" spans="1:1" x14ac:dyDescent="0.25">
      <c r="A828758" s="242"/>
    </row>
    <row r="828759" spans="1:1" x14ac:dyDescent="0.25">
      <c r="A828759" s="242"/>
    </row>
    <row r="828760" spans="1:1" x14ac:dyDescent="0.25">
      <c r="A828760" s="242"/>
    </row>
    <row r="828761" spans="1:1" x14ac:dyDescent="0.25">
      <c r="A828761" s="242"/>
    </row>
    <row r="828762" spans="1:1" x14ac:dyDescent="0.25">
      <c r="A828762" s="242"/>
    </row>
    <row r="828763" spans="1:1" x14ac:dyDescent="0.25">
      <c r="A828763" s="242"/>
    </row>
    <row r="828764" spans="1:1" x14ac:dyDescent="0.25">
      <c r="A828764" s="242"/>
    </row>
    <row r="828765" spans="1:1" x14ac:dyDescent="0.25">
      <c r="A828765" s="242"/>
    </row>
    <row r="828766" spans="1:1" x14ac:dyDescent="0.25">
      <c r="A828766" s="242"/>
    </row>
    <row r="828767" spans="1:1" x14ac:dyDescent="0.25">
      <c r="A828767" s="242"/>
    </row>
    <row r="828768" spans="1:1" x14ac:dyDescent="0.25">
      <c r="A828768" s="242"/>
    </row>
    <row r="828769" spans="1:1" x14ac:dyDescent="0.25">
      <c r="A828769" s="242"/>
    </row>
    <row r="828770" spans="1:1" x14ac:dyDescent="0.25">
      <c r="A828770" s="242"/>
    </row>
    <row r="828771" spans="1:1" x14ac:dyDescent="0.25">
      <c r="A828771" s="242"/>
    </row>
    <row r="828772" spans="1:1" x14ac:dyDescent="0.25">
      <c r="A828772" s="242"/>
    </row>
    <row r="828773" spans="1:1" x14ac:dyDescent="0.25">
      <c r="A828773" s="242"/>
    </row>
    <row r="828774" spans="1:1" x14ac:dyDescent="0.25">
      <c r="A828774" s="242"/>
    </row>
    <row r="828775" spans="1:1" x14ac:dyDescent="0.25">
      <c r="A828775" s="242"/>
    </row>
    <row r="828776" spans="1:1" x14ac:dyDescent="0.25">
      <c r="A828776" s="242"/>
    </row>
    <row r="828777" spans="1:1" x14ac:dyDescent="0.25">
      <c r="A828777" s="242"/>
    </row>
    <row r="828778" spans="1:1" x14ac:dyDescent="0.25">
      <c r="A828778" s="242"/>
    </row>
    <row r="828779" spans="1:1" x14ac:dyDescent="0.25">
      <c r="A828779" s="242"/>
    </row>
    <row r="828780" spans="1:1" x14ac:dyDescent="0.25">
      <c r="A828780" s="242"/>
    </row>
    <row r="828781" spans="1:1" x14ac:dyDescent="0.25">
      <c r="A828781" s="242"/>
    </row>
    <row r="828782" spans="1:1" x14ac:dyDescent="0.25">
      <c r="A828782" s="242"/>
    </row>
    <row r="828783" spans="1:1" x14ac:dyDescent="0.25">
      <c r="A828783" s="242"/>
    </row>
    <row r="828784" spans="1:1" x14ac:dyDescent="0.25">
      <c r="A828784" s="242"/>
    </row>
    <row r="828785" spans="1:1" x14ac:dyDescent="0.25">
      <c r="A828785" s="242"/>
    </row>
    <row r="828786" spans="1:1" x14ac:dyDescent="0.25">
      <c r="A828786" s="242"/>
    </row>
    <row r="828787" spans="1:1" x14ac:dyDescent="0.25">
      <c r="A828787" s="242"/>
    </row>
    <row r="828788" spans="1:1" x14ac:dyDescent="0.25">
      <c r="A828788" s="242"/>
    </row>
    <row r="828789" spans="1:1" x14ac:dyDescent="0.25">
      <c r="A828789" s="242"/>
    </row>
    <row r="828790" spans="1:1" x14ac:dyDescent="0.25">
      <c r="A828790" s="242"/>
    </row>
    <row r="828791" spans="1:1" x14ac:dyDescent="0.25">
      <c r="A828791" s="242"/>
    </row>
    <row r="828792" spans="1:1" x14ac:dyDescent="0.25">
      <c r="A828792" s="242"/>
    </row>
    <row r="828793" spans="1:1" x14ac:dyDescent="0.25">
      <c r="A828793" s="242"/>
    </row>
    <row r="828794" spans="1:1" x14ac:dyDescent="0.25">
      <c r="A828794" s="242"/>
    </row>
    <row r="828795" spans="1:1" x14ac:dyDescent="0.25">
      <c r="A828795" s="242"/>
    </row>
    <row r="828796" spans="1:1" x14ac:dyDescent="0.25">
      <c r="A828796" s="242"/>
    </row>
    <row r="828797" spans="1:1" x14ac:dyDescent="0.25">
      <c r="A828797" s="242"/>
    </row>
    <row r="828798" spans="1:1" x14ac:dyDescent="0.25">
      <c r="A828798" s="242"/>
    </row>
    <row r="828799" spans="1:1" x14ac:dyDescent="0.25">
      <c r="A828799" s="242"/>
    </row>
    <row r="828800" spans="1:1" x14ac:dyDescent="0.25">
      <c r="A828800" s="242"/>
    </row>
    <row r="828801" spans="1:1" x14ac:dyDescent="0.25">
      <c r="A828801" s="242"/>
    </row>
    <row r="828802" spans="1:1" x14ac:dyDescent="0.25">
      <c r="A828802" s="242"/>
    </row>
    <row r="828803" spans="1:1" x14ac:dyDescent="0.25">
      <c r="A828803" s="242"/>
    </row>
    <row r="828804" spans="1:1" x14ac:dyDescent="0.25">
      <c r="A828804" s="242"/>
    </row>
    <row r="828805" spans="1:1" x14ac:dyDescent="0.25">
      <c r="A828805" s="242"/>
    </row>
    <row r="828806" spans="1:1" x14ac:dyDescent="0.25">
      <c r="A828806" s="242"/>
    </row>
    <row r="828807" spans="1:1" x14ac:dyDescent="0.25">
      <c r="A828807" s="242"/>
    </row>
    <row r="828808" spans="1:1" x14ac:dyDescent="0.25">
      <c r="A828808" s="242"/>
    </row>
    <row r="828809" spans="1:1" x14ac:dyDescent="0.25">
      <c r="A828809" s="242"/>
    </row>
    <row r="828810" spans="1:1" x14ac:dyDescent="0.25">
      <c r="A828810" s="242"/>
    </row>
    <row r="828811" spans="1:1" x14ac:dyDescent="0.25">
      <c r="A828811" s="242"/>
    </row>
    <row r="828812" spans="1:1" x14ac:dyDescent="0.25">
      <c r="A828812" s="242"/>
    </row>
    <row r="828813" spans="1:1" x14ac:dyDescent="0.25">
      <c r="A828813" s="242"/>
    </row>
    <row r="828814" spans="1:1" x14ac:dyDescent="0.25">
      <c r="A828814" s="242"/>
    </row>
    <row r="828815" spans="1:1" x14ac:dyDescent="0.25">
      <c r="A828815" s="242"/>
    </row>
    <row r="828816" spans="1:1" x14ac:dyDescent="0.25">
      <c r="A828816" s="242"/>
    </row>
    <row r="828817" spans="1:1" x14ac:dyDescent="0.25">
      <c r="A828817" s="242"/>
    </row>
    <row r="828818" spans="1:1" x14ac:dyDescent="0.25">
      <c r="A828818" s="242"/>
    </row>
    <row r="828819" spans="1:1" x14ac:dyDescent="0.25">
      <c r="A828819" s="242"/>
    </row>
    <row r="828820" spans="1:1" x14ac:dyDescent="0.25">
      <c r="A828820" s="242"/>
    </row>
    <row r="828821" spans="1:1" x14ac:dyDescent="0.25">
      <c r="A828821" s="242"/>
    </row>
    <row r="828822" spans="1:1" x14ac:dyDescent="0.25">
      <c r="A828822" s="242"/>
    </row>
    <row r="828823" spans="1:1" x14ac:dyDescent="0.25">
      <c r="A828823" s="242"/>
    </row>
    <row r="828824" spans="1:1" x14ac:dyDescent="0.25">
      <c r="A828824" s="242"/>
    </row>
    <row r="828825" spans="1:1" x14ac:dyDescent="0.25">
      <c r="A828825" s="242"/>
    </row>
    <row r="828826" spans="1:1" x14ac:dyDescent="0.25">
      <c r="A828826" s="242"/>
    </row>
    <row r="828827" spans="1:1" x14ac:dyDescent="0.25">
      <c r="A828827" s="242"/>
    </row>
    <row r="828828" spans="1:1" x14ac:dyDescent="0.25">
      <c r="A828828" s="242"/>
    </row>
    <row r="828829" spans="1:1" x14ac:dyDescent="0.25">
      <c r="A828829" s="242"/>
    </row>
    <row r="828830" spans="1:1" x14ac:dyDescent="0.25">
      <c r="A828830" s="242"/>
    </row>
    <row r="828831" spans="1:1" x14ac:dyDescent="0.25">
      <c r="A828831" s="242"/>
    </row>
    <row r="828832" spans="1:1" x14ac:dyDescent="0.25">
      <c r="A828832" s="242"/>
    </row>
    <row r="828833" spans="1:1" x14ac:dyDescent="0.25">
      <c r="A828833" s="242"/>
    </row>
    <row r="828834" spans="1:1" x14ac:dyDescent="0.25">
      <c r="A828834" s="242"/>
    </row>
    <row r="828835" spans="1:1" x14ac:dyDescent="0.25">
      <c r="A828835" s="242"/>
    </row>
    <row r="828836" spans="1:1" x14ac:dyDescent="0.25">
      <c r="A828836" s="242"/>
    </row>
    <row r="828837" spans="1:1" x14ac:dyDescent="0.25">
      <c r="A828837" s="242"/>
    </row>
    <row r="828838" spans="1:1" x14ac:dyDescent="0.25">
      <c r="A828838" s="242"/>
    </row>
    <row r="828839" spans="1:1" x14ac:dyDescent="0.25">
      <c r="A828839" s="242"/>
    </row>
    <row r="828840" spans="1:1" x14ac:dyDescent="0.25">
      <c r="A828840" s="242"/>
    </row>
    <row r="828841" spans="1:1" x14ac:dyDescent="0.25">
      <c r="A828841" s="242"/>
    </row>
    <row r="828842" spans="1:1" x14ac:dyDescent="0.25">
      <c r="A828842" s="242"/>
    </row>
    <row r="828843" spans="1:1" x14ac:dyDescent="0.25">
      <c r="A828843" s="242"/>
    </row>
    <row r="828844" spans="1:1" x14ac:dyDescent="0.25">
      <c r="A828844" s="242"/>
    </row>
    <row r="828845" spans="1:1" x14ac:dyDescent="0.25">
      <c r="A828845" s="242"/>
    </row>
    <row r="828846" spans="1:1" x14ac:dyDescent="0.25">
      <c r="A828846" s="242"/>
    </row>
    <row r="828847" spans="1:1" x14ac:dyDescent="0.25">
      <c r="A828847" s="242"/>
    </row>
    <row r="828848" spans="1:1" x14ac:dyDescent="0.25">
      <c r="A828848" s="242"/>
    </row>
    <row r="828849" spans="1:1" x14ac:dyDescent="0.25">
      <c r="A828849" s="242"/>
    </row>
    <row r="828850" spans="1:1" x14ac:dyDescent="0.25">
      <c r="A828850" s="242"/>
    </row>
    <row r="828851" spans="1:1" x14ac:dyDescent="0.25">
      <c r="A828851" s="242"/>
    </row>
    <row r="828852" spans="1:1" x14ac:dyDescent="0.25">
      <c r="A828852" s="242"/>
    </row>
    <row r="828853" spans="1:1" x14ac:dyDescent="0.25">
      <c r="A828853" s="242"/>
    </row>
    <row r="828854" spans="1:1" x14ac:dyDescent="0.25">
      <c r="A828854" s="242"/>
    </row>
    <row r="828855" spans="1:1" x14ac:dyDescent="0.25">
      <c r="A828855" s="242"/>
    </row>
    <row r="828856" spans="1:1" x14ac:dyDescent="0.25">
      <c r="A828856" s="242"/>
    </row>
    <row r="828857" spans="1:1" x14ac:dyDescent="0.25">
      <c r="A828857" s="242"/>
    </row>
    <row r="828858" spans="1:1" x14ac:dyDescent="0.25">
      <c r="A828858" s="242"/>
    </row>
    <row r="828859" spans="1:1" x14ac:dyDescent="0.25">
      <c r="A828859" s="242"/>
    </row>
    <row r="828860" spans="1:1" x14ac:dyDescent="0.25">
      <c r="A828860" s="242"/>
    </row>
    <row r="828861" spans="1:1" x14ac:dyDescent="0.25">
      <c r="A828861" s="242"/>
    </row>
    <row r="828862" spans="1:1" x14ac:dyDescent="0.25">
      <c r="A828862" s="242"/>
    </row>
    <row r="828863" spans="1:1" x14ac:dyDescent="0.25">
      <c r="A828863" s="242"/>
    </row>
    <row r="828864" spans="1:1" x14ac:dyDescent="0.25">
      <c r="A828864" s="242"/>
    </row>
    <row r="828865" spans="1:1" x14ac:dyDescent="0.25">
      <c r="A828865" s="242"/>
    </row>
    <row r="828866" spans="1:1" x14ac:dyDescent="0.25">
      <c r="A828866" s="242"/>
    </row>
    <row r="828867" spans="1:1" x14ac:dyDescent="0.25">
      <c r="A828867" s="242"/>
    </row>
    <row r="828868" spans="1:1" x14ac:dyDescent="0.25">
      <c r="A828868" s="242"/>
    </row>
    <row r="828869" spans="1:1" x14ac:dyDescent="0.25">
      <c r="A828869" s="242"/>
    </row>
    <row r="828870" spans="1:1" x14ac:dyDescent="0.25">
      <c r="A828870" s="242"/>
    </row>
    <row r="828871" spans="1:1" x14ac:dyDescent="0.25">
      <c r="A828871" s="242"/>
    </row>
    <row r="828872" spans="1:1" x14ac:dyDescent="0.25">
      <c r="A828872" s="242"/>
    </row>
    <row r="828873" spans="1:1" x14ac:dyDescent="0.25">
      <c r="A828873" s="242"/>
    </row>
    <row r="828874" spans="1:1" x14ac:dyDescent="0.25">
      <c r="A828874" s="242"/>
    </row>
    <row r="828875" spans="1:1" x14ac:dyDescent="0.25">
      <c r="A828875" s="242"/>
    </row>
    <row r="828876" spans="1:1" x14ac:dyDescent="0.25">
      <c r="A828876" s="242"/>
    </row>
    <row r="828877" spans="1:1" x14ac:dyDescent="0.25">
      <c r="A828877" s="242"/>
    </row>
    <row r="828878" spans="1:1" x14ac:dyDescent="0.25">
      <c r="A828878" s="242"/>
    </row>
    <row r="828879" spans="1:1" x14ac:dyDescent="0.25">
      <c r="A828879" s="242"/>
    </row>
    <row r="828880" spans="1:1" x14ac:dyDescent="0.25">
      <c r="A828880" s="242"/>
    </row>
    <row r="828881" spans="1:1" x14ac:dyDescent="0.25">
      <c r="A828881" s="242"/>
    </row>
    <row r="828882" spans="1:1" x14ac:dyDescent="0.25">
      <c r="A828882" s="242"/>
    </row>
    <row r="828883" spans="1:1" x14ac:dyDescent="0.25">
      <c r="A828883" s="242"/>
    </row>
    <row r="828884" spans="1:1" x14ac:dyDescent="0.25">
      <c r="A828884" s="242"/>
    </row>
    <row r="828885" spans="1:1" x14ac:dyDescent="0.25">
      <c r="A828885" s="242"/>
    </row>
    <row r="828886" spans="1:1" x14ac:dyDescent="0.25">
      <c r="A828886" s="242"/>
    </row>
    <row r="828887" spans="1:1" x14ac:dyDescent="0.25">
      <c r="A828887" s="242"/>
    </row>
    <row r="828888" spans="1:1" x14ac:dyDescent="0.25">
      <c r="A828888" s="242"/>
    </row>
    <row r="828889" spans="1:1" x14ac:dyDescent="0.25">
      <c r="A828889" s="242"/>
    </row>
    <row r="828890" spans="1:1" x14ac:dyDescent="0.25">
      <c r="A828890" s="242"/>
    </row>
    <row r="828891" spans="1:1" x14ac:dyDescent="0.25">
      <c r="A828891" s="242"/>
    </row>
    <row r="828892" spans="1:1" x14ac:dyDescent="0.25">
      <c r="A828892" s="242"/>
    </row>
    <row r="828893" spans="1:1" x14ac:dyDescent="0.25">
      <c r="A828893" s="242"/>
    </row>
    <row r="828894" spans="1:1" x14ac:dyDescent="0.25">
      <c r="A828894" s="242"/>
    </row>
    <row r="828895" spans="1:1" x14ac:dyDescent="0.25">
      <c r="A828895" s="242"/>
    </row>
    <row r="828896" spans="1:1" x14ac:dyDescent="0.25">
      <c r="A828896" s="242"/>
    </row>
    <row r="828897" spans="1:1" x14ac:dyDescent="0.25">
      <c r="A828897" s="242"/>
    </row>
    <row r="828898" spans="1:1" x14ac:dyDescent="0.25">
      <c r="A828898" s="242"/>
    </row>
    <row r="828899" spans="1:1" x14ac:dyDescent="0.25">
      <c r="A828899" s="242"/>
    </row>
    <row r="828900" spans="1:1" x14ac:dyDescent="0.25">
      <c r="A828900" s="242"/>
    </row>
    <row r="828901" spans="1:1" x14ac:dyDescent="0.25">
      <c r="A828901" s="242"/>
    </row>
    <row r="828902" spans="1:1" x14ac:dyDescent="0.25">
      <c r="A828902" s="242"/>
    </row>
    <row r="828903" spans="1:1" x14ac:dyDescent="0.25">
      <c r="A828903" s="242"/>
    </row>
    <row r="828904" spans="1:1" x14ac:dyDescent="0.25">
      <c r="A828904" s="242"/>
    </row>
    <row r="828905" spans="1:1" x14ac:dyDescent="0.25">
      <c r="A828905" s="242"/>
    </row>
    <row r="828906" spans="1:1" x14ac:dyDescent="0.25">
      <c r="A828906" s="242"/>
    </row>
    <row r="828907" spans="1:1" x14ac:dyDescent="0.25">
      <c r="A828907" s="242"/>
    </row>
    <row r="828908" spans="1:1" x14ac:dyDescent="0.25">
      <c r="A828908" s="242"/>
    </row>
    <row r="828909" spans="1:1" x14ac:dyDescent="0.25">
      <c r="A828909" s="242"/>
    </row>
    <row r="828910" spans="1:1" x14ac:dyDescent="0.25">
      <c r="A828910" s="242"/>
    </row>
    <row r="828911" spans="1:1" x14ac:dyDescent="0.25">
      <c r="A828911" s="242"/>
    </row>
    <row r="828912" spans="1:1" x14ac:dyDescent="0.25">
      <c r="A828912" s="242"/>
    </row>
    <row r="828913" spans="1:1" x14ac:dyDescent="0.25">
      <c r="A828913" s="242"/>
    </row>
    <row r="828914" spans="1:1" x14ac:dyDescent="0.25">
      <c r="A828914" s="242"/>
    </row>
    <row r="828915" spans="1:1" x14ac:dyDescent="0.25">
      <c r="A828915" s="242"/>
    </row>
    <row r="828916" spans="1:1" x14ac:dyDescent="0.25">
      <c r="A828916" s="242"/>
    </row>
    <row r="828917" spans="1:1" x14ac:dyDescent="0.25">
      <c r="A828917" s="242"/>
    </row>
    <row r="828918" spans="1:1" x14ac:dyDescent="0.25">
      <c r="A828918" s="242"/>
    </row>
    <row r="828919" spans="1:1" x14ac:dyDescent="0.25">
      <c r="A828919" s="242"/>
    </row>
    <row r="828920" spans="1:1" x14ac:dyDescent="0.25">
      <c r="A828920" s="242"/>
    </row>
    <row r="828921" spans="1:1" x14ac:dyDescent="0.25">
      <c r="A828921" s="242"/>
    </row>
    <row r="828922" spans="1:1" x14ac:dyDescent="0.25">
      <c r="A828922" s="242"/>
    </row>
    <row r="828923" spans="1:1" x14ac:dyDescent="0.25">
      <c r="A828923" s="242"/>
    </row>
    <row r="828924" spans="1:1" x14ac:dyDescent="0.25">
      <c r="A828924" s="242"/>
    </row>
    <row r="828925" spans="1:1" x14ac:dyDescent="0.25">
      <c r="A828925" s="242"/>
    </row>
    <row r="828926" spans="1:1" x14ac:dyDescent="0.25">
      <c r="A828926" s="242"/>
    </row>
    <row r="828927" spans="1:1" x14ac:dyDescent="0.25">
      <c r="A828927" s="242"/>
    </row>
    <row r="828928" spans="1:1" x14ac:dyDescent="0.25">
      <c r="A828928" s="242"/>
    </row>
    <row r="828929" spans="1:1" x14ac:dyDescent="0.25">
      <c r="A828929" s="242"/>
    </row>
    <row r="828930" spans="1:1" x14ac:dyDescent="0.25">
      <c r="A828930" s="242"/>
    </row>
    <row r="828931" spans="1:1" x14ac:dyDescent="0.25">
      <c r="A828931" s="242"/>
    </row>
    <row r="828932" spans="1:1" x14ac:dyDescent="0.25">
      <c r="A828932" s="242"/>
    </row>
    <row r="828933" spans="1:1" x14ac:dyDescent="0.25">
      <c r="A828933" s="242"/>
    </row>
    <row r="828934" spans="1:1" x14ac:dyDescent="0.25">
      <c r="A828934" s="242"/>
    </row>
    <row r="828935" spans="1:1" x14ac:dyDescent="0.25">
      <c r="A828935" s="242"/>
    </row>
    <row r="828936" spans="1:1" x14ac:dyDescent="0.25">
      <c r="A828936" s="242"/>
    </row>
    <row r="828937" spans="1:1" x14ac:dyDescent="0.25">
      <c r="A828937" s="242"/>
    </row>
    <row r="828938" spans="1:1" x14ac:dyDescent="0.25">
      <c r="A828938" s="242"/>
    </row>
    <row r="828939" spans="1:1" x14ac:dyDescent="0.25">
      <c r="A828939" s="242"/>
    </row>
    <row r="828940" spans="1:1" x14ac:dyDescent="0.25">
      <c r="A828940" s="242"/>
    </row>
    <row r="828941" spans="1:1" x14ac:dyDescent="0.25">
      <c r="A828941" s="242"/>
    </row>
    <row r="828942" spans="1:1" x14ac:dyDescent="0.25">
      <c r="A828942" s="242"/>
    </row>
    <row r="828943" spans="1:1" x14ac:dyDescent="0.25">
      <c r="A828943" s="242"/>
    </row>
    <row r="828944" spans="1:1" x14ac:dyDescent="0.25">
      <c r="A828944" s="242"/>
    </row>
    <row r="828945" spans="1:1" x14ac:dyDescent="0.25">
      <c r="A828945" s="242"/>
    </row>
    <row r="828946" spans="1:1" x14ac:dyDescent="0.25">
      <c r="A828946" s="242"/>
    </row>
    <row r="828947" spans="1:1" x14ac:dyDescent="0.25">
      <c r="A828947" s="242"/>
    </row>
    <row r="828948" spans="1:1" x14ac:dyDescent="0.25">
      <c r="A828948" s="242"/>
    </row>
    <row r="828949" spans="1:1" x14ac:dyDescent="0.25">
      <c r="A828949" s="242"/>
    </row>
    <row r="828950" spans="1:1" x14ac:dyDescent="0.25">
      <c r="A828950" s="242"/>
    </row>
    <row r="828951" spans="1:1" x14ac:dyDescent="0.25">
      <c r="A828951" s="242"/>
    </row>
    <row r="828952" spans="1:1" x14ac:dyDescent="0.25">
      <c r="A828952" s="242"/>
    </row>
    <row r="828953" spans="1:1" x14ac:dyDescent="0.25">
      <c r="A828953" s="242"/>
    </row>
    <row r="828954" spans="1:1" x14ac:dyDescent="0.25">
      <c r="A828954" s="242"/>
    </row>
    <row r="828955" spans="1:1" x14ac:dyDescent="0.25">
      <c r="A828955" s="242"/>
    </row>
    <row r="828956" spans="1:1" x14ac:dyDescent="0.25">
      <c r="A828956" s="242"/>
    </row>
    <row r="828957" spans="1:1" x14ac:dyDescent="0.25">
      <c r="A828957" s="242"/>
    </row>
    <row r="828958" spans="1:1" x14ac:dyDescent="0.25">
      <c r="A828958" s="242"/>
    </row>
    <row r="828959" spans="1:1" x14ac:dyDescent="0.25">
      <c r="A828959" s="242"/>
    </row>
    <row r="828960" spans="1:1" x14ac:dyDescent="0.25">
      <c r="A828960" s="242"/>
    </row>
    <row r="828961" spans="1:1" x14ac:dyDescent="0.25">
      <c r="A828961" s="242"/>
    </row>
    <row r="828962" spans="1:1" x14ac:dyDescent="0.25">
      <c r="A828962" s="242"/>
    </row>
    <row r="828963" spans="1:1" x14ac:dyDescent="0.25">
      <c r="A828963" s="242"/>
    </row>
    <row r="828964" spans="1:1" x14ac:dyDescent="0.25">
      <c r="A828964" s="242"/>
    </row>
    <row r="828965" spans="1:1" x14ac:dyDescent="0.25">
      <c r="A828965" s="242"/>
    </row>
    <row r="828966" spans="1:1" x14ac:dyDescent="0.25">
      <c r="A828966" s="242"/>
    </row>
    <row r="828967" spans="1:1" x14ac:dyDescent="0.25">
      <c r="A828967" s="242"/>
    </row>
    <row r="828968" spans="1:1" x14ac:dyDescent="0.25">
      <c r="A828968" s="242"/>
    </row>
    <row r="828969" spans="1:1" x14ac:dyDescent="0.25">
      <c r="A828969" s="242"/>
    </row>
    <row r="828970" spans="1:1" x14ac:dyDescent="0.25">
      <c r="A828970" s="242"/>
    </row>
    <row r="828971" spans="1:1" x14ac:dyDescent="0.25">
      <c r="A828971" s="242"/>
    </row>
    <row r="828972" spans="1:1" x14ac:dyDescent="0.25">
      <c r="A828972" s="242"/>
    </row>
    <row r="828973" spans="1:1" x14ac:dyDescent="0.25">
      <c r="A828973" s="242"/>
    </row>
    <row r="828974" spans="1:1" x14ac:dyDescent="0.25">
      <c r="A828974" s="242"/>
    </row>
    <row r="828975" spans="1:1" x14ac:dyDescent="0.25">
      <c r="A828975" s="242"/>
    </row>
    <row r="828976" spans="1:1" x14ac:dyDescent="0.25">
      <c r="A828976" s="242"/>
    </row>
    <row r="828977" spans="1:1" x14ac:dyDescent="0.25">
      <c r="A828977" s="242"/>
    </row>
    <row r="828978" spans="1:1" x14ac:dyDescent="0.25">
      <c r="A828978" s="242"/>
    </row>
    <row r="828979" spans="1:1" x14ac:dyDescent="0.25">
      <c r="A828979" s="242"/>
    </row>
    <row r="828980" spans="1:1" x14ac:dyDescent="0.25">
      <c r="A828980" s="242"/>
    </row>
    <row r="828981" spans="1:1" x14ac:dyDescent="0.25">
      <c r="A828981" s="242"/>
    </row>
    <row r="828982" spans="1:1" x14ac:dyDescent="0.25">
      <c r="A828982" s="242"/>
    </row>
    <row r="828983" spans="1:1" x14ac:dyDescent="0.25">
      <c r="A828983" s="242"/>
    </row>
    <row r="828984" spans="1:1" x14ac:dyDescent="0.25">
      <c r="A828984" s="242"/>
    </row>
    <row r="828985" spans="1:1" x14ac:dyDescent="0.25">
      <c r="A828985" s="242"/>
    </row>
    <row r="828986" spans="1:1" x14ac:dyDescent="0.25">
      <c r="A828986" s="242"/>
    </row>
    <row r="828987" spans="1:1" x14ac:dyDescent="0.25">
      <c r="A828987" s="242"/>
    </row>
    <row r="828988" spans="1:1" x14ac:dyDescent="0.25">
      <c r="A828988" s="242"/>
    </row>
    <row r="828989" spans="1:1" x14ac:dyDescent="0.25">
      <c r="A828989" s="242"/>
    </row>
    <row r="828990" spans="1:1" x14ac:dyDescent="0.25">
      <c r="A828990" s="242"/>
    </row>
    <row r="828991" spans="1:1" x14ac:dyDescent="0.25">
      <c r="A828991" s="242"/>
    </row>
    <row r="828992" spans="1:1" x14ac:dyDescent="0.25">
      <c r="A828992" s="242"/>
    </row>
    <row r="828993" spans="1:1" x14ac:dyDescent="0.25">
      <c r="A828993" s="242"/>
    </row>
    <row r="828994" spans="1:1" x14ac:dyDescent="0.25">
      <c r="A828994" s="242"/>
    </row>
    <row r="828995" spans="1:1" x14ac:dyDescent="0.25">
      <c r="A828995" s="242"/>
    </row>
    <row r="828996" spans="1:1" x14ac:dyDescent="0.25">
      <c r="A828996" s="242"/>
    </row>
    <row r="828997" spans="1:1" x14ac:dyDescent="0.25">
      <c r="A828997" s="242"/>
    </row>
    <row r="828998" spans="1:1" x14ac:dyDescent="0.25">
      <c r="A828998" s="242"/>
    </row>
    <row r="828999" spans="1:1" x14ac:dyDescent="0.25">
      <c r="A828999" s="242"/>
    </row>
    <row r="829000" spans="1:1" x14ac:dyDescent="0.25">
      <c r="A829000" s="242"/>
    </row>
    <row r="829001" spans="1:1" x14ac:dyDescent="0.25">
      <c r="A829001" s="242"/>
    </row>
    <row r="829002" spans="1:1" x14ac:dyDescent="0.25">
      <c r="A829002" s="242"/>
    </row>
    <row r="829003" spans="1:1" x14ac:dyDescent="0.25">
      <c r="A829003" s="242"/>
    </row>
    <row r="829004" spans="1:1" x14ac:dyDescent="0.25">
      <c r="A829004" s="242"/>
    </row>
    <row r="829005" spans="1:1" x14ac:dyDescent="0.25">
      <c r="A829005" s="242"/>
    </row>
    <row r="829006" spans="1:1" x14ac:dyDescent="0.25">
      <c r="A829006" s="242"/>
    </row>
    <row r="829007" spans="1:1" x14ac:dyDescent="0.25">
      <c r="A829007" s="242"/>
    </row>
    <row r="829008" spans="1:1" x14ac:dyDescent="0.25">
      <c r="A829008" s="242"/>
    </row>
  </sheetData>
  <mergeCells count="9">
    <mergeCell ref="AA1:AC1"/>
    <mergeCell ref="AG189:AI189"/>
    <mergeCell ref="AG192:AI192"/>
    <mergeCell ref="D1:F1"/>
    <mergeCell ref="G1:J1"/>
    <mergeCell ref="K1:N1"/>
    <mergeCell ref="O1:R1"/>
    <mergeCell ref="S1:V1"/>
    <mergeCell ref="W1:Z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Del 01-03-25 al 07-03-25</vt:lpstr>
      <vt:lpstr>Del 08-03-25 al 14-03-25</vt:lpstr>
      <vt:lpstr>Del 15-03-25 al 21-03-25</vt:lpstr>
      <vt:lpstr>Del 22-03-25 al 28-03-25</vt:lpstr>
      <vt:lpstr>Del 29-03-25 al 05-04-25</vt:lpstr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2024-12-02T15:27:11Z</dcterms:created>
  <dcterms:modified xsi:type="dcterms:W3CDTF">2025-03-31T14:29:19Z</dcterms:modified>
</cp:coreProperties>
</file>